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5AEC351-00C5-4EF5-8112-C6B48577628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7" i="1" l="1"/>
  <c r="AA7" i="1"/>
  <c r="AA11" i="1"/>
  <c r="AA12" i="1"/>
  <c r="CL11" i="1"/>
  <c r="CL12" i="1"/>
  <c r="CL7" i="1"/>
  <c r="CL247" i="1"/>
  <c r="Z7" i="1"/>
  <c r="Y7" i="1"/>
  <c r="X7" i="1"/>
  <c r="W7" i="1"/>
  <c r="V7" i="1"/>
  <c r="U7" i="1"/>
  <c r="CD7" i="1"/>
  <c r="CG7" i="1"/>
  <c r="CH7" i="1"/>
  <c r="CI7" i="1"/>
  <c r="CJ7" i="1"/>
  <c r="CK7" i="1"/>
  <c r="CC6" i="1"/>
  <c r="CH12" i="1"/>
  <c r="CH11" i="1"/>
  <c r="CJ12" i="1"/>
  <c r="CI12" i="1"/>
  <c r="CF5" i="1"/>
  <c r="W11" i="1"/>
  <c r="X11" i="1"/>
  <c r="Y11" i="1"/>
  <c r="Z11" i="1"/>
  <c r="W12" i="1"/>
  <c r="X12" i="1"/>
  <c r="Y12" i="1"/>
  <c r="Z12" i="1"/>
  <c r="V12" i="1"/>
  <c r="V11" i="1"/>
  <c r="CE5" i="1"/>
  <c r="CK12" i="1"/>
  <c r="CK11" i="1"/>
  <c r="CG12" i="1" l="1"/>
  <c r="CJ11" i="1"/>
  <c r="CF7" i="1"/>
  <c r="CI11" i="1"/>
  <c r="CE7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4" i="1"/>
  <c r="AB17" i="1"/>
  <c r="AC17" i="1"/>
  <c r="AD17" i="1"/>
  <c r="AE17" i="1"/>
  <c r="AB30" i="1"/>
  <c r="AC30" i="1"/>
  <c r="AD30" i="1"/>
  <c r="AE30" i="1"/>
  <c r="AE29" i="1"/>
  <c r="AD29" i="1"/>
  <c r="AC29" i="1"/>
  <c r="AB29" i="1"/>
  <c r="AJ217" i="1"/>
  <c r="AB5" i="2"/>
  <c r="AB13" i="2"/>
  <c r="AA32" i="1" s="1"/>
  <c r="AB21" i="2"/>
  <c r="AB29" i="2"/>
  <c r="AB40" i="2"/>
  <c r="AB48" i="2"/>
  <c r="AA133" i="1" s="1"/>
  <c r="AB56" i="2"/>
  <c r="AA135" i="1" s="1"/>
  <c r="AE12" i="2"/>
  <c r="AE24" i="2"/>
  <c r="AE36" i="2"/>
  <c r="AE51" i="2"/>
  <c r="AB10" i="2"/>
  <c r="AB26" i="2"/>
  <c r="AB45" i="2"/>
  <c r="AA130" i="1" s="1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A168" i="1" s="1"/>
  <c r="AB94" i="2"/>
  <c r="AC24" i="2"/>
  <c r="AC78" i="2"/>
  <c r="AC106" i="2"/>
  <c r="AB58" i="2"/>
  <c r="AB14" i="2"/>
  <c r="AA28" i="1" s="1"/>
  <c r="AB49" i="2"/>
  <c r="AA171" i="1" s="1"/>
  <c r="AD78" i="2"/>
  <c r="AD106" i="2"/>
  <c r="AE108" i="2"/>
  <c r="AC49" i="2"/>
  <c r="AE90" i="2"/>
  <c r="AF49" i="2"/>
  <c r="AD91" i="2"/>
  <c r="AC104" i="2"/>
  <c r="AE85" i="2"/>
  <c r="AF109" i="2"/>
  <c r="AC71" i="2"/>
  <c r="AD27" i="2"/>
  <c r="AF82" i="2"/>
  <c r="AF98" i="2"/>
  <c r="AE54" i="2"/>
  <c r="AD73" i="2"/>
  <c r="AC70" i="2"/>
  <c r="AB35" i="2"/>
  <c r="AA59" i="1" s="1"/>
  <c r="AC48" i="2"/>
  <c r="AB22" i="2"/>
  <c r="AB41" i="2"/>
  <c r="AA125" i="1" s="1"/>
  <c r="AD74" i="2"/>
  <c r="AD11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53" i="1" s="1"/>
  <c r="AB85" i="2"/>
  <c r="AA178" i="1" s="1"/>
  <c r="AB93" i="2"/>
  <c r="AA180" i="1" s="1"/>
  <c r="AB105" i="2"/>
  <c r="AE104" i="2"/>
  <c r="AF26" i="2"/>
  <c r="AD59" i="2"/>
  <c r="AC18" i="2"/>
  <c r="AC45" i="2"/>
  <c r="AE64" i="2"/>
  <c r="AE76" i="2"/>
  <c r="AE88" i="2"/>
  <c r="AB8" i="2"/>
  <c r="AB43" i="2"/>
  <c r="AA127" i="1" s="1"/>
  <c r="AE15" i="2"/>
  <c r="AB72" i="2"/>
  <c r="AA150" i="1" s="1"/>
  <c r="AB88" i="2"/>
  <c r="AB108" i="2"/>
  <c r="AA87" i="1" s="1"/>
  <c r="AC72" i="2"/>
  <c r="AC96" i="2"/>
  <c r="AC60" i="2"/>
  <c r="AF80" i="2"/>
  <c r="AF96" i="2"/>
  <c r="AE27" i="2"/>
  <c r="AE81" i="2"/>
  <c r="AE109" i="2"/>
  <c r="AC89" i="2"/>
  <c r="AD11" i="2"/>
  <c r="AD46" i="2"/>
  <c r="AE75" i="2"/>
  <c r="AE99" i="2"/>
  <c r="AE63" i="2"/>
  <c r="AD81" i="2"/>
  <c r="AD97" i="2"/>
  <c r="AC43" i="2"/>
  <c r="AC82" i="2"/>
  <c r="AC15" i="2"/>
  <c r="AC42" i="2"/>
  <c r="AD62" i="2"/>
  <c r="AD70" i="2"/>
  <c r="AD86" i="2"/>
  <c r="AD31" i="2"/>
  <c r="AF62" i="2"/>
  <c r="AC22" i="2"/>
  <c r="AE78" i="2"/>
  <c r="AE31" i="2"/>
  <c r="AD75" i="2"/>
  <c r="AC76" i="2"/>
  <c r="AB66" i="2"/>
  <c r="AE46" i="2"/>
  <c r="AF97" i="2"/>
  <c r="AC59" i="2"/>
  <c r="AD61" i="2"/>
  <c r="AD109" i="2"/>
  <c r="AB11" i="2"/>
  <c r="AA21" i="1" s="1"/>
  <c r="AE60" i="2"/>
  <c r="AD67" i="2"/>
  <c r="AD83" i="2"/>
  <c r="AC88" i="2"/>
  <c r="AB74" i="2"/>
  <c r="AF11" i="2"/>
  <c r="AF46" i="2"/>
  <c r="AF54" i="2"/>
  <c r="AF8" i="2"/>
  <c r="AB67" i="2"/>
  <c r="AA145" i="1" s="1"/>
  <c r="AB75" i="2"/>
  <c r="AA167" i="1" s="1"/>
  <c r="AA169" i="1" s="1"/>
  <c r="AC93" i="2"/>
  <c r="AC61" i="2"/>
  <c r="AF64" i="2"/>
  <c r="AB104" i="2"/>
  <c r="AF76" i="2"/>
  <c r="AC7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28" i="2"/>
  <c r="AF74" i="2"/>
  <c r="AF90" i="2"/>
  <c r="AF110" i="2"/>
  <c r="AC110" i="2"/>
  <c r="AC27" i="2"/>
  <c r="AC54" i="2"/>
  <c r="AB30" i="2"/>
  <c r="AA47" i="1" s="1"/>
  <c r="AD94" i="2"/>
  <c r="AE66" i="2"/>
  <c r="AF14" i="2"/>
  <c r="AC16" i="2"/>
  <c r="AB82" i="2"/>
  <c r="AB98" i="2"/>
  <c r="AE9" i="2"/>
  <c r="AE98" i="2"/>
  <c r="AB27" i="2"/>
  <c r="AA40" i="1" s="1"/>
  <c r="AC9" i="2"/>
  <c r="AC33" i="2"/>
  <c r="AB57" i="2"/>
  <c r="AA163" i="1" s="1"/>
  <c r="AD82" i="2"/>
  <c r="AC34" i="2"/>
  <c r="AE84" i="2"/>
  <c r="AF30" i="2"/>
  <c r="AD99" i="2"/>
  <c r="AF27" i="2"/>
  <c r="AE10" i="2"/>
  <c r="AE49" i="2"/>
  <c r="AF24" i="2"/>
  <c r="AF43" i="2"/>
  <c r="AF53" i="2"/>
  <c r="AB68" i="2"/>
  <c r="AA144" i="1" s="1"/>
  <c r="AB7" i="2"/>
  <c r="AA17" i="1" s="1"/>
  <c r="AB15" i="2"/>
  <c r="AA31" i="1" s="1"/>
  <c r="AB23" i="2"/>
  <c r="AA43" i="1" s="1"/>
  <c r="AB31" i="2"/>
  <c r="AB42" i="2"/>
  <c r="AA126" i="1" s="1"/>
  <c r="AB50" i="2"/>
  <c r="AA157" i="1" s="1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40" i="1" s="1"/>
  <c r="AB71" i="2"/>
  <c r="AA148" i="1" s="1"/>
  <c r="AB79" i="2"/>
  <c r="AA154" i="1" s="1"/>
  <c r="AB87" i="2"/>
  <c r="AA134" i="1" s="1"/>
  <c r="AB95" i="2"/>
  <c r="AA179" i="1" s="1"/>
  <c r="AB107" i="2"/>
  <c r="AA86" i="1" s="1"/>
  <c r="AC109" i="2"/>
  <c r="AF34" i="2"/>
  <c r="AD63" i="2"/>
  <c r="AE25" i="2"/>
  <c r="AE52" i="2"/>
  <c r="AC67" i="2"/>
  <c r="AC79" i="2"/>
  <c r="AC91" i="2"/>
  <c r="AB16" i="2"/>
  <c r="AB51" i="2"/>
  <c r="AA158" i="1" s="1"/>
  <c r="AC47" i="2"/>
  <c r="AB76" i="2"/>
  <c r="AA152" i="1" s="1"/>
  <c r="AB92" i="2"/>
  <c r="AE19" i="2"/>
  <c r="AE79" i="2"/>
  <c r="AE107" i="2"/>
  <c r="AF68" i="2"/>
  <c r="AF84" i="2"/>
  <c r="AF104" i="2"/>
  <c r="AC62" i="2"/>
  <c r="AC86" i="2"/>
  <c r="AE50" i="2"/>
  <c r="AF78" i="2"/>
  <c r="AF94" i="2"/>
  <c r="AC32" i="2"/>
  <c r="AC80" i="2"/>
  <c r="AC108" i="2"/>
  <c r="AD69" i="2"/>
  <c r="AD85" i="2"/>
  <c r="AD105" i="2"/>
  <c r="AE65" i="2"/>
  <c r="AE89" i="2"/>
  <c r="AE83" i="2"/>
  <c r="AB70" i="2"/>
  <c r="AB106" i="2"/>
  <c r="AA85" i="1" s="1"/>
  <c r="AC66" i="2"/>
  <c r="AF60" i="2"/>
  <c r="AB96" i="2"/>
  <c r="AC20" i="2"/>
  <c r="AF88" i="2"/>
  <c r="AF108" i="2"/>
  <c r="AE93" i="2"/>
  <c r="AE32" i="2"/>
  <c r="AD40" i="2"/>
  <c r="AD56" i="2"/>
  <c r="AF65" i="2"/>
  <c r="AF73" i="2"/>
  <c r="AF81" i="2"/>
  <c r="AB12" i="2"/>
  <c r="AA23" i="1" s="1"/>
  <c r="AE33" i="2"/>
  <c r="AF19" i="2"/>
  <c r="AB59" i="2"/>
  <c r="AB83" i="2"/>
  <c r="AA172" i="1" s="1"/>
  <c r="AB99" i="2"/>
  <c r="AF18" i="2"/>
  <c r="AE40" i="2"/>
  <c r="AC85" i="2"/>
  <c r="AB32" i="2"/>
  <c r="AA53" i="1" s="1"/>
  <c r="AE42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6" i="2"/>
  <c r="AB36" i="2"/>
  <c r="AB64" i="2"/>
  <c r="AA141" i="1" s="1"/>
  <c r="AC26" i="2"/>
  <c r="AC53" i="2"/>
  <c r="AE68" i="2"/>
  <c r="AE80" i="2"/>
  <c r="AE92" i="2"/>
  <c r="AD19" i="2"/>
  <c r="AD54" i="2"/>
  <c r="AE69" i="2"/>
  <c r="AD45" i="2"/>
  <c r="AE8" i="2"/>
  <c r="AD5" i="2"/>
  <c r="AD21" i="2"/>
  <c r="AE23" i="2"/>
  <c r="AC94" i="2"/>
  <c r="AB19" i="2"/>
  <c r="AA30" i="1" s="1"/>
  <c r="AB46" i="2"/>
  <c r="AB54" i="2"/>
  <c r="AA161" i="1" s="1"/>
  <c r="AC21" i="2"/>
  <c r="AB6" i="2"/>
  <c r="AA16" i="1" s="1"/>
  <c r="AD66" i="2"/>
  <c r="AD98" i="2"/>
  <c r="AD50" i="2"/>
  <c r="AE72" i="2"/>
  <c r="AC99" i="2"/>
  <c r="AB62" i="2"/>
  <c r="AC36" i="2"/>
  <c r="AE73" i="2"/>
  <c r="AF35" i="2"/>
  <c r="AB91" i="2"/>
  <c r="AB84" i="2"/>
  <c r="AC98" i="2"/>
  <c r="AB9" i="2"/>
  <c r="AB17" i="2"/>
  <c r="AA29" i="1" s="1"/>
  <c r="AB25" i="2"/>
  <c r="AA44" i="1" s="1"/>
  <c r="AB33" i="2"/>
  <c r="AA54" i="1" s="1"/>
  <c r="AB44" i="2"/>
  <c r="AB52" i="2"/>
  <c r="AA159" i="1" s="1"/>
  <c r="AE6" i="2"/>
  <c r="AE18" i="2"/>
  <c r="AE30" i="2"/>
  <c r="AE45" i="2"/>
  <c r="AE57" i="2"/>
  <c r="AB18" i="2"/>
  <c r="AA33" i="1" s="1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7" i="2"/>
  <c r="AB86" i="2"/>
  <c r="AA143" i="1" s="1"/>
  <c r="AC90" i="2"/>
  <c r="AB24" i="2"/>
  <c r="AC64" i="2"/>
  <c r="AB80" i="2"/>
  <c r="AA155" i="1" s="1"/>
  <c r="AC51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51" i="1" s="1"/>
  <c r="AB81" i="2"/>
  <c r="AB89" i="2"/>
  <c r="AB97" i="2"/>
  <c r="AB109" i="2"/>
  <c r="AF10" i="2"/>
  <c r="AF45" i="2"/>
  <c r="AC6" i="2"/>
  <c r="AC30" i="2"/>
  <c r="AC57" i="2"/>
  <c r="AE70" i="2"/>
  <c r="AE82" i="2"/>
  <c r="AC95" i="2"/>
  <c r="AC84" i="2"/>
  <c r="AF72" i="2"/>
  <c r="AD53" i="2"/>
  <c r="AE20" i="2"/>
  <c r="AE47" i="2"/>
  <c r="AF89" i="2"/>
  <c r="AB47" i="2"/>
  <c r="AA132" i="1" s="1"/>
  <c r="AF66" i="2"/>
  <c r="AD90" i="2"/>
  <c r="AD15" i="2"/>
  <c r="AC10" i="2"/>
  <c r="AE61" i="2"/>
  <c r="AB90" i="2"/>
  <c r="AB110" i="2"/>
  <c r="AA75" i="1" s="1"/>
  <c r="AE22" i="2"/>
  <c r="AE106" i="2"/>
  <c r="AE67" i="2"/>
  <c r="AF92" i="2"/>
  <c r="AD10" i="2"/>
  <c r="AD18" i="2"/>
  <c r="AD26" i="2"/>
  <c r="AD34" i="2"/>
  <c r="AC83" i="2"/>
  <c r="AE87" i="2"/>
  <c r="AD89" i="2"/>
  <c r="AE97" i="2"/>
  <c r="AE3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E13" i="2"/>
  <c r="AC73" i="2"/>
  <c r="AE91" i="2"/>
  <c r="AC8" i="2"/>
  <c r="AA188" i="1" l="1"/>
  <c r="AA156" i="1"/>
  <c r="AA187" i="1"/>
  <c r="AA55" i="1"/>
  <c r="AA162" i="1"/>
  <c r="AA164" i="1" s="1"/>
  <c r="AA181" i="1"/>
  <c r="AA202" i="1"/>
  <c r="AA261" i="1"/>
  <c r="AA239" i="1"/>
  <c r="AA18" i="1"/>
  <c r="AA260" i="1"/>
  <c r="AA34" i="1"/>
  <c r="AA35" i="1" s="1"/>
  <c r="AA128" i="1"/>
  <c r="AA191" i="1"/>
  <c r="AA139" i="1"/>
  <c r="AA142" i="1" s="1"/>
  <c r="AA146" i="1" s="1"/>
  <c r="AA136" i="1"/>
  <c r="AA256" i="1"/>
  <c r="AA137" i="1"/>
  <c r="AA176" i="1"/>
  <c r="AA117" i="1" s="1"/>
  <c r="B1" i="9"/>
  <c r="AE111" i="2"/>
  <c r="AC111" i="2"/>
  <c r="AB112" i="2"/>
  <c r="AA81" i="1" s="1"/>
  <c r="AF111" i="2"/>
  <c r="AF113" i="2"/>
  <c r="AD112" i="2"/>
  <c r="AD111" i="2"/>
  <c r="AC112" i="2"/>
  <c r="AC113" i="2"/>
  <c r="AE112" i="2"/>
  <c r="AD113" i="2"/>
  <c r="AB113" i="2"/>
  <c r="AA82" i="1" s="1"/>
  <c r="AE113" i="2"/>
  <c r="AB111" i="2"/>
  <c r="A1" i="9"/>
  <c r="L1" i="9"/>
  <c r="AF112" i="2"/>
  <c r="AA190" i="1" l="1"/>
  <c r="AA165" i="1"/>
  <c r="AA193" i="1"/>
  <c r="AA192" i="1" s="1"/>
  <c r="AA45" i="1"/>
  <c r="AA24" i="1"/>
  <c r="AA106" i="1"/>
  <c r="AA252" i="1"/>
  <c r="AA254" i="1"/>
  <c r="AA41" i="1"/>
  <c r="AA183" i="1"/>
  <c r="AA189" i="1"/>
  <c r="AA8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K247" i="1"/>
  <c r="CK144" i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H160" i="1"/>
  <c r="CJ247" i="1"/>
  <c r="Z247" i="1"/>
  <c r="AA173" i="1" l="1"/>
  <c r="AA174" i="1" s="1"/>
  <c r="AA194" i="1"/>
  <c r="AA25" i="1"/>
  <c r="AA36" i="1"/>
  <c r="AA240" i="1"/>
  <c r="AA241" i="1" s="1"/>
  <c r="AA42" i="1"/>
  <c r="AA120" i="1"/>
  <c r="AA37" i="1"/>
  <c r="CI247" i="1"/>
  <c r="CG144" i="1"/>
  <c r="CG247" i="1"/>
  <c r="CH247" i="1"/>
  <c r="AB21" i="1"/>
  <c r="AC21" i="1"/>
  <c r="AD21" i="1"/>
  <c r="AE21" i="1"/>
  <c r="AB22" i="1"/>
  <c r="AC22" i="1"/>
  <c r="AD22" i="1"/>
  <c r="AE22" i="1"/>
  <c r="AB32" i="1"/>
  <c r="AC32" i="1"/>
  <c r="AD32" i="1"/>
  <c r="AE32" i="1"/>
  <c r="AB33" i="1"/>
  <c r="AC33" i="1"/>
  <c r="AD33" i="1"/>
  <c r="AE33" i="1"/>
  <c r="AB55" i="1"/>
  <c r="AC55" i="1"/>
  <c r="AD55" i="1"/>
  <c r="AE55" i="1"/>
  <c r="AB167" i="1"/>
  <c r="AC167" i="1"/>
  <c r="AD167" i="1"/>
  <c r="AE167" i="1"/>
  <c r="AB181" i="1"/>
  <c r="AC181" i="1"/>
  <c r="AD181" i="1"/>
  <c r="AE181" i="1"/>
  <c r="CE144" i="1"/>
  <c r="CE247" i="1"/>
  <c r="CF247" i="1"/>
  <c r="AI205" i="1"/>
  <c r="AI210" i="1"/>
  <c r="AI214" i="1"/>
  <c r="AI217" i="1"/>
  <c r="AI247" i="1"/>
  <c r="Y247" i="1"/>
  <c r="AM144" i="1"/>
  <c r="AO144" i="1"/>
  <c r="AQ144" i="1"/>
  <c r="AS144" i="1"/>
  <c r="AU144" i="1"/>
  <c r="AW144" i="1"/>
  <c r="AY144" i="1"/>
  <c r="BA144" i="1"/>
  <c r="BC144" i="1"/>
  <c r="BE144" i="1"/>
  <c r="BG144" i="1"/>
  <c r="BI144" i="1"/>
  <c r="BK144" i="1"/>
  <c r="BM144" i="1"/>
  <c r="BO144" i="1"/>
  <c r="BQ144" i="1"/>
  <c r="BS144" i="1"/>
  <c r="BU144" i="1"/>
  <c r="BW144" i="1"/>
  <c r="BY144" i="1"/>
  <c r="CA144" i="1"/>
  <c r="CC144" i="1"/>
  <c r="CD247" i="1"/>
  <c r="CC247" i="1"/>
  <c r="AJ247" i="1"/>
  <c r="AK247" i="1"/>
  <c r="AL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3" i="1" l="1"/>
  <c r="AA46" i="1"/>
  <c r="Y1" i="1"/>
  <c r="Z1" i="1" s="1"/>
  <c r="AA48" i="1" l="1"/>
  <c r="AA49" i="1"/>
  <c r="AA1" i="1"/>
  <c r="AB1" i="1" s="1"/>
  <c r="AC1" i="1" s="1"/>
  <c r="AD1" i="1" s="1"/>
  <c r="AE1" i="1" s="1"/>
  <c r="AA242" i="1" l="1"/>
  <c r="AA56" i="1"/>
  <c r="AA50" i="1"/>
  <c r="AA253" i="1" s="1"/>
  <c r="A1" i="3"/>
  <c r="AA60" i="1" l="1"/>
  <c r="AA201" i="1"/>
  <c r="AA203" i="1" s="1"/>
  <c r="AA62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3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F22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17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2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AA28" i="2"/>
  <c r="Z88" i="2"/>
  <c r="BD17" i="3"/>
  <c r="Y18" i="2"/>
  <c r="Z82" i="2"/>
  <c r="AA45" i="2"/>
  <c r="EY11" i="4" a="1"/>
  <c r="FF15" i="4" a="1"/>
  <c r="FB13" i="4" a="1"/>
  <c r="EY12" i="4" a="1"/>
  <c r="FE11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G40" i="3"/>
  <c r="BF17" i="3"/>
  <c r="CL29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AA59" i="2"/>
  <c r="EY14" i="4" a="1"/>
  <c r="FA16" i="4" a="1"/>
  <c r="FF6" i="4" a="1"/>
  <c r="FB11" i="4" a="1"/>
  <c r="EY16" i="4" a="1"/>
  <c r="EZ15" i="4" a="1"/>
  <c r="FC11" i="4" a="1"/>
  <c r="Z40" i="2"/>
  <c r="BC19" i="3"/>
  <c r="BA27" i="3"/>
  <c r="Y16" i="2"/>
  <c r="Z75" i="2"/>
  <c r="AA64" i="2"/>
  <c r="AA60" i="2"/>
  <c r="BD7" i="3"/>
  <c r="Y93" i="2"/>
  <c r="Z84" i="2"/>
  <c r="BB6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H27" i="3"/>
  <c r="BL41" i="3"/>
  <c r="BT8" i="3"/>
  <c r="BM25" i="3"/>
  <c r="BI41" i="3"/>
  <c r="BL18" i="3"/>
  <c r="BF35" i="3"/>
  <c r="CL54" i="1" s="1"/>
  <c r="BG11" i="3"/>
  <c r="BE28" i="3"/>
  <c r="BJ8" i="3"/>
  <c r="BF28" i="3"/>
  <c r="CL40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BC46" i="3"/>
  <c r="FC7" i="4" a="1"/>
  <c r="FF11" i="4" a="1"/>
  <c r="FA14" i="4" a="1"/>
  <c r="FD13" i="4" a="1"/>
  <c r="FD9" i="4" a="1"/>
  <c r="Z14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AA23" i="2"/>
  <c r="Y59" i="2"/>
  <c r="AA83" i="2"/>
  <c r="BA46" i="3"/>
  <c r="AA107" i="2"/>
  <c r="BD20" i="3"/>
  <c r="BB34" i="3"/>
  <c r="FC9" i="4" a="1"/>
  <c r="EZ14" i="4" a="1"/>
  <c r="FD12" i="4" a="1"/>
  <c r="FB9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0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M37" i="3"/>
  <c r="BN19" i="3"/>
  <c r="BN45" i="3"/>
  <c r="BM22" i="3"/>
  <c r="BH5" i="3"/>
  <c r="BH59" i="3" s="1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3" i="1" s="1"/>
  <c r="BH9" i="3"/>
  <c r="BJ28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BA13" i="3"/>
  <c r="AA67" i="2"/>
  <c r="Z60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1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9" i="1" s="1"/>
  <c r="BN10" i="3"/>
  <c r="BF30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AA91" i="2"/>
  <c r="AA11" i="2"/>
  <c r="Z91" i="2"/>
  <c r="Z15" i="2"/>
  <c r="BB14" i="3"/>
  <c r="C5" i="2"/>
  <c r="AA22" i="2"/>
  <c r="BD28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43" i="1" s="1"/>
  <c r="BG5" i="3"/>
  <c r="BK25" i="3"/>
  <c r="BF18" i="3"/>
  <c r="CL33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E31" i="3"/>
  <c r="BF7" i="3"/>
  <c r="BN23" i="3"/>
  <c r="BL40" i="3"/>
  <c r="BM16" i="3"/>
  <c r="BG33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2" i="3"/>
  <c r="BP33" i="3"/>
  <c r="BP13" i="3"/>
  <c r="BG8" i="3"/>
  <c r="BE13" i="3"/>
  <c r="BM17" i="3"/>
  <c r="BK22" i="3"/>
  <c r="BK36" i="3"/>
  <c r="BF15" i="3"/>
  <c r="CL32" i="1" s="1"/>
  <c r="BH34" i="3"/>
  <c r="BM14" i="3"/>
  <c r="BG35" i="3"/>
  <c r="BH15" i="3"/>
  <c r="BF14" i="3"/>
  <c r="CL31" i="1" s="1"/>
  <c r="BH33" i="3"/>
  <c r="BL25" i="3"/>
  <c r="BF24" i="3"/>
  <c r="BT9" i="3"/>
  <c r="BP14" i="3"/>
  <c r="BG32" i="3"/>
  <c r="BL8" i="3"/>
  <c r="BF25" i="3"/>
  <c r="CL44" i="1" s="1"/>
  <c r="BH42" i="3"/>
  <c r="BE18" i="3"/>
  <c r="BI34" i="3"/>
  <c r="BL35" i="3"/>
  <c r="Y13" i="2"/>
  <c r="AA19" i="2"/>
  <c r="AA77" i="2"/>
  <c r="Y10" i="2"/>
  <c r="Y72" i="2"/>
  <c r="Y32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47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I33" i="3"/>
  <c r="BN9" i="3"/>
  <c r="BH26" i="3"/>
  <c r="BF45" i="3"/>
  <c r="CL71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BQ10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8" i="1" s="1"/>
  <c r="CL34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A5" i="3"/>
  <c r="Z59" i="2"/>
  <c r="AA85" i="2"/>
  <c r="Y31" i="2"/>
  <c r="AA65" i="2"/>
  <c r="AA92" i="2"/>
  <c r="AA33" i="2"/>
  <c r="BD46" i="3"/>
  <c r="BA24" i="3"/>
  <c r="BD25" i="3"/>
  <c r="BA23" i="3"/>
  <c r="AA49" i="2"/>
  <c r="BB23" i="3"/>
  <c r="Z42" i="2"/>
  <c r="EY13" i="4" a="1"/>
  <c r="EX6" i="4" a="1"/>
  <c r="BQ16" i="3"/>
  <c r="BI10" i="3"/>
  <c r="BS30" i="3"/>
  <c r="BE9" i="3"/>
  <c r="BJ38" i="3"/>
  <c r="BG59" i="3"/>
  <c r="Z109" i="2"/>
  <c r="BC27" i="3"/>
  <c r="AA8" i="2"/>
  <c r="Z19" i="2"/>
  <c r="BA42" i="3"/>
  <c r="AA104" i="2"/>
  <c r="Y84" i="2"/>
  <c r="BC9" i="3"/>
  <c r="BA21" i="3"/>
  <c r="Y27" i="2"/>
  <c r="FE6" i="4" a="1"/>
  <c r="BQ22" i="3"/>
  <c r="BG31" i="3"/>
  <c r="BS38" i="3"/>
  <c r="BM13" i="3"/>
  <c r="BL9" i="3"/>
  <c r="AA105" i="2"/>
  <c r="BA22" i="3"/>
  <c r="AA30" i="2"/>
  <c r="AA58" i="2"/>
  <c r="BA41" i="3"/>
  <c r="Z35" i="2"/>
  <c r="Y81" i="2"/>
  <c r="BB8" i="3"/>
  <c r="BC22" i="3"/>
  <c r="Z97" i="2"/>
  <c r="BD40" i="3"/>
  <c r="Y53" i="2"/>
  <c r="FD15" i="4" a="1"/>
  <c r="FE9" i="4" a="1"/>
  <c r="EZ5" i="4" a="1"/>
  <c r="Y71" i="2"/>
  <c r="Y8" i="2"/>
  <c r="Y90" i="2"/>
  <c r="BD38" i="3"/>
  <c r="FB8" i="4" a="1"/>
  <c r="EZ13" i="4" a="1"/>
  <c r="AA34" i="2"/>
  <c r="Z90" i="2"/>
  <c r="Y79" i="2"/>
  <c r="Z7" i="2"/>
  <c r="FF5" i="4" a="1"/>
  <c r="Y41" i="2"/>
  <c r="BS12" i="3"/>
  <c r="BC40" i="3"/>
  <c r="BQ28" i="3"/>
  <c r="BN38" i="3"/>
  <c r="BT33" i="3"/>
  <c r="BK18" i="3"/>
  <c r="BT19" i="3"/>
  <c r="AA93" i="2"/>
  <c r="BD23" i="3"/>
  <c r="AA79" i="2"/>
  <c r="BC29" i="3"/>
  <c r="BA33" i="3"/>
  <c r="AA25" i="2"/>
  <c r="BC35" i="3"/>
  <c r="BC24" i="3"/>
  <c r="EX9" i="4" a="1"/>
  <c r="Z46" i="2"/>
  <c r="AA95" i="2"/>
  <c r="EX15" i="4" a="1"/>
  <c r="AA21" i="2"/>
  <c r="FE5" i="4" a="1"/>
  <c r="Z71" i="2"/>
  <c r="FA9" i="4" a="1"/>
  <c r="EZ12" i="4" a="1"/>
  <c r="Y86" i="2"/>
  <c r="Y63" i="2"/>
  <c r="FA11" i="4" a="1"/>
  <c r="BL29" i="3"/>
  <c r="Y45" i="2"/>
  <c r="EX11" i="4" a="1"/>
  <c r="Y68" i="2"/>
  <c r="FA5" i="4" a="1"/>
  <c r="BQ34" i="3"/>
  <c r="BV16" i="3"/>
  <c r="BG26" i="3"/>
  <c r="BI23" i="3"/>
  <c r="BP26" i="3"/>
  <c r="AB39" i="3"/>
  <c r="Z64" i="2"/>
  <c r="BB15" i="3"/>
  <c r="Z96" i="2"/>
  <c r="Z68" i="2"/>
  <c r="BD45" i="3"/>
  <c r="Y11" i="2"/>
  <c r="AA52" i="2"/>
  <c r="AA31" i="2"/>
  <c r="Y70" i="2"/>
  <c r="Y107" i="2"/>
  <c r="Y105" i="2"/>
  <c r="FF13" i="4" a="1"/>
  <c r="FC8" i="4" a="1"/>
  <c r="EZ7" i="4" a="1"/>
  <c r="EX12" i="4" a="1"/>
  <c r="Z47" i="2"/>
  <c r="BA35" i="3"/>
  <c r="Y7" i="2"/>
  <c r="Z56" i="2"/>
  <c r="FD14" i="4" a="1"/>
  <c r="EZ9" i="4" a="1"/>
  <c r="AA97" i="2"/>
  <c r="FA12" i="4" a="1"/>
  <c r="Z65" i="2"/>
  <c r="FC14" i="4" a="1"/>
  <c r="FD5" i="4" a="1"/>
  <c r="EY15" i="4" a="1"/>
  <c r="AA69" i="2"/>
  <c r="EY8" i="4" a="1"/>
  <c r="BD22" i="3"/>
  <c r="Z61" i="2"/>
  <c r="BH29" i="3"/>
  <c r="AA63" i="2"/>
  <c r="Y96" i="2"/>
  <c r="FE16" i="4" a="1"/>
  <c r="FC15" i="4" a="1"/>
  <c r="BQ40" i="3"/>
  <c r="BV22" i="3"/>
  <c r="BN7" i="3"/>
  <c r="BM39" i="3"/>
  <c r="BK34" i="3"/>
  <c r="AA55" i="2"/>
  <c r="BD32" i="3"/>
  <c r="Z44" i="2"/>
  <c r="Y78" i="2"/>
  <c r="Z24" i="2"/>
  <c r="EX13" i="4" a="1"/>
  <c r="AA43" i="2"/>
  <c r="EX7" i="4" a="1"/>
  <c r="Z41" i="2"/>
  <c r="BB36" i="3"/>
  <c r="FB7" i="4" a="1"/>
  <c r="BA38" i="3"/>
  <c r="FF16" i="4" a="1"/>
  <c r="BT20" i="3"/>
  <c r="AA66" i="2"/>
  <c r="BA32" i="3"/>
  <c r="BD27" i="3"/>
  <c r="BF9" i="3"/>
  <c r="AA9" i="2"/>
  <c r="BA8" i="3"/>
  <c r="FE7" i="4" a="1"/>
  <c r="BR5" i="3"/>
  <c r="BV28" i="3"/>
  <c r="BF31" i="3"/>
  <c r="BH18" i="3"/>
  <c r="BJ11" i="3"/>
  <c r="AA61" i="2"/>
  <c r="BD33" i="3"/>
  <c r="Z25" i="2"/>
  <c r="Y62" i="2"/>
  <c r="BA15" i="3"/>
  <c r="BC45" i="3"/>
  <c r="FD8" i="4" a="1"/>
  <c r="FE13" i="4" a="1"/>
  <c r="Z28" i="2"/>
  <c r="FC16" i="4" a="1"/>
  <c r="EY6" i="4" a="1"/>
  <c r="BA9" i="3"/>
  <c r="AA46" i="2"/>
  <c r="BD16" i="3"/>
  <c r="BR11" i="3"/>
  <c r="BV34" i="3"/>
  <c r="BK9" i="3"/>
  <c r="BN37" i="3"/>
  <c r="BJ27" i="3"/>
  <c r="AA24" i="2"/>
  <c r="BC18" i="3"/>
  <c r="Z107" i="2"/>
  <c r="AA86" i="2"/>
  <c r="BC28" i="3"/>
  <c r="BB46" i="3"/>
  <c r="AA98" i="2"/>
  <c r="Z105" i="2"/>
  <c r="BD14" i="3"/>
  <c r="BB33" i="3"/>
  <c r="BD34" i="3"/>
  <c r="EY9" i="4" a="1"/>
  <c r="BS18" i="3"/>
  <c r="BC7" i="3"/>
  <c r="Y69" i="2"/>
  <c r="BB29" i="3"/>
  <c r="BS41" i="3"/>
  <c r="BV40" i="3"/>
  <c r="BM30" i="3"/>
  <c r="BI18" i="3"/>
  <c r="BK5" i="3"/>
  <c r="AA17" i="2"/>
  <c r="BA31" i="3"/>
  <c r="Y42" i="2"/>
  <c r="Y98" i="2"/>
  <c r="BC14" i="3"/>
  <c r="AA108" i="2"/>
  <c r="AA84" i="2"/>
  <c r="BC31" i="3"/>
  <c r="Z87" i="2"/>
  <c r="Z27" i="2"/>
  <c r="BT6" i="3"/>
  <c r="BS6" i="3"/>
  <c r="BH37" i="3"/>
  <c r="BM38" i="3"/>
  <c r="BG21" i="3"/>
  <c r="AA72" i="2"/>
  <c r="BB17" i="3"/>
  <c r="Y44" i="2"/>
  <c r="Z79" i="2"/>
  <c r="BD6" i="3"/>
  <c r="Z57" i="2"/>
  <c r="AA96" i="2"/>
  <c r="BA14" i="3"/>
  <c r="FB16" i="4" a="1"/>
  <c r="BG37" i="3"/>
  <c r="Z23" i="2"/>
  <c r="Y66" i="2"/>
  <c r="BH17" i="3"/>
  <c r="EY7" i="4" a="1"/>
  <c r="BM29" i="3"/>
  <c r="Y46" i="2"/>
  <c r="BP21" i="3"/>
  <c r="FB14" i="4" a="1"/>
  <c r="BH28" i="3"/>
  <c r="BS24" i="3"/>
  <c r="BP7" i="3"/>
  <c r="BJ36" i="3"/>
  <c r="BH45" i="3"/>
  <c r="Y23" i="2"/>
  <c r="BB25" i="3"/>
  <c r="AA36" i="2"/>
  <c r="Y15" i="2"/>
  <c r="BA40" i="3"/>
  <c r="Z18" i="2"/>
  <c r="Y77" i="2"/>
  <c r="BB12" i="3"/>
  <c r="BB35" i="3"/>
  <c r="Z26" i="2"/>
  <c r="Y40" i="2"/>
  <c r="BB40" i="3"/>
  <c r="FA7" i="4" a="1"/>
  <c r="EZ16" i="4" a="1"/>
  <c r="FA13" i="4" a="1"/>
  <c r="BA30" i="3"/>
  <c r="AA57" i="2"/>
  <c r="BG66" i="3" l="1"/>
  <c r="CL16" i="1"/>
  <c r="CL55" i="1"/>
  <c r="CL239" i="1"/>
  <c r="CL261" i="1"/>
  <c r="CL202" i="1"/>
  <c r="CL260" i="1"/>
  <c r="CL73" i="1"/>
  <c r="CK72" i="1"/>
  <c r="CK17" i="1"/>
  <c r="CK22" i="1"/>
  <c r="CK43" i="1"/>
  <c r="CK33" i="1"/>
  <c r="CK71" i="1"/>
  <c r="CK54" i="1"/>
  <c r="CK55" i="1"/>
  <c r="CK29" i="1"/>
  <c r="CK47" i="1"/>
  <c r="CK21" i="1"/>
  <c r="CK30" i="1"/>
  <c r="CK40" i="1"/>
  <c r="CK16" i="1"/>
  <c r="CK18" i="1" s="1"/>
  <c r="CK23" i="1"/>
  <c r="CK44" i="1"/>
  <c r="CK32" i="1"/>
  <c r="CK28" i="1"/>
  <c r="CK59" i="1"/>
  <c r="CK31" i="1"/>
  <c r="CK53" i="1"/>
  <c r="Z55" i="1"/>
  <c r="CH53" i="1"/>
  <c r="CH23" i="1"/>
  <c r="X134" i="1"/>
  <c r="X162" i="1" s="1"/>
  <c r="Z130" i="1"/>
  <c r="CH130" i="1" s="1"/>
  <c r="CI130" i="1" s="1"/>
  <c r="Z31" i="1"/>
  <c r="Z163" i="1"/>
  <c r="CH163" i="1" s="1"/>
  <c r="CH47" i="1"/>
  <c r="CJ53" i="1"/>
  <c r="CJ17" i="1"/>
  <c r="X75" i="1"/>
  <c r="Y126" i="1"/>
  <c r="X55" i="1"/>
  <c r="Y29" i="1"/>
  <c r="X140" i="1"/>
  <c r="X125" i="1"/>
  <c r="Y125" i="1"/>
  <c r="Y17" i="1"/>
  <c r="Z179" i="1"/>
  <c r="Z86" i="1"/>
  <c r="Y158" i="1"/>
  <c r="Y140" i="1"/>
  <c r="X161" i="1"/>
  <c r="Y127" i="1"/>
  <c r="Y180" i="1"/>
  <c r="CI54" i="1"/>
  <c r="Y168" i="1"/>
  <c r="Z167" i="1"/>
  <c r="X33" i="1"/>
  <c r="CH40" i="1"/>
  <c r="CH202" i="1" s="1"/>
  <c r="CJ31" i="1"/>
  <c r="CI55" i="1"/>
  <c r="CJ32" i="1"/>
  <c r="CH43" i="1"/>
  <c r="CG44" i="1"/>
  <c r="X154" i="1"/>
  <c r="Y135" i="1"/>
  <c r="X86" i="1"/>
  <c r="Z44" i="1"/>
  <c r="Z172" i="1"/>
  <c r="CH172" i="1" s="1"/>
  <c r="CI172" i="1" s="1"/>
  <c r="X179" i="1"/>
  <c r="Y54" i="1"/>
  <c r="Z171" i="1"/>
  <c r="CH171" i="1" s="1"/>
  <c r="CI171" i="1" s="1"/>
  <c r="Y159" i="1"/>
  <c r="X159" i="1"/>
  <c r="X40" i="1"/>
  <c r="Z145" i="1"/>
  <c r="CH145" i="1" s="1"/>
  <c r="CI145" i="1" s="1"/>
  <c r="CH21" i="1"/>
  <c r="CG33" i="1"/>
  <c r="CJ29" i="1"/>
  <c r="Y40" i="1"/>
  <c r="Y148" i="1"/>
  <c r="Z127" i="1"/>
  <c r="CH127" i="1" s="1"/>
  <c r="CJ22" i="1"/>
  <c r="CG53" i="1"/>
  <c r="CG43" i="1"/>
  <c r="CI16" i="1"/>
  <c r="CG21" i="1"/>
  <c r="CG30" i="1"/>
  <c r="CH54" i="1"/>
  <c r="CH16" i="1"/>
  <c r="CH59" i="1"/>
  <c r="CG23" i="1"/>
  <c r="CJ44" i="1"/>
  <c r="CI53" i="1"/>
  <c r="CJ28" i="1"/>
  <c r="CN28" i="1" s="1"/>
  <c r="CR28" i="1" s="1"/>
  <c r="CV28" i="1" s="1"/>
  <c r="CZ28" i="1" s="1"/>
  <c r="X143" i="1"/>
  <c r="X139" i="1" s="1"/>
  <c r="Y134" i="1"/>
  <c r="Y162" i="1" s="1"/>
  <c r="Z43" i="1"/>
  <c r="Y53" i="1"/>
  <c r="X145" i="1"/>
  <c r="Y172" i="1"/>
  <c r="X17" i="1"/>
  <c r="X180" i="1"/>
  <c r="Z40" i="1"/>
  <c r="Z202" i="1" s="1"/>
  <c r="X135" i="1"/>
  <c r="X133" i="1"/>
  <c r="CI43" i="1"/>
  <c r="CH22" i="1"/>
  <c r="CI30" i="1"/>
  <c r="CH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G31" i="1"/>
  <c r="CJ40" i="1"/>
  <c r="CG22" i="1"/>
  <c r="Z54" i="1"/>
  <c r="Z159" i="1"/>
  <c r="CH159" i="1" s="1"/>
  <c r="X47" i="1"/>
  <c r="Z53" i="1"/>
  <c r="X153" i="1"/>
  <c r="Y130" i="1"/>
  <c r="X163" i="1"/>
  <c r="Z32" i="1"/>
  <c r="X130" i="1"/>
  <c r="Z141" i="1"/>
  <c r="CH141" i="1" s="1"/>
  <c r="CI141" i="1" s="1"/>
  <c r="Z148" i="1"/>
  <c r="AA210" i="1" s="1"/>
  <c r="Z23" i="1"/>
  <c r="X21" i="1"/>
  <c r="Y85" i="1"/>
  <c r="Y178" i="1"/>
  <c r="Z178" i="1"/>
  <c r="X132" i="1"/>
  <c r="Y59" i="1"/>
  <c r="Y33" i="1"/>
  <c r="Y167" i="1"/>
  <c r="Z126" i="1"/>
  <c r="CH126" i="1" s="1"/>
  <c r="CI126" i="1" s="1"/>
  <c r="Y43" i="1"/>
  <c r="Y163" i="1"/>
  <c r="Z87" i="1"/>
  <c r="Z151" i="1"/>
  <c r="CH151" i="1" s="1"/>
  <c r="Z135" i="1"/>
  <c r="CH135" i="1" s="1"/>
  <c r="CI135" i="1" s="1"/>
  <c r="Y151" i="1"/>
  <c r="Y16" i="1"/>
  <c r="Y239" i="1" s="1"/>
  <c r="CG54" i="1"/>
  <c r="CJ71" i="1"/>
  <c r="CI71" i="1" s="1"/>
  <c r="CH71" i="1" s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CH33" i="1"/>
  <c r="CH30" i="1"/>
  <c r="CJ54" i="1"/>
  <c r="CG40" i="1"/>
  <c r="CI59" i="1"/>
  <c r="CI47" i="1"/>
  <c r="CG59" i="1"/>
  <c r="CH31" i="1"/>
  <c r="CJ16" i="1"/>
  <c r="CI31" i="1"/>
  <c r="CJ23" i="1"/>
  <c r="CJ21" i="1"/>
  <c r="CG16" i="1"/>
  <c r="CG239" i="1" s="1"/>
  <c r="CI29" i="1"/>
  <c r="CH28" i="1"/>
  <c r="CP28" i="1" s="1"/>
  <c r="CT28" i="1" s="1"/>
  <c r="CX28" i="1" s="1"/>
  <c r="DB28" i="1" s="1"/>
  <c r="CI40" i="1"/>
  <c r="CI202" i="1" s="1"/>
  <c r="CG32" i="1"/>
  <c r="X168" i="1"/>
  <c r="Y144" i="1"/>
  <c r="Y31" i="1"/>
  <c r="Z125" i="1"/>
  <c r="X44" i="1"/>
  <c r="Y143" i="1"/>
  <c r="Y139" i="1" s="1"/>
  <c r="Y55" i="1"/>
  <c r="Y23" i="1"/>
  <c r="X148" i="1"/>
  <c r="Y30" i="1"/>
  <c r="X31" i="1"/>
  <c r="X157" i="1"/>
  <c r="X85" i="1"/>
  <c r="Y155" i="1"/>
  <c r="Y179" i="1"/>
  <c r="Z152" i="1"/>
  <c r="Z140" i="1"/>
  <c r="CH140" i="1" s="1"/>
  <c r="Y154" i="1"/>
  <c r="Z21" i="1"/>
  <c r="Z16" i="1"/>
  <c r="Y153" i="1"/>
  <c r="Z59" i="1"/>
  <c r="Z157" i="1"/>
  <c r="CH157" i="1" s="1"/>
  <c r="Z143" i="1"/>
  <c r="Y21" i="1"/>
  <c r="Y171" i="1"/>
  <c r="X54" i="1"/>
  <c r="X155" i="1"/>
  <c r="Z154" i="1"/>
  <c r="CH154" i="1" s="1"/>
  <c r="Z47" i="1"/>
  <c r="Y28" i="1"/>
  <c r="X171" i="1"/>
  <c r="Z133" i="1"/>
  <c r="CH133" i="1" s="1"/>
  <c r="CI133" i="1" s="1"/>
  <c r="X87" i="1"/>
  <c r="X30" i="1"/>
  <c r="X126" i="1"/>
  <c r="Y75" i="1"/>
  <c r="Z85" i="1"/>
  <c r="X29" i="1"/>
  <c r="X127" i="1"/>
  <c r="Y86" i="1"/>
  <c r="Z134" i="1"/>
  <c r="CH134" i="1" s="1"/>
  <c r="CI134" i="1" s="1"/>
  <c r="Y44" i="1"/>
  <c r="Y132" i="1"/>
  <c r="X16" i="1"/>
  <c r="X239" i="1" s="1"/>
  <c r="CI32" i="1"/>
  <c r="CJ47" i="1"/>
  <c r="CH32" i="1"/>
  <c r="CI22" i="1"/>
  <c r="CJ43" i="1"/>
  <c r="CI23" i="1"/>
  <c r="CI21" i="1"/>
  <c r="CG47" i="1"/>
  <c r="CG28" i="1"/>
  <c r="CH44" i="1"/>
  <c r="CI44" i="1"/>
  <c r="CI28" i="1"/>
  <c r="CM28" i="1" s="1"/>
  <c r="CQ28" i="1" s="1"/>
  <c r="CU28" i="1" s="1"/>
  <c r="CY28" i="1" s="1"/>
  <c r="CJ30" i="1"/>
  <c r="CJ33" i="1"/>
  <c r="CH29" i="1"/>
  <c r="CE47" i="1"/>
  <c r="CG55" i="1"/>
  <c r="CJ55" i="1"/>
  <c r="CG17" i="1"/>
  <c r="CG29" i="1"/>
  <c r="CI33" i="1"/>
  <c r="CJ59" i="1"/>
  <c r="CH17" i="1"/>
  <c r="CI17" i="1"/>
  <c r="Y150" i="1"/>
  <c r="X59" i="1"/>
  <c r="Z132" i="1"/>
  <c r="CH132" i="1" s="1"/>
  <c r="CI132" i="1" s="1"/>
  <c r="Y141" i="1"/>
  <c r="Y32" i="1"/>
  <c r="X53" i="1"/>
  <c r="Z180" i="1"/>
  <c r="X23" i="1"/>
  <c r="Y157" i="1"/>
  <c r="Z168" i="1"/>
  <c r="CH168" i="1" s="1"/>
  <c r="X150" i="1"/>
  <c r="Y161" i="1"/>
  <c r="Y47" i="1"/>
  <c r="Z17" i="1"/>
  <c r="Z158" i="1"/>
  <c r="CH158" i="1" s="1"/>
  <c r="Y87" i="1"/>
  <c r="X43" i="1"/>
  <c r="X144" i="1"/>
  <c r="Z144" i="1"/>
  <c r="CH144" i="1" s="1"/>
  <c r="CI144" i="1" s="1"/>
  <c r="Z155" i="1"/>
  <c r="CH155" i="1" s="1"/>
  <c r="X141" i="1"/>
  <c r="Z28" i="1"/>
  <c r="Z153" i="1"/>
  <c r="CH153" i="1" s="1"/>
  <c r="Z150" i="1"/>
  <c r="CH150" i="1" s="1"/>
  <c r="X167" i="1"/>
  <c r="X158" i="1"/>
  <c r="Y133" i="1"/>
  <c r="Z29" i="1"/>
  <c r="Z30" i="1"/>
  <c r="Z75" i="1"/>
  <c r="Z33" i="1"/>
  <c r="X152" i="1"/>
  <c r="Y145" i="1"/>
  <c r="Y152" i="1"/>
  <c r="X172" i="1"/>
  <c r="X32" i="1"/>
  <c r="X28" i="1"/>
  <c r="Z161" i="1"/>
  <c r="CH161" i="1" s="1"/>
  <c r="X151" i="1"/>
  <c r="X178" i="1"/>
  <c r="JP9" i="4" s="1"/>
  <c r="JP16" i="4" s="1"/>
  <c r="JO16" i="4" s="1"/>
  <c r="JO9" i="4" s="1"/>
  <c r="JN9" i="4" s="1"/>
  <c r="JN16" i="4" s="1"/>
  <c r="BK84" i="3"/>
  <c r="BE85" i="3"/>
  <c r="BK70" i="3"/>
  <c r="BF87" i="3"/>
  <c r="CL160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2" i="1" s="1"/>
  <c r="BU82" i="3"/>
  <c r="BU93" i="3"/>
  <c r="BR86" i="3"/>
  <c r="BR47" i="3"/>
  <c r="BR97" i="3"/>
  <c r="BV95" i="3"/>
  <c r="BV61" i="3"/>
  <c r="BV69" i="3"/>
  <c r="BT76" i="3"/>
  <c r="BP67" i="3"/>
  <c r="BF79" i="3"/>
  <c r="CL151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1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V48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H6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2" i="1" s="1"/>
  <c r="Y111" i="2"/>
  <c r="BO83" i="3"/>
  <c r="BS81" i="3"/>
  <c r="BG48" i="3"/>
  <c r="BL73" i="3"/>
  <c r="BE69" i="3"/>
  <c r="BI87" i="3"/>
  <c r="BM63" i="3"/>
  <c r="BF56" i="3"/>
  <c r="CL125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BH62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1" i="1" s="1"/>
  <c r="BF66" i="3"/>
  <c r="CL159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T4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7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8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4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8" i="1" s="1"/>
  <c r="BF82" i="3"/>
  <c r="CL153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2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BG7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8" i="1" s="1"/>
  <c r="BB65" i="3"/>
  <c r="BB74" i="3"/>
  <c r="BB78" i="3"/>
  <c r="BG77" i="3"/>
  <c r="BH68" i="3"/>
  <c r="BF88" i="3"/>
  <c r="CL135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U58" i="3"/>
  <c r="BK78" i="3"/>
  <c r="BH66" i="3"/>
  <c r="BM70" i="3"/>
  <c r="BG97" i="3"/>
  <c r="BI96" i="3"/>
  <c r="BQ73" i="3"/>
  <c r="BL94" i="3"/>
  <c r="BI70" i="3"/>
  <c r="BQ86" i="3"/>
  <c r="BR93" i="3"/>
  <c r="BN65" i="3"/>
  <c r="BO95" i="3"/>
  <c r="BS82" i="3"/>
  <c r="BU92" i="3"/>
  <c r="BR66" i="3"/>
  <c r="BV76" i="3"/>
  <c r="BT77" i="3"/>
  <c r="BT97" i="3"/>
  <c r="BN74" i="3"/>
  <c r="BP74" i="3"/>
  <c r="BO73" i="3"/>
  <c r="BS94" i="3"/>
  <c r="BL85" i="3"/>
  <c r="BI75" i="3"/>
  <c r="BF64" i="3"/>
  <c r="CL157" i="1" s="1"/>
  <c r="BJ70" i="3"/>
  <c r="BJ50" i="3"/>
  <c r="BK69" i="3"/>
  <c r="BK90" i="3"/>
  <c r="BK93" i="3"/>
  <c r="FN6" i="4" a="1"/>
  <c r="FQ7" i="4" a="1"/>
  <c r="GQ13" i="4" a="1"/>
  <c r="GE7" i="4" a="1"/>
  <c r="GR7" i="4" a="1"/>
  <c r="GC14" i="4" a="1"/>
  <c r="HB6" i="4" a="1"/>
  <c r="FJ9" i="4" a="1"/>
  <c r="GO9" i="4" a="1"/>
  <c r="FU8" i="4" a="1"/>
  <c r="HD5" i="4" a="1"/>
  <c r="FZ5" i="4" a="1"/>
  <c r="GL7" i="4" a="1"/>
  <c r="FV13" i="4" a="1"/>
  <c r="HH5" i="4" a="1"/>
  <c r="HG8" i="4" a="1"/>
  <c r="FR8" i="4" a="1"/>
  <c r="HA11" i="4" a="1"/>
  <c r="FI13" i="4" a="1"/>
  <c r="FK9" i="4" a="1"/>
  <c r="FX12" i="4" a="1"/>
  <c r="GH13" i="4" a="1"/>
  <c r="GO14" i="4" a="1"/>
  <c r="GG11" i="4" a="1"/>
  <c r="GU14" i="4" a="1"/>
  <c r="GX15" i="4" a="1"/>
  <c r="FX16" i="4" a="1"/>
  <c r="GX16" i="4" a="1"/>
  <c r="GP6" i="4" a="1"/>
  <c r="FM13" i="4" a="1"/>
  <c r="FT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48" i="3"/>
  <c r="BS56" i="3"/>
  <c r="BR84" i="3"/>
  <c r="BV58" i="3"/>
  <c r="BT96" i="3"/>
  <c r="BN57" i="3"/>
  <c r="BN71" i="3"/>
  <c r="BP82" i="3"/>
  <c r="BO60" i="3"/>
  <c r="BS58" i="3"/>
  <c r="BL50" i="3"/>
  <c r="BI77" i="3"/>
  <c r="BF62" i="3"/>
  <c r="CL132" i="1" s="1"/>
  <c r="BJ57" i="3"/>
  <c r="BK77" i="3"/>
  <c r="GT14" i="4" a="1"/>
  <c r="GW5" i="4" a="1"/>
  <c r="FT8" i="4" a="1"/>
  <c r="FW15" i="4" a="1"/>
  <c r="FX7" i="4" a="1"/>
  <c r="FI5" i="4" a="1"/>
  <c r="GS8" i="4" a="1"/>
  <c r="GU6" i="4" a="1"/>
  <c r="FG12" i="4" a="1"/>
  <c r="FP9" i="4" a="1"/>
  <c r="GM13" i="4" a="1"/>
  <c r="GR14" i="4" a="1"/>
  <c r="HF14" i="4" a="1"/>
  <c r="BL81" i="3"/>
  <c r="BC47" i="3"/>
  <c r="BM61" i="3"/>
  <c r="BH76" i="3"/>
  <c r="BB91" i="3"/>
  <c r="BH73" i="3"/>
  <c r="BL75" i="3"/>
  <c r="BI54" i="3"/>
  <c r="BQ74" i="3"/>
  <c r="BR57" i="3"/>
  <c r="BO63" i="3"/>
  <c r="BS71" i="3"/>
  <c r="BU94" i="3"/>
  <c r="BJ76" i="3"/>
  <c r="BK57" i="3"/>
  <c r="GL6" i="4" a="1"/>
  <c r="GB8" i="4" a="1"/>
  <c r="FH14" i="4" a="1"/>
  <c r="GZ9" i="4" a="1"/>
  <c r="FM6" i="4" a="1"/>
  <c r="FO9" i="4" a="1"/>
  <c r="FP14" i="4" a="1"/>
  <c r="GA6" i="4" a="1"/>
  <c r="GV9" i="4" a="1"/>
  <c r="FN9" i="4" a="1"/>
  <c r="FL13" i="4" a="1"/>
  <c r="GF12" i="4" a="1"/>
  <c r="GR11" i="4" a="1"/>
  <c r="GZ15" i="4" a="1"/>
  <c r="FZ16" i="4" a="1"/>
  <c r="HB16" i="4" a="1"/>
  <c r="GJ7" i="4" a="1"/>
  <c r="FX13" i="4" a="1"/>
  <c r="FX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L84" i="3"/>
  <c r="BC72" i="3"/>
  <c r="BM71" i="3"/>
  <c r="BE55" i="3"/>
  <c r="BB75" i="3"/>
  <c r="BH69" i="3"/>
  <c r="BL69" i="3"/>
  <c r="BI81" i="3"/>
  <c r="BQ97" i="3"/>
  <c r="BV64" i="3"/>
  <c r="BO66" i="3"/>
  <c r="BS80" i="3"/>
  <c r="BS50" i="3"/>
  <c r="BU97" i="3"/>
  <c r="BR90" i="3"/>
  <c r="BV74" i="3"/>
  <c r="BT64" i="3"/>
  <c r="BN86" i="3"/>
  <c r="BN96" i="3"/>
  <c r="BP85" i="3"/>
  <c r="BO86" i="3"/>
  <c r="BP55" i="3"/>
  <c r="BE54" i="3"/>
  <c r="BI60" i="3"/>
  <c r="BF57" i="3"/>
  <c r="CL126" i="1" s="1"/>
  <c r="BJ96" i="3"/>
  <c r="BJ61" i="3"/>
  <c r="BK83" i="3"/>
  <c r="BK92" i="3"/>
  <c r="FM5" i="4" a="1"/>
  <c r="GY6" i="4" a="1"/>
  <c r="GH9" i="4" a="1"/>
  <c r="GF14" i="4" a="1"/>
  <c r="HG6" i="4" a="1"/>
  <c r="GR8" i="4" a="1"/>
  <c r="GS9" i="4" a="1"/>
  <c r="GV7" i="4" a="1"/>
  <c r="GS5" i="4" a="1"/>
  <c r="FY5" i="4" a="1"/>
  <c r="FR6" i="4" a="1"/>
  <c r="FH9" i="4" a="1"/>
  <c r="FZ7" i="4" a="1"/>
  <c r="FJ6" i="4" a="1"/>
  <c r="GE6" i="4" a="1"/>
  <c r="FP7" i="4" a="1"/>
  <c r="GD11" i="4" a="1"/>
  <c r="GW9" i="4" a="1"/>
  <c r="FJ12" i="4" a="1"/>
  <c r="FY13" i="4" a="1"/>
  <c r="GA9" i="4" a="1"/>
  <c r="GK12" i="4" a="1"/>
  <c r="GU13" i="4" a="1"/>
  <c r="GW14" i="4" a="1"/>
  <c r="FK12" i="4" a="1"/>
  <c r="FP15" i="4" a="1"/>
  <c r="HB15" i="4" a="1"/>
  <c r="GD16" i="4" a="1"/>
  <c r="HD16" i="4" a="1"/>
  <c r="FV8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B93" i="3"/>
  <c r="BC93" i="3"/>
  <c r="Z112" i="2"/>
  <c r="HE7" i="4" a="1"/>
  <c r="GM14" i="4" a="1"/>
  <c r="GK16" i="4" a="1"/>
  <c r="BC70" i="3"/>
  <c r="BC91" i="3"/>
  <c r="BD71" i="3"/>
  <c r="FQ5" i="4" a="1"/>
  <c r="GB14" i="4" a="1"/>
  <c r="FT16" i="4" a="1"/>
  <c r="FN12" i="4" a="1"/>
  <c r="BA49" i="3"/>
  <c r="BM91" i="3"/>
  <c r="BF63" i="3"/>
  <c r="CL133" i="1" s="1"/>
  <c r="BF90" i="3"/>
  <c r="CL134" i="1" s="1"/>
  <c r="BB54" i="3"/>
  <c r="BH67" i="3"/>
  <c r="BL61" i="3"/>
  <c r="BI85" i="3"/>
  <c r="BQ67" i="3"/>
  <c r="BV56" i="3"/>
  <c r="BO76" i="3"/>
  <c r="BS88" i="3"/>
  <c r="BF91" i="3"/>
  <c r="CL162" i="1" s="1"/>
  <c r="BU65" i="3"/>
  <c r="BR94" i="3"/>
  <c r="BV82" i="3"/>
  <c r="BT78" i="3"/>
  <c r="BN95" i="3"/>
  <c r="BN72" i="3"/>
  <c r="BF55" i="3"/>
  <c r="BO64" i="3"/>
  <c r="BP63" i="3"/>
  <c r="BE89" i="3"/>
  <c r="BI91" i="3"/>
  <c r="BF72" i="3"/>
  <c r="CL143" i="1" s="1"/>
  <c r="BJ95" i="3"/>
  <c r="BJ65" i="3"/>
  <c r="BK75" i="3"/>
  <c r="BK56" i="3"/>
  <c r="FS5" i="4" a="1"/>
  <c r="GS7" i="4" a="1"/>
  <c r="GX9" i="4" a="1"/>
  <c r="FR15" i="4" a="1"/>
  <c r="GC7" i="4" a="1"/>
  <c r="GP9" i="4" a="1"/>
  <c r="FG5" i="4" a="1"/>
  <c r="GC8" i="4" a="1"/>
  <c r="GK5" i="4" a="1"/>
  <c r="FT5" i="4" a="1"/>
  <c r="FK7" i="4" a="1"/>
  <c r="FI12" i="4" a="1"/>
  <c r="HC7" i="4" a="1"/>
  <c r="FX8" i="4" a="1"/>
  <c r="FZ8" i="4" a="1"/>
  <c r="FJ8" i="4" a="1"/>
  <c r="GO6" i="4" a="1"/>
  <c r="HE9" i="4" a="1"/>
  <c r="FO12" i="4" a="1"/>
  <c r="GB13" i="4" a="1"/>
  <c r="GF9" i="4" a="1"/>
  <c r="GN12" i="4" a="1"/>
  <c r="GX13" i="4" a="1"/>
  <c r="GZ14" i="4" a="1"/>
  <c r="FV12" i="4" a="1"/>
  <c r="FS15" i="4" a="1"/>
  <c r="HD15" i="4" a="1"/>
  <c r="GF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A65" i="3"/>
  <c r="GF5" i="4" a="1"/>
  <c r="GG12" i="4" a="1"/>
  <c r="GZ5" i="4" a="1"/>
  <c r="GD9" i="4" a="1"/>
  <c r="FS7" i="4" a="1"/>
  <c r="FK11" i="4" a="1"/>
  <c r="GG13" i="4" a="1"/>
  <c r="GS12" i="4" a="1"/>
  <c r="HC13" i="4" a="1"/>
  <c r="GC15" i="4" a="1"/>
  <c r="HH15" i="4" a="1"/>
  <c r="FV9" i="4" a="1"/>
  <c r="FK14" i="4" a="1"/>
  <c r="GW11" i="4" a="1"/>
  <c r="GO15" i="4" a="1"/>
  <c r="BC90" i="3"/>
  <c r="HH11" i="4" a="1"/>
  <c r="FM16" i="4" a="1"/>
  <c r="BD87" i="3"/>
  <c r="GE14" i="4" a="1"/>
  <c r="HA15" i="4" a="1"/>
  <c r="GY12" i="4" a="1"/>
  <c r="HG13" i="4" a="1"/>
  <c r="GZ12" i="4" a="1"/>
  <c r="GJ8" i="4" a="1"/>
  <c r="FU12" i="4" a="1"/>
  <c r="GG14" i="4" a="1"/>
  <c r="GT15" i="4" a="1"/>
  <c r="GV16" i="4" a="1"/>
  <c r="GD8" i="4" a="1"/>
  <c r="FY16" i="4" a="1"/>
  <c r="GW16" i="4" a="1"/>
  <c r="BC63" i="3"/>
  <c r="BD47" i="3"/>
  <c r="BD68" i="3"/>
  <c r="Y113" i="2"/>
  <c r="BA68" i="3"/>
  <c r="BM64" i="3"/>
  <c r="BF60" i="3"/>
  <c r="CL130" i="1" s="1"/>
  <c r="BP86" i="3"/>
  <c r="BA80" i="3"/>
  <c r="BH88" i="3"/>
  <c r="BE86" i="3"/>
  <c r="BI76" i="3"/>
  <c r="BQ64" i="3"/>
  <c r="BV77" i="3"/>
  <c r="BO80" i="3"/>
  <c r="BS68" i="3"/>
  <c r="BU49" i="3"/>
  <c r="BR81" i="3"/>
  <c r="BR73" i="3"/>
  <c r="BV86" i="3"/>
  <c r="BT79" i="3"/>
  <c r="BN59" i="3"/>
  <c r="BN63" i="3"/>
  <c r="BF48" i="3"/>
  <c r="BO78" i="3"/>
  <c r="BG82" i="3"/>
  <c r="BE58" i="3"/>
  <c r="BM75" i="3"/>
  <c r="BF70" i="3"/>
  <c r="CL141" i="1" s="1"/>
  <c r="BJ89" i="3"/>
  <c r="BJ67" i="3"/>
  <c r="BK59" i="3"/>
  <c r="BK95" i="3"/>
  <c r="GC5" i="4" a="1"/>
  <c r="FO8" i="4" a="1"/>
  <c r="HH9" i="4" a="1"/>
  <c r="FT7" i="4" a="1"/>
  <c r="HA7" i="4" a="1"/>
  <c r="HB9" i="4" a="1"/>
  <c r="FU5" i="4" a="1"/>
  <c r="GM8" i="4" a="1"/>
  <c r="FH8" i="4" a="1"/>
  <c r="HG7" i="4" a="1"/>
  <c r="GV8" i="4" a="1"/>
  <c r="GA8" i="4" a="1"/>
  <c r="FR12" i="4" a="1"/>
  <c r="GL11" i="4" a="1"/>
  <c r="HE14" i="4" a="1"/>
  <c r="HB12" i="4" a="1"/>
  <c r="GH16" i="4" a="1"/>
  <c r="HH16" i="4" a="1"/>
  <c r="FM11" i="4" a="1"/>
  <c r="GH14" i="4" a="1"/>
  <c r="FK16" i="4" a="1"/>
  <c r="GI16" i="4" a="1"/>
  <c r="HG16" i="4" a="1"/>
  <c r="BC88" i="3"/>
  <c r="BD74" i="3"/>
  <c r="BD96" i="3"/>
  <c r="GF15" i="4" a="1"/>
  <c r="FH16" i="4" a="1"/>
  <c r="GJ16" i="4" a="1"/>
  <c r="GQ9" i="4" a="1"/>
  <c r="FV14" i="4" a="1"/>
  <c r="GD12" i="4" a="1"/>
  <c r="GQ15" i="4" a="1"/>
  <c r="GL8" i="4" a="1"/>
  <c r="BC81" i="3"/>
  <c r="BA82" i="3"/>
  <c r="BP70" i="3"/>
  <c r="BB92" i="3"/>
  <c r="BD62" i="3"/>
  <c r="BA79" i="3"/>
  <c r="BH84" i="3"/>
  <c r="BE93" i="3"/>
  <c r="BF92" i="3"/>
  <c r="CL163" i="1" s="1"/>
  <c r="BQ83" i="3"/>
  <c r="BV83" i="3"/>
  <c r="BO50" i="3"/>
  <c r="BS75" i="3"/>
  <c r="BU56" i="3"/>
  <c r="BR88" i="3"/>
  <c r="BR83" i="3"/>
  <c r="BV55" i="3"/>
  <c r="BT81" i="3"/>
  <c r="BN80" i="3"/>
  <c r="BN69" i="3"/>
  <c r="BF75" i="3"/>
  <c r="BS62" i="3"/>
  <c r="BG68" i="3"/>
  <c r="BE91" i="3"/>
  <c r="BM47" i="3"/>
  <c r="BF50" i="3"/>
  <c r="CL82" i="1" s="1"/>
  <c r="BJ93" i="3"/>
  <c r="BJ71" i="3"/>
  <c r="BK67" i="3"/>
  <c r="BK54" i="3"/>
  <c r="FL5" i="4" a="1"/>
  <c r="GK8" i="4" a="1"/>
  <c r="FR11" i="4" a="1"/>
  <c r="FY9" i="4" a="1"/>
  <c r="FS8" i="4" a="1"/>
  <c r="GB11" i="4" a="1"/>
  <c r="GG5" i="4" a="1"/>
  <c r="GX5" i="4" a="1"/>
  <c r="GH11" i="4" a="1"/>
  <c r="FP6" i="4" a="1"/>
  <c r="FW9" i="4" a="1"/>
  <c r="GD13" i="4" a="1"/>
  <c r="FV6" i="4" a="1"/>
  <c r="GR9" i="4" a="1"/>
  <c r="FK5" i="4" a="1"/>
  <c r="HA8" i="4" a="1"/>
  <c r="FS9" i="4" a="1"/>
  <c r="FO11" i="4" a="1"/>
  <c r="GE12" i="4" a="1"/>
  <c r="GJ13" i="4" a="1"/>
  <c r="GQ11" i="4" a="1"/>
  <c r="HD12" i="4" a="1"/>
  <c r="HF13" i="4" a="1"/>
  <c r="HH14" i="4" a="1"/>
  <c r="FU13" i="4" a="1"/>
  <c r="BA58" i="3"/>
  <c r="BP71" i="3"/>
  <c r="BB95" i="3"/>
  <c r="BD94" i="3"/>
  <c r="BA47" i="3"/>
  <c r="BH48" i="3"/>
  <c r="BE60" i="3"/>
  <c r="BF94" i="3"/>
  <c r="BQ69" i="3"/>
  <c r="BV85" i="3"/>
  <c r="BO57" i="3"/>
  <c r="BS65" i="3"/>
  <c r="BU67" i="3"/>
  <c r="BR48" i="3"/>
  <c r="BR87" i="3"/>
  <c r="BV70" i="3"/>
  <c r="BT82" i="3"/>
  <c r="BN50" i="3"/>
  <c r="BN73" i="3"/>
  <c r="AA112" i="2"/>
  <c r="BS66" i="3"/>
  <c r="BG62" i="3"/>
  <c r="BE59" i="3"/>
  <c r="BM54" i="3"/>
  <c r="BJ82" i="3"/>
  <c r="BJ97" i="3"/>
  <c r="BJ77" i="3"/>
  <c r="BK58" i="3"/>
  <c r="BK97" i="3"/>
  <c r="FP5" i="4" a="1"/>
  <c r="FI6" i="4" a="1"/>
  <c r="FZ11" i="4" a="1"/>
  <c r="GA5" i="4" a="1"/>
  <c r="GE8" i="4" a="1"/>
  <c r="FX9" i="4" a="1"/>
  <c r="FX5" i="4" a="1"/>
  <c r="FV7" i="4" a="1"/>
  <c r="HF11" i="4" a="1"/>
  <c r="GP7" i="4" a="1"/>
  <c r="HA5" i="4" a="1"/>
  <c r="GV14" i="4" a="1"/>
  <c r="GT6" i="4" a="1"/>
  <c r="GF11" i="4" a="1"/>
  <c r="FW5" i="4" a="1"/>
  <c r="GW6" i="4" a="1"/>
  <c r="GP11" i="4" a="1"/>
  <c r="FS11" i="4" a="1"/>
  <c r="GH12" i="4" a="1"/>
  <c r="GO13" i="4" a="1"/>
  <c r="GT11" i="4" a="1"/>
  <c r="FG13" i="4" a="1"/>
  <c r="FI14" i="4" a="1"/>
  <c r="FY7" i="4" a="1"/>
  <c r="GF13" i="4" a="1"/>
  <c r="GJ15" i="4" a="1"/>
  <c r="FJ16" i="4" a="1"/>
  <c r="GL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Y9" i="4" a="1"/>
  <c r="BC95" i="3"/>
  <c r="BC61" i="3"/>
  <c r="BC76" i="3"/>
  <c r="BD97" i="3"/>
  <c r="BD66" i="3"/>
  <c r="BC66" i="3"/>
  <c r="BD80" i="3"/>
  <c r="GM7" i="4" a="1"/>
  <c r="GS11" i="4" a="1"/>
  <c r="FN7" i="4" a="1"/>
  <c r="FP12" i="4" a="1"/>
  <c r="HC9" i="4" a="1"/>
  <c r="GD14" i="4" a="1"/>
  <c r="FI15" i="4" a="1"/>
  <c r="FU15" i="4" a="1"/>
  <c r="FW16" i="4" a="1"/>
  <c r="BC73" i="3"/>
  <c r="FN5" i="4" a="1"/>
  <c r="GV11" i="4" a="1"/>
  <c r="GE13" i="4" a="1"/>
  <c r="BA92" i="3"/>
  <c r="BG88" i="3"/>
  <c r="BB85" i="3"/>
  <c r="BU55" i="3"/>
  <c r="BA57" i="3"/>
  <c r="BL55" i="3"/>
  <c r="BE87" i="3"/>
  <c r="BF78" i="3"/>
  <c r="CL150" i="1" s="1"/>
  <c r="BQ96" i="3"/>
  <c r="BT50" i="3"/>
  <c r="BO62" i="3"/>
  <c r="BS95" i="3"/>
  <c r="BU69" i="3"/>
  <c r="BR78" i="3"/>
  <c r="BV54" i="3"/>
  <c r="BV97" i="3"/>
  <c r="BT83" i="3"/>
  <c r="BN93" i="3"/>
  <c r="BN83" i="3"/>
  <c r="AA113" i="2"/>
  <c r="BS67" i="3"/>
  <c r="BH97" i="3"/>
  <c r="BE67" i="3"/>
  <c r="BM85" i="3"/>
  <c r="BJ84" i="3"/>
  <c r="BJ91" i="3"/>
  <c r="BJ79" i="3"/>
  <c r="BK85" i="3"/>
  <c r="BK47" i="3"/>
  <c r="GQ5" i="4" a="1"/>
  <c r="FG6" i="4" a="1"/>
  <c r="FZ6" i="4" a="1"/>
  <c r="FH5" i="4" a="1"/>
  <c r="HC8" i="4" a="1"/>
  <c r="GU11" i="4" a="1"/>
  <c r="FH6" i="4" a="1"/>
  <c r="HF8" i="4" a="1"/>
  <c r="GW12" i="4" a="1"/>
  <c r="FI8" i="4" a="1"/>
  <c r="GW7" i="4" a="1"/>
  <c r="FZ15" i="4" a="1"/>
  <c r="GF7" i="4" a="1"/>
  <c r="GZ6" i="4" a="1"/>
  <c r="FR5" i="4" a="1"/>
  <c r="HB7" i="4" a="1"/>
  <c r="GR12" i="4" a="1"/>
  <c r="FW11" i="4" a="1"/>
  <c r="GM12" i="4" a="1"/>
  <c r="GW13" i="4" a="1"/>
  <c r="GY11" i="4" a="1"/>
  <c r="FJ13" i="4" a="1"/>
  <c r="FL14" i="4" a="1"/>
  <c r="FN8" i="4" a="1"/>
  <c r="HA13" i="4" a="1"/>
  <c r="GL15" i="4" a="1"/>
  <c r="FL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BA60" i="3"/>
  <c r="BG50" i="3"/>
  <c r="BB63" i="3"/>
  <c r="BU61" i="3"/>
  <c r="BD92" i="3"/>
  <c r="BL66" i="3"/>
  <c r="BE57" i="3"/>
  <c r="BF49" i="3"/>
  <c r="CL81" i="1" s="1"/>
  <c r="BQ95" i="3"/>
  <c r="BT94" i="3"/>
  <c r="BO67" i="3"/>
  <c r="BS97" i="3"/>
  <c r="BU80" i="3"/>
  <c r="BR76" i="3"/>
  <c r="BV57" i="3"/>
  <c r="BV87" i="3"/>
  <c r="BT85" i="3"/>
  <c r="BN75" i="3"/>
  <c r="BN85" i="3"/>
  <c r="Y112" i="2"/>
  <c r="BS70" i="3"/>
  <c r="BH93" i="3"/>
  <c r="BE73" i="3"/>
  <c r="BM58" i="3"/>
  <c r="BJ47" i="3"/>
  <c r="BJ54" i="3"/>
  <c r="BJ81" i="3"/>
  <c r="BK80" i="3"/>
  <c r="BK96" i="3"/>
  <c r="HG5" i="4" a="1"/>
  <c r="HH6" i="4" a="1"/>
  <c r="HE8" i="4" a="1"/>
  <c r="FV5" i="4" a="1"/>
  <c r="HC5" i="4" a="1"/>
  <c r="FQ12" i="4" a="1"/>
  <c r="GF6" i="4" a="1"/>
  <c r="GB9" i="4" a="1"/>
  <c r="FS13" i="4" a="1"/>
  <c r="HE5" i="4" a="1"/>
  <c r="GF8" i="4" a="1"/>
  <c r="GZ7" i="4" a="1"/>
  <c r="FG8" i="4" a="1"/>
  <c r="GY7" i="4" a="1"/>
  <c r="GD5" i="4" a="1"/>
  <c r="FT9" i="4" a="1"/>
  <c r="FN13" i="4" a="1"/>
  <c r="GK11" i="4" a="1"/>
  <c r="GP12" i="4" a="1"/>
  <c r="GZ13" i="4" a="1"/>
  <c r="FH12" i="4" a="1"/>
  <c r="FO13" i="4" a="1"/>
  <c r="FT14" i="4" a="1"/>
  <c r="GT8" i="4" a="1"/>
  <c r="FO14" i="4" a="1"/>
  <c r="GN15" i="4" a="1"/>
  <c r="FN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GN9" i="4" a="1"/>
  <c r="FU6" i="4" a="1"/>
  <c r="GM9" i="4" a="1"/>
  <c r="GL13" i="4" a="1"/>
  <c r="GN11" i="4" a="1"/>
  <c r="GU12" i="4" a="1"/>
  <c r="HE6" i="4" a="1"/>
  <c r="FM12" i="4" a="1"/>
  <c r="FR13" i="4" a="1"/>
  <c r="FY14" i="4" a="1"/>
  <c r="FQ9" i="4" a="1"/>
  <c r="FZ14" i="4" a="1"/>
  <c r="GP15" i="4" a="1"/>
  <c r="FP16" i="4" a="1"/>
  <c r="GR16" i="4" a="1"/>
  <c r="FN14" i="4" a="1"/>
  <c r="HE11" i="4" a="1"/>
  <c r="HB14" i="4" a="1"/>
  <c r="FY15" i="4" a="1"/>
  <c r="FP13" i="4" a="1"/>
  <c r="FQ15" i="4" a="1"/>
  <c r="GY15" i="4" a="1"/>
  <c r="FU16" i="4" a="1"/>
  <c r="GS16" i="4" a="1"/>
  <c r="GZ11" i="4" a="1"/>
  <c r="BC75" i="3"/>
  <c r="BC62" i="3"/>
  <c r="BD65" i="3"/>
  <c r="HC11" i="4" a="1"/>
  <c r="GT16" i="4" a="1"/>
  <c r="HF6" i="4" a="1"/>
  <c r="GK13" i="4" a="1"/>
  <c r="BC89" i="3"/>
  <c r="BD64" i="3"/>
  <c r="FX11" i="4" a="1"/>
  <c r="FM8" i="4" a="1"/>
  <c r="FQ11" i="4" a="1"/>
  <c r="FV16" i="4" a="1"/>
  <c r="GT12" i="4" a="1"/>
  <c r="FM15" i="4" a="1"/>
  <c r="GV13" i="4" a="1"/>
  <c r="HC15" i="4" a="1"/>
  <c r="BC86" i="3"/>
  <c r="BD91" i="3"/>
  <c r="BP88" i="3"/>
  <c r="BG85" i="3"/>
  <c r="BB89" i="3"/>
  <c r="BI83" i="3"/>
  <c r="BD50" i="3"/>
  <c r="BL68" i="3"/>
  <c r="BE92" i="3"/>
  <c r="BF85" i="3"/>
  <c r="CL155" i="1" s="1"/>
  <c r="BU87" i="3"/>
  <c r="BT91" i="3"/>
  <c r="BO70" i="3"/>
  <c r="BS96" i="3"/>
  <c r="BU86" i="3"/>
  <c r="BR60" i="3"/>
  <c r="BV72" i="3"/>
  <c r="BV66" i="3"/>
  <c r="BT89" i="3"/>
  <c r="BN58" i="3"/>
  <c r="BP95" i="3"/>
  <c r="BO47" i="3"/>
  <c r="BS76" i="3"/>
  <c r="BH91" i="3"/>
  <c r="BI65" i="3"/>
  <c r="BM83" i="3"/>
  <c r="BJ58" i="3"/>
  <c r="BJ55" i="3"/>
  <c r="BJ83" i="3"/>
  <c r="BK60" i="3"/>
  <c r="BK63" i="3"/>
  <c r="GN6" i="4" a="1"/>
  <c r="GQ7" i="4" a="1"/>
  <c r="GX11" i="4" a="1"/>
  <c r="GH5" i="4" a="1"/>
  <c r="GG6" i="4" a="1"/>
  <c r="GO12" i="4" a="1"/>
  <c r="FW7" i="4" a="1"/>
  <c r="GM6" i="4" a="1"/>
  <c r="FU14" i="4" a="1"/>
  <c r="GD6" i="4" a="1"/>
  <c r="FZ9" i="4" a="1"/>
  <c r="FI9" i="4" a="1"/>
  <c r="GI8" i="4" a="1"/>
  <c r="BP64" i="3"/>
  <c r="BG91" i="3"/>
  <c r="BB67" i="3"/>
  <c r="BI89" i="3"/>
  <c r="BQ47" i="3"/>
  <c r="BL62" i="3"/>
  <c r="BE97" i="3"/>
  <c r="BQ93" i="3"/>
  <c r="BR62" i="3"/>
  <c r="BT90" i="3"/>
  <c r="BO87" i="3"/>
  <c r="BS92" i="3"/>
  <c r="BU83" i="3"/>
  <c r="BR75" i="3"/>
  <c r="BV93" i="3"/>
  <c r="BT67" i="3"/>
  <c r="BT48" i="3"/>
  <c r="BN60" i="3"/>
  <c r="BP90" i="3"/>
  <c r="BO85" i="3"/>
  <c r="BS79" i="3"/>
  <c r="BH89" i="3"/>
  <c r="BI71" i="3"/>
  <c r="BM89" i="3"/>
  <c r="BJ60" i="3"/>
  <c r="BJ92" i="3"/>
  <c r="BJ85" i="3"/>
  <c r="BK76" i="3"/>
  <c r="BK71" i="3"/>
  <c r="HF7" i="4" a="1"/>
  <c r="FG9" i="4" a="1"/>
  <c r="HE12" i="4" a="1"/>
  <c r="HB5" i="4" a="1"/>
  <c r="GJ9" i="4" a="1"/>
  <c r="FK13" i="4" a="1"/>
  <c r="FK6" i="4" a="1"/>
  <c r="GB7" i="4" a="1"/>
  <c r="FI7" i="4" a="1"/>
  <c r="FH7" i="4" a="1"/>
  <c r="FP11" i="4" a="1"/>
  <c r="FT6" i="4" a="1"/>
  <c r="FL7" i="4" a="1"/>
  <c r="FM14" i="4" a="1"/>
  <c r="HC12" i="4" a="1"/>
  <c r="FZ13" i="4" a="1"/>
  <c r="GR15" i="4" a="1"/>
  <c r="GU16" i="4" a="1"/>
  <c r="BC80" i="3"/>
  <c r="BD69" i="3"/>
  <c r="GP8" i="4" a="1"/>
  <c r="BK64" i="3"/>
  <c r="BH86" i="3"/>
  <c r="BM93" i="3"/>
  <c r="BG93" i="3"/>
  <c r="BI84" i="3"/>
  <c r="BQ60" i="3"/>
  <c r="BL92" i="3"/>
  <c r="BI62" i="3"/>
  <c r="BQ70" i="3"/>
  <c r="BR92" i="3"/>
  <c r="BN92" i="3"/>
  <c r="BO90" i="3"/>
  <c r="BS86" i="3"/>
  <c r="BU91" i="3"/>
  <c r="BR95" i="3"/>
  <c r="BV68" i="3"/>
  <c r="BT72" i="3"/>
  <c r="BT95" i="3"/>
  <c r="BN62" i="3"/>
  <c r="BP75" i="3"/>
  <c r="BO56" i="3"/>
  <c r="BS87" i="3"/>
  <c r="BL95" i="3"/>
  <c r="BI56" i="3"/>
  <c r="BF58" i="3"/>
  <c r="CL127" i="1" s="1"/>
  <c r="BJ68" i="3"/>
  <c r="BJ94" i="3"/>
  <c r="BK81" i="3"/>
  <c r="BK86" i="3"/>
  <c r="BK89" i="3"/>
  <c r="GR5" i="4" a="1"/>
  <c r="GH6" i="4" a="1"/>
  <c r="GA13" i="4" a="1"/>
  <c r="HD6" i="4" a="1"/>
  <c r="GX6" i="4" a="1"/>
  <c r="GI6" i="4" a="1"/>
  <c r="GN8" i="4" a="1"/>
  <c r="HD7" i="4" a="1"/>
  <c r="GR6" i="4" a="1"/>
  <c r="FL8" i="4" a="1"/>
  <c r="GV5" i="4" a="1"/>
  <c r="HF12" i="4" a="1"/>
  <c r="GP14" i="4" a="1"/>
  <c r="GY14" i="4" a="1"/>
  <c r="GB15" i="4" a="1"/>
  <c r="GN13" i="4" a="1"/>
  <c r="CO28" i="1" l="1"/>
  <c r="CS28" i="1" s="1"/>
  <c r="CL18" i="1"/>
  <c r="CL8" i="1" s="1"/>
  <c r="CL187" i="1"/>
  <c r="CL191" i="1"/>
  <c r="CL188" i="1"/>
  <c r="CL145" i="1"/>
  <c r="CH148" i="1"/>
  <c r="CI148" i="1" s="1"/>
  <c r="CL106" i="1"/>
  <c r="CL107" i="1" s="1"/>
  <c r="CL35" i="1"/>
  <c r="CL24" i="1"/>
  <c r="CL20" i="1"/>
  <c r="CK8" i="1"/>
  <c r="CL169" i="1"/>
  <c r="CL156" i="1"/>
  <c r="CL128" i="1"/>
  <c r="CL146" i="1"/>
  <c r="CL164" i="1"/>
  <c r="CL193" i="1" s="1"/>
  <c r="CL192" i="1" s="1"/>
  <c r="CL136" i="1"/>
  <c r="Y191" i="1"/>
  <c r="Y260" i="1"/>
  <c r="CK34" i="1"/>
  <c r="CK35" i="1" s="1"/>
  <c r="X188" i="1"/>
  <c r="CK24" i="1"/>
  <c r="JZ9" i="4" s="1"/>
  <c r="JQ9" i="4" s="1"/>
  <c r="CJ82" i="1"/>
  <c r="CJ162" i="1"/>
  <c r="CJ157" i="1"/>
  <c r="CJ158" i="1"/>
  <c r="KC16" i="4" s="1"/>
  <c r="JU16" i="4" s="1"/>
  <c r="KA9" i="4" s="1"/>
  <c r="CJ148" i="1"/>
  <c r="CJ210" i="1" s="1"/>
  <c r="CJ125" i="1"/>
  <c r="CK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KB16" i="4" s="1"/>
  <c r="X81" i="1"/>
  <c r="CJ163" i="1"/>
  <c r="JR16" i="4" s="1"/>
  <c r="Z82" i="1"/>
  <c r="CJ167" i="1"/>
  <c r="CJ159" i="1"/>
  <c r="KE9" i="4" s="1"/>
  <c r="JY9" i="4" s="1"/>
  <c r="KA16" i="4" s="1"/>
  <c r="JS16" i="4" s="1"/>
  <c r="JV9" i="4" s="1"/>
  <c r="Z81" i="1"/>
  <c r="CJ132" i="1"/>
  <c r="CK132" i="1" s="1"/>
  <c r="CM132" i="1" s="1"/>
  <c r="JZ16" i="4" s="1"/>
  <c r="CJ171" i="1"/>
  <c r="CK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KH16" i="4" s="1"/>
  <c r="KF9" i="4" s="1"/>
  <c r="KH9" i="4" s="1"/>
  <c r="CJ142" i="1"/>
  <c r="CK41" i="1" s="1"/>
  <c r="KD16" i="4" s="1"/>
  <c r="CJ160" i="1"/>
  <c r="JX9" i="4" s="1"/>
  <c r="CJ133" i="1"/>
  <c r="CK133" i="1" s="1"/>
  <c r="CJ130" i="1"/>
  <c r="CK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KG16" i="4" s="1"/>
  <c r="JY16" i="4" s="1"/>
  <c r="CG81" i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JX16" i="4" s="1"/>
  <c r="JW9" i="4" s="1"/>
  <c r="KC9" i="4" s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CJ127" i="1"/>
  <c r="CJ154" i="1"/>
  <c r="KF16" i="4" s="1"/>
  <c r="KD9" i="4" s="1"/>
  <c r="JS9" i="4" s="1"/>
  <c r="CJ152" i="1"/>
  <c r="CJ187" i="1" s="1"/>
  <c r="CK187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E16" i="4" s="1"/>
  <c r="JW16" i="4" s="1"/>
  <c r="JW21" i="4" s="1"/>
  <c r="JV16" i="4" s="1"/>
  <c r="JT7" i="4" s="1"/>
  <c r="CJ81" i="1"/>
  <c r="CG82" i="1"/>
  <c r="JR9" i="4" s="1"/>
  <c r="CJ141" i="1"/>
  <c r="CK141" i="1" s="1"/>
  <c r="CI81" i="1"/>
  <c r="CK81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53" i="1"/>
  <c r="CH82" i="1"/>
  <c r="KB8" i="4" s="1"/>
  <c r="JU9" i="4" s="1"/>
  <c r="KG14" i="4" s="1"/>
  <c r="CJ161" i="1"/>
  <c r="CJ191" i="1" s="1"/>
  <c r="CK191" i="1" s="1"/>
  <c r="JT16" i="4" s="1"/>
  <c r="KB7" i="4" s="1"/>
  <c r="JS7" i="4" s="1"/>
  <c r="CJ155" i="1"/>
  <c r="Y82" i="1"/>
  <c r="CI82" i="1"/>
  <c r="CJ168" i="1"/>
  <c r="CK82" i="1"/>
  <c r="CJ150" i="1"/>
  <c r="CH81" i="1"/>
  <c r="Y187" i="1"/>
  <c r="X187" i="1"/>
  <c r="X18" i="1"/>
  <c r="CK73" i="1"/>
  <c r="Z156" i="1"/>
  <c r="AA204" i="1" s="1"/>
  <c r="X156" i="1"/>
  <c r="Y156" i="1"/>
  <c r="Y190" i="1" s="1"/>
  <c r="Z162" i="1"/>
  <c r="CH162" i="1" s="1"/>
  <c r="CK106" i="1"/>
  <c r="Y181" i="1"/>
  <c r="Y169" i="1"/>
  <c r="Z217" i="1" s="1"/>
  <c r="Y34" i="1"/>
  <c r="Y18" i="1"/>
  <c r="Y8" i="1" s="1"/>
  <c r="X191" i="1"/>
  <c r="Y142" i="1"/>
  <c r="Z260" i="1"/>
  <c r="X260" i="1"/>
  <c r="CJ145" i="1"/>
  <c r="CJ151" i="1"/>
  <c r="X181" i="1"/>
  <c r="CH167" i="1"/>
  <c r="CH169" i="1" s="1"/>
  <c r="CI217" i="1" s="1"/>
  <c r="Z169" i="1"/>
  <c r="AA217" i="1" s="1"/>
  <c r="X202" i="1"/>
  <c r="X261" i="1"/>
  <c r="Y202" i="1"/>
  <c r="Y261" i="1"/>
  <c r="CH125" i="1"/>
  <c r="Z128" i="1"/>
  <c r="AA215" i="1" s="1"/>
  <c r="CH152" i="1"/>
  <c r="Z187" i="1"/>
  <c r="Z239" i="1"/>
  <c r="Z188" i="1"/>
  <c r="Z261" i="1"/>
  <c r="Z191" i="1"/>
  <c r="CH143" i="1"/>
  <c r="CI143" i="1" s="1"/>
  <c r="Z139" i="1"/>
  <c r="CG202" i="1"/>
  <c r="CG261" i="1"/>
  <c r="Y164" i="1"/>
  <c r="CH261" i="1"/>
  <c r="CG260" i="1"/>
  <c r="X142" i="1"/>
  <c r="CI239" i="1"/>
  <c r="CI18" i="1"/>
  <c r="CM141" i="1"/>
  <c r="CN141" i="1" s="1"/>
  <c r="CO141" i="1" s="1"/>
  <c r="CP141" i="1" s="1"/>
  <c r="KE8" i="4"/>
  <c r="CJ106" i="1"/>
  <c r="Y210" i="1"/>
  <c r="Y188" i="1"/>
  <c r="JU7" i="4"/>
  <c r="CG18" i="1"/>
  <c r="Z181" i="1"/>
  <c r="Z18" i="1"/>
  <c r="X164" i="1"/>
  <c r="JQ8" i="4"/>
  <c r="JW7" i="4"/>
  <c r="Y128" i="1"/>
  <c r="X136" i="1"/>
  <c r="X169" i="1"/>
  <c r="X128" i="1"/>
  <c r="X183" i="1" s="1"/>
  <c r="Y136" i="1"/>
  <c r="Z34" i="1"/>
  <c r="X34" i="1"/>
  <c r="KD14" i="4"/>
  <c r="JW8" i="4"/>
  <c r="KA7" i="4"/>
  <c r="KB14" i="4"/>
  <c r="JQ15" i="4"/>
  <c r="JS8" i="4"/>
  <c r="KG15" i="4"/>
  <c r="CI140" i="1"/>
  <c r="CJ140" i="1" s="1"/>
  <c r="CH260" i="1"/>
  <c r="CJ34" i="1"/>
  <c r="CI136" i="1"/>
  <c r="CG34" i="1"/>
  <c r="CH18" i="1"/>
  <c r="CH34" i="1"/>
  <c r="CI260" i="1"/>
  <c r="CJ261" i="1"/>
  <c r="CH239" i="1"/>
  <c r="CJ239" i="1"/>
  <c r="CI261" i="1"/>
  <c r="CH188" i="1"/>
  <c r="CI188" i="1" s="1"/>
  <c r="CH191" i="1"/>
  <c r="CI191" i="1" s="1"/>
  <c r="CJ260" i="1"/>
  <c r="CJ18" i="1"/>
  <c r="Y81" i="1"/>
  <c r="X82" i="1"/>
  <c r="Z210" i="1"/>
  <c r="CI34" i="1"/>
  <c r="CI73" i="1"/>
  <c r="CJ202" i="1"/>
  <c r="Z136" i="1"/>
  <c r="CH73" i="1"/>
  <c r="CG73" i="1"/>
  <c r="CJ73" i="1"/>
  <c r="CH136" i="1"/>
  <c r="JP15" i="4"/>
  <c r="JP14" i="4"/>
  <c r="JP8" i="4"/>
  <c r="JP7" i="4"/>
  <c r="JP21" i="4"/>
  <c r="CJ85" i="1" s="1"/>
  <c r="JO21" i="4"/>
  <c r="CI85" i="1" s="1"/>
  <c r="JO7" i="4"/>
  <c r="JO15" i="4"/>
  <c r="JO14" i="4"/>
  <c r="JO8" i="4"/>
  <c r="JN21" i="4"/>
  <c r="CH85" i="1" s="1"/>
  <c r="JN15" i="4"/>
  <c r="JN14" i="4"/>
  <c r="JN7" i="4"/>
  <c r="JN8" i="4"/>
  <c r="CB21" i="1"/>
  <c r="CH164" i="1" l="1"/>
  <c r="CH193" i="1" s="1"/>
  <c r="Z164" i="1"/>
  <c r="AA205" i="1" s="1"/>
  <c r="AA206" i="1" s="1"/>
  <c r="AA207" i="1" s="1"/>
  <c r="JY21" i="4"/>
  <c r="JQ16" i="4" s="1"/>
  <c r="AA196" i="1"/>
  <c r="AA19" i="1"/>
  <c r="AA257" i="1"/>
  <c r="AA214" i="1"/>
  <c r="AA213" i="1" s="1"/>
  <c r="JQ21" i="4"/>
  <c r="CK85" i="1" s="1"/>
  <c r="JV14" i="4" s="1"/>
  <c r="KG9" i="4" s="1"/>
  <c r="KB9" i="4" s="1"/>
  <c r="JR21" i="4"/>
  <c r="CL85" i="1" s="1"/>
  <c r="JT9" i="4" s="1"/>
  <c r="JT21" i="4"/>
  <c r="KA21" i="4"/>
  <c r="X35" i="1"/>
  <c r="KE21" i="4"/>
  <c r="CJ188" i="1"/>
  <c r="CK188" i="1" s="1"/>
  <c r="CI210" i="1"/>
  <c r="CW28" i="1"/>
  <c r="DA28" i="1" s="1"/>
  <c r="Z190" i="1"/>
  <c r="Z183" i="1"/>
  <c r="Z8" i="1"/>
  <c r="JT15" i="4"/>
  <c r="KE14" i="4"/>
  <c r="KE19" i="4" s="1"/>
  <c r="KF15" i="4"/>
  <c r="JY7" i="4"/>
  <c r="JQ7" i="4"/>
  <c r="CL27" i="1"/>
  <c r="CK36" i="1"/>
  <c r="CK25" i="1"/>
  <c r="CL25" i="1"/>
  <c r="CL36" i="1"/>
  <c r="CL254" i="1"/>
  <c r="CL256" i="1"/>
  <c r="CL190" i="1"/>
  <c r="CL165" i="1"/>
  <c r="CL173" i="1" s="1"/>
  <c r="CL100" i="1"/>
  <c r="CL137" i="1"/>
  <c r="CL176" i="1"/>
  <c r="CL117" i="1" s="1"/>
  <c r="JR8" i="4"/>
  <c r="JX7" i="4"/>
  <c r="JZ21" i="4"/>
  <c r="JS15" i="4"/>
  <c r="JU21" i="4"/>
  <c r="KD15" i="4"/>
  <c r="KE7" i="4"/>
  <c r="JX14" i="4"/>
  <c r="JS21" i="4"/>
  <c r="JQ14" i="4"/>
  <c r="JU8" i="4"/>
  <c r="KA8" i="4"/>
  <c r="KH21" i="4"/>
  <c r="KG21" i="4"/>
  <c r="JU15" i="4"/>
  <c r="JU20" i="4" s="1"/>
  <c r="KG7" i="4"/>
  <c r="KG19" i="4" s="1"/>
  <c r="KC7" i="4"/>
  <c r="JT14" i="4"/>
  <c r="JT19" i="4" s="1"/>
  <c r="JV15" i="4"/>
  <c r="JT8" i="4"/>
  <c r="Y204" i="1"/>
  <c r="CL110" i="1"/>
  <c r="X24" i="1"/>
  <c r="X8" i="1"/>
  <c r="CI24" i="1"/>
  <c r="CL252" i="1"/>
  <c r="CI8" i="1"/>
  <c r="CL233" i="1"/>
  <c r="CK19" i="1"/>
  <c r="CG8" i="1"/>
  <c r="CL196" i="1"/>
  <c r="CH8" i="1"/>
  <c r="CL19" i="1"/>
  <c r="CK20" i="1"/>
  <c r="CJ8" i="1"/>
  <c r="X106" i="1"/>
  <c r="CK148" i="1"/>
  <c r="X190" i="1"/>
  <c r="X189" i="1" s="1"/>
  <c r="CJ139" i="1"/>
  <c r="CK139" i="1" s="1"/>
  <c r="CJ169" i="1"/>
  <c r="CK217" i="1" s="1"/>
  <c r="X165" i="1"/>
  <c r="KH8" i="4"/>
  <c r="Z204" i="1"/>
  <c r="KD7" i="4"/>
  <c r="JY15" i="4"/>
  <c r="JV21" i="4"/>
  <c r="JV8" i="4"/>
  <c r="KA14" i="4"/>
  <c r="KA19" i="4" s="1"/>
  <c r="JY14" i="4"/>
  <c r="KF21" i="4"/>
  <c r="JW14" i="4"/>
  <c r="JW19" i="4" s="1"/>
  <c r="KF14" i="4"/>
  <c r="KF8" i="4"/>
  <c r="CJ156" i="1"/>
  <c r="CJ190" i="1" s="1"/>
  <c r="KC8" i="4"/>
  <c r="KG8" i="4"/>
  <c r="KG20" i="4" s="1"/>
  <c r="JR14" i="4"/>
  <c r="JZ7" i="4"/>
  <c r="KC14" i="4"/>
  <c r="KC19" i="4" s="1"/>
  <c r="KH15" i="4"/>
  <c r="KC21" i="4"/>
  <c r="KB15" i="4"/>
  <c r="KB20" i="4" s="1"/>
  <c r="KC15" i="4"/>
  <c r="KC20" i="4" s="1"/>
  <c r="JV7" i="4"/>
  <c r="KA15" i="4"/>
  <c r="JY8" i="4"/>
  <c r="JU14" i="4"/>
  <c r="JU19" i="4" s="1"/>
  <c r="KE15" i="4"/>
  <c r="KE20" i="4" s="1"/>
  <c r="JW15" i="4"/>
  <c r="JW20" i="4" s="1"/>
  <c r="CJ164" i="1"/>
  <c r="CJ193" i="1" s="1"/>
  <c r="CJ192" i="1" s="1"/>
  <c r="CK192" i="1" s="1"/>
  <c r="KH7" i="4"/>
  <c r="JR7" i="4"/>
  <c r="CK107" i="1"/>
  <c r="JZ8" i="4"/>
  <c r="JR15" i="4"/>
  <c r="JZ15" i="4"/>
  <c r="KH14" i="4"/>
  <c r="JX8" i="4"/>
  <c r="JX15" i="4"/>
  <c r="JX21" i="4"/>
  <c r="KD21" i="4"/>
  <c r="JZ14" i="4"/>
  <c r="KF7" i="4"/>
  <c r="KD8" i="4"/>
  <c r="KD20" i="4" s="1"/>
  <c r="JS14" i="4"/>
  <c r="JS19" i="4" s="1"/>
  <c r="CJ128" i="1"/>
  <c r="CJ100" i="1" s="1"/>
  <c r="CJ102" i="1" s="1"/>
  <c r="CJ136" i="1"/>
  <c r="CJ257" i="1" s="1"/>
  <c r="Z256" i="1"/>
  <c r="Y35" i="1"/>
  <c r="Z142" i="1"/>
  <c r="CH139" i="1"/>
  <c r="CH142" i="1" s="1"/>
  <c r="Y106" i="1"/>
  <c r="Y19" i="1"/>
  <c r="Y196" i="1"/>
  <c r="Y24" i="1"/>
  <c r="Y146" i="1"/>
  <c r="Y41" i="1"/>
  <c r="CK145" i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46" i="1"/>
  <c r="CI125" i="1"/>
  <c r="CH128" i="1"/>
  <c r="CH137" i="1" s="1"/>
  <c r="CH187" i="1"/>
  <c r="CI187" i="1" s="1"/>
  <c r="CH156" i="1"/>
  <c r="CH190" i="1" s="1"/>
  <c r="CH194" i="1" s="1"/>
  <c r="Z35" i="1"/>
  <c r="AB141" i="1"/>
  <c r="CQ141" i="1"/>
  <c r="CR141" i="1" s="1"/>
  <c r="CS141" i="1" s="1"/>
  <c r="CT141" i="1" s="1"/>
  <c r="KB19" i="4"/>
  <c r="CG35" i="1"/>
  <c r="CG24" i="1"/>
  <c r="CK26" i="1" s="1"/>
  <c r="X137" i="1"/>
  <c r="JQ20" i="4"/>
  <c r="CK87" i="1" s="1"/>
  <c r="CI35" i="1"/>
  <c r="Y189" i="1"/>
  <c r="Y193" i="1"/>
  <c r="Y165" i="1"/>
  <c r="X146" i="1"/>
  <c r="X41" i="1"/>
  <c r="CH192" i="1"/>
  <c r="CI192" i="1" s="1"/>
  <c r="X256" i="1"/>
  <c r="Y217" i="1"/>
  <c r="Z196" i="1"/>
  <c r="Z19" i="1"/>
  <c r="Z24" i="1"/>
  <c r="AA26" i="1" s="1"/>
  <c r="Z106" i="1"/>
  <c r="Y183" i="1"/>
  <c r="Y256" i="1"/>
  <c r="X45" i="1"/>
  <c r="X176" i="1"/>
  <c r="X117" i="1" s="1"/>
  <c r="CI214" i="1"/>
  <c r="X193" i="1"/>
  <c r="Y205" i="1"/>
  <c r="Y257" i="1"/>
  <c r="Y214" i="1"/>
  <c r="Y176" i="1"/>
  <c r="Y117" i="1" s="1"/>
  <c r="CK136" i="1"/>
  <c r="Y45" i="1"/>
  <c r="Y137" i="1"/>
  <c r="Z176" i="1"/>
  <c r="Z117" i="1" s="1"/>
  <c r="Z214" i="1"/>
  <c r="CI20" i="1"/>
  <c r="CJ24" i="1"/>
  <c r="CK27" i="1" s="1"/>
  <c r="CJ107" i="1"/>
  <c r="CJ110" i="1" s="1"/>
  <c r="CH35" i="1"/>
  <c r="CJ233" i="1"/>
  <c r="CJ20" i="1"/>
  <c r="CJ35" i="1"/>
  <c r="CH24" i="1"/>
  <c r="CL26" i="1" s="1"/>
  <c r="CH20" i="1"/>
  <c r="Z137" i="1"/>
  <c r="Z45" i="1"/>
  <c r="Z257" i="1"/>
  <c r="CH176" i="1"/>
  <c r="CI257" i="1"/>
  <c r="Z193" i="1"/>
  <c r="Z165" i="1"/>
  <c r="Z205" i="1"/>
  <c r="CM187" i="1"/>
  <c r="CN132" i="1"/>
  <c r="CM188" i="1"/>
  <c r="CM191" i="1"/>
  <c r="CX171" i="1"/>
  <c r="CX125" i="1"/>
  <c r="JP20" i="4"/>
  <c r="CJ87" i="1" s="1"/>
  <c r="JP19" i="4"/>
  <c r="CJ86" i="1" s="1"/>
  <c r="JO19" i="4"/>
  <c r="CI86" i="1" s="1"/>
  <c r="JO20" i="4"/>
  <c r="CI87" i="1" s="1"/>
  <c r="JN20" i="4"/>
  <c r="CH87" i="1" s="1"/>
  <c r="JN19" i="4"/>
  <c r="CH86" i="1" s="1"/>
  <c r="CL102" i="1" l="1"/>
  <c r="KB21" i="4"/>
  <c r="JR19" i="4"/>
  <c r="CL86" i="1" s="1"/>
  <c r="KF19" i="4"/>
  <c r="CK110" i="1"/>
  <c r="Z189" i="1"/>
  <c r="JV20" i="4"/>
  <c r="JT20" i="4"/>
  <c r="KF20" i="4"/>
  <c r="KA20" i="4"/>
  <c r="KH19" i="4"/>
  <c r="JZ19" i="4"/>
  <c r="CK37" i="1"/>
  <c r="CK42" i="1"/>
  <c r="CK46" i="1" s="1"/>
  <c r="JV19" i="4"/>
  <c r="KD19" i="4"/>
  <c r="JX19" i="4"/>
  <c r="JQ19" i="4"/>
  <c r="CK86" i="1" s="1"/>
  <c r="JY19" i="4"/>
  <c r="KH20" i="4"/>
  <c r="JS20" i="4"/>
  <c r="JR20" i="4"/>
  <c r="CL87" i="1" s="1"/>
  <c r="JY20" i="4"/>
  <c r="JX20" i="4"/>
  <c r="Y206" i="1"/>
  <c r="CL174" i="1"/>
  <c r="Z206" i="1"/>
  <c r="X36" i="1"/>
  <c r="X42" i="1" s="1"/>
  <c r="X25" i="1"/>
  <c r="CI25" i="1"/>
  <c r="CI36" i="1"/>
  <c r="CL210" i="1"/>
  <c r="CK210" i="1"/>
  <c r="CL39" i="1"/>
  <c r="CL258" i="1"/>
  <c r="CL42" i="1"/>
  <c r="CL46" i="1" s="1"/>
  <c r="CL37" i="1"/>
  <c r="CL240" i="1"/>
  <c r="CL241" i="1" s="1"/>
  <c r="CL189" i="1"/>
  <c r="CL194" i="1"/>
  <c r="CL197" i="1" s="1"/>
  <c r="JZ20" i="4"/>
  <c r="CL214" i="1"/>
  <c r="CL257" i="1"/>
  <c r="CJ256" i="1"/>
  <c r="CH256" i="1"/>
  <c r="CH165" i="1"/>
  <c r="CH100" i="1"/>
  <c r="CH102" i="1" s="1"/>
  <c r="CH189" i="1"/>
  <c r="CI189" i="1" s="1"/>
  <c r="CJ165" i="1"/>
  <c r="CJ173" i="1" s="1"/>
  <c r="CI139" i="1"/>
  <c r="CI142" i="1" s="1"/>
  <c r="CJ41" i="1" s="1"/>
  <c r="CJ137" i="1"/>
  <c r="CJ214" i="1"/>
  <c r="Y173" i="1"/>
  <c r="Y174" i="1" s="1"/>
  <c r="Z146" i="1"/>
  <c r="AA211" i="1" s="1"/>
  <c r="AA209" i="1" s="1"/>
  <c r="Z41" i="1"/>
  <c r="Y252" i="1"/>
  <c r="Y254" i="1"/>
  <c r="CK112" i="1"/>
  <c r="CK116" i="1"/>
  <c r="CJ252" i="1"/>
  <c r="CJ254" i="1"/>
  <c r="Y26" i="1"/>
  <c r="Y36" i="1"/>
  <c r="Y25" i="1"/>
  <c r="CU141" i="1"/>
  <c r="CV141" i="1" s="1"/>
  <c r="CW141" i="1" s="1"/>
  <c r="CX141" i="1" s="1"/>
  <c r="AC141" i="1"/>
  <c r="X252" i="1"/>
  <c r="X254" i="1"/>
  <c r="X173" i="1"/>
  <c r="X174" i="1" s="1"/>
  <c r="Y211" i="1"/>
  <c r="Y209" i="1" s="1"/>
  <c r="Z26" i="1"/>
  <c r="Z25" i="1"/>
  <c r="Z36" i="1"/>
  <c r="CJ104" i="1"/>
  <c r="CJ103" i="1"/>
  <c r="CG36" i="1"/>
  <c r="CK38" i="1" s="1"/>
  <c r="CG25" i="1"/>
  <c r="CK193" i="1"/>
  <c r="Y192" i="1"/>
  <c r="Y194" i="1"/>
  <c r="CI193" i="1"/>
  <c r="CI160" i="1"/>
  <c r="CM148" i="1"/>
  <c r="CJ189" i="1"/>
  <c r="CK189" i="1" s="1"/>
  <c r="CJ194" i="1"/>
  <c r="CI27" i="1"/>
  <c r="CH25" i="1"/>
  <c r="X192" i="1"/>
  <c r="X194" i="1"/>
  <c r="CM133" i="1"/>
  <c r="CJ27" i="1"/>
  <c r="CJ36" i="1"/>
  <c r="CJ25" i="1"/>
  <c r="CK214" i="1"/>
  <c r="CK257" i="1"/>
  <c r="CH36" i="1"/>
  <c r="CL38" i="1" s="1"/>
  <c r="CH27" i="1"/>
  <c r="CI45" i="1"/>
  <c r="CH117" i="1"/>
  <c r="Z194" i="1"/>
  <c r="AA197" i="1" s="1"/>
  <c r="AA198" i="1" s="1"/>
  <c r="Z192" i="1"/>
  <c r="CI41" i="1"/>
  <c r="CH146" i="1"/>
  <c r="CJ116" i="1"/>
  <c r="CJ112" i="1"/>
  <c r="CH116" i="1"/>
  <c r="CI115" i="1"/>
  <c r="CH115" i="1"/>
  <c r="CI116" i="1"/>
  <c r="CJ115" i="1"/>
  <c r="CJ111" i="1"/>
  <c r="CN188" i="1"/>
  <c r="CO132" i="1"/>
  <c r="CN191" i="1"/>
  <c r="CN187" i="1"/>
  <c r="CY125" i="1"/>
  <c r="CY171" i="1"/>
  <c r="CL111" i="1" l="1"/>
  <c r="CL115" i="1"/>
  <c r="CL118" i="1" s="1"/>
  <c r="CL103" i="1"/>
  <c r="CL112" i="1"/>
  <c r="CL104" i="1"/>
  <c r="CK48" i="1"/>
  <c r="CK49" i="1"/>
  <c r="AA218" i="1"/>
  <c r="AA219" i="1" s="1"/>
  <c r="AA221" i="1"/>
  <c r="AA258" i="1"/>
  <c r="AA259" i="1" s="1"/>
  <c r="AA38" i="1"/>
  <c r="CL116" i="1"/>
  <c r="CL119" i="1" s="1"/>
  <c r="CK111" i="1"/>
  <c r="CK115" i="1"/>
  <c r="Y258" i="1"/>
  <c r="Y259" i="1" s="1"/>
  <c r="X240" i="1"/>
  <c r="X241" i="1" s="1"/>
  <c r="X120" i="1"/>
  <c r="X37" i="1"/>
  <c r="CI42" i="1"/>
  <c r="CI240" i="1"/>
  <c r="CI241" i="1" s="1"/>
  <c r="CI37" i="1"/>
  <c r="CJ174" i="1"/>
  <c r="CH104" i="1"/>
  <c r="Z211" i="1"/>
  <c r="Z209" i="1" s="1"/>
  <c r="CK39" i="1"/>
  <c r="CL234" i="1"/>
  <c r="CL120" i="1"/>
  <c r="CL48" i="1"/>
  <c r="CL49" i="1"/>
  <c r="CL259" i="1"/>
  <c r="CL121" i="1"/>
  <c r="CL122" i="1"/>
  <c r="CI154" i="1"/>
  <c r="CI190" i="1"/>
  <c r="CI46" i="1"/>
  <c r="CH103" i="1"/>
  <c r="CI146" i="1"/>
  <c r="Z254" i="1"/>
  <c r="Z252" i="1"/>
  <c r="Z173" i="1"/>
  <c r="Z174" i="1" s="1"/>
  <c r="Z197" i="1"/>
  <c r="Z198" i="1" s="1"/>
  <c r="CI258" i="1"/>
  <c r="CI259" i="1" s="1"/>
  <c r="CK120" i="1"/>
  <c r="CM25" i="1"/>
  <c r="Y38" i="1"/>
  <c r="Y120" i="1"/>
  <c r="Y42" i="1"/>
  <c r="Y37" i="1"/>
  <c r="Y240" i="1"/>
  <c r="Y241" i="1" s="1"/>
  <c r="Y197" i="1"/>
  <c r="Y198" i="1" s="1"/>
  <c r="CY141" i="1"/>
  <c r="CZ141" i="1" s="1"/>
  <c r="DA141" i="1" s="1"/>
  <c r="DB141" i="1" s="1"/>
  <c r="AE141" i="1" s="1"/>
  <c r="AD141" i="1"/>
  <c r="Z258" i="1"/>
  <c r="Z259" i="1" s="1"/>
  <c r="Z42" i="1"/>
  <c r="Z120" i="1"/>
  <c r="Z37" i="1"/>
  <c r="Z240" i="1"/>
  <c r="Z241" i="1" s="1"/>
  <c r="Z38" i="1"/>
  <c r="CG37" i="1"/>
  <c r="CG42" i="1"/>
  <c r="CG46" i="1" s="1"/>
  <c r="CG240" i="1"/>
  <c r="CG241" i="1" s="1"/>
  <c r="CM210" i="1"/>
  <c r="CN148" i="1"/>
  <c r="CK190" i="1"/>
  <c r="CK194" i="1" s="1"/>
  <c r="CM192" i="1"/>
  <c r="CJ39" i="1"/>
  <c r="CJ258" i="1"/>
  <c r="CJ259" i="1" s="1"/>
  <c r="CJ240" i="1"/>
  <c r="CJ241" i="1" s="1"/>
  <c r="CH37" i="1"/>
  <c r="CH42" i="1"/>
  <c r="CH46" i="1" s="1"/>
  <c r="CH39" i="1"/>
  <c r="CH258" i="1"/>
  <c r="CI39" i="1"/>
  <c r="CH240" i="1"/>
  <c r="CH241" i="1" s="1"/>
  <c r="CJ234" i="1"/>
  <c r="CJ120" i="1"/>
  <c r="CJ37" i="1"/>
  <c r="CJ42" i="1"/>
  <c r="CN133" i="1"/>
  <c r="CM136" i="1"/>
  <c r="CM257" i="1" s="1"/>
  <c r="CH118" i="1"/>
  <c r="CH119" i="1"/>
  <c r="CK202" i="1"/>
  <c r="CK140" i="1"/>
  <c r="CH254" i="1"/>
  <c r="CH173" i="1"/>
  <c r="CH174" i="1" s="1"/>
  <c r="X46" i="1"/>
  <c r="X63" i="1"/>
  <c r="CP132" i="1"/>
  <c r="CO187" i="1"/>
  <c r="CO188" i="1"/>
  <c r="CO191" i="1"/>
  <c r="CZ171" i="1"/>
  <c r="CZ125" i="1"/>
  <c r="CM53" i="1"/>
  <c r="CN53" i="1" s="1"/>
  <c r="CO53" i="1" s="1"/>
  <c r="CP53" i="1" s="1"/>
  <c r="CQ53" i="1" s="1"/>
  <c r="CR53" i="1" s="1"/>
  <c r="CS53" i="1" s="1"/>
  <c r="CT53" i="1" s="1"/>
  <c r="CU53" i="1" s="1"/>
  <c r="CM54" i="1"/>
  <c r="CK50" i="1" l="1"/>
  <c r="CK56" i="1"/>
  <c r="CI49" i="1"/>
  <c r="CI48" i="1"/>
  <c r="CJ46" i="1"/>
  <c r="CL63" i="1"/>
  <c r="CL52" i="1"/>
  <c r="CL242" i="1"/>
  <c r="CL56" i="1"/>
  <c r="CL50" i="1"/>
  <c r="CL253" i="1" s="1"/>
  <c r="CJ211" i="1"/>
  <c r="CJ209" i="1" s="1"/>
  <c r="CI211" i="1"/>
  <c r="CI209" i="1" s="1"/>
  <c r="CK142" i="1"/>
  <c r="CL140" i="1"/>
  <c r="CL139" i="1" s="1"/>
  <c r="CK60" i="1"/>
  <c r="CK74" i="1"/>
  <c r="CN210" i="1"/>
  <c r="CO148" i="1"/>
  <c r="Y63" i="1"/>
  <c r="Y46" i="1"/>
  <c r="Z46" i="1"/>
  <c r="Z63" i="1"/>
  <c r="CG49" i="1"/>
  <c r="CK51" i="1" s="1"/>
  <c r="CG48" i="1"/>
  <c r="CH49" i="1"/>
  <c r="CL51" i="1" s="1"/>
  <c r="CH48" i="1"/>
  <c r="CN192" i="1"/>
  <c r="CM193" i="1"/>
  <c r="CM189" i="1"/>
  <c r="CO133" i="1"/>
  <c r="CN136" i="1"/>
  <c r="CN257" i="1" s="1"/>
  <c r="CM214" i="1"/>
  <c r="X48" i="1"/>
  <c r="X49" i="1"/>
  <c r="CN25" i="1"/>
  <c r="CP191" i="1"/>
  <c r="CP188" i="1"/>
  <c r="CP187" i="1"/>
  <c r="CQ132" i="1"/>
  <c r="DA125" i="1"/>
  <c r="DA171" i="1"/>
  <c r="CE73" i="1"/>
  <c r="AB53" i="1"/>
  <c r="AC53" i="1"/>
  <c r="CV53" i="1"/>
  <c r="CW53" i="1" s="1"/>
  <c r="CX53" i="1" s="1"/>
  <c r="CY53" i="1" s="1"/>
  <c r="AB43" i="1"/>
  <c r="CN54" i="1"/>
  <c r="CO54" i="1" s="1"/>
  <c r="CP54" i="1" s="1"/>
  <c r="CQ54" i="1" s="1"/>
  <c r="CI242" i="1" l="1"/>
  <c r="CI50" i="1"/>
  <c r="CI253" i="1" s="1"/>
  <c r="CI56" i="1"/>
  <c r="CJ48" i="1"/>
  <c r="CJ49" i="1"/>
  <c r="CL235" i="1" s="1"/>
  <c r="CL41" i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CK146" i="1"/>
  <c r="CL60" i="1"/>
  <c r="CL201" i="1"/>
  <c r="CL203" i="1" s="1"/>
  <c r="CL74" i="1"/>
  <c r="CM139" i="1"/>
  <c r="CN139" i="1" s="1"/>
  <c r="CO139" i="1" s="1"/>
  <c r="CP139" i="1" s="1"/>
  <c r="CK211" i="1"/>
  <c r="CK209" i="1" s="1"/>
  <c r="CL211" i="1"/>
  <c r="CL209" i="1" s="1"/>
  <c r="CI127" i="1"/>
  <c r="CJ235" i="1"/>
  <c r="CO210" i="1"/>
  <c r="CP148" i="1"/>
  <c r="CJ52" i="1"/>
  <c r="CJ50" i="1"/>
  <c r="CJ253" i="1" s="1"/>
  <c r="CJ242" i="1"/>
  <c r="CJ56" i="1"/>
  <c r="CL62" i="1" s="1"/>
  <c r="CK52" i="1"/>
  <c r="Y48" i="1"/>
  <c r="Y49" i="1"/>
  <c r="Y242" i="1" s="1"/>
  <c r="Z49" i="1"/>
  <c r="AA51" i="1" s="1"/>
  <c r="Z48" i="1"/>
  <c r="CG242" i="1"/>
  <c r="CG56" i="1"/>
  <c r="CG74" i="1" s="1"/>
  <c r="CG50" i="1"/>
  <c r="CG253" i="1" s="1"/>
  <c r="CH52" i="1"/>
  <c r="CH56" i="1"/>
  <c r="CI52" i="1"/>
  <c r="CH50" i="1"/>
  <c r="CH253" i="1" s="1"/>
  <c r="CH242" i="1"/>
  <c r="CO192" i="1"/>
  <c r="CN193" i="1"/>
  <c r="CM190" i="1"/>
  <c r="CM194" i="1" s="1"/>
  <c r="CN189" i="1"/>
  <c r="CP133" i="1"/>
  <c r="CO136" i="1"/>
  <c r="CO257" i="1" s="1"/>
  <c r="CN214" i="1"/>
  <c r="X242" i="1"/>
  <c r="X50" i="1"/>
  <c r="X253" i="1" s="1"/>
  <c r="X56" i="1"/>
  <c r="CM48" i="1"/>
  <c r="CN48" i="1" s="1"/>
  <c r="CO25" i="1"/>
  <c r="CP25" i="1" s="1"/>
  <c r="CB73" i="1"/>
  <c r="BL73" i="1"/>
  <c r="CR132" i="1"/>
  <c r="CQ187" i="1"/>
  <c r="CQ191" i="1"/>
  <c r="CC73" i="1"/>
  <c r="CQ188" i="1"/>
  <c r="DB125" i="1"/>
  <c r="DB171" i="1"/>
  <c r="AL73" i="1"/>
  <c r="CF73" i="1"/>
  <c r="CD73" i="1"/>
  <c r="BY73" i="1"/>
  <c r="BZ73" i="1"/>
  <c r="CA73" i="1"/>
  <c r="CI128" i="1"/>
  <c r="CI60" i="1"/>
  <c r="CI74" i="1"/>
  <c r="CI201" i="1"/>
  <c r="CI203" i="1" s="1"/>
  <c r="AD53" i="1"/>
  <c r="AB54" i="1"/>
  <c r="CZ53" i="1"/>
  <c r="DA53" i="1" s="1"/>
  <c r="DB53" i="1" s="1"/>
  <c r="AE53" i="1" s="1"/>
  <c r="AC43" i="1"/>
  <c r="CR54" i="1"/>
  <c r="CS54" i="1" s="1"/>
  <c r="CT54" i="1" s="1"/>
  <c r="CU54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S16" i="3"/>
  <c r="AT19" i="3"/>
  <c r="D5" i="6" a="1"/>
  <c r="AC6" i="6" a="1"/>
  <c r="AY38" i="3"/>
  <c r="EQ15" i="4" a="1"/>
  <c r="ER8" i="4" a="1"/>
  <c r="EN11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X18" i="3"/>
  <c r="AF15" i="3"/>
  <c r="AS31" i="3"/>
  <c r="AY39" i="3"/>
  <c r="EN5" i="4" a="1"/>
  <c r="ET6" i="4" a="1"/>
  <c r="EW8" i="4" a="1"/>
  <c r="EO8" i="4" a="1"/>
  <c r="EO15" i="4" a="1"/>
  <c r="EW6" i="4" a="1"/>
  <c r="AW19" i="3"/>
  <c r="ER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ER14" i="4" a="1"/>
  <c r="EN6" i="4" a="1"/>
  <c r="EQ6" i="4" a="1"/>
  <c r="EQ7" i="4" a="1"/>
  <c r="ES9" i="4" a="1"/>
  <c r="AF7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V40" i="3"/>
  <c r="AW28" i="3"/>
  <c r="AU19" i="3"/>
  <c r="AS8" i="3"/>
  <c r="AY25" i="3"/>
  <c r="C5" i="3"/>
  <c r="AZ11" i="3"/>
  <c r="AZ24" i="3"/>
  <c r="AX9" i="3"/>
  <c r="AU12" i="3"/>
  <c r="AY37" i="3"/>
  <c r="ET12" i="4" a="1"/>
  <c r="EM5" i="4" a="1"/>
  <c r="EN7" i="4" a="1"/>
  <c r="ET15" i="4" a="1"/>
  <c r="EQ8" i="4" a="1"/>
  <c r="ES13" i="4" a="1"/>
  <c r="AF27" i="3"/>
  <c r="AT32" i="3"/>
  <c r="AZ27" i="3"/>
  <c r="AZ26" i="3"/>
  <c r="AF23" i="3"/>
  <c r="AF17" i="3"/>
  <c r="ER16" i="4" a="1"/>
  <c r="ES16" i="4" a="1"/>
  <c r="ET8" i="4" a="1"/>
  <c r="EV16" i="4" a="1"/>
  <c r="AF28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26" i="3"/>
  <c r="AU16" i="3"/>
  <c r="AW23" i="3"/>
  <c r="AU5" i="3"/>
  <c r="AQ6" i="6" a="1"/>
  <c r="AT35" i="3"/>
  <c r="J6" i="6" a="1"/>
  <c r="AX42" i="3"/>
  <c r="AZ46" i="3"/>
  <c r="AY15" i="3"/>
  <c r="AX46" i="3"/>
  <c r="AU7" i="3"/>
  <c r="AY42" i="3"/>
  <c r="ER11" i="4" a="1"/>
  <c r="EV13" i="4" a="1"/>
  <c r="EL13" i="4" a="1"/>
  <c r="EO6" i="4" a="1"/>
  <c r="EW9" i="4" a="1"/>
  <c r="O5" i="6" a="1"/>
  <c r="AO6" i="6" a="1"/>
  <c r="AZ32" i="3"/>
  <c r="EM11" i="4" a="1"/>
  <c r="EM13" i="4" a="1"/>
  <c r="EL14" i="4" a="1"/>
  <c r="AH5" i="6" a="1"/>
  <c r="AT16" i="3"/>
  <c r="AS42" i="3"/>
  <c r="EP5" i="4" a="1"/>
  <c r="EN14" i="4" a="1"/>
  <c r="EQ5" i="4" a="1"/>
  <c r="EU16" i="4" a="1"/>
  <c r="EO13" i="4" a="1"/>
  <c r="EV5" i="4" a="1"/>
  <c r="AV17" i="3"/>
  <c r="EP13" i="4" a="1"/>
  <c r="ER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V8" i="3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T30" i="3"/>
  <c r="L5" i="6" a="1"/>
  <c r="AS29" i="3"/>
  <c r="AX39" i="3"/>
  <c r="AF46" i="3"/>
  <c r="AZ9" i="3"/>
  <c r="AA6" i="6" a="1"/>
  <c r="AR5" i="3"/>
  <c r="AU30" i="3"/>
  <c r="AM5" i="6" a="1"/>
  <c r="X5" i="6" a="1"/>
  <c r="EQ12" i="4" a="1"/>
  <c r="EP12" i="4" a="1"/>
  <c r="EM14" i="4" a="1"/>
  <c r="EV9" i="4" a="1"/>
  <c r="AY16" i="3"/>
  <c r="AF33" i="3"/>
  <c r="AT6" i="3"/>
  <c r="S6" i="6" a="1"/>
  <c r="ER13" i="4" a="1"/>
  <c r="EU15" i="4" a="1"/>
  <c r="EL7" i="4" a="1"/>
  <c r="ES11" i="4" a="1"/>
  <c r="AV5" i="3"/>
  <c r="AS30" i="3"/>
  <c r="AW32" i="3"/>
  <c r="AT36" i="3"/>
  <c r="EW15" i="4" a="1"/>
  <c r="EV8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X11" i="3"/>
  <c r="AV15" i="3"/>
  <c r="AT34" i="3"/>
  <c r="X6" i="6" a="1"/>
  <c r="EW12" i="4" a="1"/>
  <c r="EM12" i="4" a="1"/>
  <c r="EV12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T20" i="3"/>
  <c r="AY32" i="3"/>
  <c r="AY20" i="3"/>
  <c r="AW41" i="3"/>
  <c r="AB5" i="3"/>
  <c r="AW22" i="3"/>
  <c r="AT41" i="3"/>
  <c r="V6" i="6" a="1"/>
  <c r="AU32" i="3"/>
  <c r="AW26" i="3"/>
  <c r="AZ40" i="3"/>
  <c r="EP8" i="4" a="1"/>
  <c r="EN8" i="4" a="1"/>
  <c r="EO5" i="4" a="1"/>
  <c r="EW13" i="4" a="1"/>
  <c r="AX16" i="3"/>
  <c r="V5" i="6" a="1"/>
  <c r="AR6" i="3"/>
  <c r="AX40" i="3"/>
  <c r="AK6" i="6" a="1"/>
  <c r="AC5" i="6" a="1"/>
  <c r="AS10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39" i="3"/>
  <c r="K6" i="6" a="1"/>
  <c r="Q6" i="6" a="1"/>
  <c r="AY6" i="6" a="1"/>
  <c r="AX33" i="3"/>
  <c r="AG5" i="6" a="1"/>
  <c r="AX10" i="3"/>
  <c r="AF22" i="3"/>
  <c r="AV24" i="3"/>
  <c r="AU24" i="3"/>
  <c r="AU11" i="3"/>
  <c r="AT15" i="3"/>
  <c r="AV37" i="3"/>
  <c r="AU33" i="3"/>
  <c r="AS14" i="3"/>
  <c r="AS6" i="6" a="1"/>
  <c r="AQ5" i="6" a="1"/>
  <c r="AU31" i="3"/>
  <c r="EQ11" i="4" a="1"/>
  <c r="EQ13" i="4" a="1"/>
  <c r="EU8" i="4" a="1"/>
  <c r="EL16" i="4" a="1"/>
  <c r="EN15" i="4" a="1"/>
  <c r="ET7" i="4" a="1"/>
  <c r="EL15" i="4" a="1"/>
  <c r="AT21" i="3"/>
  <c r="AS20" i="3"/>
  <c r="AU39" i="3"/>
  <c r="AY31" i="3"/>
  <c r="AU21" i="3"/>
  <c r="AS37" i="3"/>
  <c r="AN6" i="6" a="1"/>
  <c r="AW34" i="3"/>
  <c r="AZ45" i="3"/>
  <c r="AJ6" i="6" a="1"/>
  <c r="AS26" i="3"/>
  <c r="AF6" i="3"/>
  <c r="AV31" i="3"/>
  <c r="AV6" i="6" a="1"/>
  <c r="EL9" i="4" a="1"/>
  <c r="N5" i="6" a="1"/>
  <c r="AZ28" i="3"/>
  <c r="AX28" i="3"/>
  <c r="AW27" i="3"/>
  <c r="AT5" i="3"/>
  <c r="AR7" i="3"/>
  <c r="AT46" i="3"/>
  <c r="AF8" i="3"/>
  <c r="AX15" i="3"/>
  <c r="U5" i="6" a="1"/>
  <c r="AT42" i="3"/>
  <c r="AX12" i="3"/>
  <c r="AZ6" i="3"/>
  <c r="AU18" i="3"/>
  <c r="AF35" i="3"/>
  <c r="AZ18" i="3"/>
  <c r="AU9" i="3"/>
  <c r="AZ36" i="3"/>
  <c r="AY26" i="3"/>
  <c r="AG6" i="6" a="1"/>
  <c r="Z56" i="1" l="1"/>
  <c r="AB139" i="1"/>
  <c r="CQ139" i="1"/>
  <c r="CR139" i="1" s="1"/>
  <c r="CS139" i="1" s="1"/>
  <c r="CT139" i="1" s="1"/>
  <c r="Y51" i="1"/>
  <c r="Z242" i="1"/>
  <c r="Z50" i="1"/>
  <c r="Z253" i="1" s="1"/>
  <c r="Y56" i="1"/>
  <c r="Y201" i="1" s="1"/>
  <c r="Y203" i="1" s="1"/>
  <c r="Y207" i="1" s="1"/>
  <c r="Y221" i="1" s="1"/>
  <c r="Y50" i="1"/>
  <c r="Y253" i="1" s="1"/>
  <c r="Z51" i="1"/>
  <c r="CP210" i="1"/>
  <c r="CQ148" i="1"/>
  <c r="CQ210" i="1" s="1"/>
  <c r="CJ74" i="1"/>
  <c r="CL77" i="1" s="1"/>
  <c r="CJ201" i="1"/>
  <c r="CJ203" i="1" s="1"/>
  <c r="CJ60" i="1"/>
  <c r="CP192" i="1"/>
  <c r="CO193" i="1"/>
  <c r="CJ62" i="1"/>
  <c r="CG201" i="1"/>
  <c r="CG203" i="1" s="1"/>
  <c r="CG60" i="1"/>
  <c r="CH201" i="1"/>
  <c r="CH203" i="1" s="1"/>
  <c r="CH74" i="1"/>
  <c r="CH60" i="1"/>
  <c r="CN190" i="1"/>
  <c r="CN194" i="1" s="1"/>
  <c r="CO189" i="1"/>
  <c r="CQ133" i="1"/>
  <c r="CP136" i="1"/>
  <c r="CP257" i="1" s="1"/>
  <c r="CO214" i="1"/>
  <c r="BY30" i="1"/>
  <c r="CA17" i="1"/>
  <c r="CE30" i="1"/>
  <c r="CA30" i="1"/>
  <c r="CF30" i="1"/>
  <c r="CD30" i="1"/>
  <c r="BZ30" i="1"/>
  <c r="BL30" i="1"/>
  <c r="CC30" i="1"/>
  <c r="CB30" i="1"/>
  <c r="CF17" i="1"/>
  <c r="CD17" i="1"/>
  <c r="BY17" i="1"/>
  <c r="CE17" i="1"/>
  <c r="BZ17" i="1"/>
  <c r="CC17" i="1"/>
  <c r="CB17" i="1"/>
  <c r="BL17" i="1"/>
  <c r="Y60" i="1"/>
  <c r="X201" i="1"/>
  <c r="X203" i="1" s="1"/>
  <c r="X60" i="1"/>
  <c r="X62" i="1"/>
  <c r="Z201" i="1"/>
  <c r="Z203" i="1" s="1"/>
  <c r="Z207" i="1" s="1"/>
  <c r="Z221" i="1" s="1"/>
  <c r="Z215" i="1"/>
  <c r="Z213" i="1" s="1"/>
  <c r="Z62" i="1"/>
  <c r="Z60" i="1"/>
  <c r="CD33" i="1"/>
  <c r="CC53" i="1"/>
  <c r="CA16" i="1"/>
  <c r="CA239" i="1" s="1"/>
  <c r="CD47" i="1"/>
  <c r="AH7" i="6" s="1"/>
  <c r="CD43" i="1"/>
  <c r="CF44" i="1"/>
  <c r="BY53" i="1"/>
  <c r="BL53" i="1"/>
  <c r="CD54" i="1"/>
  <c r="AV7" i="6" s="1"/>
  <c r="CB28" i="1"/>
  <c r="R7" i="6" s="1"/>
  <c r="X7" i="6" s="1"/>
  <c r="CD53" i="1"/>
  <c r="CD23" i="1"/>
  <c r="V7" i="6" s="1"/>
  <c r="BY23" i="1"/>
  <c r="CB16" i="1"/>
  <c r="CB239" i="1" s="1"/>
  <c r="BY59" i="1"/>
  <c r="BL16" i="1"/>
  <c r="AW7" i="6" s="1"/>
  <c r="BY29" i="1"/>
  <c r="CA21" i="1"/>
  <c r="CB31" i="1"/>
  <c r="BZ44" i="1"/>
  <c r="O7" i="6" s="1"/>
  <c r="BL55" i="1"/>
  <c r="AQ7" i="6" s="1"/>
  <c r="CF16" i="1"/>
  <c r="JJ9" i="4" s="1"/>
  <c r="BY54" i="1"/>
  <c r="AM7" i="6" s="1"/>
  <c r="JM16" i="4" s="1"/>
  <c r="CF55" i="1"/>
  <c r="CA32" i="1"/>
  <c r="BL31" i="1"/>
  <c r="BL54" i="1"/>
  <c r="CF43" i="1"/>
  <c r="BL44" i="1"/>
  <c r="BZ53" i="1"/>
  <c r="CC33" i="1"/>
  <c r="CC29" i="1"/>
  <c r="JM9" i="4" s="1"/>
  <c r="CA29" i="1"/>
  <c r="JL16" i="4" s="1"/>
  <c r="BZ32" i="1"/>
  <c r="CB29" i="1"/>
  <c r="CC21" i="1"/>
  <c r="JK16" i="4" s="1"/>
  <c r="CA59" i="1"/>
  <c r="BZ22" i="1"/>
  <c r="CE23" i="1"/>
  <c r="CC22" i="1"/>
  <c r="C7" i="6" s="1"/>
  <c r="T7" i="6" s="1"/>
  <c r="BY32" i="1"/>
  <c r="CC54" i="1"/>
  <c r="CC16" i="1"/>
  <c r="CB43" i="1"/>
  <c r="JL9" i="4" s="1"/>
  <c r="CF47" i="1"/>
  <c r="AL7" i="6" s="1"/>
  <c r="BZ40" i="1"/>
  <c r="BZ202" i="1" s="1"/>
  <c r="BZ43" i="1"/>
  <c r="J7" i="6" s="1"/>
  <c r="BY55" i="1"/>
  <c r="Z7" i="6" s="1"/>
  <c r="BL28" i="1"/>
  <c r="CF21" i="1"/>
  <c r="CF31" i="1"/>
  <c r="BZ21" i="1"/>
  <c r="CA23" i="1"/>
  <c r="CD22" i="1"/>
  <c r="BL29" i="1"/>
  <c r="BY22" i="1"/>
  <c r="CE40" i="1"/>
  <c r="CE202" i="1" s="1"/>
  <c r="AD7" i="6" s="1"/>
  <c r="CF33" i="1"/>
  <c r="CE28" i="1"/>
  <c r="CA55" i="1"/>
  <c r="CD44" i="1"/>
  <c r="CB32" i="1"/>
  <c r="CD55" i="1"/>
  <c r="AP7" i="6" s="1"/>
  <c r="Y7" i="6" s="1"/>
  <c r="CA33" i="1"/>
  <c r="AA7" i="6" s="1"/>
  <c r="AJ7" i="6" s="1"/>
  <c r="BY16" i="1"/>
  <c r="BY31" i="1"/>
  <c r="CB47" i="1"/>
  <c r="CE33" i="1"/>
  <c r="I7" i="6" s="1"/>
  <c r="AK7" i="6" s="1"/>
  <c r="CE22" i="1"/>
  <c r="K7" i="6" s="1"/>
  <c r="F7" i="6" s="1"/>
  <c r="CB53" i="1"/>
  <c r="CF32" i="1"/>
  <c r="AC7" i="6" s="1"/>
  <c r="AE7" i="6" s="1"/>
  <c r="M7" i="6" s="1"/>
  <c r="Q7" i="6" s="1"/>
  <c r="CA54" i="1"/>
  <c r="BZ54" i="1"/>
  <c r="CA44" i="1"/>
  <c r="CF54" i="1"/>
  <c r="AU7" i="6" s="1"/>
  <c r="BL23" i="1"/>
  <c r="CE32" i="1"/>
  <c r="CB40" i="1"/>
  <c r="CB202" i="1" s="1"/>
  <c r="CC55" i="1"/>
  <c r="CC59" i="1"/>
  <c r="AX7" i="6" s="1"/>
  <c r="BZ31" i="1"/>
  <c r="AT7" i="6" s="1"/>
  <c r="S7" i="6" s="1"/>
  <c r="BY21" i="1"/>
  <c r="CE43" i="1"/>
  <c r="CA53" i="1"/>
  <c r="CB55" i="1"/>
  <c r="CA43" i="1"/>
  <c r="CF59" i="1"/>
  <c r="CF29" i="1"/>
  <c r="CA28" i="1"/>
  <c r="AN7" i="6" s="1"/>
  <c r="CE54" i="1"/>
  <c r="CC23" i="1"/>
  <c r="CE59" i="1"/>
  <c r="CF23" i="1"/>
  <c r="G7" i="6" s="1"/>
  <c r="BL40" i="1"/>
  <c r="AF7" i="6" s="1"/>
  <c r="CC28" i="1"/>
  <c r="CD28" i="1"/>
  <c r="JJ16" i="4" s="1"/>
  <c r="BY33" i="1"/>
  <c r="CB54" i="1"/>
  <c r="CE16" i="1"/>
  <c r="AB7" i="6" s="1"/>
  <c r="BL22" i="1"/>
  <c r="CD59" i="1"/>
  <c r="BY28" i="1"/>
  <c r="BZ23" i="1"/>
  <c r="CD29" i="1"/>
  <c r="L7" i="6" s="1"/>
  <c r="BL47" i="1"/>
  <c r="BZ16" i="1"/>
  <c r="BZ239" i="1" s="1"/>
  <c r="CA40" i="1"/>
  <c r="BZ47" i="1"/>
  <c r="BY40" i="1"/>
  <c r="BY202" i="1" s="1"/>
  <c r="AI7" i="6" s="1"/>
  <c r="CC47" i="1"/>
  <c r="D7" i="6" s="1"/>
  <c r="BZ29" i="1"/>
  <c r="AG7" i="6" s="1"/>
  <c r="BZ28" i="1"/>
  <c r="BL59" i="1"/>
  <c r="W7" i="6" s="1"/>
  <c r="CB59" i="1"/>
  <c r="CE55" i="1"/>
  <c r="CF28" i="1"/>
  <c r="CC31" i="1"/>
  <c r="CD31" i="1"/>
  <c r="CE21" i="1"/>
  <c r="BY43" i="1"/>
  <c r="CC43" i="1"/>
  <c r="BZ59" i="1"/>
  <c r="AS7" i="6" s="1"/>
  <c r="BZ55" i="1"/>
  <c r="CE44" i="1"/>
  <c r="CD21" i="1"/>
  <c r="BL43" i="1"/>
  <c r="CB22" i="1"/>
  <c r="CC40" i="1"/>
  <c r="CC202" i="1" s="1"/>
  <c r="BY47" i="1"/>
  <c r="H7" i="6" s="1"/>
  <c r="CA31" i="1"/>
  <c r="BZ33" i="1"/>
  <c r="CD16" i="1"/>
  <c r="CD239" i="1" s="1"/>
  <c r="AR7" i="6" s="1"/>
  <c r="CF22" i="1"/>
  <c r="BL21" i="1"/>
  <c r="BL32" i="1"/>
  <c r="JK9" i="4" s="1"/>
  <c r="AO7" i="6" s="1"/>
  <c r="CA47" i="1"/>
  <c r="BL33" i="1"/>
  <c r="CA22" i="1"/>
  <c r="CE53" i="1"/>
  <c r="CD32" i="1"/>
  <c r="P7" i="6" s="1"/>
  <c r="E7" i="6" s="1"/>
  <c r="U7" i="6" s="1"/>
  <c r="CC32" i="1"/>
  <c r="AY7" i="6" s="1"/>
  <c r="CD40" i="1"/>
  <c r="CB23" i="1"/>
  <c r="CC44" i="1"/>
  <c r="CB44" i="1"/>
  <c r="CE31" i="1"/>
  <c r="CE29" i="1"/>
  <c r="CF40" i="1"/>
  <c r="CF202" i="1" s="1"/>
  <c r="CB33" i="1"/>
  <c r="BY44" i="1"/>
  <c r="CF53" i="1"/>
  <c r="N7" i="6" s="1"/>
  <c r="CO48" i="1"/>
  <c r="CP48" i="1" s="1"/>
  <c r="CQ25" i="1"/>
  <c r="CI137" i="1"/>
  <c r="CI100" i="1"/>
  <c r="CS132" i="1"/>
  <c r="CR188" i="1"/>
  <c r="CR191" i="1"/>
  <c r="CR187" i="1"/>
  <c r="CJ215" i="1"/>
  <c r="CJ213" i="1" s="1"/>
  <c r="CJ63" i="1"/>
  <c r="CI215" i="1"/>
  <c r="CI213" i="1" s="1"/>
  <c r="AC54" i="1"/>
  <c r="CV54" i="1"/>
  <c r="CW54" i="1" s="1"/>
  <c r="CX54" i="1" s="1"/>
  <c r="CY54" i="1" s="1"/>
  <c r="AD43" i="1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0" i="3"/>
  <c r="AU83" i="3"/>
  <c r="AF47" i="3"/>
  <c r="AT56" i="3"/>
  <c r="AX83" i="3"/>
  <c r="AV86" i="3"/>
  <c r="AT88" i="3"/>
  <c r="C92" i="3"/>
  <c r="AX61" i="3"/>
  <c r="AS64" i="3"/>
  <c r="AY67" i="3"/>
  <c r="AU65" i="3"/>
  <c r="AY74" i="3"/>
  <c r="AT55" i="3"/>
  <c r="AY94" i="3"/>
  <c r="AS83" i="3"/>
  <c r="AT96" i="3"/>
  <c r="AF86" i="3"/>
  <c r="AW63" i="3"/>
  <c r="AT92" i="3"/>
  <c r="AV97" i="3"/>
  <c r="AU77" i="3"/>
  <c r="AS78" i="3"/>
  <c r="AU85" i="3"/>
  <c r="AS93" i="3"/>
  <c r="AU63" i="3"/>
  <c r="AX62" i="3"/>
  <c r="AT63" i="3"/>
  <c r="AW92" i="3"/>
  <c r="AU48" i="3"/>
  <c r="AX82" i="3"/>
  <c r="AW65" i="3"/>
  <c r="AF55" i="3"/>
  <c r="AZ55" i="3"/>
  <c r="C79" i="3"/>
  <c r="C83" i="3"/>
  <c r="AT90" i="3"/>
  <c r="AV90" i="3"/>
  <c r="AZ77" i="3"/>
  <c r="AU75" i="3"/>
  <c r="AW95" i="3"/>
  <c r="C84" i="3"/>
  <c r="AW67" i="3"/>
  <c r="AZ50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S59" i="3"/>
  <c r="AV80" i="3"/>
  <c r="AV50" i="3"/>
  <c r="C65" i="3"/>
  <c r="C78" i="3"/>
  <c r="AU87" i="3"/>
  <c r="AW89" i="3"/>
  <c r="AF49" i="3"/>
  <c r="AY56" i="3"/>
  <c r="C77" i="3"/>
  <c r="C67" i="3"/>
  <c r="AY85" i="3"/>
  <c r="AU88" i="3"/>
  <c r="AU84" i="3"/>
  <c r="AS75" i="3"/>
  <c r="AZ90" i="3"/>
  <c r="AV69" i="3"/>
  <c r="AU55" i="3"/>
  <c r="AY95" i="3"/>
  <c r="AF63" i="3"/>
  <c r="AZ60" i="3"/>
  <c r="AY54" i="3"/>
  <c r="AS55" i="3"/>
  <c r="AV92" i="3"/>
  <c r="AS48" i="3"/>
  <c r="AF59" i="3"/>
  <c r="AF64" i="3"/>
  <c r="AF61" i="3"/>
  <c r="AF95" i="3"/>
  <c r="AZ67" i="3"/>
  <c r="AV67" i="3"/>
  <c r="AU71" i="3"/>
  <c r="C5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X63" i="3"/>
  <c r="AS86" i="3"/>
  <c r="AX84" i="3"/>
  <c r="AW75" i="3"/>
  <c r="AY76" i="3"/>
  <c r="AU95" i="3"/>
  <c r="AT59" i="3"/>
  <c r="AW96" i="3"/>
  <c r="AY55" i="3"/>
  <c r="AU72" i="3"/>
  <c r="AT71" i="3"/>
  <c r="AW77" i="3"/>
  <c r="AX67" i="3"/>
  <c r="AZ49" i="3"/>
  <c r="AV84" i="3"/>
  <c r="AV82" i="3"/>
  <c r="AW87" i="3"/>
  <c r="AT86" i="3"/>
  <c r="AX79" i="3"/>
  <c r="C74" i="3"/>
  <c r="AF89" i="3"/>
  <c r="AT54" i="3"/>
  <c r="AU81" i="3"/>
  <c r="AF92" i="3"/>
  <c r="AZ66" i="3"/>
  <c r="AF74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F80" i="3"/>
  <c r="AW70" i="3"/>
  <c r="AX81" i="3"/>
  <c r="AW58" i="3"/>
  <c r="AY62" i="3"/>
  <c r="AS58" i="3"/>
  <c r="AZ54" i="3"/>
  <c r="AU80" i="3"/>
  <c r="AT87" i="3"/>
  <c r="C93" i="3"/>
  <c r="AX49" i="3"/>
  <c r="AY68" i="3"/>
  <c r="AV77" i="3"/>
  <c r="AS67" i="3"/>
  <c r="AW76" i="3"/>
  <c r="AX74" i="3"/>
  <c r="AX66" i="3"/>
  <c r="AS73" i="3"/>
  <c r="AZ84" i="3"/>
  <c r="AY71" i="3"/>
  <c r="AX89" i="3"/>
  <c r="AU58" i="3"/>
  <c r="AZ82" i="3"/>
  <c r="AU91" i="3"/>
  <c r="AW74" i="3"/>
  <c r="AT68" i="3"/>
  <c r="AZ97" i="3"/>
  <c r="AV87" i="3"/>
  <c r="AT78" i="3"/>
  <c r="AT79" i="3"/>
  <c r="AW90" i="3"/>
  <c r="C80" i="3"/>
  <c r="AY84" i="3"/>
  <c r="AS70" i="3"/>
  <c r="AT7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C94" i="3"/>
  <c r="AF58" i="3"/>
  <c r="AV85" i="3"/>
  <c r="AT49" i="3"/>
  <c r="AF85" i="3"/>
  <c r="AW54" i="3"/>
  <c r="AX58" i="3"/>
  <c r="AV89" i="3"/>
  <c r="AY48" i="3"/>
  <c r="C90" i="3"/>
  <c r="AZ71" i="3"/>
  <c r="AZ93" i="3"/>
  <c r="AT65" i="3"/>
  <c r="AX75" i="3"/>
  <c r="AY73" i="3"/>
  <c r="AY50" i="3"/>
  <c r="AW62" i="3"/>
  <c r="C61" i="3"/>
  <c r="AW55" i="3"/>
  <c r="AF76" i="3"/>
  <c r="AT64" i="3"/>
  <c r="C50" i="3"/>
  <c r="AV48" i="3"/>
  <c r="AX57" i="3"/>
  <c r="AX60" i="3"/>
  <c r="AS56" i="3"/>
  <c r="AY87" i="3"/>
  <c r="C70" i="3"/>
  <c r="AZ61" i="3"/>
  <c r="AX69" i="3"/>
  <c r="AW69" i="3"/>
  <c r="C56" i="3"/>
  <c r="AV55" i="3"/>
  <c r="AU47" i="3"/>
  <c r="AF69" i="3"/>
  <c r="AT84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Z89" i="3"/>
  <c r="C72" i="3"/>
  <c r="C55" i="3"/>
  <c r="AV71" i="3"/>
  <c r="AF60" i="3"/>
  <c r="AY75" i="3"/>
  <c r="AX88" i="3"/>
  <c r="AV91" i="3"/>
  <c r="AS89" i="3"/>
  <c r="AU57" i="3"/>
  <c r="AT83" i="3"/>
  <c r="AX70" i="3"/>
  <c r="AY69" i="3"/>
  <c r="AV49" i="3"/>
  <c r="C73" i="3"/>
  <c r="AV96" i="3"/>
  <c r="AF62" i="3"/>
  <c r="AF66" i="3"/>
  <c r="AZ68" i="3"/>
  <c r="AZ75" i="3"/>
  <c r="C88" i="3"/>
  <c r="AF83" i="3"/>
  <c r="AU69" i="3"/>
  <c r="AT62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Z62" i="3"/>
  <c r="AV58" i="3"/>
  <c r="AS50" i="3"/>
  <c r="AZ74" i="3"/>
  <c r="AS65" i="3"/>
  <c r="AS63" i="3"/>
  <c r="AZ76" i="3"/>
  <c r="AT91" i="3"/>
  <c r="AV93" i="3"/>
  <c r="AS54" i="3"/>
  <c r="AZ72" i="3"/>
  <c r="AF73" i="3"/>
  <c r="C75" i="3"/>
  <c r="AV72" i="3"/>
  <c r="AZ58" i="3"/>
  <c r="AU68" i="3"/>
  <c r="AF97" i="3"/>
  <c r="AZ96" i="3"/>
  <c r="AW68" i="3"/>
  <c r="AV68" i="3"/>
  <c r="AF67" i="3"/>
  <c r="AU78" i="3"/>
  <c r="AT61" i="3"/>
  <c r="AV66" i="3"/>
  <c r="AT57" i="3"/>
  <c r="AW88" i="3"/>
  <c r="AC139" i="1" l="1"/>
  <c r="CU139" i="1"/>
  <c r="CV139" i="1" s="1"/>
  <c r="CW139" i="1" s="1"/>
  <c r="CX139" i="1" s="1"/>
  <c r="CL93" i="1"/>
  <c r="CL95" i="1"/>
  <c r="CL94" i="1"/>
  <c r="Y62" i="1"/>
  <c r="Y215" i="1"/>
  <c r="Y213" i="1" s="1"/>
  <c r="CC239" i="1"/>
  <c r="CC5" i="1"/>
  <c r="CR148" i="1"/>
  <c r="CR210" i="1" s="1"/>
  <c r="CK77" i="1"/>
  <c r="CK94" i="1" s="1"/>
  <c r="CJ77" i="1"/>
  <c r="CJ93" i="1" s="1"/>
  <c r="CQ192" i="1"/>
  <c r="CP193" i="1"/>
  <c r="CO190" i="1"/>
  <c r="CO194" i="1" s="1"/>
  <c r="CP189" i="1"/>
  <c r="CR133" i="1"/>
  <c r="CQ136" i="1"/>
  <c r="CQ257" i="1" s="1"/>
  <c r="CP214" i="1"/>
  <c r="BZ133" i="1"/>
  <c r="CA133" i="1" s="1"/>
  <c r="BL81" i="1"/>
  <c r="CF82" i="1"/>
  <c r="CB154" i="1"/>
  <c r="CC154" i="1" s="1"/>
  <c r="CD161" i="1"/>
  <c r="CD191" i="1" s="1"/>
  <c r="CE191" i="1" s="1"/>
  <c r="CB172" i="1"/>
  <c r="CC172" i="1" s="1"/>
  <c r="BL132" i="1"/>
  <c r="BM132" i="1" s="1"/>
  <c r="CD141" i="1"/>
  <c r="CD132" i="1"/>
  <c r="CE132" i="1" s="1"/>
  <c r="CF135" i="1"/>
  <c r="CG135" i="1" s="1"/>
  <c r="CB135" i="1"/>
  <c r="CC135" i="1" s="1"/>
  <c r="CB160" i="1"/>
  <c r="CC160" i="1" s="1"/>
  <c r="CB152" i="1"/>
  <c r="CB187" i="1" s="1"/>
  <c r="CC187" i="1" s="1"/>
  <c r="BZ161" i="1"/>
  <c r="BZ191" i="1" s="1"/>
  <c r="CA191" i="1" s="1"/>
  <c r="BZ172" i="1"/>
  <c r="CA172" i="1" s="1"/>
  <c r="BZ162" i="1"/>
  <c r="CA162" i="1" s="1"/>
  <c r="BZ168" i="1"/>
  <c r="BZ158" i="1"/>
  <c r="CA158" i="1" s="1"/>
  <c r="BZ140" i="1"/>
  <c r="BL153" i="1"/>
  <c r="BL188" i="1" s="1"/>
  <c r="BM188" i="1" s="1"/>
  <c r="BL161" i="1"/>
  <c r="BL191" i="1" s="1"/>
  <c r="BM191" i="1" s="1"/>
  <c r="BL130" i="1"/>
  <c r="BM130" i="1" s="1"/>
  <c r="CA81" i="1"/>
  <c r="CF81" i="1"/>
  <c r="CF154" i="1"/>
  <c r="CG154" i="1" s="1"/>
  <c r="CF141" i="1"/>
  <c r="CB82" i="1"/>
  <c r="CF152" i="1"/>
  <c r="CF187" i="1" s="1"/>
  <c r="CG187" i="1" s="1"/>
  <c r="CG152" i="1" s="1"/>
  <c r="CF130" i="1"/>
  <c r="CG130" i="1" s="1"/>
  <c r="CB157" i="1"/>
  <c r="CC157" i="1" s="1"/>
  <c r="CF172" i="1"/>
  <c r="CG172" i="1" s="1"/>
  <c r="CB133" i="1"/>
  <c r="CC133" i="1" s="1"/>
  <c r="CB171" i="1"/>
  <c r="CC171" i="1" s="1"/>
  <c r="CD82" i="1"/>
  <c r="CB167" i="1"/>
  <c r="CD153" i="1"/>
  <c r="CD188" i="1" s="1"/>
  <c r="CE188" i="1" s="1"/>
  <c r="CD130" i="1"/>
  <c r="CE130" i="1" s="1"/>
  <c r="BL133" i="1"/>
  <c r="CD139" i="1"/>
  <c r="CD159" i="1"/>
  <c r="CE159" i="1" s="1"/>
  <c r="CD167" i="1"/>
  <c r="CD150" i="1"/>
  <c r="CE150" i="1" s="1"/>
  <c r="CF148" i="1"/>
  <c r="CF134" i="1"/>
  <c r="CG134" i="1" s="1"/>
  <c r="CB150" i="1"/>
  <c r="CC150" i="1" s="1"/>
  <c r="BL162" i="1"/>
  <c r="BM162" i="1" s="1"/>
  <c r="BL171" i="1"/>
  <c r="BM171" i="1" s="1"/>
  <c r="BL172" i="1"/>
  <c r="CB134" i="1"/>
  <c r="CC134" i="1" s="1"/>
  <c r="CE82" i="1"/>
  <c r="BZ167" i="1"/>
  <c r="BZ171" i="1"/>
  <c r="CA171" i="1" s="1"/>
  <c r="BZ127" i="1"/>
  <c r="BZ135" i="1"/>
  <c r="CA135" i="1" s="1"/>
  <c r="CF153" i="1"/>
  <c r="CF188" i="1" s="1"/>
  <c r="CG188" i="1" s="1"/>
  <c r="CG153" i="1" s="1"/>
  <c r="CF140" i="1"/>
  <c r="CF157" i="1"/>
  <c r="CB127" i="1"/>
  <c r="CB153" i="1"/>
  <c r="CB188" i="1" s="1"/>
  <c r="CC188" i="1" s="1"/>
  <c r="CD168" i="1"/>
  <c r="CD160" i="1"/>
  <c r="CE160" i="1" s="1"/>
  <c r="CB81" i="1"/>
  <c r="BZ163" i="1"/>
  <c r="CA163" i="1" s="1"/>
  <c r="BZ141" i="1"/>
  <c r="BZ125" i="1"/>
  <c r="BZ155" i="1"/>
  <c r="CA155" i="1" s="1"/>
  <c r="BZ82" i="1"/>
  <c r="BZ132" i="1"/>
  <c r="CA132" i="1" s="1"/>
  <c r="BZ134" i="1"/>
  <c r="CA134" i="1" s="1"/>
  <c r="BZ150" i="1"/>
  <c r="CA150" i="1" s="1"/>
  <c r="BZ139" i="1"/>
  <c r="BL141" i="1"/>
  <c r="BL157" i="1"/>
  <c r="BM157" i="1" s="1"/>
  <c r="CF132" i="1"/>
  <c r="CF161" i="1"/>
  <c r="CF191" i="1" s="1"/>
  <c r="CG191" i="1" s="1"/>
  <c r="CG161" i="1" s="1"/>
  <c r="CD162" i="1"/>
  <c r="CE162" i="1" s="1"/>
  <c r="CF162" i="1"/>
  <c r="CG162" i="1" s="1"/>
  <c r="CB139" i="1"/>
  <c r="CB162" i="1"/>
  <c r="CC162" i="1" s="1"/>
  <c r="BY82" i="1"/>
  <c r="CD171" i="1"/>
  <c r="CE171" i="1" s="1"/>
  <c r="CD143" i="1"/>
  <c r="CE143" i="1" s="1"/>
  <c r="BL168" i="1"/>
  <c r="CB161" i="1"/>
  <c r="CB191" i="1" s="1"/>
  <c r="CC191" i="1" s="1"/>
  <c r="CB126" i="1"/>
  <c r="CC126" i="1" s="1"/>
  <c r="BL158" i="1"/>
  <c r="BM158" i="1" s="1"/>
  <c r="CD135" i="1"/>
  <c r="CE135" i="1" s="1"/>
  <c r="CD155" i="1"/>
  <c r="CE155" i="1" s="1"/>
  <c r="CD127" i="1"/>
  <c r="CD154" i="1"/>
  <c r="CE154" i="1" s="1"/>
  <c r="CD163" i="1"/>
  <c r="CE163" i="1" s="1"/>
  <c r="CD148" i="1"/>
  <c r="CE148" i="1" s="1"/>
  <c r="CF125" i="1"/>
  <c r="CF126" i="1"/>
  <c r="CG126" i="1" s="1"/>
  <c r="CF159" i="1"/>
  <c r="CG159" i="1" s="1"/>
  <c r="CF171" i="1"/>
  <c r="CG171" i="1" s="1"/>
  <c r="CB168" i="1"/>
  <c r="CB148" i="1"/>
  <c r="AI82" i="1"/>
  <c r="BL155" i="1"/>
  <c r="BM155" i="1" s="1"/>
  <c r="BL143" i="1"/>
  <c r="BM143" i="1" s="1"/>
  <c r="BL134" i="1"/>
  <c r="BM134" i="1" s="1"/>
  <c r="CB132" i="1"/>
  <c r="CC132" i="1" s="1"/>
  <c r="BL154" i="1"/>
  <c r="BM154" i="1" s="1"/>
  <c r="BZ143" i="1"/>
  <c r="CA143" i="1" s="1"/>
  <c r="BZ81" i="1"/>
  <c r="BL160" i="1"/>
  <c r="BM160" i="1" s="1"/>
  <c r="CB140" i="1"/>
  <c r="CF155" i="1"/>
  <c r="CG155" i="1" s="1"/>
  <c r="CB155" i="1"/>
  <c r="CC155" i="1" s="1"/>
  <c r="CD81" i="1"/>
  <c r="CC82" i="1"/>
  <c r="CD126" i="1"/>
  <c r="CE126" i="1" s="1"/>
  <c r="BL127" i="1"/>
  <c r="CD133" i="1"/>
  <c r="CE133" i="1" s="1"/>
  <c r="CF167" i="1"/>
  <c r="CF160" i="1"/>
  <c r="CG160" i="1" s="1"/>
  <c r="CE81" i="1"/>
  <c r="BZ153" i="1"/>
  <c r="BZ188" i="1" s="1"/>
  <c r="CA188" i="1" s="1"/>
  <c r="BZ130" i="1"/>
  <c r="CA130" i="1" s="1"/>
  <c r="BZ152" i="1"/>
  <c r="BZ187" i="1" s="1"/>
  <c r="CA187" i="1" s="1"/>
  <c r="BZ126" i="1"/>
  <c r="CA126" i="1" s="1"/>
  <c r="BZ157" i="1"/>
  <c r="BZ159" i="1"/>
  <c r="CA159" i="1" s="1"/>
  <c r="BZ154" i="1"/>
  <c r="CA154" i="1" s="1"/>
  <c r="BZ148" i="1"/>
  <c r="CA148" i="1" s="1"/>
  <c r="BZ160" i="1"/>
  <c r="CA160" i="1" s="1"/>
  <c r="BL163" i="1"/>
  <c r="BM163" i="1" s="1"/>
  <c r="BL152" i="1"/>
  <c r="BL187" i="1" s="1"/>
  <c r="BM187" i="1" s="1"/>
  <c r="BL139" i="1"/>
  <c r="BL140" i="1"/>
  <c r="CA82" i="1"/>
  <c r="CF163" i="1"/>
  <c r="CG163" i="1" s="1"/>
  <c r="CF158" i="1"/>
  <c r="CG158" i="1" s="1"/>
  <c r="CF168" i="1"/>
  <c r="CB125" i="1"/>
  <c r="CC125" i="1" s="1"/>
  <c r="CF139" i="1"/>
  <c r="CF127" i="1"/>
  <c r="CG127" i="1" s="1"/>
  <c r="CF133" i="1"/>
  <c r="CG133" i="1" s="1"/>
  <c r="CD134" i="1"/>
  <c r="CE134" i="1" s="1"/>
  <c r="CB163" i="1"/>
  <c r="CC163" i="1" s="1"/>
  <c r="CB143" i="1"/>
  <c r="CC143" i="1" s="1"/>
  <c r="CB159" i="1"/>
  <c r="CC159" i="1" s="1"/>
  <c r="CD125" i="1"/>
  <c r="BL148" i="1"/>
  <c r="CB141" i="1"/>
  <c r="BL135" i="1"/>
  <c r="BM135" i="1" s="1"/>
  <c r="CD140" i="1"/>
  <c r="CD152" i="1"/>
  <c r="CD187" i="1" s="1"/>
  <c r="CE187" i="1" s="1"/>
  <c r="CD158" i="1"/>
  <c r="CE158" i="1" s="1"/>
  <c r="CD157" i="1"/>
  <c r="CE157" i="1" s="1"/>
  <c r="CD172" i="1"/>
  <c r="CE172" i="1" s="1"/>
  <c r="CF143" i="1"/>
  <c r="CG143" i="1" s="1"/>
  <c r="CF150" i="1"/>
  <c r="CG150" i="1" s="1"/>
  <c r="CC81" i="1"/>
  <c r="CB158" i="1"/>
  <c r="CC158" i="1" s="1"/>
  <c r="CB130" i="1"/>
  <c r="CC130" i="1" s="1"/>
  <c r="BL167" i="1"/>
  <c r="BL125" i="1"/>
  <c r="BM125" i="1" s="1"/>
  <c r="BL159" i="1"/>
  <c r="BM159" i="1" s="1"/>
  <c r="BL150" i="1"/>
  <c r="BM150" i="1" s="1"/>
  <c r="BL126" i="1"/>
  <c r="BM126" i="1" s="1"/>
  <c r="BL261" i="1"/>
  <c r="CH106" i="1"/>
  <c r="CH107" i="1" s="1"/>
  <c r="CB145" i="1"/>
  <c r="CC145" i="1" s="1"/>
  <c r="CF145" i="1"/>
  <c r="CG145" i="1" s="1"/>
  <c r="CD145" i="1"/>
  <c r="CE145" i="1" s="1"/>
  <c r="BL145" i="1"/>
  <c r="BM145" i="1" s="1"/>
  <c r="BZ145" i="1"/>
  <c r="CA145" i="1" s="1"/>
  <c r="BL151" i="1"/>
  <c r="CD151" i="1"/>
  <c r="CB151" i="1"/>
  <c r="CF151" i="1"/>
  <c r="BZ151" i="1"/>
  <c r="CA260" i="1"/>
  <c r="JJ21" i="4"/>
  <c r="CD85" i="1" s="1"/>
  <c r="CA18" i="1"/>
  <c r="CA24" i="1" s="1"/>
  <c r="CA25" i="1" s="1"/>
  <c r="JK14" i="4"/>
  <c r="BL18" i="1"/>
  <c r="BL24" i="1" s="1"/>
  <c r="BY18" i="1"/>
  <c r="BY24" i="1" s="1"/>
  <c r="BL202" i="1"/>
  <c r="CF18" i="1"/>
  <c r="AA66" i="1" s="1"/>
  <c r="CF260" i="1"/>
  <c r="JL21" i="4"/>
  <c r="CF85" i="1" s="1"/>
  <c r="Y218" i="1"/>
  <c r="Y219" i="1" s="1"/>
  <c r="CF106" i="1"/>
  <c r="CF107" i="1" s="1"/>
  <c r="CB34" i="1"/>
  <c r="CE239" i="1"/>
  <c r="CC261" i="1"/>
  <c r="CA34" i="1"/>
  <c r="CE260" i="1"/>
  <c r="CC260" i="1"/>
  <c r="JM7" i="4"/>
  <c r="CA261" i="1"/>
  <c r="JJ8" i="4"/>
  <c r="Z218" i="1"/>
  <c r="Z219" i="1" s="1"/>
  <c r="CF34" i="1"/>
  <c r="BZ260" i="1"/>
  <c r="BZ18" i="1"/>
  <c r="CA202" i="1"/>
  <c r="CD261" i="1"/>
  <c r="CB106" i="1"/>
  <c r="CB107" i="1" s="1"/>
  <c r="JK21" i="4"/>
  <c r="CE85" i="1" s="1"/>
  <c r="JK15" i="4"/>
  <c r="CD260" i="1"/>
  <c r="JL14" i="4"/>
  <c r="CC34" i="1"/>
  <c r="BY34" i="1"/>
  <c r="CI106" i="1"/>
  <c r="CI107" i="1" s="1"/>
  <c r="CI110" i="1" s="1"/>
  <c r="CF239" i="1"/>
  <c r="BY261" i="1"/>
  <c r="JL8" i="4"/>
  <c r="CE34" i="1"/>
  <c r="BL260" i="1"/>
  <c r="CE106" i="1"/>
  <c r="CE107" i="1" s="1"/>
  <c r="CD18" i="1"/>
  <c r="CC18" i="1"/>
  <c r="CD202" i="1"/>
  <c r="CE18" i="1"/>
  <c r="CE8" i="1" s="1"/>
  <c r="CG106" i="1"/>
  <c r="CG107" i="1" s="1"/>
  <c r="CD106" i="1"/>
  <c r="CD107" i="1" s="1"/>
  <c r="CB18" i="1"/>
  <c r="CB24" i="1" s="1"/>
  <c r="CB260" i="1"/>
  <c r="CC106" i="1"/>
  <c r="CC107" i="1" s="1"/>
  <c r="JJ15" i="4"/>
  <c r="CB261" i="1"/>
  <c r="BY260" i="1"/>
  <c r="CD34" i="1"/>
  <c r="JM8" i="4"/>
  <c r="JL7" i="4"/>
  <c r="CF261" i="1"/>
  <c r="JJ7" i="4"/>
  <c r="JK8" i="4"/>
  <c r="JM21" i="4"/>
  <c r="CG85" i="1" s="1"/>
  <c r="BZ261" i="1"/>
  <c r="CE261" i="1"/>
  <c r="JK7" i="4"/>
  <c r="BL34" i="1"/>
  <c r="JL15" i="4"/>
  <c r="BZ34" i="1"/>
  <c r="JM14" i="4"/>
  <c r="JM15" i="4"/>
  <c r="JJ14" i="4"/>
  <c r="CQ48" i="1"/>
  <c r="CR48" i="1" s="1"/>
  <c r="CI102" i="1"/>
  <c r="CI104" i="1"/>
  <c r="CI103" i="1"/>
  <c r="CR25" i="1"/>
  <c r="CS25" i="1" s="1"/>
  <c r="CS188" i="1"/>
  <c r="CS191" i="1"/>
  <c r="CS187" i="1"/>
  <c r="CT132" i="1"/>
  <c r="AD54" i="1"/>
  <c r="CZ54" i="1"/>
  <c r="DA54" i="1" s="1"/>
  <c r="DB54" i="1" s="1"/>
  <c r="AE43" i="1"/>
  <c r="U16" i="1"/>
  <c r="V16" i="1"/>
  <c r="W16" i="1"/>
  <c r="CJ95" i="1" l="1"/>
  <c r="CK93" i="1"/>
  <c r="CF8" i="1"/>
  <c r="AD139" i="1"/>
  <c r="CY139" i="1"/>
  <c r="CZ139" i="1" s="1"/>
  <c r="DA139" i="1" s="1"/>
  <c r="DB139" i="1" s="1"/>
  <c r="AE139" i="1" s="1"/>
  <c r="CG11" i="1"/>
  <c r="CC7" i="1"/>
  <c r="CC8" i="1" s="1"/>
  <c r="CD24" i="1"/>
  <c r="CH26" i="1" s="1"/>
  <c r="CD8" i="1"/>
  <c r="CJ94" i="1"/>
  <c r="CS148" i="1"/>
  <c r="CK95" i="1"/>
  <c r="CQ193" i="1"/>
  <c r="CR192" i="1"/>
  <c r="CP190" i="1"/>
  <c r="CP194" i="1" s="1"/>
  <c r="CQ189" i="1"/>
  <c r="CS133" i="1"/>
  <c r="CR136" i="1"/>
  <c r="CR257" i="1" s="1"/>
  <c r="CQ214" i="1"/>
  <c r="BZ169" i="1"/>
  <c r="BL169" i="1"/>
  <c r="CB210" i="1"/>
  <c r="CA125" i="1"/>
  <c r="BZ128" i="1"/>
  <c r="BZ100" i="1" s="1"/>
  <c r="BL128" i="1"/>
  <c r="BL100" i="1" s="1"/>
  <c r="CB169" i="1"/>
  <c r="CC217" i="1" s="1"/>
  <c r="CG132" i="1"/>
  <c r="CG136" i="1" s="1"/>
  <c r="CF136" i="1"/>
  <c r="CD142" i="1"/>
  <c r="CE41" i="1" s="1"/>
  <c r="CC148" i="1"/>
  <c r="CD210" i="1" s="1"/>
  <c r="CC210" i="1"/>
  <c r="CE125" i="1"/>
  <c r="CD128" i="1"/>
  <c r="CD100" i="1" s="1"/>
  <c r="CD102" i="1" s="1"/>
  <c r="BM148" i="1"/>
  <c r="BM210" i="1" s="1"/>
  <c r="CD169" i="1"/>
  <c r="CF210" i="1"/>
  <c r="CE136" i="1"/>
  <c r="BM133" i="1"/>
  <c r="BM136" i="1" s="1"/>
  <c r="BL136" i="1"/>
  <c r="CG148" i="1"/>
  <c r="CG157" i="1"/>
  <c r="CG164" i="1" s="1"/>
  <c r="CF164" i="1"/>
  <c r="CF193" i="1" s="1"/>
  <c r="CF192" i="1" s="1"/>
  <c r="CG125" i="1"/>
  <c r="CG128" i="1" s="1"/>
  <c r="CF128" i="1"/>
  <c r="CF100" i="1" s="1"/>
  <c r="CF102" i="1" s="1"/>
  <c r="CA157" i="1"/>
  <c r="BZ164" i="1"/>
  <c r="BZ193" i="1" s="1"/>
  <c r="BZ192" i="1" s="1"/>
  <c r="BZ142" i="1"/>
  <c r="BZ146" i="1" s="1"/>
  <c r="CA136" i="1"/>
  <c r="CB142" i="1"/>
  <c r="CF169" i="1"/>
  <c r="BL142" i="1"/>
  <c r="CF142" i="1"/>
  <c r="CF146" i="1" s="1"/>
  <c r="CC136" i="1"/>
  <c r="CB136" i="1"/>
  <c r="CE210" i="1"/>
  <c r="BZ136" i="1"/>
  <c r="CB164" i="1"/>
  <c r="CB193" i="1" s="1"/>
  <c r="CB192" i="1" s="1"/>
  <c r="BL164" i="1"/>
  <c r="BL193" i="1" s="1"/>
  <c r="BL192" i="1" s="1"/>
  <c r="CD164" i="1"/>
  <c r="CD193" i="1" s="1"/>
  <c r="CD192" i="1" s="1"/>
  <c r="CB128" i="1"/>
  <c r="CD136" i="1"/>
  <c r="CH110" i="1"/>
  <c r="CH111" i="1"/>
  <c r="CH112" i="1"/>
  <c r="BM151" i="1"/>
  <c r="BL156" i="1"/>
  <c r="CE151" i="1"/>
  <c r="CD156" i="1"/>
  <c r="CC151" i="1"/>
  <c r="CB156" i="1"/>
  <c r="CG151" i="1"/>
  <c r="CG156" i="1" s="1"/>
  <c r="CG190" i="1" s="1"/>
  <c r="CG189" i="1" s="1"/>
  <c r="CF156" i="1"/>
  <c r="CA151" i="1"/>
  <c r="BZ156" i="1"/>
  <c r="CD110" i="1"/>
  <c r="CA35" i="1"/>
  <c r="CA20" i="1"/>
  <c r="JK19" i="4"/>
  <c r="CE86" i="1" s="1"/>
  <c r="BL35" i="1"/>
  <c r="CC19" i="1"/>
  <c r="CC35" i="1"/>
  <c r="CI233" i="1"/>
  <c r="CF24" i="1"/>
  <c r="AA67" i="1" s="1"/>
  <c r="CG20" i="1"/>
  <c r="CJ19" i="1"/>
  <c r="BY35" i="1"/>
  <c r="JL20" i="4"/>
  <c r="CF87" i="1" s="1"/>
  <c r="CF112" i="1" s="1"/>
  <c r="BZ24" i="1"/>
  <c r="CD26" i="1" s="1"/>
  <c r="CF35" i="1"/>
  <c r="Y66" i="1"/>
  <c r="JJ19" i="4"/>
  <c r="CD86" i="1" s="1"/>
  <c r="CD115" i="1" s="1"/>
  <c r="JM20" i="4"/>
  <c r="CG87" i="1" s="1"/>
  <c r="CD35" i="1"/>
  <c r="JM19" i="4"/>
  <c r="CG86" i="1" s="1"/>
  <c r="CE161" i="1"/>
  <c r="CE164" i="1" s="1"/>
  <c r="CE193" i="1" s="1"/>
  <c r="CE192" i="1" s="1"/>
  <c r="CF110" i="1"/>
  <c r="JJ20" i="4"/>
  <c r="CD87" i="1" s="1"/>
  <c r="CD116" i="1" s="1"/>
  <c r="JL19" i="4"/>
  <c r="CF86" i="1" s="1"/>
  <c r="JK20" i="4"/>
  <c r="CE87" i="1" s="1"/>
  <c r="CE116" i="1" s="1"/>
  <c r="CA36" i="1"/>
  <c r="CA240" i="1" s="1"/>
  <c r="CA241" i="1" s="1"/>
  <c r="CD196" i="1"/>
  <c r="CD19" i="1"/>
  <c r="BZ20" i="1"/>
  <c r="CD233" i="1"/>
  <c r="BZ35" i="1"/>
  <c r="CE152" i="1"/>
  <c r="CE196" i="1"/>
  <c r="CG196" i="1"/>
  <c r="CF19" i="1"/>
  <c r="CH233" i="1"/>
  <c r="CJ196" i="1"/>
  <c r="CE35" i="1"/>
  <c r="CC24" i="1"/>
  <c r="CC27" i="1" s="1"/>
  <c r="CF233" i="1"/>
  <c r="CB20" i="1"/>
  <c r="CH252" i="1"/>
  <c r="Z66" i="1"/>
  <c r="CE19" i="1"/>
  <c r="CG110" i="1"/>
  <c r="CE110" i="1"/>
  <c r="CG233" i="1"/>
  <c r="CF20" i="1"/>
  <c r="CF196" i="1"/>
  <c r="CE233" i="1"/>
  <c r="CC20" i="1"/>
  <c r="CC233" i="1"/>
  <c r="CE153" i="1"/>
  <c r="CB35" i="1"/>
  <c r="CB25" i="1"/>
  <c r="CB36" i="1"/>
  <c r="CB27" i="1"/>
  <c r="CD20" i="1"/>
  <c r="CH19" i="1"/>
  <c r="CI196" i="1"/>
  <c r="CI111" i="1"/>
  <c r="CE24" i="1"/>
  <c r="CI19" i="1"/>
  <c r="CI112" i="1"/>
  <c r="CG19" i="1"/>
  <c r="CE20" i="1"/>
  <c r="CH196" i="1"/>
  <c r="CA210" i="1"/>
  <c r="BL25" i="1"/>
  <c r="BL36" i="1"/>
  <c r="BY25" i="1"/>
  <c r="BY36" i="1"/>
  <c r="CS48" i="1"/>
  <c r="CT25" i="1"/>
  <c r="CU25" i="1" s="1"/>
  <c r="CT187" i="1"/>
  <c r="CT191" i="1"/>
  <c r="CU132" i="1"/>
  <c r="CT188" i="1"/>
  <c r="AE54" i="1"/>
  <c r="V239" i="1"/>
  <c r="W239" i="1"/>
  <c r="U239" i="1"/>
  <c r="CE27" i="1" l="1"/>
  <c r="CD25" i="1"/>
  <c r="CD36" i="1"/>
  <c r="CH38" i="1" s="1"/>
  <c r="CF36" i="1"/>
  <c r="AA68" i="1" s="1"/>
  <c r="CS210" i="1"/>
  <c r="CT148" i="1"/>
  <c r="CS192" i="1"/>
  <c r="CR193" i="1"/>
  <c r="CG257" i="1"/>
  <c r="CQ190" i="1"/>
  <c r="CQ194" i="1" s="1"/>
  <c r="CR189" i="1"/>
  <c r="CH210" i="1"/>
  <c r="CG210" i="1"/>
  <c r="CA217" i="1"/>
  <c r="BZ256" i="1"/>
  <c r="CT133" i="1"/>
  <c r="CS136" i="1"/>
  <c r="CS257" i="1" s="1"/>
  <c r="CD214" i="1"/>
  <c r="CF257" i="1"/>
  <c r="BM217" i="1"/>
  <c r="BL256" i="1"/>
  <c r="CF214" i="1"/>
  <c r="CF137" i="1"/>
  <c r="CR214" i="1"/>
  <c r="BL137" i="1"/>
  <c r="BL176" i="1"/>
  <c r="BL117" i="1" s="1"/>
  <c r="CA41" i="1"/>
  <c r="CA142" i="1"/>
  <c r="CB146" i="1"/>
  <c r="CC41" i="1"/>
  <c r="CC142" i="1"/>
  <c r="BZ176" i="1"/>
  <c r="BZ137" i="1"/>
  <c r="CF103" i="1"/>
  <c r="CD146" i="1"/>
  <c r="CE142" i="1"/>
  <c r="CE217" i="1"/>
  <c r="CD256" i="1"/>
  <c r="CA257" i="1"/>
  <c r="CA214" i="1"/>
  <c r="BM214" i="1"/>
  <c r="BM257" i="1"/>
  <c r="CH215" i="1"/>
  <c r="CG100" i="1"/>
  <c r="CG103" i="1" s="1"/>
  <c r="CG215" i="1"/>
  <c r="CG217" i="1"/>
  <c r="CF176" i="1"/>
  <c r="CF256" i="1"/>
  <c r="BM142" i="1"/>
  <c r="BM146" i="1" s="1"/>
  <c r="BL146" i="1"/>
  <c r="BL254" i="1" s="1"/>
  <c r="CG41" i="1"/>
  <c r="CG142" i="1"/>
  <c r="CH257" i="1"/>
  <c r="CH259" i="1" s="1"/>
  <c r="CH214" i="1"/>
  <c r="CG137" i="1"/>
  <c r="CG214" i="1"/>
  <c r="CB257" i="1"/>
  <c r="CB137" i="1"/>
  <c r="CB176" i="1"/>
  <c r="CB214" i="1"/>
  <c r="CB100" i="1"/>
  <c r="CB256" i="1"/>
  <c r="CC257" i="1"/>
  <c r="CC214" i="1"/>
  <c r="CE214" i="1"/>
  <c r="CD257" i="1"/>
  <c r="CD137" i="1"/>
  <c r="CD176" i="1"/>
  <c r="CE257" i="1"/>
  <c r="BL190" i="1"/>
  <c r="BL165" i="1"/>
  <c r="CD190" i="1"/>
  <c r="CD165" i="1"/>
  <c r="CB190" i="1"/>
  <c r="CB165" i="1"/>
  <c r="CF190" i="1"/>
  <c r="CF165" i="1"/>
  <c r="CF173" i="1" s="1"/>
  <c r="BZ190" i="1"/>
  <c r="BZ165" i="1"/>
  <c r="BZ173" i="1" s="1"/>
  <c r="CE111" i="1"/>
  <c r="CE115" i="1"/>
  <c r="BZ27" i="1"/>
  <c r="BZ36" i="1"/>
  <c r="BZ25" i="1"/>
  <c r="CA27" i="1"/>
  <c r="CG193" i="1"/>
  <c r="CH205" i="1"/>
  <c r="CG205" i="1"/>
  <c r="CJ26" i="1"/>
  <c r="CF25" i="1"/>
  <c r="CG27" i="1"/>
  <c r="CF26" i="1"/>
  <c r="BZ254" i="1"/>
  <c r="CF254" i="1"/>
  <c r="CF252" i="1"/>
  <c r="CF116" i="1"/>
  <c r="CF104" i="1"/>
  <c r="CG116" i="1"/>
  <c r="CG112" i="1"/>
  <c r="CG115" i="1"/>
  <c r="CG111" i="1"/>
  <c r="CF115" i="1"/>
  <c r="CF111" i="1"/>
  <c r="CG26" i="1"/>
  <c r="CC25" i="1"/>
  <c r="Y67" i="1"/>
  <c r="CC36" i="1"/>
  <c r="CC42" i="1" s="1"/>
  <c r="CC46" i="1" s="1"/>
  <c r="CD27" i="1"/>
  <c r="CC26" i="1"/>
  <c r="CD104" i="1"/>
  <c r="CD111" i="1"/>
  <c r="CE156" i="1"/>
  <c r="CD103" i="1"/>
  <c r="CE205" i="1"/>
  <c r="CG204" i="1"/>
  <c r="CD112" i="1"/>
  <c r="CF205" i="1"/>
  <c r="CA42" i="1"/>
  <c r="CA46" i="1" s="1"/>
  <c r="CA49" i="1" s="1"/>
  <c r="CA56" i="1" s="1"/>
  <c r="CA201" i="1" s="1"/>
  <c r="CA203" i="1" s="1"/>
  <c r="CA37" i="1"/>
  <c r="CE112" i="1"/>
  <c r="CG165" i="1"/>
  <c r="CH204" i="1"/>
  <c r="CB37" i="1"/>
  <c r="CB240" i="1"/>
  <c r="CB241" i="1" s="1"/>
  <c r="CB42" i="1"/>
  <c r="CB46" i="1" s="1"/>
  <c r="CB39" i="1"/>
  <c r="CB258" i="1"/>
  <c r="CF27" i="1"/>
  <c r="CE26" i="1"/>
  <c r="CI26" i="1"/>
  <c r="Z67" i="1"/>
  <c r="CE36" i="1"/>
  <c r="CE25" i="1"/>
  <c r="BY42" i="1"/>
  <c r="BY46" i="1" s="1"/>
  <c r="BY37" i="1"/>
  <c r="BL42" i="1"/>
  <c r="BL46" i="1" s="1"/>
  <c r="BL37" i="1"/>
  <c r="CT48" i="1"/>
  <c r="CV25" i="1"/>
  <c r="CU187" i="1"/>
  <c r="CV132" i="1"/>
  <c r="CU188" i="1"/>
  <c r="CU191" i="1"/>
  <c r="AB158" i="1"/>
  <c r="A1" i="1"/>
  <c r="CG258" i="1" l="1"/>
  <c r="CF37" i="1"/>
  <c r="CF240" i="1"/>
  <c r="CF241" i="1" s="1"/>
  <c r="CJ38" i="1"/>
  <c r="CF42" i="1"/>
  <c r="CI234" i="1"/>
  <c r="CF38" i="1"/>
  <c r="CD37" i="1"/>
  <c r="CG39" i="1"/>
  <c r="CI120" i="1"/>
  <c r="CD240" i="1"/>
  <c r="CD241" i="1" s="1"/>
  <c r="CD42" i="1"/>
  <c r="CD46" i="1" s="1"/>
  <c r="CD49" i="1" s="1"/>
  <c r="CD242" i="1" s="1"/>
  <c r="CG234" i="1"/>
  <c r="CT210" i="1"/>
  <c r="CU148" i="1"/>
  <c r="CG259" i="1"/>
  <c r="CS193" i="1"/>
  <c r="CT192" i="1"/>
  <c r="CF174" i="1"/>
  <c r="CR190" i="1"/>
  <c r="CR194" i="1" s="1"/>
  <c r="CS189" i="1"/>
  <c r="CA146" i="1"/>
  <c r="CB41" i="1"/>
  <c r="CB173" i="1"/>
  <c r="CB174" i="1" s="1"/>
  <c r="CD173" i="1"/>
  <c r="CD174" i="1" s="1"/>
  <c r="CU133" i="1"/>
  <c r="CT136" i="1"/>
  <c r="CT257" i="1" s="1"/>
  <c r="CB254" i="1"/>
  <c r="CB252" i="1"/>
  <c r="CE146" i="1"/>
  <c r="CF41" i="1"/>
  <c r="CS214" i="1"/>
  <c r="CB259" i="1"/>
  <c r="CG213" i="1"/>
  <c r="BZ174" i="1"/>
  <c r="CD41" i="1"/>
  <c r="CC146" i="1"/>
  <c r="BZ117" i="1"/>
  <c r="CA45" i="1"/>
  <c r="CD252" i="1"/>
  <c r="CD254" i="1"/>
  <c r="CH213" i="1"/>
  <c r="CG102" i="1"/>
  <c r="CG104" i="1"/>
  <c r="CF117" i="1"/>
  <c r="CG45" i="1"/>
  <c r="CH41" i="1"/>
  <c r="CG146" i="1"/>
  <c r="CB117" i="1"/>
  <c r="CC45" i="1"/>
  <c r="CD117" i="1"/>
  <c r="CE45" i="1"/>
  <c r="CF189" i="1"/>
  <c r="CF194" i="1"/>
  <c r="CJ197" i="1" s="1"/>
  <c r="BL194" i="1"/>
  <c r="BL189" i="1"/>
  <c r="CD194" i="1"/>
  <c r="CD189" i="1"/>
  <c r="CB194" i="1"/>
  <c r="CB189" i="1"/>
  <c r="BZ189" i="1"/>
  <c r="BZ194" i="1"/>
  <c r="CG206" i="1"/>
  <c r="CG207" i="1" s="1"/>
  <c r="BZ37" i="1"/>
  <c r="BZ42" i="1"/>
  <c r="CA258" i="1"/>
  <c r="CA259" i="1" s="1"/>
  <c r="CA39" i="1"/>
  <c r="BZ240" i="1"/>
  <c r="BZ241" i="1" s="1"/>
  <c r="CD38" i="1"/>
  <c r="BZ39" i="1"/>
  <c r="BZ258" i="1"/>
  <c r="CB120" i="1"/>
  <c r="CH206" i="1"/>
  <c r="CH207" i="1" s="1"/>
  <c r="CD120" i="1"/>
  <c r="CC258" i="1"/>
  <c r="CC259" i="1" s="1"/>
  <c r="CE204" i="1"/>
  <c r="CE206" i="1" s="1"/>
  <c r="CE165" i="1"/>
  <c r="CG192" i="1"/>
  <c r="CG194" i="1"/>
  <c r="CC240" i="1"/>
  <c r="CC241" i="1" s="1"/>
  <c r="CG38" i="1"/>
  <c r="Y68" i="1"/>
  <c r="CC37" i="1"/>
  <c r="CC234" i="1"/>
  <c r="CD258" i="1"/>
  <c r="CD259" i="1" s="1"/>
  <c r="CC120" i="1"/>
  <c r="CD234" i="1"/>
  <c r="CC39" i="1"/>
  <c r="CD39" i="1"/>
  <c r="CC38" i="1"/>
  <c r="CC49" i="1"/>
  <c r="CC48" i="1"/>
  <c r="CF46" i="1"/>
  <c r="CI63" i="1"/>
  <c r="CE190" i="1"/>
  <c r="CF204" i="1"/>
  <c r="CF206" i="1" s="1"/>
  <c r="CA48" i="1"/>
  <c r="CA74" i="1"/>
  <c r="CA127" i="1"/>
  <c r="CA128" i="1" s="1"/>
  <c r="CA100" i="1" s="1"/>
  <c r="CA60" i="1"/>
  <c r="CA242" i="1"/>
  <c r="CA50" i="1"/>
  <c r="CA253" i="1" s="1"/>
  <c r="CF120" i="1"/>
  <c r="CE39" i="1"/>
  <c r="CE120" i="1"/>
  <c r="CE234" i="1"/>
  <c r="CB48" i="1"/>
  <c r="CB49" i="1"/>
  <c r="CE258" i="1"/>
  <c r="CE259" i="1" s="1"/>
  <c r="CF258" i="1"/>
  <c r="CF259" i="1" s="1"/>
  <c r="CE240" i="1"/>
  <c r="CE241" i="1" s="1"/>
  <c r="Z68" i="1"/>
  <c r="CE38" i="1"/>
  <c r="CH120" i="1"/>
  <c r="CE37" i="1"/>
  <c r="CG120" i="1"/>
  <c r="CE42" i="1"/>
  <c r="CH234" i="1"/>
  <c r="CF39" i="1"/>
  <c r="CI38" i="1"/>
  <c r="CF234" i="1"/>
  <c r="BL49" i="1"/>
  <c r="BL48" i="1"/>
  <c r="BY48" i="1"/>
  <c r="BY49" i="1"/>
  <c r="CU48" i="1"/>
  <c r="CV48" i="1" s="1"/>
  <c r="CW25" i="1"/>
  <c r="CX25" i="1" s="1"/>
  <c r="CW132" i="1"/>
  <c r="CV187" i="1"/>
  <c r="CV191" i="1"/>
  <c r="CV188" i="1"/>
  <c r="AC158" i="1"/>
  <c r="CD50" i="1" l="1"/>
  <c r="CD253" i="1" s="1"/>
  <c r="CD63" i="1"/>
  <c r="CD56" i="1"/>
  <c r="CD60" i="1" s="1"/>
  <c r="CH51" i="1"/>
  <c r="CD48" i="1"/>
  <c r="CV148" i="1"/>
  <c r="CU210" i="1"/>
  <c r="CU192" i="1"/>
  <c r="CT193" i="1"/>
  <c r="CD119" i="1"/>
  <c r="CD122" i="1" s="1"/>
  <c r="CD118" i="1"/>
  <c r="CD121" i="1" s="1"/>
  <c r="CS190" i="1"/>
  <c r="CS194" i="1" s="1"/>
  <c r="CT189" i="1"/>
  <c r="CA211" i="1"/>
  <c r="CA209" i="1" s="1"/>
  <c r="CB211" i="1"/>
  <c r="CB209" i="1" s="1"/>
  <c r="CE211" i="1"/>
  <c r="CE209" i="1" s="1"/>
  <c r="CF211" i="1"/>
  <c r="CF209" i="1" s="1"/>
  <c r="CH211" i="1"/>
  <c r="CH209" i="1" s="1"/>
  <c r="CH221" i="1" s="1"/>
  <c r="CG211" i="1"/>
  <c r="CG209" i="1" s="1"/>
  <c r="CV133" i="1"/>
  <c r="CU136" i="1"/>
  <c r="CU257" i="1" s="1"/>
  <c r="CT214" i="1"/>
  <c r="CD211" i="1"/>
  <c r="CD209" i="1" s="1"/>
  <c r="CC211" i="1"/>
  <c r="CC209" i="1" s="1"/>
  <c r="CF197" i="1"/>
  <c r="CF118" i="1"/>
  <c r="CF121" i="1" s="1"/>
  <c r="CF119" i="1"/>
  <c r="CF122" i="1" s="1"/>
  <c r="CD197" i="1"/>
  <c r="CH197" i="1"/>
  <c r="BZ46" i="1"/>
  <c r="CB63" i="1"/>
  <c r="CD235" i="1"/>
  <c r="CF49" i="1"/>
  <c r="AA69" i="1" s="1"/>
  <c r="CF48" i="1"/>
  <c r="CC51" i="1"/>
  <c r="CG51" i="1"/>
  <c r="CC242" i="1"/>
  <c r="CC56" i="1"/>
  <c r="CC50" i="1"/>
  <c r="CC253" i="1" s="1"/>
  <c r="CD52" i="1"/>
  <c r="CE189" i="1"/>
  <c r="CE194" i="1"/>
  <c r="CA215" i="1"/>
  <c r="CA213" i="1" s="1"/>
  <c r="CA137" i="1"/>
  <c r="CC52" i="1"/>
  <c r="Y69" i="1"/>
  <c r="CH121" i="1"/>
  <c r="CH122" i="1"/>
  <c r="CF63" i="1"/>
  <c r="CH63" i="1"/>
  <c r="CG63" i="1"/>
  <c r="CE46" i="1"/>
  <c r="CB56" i="1"/>
  <c r="CB52" i="1"/>
  <c r="CB242" i="1"/>
  <c r="CB50" i="1"/>
  <c r="CB253" i="1" s="1"/>
  <c r="BL56" i="1"/>
  <c r="BL50" i="1"/>
  <c r="BL253" i="1" s="1"/>
  <c r="CM72" i="1"/>
  <c r="CN72" i="1" s="1"/>
  <c r="CO72" i="1" s="1"/>
  <c r="CP72" i="1" s="1"/>
  <c r="CQ72" i="1" s="1"/>
  <c r="CR72" i="1" s="1"/>
  <c r="CS72" i="1" s="1"/>
  <c r="CT72" i="1" s="1"/>
  <c r="CU72" i="1" s="1"/>
  <c r="CV72" i="1" s="1"/>
  <c r="CW72" i="1" s="1"/>
  <c r="CX72" i="1" s="1"/>
  <c r="CY72" i="1" s="1"/>
  <c r="CZ72" i="1" s="1"/>
  <c r="DA72" i="1" s="1"/>
  <c r="DB72" i="1" s="1"/>
  <c r="BY50" i="1"/>
  <c r="BY253" i="1" s="1"/>
  <c r="BY56" i="1"/>
  <c r="CW48" i="1"/>
  <c r="CX48" i="1" s="1"/>
  <c r="CY25" i="1"/>
  <c r="CZ25" i="1" s="1"/>
  <c r="CX132" i="1"/>
  <c r="CW188" i="1"/>
  <c r="CW187" i="1"/>
  <c r="CW191" i="1"/>
  <c r="AE158" i="1"/>
  <c r="AD158" i="1"/>
  <c r="CD201" i="1" l="1"/>
  <c r="CD203" i="1" s="1"/>
  <c r="CD74" i="1"/>
  <c r="CF242" i="1"/>
  <c r="CW148" i="1"/>
  <c r="CV210" i="1"/>
  <c r="CU193" i="1"/>
  <c r="CV192" i="1"/>
  <c r="CG221" i="1"/>
  <c r="CG218" i="1"/>
  <c r="CG168" i="1" s="1"/>
  <c r="CG169" i="1" s="1"/>
  <c r="CG219" i="1" s="1"/>
  <c r="CT190" i="1"/>
  <c r="CT194" i="1" s="1"/>
  <c r="CU189" i="1"/>
  <c r="CW133" i="1"/>
  <c r="CV136" i="1"/>
  <c r="CV257" i="1" s="1"/>
  <c r="CU214" i="1"/>
  <c r="CM16" i="1"/>
  <c r="CF51" i="1"/>
  <c r="CF50" i="1"/>
  <c r="CF253" i="1" s="1"/>
  <c r="BZ49" i="1"/>
  <c r="BZ48" i="1"/>
  <c r="CJ51" i="1"/>
  <c r="CG52" i="1"/>
  <c r="CI235" i="1"/>
  <c r="CF56" i="1"/>
  <c r="CD62" i="1"/>
  <c r="CC60" i="1"/>
  <c r="CC127" i="1"/>
  <c r="CC128" i="1" s="1"/>
  <c r="CC74" i="1"/>
  <c r="CC201" i="1"/>
  <c r="CC203" i="1" s="1"/>
  <c r="CB74" i="1"/>
  <c r="CB60" i="1"/>
  <c r="CB201" i="1"/>
  <c r="CB203" i="1" s="1"/>
  <c r="CB215" i="1"/>
  <c r="CB213" i="1" s="1"/>
  <c r="CE49" i="1"/>
  <c r="CE48" i="1"/>
  <c r="BY201" i="1"/>
  <c r="BY203" i="1" s="1"/>
  <c r="BY60" i="1"/>
  <c r="BY74" i="1"/>
  <c r="BL201" i="1"/>
  <c r="BL203" i="1" s="1"/>
  <c r="BL74" i="1"/>
  <c r="BL60" i="1"/>
  <c r="CY48" i="1"/>
  <c r="CZ48" i="1" s="1"/>
  <c r="DA25" i="1"/>
  <c r="DB25" i="1" s="1"/>
  <c r="CX191" i="1"/>
  <c r="CX188" i="1"/>
  <c r="CX187" i="1"/>
  <c r="CY132" i="1"/>
  <c r="AB134" i="1"/>
  <c r="AB144" i="1"/>
  <c r="AB143" i="1"/>
  <c r="AB135" i="1"/>
  <c r="AB130" i="1"/>
  <c r="AB159" i="1"/>
  <c r="AB151" i="1"/>
  <c r="AB126" i="1"/>
  <c r="CX148" i="1" l="1"/>
  <c r="CW210" i="1"/>
  <c r="CW192" i="1"/>
  <c r="CV193" i="1"/>
  <c r="CU190" i="1"/>
  <c r="CU194" i="1" s="1"/>
  <c r="CV189" i="1"/>
  <c r="CX133" i="1"/>
  <c r="CW136" i="1"/>
  <c r="CW257" i="1" s="1"/>
  <c r="CV214" i="1"/>
  <c r="CN16" i="1"/>
  <c r="CD77" i="1"/>
  <c r="CD94" i="1" s="1"/>
  <c r="BZ50" i="1"/>
  <c r="BZ253" i="1" s="1"/>
  <c r="BZ52" i="1"/>
  <c r="CC235" i="1"/>
  <c r="BZ56" i="1"/>
  <c r="CC62" i="1" s="1"/>
  <c r="BZ242" i="1"/>
  <c r="CD51" i="1"/>
  <c r="CA52" i="1"/>
  <c r="CG256" i="1"/>
  <c r="CH217" i="1"/>
  <c r="CH218" i="1" s="1"/>
  <c r="CH219" i="1" s="1"/>
  <c r="CG252" i="1"/>
  <c r="CG254" i="1"/>
  <c r="CG173" i="1"/>
  <c r="CG174" i="1" s="1"/>
  <c r="CG176" i="1"/>
  <c r="CF201" i="1"/>
  <c r="CF203" i="1" s="1"/>
  <c r="CF207" i="1" s="1"/>
  <c r="CF221" i="1" s="1"/>
  <c r="CF60" i="1"/>
  <c r="CF74" i="1"/>
  <c r="CI77" i="1" s="1"/>
  <c r="CI62" i="1"/>
  <c r="CC100" i="1"/>
  <c r="CC137" i="1"/>
  <c r="CC63" i="1" s="1"/>
  <c r="CC215" i="1"/>
  <c r="CC213" i="1" s="1"/>
  <c r="CD215" i="1"/>
  <c r="CD213" i="1" s="1"/>
  <c r="CG235" i="1"/>
  <c r="CI51" i="1"/>
  <c r="CH235" i="1"/>
  <c r="CE52" i="1"/>
  <c r="CE50" i="1"/>
  <c r="CE253" i="1" s="1"/>
  <c r="CE51" i="1"/>
  <c r="CF52" i="1"/>
  <c r="CE56" i="1"/>
  <c r="CF235" i="1"/>
  <c r="CE235" i="1"/>
  <c r="Z69" i="1"/>
  <c r="CE242" i="1"/>
  <c r="DA48" i="1"/>
  <c r="DB48" i="1" s="1"/>
  <c r="CY188" i="1"/>
  <c r="CZ132" i="1"/>
  <c r="CY187" i="1"/>
  <c r="CY191" i="1"/>
  <c r="AC144" i="1"/>
  <c r="AC134" i="1"/>
  <c r="AB172" i="1"/>
  <c r="AC130" i="1"/>
  <c r="AC159" i="1"/>
  <c r="AB155" i="1"/>
  <c r="AB162" i="1"/>
  <c r="AC151" i="1"/>
  <c r="AC135" i="1"/>
  <c r="AB163" i="1"/>
  <c r="AC126" i="1"/>
  <c r="AC143" i="1"/>
  <c r="CY148" i="1" l="1"/>
  <c r="CX210" i="1"/>
  <c r="CX192" i="1"/>
  <c r="CW193" i="1"/>
  <c r="CV190" i="1"/>
  <c r="CV194" i="1" s="1"/>
  <c r="CW189" i="1"/>
  <c r="CY133" i="1"/>
  <c r="CX136" i="1"/>
  <c r="CX257" i="1" s="1"/>
  <c r="CW214" i="1"/>
  <c r="CD93" i="1"/>
  <c r="CD95" i="1"/>
  <c r="CB62" i="1"/>
  <c r="BZ74" i="1"/>
  <c r="BZ60" i="1"/>
  <c r="BZ201" i="1"/>
  <c r="BZ203" i="1" s="1"/>
  <c r="CH45" i="1"/>
  <c r="CG117" i="1"/>
  <c r="CI95" i="1"/>
  <c r="CI93" i="1"/>
  <c r="CI94" i="1"/>
  <c r="CL98" i="1" s="1"/>
  <c r="CE60" i="1"/>
  <c r="CE127" i="1"/>
  <c r="CE128" i="1" s="1"/>
  <c r="CE62" i="1" s="1"/>
  <c r="CE201" i="1"/>
  <c r="CE203" i="1" s="1"/>
  <c r="CE207" i="1" s="1"/>
  <c r="CE221" i="1" s="1"/>
  <c r="CE74" i="1"/>
  <c r="CF62" i="1"/>
  <c r="CG62" i="1"/>
  <c r="CH62" i="1"/>
  <c r="DA132" i="1"/>
  <c r="CZ191" i="1"/>
  <c r="CZ188" i="1"/>
  <c r="CZ187" i="1"/>
  <c r="AE144" i="1"/>
  <c r="AD144" i="1"/>
  <c r="AE134" i="1"/>
  <c r="AD134" i="1"/>
  <c r="AC172" i="1"/>
  <c r="AE159" i="1"/>
  <c r="AD159" i="1"/>
  <c r="AE151" i="1"/>
  <c r="AD151" i="1"/>
  <c r="AD126" i="1"/>
  <c r="AE126" i="1"/>
  <c r="AC162" i="1"/>
  <c r="AE135" i="1"/>
  <c r="AD135" i="1"/>
  <c r="AE143" i="1"/>
  <c r="AD143" i="1"/>
  <c r="AC163" i="1"/>
  <c r="AC155" i="1"/>
  <c r="AE130" i="1"/>
  <c r="AD130" i="1"/>
  <c r="CY210" i="1" l="1"/>
  <c r="CZ148" i="1"/>
  <c r="CY192" i="1"/>
  <c r="CX193" i="1"/>
  <c r="CW190" i="1"/>
  <c r="CW194" i="1" s="1"/>
  <c r="CX189" i="1"/>
  <c r="CZ133" i="1"/>
  <c r="CY136" i="1"/>
  <c r="CY257" i="1" s="1"/>
  <c r="CX214" i="1"/>
  <c r="CC77" i="1"/>
  <c r="CB77" i="1"/>
  <c r="CG119" i="1"/>
  <c r="CG122" i="1" s="1"/>
  <c r="CG118" i="1"/>
  <c r="CG121" i="1" s="1"/>
  <c r="CF77" i="1"/>
  <c r="CH77" i="1"/>
  <c r="CL78" i="1" s="1"/>
  <c r="CG77" i="1"/>
  <c r="CK78" i="1" s="1"/>
  <c r="CE77" i="1"/>
  <c r="CE100" i="1"/>
  <c r="CF215" i="1"/>
  <c r="CF213" i="1" s="1"/>
  <c r="CE137" i="1"/>
  <c r="CE63" i="1" s="1"/>
  <c r="CE215" i="1"/>
  <c r="CE213" i="1" s="1"/>
  <c r="CE218" i="1" s="1"/>
  <c r="CE168" i="1" s="1"/>
  <c r="CE169" i="1" s="1"/>
  <c r="CE173" i="1" s="1"/>
  <c r="DA187" i="1"/>
  <c r="DA188" i="1"/>
  <c r="DA191" i="1"/>
  <c r="DB132" i="1"/>
  <c r="AE172" i="1"/>
  <c r="AD172" i="1"/>
  <c r="AE162" i="1"/>
  <c r="AD162" i="1"/>
  <c r="AE163" i="1"/>
  <c r="AD163" i="1"/>
  <c r="AE155" i="1"/>
  <c r="AD155" i="1"/>
  <c r="BY239" i="1"/>
  <c r="CZ210" i="1" l="1"/>
  <c r="DA148" i="1"/>
  <c r="CZ192" i="1"/>
  <c r="CY193" i="1"/>
  <c r="DA133" i="1"/>
  <c r="CZ136" i="1"/>
  <c r="CX190" i="1"/>
  <c r="CX194" i="1" s="1"/>
  <c r="CY189" i="1"/>
  <c r="CY214" i="1"/>
  <c r="CE102" i="1"/>
  <c r="CE103" i="1"/>
  <c r="CE104" i="1"/>
  <c r="CE252" i="1"/>
  <c r="CE93" i="1"/>
  <c r="CE94" i="1"/>
  <c r="CI78" i="1"/>
  <c r="CE95" i="1"/>
  <c r="CE256" i="1"/>
  <c r="CG78" i="1"/>
  <c r="CG93" i="1"/>
  <c r="CG95" i="1"/>
  <c r="CG94" i="1"/>
  <c r="CE176" i="1"/>
  <c r="CE117" i="1" s="1"/>
  <c r="CE119" i="1" s="1"/>
  <c r="CE122" i="1" s="1"/>
  <c r="CF217" i="1"/>
  <c r="CF218" i="1" s="1"/>
  <c r="CF219" i="1" s="1"/>
  <c r="CE254" i="1"/>
  <c r="CH78" i="1"/>
  <c r="CH94" i="1"/>
  <c r="CK98" i="1" s="1"/>
  <c r="CH93" i="1"/>
  <c r="CH95" i="1"/>
  <c r="CE219" i="1"/>
  <c r="CF78" i="1"/>
  <c r="CJ78" i="1"/>
  <c r="CF95" i="1"/>
  <c r="CF93" i="1"/>
  <c r="CF94" i="1"/>
  <c r="DB188" i="1"/>
  <c r="DB187" i="1"/>
  <c r="DB191" i="1"/>
  <c r="CE174" i="1"/>
  <c r="AB28" i="1"/>
  <c r="DB148" i="1" l="1"/>
  <c r="DB210" i="1" s="1"/>
  <c r="DA210" i="1"/>
  <c r="DA192" i="1"/>
  <c r="CZ193" i="1"/>
  <c r="DA136" i="1"/>
  <c r="DB133" i="1"/>
  <c r="DB136" i="1" s="1"/>
  <c r="CZ214" i="1"/>
  <c r="CZ257" i="1"/>
  <c r="CY190" i="1"/>
  <c r="CY194" i="1" s="1"/>
  <c r="CZ189" i="1"/>
  <c r="CJ98" i="1"/>
  <c r="CH98" i="1"/>
  <c r="CF45" i="1"/>
  <c r="CI98" i="1"/>
  <c r="CG98" i="1"/>
  <c r="CE118" i="1"/>
  <c r="CE121" i="1" s="1"/>
  <c r="AC28" i="1"/>
  <c r="BY240" i="1"/>
  <c r="BY241" i="1" s="1"/>
  <c r="DB192" i="1" l="1"/>
  <c r="DB193" i="1" s="1"/>
  <c r="DA193" i="1"/>
  <c r="DA214" i="1"/>
  <c r="DA257" i="1"/>
  <c r="DB214" i="1"/>
  <c r="DB257" i="1"/>
  <c r="CZ190" i="1"/>
  <c r="CZ194" i="1" s="1"/>
  <c r="DA189" i="1"/>
  <c r="AD28" i="1"/>
  <c r="BY242" i="1"/>
  <c r="DA190" i="1" l="1"/>
  <c r="DA194" i="1" s="1"/>
  <c r="DB189" i="1"/>
  <c r="DB190" i="1" s="1"/>
  <c r="DB194" i="1" s="1"/>
  <c r="AE28" i="1"/>
  <c r="BI73" i="1" l="1"/>
  <c r="AT73" i="1"/>
  <c r="BT73" i="1"/>
  <c r="AV73" i="1"/>
  <c r="AX73" i="1"/>
  <c r="AR73" i="1"/>
  <c r="AO73" i="1" l="1"/>
  <c r="BK73" i="1"/>
  <c r="AN73" i="1"/>
  <c r="AW73" i="1"/>
  <c r="BB73" i="1"/>
  <c r="BM73" i="1"/>
  <c r="BQ73" i="1"/>
  <c r="AJ73" i="1"/>
  <c r="BS73" i="1"/>
  <c r="BR73" i="1"/>
  <c r="BO73" i="1"/>
  <c r="AM73" i="1"/>
  <c r="AI73" i="1"/>
  <c r="AP73" i="1"/>
  <c r="AZ73" i="1"/>
  <c r="AS73" i="1"/>
  <c r="BN73" i="1"/>
  <c r="BU73" i="1"/>
  <c r="BA73" i="1"/>
  <c r="BC73" i="1"/>
  <c r="AU73" i="1"/>
  <c r="BW73" i="1"/>
  <c r="BP73" i="1"/>
  <c r="BJ73" i="1"/>
  <c r="BH73" i="1"/>
  <c r="BX73" i="1"/>
  <c r="BG73" i="1"/>
  <c r="AQ73" i="1"/>
  <c r="AY73" i="1"/>
  <c r="AK73" i="1"/>
  <c r="BE73" i="1"/>
  <c r="BD73" i="1"/>
  <c r="BV73" i="1"/>
  <c r="BF73" i="1"/>
  <c r="BL239" i="1" l="1"/>
  <c r="CM85" i="1" l="1"/>
  <c r="AB148" i="1"/>
  <c r="CN85" i="1" l="1"/>
  <c r="AB210" i="1"/>
  <c r="CO85" i="1" l="1"/>
  <c r="CM71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J19" i="2"/>
  <c r="K59" i="2"/>
  <c r="Q59" i="2"/>
  <c r="R11" i="2"/>
  <c r="W19" i="2"/>
  <c r="L27" i="2"/>
  <c r="J46" i="3"/>
  <c r="F19" i="3"/>
  <c r="D29" i="3"/>
  <c r="K46" i="3"/>
  <c r="D8" i="3"/>
  <c r="D38" i="3"/>
  <c r="AR29" i="3"/>
  <c r="D5" i="3"/>
  <c r="BV7" i="4" a="1"/>
  <c r="BM8" i="4" a="1"/>
  <c r="CT11" i="4" a="1"/>
  <c r="DV5" i="4" a="1"/>
  <c r="AN8" i="4" a="1"/>
  <c r="BL9" i="4" a="1"/>
  <c r="CO6" i="4" a="1"/>
  <c r="EH16" i="4" a="1"/>
  <c r="AH8" i="4" a="1"/>
  <c r="EA5" i="4" a="1"/>
  <c r="AD11" i="4" a="1"/>
  <c r="M5" i="4" a="1"/>
  <c r="AO11" i="4" a="1"/>
  <c r="CZ15" i="4" a="1"/>
  <c r="DE12" i="4" a="1"/>
  <c r="BY5" i="4" a="1"/>
  <c r="BO12" i="4" a="1"/>
  <c r="AL5" i="4" a="1"/>
  <c r="BF12" i="4" a="1"/>
  <c r="DZ12" i="4" a="1"/>
  <c r="AU11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C59" i="2"/>
  <c r="P35" i="2"/>
  <c r="E17" i="2"/>
  <c r="R22" i="2"/>
  <c r="W34" i="2"/>
  <c r="X12" i="2"/>
  <c r="X46" i="3"/>
  <c r="F25" i="3"/>
  <c r="F12" i="3"/>
  <c r="AR15" i="3"/>
  <c r="D27" i="3"/>
  <c r="Z46" i="3"/>
  <c r="AR10" i="3"/>
  <c r="AK45" i="3"/>
  <c r="CX7" i="4" a="1"/>
  <c r="BJ11" i="4" a="1"/>
  <c r="BR12" i="4" a="1"/>
  <c r="DM6" i="4" a="1"/>
  <c r="BS6" i="4" a="1"/>
  <c r="CN11" i="4" a="1"/>
  <c r="CF9" i="4" a="1"/>
  <c r="S15" i="4" a="1"/>
  <c r="BN16" i="4" a="1"/>
  <c r="Q14" i="4" a="1"/>
  <c r="BU8" i="4" a="1"/>
  <c r="CV9" i="4" a="1"/>
  <c r="DL6" i="4" a="1"/>
  <c r="BH6" i="4" a="1"/>
  <c r="DG11" i="4" a="1"/>
  <c r="Y8" i="4" a="1"/>
  <c r="CW7" i="4" a="1"/>
  <c r="AD7" i="4" a="1"/>
  <c r="EF13" i="4" a="1"/>
  <c r="ED9" i="4" a="1"/>
  <c r="DF13" i="4" a="1"/>
  <c r="EI6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N19" i="2"/>
  <c r="X21" i="2"/>
  <c r="AR69" i="3"/>
  <c r="M30" i="2"/>
  <c r="I34" i="2"/>
  <c r="AR66" i="3"/>
  <c r="E5" i="3"/>
  <c r="AR21" i="3"/>
  <c r="E6" i="3"/>
  <c r="U45" i="3"/>
  <c r="E38" i="3"/>
  <c r="AR20" i="3"/>
  <c r="AD6" i="3"/>
  <c r="F38" i="3"/>
  <c r="AB12" i="4" a="1"/>
  <c r="J8" i="4" a="1"/>
  <c r="J16" i="4" a="1"/>
  <c r="D8" i="4" a="1"/>
  <c r="BZ15" i="4" a="1"/>
  <c r="DY11" i="4" a="1"/>
  <c r="CQ14" i="4" a="1"/>
  <c r="AC16" i="4" a="1"/>
  <c r="K15" i="4" a="1"/>
  <c r="BA9" i="4" a="1"/>
  <c r="X7" i="4" a="1"/>
  <c r="AE16" i="4" a="1"/>
  <c r="I11" i="4" a="1"/>
  <c r="AO5" i="4" a="1"/>
  <c r="AI13" i="4" a="1"/>
  <c r="AM5" i="4" a="1"/>
  <c r="AK7" i="4" a="1"/>
  <c r="DX13" i="4" a="1"/>
  <c r="DW6" i="4" a="1"/>
  <c r="DP11" i="4" a="1"/>
  <c r="CP13" i="4" a="1"/>
  <c r="BS12" i="4" a="1"/>
  <c r="U9" i="4" a="1"/>
  <c r="EA8" i="4" a="1"/>
  <c r="DI13" i="4" a="1"/>
  <c r="BK15" i="4" a="1"/>
  <c r="CS12" i="4" a="1"/>
  <c r="W8" i="4" a="1"/>
  <c r="AP11" i="4" a="1"/>
  <c r="DU11" i="4" a="1"/>
  <c r="BV16" i="4" a="1"/>
  <c r="DT9" i="4" a="1"/>
  <c r="AL15" i="4" a="1"/>
  <c r="BB14" i="4" a="1"/>
  <c r="Z7" i="4" a="1"/>
  <c r="I16" i="4" a="1"/>
  <c r="N31" i="2"/>
  <c r="S8" i="2"/>
  <c r="AS49" i="3"/>
  <c r="S24" i="2"/>
  <c r="H33" i="2"/>
  <c r="AR77" i="3"/>
  <c r="F17" i="3"/>
  <c r="AR9" i="3"/>
  <c r="AR42" i="3"/>
  <c r="F13" i="3"/>
  <c r="D45" i="3"/>
  <c r="AO45" i="3"/>
  <c r="D18" i="3"/>
  <c r="AD11" i="3"/>
  <c r="BY8" i="4" a="1"/>
  <c r="F12" i="4" a="1"/>
  <c r="Z15" i="4" a="1"/>
  <c r="BX8" i="4" a="1"/>
  <c r="DB14" i="4" a="1"/>
  <c r="K7" i="4" a="1"/>
  <c r="CS14" i="4" a="1"/>
  <c r="BG8" i="4" a="1"/>
  <c r="BZ5" i="4" a="1"/>
  <c r="BE12" i="4" a="1"/>
  <c r="DF7" i="4" a="1"/>
  <c r="BS7" i="4" a="1"/>
  <c r="DI8" i="4" a="1"/>
  <c r="BT9" i="4" a="1"/>
  <c r="K16" i="2"/>
  <c r="H15" i="2"/>
  <c r="T8" i="2"/>
  <c r="AR94" i="3"/>
  <c r="C13" i="2"/>
  <c r="O14" i="2"/>
  <c r="F22" i="3"/>
  <c r="AA45" i="3"/>
  <c r="V45" i="3"/>
  <c r="E35" i="3"/>
  <c r="E13" i="3"/>
  <c r="AR18" i="3"/>
  <c r="E27" i="3"/>
  <c r="AR35" i="3"/>
  <c r="BY7" i="4" a="1"/>
  <c r="AK9" i="4" a="1"/>
  <c r="AN7" i="4" a="1"/>
  <c r="CR8" i="4" a="1"/>
  <c r="CG16" i="4" a="1"/>
  <c r="AB13" i="4" a="1"/>
  <c r="EG14" i="4" a="1"/>
  <c r="DI14" i="4" a="1"/>
  <c r="EE14" i="4" a="1"/>
  <c r="BM15" i="4" a="1"/>
  <c r="CX6" i="4" a="1"/>
  <c r="AA12" i="4" a="1"/>
  <c r="D13" i="4" a="1"/>
  <c r="CJ9" i="4" a="1"/>
  <c r="DQ8" i="4" a="1"/>
  <c r="DI16" i="4" a="1"/>
  <c r="V36" i="2"/>
  <c r="J20" i="2"/>
  <c r="E7" i="2"/>
  <c r="AR54" i="3"/>
  <c r="H35" i="2"/>
  <c r="N15" i="2"/>
  <c r="D13" i="3"/>
  <c r="AC46" i="3"/>
  <c r="N45" i="3"/>
  <c r="E37" i="3"/>
  <c r="AC45" i="3"/>
  <c r="E30" i="3"/>
  <c r="D31" i="3"/>
  <c r="AD9" i="4" a="1"/>
  <c r="BF11" i="4" a="1"/>
  <c r="CM12" i="4" a="1"/>
  <c r="AI16" i="4" a="1"/>
  <c r="BV5" i="4" a="1"/>
  <c r="BQ7" i="4" a="1"/>
  <c r="BV13" i="4" a="1"/>
  <c r="CM8" i="4" a="1"/>
  <c r="DR5" i="4" a="1"/>
  <c r="CW14" i="4" a="1"/>
  <c r="CY16" i="4" a="1"/>
  <c r="W5" i="4" a="1"/>
  <c r="CJ5" i="4" a="1"/>
  <c r="K14" i="4" a="1"/>
  <c r="CD8" i="4" a="1"/>
  <c r="O7" i="4" a="1"/>
  <c r="CB9" i="4" a="1"/>
  <c r="CU8" i="4" a="1"/>
  <c r="AK6" i="4" a="1"/>
  <c r="V18" i="2"/>
  <c r="I25" i="2"/>
  <c r="F26" i="2"/>
  <c r="AR80" i="3"/>
  <c r="Q54" i="2"/>
  <c r="AR61" i="3"/>
  <c r="F18" i="3"/>
  <c r="X45" i="3"/>
  <c r="E22" i="3"/>
  <c r="G9" i="3"/>
  <c r="AD5" i="3"/>
  <c r="F23" i="3"/>
  <c r="D7" i="3"/>
  <c r="N9" i="4" a="1"/>
  <c r="CI7" i="4" a="1"/>
  <c r="BV14" i="4" a="1"/>
  <c r="BW11" i="4" a="1"/>
  <c r="AG12" i="4" a="1"/>
  <c r="BD6" i="4" a="1"/>
  <c r="CD5" i="4" a="1"/>
  <c r="DQ16" i="4" a="1"/>
  <c r="CG12" i="4" a="1"/>
  <c r="CA15" i="4" a="1"/>
  <c r="ED14" i="4" a="1"/>
  <c r="BK6" i="4" a="1"/>
  <c r="CS8" i="4" a="1"/>
  <c r="R11" i="4" a="1"/>
  <c r="CH7" i="4" a="1"/>
  <c r="BE8" i="4" a="1"/>
  <c r="AC12" i="4" a="1"/>
  <c r="W13" i="4" a="1"/>
  <c r="DD13" i="4" a="1"/>
  <c r="BL8" i="4" a="1"/>
  <c r="CM13" i="4" a="1"/>
  <c r="BO5" i="4" a="1"/>
  <c r="DK13" i="4" a="1"/>
  <c r="AI8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G27" i="2"/>
  <c r="U5" i="2"/>
  <c r="K18" i="2"/>
  <c r="C16" i="2"/>
  <c r="F15" i="2"/>
  <c r="AR78" i="3"/>
  <c r="D19" i="3"/>
  <c r="D34" i="3"/>
  <c r="T45" i="3"/>
  <c r="AL46" i="3"/>
  <c r="G13" i="3"/>
  <c r="AR26" i="3"/>
  <c r="AM45" i="3"/>
  <c r="F11" i="4" a="1"/>
  <c r="CY6" i="4" a="1"/>
  <c r="CZ16" i="4" a="1"/>
  <c r="CR13" i="4" a="1"/>
  <c r="BT7" i="4" a="1"/>
  <c r="BZ8" i="4" a="1"/>
  <c r="AF16" i="4" a="1"/>
  <c r="DH15" i="4" a="1"/>
  <c r="AP9" i="4" a="1"/>
  <c r="R13" i="4" a="1"/>
  <c r="AK13" i="4" a="1"/>
  <c r="BX16" i="4" a="1"/>
  <c r="BH12" i="4" a="1"/>
  <c r="BP11" i="4" a="1"/>
  <c r="DY8" i="4" a="1"/>
  <c r="CK14" i="4" a="1"/>
  <c r="J7" i="4" a="1"/>
  <c r="BZ9" i="4" a="1"/>
  <c r="CP14" i="4" a="1"/>
  <c r="BH14" i="4" a="1"/>
  <c r="EK8" i="4" a="1"/>
  <c r="DQ11" i="4" a="1"/>
  <c r="DG5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L18" i="2"/>
  <c r="M11" i="2"/>
  <c r="X36" i="2"/>
  <c r="V8" i="2"/>
  <c r="D25" i="2"/>
  <c r="AR34" i="3"/>
  <c r="AD10" i="3"/>
  <c r="F33" i="3"/>
  <c r="G14" i="3"/>
  <c r="G21" i="3"/>
  <c r="G23" i="3"/>
  <c r="G30" i="3"/>
  <c r="D41" i="3"/>
  <c r="DV16" i="4" a="1"/>
  <c r="EC15" i="4" a="1"/>
  <c r="CF16" i="4" a="1"/>
  <c r="BU12" i="4" a="1"/>
  <c r="BE11" i="4" a="1"/>
  <c r="I14" i="4" a="1"/>
  <c r="BG5" i="4" a="1"/>
  <c r="AZ7" i="4" a="1"/>
  <c r="EK15" i="4" a="1"/>
  <c r="EG16" i="4" a="1"/>
  <c r="U16" i="4" a="1"/>
  <c r="AC14" i="4" a="1"/>
  <c r="V12" i="4" a="1"/>
  <c r="AE7" i="4" a="1"/>
  <c r="CV12" i="4" a="1"/>
  <c r="P9" i="4" a="1"/>
  <c r="X15" i="4" a="1"/>
  <c r="CI13" i="4" a="1"/>
  <c r="BR13" i="4" a="1"/>
  <c r="O6" i="4" a="1"/>
  <c r="CM6" i="4" a="1"/>
  <c r="AP16" i="4" a="1"/>
  <c r="AP15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M32" i="2"/>
  <c r="T21" i="2"/>
  <c r="Q57" i="2"/>
  <c r="I11" i="2"/>
  <c r="J30" i="2"/>
  <c r="E9" i="3"/>
  <c r="E28" i="3"/>
  <c r="AP45" i="3"/>
  <c r="AR17" i="3"/>
  <c r="AP46" i="3"/>
  <c r="AR39" i="3"/>
  <c r="AH45" i="3"/>
  <c r="E8" i="3"/>
  <c r="AZ14" i="4" a="1"/>
  <c r="BK8" i="4" a="1"/>
  <c r="EI16" i="4" a="1"/>
  <c r="DE11" i="4" a="1"/>
  <c r="BD15" i="4" a="1"/>
  <c r="AI11" i="4" a="1"/>
  <c r="BC12" i="4" a="1"/>
  <c r="V15" i="4" a="1"/>
  <c r="EG5" i="4" a="1"/>
  <c r="AR11" i="4" a="1"/>
  <c r="DG13" i="4" a="1"/>
  <c r="AG15" i="4" a="1"/>
  <c r="DC12" i="4" a="1"/>
  <c r="CO13" i="4" a="1"/>
  <c r="AV16" i="4" a="1"/>
  <c r="BI6" i="4" a="1"/>
  <c r="C8" i="4" a="1"/>
  <c r="DL13" i="4" a="1"/>
  <c r="CU9" i="4" a="1"/>
  <c r="EC11" i="4" a="1"/>
  <c r="BC5" i="4" a="1"/>
  <c r="BE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E10" i="2"/>
  <c r="AR12" i="3"/>
  <c r="D14" i="3"/>
  <c r="AI7" i="4" a="1"/>
  <c r="P7" i="4" a="1"/>
  <c r="CX15" i="4" a="1"/>
  <c r="AY9" i="4" a="1"/>
  <c r="X6" i="4" a="1"/>
  <c r="EA15" i="4" a="1"/>
  <c r="BG11" i="4" a="1"/>
  <c r="BZ11" i="4" a="1"/>
  <c r="BH7" i="4" a="1"/>
  <c r="AZ6" i="4" a="1"/>
  <c r="DK16" i="4" a="1"/>
  <c r="AA9" i="4" a="1"/>
  <c r="AB15" i="4" a="1"/>
  <c r="BD11" i="4" a="1"/>
  <c r="AH12" i="4" a="1"/>
  <c r="BQ15" i="4" a="1"/>
  <c r="N14" i="4" a="1"/>
  <c r="CY8" i="4" a="1"/>
  <c r="CE7" i="4" a="1"/>
  <c r="AE15" i="4" a="1"/>
  <c r="O8" i="4" a="1"/>
  <c r="BC14" i="4" a="1"/>
  <c r="BO9" i="4" a="1"/>
  <c r="U8" i="4" a="1"/>
  <c r="DX9" i="4" a="1"/>
  <c r="L13" i="4" a="1"/>
  <c r="BB5" i="4" a="1"/>
  <c r="BR14" i="4" a="1"/>
  <c r="CO14" i="4" a="1"/>
  <c r="H5" i="4" a="1"/>
  <c r="AJ8" i="4" a="1"/>
  <c r="CD14" i="4" a="1"/>
  <c r="CG5" i="4" a="1"/>
  <c r="BN8" i="4" a="1"/>
  <c r="DS16" i="4" a="1"/>
  <c r="W7" i="4" a="1"/>
  <c r="O12" i="4" a="1"/>
  <c r="CX5" i="4" a="1"/>
  <c r="EC5" i="4" a="1"/>
  <c r="AR7" i="4" a="1"/>
  <c r="H16" i="4" a="1"/>
  <c r="AI6" i="4" a="1"/>
  <c r="CZ11" i="4" a="1"/>
  <c r="CK8" i="4" a="1"/>
  <c r="DH7" i="4" a="1"/>
  <c r="DY7" i="4" a="1"/>
  <c r="CT16" i="4" a="1"/>
  <c r="CP5" i="4" a="1"/>
  <c r="BH13" i="4" a="1"/>
  <c r="BU11" i="4" a="1"/>
  <c r="BN5" i="4" a="1"/>
  <c r="DU14" i="4" a="1"/>
  <c r="H11" i="4" a="1"/>
  <c r="AH16" i="4" a="1"/>
  <c r="BA12" i="4" a="1"/>
  <c r="BS8" i="4" a="1"/>
  <c r="EB13" i="4" a="1"/>
  <c r="CC9" i="4" a="1"/>
  <c r="CI9" i="4" a="1"/>
  <c r="L12" i="4" a="1"/>
  <c r="BG9" i="4" a="1"/>
  <c r="AE8" i="4" a="1"/>
  <c r="EG13" i="4" a="1"/>
  <c r="BO11" i="4" a="1"/>
  <c r="AC7" i="4" a="1"/>
  <c r="BK16" i="4" a="1"/>
  <c r="BU5" i="4" a="1"/>
  <c r="AW6" i="4" a="1"/>
  <c r="Q16" i="4" a="1"/>
  <c r="EI15" i="4" a="1"/>
  <c r="CN5" i="4" a="1"/>
  <c r="J32" i="2"/>
  <c r="EC7" i="4" a="1"/>
  <c r="DZ16" i="4" a="1"/>
  <c r="AF9" i="4" a="1"/>
  <c r="BE7" i="4" a="1"/>
  <c r="V5" i="4" a="1"/>
  <c r="CG8" i="4" a="1"/>
  <c r="P8" i="4" a="1"/>
  <c r="DL5" i="4" a="1"/>
  <c r="K9" i="4" a="1"/>
  <c r="CD6" i="4" a="1"/>
  <c r="AA13" i="4" a="1"/>
  <c r="AS9" i="4" a="1"/>
  <c r="CS5" i="4" a="1"/>
  <c r="AX13" i="4" a="1"/>
  <c r="DD12" i="4" a="1"/>
  <c r="BR6" i="4" a="1"/>
  <c r="CA6" i="4" a="1"/>
  <c r="I15" i="4" a="1"/>
  <c r="DL16" i="4" a="1"/>
  <c r="DZ13" i="4" a="1"/>
  <c r="AV12" i="4" a="1"/>
  <c r="DU16" i="4" a="1"/>
  <c r="F6" i="4" a="1"/>
  <c r="DK9" i="4" a="1"/>
  <c r="EJ6" i="4" a="1"/>
  <c r="DD8" i="4" a="1"/>
  <c r="AG13" i="4" a="1"/>
  <c r="DZ8" i="4" a="1"/>
  <c r="DV12" i="4" a="1"/>
  <c r="CA7" i="4" a="1"/>
  <c r="S14" i="4" a="1"/>
  <c r="CX9" i="4" a="1"/>
  <c r="CU12" i="4" a="1"/>
  <c r="CV16" i="4" a="1"/>
  <c r="EH11" i="4" a="1"/>
  <c r="DD14" i="4" a="1"/>
  <c r="AO6" i="4" a="1"/>
  <c r="CX11" i="4" a="1"/>
  <c r="CW8" i="4" a="1"/>
  <c r="K5" i="4" a="1"/>
  <c r="CP11" i="4" a="1"/>
  <c r="AO15" i="4" a="1"/>
  <c r="BD7" i="4" a="1"/>
  <c r="CK12" i="4" a="1"/>
  <c r="BL6" i="4" a="1"/>
  <c r="BH11" i="4" a="1"/>
  <c r="DH11" i="4" a="1"/>
  <c r="CR14" i="4" a="1"/>
  <c r="O13" i="4" a="1"/>
  <c r="E23" i="3"/>
  <c r="BK13" i="4" a="1"/>
  <c r="CN7" i="4" a="1"/>
  <c r="T19" i="2"/>
  <c r="AR13" i="3"/>
  <c r="J45" i="3"/>
  <c r="BP7" i="4" a="1"/>
  <c r="BT13" i="4" a="1"/>
  <c r="BI5" i="4" a="1"/>
  <c r="CF14" i="4" a="1"/>
  <c r="T8" i="4" a="1"/>
  <c r="Y6" i="4" a="1"/>
  <c r="CE6" i="4" a="1"/>
  <c r="K16" i="4" a="1"/>
  <c r="U5" i="4" a="1"/>
  <c r="DO9" i="4" a="1"/>
  <c r="AB5" i="4" a="1"/>
  <c r="DJ16" i="4" a="1"/>
  <c r="EF14" i="4" a="1"/>
  <c r="G14" i="4" a="1"/>
  <c r="AU5" i="4" a="1"/>
  <c r="CM15" i="4" a="1"/>
  <c r="AS5" i="4" a="1"/>
  <c r="V8" i="4" a="1"/>
  <c r="BW6" i="4" a="1"/>
  <c r="U6" i="4" a="1"/>
  <c r="CR16" i="4" a="1"/>
  <c r="C16" i="4" a="1"/>
  <c r="EK16" i="4" a="1"/>
  <c r="AW12" i="4" a="1"/>
  <c r="CE11" i="4" a="1"/>
  <c r="DZ9" i="4" a="1"/>
  <c r="AE13" i="4" a="1"/>
  <c r="AF11" i="4" a="1"/>
  <c r="CQ12" i="4" a="1"/>
  <c r="CM9" i="4" a="1"/>
  <c r="BT14" i="4" a="1"/>
  <c r="DF9" i="4" a="1"/>
  <c r="AT13" i="4" a="1"/>
  <c r="BZ14" i="4" a="1"/>
  <c r="EE8" i="4" a="1"/>
  <c r="EB11" i="4" a="1"/>
  <c r="X16" i="4" a="1"/>
  <c r="BL14" i="4" a="1"/>
  <c r="M13" i="4" a="1"/>
  <c r="CH12" i="4" a="1"/>
  <c r="Y14" i="4" a="1"/>
  <c r="CC7" i="4" a="1"/>
  <c r="AT9" i="4" a="1"/>
  <c r="BN12" i="4" a="1"/>
  <c r="AM8" i="4" a="1"/>
  <c r="CL13" i="4" a="1"/>
  <c r="M15" i="4" a="1"/>
  <c r="AM12" i="4" a="1"/>
  <c r="CC12" i="4" a="1"/>
  <c r="DE6" i="4" a="1"/>
  <c r="CZ13" i="4" a="1"/>
  <c r="DH16" i="4" a="1"/>
  <c r="E5" i="4" a="1"/>
  <c r="P15" i="4" a="1"/>
  <c r="CL8" i="4" a="1"/>
  <c r="BU16" i="4" a="1"/>
  <c r="CA14" i="4" a="1"/>
  <c r="DE13" i="4" a="1"/>
  <c r="CK16" i="4" a="1"/>
  <c r="DJ15" i="4" a="1"/>
  <c r="AS7" i="4" a="1"/>
  <c r="AD14" i="4" a="1"/>
  <c r="BS9" i="4" a="1"/>
  <c r="AJ15" i="4" a="1"/>
  <c r="EB9" i="4" a="1"/>
  <c r="DA5" i="4" a="1"/>
  <c r="BK7" i="4" a="1"/>
  <c r="C12" i="4" a="1"/>
  <c r="DT15" i="4" a="1"/>
  <c r="DV13" i="4" a="1"/>
  <c r="DV14" i="4" a="1"/>
  <c r="AR33" i="3"/>
  <c r="ED16" i="4" a="1"/>
  <c r="DQ5" i="4" a="1"/>
  <c r="CB5" i="4" a="1"/>
  <c r="CJ12" i="4" a="1"/>
  <c r="DX11" i="4" a="1"/>
  <c r="Y7" i="4" a="1"/>
  <c r="BN6" i="4" a="1"/>
  <c r="DJ9" i="4" a="1"/>
  <c r="AQ9" i="4" a="1"/>
  <c r="CC6" i="4" a="1"/>
  <c r="EH9" i="4" a="1"/>
  <c r="CW5" i="4" a="1"/>
  <c r="S7" i="4" a="1"/>
  <c r="Y9" i="4" a="1"/>
  <c r="T5" i="4" a="1"/>
  <c r="EK9" i="4" a="1"/>
  <c r="DQ12" i="4" a="1"/>
  <c r="AN5" i="4" a="1"/>
  <c r="DW11" i="4" a="1"/>
  <c r="DZ15" i="4" a="1"/>
  <c r="AN6" i="4" a="1"/>
  <c r="BO6" i="4" a="1"/>
  <c r="AL11" i="4" a="1"/>
  <c r="BP13" i="4" a="1"/>
  <c r="BF8" i="4" a="1"/>
  <c r="DK11" i="4" a="1"/>
  <c r="Q9" i="4" a="1"/>
  <c r="DD15" i="4" a="1"/>
  <c r="BQ5" i="4" a="1"/>
  <c r="W70" i="2"/>
  <c r="AX6" i="4" a="1"/>
  <c r="DX7" i="4" a="1"/>
  <c r="AL13" i="4" a="1"/>
  <c r="DC14" i="4" a="1"/>
  <c r="P14" i="4" a="1"/>
  <c r="DB8" i="4" a="1"/>
  <c r="DF12" i="4" a="1"/>
  <c r="Z16" i="4" a="1"/>
  <c r="CH15" i="4" a="1"/>
  <c r="BZ13" i="4" a="1"/>
  <c r="R17" i="2"/>
  <c r="D17" i="3"/>
  <c r="E16" i="4" a="1"/>
  <c r="CQ6" i="4" a="1"/>
  <c r="AQ13" i="4" a="1"/>
  <c r="DQ9" i="4" a="1"/>
  <c r="AB9" i="4" a="1"/>
  <c r="DF11" i="4" a="1"/>
  <c r="AU13" i="4" a="1"/>
  <c r="BS15" i="4" a="1"/>
  <c r="CP12" i="4" a="1"/>
  <c r="AK12" i="4" a="1"/>
  <c r="V6" i="4" a="1"/>
  <c r="EI12" i="4" a="1"/>
  <c r="BS14" i="4" a="1"/>
  <c r="AJ5" i="4" a="1"/>
  <c r="EA16" i="4" a="1"/>
  <c r="AJ16" i="4" a="1"/>
  <c r="CD15" i="4" a="1"/>
  <c r="AR9" i="4" a="1"/>
  <c r="DF14" i="4" a="1"/>
  <c r="CI12" i="4" a="1"/>
  <c r="M16" i="4" a="1"/>
  <c r="EF7" i="4" a="1"/>
  <c r="CN9" i="4" a="1"/>
  <c r="CN12" i="4" a="1"/>
  <c r="BP9" i="4" a="1"/>
  <c r="CD12" i="4" a="1"/>
  <c r="DB13" i="4" a="1"/>
  <c r="CD11" i="4" a="1"/>
  <c r="V11" i="4" a="1"/>
  <c r="BZ7" i="4" a="1"/>
  <c r="AE9" i="4" a="1"/>
  <c r="DZ7" i="4" a="1"/>
  <c r="H12" i="4" a="1"/>
  <c r="EB15" i="4" a="1"/>
  <c r="DK6" i="4" a="1"/>
  <c r="AY14" i="4" a="1"/>
  <c r="M9" i="4" a="1"/>
  <c r="EC13" i="4" a="1"/>
  <c r="AH6" i="4" a="1"/>
  <c r="S5" i="4" a="1"/>
  <c r="DI15" i="4" a="1"/>
  <c r="T13" i="4" a="1"/>
  <c r="EH6" i="4" a="1"/>
  <c r="DJ5" i="4" a="1"/>
  <c r="DO13" i="4" a="1"/>
  <c r="BH15" i="4" a="1"/>
  <c r="DU13" i="4" a="1"/>
  <c r="CS11" i="4" a="1"/>
  <c r="CL7" i="4" a="1"/>
  <c r="AQ14" i="4" a="1"/>
  <c r="BL15" i="4" a="1"/>
  <c r="H8" i="4" a="1"/>
  <c r="Q7" i="4" a="1"/>
  <c r="AG5" i="4" a="1"/>
  <c r="O15" i="4" a="1"/>
  <c r="Y15" i="4" a="1"/>
  <c r="Z12" i="4" a="1"/>
  <c r="AB8" i="4" a="1"/>
  <c r="DA15" i="4" a="1"/>
  <c r="J6" i="4" a="1"/>
  <c r="CB11" i="4" a="1"/>
  <c r="CZ14" i="4" a="1"/>
  <c r="H13" i="4" a="1"/>
  <c r="CJ15" i="4" a="1"/>
  <c r="DG6" i="4" a="1"/>
  <c r="EG15" i="4" a="1"/>
  <c r="CI15" i="4" a="1"/>
  <c r="CA9" i="4" a="1"/>
  <c r="EJ16" i="4" a="1"/>
  <c r="CP8" i="4" a="1"/>
  <c r="EJ7" i="4" a="1"/>
  <c r="E5" i="2"/>
  <c r="D23" i="3"/>
  <c r="Y16" i="4" a="1"/>
  <c r="DH12" i="4" a="1"/>
  <c r="AC15" i="4" a="1"/>
  <c r="AD5" i="4" a="1"/>
  <c r="AF8" i="4" a="1"/>
  <c r="G12" i="4" a="1"/>
  <c r="BS16" i="4" a="1"/>
  <c r="AD12" i="4" a="1"/>
  <c r="CJ11" i="4" a="1"/>
  <c r="DG14" i="4" a="1"/>
  <c r="D9" i="4" a="1"/>
  <c r="DM13" i="4" a="1"/>
  <c r="DW5" i="4" a="1"/>
  <c r="BV11" i="4" a="1"/>
  <c r="AG14" i="4" a="1"/>
  <c r="BF14" i="4" a="1"/>
  <c r="BI14" i="4" a="1"/>
  <c r="CI8" i="4" a="1"/>
  <c r="CV14" i="4" a="1"/>
  <c r="BC13" i="4" a="1"/>
  <c r="CQ15" i="4" a="1"/>
  <c r="DC13" i="4" a="1"/>
  <c r="AY5" i="4" a="1"/>
  <c r="AB16" i="4" a="1"/>
  <c r="DP6" i="4" a="1"/>
  <c r="I12" i="4" a="1"/>
  <c r="CM14" i="4" a="1"/>
  <c r="EE15" i="4" a="1"/>
  <c r="CY14" i="4" a="1"/>
  <c r="CU5" i="4" a="1"/>
  <c r="DJ7" i="4" a="1"/>
  <c r="BK5" i="4" a="1"/>
  <c r="DM8" i="4" a="1"/>
  <c r="DB6" i="4" a="1"/>
  <c r="CL15" i="4" a="1"/>
  <c r="X11" i="4" a="1"/>
  <c r="M12" i="4" a="1"/>
  <c r="BY9" i="4" a="1"/>
  <c r="CX12" i="4" a="1"/>
  <c r="BH8" i="4" a="1"/>
  <c r="BZ16" i="4" a="1"/>
  <c r="AQ8" i="4" a="1"/>
  <c r="CE14" i="4" a="1"/>
  <c r="CJ7" i="4" a="1"/>
  <c r="CK9" i="4" a="1"/>
  <c r="CH11" i="4" a="1"/>
  <c r="AG8" i="4" a="1"/>
  <c r="AX7" i="4" a="1"/>
  <c r="BM11" i="4" a="1"/>
  <c r="X12" i="4" a="1"/>
  <c r="DJ13" i="4" a="1"/>
  <c r="O16" i="4" a="1"/>
  <c r="CJ16" i="4" a="1"/>
  <c r="EA12" i="4" a="1"/>
  <c r="H7" i="4" a="1"/>
  <c r="BQ12" i="4" a="1"/>
  <c r="CU13" i="4" a="1"/>
  <c r="BY6" i="4" a="1"/>
  <c r="CW15" i="4" a="1"/>
  <c r="CV8" i="4" a="1"/>
  <c r="BW9" i="4" a="1"/>
  <c r="CE15" i="4" a="1"/>
  <c r="W16" i="4" a="1"/>
  <c r="BI8" i="4" a="1"/>
  <c r="DN13" i="4" a="1"/>
  <c r="EJ8" i="4" a="1"/>
  <c r="DY15" i="4" a="1"/>
  <c r="BM7" i="4" a="1"/>
  <c r="DA6" i="4" a="1"/>
  <c r="CO11" i="4" a="1"/>
  <c r="BA16" i="4" a="1"/>
  <c r="CS9" i="4" a="1"/>
  <c r="V19" i="2"/>
  <c r="DH14" i="4" a="1"/>
  <c r="BR5" i="4" a="1"/>
  <c r="EA13" i="4" a="1"/>
  <c r="F8" i="4" a="1"/>
  <c r="BJ5" i="4" a="1"/>
  <c r="CK6" i="4" a="1"/>
  <c r="Q13" i="4" a="1"/>
  <c r="D11" i="4" a="1"/>
  <c r="BW7" i="4" a="1"/>
  <c r="EA9" i="4" a="1"/>
  <c r="L11" i="4" a="1"/>
  <c r="N7" i="4" a="1"/>
  <c r="CF8" i="4" a="1"/>
  <c r="BJ14" i="4" a="1"/>
  <c r="AF13" i="4" a="1"/>
  <c r="AR65" i="3"/>
  <c r="BX9" i="4" a="1"/>
  <c r="DE15" i="4" a="1"/>
  <c r="DB16" i="4" a="1"/>
  <c r="BP8" i="4" a="1"/>
  <c r="DC15" i="4" a="1"/>
  <c r="AV15" i="4" a="1"/>
  <c r="AA16" i="4" a="1"/>
  <c r="G11" i="4" a="1"/>
  <c r="DN6" i="4" a="1"/>
  <c r="CA11" i="4" a="1"/>
  <c r="CK13" i="4" a="1"/>
  <c r="AJ7" i="4" a="1"/>
  <c r="DC11" i="4" a="1"/>
  <c r="DD6" i="4" a="1"/>
  <c r="ED5" i="4" a="1"/>
  <c r="S12" i="4" a="1"/>
  <c r="CO7" i="4" a="1"/>
  <c r="AH7" i="4" a="1"/>
  <c r="BT8" i="4" a="1"/>
  <c r="BB12" i="4" a="1"/>
  <c r="BH9" i="4" a="1"/>
  <c r="CJ6" i="4" a="1"/>
  <c r="EF9" i="4" a="1"/>
  <c r="CP6" i="4" a="1"/>
  <c r="AF12" i="4" a="1"/>
  <c r="AU8" i="4" a="1"/>
  <c r="Z13" i="4" a="1"/>
  <c r="AF14" i="4" a="1"/>
  <c r="BS5" i="4" a="1"/>
  <c r="BR16" i="4" a="1"/>
  <c r="AT11" i="4" a="1"/>
  <c r="AM16" i="4" a="1"/>
  <c r="DI12" i="4" a="1"/>
  <c r="BW14" i="4" a="1"/>
  <c r="Y13" i="4" a="1"/>
  <c r="AA5" i="4" a="1"/>
  <c r="N16" i="4" a="1"/>
  <c r="Q11" i="4" a="1"/>
  <c r="U13" i="4" a="1"/>
  <c r="D5" i="4" a="1"/>
  <c r="CQ9" i="4" a="1"/>
  <c r="E22" i="2"/>
  <c r="BE15" i="4" a="1"/>
  <c r="CC8" i="4" a="1"/>
  <c r="EB8" i="4" a="1"/>
  <c r="CF6" i="4" a="1"/>
  <c r="AN11" i="4" a="1"/>
  <c r="AT6" i="4" a="1"/>
  <c r="CG14" i="4" a="1"/>
  <c r="AL8" i="4" a="1"/>
  <c r="CD9" i="4" a="1"/>
  <c r="DV6" i="4" a="1"/>
  <c r="BO15" i="4" a="1"/>
  <c r="CP15" i="4" a="1"/>
  <c r="AU15" i="4" a="1"/>
  <c r="I8" i="4" a="1"/>
  <c r="DA12" i="4" a="1"/>
  <c r="BX6" i="4" a="1"/>
  <c r="CT6" i="4" a="1"/>
  <c r="DA13" i="4" a="1"/>
  <c r="DR8" i="4" a="1"/>
  <c r="DL12" i="4" a="1"/>
  <c r="DL7" i="4" a="1"/>
  <c r="AA14" i="4" a="1"/>
  <c r="AT16" i="4" a="1"/>
  <c r="E15" i="4" a="1"/>
  <c r="EK7" i="4" a="1"/>
  <c r="BG13" i="4" a="1"/>
  <c r="F5" i="4" a="1"/>
  <c r="AA15" i="4" a="1"/>
  <c r="DM9" i="4" a="1"/>
  <c r="DI11" i="4" a="1"/>
  <c r="BA13" i="4" a="1"/>
  <c r="CO8" i="4" a="1"/>
  <c r="DB5" i="4" a="1"/>
  <c r="AC8" i="4" a="1"/>
  <c r="EJ9" i="4" a="1"/>
  <c r="AL16" i="4" a="1"/>
  <c r="DI6" i="4" a="1"/>
  <c r="G5" i="4" a="1"/>
  <c r="BN14" i="4" a="1"/>
  <c r="DW16" i="4" a="1"/>
  <c r="AM9" i="4" a="1"/>
  <c r="EK11" i="4" a="1"/>
  <c r="Z11" i="4" a="1"/>
  <c r="N8" i="4" a="1"/>
  <c r="BH5" i="4" a="1"/>
  <c r="AO14" i="4" a="1"/>
  <c r="BB15" i="4" a="1"/>
  <c r="DM16" i="4" a="1"/>
  <c r="AC5" i="4" a="1"/>
  <c r="AU12" i="4" a="1"/>
  <c r="D16" i="4" a="1"/>
  <c r="Q8" i="4" a="1"/>
  <c r="DD11" i="4" a="1"/>
  <c r="CX8" i="4" a="1"/>
  <c r="AY8" i="4" a="1"/>
  <c r="AU9" i="4" a="1"/>
  <c r="AU14" i="4" a="1"/>
  <c r="AH11" i="4" a="1"/>
  <c r="AF15" i="4" a="1"/>
  <c r="AP8" i="4" a="1"/>
  <c r="DD16" i="4" a="1"/>
  <c r="AQ6" i="4" a="1"/>
  <c r="DE14" i="4" a="1"/>
  <c r="CS15" i="4" a="1"/>
  <c r="CT12" i="4" a="1"/>
  <c r="CT5" i="4" a="1"/>
  <c r="BJ15" i="4" a="1"/>
  <c r="DG9" i="4" a="1"/>
  <c r="EC14" i="4" a="1"/>
  <c r="DW13" i="4" a="1"/>
  <c r="S9" i="4" a="1"/>
  <c r="BX14" i="4" a="1"/>
  <c r="BJ13" i="4" a="1"/>
  <c r="BF16" i="4" a="1"/>
  <c r="EF12" i="4" a="1"/>
  <c r="AJ11" i="4" a="1"/>
  <c r="EJ11" i="4" a="1"/>
  <c r="BU15" i="4" a="1"/>
  <c r="CH9" i="4" a="1"/>
  <c r="CT8" i="4" a="1"/>
  <c r="BP5" i="4" a="1"/>
  <c r="U11" i="4" a="1"/>
  <c r="BU14" i="4" a="1"/>
  <c r="AV5" i="4" a="1"/>
  <c r="EI13" i="4" a="1"/>
  <c r="AQ11" i="4" a="1"/>
  <c r="BF6" i="4" a="1"/>
  <c r="CG15" i="4" a="1"/>
  <c r="DN9" i="4" a="1"/>
  <c r="BJ9" i="4" a="1"/>
  <c r="R8" i="4" a="1"/>
  <c r="BY11" i="4" a="1"/>
  <c r="BG6" i="4" a="1"/>
  <c r="DU9" i="4" a="1"/>
  <c r="BC7" i="4" a="1"/>
  <c r="AE14" i="4" a="1"/>
  <c r="DD7" i="4" a="1"/>
  <c r="DT8" i="4" a="1"/>
  <c r="Q5" i="4" a="1"/>
  <c r="S11" i="2"/>
  <c r="DL15" i="4" a="1"/>
  <c r="AG9" i="4" a="1"/>
  <c r="AH5" i="4" a="1"/>
  <c r="CN15" i="4" a="1"/>
  <c r="AW14" i="4" a="1"/>
  <c r="AD16" i="4" a="1"/>
  <c r="T6" i="4" a="1"/>
  <c r="DW14" i="4" a="1"/>
  <c r="AG11" i="4" a="1"/>
  <c r="BB11" i="4" a="1"/>
  <c r="CB15" i="4" a="1"/>
  <c r="EH8" i="4" a="1"/>
  <c r="K12" i="4" a="1"/>
  <c r="AZ13" i="4" a="1"/>
  <c r="AP14" i="4" a="1"/>
  <c r="CO5" i="4" a="1"/>
  <c r="BL11" i="4" a="1"/>
  <c r="AA7" i="4" a="1"/>
  <c r="EF6" i="4" a="1"/>
  <c r="AP5" i="4" a="1"/>
  <c r="CR12" i="4" a="1"/>
  <c r="DC5" i="4" a="1"/>
  <c r="R9" i="4" a="1"/>
  <c r="AW11" i="4" a="1"/>
  <c r="G13" i="4" a="1"/>
  <c r="P13" i="4" a="1"/>
  <c r="R12" i="4" a="1"/>
  <c r="CR15" i="4" a="1"/>
  <c r="BW8" i="4" a="1"/>
  <c r="DY12" i="4" a="1"/>
  <c r="BL5" i="4" a="1"/>
  <c r="DB11" i="4" a="1"/>
  <c r="DE7" i="4" a="1"/>
  <c r="AN14" i="4" a="1"/>
  <c r="K11" i="4" a="1"/>
  <c r="BF15" i="4" a="1"/>
  <c r="AM15" i="4" a="1"/>
  <c r="BK14" i="4" a="1"/>
  <c r="DY13" i="4" a="1"/>
  <c r="AX5" i="4" a="1"/>
  <c r="G7" i="3"/>
  <c r="BF7" i="4" a="1"/>
  <c r="M14" i="4" a="1"/>
  <c r="BI7" i="4" a="1"/>
  <c r="BV15" i="4" a="1"/>
  <c r="EJ13" i="4" a="1"/>
  <c r="DS5" i="4" a="1"/>
  <c r="N12" i="4" a="1"/>
  <c r="CZ9" i="4" a="1"/>
  <c r="EB5" i="4" a="1"/>
  <c r="F13" i="4" a="1"/>
  <c r="BR11" i="4" a="1"/>
  <c r="G6" i="4" a="1"/>
  <c r="BS11" i="4" a="1"/>
  <c r="AP13" i="4" a="1"/>
  <c r="BR7" i="4" a="1"/>
  <c r="DC8" i="4" a="1"/>
  <c r="AN12" i="4" a="1"/>
  <c r="BL7" i="4" a="1"/>
  <c r="EE13" i="4" a="1"/>
  <c r="DT5" i="4" a="1"/>
  <c r="CC5" i="4" a="1"/>
  <c r="BY16" i="4" a="1"/>
  <c r="BN15" i="4" a="1"/>
  <c r="CU16" i="4" a="1"/>
  <c r="DI9" i="4" a="1"/>
  <c r="CS16" i="4" a="1"/>
  <c r="BR9" i="4" a="1"/>
  <c r="AR14" i="4" a="1"/>
  <c r="BQ13" i="4" a="1"/>
  <c r="AU6" i="4" a="1"/>
  <c r="L15" i="4" a="1"/>
  <c r="BD8" i="4" a="1"/>
  <c r="DB15" i="4" a="1"/>
  <c r="EC6" i="4" a="1"/>
  <c r="DL8" i="4" a="1"/>
  <c r="W14" i="4" a="1"/>
  <c r="AQ6" i="3"/>
  <c r="X5" i="4" a="1"/>
  <c r="DN12" i="4" a="1"/>
  <c r="CR9" i="4" a="1"/>
  <c r="DQ15" i="4" a="1"/>
  <c r="AR8" i="4" a="1"/>
  <c r="CB12" i="4" a="1"/>
  <c r="AV11" i="4" a="1"/>
  <c r="EA6" i="4" a="1"/>
  <c r="CS6" i="4" a="1"/>
  <c r="X14" i="4" a="1"/>
  <c r="AV14" i="4" a="1"/>
  <c r="CV15" i="4" a="1"/>
  <c r="BV6" i="4" a="1"/>
  <c r="DM14" i="4" a="1"/>
  <c r="DK15" i="4" a="1"/>
  <c r="CK7" i="4" a="1"/>
  <c r="DW9" i="4" a="1"/>
  <c r="EI7" i="4" a="1"/>
  <c r="CY7" i="4" a="1"/>
  <c r="AF6" i="4" a="1"/>
  <c r="DN11" i="4" a="1"/>
  <c r="DM7" i="4" a="1"/>
  <c r="AQ45" i="3"/>
  <c r="BI16" i="4" a="1"/>
  <c r="H6" i="4" a="1"/>
  <c r="BV8" i="4" a="1"/>
  <c r="EC9" i="4" a="1"/>
  <c r="CH13" i="4" a="1"/>
  <c r="AB6" i="4" a="1"/>
  <c r="EK12" i="4" a="1"/>
  <c r="BW13" i="4" a="1"/>
  <c r="AY16" i="4" a="1"/>
  <c r="O9" i="4" a="1"/>
  <c r="CU14" i="4" a="1"/>
  <c r="BD16" i="4" a="1"/>
  <c r="CV11" i="4" a="1"/>
  <c r="AD15" i="4" a="1"/>
  <c r="ED15" i="4" a="1"/>
  <c r="EH15" i="4" a="1"/>
  <c r="J11" i="4" a="1"/>
  <c r="S16" i="4" a="1"/>
  <c r="AP12" i="4" a="1"/>
  <c r="O46" i="3"/>
  <c r="DN8" i="4" a="1"/>
  <c r="EB12" i="4" a="1"/>
  <c r="H9" i="4" a="1"/>
  <c r="EJ15" i="4" a="1"/>
  <c r="AW16" i="4" a="1"/>
  <c r="DV11" i="4" a="1"/>
  <c r="AV13" i="4" a="1"/>
  <c r="EE12" i="4" a="1"/>
  <c r="EB16" i="4" a="1"/>
  <c r="BM5" i="4" a="1"/>
  <c r="G9" i="4" a="1"/>
  <c r="AY13" i="4" a="1"/>
  <c r="F14" i="4" a="1"/>
  <c r="CW16" i="4" a="1"/>
  <c r="S8" i="4" a="1"/>
  <c r="BD13" i="4" a="1"/>
  <c r="EK13" i="4" a="1"/>
  <c r="DS11" i="4" a="1"/>
  <c r="CG13" i="4" a="1"/>
  <c r="DP13" i="4" a="1"/>
  <c r="F16" i="4" a="1"/>
  <c r="AJ9" i="4" a="1"/>
  <c r="EH7" i="4" a="1"/>
  <c r="AL7" i="4" a="1"/>
  <c r="BT6" i="4" a="1"/>
  <c r="CE8" i="4" a="1"/>
  <c r="AD12" i="3"/>
  <c r="DQ14" i="4" a="1"/>
  <c r="AW7" i="4" a="1"/>
  <c r="F7" i="4" a="1"/>
  <c r="R5" i="4" a="1"/>
  <c r="DY5" i="4" a="1"/>
  <c r="CQ7" i="4" a="1"/>
  <c r="DX15" i="4" a="1"/>
  <c r="AR15" i="4" a="1"/>
  <c r="BM12" i="4" a="1"/>
  <c r="AM13" i="4" a="1"/>
  <c r="AM14" i="4" a="1"/>
  <c r="DC6" i="4" a="1"/>
  <c r="DZ5" i="4" a="1"/>
  <c r="CM5" i="4" a="1"/>
  <c r="CO12" i="4" a="1"/>
  <c r="BX12" i="4" a="1"/>
  <c r="K6" i="4" a="1"/>
  <c r="BA14" i="4" a="1"/>
  <c r="CB8" i="4" a="1"/>
  <c r="EF16" i="4" a="1"/>
  <c r="EK6" i="4" a="1"/>
  <c r="S6" i="4" a="1"/>
  <c r="AH14" i="4" a="1"/>
  <c r="AB11" i="4" a="1"/>
  <c r="AW5" i="4" a="1"/>
  <c r="AQ16" i="4" a="1"/>
  <c r="DO15" i="4" a="1"/>
  <c r="BD9" i="4" a="1"/>
  <c r="EF8" i="4" a="1"/>
  <c r="CW12" i="4" a="1"/>
  <c r="BI12" i="4" a="1"/>
  <c r="AI12" i="4" a="1"/>
  <c r="DS14" i="4" a="1"/>
  <c r="D7" i="4" a="1"/>
  <c r="CZ8" i="4" a="1"/>
  <c r="AQ7" i="4" a="1"/>
  <c r="DX14" i="4" a="1"/>
  <c r="L14" i="4" a="1"/>
  <c r="CB6" i="4" a="1"/>
  <c r="Z14" i="4" a="1"/>
  <c r="BT11" i="4" a="1"/>
  <c r="DK8" i="4" a="1"/>
  <c r="R6" i="4" a="1"/>
  <c r="BI15" i="4" a="1"/>
  <c r="ED11" i="4" a="1"/>
  <c r="CW11" i="4" a="1"/>
  <c r="G8" i="4" a="1"/>
  <c r="BX7" i="4" a="1"/>
  <c r="CU15" i="4" a="1"/>
  <c r="CU11" i="4" a="1"/>
  <c r="CI6" i="4" a="1"/>
  <c r="BV12" i="4" a="1"/>
  <c r="CL16" i="4" a="1"/>
  <c r="DO16" i="4" a="1"/>
  <c r="AZ9" i="4" a="1"/>
  <c r="N11" i="4" a="1"/>
  <c r="DA9" i="4" a="1"/>
  <c r="BT12" i="4" a="1"/>
  <c r="AY15" i="4" a="1"/>
  <c r="G16" i="4" a="1"/>
  <c r="AT7" i="4" a="1"/>
  <c r="DD9" i="4" a="1"/>
  <c r="AL6" i="4" a="1"/>
  <c r="CC14" i="4" a="1"/>
  <c r="ED7" i="4" a="1"/>
  <c r="EA11" i="4" a="1"/>
  <c r="AX12" i="4" a="1"/>
  <c r="CY5" i="4" a="1"/>
  <c r="I6" i="4" a="1"/>
  <c r="DR13" i="4" a="1"/>
  <c r="X8" i="4" a="1"/>
  <c r="AR5" i="4" a="1"/>
  <c r="DR6" i="4" a="1"/>
  <c r="CJ14" i="4" a="1"/>
  <c r="BD14" i="4" a="1"/>
  <c r="BN13" i="4" a="1"/>
  <c r="AF5" i="4" a="1"/>
  <c r="BP6" i="4" a="1"/>
  <c r="CQ16" i="4" a="1"/>
  <c r="DL11" i="4" a="1"/>
  <c r="CQ11" i="4" a="1"/>
  <c r="BK9" i="4" a="1"/>
  <c r="P12" i="4" a="1"/>
  <c r="DX16" i="4" a="1"/>
  <c r="DY6" i="4" a="1"/>
  <c r="CZ7" i="4" a="1"/>
  <c r="EB14" i="4" a="1"/>
  <c r="DW12" i="4" a="1"/>
  <c r="CE5" i="4" a="1"/>
  <c r="DF6" i="4" a="1"/>
  <c r="DS8" i="4" a="1"/>
  <c r="DT14" i="4" a="1"/>
  <c r="DH5" i="4" a="1"/>
  <c r="BA11" i="4" a="1"/>
  <c r="CL14" i="4" a="1"/>
  <c r="BX11" i="4" a="1"/>
  <c r="AG6" i="4" a="1"/>
  <c r="G24" i="3"/>
  <c r="CQ8" i="4" a="1"/>
  <c r="DP8" i="4" a="1"/>
  <c r="EC8" i="4" a="1"/>
  <c r="CF13" i="4" a="1"/>
  <c r="CG6" i="4" a="1"/>
  <c r="AK16" i="4" a="1"/>
  <c r="P11" i="4" a="1"/>
  <c r="DR9" i="4" a="1"/>
  <c r="AZ16" i="4" a="1"/>
  <c r="CP16" i="4" a="1"/>
  <c r="CU7" i="4" a="1"/>
  <c r="G15" i="4" a="1"/>
  <c r="CE12" i="4" a="1"/>
  <c r="ED12" i="4" a="1"/>
  <c r="DF8" i="4" a="1"/>
  <c r="E34" i="3"/>
  <c r="N13" i="4" a="1"/>
  <c r="DT6" i="4" a="1"/>
  <c r="EE6" i="4" a="1"/>
  <c r="CF15" i="4" a="1"/>
  <c r="BZ6" i="4" a="1"/>
  <c r="CY13" i="4" a="1"/>
  <c r="M11" i="4" a="1"/>
  <c r="CL5" i="4" a="1"/>
  <c r="EC16" i="4" a="1"/>
  <c r="BO7" i="4" a="1"/>
  <c r="ED13" i="4" a="1"/>
  <c r="R15" i="4" a="1"/>
  <c r="BE14" i="4" a="1"/>
  <c r="E11" i="4" a="1"/>
  <c r="AS12" i="4" a="1"/>
  <c r="E45" i="3"/>
  <c r="BX5" i="4" a="1"/>
  <c r="AS13" i="4" a="1"/>
  <c r="AH9" i="4" a="1"/>
  <c r="CV7" i="4" a="1"/>
  <c r="BR8" i="4" a="1"/>
  <c r="AE5" i="4" a="1"/>
  <c r="AL14" i="4" a="1"/>
  <c r="AX16" i="4" a="1"/>
  <c r="CR6" i="4" a="1"/>
  <c r="Z9" i="4" a="1"/>
  <c r="AD13" i="4" a="1"/>
  <c r="DS15" i="4" a="1"/>
  <c r="K13" i="4" a="1"/>
  <c r="J5" i="4" a="1"/>
  <c r="DQ7" i="4" a="1"/>
  <c r="DW7" i="4" a="1"/>
  <c r="DV8" i="4" a="1"/>
  <c r="CR11" i="4" a="1"/>
  <c r="AO8" i="4" a="1"/>
  <c r="BC11" i="4" a="1"/>
  <c r="AU16" i="4" a="1"/>
  <c r="BT15" i="4" a="1"/>
  <c r="BQ16" i="4" a="1"/>
  <c r="V7" i="4" a="1"/>
  <c r="CE9" i="4" a="1"/>
  <c r="AN16" i="4" a="1"/>
  <c r="BQ9" i="4" a="1"/>
  <c r="AS11" i="4" a="1"/>
  <c r="CH5" i="4" a="1"/>
  <c r="ED8" i="4" a="1"/>
  <c r="BX15" i="4" a="1"/>
  <c r="DN16" i="4" a="1"/>
  <c r="T11" i="4" a="1"/>
  <c r="DY14" i="4" a="1"/>
  <c r="BP14" i="4" a="1"/>
  <c r="CZ5" i="4" a="1"/>
  <c r="EI11" i="4" a="1"/>
  <c r="BQ6" i="4" a="1"/>
  <c r="DO7" i="4" a="1"/>
  <c r="BI9" i="4" a="1"/>
  <c r="DR14" i="4" a="1"/>
  <c r="CD13" i="4" a="1"/>
  <c r="BB7" i="4" a="1"/>
  <c r="BI11" i="4" a="1"/>
  <c r="AJ6" i="4" a="1"/>
  <c r="AR13" i="4" a="1"/>
  <c r="J12" i="4" a="1"/>
  <c r="DI5" i="4" a="1"/>
  <c r="Q15" i="4" a="1"/>
  <c r="BQ14" i="4" a="1"/>
  <c r="S13" i="4" a="1"/>
  <c r="BH16" i="4" a="1"/>
  <c r="CQ5" i="4" a="1"/>
  <c r="H15" i="4" a="1"/>
  <c r="M8" i="4" a="1"/>
  <c r="L8" i="4" a="1"/>
  <c r="DE9" i="4" a="1"/>
  <c r="D73" i="3"/>
  <c r="F62" i="3"/>
  <c r="G77" i="3"/>
  <c r="D83" i="3"/>
  <c r="F86" i="3"/>
  <c r="G82" i="3"/>
  <c r="D75" i="3"/>
  <c r="G72" i="3"/>
  <c r="F74" i="3"/>
  <c r="D89" i="3"/>
  <c r="F64" i="3"/>
  <c r="G66" i="3"/>
  <c r="G89" i="3"/>
  <c r="D93" i="3"/>
  <c r="D77" i="3"/>
  <c r="G56" i="3"/>
  <c r="F59" i="3"/>
  <c r="F55" i="3"/>
  <c r="F60" i="3"/>
  <c r="G69" i="3"/>
  <c r="D64" i="3"/>
  <c r="D59" i="3"/>
  <c r="F95" i="3"/>
  <c r="G96" i="3"/>
  <c r="G73" i="3"/>
  <c r="G93" i="3"/>
  <c r="F87" i="3"/>
  <c r="F96" i="3"/>
  <c r="G59" i="3"/>
  <c r="D67" i="3"/>
  <c r="F91" i="3"/>
  <c r="F65" i="3"/>
  <c r="F67" i="3"/>
  <c r="D57" i="3"/>
  <c r="G79" i="3"/>
  <c r="D74" i="3"/>
  <c r="F81" i="3"/>
  <c r="G91" i="3"/>
  <c r="G70" i="3"/>
  <c r="D71" i="3"/>
  <c r="D65" i="3"/>
  <c r="F63" i="3"/>
  <c r="G60" i="3"/>
  <c r="G94" i="3"/>
  <c r="F54" i="3"/>
  <c r="D54" i="3"/>
  <c r="G84" i="3"/>
  <c r="F50" i="3"/>
  <c r="F92" i="3"/>
  <c r="F61" i="3"/>
  <c r="D76" i="3"/>
  <c r="G63" i="3"/>
  <c r="D94" i="3"/>
  <c r="G64" i="3"/>
  <c r="D81" i="3"/>
  <c r="F80" i="3"/>
  <c r="G97" i="3"/>
  <c r="G61" i="3"/>
  <c r="F73" i="3"/>
  <c r="F48" i="3"/>
  <c r="D60" i="3"/>
  <c r="F49" i="3"/>
  <c r="D69" i="3"/>
  <c r="F85" i="3"/>
  <c r="F90" i="3"/>
  <c r="F84" i="3"/>
  <c r="G75" i="3"/>
  <c r="F72" i="3"/>
  <c r="F68" i="3"/>
  <c r="G62" i="3"/>
  <c r="G80" i="3"/>
  <c r="F76" i="3"/>
  <c r="D95" i="3"/>
  <c r="F93" i="3"/>
  <c r="G65" i="3"/>
  <c r="F71" i="3"/>
  <c r="G90" i="3"/>
  <c r="D61" i="3"/>
  <c r="F75" i="3"/>
  <c r="F78" i="3"/>
  <c r="G92" i="3"/>
  <c r="F97" i="3"/>
  <c r="D68" i="3"/>
  <c r="F66" i="3"/>
  <c r="F79" i="3"/>
  <c r="F89" i="3"/>
  <c r="G54" i="3"/>
  <c r="G81" i="3"/>
  <c r="D79" i="3"/>
  <c r="D96" i="3"/>
  <c r="F94" i="3"/>
  <c r="F69" i="3"/>
  <c r="D55" i="3"/>
  <c r="D63" i="3"/>
  <c r="D78" i="3"/>
  <c r="F88" i="3"/>
  <c r="G58" i="3"/>
  <c r="G67" i="3"/>
  <c r="D97" i="3"/>
  <c r="D91" i="3"/>
  <c r="G95" i="3"/>
  <c r="D58" i="3"/>
  <c r="F58" i="3"/>
  <c r="G78" i="3"/>
  <c r="G86" i="3"/>
  <c r="F83" i="3"/>
  <c r="F82" i="3"/>
  <c r="D87" i="3" l="1"/>
  <c r="G55" i="3"/>
  <c r="G57" i="3"/>
  <c r="G85" i="3"/>
  <c r="G68" i="3"/>
  <c r="F57" i="3"/>
  <c r="F47" i="3"/>
  <c r="D72" i="3"/>
  <c r="D86" i="3"/>
  <c r="F56" i="3"/>
  <c r="F70" i="3"/>
  <c r="D80" i="3"/>
  <c r="G76" i="3"/>
  <c r="D66" i="3"/>
  <c r="D84" i="3"/>
  <c r="G87" i="3"/>
  <c r="F77" i="3"/>
  <c r="G88" i="3"/>
  <c r="G83" i="3"/>
  <c r="D85" i="3"/>
  <c r="D88" i="3"/>
  <c r="D82" i="3"/>
  <c r="D70" i="3"/>
  <c r="D56" i="3"/>
  <c r="D92" i="3"/>
  <c r="D90" i="3"/>
  <c r="D62" i="3"/>
  <c r="E64" i="3"/>
  <c r="E76" i="3"/>
  <c r="E81" i="3"/>
  <c r="E68" i="3"/>
  <c r="E73" i="3"/>
  <c r="E94" i="3"/>
  <c r="E74" i="3"/>
  <c r="E87" i="3"/>
  <c r="E82" i="3"/>
  <c r="E89" i="3"/>
  <c r="E97" i="3"/>
  <c r="E86" i="3"/>
  <c r="E66" i="3"/>
  <c r="E54" i="3"/>
  <c r="E85" i="3"/>
  <c r="E60" i="3"/>
  <c r="E72" i="3"/>
  <c r="E67" i="3"/>
  <c r="E55" i="3"/>
  <c r="E71" i="3"/>
  <c r="E62" i="3"/>
  <c r="E58" i="3"/>
  <c r="E61" i="3"/>
  <c r="E92" i="3"/>
  <c r="E75" i="3"/>
  <c r="E63" i="3"/>
  <c r="E80" i="3"/>
  <c r="E65" i="3"/>
  <c r="E88" i="3"/>
  <c r="E70" i="3"/>
  <c r="E83" i="3"/>
  <c r="E93" i="3"/>
  <c r="E84" i="3"/>
  <c r="E95" i="3"/>
  <c r="E56" i="3"/>
  <c r="E96" i="3"/>
  <c r="E59" i="3"/>
  <c r="E69" i="3"/>
  <c r="E77" i="3"/>
  <c r="E91" i="3"/>
  <c r="E79" i="3"/>
  <c r="E78" i="3"/>
  <c r="E90" i="3"/>
  <c r="E57" i="3"/>
  <c r="AD70" i="3"/>
  <c r="BJ141" i="1" s="1"/>
  <c r="AD54" i="3"/>
  <c r="AD81" i="3"/>
  <c r="BJ152" i="1" s="1"/>
  <c r="AD65" i="3"/>
  <c r="BJ158" i="1" s="1"/>
  <c r="BK158" i="1" s="1"/>
  <c r="AD91" i="3"/>
  <c r="BJ162" i="1" s="1"/>
  <c r="BK162" i="1" s="1"/>
  <c r="AD96" i="3"/>
  <c r="BJ171" i="1" s="1"/>
  <c r="BK171" i="1" s="1"/>
  <c r="AD57" i="3"/>
  <c r="BJ126" i="1" s="1"/>
  <c r="BK126" i="1" s="1"/>
  <c r="AD92" i="3"/>
  <c r="BJ163" i="1" s="1"/>
  <c r="BK163" i="1" s="1"/>
  <c r="AD94" i="3"/>
  <c r="AD86" i="3"/>
  <c r="AD95" i="3"/>
  <c r="BJ172" i="1" s="1"/>
  <c r="AD82" i="3"/>
  <c r="BJ153" i="1" s="1"/>
  <c r="AD75" i="3"/>
  <c r="AD64" i="3"/>
  <c r="BJ157" i="1" s="1"/>
  <c r="AD58" i="3"/>
  <c r="BJ127" i="1" s="1"/>
  <c r="AD89" i="3"/>
  <c r="BJ161" i="1" s="1"/>
  <c r="AD97" i="3"/>
  <c r="AD68" i="3"/>
  <c r="BJ139" i="1" s="1"/>
  <c r="AD62" i="3"/>
  <c r="BJ132" i="1" s="1"/>
  <c r="BK132" i="1" s="1"/>
  <c r="AD59" i="3"/>
  <c r="AD88" i="3"/>
  <c r="BJ135" i="1" s="1"/>
  <c r="BK135" i="1" s="1"/>
  <c r="AD84" i="3"/>
  <c r="BJ154" i="1" s="1"/>
  <c r="BK154" i="1" s="1"/>
  <c r="AD74" i="3"/>
  <c r="BJ145" i="1" s="1"/>
  <c r="BK145" i="1" s="1"/>
  <c r="AD60" i="3"/>
  <c r="BJ130" i="1" s="1"/>
  <c r="BK130" i="1" s="1"/>
  <c r="AD72" i="3"/>
  <c r="BJ143" i="1" s="1"/>
  <c r="BK143" i="1" s="1"/>
  <c r="AD79" i="3"/>
  <c r="AD78" i="3"/>
  <c r="BJ150" i="1" s="1"/>
  <c r="BK150" i="1" s="1"/>
  <c r="AD56" i="3"/>
  <c r="BJ125" i="1" s="1"/>
  <c r="AD76" i="3"/>
  <c r="AD67" i="3"/>
  <c r="AD80" i="3"/>
  <c r="BJ167" i="1" s="1"/>
  <c r="AD77" i="3"/>
  <c r="BJ148" i="1" s="1"/>
  <c r="BK148" i="1" s="1"/>
  <c r="BL210" i="1" s="1"/>
  <c r="AD69" i="3"/>
  <c r="BJ140" i="1" s="1"/>
  <c r="AD85" i="3"/>
  <c r="BJ155" i="1" s="1"/>
  <c r="BK155" i="1" s="1"/>
  <c r="AD55" i="3"/>
  <c r="AD73" i="3"/>
  <c r="AD66" i="3"/>
  <c r="BJ159" i="1" s="1"/>
  <c r="BK159" i="1" s="1"/>
  <c r="AD61" i="3"/>
  <c r="AD83" i="3"/>
  <c r="BJ168" i="1" s="1"/>
  <c r="AD90" i="3"/>
  <c r="BJ134" i="1" s="1"/>
  <c r="BK134" i="1" s="1"/>
  <c r="AD87" i="3"/>
  <c r="BJ160" i="1" s="1"/>
  <c r="BK160" i="1" s="1"/>
  <c r="AD71" i="3"/>
  <c r="AD63" i="3"/>
  <c r="BJ133" i="1" s="1"/>
  <c r="BK133" i="1" s="1"/>
  <c r="AD93" i="3"/>
  <c r="G71" i="3"/>
  <c r="G74" i="3"/>
  <c r="IH16" i="4" s="1"/>
  <c r="IK9" i="4" s="1"/>
  <c r="IK16" i="4" s="1"/>
  <c r="AK53" i="1"/>
  <c r="II9" i="4" s="1"/>
  <c r="IX9" i="4" s="1"/>
  <c r="IW9" i="4" s="1"/>
  <c r="IR16" i="4" s="1"/>
  <c r="BJ22" i="1"/>
  <c r="HZ9" i="4" s="1"/>
  <c r="HP16" i="4" s="1"/>
  <c r="JF16" i="4" s="1"/>
  <c r="HS9" i="4" s="1"/>
  <c r="IE16" i="4" s="1"/>
  <c r="IT9" i="4" s="1"/>
  <c r="IU16" i="4" s="1"/>
  <c r="HT9" i="4" s="1"/>
  <c r="HX16" i="4" s="1"/>
  <c r="HY9" i="4" s="1"/>
  <c r="R21" i="1"/>
  <c r="IY9" i="4" s="1"/>
  <c r="IX16" i="4" s="1"/>
  <c r="JA16" i="4" s="1"/>
  <c r="IA9" i="4" s="1"/>
  <c r="JA9" i="4" s="1"/>
  <c r="IA16" i="4" s="1"/>
  <c r="IH9" i="4" s="1"/>
  <c r="HW16" i="4" s="1"/>
  <c r="BX158" i="1"/>
  <c r="BY158" i="1" s="1"/>
  <c r="U30" i="1"/>
  <c r="IM9" i="4" s="1"/>
  <c r="HS16" i="4" s="1"/>
  <c r="IN16" i="4" s="1"/>
  <c r="IT15" i="4" s="1"/>
  <c r="AJ43" i="1"/>
  <c r="HZ16" i="4" s="1"/>
  <c r="AJ29" i="1"/>
  <c r="Q29" i="1"/>
  <c r="IQ15" i="4" s="1"/>
  <c r="JI9" i="4" s="1"/>
  <c r="JH9" i="4" s="1"/>
  <c r="IZ9" i="4" s="1"/>
  <c r="JF9" i="4" s="1"/>
  <c r="IC7" i="4" s="1"/>
  <c r="HV16" i="4" s="1"/>
  <c r="JI16" i="4" s="1"/>
  <c r="IT16" i="4" s="1"/>
  <c r="JH14" i="4" s="1"/>
  <c r="IZ16" i="4" s="1"/>
  <c r="IZ21" i="4" s="1"/>
  <c r="BT85" i="1" s="1"/>
  <c r="S30" i="1"/>
  <c r="AK43" i="1"/>
  <c r="IX14" i="4" s="1"/>
  <c r="IV9" i="4" s="1"/>
  <c r="IC9" i="4" s="1"/>
  <c r="I53" i="1"/>
  <c r="II16" i="4" s="1"/>
  <c r="AJ31" i="1"/>
  <c r="BX22" i="1"/>
  <c r="IW16" i="4" s="1"/>
  <c r="JE9" i="4" s="1"/>
  <c r="JG9" i="4" s="1"/>
  <c r="JC9" i="4" s="1"/>
  <c r="IC16" i="4" s="1"/>
  <c r="IJ9" i="4" s="1"/>
  <c r="IF16" i="4" s="1"/>
  <c r="IU9" i="4" s="1"/>
  <c r="ID16" i="4" s="1"/>
  <c r="BX29" i="1"/>
  <c r="AK40" i="1"/>
  <c r="AK202" i="1" s="1"/>
  <c r="I47" i="1"/>
  <c r="H21" i="1"/>
  <c r="P163" i="1"/>
  <c r="L53" i="1"/>
  <c r="IV16" i="4" s="1"/>
  <c r="IS16" i="4" s="1"/>
  <c r="HQ9" i="4" s="1"/>
  <c r="AM43" i="1"/>
  <c r="AM30" i="1"/>
  <c r="AM31" i="1"/>
  <c r="BJ21" i="1"/>
  <c r="BX53" i="1"/>
  <c r="C44" i="1"/>
  <c r="L21" i="1"/>
  <c r="K33" i="1"/>
  <c r="IG15" i="4" s="1"/>
  <c r="ID15" i="4" s="1"/>
  <c r="IM16" i="4" s="1"/>
  <c r="HV9" i="4" s="1"/>
  <c r="IW14" i="4" s="1"/>
  <c r="IN9" i="4" s="1"/>
  <c r="BX55" i="1"/>
  <c r="AJ53" i="1"/>
  <c r="BX150" i="1"/>
  <c r="BY150" i="1" s="1"/>
  <c r="E31" i="1"/>
  <c r="J33" i="1"/>
  <c r="F40" i="1"/>
  <c r="F202" i="1" s="1"/>
  <c r="HQ7" i="4" s="1"/>
  <c r="IA15" i="4" s="1"/>
  <c r="IO16" i="4" s="1"/>
  <c r="AL43" i="1"/>
  <c r="AL33" i="1"/>
  <c r="P161" i="1"/>
  <c r="BX167" i="1"/>
  <c r="H44" i="1"/>
  <c r="U33" i="1"/>
  <c r="HX9" i="4" s="1"/>
  <c r="M31" i="1"/>
  <c r="G59" i="1"/>
  <c r="D17" i="1"/>
  <c r="BX54" i="1"/>
  <c r="BX33" i="1"/>
  <c r="AK54" i="1"/>
  <c r="N28" i="1"/>
  <c r="B32" i="1"/>
  <c r="G31" i="1"/>
  <c r="IL9" i="4" s="1"/>
  <c r="BJ23" i="1"/>
  <c r="AJ33" i="1"/>
  <c r="BX59" i="1"/>
  <c r="AL29" i="1"/>
  <c r="BX148" i="1"/>
  <c r="BY148" i="1" s="1"/>
  <c r="BZ210" i="1" s="1"/>
  <c r="G54" i="1"/>
  <c r="BY81" i="1"/>
  <c r="HQ16" i="4" s="1"/>
  <c r="HU9" i="4" s="1"/>
  <c r="IA7" i="4" s="1"/>
  <c r="BJ16" i="1"/>
  <c r="BJ239" i="1" s="1"/>
  <c r="BX17" i="1"/>
  <c r="AK16" i="1"/>
  <c r="BX30" i="1"/>
  <c r="BX159" i="1"/>
  <c r="BY159" i="1" s="1"/>
  <c r="L47" i="1"/>
  <c r="BX140" i="1"/>
  <c r="M30" i="1"/>
  <c r="HP7" i="4" s="1"/>
  <c r="JD9" i="4" s="1"/>
  <c r="IG16" i="4" s="1"/>
  <c r="HT7" i="4" s="1"/>
  <c r="IE15" i="4" s="1"/>
  <c r="IC14" i="4" s="1"/>
  <c r="IF9" i="4" s="1"/>
  <c r="HY16" i="4" s="1"/>
  <c r="HY21" i="4" s="1"/>
  <c r="AS85" i="1" s="1"/>
  <c r="IO14" i="4" s="1"/>
  <c r="ID7" i="4" s="1"/>
  <c r="IY16" i="4" s="1"/>
  <c r="IY21" i="4" s="1"/>
  <c r="BS85" i="1" s="1"/>
  <c r="IM8" i="4" s="1"/>
  <c r="IJ16" i="4" s="1"/>
  <c r="IJ21" i="4" s="1"/>
  <c r="BD85" i="1" s="1"/>
  <c r="HU15" i="4" s="1"/>
  <c r="IP9" i="4" s="1"/>
  <c r="BX21" i="1"/>
  <c r="BX32" i="1"/>
  <c r="AL22" i="1"/>
  <c r="AL44" i="1"/>
  <c r="W23" i="1"/>
  <c r="D29" i="1"/>
  <c r="O59" i="1"/>
  <c r="HR16" i="4" s="1"/>
  <c r="JH7" i="4" s="1"/>
  <c r="IL16" i="4" s="1"/>
  <c r="IL21" i="4" s="1"/>
  <c r="BF85" i="1" s="1"/>
  <c r="JE8" i="4" s="1"/>
  <c r="IJ14" i="4" s="1"/>
  <c r="IZ14" i="4" s="1"/>
  <c r="IR9" i="4" s="1"/>
  <c r="BX47" i="1"/>
  <c r="AJ47" i="1"/>
  <c r="K40" i="1"/>
  <c r="K202" i="1" s="1"/>
  <c r="V30" i="1"/>
  <c r="Q21" i="1"/>
  <c r="I30" i="1"/>
  <c r="IS7" i="4" s="1"/>
  <c r="JB16" i="4" s="1"/>
  <c r="IE7" i="4" s="1"/>
  <c r="IS9" i="4" s="1"/>
  <c r="HR9" i="4" s="1"/>
  <c r="IK8" i="4" s="1"/>
  <c r="AL54" i="1"/>
  <c r="AL55" i="1"/>
  <c r="AJ54" i="1"/>
  <c r="BX40" i="1"/>
  <c r="BX202" i="1" s="1"/>
  <c r="AK47" i="1"/>
  <c r="AJ16" i="1"/>
  <c r="AJ239" i="1" s="1"/>
  <c r="AK59" i="1"/>
  <c r="AJ32" i="1"/>
  <c r="AK17" i="1"/>
  <c r="AK55" i="1"/>
  <c r="AK44" i="1"/>
  <c r="B47" i="1"/>
  <c r="W55" i="1"/>
  <c r="BX172" i="1"/>
  <c r="BY172" i="1" s="1"/>
  <c r="S21" i="1"/>
  <c r="O44" i="1"/>
  <c r="B28" i="1"/>
  <c r="D43" i="1"/>
  <c r="K16" i="1"/>
  <c r="K239" i="1" s="1"/>
  <c r="F21" i="1"/>
  <c r="O53" i="1"/>
  <c r="G21" i="1"/>
  <c r="E30" i="1"/>
  <c r="C54" i="1"/>
  <c r="G40" i="1"/>
  <c r="G202" i="1" s="1"/>
  <c r="F44" i="1"/>
  <c r="T32" i="1"/>
  <c r="W140" i="1"/>
  <c r="R31" i="1"/>
  <c r="I17" i="1"/>
  <c r="M28" i="1"/>
  <c r="M59" i="1"/>
  <c r="V23" i="1"/>
  <c r="H30" i="1"/>
  <c r="J29" i="1"/>
  <c r="O43" i="1"/>
  <c r="T21" i="1"/>
  <c r="T44" i="1"/>
  <c r="S23" i="1"/>
  <c r="E16" i="1"/>
  <c r="E239" i="1" s="1"/>
  <c r="Q54" i="1"/>
  <c r="J54" i="1"/>
  <c r="P135" i="1"/>
  <c r="C53" i="1"/>
  <c r="M21" i="1"/>
  <c r="F29" i="1"/>
  <c r="C30" i="1"/>
  <c r="W30" i="1"/>
  <c r="S59" i="1"/>
  <c r="JI14" i="4" s="1"/>
  <c r="AL40" i="1"/>
  <c r="AL202" i="1" s="1"/>
  <c r="BX43" i="1"/>
  <c r="AM17" i="1"/>
  <c r="AL32" i="1"/>
  <c r="AK22" i="1"/>
  <c r="BX31" i="1"/>
  <c r="AM21" i="1"/>
  <c r="AL23" i="1"/>
  <c r="AM33" i="1"/>
  <c r="AL16" i="1"/>
  <c r="BJ33" i="1"/>
  <c r="AJ55" i="1"/>
  <c r="AM23" i="1"/>
  <c r="D130" i="1"/>
  <c r="BX162" i="1"/>
  <c r="BY162" i="1" s="1"/>
  <c r="Q17" i="1"/>
  <c r="B43" i="1"/>
  <c r="I43" i="1"/>
  <c r="C21" i="1"/>
  <c r="BX81" i="1"/>
  <c r="I29" i="1"/>
  <c r="S16" i="1"/>
  <c r="S239" i="1" s="1"/>
  <c r="B33" i="1"/>
  <c r="V31" i="1"/>
  <c r="M16" i="1"/>
  <c r="M239" i="1" s="1"/>
  <c r="S28" i="1"/>
  <c r="M17" i="1"/>
  <c r="W40" i="1"/>
  <c r="W202" i="1" s="1"/>
  <c r="N21" i="1"/>
  <c r="O16" i="1"/>
  <c r="G16" i="1"/>
  <c r="G239" i="1" s="1"/>
  <c r="K53" i="1"/>
  <c r="I44" i="1"/>
  <c r="S47" i="1"/>
  <c r="I31" i="1"/>
  <c r="E59" i="1"/>
  <c r="J43" i="1"/>
  <c r="F54" i="1"/>
  <c r="P47" i="1"/>
  <c r="K23" i="1"/>
  <c r="R44" i="1"/>
  <c r="L33" i="1"/>
  <c r="T23" i="1"/>
  <c r="L17" i="1"/>
  <c r="O32" i="1"/>
  <c r="F28" i="1"/>
  <c r="G43" i="1"/>
  <c r="S55" i="1"/>
  <c r="V47" i="1"/>
  <c r="M54" i="1"/>
  <c r="Q32" i="1"/>
  <c r="N44" i="1"/>
  <c r="S31" i="1"/>
  <c r="M40" i="1"/>
  <c r="M202" i="1" s="1"/>
  <c r="N30" i="1"/>
  <c r="V29" i="1"/>
  <c r="U59" i="1"/>
  <c r="N16" i="1"/>
  <c r="N239" i="1" s="1"/>
  <c r="N17" i="1"/>
  <c r="N18" i="1" s="1"/>
  <c r="J21" i="1"/>
  <c r="P33" i="1"/>
  <c r="T30" i="1"/>
  <c r="E32" i="1"/>
  <c r="F53" i="1"/>
  <c r="Q43" i="1"/>
  <c r="C17" i="1"/>
  <c r="N23" i="1"/>
  <c r="Q55" i="1"/>
  <c r="N31" i="1"/>
  <c r="J53" i="1"/>
  <c r="N29" i="1"/>
  <c r="O17" i="1"/>
  <c r="O18" i="1" s="1"/>
  <c r="K29" i="1"/>
  <c r="E167" i="1"/>
  <c r="H28" i="1"/>
  <c r="P16" i="1"/>
  <c r="P239" i="1" s="1"/>
  <c r="F43" i="1"/>
  <c r="L28" i="1"/>
  <c r="IA8" i="4" s="1"/>
  <c r="BX28" i="1"/>
  <c r="BJ28" i="1"/>
  <c r="AJ17" i="1"/>
  <c r="AM32" i="1"/>
  <c r="BJ32" i="1"/>
  <c r="AL17" i="1"/>
  <c r="U31" i="1"/>
  <c r="J31" i="1"/>
  <c r="C28" i="1"/>
  <c r="J40" i="1"/>
  <c r="J202" i="1" s="1"/>
  <c r="J28" i="1"/>
  <c r="E53" i="1"/>
  <c r="Q30" i="1"/>
  <c r="T54" i="1"/>
  <c r="I21" i="1"/>
  <c r="BX130" i="1"/>
  <c r="BY130" i="1" s="1"/>
  <c r="U21" i="1"/>
  <c r="Q40" i="1"/>
  <c r="Q202" i="1" s="1"/>
  <c r="N43" i="1"/>
  <c r="D23" i="1"/>
  <c r="W47" i="1"/>
  <c r="E55" i="1"/>
  <c r="L32" i="1"/>
  <c r="Q28" i="1"/>
  <c r="F59" i="1"/>
  <c r="H29" i="1"/>
  <c r="H59" i="1"/>
  <c r="P40" i="1"/>
  <c r="P202" i="1" s="1"/>
  <c r="R30" i="1"/>
  <c r="J17" i="1"/>
  <c r="K30" i="1"/>
  <c r="U43" i="1"/>
  <c r="V59" i="1"/>
  <c r="R29" i="1"/>
  <c r="P28" i="1"/>
  <c r="C55" i="1"/>
  <c r="K54" i="1"/>
  <c r="J32" i="1"/>
  <c r="D30" i="1"/>
  <c r="T47" i="1"/>
  <c r="R23" i="1"/>
  <c r="B16" i="1"/>
  <c r="B239" i="1" s="1"/>
  <c r="W21" i="1"/>
  <c r="K43" i="1"/>
  <c r="P168" i="1"/>
  <c r="N53" i="1"/>
  <c r="T55" i="1"/>
  <c r="T40" i="1"/>
  <c r="T202" i="1" s="1"/>
  <c r="E43" i="1"/>
  <c r="IA14" i="4" s="1"/>
  <c r="IU14" i="4" s="1"/>
  <c r="IM15" i="4" s="1"/>
  <c r="JA7" i="4" s="1"/>
  <c r="AL28" i="1"/>
  <c r="AL53" i="1"/>
  <c r="BX23" i="1"/>
  <c r="AJ22" i="1"/>
  <c r="AJ28" i="1"/>
  <c r="F33" i="1"/>
  <c r="B23" i="1"/>
  <c r="L16" i="1"/>
  <c r="L239" i="1" s="1"/>
  <c r="E28" i="1"/>
  <c r="D40" i="1"/>
  <c r="D202" i="1" s="1"/>
  <c r="BX160" i="1"/>
  <c r="BY160" i="1" s="1"/>
  <c r="D33" i="1"/>
  <c r="P17" i="1"/>
  <c r="L29" i="1"/>
  <c r="H17" i="1"/>
  <c r="V17" i="1"/>
  <c r="V18" i="1" s="1"/>
  <c r="C33" i="1"/>
  <c r="U32" i="1"/>
  <c r="P55" i="1"/>
  <c r="H47" i="1"/>
  <c r="R16" i="1"/>
  <c r="R239" i="1" s="1"/>
  <c r="S33" i="1"/>
  <c r="F47" i="1"/>
  <c r="C59" i="1"/>
  <c r="M29" i="1"/>
  <c r="C31" i="1"/>
  <c r="V53" i="1"/>
  <c r="O28" i="1"/>
  <c r="G171" i="1"/>
  <c r="T59" i="1"/>
  <c r="O31" i="1"/>
  <c r="V32" i="1"/>
  <c r="N59" i="1"/>
  <c r="F30" i="1"/>
  <c r="T31" i="1"/>
  <c r="F16" i="1"/>
  <c r="F239" i="1" s="1"/>
  <c r="D54" i="1"/>
  <c r="W17" i="1"/>
  <c r="W18" i="1" s="1"/>
  <c r="W8" i="1" s="1"/>
  <c r="AJ44" i="1"/>
  <c r="BJ31" i="1"/>
  <c r="AJ23" i="1"/>
  <c r="AK33" i="1"/>
  <c r="BJ29" i="1"/>
  <c r="BX152" i="1"/>
  <c r="G44" i="1"/>
  <c r="B21" i="1"/>
  <c r="O23" i="1"/>
  <c r="BX168" i="1"/>
  <c r="J30" i="1"/>
  <c r="G28" i="1"/>
  <c r="U29" i="1"/>
  <c r="O33" i="1"/>
  <c r="BX126" i="1"/>
  <c r="BY126" i="1" s="1"/>
  <c r="B17" i="1"/>
  <c r="P53" i="1"/>
  <c r="V28" i="1"/>
  <c r="C32" i="1"/>
  <c r="D31" i="1"/>
  <c r="L31" i="1"/>
  <c r="R17" i="1"/>
  <c r="R18" i="1" s="1"/>
  <c r="R106" i="1" s="1"/>
  <c r="O47" i="1"/>
  <c r="G33" i="1"/>
  <c r="G17" i="1"/>
  <c r="S32" i="1"/>
  <c r="O54" i="1"/>
  <c r="V55" i="1"/>
  <c r="V21" i="1"/>
  <c r="T17" i="1"/>
  <c r="G161" i="1"/>
  <c r="C23" i="1"/>
  <c r="G32" i="1"/>
  <c r="H31" i="1"/>
  <c r="P23" i="1"/>
  <c r="R32" i="1"/>
  <c r="E29" i="1"/>
  <c r="P54" i="1"/>
  <c r="T33" i="1"/>
  <c r="I54" i="1"/>
  <c r="F55" i="1"/>
  <c r="M33" i="1"/>
  <c r="T43" i="1"/>
  <c r="T28" i="1"/>
  <c r="P30" i="1"/>
  <c r="H43" i="1"/>
  <c r="U55" i="1"/>
  <c r="IX7" i="4" s="1"/>
  <c r="JE16" i="4" s="1"/>
  <c r="JE21" i="4" s="1"/>
  <c r="BY85" i="1" s="1"/>
  <c r="HS7" i="4" s="1"/>
  <c r="JB9" i="4" s="1"/>
  <c r="IY15" i="4" s="1"/>
  <c r="HP14" i="4" s="1"/>
  <c r="ID9" i="4" s="1"/>
  <c r="ID21" i="4" s="1"/>
  <c r="AX85" i="1" s="1"/>
  <c r="HT16" i="4" s="1"/>
  <c r="HT21" i="4" s="1"/>
  <c r="AN85" i="1" s="1"/>
  <c r="AK32" i="1"/>
  <c r="BX16" i="1"/>
  <c r="BX239" i="1" s="1"/>
  <c r="BX44" i="1"/>
  <c r="BX260" i="1" s="1"/>
  <c r="AJ30" i="1"/>
  <c r="AK31" i="1"/>
  <c r="AL47" i="1"/>
  <c r="BX171" i="1"/>
  <c r="BY171" i="1" s="1"/>
  <c r="U44" i="1"/>
  <c r="U260" i="1" s="1"/>
  <c r="S29" i="1"/>
  <c r="B31" i="1"/>
  <c r="BX154" i="1"/>
  <c r="BY154" i="1" s="1"/>
  <c r="W53" i="1"/>
  <c r="BX139" i="1"/>
  <c r="BX82" i="1"/>
  <c r="BX134" i="1"/>
  <c r="BY134" i="1" s="1"/>
  <c r="K21" i="1"/>
  <c r="BX161" i="1"/>
  <c r="BX191" i="1" s="1"/>
  <c r="BY191" i="1" s="1"/>
  <c r="B44" i="1"/>
  <c r="B59" i="1"/>
  <c r="V54" i="1"/>
  <c r="L23" i="1"/>
  <c r="K31" i="1"/>
  <c r="I23" i="1"/>
  <c r="D55" i="1"/>
  <c r="S17" i="1"/>
  <c r="S18" i="1" s="1"/>
  <c r="N47" i="1"/>
  <c r="C29" i="1"/>
  <c r="D28" i="1"/>
  <c r="J55" i="1"/>
  <c r="B29" i="1"/>
  <c r="Q161" i="1"/>
  <c r="W43" i="1"/>
  <c r="C132" i="1"/>
  <c r="U23" i="1"/>
  <c r="T16" i="1"/>
  <c r="T239" i="1" s="1"/>
  <c r="W125" i="1"/>
  <c r="R59" i="1"/>
  <c r="I28" i="1"/>
  <c r="S53" i="1"/>
  <c r="BX143" i="1"/>
  <c r="BY143" i="1" s="1"/>
  <c r="BX135" i="1"/>
  <c r="BY135" i="1" s="1"/>
  <c r="BX125" i="1"/>
  <c r="BY125" i="1" s="1"/>
  <c r="G53" i="1"/>
  <c r="K47" i="1"/>
  <c r="J16" i="1"/>
  <c r="B53" i="1"/>
  <c r="E54" i="1"/>
  <c r="L55" i="1"/>
  <c r="Q31" i="1"/>
  <c r="S40" i="1"/>
  <c r="S202" i="1" s="1"/>
  <c r="E44" i="1"/>
  <c r="W31" i="1"/>
  <c r="I16" i="1"/>
  <c r="I239" i="1" s="1"/>
  <c r="E21" i="1"/>
  <c r="H53" i="1"/>
  <c r="U54" i="1"/>
  <c r="Q16" i="1"/>
  <c r="Q33" i="1"/>
  <c r="J23" i="1"/>
  <c r="E40" i="1"/>
  <c r="E202" i="1" s="1"/>
  <c r="O40" i="1"/>
  <c r="O202" i="1" s="1"/>
  <c r="U17" i="1"/>
  <c r="U18" i="1" s="1"/>
  <c r="G55" i="1"/>
  <c r="W28" i="1"/>
  <c r="R40" i="1"/>
  <c r="I33" i="1"/>
  <c r="H40" i="1"/>
  <c r="H202" i="1" s="1"/>
  <c r="W54" i="1"/>
  <c r="U40" i="1"/>
  <c r="U202" i="1" s="1"/>
  <c r="B54" i="1"/>
  <c r="F23" i="1"/>
  <c r="C47" i="1"/>
  <c r="BX155" i="1"/>
  <c r="BY155" i="1" s="1"/>
  <c r="S44" i="1"/>
  <c r="BX163" i="1"/>
  <c r="BY163" i="1" s="1"/>
  <c r="BX157" i="1"/>
  <c r="BY157" i="1" s="1"/>
  <c r="L43" i="1"/>
  <c r="K44" i="1"/>
  <c r="K28" i="1"/>
  <c r="D16" i="1"/>
  <c r="J127" i="1"/>
  <c r="D21" i="1"/>
  <c r="P43" i="1"/>
  <c r="V40" i="1"/>
  <c r="V202" i="1" s="1"/>
  <c r="E23" i="1"/>
  <c r="W33" i="1"/>
  <c r="W44" i="1"/>
  <c r="W260" i="1" s="1"/>
  <c r="E17" i="1"/>
  <c r="H55" i="1"/>
  <c r="R47" i="1"/>
  <c r="L40" i="1"/>
  <c r="L202" i="1" s="1"/>
  <c r="V33" i="1"/>
  <c r="L44" i="1"/>
  <c r="D47" i="1"/>
  <c r="Q53" i="1"/>
  <c r="G30" i="1"/>
  <c r="V43" i="1"/>
  <c r="L30" i="1"/>
  <c r="W32" i="1"/>
  <c r="K59" i="1"/>
  <c r="Q23" i="1"/>
  <c r="Q44" i="1"/>
  <c r="R54" i="1"/>
  <c r="Q59" i="1"/>
  <c r="F31" i="1"/>
  <c r="T29" i="1"/>
  <c r="F17" i="1"/>
  <c r="R53" i="1"/>
  <c r="U53" i="1"/>
  <c r="AJ40" i="1"/>
  <c r="AJ202" i="1" s="1"/>
  <c r="AL30" i="1"/>
  <c r="AM22" i="1"/>
  <c r="AK28" i="1"/>
  <c r="AM16" i="1"/>
  <c r="AM239" i="1" s="1"/>
  <c r="AJ21" i="1"/>
  <c r="AK30" i="1"/>
  <c r="AL59" i="1"/>
  <c r="AM29" i="1"/>
  <c r="F32" i="1"/>
  <c r="BX153" i="1"/>
  <c r="T53" i="1"/>
  <c r="H32" i="1"/>
  <c r="M53" i="1"/>
  <c r="W59" i="1"/>
  <c r="BX151" i="1"/>
  <c r="BY151" i="1" s="1"/>
  <c r="BX127" i="1"/>
  <c r="BY127" i="1" s="1"/>
  <c r="BX145" i="1"/>
  <c r="BY145" i="1" s="1"/>
  <c r="H16" i="1"/>
  <c r="H239" i="1" s="1"/>
  <c r="M32" i="1"/>
  <c r="BL82" i="1"/>
  <c r="BX141" i="1"/>
  <c r="R33" i="1"/>
  <c r="P44" i="1"/>
  <c r="I59" i="1"/>
  <c r="C40" i="1"/>
  <c r="P32" i="1"/>
  <c r="M47" i="1"/>
  <c r="D44" i="1"/>
  <c r="O21" i="1"/>
  <c r="L59" i="1"/>
  <c r="O30" i="1"/>
  <c r="C43" i="1"/>
  <c r="J59" i="1"/>
  <c r="N33" i="1"/>
  <c r="B40" i="1"/>
  <c r="B30" i="1"/>
  <c r="L54" i="1"/>
  <c r="P29" i="1"/>
  <c r="N54" i="1"/>
  <c r="H33" i="1"/>
  <c r="G47" i="1"/>
  <c r="K17" i="1"/>
  <c r="P59" i="1"/>
  <c r="I32" i="1"/>
  <c r="D53" i="1"/>
  <c r="K55" i="1"/>
  <c r="N32" i="1"/>
  <c r="G29" i="1"/>
  <c r="AM44" i="1"/>
  <c r="AM47" i="1"/>
  <c r="AM28" i="1"/>
  <c r="AM40" i="1"/>
  <c r="AM202" i="1" s="1"/>
  <c r="AJ59" i="1"/>
  <c r="AK29" i="1"/>
  <c r="AL31" i="1"/>
  <c r="AK21" i="1"/>
  <c r="AK23" i="1"/>
  <c r="AL21" i="1"/>
  <c r="E33" i="1"/>
  <c r="E47" i="1"/>
  <c r="Q47" i="1"/>
  <c r="D32" i="1"/>
  <c r="BX133" i="1"/>
  <c r="BY133" i="1" s="1"/>
  <c r="R55" i="1"/>
  <c r="R28" i="1"/>
  <c r="U47" i="1"/>
  <c r="M23" i="1"/>
  <c r="I55" i="1"/>
  <c r="BX132" i="1"/>
  <c r="BY132" i="1" s="1"/>
  <c r="S43" i="1"/>
  <c r="M43" i="1"/>
  <c r="B55" i="1"/>
  <c r="W29" i="1"/>
  <c r="H54" i="1"/>
  <c r="O55" i="1"/>
  <c r="P31" i="1"/>
  <c r="N55" i="1"/>
  <c r="J47" i="1"/>
  <c r="O29" i="1"/>
  <c r="J44" i="1"/>
  <c r="D59" i="1"/>
  <c r="R43" i="1"/>
  <c r="U28" i="1"/>
  <c r="H23" i="1"/>
  <c r="S54" i="1"/>
  <c r="P21" i="1"/>
  <c r="M44" i="1"/>
  <c r="M55" i="1"/>
  <c r="N40" i="1"/>
  <c r="N202" i="1" s="1"/>
  <c r="K32" i="1"/>
  <c r="I40" i="1"/>
  <c r="I202" i="1" s="1"/>
  <c r="G23" i="1"/>
  <c r="C16" i="1"/>
  <c r="V44" i="1"/>
  <c r="V260" i="1" s="1"/>
  <c r="AL163" i="1"/>
  <c r="AM163" i="1" s="1"/>
  <c r="AL82" i="1"/>
  <c r="AJ171" i="1"/>
  <c r="AK171" i="1" s="1"/>
  <c r="AJ130" i="1"/>
  <c r="AK130" i="1" s="1"/>
  <c r="AL153" i="1"/>
  <c r="AL158" i="1"/>
  <c r="AM158" i="1" s="1"/>
  <c r="AL150" i="1"/>
  <c r="AM150" i="1" s="1"/>
  <c r="AL139" i="1"/>
  <c r="AL133" i="1"/>
  <c r="AM133" i="1" s="1"/>
  <c r="AL172" i="1"/>
  <c r="AM172" i="1" s="1"/>
  <c r="AL157" i="1"/>
  <c r="AM157" i="1" s="1"/>
  <c r="AL127" i="1"/>
  <c r="AJ158" i="1"/>
  <c r="AK158" i="1" s="1"/>
  <c r="AJ161" i="1"/>
  <c r="AL143" i="1"/>
  <c r="AM143" i="1" s="1"/>
  <c r="AJ157" i="1"/>
  <c r="AK157" i="1" s="1"/>
  <c r="AL171" i="1"/>
  <c r="AM171" i="1" s="1"/>
  <c r="AJ150" i="1"/>
  <c r="AK150" i="1" s="1"/>
  <c r="AJ162" i="1"/>
  <c r="AK162" i="1" s="1"/>
  <c r="AL159" i="1"/>
  <c r="AM159" i="1" s="1"/>
  <c r="AL130" i="1"/>
  <c r="AM130" i="1" s="1"/>
  <c r="AL161" i="1"/>
  <c r="AL154" i="1"/>
  <c r="AM154" i="1" s="1"/>
  <c r="AL160" i="1"/>
  <c r="AM160" i="1" s="1"/>
  <c r="AL167" i="1"/>
  <c r="AL152" i="1"/>
  <c r="AJ152" i="1"/>
  <c r="AJ168" i="1"/>
  <c r="AJ127" i="1"/>
  <c r="AJ133" i="1"/>
  <c r="AK133" i="1" s="1"/>
  <c r="AL162" i="1"/>
  <c r="AM162" i="1" s="1"/>
  <c r="AL134" i="1"/>
  <c r="AM134" i="1" s="1"/>
  <c r="AL132" i="1"/>
  <c r="AM132" i="1" s="1"/>
  <c r="AL140" i="1"/>
  <c r="AL168" i="1"/>
  <c r="AL135" i="1"/>
  <c r="AM135" i="1" s="1"/>
  <c r="AL81" i="1"/>
  <c r="AL155" i="1"/>
  <c r="AM155" i="1" s="1"/>
  <c r="AJ172" i="1"/>
  <c r="AK172" i="1" s="1"/>
  <c r="AJ140" i="1"/>
  <c r="AJ126" i="1"/>
  <c r="AK126" i="1" s="1"/>
  <c r="AJ148" i="1"/>
  <c r="AK148" i="1" s="1"/>
  <c r="AJ139" i="1"/>
  <c r="AJ151" i="1"/>
  <c r="AK151" i="1" s="1"/>
  <c r="AJ145" i="1"/>
  <c r="AK145" i="1" s="1"/>
  <c r="AL145" i="1"/>
  <c r="AM145" i="1" s="1"/>
  <c r="AL151" i="1"/>
  <c r="HQ8" i="4"/>
  <c r="JC7" i="4"/>
  <c r="IL8" i="4"/>
  <c r="HV7" i="4"/>
  <c r="HR8" i="4"/>
  <c r="IZ7" i="4"/>
  <c r="IS15" i="4"/>
  <c r="HY8" i="4"/>
  <c r="IX15" i="4"/>
  <c r="IU15" i="4"/>
  <c r="IV15" i="4"/>
  <c r="JB8" i="4"/>
  <c r="II15" i="4"/>
  <c r="ID8" i="4"/>
  <c r="HS14" i="4"/>
  <c r="JI15" i="4"/>
  <c r="IP15" i="4"/>
  <c r="IQ8" i="4"/>
  <c r="HU8" i="4"/>
  <c r="IP8" i="4"/>
  <c r="JF7" i="4"/>
  <c r="IL14" i="4"/>
  <c r="HZ7" i="4"/>
  <c r="JI8" i="4"/>
  <c r="JD14" i="4"/>
  <c r="HU14" i="4"/>
  <c r="JI7" i="4"/>
  <c r="IN14" i="4"/>
  <c r="HZ15" i="4"/>
  <c r="HT14" i="4"/>
  <c r="IK7" i="4"/>
  <c r="IY14" i="4"/>
  <c r="JG7" i="4"/>
  <c r="HR15" i="4"/>
  <c r="IV8" i="4"/>
  <c r="HX15" i="4"/>
  <c r="JE7" i="4"/>
  <c r="IJ15" i="4"/>
  <c r="IC8" i="4"/>
  <c r="II14" i="4"/>
  <c r="JC15" i="4"/>
  <c r="IB8" i="4"/>
  <c r="ID14" i="4"/>
  <c r="JG8" i="4"/>
  <c r="JC14" i="4"/>
  <c r="HS15" i="4"/>
  <c r="II8" i="4"/>
  <c r="JH8" i="4"/>
  <c r="HQ15" i="4"/>
  <c r="IR15" i="4"/>
  <c r="JA15" i="4"/>
  <c r="JF8" i="4"/>
  <c r="HT15" i="4"/>
  <c r="IX8" i="4"/>
  <c r="JB7" i="4"/>
  <c r="IT8" i="4"/>
  <c r="IT7" i="4"/>
  <c r="JD15" i="4"/>
  <c r="IS8" i="4"/>
  <c r="IP14" i="4"/>
  <c r="HR14" i="4"/>
  <c r="IQ7" i="4"/>
  <c r="IH7" i="4"/>
  <c r="IF8" i="4"/>
  <c r="IP7" i="4"/>
  <c r="JH15" i="4"/>
  <c r="HS8" i="4"/>
  <c r="JB14" i="4"/>
  <c r="IR8" i="4"/>
  <c r="CP85" i="1"/>
  <c r="CN71" i="1"/>
  <c r="CM73" i="1"/>
  <c r="BX142" i="1" l="1"/>
  <c r="BY142" i="1" s="1"/>
  <c r="D34" i="1"/>
  <c r="AJ160" i="1"/>
  <c r="AK160" i="1" s="1"/>
  <c r="II21" i="4"/>
  <c r="BC85" i="1" s="1"/>
  <c r="IQ9" i="4" s="1"/>
  <c r="IO9" i="4" s="1"/>
  <c r="AK18" i="1"/>
  <c r="E34" i="1"/>
  <c r="AJ132" i="1"/>
  <c r="AK132" i="1" s="1"/>
  <c r="AJ135" i="1"/>
  <c r="AK135" i="1" s="1"/>
  <c r="AJ167" i="1"/>
  <c r="AJ159" i="1"/>
  <c r="AK159" i="1" s="1"/>
  <c r="AL141" i="1"/>
  <c r="AJ141" i="1"/>
  <c r="AJ153" i="1"/>
  <c r="AJ154" i="1"/>
  <c r="AK154" i="1" s="1"/>
  <c r="AL125" i="1"/>
  <c r="AM125" i="1" s="1"/>
  <c r="AJ125" i="1"/>
  <c r="AK125" i="1" s="1"/>
  <c r="AL126" i="1"/>
  <c r="AM126" i="1" s="1"/>
  <c r="AJ134" i="1"/>
  <c r="AK134" i="1" s="1"/>
  <c r="AJ163" i="1"/>
  <c r="AK163" i="1" s="1"/>
  <c r="AL148" i="1"/>
  <c r="AM148" i="1" s="1"/>
  <c r="AM210" i="1" s="1"/>
  <c r="AJ143" i="1"/>
  <c r="AK143" i="1" s="1"/>
  <c r="AJ155" i="1"/>
  <c r="AK155" i="1" s="1"/>
  <c r="IW21" i="4"/>
  <c r="BQ85" i="1" s="1"/>
  <c r="IF21" i="4"/>
  <c r="AZ85" i="1" s="1"/>
  <c r="IC21" i="4"/>
  <c r="AW85" i="1" s="1"/>
  <c r="IM21" i="4"/>
  <c r="BG85" i="1" s="1"/>
  <c r="M18" i="1"/>
  <c r="IS21" i="4"/>
  <c r="BM85" i="1" s="1"/>
  <c r="IV21" i="4"/>
  <c r="BP85" i="1" s="1"/>
  <c r="O239" i="1"/>
  <c r="Q191" i="1"/>
  <c r="BJ151" i="1"/>
  <c r="HQ21" i="4"/>
  <c r="AK85" i="1" s="1"/>
  <c r="IG9" i="4" s="1"/>
  <c r="HP9" i="4" s="1"/>
  <c r="IQ16" i="4" s="1"/>
  <c r="JG16" i="4" s="1"/>
  <c r="JG21" i="4" s="1"/>
  <c r="CA85" i="1" s="1"/>
  <c r="IB16" i="4" s="1"/>
  <c r="C260" i="1"/>
  <c r="IN21" i="4"/>
  <c r="BH85" i="1" s="1"/>
  <c r="HR7" i="4" s="1"/>
  <c r="IR14" i="4" s="1"/>
  <c r="IB9" i="4" s="1"/>
  <c r="IN8" i="4" s="1"/>
  <c r="IR21" i="4"/>
  <c r="BL85" i="1" s="1"/>
  <c r="BL102" i="1" s="1"/>
  <c r="JH16" i="4" s="1"/>
  <c r="O260" i="1"/>
  <c r="C18" i="1"/>
  <c r="G260" i="1"/>
  <c r="G18" i="1"/>
  <c r="J18" i="1"/>
  <c r="IU21" i="4"/>
  <c r="BO85" i="1" s="1"/>
  <c r="IH21" i="4"/>
  <c r="BB85" i="1" s="1"/>
  <c r="IG21" i="4"/>
  <c r="BA85" i="1" s="1"/>
  <c r="IA21" i="4"/>
  <c r="AU85" i="1" s="1"/>
  <c r="JA21" i="4"/>
  <c r="BU85" i="1" s="1"/>
  <c r="IX21" i="4"/>
  <c r="BR85" i="1" s="1"/>
  <c r="IT21" i="4"/>
  <c r="BN85" i="1" s="1"/>
  <c r="HS21" i="4"/>
  <c r="AM85" i="1" s="1"/>
  <c r="IK21" i="4"/>
  <c r="BE85" i="1" s="1"/>
  <c r="JI21" i="4"/>
  <c r="CC85" i="1" s="1"/>
  <c r="CC93" i="1" s="1"/>
  <c r="HR21" i="4"/>
  <c r="AL85" i="1" s="1"/>
  <c r="C239" i="1"/>
  <c r="IQ14" i="4"/>
  <c r="HY15" i="4"/>
  <c r="IO7" i="4"/>
  <c r="HT8" i="4"/>
  <c r="IU8" i="4"/>
  <c r="HW8" i="4"/>
  <c r="IJ8" i="4"/>
  <c r="AL18" i="1"/>
  <c r="BX188" i="1"/>
  <c r="BY188" i="1" s="1"/>
  <c r="R202" i="1"/>
  <c r="R261" i="1"/>
  <c r="U8" i="1"/>
  <c r="U106" i="1"/>
  <c r="IG14" i="4"/>
  <c r="IF14" i="4"/>
  <c r="JE15" i="4"/>
  <c r="HZ21" i="4"/>
  <c r="AT85" i="1" s="1"/>
  <c r="JF21" i="4"/>
  <c r="BZ85" i="1" s="1"/>
  <c r="BZ102" i="1" s="1"/>
  <c r="JA14" i="4"/>
  <c r="II7" i="4"/>
  <c r="HW7" i="4"/>
  <c r="HX21" i="4"/>
  <c r="AR85" i="1" s="1"/>
  <c r="IG7" i="4"/>
  <c r="IM14" i="4"/>
  <c r="HW14" i="4"/>
  <c r="HW19" i="4" s="1"/>
  <c r="AQ86" i="1" s="1"/>
  <c r="AQ115" i="1" s="1"/>
  <c r="IK15" i="4"/>
  <c r="IK20" i="4" s="1"/>
  <c r="BE87" i="1" s="1"/>
  <c r="BE116" i="1" s="1"/>
  <c r="HY14" i="4"/>
  <c r="IJ7" i="4"/>
  <c r="IJ19" i="4" s="1"/>
  <c r="BD86" i="1" s="1"/>
  <c r="BD115" i="1" s="1"/>
  <c r="HW15" i="4"/>
  <c r="HW20" i="4" s="1"/>
  <c r="AQ87" i="1" s="1"/>
  <c r="AQ116" i="1" s="1"/>
  <c r="IH15" i="4"/>
  <c r="IL15" i="4"/>
  <c r="AJ34" i="1"/>
  <c r="IZ15" i="4"/>
  <c r="HV21" i="4"/>
  <c r="AP85" i="1" s="1"/>
  <c r="BX169" i="1"/>
  <c r="BY217" i="1" s="1"/>
  <c r="JD7" i="4"/>
  <c r="HZ8" i="4"/>
  <c r="HZ20" i="4" s="1"/>
  <c r="AT87" i="1" s="1"/>
  <c r="AT116" i="1" s="1"/>
  <c r="IW8" i="4"/>
  <c r="JF15" i="4"/>
  <c r="JF14" i="4"/>
  <c r="IE14" i="4"/>
  <c r="IE19" i="4" s="1"/>
  <c r="AY86" i="1" s="1"/>
  <c r="AY115" i="1" s="1"/>
  <c r="IQ21" i="4"/>
  <c r="BK85" i="1" s="1"/>
  <c r="IU7" i="4"/>
  <c r="D18" i="1"/>
  <c r="D35" i="1" s="1"/>
  <c r="IN7" i="4"/>
  <c r="IY7" i="4"/>
  <c r="HV8" i="4"/>
  <c r="IN15" i="4"/>
  <c r="IN20" i="4" s="1"/>
  <c r="BH87" i="1" s="1"/>
  <c r="BH116" i="1" s="1"/>
  <c r="HP8" i="4"/>
  <c r="BX18" i="1"/>
  <c r="HX7" i="4"/>
  <c r="IV7" i="4"/>
  <c r="IW15" i="4"/>
  <c r="IW20" i="4" s="1"/>
  <c r="BQ87" i="1" s="1"/>
  <c r="BQ116" i="1" s="1"/>
  <c r="JB21" i="4"/>
  <c r="BV85" i="1" s="1"/>
  <c r="F260" i="1"/>
  <c r="R260" i="1"/>
  <c r="H34" i="1"/>
  <c r="HY7" i="4"/>
  <c r="BX34" i="1"/>
  <c r="AJ18" i="1"/>
  <c r="AK20" i="1" s="1"/>
  <c r="U24" i="1"/>
  <c r="U25" i="1" s="1"/>
  <c r="P34" i="1"/>
  <c r="IV14" i="4"/>
  <c r="HZ14" i="4"/>
  <c r="C34" i="1"/>
  <c r="C261" i="1"/>
  <c r="K18" i="1"/>
  <c r="IW7" i="4"/>
  <c r="IW19" i="4" s="1"/>
  <c r="BQ86" i="1" s="1"/>
  <c r="BQ115" i="1" s="1"/>
  <c r="HV14" i="4"/>
  <c r="JD8" i="4"/>
  <c r="JD20" i="4" s="1"/>
  <c r="BX87" i="1" s="1"/>
  <c r="BX116" i="1" s="1"/>
  <c r="IZ8" i="4"/>
  <c r="IE8" i="4"/>
  <c r="IE20" i="4" s="1"/>
  <c r="AY87" i="1" s="1"/>
  <c r="AY116" i="1" s="1"/>
  <c r="R34" i="1"/>
  <c r="W34" i="1"/>
  <c r="W35" i="1" s="1"/>
  <c r="M260" i="1"/>
  <c r="K34" i="1"/>
  <c r="AJ191" i="1"/>
  <c r="AL191" i="1"/>
  <c r="AM191" i="1" s="1"/>
  <c r="AJ187" i="1"/>
  <c r="V106" i="1"/>
  <c r="V8" i="1"/>
  <c r="D239" i="1"/>
  <c r="D260" i="1"/>
  <c r="P191" i="1"/>
  <c r="CA106" i="1"/>
  <c r="CA107" i="1" s="1"/>
  <c r="K261" i="1"/>
  <c r="AM34" i="1"/>
  <c r="AL34" i="1"/>
  <c r="S34" i="1"/>
  <c r="G191" i="1"/>
  <c r="BJ191" i="1"/>
  <c r="BK191" i="1" s="1"/>
  <c r="C202" i="1"/>
  <c r="I260" i="1"/>
  <c r="V24" i="1"/>
  <c r="V25" i="1" s="1"/>
  <c r="P261" i="1"/>
  <c r="V34" i="1"/>
  <c r="V35" i="1" s="1"/>
  <c r="P18" i="1"/>
  <c r="P196" i="1" s="1"/>
  <c r="W261" i="1"/>
  <c r="I18" i="1"/>
  <c r="W196" i="1"/>
  <c r="L34" i="1"/>
  <c r="BJ188" i="1"/>
  <c r="BK188" i="1" s="1"/>
  <c r="AK34" i="1"/>
  <c r="AK35" i="1" s="1"/>
  <c r="S261" i="1"/>
  <c r="M261" i="1"/>
  <c r="AJ41" i="1"/>
  <c r="D261" i="1"/>
  <c r="F34" i="1"/>
  <c r="T260" i="1"/>
  <c r="J239" i="1"/>
  <c r="P260" i="1"/>
  <c r="T34" i="1"/>
  <c r="BY136" i="1"/>
  <c r="BZ257" i="1" s="1"/>
  <c r="BZ259" i="1" s="1"/>
  <c r="AJ45" i="1"/>
  <c r="J34" i="1"/>
  <c r="I261" i="1"/>
  <c r="V19" i="1"/>
  <c r="V196" i="1"/>
  <c r="BJ187" i="1"/>
  <c r="BK187" i="1" s="1"/>
  <c r="K260" i="1"/>
  <c r="O34" i="1"/>
  <c r="JB15" i="4"/>
  <c r="JB20" i="4" s="1"/>
  <c r="BV87" i="1" s="1"/>
  <c r="BV116" i="1" s="1"/>
  <c r="IF15" i="4"/>
  <c r="IF20" i="4" s="1"/>
  <c r="AZ87" i="1" s="1"/>
  <c r="AZ116" i="1" s="1"/>
  <c r="IS14" i="4"/>
  <c r="IS19" i="4" s="1"/>
  <c r="BM86" i="1" s="1"/>
  <c r="BM115" i="1" s="1"/>
  <c r="IR7" i="4"/>
  <c r="HX8" i="4"/>
  <c r="HX20" i="4" s="1"/>
  <c r="AR87" i="1" s="1"/>
  <c r="AR116" i="1" s="1"/>
  <c r="IB14" i="4"/>
  <c r="JA8" i="4"/>
  <c r="JE14" i="4"/>
  <c r="JE19" i="4" s="1"/>
  <c r="BY86" i="1" s="1"/>
  <c r="IK14" i="4"/>
  <c r="IK19" i="4" s="1"/>
  <c r="BE86" i="1" s="1"/>
  <c r="BE115" i="1" s="1"/>
  <c r="HP15" i="4"/>
  <c r="IB7" i="4"/>
  <c r="JC8" i="4"/>
  <c r="IT14" i="4"/>
  <c r="IT19" i="4" s="1"/>
  <c r="BN86" i="1" s="1"/>
  <c r="BN115" i="1" s="1"/>
  <c r="HX14" i="4"/>
  <c r="IO8" i="4"/>
  <c r="IL7" i="4"/>
  <c r="IH14" i="4"/>
  <c r="IH19" i="4" s="1"/>
  <c r="BB86" i="1" s="1"/>
  <c r="BB115" i="1" s="1"/>
  <c r="IB15" i="4"/>
  <c r="IB20" i="4" s="1"/>
  <c r="AV87" i="1" s="1"/>
  <c r="AV116" i="1" s="1"/>
  <c r="BX261" i="1"/>
  <c r="X196" i="1"/>
  <c r="J261" i="1"/>
  <c r="N261" i="1"/>
  <c r="G261" i="1"/>
  <c r="AM261" i="1"/>
  <c r="N260" i="1"/>
  <c r="IY8" i="4"/>
  <c r="W106" i="1"/>
  <c r="T261" i="1"/>
  <c r="F261" i="1"/>
  <c r="Q239" i="1"/>
  <c r="AM18" i="1"/>
  <c r="AM24" i="1" s="1"/>
  <c r="AM25" i="1" s="1"/>
  <c r="Q261" i="1"/>
  <c r="Q18" i="1"/>
  <c r="AL239" i="1"/>
  <c r="AL188" i="1"/>
  <c r="AM188" i="1" s="1"/>
  <c r="U34" i="1"/>
  <c r="N34" i="1"/>
  <c r="B261" i="1"/>
  <c r="Q260" i="1"/>
  <c r="BY128" i="1"/>
  <c r="BY100" i="1" s="1"/>
  <c r="B34" i="1"/>
  <c r="B260" i="1"/>
  <c r="M34" i="1"/>
  <c r="T18" i="1"/>
  <c r="BX156" i="1"/>
  <c r="BX190" i="1" s="1"/>
  <c r="Q34" i="1"/>
  <c r="I34" i="1"/>
  <c r="IC15" i="4"/>
  <c r="IC20" i="4" s="1"/>
  <c r="AW87" i="1" s="1"/>
  <c r="AW116" i="1" s="1"/>
  <c r="AM106" i="1"/>
  <c r="AM107" i="1" s="1"/>
  <c r="G34" i="1"/>
  <c r="V261" i="1"/>
  <c r="W19" i="1"/>
  <c r="B18" i="1"/>
  <c r="B24" i="1" s="1"/>
  <c r="B25" i="1" s="1"/>
  <c r="AL260" i="1"/>
  <c r="AL187" i="1"/>
  <c r="AM187" i="1" s="1"/>
  <c r="HV15" i="4"/>
  <c r="HU7" i="4"/>
  <c r="HU19" i="4" s="1"/>
  <c r="AO86" i="1" s="1"/>
  <c r="AO115" i="1" s="1"/>
  <c r="U261" i="1"/>
  <c r="S260" i="1"/>
  <c r="X19" i="1"/>
  <c r="F18" i="1"/>
  <c r="J260" i="1"/>
  <c r="IH8" i="4"/>
  <c r="IH20" i="4" s="1"/>
  <c r="BB87" i="1" s="1"/>
  <c r="BB116" i="1" s="1"/>
  <c r="AL261" i="1"/>
  <c r="BX136" i="1"/>
  <c r="W24" i="1"/>
  <c r="BX164" i="1"/>
  <c r="BX193" i="1" s="1"/>
  <c r="BX192" i="1" s="1"/>
  <c r="AM260" i="1"/>
  <c r="BX187" i="1"/>
  <c r="BY187" i="1" s="1"/>
  <c r="O261" i="1"/>
  <c r="H261" i="1"/>
  <c r="H260" i="1"/>
  <c r="E18" i="1"/>
  <c r="L260" i="1"/>
  <c r="AK239" i="1"/>
  <c r="L18" i="1"/>
  <c r="L261" i="1"/>
  <c r="BX128" i="1"/>
  <c r="H18" i="1"/>
  <c r="BJ169" i="1"/>
  <c r="BK217" i="1" s="1"/>
  <c r="BJ142" i="1"/>
  <c r="BK136" i="1"/>
  <c r="BK125" i="1"/>
  <c r="BJ128" i="1"/>
  <c r="AM136" i="1"/>
  <c r="AL169" i="1"/>
  <c r="AM217" i="1" s="1"/>
  <c r="BJ164" i="1"/>
  <c r="BJ193" i="1" s="1"/>
  <c r="BK157" i="1"/>
  <c r="BJ136" i="1"/>
  <c r="AL164" i="1"/>
  <c r="AL193" i="1" s="1"/>
  <c r="AJ210" i="1"/>
  <c r="AL136" i="1"/>
  <c r="AI204" i="1"/>
  <c r="AI206" i="1" s="1"/>
  <c r="AJ142" i="1"/>
  <c r="AK41" i="1" s="1"/>
  <c r="AJ188" i="1"/>
  <c r="AK188" i="1" s="1"/>
  <c r="AK136" i="1"/>
  <c r="AJ128" i="1"/>
  <c r="AJ164" i="1"/>
  <c r="AM151" i="1"/>
  <c r="AL156" i="1"/>
  <c r="IU20" i="4"/>
  <c r="BO87" i="1" s="1"/>
  <c r="BO116" i="1" s="1"/>
  <c r="ID20" i="4"/>
  <c r="AX87" i="1" s="1"/>
  <c r="AX116" i="1" s="1"/>
  <c r="IL19" i="4"/>
  <c r="BF86" i="1" s="1"/>
  <c r="BF115" i="1" s="1"/>
  <c r="HR20" i="4"/>
  <c r="AL87" i="1" s="1"/>
  <c r="IX19" i="4"/>
  <c r="BR86" i="1" s="1"/>
  <c r="BR115" i="1" s="1"/>
  <c r="HS19" i="4"/>
  <c r="AM86" i="1" s="1"/>
  <c r="S106" i="1"/>
  <c r="S24" i="1"/>
  <c r="S25" i="1" s="1"/>
  <c r="M24" i="1"/>
  <c r="M25" i="1" s="1"/>
  <c r="N19" i="1"/>
  <c r="JD19" i="4"/>
  <c r="BX86" i="1" s="1"/>
  <c r="II19" i="4"/>
  <c r="BC86" i="1" s="1"/>
  <c r="BC115" i="1" s="1"/>
  <c r="JC20" i="4"/>
  <c r="BW87" i="1" s="1"/>
  <c r="BW116" i="1" s="1"/>
  <c r="IA19" i="4"/>
  <c r="AU86" i="1" s="1"/>
  <c r="AU115" i="1" s="1"/>
  <c r="JC19" i="4"/>
  <c r="BW86" i="1" s="1"/>
  <c r="BW115" i="1" s="1"/>
  <c r="II20" i="4"/>
  <c r="BC87" i="1" s="1"/>
  <c r="BC116" i="1" s="1"/>
  <c r="IC19" i="4"/>
  <c r="AW86" i="1" s="1"/>
  <c r="AW115" i="1" s="1"/>
  <c r="IS20" i="4"/>
  <c r="BM87" i="1" s="1"/>
  <c r="BM116" i="1" s="1"/>
  <c r="HQ20" i="4"/>
  <c r="AK87" i="1" s="1"/>
  <c r="JH19" i="4"/>
  <c r="CB86" i="1" s="1"/>
  <c r="N106" i="1"/>
  <c r="N24" i="1"/>
  <c r="JI19" i="4"/>
  <c r="CC86" i="1" s="1"/>
  <c r="O24" i="1"/>
  <c r="O25" i="1" s="1"/>
  <c r="IM20" i="4"/>
  <c r="BG87" i="1" s="1"/>
  <c r="BG116" i="1" s="1"/>
  <c r="O106" i="1"/>
  <c r="O19" i="1"/>
  <c r="IX20" i="4"/>
  <c r="BR87" i="1" s="1"/>
  <c r="BR116" i="1" s="1"/>
  <c r="HT19" i="4"/>
  <c r="AN86" i="1" s="1"/>
  <c r="AN115" i="1" s="1"/>
  <c r="JI20" i="4"/>
  <c r="CC87" i="1" s="1"/>
  <c r="HP19" i="4"/>
  <c r="AJ86" i="1" s="1"/>
  <c r="JH20" i="4"/>
  <c r="CB87" i="1" s="1"/>
  <c r="HU20" i="4"/>
  <c r="AO87" i="1" s="1"/>
  <c r="AO116" i="1" s="1"/>
  <c r="ID19" i="4"/>
  <c r="AX86" i="1" s="1"/>
  <c r="AX115" i="1" s="1"/>
  <c r="BX146" i="1"/>
  <c r="IV20" i="4"/>
  <c r="BP87" i="1" s="1"/>
  <c r="BP116" i="1" s="1"/>
  <c r="IZ19" i="4"/>
  <c r="BT86" i="1" s="1"/>
  <c r="BT115" i="1" s="1"/>
  <c r="IP20" i="4"/>
  <c r="BJ87" i="1" s="1"/>
  <c r="BJ116" i="1" s="1"/>
  <c r="IQ20" i="4"/>
  <c r="BK87" i="1" s="1"/>
  <c r="BK116" i="1" s="1"/>
  <c r="BY146" i="1"/>
  <c r="BZ211" i="1" s="1"/>
  <c r="BZ209" i="1" s="1"/>
  <c r="BZ41" i="1"/>
  <c r="IP19" i="4"/>
  <c r="BJ86" i="1" s="1"/>
  <c r="BJ115" i="1" s="1"/>
  <c r="IT20" i="4"/>
  <c r="BN87" i="1" s="1"/>
  <c r="BN116" i="1" s="1"/>
  <c r="R24" i="1"/>
  <c r="HS20" i="4"/>
  <c r="AM87" i="1" s="1"/>
  <c r="JB19" i="4"/>
  <c r="BV86" i="1" s="1"/>
  <c r="BV115" i="1" s="1"/>
  <c r="IR20" i="4"/>
  <c r="BL87" i="1" s="1"/>
  <c r="BL104" i="1" s="1"/>
  <c r="S19" i="1"/>
  <c r="S196" i="1"/>
  <c r="IA20" i="4"/>
  <c r="AU87" i="1" s="1"/>
  <c r="AU116" i="1" s="1"/>
  <c r="AK210" i="1"/>
  <c r="BK210" i="1"/>
  <c r="AK24" i="1"/>
  <c r="O196" i="1"/>
  <c r="BY210" i="1"/>
  <c r="CM40" i="1"/>
  <c r="AB85" i="1"/>
  <c r="CQ85" i="1"/>
  <c r="AC148" i="1"/>
  <c r="CN73" i="1"/>
  <c r="CO71" i="1"/>
  <c r="BX35" i="1" l="1"/>
  <c r="W36" i="1"/>
  <c r="AJ169" i="1"/>
  <c r="AK217" i="1" s="1"/>
  <c r="AL142" i="1"/>
  <c r="AM142" i="1" s="1"/>
  <c r="AM146" i="1" s="1"/>
  <c r="AJ136" i="1"/>
  <c r="AL128" i="1"/>
  <c r="AJ156" i="1"/>
  <c r="BK151" i="1"/>
  <c r="BJ156" i="1"/>
  <c r="IL20" i="4"/>
  <c r="BF87" i="1" s="1"/>
  <c r="BF116" i="1" s="1"/>
  <c r="HT20" i="4"/>
  <c r="AN87" i="1" s="1"/>
  <c r="AN116" i="1" s="1"/>
  <c r="HY20" i="4"/>
  <c r="AS87" i="1" s="1"/>
  <c r="AS116" i="1" s="1"/>
  <c r="AL20" i="1"/>
  <c r="BY41" i="1"/>
  <c r="HV19" i="4"/>
  <c r="AP86" i="1" s="1"/>
  <c r="AP115" i="1" s="1"/>
  <c r="IV19" i="4"/>
  <c r="BP86" i="1" s="1"/>
  <c r="BP115" i="1" s="1"/>
  <c r="AJ24" i="1"/>
  <c r="AJ25" i="1" s="1"/>
  <c r="AL192" i="1"/>
  <c r="IR19" i="4"/>
  <c r="BL86" i="1" s="1"/>
  <c r="CA102" i="1"/>
  <c r="IN19" i="4"/>
  <c r="BH86" i="1" s="1"/>
  <c r="BH115" i="1" s="1"/>
  <c r="AM110" i="1"/>
  <c r="HV20" i="4"/>
  <c r="AP87" i="1" s="1"/>
  <c r="AP116" i="1" s="1"/>
  <c r="IO21" i="4"/>
  <c r="BI85" i="1" s="1"/>
  <c r="IG8" i="4" s="1"/>
  <c r="JC16" i="4"/>
  <c r="HP21" i="4"/>
  <c r="AJ85" i="1" s="1"/>
  <c r="CA110" i="1"/>
  <c r="AL35" i="1"/>
  <c r="HR19" i="4"/>
  <c r="AL86" i="1" s="1"/>
  <c r="HZ19" i="4"/>
  <c r="AT86" i="1" s="1"/>
  <c r="AT115" i="1" s="1"/>
  <c r="IJ20" i="4"/>
  <c r="BD87" i="1" s="1"/>
  <c r="BD116" i="1" s="1"/>
  <c r="JF20" i="4"/>
  <c r="BZ87" i="1" s="1"/>
  <c r="CC110" i="1"/>
  <c r="JA20" i="4"/>
  <c r="BU87" i="1" s="1"/>
  <c r="BU116" i="1" s="1"/>
  <c r="CC102" i="1"/>
  <c r="IG19" i="4"/>
  <c r="BA86" i="1" s="1"/>
  <c r="BA115" i="1" s="1"/>
  <c r="IY19" i="4"/>
  <c r="BS86" i="1" s="1"/>
  <c r="BS115" i="1" s="1"/>
  <c r="IY20" i="4"/>
  <c r="BS87" i="1" s="1"/>
  <c r="BS116" i="1" s="1"/>
  <c r="IU19" i="4"/>
  <c r="BO86" i="1" s="1"/>
  <c r="BO115" i="1" s="1"/>
  <c r="IQ19" i="4"/>
  <c r="BK86" i="1" s="1"/>
  <c r="BK115" i="1" s="1"/>
  <c r="IO19" i="4"/>
  <c r="BI86" i="1" s="1"/>
  <c r="BI115" i="1" s="1"/>
  <c r="M106" i="1"/>
  <c r="N196" i="1"/>
  <c r="G106" i="1"/>
  <c r="G24" i="1"/>
  <c r="AL210" i="1"/>
  <c r="C24" i="1"/>
  <c r="AL24" i="1"/>
  <c r="AL25" i="1" s="1"/>
  <c r="JF19" i="4"/>
  <c r="BZ86" i="1" s="1"/>
  <c r="K196" i="1"/>
  <c r="J24" i="1"/>
  <c r="J25" i="1" s="1"/>
  <c r="J106" i="1"/>
  <c r="JA19" i="4"/>
  <c r="BU86" i="1" s="1"/>
  <c r="BU115" i="1" s="1"/>
  <c r="JE20" i="4"/>
  <c r="BY87" i="1" s="1"/>
  <c r="BY116" i="1" s="1"/>
  <c r="IB21" i="4"/>
  <c r="AV85" i="1" s="1"/>
  <c r="HU16" i="4"/>
  <c r="JH21" i="4"/>
  <c r="CB85" i="1" s="1"/>
  <c r="IM7" i="4"/>
  <c r="IM19" i="4" s="1"/>
  <c r="BG86" i="1" s="1"/>
  <c r="BG115" i="1" s="1"/>
  <c r="HP20" i="4"/>
  <c r="AJ87" i="1" s="1"/>
  <c r="C35" i="1"/>
  <c r="HY19" i="4"/>
  <c r="AS86" i="1" s="1"/>
  <c r="AS115" i="1" s="1"/>
  <c r="AJ35" i="1"/>
  <c r="HX19" i="4"/>
  <c r="AR86" i="1" s="1"/>
  <c r="AR115" i="1" s="1"/>
  <c r="I106" i="1"/>
  <c r="I24" i="1"/>
  <c r="U19" i="1"/>
  <c r="U196" i="1"/>
  <c r="T19" i="1"/>
  <c r="T106" i="1"/>
  <c r="BX194" i="1"/>
  <c r="CB197" i="1" s="1"/>
  <c r="IZ20" i="4"/>
  <c r="BT87" i="1" s="1"/>
  <c r="BT116" i="1" s="1"/>
  <c r="IB19" i="4"/>
  <c r="AV86" i="1" s="1"/>
  <c r="AV115" i="1" s="1"/>
  <c r="D19" i="1"/>
  <c r="D196" i="1"/>
  <c r="D24" i="1"/>
  <c r="BY20" i="1"/>
  <c r="BX24" i="1"/>
  <c r="CC196" i="1"/>
  <c r="CB19" i="1"/>
  <c r="K19" i="1"/>
  <c r="K24" i="1"/>
  <c r="K106" i="1"/>
  <c r="R196" i="1"/>
  <c r="Q196" i="1"/>
  <c r="F106" i="1"/>
  <c r="F196" i="1"/>
  <c r="F19" i="1"/>
  <c r="E35" i="1"/>
  <c r="E196" i="1"/>
  <c r="E106" i="1"/>
  <c r="E19" i="1"/>
  <c r="E24" i="1"/>
  <c r="L24" i="1"/>
  <c r="M19" i="1"/>
  <c r="BX100" i="1"/>
  <c r="BX104" i="1" s="1"/>
  <c r="BX256" i="1"/>
  <c r="H24" i="1"/>
  <c r="H106" i="1"/>
  <c r="H196" i="1"/>
  <c r="H19" i="1"/>
  <c r="I19" i="1"/>
  <c r="P19" i="1"/>
  <c r="J196" i="1"/>
  <c r="R19" i="1"/>
  <c r="BJ192" i="1"/>
  <c r="Q106" i="1"/>
  <c r="F24" i="1"/>
  <c r="J19" i="1"/>
  <c r="I196" i="1"/>
  <c r="Q24" i="1"/>
  <c r="P24" i="1"/>
  <c r="BZ214" i="1"/>
  <c r="P106" i="1"/>
  <c r="BY215" i="1"/>
  <c r="Q19" i="1"/>
  <c r="BY137" i="1"/>
  <c r="T24" i="1"/>
  <c r="BZ215" i="1"/>
  <c r="V36" i="1"/>
  <c r="V240" i="1" s="1"/>
  <c r="V241" i="1" s="1"/>
  <c r="V26" i="1"/>
  <c r="T196" i="1"/>
  <c r="B35" i="1"/>
  <c r="AJ137" i="1"/>
  <c r="AM233" i="1"/>
  <c r="BY257" i="1"/>
  <c r="AM20" i="1"/>
  <c r="AM35" i="1"/>
  <c r="AM36" i="1"/>
  <c r="AM42" i="1" s="1"/>
  <c r="AM46" i="1" s="1"/>
  <c r="BX189" i="1"/>
  <c r="BX165" i="1"/>
  <c r="L106" i="1"/>
  <c r="BX137" i="1"/>
  <c r="M196" i="1"/>
  <c r="X26" i="1"/>
  <c r="BY214" i="1"/>
  <c r="L196" i="1"/>
  <c r="C19" i="1"/>
  <c r="W26" i="1"/>
  <c r="BX176" i="1"/>
  <c r="BX117" i="1" s="1"/>
  <c r="B36" i="1"/>
  <c r="B37" i="1" s="1"/>
  <c r="C196" i="1"/>
  <c r="W25" i="1"/>
  <c r="G19" i="1"/>
  <c r="L19" i="1"/>
  <c r="G196" i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BK257" i="1"/>
  <c r="AM257" i="1"/>
  <c r="BK142" i="1"/>
  <c r="BJ146" i="1"/>
  <c r="BL214" i="1"/>
  <c r="BL257" i="1"/>
  <c r="BJ100" i="1"/>
  <c r="BJ256" i="1"/>
  <c r="AJ214" i="1"/>
  <c r="AM41" i="1"/>
  <c r="AL146" i="1"/>
  <c r="AL100" i="1"/>
  <c r="AL104" i="1" s="1"/>
  <c r="AL256" i="1"/>
  <c r="AL214" i="1"/>
  <c r="AM214" i="1"/>
  <c r="AJ205" i="1"/>
  <c r="AJ193" i="1"/>
  <c r="AK142" i="1"/>
  <c r="AL176" i="1"/>
  <c r="AJ165" i="1"/>
  <c r="BJ137" i="1"/>
  <c r="BJ176" i="1"/>
  <c r="BJ117" i="1" s="1"/>
  <c r="AJ146" i="1"/>
  <c r="BK214" i="1"/>
  <c r="AL257" i="1"/>
  <c r="AL137" i="1"/>
  <c r="AJ204" i="1"/>
  <c r="AJ190" i="1"/>
  <c r="BJ190" i="1"/>
  <c r="BJ165" i="1"/>
  <c r="AL190" i="1"/>
  <c r="AL165" i="1"/>
  <c r="AL116" i="1"/>
  <c r="AM111" i="1"/>
  <c r="AM115" i="1"/>
  <c r="AM116" i="1"/>
  <c r="AM112" i="1"/>
  <c r="S26" i="1"/>
  <c r="BX254" i="1"/>
  <c r="BY211" i="1"/>
  <c r="BY209" i="1" s="1"/>
  <c r="BX97" i="1"/>
  <c r="BX115" i="1"/>
  <c r="CB94" i="1"/>
  <c r="CB111" i="1"/>
  <c r="CB103" i="1"/>
  <c r="CB115" i="1"/>
  <c r="CB118" i="1" s="1"/>
  <c r="CB121" i="1" s="1"/>
  <c r="N25" i="1"/>
  <c r="N26" i="1"/>
  <c r="CC103" i="1"/>
  <c r="CC115" i="1"/>
  <c r="CC111" i="1"/>
  <c r="CC94" i="1"/>
  <c r="CF98" i="1" s="1"/>
  <c r="CC104" i="1"/>
  <c r="CC112" i="1"/>
  <c r="CC116" i="1"/>
  <c r="CB104" i="1"/>
  <c r="CB116" i="1"/>
  <c r="CB119" i="1" s="1"/>
  <c r="CB122" i="1" s="1"/>
  <c r="O26" i="1"/>
  <c r="CC95" i="1"/>
  <c r="R25" i="1"/>
  <c r="CB112" i="1"/>
  <c r="BL116" i="1"/>
  <c r="BL119" i="1" s="1"/>
  <c r="CB95" i="1"/>
  <c r="BY115" i="1"/>
  <c r="BY97" i="1"/>
  <c r="AK36" i="1"/>
  <c r="AK25" i="1"/>
  <c r="BY102" i="1"/>
  <c r="BY103" i="1"/>
  <c r="W240" i="1"/>
  <c r="W241" i="1" s="1"/>
  <c r="X38" i="1"/>
  <c r="X258" i="1"/>
  <c r="W42" i="1"/>
  <c r="W46" i="1" s="1"/>
  <c r="W37" i="1"/>
  <c r="W120" i="1"/>
  <c r="CM202" i="1"/>
  <c r="CM140" i="1"/>
  <c r="CM142" i="1" s="1"/>
  <c r="CM146" i="1" s="1"/>
  <c r="CM211" i="1" s="1"/>
  <c r="CM209" i="1" s="1"/>
  <c r="CR85" i="1"/>
  <c r="AC210" i="1"/>
  <c r="AB157" i="1"/>
  <c r="AB125" i="1"/>
  <c r="CO73" i="1"/>
  <c r="CP71" i="1"/>
  <c r="CA233" i="1"/>
  <c r="AJ36" i="1" l="1"/>
  <c r="AJ42" i="1" s="1"/>
  <c r="AJ46" i="1" s="1"/>
  <c r="AJ176" i="1"/>
  <c r="AK45" i="1" s="1"/>
  <c r="AK214" i="1"/>
  <c r="BJ254" i="1"/>
  <c r="BL115" i="1"/>
  <c r="BL118" i="1" s="1"/>
  <c r="BL103" i="1"/>
  <c r="T26" i="1"/>
  <c r="BY104" i="1"/>
  <c r="AK27" i="1"/>
  <c r="BZ115" i="1"/>
  <c r="BZ118" i="1" s="1"/>
  <c r="G25" i="1"/>
  <c r="BZ103" i="1"/>
  <c r="BZ97" i="1"/>
  <c r="AL115" i="1"/>
  <c r="BZ116" i="1"/>
  <c r="BZ119" i="1" s="1"/>
  <c r="BZ104" i="1"/>
  <c r="C26" i="1"/>
  <c r="C36" i="1"/>
  <c r="C25" i="1"/>
  <c r="AL27" i="1"/>
  <c r="IG20" i="4"/>
  <c r="BA87" i="1" s="1"/>
  <c r="BA116" i="1" s="1"/>
  <c r="JG14" i="4"/>
  <c r="JC21" i="4"/>
  <c r="BW85" i="1" s="1"/>
  <c r="HW9" i="4"/>
  <c r="AM27" i="1"/>
  <c r="AL36" i="1"/>
  <c r="AL37" i="1"/>
  <c r="HU21" i="4"/>
  <c r="AO85" i="1" s="1"/>
  <c r="IF7" i="4"/>
  <c r="CB110" i="1"/>
  <c r="CB93" i="1"/>
  <c r="CB102" i="1"/>
  <c r="U26" i="1"/>
  <c r="T25" i="1"/>
  <c r="V42" i="1"/>
  <c r="V46" i="1" s="1"/>
  <c r="V120" i="1"/>
  <c r="B120" i="1"/>
  <c r="BX173" i="1"/>
  <c r="BX174" i="1" s="1"/>
  <c r="AJ37" i="1"/>
  <c r="W258" i="1"/>
  <c r="I25" i="1"/>
  <c r="J26" i="1"/>
  <c r="D36" i="1"/>
  <c r="D25" i="1"/>
  <c r="D26" i="1"/>
  <c r="E26" i="1"/>
  <c r="E25" i="1"/>
  <c r="E36" i="1"/>
  <c r="E37" i="1" s="1"/>
  <c r="L25" i="1"/>
  <c r="M26" i="1"/>
  <c r="BZ213" i="1"/>
  <c r="BX36" i="1"/>
  <c r="BX25" i="1"/>
  <c r="CB26" i="1"/>
  <c r="BY27" i="1"/>
  <c r="K26" i="1"/>
  <c r="K25" i="1"/>
  <c r="L26" i="1"/>
  <c r="H25" i="1"/>
  <c r="I26" i="1"/>
  <c r="H26" i="1"/>
  <c r="BX103" i="1"/>
  <c r="BY213" i="1"/>
  <c r="F25" i="1"/>
  <c r="F26" i="1"/>
  <c r="Q25" i="1"/>
  <c r="R26" i="1"/>
  <c r="P26" i="1"/>
  <c r="Q26" i="1"/>
  <c r="P25" i="1"/>
  <c r="G26" i="1"/>
  <c r="W38" i="1"/>
  <c r="AJ240" i="1"/>
  <c r="AJ241" i="1" s="1"/>
  <c r="V37" i="1"/>
  <c r="BY45" i="1"/>
  <c r="AM37" i="1"/>
  <c r="AJ173" i="1"/>
  <c r="AJ174" i="1" s="1"/>
  <c r="AM240" i="1"/>
  <c r="AM241" i="1" s="1"/>
  <c r="AJ206" i="1"/>
  <c r="AL173" i="1"/>
  <c r="AL174" i="1" s="1"/>
  <c r="BL41" i="1"/>
  <c r="BK146" i="1"/>
  <c r="BL211" i="1" s="1"/>
  <c r="BL209" i="1" s="1"/>
  <c r="BJ103" i="1"/>
  <c r="BJ104" i="1"/>
  <c r="AM211" i="1"/>
  <c r="AM209" i="1" s="1"/>
  <c r="AL254" i="1"/>
  <c r="AK146" i="1"/>
  <c r="AL41" i="1"/>
  <c r="BJ118" i="1"/>
  <c r="BJ119" i="1"/>
  <c r="AL102" i="1"/>
  <c r="AL103" i="1"/>
  <c r="AL117" i="1"/>
  <c r="AM45" i="1"/>
  <c r="AJ211" i="1"/>
  <c r="AJ209" i="1" s="1"/>
  <c r="BJ194" i="1"/>
  <c r="BJ189" i="1"/>
  <c r="AL189" i="1"/>
  <c r="AL194" i="1"/>
  <c r="CE98" i="1"/>
  <c r="AJ49" i="1"/>
  <c r="AJ48" i="1"/>
  <c r="BX118" i="1"/>
  <c r="BX119" i="1"/>
  <c r="AM49" i="1"/>
  <c r="AM50" i="1" s="1"/>
  <c r="AM253" i="1" s="1"/>
  <c r="AM48" i="1"/>
  <c r="W49" i="1"/>
  <c r="W48" i="1"/>
  <c r="AK240" i="1"/>
  <c r="AK241" i="1" s="1"/>
  <c r="AK37" i="1"/>
  <c r="AK42" i="1"/>
  <c r="AK46" i="1" s="1"/>
  <c r="CN40" i="1"/>
  <c r="CS85" i="1"/>
  <c r="AB171" i="1"/>
  <c r="CP73" i="1"/>
  <c r="CQ71" i="1"/>
  <c r="AC125" i="1"/>
  <c r="AC157" i="1"/>
  <c r="CB233" i="1"/>
  <c r="BQ1" i="1"/>
  <c r="BR1" i="1" s="1"/>
  <c r="BS1" i="1" s="1"/>
  <c r="BT1" i="1" s="1"/>
  <c r="AK39" i="1" l="1"/>
  <c r="AL258" i="1"/>
  <c r="AL259" i="1" s="1"/>
  <c r="AM234" i="1"/>
  <c r="AL240" i="1"/>
  <c r="AL241" i="1" s="1"/>
  <c r="AM258" i="1"/>
  <c r="AM259" i="1" s="1"/>
  <c r="C258" i="1"/>
  <c r="C37" i="1"/>
  <c r="C38" i="1"/>
  <c r="JG19" i="4"/>
  <c r="CA86" i="1" s="1"/>
  <c r="IO15" i="4"/>
  <c r="IO20" i="4" s="1"/>
  <c r="BI87" i="1" s="1"/>
  <c r="BI116" i="1" s="1"/>
  <c r="HW21" i="4"/>
  <c r="AQ85" i="1" s="1"/>
  <c r="IE9" i="4"/>
  <c r="IE21" i="4" s="1"/>
  <c r="AY85" i="1" s="1"/>
  <c r="AM39" i="1"/>
  <c r="AL42" i="1"/>
  <c r="AL46" i="1" s="1"/>
  <c r="AL49" i="1" s="1"/>
  <c r="V49" i="1"/>
  <c r="V48" i="1"/>
  <c r="D38" i="1"/>
  <c r="AL39" i="1"/>
  <c r="AM120" i="1"/>
  <c r="HQ14" i="4"/>
  <c r="IF19" i="4"/>
  <c r="AZ86" i="1" s="1"/>
  <c r="AZ115" i="1" s="1"/>
  <c r="D37" i="1"/>
  <c r="D42" i="1"/>
  <c r="D46" i="1" s="1"/>
  <c r="D240" i="1"/>
  <c r="D241" i="1" s="1"/>
  <c r="D258" i="1"/>
  <c r="E38" i="1"/>
  <c r="D120" i="1"/>
  <c r="BX37" i="1"/>
  <c r="BX42" i="1"/>
  <c r="CB38" i="1"/>
  <c r="CA120" i="1"/>
  <c r="BX240" i="1"/>
  <c r="BX241" i="1" s="1"/>
  <c r="BY39" i="1"/>
  <c r="BY258" i="1"/>
  <c r="BY259" i="1" s="1"/>
  <c r="HQ19" i="4"/>
  <c r="AK86" i="1" s="1"/>
  <c r="IP16" i="4"/>
  <c r="AL119" i="1"/>
  <c r="AL118" i="1"/>
  <c r="AL211" i="1"/>
  <c r="AL209" i="1" s="1"/>
  <c r="AK211" i="1"/>
  <c r="AK209" i="1" s="1"/>
  <c r="AJ50" i="1"/>
  <c r="AJ56" i="1"/>
  <c r="AJ242" i="1"/>
  <c r="AK49" i="1"/>
  <c r="AK48" i="1"/>
  <c r="W56" i="1"/>
  <c r="W60" i="1" s="1"/>
  <c r="W242" i="1"/>
  <c r="W50" i="1"/>
  <c r="W253" i="1" s="1"/>
  <c r="X51" i="1"/>
  <c r="CN140" i="1"/>
  <c r="CN142" i="1" s="1"/>
  <c r="CO40" i="1" s="1"/>
  <c r="CT85" i="1"/>
  <c r="AB145" i="1"/>
  <c r="AD157" i="1"/>
  <c r="AE157" i="1"/>
  <c r="AD125" i="1"/>
  <c r="AE125" i="1"/>
  <c r="CQ73" i="1"/>
  <c r="CR71" i="1"/>
  <c r="AC171" i="1"/>
  <c r="BU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AL48" i="1" l="1"/>
  <c r="V50" i="1"/>
  <c r="V253" i="1" s="1"/>
  <c r="W51" i="1"/>
  <c r="CA103" i="1"/>
  <c r="CA115" i="1"/>
  <c r="CA111" i="1"/>
  <c r="V56" i="1"/>
  <c r="AL242" i="1"/>
  <c r="AM52" i="1"/>
  <c r="AL56" i="1"/>
  <c r="AL50" i="1"/>
  <c r="AL253" i="1" s="1"/>
  <c r="BX46" i="1"/>
  <c r="CA63" i="1"/>
  <c r="D49" i="1"/>
  <c r="D48" i="1"/>
  <c r="IP21" i="4"/>
  <c r="BJ85" i="1" s="1"/>
  <c r="BJ102" i="1" s="1"/>
  <c r="JG15" i="4"/>
  <c r="AJ201" i="1"/>
  <c r="AJ203" i="1" s="1"/>
  <c r="AJ207" i="1" s="1"/>
  <c r="AJ221" i="1" s="1"/>
  <c r="AJ215" i="1"/>
  <c r="AJ213" i="1" s="1"/>
  <c r="AJ60" i="1"/>
  <c r="AJ74" i="1"/>
  <c r="AK242" i="1"/>
  <c r="AK56" i="1"/>
  <c r="AK127" i="1" s="1"/>
  <c r="AK128" i="1" s="1"/>
  <c r="AK137" i="1" s="1"/>
  <c r="AK50" i="1"/>
  <c r="AK52" i="1"/>
  <c r="AL52" i="1"/>
  <c r="CO202" i="1"/>
  <c r="CO140" i="1"/>
  <c r="CN146" i="1"/>
  <c r="CN202" i="1"/>
  <c r="AC85" i="1"/>
  <c r="CU85" i="1"/>
  <c r="AD171" i="1"/>
  <c r="AE171" i="1"/>
  <c r="AD148" i="1"/>
  <c r="CR73" i="1"/>
  <c r="CS71" i="1"/>
  <c r="AC145" i="1"/>
  <c r="BV1" i="1"/>
  <c r="BW1" i="1" s="1"/>
  <c r="BX1" i="1" s="1"/>
  <c r="AM235" i="1"/>
  <c r="AM242" i="1"/>
  <c r="B240" i="1"/>
  <c r="B241" i="1" s="1"/>
  <c r="BL240" i="1"/>
  <c r="BL241" i="1" s="1"/>
  <c r="G36" i="1"/>
  <c r="O36" i="1"/>
  <c r="H36" i="1"/>
  <c r="P36" i="1"/>
  <c r="I36" i="1"/>
  <c r="Q36" i="1"/>
  <c r="J36" i="1"/>
  <c r="R36" i="1"/>
  <c r="K36" i="1"/>
  <c r="S36" i="1"/>
  <c r="L36" i="1"/>
  <c r="T36" i="1"/>
  <c r="M36" i="1"/>
  <c r="U36" i="1"/>
  <c r="F36" i="1"/>
  <c r="F258" i="1" s="1"/>
  <c r="N36" i="1"/>
  <c r="AL201" i="1" l="1"/>
  <c r="AL203" i="1" s="1"/>
  <c r="AL74" i="1"/>
  <c r="AL60" i="1"/>
  <c r="D242" i="1"/>
  <c r="D50" i="1"/>
  <c r="D56" i="1"/>
  <c r="BX48" i="1"/>
  <c r="BX49" i="1"/>
  <c r="JG20" i="4"/>
  <c r="CA87" i="1" s="1"/>
  <c r="JD16" i="4"/>
  <c r="JD21" i="4" s="1"/>
  <c r="BX85" i="1" s="1"/>
  <c r="BX102" i="1" s="1"/>
  <c r="AJ218" i="1"/>
  <c r="AJ219" i="1" s="1"/>
  <c r="T258" i="1"/>
  <c r="P258" i="1"/>
  <c r="D201" i="1"/>
  <c r="D203" i="1" s="1"/>
  <c r="D60" i="1"/>
  <c r="CB51" i="1"/>
  <c r="BX242" i="1"/>
  <c r="BX50" i="1"/>
  <c r="BX253" i="1" s="1"/>
  <c r="BX56" i="1"/>
  <c r="AK201" i="1"/>
  <c r="AK203" i="1" s="1"/>
  <c r="AK74" i="1"/>
  <c r="AK60" i="1"/>
  <c r="M258" i="1"/>
  <c r="R258" i="1"/>
  <c r="I258" i="1"/>
  <c r="K258" i="1"/>
  <c r="G258" i="1"/>
  <c r="H258" i="1"/>
  <c r="L258" i="1"/>
  <c r="S258" i="1"/>
  <c r="O258" i="1"/>
  <c r="J258" i="1"/>
  <c r="N258" i="1"/>
  <c r="U258" i="1"/>
  <c r="V258" i="1"/>
  <c r="Q258" i="1"/>
  <c r="R120" i="1"/>
  <c r="S38" i="1"/>
  <c r="T120" i="1"/>
  <c r="U38" i="1"/>
  <c r="U120" i="1"/>
  <c r="V38" i="1"/>
  <c r="P120" i="1"/>
  <c r="Q38" i="1"/>
  <c r="Q120" i="1"/>
  <c r="R38" i="1"/>
  <c r="I120" i="1"/>
  <c r="J38" i="1"/>
  <c r="S120" i="1"/>
  <c r="T38" i="1"/>
  <c r="H120" i="1"/>
  <c r="I38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M120" i="1"/>
  <c r="N38" i="1"/>
  <c r="J120" i="1"/>
  <c r="K38" i="1"/>
  <c r="CN211" i="1"/>
  <c r="CN209" i="1" s="1"/>
  <c r="CO142" i="1"/>
  <c r="CV85" i="1"/>
  <c r="AD210" i="1"/>
  <c r="AB150" i="1"/>
  <c r="AE145" i="1"/>
  <c r="AD145" i="1"/>
  <c r="CT71" i="1"/>
  <c r="CS73" i="1"/>
  <c r="C120" i="1"/>
  <c r="BY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0" i="1"/>
  <c r="T241" i="1" s="1"/>
  <c r="Q240" i="1"/>
  <c r="Q241" i="1" s="1"/>
  <c r="K240" i="1"/>
  <c r="K241" i="1" s="1"/>
  <c r="O240" i="1"/>
  <c r="O241" i="1" s="1"/>
  <c r="U240" i="1"/>
  <c r="U241" i="1" s="1"/>
  <c r="L240" i="1"/>
  <c r="L241" i="1" s="1"/>
  <c r="C240" i="1"/>
  <c r="C241" i="1" s="1"/>
  <c r="I240" i="1"/>
  <c r="I241" i="1" s="1"/>
  <c r="G240" i="1"/>
  <c r="G241" i="1" s="1"/>
  <c r="R240" i="1"/>
  <c r="R241" i="1" s="1"/>
  <c r="P240" i="1"/>
  <c r="P241" i="1" s="1"/>
  <c r="F240" i="1"/>
  <c r="F241" i="1" s="1"/>
  <c r="M240" i="1"/>
  <c r="M241" i="1" s="1"/>
  <c r="N240" i="1"/>
  <c r="N241" i="1" s="1"/>
  <c r="E240" i="1"/>
  <c r="E241" i="1" s="1"/>
  <c r="S240" i="1"/>
  <c r="S241" i="1" s="1"/>
  <c r="J240" i="1"/>
  <c r="J241" i="1" s="1"/>
  <c r="H240" i="1"/>
  <c r="H241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BY52" i="1" l="1"/>
  <c r="CA112" i="1"/>
  <c r="CA116" i="1"/>
  <c r="CA104" i="1"/>
  <c r="CA62" i="1"/>
  <c r="BX74" i="1"/>
  <c r="CA77" i="1" s="1"/>
  <c r="BX201" i="1"/>
  <c r="BX203" i="1" s="1"/>
  <c r="BX60" i="1"/>
  <c r="AK215" i="1"/>
  <c r="AK213" i="1" s="1"/>
  <c r="AL215" i="1"/>
  <c r="AL213" i="1" s="1"/>
  <c r="BK172" i="1"/>
  <c r="BM172" i="1"/>
  <c r="CO146" i="1"/>
  <c r="CP40" i="1"/>
  <c r="CW85" i="1"/>
  <c r="AE148" i="1"/>
  <c r="AE210" i="1" s="1"/>
  <c r="CT73" i="1"/>
  <c r="CU71" i="1"/>
  <c r="BZ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2" i="1"/>
  <c r="R51" i="1" l="1"/>
  <c r="CE78" i="1"/>
  <c r="CA95" i="1"/>
  <c r="CA94" i="1"/>
  <c r="CD98" i="1" s="1"/>
  <c r="BW97" i="1"/>
  <c r="CA93" i="1"/>
  <c r="U51" i="1"/>
  <c r="O51" i="1"/>
  <c r="AB40" i="1"/>
  <c r="B49" i="1"/>
  <c r="B48" i="1"/>
  <c r="C49" i="1"/>
  <c r="C48" i="1"/>
  <c r="E49" i="1"/>
  <c r="E56" i="1" s="1"/>
  <c r="E48" i="1"/>
  <c r="P51" i="1"/>
  <c r="H51" i="1"/>
  <c r="Q51" i="1"/>
  <c r="BJ173" i="1"/>
  <c r="BJ174" i="1" s="1"/>
  <c r="BL173" i="1"/>
  <c r="BL174" i="1" s="1"/>
  <c r="CP202" i="1"/>
  <c r="CP140" i="1"/>
  <c r="CO211" i="1"/>
  <c r="CO209" i="1" s="1"/>
  <c r="CX85" i="1"/>
  <c r="CV71" i="1"/>
  <c r="CU73" i="1"/>
  <c r="CA1" i="1"/>
  <c r="CB1" i="1" s="1"/>
  <c r="O48" i="1"/>
  <c r="BL242" i="1"/>
  <c r="S49" i="1"/>
  <c r="U50" i="1"/>
  <c r="U253" i="1" s="1"/>
  <c r="P50" i="1"/>
  <c r="P253" i="1" s="1"/>
  <c r="Q56" i="1"/>
  <c r="Q50" i="1"/>
  <c r="Q253" i="1" s="1"/>
  <c r="L49" i="1"/>
  <c r="P48" i="1"/>
  <c r="H50" i="1"/>
  <c r="H253" i="1" s="1"/>
  <c r="G50" i="1"/>
  <c r="G253" i="1" s="1"/>
  <c r="U56" i="1"/>
  <c r="N50" i="1"/>
  <c r="N253" i="1" s="1"/>
  <c r="R50" i="1"/>
  <c r="R253" i="1" s="1"/>
  <c r="K50" i="1"/>
  <c r="K253" i="1" s="1"/>
  <c r="O56" i="1"/>
  <c r="O50" i="1"/>
  <c r="O253" i="1" s="1"/>
  <c r="T56" i="1"/>
  <c r="T50" i="1"/>
  <c r="T253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2" i="1"/>
  <c r="Q48" i="1"/>
  <c r="P242" i="1"/>
  <c r="P56" i="1"/>
  <c r="K242" i="1"/>
  <c r="K56" i="1"/>
  <c r="H242" i="1"/>
  <c r="H56" i="1"/>
  <c r="R56" i="1"/>
  <c r="N56" i="1"/>
  <c r="G56" i="1"/>
  <c r="G242" i="1"/>
  <c r="R242" i="1"/>
  <c r="N242" i="1"/>
  <c r="Q242" i="1"/>
  <c r="U242" i="1"/>
  <c r="T242" i="1"/>
  <c r="V60" i="1"/>
  <c r="V201" i="1"/>
  <c r="V203" i="1" s="1"/>
  <c r="E242" i="1" l="1"/>
  <c r="AB202" i="1"/>
  <c r="E50" i="1"/>
  <c r="E253" i="1" s="1"/>
  <c r="E51" i="1"/>
  <c r="D51" i="1"/>
  <c r="C50" i="1"/>
  <c r="B50" i="1"/>
  <c r="C51" i="1"/>
  <c r="F51" i="1"/>
  <c r="M51" i="1"/>
  <c r="S50" i="1"/>
  <c r="S253" i="1" s="1"/>
  <c r="T51" i="1"/>
  <c r="L51" i="1"/>
  <c r="J51" i="1"/>
  <c r="S51" i="1"/>
  <c r="AB140" i="1"/>
  <c r="AB142" i="1" s="1"/>
  <c r="AB41" i="1" s="1"/>
  <c r="CP142" i="1"/>
  <c r="AD85" i="1"/>
  <c r="CY85" i="1"/>
  <c r="CV73" i="1"/>
  <c r="CW71" i="1"/>
  <c r="CC1" i="1"/>
  <c r="K60" i="1"/>
  <c r="G60" i="1"/>
  <c r="E60" i="1"/>
  <c r="S56" i="1"/>
  <c r="S242" i="1"/>
  <c r="L242" i="1"/>
  <c r="L56" i="1"/>
  <c r="O201" i="1"/>
  <c r="O203" i="1" s="1"/>
  <c r="O60" i="1"/>
  <c r="B242" i="1"/>
  <c r="B56" i="1"/>
  <c r="M56" i="1"/>
  <c r="M50" i="1"/>
  <c r="M253" i="1" s="1"/>
  <c r="C242" i="1"/>
  <c r="I56" i="1"/>
  <c r="I50" i="1"/>
  <c r="I253" i="1" s="1"/>
  <c r="J56" i="1"/>
  <c r="J50" i="1"/>
  <c r="J253" i="1" s="1"/>
  <c r="F56" i="1"/>
  <c r="F50" i="1"/>
  <c r="F253" i="1" s="1"/>
  <c r="L50" i="1"/>
  <c r="L253" i="1" s="1"/>
  <c r="J242" i="1"/>
  <c r="E201" i="1"/>
  <c r="E203" i="1" s="1"/>
  <c r="R201" i="1"/>
  <c r="R203" i="1" s="1"/>
  <c r="M242" i="1"/>
  <c r="R60" i="1"/>
  <c r="I242" i="1"/>
  <c r="H60" i="1"/>
  <c r="H201" i="1"/>
  <c r="H203" i="1" s="1"/>
  <c r="F242" i="1"/>
  <c r="C56" i="1"/>
  <c r="N201" i="1"/>
  <c r="N203" i="1" s="1"/>
  <c r="N60" i="1"/>
  <c r="G201" i="1"/>
  <c r="G203" i="1" s="1"/>
  <c r="P60" i="1"/>
  <c r="K201" i="1"/>
  <c r="K203" i="1" s="1"/>
  <c r="P201" i="1"/>
  <c r="P203" i="1" s="1"/>
  <c r="U60" i="1"/>
  <c r="U201" i="1"/>
  <c r="U203" i="1" s="1"/>
  <c r="Q60" i="1"/>
  <c r="Q201" i="1"/>
  <c r="Q203" i="1" s="1"/>
  <c r="T60" i="1"/>
  <c r="T201" i="1"/>
  <c r="T203" i="1" s="1"/>
  <c r="CP146" i="1" l="1"/>
  <c r="CP211" i="1" s="1"/>
  <c r="CP209" i="1" s="1"/>
  <c r="CQ40" i="1"/>
  <c r="CZ85" i="1"/>
  <c r="AC150" i="1"/>
  <c r="CX71" i="1"/>
  <c r="CW73" i="1"/>
  <c r="CD1" i="1"/>
  <c r="CE1" i="1" s="1"/>
  <c r="CF1" i="1" s="1"/>
  <c r="CG1" i="1" s="1"/>
  <c r="CH1" i="1" s="1"/>
  <c r="CI1" i="1" s="1"/>
  <c r="CJ1" i="1" s="1"/>
  <c r="CK1" i="1" s="1"/>
  <c r="L201" i="1"/>
  <c r="L203" i="1" s="1"/>
  <c r="J201" i="1"/>
  <c r="J203" i="1" s="1"/>
  <c r="M201" i="1"/>
  <c r="M203" i="1" s="1"/>
  <c r="B60" i="1"/>
  <c r="F60" i="1"/>
  <c r="I60" i="1"/>
  <c r="C60" i="1"/>
  <c r="L60" i="1"/>
  <c r="S60" i="1"/>
  <c r="J60" i="1"/>
  <c r="S201" i="1"/>
  <c r="S203" i="1" s="1"/>
  <c r="M60" i="1"/>
  <c r="I201" i="1"/>
  <c r="I203" i="1" s="1"/>
  <c r="F201" i="1"/>
  <c r="F203" i="1" s="1"/>
  <c r="C201" i="1"/>
  <c r="C203" i="1" s="1"/>
  <c r="CQ202" i="1" l="1"/>
  <c r="CQ140" i="1"/>
  <c r="DA85" i="1"/>
  <c r="CX73" i="1"/>
  <c r="CY71" i="1"/>
  <c r="AB132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48" i="2"/>
  <c r="L76" i="2"/>
  <c r="Q105" i="2"/>
  <c r="L49" i="2"/>
  <c r="G104" i="2"/>
  <c r="W58" i="2"/>
  <c r="R96" i="2"/>
  <c r="N109" i="2"/>
  <c r="C97" i="2"/>
  <c r="C110" i="2"/>
  <c r="V44" i="2"/>
  <c r="J60" i="2"/>
  <c r="P56" i="2"/>
  <c r="V45" i="2"/>
  <c r="S95" i="2"/>
  <c r="O47" i="2"/>
  <c r="L83" i="2"/>
  <c r="AP93" i="3"/>
  <c r="AP71" i="3"/>
  <c r="AP81" i="3"/>
  <c r="AP72" i="3"/>
  <c r="AB74" i="3"/>
  <c r="AP12" i="3"/>
  <c r="H41" i="3"/>
  <c r="AP25" i="3"/>
  <c r="R25" i="3"/>
  <c r="U30" i="3"/>
  <c r="AO15" i="3"/>
  <c r="AI24" i="3"/>
  <c r="AP41" i="3"/>
  <c r="O37" i="3"/>
  <c r="R35" i="3"/>
  <c r="AM25" i="3"/>
  <c r="W18" i="3"/>
  <c r="Y13" i="3"/>
  <c r="AM11" i="3"/>
  <c r="AL37" i="3"/>
  <c r="AC22" i="3"/>
  <c r="AK17" i="3"/>
  <c r="AM14" i="3"/>
  <c r="AJ30" i="3"/>
  <c r="J25" i="3"/>
  <c r="Z28" i="3"/>
  <c r="AH37" i="3"/>
  <c r="O8" i="3"/>
  <c r="C19" i="3"/>
  <c r="G32" i="3"/>
  <c r="Q23" i="3"/>
  <c r="AN7" i="3"/>
  <c r="AB21" i="3"/>
  <c r="AB10" i="3"/>
  <c r="M26" i="3"/>
  <c r="J17" i="3"/>
  <c r="AO34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J12" i="3"/>
  <c r="C6" i="3"/>
  <c r="H15" i="3"/>
  <c r="AM23" i="3"/>
  <c r="L9" i="3"/>
  <c r="AJ18" i="3"/>
  <c r="W42" i="3"/>
  <c r="AH26" i="3"/>
  <c r="AC12" i="3"/>
  <c r="R34" i="3"/>
  <c r="V26" i="3"/>
  <c r="AA29" i="3"/>
  <c r="X8" i="3"/>
  <c r="V5" i="3"/>
  <c r="AG16" i="3"/>
  <c r="T38" i="3"/>
  <c r="Z16" i="3"/>
  <c r="AQ34" i="3"/>
  <c r="M16" i="3"/>
  <c r="Q32" i="3"/>
  <c r="AG25" i="3"/>
  <c r="AA24" i="3"/>
  <c r="U20" i="3"/>
  <c r="U13" i="3"/>
  <c r="AN30" i="3"/>
  <c r="M21" i="3"/>
  <c r="U16" i="3"/>
  <c r="AA35" i="3"/>
  <c r="Y26" i="3"/>
  <c r="AC40" i="3"/>
  <c r="L24" i="3"/>
  <c r="C35" i="3"/>
  <c r="C11" i="3"/>
  <c r="AI32" i="3"/>
  <c r="AO41" i="3"/>
  <c r="AH32" i="3"/>
  <c r="AJ28" i="3"/>
  <c r="AB25" i="3"/>
  <c r="I24" i="3"/>
  <c r="U34" i="3"/>
  <c r="AI39" i="3"/>
  <c r="K11" i="3"/>
  <c r="AN18" i="3"/>
  <c r="K7" i="3"/>
  <c r="V36" i="3"/>
  <c r="M41" i="3"/>
  <c r="W85" i="2"/>
  <c r="U73" i="2"/>
  <c r="Q90" i="2"/>
  <c r="N111" i="2"/>
  <c r="R70" i="2"/>
  <c r="V66" i="2"/>
  <c r="D95" i="2"/>
  <c r="I111" i="2"/>
  <c r="X43" i="2"/>
  <c r="H58" i="2"/>
  <c r="P57" i="2"/>
  <c r="X78" i="2"/>
  <c r="G55" i="2"/>
  <c r="R97" i="2"/>
  <c r="W96" i="2"/>
  <c r="O108" i="2"/>
  <c r="V95" i="2"/>
  <c r="AP66" i="3"/>
  <c r="AP78" i="3"/>
  <c r="AP87" i="3"/>
  <c r="AB70" i="3"/>
  <c r="H20" i="3"/>
  <c r="T8" i="3"/>
  <c r="Y22" i="3"/>
  <c r="AL20" i="3"/>
  <c r="S31" i="3"/>
  <c r="Y17" i="3"/>
  <c r="P5" i="3"/>
  <c r="S36" i="3"/>
  <c r="AI16" i="3"/>
  <c r="U15" i="3"/>
  <c r="L37" i="3"/>
  <c r="AE21" i="3"/>
  <c r="X24" i="3"/>
  <c r="P25" i="3"/>
  <c r="AI21" i="3"/>
  <c r="AE34" i="3"/>
  <c r="I39" i="3"/>
  <c r="AG28" i="3"/>
  <c r="U31" i="3"/>
  <c r="AG7" i="3"/>
  <c r="P8" i="3"/>
  <c r="AN37" i="3"/>
  <c r="H40" i="3"/>
  <c r="I13" i="3"/>
  <c r="AC13" i="3"/>
  <c r="L20" i="3"/>
  <c r="Y19" i="3"/>
  <c r="W24" i="3"/>
  <c r="AG26" i="3"/>
  <c r="AM13" i="3"/>
  <c r="Z9" i="3"/>
  <c r="AO32" i="3"/>
  <c r="L16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K20" i="3"/>
  <c r="AK28" i="3"/>
  <c r="X6" i="3"/>
  <c r="I5" i="3"/>
  <c r="AL5" i="3"/>
  <c r="AB9" i="3"/>
  <c r="H37" i="3"/>
  <c r="AD47" i="3"/>
  <c r="S8" i="3"/>
  <c r="P14" i="3"/>
  <c r="AH12" i="3"/>
  <c r="M49" i="2"/>
  <c r="W61" i="2"/>
  <c r="W80" i="2"/>
  <c r="S72" i="2"/>
  <c r="G88" i="2"/>
  <c r="R72" i="2"/>
  <c r="C52" i="2"/>
  <c r="Q42" i="2"/>
  <c r="K112" i="2"/>
  <c r="C78" i="2"/>
  <c r="G67" i="2"/>
  <c r="K83" i="2"/>
  <c r="J95" i="2"/>
  <c r="G69" i="2"/>
  <c r="E77" i="2"/>
  <c r="F67" i="2"/>
  <c r="C87" i="2"/>
  <c r="AB78" i="3"/>
  <c r="AB79" i="3"/>
  <c r="AP94" i="3"/>
  <c r="AP77" i="3"/>
  <c r="T23" i="3"/>
  <c r="O22" i="3"/>
  <c r="C23" i="3"/>
  <c r="AM32" i="3"/>
  <c r="AD50" i="3"/>
  <c r="AC20" i="3"/>
  <c r="AD37" i="3"/>
  <c r="S12" i="3"/>
  <c r="AH13" i="3"/>
  <c r="O38" i="3"/>
  <c r="AP19" i="3"/>
  <c r="O17" i="3"/>
  <c r="T32" i="3"/>
  <c r="AP36" i="3"/>
  <c r="AI30" i="3"/>
  <c r="H6" i="3"/>
  <c r="S42" i="3"/>
  <c r="X10" i="3"/>
  <c r="Y18" i="3"/>
  <c r="AN20" i="3"/>
  <c r="AP40" i="3"/>
  <c r="C41" i="3"/>
  <c r="O42" i="3"/>
  <c r="AA40" i="3"/>
  <c r="H21" i="3"/>
  <c r="H36" i="3"/>
  <c r="J34" i="3"/>
  <c r="T41" i="3"/>
  <c r="J27" i="3"/>
  <c r="Q19" i="3"/>
  <c r="O20" i="3"/>
  <c r="Z24" i="3"/>
  <c r="C34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I29" i="3"/>
  <c r="Q9" i="3"/>
  <c r="G39" i="3"/>
  <c r="K18" i="3"/>
  <c r="AE29" i="3"/>
  <c r="P24" i="3"/>
  <c r="Z40" i="3"/>
  <c r="AL13" i="3"/>
  <c r="S26" i="3"/>
  <c r="V30" i="3"/>
  <c r="AL40" i="3"/>
  <c r="AN28" i="3"/>
  <c r="AO18" i="3"/>
  <c r="J39" i="3"/>
  <c r="AC10" i="3"/>
  <c r="S20" i="3"/>
  <c r="K9" i="3"/>
  <c r="AP38" i="3"/>
  <c r="AA26" i="3"/>
  <c r="AQ28" i="3"/>
  <c r="T13" i="3"/>
  <c r="AQ11" i="3"/>
  <c r="AA37" i="3"/>
  <c r="Q10" i="3"/>
  <c r="K5" i="3"/>
  <c r="AJ29" i="3"/>
  <c r="J11" i="3"/>
  <c r="AN29" i="3"/>
  <c r="AG34" i="3"/>
  <c r="AD40" i="3"/>
  <c r="K10" i="3"/>
  <c r="U25" i="3"/>
  <c r="U9" i="3"/>
  <c r="P15" i="3"/>
  <c r="Q30" i="3"/>
  <c r="L17" i="3"/>
  <c r="Z21" i="3"/>
  <c r="P37" i="3"/>
  <c r="AG20" i="3"/>
  <c r="AN42" i="3"/>
  <c r="AK40" i="3"/>
  <c r="M42" i="3"/>
  <c r="D48" i="3"/>
  <c r="U32" i="3"/>
  <c r="T40" i="3"/>
  <c r="AA15" i="3"/>
  <c r="AI17" i="3"/>
  <c r="G34" i="3"/>
  <c r="AE40" i="3"/>
  <c r="R7" i="3"/>
  <c r="H39" i="3"/>
  <c r="J26" i="3"/>
  <c r="K19" i="3"/>
  <c r="I63" i="2"/>
  <c r="O45" i="2"/>
  <c r="S76" i="2"/>
  <c r="L73" i="2"/>
  <c r="P61" i="2"/>
  <c r="C68" i="2"/>
  <c r="N75" i="2"/>
  <c r="K65" i="2"/>
  <c r="D73" i="2"/>
  <c r="W64" i="2"/>
  <c r="M64" i="2"/>
  <c r="S58" i="2"/>
  <c r="U107" i="2"/>
  <c r="H109" i="2"/>
  <c r="C56" i="2"/>
  <c r="L109" i="2"/>
  <c r="F88" i="2"/>
  <c r="AB80" i="3"/>
  <c r="AB94" i="3"/>
  <c r="AB87" i="3"/>
  <c r="AP89" i="3"/>
  <c r="H34" i="3"/>
  <c r="AL33" i="3"/>
  <c r="U21" i="3"/>
  <c r="J16" i="3"/>
  <c r="O29" i="3"/>
  <c r="O21" i="3"/>
  <c r="AD24" i="3"/>
  <c r="AJ25" i="3"/>
  <c r="AI41" i="3"/>
  <c r="G42" i="3"/>
  <c r="N40" i="3"/>
  <c r="S32" i="3"/>
  <c r="P30" i="3"/>
  <c r="Q33" i="3"/>
  <c r="I8" i="3"/>
  <c r="AG37" i="3"/>
  <c r="Y34" i="3"/>
  <c r="R32" i="3"/>
  <c r="AH22" i="3"/>
  <c r="L5" i="3"/>
  <c r="AM39" i="3"/>
  <c r="X16" i="3"/>
  <c r="AE11" i="3"/>
  <c r="AB18" i="3"/>
  <c r="O16" i="3"/>
  <c r="AK30" i="3"/>
  <c r="S9" i="3"/>
  <c r="S17" i="3"/>
  <c r="AP14" i="3"/>
  <c r="AN6" i="3"/>
  <c r="AC19" i="3"/>
  <c r="X38" i="3"/>
  <c r="AO11" i="3"/>
  <c r="C42" i="3"/>
  <c r="Y31" i="3"/>
  <c r="AN17" i="3"/>
  <c r="P21" i="3"/>
  <c r="V38" i="3"/>
  <c r="AH10" i="3"/>
  <c r="O19" i="3"/>
  <c r="AO10" i="3"/>
  <c r="E48" i="3"/>
  <c r="Q22" i="3"/>
  <c r="AG18" i="3"/>
  <c r="I34" i="3"/>
  <c r="O27" i="3"/>
  <c r="AE38" i="3"/>
  <c r="AK10" i="3"/>
  <c r="V13" i="3"/>
  <c r="Q41" i="3"/>
  <c r="AO30" i="3"/>
  <c r="AL12" i="3"/>
  <c r="AI35" i="3"/>
  <c r="AA16" i="3"/>
  <c r="AE37" i="3"/>
  <c r="T20" i="3"/>
  <c r="N13" i="3"/>
  <c r="AC21" i="3"/>
  <c r="AN16" i="3"/>
  <c r="AM35" i="3"/>
  <c r="AH27" i="3"/>
  <c r="AG33" i="3"/>
  <c r="P7" i="3"/>
  <c r="H30" i="3"/>
  <c r="I11" i="3"/>
  <c r="J24" i="3"/>
  <c r="Z39" i="3"/>
  <c r="T42" i="3"/>
  <c r="N11" i="3"/>
  <c r="AB40" i="3"/>
  <c r="AP35" i="3"/>
  <c r="AM18" i="3"/>
  <c r="AK23" i="3"/>
  <c r="K28" i="3"/>
  <c r="AM27" i="3"/>
  <c r="O13" i="3"/>
  <c r="H12" i="3"/>
  <c r="K41" i="3"/>
  <c r="N31" i="3"/>
  <c r="AL32" i="3"/>
  <c r="Y42" i="3"/>
  <c r="W25" i="3"/>
  <c r="N17" i="3"/>
  <c r="L34" i="3"/>
  <c r="T6" i="3"/>
  <c r="N22" i="3"/>
  <c r="AD41" i="3"/>
  <c r="AI14" i="3"/>
  <c r="C26" i="3"/>
  <c r="AJ26" i="3"/>
  <c r="Y5" i="3"/>
  <c r="AB8" i="3"/>
  <c r="R11" i="3"/>
  <c r="J35" i="3"/>
  <c r="AG29" i="3"/>
  <c r="AQ17" i="3"/>
  <c r="L22" i="3"/>
  <c r="X21" i="3"/>
  <c r="AC28" i="3"/>
  <c r="AB28" i="3"/>
  <c r="AG12" i="3"/>
  <c r="D49" i="3"/>
  <c r="AO42" i="3"/>
  <c r="Q11" i="3"/>
  <c r="V54" i="2"/>
  <c r="S48" i="2"/>
  <c r="J84" i="2"/>
  <c r="T47" i="2"/>
  <c r="D55" i="2"/>
  <c r="K68" i="2"/>
  <c r="F64" i="2"/>
  <c r="D58" i="2"/>
  <c r="W110" i="2"/>
  <c r="W86" i="2"/>
  <c r="G42" i="2"/>
  <c r="C61" i="2"/>
  <c r="D113" i="2"/>
  <c r="S66" i="2"/>
  <c r="M111" i="2"/>
  <c r="M42" i="2"/>
  <c r="AP68" i="3"/>
  <c r="AB77" i="3"/>
  <c r="AB50" i="3"/>
  <c r="AB82" i="3"/>
  <c r="AP67" i="3"/>
  <c r="C21" i="3"/>
  <c r="L19" i="3"/>
  <c r="AJ17" i="3"/>
  <c r="Q34" i="3"/>
  <c r="AQ29" i="3"/>
  <c r="AJ22" i="3"/>
  <c r="AE31" i="3"/>
  <c r="AE32" i="3"/>
  <c r="AA25" i="3"/>
  <c r="AA9" i="3"/>
  <c r="AN9" i="3"/>
  <c r="AA8" i="3"/>
  <c r="X34" i="3"/>
  <c r="AD20" i="3"/>
  <c r="X35" i="3"/>
  <c r="AI15" i="3"/>
  <c r="AB38" i="3"/>
  <c r="Y11" i="3"/>
  <c r="Z35" i="3"/>
  <c r="AB37" i="3"/>
  <c r="J42" i="3"/>
  <c r="H19" i="3"/>
  <c r="L31" i="3"/>
  <c r="AN25" i="3"/>
  <c r="AB11" i="3"/>
  <c r="J18" i="3"/>
  <c r="AN23" i="3"/>
  <c r="I15" i="3"/>
  <c r="AK11" i="3"/>
  <c r="AL10" i="3"/>
  <c r="AP28" i="3"/>
  <c r="O9" i="3"/>
  <c r="M31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K6" i="3"/>
  <c r="X22" i="3"/>
  <c r="AL7" i="3"/>
  <c r="AD21" i="3"/>
  <c r="AO9" i="3"/>
  <c r="M8" i="3"/>
  <c r="U14" i="3"/>
  <c r="AO12" i="3"/>
  <c r="AQ26" i="3"/>
  <c r="AI37" i="3"/>
  <c r="Z18" i="3"/>
  <c r="X37" i="3"/>
  <c r="H26" i="3"/>
  <c r="AJ42" i="3"/>
  <c r="P12" i="3"/>
  <c r="AG13" i="3"/>
  <c r="P36" i="3"/>
  <c r="Q39" i="3"/>
  <c r="Y21" i="3"/>
  <c r="AH6" i="3"/>
  <c r="AE12" i="3"/>
  <c r="C31" i="3"/>
  <c r="U5" i="3"/>
  <c r="Z5" i="3"/>
  <c r="W20" i="3"/>
  <c r="AG14" i="3"/>
  <c r="X19" i="3"/>
  <c r="AA39" i="3"/>
  <c r="AG11" i="3"/>
  <c r="C9" i="3"/>
  <c r="N8" i="3"/>
  <c r="AG19" i="3"/>
  <c r="L7" i="3"/>
  <c r="AH5" i="3"/>
  <c r="AB32" i="3"/>
  <c r="V14" i="3"/>
  <c r="AN26" i="3"/>
  <c r="AK19" i="3"/>
  <c r="H73" i="2"/>
  <c r="O86" i="2"/>
  <c r="R113" i="2"/>
  <c r="J40" i="2"/>
  <c r="O60" i="2"/>
  <c r="H69" i="2"/>
  <c r="D60" i="2"/>
  <c r="J48" i="2"/>
  <c r="I81" i="2"/>
  <c r="H63" i="2"/>
  <c r="H88" i="2"/>
  <c r="D41" i="2"/>
  <c r="Q73" i="2"/>
  <c r="S54" i="2"/>
  <c r="N57" i="2"/>
  <c r="G83" i="2"/>
  <c r="AB61" i="3"/>
  <c r="AP97" i="3"/>
  <c r="AP65" i="3"/>
  <c r="AP74" i="3"/>
  <c r="AB91" i="3"/>
  <c r="R29" i="3"/>
  <c r="N24" i="3"/>
  <c r="R18" i="3"/>
  <c r="AH31" i="3"/>
  <c r="AE10" i="3"/>
  <c r="P34" i="3"/>
  <c r="AC39" i="3"/>
  <c r="C7" i="3"/>
  <c r="Z15" i="3"/>
  <c r="J12" i="3"/>
  <c r="Z34" i="3"/>
  <c r="AM22" i="3"/>
  <c r="T33" i="3"/>
  <c r="Q35" i="3"/>
  <c r="V12" i="3"/>
  <c r="W34" i="3"/>
  <c r="X36" i="3"/>
  <c r="W12" i="3"/>
  <c r="Y25" i="3"/>
  <c r="X15" i="3"/>
  <c r="AH14" i="3"/>
  <c r="P22" i="3"/>
  <c r="L6" i="3"/>
  <c r="AP16" i="3"/>
  <c r="P27" i="3"/>
  <c r="V34" i="3"/>
  <c r="Y28" i="3"/>
  <c r="AP26" i="3"/>
  <c r="J8" i="3"/>
  <c r="R17" i="3"/>
  <c r="L14" i="3"/>
  <c r="I25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N15" i="3"/>
  <c r="N27" i="3"/>
  <c r="M40" i="3"/>
  <c r="V20" i="3"/>
  <c r="AL23" i="3"/>
  <c r="P38" i="3"/>
  <c r="AH39" i="3"/>
  <c r="U50" i="2"/>
  <c r="E57" i="2"/>
  <c r="R47" i="2"/>
  <c r="Q112" i="2"/>
  <c r="O80" i="2"/>
  <c r="D64" i="2"/>
  <c r="V82" i="2"/>
  <c r="K55" i="2"/>
  <c r="D43" i="2"/>
  <c r="V91" i="2"/>
  <c r="J90" i="2"/>
  <c r="C66" i="2"/>
  <c r="I40" i="2"/>
  <c r="H76" i="2"/>
  <c r="W112" i="2"/>
  <c r="F69" i="2"/>
  <c r="AB60" i="3"/>
  <c r="AB72" i="3"/>
  <c r="AB96" i="3"/>
  <c r="AP54" i="3"/>
  <c r="AB66" i="3"/>
  <c r="S7" i="3"/>
  <c r="M35" i="3"/>
  <c r="AK5" i="3"/>
  <c r="X30" i="3"/>
  <c r="Y40" i="3"/>
  <c r="W22" i="3"/>
  <c r="H5" i="3"/>
  <c r="O28" i="3"/>
  <c r="X27" i="3"/>
  <c r="E47" i="3"/>
  <c r="L11" i="3"/>
  <c r="V31" i="3"/>
  <c r="AE25" i="3"/>
  <c r="AE14" i="3"/>
  <c r="AA30" i="3"/>
  <c r="T34" i="3"/>
  <c r="AE39" i="3"/>
  <c r="M23" i="3"/>
  <c r="AA17" i="3"/>
  <c r="AC42" i="3"/>
  <c r="G35" i="3"/>
  <c r="AL9" i="3"/>
  <c r="AA42" i="3"/>
  <c r="AO14" i="3"/>
  <c r="K23" i="3"/>
  <c r="AJ23" i="3"/>
  <c r="AO24" i="3"/>
  <c r="AQ32" i="3"/>
  <c r="L30" i="3"/>
  <c r="P6" i="3"/>
  <c r="U12" i="3"/>
  <c r="AC7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L21" i="3"/>
  <c r="Y41" i="3"/>
  <c r="K8" i="3"/>
  <c r="AQ7" i="3"/>
  <c r="AO5" i="3"/>
  <c r="J19" i="3"/>
  <c r="S37" i="3"/>
  <c r="T31" i="3"/>
  <c r="L35" i="3"/>
  <c r="AL18" i="3"/>
  <c r="AK6" i="3"/>
  <c r="AM28" i="3"/>
  <c r="J33" i="3"/>
  <c r="T39" i="3"/>
  <c r="AJ10" i="3"/>
  <c r="H31" i="3"/>
  <c r="AI29" i="3"/>
  <c r="AE16" i="3"/>
  <c r="M24" i="3"/>
  <c r="S25" i="3"/>
  <c r="H29" i="3"/>
  <c r="X18" i="3"/>
  <c r="S28" i="3"/>
  <c r="X20" i="3"/>
  <c r="AO8" i="3"/>
  <c r="L41" i="3"/>
  <c r="AC24" i="3"/>
  <c r="AK15" i="3"/>
  <c r="K16" i="3"/>
  <c r="AO13" i="3"/>
  <c r="V23" i="3"/>
  <c r="AK42" i="3"/>
  <c r="C29" i="3"/>
  <c r="O14" i="3"/>
  <c r="N12" i="3"/>
  <c r="Y27" i="3"/>
  <c r="AH30" i="3"/>
  <c r="K33" i="3"/>
  <c r="I42" i="3"/>
  <c r="AM29" i="3"/>
  <c r="Z22" i="3"/>
  <c r="N25" i="3"/>
  <c r="F60" i="2"/>
  <c r="G93" i="2"/>
  <c r="R93" i="2"/>
  <c r="O51" i="2"/>
  <c r="J113" i="2"/>
  <c r="N86" i="2"/>
  <c r="L66" i="2"/>
  <c r="V70" i="2"/>
  <c r="C40" i="2"/>
  <c r="Q50" i="2"/>
  <c r="I93" i="2"/>
  <c r="N46" i="2"/>
  <c r="H77" i="2"/>
  <c r="I79" i="2"/>
  <c r="O109" i="2"/>
  <c r="H55" i="2"/>
  <c r="AP84" i="3"/>
  <c r="AP48" i="3"/>
  <c r="AB71" i="3"/>
  <c r="AP85" i="3"/>
  <c r="AP64" i="3"/>
  <c r="Z30" i="3"/>
  <c r="AI12" i="3"/>
  <c r="N26" i="3"/>
  <c r="W28" i="3"/>
  <c r="R24" i="3"/>
  <c r="Q36" i="3"/>
  <c r="X12" i="3"/>
  <c r="W33" i="3"/>
  <c r="I37" i="3"/>
  <c r="I9" i="3"/>
  <c r="U19" i="3"/>
  <c r="M11" i="3"/>
  <c r="H13" i="3"/>
  <c r="AJ41" i="3"/>
  <c r="M15" i="3"/>
  <c r="AN12" i="3"/>
  <c r="AM21" i="3"/>
  <c r="AB23" i="3"/>
  <c r="AG15" i="3"/>
  <c r="AC36" i="3"/>
  <c r="AN35" i="3"/>
  <c r="O41" i="3"/>
  <c r="M13" i="3"/>
  <c r="R30" i="3"/>
  <c r="T30" i="3"/>
  <c r="V33" i="3"/>
  <c r="N21" i="3"/>
  <c r="W7" i="3"/>
  <c r="T28" i="3"/>
  <c r="T22" i="3"/>
  <c r="W6" i="3"/>
  <c r="J38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N38" i="3"/>
  <c r="U29" i="3"/>
  <c r="M28" i="3"/>
  <c r="AK32" i="3"/>
  <c r="AI7" i="3"/>
  <c r="AK38" i="3"/>
  <c r="N33" i="3"/>
  <c r="U42" i="3"/>
  <c r="AB17" i="3"/>
  <c r="AN41" i="3"/>
  <c r="AB31" i="3"/>
  <c r="AD49" i="3"/>
  <c r="AL11" i="3"/>
  <c r="AO26" i="3"/>
  <c r="N6" i="3"/>
  <c r="AQ25" i="3"/>
  <c r="K31" i="3"/>
  <c r="AD42" i="3"/>
  <c r="AQ16" i="3"/>
  <c r="T36" i="3"/>
  <c r="AN13" i="3"/>
  <c r="K26" i="3"/>
  <c r="AP21" i="3"/>
  <c r="S29" i="3"/>
  <c r="AN39" i="3"/>
  <c r="S13" i="3"/>
  <c r="AJ34" i="3"/>
  <c r="E71" i="2"/>
  <c r="C60" i="2"/>
  <c r="R83" i="2"/>
  <c r="H71" i="2"/>
  <c r="X76" i="2"/>
  <c r="O55" i="2"/>
  <c r="L64" i="2"/>
  <c r="P93" i="2"/>
  <c r="W45" i="2"/>
  <c r="U43" i="2"/>
  <c r="F59" i="2"/>
  <c r="R59" i="2"/>
  <c r="I44" i="2"/>
  <c r="F81" i="2"/>
  <c r="N92" i="2"/>
  <c r="U51" i="2"/>
  <c r="AP70" i="3"/>
  <c r="AP90" i="3"/>
  <c r="AP91" i="3"/>
  <c r="AB49" i="3"/>
  <c r="AP60" i="3"/>
  <c r="I22" i="3"/>
  <c r="V16" i="3"/>
  <c r="AJ31" i="3"/>
  <c r="W26" i="3"/>
  <c r="Z6" i="3"/>
  <c r="AB19" i="3"/>
  <c r="M34" i="3"/>
  <c r="H38" i="3"/>
  <c r="AA34" i="3"/>
  <c r="AO7" i="3"/>
  <c r="Q16" i="3"/>
  <c r="G37" i="3"/>
  <c r="AO20" i="3"/>
  <c r="AJ33" i="3"/>
  <c r="AP37" i="3"/>
  <c r="H11" i="3"/>
  <c r="AB34" i="3"/>
  <c r="H27" i="3"/>
  <c r="AI9" i="3"/>
  <c r="AN32" i="3"/>
  <c r="C12" i="3"/>
  <c r="O35" i="3"/>
  <c r="V18" i="3"/>
  <c r="S11" i="3"/>
  <c r="Q29" i="3"/>
  <c r="N35" i="3"/>
  <c r="AL22" i="3"/>
  <c r="AJ15" i="3"/>
  <c r="AN34" i="3"/>
  <c r="AE42" i="3"/>
  <c r="AA21" i="3"/>
  <c r="AQ9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U18" i="3"/>
  <c r="AD27" i="3"/>
  <c r="Q13" i="3"/>
  <c r="U7" i="3"/>
  <c r="AC35" i="3"/>
  <c r="P26" i="3"/>
  <c r="AQ10" i="3"/>
  <c r="M19" i="3"/>
  <c r="AD22" i="3"/>
  <c r="AE13" i="3"/>
  <c r="U8" i="3"/>
  <c r="T29" i="3"/>
  <c r="Q8" i="3"/>
  <c r="C16" i="3"/>
  <c r="AQ14" i="3"/>
  <c r="Z26" i="3"/>
  <c r="U26" i="3"/>
  <c r="P42" i="3"/>
  <c r="AI25" i="3"/>
  <c r="I27" i="3"/>
  <c r="AL24" i="3"/>
  <c r="AK25" i="3"/>
  <c r="AG35" i="3"/>
  <c r="AD39" i="3"/>
  <c r="F90" i="2"/>
  <c r="X88" i="2"/>
  <c r="Q64" i="2"/>
  <c r="F91" i="2"/>
  <c r="V104" i="2"/>
  <c r="J85" i="2"/>
  <c r="M90" i="2"/>
  <c r="V109" i="2"/>
  <c r="P49" i="2"/>
  <c r="H57" i="2"/>
  <c r="T74" i="2"/>
  <c r="N67" i="2"/>
  <c r="K58" i="2"/>
  <c r="K63" i="2"/>
  <c r="O62" i="2"/>
  <c r="S98" i="2"/>
  <c r="AB88" i="3"/>
  <c r="AP83" i="3"/>
  <c r="AB75" i="3"/>
  <c r="AB97" i="3"/>
  <c r="AP69" i="3"/>
  <c r="K13" i="3"/>
  <c r="L32" i="3"/>
  <c r="AK31" i="3"/>
  <c r="T24" i="3"/>
  <c r="N15" i="3"/>
  <c r="AN31" i="3"/>
  <c r="Z8" i="3"/>
  <c r="G41" i="3"/>
  <c r="Q27" i="3"/>
  <c r="P41" i="3"/>
  <c r="AH17" i="3"/>
  <c r="I16" i="3"/>
  <c r="AP13" i="3"/>
  <c r="AJ24" i="3"/>
  <c r="AH15" i="3"/>
  <c r="AM8" i="3"/>
  <c r="AP23" i="3"/>
  <c r="M36" i="3"/>
  <c r="K35" i="3"/>
  <c r="AE7" i="3"/>
  <c r="AC37" i="3"/>
  <c r="N10" i="3"/>
  <c r="M25" i="3"/>
  <c r="AI10" i="3"/>
  <c r="V29" i="3"/>
  <c r="C17" i="3"/>
  <c r="Y38" i="3"/>
  <c r="AJ14" i="3"/>
  <c r="AB30" i="3"/>
  <c r="R20" i="3"/>
  <c r="I41" i="3"/>
  <c r="AE18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A20" i="3"/>
  <c r="K17" i="3"/>
  <c r="K34" i="3"/>
  <c r="K32" i="3"/>
  <c r="AO37" i="3"/>
  <c r="Z33" i="3"/>
  <c r="AG38" i="3"/>
  <c r="AB33" i="3"/>
  <c r="AE6" i="3"/>
  <c r="S21" i="3"/>
  <c r="AA13" i="3"/>
  <c r="O25" i="3"/>
  <c r="AJ39" i="3"/>
  <c r="AI8" i="3"/>
  <c r="D47" i="3"/>
  <c r="I32" i="3"/>
  <c r="K22" i="3"/>
  <c r="S18" i="3"/>
  <c r="C57" i="2"/>
  <c r="L53" i="2"/>
  <c r="N74" i="2"/>
  <c r="C105" i="2"/>
  <c r="G59" i="2"/>
  <c r="P53" i="2"/>
  <c r="W82" i="2"/>
  <c r="G54" i="2"/>
  <c r="O52" i="2"/>
  <c r="D56" i="2"/>
  <c r="S111" i="2"/>
  <c r="C51" i="2"/>
  <c r="Q51" i="2"/>
  <c r="G60" i="2"/>
  <c r="V83" i="2"/>
  <c r="V79" i="2"/>
  <c r="AP96" i="3"/>
  <c r="AB93" i="3"/>
  <c r="AP47" i="3"/>
  <c r="C49" i="3"/>
  <c r="AP73" i="3"/>
  <c r="AI6" i="3"/>
  <c r="AC18" i="3"/>
  <c r="M17" i="3"/>
  <c r="J41" i="3"/>
  <c r="X31" i="3"/>
  <c r="AH33" i="3"/>
  <c r="V24" i="3"/>
  <c r="W37" i="3"/>
  <c r="X7" i="3"/>
  <c r="N19" i="3"/>
  <c r="Y6" i="3"/>
  <c r="AG17" i="3"/>
  <c r="W40" i="3"/>
  <c r="O5" i="3"/>
  <c r="W29" i="3"/>
  <c r="V41" i="3"/>
  <c r="W15" i="3"/>
  <c r="AJ16" i="3"/>
  <c r="AC27" i="3"/>
  <c r="AG27" i="3"/>
  <c r="AM12" i="3"/>
  <c r="AD32" i="3"/>
  <c r="Q26" i="3"/>
  <c r="P20" i="3"/>
  <c r="AM5" i="3"/>
  <c r="AH7" i="3"/>
  <c r="AI38" i="3"/>
  <c r="AK22" i="3"/>
  <c r="AG10" i="3"/>
  <c r="P18" i="3"/>
  <c r="AC8" i="3"/>
  <c r="V25" i="3"/>
  <c r="C30" i="3"/>
  <c r="Q5" i="3"/>
  <c r="W16" i="3"/>
  <c r="F51" i="2"/>
  <c r="R111" i="2"/>
  <c r="J73" i="2"/>
  <c r="L98" i="2"/>
  <c r="U89" i="2"/>
  <c r="M72" i="2"/>
  <c r="U106" i="2"/>
  <c r="C104" i="2"/>
  <c r="D67" i="2"/>
  <c r="F77" i="2"/>
  <c r="R65" i="2"/>
  <c r="N44" i="2"/>
  <c r="H97" i="2"/>
  <c r="R50" i="2"/>
  <c r="F82" i="2"/>
  <c r="N77" i="2"/>
  <c r="AP75" i="3"/>
  <c r="AP59" i="3"/>
  <c r="AP92" i="3"/>
  <c r="AP50" i="3"/>
  <c r="AB85" i="3"/>
  <c r="AN8" i="3"/>
  <c r="O39" i="3"/>
  <c r="O23" i="3"/>
  <c r="T25" i="3"/>
  <c r="AL27" i="3"/>
  <c r="AK37" i="3"/>
  <c r="AK12" i="3"/>
  <c r="H28" i="3"/>
  <c r="C38" i="3"/>
  <c r="AQ38" i="3"/>
  <c r="Z25" i="3"/>
  <c r="W21" i="3"/>
  <c r="L33" i="3"/>
  <c r="X14" i="3"/>
  <c r="AQ8" i="3"/>
  <c r="L8" i="3"/>
  <c r="R15" i="3"/>
  <c r="P13" i="3"/>
  <c r="T35" i="3"/>
  <c r="M32" i="3"/>
  <c r="AK27" i="3"/>
  <c r="G40" i="3"/>
  <c r="AQ36" i="3"/>
  <c r="AI5" i="3"/>
  <c r="O18" i="3"/>
  <c r="N20" i="3"/>
  <c r="S40" i="3"/>
  <c r="H9" i="3"/>
  <c r="J7" i="3"/>
  <c r="AP9" i="3"/>
  <c r="AK9" i="3"/>
  <c r="AC6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E28" i="3"/>
  <c r="G49" i="3"/>
  <c r="AO28" i="3"/>
  <c r="AK35" i="3"/>
  <c r="AM7" i="3"/>
  <c r="J6" i="3"/>
  <c r="R27" i="3"/>
  <c r="W23" i="3"/>
  <c r="N7" i="3"/>
  <c r="Q24" i="3"/>
  <c r="J30" i="3"/>
  <c r="AC30" i="3"/>
  <c r="Y15" i="3"/>
  <c r="AC38" i="3"/>
  <c r="N37" i="3"/>
  <c r="I31" i="3"/>
  <c r="AM38" i="3"/>
  <c r="AL35" i="3"/>
  <c r="AB16" i="3"/>
  <c r="R12" i="3"/>
  <c r="AK18" i="3"/>
  <c r="AD29" i="3"/>
  <c r="AB15" i="3"/>
  <c r="W8" i="3"/>
  <c r="H33" i="3"/>
  <c r="AE15" i="3"/>
  <c r="X42" i="3"/>
  <c r="AH8" i="3"/>
  <c r="V15" i="3"/>
  <c r="AA38" i="3"/>
  <c r="AJ7" i="3"/>
  <c r="AA27" i="3"/>
  <c r="W17" i="3"/>
  <c r="X11" i="3"/>
  <c r="R16" i="3"/>
  <c r="AQ20" i="3"/>
  <c r="AE33" i="3"/>
  <c r="AI18" i="3"/>
  <c r="S5" i="3"/>
  <c r="P9" i="3"/>
  <c r="AI64" i="3"/>
  <c r="AI58" i="3"/>
  <c r="H81" i="3"/>
  <c r="AN75" i="3"/>
  <c r="AN96" i="3"/>
  <c r="T49" i="3"/>
  <c r="N85" i="3"/>
  <c r="Z49" i="3"/>
  <c r="J48" i="3"/>
  <c r="K79" i="3"/>
  <c r="W48" i="3"/>
  <c r="AL68" i="3"/>
  <c r="U60" i="3"/>
  <c r="Q76" i="3"/>
  <c r="K63" i="3"/>
  <c r="AH76" i="3"/>
  <c r="Y80" i="3"/>
  <c r="R84" i="3"/>
  <c r="AG58" i="3"/>
  <c r="J69" i="3"/>
  <c r="T54" i="3"/>
  <c r="U66" i="3"/>
  <c r="V96" i="3"/>
  <c r="I81" i="3"/>
  <c r="H77" i="3"/>
  <c r="W50" i="3"/>
  <c r="AN76" i="3"/>
  <c r="AH48" i="3"/>
  <c r="T84" i="3"/>
  <c r="AK80" i="3"/>
  <c r="AI63" i="3"/>
  <c r="L88" i="3"/>
  <c r="AJ70" i="3"/>
  <c r="L56" i="3"/>
  <c r="P79" i="3"/>
  <c r="AE47" i="3"/>
  <c r="Q60" i="3"/>
  <c r="AE49" i="3"/>
  <c r="U85" i="3"/>
  <c r="T65" i="3"/>
  <c r="W74" i="3"/>
  <c r="N84" i="3"/>
  <c r="AM75" i="3"/>
  <c r="AK95" i="3"/>
  <c r="AC83" i="3"/>
  <c r="AA89" i="3"/>
  <c r="AA58" i="3"/>
  <c r="Z93" i="3"/>
  <c r="AA97" i="3"/>
  <c r="Z73" i="3"/>
  <c r="AA55" i="3"/>
  <c r="N96" i="3"/>
  <c r="Z47" i="3"/>
  <c r="AG86" i="3"/>
  <c r="W82" i="3"/>
  <c r="K86" i="3"/>
  <c r="U74" i="3"/>
  <c r="K75" i="3"/>
  <c r="AH74" i="3"/>
  <c r="Y56" i="3"/>
  <c r="AL85" i="3"/>
  <c r="I68" i="3"/>
  <c r="P76" i="3"/>
  <c r="V85" i="3"/>
  <c r="Z55" i="3"/>
  <c r="W85" i="3"/>
  <c r="AL77" i="3"/>
  <c r="U79" i="3"/>
  <c r="P94" i="3"/>
  <c r="V49" i="3"/>
  <c r="N93" i="3"/>
  <c r="AI77" i="3"/>
  <c r="N49" i="3"/>
  <c r="L92" i="3"/>
  <c r="Q85" i="3"/>
  <c r="Q57" i="3"/>
  <c r="V57" i="3"/>
  <c r="X47" i="3"/>
  <c r="AH72" i="3"/>
  <c r="W57" i="3"/>
  <c r="AM76" i="3"/>
  <c r="AG67" i="3"/>
  <c r="U65" i="3"/>
  <c r="AO83" i="3"/>
  <c r="K77" i="3"/>
  <c r="AH57" i="3"/>
  <c r="Y70" i="3"/>
  <c r="R70" i="3"/>
  <c r="K61" i="3"/>
  <c r="AE92" i="3"/>
  <c r="X70" i="3"/>
  <c r="X88" i="3"/>
  <c r="AO67" i="3"/>
  <c r="W64" i="3"/>
  <c r="K59" i="3"/>
  <c r="Z81" i="3"/>
  <c r="Y58" i="3"/>
  <c r="AE50" i="3"/>
  <c r="AK81" i="3"/>
  <c r="AE66" i="3"/>
  <c r="N94" i="3"/>
  <c r="L70" i="3"/>
  <c r="V56" i="3"/>
  <c r="AA93" i="3"/>
  <c r="T55" i="3"/>
  <c r="N78" i="3"/>
  <c r="U47" i="3"/>
  <c r="AO48" i="3"/>
  <c r="AH83" i="3"/>
  <c r="I64" i="3"/>
  <c r="AA80" i="3"/>
  <c r="U61" i="3"/>
  <c r="N87" i="3"/>
  <c r="AC94" i="3"/>
  <c r="Y85" i="3"/>
  <c r="AN69" i="3"/>
  <c r="H66" i="3"/>
  <c r="AO74" i="3"/>
  <c r="W68" i="3"/>
  <c r="I50" i="3"/>
  <c r="N69" i="3"/>
  <c r="AE64" i="3"/>
  <c r="L77" i="3"/>
  <c r="AO54" i="3"/>
  <c r="I79" i="3"/>
  <c r="N47" i="3"/>
  <c r="AM61" i="3"/>
  <c r="AG81" i="3"/>
  <c r="AO96" i="3"/>
  <c r="S54" i="3"/>
  <c r="I47" i="3"/>
  <c r="Z84" i="3"/>
  <c r="N95" i="3"/>
  <c r="X79" i="3"/>
  <c r="AM93" i="3"/>
  <c r="P75" i="3"/>
  <c r="AN79" i="3"/>
  <c r="AO65" i="3"/>
  <c r="AA50" i="3"/>
  <c r="AG87" i="3"/>
  <c r="AE61" i="3"/>
  <c r="AM84" i="3"/>
  <c r="P71" i="3"/>
  <c r="O54" i="3"/>
  <c r="P92" i="3"/>
  <c r="L72" i="3"/>
  <c r="X91" i="3"/>
  <c r="W77" i="3"/>
  <c r="N62" i="3"/>
  <c r="AM92" i="3"/>
  <c r="AN57" i="3"/>
  <c r="S94" i="3"/>
  <c r="U96" i="3"/>
  <c r="Y73" i="3"/>
  <c r="AN95" i="3"/>
  <c r="AL63" i="3"/>
  <c r="R63" i="3"/>
  <c r="V81" i="3"/>
  <c r="S88" i="3"/>
  <c r="AC93" i="3"/>
  <c r="I96" i="3"/>
  <c r="P82" i="3"/>
  <c r="T86" i="3"/>
  <c r="Z90" i="3"/>
  <c r="AA90" i="3"/>
  <c r="L80" i="3"/>
  <c r="P60" i="3"/>
  <c r="W87" i="3"/>
  <c r="N83" i="3"/>
  <c r="T80" i="3"/>
  <c r="V55" i="3"/>
  <c r="AQ62" i="3"/>
  <c r="I59" i="3"/>
  <c r="X57" i="3"/>
  <c r="T59" i="3"/>
  <c r="R95" i="3"/>
  <c r="T48" i="3"/>
  <c r="O96" i="3"/>
  <c r="AA65" i="3"/>
  <c r="O81" i="3"/>
  <c r="U68" i="3"/>
  <c r="W55" i="3"/>
  <c r="N59" i="3"/>
  <c r="AG76" i="3"/>
  <c r="AC77" i="3"/>
  <c r="AL60" i="3"/>
  <c r="AQ56" i="3"/>
  <c r="X93" i="3"/>
  <c r="T50" i="3"/>
  <c r="U54" i="3"/>
  <c r="H75" i="3"/>
  <c r="P59" i="3"/>
  <c r="Q87" i="3"/>
  <c r="AM80" i="3"/>
  <c r="L66" i="3"/>
  <c r="AE84" i="3"/>
  <c r="O47" i="3"/>
  <c r="P61" i="3"/>
  <c r="O50" i="3"/>
  <c r="V54" i="3"/>
  <c r="W78" i="3"/>
  <c r="W65" i="3"/>
  <c r="AI97" i="3"/>
  <c r="L94" i="3"/>
  <c r="Z67" i="3"/>
  <c r="Z58" i="3"/>
  <c r="W67" i="3"/>
  <c r="AG96" i="3"/>
  <c r="AH70" i="3"/>
  <c r="Y64" i="3"/>
  <c r="I54" i="3"/>
  <c r="S93" i="3"/>
  <c r="V61" i="3"/>
  <c r="U94" i="3"/>
  <c r="X56" i="3"/>
  <c r="AN88" i="3"/>
  <c r="N54" i="3"/>
  <c r="N89" i="3"/>
  <c r="V67" i="3"/>
  <c r="K94" i="3"/>
  <c r="AH94" i="3"/>
  <c r="N70" i="3"/>
  <c r="AG94" i="3"/>
  <c r="AH87" i="3"/>
  <c r="AQ60" i="3"/>
  <c r="L95" i="3"/>
  <c r="Y60" i="3"/>
  <c r="AG91" i="3"/>
  <c r="AH58" i="3"/>
  <c r="T73" i="3"/>
  <c r="AC85" i="3"/>
  <c r="N80" i="3"/>
  <c r="X72" i="3"/>
  <c r="I58" i="3"/>
  <c r="O76" i="3"/>
  <c r="AN59" i="3"/>
  <c r="Y67" i="3"/>
  <c r="AG73" i="3"/>
  <c r="K89" i="3"/>
  <c r="X80" i="3"/>
  <c r="AI69" i="3"/>
  <c r="L48" i="3"/>
  <c r="AA79" i="3"/>
  <c r="W69" i="3"/>
  <c r="AE91" i="3"/>
  <c r="AN48" i="3"/>
  <c r="W76" i="3"/>
  <c r="Y69" i="3"/>
  <c r="P66" i="3"/>
  <c r="N64" i="3"/>
  <c r="P47" i="3"/>
  <c r="X90" i="3"/>
  <c r="Y74" i="3"/>
  <c r="AH84" i="3"/>
  <c r="AL66" i="3"/>
  <c r="Z54" i="3"/>
  <c r="AH79" i="3"/>
  <c r="Z57" i="3"/>
  <c r="U95" i="3"/>
  <c r="Z96" i="3"/>
  <c r="AG71" i="3"/>
  <c r="R50" i="3"/>
  <c r="W94" i="3"/>
  <c r="Q64" i="3"/>
  <c r="I86" i="3"/>
  <c r="Y90" i="3"/>
  <c r="T95" i="3"/>
  <c r="Y88" i="3"/>
  <c r="Z89" i="3"/>
  <c r="AC87" i="3"/>
  <c r="U83" i="3"/>
  <c r="X50" i="3"/>
  <c r="Z56" i="3"/>
  <c r="L76" i="3"/>
  <c r="AL69" i="3"/>
  <c r="N66" i="3"/>
  <c r="W61" i="3"/>
  <c r="AH90" i="3"/>
  <c r="W47" i="3"/>
  <c r="V90" i="3"/>
  <c r="AL97" i="3"/>
  <c r="S63" i="3"/>
  <c r="V87" i="3"/>
  <c r="AG49" i="3"/>
  <c r="AH64" i="3"/>
  <c r="S85" i="3"/>
  <c r="H70" i="3"/>
  <c r="H91" i="3"/>
  <c r="N58" i="3"/>
  <c r="AC71" i="3"/>
  <c r="AM90" i="3"/>
  <c r="AG70" i="3"/>
  <c r="R78" i="3"/>
  <c r="Y89" i="3"/>
  <c r="W80" i="3"/>
  <c r="AI83" i="3"/>
  <c r="AA48" i="3"/>
  <c r="W62" i="3"/>
  <c r="J77" i="3"/>
  <c r="V47" i="3"/>
  <c r="AJ95" i="3"/>
  <c r="AA76" i="3"/>
  <c r="AH71" i="3"/>
  <c r="AA88" i="3"/>
  <c r="O97" i="3"/>
  <c r="P84" i="3"/>
  <c r="N76" i="3"/>
  <c r="AO82" i="3"/>
  <c r="T96" i="3"/>
  <c r="AG90" i="3"/>
  <c r="AQ73" i="3"/>
  <c r="I62" i="3"/>
  <c r="AL86" i="3"/>
  <c r="P54" i="3"/>
  <c r="T94" i="3"/>
  <c r="Y82" i="3"/>
  <c r="V77" i="3"/>
  <c r="AI61" i="3"/>
  <c r="AA82" i="3"/>
  <c r="K47" i="3"/>
  <c r="W84" i="3"/>
  <c r="U80" i="3"/>
  <c r="AL64" i="3"/>
  <c r="P85" i="3"/>
  <c r="M54" i="3"/>
  <c r="AH60" i="3"/>
  <c r="J76" i="3"/>
  <c r="N68" i="3"/>
  <c r="AH59" i="3"/>
  <c r="Z85" i="3"/>
  <c r="N61" i="3"/>
  <c r="I65" i="3"/>
  <c r="AL90" i="3"/>
  <c r="K69" i="3"/>
  <c r="M84" i="3"/>
  <c r="AE86" i="3"/>
  <c r="AG79" i="3"/>
  <c r="H94" i="3"/>
  <c r="N75" i="3"/>
  <c r="U90" i="3"/>
  <c r="AM91" i="3"/>
  <c r="S56" i="3"/>
  <c r="K56" i="3"/>
  <c r="AO47" i="3"/>
  <c r="N72" i="3"/>
  <c r="AG97" i="3"/>
  <c r="L83" i="3"/>
  <c r="W49" i="3"/>
  <c r="J58" i="3"/>
  <c r="AI91" i="3"/>
  <c r="AQ63" i="3"/>
  <c r="W86" i="3"/>
  <c r="T67" i="3"/>
  <c r="L90" i="3"/>
  <c r="N73" i="3"/>
  <c r="Q69" i="3"/>
  <c r="AO72" i="3"/>
  <c r="W71" i="3"/>
  <c r="AG47" i="3"/>
  <c r="X82" i="3"/>
  <c r="AQ61" i="3"/>
  <c r="AQ64" i="3"/>
  <c r="K82" i="3"/>
  <c r="AA64" i="3"/>
  <c r="N90" i="3"/>
  <c r="N57" i="3"/>
  <c r="P97" i="3"/>
  <c r="O56" i="3"/>
  <c r="AL84" i="3"/>
  <c r="S86" i="3"/>
  <c r="P48" i="3"/>
  <c r="M73" i="3"/>
  <c r="V93" i="3"/>
  <c r="U82" i="3"/>
  <c r="T57" i="3"/>
  <c r="AL73" i="3"/>
  <c r="W70" i="3"/>
  <c r="T70" i="3"/>
  <c r="AJ80" i="3"/>
  <c r="S77" i="3"/>
  <c r="W73" i="3"/>
  <c r="Q77" i="3"/>
  <c r="X87" i="3"/>
  <c r="W79" i="3"/>
  <c r="AQ91" i="3"/>
  <c r="AN60" i="3"/>
  <c r="V79" i="3"/>
  <c r="I80" i="3"/>
  <c r="N50" i="3"/>
  <c r="AN62" i="3"/>
  <c r="AM48" i="3"/>
  <c r="N67" i="3"/>
  <c r="L54" i="3"/>
  <c r="L91" i="3"/>
  <c r="O72" i="3"/>
  <c r="W88" i="3"/>
  <c r="AG77" i="3"/>
  <c r="T72" i="3"/>
  <c r="AO94" i="3"/>
  <c r="AN47" i="3"/>
  <c r="AK76" i="3"/>
  <c r="V73" i="3"/>
  <c r="AO91" i="3"/>
  <c r="AN87" i="3"/>
  <c r="S62" i="3"/>
  <c r="AC64" i="3"/>
  <c r="AE76" i="3"/>
  <c r="AG57" i="3"/>
  <c r="O85" i="3"/>
  <c r="AE72" i="3"/>
  <c r="W56" i="3"/>
  <c r="Z76" i="3"/>
  <c r="Q74" i="3"/>
  <c r="M92" i="3"/>
  <c r="R74" i="3"/>
  <c r="AC74" i="3"/>
  <c r="AA91" i="3"/>
  <c r="AA72" i="3"/>
  <c r="N56" i="3"/>
  <c r="T69" i="3"/>
  <c r="AG66" i="3"/>
  <c r="AL67" i="3"/>
  <c r="Y49" i="3"/>
  <c r="N65" i="3"/>
  <c r="I88" i="3"/>
  <c r="AA71" i="3"/>
  <c r="AG63" i="3"/>
  <c r="O65" i="3"/>
  <c r="AM85" i="3"/>
  <c r="L89" i="3"/>
  <c r="P90" i="3"/>
  <c r="AE48" i="3"/>
  <c r="AL82" i="3"/>
  <c r="N81" i="3"/>
  <c r="AL81" i="3"/>
  <c r="Y55" i="3"/>
  <c r="AK90" i="3"/>
  <c r="M55" i="3"/>
  <c r="W90" i="3"/>
  <c r="AG78" i="3"/>
  <c r="AQ49" i="3"/>
  <c r="U59" i="3"/>
  <c r="Y72" i="3"/>
  <c r="W91" i="3"/>
  <c r="AL88" i="3"/>
  <c r="AH95" i="3"/>
  <c r="Z50" i="3"/>
  <c r="AL75" i="3"/>
  <c r="Z59" i="3"/>
  <c r="N60" i="3"/>
  <c r="W54" i="3"/>
  <c r="AH92" i="3"/>
  <c r="I91" i="3"/>
  <c r="Z95" i="3"/>
  <c r="W72" i="3"/>
  <c r="AA68" i="3"/>
  <c r="T56" i="3"/>
  <c r="AG89" i="3"/>
  <c r="Y77" i="3"/>
  <c r="T85" i="3"/>
  <c r="T83" i="3"/>
  <c r="V76" i="3"/>
  <c r="W96" i="3"/>
  <c r="AL96" i="3"/>
  <c r="Y94" i="3"/>
  <c r="N91" i="3"/>
  <c r="AH86" i="3"/>
  <c r="Y95" i="3"/>
  <c r="I71" i="3"/>
  <c r="AH81" i="3"/>
  <c r="I94" i="3"/>
  <c r="V82" i="3"/>
  <c r="P95" i="3"/>
  <c r="N74" i="3"/>
  <c r="AG72" i="3"/>
  <c r="Z80" i="3"/>
  <c r="N77" i="3"/>
  <c r="AL83" i="3"/>
  <c r="AG56" i="3"/>
  <c r="Y63" i="3"/>
  <c r="L64" i="3"/>
  <c r="AH89" i="3"/>
  <c r="N97" i="3"/>
  <c r="U77" i="3"/>
  <c r="AH67" i="3"/>
  <c r="K87" i="3"/>
  <c r="Y65" i="3"/>
  <c r="T88" i="3"/>
  <c r="V89" i="3"/>
  <c r="L71" i="3"/>
  <c r="T81" i="3"/>
  <c r="I61" i="3"/>
  <c r="N63" i="3"/>
  <c r="AH47" i="3"/>
  <c r="N55" i="3"/>
  <c r="K95" i="3"/>
  <c r="P65" i="3"/>
  <c r="AA84" i="3"/>
  <c r="V75" i="3"/>
  <c r="AH97" i="3"/>
  <c r="I83" i="3"/>
  <c r="Z69" i="3"/>
  <c r="AH69" i="3"/>
  <c r="N86" i="3"/>
  <c r="N71" i="3"/>
  <c r="N92" i="3"/>
  <c r="L55" i="3"/>
  <c r="AI48" i="3"/>
  <c r="V68" i="3"/>
  <c r="U50" i="3"/>
  <c r="Y50" i="3"/>
  <c r="AJ61" i="3"/>
  <c r="AL61" i="3"/>
  <c r="R54" i="3"/>
  <c r="I77" i="3"/>
  <c r="K62" i="3"/>
  <c r="AL91" i="3"/>
  <c r="N79" i="3"/>
  <c r="AM66" i="3"/>
  <c r="J90" i="3"/>
  <c r="W89" i="3"/>
  <c r="N82" i="3"/>
  <c r="AL70" i="3"/>
  <c r="T66" i="3"/>
  <c r="Y76" i="3"/>
  <c r="AE57" i="3"/>
  <c r="AO60" i="3"/>
  <c r="AA69" i="3"/>
  <c r="T90" i="3"/>
  <c r="AH80" i="3"/>
  <c r="K96" i="3"/>
  <c r="M56" i="3"/>
  <c r="O68" i="3"/>
  <c r="K70" i="3"/>
  <c r="T68" i="3"/>
  <c r="M94" i="3"/>
  <c r="AK85" i="3"/>
  <c r="K72" i="3"/>
  <c r="T58" i="3"/>
  <c r="I57" i="3"/>
  <c r="AI82" i="3"/>
  <c r="T75" i="3"/>
  <c r="N88" i="3"/>
  <c r="K84" i="3"/>
  <c r="AO62" i="3"/>
  <c r="AH96" i="3"/>
  <c r="X94" i="3"/>
  <c r="N48" i="3"/>
  <c r="AH55" i="3"/>
  <c r="AK54" i="3"/>
  <c r="L62" i="3"/>
  <c r="S70" i="3" l="1"/>
  <c r="S76" i="3"/>
  <c r="H71" i="3"/>
  <c r="L47" i="3"/>
  <c r="O59" i="3"/>
  <c r="AI89" i="3"/>
  <c r="AE80" i="3"/>
  <c r="J68" i="3"/>
  <c r="M67" i="3"/>
  <c r="Z92" i="3"/>
  <c r="AN70" i="3"/>
  <c r="AG93" i="3"/>
  <c r="S81" i="3"/>
  <c r="V95" i="3"/>
  <c r="Z88" i="3"/>
  <c r="AG75" i="3"/>
  <c r="P78" i="3"/>
  <c r="AM50" i="3"/>
  <c r="H61" i="3"/>
  <c r="L86" i="3"/>
  <c r="L73" i="3"/>
  <c r="O91" i="3"/>
  <c r="AJ84" i="3"/>
  <c r="Q63" i="3"/>
  <c r="M83" i="3"/>
  <c r="AL54" i="3"/>
  <c r="Q96" i="3"/>
  <c r="X92" i="3"/>
  <c r="U63" i="3"/>
  <c r="U97" i="3"/>
  <c r="AL56" i="3"/>
  <c r="P68" i="3"/>
  <c r="M80" i="3"/>
  <c r="AG92" i="3"/>
  <c r="AA57" i="3"/>
  <c r="AK57" i="3"/>
  <c r="AJ91" i="3"/>
  <c r="M65" i="3"/>
  <c r="M71" i="3"/>
  <c r="W66" i="3"/>
  <c r="AK71" i="3"/>
  <c r="Q70" i="3"/>
  <c r="AC68" i="3"/>
  <c r="R48" i="3"/>
  <c r="V80" i="3"/>
  <c r="Y78" i="3"/>
  <c r="AC95" i="3"/>
  <c r="J54" i="3"/>
  <c r="AK74" i="3"/>
  <c r="AI73" i="3"/>
  <c r="M86" i="3"/>
  <c r="AA96" i="3"/>
  <c r="M97" i="3"/>
  <c r="H89" i="3"/>
  <c r="J72" i="3"/>
  <c r="P86" i="3"/>
  <c r="J87" i="3"/>
  <c r="AM86" i="3"/>
  <c r="R88" i="3"/>
  <c r="U62" i="3"/>
  <c r="AQ59" i="3"/>
  <c r="AL58" i="3"/>
  <c r="AI78" i="3"/>
  <c r="L68" i="3"/>
  <c r="H82" i="3"/>
  <c r="T63" i="3"/>
  <c r="AM78" i="3"/>
  <c r="S66" i="3"/>
  <c r="I97" i="3"/>
  <c r="AQ88" i="3"/>
  <c r="AE88" i="3"/>
  <c r="K97" i="3"/>
  <c r="AK77" i="3"/>
  <c r="AK69" i="3"/>
  <c r="L59" i="3"/>
  <c r="O66" i="3"/>
  <c r="J85" i="3"/>
  <c r="H58" i="3"/>
  <c r="AK96" i="3"/>
  <c r="L82" i="3"/>
  <c r="J56" i="3"/>
  <c r="AE85" i="3"/>
  <c r="AJ67" i="3"/>
  <c r="AI75" i="3"/>
  <c r="AO97" i="3"/>
  <c r="S96" i="3"/>
  <c r="AE68" i="3"/>
  <c r="L50" i="3"/>
  <c r="AE96" i="3"/>
  <c r="J64" i="3"/>
  <c r="AO68" i="3"/>
  <c r="X65" i="3"/>
  <c r="AE90" i="3"/>
  <c r="AE56" i="3"/>
  <c r="Z65" i="3"/>
  <c r="L79" i="3"/>
  <c r="AE83" i="3"/>
  <c r="L58" i="3"/>
  <c r="Q89" i="3"/>
  <c r="J59" i="3"/>
  <c r="R83" i="3"/>
  <c r="AM64" i="3"/>
  <c r="J75" i="3"/>
  <c r="O70" i="3"/>
  <c r="X76" i="3"/>
  <c r="R49" i="3"/>
  <c r="U93" i="3"/>
  <c r="S60" i="3"/>
  <c r="S83" i="3"/>
  <c r="AM63" i="3"/>
  <c r="Y48" i="3"/>
  <c r="K92" i="3"/>
  <c r="M95" i="3"/>
  <c r="AO50" i="3"/>
  <c r="W75" i="3"/>
  <c r="S47" i="3"/>
  <c r="O63" i="3"/>
  <c r="P88" i="3"/>
  <c r="AC90" i="3"/>
  <c r="Z48" i="3"/>
  <c r="AK87" i="3"/>
  <c r="V66" i="3"/>
  <c r="Y61" i="3"/>
  <c r="I93" i="3"/>
  <c r="AH50" i="3"/>
  <c r="J73" i="3"/>
  <c r="Z82" i="3"/>
  <c r="I87" i="3"/>
  <c r="T47" i="3"/>
  <c r="J70" i="3"/>
  <c r="AN67" i="3"/>
  <c r="P56" i="3"/>
  <c r="AI68" i="3"/>
  <c r="H55" i="3"/>
  <c r="V69" i="3"/>
  <c r="X97" i="3"/>
  <c r="AJ81" i="3"/>
  <c r="AQ95" i="3"/>
  <c r="M64" i="3"/>
  <c r="V64" i="3"/>
  <c r="AL50" i="3"/>
  <c r="AQ81" i="3"/>
  <c r="V71" i="3"/>
  <c r="Z86" i="3"/>
  <c r="Q61" i="3"/>
  <c r="AN77" i="3"/>
  <c r="H65" i="3"/>
  <c r="AA56" i="3"/>
  <c r="P67" i="3"/>
  <c r="Y93" i="3"/>
  <c r="AQ48" i="3"/>
  <c r="X61" i="3"/>
  <c r="M66" i="3"/>
  <c r="AL47" i="3"/>
  <c r="M72" i="3"/>
  <c r="AJ58" i="3"/>
  <c r="I55" i="3"/>
  <c r="AG74" i="3"/>
  <c r="AC69" i="3"/>
  <c r="AI95" i="3"/>
  <c r="P62" i="3"/>
  <c r="W60" i="3"/>
  <c r="AJ47" i="3"/>
  <c r="S59" i="3"/>
  <c r="AN72" i="3"/>
  <c r="AO89" i="3"/>
  <c r="H74" i="3"/>
  <c r="AH61" i="3"/>
  <c r="AK65" i="3"/>
  <c r="V72" i="3"/>
  <c r="AN90" i="3"/>
  <c r="S79" i="3"/>
  <c r="M69" i="3"/>
  <c r="AH77" i="3"/>
  <c r="AH73" i="3"/>
  <c r="AC50" i="3"/>
  <c r="P96" i="3"/>
  <c r="J94" i="3"/>
  <c r="W93" i="3"/>
  <c r="AM72" i="3"/>
  <c r="V86" i="3"/>
  <c r="U91" i="3"/>
  <c r="AQ70" i="3"/>
  <c r="W97" i="3"/>
  <c r="AJ64" i="3"/>
  <c r="O94" i="3"/>
  <c r="L57" i="3"/>
  <c r="V88" i="3"/>
  <c r="T93" i="3"/>
  <c r="V84" i="3"/>
  <c r="V50" i="3"/>
  <c r="T76" i="3"/>
  <c r="AG80" i="3"/>
  <c r="P73" i="3"/>
  <c r="R66" i="3"/>
  <c r="Q80" i="3"/>
  <c r="AO61" i="3"/>
  <c r="AL49" i="3"/>
  <c r="O93" i="3"/>
  <c r="I72" i="3"/>
  <c r="AL74" i="3"/>
  <c r="AC75" i="3"/>
  <c r="AQ79" i="3"/>
  <c r="AQ65" i="3"/>
  <c r="AQ74" i="3"/>
  <c r="H97" i="3"/>
  <c r="V92" i="3"/>
  <c r="U86" i="3"/>
  <c r="R93" i="3"/>
  <c r="J92" i="3"/>
  <c r="L75" i="3"/>
  <c r="O48" i="3"/>
  <c r="X89" i="3"/>
  <c r="AM88" i="3"/>
  <c r="S49" i="3"/>
  <c r="R71" i="3"/>
  <c r="AQ55" i="3"/>
  <c r="AI79" i="3"/>
  <c r="P89" i="3"/>
  <c r="O79" i="3"/>
  <c r="P70" i="3"/>
  <c r="AJ56" i="3"/>
  <c r="W58" i="3"/>
  <c r="AO90" i="3"/>
  <c r="I89" i="3"/>
  <c r="AH63" i="3"/>
  <c r="X85" i="3"/>
  <c r="T89" i="3"/>
  <c r="H73" i="3"/>
  <c r="Q47" i="3"/>
  <c r="W92" i="3"/>
  <c r="AG59" i="3"/>
  <c r="X55" i="3"/>
  <c r="Z61" i="3"/>
  <c r="R72" i="3"/>
  <c r="AL59" i="3"/>
  <c r="AM82" i="3"/>
  <c r="AA66" i="3"/>
  <c r="Y57" i="3"/>
  <c r="X71" i="3"/>
  <c r="R77" i="3"/>
  <c r="AL55" i="3"/>
  <c r="M90" i="3"/>
  <c r="R97" i="3"/>
  <c r="O64" i="3"/>
  <c r="I78" i="3"/>
  <c r="W59" i="3"/>
  <c r="Z70" i="3"/>
  <c r="Y96" i="3"/>
  <c r="V97" i="3"/>
  <c r="AJ54" i="3"/>
  <c r="K54" i="3"/>
  <c r="O83" i="3"/>
  <c r="P50" i="3"/>
  <c r="AO64" i="3"/>
  <c r="V70" i="3"/>
  <c r="Z60" i="3"/>
  <c r="AG65" i="3"/>
  <c r="AG84" i="3"/>
  <c r="AG64" i="3"/>
  <c r="Z79" i="3"/>
  <c r="K74" i="3"/>
  <c r="R75" i="3"/>
  <c r="P91" i="3"/>
  <c r="S89" i="3"/>
  <c r="AE62" i="3"/>
  <c r="AK50" i="3"/>
  <c r="K81" i="3"/>
  <c r="AO75" i="3"/>
  <c r="I85" i="3"/>
  <c r="P83" i="3"/>
  <c r="AM94" i="3"/>
  <c r="P49" i="3"/>
  <c r="AK70" i="3"/>
  <c r="O73" i="3"/>
  <c r="J62" i="3"/>
  <c r="O90" i="3"/>
  <c r="AG61" i="3"/>
  <c r="Z75" i="3"/>
  <c r="Z87" i="3"/>
  <c r="AI56" i="3"/>
  <c r="P87" i="3"/>
  <c r="AA83" i="3"/>
  <c r="H96" i="3"/>
  <c r="P93" i="3"/>
  <c r="AE69" i="3"/>
  <c r="J50" i="3"/>
  <c r="Y59" i="3"/>
  <c r="V60" i="3"/>
  <c r="Q84" i="3"/>
  <c r="AC47" i="3"/>
  <c r="AH91" i="3"/>
  <c r="M63" i="3"/>
  <c r="O82" i="3"/>
  <c r="AH65" i="3"/>
  <c r="I90" i="3"/>
  <c r="X96" i="3"/>
  <c r="U75" i="3"/>
  <c r="I63" i="3"/>
  <c r="L74" i="3"/>
  <c r="L85" i="3"/>
  <c r="AA77" i="3"/>
  <c r="H59" i="3"/>
  <c r="L87" i="3"/>
  <c r="AN93" i="3"/>
  <c r="O89" i="3"/>
  <c r="AA62" i="3"/>
  <c r="AH75" i="3"/>
  <c r="K71" i="3"/>
  <c r="T82" i="3"/>
  <c r="AN55" i="3"/>
  <c r="Q83" i="3"/>
  <c r="U55" i="3"/>
  <c r="AJ68" i="3"/>
  <c r="AJ62" i="3"/>
  <c r="K76" i="3"/>
  <c r="AN56" i="3"/>
  <c r="Z71" i="3"/>
  <c r="AA67" i="3"/>
  <c r="AC62" i="3"/>
  <c r="AQ68" i="3"/>
  <c r="U70" i="3"/>
  <c r="AJ92" i="3"/>
  <c r="AH93" i="3"/>
  <c r="P77" i="3"/>
  <c r="AN97" i="3"/>
  <c r="AC89" i="3"/>
  <c r="U89" i="3"/>
  <c r="K57" i="3"/>
  <c r="W95" i="3"/>
  <c r="AO57" i="3"/>
  <c r="AK88" i="3"/>
  <c r="V94" i="3"/>
  <c r="AC49" i="3"/>
  <c r="AI67" i="3"/>
  <c r="AC80" i="3"/>
  <c r="U49" i="3"/>
  <c r="AE87" i="3"/>
  <c r="AM89" i="3"/>
  <c r="AM58" i="3"/>
  <c r="Y83" i="3"/>
  <c r="X83" i="3"/>
  <c r="AG82" i="3"/>
  <c r="J95" i="3"/>
  <c r="M59" i="3"/>
  <c r="S87" i="3"/>
  <c r="AL93" i="3"/>
  <c r="AQ72" i="3"/>
  <c r="Z64" i="3"/>
  <c r="I48" i="3"/>
  <c r="AO69" i="3"/>
  <c r="Q71" i="3"/>
  <c r="T79" i="3"/>
  <c r="O77" i="3"/>
  <c r="AK67" i="3"/>
  <c r="AI92" i="3"/>
  <c r="Q54" i="3"/>
  <c r="O57" i="3"/>
  <c r="J81" i="3"/>
  <c r="AC91" i="3"/>
  <c r="Y47" i="3"/>
  <c r="AJ60" i="3"/>
  <c r="J71" i="3"/>
  <c r="AQ94" i="3"/>
  <c r="M49" i="3"/>
  <c r="AL92" i="3"/>
  <c r="AH85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J73" i="3"/>
  <c r="AK92" i="3"/>
  <c r="AA78" i="3"/>
  <c r="P74" i="3"/>
  <c r="T77" i="3"/>
  <c r="X66" i="3"/>
  <c r="AM54" i="3"/>
  <c r="S50" i="3"/>
  <c r="R65" i="3"/>
  <c r="V58" i="3"/>
  <c r="AE79" i="3"/>
  <c r="AH56" i="3"/>
  <c r="AA60" i="3"/>
  <c r="J89" i="3"/>
  <c r="J79" i="3"/>
  <c r="AQ54" i="3"/>
  <c r="X77" i="3"/>
  <c r="AA61" i="3"/>
  <c r="J57" i="3"/>
  <c r="K83" i="3"/>
  <c r="AH62" i="3"/>
  <c r="AL95" i="3"/>
  <c r="I60" i="3"/>
  <c r="T60" i="3"/>
  <c r="M75" i="3"/>
  <c r="H54" i="3"/>
  <c r="AK78" i="3"/>
  <c r="AI59" i="3"/>
  <c r="AI81" i="3"/>
  <c r="AE78" i="3"/>
  <c r="S91" i="3"/>
  <c r="W63" i="3"/>
  <c r="K93" i="3"/>
  <c r="AH66" i="3"/>
  <c r="R47" i="3"/>
  <c r="AL71" i="3"/>
  <c r="K60" i="3"/>
  <c r="AE59" i="3"/>
  <c r="W81" i="3"/>
  <c r="U73" i="3"/>
  <c r="AJ59" i="3"/>
  <c r="K55" i="3"/>
  <c r="I49" i="3"/>
  <c r="K64" i="3"/>
  <c r="AQ78" i="3"/>
  <c r="AC57" i="3"/>
  <c r="K91" i="3"/>
  <c r="AA85" i="3"/>
  <c r="AI94" i="3"/>
  <c r="Q88" i="3"/>
  <c r="L78" i="3"/>
  <c r="AJ69" i="3"/>
  <c r="AO78" i="3"/>
  <c r="K58" i="3"/>
  <c r="L97" i="3"/>
  <c r="L65" i="3"/>
  <c r="J47" i="3"/>
  <c r="L61" i="3"/>
  <c r="AG62" i="3"/>
  <c r="Y54" i="3"/>
  <c r="S55" i="3"/>
  <c r="Y62" i="3"/>
  <c r="AJ83" i="3"/>
  <c r="AQ96" i="3"/>
  <c r="H78" i="3"/>
  <c r="AK61" i="3"/>
  <c r="AJ87" i="3"/>
  <c r="AJ93" i="3"/>
  <c r="X78" i="3"/>
  <c r="L67" i="3"/>
  <c r="H64" i="3"/>
  <c r="AE82" i="3"/>
  <c r="H48" i="3"/>
  <c r="U56" i="3"/>
  <c r="Z74" i="3"/>
  <c r="AJ96" i="3"/>
  <c r="Y75" i="3"/>
  <c r="AH68" i="3"/>
  <c r="AN74" i="3"/>
  <c r="AN92" i="3"/>
  <c r="AQ67" i="3"/>
  <c r="AI93" i="3"/>
  <c r="P57" i="3"/>
  <c r="AN85" i="3"/>
  <c r="X73" i="3"/>
  <c r="V65" i="3"/>
  <c r="AA54" i="3"/>
  <c r="AL65" i="3"/>
  <c r="S78" i="3"/>
  <c r="X69" i="3"/>
  <c r="O88" i="3"/>
  <c r="AI74" i="3"/>
  <c r="AO59" i="3"/>
  <c r="AG68" i="3"/>
  <c r="I56" i="3"/>
  <c r="AK58" i="3"/>
  <c r="V63" i="3"/>
  <c r="AL62" i="3"/>
  <c r="Q56" i="3"/>
  <c r="AI76" i="3"/>
  <c r="H88" i="3"/>
  <c r="O60" i="3"/>
  <c r="S72" i="3"/>
  <c r="AC84" i="3"/>
  <c r="AG88" i="3"/>
  <c r="Y86" i="3"/>
  <c r="H68" i="3"/>
  <c r="AE75" i="3"/>
  <c r="AE55" i="3"/>
  <c r="AO86" i="3"/>
  <c r="X67" i="3"/>
  <c r="U64" i="3"/>
  <c r="AL87" i="3"/>
  <c r="T62" i="3"/>
  <c r="I76" i="3"/>
  <c r="J91" i="3"/>
  <c r="M96" i="3"/>
  <c r="AI84" i="3"/>
  <c r="J80" i="3"/>
  <c r="P58" i="3"/>
  <c r="U48" i="3"/>
  <c r="K90" i="3"/>
  <c r="AN49" i="3"/>
  <c r="S80" i="3"/>
  <c r="S69" i="3"/>
  <c r="H69" i="3"/>
  <c r="M93" i="3"/>
  <c r="U58" i="3"/>
  <c r="S65" i="3"/>
  <c r="AJ50" i="3"/>
  <c r="AQ82" i="3"/>
  <c r="AG95" i="3"/>
  <c r="Y91" i="3"/>
  <c r="AM56" i="3"/>
  <c r="AA63" i="3"/>
  <c r="H93" i="3"/>
  <c r="AA86" i="3"/>
  <c r="AL79" i="3"/>
  <c r="AO80" i="3"/>
  <c r="P72" i="3"/>
  <c r="AA75" i="3"/>
  <c r="L69" i="3"/>
  <c r="S73" i="3"/>
  <c r="Q86" i="3"/>
  <c r="AC72" i="3"/>
  <c r="AG85" i="3"/>
  <c r="U69" i="3"/>
  <c r="AJ76" i="3"/>
  <c r="S75" i="3"/>
  <c r="U84" i="3"/>
  <c r="AL94" i="3"/>
  <c r="Z72" i="3"/>
  <c r="Z68" i="3"/>
  <c r="X86" i="3"/>
  <c r="AI54" i="3"/>
  <c r="AI96" i="3"/>
  <c r="L84" i="3"/>
  <c r="H67" i="3"/>
  <c r="AJ82" i="3"/>
  <c r="AA81" i="3"/>
  <c r="Q93" i="3"/>
  <c r="AC79" i="3"/>
  <c r="R79" i="3"/>
  <c r="O92" i="3"/>
  <c r="Q66" i="3"/>
  <c r="AG83" i="3"/>
  <c r="S84" i="3"/>
  <c r="Z63" i="3"/>
  <c r="AA92" i="3"/>
  <c r="I66" i="3"/>
  <c r="AJ79" i="3"/>
  <c r="Y79" i="3"/>
  <c r="AA74" i="3"/>
  <c r="AM62" i="3"/>
  <c r="AC48" i="3"/>
  <c r="H50" i="3"/>
  <c r="I84" i="3"/>
  <c r="AN84" i="3"/>
  <c r="I74" i="3"/>
  <c r="AG55" i="3"/>
  <c r="U92" i="3"/>
  <c r="AN66" i="3"/>
  <c r="Y92" i="3"/>
  <c r="K78" i="3"/>
  <c r="AM79" i="3"/>
  <c r="AL48" i="3"/>
  <c r="AQ93" i="3"/>
  <c r="J74" i="3"/>
  <c r="Q75" i="3"/>
  <c r="AA87" i="3"/>
  <c r="S71" i="3"/>
  <c r="AI57" i="3"/>
  <c r="L63" i="3"/>
  <c r="M76" i="3"/>
  <c r="U67" i="3"/>
  <c r="L60" i="3"/>
  <c r="P80" i="3"/>
  <c r="X68" i="3"/>
  <c r="O55" i="3"/>
  <c r="AO95" i="3"/>
  <c r="P55" i="3"/>
  <c r="K80" i="3"/>
  <c r="AJ65" i="3"/>
  <c r="Q62" i="3"/>
  <c r="AE89" i="3"/>
  <c r="AN94" i="3"/>
  <c r="R55" i="3"/>
  <c r="S82" i="3"/>
  <c r="X62" i="3"/>
  <c r="R82" i="3"/>
  <c r="AL57" i="3"/>
  <c r="AJ89" i="3"/>
  <c r="AK94" i="3"/>
  <c r="M74" i="3"/>
  <c r="M78" i="3"/>
  <c r="AQ85" i="3"/>
  <c r="M82" i="3"/>
  <c r="AE97" i="3"/>
  <c r="I75" i="3"/>
  <c r="AA70" i="3"/>
  <c r="T78" i="3"/>
  <c r="K49" i="3"/>
  <c r="U78" i="3"/>
  <c r="AI86" i="3"/>
  <c r="V62" i="3"/>
  <c r="Z62" i="3"/>
  <c r="T71" i="3"/>
  <c r="K48" i="3"/>
  <c r="U87" i="3"/>
  <c r="R76" i="3"/>
  <c r="Z83" i="3"/>
  <c r="L81" i="3"/>
  <c r="AC60" i="3"/>
  <c r="V83" i="3"/>
  <c r="AJ94" i="3"/>
  <c r="X59" i="3"/>
  <c r="R56" i="3"/>
  <c r="AE95" i="3"/>
  <c r="AA47" i="3"/>
  <c r="Z97" i="3"/>
  <c r="AL78" i="3"/>
  <c r="U76" i="3"/>
  <c r="I69" i="3"/>
  <c r="T92" i="3"/>
  <c r="AC70" i="3"/>
  <c r="AG54" i="3"/>
  <c r="V48" i="3"/>
  <c r="AQ77" i="3"/>
  <c r="AN73" i="3"/>
  <c r="L49" i="3"/>
  <c r="AA94" i="3"/>
  <c r="J78" i="3"/>
  <c r="AN80" i="3"/>
  <c r="Y97" i="3"/>
  <c r="AK79" i="3"/>
  <c r="AH88" i="3"/>
  <c r="AM77" i="3"/>
  <c r="AN68" i="3"/>
  <c r="T64" i="3"/>
  <c r="Q78" i="3"/>
  <c r="M85" i="3"/>
  <c r="AG69" i="3"/>
  <c r="AE77" i="3"/>
  <c r="Q94" i="3"/>
  <c r="K85" i="3"/>
  <c r="AJ72" i="3"/>
  <c r="AO71" i="3"/>
  <c r="I92" i="3"/>
  <c r="T74" i="3"/>
  <c r="R96" i="3"/>
  <c r="J93" i="3"/>
  <c r="AA73" i="3"/>
  <c r="S68" i="3"/>
  <c r="O80" i="3"/>
  <c r="R67" i="3"/>
  <c r="AA49" i="3"/>
  <c r="AE63" i="3"/>
  <c r="AC92" i="3"/>
  <c r="Y71" i="3"/>
  <c r="M79" i="3"/>
  <c r="I73" i="3"/>
  <c r="T91" i="3"/>
  <c r="X74" i="3"/>
  <c r="AL80" i="3"/>
  <c r="Z91" i="3"/>
  <c r="K65" i="3"/>
  <c r="P64" i="3"/>
  <c r="I70" i="3"/>
  <c r="AM55" i="3"/>
  <c r="Y68" i="3"/>
  <c r="X54" i="3"/>
  <c r="AL89" i="3"/>
  <c r="Y84" i="3"/>
  <c r="P69" i="3"/>
  <c r="AO49" i="3"/>
  <c r="U88" i="3"/>
  <c r="AK93" i="3"/>
  <c r="AM81" i="3"/>
  <c r="H85" i="3"/>
  <c r="Q59" i="3"/>
  <c r="V78" i="3"/>
  <c r="Q68" i="3"/>
  <c r="K73" i="3"/>
  <c r="AM96" i="3"/>
  <c r="AG60" i="3"/>
  <c r="Z78" i="3"/>
  <c r="S57" i="3"/>
  <c r="AQ76" i="3"/>
  <c r="K50" i="3"/>
  <c r="T97" i="3"/>
  <c r="M58" i="3"/>
  <c r="AK66" i="3"/>
  <c r="K67" i="3"/>
  <c r="R92" i="3"/>
  <c r="AC61" i="3"/>
  <c r="AK55" i="3"/>
  <c r="AI72" i="3"/>
  <c r="M89" i="3"/>
  <c r="AG48" i="3"/>
  <c r="AN81" i="3"/>
  <c r="R60" i="3"/>
  <c r="AK64" i="3"/>
  <c r="S90" i="3"/>
  <c r="AN50" i="3"/>
  <c r="AG50" i="3"/>
  <c r="AE94" i="3"/>
  <c r="Z66" i="3"/>
  <c r="Q92" i="3"/>
  <c r="AM73" i="3"/>
  <c r="Y66" i="3"/>
  <c r="T87" i="3"/>
  <c r="AJ49" i="3"/>
  <c r="K88" i="3"/>
  <c r="AQ69" i="3"/>
  <c r="I82" i="3"/>
  <c r="Q65" i="3"/>
  <c r="U72" i="3"/>
  <c r="P81" i="3"/>
  <c r="AJ78" i="3"/>
  <c r="J67" i="3"/>
  <c r="V59" i="3"/>
  <c r="P63" i="3"/>
  <c r="AH78" i="3"/>
  <c r="AA95" i="3"/>
  <c r="AI88" i="3"/>
  <c r="AN54" i="3"/>
  <c r="U81" i="3"/>
  <c r="R59" i="3"/>
  <c r="I95" i="3"/>
  <c r="K66" i="3"/>
  <c r="M77" i="3"/>
  <c r="M70" i="3"/>
  <c r="AO88" i="3"/>
  <c r="AA59" i="3"/>
  <c r="AQ58" i="3"/>
  <c r="L96" i="3"/>
  <c r="AI66" i="3"/>
  <c r="Q67" i="3"/>
  <c r="Z77" i="3"/>
  <c r="X58" i="3"/>
  <c r="Y87" i="3"/>
  <c r="AJ75" i="3"/>
  <c r="U57" i="3"/>
  <c r="L93" i="3"/>
  <c r="AH49" i="3"/>
  <c r="AK97" i="3"/>
  <c r="M57" i="3"/>
  <c r="AK56" i="3"/>
  <c r="Q58" i="3"/>
  <c r="O95" i="3"/>
  <c r="M61" i="3"/>
  <c r="M91" i="3"/>
  <c r="AK48" i="3"/>
  <c r="J66" i="3"/>
  <c r="AC76" i="3"/>
  <c r="X81" i="3"/>
  <c r="AO81" i="3"/>
  <c r="AQ97" i="3"/>
  <c r="H79" i="3"/>
  <c r="AI47" i="3"/>
  <c r="O74" i="3"/>
  <c r="Q55" i="3"/>
  <c r="H80" i="3"/>
  <c r="O84" i="3"/>
  <c r="AK60" i="3"/>
  <c r="AI90" i="3"/>
  <c r="AO73" i="3"/>
  <c r="AJ57" i="3"/>
  <c r="AM71" i="3"/>
  <c r="AE93" i="3"/>
  <c r="Q81" i="3"/>
  <c r="AC73" i="3"/>
  <c r="R86" i="3"/>
  <c r="AE65" i="3"/>
  <c r="AO63" i="3"/>
  <c r="AQ57" i="3"/>
  <c r="AN63" i="3"/>
  <c r="AE74" i="3"/>
  <c r="AM74" i="3"/>
  <c r="AK49" i="3"/>
  <c r="H72" i="3"/>
  <c r="J83" i="3"/>
  <c r="H49" i="3"/>
  <c r="AM47" i="3"/>
  <c r="J86" i="3"/>
  <c r="AI70" i="3"/>
  <c r="AC97" i="3"/>
  <c r="AC78" i="3"/>
  <c r="M47" i="3"/>
  <c r="AC56" i="3"/>
  <c r="AJ97" i="3"/>
  <c r="AE70" i="3"/>
  <c r="AO79" i="3"/>
  <c r="AQ80" i="3"/>
  <c r="H86" i="3"/>
  <c r="AQ84" i="3"/>
  <c r="AM69" i="3"/>
  <c r="AI80" i="3"/>
  <c r="AE81" i="3"/>
  <c r="AM59" i="3"/>
  <c r="AO66" i="3"/>
  <c r="AM60" i="3"/>
  <c r="AJ85" i="3"/>
  <c r="AQ86" i="3"/>
  <c r="Q48" i="3"/>
  <c r="AJ63" i="3"/>
  <c r="AI65" i="3"/>
  <c r="H62" i="3"/>
  <c r="AQ47" i="3"/>
  <c r="AO77" i="3"/>
  <c r="R89" i="3"/>
  <c r="M50" i="3"/>
  <c r="AN65" i="3"/>
  <c r="AI85" i="3"/>
  <c r="O69" i="3"/>
  <c r="AC55" i="3"/>
  <c r="J82" i="3"/>
  <c r="R91" i="3"/>
  <c r="AK83" i="3"/>
  <c r="O67" i="3"/>
  <c r="H63" i="3"/>
  <c r="AC82" i="3"/>
  <c r="M87" i="3"/>
  <c r="AN86" i="3"/>
  <c r="S97" i="3"/>
  <c r="AI60" i="3"/>
  <c r="O78" i="3"/>
  <c r="O87" i="3"/>
  <c r="Q82" i="3"/>
  <c r="R61" i="3"/>
  <c r="O75" i="3"/>
  <c r="AM68" i="3"/>
  <c r="AM83" i="3"/>
  <c r="AN64" i="3"/>
  <c r="AM67" i="3"/>
  <c r="H92" i="3"/>
  <c r="H76" i="3"/>
  <c r="AK68" i="3"/>
  <c r="H84" i="3"/>
  <c r="AK82" i="3"/>
  <c r="AJ66" i="3"/>
  <c r="Q97" i="3"/>
  <c r="AJ48" i="3"/>
  <c r="AI49" i="3"/>
  <c r="J97" i="3"/>
  <c r="M88" i="3"/>
  <c r="AQ66" i="3"/>
  <c r="AO92" i="3"/>
  <c r="Q90" i="3"/>
  <c r="J84" i="3"/>
  <c r="S92" i="3"/>
  <c r="M48" i="3"/>
  <c r="AM97" i="3"/>
  <c r="X49" i="3"/>
  <c r="O86" i="3"/>
  <c r="AQ92" i="3"/>
  <c r="AO76" i="3"/>
  <c r="AN89" i="3"/>
  <c r="AE58" i="3"/>
  <c r="AK59" i="3"/>
  <c r="AC66" i="3"/>
  <c r="O58" i="3"/>
  <c r="AE67" i="3"/>
  <c r="H47" i="3"/>
  <c r="M62" i="3"/>
  <c r="AN83" i="3"/>
  <c r="AN58" i="3"/>
  <c r="AJ55" i="3"/>
  <c r="AC67" i="3"/>
  <c r="AJ88" i="3"/>
  <c r="AK62" i="3"/>
  <c r="AN91" i="3"/>
  <c r="AC63" i="3"/>
  <c r="AI50" i="3"/>
  <c r="H90" i="3"/>
  <c r="AE54" i="3"/>
  <c r="AC81" i="3"/>
  <c r="AK86" i="3"/>
  <c r="AE73" i="3"/>
  <c r="AQ75" i="3"/>
  <c r="R94" i="3"/>
  <c r="J88" i="3"/>
  <c r="S95" i="3"/>
  <c r="AC58" i="3"/>
  <c r="AK72" i="3"/>
  <c r="J96" i="3"/>
  <c r="AQ83" i="3"/>
  <c r="AK63" i="3"/>
  <c r="Q72" i="3"/>
  <c r="J49" i="3"/>
  <c r="AO58" i="3"/>
  <c r="R90" i="3"/>
  <c r="X84" i="3"/>
  <c r="AC59" i="3"/>
  <c r="R58" i="3"/>
  <c r="R73" i="3"/>
  <c r="Q91" i="3"/>
  <c r="O49" i="3"/>
  <c r="M68" i="3"/>
  <c r="AJ77" i="3"/>
  <c r="R87" i="3"/>
  <c r="AO56" i="3"/>
  <c r="AJ71" i="3"/>
  <c r="AM95" i="3"/>
  <c r="X48" i="3"/>
  <c r="S64" i="3"/>
  <c r="AM70" i="3"/>
  <c r="AQ50" i="3"/>
  <c r="AO87" i="3"/>
  <c r="M81" i="3"/>
  <c r="AO85" i="3"/>
  <c r="Q95" i="3"/>
  <c r="AQ71" i="3"/>
  <c r="AN71" i="3"/>
  <c r="X63" i="3"/>
  <c r="AC65" i="3"/>
  <c r="O71" i="3"/>
  <c r="R62" i="3"/>
  <c r="AI87" i="3"/>
  <c r="S58" i="3"/>
  <c r="M60" i="3"/>
  <c r="AN82" i="3"/>
  <c r="J60" i="3"/>
  <c r="AO93" i="3"/>
  <c r="S61" i="3"/>
  <c r="H95" i="3"/>
  <c r="AC96" i="3"/>
  <c r="AO70" i="3"/>
  <c r="J61" i="3"/>
  <c r="AK75" i="3"/>
  <c r="AJ86" i="3"/>
  <c r="X95" i="3"/>
  <c r="AQ90" i="3"/>
  <c r="AQ87" i="3"/>
  <c r="R80" i="3"/>
  <c r="H87" i="3"/>
  <c r="R69" i="3"/>
  <c r="AO55" i="3"/>
  <c r="AN61" i="3"/>
  <c r="AM57" i="3"/>
  <c r="S74" i="3"/>
  <c r="AI62" i="3"/>
  <c r="AK84" i="3"/>
  <c r="H83" i="3"/>
  <c r="AK47" i="3"/>
  <c r="AQ89" i="3"/>
  <c r="H57" i="3"/>
  <c r="AE71" i="3"/>
  <c r="R85" i="3"/>
  <c r="X64" i="3"/>
  <c r="AJ90" i="3"/>
  <c r="H56" i="3"/>
  <c r="J63" i="3"/>
  <c r="R57" i="3"/>
  <c r="R81" i="3"/>
  <c r="AE60" i="3"/>
  <c r="AK73" i="3"/>
  <c r="X75" i="3"/>
  <c r="Q49" i="3"/>
  <c r="AC88" i="3"/>
  <c r="H60" i="3"/>
  <c r="AM65" i="3"/>
  <c r="J65" i="3"/>
  <c r="AK89" i="3"/>
  <c r="AC86" i="3"/>
  <c r="AJ74" i="3"/>
  <c r="S67" i="3"/>
  <c r="O61" i="3"/>
  <c r="AI55" i="3"/>
  <c r="AK91" i="3"/>
  <c r="AN78" i="3"/>
  <c r="AM87" i="3"/>
  <c r="O62" i="3"/>
  <c r="Q50" i="3"/>
  <c r="AO84" i="3"/>
  <c r="S48" i="3"/>
  <c r="AI71" i="3"/>
  <c r="Q73" i="3"/>
  <c r="X60" i="3"/>
  <c r="BO33" i="1"/>
  <c r="BW17" i="1"/>
  <c r="AX28" i="1"/>
  <c r="BD23" i="1"/>
  <c r="BC29" i="1"/>
  <c r="BB32" i="1"/>
  <c r="BD59" i="1"/>
  <c r="BK32" i="1"/>
  <c r="BH32" i="1"/>
  <c r="BJ47" i="1"/>
  <c r="BQ33" i="1"/>
  <c r="AX22" i="1"/>
  <c r="BH28" i="1"/>
  <c r="BR54" i="1"/>
  <c r="BE32" i="1"/>
  <c r="BC43" i="1"/>
  <c r="AP16" i="1"/>
  <c r="AP239" i="1" s="1"/>
  <c r="BQ54" i="1"/>
  <c r="BU40" i="1"/>
  <c r="AM81" i="1"/>
  <c r="BK40" i="1"/>
  <c r="BK202" i="1" s="1"/>
  <c r="BI32" i="1"/>
  <c r="AP31" i="1"/>
  <c r="BS59" i="1"/>
  <c r="AW44" i="1"/>
  <c r="AQ44" i="1"/>
  <c r="AY31" i="1"/>
  <c r="BP30" i="1"/>
  <c r="BF29" i="1"/>
  <c r="AU53" i="1"/>
  <c r="BS32" i="1"/>
  <c r="BF31" i="1"/>
  <c r="BQ55" i="1"/>
  <c r="AT28" i="1"/>
  <c r="AP40" i="1"/>
  <c r="BG33" i="1"/>
  <c r="BK54" i="1"/>
  <c r="BE54" i="1"/>
  <c r="BT30" i="1"/>
  <c r="AI17" i="1"/>
  <c r="BR55" i="1"/>
  <c r="AR59" i="1"/>
  <c r="BR47" i="1"/>
  <c r="AN43" i="1"/>
  <c r="AP17" i="1"/>
  <c r="BF43" i="1"/>
  <c r="AU55" i="1"/>
  <c r="BI28" i="1"/>
  <c r="BH47" i="1"/>
  <c r="AQ32" i="1"/>
  <c r="AZ21" i="1"/>
  <c r="AN44" i="1"/>
  <c r="BM43" i="1"/>
  <c r="AM82" i="1"/>
  <c r="AX55" i="1"/>
  <c r="BI16" i="1"/>
  <c r="AT17" i="1"/>
  <c r="AU33" i="1"/>
  <c r="AZ54" i="1"/>
  <c r="AX32" i="1"/>
  <c r="BW16" i="1"/>
  <c r="BW239" i="1" s="1"/>
  <c r="BD31" i="1"/>
  <c r="BC30" i="1"/>
  <c r="BF44" i="1"/>
  <c r="AN40" i="1"/>
  <c r="BQ22" i="1"/>
  <c r="AZ44" i="1"/>
  <c r="AU43" i="1"/>
  <c r="BH155" i="1"/>
  <c r="BI155" i="1" s="1"/>
  <c r="BV82" i="1"/>
  <c r="BV163" i="1"/>
  <c r="BW163" i="1" s="1"/>
  <c r="M153" i="1"/>
  <c r="M188" i="1" s="1"/>
  <c r="Q157" i="1"/>
  <c r="E153" i="1"/>
  <c r="E188" i="1" s="1"/>
  <c r="C145" i="1"/>
  <c r="B71" i="1"/>
  <c r="T85" i="1"/>
  <c r="L150" i="1"/>
  <c r="I151" i="1"/>
  <c r="E158" i="1"/>
  <c r="BC28" i="1"/>
  <c r="BB44" i="1"/>
  <c r="AV33" i="1"/>
  <c r="BM21" i="1"/>
  <c r="AV17" i="1"/>
  <c r="AW55" i="1"/>
  <c r="BS22" i="1"/>
  <c r="BP28" i="1"/>
  <c r="BC32" i="1"/>
  <c r="BC47" i="1"/>
  <c r="BM29" i="1"/>
  <c r="BE16" i="1"/>
  <c r="BE239" i="1" s="1"/>
  <c r="AS29" i="1"/>
  <c r="BI33" i="1"/>
  <c r="BO16" i="1"/>
  <c r="AI81" i="1"/>
  <c r="BV171" i="1"/>
  <c r="BW171" i="1" s="1"/>
  <c r="U154" i="1"/>
  <c r="U172" i="1"/>
  <c r="P158" i="1"/>
  <c r="B158" i="1"/>
  <c r="C135" i="1"/>
  <c r="N159" i="1"/>
  <c r="F161" i="1"/>
  <c r="F191" i="1" s="1"/>
  <c r="B72" i="1"/>
  <c r="B163" i="1"/>
  <c r="AY33" i="1"/>
  <c r="AU44" i="1"/>
  <c r="AY30" i="1"/>
  <c r="BK16" i="1"/>
  <c r="AQ53" i="1"/>
  <c r="AQ29" i="1"/>
  <c r="BG17" i="1"/>
  <c r="AI31" i="1"/>
  <c r="BS29" i="1"/>
  <c r="BO17" i="1"/>
  <c r="AV43" i="1"/>
  <c r="AX21" i="1"/>
  <c r="AT59" i="1"/>
  <c r="BK17" i="1"/>
  <c r="BO59" i="1"/>
  <c r="AN33" i="1"/>
  <c r="BH55" i="1"/>
  <c r="BW30" i="1"/>
  <c r="BQ53" i="1"/>
  <c r="AX31" i="1"/>
  <c r="BA40" i="1"/>
  <c r="BM30" i="1"/>
  <c r="AQ59" i="1"/>
  <c r="BK33" i="1"/>
  <c r="AX17" i="1"/>
  <c r="BP31" i="1"/>
  <c r="AI29" i="1"/>
  <c r="BB47" i="1"/>
  <c r="BO21" i="1"/>
  <c r="AS44" i="1"/>
  <c r="AT21" i="1"/>
  <c r="AQ54" i="1"/>
  <c r="BV43" i="1"/>
  <c r="BN32" i="1"/>
  <c r="AO28" i="1"/>
  <c r="BN29" i="1"/>
  <c r="AT32" i="1"/>
  <c r="BV140" i="1"/>
  <c r="BV168" i="1"/>
  <c r="BH135" i="1"/>
  <c r="BI135" i="1" s="1"/>
  <c r="J140" i="1"/>
  <c r="M145" i="1"/>
  <c r="G163" i="1"/>
  <c r="O171" i="1"/>
  <c r="I178" i="1"/>
  <c r="P141" i="1"/>
  <c r="BM54" i="1"/>
  <c r="BQ44" i="1"/>
  <c r="BO44" i="1"/>
  <c r="AV59" i="1"/>
  <c r="BA55" i="1"/>
  <c r="BF55" i="1"/>
  <c r="BW31" i="1"/>
  <c r="AI28" i="1"/>
  <c r="AZ47" i="1"/>
  <c r="BW21" i="1"/>
  <c r="AV55" i="1"/>
  <c r="BI54" i="1"/>
  <c r="BA33" i="1"/>
  <c r="AW16" i="1"/>
  <c r="AW260" i="1" s="1"/>
  <c r="BB16" i="1"/>
  <c r="BB260" i="1" s="1"/>
  <c r="BH54" i="1"/>
  <c r="BI55" i="1"/>
  <c r="AV23" i="1"/>
  <c r="BA43" i="1"/>
  <c r="BG43" i="1"/>
  <c r="BV33" i="1"/>
  <c r="BR53" i="1"/>
  <c r="AO31" i="1"/>
  <c r="BN47" i="1"/>
  <c r="BC23" i="1"/>
  <c r="AS16" i="1"/>
  <c r="AS239" i="1" s="1"/>
  <c r="BM16" i="1"/>
  <c r="BU44" i="1"/>
  <c r="BT31" i="1"/>
  <c r="AZ28" i="1"/>
  <c r="AP32" i="1"/>
  <c r="BH22" i="1"/>
  <c r="BG30" i="1"/>
  <c r="BK59" i="1"/>
  <c r="BT53" i="1"/>
  <c r="BP32" i="1"/>
  <c r="AT54" i="1"/>
  <c r="AW47" i="1"/>
  <c r="AY23" i="1"/>
  <c r="BB33" i="1"/>
  <c r="AU54" i="1"/>
  <c r="AI22" i="1"/>
  <c r="BH53" i="1"/>
  <c r="AN23" i="1"/>
  <c r="BU17" i="1"/>
  <c r="AW28" i="1"/>
  <c r="BG53" i="1"/>
  <c r="AS53" i="1"/>
  <c r="BF16" i="1"/>
  <c r="BC55" i="1"/>
  <c r="BB28" i="1"/>
  <c r="BV130" i="1"/>
  <c r="BW130" i="1" s="1"/>
  <c r="BH81" i="1"/>
  <c r="BV162" i="1"/>
  <c r="BW162" i="1" s="1"/>
  <c r="BV134" i="1"/>
  <c r="BW134" i="1" s="1"/>
  <c r="BV141" i="1"/>
  <c r="T158" i="1"/>
  <c r="T127" i="1"/>
  <c r="V130" i="1"/>
  <c r="O180" i="1"/>
  <c r="K141" i="1"/>
  <c r="W152" i="1"/>
  <c r="G148" i="1"/>
  <c r="Q172" i="1"/>
  <c r="D148" i="1"/>
  <c r="BP53" i="1"/>
  <c r="AY47" i="1"/>
  <c r="BV30" i="1"/>
  <c r="AQ55" i="1"/>
  <c r="BW28" i="1"/>
  <c r="BJ59" i="1"/>
  <c r="BW44" i="1"/>
  <c r="AT16" i="1"/>
  <c r="BU55" i="1"/>
  <c r="BR23" i="1"/>
  <c r="BJ81" i="1"/>
  <c r="BH29" i="1"/>
  <c r="BA59" i="1"/>
  <c r="AS40" i="1"/>
  <c r="AS202" i="1" s="1"/>
  <c r="BA47" i="1"/>
  <c r="BT21" i="1"/>
  <c r="AO17" i="1"/>
  <c r="BA54" i="1"/>
  <c r="AU21" i="1"/>
  <c r="BG31" i="1"/>
  <c r="AW40" i="1"/>
  <c r="AW202" i="1" s="1"/>
  <c r="BN53" i="1"/>
  <c r="AP47" i="1"/>
  <c r="AY43" i="1"/>
  <c r="BI31" i="1"/>
  <c r="BU47" i="1"/>
  <c r="AP30" i="1"/>
  <c r="AO54" i="1"/>
  <c r="BS17" i="1"/>
  <c r="BH16" i="1"/>
  <c r="AN54" i="1"/>
  <c r="AR55" i="1"/>
  <c r="BW43" i="1"/>
  <c r="AR40" i="1"/>
  <c r="AR202" i="1" s="1"/>
  <c r="BC16" i="1"/>
  <c r="BC239" i="1" s="1"/>
  <c r="AZ40" i="1"/>
  <c r="AZ202" i="1" s="1"/>
  <c r="AT30" i="1"/>
  <c r="BT54" i="1"/>
  <c r="BM32" i="1"/>
  <c r="BH43" i="1"/>
  <c r="BS30" i="1"/>
  <c r="BT22" i="1"/>
  <c r="AS32" i="1"/>
  <c r="AS23" i="1"/>
  <c r="BD22" i="1"/>
  <c r="BC40" i="1"/>
  <c r="BC202" i="1" s="1"/>
  <c r="AT55" i="1"/>
  <c r="BO22" i="1"/>
  <c r="BV157" i="1"/>
  <c r="BW157" i="1" s="1"/>
  <c r="BV155" i="1"/>
  <c r="BW155" i="1" s="1"/>
  <c r="BV154" i="1"/>
  <c r="BW154" i="1" s="1"/>
  <c r="H154" i="1"/>
  <c r="G153" i="1"/>
  <c r="G188" i="1" s="1"/>
  <c r="H180" i="1"/>
  <c r="P157" i="1"/>
  <c r="M143" i="1"/>
  <c r="M139" i="1" s="1"/>
  <c r="I82" i="1"/>
  <c r="N158" i="1"/>
  <c r="Q180" i="1"/>
  <c r="F180" i="1"/>
  <c r="AT44" i="1"/>
  <c r="AT260" i="1" s="1"/>
  <c r="BS47" i="1"/>
  <c r="AO59" i="1"/>
  <c r="AT22" i="1"/>
  <c r="AU31" i="1"/>
  <c r="AI47" i="1"/>
  <c r="BQ59" i="1"/>
  <c r="BB43" i="1"/>
  <c r="AQ28" i="1"/>
  <c r="BQ32" i="1"/>
  <c r="BU16" i="1"/>
  <c r="BD17" i="1"/>
  <c r="AY40" i="1"/>
  <c r="BD33" i="1"/>
  <c r="AN47" i="1"/>
  <c r="AY44" i="1"/>
  <c r="BK28" i="1"/>
  <c r="BO47" i="1"/>
  <c r="BP21" i="1"/>
  <c r="BS40" i="1"/>
  <c r="BS202" i="1" s="1"/>
  <c r="BQ16" i="1"/>
  <c r="BR33" i="1"/>
  <c r="AR54" i="1"/>
  <c r="AR30" i="1"/>
  <c r="AO29" i="1"/>
  <c r="AY32" i="1"/>
  <c r="AT43" i="1"/>
  <c r="BI23" i="1"/>
  <c r="AZ33" i="1"/>
  <c r="BB30" i="1"/>
  <c r="AQ22" i="1"/>
  <c r="BT23" i="1"/>
  <c r="BE47" i="1"/>
  <c r="BR40" i="1"/>
  <c r="BD29" i="1"/>
  <c r="AW22" i="1"/>
  <c r="AO22" i="1"/>
  <c r="AR32" i="1"/>
  <c r="AW32" i="1"/>
  <c r="BW32" i="1"/>
  <c r="BN44" i="1"/>
  <c r="BN40" i="1"/>
  <c r="BN202" i="1" s="1"/>
  <c r="AS22" i="1"/>
  <c r="BU28" i="1"/>
  <c r="AO16" i="1"/>
  <c r="AN21" i="1"/>
  <c r="BF47" i="1"/>
  <c r="AZ22" i="1"/>
  <c r="BC54" i="1"/>
  <c r="BI43" i="1"/>
  <c r="BO40" i="1"/>
  <c r="BO202" i="1" s="1"/>
  <c r="AU23" i="1"/>
  <c r="BA22" i="1"/>
  <c r="AV16" i="1"/>
  <c r="BP43" i="1"/>
  <c r="AQ43" i="1"/>
  <c r="BU31" i="1"/>
  <c r="BG59" i="1"/>
  <c r="AM54" i="1"/>
  <c r="BI59" i="1"/>
  <c r="BG29" i="1"/>
  <c r="AS43" i="1"/>
  <c r="AZ53" i="1"/>
  <c r="BK31" i="1"/>
  <c r="BK44" i="1"/>
  <c r="BK260" i="1" s="1"/>
  <c r="AR23" i="1"/>
  <c r="AU40" i="1"/>
  <c r="AU202" i="1" s="1"/>
  <c r="AS54" i="1"/>
  <c r="BH159" i="1"/>
  <c r="BI159" i="1" s="1"/>
  <c r="BH171" i="1"/>
  <c r="BI171" i="1" s="1"/>
  <c r="BH143" i="1"/>
  <c r="BI143" i="1" s="1"/>
  <c r="BH130" i="1"/>
  <c r="BI130" i="1" s="1"/>
  <c r="V81" i="1"/>
  <c r="G152" i="1"/>
  <c r="G187" i="1" s="1"/>
  <c r="C127" i="1"/>
  <c r="C141" i="1"/>
  <c r="N155" i="1"/>
  <c r="P81" i="1"/>
  <c r="Q132" i="1"/>
  <c r="D163" i="1"/>
  <c r="T157" i="1"/>
  <c r="BR43" i="1"/>
  <c r="BB17" i="1"/>
  <c r="BT32" i="1"/>
  <c r="BP16" i="1"/>
  <c r="BP239" i="1" s="1"/>
  <c r="BO55" i="1"/>
  <c r="BD43" i="1"/>
  <c r="BA29" i="1"/>
  <c r="BQ28" i="1"/>
  <c r="AS31" i="1"/>
  <c r="AI33" i="1"/>
  <c r="BB21" i="1"/>
  <c r="BB29" i="1"/>
  <c r="BJ53" i="1"/>
  <c r="BR31" i="1"/>
  <c r="AW17" i="1"/>
  <c r="AI21" i="1"/>
  <c r="BV47" i="1"/>
  <c r="BE21" i="1"/>
  <c r="BE22" i="1"/>
  <c r="BF59" i="1"/>
  <c r="BS21" i="1"/>
  <c r="BH31" i="1"/>
  <c r="BR44" i="1"/>
  <c r="BV17" i="1"/>
  <c r="AW31" i="1"/>
  <c r="AX30" i="1"/>
  <c r="AX43" i="1"/>
  <c r="BK29" i="1"/>
  <c r="BE17" i="1"/>
  <c r="AO21" i="1"/>
  <c r="BG23" i="1"/>
  <c r="BR30" i="1"/>
  <c r="BQ17" i="1"/>
  <c r="BD55" i="1"/>
  <c r="AK82" i="1"/>
  <c r="BD44" i="1"/>
  <c r="AO30" i="1"/>
  <c r="BH59" i="1"/>
  <c r="BV23" i="1"/>
  <c r="BE28" i="1"/>
  <c r="AI32" i="1"/>
  <c r="AO44" i="1"/>
  <c r="AR31" i="1"/>
  <c r="AX29" i="1"/>
  <c r="BV55" i="1"/>
  <c r="BE40" i="1"/>
  <c r="BE202" i="1" s="1"/>
  <c r="BB53" i="1"/>
  <c r="BV28" i="1"/>
  <c r="AR16" i="1"/>
  <c r="BN31" i="1"/>
  <c r="BD32" i="1"/>
  <c r="BE44" i="1"/>
  <c r="BC22" i="1"/>
  <c r="BC53" i="1"/>
  <c r="BB22" i="1"/>
  <c r="AW54" i="1"/>
  <c r="BF53" i="1"/>
  <c r="AP22" i="1"/>
  <c r="BF32" i="1"/>
  <c r="AV53" i="1"/>
  <c r="BK21" i="1"/>
  <c r="AX33" i="1"/>
  <c r="AX47" i="1"/>
  <c r="BH162" i="1"/>
  <c r="BI162" i="1" s="1"/>
  <c r="BV145" i="1"/>
  <c r="BW145" i="1" s="1"/>
  <c r="BV158" i="1"/>
  <c r="BW158" i="1" s="1"/>
  <c r="F172" i="1"/>
  <c r="M163" i="1"/>
  <c r="R161" i="1"/>
  <c r="R191" i="1" s="1"/>
  <c r="P151" i="1"/>
  <c r="C125" i="1"/>
  <c r="G140" i="1"/>
  <c r="I133" i="1"/>
  <c r="Q82" i="1"/>
  <c r="N143" i="1"/>
  <c r="N139" i="1" s="1"/>
  <c r="G151" i="1"/>
  <c r="BT55" i="1"/>
  <c r="BB31" i="1"/>
  <c r="BM23" i="1"/>
  <c r="BM31" i="1"/>
  <c r="BC17" i="1"/>
  <c r="BK22" i="1"/>
  <c r="BN16" i="1"/>
  <c r="BE30" i="1"/>
  <c r="AV22" i="1"/>
  <c r="BP59" i="1"/>
  <c r="AN55" i="1"/>
  <c r="BF33" i="1"/>
  <c r="BW55" i="1"/>
  <c r="BU22" i="1"/>
  <c r="BA31" i="1"/>
  <c r="BJ30" i="1"/>
  <c r="BJ34" i="1" s="1"/>
  <c r="AQ16" i="1"/>
  <c r="AQ239" i="1" s="1"/>
  <c r="AO33" i="1"/>
  <c r="BV29" i="1"/>
  <c r="AZ23" i="1"/>
  <c r="BI29" i="1"/>
  <c r="BV40" i="1"/>
  <c r="BV202" i="1" s="1"/>
  <c r="BR21" i="1"/>
  <c r="BQ23" i="1"/>
  <c r="AO32" i="1"/>
  <c r="BT43" i="1"/>
  <c r="AP33" i="1"/>
  <c r="BH23" i="1"/>
  <c r="BT44" i="1"/>
  <c r="AP59" i="1"/>
  <c r="BF54" i="1"/>
  <c r="BE23" i="1"/>
  <c r="BO32" i="1"/>
  <c r="BD54" i="1"/>
  <c r="BJ17" i="1"/>
  <c r="BJ18" i="1" s="1"/>
  <c r="BJ24" i="1" s="1"/>
  <c r="BJ36" i="1" s="1"/>
  <c r="BD53" i="1"/>
  <c r="BG44" i="1"/>
  <c r="BW47" i="1"/>
  <c r="AW53" i="1"/>
  <c r="BP29" i="1"/>
  <c r="AI30" i="1"/>
  <c r="BH153" i="1"/>
  <c r="BH82" i="1"/>
  <c r="BH148" i="1"/>
  <c r="BI148" i="1" s="1"/>
  <c r="BJ210" i="1" s="1"/>
  <c r="BV139" i="1"/>
  <c r="L126" i="1"/>
  <c r="C82" i="1"/>
  <c r="F126" i="1"/>
  <c r="V143" i="1"/>
  <c r="V139" i="1" s="1"/>
  <c r="V75" i="1"/>
  <c r="E141" i="1"/>
  <c r="J144" i="1"/>
  <c r="S132" i="1"/>
  <c r="R133" i="1"/>
  <c r="U161" i="1"/>
  <c r="U191" i="1" s="1"/>
  <c r="AW23" i="1"/>
  <c r="BU59" i="1"/>
  <c r="AJ81" i="1"/>
  <c r="BM22" i="1"/>
  <c r="BH40" i="1"/>
  <c r="BI40" i="1"/>
  <c r="BD30" i="1"/>
  <c r="BW29" i="1"/>
  <c r="BM47" i="1"/>
  <c r="AP54" i="1"/>
  <c r="AX23" i="1"/>
  <c r="BP55" i="1"/>
  <c r="AI55" i="1"/>
  <c r="BO31" i="1"/>
  <c r="AZ16" i="1"/>
  <c r="AR53" i="1"/>
  <c r="AT29" i="1"/>
  <c r="BC44" i="1"/>
  <c r="BE59" i="1"/>
  <c r="AN22" i="1"/>
  <c r="AQ40" i="1"/>
  <c r="BQ43" i="1"/>
  <c r="BS33" i="1"/>
  <c r="BV54" i="1"/>
  <c r="AT23" i="1"/>
  <c r="AZ59" i="1"/>
  <c r="AO23" i="1"/>
  <c r="BS54" i="1"/>
  <c r="BT28" i="1"/>
  <c r="BI30" i="1"/>
  <c r="AZ17" i="1"/>
  <c r="BG28" i="1"/>
  <c r="BO54" i="1"/>
  <c r="BR22" i="1"/>
  <c r="BQ21" i="1"/>
  <c r="AO53" i="1"/>
  <c r="BM33" i="1"/>
  <c r="BU21" i="1"/>
  <c r="BN21" i="1"/>
  <c r="AV30" i="1"/>
  <c r="BT29" i="1"/>
  <c r="AI59" i="1"/>
  <c r="BU23" i="1"/>
  <c r="BT16" i="1"/>
  <c r="BV31" i="1"/>
  <c r="AY29" i="1"/>
  <c r="AU28" i="1"/>
  <c r="BH33" i="1"/>
  <c r="BK23" i="1"/>
  <c r="BD28" i="1"/>
  <c r="BE53" i="1"/>
  <c r="AM59" i="1"/>
  <c r="BP44" i="1"/>
  <c r="AU30" i="1"/>
  <c r="AU47" i="1"/>
  <c r="AP28" i="1"/>
  <c r="BA30" i="1"/>
  <c r="AN53" i="1"/>
  <c r="BV161" i="1"/>
  <c r="BH160" i="1"/>
  <c r="BI160" i="1" s="1"/>
  <c r="BH167" i="1"/>
  <c r="B135" i="1"/>
  <c r="T86" i="1"/>
  <c r="L141" i="1"/>
  <c r="V141" i="1"/>
  <c r="C151" i="1"/>
  <c r="M167" i="1"/>
  <c r="B144" i="1"/>
  <c r="K151" i="1"/>
  <c r="R152" i="1"/>
  <c r="R187" i="1" s="1"/>
  <c r="N130" i="1"/>
  <c r="H140" i="1"/>
  <c r="AP55" i="1"/>
  <c r="AM53" i="1"/>
  <c r="BO29" i="1"/>
  <c r="BG32" i="1"/>
  <c r="AS59" i="1"/>
  <c r="BT59" i="1"/>
  <c r="BM17" i="1"/>
  <c r="BF30" i="1"/>
  <c r="AR29" i="1"/>
  <c r="AV32" i="1"/>
  <c r="BA44" i="1"/>
  <c r="AQ21" i="1"/>
  <c r="BM53" i="1"/>
  <c r="BT47" i="1"/>
  <c r="AP23" i="1"/>
  <c r="BP47" i="1"/>
  <c r="AW21" i="1"/>
  <c r="BW23" i="1"/>
  <c r="BW40" i="1"/>
  <c r="BW202" i="1" s="1"/>
  <c r="BG55" i="1"/>
  <c r="AY17" i="1"/>
  <c r="BI21" i="1"/>
  <c r="BU33" i="1"/>
  <c r="BT40" i="1"/>
  <c r="BT202" i="1" s="1"/>
  <c r="AY55" i="1"/>
  <c r="BK47" i="1"/>
  <c r="AQ33" i="1"/>
  <c r="AO47" i="1"/>
  <c r="AS33" i="1"/>
  <c r="AR21" i="1"/>
  <c r="AT33" i="1"/>
  <c r="AP21" i="1"/>
  <c r="AW33" i="1"/>
  <c r="BI53" i="1"/>
  <c r="AY21" i="1"/>
  <c r="BG40" i="1"/>
  <c r="BG202" i="1" s="1"/>
  <c r="BB59" i="1"/>
  <c r="AW59" i="1"/>
  <c r="AQ31" i="1"/>
  <c r="AW30" i="1"/>
  <c r="BA21" i="1"/>
  <c r="AY16" i="1"/>
  <c r="AY239" i="1" s="1"/>
  <c r="BQ31" i="1"/>
  <c r="BR16" i="1"/>
  <c r="BR239" i="1" s="1"/>
  <c r="BJ55" i="1"/>
  <c r="BR29" i="1"/>
  <c r="AN28" i="1"/>
  <c r="BK43" i="1"/>
  <c r="BU29" i="1"/>
  <c r="BE43" i="1"/>
  <c r="AV47" i="1"/>
  <c r="BG21" i="1"/>
  <c r="BC21" i="1"/>
  <c r="AR33" i="1"/>
  <c r="BP23" i="1"/>
  <c r="BR59" i="1"/>
  <c r="AV28" i="1"/>
  <c r="AZ55" i="1"/>
  <c r="BW22" i="1"/>
  <c r="AV54" i="1"/>
  <c r="AR43" i="1"/>
  <c r="AI53" i="1"/>
  <c r="AU17" i="1"/>
  <c r="AP53" i="1"/>
  <c r="AN30" i="1"/>
  <c r="AU59" i="1"/>
  <c r="BT17" i="1"/>
  <c r="BE33" i="1"/>
  <c r="BD21" i="1"/>
  <c r="AY59" i="1"/>
  <c r="AN16" i="1"/>
  <c r="AU29" i="1"/>
  <c r="AY22" i="1"/>
  <c r="BI17" i="1"/>
  <c r="BJ82" i="1"/>
  <c r="AI43" i="1"/>
  <c r="AZ43" i="1"/>
  <c r="BV148" i="1"/>
  <c r="BW148" i="1" s="1"/>
  <c r="BX210" i="1" s="1"/>
  <c r="BH151" i="1"/>
  <c r="BI151" i="1" s="1"/>
  <c r="BH150" i="1"/>
  <c r="BI150" i="1" s="1"/>
  <c r="B134" i="1"/>
  <c r="B162" i="1" s="1"/>
  <c r="E145" i="1"/>
  <c r="D153" i="1"/>
  <c r="D188" i="1" s="1"/>
  <c r="I179" i="1"/>
  <c r="J172" i="1"/>
  <c r="F145" i="1"/>
  <c r="B168" i="1"/>
  <c r="J81" i="1"/>
  <c r="P126" i="1"/>
  <c r="B159" i="1"/>
  <c r="Q150" i="1"/>
  <c r="R150" i="1"/>
  <c r="V155" i="1"/>
  <c r="L171" i="1"/>
  <c r="BN22" i="1"/>
  <c r="AV31" i="1"/>
  <c r="BD16" i="1"/>
  <c r="BQ40" i="1"/>
  <c r="AQ17" i="1"/>
  <c r="BN17" i="1"/>
  <c r="AW29" i="1"/>
  <c r="BC31" i="1"/>
  <c r="BJ43" i="1"/>
  <c r="BN33" i="1"/>
  <c r="AZ32" i="1"/>
  <c r="BS16" i="1"/>
  <c r="BS239" i="1" s="1"/>
  <c r="BK55" i="1"/>
  <c r="AU22" i="1"/>
  <c r="BB40" i="1"/>
  <c r="BB54" i="1"/>
  <c r="BW54" i="1"/>
  <c r="AV40" i="1"/>
  <c r="AR22" i="1"/>
  <c r="BU54" i="1"/>
  <c r="BP54" i="1"/>
  <c r="BV59" i="1"/>
  <c r="BE31" i="1"/>
  <c r="BS53" i="1"/>
  <c r="BF17" i="1"/>
  <c r="BJ44" i="1"/>
  <c r="BJ260" i="1" s="1"/>
  <c r="AP43" i="1"/>
  <c r="AZ30" i="1"/>
  <c r="AV29" i="1"/>
  <c r="BW59" i="1"/>
  <c r="BB23" i="1"/>
  <c r="BD47" i="1"/>
  <c r="BU43" i="1"/>
  <c r="AZ31" i="1"/>
  <c r="BR32" i="1"/>
  <c r="AX40" i="1"/>
  <c r="AU16" i="1"/>
  <c r="AU239" i="1" s="1"/>
  <c r="BI44" i="1"/>
  <c r="AR28" i="1"/>
  <c r="BM55" i="1"/>
  <c r="AR17" i="1"/>
  <c r="BM40" i="1"/>
  <c r="BK53" i="1"/>
  <c r="BO30" i="1"/>
  <c r="AV44" i="1"/>
  <c r="BK30" i="1"/>
  <c r="BA32" i="1"/>
  <c r="BO28" i="1"/>
  <c r="BE29" i="1"/>
  <c r="BR17" i="1"/>
  <c r="AN17" i="1"/>
  <c r="BH141" i="1"/>
  <c r="BV160" i="1"/>
  <c r="BW160" i="1" s="1"/>
  <c r="BV150" i="1"/>
  <c r="BW150" i="1" s="1"/>
  <c r="BV159" i="1"/>
  <c r="BW159" i="1" s="1"/>
  <c r="U179" i="1"/>
  <c r="N87" i="1"/>
  <c r="W168" i="1"/>
  <c r="O163" i="1"/>
  <c r="W127" i="1"/>
  <c r="C179" i="1"/>
  <c r="T151" i="1"/>
  <c r="V178" i="1"/>
  <c r="BT33" i="1"/>
  <c r="AQ23" i="1"/>
  <c r="BA53" i="1"/>
  <c r="BH44" i="1"/>
  <c r="BP40" i="1"/>
  <c r="AI23" i="1"/>
  <c r="AI54" i="1"/>
  <c r="BE55" i="1"/>
  <c r="BG54" i="1"/>
  <c r="BA28" i="1"/>
  <c r="AS30" i="1"/>
  <c r="BA17" i="1"/>
  <c r="BM44" i="1"/>
  <c r="AS28" i="1"/>
  <c r="BW53" i="1"/>
  <c r="BF28" i="1"/>
  <c r="BM28" i="1"/>
  <c r="BG47" i="1"/>
  <c r="BB55" i="1"/>
  <c r="AX53" i="1"/>
  <c r="BI22" i="1"/>
  <c r="BN55" i="1"/>
  <c r="BC59" i="1"/>
  <c r="BP33" i="1"/>
  <c r="BS43" i="1"/>
  <c r="AN32" i="1"/>
  <c r="AI16" i="1"/>
  <c r="BP22" i="1"/>
  <c r="AT40" i="1"/>
  <c r="AT47" i="1"/>
  <c r="BA16" i="1"/>
  <c r="AJ82" i="1"/>
  <c r="AX59" i="1"/>
  <c r="AQ30" i="1"/>
  <c r="BO43" i="1"/>
  <c r="BN54" i="1"/>
  <c r="BV32" i="1"/>
  <c r="BP17" i="1"/>
  <c r="BU53" i="1"/>
  <c r="AP29" i="1"/>
  <c r="AS55" i="1"/>
  <c r="BH21" i="1"/>
  <c r="BH30" i="1"/>
  <c r="AW43" i="1"/>
  <c r="AM55" i="1"/>
  <c r="BF40" i="1"/>
  <c r="BF202" i="1" s="1"/>
  <c r="AP44" i="1"/>
  <c r="BS31" i="1"/>
  <c r="BQ29" i="1"/>
  <c r="BS23" i="1"/>
  <c r="BC33" i="1"/>
  <c r="BS44" i="1"/>
  <c r="AX54" i="1"/>
  <c r="BU32" i="1"/>
  <c r="AX44" i="1"/>
  <c r="BV44" i="1"/>
  <c r="BV22" i="1"/>
  <c r="BH145" i="1"/>
  <c r="BI145" i="1" s="1"/>
  <c r="BV143" i="1"/>
  <c r="BW143" i="1" s="1"/>
  <c r="BV152" i="1"/>
  <c r="K172" i="1"/>
  <c r="N132" i="1"/>
  <c r="R179" i="1"/>
  <c r="U130" i="1"/>
  <c r="O135" i="1"/>
  <c r="B75" i="1"/>
  <c r="K171" i="1"/>
  <c r="K152" i="1"/>
  <c r="K187" i="1" s="1"/>
  <c r="P133" i="1"/>
  <c r="BN30" i="1"/>
  <c r="AS21" i="1"/>
  <c r="AZ29" i="1"/>
  <c r="AI40" i="1"/>
  <c r="BV81" i="1"/>
  <c r="BV127" i="1"/>
  <c r="BH139" i="1"/>
  <c r="M132" i="1"/>
  <c r="T141" i="1"/>
  <c r="D168" i="1"/>
  <c r="M140" i="1"/>
  <c r="D134" i="1"/>
  <c r="D162" i="1" s="1"/>
  <c r="O133" i="1"/>
  <c r="J151" i="1"/>
  <c r="H167" i="1"/>
  <c r="E130" i="1"/>
  <c r="Q86" i="1"/>
  <c r="R135" i="1"/>
  <c r="D82" i="1"/>
  <c r="L144" i="1"/>
  <c r="W134" i="1"/>
  <c r="W162" i="1" s="1"/>
  <c r="R172" i="1"/>
  <c r="M154" i="1"/>
  <c r="C71" i="1"/>
  <c r="D135" i="1"/>
  <c r="W86" i="1"/>
  <c r="W135" i="1"/>
  <c r="H127" i="1"/>
  <c r="E127" i="1"/>
  <c r="T153" i="1"/>
  <c r="T188" i="1" s="1"/>
  <c r="S125" i="1"/>
  <c r="V145" i="1"/>
  <c r="P154" i="1"/>
  <c r="W158" i="1"/>
  <c r="G154" i="1"/>
  <c r="T172" i="1"/>
  <c r="J145" i="1"/>
  <c r="H132" i="1"/>
  <c r="E144" i="1"/>
  <c r="C152" i="1"/>
  <c r="C187" i="1" s="1"/>
  <c r="W82" i="1"/>
  <c r="T168" i="1"/>
  <c r="D145" i="1"/>
  <c r="E150" i="1"/>
  <c r="G125" i="1"/>
  <c r="R87" i="1"/>
  <c r="H86" i="1"/>
  <c r="G179" i="1"/>
  <c r="P144" i="1"/>
  <c r="O134" i="1"/>
  <c r="O162" i="1" s="1"/>
  <c r="I163" i="1"/>
  <c r="I132" i="1"/>
  <c r="B148" i="1"/>
  <c r="B150" i="1"/>
  <c r="E148" i="1"/>
  <c r="I155" i="1"/>
  <c r="H152" i="1"/>
  <c r="H187" i="1" s="1"/>
  <c r="R143" i="1"/>
  <c r="R139" i="1" s="1"/>
  <c r="V151" i="1"/>
  <c r="H172" i="1"/>
  <c r="G81" i="1"/>
  <c r="C157" i="1"/>
  <c r="N161" i="1"/>
  <c r="N191" i="1" s="1"/>
  <c r="W157" i="1"/>
  <c r="Q179" i="1"/>
  <c r="I157" i="1"/>
  <c r="J152" i="1"/>
  <c r="J187" i="1" s="1"/>
  <c r="N125" i="1"/>
  <c r="L75" i="1"/>
  <c r="U86" i="1"/>
  <c r="W151" i="1"/>
  <c r="K179" i="1"/>
  <c r="L180" i="1"/>
  <c r="H87" i="1"/>
  <c r="L133" i="1"/>
  <c r="S130" i="1"/>
  <c r="T163" i="1"/>
  <c r="V133" i="1"/>
  <c r="BH126" i="1"/>
  <c r="BI126" i="1" s="1"/>
  <c r="BH152" i="1"/>
  <c r="T82" i="1"/>
  <c r="L132" i="1"/>
  <c r="S75" i="1"/>
  <c r="P132" i="1"/>
  <c r="V159" i="1"/>
  <c r="T178" i="1"/>
  <c r="J153" i="1"/>
  <c r="J188" i="1" s="1"/>
  <c r="S163" i="1"/>
  <c r="C167" i="1"/>
  <c r="L135" i="1"/>
  <c r="U144" i="1"/>
  <c r="H158" i="1"/>
  <c r="S143" i="1"/>
  <c r="S139" i="1" s="1"/>
  <c r="P150" i="1"/>
  <c r="I171" i="1"/>
  <c r="F171" i="1"/>
  <c r="Q151" i="1"/>
  <c r="N154" i="1"/>
  <c r="G126" i="1"/>
  <c r="F135" i="1"/>
  <c r="B180" i="1"/>
  <c r="K155" i="1"/>
  <c r="H126" i="1"/>
  <c r="U132" i="1"/>
  <c r="I134" i="1"/>
  <c r="I162" i="1" s="1"/>
  <c r="E81" i="1"/>
  <c r="C148" i="1"/>
  <c r="M127" i="1"/>
  <c r="K135" i="1"/>
  <c r="Q155" i="1"/>
  <c r="N140" i="1"/>
  <c r="M159" i="1"/>
  <c r="R180" i="1"/>
  <c r="F75" i="1"/>
  <c r="J150" i="1"/>
  <c r="S144" i="1"/>
  <c r="S133" i="1"/>
  <c r="H135" i="1"/>
  <c r="C154" i="1"/>
  <c r="S167" i="1"/>
  <c r="N134" i="1"/>
  <c r="N162" i="1" s="1"/>
  <c r="J179" i="1"/>
  <c r="V172" i="1"/>
  <c r="L143" i="1"/>
  <c r="L139" i="1" s="1"/>
  <c r="C150" i="1"/>
  <c r="D71" i="1"/>
  <c r="V167" i="1"/>
  <c r="B171" i="1"/>
  <c r="W87" i="1"/>
  <c r="E179" i="1"/>
  <c r="E125" i="1"/>
  <c r="C130" i="1"/>
  <c r="S126" i="1"/>
  <c r="T167" i="1"/>
  <c r="C87" i="1"/>
  <c r="F132" i="1"/>
  <c r="J159" i="1"/>
  <c r="C178" i="1"/>
  <c r="J171" i="1"/>
  <c r="K180" i="1"/>
  <c r="E82" i="1"/>
  <c r="N144" i="1"/>
  <c r="D159" i="1"/>
  <c r="O141" i="1"/>
  <c r="L178" i="1"/>
  <c r="H171" i="1"/>
  <c r="N179" i="1"/>
  <c r="H179" i="1"/>
  <c r="D85" i="1"/>
  <c r="D179" i="1"/>
  <c r="M75" i="1"/>
  <c r="S159" i="1"/>
  <c r="Q130" i="1"/>
  <c r="G85" i="1"/>
  <c r="Q127" i="1"/>
  <c r="R132" i="1"/>
  <c r="R82" i="1"/>
  <c r="J148" i="1"/>
  <c r="P86" i="1"/>
  <c r="U180" i="1"/>
  <c r="D86" i="1"/>
  <c r="F157" i="1"/>
  <c r="O127" i="1"/>
  <c r="D161" i="1"/>
  <c r="D191" i="1" s="1"/>
  <c r="B139" i="1"/>
  <c r="V85" i="1"/>
  <c r="F159" i="1"/>
  <c r="J158" i="1"/>
  <c r="K87" i="1"/>
  <c r="D158" i="1"/>
  <c r="C161" i="1"/>
  <c r="C191" i="1" s="1"/>
  <c r="T134" i="1"/>
  <c r="T162" i="1" s="1"/>
  <c r="P180" i="1"/>
  <c r="Q141" i="1"/>
  <c r="U148" i="1"/>
  <c r="K130" i="1"/>
  <c r="G178" i="1"/>
  <c r="Q158" i="1"/>
  <c r="O132" i="1"/>
  <c r="L168" i="1"/>
  <c r="J134" i="1"/>
  <c r="J162" i="1" s="1"/>
  <c r="B126" i="1"/>
  <c r="D154" i="1"/>
  <c r="L130" i="1"/>
  <c r="U155" i="1"/>
  <c r="U151" i="1"/>
  <c r="C75" i="1"/>
  <c r="K157" i="1"/>
  <c r="Q135" i="1"/>
  <c r="W180" i="1"/>
  <c r="T144" i="1"/>
  <c r="O86" i="1"/>
  <c r="E163" i="1"/>
  <c r="K81" i="1"/>
  <c r="D141" i="1"/>
  <c r="H155" i="1"/>
  <c r="U167" i="1"/>
  <c r="M157" i="1"/>
  <c r="H85" i="1"/>
  <c r="O144" i="1"/>
  <c r="Q143" i="1"/>
  <c r="Q139" i="1" s="1"/>
  <c r="J157" i="1"/>
  <c r="H168" i="1"/>
  <c r="M141" i="1"/>
  <c r="E157" i="1"/>
  <c r="C168" i="1"/>
  <c r="C155" i="1"/>
  <c r="K143" i="1"/>
  <c r="K139" i="1" s="1"/>
  <c r="N153" i="1"/>
  <c r="N188" i="1" s="1"/>
  <c r="T140" i="1"/>
  <c r="I154" i="1"/>
  <c r="I140" i="1"/>
  <c r="V86" i="1"/>
  <c r="D178" i="1"/>
  <c r="K153" i="1"/>
  <c r="K188" i="1" s="1"/>
  <c r="S155" i="1"/>
  <c r="M150" i="1"/>
  <c r="V144" i="1"/>
  <c r="R140" i="1"/>
  <c r="V134" i="1"/>
  <c r="V162" i="1" s="1"/>
  <c r="P152" i="1"/>
  <c r="P187" i="1" s="1"/>
  <c r="K158" i="1"/>
  <c r="H82" i="1"/>
  <c r="N168" i="1"/>
  <c r="S157" i="1"/>
  <c r="C140" i="1"/>
  <c r="M81" i="1"/>
  <c r="S179" i="1"/>
  <c r="S127" i="1"/>
  <c r="L163" i="1"/>
  <c r="C139" i="1"/>
  <c r="O140" i="1"/>
  <c r="D143" i="1"/>
  <c r="S168" i="1"/>
  <c r="D139" i="1"/>
  <c r="V180" i="1"/>
  <c r="V87" i="1"/>
  <c r="T150" i="1"/>
  <c r="W172" i="1"/>
  <c r="I127" i="1"/>
  <c r="J161" i="1"/>
  <c r="J191" i="1" s="1"/>
  <c r="R85" i="1"/>
  <c r="S87" i="1"/>
  <c r="L148" i="1"/>
  <c r="U145" i="1"/>
  <c r="O157" i="1"/>
  <c r="AU32" i="1"/>
  <c r="BS55" i="1"/>
  <c r="BQ47" i="1"/>
  <c r="BV53" i="1"/>
  <c r="BI47" i="1"/>
  <c r="BU30" i="1"/>
  <c r="AO55" i="1"/>
  <c r="BF23" i="1"/>
  <c r="BA23" i="1"/>
  <c r="AR47" i="1"/>
  <c r="AT31" i="1"/>
  <c r="BN28" i="1"/>
  <c r="BJ54" i="1"/>
  <c r="AO40" i="1"/>
  <c r="AO202" i="1" s="1"/>
  <c r="AK81" i="1"/>
  <c r="BV21" i="1"/>
  <c r="BN43" i="1"/>
  <c r="BH172" i="1"/>
  <c r="BI172" i="1" s="1"/>
  <c r="BH157" i="1"/>
  <c r="BI157" i="1" s="1"/>
  <c r="BV153" i="1"/>
  <c r="BV133" i="1"/>
  <c r="BW133" i="1" s="1"/>
  <c r="BH168" i="1"/>
  <c r="E180" i="1"/>
  <c r="R141" i="1"/>
  <c r="O130" i="1"/>
  <c r="K145" i="1"/>
  <c r="W81" i="1"/>
  <c r="O153" i="1"/>
  <c r="O188" i="1" s="1"/>
  <c r="D133" i="1"/>
  <c r="F141" i="1"/>
  <c r="F143" i="1"/>
  <c r="F139" i="1" s="1"/>
  <c r="N145" i="1"/>
  <c r="H75" i="1"/>
  <c r="P143" i="1"/>
  <c r="P139" i="1" s="1"/>
  <c r="I153" i="1"/>
  <c r="I188" i="1" s="1"/>
  <c r="D155" i="1"/>
  <c r="F134" i="1"/>
  <c r="F162" i="1" s="1"/>
  <c r="S148" i="1"/>
  <c r="S135" i="1"/>
  <c r="H134" i="1"/>
  <c r="H162" i="1" s="1"/>
  <c r="E154" i="1"/>
  <c r="L179" i="1"/>
  <c r="L127" i="1"/>
  <c r="D180" i="1"/>
  <c r="U135" i="1"/>
  <c r="V125" i="1"/>
  <c r="I126" i="1"/>
  <c r="D172" i="1"/>
  <c r="J133" i="1"/>
  <c r="N75" i="1"/>
  <c r="K154" i="1"/>
  <c r="M87" i="1"/>
  <c r="I144" i="1"/>
  <c r="W126" i="1"/>
  <c r="G135" i="1"/>
  <c r="H143" i="1"/>
  <c r="H139" i="1" s="1"/>
  <c r="Q81" i="1"/>
  <c r="C143" i="1"/>
  <c r="V161" i="1"/>
  <c r="V191" i="1" s="1"/>
  <c r="V126" i="1"/>
  <c r="Q140" i="1"/>
  <c r="B132" i="1"/>
  <c r="E171" i="1"/>
  <c r="Q134" i="1"/>
  <c r="Q162" i="1" s="1"/>
  <c r="O125" i="1"/>
  <c r="K125" i="1"/>
  <c r="E85" i="1"/>
  <c r="N85" i="1"/>
  <c r="R154" i="1"/>
  <c r="E126" i="1"/>
  <c r="H153" i="1"/>
  <c r="H188" i="1" s="1"/>
  <c r="R127" i="1"/>
  <c r="K133" i="1"/>
  <c r="O126" i="1"/>
  <c r="Q133" i="1"/>
  <c r="J87" i="1"/>
  <c r="U150" i="1"/>
  <c r="B145" i="1"/>
  <c r="I180" i="1"/>
  <c r="P140" i="1"/>
  <c r="H178" i="1"/>
  <c r="I148" i="1"/>
  <c r="G75" i="1"/>
  <c r="U171" i="1"/>
  <c r="E87" i="1"/>
  <c r="B125" i="1"/>
  <c r="M130" i="1"/>
  <c r="P178" i="1"/>
  <c r="F148" i="1"/>
  <c r="T155" i="1"/>
  <c r="O152" i="1"/>
  <c r="O187" i="1" s="1"/>
  <c r="S152" i="1"/>
  <c r="S187" i="1" s="1"/>
  <c r="O172" i="1"/>
  <c r="R155" i="1"/>
  <c r="N82" i="1"/>
  <c r="AN59" i="1"/>
  <c r="BO53" i="1"/>
  <c r="BR28" i="1"/>
  <c r="AX16" i="1"/>
  <c r="BG16" i="1"/>
  <c r="BG239" i="1" s="1"/>
  <c r="BN23" i="1"/>
  <c r="AI44" i="1"/>
  <c r="BV16" i="1"/>
  <c r="AS17" i="1"/>
  <c r="AY53" i="1"/>
  <c r="BN59" i="1"/>
  <c r="BW33" i="1"/>
  <c r="AT53" i="1"/>
  <c r="AQ47" i="1"/>
  <c r="BJ40" i="1"/>
  <c r="BJ261" i="1" s="1"/>
  <c r="AS47" i="1"/>
  <c r="BH17" i="1"/>
  <c r="BQ30" i="1"/>
  <c r="AR44" i="1"/>
  <c r="BF21" i="1"/>
  <c r="BS28" i="1"/>
  <c r="BH154" i="1"/>
  <c r="BI154" i="1" s="1"/>
  <c r="BH140" i="1"/>
  <c r="BH125" i="1"/>
  <c r="BH132" i="1"/>
  <c r="BI132" i="1" s="1"/>
  <c r="BV151" i="1"/>
  <c r="BW151" i="1" s="1"/>
  <c r="BH163" i="1"/>
  <c r="BI163" i="1" s="1"/>
  <c r="BH127" i="1"/>
  <c r="BH158" i="1"/>
  <c r="BI158" i="1" s="1"/>
  <c r="W130" i="1"/>
  <c r="S140" i="1"/>
  <c r="H151" i="1"/>
  <c r="I145" i="1"/>
  <c r="N157" i="1"/>
  <c r="F152" i="1"/>
  <c r="F187" i="1" s="1"/>
  <c r="L145" i="1"/>
  <c r="D81" i="1"/>
  <c r="C144" i="1"/>
  <c r="I158" i="1"/>
  <c r="U153" i="1"/>
  <c r="U188" i="1" s="1"/>
  <c r="J168" i="1"/>
  <c r="L158" i="1"/>
  <c r="G144" i="1"/>
  <c r="G145" i="1"/>
  <c r="E135" i="1"/>
  <c r="Q148" i="1"/>
  <c r="W133" i="1"/>
  <c r="H130" i="1"/>
  <c r="M82" i="1"/>
  <c r="L154" i="1"/>
  <c r="M85" i="1"/>
  <c r="Q152" i="1"/>
  <c r="Q187" i="1" s="1"/>
  <c r="D157" i="1"/>
  <c r="S172" i="1"/>
  <c r="C81" i="1"/>
  <c r="B85" i="1"/>
  <c r="R148" i="1"/>
  <c r="C134" i="1"/>
  <c r="C162" i="1" s="1"/>
  <c r="O87" i="1"/>
  <c r="I152" i="1"/>
  <c r="I187" i="1" s="1"/>
  <c r="R86" i="1"/>
  <c r="R171" i="1"/>
  <c r="T145" i="1"/>
  <c r="W75" i="1"/>
  <c r="J126" i="1"/>
  <c r="T132" i="1"/>
  <c r="W150" i="1"/>
  <c r="V179" i="1"/>
  <c r="D125" i="1"/>
  <c r="W154" i="1"/>
  <c r="N172" i="1"/>
  <c r="F133" i="1"/>
  <c r="E134" i="1"/>
  <c r="E162" i="1" s="1"/>
  <c r="I167" i="1"/>
  <c r="J130" i="1"/>
  <c r="Q75" i="1"/>
  <c r="Q154" i="1"/>
  <c r="P134" i="1"/>
  <c r="P162" i="1" s="1"/>
  <c r="Q85" i="1"/>
  <c r="L152" i="1"/>
  <c r="L187" i="1" s="1"/>
  <c r="S145" i="1"/>
  <c r="V163" i="1"/>
  <c r="I168" i="1"/>
  <c r="F151" i="1"/>
  <c r="R153" i="1"/>
  <c r="R188" i="1" s="1"/>
  <c r="Q168" i="1"/>
  <c r="V140" i="1"/>
  <c r="I135" i="1"/>
  <c r="F86" i="1"/>
  <c r="W167" i="1"/>
  <c r="G141" i="1"/>
  <c r="S153" i="1"/>
  <c r="S188" i="1" s="1"/>
  <c r="S141" i="1"/>
  <c r="D75" i="1"/>
  <c r="K178" i="1"/>
  <c r="M158" i="1"/>
  <c r="N133" i="1"/>
  <c r="Q145" i="1"/>
  <c r="U85" i="1"/>
  <c r="G86" i="1"/>
  <c r="BV167" i="1"/>
  <c r="BV132" i="1"/>
  <c r="BW132" i="1" s="1"/>
  <c r="BV126" i="1"/>
  <c r="BW126" i="1" s="1"/>
  <c r="BH134" i="1"/>
  <c r="BI134" i="1" s="1"/>
  <c r="BV125" i="1"/>
  <c r="B140" i="1"/>
  <c r="K168" i="1"/>
  <c r="W178" i="1"/>
  <c r="L87" i="1"/>
  <c r="F158" i="1"/>
  <c r="T87" i="1"/>
  <c r="V154" i="1"/>
  <c r="F168" i="1"/>
  <c r="S171" i="1"/>
  <c r="Q144" i="1"/>
  <c r="J125" i="1"/>
  <c r="W143" i="1"/>
  <c r="W139" i="1" s="1"/>
  <c r="U87" i="1"/>
  <c r="S180" i="1"/>
  <c r="G155" i="1"/>
  <c r="R75" i="1"/>
  <c r="J163" i="1"/>
  <c r="G132" i="1"/>
  <c r="N141" i="1"/>
  <c r="V168" i="1"/>
  <c r="R125" i="1"/>
  <c r="T81" i="1"/>
  <c r="D72" i="1"/>
  <c r="E161" i="1"/>
  <c r="E191" i="1" s="1"/>
  <c r="M179" i="1"/>
  <c r="S134" i="1"/>
  <c r="S162" i="1" s="1"/>
  <c r="S85" i="1"/>
  <c r="R130" i="1"/>
  <c r="D87" i="1"/>
  <c r="U157" i="1"/>
  <c r="K163" i="1"/>
  <c r="W179" i="1"/>
  <c r="B130" i="1"/>
  <c r="R144" i="1"/>
  <c r="F81" i="1"/>
  <c r="G134" i="1"/>
  <c r="G162" i="1" s="1"/>
  <c r="K75" i="1"/>
  <c r="U75" i="1"/>
  <c r="V135" i="1"/>
  <c r="Q178" i="1"/>
  <c r="C72" i="1"/>
  <c r="P179" i="1"/>
  <c r="L82" i="1"/>
  <c r="T135" i="1"/>
  <c r="R81" i="1"/>
  <c r="P153" i="1"/>
  <c r="P188" i="1" s="1"/>
  <c r="E159" i="1"/>
  <c r="V153" i="1"/>
  <c r="V188" i="1" s="1"/>
  <c r="P171" i="1"/>
  <c r="C163" i="1"/>
  <c r="P145" i="1"/>
  <c r="U127" i="1"/>
  <c r="M168" i="1"/>
  <c r="K159" i="1"/>
  <c r="B178" i="1"/>
  <c r="R178" i="1"/>
  <c r="J154" i="1"/>
  <c r="E155" i="1"/>
  <c r="R158" i="1"/>
  <c r="J180" i="1"/>
  <c r="F153" i="1"/>
  <c r="F188" i="1" s="1"/>
  <c r="J143" i="1"/>
  <c r="J139" i="1" s="1"/>
  <c r="D140" i="1"/>
  <c r="R145" i="1"/>
  <c r="O151" i="1"/>
  <c r="F150" i="1"/>
  <c r="D167" i="1"/>
  <c r="O158" i="1"/>
  <c r="G158" i="1"/>
  <c r="T171" i="1"/>
  <c r="P127" i="1"/>
  <c r="J82" i="1"/>
  <c r="C86" i="1"/>
  <c r="J141" i="1"/>
  <c r="G180" i="1"/>
  <c r="M161" i="1"/>
  <c r="M191" i="1" s="1"/>
  <c r="O159" i="1"/>
  <c r="T75" i="1"/>
  <c r="S81" i="1"/>
  <c r="L140" i="1"/>
  <c r="F155" i="1"/>
  <c r="B172" i="1"/>
  <c r="M171" i="1"/>
  <c r="O143" i="1"/>
  <c r="O139" i="1" s="1"/>
  <c r="L167" i="1"/>
  <c r="B153" i="1"/>
  <c r="B188" i="1" s="1"/>
  <c r="W159" i="1"/>
  <c r="F140" i="1"/>
  <c r="L172" i="1"/>
  <c r="E86" i="1"/>
  <c r="P167" i="1"/>
  <c r="P169" i="1" s="1"/>
  <c r="Q217" i="1" s="1"/>
  <c r="U140" i="1"/>
  <c r="D144" i="1"/>
  <c r="L81" i="1"/>
  <c r="F144" i="1"/>
  <c r="L125" i="1"/>
  <c r="U152" i="1"/>
  <c r="U187" i="1" s="1"/>
  <c r="G150" i="1"/>
  <c r="E133" i="1"/>
  <c r="S86" i="1"/>
  <c r="P85" i="1"/>
  <c r="Q153" i="1"/>
  <c r="Q188" i="1" s="1"/>
  <c r="C159" i="1"/>
  <c r="M152" i="1"/>
  <c r="M187" i="1" s="1"/>
  <c r="U82" i="1"/>
  <c r="V132" i="1"/>
  <c r="R168" i="1"/>
  <c r="K82" i="1"/>
  <c r="K150" i="1"/>
  <c r="J155" i="1"/>
  <c r="L161" i="1"/>
  <c r="L191" i="1" s="1"/>
  <c r="V148" i="1"/>
  <c r="V82" i="1"/>
  <c r="M86" i="1"/>
  <c r="O148" i="1"/>
  <c r="O145" i="1"/>
  <c r="C172" i="1"/>
  <c r="F130" i="1"/>
  <c r="N171" i="1"/>
  <c r="W171" i="1"/>
  <c r="N152" i="1"/>
  <c r="N187" i="1" s="1"/>
  <c r="H145" i="1"/>
  <c r="F85" i="1"/>
  <c r="I81" i="1"/>
  <c r="K167" i="1"/>
  <c r="I86" i="1"/>
  <c r="T126" i="1"/>
  <c r="T154" i="1"/>
  <c r="J86" i="1"/>
  <c r="O178" i="1"/>
  <c r="P172" i="1"/>
  <c r="J167" i="1"/>
  <c r="N135" i="1"/>
  <c r="L85" i="1"/>
  <c r="E143" i="1"/>
  <c r="E139" i="1" s="1"/>
  <c r="S154" i="1"/>
  <c r="B127" i="1"/>
  <c r="V171" i="1"/>
  <c r="F163" i="1"/>
  <c r="T130" i="1"/>
  <c r="W132" i="1"/>
  <c r="O150" i="1"/>
  <c r="Q163" i="1"/>
  <c r="G143" i="1"/>
  <c r="G139" i="1" s="1"/>
  <c r="T148" i="1"/>
  <c r="R151" i="1"/>
  <c r="D127" i="1"/>
  <c r="N163" i="1"/>
  <c r="I159" i="1"/>
  <c r="O154" i="1"/>
  <c r="H125" i="1"/>
  <c r="I125" i="1"/>
  <c r="N86" i="1"/>
  <c r="G82" i="1"/>
  <c r="P87" i="1"/>
  <c r="R163" i="1"/>
  <c r="N151" i="1"/>
  <c r="W85" i="1"/>
  <c r="U178" i="1"/>
  <c r="C180" i="1"/>
  <c r="W148" i="1"/>
  <c r="X210" i="1" s="1"/>
  <c r="T161" i="1"/>
  <c r="T191" i="1" s="1"/>
  <c r="F127" i="1"/>
  <c r="K161" i="1"/>
  <c r="K191" i="1" s="1"/>
  <c r="U126" i="1"/>
  <c r="I161" i="1"/>
  <c r="I191" i="1" s="1"/>
  <c r="Q167" i="1"/>
  <c r="I75" i="1"/>
  <c r="C171" i="1"/>
  <c r="Q87" i="1"/>
  <c r="V150" i="1"/>
  <c r="S178" i="1"/>
  <c r="J132" i="1"/>
  <c r="U158" i="1"/>
  <c r="M133" i="1"/>
  <c r="U168" i="1"/>
  <c r="O81" i="1"/>
  <c r="D132" i="1"/>
  <c r="S150" i="1"/>
  <c r="E172" i="1"/>
  <c r="D171" i="1"/>
  <c r="K144" i="1"/>
  <c r="B151" i="1"/>
  <c r="W163" i="1"/>
  <c r="F82" i="1"/>
  <c r="C133" i="1"/>
  <c r="S158" i="1"/>
  <c r="H161" i="1"/>
  <c r="H191" i="1" s="1"/>
  <c r="U134" i="1"/>
  <c r="U162" i="1" s="1"/>
  <c r="L155" i="1"/>
  <c r="H133" i="1"/>
  <c r="L134" i="1"/>
  <c r="L162" i="1" s="1"/>
  <c r="B157" i="1"/>
  <c r="H144" i="1"/>
  <c r="G167" i="1"/>
  <c r="K86" i="1"/>
  <c r="M144" i="1"/>
  <c r="S151" i="1"/>
  <c r="H141" i="1"/>
  <c r="F87" i="1"/>
  <c r="H163" i="1"/>
  <c r="G127" i="1"/>
  <c r="P82" i="1"/>
  <c r="T159" i="1"/>
  <c r="G172" i="1"/>
  <c r="BF22" i="1"/>
  <c r="BD40" i="1"/>
  <c r="BD202" i="1" s="1"/>
  <c r="AY54" i="1"/>
  <c r="BG22" i="1"/>
  <c r="BO23" i="1"/>
  <c r="AN31" i="1"/>
  <c r="AO43" i="1"/>
  <c r="AV21" i="1"/>
  <c r="BM59" i="1"/>
  <c r="AY28" i="1"/>
  <c r="AN29" i="1"/>
  <c r="BV172" i="1"/>
  <c r="BW172" i="1" s="1"/>
  <c r="BH133" i="1"/>
  <c r="BI133" i="1" s="1"/>
  <c r="BV135" i="1"/>
  <c r="BW135" i="1" s="1"/>
  <c r="BH161" i="1"/>
  <c r="D126" i="1"/>
  <c r="C126" i="1"/>
  <c r="W144" i="1"/>
  <c r="B87" i="1"/>
  <c r="B179" i="1"/>
  <c r="W161" i="1"/>
  <c r="J85" i="1"/>
  <c r="B154" i="1"/>
  <c r="R126" i="1"/>
  <c r="W155" i="1"/>
  <c r="C85" i="1"/>
  <c r="D151" i="1"/>
  <c r="F178" i="1"/>
  <c r="B155" i="1"/>
  <c r="J178" i="1"/>
  <c r="V152" i="1"/>
  <c r="V187" i="1" s="1"/>
  <c r="P155" i="1"/>
  <c r="B167" i="1"/>
  <c r="I143" i="1"/>
  <c r="I139" i="1" s="1"/>
  <c r="R167" i="1"/>
  <c r="C153" i="1"/>
  <c r="C188" i="1" s="1"/>
  <c r="L86" i="1"/>
  <c r="G159" i="1"/>
  <c r="I141" i="1"/>
  <c r="M172" i="1"/>
  <c r="L151" i="1"/>
  <c r="H81" i="1"/>
  <c r="P125" i="1"/>
  <c r="R157" i="1"/>
  <c r="M151" i="1"/>
  <c r="J75" i="1"/>
  <c r="L159" i="1"/>
  <c r="H157" i="1"/>
  <c r="I85" i="1"/>
  <c r="U133" i="1"/>
  <c r="L153" i="1"/>
  <c r="L188" i="1" s="1"/>
  <c r="O155" i="1"/>
  <c r="K148" i="1"/>
  <c r="K132" i="1"/>
  <c r="E152" i="1"/>
  <c r="E187" i="1" s="1"/>
  <c r="N178" i="1"/>
  <c r="M125" i="1"/>
  <c r="O167" i="1"/>
  <c r="S161" i="1"/>
  <c r="S191" i="1" s="1"/>
  <c r="O85" i="1"/>
  <c r="O161" i="1"/>
  <c r="O191" i="1" s="1"/>
  <c r="N127" i="1"/>
  <c r="T133" i="1"/>
  <c r="Q126" i="1"/>
  <c r="P148" i="1"/>
  <c r="I172" i="1"/>
  <c r="V127" i="1"/>
  <c r="E140" i="1"/>
  <c r="H148" i="1"/>
  <c r="T152" i="1"/>
  <c r="T187" i="1" s="1"/>
  <c r="N167" i="1"/>
  <c r="U141" i="1"/>
  <c r="E75" i="1"/>
  <c r="M135" i="1"/>
  <c r="P75" i="1"/>
  <c r="Q159" i="1"/>
  <c r="M178" i="1"/>
  <c r="Q125" i="1"/>
  <c r="E151" i="1"/>
  <c r="R134" i="1"/>
  <c r="R162" i="1" s="1"/>
  <c r="F167" i="1"/>
  <c r="V157" i="1"/>
  <c r="P130" i="1"/>
  <c r="M134" i="1"/>
  <c r="M162" i="1" s="1"/>
  <c r="U163" i="1"/>
  <c r="F154" i="1"/>
  <c r="G130" i="1"/>
  <c r="I130" i="1"/>
  <c r="K126" i="1"/>
  <c r="O75" i="1"/>
  <c r="M148" i="1"/>
  <c r="K85" i="1"/>
  <c r="T143" i="1"/>
  <c r="T139" i="1" s="1"/>
  <c r="E178" i="1"/>
  <c r="G87" i="1"/>
  <c r="R159" i="1"/>
  <c r="T180" i="1"/>
  <c r="M126" i="1"/>
  <c r="N81" i="1"/>
  <c r="N180" i="1"/>
  <c r="D150" i="1"/>
  <c r="B161" i="1"/>
  <c r="B191" i="1" s="1"/>
  <c r="U81" i="1"/>
  <c r="U125" i="1"/>
  <c r="T179" i="1"/>
  <c r="B143" i="1"/>
  <c r="V158" i="1"/>
  <c r="W145" i="1"/>
  <c r="B86" i="1"/>
  <c r="Q171" i="1"/>
  <c r="F179" i="1"/>
  <c r="N150" i="1"/>
  <c r="M155" i="1"/>
  <c r="G157" i="1"/>
  <c r="I87" i="1"/>
  <c r="H150" i="1"/>
  <c r="B141" i="1"/>
  <c r="U143" i="1"/>
  <c r="U139" i="1" s="1"/>
  <c r="O168" i="1"/>
  <c r="B152" i="1"/>
  <c r="B187" i="1" s="1"/>
  <c r="N126" i="1"/>
  <c r="K127" i="1"/>
  <c r="U159" i="1"/>
  <c r="P159" i="1"/>
  <c r="N148" i="1"/>
  <c r="T125" i="1"/>
  <c r="H159" i="1"/>
  <c r="W141" i="1"/>
  <c r="G168" i="1"/>
  <c r="L157" i="1"/>
  <c r="M180" i="1"/>
  <c r="B133" i="1"/>
  <c r="G133" i="1"/>
  <c r="I150" i="1"/>
  <c r="E168" i="1"/>
  <c r="E169" i="1" s="1"/>
  <c r="F217" i="1" s="1"/>
  <c r="D152" i="1"/>
  <c r="D187" i="1" s="1"/>
  <c r="K134" i="1"/>
  <c r="K162" i="1" s="1"/>
  <c r="S82" i="1"/>
  <c r="E132" i="1"/>
  <c r="K140" i="1"/>
  <c r="C158" i="1"/>
  <c r="W153" i="1"/>
  <c r="O179" i="1"/>
  <c r="O82" i="1"/>
  <c r="F125" i="1"/>
  <c r="J135" i="1"/>
  <c r="BR134" i="1"/>
  <c r="BS134" i="1" s="1"/>
  <c r="BF82" i="1"/>
  <c r="BD143" i="1"/>
  <c r="BE143" i="1" s="1"/>
  <c r="AZ125" i="1"/>
  <c r="BA125" i="1" s="1"/>
  <c r="BN172" i="1"/>
  <c r="BO172" i="1" s="1"/>
  <c r="BF155" i="1"/>
  <c r="BG155" i="1" s="1"/>
  <c r="BN127" i="1"/>
  <c r="BN134" i="1"/>
  <c r="BO134" i="1" s="1"/>
  <c r="AT139" i="1"/>
  <c r="AZ139" i="1"/>
  <c r="BR135" i="1"/>
  <c r="BS135" i="1" s="1"/>
  <c r="AR172" i="1"/>
  <c r="AS172" i="1" s="1"/>
  <c r="AT159" i="1"/>
  <c r="AU159" i="1" s="1"/>
  <c r="AX82" i="1"/>
  <c r="BN130" i="1"/>
  <c r="BO130" i="1" s="1"/>
  <c r="BF171" i="1"/>
  <c r="BG171" i="1" s="1"/>
  <c r="AZ168" i="1"/>
  <c r="BD160" i="1"/>
  <c r="BE160" i="1" s="1"/>
  <c r="BN160" i="1"/>
  <c r="BO160" i="1" s="1"/>
  <c r="BT160" i="1"/>
  <c r="BU160" i="1" s="1"/>
  <c r="BR140" i="1"/>
  <c r="AT167" i="1"/>
  <c r="BF172" i="1"/>
  <c r="BG172" i="1" s="1"/>
  <c r="AZ143" i="1"/>
  <c r="BA143" i="1" s="1"/>
  <c r="BF126" i="1"/>
  <c r="BG126" i="1" s="1"/>
  <c r="BF125" i="1"/>
  <c r="BG125" i="1" s="1"/>
  <c r="AZ155" i="1"/>
  <c r="BA155" i="1" s="1"/>
  <c r="BW81" i="1"/>
  <c r="BN163" i="1"/>
  <c r="BO163" i="1" s="1"/>
  <c r="BR157" i="1"/>
  <c r="BS157" i="1" s="1"/>
  <c r="BD82" i="1"/>
  <c r="AT133" i="1"/>
  <c r="AU133" i="1" s="1"/>
  <c r="BF140" i="1"/>
  <c r="AT130" i="1"/>
  <c r="AU130" i="1" s="1"/>
  <c r="BB134" i="1"/>
  <c r="BC134" i="1" s="1"/>
  <c r="AP148" i="1"/>
  <c r="AV158" i="1"/>
  <c r="AW158" i="1" s="1"/>
  <c r="BE82" i="1"/>
  <c r="AP127" i="1"/>
  <c r="BR159" i="1"/>
  <c r="BS159" i="1" s="1"/>
  <c r="AT141" i="1"/>
  <c r="BN154" i="1"/>
  <c r="BO154" i="1" s="1"/>
  <c r="BN140" i="1"/>
  <c r="BR152" i="1"/>
  <c r="BA82" i="1"/>
  <c r="BR154" i="1"/>
  <c r="BS154" i="1" s="1"/>
  <c r="AT152" i="1"/>
  <c r="BC81" i="1"/>
  <c r="BR153" i="1"/>
  <c r="AZ152" i="1"/>
  <c r="BD134" i="1"/>
  <c r="BE134" i="1" s="1"/>
  <c r="AV134" i="1"/>
  <c r="AW134" i="1" s="1"/>
  <c r="AR162" i="1"/>
  <c r="AS162" i="1" s="1"/>
  <c r="BP167" i="1"/>
  <c r="AR132" i="1"/>
  <c r="AV172" i="1"/>
  <c r="AW172" i="1" s="1"/>
  <c r="AR161" i="1"/>
  <c r="BB139" i="1"/>
  <c r="AR168" i="1"/>
  <c r="AT157" i="1"/>
  <c r="AU157" i="1" s="1"/>
  <c r="AT161" i="1"/>
  <c r="AV159" i="1"/>
  <c r="AW159" i="1" s="1"/>
  <c r="BT135" i="1"/>
  <c r="BU135" i="1" s="1"/>
  <c r="BB153" i="1"/>
  <c r="AT126" i="1"/>
  <c r="AU126" i="1" s="1"/>
  <c r="BB148" i="1"/>
  <c r="BC148" i="1" s="1"/>
  <c r="BD125" i="1"/>
  <c r="BB161" i="1"/>
  <c r="BN167" i="1"/>
  <c r="AZ134" i="1"/>
  <c r="BA134" i="1" s="1"/>
  <c r="BN152" i="1"/>
  <c r="AT143" i="1"/>
  <c r="AU143" i="1" s="1"/>
  <c r="AT134" i="1"/>
  <c r="AU134" i="1" s="1"/>
  <c r="AZ141" i="1"/>
  <c r="BF161" i="1"/>
  <c r="AZ135" i="1"/>
  <c r="BA135" i="1" s="1"/>
  <c r="AT158" i="1"/>
  <c r="BE81" i="1"/>
  <c r="BN141" i="1"/>
  <c r="BN171" i="1"/>
  <c r="BO171" i="1" s="1"/>
  <c r="AZ159" i="1"/>
  <c r="BA159" i="1" s="1"/>
  <c r="BD153" i="1"/>
  <c r="AZ126" i="1"/>
  <c r="BA126" i="1" s="1"/>
  <c r="AX150" i="1"/>
  <c r="AY150" i="1" s="1"/>
  <c r="BR141" i="1"/>
  <c r="AZ140" i="1"/>
  <c r="AT135" i="1"/>
  <c r="AU135" i="1" s="1"/>
  <c r="AT153" i="1"/>
  <c r="AT163" i="1"/>
  <c r="AU163" i="1" s="1"/>
  <c r="AT154" i="1"/>
  <c r="AU154" i="1" s="1"/>
  <c r="AT162" i="1"/>
  <c r="AU162" i="1" s="1"/>
  <c r="AT125" i="1"/>
  <c r="AZ171" i="1"/>
  <c r="BA171" i="1" s="1"/>
  <c r="AZ158" i="1"/>
  <c r="BA158" i="1" s="1"/>
  <c r="BF127" i="1"/>
  <c r="BG82" i="1"/>
  <c r="AZ172" i="1"/>
  <c r="BA172" i="1" s="1"/>
  <c r="BK81" i="1"/>
  <c r="AT151" i="1"/>
  <c r="AU151" i="1" s="1"/>
  <c r="AT127" i="1"/>
  <c r="BN161" i="1"/>
  <c r="BF134" i="1"/>
  <c r="BG134" i="1" s="1"/>
  <c r="AP134" i="1"/>
  <c r="AQ134" i="1" s="1"/>
  <c r="AV154" i="1"/>
  <c r="AW154" i="1" s="1"/>
  <c r="AR125" i="1"/>
  <c r="BP141" i="1"/>
  <c r="AN162" i="1"/>
  <c r="AO162" i="1" s="1"/>
  <c r="AN159" i="1"/>
  <c r="AO159" i="1" s="1"/>
  <c r="AR135" i="1"/>
  <c r="AS135" i="1" s="1"/>
  <c r="AR157" i="1"/>
  <c r="AS157" i="1" s="1"/>
  <c r="AV153" i="1"/>
  <c r="AR134" i="1"/>
  <c r="AS134" i="1" s="1"/>
  <c r="BB81" i="1"/>
  <c r="AZ154" i="1"/>
  <c r="BA154" i="1" s="1"/>
  <c r="BD167" i="1"/>
  <c r="BR162" i="1"/>
  <c r="BS162" i="1" s="1"/>
  <c r="BT140" i="1"/>
  <c r="BK82" i="1"/>
  <c r="BF152" i="1"/>
  <c r="BR148" i="1"/>
  <c r="BT132" i="1"/>
  <c r="AT172" i="1"/>
  <c r="AU172" i="1" s="1"/>
  <c r="AT160" i="1"/>
  <c r="AU160" i="1" s="1"/>
  <c r="BC82" i="1"/>
  <c r="AT82" i="1"/>
  <c r="BB152" i="1"/>
  <c r="BB155" i="1"/>
  <c r="BC155" i="1" s="1"/>
  <c r="AN148" i="1"/>
  <c r="AN141" i="1"/>
  <c r="BD135" i="1"/>
  <c r="BE135" i="1" s="1"/>
  <c r="AX172" i="1"/>
  <c r="AY172" i="1" s="1"/>
  <c r="AX133" i="1"/>
  <c r="AY133" i="1" s="1"/>
  <c r="BB171" i="1"/>
  <c r="BC171" i="1" s="1"/>
  <c r="AZ82" i="1"/>
  <c r="BF154" i="1"/>
  <c r="BG154" i="1" s="1"/>
  <c r="BD141" i="1"/>
  <c r="BR133" i="1"/>
  <c r="BS133" i="1" s="1"/>
  <c r="AZ127" i="1"/>
  <c r="BD126" i="1"/>
  <c r="BE126" i="1" s="1"/>
  <c r="BT172" i="1"/>
  <c r="BU172" i="1" s="1"/>
  <c r="AP140" i="1"/>
  <c r="BR155" i="1"/>
  <c r="BS155" i="1" s="1"/>
  <c r="AX141" i="1"/>
  <c r="AX154" i="1"/>
  <c r="AY154" i="1" s="1"/>
  <c r="BN168" i="1"/>
  <c r="BN126" i="1"/>
  <c r="BO126" i="1" s="1"/>
  <c r="BN157" i="1"/>
  <c r="BO157" i="1" s="1"/>
  <c r="BR168" i="1"/>
  <c r="BR130" i="1"/>
  <c r="BS130" i="1" s="1"/>
  <c r="BT126" i="1"/>
  <c r="BU126" i="1" s="1"/>
  <c r="BM81" i="1"/>
  <c r="BR139" i="1"/>
  <c r="BR171" i="1"/>
  <c r="BS171" i="1" s="1"/>
  <c r="AZ167" i="1"/>
  <c r="AT148" i="1"/>
  <c r="AU148" i="1" s="1"/>
  <c r="AT168" i="1"/>
  <c r="AT132" i="1"/>
  <c r="AU132" i="1" s="1"/>
  <c r="AT150" i="1"/>
  <c r="BN143" i="1"/>
  <c r="BO143" i="1" s="1"/>
  <c r="BB160" i="1"/>
  <c r="BC160" i="1" s="1"/>
  <c r="BF167" i="1"/>
  <c r="BF81" i="1"/>
  <c r="BT130" i="1"/>
  <c r="BU130" i="1" s="1"/>
  <c r="AT171" i="1"/>
  <c r="AU171" i="1" s="1"/>
  <c r="AT155" i="1"/>
  <c r="AU155" i="1" s="1"/>
  <c r="AU82" i="1"/>
  <c r="BB126" i="1"/>
  <c r="BC126" i="1" s="1"/>
  <c r="AZ81" i="1"/>
  <c r="BB125" i="1"/>
  <c r="BD162" i="1"/>
  <c r="BE162" i="1" s="1"/>
  <c r="BT171" i="1"/>
  <c r="BU171" i="1" s="1"/>
  <c r="BP172" i="1"/>
  <c r="BQ172" i="1" s="1"/>
  <c r="AV130" i="1"/>
  <c r="AW130" i="1" s="1"/>
  <c r="AR143" i="1"/>
  <c r="AS143" i="1" s="1"/>
  <c r="AR148" i="1"/>
  <c r="AS148" i="1" s="1"/>
  <c r="AR141" i="1"/>
  <c r="AV163" i="1"/>
  <c r="AW163" i="1" s="1"/>
  <c r="AR167" i="1"/>
  <c r="AN152" i="1"/>
  <c r="AR163" i="1"/>
  <c r="AS163" i="1" s="1"/>
  <c r="AR159" i="1"/>
  <c r="AS159" i="1" s="1"/>
  <c r="AT140" i="1"/>
  <c r="AT81" i="1"/>
  <c r="AO82" i="1"/>
  <c r="AV155" i="1"/>
  <c r="AW155" i="1" s="1"/>
  <c r="AV151" i="1"/>
  <c r="AT145" i="1"/>
  <c r="AU145" i="1" s="1"/>
  <c r="BT151" i="1"/>
  <c r="BB151" i="1"/>
  <c r="BN151" i="1"/>
  <c r="BJ35" i="1"/>
  <c r="BT239" i="1"/>
  <c r="CQ142" i="1"/>
  <c r="DB85" i="1"/>
  <c r="CY73" i="1"/>
  <c r="CZ71" i="1"/>
  <c r="AI45" i="1" l="1"/>
  <c r="AQ18" i="1"/>
  <c r="S169" i="1"/>
  <c r="T217" i="1" s="1"/>
  <c r="D181" i="1"/>
  <c r="F210" i="1"/>
  <c r="E210" i="1"/>
  <c r="BW260" i="1"/>
  <c r="M142" i="1"/>
  <c r="AY260" i="1"/>
  <c r="BR261" i="1"/>
  <c r="BN260" i="1"/>
  <c r="BR260" i="1"/>
  <c r="AP260" i="1"/>
  <c r="BS260" i="1"/>
  <c r="Q169" i="1"/>
  <c r="U136" i="1"/>
  <c r="I210" i="1"/>
  <c r="N169" i="1"/>
  <c r="AX148" i="1"/>
  <c r="AY148" i="1" s="1"/>
  <c r="AZ161" i="1"/>
  <c r="AZ162" i="1"/>
  <c r="BA162" i="1" s="1"/>
  <c r="BT139" i="1"/>
  <c r="BP163" i="1"/>
  <c r="BQ163" i="1" s="1"/>
  <c r="BP81" i="1"/>
  <c r="BF133" i="1"/>
  <c r="BG133" i="1" s="1"/>
  <c r="AP154" i="1"/>
  <c r="AQ154" i="1" s="1"/>
  <c r="BI81" i="1"/>
  <c r="AX152" i="1"/>
  <c r="BR167" i="1"/>
  <c r="AZ160" i="1"/>
  <c r="BA160" i="1" s="1"/>
  <c r="BT159" i="1"/>
  <c r="BU159" i="1" s="1"/>
  <c r="AX126" i="1"/>
  <c r="AY126" i="1" s="1"/>
  <c r="BW82" i="1"/>
  <c r="AX159" i="1"/>
  <c r="AY159" i="1" s="1"/>
  <c r="AP133" i="1"/>
  <c r="AQ133" i="1" s="1"/>
  <c r="BF162" i="1"/>
  <c r="BG162" i="1" s="1"/>
  <c r="BD155" i="1"/>
  <c r="BE155" i="1" s="1"/>
  <c r="AP151" i="1"/>
  <c r="AQ151" i="1" s="1"/>
  <c r="AV143" i="1"/>
  <c r="AW143" i="1" s="1"/>
  <c r="BB143" i="1"/>
  <c r="BC143" i="1" s="1"/>
  <c r="AN125" i="1"/>
  <c r="AQ81" i="1"/>
  <c r="BA81" i="1"/>
  <c r="BF159" i="1"/>
  <c r="BG159" i="1" s="1"/>
  <c r="BP135" i="1"/>
  <c r="BQ135" i="1" s="1"/>
  <c r="BF132" i="1"/>
  <c r="BG132" i="1" s="1"/>
  <c r="AW81" i="1"/>
  <c r="BP134" i="1"/>
  <c r="BQ134" i="1" s="1"/>
  <c r="BG81" i="1"/>
  <c r="AZ150" i="1"/>
  <c r="BA150" i="1" s="1"/>
  <c r="BD168" i="1"/>
  <c r="BT125" i="1"/>
  <c r="BU125" i="1" s="1"/>
  <c r="BD157" i="1"/>
  <c r="BE157" i="1" s="1"/>
  <c r="BM82" i="1"/>
  <c r="BN135" i="1"/>
  <c r="BO135" i="1" s="1"/>
  <c r="BP152" i="1"/>
  <c r="BT154" i="1"/>
  <c r="BU154" i="1" s="1"/>
  <c r="BP132" i="1"/>
  <c r="BQ132" i="1" s="1"/>
  <c r="BP150" i="1"/>
  <c r="BQ150" i="1" s="1"/>
  <c r="BT82" i="1"/>
  <c r="AR151" i="1"/>
  <c r="AS151" i="1" s="1"/>
  <c r="AX81" i="1"/>
  <c r="AX155" i="1"/>
  <c r="AY155" i="1" s="1"/>
  <c r="AX160" i="1"/>
  <c r="AY160" i="1" s="1"/>
  <c r="BB132" i="1"/>
  <c r="BP139" i="1"/>
  <c r="AV152" i="1"/>
  <c r="BP127" i="1"/>
  <c r="BR81" i="1"/>
  <c r="BB82" i="1"/>
  <c r="BN133" i="1"/>
  <c r="BO133" i="1" s="1"/>
  <c r="BB154" i="1"/>
  <c r="BC154" i="1" s="1"/>
  <c r="BB140" i="1"/>
  <c r="AN130" i="1"/>
  <c r="AO130" i="1" s="1"/>
  <c r="BP148" i="1"/>
  <c r="BQ148" i="1" s="1"/>
  <c r="AV148" i="1"/>
  <c r="AN126" i="1"/>
  <c r="AO126" i="1" s="1"/>
  <c r="AN82" i="1"/>
  <c r="AX130" i="1"/>
  <c r="AY130" i="1" s="1"/>
  <c r="AX168" i="1"/>
  <c r="BB127" i="1"/>
  <c r="AZ153" i="1"/>
  <c r="BT152" i="1"/>
  <c r="AX158" i="1"/>
  <c r="AY158" i="1" s="1"/>
  <c r="AY82" i="1"/>
  <c r="BB168" i="1"/>
  <c r="BD139" i="1"/>
  <c r="BT161" i="1"/>
  <c r="BT191" i="1" s="1"/>
  <c r="BU191" i="1" s="1"/>
  <c r="BB135" i="1"/>
  <c r="BC135" i="1" s="1"/>
  <c r="BP153" i="1"/>
  <c r="BD159" i="1"/>
  <c r="BE159" i="1" s="1"/>
  <c r="BT167" i="1"/>
  <c r="AV157" i="1"/>
  <c r="AW157" i="1" s="1"/>
  <c r="BN150" i="1"/>
  <c r="BO150" i="1" s="1"/>
  <c r="AP132" i="1"/>
  <c r="AQ132" i="1" s="1"/>
  <c r="BP125" i="1"/>
  <c r="BQ125" i="1" s="1"/>
  <c r="BP140" i="1"/>
  <c r="AP158" i="1"/>
  <c r="AQ158" i="1" s="1"/>
  <c r="BD172" i="1"/>
  <c r="BE172" i="1" s="1"/>
  <c r="AV167" i="1"/>
  <c r="AV125" i="1"/>
  <c r="AW125" i="1" s="1"/>
  <c r="AR127" i="1"/>
  <c r="AR150" i="1"/>
  <c r="AS150" i="1" s="1"/>
  <c r="AZ148" i="1"/>
  <c r="BA148" i="1" s="1"/>
  <c r="AP171" i="1"/>
  <c r="AQ171" i="1" s="1"/>
  <c r="AP150" i="1"/>
  <c r="AN145" i="1"/>
  <c r="AO145" i="1" s="1"/>
  <c r="AV133" i="1"/>
  <c r="AW133" i="1" s="1"/>
  <c r="AV141" i="1"/>
  <c r="AR126" i="1"/>
  <c r="AS126" i="1" s="1"/>
  <c r="AR160" i="1"/>
  <c r="AS160" i="1" s="1"/>
  <c r="AN158" i="1"/>
  <c r="AO158" i="1" s="1"/>
  <c r="AN168" i="1"/>
  <c r="AN134" i="1"/>
  <c r="AO134" i="1" s="1"/>
  <c r="AR130" i="1"/>
  <c r="AS130" i="1" s="1"/>
  <c r="AR154" i="1"/>
  <c r="AS154" i="1" s="1"/>
  <c r="AV81" i="1"/>
  <c r="AU81" i="1"/>
  <c r="AV161" i="1"/>
  <c r="AR81" i="1"/>
  <c r="BO82" i="1"/>
  <c r="BT148" i="1"/>
  <c r="AP141" i="1"/>
  <c r="BF158" i="1"/>
  <c r="BG158" i="1" s="1"/>
  <c r="BN81" i="1"/>
  <c r="AV168" i="1"/>
  <c r="AR152" i="1"/>
  <c r="BP157" i="1"/>
  <c r="BQ157" i="1" s="1"/>
  <c r="AR155" i="1"/>
  <c r="AS155" i="1" s="1"/>
  <c r="BO81" i="1"/>
  <c r="AX171" i="1"/>
  <c r="AY171" i="1" s="1"/>
  <c r="BR143" i="1"/>
  <c r="BS143" i="1" s="1"/>
  <c r="BF168" i="1"/>
  <c r="BP161" i="1"/>
  <c r="AX163" i="1"/>
  <c r="AY163" i="1" s="1"/>
  <c r="AX139" i="1"/>
  <c r="BR126" i="1"/>
  <c r="BS126" i="1" s="1"/>
  <c r="BF153" i="1"/>
  <c r="BS81" i="1"/>
  <c r="BQ82" i="1"/>
  <c r="AZ130" i="1"/>
  <c r="BA130" i="1" s="1"/>
  <c r="BD171" i="1"/>
  <c r="BE171" i="1" s="1"/>
  <c r="BT127" i="1"/>
  <c r="BB162" i="1"/>
  <c r="BC162" i="1" s="1"/>
  <c r="BF139" i="1"/>
  <c r="AX127" i="1"/>
  <c r="AX143" i="1"/>
  <c r="AY143" i="1" s="1"/>
  <c r="AX153" i="1"/>
  <c r="AZ163" i="1"/>
  <c r="BA163" i="1" s="1"/>
  <c r="BF143" i="1"/>
  <c r="BG143" i="1" s="1"/>
  <c r="BD158" i="1"/>
  <c r="BE158" i="1" s="1"/>
  <c r="BN158" i="1"/>
  <c r="BO158" i="1" s="1"/>
  <c r="AQ82" i="1"/>
  <c r="BR82" i="1"/>
  <c r="BD154" i="1"/>
  <c r="BE154" i="1" s="1"/>
  <c r="BD132" i="1"/>
  <c r="BE132" i="1" s="1"/>
  <c r="BT143" i="1"/>
  <c r="BU143" i="1" s="1"/>
  <c r="BP82" i="1"/>
  <c r="AV162" i="1"/>
  <c r="AW162" i="1" s="1"/>
  <c r="BN82" i="1"/>
  <c r="BR172" i="1"/>
  <c r="BS172" i="1" s="1"/>
  <c r="AN172" i="1"/>
  <c r="AO172" i="1" s="1"/>
  <c r="AO81" i="1"/>
  <c r="AX157" i="1"/>
  <c r="AX140" i="1"/>
  <c r="AX145" i="1"/>
  <c r="AY145" i="1" s="1"/>
  <c r="BN132" i="1"/>
  <c r="BN153" i="1"/>
  <c r="BN162" i="1"/>
  <c r="BO162" i="1" s="1"/>
  <c r="AY81" i="1"/>
  <c r="BR150" i="1"/>
  <c r="BS150" i="1" s="1"/>
  <c r="BB157" i="1"/>
  <c r="BC157" i="1" s="1"/>
  <c r="BB159" i="1"/>
  <c r="BC159" i="1" s="1"/>
  <c r="BF150" i="1"/>
  <c r="BG150" i="1" s="1"/>
  <c r="BT162" i="1"/>
  <c r="BU162" i="1" s="1"/>
  <c r="BT168" i="1"/>
  <c r="BP151" i="1"/>
  <c r="BQ151" i="1" s="1"/>
  <c r="BP159" i="1"/>
  <c r="BQ159" i="1" s="1"/>
  <c r="AP126" i="1"/>
  <c r="AQ126" i="1" s="1"/>
  <c r="AX134" i="1"/>
  <c r="AY134" i="1" s="1"/>
  <c r="BN155" i="1"/>
  <c r="BO155" i="1" s="1"/>
  <c r="BR163" i="1"/>
  <c r="BS163" i="1" s="1"/>
  <c r="BR158" i="1"/>
  <c r="BS158" i="1" s="1"/>
  <c r="BB130" i="1"/>
  <c r="BC130" i="1" s="1"/>
  <c r="AP157" i="1"/>
  <c r="AQ157" i="1" s="1"/>
  <c r="AW82" i="1"/>
  <c r="AS81" i="1"/>
  <c r="BB158" i="1"/>
  <c r="BC158" i="1" s="1"/>
  <c r="BD127" i="1"/>
  <c r="BD148" i="1"/>
  <c r="BE148" i="1" s="1"/>
  <c r="AP82" i="1"/>
  <c r="BF130" i="1"/>
  <c r="BG130" i="1" s="1"/>
  <c r="BF148" i="1"/>
  <c r="BG148" i="1" s="1"/>
  <c r="BD150" i="1"/>
  <c r="BE150" i="1" s="1"/>
  <c r="BP130" i="1"/>
  <c r="BQ130" i="1" s="1"/>
  <c r="AP130" i="1"/>
  <c r="AQ130" i="1" s="1"/>
  <c r="BB141" i="1"/>
  <c r="BB150" i="1"/>
  <c r="BC150" i="1" s="1"/>
  <c r="AZ157" i="1"/>
  <c r="BA157" i="1" s="1"/>
  <c r="BP154" i="1"/>
  <c r="BQ154" i="1" s="1"/>
  <c r="AN154" i="1"/>
  <c r="AO154" i="1" s="1"/>
  <c r="BT153" i="1"/>
  <c r="BD161" i="1"/>
  <c r="BT158" i="1"/>
  <c r="BU158" i="1" s="1"/>
  <c r="AN167" i="1"/>
  <c r="AZ145" i="1"/>
  <c r="BA145" i="1" s="1"/>
  <c r="AP152" i="1"/>
  <c r="AN160" i="1"/>
  <c r="AO160" i="1" s="1"/>
  <c r="BP133" i="1"/>
  <c r="BQ133" i="1" s="1"/>
  <c r="AR133" i="1"/>
  <c r="AS133" i="1" s="1"/>
  <c r="AR82" i="1"/>
  <c r="BT155" i="1"/>
  <c r="BU155" i="1" s="1"/>
  <c r="BP160" i="1"/>
  <c r="BQ160" i="1" s="1"/>
  <c r="AN171" i="1"/>
  <c r="AO171" i="1" s="1"/>
  <c r="AV82" i="1"/>
  <c r="AP135" i="1"/>
  <c r="AQ135" i="1" s="1"/>
  <c r="AV126" i="1"/>
  <c r="AW126" i="1" s="1"/>
  <c r="AV171" i="1"/>
  <c r="AW171" i="1" s="1"/>
  <c r="AV132" i="1"/>
  <c r="BD81" i="1"/>
  <c r="AP161" i="1"/>
  <c r="AN155" i="1"/>
  <c r="AO155" i="1" s="1"/>
  <c r="AR145" i="1"/>
  <c r="AS145" i="1" s="1"/>
  <c r="BI82" i="1"/>
  <c r="AS82" i="1"/>
  <c r="AR158" i="1"/>
  <c r="AS158" i="1" s="1"/>
  <c r="AP168" i="1"/>
  <c r="AV135" i="1"/>
  <c r="AW135" i="1" s="1"/>
  <c r="BP162" i="1"/>
  <c r="BQ162" i="1" s="1"/>
  <c r="AN143" i="1"/>
  <c r="AO143" i="1" s="1"/>
  <c r="AV160" i="1"/>
  <c r="AW160" i="1" s="1"/>
  <c r="BQ81" i="1"/>
  <c r="BS82" i="1"/>
  <c r="AP81" i="1"/>
  <c r="BR132" i="1"/>
  <c r="BS132" i="1" s="1"/>
  <c r="AV150" i="1"/>
  <c r="AW150" i="1" s="1"/>
  <c r="AN151" i="1"/>
  <c r="AO151" i="1" s="1"/>
  <c r="AN140" i="1"/>
  <c r="AR171" i="1"/>
  <c r="AS171" i="1" s="1"/>
  <c r="AN150" i="1"/>
  <c r="AX161" i="1"/>
  <c r="AX125" i="1"/>
  <c r="AX162" i="1"/>
  <c r="AY162" i="1" s="1"/>
  <c r="BB133" i="1"/>
  <c r="BC133" i="1" s="1"/>
  <c r="BT133" i="1"/>
  <c r="BU133" i="1" s="1"/>
  <c r="AX132" i="1"/>
  <c r="AP163" i="1"/>
  <c r="AQ163" i="1" s="1"/>
  <c r="AZ132" i="1"/>
  <c r="BA132" i="1" s="1"/>
  <c r="BF160" i="1"/>
  <c r="BG160" i="1" s="1"/>
  <c r="BD152" i="1"/>
  <c r="BT163" i="1"/>
  <c r="BU163" i="1" s="1"/>
  <c r="BP158" i="1"/>
  <c r="BQ158" i="1" s="1"/>
  <c r="BT81" i="1"/>
  <c r="AP153" i="1"/>
  <c r="AV139" i="1"/>
  <c r="AX167" i="1"/>
  <c r="BU81" i="1"/>
  <c r="BF135" i="1"/>
  <c r="BG135" i="1" s="1"/>
  <c r="BN148" i="1"/>
  <c r="BR160" i="1"/>
  <c r="BS160" i="1" s="1"/>
  <c r="BR127" i="1"/>
  <c r="BR125" i="1"/>
  <c r="BB172" i="1"/>
  <c r="BC172" i="1" s="1"/>
  <c r="BF157" i="1"/>
  <c r="BG157" i="1" s="1"/>
  <c r="BP168" i="1"/>
  <c r="AV140" i="1"/>
  <c r="BN139" i="1"/>
  <c r="BB167" i="1"/>
  <c r="BF141" i="1"/>
  <c r="BP171" i="1"/>
  <c r="BQ171" i="1" s="1"/>
  <c r="BP155" i="1"/>
  <c r="BQ155" i="1" s="1"/>
  <c r="AX135" i="1"/>
  <c r="AY135" i="1" s="1"/>
  <c r="BN159" i="1"/>
  <c r="BO159" i="1" s="1"/>
  <c r="BN125" i="1"/>
  <c r="BO125" i="1" s="1"/>
  <c r="BR161" i="1"/>
  <c r="BB163" i="1"/>
  <c r="BC163" i="1" s="1"/>
  <c r="BD163" i="1"/>
  <c r="BE163" i="1" s="1"/>
  <c r="BT141" i="1"/>
  <c r="AP159" i="1"/>
  <c r="AQ159" i="1" s="1"/>
  <c r="BU82" i="1"/>
  <c r="AZ133" i="1"/>
  <c r="BA133" i="1" s="1"/>
  <c r="BF163" i="1"/>
  <c r="BG163" i="1" s="1"/>
  <c r="BP126" i="1"/>
  <c r="BQ126" i="1" s="1"/>
  <c r="BD133" i="1"/>
  <c r="BE133" i="1" s="1"/>
  <c r="AP160" i="1"/>
  <c r="AQ160" i="1" s="1"/>
  <c r="BT134" i="1"/>
  <c r="BU134" i="1" s="1"/>
  <c r="BT150" i="1"/>
  <c r="BU150" i="1" s="1"/>
  <c r="AP172" i="1"/>
  <c r="AQ172" i="1" s="1"/>
  <c r="AN153" i="1"/>
  <c r="BP143" i="1"/>
  <c r="BQ143" i="1" s="1"/>
  <c r="AP143" i="1"/>
  <c r="AQ143" i="1" s="1"/>
  <c r="AN132" i="1"/>
  <c r="AP125" i="1"/>
  <c r="AQ125" i="1" s="1"/>
  <c r="AN127" i="1"/>
  <c r="AP167" i="1"/>
  <c r="AP155" i="1"/>
  <c r="AQ155" i="1" s="1"/>
  <c r="AN161" i="1"/>
  <c r="AP139" i="1"/>
  <c r="AR140" i="1"/>
  <c r="AR139" i="1"/>
  <c r="BD140" i="1"/>
  <c r="AV127" i="1"/>
  <c r="AR153" i="1"/>
  <c r="BT157" i="1"/>
  <c r="BU157" i="1" s="1"/>
  <c r="AN157" i="1"/>
  <c r="AO157" i="1" s="1"/>
  <c r="AP162" i="1"/>
  <c r="AQ162" i="1" s="1"/>
  <c r="AN135" i="1"/>
  <c r="AO135" i="1" s="1"/>
  <c r="AN163" i="1"/>
  <c r="AO163" i="1" s="1"/>
  <c r="AN139" i="1"/>
  <c r="AN81" i="1"/>
  <c r="AN133" i="1"/>
  <c r="AO133" i="1" s="1"/>
  <c r="AV145" i="1"/>
  <c r="AW145" i="1" s="1"/>
  <c r="AP145" i="1"/>
  <c r="AQ145" i="1" s="1"/>
  <c r="BF145" i="1"/>
  <c r="BG145" i="1" s="1"/>
  <c r="BP145" i="1"/>
  <c r="BQ145" i="1" s="1"/>
  <c r="BD145" i="1"/>
  <c r="BE145" i="1" s="1"/>
  <c r="BN145" i="1"/>
  <c r="BO145" i="1" s="1"/>
  <c r="BR145" i="1"/>
  <c r="BS145" i="1" s="1"/>
  <c r="BT145" i="1"/>
  <c r="BU145" i="1" s="1"/>
  <c r="BB145" i="1"/>
  <c r="BC145" i="1" s="1"/>
  <c r="BF151" i="1"/>
  <c r="AX151" i="1"/>
  <c r="BD151" i="1"/>
  <c r="AZ151" i="1"/>
  <c r="BR151" i="1"/>
  <c r="AX260" i="1"/>
  <c r="F169" i="1"/>
  <c r="BD130" i="1"/>
  <c r="BE130" i="1" s="1"/>
  <c r="BE18" i="1"/>
  <c r="BB261" i="1"/>
  <c r="BF18" i="1"/>
  <c r="AV260" i="1"/>
  <c r="BM260" i="1"/>
  <c r="AQ34" i="1"/>
  <c r="BP18" i="1"/>
  <c r="F142" i="1"/>
  <c r="I128" i="1"/>
  <c r="AS18" i="1"/>
  <c r="BF188" i="1"/>
  <c r="BG188" i="1" s="1"/>
  <c r="AP191" i="1"/>
  <c r="AQ191" i="1" s="1"/>
  <c r="AP202" i="1"/>
  <c r="AP261" i="1"/>
  <c r="AP18" i="1"/>
  <c r="AN202" i="1"/>
  <c r="AN41" i="1"/>
  <c r="BM239" i="1"/>
  <c r="AQ260" i="1"/>
  <c r="BU202" i="1"/>
  <c r="BK261" i="1"/>
  <c r="BZ106" i="1"/>
  <c r="BZ107" i="1" s="1"/>
  <c r="BF239" i="1"/>
  <c r="BQ18" i="1"/>
  <c r="BD260" i="1"/>
  <c r="D169" i="1"/>
  <c r="E217" i="1" s="1"/>
  <c r="K142" i="1"/>
  <c r="AO260" i="1"/>
  <c r="C73" i="1"/>
  <c r="E156" i="1"/>
  <c r="E190" i="1" s="1"/>
  <c r="E189" i="1" s="1"/>
  <c r="G128" i="1"/>
  <c r="G62" i="1" s="1"/>
  <c r="V210" i="1"/>
  <c r="Q142" i="1"/>
  <c r="F136" i="1"/>
  <c r="F45" i="1" s="1"/>
  <c r="R181" i="1"/>
  <c r="W210" i="1"/>
  <c r="S156" i="1"/>
  <c r="S190" i="1" s="1"/>
  <c r="S189" i="1" s="1"/>
  <c r="R128" i="1"/>
  <c r="N210" i="1"/>
  <c r="U128" i="1"/>
  <c r="F181" i="1"/>
  <c r="N128" i="1"/>
  <c r="K128" i="1"/>
  <c r="BD188" i="1"/>
  <c r="BE188" i="1" s="1"/>
  <c r="BF34" i="1"/>
  <c r="AI18" i="1"/>
  <c r="BM45" i="1"/>
  <c r="C136" i="1"/>
  <c r="C45" i="1" s="1"/>
  <c r="BA261" i="1"/>
  <c r="AS260" i="1"/>
  <c r="BN34" i="1"/>
  <c r="AZ34" i="1"/>
  <c r="H210" i="1"/>
  <c r="BS18" i="1"/>
  <c r="P164" i="1"/>
  <c r="P193" i="1" s="1"/>
  <c r="P192" i="1" s="1"/>
  <c r="AS34" i="1"/>
  <c r="BT260" i="1"/>
  <c r="BG260" i="1"/>
  <c r="BT18" i="1"/>
  <c r="BP260" i="1"/>
  <c r="BM18" i="1"/>
  <c r="AY18" i="1"/>
  <c r="BE34" i="1"/>
  <c r="T156" i="1"/>
  <c r="C210" i="1"/>
  <c r="Q181" i="1"/>
  <c r="P136" i="1"/>
  <c r="D210" i="1"/>
  <c r="L142" i="1"/>
  <c r="L41" i="1" s="1"/>
  <c r="C181" i="1"/>
  <c r="L181" i="1"/>
  <c r="B142" i="1"/>
  <c r="B146" i="1" s="1"/>
  <c r="P181" i="1"/>
  <c r="U169" i="1"/>
  <c r="V217" i="1" s="1"/>
  <c r="H169" i="1"/>
  <c r="T142" i="1"/>
  <c r="T41" i="1" s="1"/>
  <c r="C142" i="1"/>
  <c r="M210" i="1"/>
  <c r="V128" i="1"/>
  <c r="B136" i="1"/>
  <c r="BH142" i="1"/>
  <c r="BH128" i="1"/>
  <c r="BH100" i="1" s="1"/>
  <c r="BH104" i="1" s="1"/>
  <c r="H156" i="1"/>
  <c r="V142" i="1"/>
  <c r="K181" i="1"/>
  <c r="BV169" i="1"/>
  <c r="BW217" i="1" s="1"/>
  <c r="W181" i="1"/>
  <c r="J128" i="1"/>
  <c r="N142" i="1"/>
  <c r="V169" i="1"/>
  <c r="W217" i="1" s="1"/>
  <c r="D73" i="1"/>
  <c r="V136" i="1"/>
  <c r="M169" i="1"/>
  <c r="N217" i="1" s="1"/>
  <c r="J142" i="1"/>
  <c r="D142" i="1"/>
  <c r="P128" i="1"/>
  <c r="G181" i="1"/>
  <c r="O142" i="1"/>
  <c r="K156" i="1"/>
  <c r="T128" i="1"/>
  <c r="J169" i="1"/>
  <c r="K217" i="1" s="1"/>
  <c r="E142" i="1"/>
  <c r="Q164" i="1"/>
  <c r="U181" i="1"/>
  <c r="AY34" i="1"/>
  <c r="I142" i="1"/>
  <c r="N181" i="1"/>
  <c r="Q210" i="1"/>
  <c r="M136" i="1"/>
  <c r="O181" i="1"/>
  <c r="F128" i="1"/>
  <c r="J136" i="1"/>
  <c r="AX187" i="1"/>
  <c r="BP187" i="1"/>
  <c r="BQ187" i="1" s="1"/>
  <c r="AV187" i="1"/>
  <c r="AW187" i="1" s="1"/>
  <c r="AT187" i="1"/>
  <c r="AU187" i="1" s="1"/>
  <c r="BR188" i="1"/>
  <c r="BS188" i="1" s="1"/>
  <c r="AI34" i="1"/>
  <c r="AV188" i="1"/>
  <c r="AW188" i="1" s="1"/>
  <c r="BF187" i="1"/>
  <c r="BG187" i="1" s="1"/>
  <c r="AT18" i="1"/>
  <c r="AT239" i="1"/>
  <c r="AY202" i="1"/>
  <c r="AY261" i="1"/>
  <c r="BQ239" i="1"/>
  <c r="BQ260" i="1"/>
  <c r="AO18" i="1"/>
  <c r="AO239" i="1"/>
  <c r="AV239" i="1"/>
  <c r="AV18" i="1"/>
  <c r="BD239" i="1"/>
  <c r="BD18" i="1"/>
  <c r="BQ202" i="1"/>
  <c r="BQ261" i="1"/>
  <c r="AV202" i="1"/>
  <c r="AV261" i="1"/>
  <c r="AX202" i="1"/>
  <c r="AX261" i="1"/>
  <c r="BM211" i="1"/>
  <c r="BM209" i="1" s="1"/>
  <c r="BM202" i="1"/>
  <c r="BM261" i="1"/>
  <c r="BM41" i="1"/>
  <c r="BP261" i="1"/>
  <c r="BP202" i="1"/>
  <c r="AI193" i="1"/>
  <c r="AI188" i="1"/>
  <c r="AI190" i="1"/>
  <c r="AL106" i="1"/>
  <c r="AL107" i="1" s="1"/>
  <c r="AL112" i="1" s="1"/>
  <c r="AI191" i="1"/>
  <c r="AI192" i="1" s="1"/>
  <c r="AI187" i="1"/>
  <c r="AI239" i="1"/>
  <c r="AT202" i="1"/>
  <c r="AT261" i="1"/>
  <c r="BA239" i="1"/>
  <c r="BA18" i="1"/>
  <c r="BA24" i="1" s="1"/>
  <c r="AX18" i="1"/>
  <c r="AX239" i="1"/>
  <c r="BM34" i="1"/>
  <c r="K164" i="1"/>
  <c r="I136" i="1"/>
  <c r="BK211" i="1"/>
  <c r="BK209" i="1" s="1"/>
  <c r="BC18" i="1"/>
  <c r="BB202" i="1"/>
  <c r="AP34" i="1"/>
  <c r="BK34" i="1"/>
  <c r="BI106" i="1"/>
  <c r="BI107" i="1" s="1"/>
  <c r="BI111" i="1" s="1"/>
  <c r="BK41" i="1"/>
  <c r="BR202" i="1"/>
  <c r="BV34" i="1"/>
  <c r="BE260" i="1"/>
  <c r="BT106" i="1"/>
  <c r="BT107" i="1" s="1"/>
  <c r="BW261" i="1"/>
  <c r="BV239" i="1"/>
  <c r="BY106" i="1"/>
  <c r="BY107" i="1" s="1"/>
  <c r="W136" i="1"/>
  <c r="AI202" i="1"/>
  <c r="AI41" i="1"/>
  <c r="S136" i="1"/>
  <c r="S45" i="1" s="1"/>
  <c r="BO18" i="1"/>
  <c r="BO260" i="1"/>
  <c r="BP106" i="1"/>
  <c r="BP107" i="1" s="1"/>
  <c r="BP111" i="1" s="1"/>
  <c r="V181" i="1"/>
  <c r="BT34" i="1"/>
  <c r="AQ261" i="1"/>
  <c r="AQ202" i="1"/>
  <c r="BH202" i="1"/>
  <c r="BH261" i="1"/>
  <c r="BK239" i="1"/>
  <c r="BK18" i="1"/>
  <c r="BM106" i="1"/>
  <c r="BM107" i="1" s="1"/>
  <c r="BM112" i="1" s="1"/>
  <c r="BN106" i="1"/>
  <c r="BN107" i="1" s="1"/>
  <c r="BN110" i="1" s="1"/>
  <c r="BU239" i="1"/>
  <c r="BX106" i="1"/>
  <c r="BX107" i="1" s="1"/>
  <c r="L156" i="1"/>
  <c r="H128" i="1"/>
  <c r="BH239" i="1"/>
  <c r="BH187" i="1"/>
  <c r="BI187" i="1" s="1"/>
  <c r="BH260" i="1"/>
  <c r="BH18" i="1"/>
  <c r="BL19" i="1" s="1"/>
  <c r="BB239" i="1"/>
  <c r="L169" i="1"/>
  <c r="M217" i="1" s="1"/>
  <c r="O136" i="1"/>
  <c r="AR34" i="1"/>
  <c r="AW34" i="1"/>
  <c r="AY106" i="1"/>
  <c r="AY107" i="1" s="1"/>
  <c r="AW239" i="1"/>
  <c r="AW18" i="1"/>
  <c r="AW24" i="1" s="1"/>
  <c r="AW25" i="1" s="1"/>
  <c r="BH191" i="1"/>
  <c r="BI191" i="1" s="1"/>
  <c r="R156" i="1"/>
  <c r="BC34" i="1"/>
  <c r="BW210" i="1"/>
  <c r="Q128" i="1"/>
  <c r="BN41" i="1"/>
  <c r="BV261" i="1"/>
  <c r="AS261" i="1"/>
  <c r="BK106" i="1"/>
  <c r="BK107" i="1" s="1"/>
  <c r="BK112" i="1" s="1"/>
  <c r="BO239" i="1"/>
  <c r="AI211" i="1"/>
  <c r="AI209" i="1" s="1"/>
  <c r="BO106" i="1"/>
  <c r="BO107" i="1" s="1"/>
  <c r="AO261" i="1"/>
  <c r="T136" i="1"/>
  <c r="G210" i="1"/>
  <c r="H181" i="1"/>
  <c r="B181" i="1"/>
  <c r="AN260" i="1"/>
  <c r="AO106" i="1"/>
  <c r="AO107" i="1" s="1"/>
  <c r="AQ106" i="1"/>
  <c r="AQ107" i="1" s="1"/>
  <c r="AQ112" i="1" s="1"/>
  <c r="BA106" i="1"/>
  <c r="BA107" i="1" s="1"/>
  <c r="BA112" i="1" s="1"/>
  <c r="AZ239" i="1"/>
  <c r="BI239" i="1"/>
  <c r="BI18" i="1"/>
  <c r="BJ106" i="1"/>
  <c r="BJ107" i="1" s="1"/>
  <c r="BJ110" i="1" s="1"/>
  <c r="BI261" i="1"/>
  <c r="AR239" i="1"/>
  <c r="AS106" i="1"/>
  <c r="AS107" i="1" s="1"/>
  <c r="AS111" i="1" s="1"/>
  <c r="AR261" i="1"/>
  <c r="AR260" i="1"/>
  <c r="AT106" i="1"/>
  <c r="AT107" i="1" s="1"/>
  <c r="BJ202" i="1"/>
  <c r="H164" i="1"/>
  <c r="H193" i="1" s="1"/>
  <c r="H192" i="1" s="1"/>
  <c r="BQ34" i="1"/>
  <c r="BI202" i="1"/>
  <c r="BO261" i="1"/>
  <c r="BL106" i="1"/>
  <c r="BL107" i="1" s="1"/>
  <c r="BR106" i="1"/>
  <c r="BR107" i="1" s="1"/>
  <c r="S181" i="1"/>
  <c r="I164" i="1"/>
  <c r="I193" i="1" s="1"/>
  <c r="BA202" i="1"/>
  <c r="AR106" i="1"/>
  <c r="AR107" i="1" s="1"/>
  <c r="AR110" i="1" s="1"/>
  <c r="AW261" i="1"/>
  <c r="AZ261" i="1"/>
  <c r="G164" i="1"/>
  <c r="BS34" i="1"/>
  <c r="BI260" i="1"/>
  <c r="BG106" i="1"/>
  <c r="BG107" i="1" s="1"/>
  <c r="BG110" i="1" s="1"/>
  <c r="BS106" i="1"/>
  <c r="BS107" i="1" s="1"/>
  <c r="BS112" i="1" s="1"/>
  <c r="I156" i="1"/>
  <c r="BW34" i="1"/>
  <c r="AT34" i="1"/>
  <c r="M156" i="1"/>
  <c r="M190" i="1" s="1"/>
  <c r="M189" i="1" s="1"/>
  <c r="BA260" i="1"/>
  <c r="BH188" i="1"/>
  <c r="BI188" i="1" s="1"/>
  <c r="BG18" i="1"/>
  <c r="BW18" i="1"/>
  <c r="BZ233" i="1" s="1"/>
  <c r="AR191" i="1"/>
  <c r="AS191" i="1" s="1"/>
  <c r="O210" i="1"/>
  <c r="D156" i="1"/>
  <c r="L210" i="1"/>
  <c r="K169" i="1"/>
  <c r="I169" i="1"/>
  <c r="J217" i="1" s="1"/>
  <c r="O128" i="1"/>
  <c r="S142" i="1"/>
  <c r="BG34" i="1"/>
  <c r="U142" i="1"/>
  <c r="BW136" i="1"/>
  <c r="BX214" i="1" s="1"/>
  <c r="BB187" i="1"/>
  <c r="BC187" i="1" s="1"/>
  <c r="BB188" i="1"/>
  <c r="BC188" i="1" s="1"/>
  <c r="BR187" i="1"/>
  <c r="BS187" i="1" s="1"/>
  <c r="B164" i="1"/>
  <c r="B193" i="1" s="1"/>
  <c r="B192" i="1" s="1"/>
  <c r="T210" i="1"/>
  <c r="AZ191" i="1"/>
  <c r="BA191" i="1" s="1"/>
  <c r="T164" i="1"/>
  <c r="R164" i="1"/>
  <c r="W142" i="1"/>
  <c r="D128" i="1"/>
  <c r="D256" i="1" s="1"/>
  <c r="D164" i="1"/>
  <c r="I181" i="1"/>
  <c r="G169" i="1"/>
  <c r="BJ25" i="1"/>
  <c r="BH106" i="1"/>
  <c r="BH107" i="1" s="1"/>
  <c r="BH111" i="1" s="1"/>
  <c r="BB191" i="1"/>
  <c r="M181" i="1"/>
  <c r="R169" i="1"/>
  <c r="S217" i="1" s="1"/>
  <c r="AN34" i="1"/>
  <c r="G142" i="1"/>
  <c r="G146" i="1" s="1"/>
  <c r="L128" i="1"/>
  <c r="BV128" i="1"/>
  <c r="S210" i="1"/>
  <c r="P142" i="1"/>
  <c r="P41" i="1" s="1"/>
  <c r="H142" i="1"/>
  <c r="H41" i="1" s="1"/>
  <c r="B128" i="1"/>
  <c r="B183" i="1" s="1"/>
  <c r="K210" i="1"/>
  <c r="T169" i="1"/>
  <c r="U217" i="1" s="1"/>
  <c r="T181" i="1"/>
  <c r="C164" i="1"/>
  <c r="C193" i="1" s="1"/>
  <c r="H136" i="1"/>
  <c r="J156" i="1"/>
  <c r="BR18" i="1"/>
  <c r="BK45" i="1"/>
  <c r="BN261" i="1"/>
  <c r="BU34" i="1"/>
  <c r="AU106" i="1"/>
  <c r="AU107" i="1" s="1"/>
  <c r="BF260" i="1"/>
  <c r="B73" i="1"/>
  <c r="B116" i="1" s="1"/>
  <c r="B156" i="1"/>
  <c r="B190" i="1" s="1"/>
  <c r="V156" i="1"/>
  <c r="E136" i="1"/>
  <c r="G156" i="1"/>
  <c r="F156" i="1"/>
  <c r="J164" i="1"/>
  <c r="J193" i="1" s="1"/>
  <c r="C156" i="1"/>
  <c r="C190" i="1" s="1"/>
  <c r="C189" i="1" s="1"/>
  <c r="C169" i="1"/>
  <c r="N136" i="1"/>
  <c r="AR18" i="1"/>
  <c r="AV34" i="1"/>
  <c r="BO34" i="1"/>
  <c r="BB106" i="1"/>
  <c r="BB107" i="1" s="1"/>
  <c r="BB112" i="1" s="1"/>
  <c r="AX34" i="1"/>
  <c r="BR34" i="1"/>
  <c r="BB18" i="1"/>
  <c r="AM56" i="1"/>
  <c r="AM127" i="1" s="1"/>
  <c r="AM128" i="1" s="1"/>
  <c r="AM137" i="1" s="1"/>
  <c r="BD34" i="1"/>
  <c r="BB34" i="1"/>
  <c r="BP34" i="1"/>
  <c r="AU260" i="1"/>
  <c r="BI34" i="1"/>
  <c r="G136" i="1"/>
  <c r="G45" i="1" s="1"/>
  <c r="BH169" i="1"/>
  <c r="J181" i="1"/>
  <c r="L164" i="1"/>
  <c r="L193" i="1" s="1"/>
  <c r="L192" i="1" s="1"/>
  <c r="V164" i="1"/>
  <c r="V193" i="1" s="1"/>
  <c r="O169" i="1"/>
  <c r="S128" i="1"/>
  <c r="N164" i="1"/>
  <c r="N193" i="1" s="1"/>
  <c r="N192" i="1" s="1"/>
  <c r="K136" i="1"/>
  <c r="Q156" i="1"/>
  <c r="BA34" i="1"/>
  <c r="AW106" i="1"/>
  <c r="AW107" i="1" s="1"/>
  <c r="AU34" i="1"/>
  <c r="R136" i="1"/>
  <c r="AO34" i="1"/>
  <c r="P156" i="1"/>
  <c r="BH34" i="1"/>
  <c r="Q136" i="1"/>
  <c r="P210" i="1"/>
  <c r="L136" i="1"/>
  <c r="U210" i="1"/>
  <c r="BU260" i="1"/>
  <c r="BV142" i="1"/>
  <c r="BV146" i="1" s="1"/>
  <c r="BU106" i="1"/>
  <c r="BU107" i="1" s="1"/>
  <c r="E164" i="1"/>
  <c r="BV191" i="1"/>
  <c r="BH156" i="1"/>
  <c r="BH190" i="1" s="1"/>
  <c r="BV156" i="1"/>
  <c r="BV190" i="1" s="1"/>
  <c r="BI210" i="1"/>
  <c r="BF106" i="1"/>
  <c r="BF107" i="1" s="1"/>
  <c r="BF112" i="1" s="1"/>
  <c r="BV188" i="1"/>
  <c r="BW188" i="1" s="1"/>
  <c r="BV187" i="1"/>
  <c r="BW187" i="1" s="1"/>
  <c r="BD261" i="1"/>
  <c r="R210" i="1"/>
  <c r="BV164" i="1"/>
  <c r="BV193" i="1" s="1"/>
  <c r="AU261" i="1"/>
  <c r="AU18" i="1"/>
  <c r="AU24" i="1" s="1"/>
  <c r="BN239" i="1"/>
  <c r="BC106" i="1"/>
  <c r="BC107" i="1" s="1"/>
  <c r="BC110" i="1" s="1"/>
  <c r="M164" i="1"/>
  <c r="M193" i="1" s="1"/>
  <c r="F164" i="1"/>
  <c r="F193" i="1" s="1"/>
  <c r="F192" i="1" s="1"/>
  <c r="E181" i="1"/>
  <c r="BE261" i="1"/>
  <c r="AN106" i="1"/>
  <c r="AN107" i="1" s="1"/>
  <c r="AN110" i="1" s="1"/>
  <c r="BW125" i="1"/>
  <c r="BT261" i="1"/>
  <c r="BI125" i="1"/>
  <c r="AZ18" i="1"/>
  <c r="AZ24" i="1" s="1"/>
  <c r="AZ25" i="1" s="1"/>
  <c r="BN187" i="1"/>
  <c r="BO187" i="1" s="1"/>
  <c r="S164" i="1"/>
  <c r="M128" i="1"/>
  <c r="B169" i="1"/>
  <c r="C217" i="1" s="1"/>
  <c r="D136" i="1"/>
  <c r="BC261" i="1"/>
  <c r="AV106" i="1"/>
  <c r="AV107" i="1" s="1"/>
  <c r="AV110" i="1" s="1"/>
  <c r="AN239" i="1"/>
  <c r="BU261" i="1"/>
  <c r="AX106" i="1"/>
  <c r="AX107" i="1" s="1"/>
  <c r="AX110" i="1" s="1"/>
  <c r="U156" i="1"/>
  <c r="E128" i="1"/>
  <c r="BN18" i="1"/>
  <c r="AP106" i="1"/>
  <c r="AP107" i="1" s="1"/>
  <c r="AP112" i="1" s="1"/>
  <c r="AN18" i="1"/>
  <c r="AN24" i="1" s="1"/>
  <c r="BQ106" i="1"/>
  <c r="BQ107" i="1" s="1"/>
  <c r="BQ110" i="1" s="1"/>
  <c r="AZ260" i="1"/>
  <c r="AN187" i="1"/>
  <c r="AO187" i="1" s="1"/>
  <c r="N156" i="1"/>
  <c r="R142" i="1"/>
  <c r="BS261" i="1"/>
  <c r="BC260" i="1"/>
  <c r="BU18" i="1"/>
  <c r="BH136" i="1"/>
  <c r="AT188" i="1"/>
  <c r="AU188" i="1" s="1"/>
  <c r="AT191" i="1"/>
  <c r="AU191" i="1" s="1"/>
  <c r="AZ187" i="1"/>
  <c r="BA187" i="1" s="1"/>
  <c r="O156" i="1"/>
  <c r="O190" i="1" s="1"/>
  <c r="O189" i="1" s="1"/>
  <c r="C128" i="1"/>
  <c r="AN261" i="1"/>
  <c r="BV136" i="1"/>
  <c r="AZ106" i="1"/>
  <c r="AZ107" i="1" s="1"/>
  <c r="AZ110" i="1" s="1"/>
  <c r="BI136" i="1"/>
  <c r="J210" i="1"/>
  <c r="BE106" i="1"/>
  <c r="BE107" i="1" s="1"/>
  <c r="BE112" i="1" s="1"/>
  <c r="BD106" i="1"/>
  <c r="BD107" i="1" s="1"/>
  <c r="BD110" i="1" s="1"/>
  <c r="BV106" i="1"/>
  <c r="BV107" i="1" s="1"/>
  <c r="BV110" i="1" s="1"/>
  <c r="BW106" i="1"/>
  <c r="BW107" i="1" s="1"/>
  <c r="BW110" i="1" s="1"/>
  <c r="BV18" i="1"/>
  <c r="BV24" i="1" s="1"/>
  <c r="BV25" i="1" s="1"/>
  <c r="BH164" i="1"/>
  <c r="BH193" i="1" s="1"/>
  <c r="BN191" i="1"/>
  <c r="BO191" i="1" s="1"/>
  <c r="U164" i="1"/>
  <c r="BF261" i="1"/>
  <c r="BV260" i="1"/>
  <c r="BG261" i="1"/>
  <c r="BF191" i="1"/>
  <c r="BG191" i="1" s="1"/>
  <c r="O164" i="1"/>
  <c r="BN169" i="1"/>
  <c r="BO217" i="1" s="1"/>
  <c r="BR142" i="1"/>
  <c r="AZ142" i="1"/>
  <c r="AZ169" i="1"/>
  <c r="BA217" i="1" s="1"/>
  <c r="AR169" i="1"/>
  <c r="AS217" i="1" s="1"/>
  <c r="AQ148" i="1"/>
  <c r="AS132" i="1"/>
  <c r="AU125" i="1"/>
  <c r="AT128" i="1"/>
  <c r="AT100" i="1" s="1"/>
  <c r="AS125" i="1"/>
  <c r="AT142" i="1"/>
  <c r="AU150" i="1"/>
  <c r="AT156" i="1"/>
  <c r="BC125" i="1"/>
  <c r="BE125" i="1"/>
  <c r="AU158" i="1"/>
  <c r="AT164" i="1"/>
  <c r="AT193" i="1" s="1"/>
  <c r="BS148" i="1"/>
  <c r="BU132" i="1"/>
  <c r="AO148" i="1"/>
  <c r="AN210" i="1"/>
  <c r="AT210" i="1"/>
  <c r="AT169" i="1"/>
  <c r="AU217" i="1" s="1"/>
  <c r="AZ128" i="1"/>
  <c r="AS210" i="1"/>
  <c r="AT136" i="1"/>
  <c r="BF128" i="1"/>
  <c r="AU136" i="1"/>
  <c r="AW151" i="1"/>
  <c r="BC151" i="1"/>
  <c r="BO151" i="1"/>
  <c r="BU151" i="1"/>
  <c r="AU210" i="1"/>
  <c r="BC210" i="1"/>
  <c r="AQ24" i="1"/>
  <c r="AQ19" i="1"/>
  <c r="BJ37" i="1"/>
  <c r="BJ42" i="1"/>
  <c r="BJ46" i="1" s="1"/>
  <c r="BJ240" i="1"/>
  <c r="BJ241" i="1" s="1"/>
  <c r="CQ146" i="1"/>
  <c r="CR40" i="1"/>
  <c r="AE85" i="1"/>
  <c r="AB133" i="1"/>
  <c r="AB136" i="1" s="1"/>
  <c r="AB257" i="1" s="1"/>
  <c r="AD150" i="1"/>
  <c r="CZ73" i="1"/>
  <c r="DA71" i="1"/>
  <c r="T204" i="1" l="1"/>
  <c r="U214" i="1"/>
  <c r="BT187" i="1"/>
  <c r="BU187" i="1" s="1"/>
  <c r="AR187" i="1"/>
  <c r="AS187" i="1" s="1"/>
  <c r="Q176" i="1"/>
  <c r="Q117" i="1" s="1"/>
  <c r="BR191" i="1"/>
  <c r="BS191" i="1" s="1"/>
  <c r="AX188" i="1"/>
  <c r="AY188" i="1" s="1"/>
  <c r="AX191" i="1"/>
  <c r="AY191" i="1" s="1"/>
  <c r="BT188" i="1"/>
  <c r="BU188" i="1" s="1"/>
  <c r="BQ35" i="1"/>
  <c r="BN188" i="1"/>
  <c r="BO188" i="1" s="1"/>
  <c r="AR142" i="1"/>
  <c r="AP188" i="1"/>
  <c r="AQ188" i="1" s="1"/>
  <c r="BP188" i="1"/>
  <c r="BQ188" i="1" s="1"/>
  <c r="AV191" i="1"/>
  <c r="BP191" i="1"/>
  <c r="BQ191" i="1" s="1"/>
  <c r="BD191" i="1"/>
  <c r="BE191" i="1" s="1"/>
  <c r="AP187" i="1"/>
  <c r="AQ187" i="1" s="1"/>
  <c r="BD187" i="1"/>
  <c r="BE187" i="1" s="1"/>
  <c r="BH210" i="1"/>
  <c r="N183" i="1"/>
  <c r="N62" i="1"/>
  <c r="I62" i="1"/>
  <c r="I183" i="1"/>
  <c r="O217" i="1"/>
  <c r="N256" i="1"/>
  <c r="AN191" i="1"/>
  <c r="AO191" i="1" s="1"/>
  <c r="AN188" i="1"/>
  <c r="AO188" i="1" s="1"/>
  <c r="AZ188" i="1"/>
  <c r="BA188" i="1" s="1"/>
  <c r="F41" i="1"/>
  <c r="BP35" i="1"/>
  <c r="I190" i="1"/>
  <c r="I189" i="1" s="1"/>
  <c r="BO20" i="1"/>
  <c r="G217" i="1"/>
  <c r="F176" i="1"/>
  <c r="F117" i="1" s="1"/>
  <c r="R217" i="1"/>
  <c r="U62" i="1"/>
  <c r="BD169" i="1"/>
  <c r="BE217" i="1" s="1"/>
  <c r="K62" i="1"/>
  <c r="K183" i="1"/>
  <c r="U183" i="1"/>
  <c r="M146" i="1"/>
  <c r="M41" i="1"/>
  <c r="K41" i="1"/>
  <c r="K146" i="1"/>
  <c r="AN169" i="1"/>
  <c r="AO217" i="1" s="1"/>
  <c r="U45" i="1"/>
  <c r="AV169" i="1"/>
  <c r="AW217" i="1" s="1"/>
  <c r="AX169" i="1"/>
  <c r="AY217" i="1" s="1"/>
  <c r="BS136" i="1"/>
  <c r="K193" i="1"/>
  <c r="BP142" i="1"/>
  <c r="BT169" i="1"/>
  <c r="BU217" i="1" s="1"/>
  <c r="BP169" i="1"/>
  <c r="BQ217" i="1" s="1"/>
  <c r="BB169" i="1"/>
  <c r="BE136" i="1"/>
  <c r="AW148" i="1"/>
  <c r="AX210" i="1" s="1"/>
  <c r="AQ150" i="1"/>
  <c r="AP156" i="1"/>
  <c r="AP190" i="1" s="1"/>
  <c r="AS136" i="1"/>
  <c r="AR136" i="1"/>
  <c r="AR128" i="1"/>
  <c r="AX128" i="1"/>
  <c r="AY125" i="1"/>
  <c r="AY132" i="1"/>
  <c r="AY136" i="1" s="1"/>
  <c r="AX136" i="1"/>
  <c r="BO148" i="1"/>
  <c r="BN210" i="1"/>
  <c r="BT142" i="1"/>
  <c r="BF169" i="1"/>
  <c r="BG217" i="1" s="1"/>
  <c r="BF142" i="1"/>
  <c r="AV142" i="1"/>
  <c r="BD142" i="1"/>
  <c r="AP142" i="1"/>
  <c r="R193" i="1"/>
  <c r="R165" i="1"/>
  <c r="BB128" i="1"/>
  <c r="BB100" i="1" s="1"/>
  <c r="AO132" i="1"/>
  <c r="AO136" i="1" s="1"/>
  <c r="AN136" i="1"/>
  <c r="AR188" i="1"/>
  <c r="AS188" i="1" s="1"/>
  <c r="AR156" i="1"/>
  <c r="AR190" i="1" s="1"/>
  <c r="AO125" i="1"/>
  <c r="AN128" i="1"/>
  <c r="BC132" i="1"/>
  <c r="BC136" i="1" s="1"/>
  <c r="BB136" i="1"/>
  <c r="BU148" i="1"/>
  <c r="BV210" i="1" s="1"/>
  <c r="BD128" i="1"/>
  <c r="AY157" i="1"/>
  <c r="AX164" i="1"/>
  <c r="AX193" i="1" s="1"/>
  <c r="BO132" i="1"/>
  <c r="BO136" i="1" s="1"/>
  <c r="BN136" i="1"/>
  <c r="AW132" i="1"/>
  <c r="AW136" i="1" s="1"/>
  <c r="AV136" i="1"/>
  <c r="AO150" i="1"/>
  <c r="AN156" i="1"/>
  <c r="BR210" i="1"/>
  <c r="BU136" i="1"/>
  <c r="BT136" i="1"/>
  <c r="BS125" i="1"/>
  <c r="BR128" i="1"/>
  <c r="BR100" i="1" s="1"/>
  <c r="BF210" i="1"/>
  <c r="AQ136" i="1"/>
  <c r="AN142" i="1"/>
  <c r="AP169" i="1"/>
  <c r="BT164" i="1"/>
  <c r="BT193" i="1" s="1"/>
  <c r="BT192" i="1" s="1"/>
  <c r="BN142" i="1"/>
  <c r="AX142" i="1"/>
  <c r="BB142" i="1"/>
  <c r="BR169" i="1"/>
  <c r="AR164" i="1"/>
  <c r="BN128" i="1"/>
  <c r="BP164" i="1"/>
  <c r="BP193" i="1" s="1"/>
  <c r="BT128" i="1"/>
  <c r="BF136" i="1"/>
  <c r="BE210" i="1"/>
  <c r="BR164" i="1"/>
  <c r="BR193" i="1" s="1"/>
  <c r="BP156" i="1"/>
  <c r="BP190" i="1" s="1"/>
  <c r="AZ136" i="1"/>
  <c r="BQ210" i="1"/>
  <c r="BB164" i="1"/>
  <c r="BB193" i="1" s="1"/>
  <c r="AP136" i="1"/>
  <c r="AP128" i="1"/>
  <c r="AP100" i="1" s="1"/>
  <c r="BD164" i="1"/>
  <c r="BD193" i="1" s="1"/>
  <c r="BP128" i="1"/>
  <c r="BP100" i="1" s="1"/>
  <c r="BP102" i="1" s="1"/>
  <c r="BN164" i="1"/>
  <c r="BN193" i="1" s="1"/>
  <c r="AN164" i="1"/>
  <c r="AN193" i="1" s="1"/>
  <c r="BP136" i="1"/>
  <c r="BG136" i="1"/>
  <c r="BA136" i="1"/>
  <c r="AP164" i="1"/>
  <c r="BF164" i="1"/>
  <c r="BF193" i="1" s="1"/>
  <c r="AV164" i="1"/>
  <c r="AV193" i="1" s="1"/>
  <c r="BQ136" i="1"/>
  <c r="BR136" i="1"/>
  <c r="BD136" i="1"/>
  <c r="AZ164" i="1"/>
  <c r="AZ193" i="1" s="1"/>
  <c r="AV128" i="1"/>
  <c r="AV156" i="1"/>
  <c r="BB156" i="1"/>
  <c r="BG151" i="1"/>
  <c r="BF156" i="1"/>
  <c r="BE151" i="1"/>
  <c r="BD156" i="1"/>
  <c r="BN156" i="1"/>
  <c r="BT156" i="1"/>
  <c r="AY151" i="1"/>
  <c r="AX156" i="1"/>
  <c r="BS151" i="1"/>
  <c r="BR156" i="1"/>
  <c r="BA151" i="1"/>
  <c r="AZ156" i="1"/>
  <c r="AV210" i="1"/>
  <c r="BB210" i="1"/>
  <c r="BA210" i="1"/>
  <c r="AY210" i="1"/>
  <c r="AZ210" i="1"/>
  <c r="AP19" i="1"/>
  <c r="BD210" i="1"/>
  <c r="BM20" i="1"/>
  <c r="BE19" i="1"/>
  <c r="BG210" i="1"/>
  <c r="AY20" i="1"/>
  <c r="AI189" i="1"/>
  <c r="BY111" i="1"/>
  <c r="S66" i="1"/>
  <c r="BP19" i="1"/>
  <c r="AL110" i="1"/>
  <c r="AL111" i="1"/>
  <c r="AX24" i="1"/>
  <c r="AT233" i="1"/>
  <c r="P66" i="1"/>
  <c r="AO19" i="1"/>
  <c r="BR35" i="1"/>
  <c r="P146" i="1"/>
  <c r="B74" i="1"/>
  <c r="B76" i="1" s="1"/>
  <c r="U41" i="1"/>
  <c r="U146" i="1"/>
  <c r="H146" i="1"/>
  <c r="H45" i="1"/>
  <c r="P205" i="1"/>
  <c r="J41" i="1"/>
  <c r="T146" i="1"/>
  <c r="R183" i="1"/>
  <c r="L146" i="1"/>
  <c r="R62" i="1"/>
  <c r="C41" i="1"/>
  <c r="T62" i="1"/>
  <c r="T183" i="1"/>
  <c r="U215" i="1"/>
  <c r="N41" i="1"/>
  <c r="B41" i="1"/>
  <c r="J137" i="1"/>
  <c r="J63" i="1" s="1"/>
  <c r="J256" i="1"/>
  <c r="S41" i="1"/>
  <c r="S146" i="1"/>
  <c r="U256" i="1"/>
  <c r="H190" i="1"/>
  <c r="V215" i="1"/>
  <c r="AI194" i="1"/>
  <c r="AO233" i="1"/>
  <c r="C116" i="1"/>
  <c r="C74" i="1"/>
  <c r="C115" i="1"/>
  <c r="F146" i="1"/>
  <c r="BT35" i="1"/>
  <c r="BP196" i="1"/>
  <c r="BH146" i="1"/>
  <c r="C146" i="1"/>
  <c r="C211" i="1" s="1"/>
  <c r="C209" i="1" s="1"/>
  <c r="J257" i="1"/>
  <c r="J259" i="1" s="1"/>
  <c r="BI196" i="1"/>
  <c r="G183" i="1"/>
  <c r="H205" i="1"/>
  <c r="BS35" i="1"/>
  <c r="V256" i="1"/>
  <c r="Q41" i="1"/>
  <c r="Q146" i="1"/>
  <c r="U176" i="1"/>
  <c r="U117" i="1" s="1"/>
  <c r="U137" i="1"/>
  <c r="U63" i="1" s="1"/>
  <c r="V214" i="1"/>
  <c r="Q193" i="1"/>
  <c r="Q205" i="1"/>
  <c r="P137" i="1"/>
  <c r="P63" i="1" s="1"/>
  <c r="P176" i="1"/>
  <c r="P117" i="1" s="1"/>
  <c r="P45" i="1"/>
  <c r="T190" i="1"/>
  <c r="P62" i="1"/>
  <c r="P256" i="1"/>
  <c r="O146" i="1"/>
  <c r="O41" i="1"/>
  <c r="V62" i="1"/>
  <c r="V137" i="1"/>
  <c r="V63" i="1" s="1"/>
  <c r="V183" i="1"/>
  <c r="M45" i="1"/>
  <c r="M176" i="1"/>
  <c r="M117" i="1" s="1"/>
  <c r="V146" i="1"/>
  <c r="V41" i="1"/>
  <c r="BH102" i="1"/>
  <c r="BH103" i="1"/>
  <c r="BE35" i="1"/>
  <c r="AY35" i="1"/>
  <c r="AQ20" i="1"/>
  <c r="AY24" i="1"/>
  <c r="AP24" i="1"/>
  <c r="AP35" i="1"/>
  <c r="AQ196" i="1"/>
  <c r="BM35" i="1"/>
  <c r="BQ19" i="1"/>
  <c r="BQ24" i="1"/>
  <c r="BQ20" i="1"/>
  <c r="BM24" i="1"/>
  <c r="AI35" i="1"/>
  <c r="AS24" i="1"/>
  <c r="AW19" i="1"/>
  <c r="BJ19" i="1"/>
  <c r="BF24" i="1"/>
  <c r="BF36" i="1" s="1"/>
  <c r="BJ38" i="1" s="1"/>
  <c r="AY187" i="1"/>
  <c r="BE20" i="1"/>
  <c r="BD24" i="1"/>
  <c r="BO19" i="1"/>
  <c r="BP20" i="1"/>
  <c r="BO24" i="1"/>
  <c r="AT19" i="1"/>
  <c r="AT196" i="1"/>
  <c r="AS233" i="1"/>
  <c r="N66" i="1"/>
  <c r="AL252" i="1"/>
  <c r="AJ20" i="1"/>
  <c r="AM19" i="1"/>
  <c r="AL233" i="1"/>
  <c r="AI24" i="1"/>
  <c r="BX110" i="1"/>
  <c r="BX111" i="1"/>
  <c r="BX112" i="1"/>
  <c r="BT112" i="1"/>
  <c r="BT111" i="1"/>
  <c r="BT110" i="1"/>
  <c r="BP24" i="1"/>
  <c r="BQ196" i="1"/>
  <c r="BC191" i="1"/>
  <c r="BS24" i="1"/>
  <c r="BT20" i="1"/>
  <c r="BE24" i="1"/>
  <c r="BE26" i="1" s="1"/>
  <c r="BF20" i="1"/>
  <c r="BY112" i="1"/>
  <c r="BY110" i="1"/>
  <c r="AW191" i="1"/>
  <c r="BF35" i="1"/>
  <c r="BK111" i="1"/>
  <c r="BK110" i="1"/>
  <c r="BS19" i="1"/>
  <c r="BT196" i="1"/>
  <c r="BG20" i="1"/>
  <c r="BW257" i="1"/>
  <c r="AS35" i="1"/>
  <c r="AP20" i="1"/>
  <c r="AQ111" i="1"/>
  <c r="BL112" i="1"/>
  <c r="BL110" i="1"/>
  <c r="BL111" i="1"/>
  <c r="BZ111" i="1"/>
  <c r="BZ110" i="1"/>
  <c r="BZ112" i="1"/>
  <c r="AN111" i="1"/>
  <c r="AN112" i="1"/>
  <c r="BM110" i="1"/>
  <c r="BM111" i="1"/>
  <c r="AP196" i="1"/>
  <c r="AQ110" i="1"/>
  <c r="BX19" i="1"/>
  <c r="BT24" i="1"/>
  <c r="BI142" i="1"/>
  <c r="AY110" i="1"/>
  <c r="AY111" i="1"/>
  <c r="AY112" i="1"/>
  <c r="BH112" i="1"/>
  <c r="BH110" i="1"/>
  <c r="AX19" i="1"/>
  <c r="AS19" i="1"/>
  <c r="AO24" i="1"/>
  <c r="BI217" i="1"/>
  <c r="BH256" i="1"/>
  <c r="AV24" i="1"/>
  <c r="AW20" i="1"/>
  <c r="BT19" i="1"/>
  <c r="BI41" i="1"/>
  <c r="BA110" i="1"/>
  <c r="BA111" i="1"/>
  <c r="BG35" i="1"/>
  <c r="BJ233" i="1"/>
  <c r="BJ252" i="1"/>
  <c r="AW110" i="1"/>
  <c r="AW112" i="1"/>
  <c r="AW111" i="1"/>
  <c r="AO110" i="1"/>
  <c r="AO112" i="1"/>
  <c r="AO111" i="1"/>
  <c r="AQ35" i="1"/>
  <c r="S205" i="1"/>
  <c r="N215" i="1"/>
  <c r="N146" i="1"/>
  <c r="BH137" i="1"/>
  <c r="L183" i="1"/>
  <c r="J146" i="1"/>
  <c r="J176" i="1"/>
  <c r="J117" i="1" s="1"/>
  <c r="J45" i="1"/>
  <c r="F256" i="1"/>
  <c r="F137" i="1"/>
  <c r="F63" i="1" s="1"/>
  <c r="U257" i="1"/>
  <c r="U259" i="1" s="1"/>
  <c r="R215" i="1"/>
  <c r="T193" i="1"/>
  <c r="T192" i="1" s="1"/>
  <c r="J190" i="1"/>
  <c r="J189" i="1" s="1"/>
  <c r="V190" i="1"/>
  <c r="V189" i="1" s="1"/>
  <c r="F257" i="1"/>
  <c r="F259" i="1" s="1"/>
  <c r="L215" i="1"/>
  <c r="D217" i="1"/>
  <c r="S215" i="1"/>
  <c r="S62" i="1"/>
  <c r="Q190" i="1"/>
  <c r="Q189" i="1" s="1"/>
  <c r="BV100" i="1"/>
  <c r="BV256" i="1"/>
  <c r="AT111" i="1"/>
  <c r="AT112" i="1"/>
  <c r="AT110" i="1"/>
  <c r="BA25" i="1"/>
  <c r="BL196" i="1"/>
  <c r="BH196" i="1"/>
  <c r="K165" i="1"/>
  <c r="BF233" i="1"/>
  <c r="W257" i="1"/>
  <c r="W259" i="1" s="1"/>
  <c r="I165" i="1"/>
  <c r="AT35" i="1"/>
  <c r="K256" i="1"/>
  <c r="P215" i="1"/>
  <c r="T165" i="1"/>
  <c r="R205" i="1"/>
  <c r="G256" i="1"/>
  <c r="BS20" i="1"/>
  <c r="C176" i="1"/>
  <c r="C117" i="1" s="1"/>
  <c r="AV35" i="1"/>
  <c r="BO35" i="1"/>
  <c r="AX35" i="1"/>
  <c r="BB20" i="1"/>
  <c r="BD35" i="1"/>
  <c r="BI35" i="1"/>
  <c r="K257" i="1"/>
  <c r="K259" i="1" s="1"/>
  <c r="AO35" i="1"/>
  <c r="I217" i="1"/>
  <c r="H256" i="1"/>
  <c r="H176" i="1"/>
  <c r="H117" i="1" s="1"/>
  <c r="C257" i="1"/>
  <c r="C259" i="1" s="1"/>
  <c r="B45" i="1"/>
  <c r="C214" i="1"/>
  <c r="B137" i="1"/>
  <c r="B63" i="1" s="1"/>
  <c r="K215" i="1"/>
  <c r="J183" i="1"/>
  <c r="J62" i="1"/>
  <c r="J215" i="1"/>
  <c r="D115" i="1"/>
  <c r="D74" i="1"/>
  <c r="D116" i="1"/>
  <c r="V45" i="1"/>
  <c r="V176" i="1"/>
  <c r="V117" i="1" s="1"/>
  <c r="V257" i="1"/>
  <c r="V259" i="1" s="1"/>
  <c r="D41" i="1"/>
  <c r="D146" i="1"/>
  <c r="P183" i="1"/>
  <c r="K204" i="1"/>
  <c r="K190" i="1"/>
  <c r="E146" i="1"/>
  <c r="E41" i="1"/>
  <c r="I41" i="1"/>
  <c r="I146" i="1"/>
  <c r="F183" i="1"/>
  <c r="G215" i="1"/>
  <c r="F62" i="1"/>
  <c r="AT24" i="1"/>
  <c r="AT25" i="1" s="1"/>
  <c r="AT20" i="1"/>
  <c r="H215" i="1"/>
  <c r="I215" i="1"/>
  <c r="H183" i="1"/>
  <c r="H62" i="1"/>
  <c r="Q256" i="1"/>
  <c r="U190" i="1"/>
  <c r="U189" i="1" s="1"/>
  <c r="V204" i="1"/>
  <c r="BH189" i="1"/>
  <c r="O257" i="1"/>
  <c r="O259" i="1" s="1"/>
  <c r="D205" i="1"/>
  <c r="BH176" i="1"/>
  <c r="I45" i="1"/>
  <c r="J214" i="1"/>
  <c r="J213" i="1" s="1"/>
  <c r="I257" i="1"/>
  <c r="I259" i="1" s="1"/>
  <c r="I137" i="1"/>
  <c r="I63" i="1" s="1"/>
  <c r="L190" i="1"/>
  <c r="L204" i="1"/>
  <c r="M204" i="1"/>
  <c r="R190" i="1"/>
  <c r="S204" i="1"/>
  <c r="BO110" i="1"/>
  <c r="BO112" i="1"/>
  <c r="BR110" i="1"/>
  <c r="BR112" i="1"/>
  <c r="BR111" i="1"/>
  <c r="G165" i="1"/>
  <c r="G173" i="1" s="1"/>
  <c r="G193" i="1"/>
  <c r="W41" i="1"/>
  <c r="W146" i="1"/>
  <c r="L62" i="1"/>
  <c r="AU110" i="1"/>
  <c r="AU112" i="1"/>
  <c r="AU111" i="1"/>
  <c r="F214" i="1"/>
  <c r="E176" i="1"/>
  <c r="E117" i="1" s="1"/>
  <c r="E45" i="1"/>
  <c r="G190" i="1"/>
  <c r="G189" i="1" s="1"/>
  <c r="H204" i="1"/>
  <c r="F190" i="1"/>
  <c r="F189" i="1" s="1"/>
  <c r="N137" i="1"/>
  <c r="N63" i="1" s="1"/>
  <c r="N257" i="1"/>
  <c r="N259" i="1" s="1"/>
  <c r="N45" i="1"/>
  <c r="N214" i="1"/>
  <c r="N176" i="1"/>
  <c r="N117" i="1" s="1"/>
  <c r="AR233" i="1"/>
  <c r="AR24" i="1"/>
  <c r="S183" i="1"/>
  <c r="S256" i="1"/>
  <c r="R204" i="1"/>
  <c r="Q165" i="1"/>
  <c r="BA35" i="1"/>
  <c r="BA36" i="1"/>
  <c r="M214" i="1"/>
  <c r="M257" i="1"/>
  <c r="M259" i="1" s="1"/>
  <c r="BU112" i="1"/>
  <c r="BU111" i="1"/>
  <c r="E165" i="1"/>
  <c r="E193" i="1"/>
  <c r="BU110" i="1"/>
  <c r="P257" i="1"/>
  <c r="P259" i="1" s="1"/>
  <c r="O45" i="1"/>
  <c r="N204" i="1"/>
  <c r="AN196" i="1"/>
  <c r="CA19" i="1"/>
  <c r="BJ111" i="1"/>
  <c r="J165" i="1"/>
  <c r="D165" i="1"/>
  <c r="BH20" i="1"/>
  <c r="BI110" i="1"/>
  <c r="AW36" i="1"/>
  <c r="BH19" i="1"/>
  <c r="BC35" i="1"/>
  <c r="BS111" i="1"/>
  <c r="BL20" i="1"/>
  <c r="M165" i="1"/>
  <c r="B62" i="1"/>
  <c r="S176" i="1"/>
  <c r="S117" i="1" s="1"/>
  <c r="BU233" i="1"/>
  <c r="D62" i="1"/>
  <c r="J204" i="1"/>
  <c r="BB35" i="1"/>
  <c r="H257" i="1"/>
  <c r="H259" i="1" s="1"/>
  <c r="T214" i="1"/>
  <c r="AN19" i="1"/>
  <c r="AP233" i="1"/>
  <c r="O66" i="1"/>
  <c r="C256" i="1"/>
  <c r="AN35" i="1"/>
  <c r="S137" i="1"/>
  <c r="S63" i="1" s="1"/>
  <c r="AR19" i="1"/>
  <c r="AO196" i="1"/>
  <c r="BJ112" i="1"/>
  <c r="P214" i="1"/>
  <c r="T176" i="1"/>
  <c r="T117" i="1" s="1"/>
  <c r="O176" i="1"/>
  <c r="O117" i="1" s="1"/>
  <c r="BW35" i="1"/>
  <c r="AO20" i="1"/>
  <c r="T257" i="1"/>
  <c r="T259" i="1" s="1"/>
  <c r="BG19" i="1"/>
  <c r="AN233" i="1"/>
  <c r="BC19" i="1"/>
  <c r="BD20" i="1"/>
  <c r="BW41" i="1"/>
  <c r="BB233" i="1"/>
  <c r="AN20" i="1"/>
  <c r="BW24" i="1"/>
  <c r="BO233" i="1"/>
  <c r="BC24" i="1"/>
  <c r="BW19" i="1"/>
  <c r="BI24" i="1"/>
  <c r="BX257" i="1"/>
  <c r="BG233" i="1"/>
  <c r="BS110" i="1"/>
  <c r="N205" i="1"/>
  <c r="V165" i="1"/>
  <c r="H165" i="1"/>
  <c r="R256" i="1"/>
  <c r="K45" i="1"/>
  <c r="G41" i="1"/>
  <c r="T215" i="1"/>
  <c r="D183" i="1"/>
  <c r="O215" i="1"/>
  <c r="AS112" i="1"/>
  <c r="BO111" i="1"/>
  <c r="S257" i="1"/>
  <c r="S259" i="1" s="1"/>
  <c r="AQ233" i="1"/>
  <c r="BA26" i="1"/>
  <c r="BK24" i="1"/>
  <c r="Q183" i="1"/>
  <c r="T256" i="1"/>
  <c r="BW142" i="1"/>
  <c r="BW146" i="1" s="1"/>
  <c r="BZ252" i="1"/>
  <c r="BI112" i="1"/>
  <c r="BC233" i="1"/>
  <c r="BR196" i="1"/>
  <c r="BV111" i="1"/>
  <c r="BN112" i="1"/>
  <c r="BK19" i="1"/>
  <c r="H217" i="1"/>
  <c r="D190" i="1"/>
  <c r="X214" i="1"/>
  <c r="K137" i="1"/>
  <c r="K63" i="1" s="1"/>
  <c r="O214" i="1"/>
  <c r="BN111" i="1"/>
  <c r="BH165" i="1"/>
  <c r="L256" i="1"/>
  <c r="L214" i="1"/>
  <c r="Q62" i="1"/>
  <c r="BI19" i="1"/>
  <c r="BK20" i="1"/>
  <c r="X257" i="1"/>
  <c r="X259" i="1" s="1"/>
  <c r="L217" i="1"/>
  <c r="R176" i="1"/>
  <c r="R117" i="1" s="1"/>
  <c r="BB110" i="1"/>
  <c r="U66" i="1"/>
  <c r="BJ20" i="1"/>
  <c r="BE196" i="1"/>
  <c r="V66" i="1"/>
  <c r="W45" i="1"/>
  <c r="BB111" i="1"/>
  <c r="AR112" i="1"/>
  <c r="BM196" i="1"/>
  <c r="BK196" i="1"/>
  <c r="BR24" i="1"/>
  <c r="BL252" i="1"/>
  <c r="BR233" i="1"/>
  <c r="BD196" i="1"/>
  <c r="BP110" i="1"/>
  <c r="BM233" i="1"/>
  <c r="U165" i="1"/>
  <c r="R214" i="1"/>
  <c r="G137" i="1"/>
  <c r="G63" i="1" s="1"/>
  <c r="K205" i="1"/>
  <c r="D193" i="1"/>
  <c r="D192" i="1" s="1"/>
  <c r="I214" i="1"/>
  <c r="W214" i="1"/>
  <c r="K176" i="1"/>
  <c r="K117" i="1" s="1"/>
  <c r="T137" i="1"/>
  <c r="T63" i="1" s="1"/>
  <c r="G257" i="1"/>
  <c r="G259" i="1" s="1"/>
  <c r="H214" i="1"/>
  <c r="B115" i="1"/>
  <c r="BH35" i="1"/>
  <c r="E204" i="1"/>
  <c r="I176" i="1"/>
  <c r="I117" i="1" s="1"/>
  <c r="BK233" i="1"/>
  <c r="AW35" i="1"/>
  <c r="N190" i="1"/>
  <c r="G176" i="1"/>
  <c r="G117" i="1" s="1"/>
  <c r="Q215" i="1"/>
  <c r="CB196" i="1"/>
  <c r="BI233" i="1"/>
  <c r="BW214" i="1"/>
  <c r="BG24" i="1"/>
  <c r="BN233" i="1"/>
  <c r="BH24" i="1"/>
  <c r="BX20" i="1"/>
  <c r="AX20" i="1"/>
  <c r="AR111" i="1"/>
  <c r="AY233" i="1"/>
  <c r="BX196" i="1"/>
  <c r="BS233" i="1"/>
  <c r="BJ196" i="1"/>
  <c r="BT233" i="1"/>
  <c r="BA19" i="1"/>
  <c r="BP112" i="1"/>
  <c r="M137" i="1"/>
  <c r="M63" i="1" s="1"/>
  <c r="O205" i="1"/>
  <c r="B165" i="1"/>
  <c r="B173" i="1" s="1"/>
  <c r="B252" i="1" s="1"/>
  <c r="I205" i="1"/>
  <c r="L137" i="1"/>
  <c r="L63" i="1" s="1"/>
  <c r="I204" i="1"/>
  <c r="I206" i="1" s="1"/>
  <c r="I207" i="1" s="1"/>
  <c r="T45" i="1"/>
  <c r="G214" i="1"/>
  <c r="S214" i="1"/>
  <c r="I256" i="1"/>
  <c r="AU35" i="1"/>
  <c r="H137" i="1"/>
  <c r="H63" i="1" s="1"/>
  <c r="Q204" i="1"/>
  <c r="AS110" i="1"/>
  <c r="BA196" i="1"/>
  <c r="BF110" i="1"/>
  <c r="BH192" i="1"/>
  <c r="R45" i="1"/>
  <c r="T66" i="1"/>
  <c r="BG111" i="1"/>
  <c r="BV192" i="1"/>
  <c r="X66" i="1"/>
  <c r="BG112" i="1"/>
  <c r="AZ20" i="1"/>
  <c r="L176" i="1"/>
  <c r="L117" i="1" s="1"/>
  <c r="BI20" i="1"/>
  <c r="AW196" i="1"/>
  <c r="AX111" i="1"/>
  <c r="BH233" i="1"/>
  <c r="BL233" i="1"/>
  <c r="BM19" i="1"/>
  <c r="BK35" i="1"/>
  <c r="C205" i="1"/>
  <c r="E205" i="1"/>
  <c r="AX196" i="1"/>
  <c r="BR20" i="1"/>
  <c r="AZ36" i="1"/>
  <c r="G205" i="1"/>
  <c r="B256" i="1"/>
  <c r="O62" i="1"/>
  <c r="O183" i="1"/>
  <c r="O137" i="1"/>
  <c r="O63" i="1" s="1"/>
  <c r="O256" i="1"/>
  <c r="BZ19" i="1"/>
  <c r="BV189" i="1"/>
  <c r="Q137" i="1"/>
  <c r="Q63" i="1" s="1"/>
  <c r="BW196" i="1"/>
  <c r="BC20" i="1"/>
  <c r="P165" i="1"/>
  <c r="BC196" i="1"/>
  <c r="AR196" i="1"/>
  <c r="BN196" i="1"/>
  <c r="BW111" i="1"/>
  <c r="BD112" i="1"/>
  <c r="BW191" i="1"/>
  <c r="BV19" i="1"/>
  <c r="BU196" i="1"/>
  <c r="BA27" i="1"/>
  <c r="BF111" i="1"/>
  <c r="L257" i="1"/>
  <c r="L259" i="1" s="1"/>
  <c r="Q214" i="1"/>
  <c r="P190" i="1"/>
  <c r="K214" i="1"/>
  <c r="F204" i="1"/>
  <c r="BV194" i="1"/>
  <c r="BZ197" i="1" s="1"/>
  <c r="O193" i="1"/>
  <c r="BU20" i="1"/>
  <c r="BN24" i="1"/>
  <c r="BA233" i="1"/>
  <c r="BU35" i="1"/>
  <c r="M205" i="1"/>
  <c r="C165" i="1"/>
  <c r="BV36" i="1"/>
  <c r="AV111" i="1"/>
  <c r="BN19" i="1"/>
  <c r="AR35" i="1"/>
  <c r="BD19" i="1"/>
  <c r="AS20" i="1"/>
  <c r="L45" i="1"/>
  <c r="R257" i="1"/>
  <c r="R259" i="1" s="1"/>
  <c r="G204" i="1"/>
  <c r="BF19" i="1"/>
  <c r="BB24" i="1"/>
  <c r="BB26" i="1" s="1"/>
  <c r="BF196" i="1"/>
  <c r="BS196" i="1"/>
  <c r="Q257" i="1"/>
  <c r="Q259" i="1" s="1"/>
  <c r="P217" i="1"/>
  <c r="BN20" i="1"/>
  <c r="BU24" i="1"/>
  <c r="AV112" i="1"/>
  <c r="BA20" i="1"/>
  <c r="AM74" i="1"/>
  <c r="AM77" i="1" s="1"/>
  <c r="AM93" i="1" s="1"/>
  <c r="BG196" i="1"/>
  <c r="AV20" i="1"/>
  <c r="BW20" i="1"/>
  <c r="BD233" i="1"/>
  <c r="AS196" i="1"/>
  <c r="AM201" i="1"/>
  <c r="AM203" i="1" s="1"/>
  <c r="D204" i="1"/>
  <c r="R137" i="1"/>
  <c r="R63" i="1" s="1"/>
  <c r="CA196" i="1"/>
  <c r="BO196" i="1"/>
  <c r="BR19" i="1"/>
  <c r="BP233" i="1"/>
  <c r="BN35" i="1"/>
  <c r="R66" i="1"/>
  <c r="AV19" i="1"/>
  <c r="AR20" i="1"/>
  <c r="AZ233" i="1"/>
  <c r="BQ233" i="1"/>
  <c r="BB196" i="1"/>
  <c r="BV112" i="1"/>
  <c r="BZ26" i="1"/>
  <c r="BW112" i="1"/>
  <c r="BV35" i="1"/>
  <c r="AM60" i="1"/>
  <c r="BC112" i="1"/>
  <c r="AZ35" i="1"/>
  <c r="C204" i="1"/>
  <c r="L165" i="1"/>
  <c r="T205" i="1"/>
  <c r="T206" i="1" s="1"/>
  <c r="T207" i="1" s="1"/>
  <c r="BY233" i="1"/>
  <c r="BC111" i="1"/>
  <c r="L205" i="1"/>
  <c r="J205" i="1"/>
  <c r="V205" i="1"/>
  <c r="AZ19" i="1"/>
  <c r="BB19" i="1"/>
  <c r="BE233" i="1"/>
  <c r="Q45" i="1"/>
  <c r="S193" i="1"/>
  <c r="AP110" i="1"/>
  <c r="BY196" i="1"/>
  <c r="W66" i="1"/>
  <c r="BI257" i="1"/>
  <c r="AX112" i="1"/>
  <c r="AZ112" i="1"/>
  <c r="BV137" i="1"/>
  <c r="BY19" i="1"/>
  <c r="BU19" i="1"/>
  <c r="BX252" i="1"/>
  <c r="BV176" i="1"/>
  <c r="BV117" i="1" s="1"/>
  <c r="BV196" i="1"/>
  <c r="BH194" i="1"/>
  <c r="BL197" i="1" s="1"/>
  <c r="BX233" i="1"/>
  <c r="BV233" i="1"/>
  <c r="BZ196" i="1"/>
  <c r="BV20" i="1"/>
  <c r="AT192" i="1"/>
  <c r="BQ112" i="1"/>
  <c r="AP111" i="1"/>
  <c r="BQ111" i="1"/>
  <c r="BV165" i="1"/>
  <c r="BV173" i="1" s="1"/>
  <c r="BW233" i="1"/>
  <c r="BD111" i="1"/>
  <c r="AU20" i="1"/>
  <c r="E215" i="1"/>
  <c r="E62" i="1"/>
  <c r="AV196" i="1"/>
  <c r="AY19" i="1"/>
  <c r="E183" i="1"/>
  <c r="BE111" i="1"/>
  <c r="AW233" i="1"/>
  <c r="AY196" i="1"/>
  <c r="U193" i="1"/>
  <c r="U192" i="1" s="1"/>
  <c r="E137" i="1"/>
  <c r="E63" i="1" s="1"/>
  <c r="S165" i="1"/>
  <c r="D214" i="1"/>
  <c r="D257" i="1"/>
  <c r="D259" i="1" s="1"/>
  <c r="D45" i="1"/>
  <c r="D137" i="1"/>
  <c r="D63" i="1" s="1"/>
  <c r="M183" i="1"/>
  <c r="M62" i="1"/>
  <c r="M215" i="1"/>
  <c r="M256" i="1"/>
  <c r="Q66" i="1"/>
  <c r="BE110" i="1"/>
  <c r="AZ111" i="1"/>
  <c r="BJ257" i="1"/>
  <c r="O165" i="1"/>
  <c r="B176" i="1"/>
  <c r="B117" i="1" s="1"/>
  <c r="P204" i="1"/>
  <c r="F165" i="1"/>
  <c r="F173" i="1" s="1"/>
  <c r="AU19" i="1"/>
  <c r="U205" i="1"/>
  <c r="C183" i="1"/>
  <c r="C137" i="1"/>
  <c r="C63" i="1" s="1"/>
  <c r="C62" i="1"/>
  <c r="U204" i="1"/>
  <c r="F215" i="1"/>
  <c r="BJ214" i="1"/>
  <c r="AZ196" i="1"/>
  <c r="AV233" i="1"/>
  <c r="BI214" i="1"/>
  <c r="F205" i="1"/>
  <c r="AX233" i="1"/>
  <c r="O204" i="1"/>
  <c r="D176" i="1"/>
  <c r="D117" i="1" s="1"/>
  <c r="D215" i="1"/>
  <c r="AU233" i="1"/>
  <c r="AU196" i="1"/>
  <c r="N165" i="1"/>
  <c r="R146" i="1"/>
  <c r="R41" i="1"/>
  <c r="C215" i="1"/>
  <c r="E214" i="1"/>
  <c r="AW210" i="1"/>
  <c r="L211" i="1"/>
  <c r="L209" i="1" s="1"/>
  <c r="G252" i="1"/>
  <c r="G254" i="1"/>
  <c r="H211" i="1"/>
  <c r="H209" i="1" s="1"/>
  <c r="M211" i="1"/>
  <c r="M209" i="1" s="1"/>
  <c r="M252" i="1"/>
  <c r="M254" i="1"/>
  <c r="B194" i="1"/>
  <c r="B189" i="1"/>
  <c r="AR210" i="1"/>
  <c r="AQ210" i="1"/>
  <c r="J192" i="1"/>
  <c r="K252" i="1"/>
  <c r="K254" i="1"/>
  <c r="C192" i="1"/>
  <c r="C194" i="1"/>
  <c r="BS41" i="1"/>
  <c r="BS142" i="1"/>
  <c r="BR146" i="1"/>
  <c r="AN100" i="1"/>
  <c r="AN103" i="1" s="1"/>
  <c r="AN256" i="1"/>
  <c r="AV214" i="1"/>
  <c r="I192" i="1"/>
  <c r="I194" i="1"/>
  <c r="K192" i="1"/>
  <c r="V192" i="1"/>
  <c r="AT256" i="1"/>
  <c r="AS214" i="1"/>
  <c r="AS257" i="1"/>
  <c r="AR176" i="1"/>
  <c r="AS45" i="1" s="1"/>
  <c r="AR137" i="1"/>
  <c r="AR100" i="1"/>
  <c r="AT190" i="1"/>
  <c r="AT165" i="1"/>
  <c r="BA142" i="1"/>
  <c r="BA41" i="1"/>
  <c r="AZ146" i="1"/>
  <c r="AT146" i="1"/>
  <c r="AU41" i="1"/>
  <c r="AU142" i="1"/>
  <c r="BT210" i="1"/>
  <c r="BS210" i="1"/>
  <c r="AP210" i="1"/>
  <c r="AO210" i="1"/>
  <c r="M194" i="1"/>
  <c r="M192" i="1"/>
  <c r="AT137" i="1"/>
  <c r="AT176" i="1"/>
  <c r="AU214" i="1"/>
  <c r="AU257" i="1"/>
  <c r="AZ100" i="1"/>
  <c r="AZ256" i="1"/>
  <c r="BF100" i="1"/>
  <c r="AM62" i="1"/>
  <c r="AM215" i="1"/>
  <c r="AM213" i="1" s="1"/>
  <c r="AM63" i="1"/>
  <c r="AM100" i="1"/>
  <c r="AP26" i="1"/>
  <c r="BP26" i="1"/>
  <c r="BM27" i="1"/>
  <c r="BD26" i="1"/>
  <c r="AU26" i="1"/>
  <c r="AU27" i="1"/>
  <c r="AU36" i="1"/>
  <c r="AY26" i="1"/>
  <c r="AU25" i="1"/>
  <c r="AT103" i="1"/>
  <c r="AT104" i="1"/>
  <c r="AT102" i="1"/>
  <c r="AN36" i="1"/>
  <c r="AO27" i="1"/>
  <c r="AN26" i="1"/>
  <c r="AN27" i="1"/>
  <c r="AN25" i="1"/>
  <c r="BV252" i="1"/>
  <c r="BV254" i="1"/>
  <c r="AO26" i="1"/>
  <c r="O67" i="1"/>
  <c r="AQ36" i="1"/>
  <c r="AQ26" i="1"/>
  <c r="AQ25" i="1"/>
  <c r="BJ49" i="1"/>
  <c r="BJ48" i="1"/>
  <c r="CR202" i="1"/>
  <c r="CR140" i="1"/>
  <c r="CQ211" i="1"/>
  <c r="CQ209" i="1" s="1"/>
  <c r="AB214" i="1"/>
  <c r="DB71" i="1"/>
  <c r="DB73" i="1" s="1"/>
  <c r="DA73" i="1"/>
  <c r="AS142" i="1" l="1"/>
  <c r="AR146" i="1"/>
  <c r="AS41" i="1"/>
  <c r="H173" i="1"/>
  <c r="T254" i="1"/>
  <c r="AT36" i="1"/>
  <c r="P173" i="1"/>
  <c r="BN176" i="1"/>
  <c r="BC214" i="1"/>
  <c r="BC257" i="1"/>
  <c r="BB137" i="1"/>
  <c r="AX100" i="1"/>
  <c r="AX256" i="1"/>
  <c r="BU41" i="1"/>
  <c r="BT146" i="1"/>
  <c r="BU142" i="1"/>
  <c r="BG142" i="1"/>
  <c r="BG41" i="1"/>
  <c r="BF256" i="1"/>
  <c r="BR104" i="1"/>
  <c r="BR102" i="1"/>
  <c r="BR103" i="1"/>
  <c r="R206" i="1"/>
  <c r="R207" i="1" s="1"/>
  <c r="D206" i="1"/>
  <c r="D207" i="1" s="1"/>
  <c r="H213" i="1"/>
  <c r="K213" i="1"/>
  <c r="H189" i="1"/>
  <c r="H194" i="1"/>
  <c r="BB192" i="1"/>
  <c r="AZ192" i="1"/>
  <c r="BF192" i="1"/>
  <c r="M173" i="1"/>
  <c r="O173" i="1"/>
  <c r="AR189" i="1"/>
  <c r="BR257" i="1"/>
  <c r="BU210" i="1"/>
  <c r="BB176" i="1"/>
  <c r="AV176" i="1"/>
  <c r="AQ257" i="1"/>
  <c r="AV257" i="1"/>
  <c r="AR214" i="1"/>
  <c r="AR257" i="1"/>
  <c r="AO142" i="1"/>
  <c r="AO41" i="1"/>
  <c r="AN146" i="1"/>
  <c r="AN254" i="1" s="1"/>
  <c r="BC41" i="1"/>
  <c r="BB146" i="1"/>
  <c r="BC142" i="1"/>
  <c r="BT137" i="1"/>
  <c r="BN137" i="1"/>
  <c r="AP189" i="1"/>
  <c r="BP192" i="1"/>
  <c r="BR192" i="1"/>
  <c r="K173" i="1"/>
  <c r="T173" i="1"/>
  <c r="H254" i="1"/>
  <c r="BP189" i="1"/>
  <c r="AV192" i="1"/>
  <c r="BD192" i="1"/>
  <c r="U252" i="1"/>
  <c r="U254" i="1"/>
  <c r="AX192" i="1"/>
  <c r="L252" i="1"/>
  <c r="H252" i="1"/>
  <c r="U173" i="1"/>
  <c r="P252" i="1"/>
  <c r="L173" i="1"/>
  <c r="L206" i="1"/>
  <c r="L207" i="1" s="1"/>
  <c r="V206" i="1"/>
  <c r="V207" i="1" s="1"/>
  <c r="BH214" i="1"/>
  <c r="P254" i="1"/>
  <c r="F194" i="1"/>
  <c r="U211" i="1"/>
  <c r="U209" i="1" s="1"/>
  <c r="S173" i="1"/>
  <c r="T252" i="1"/>
  <c r="B77" i="1"/>
  <c r="B95" i="1" s="1"/>
  <c r="P206" i="1"/>
  <c r="P207" i="1" s="1"/>
  <c r="T211" i="1"/>
  <c r="T209" i="1" s="1"/>
  <c r="L254" i="1"/>
  <c r="S254" i="1"/>
  <c r="U213" i="1"/>
  <c r="S252" i="1"/>
  <c r="BF146" i="1"/>
  <c r="AW41" i="1"/>
  <c r="AV146" i="1"/>
  <c r="AW142" i="1"/>
  <c r="BE41" i="1"/>
  <c r="BE142" i="1"/>
  <c r="BD146" i="1"/>
  <c r="AQ142" i="1"/>
  <c r="AP146" i="1"/>
  <c r="AQ41" i="1"/>
  <c r="R192" i="1"/>
  <c r="BB103" i="1"/>
  <c r="BB104" i="1"/>
  <c r="BB102" i="1"/>
  <c r="AO257" i="1"/>
  <c r="AO214" i="1"/>
  <c r="AN257" i="1"/>
  <c r="AN214" i="1"/>
  <c r="AN137" i="1"/>
  <c r="AN176" i="1"/>
  <c r="BN146" i="1"/>
  <c r="BO142" i="1"/>
  <c r="BO41" i="1"/>
  <c r="AY142" i="1"/>
  <c r="AX146" i="1"/>
  <c r="AY41" i="1"/>
  <c r="AR193" i="1"/>
  <c r="AR165" i="1"/>
  <c r="BN256" i="1"/>
  <c r="BN100" i="1"/>
  <c r="BF214" i="1"/>
  <c r="BF176" i="1"/>
  <c r="BP257" i="1"/>
  <c r="BP214" i="1"/>
  <c r="BP176" i="1"/>
  <c r="BR137" i="1"/>
  <c r="BS257" i="1"/>
  <c r="BS214" i="1"/>
  <c r="BR176" i="1"/>
  <c r="BQ41" i="1"/>
  <c r="BP146" i="1"/>
  <c r="BQ142" i="1"/>
  <c r="BC217" i="1"/>
  <c r="BB256" i="1"/>
  <c r="AR256" i="1"/>
  <c r="AX214" i="1"/>
  <c r="AX176" i="1"/>
  <c r="AX137" i="1"/>
  <c r="AX257" i="1"/>
  <c r="BO210" i="1"/>
  <c r="BP210" i="1"/>
  <c r="BD100" i="1"/>
  <c r="BD256" i="1"/>
  <c r="BO214" i="1"/>
  <c r="BO257" i="1"/>
  <c r="BN257" i="1"/>
  <c r="BN214" i="1"/>
  <c r="AW257" i="1"/>
  <c r="AW214" i="1"/>
  <c r="AN190" i="1"/>
  <c r="AN165" i="1"/>
  <c r="BV257" i="1"/>
  <c r="BU257" i="1"/>
  <c r="BU214" i="1"/>
  <c r="BV214" i="1"/>
  <c r="BT176" i="1"/>
  <c r="BT257" i="1"/>
  <c r="BT214" i="1"/>
  <c r="AZ176" i="1"/>
  <c r="AZ257" i="1"/>
  <c r="AZ137" i="1"/>
  <c r="AZ214" i="1"/>
  <c r="AN192" i="1"/>
  <c r="AT257" i="1"/>
  <c r="AT214" i="1"/>
  <c r="BD214" i="1"/>
  <c r="BD137" i="1"/>
  <c r="BE257" i="1"/>
  <c r="BE214" i="1"/>
  <c r="BD176" i="1"/>
  <c r="BD257" i="1"/>
  <c r="AV100" i="1"/>
  <c r="AV256" i="1"/>
  <c r="AQ214" i="1"/>
  <c r="AP214" i="1"/>
  <c r="AP257" i="1"/>
  <c r="BG257" i="1"/>
  <c r="BH257" i="1"/>
  <c r="BB214" i="1"/>
  <c r="BA257" i="1"/>
  <c r="BB257" i="1"/>
  <c r="BA214" i="1"/>
  <c r="BP194" i="1"/>
  <c r="BP197" i="1" s="1"/>
  <c r="BR214" i="1"/>
  <c r="AY214" i="1"/>
  <c r="AY257" i="1"/>
  <c r="AQ217" i="1"/>
  <c r="AP256" i="1"/>
  <c r="BS217" i="1"/>
  <c r="BR256" i="1"/>
  <c r="BT100" i="1"/>
  <c r="BT256" i="1"/>
  <c r="BF257" i="1"/>
  <c r="BF137" i="1"/>
  <c r="AP176" i="1"/>
  <c r="AP137" i="1"/>
  <c r="AP103" i="1"/>
  <c r="AP102" i="1"/>
  <c r="AP104" i="1"/>
  <c r="AP193" i="1"/>
  <c r="AP165" i="1"/>
  <c r="BP104" i="1"/>
  <c r="AV137" i="1"/>
  <c r="BQ257" i="1"/>
  <c r="BP256" i="1"/>
  <c r="BP137" i="1"/>
  <c r="BP165" i="1"/>
  <c r="BG214" i="1"/>
  <c r="BQ214" i="1"/>
  <c r="BP103" i="1"/>
  <c r="AV190" i="1"/>
  <c r="AV194" i="1" s="1"/>
  <c r="AV165" i="1"/>
  <c r="BB190" i="1"/>
  <c r="BB165" i="1"/>
  <c r="BD190" i="1"/>
  <c r="BD165" i="1"/>
  <c r="AX190" i="1"/>
  <c r="AX165" i="1"/>
  <c r="BF190" i="1"/>
  <c r="BF165" i="1"/>
  <c r="BT190" i="1"/>
  <c r="BT165" i="1"/>
  <c r="BR190" i="1"/>
  <c r="BR194" i="1" s="1"/>
  <c r="BR165" i="1"/>
  <c r="BN190" i="1"/>
  <c r="BN165" i="1"/>
  <c r="AZ190" i="1"/>
  <c r="AZ165" i="1"/>
  <c r="BN192" i="1"/>
  <c r="AX27" i="1"/>
  <c r="AX25" i="1"/>
  <c r="AX26" i="1"/>
  <c r="AX36" i="1"/>
  <c r="AY27" i="1"/>
  <c r="BB27" i="1"/>
  <c r="D173" i="1"/>
  <c r="G213" i="1"/>
  <c r="BV174" i="1"/>
  <c r="Q67" i="1"/>
  <c r="AV27" i="1"/>
  <c r="C76" i="1"/>
  <c r="C77" i="1"/>
  <c r="BQ36" i="1"/>
  <c r="S206" i="1"/>
  <c r="S207" i="1" s="1"/>
  <c r="H206" i="1"/>
  <c r="H207" i="1" s="1"/>
  <c r="F252" i="1"/>
  <c r="N213" i="1"/>
  <c r="Q173" i="1"/>
  <c r="J173" i="1"/>
  <c r="J174" i="1" s="1"/>
  <c r="J254" i="1"/>
  <c r="P213" i="1"/>
  <c r="N252" i="1"/>
  <c r="V173" i="1"/>
  <c r="V174" i="1" s="1"/>
  <c r="D211" i="1"/>
  <c r="D209" i="1" s="1"/>
  <c r="BH173" i="1"/>
  <c r="BH174" i="1" s="1"/>
  <c r="L213" i="1"/>
  <c r="R213" i="1"/>
  <c r="I213" i="1"/>
  <c r="N254" i="1"/>
  <c r="BG27" i="1"/>
  <c r="S213" i="1"/>
  <c r="Q206" i="1"/>
  <c r="Q207" i="1" s="1"/>
  <c r="F254" i="1"/>
  <c r="C173" i="1"/>
  <c r="C252" i="1" s="1"/>
  <c r="F174" i="1"/>
  <c r="J252" i="1"/>
  <c r="D118" i="1"/>
  <c r="D121" i="1" s="1"/>
  <c r="N173" i="1"/>
  <c r="R211" i="1"/>
  <c r="R209" i="1" s="1"/>
  <c r="V213" i="1"/>
  <c r="K211" i="1"/>
  <c r="K209" i="1" s="1"/>
  <c r="G211" i="1"/>
  <c r="G209" i="1" s="1"/>
  <c r="N211" i="1"/>
  <c r="N209" i="1" s="1"/>
  <c r="V211" i="1"/>
  <c r="V209" i="1" s="1"/>
  <c r="V252" i="1"/>
  <c r="V254" i="1"/>
  <c r="Q254" i="1"/>
  <c r="Q252" i="1"/>
  <c r="Q211" i="1"/>
  <c r="Q209" i="1" s="1"/>
  <c r="O254" i="1"/>
  <c r="P211" i="1"/>
  <c r="P209" i="1" s="1"/>
  <c r="Q194" i="1"/>
  <c r="Q192" i="1"/>
  <c r="V194" i="1"/>
  <c r="T194" i="1"/>
  <c r="T189" i="1"/>
  <c r="O211" i="1"/>
  <c r="O209" i="1" s="1"/>
  <c r="O252" i="1"/>
  <c r="BP36" i="1"/>
  <c r="BP25" i="1"/>
  <c r="BQ27" i="1"/>
  <c r="BM25" i="1"/>
  <c r="BQ26" i="1"/>
  <c r="BF240" i="1"/>
  <c r="BF241" i="1" s="1"/>
  <c r="BS26" i="1"/>
  <c r="AI25" i="1"/>
  <c r="AM26" i="1"/>
  <c r="N67" i="1"/>
  <c r="BS36" i="1"/>
  <c r="BS25" i="1"/>
  <c r="AW27" i="1"/>
  <c r="BT36" i="1"/>
  <c r="BX26" i="1"/>
  <c r="BT26" i="1"/>
  <c r="AS26" i="1"/>
  <c r="BH252" i="1"/>
  <c r="BJ41" i="1"/>
  <c r="R67" i="1"/>
  <c r="BV104" i="1"/>
  <c r="BV103" i="1"/>
  <c r="BV102" i="1"/>
  <c r="AP27" i="1"/>
  <c r="AY36" i="1"/>
  <c r="AY25" i="1"/>
  <c r="AZ27" i="1"/>
  <c r="AT26" i="1"/>
  <c r="AP36" i="1"/>
  <c r="AP25" i="1"/>
  <c r="BQ25" i="1"/>
  <c r="AS25" i="1"/>
  <c r="AS36" i="1"/>
  <c r="AT27" i="1"/>
  <c r="AW26" i="1"/>
  <c r="BM36" i="1"/>
  <c r="BF25" i="1"/>
  <c r="BJ26" i="1"/>
  <c r="BE27" i="1"/>
  <c r="BD25" i="1"/>
  <c r="BD36" i="1"/>
  <c r="BE36" i="1"/>
  <c r="BE25" i="1"/>
  <c r="BF27" i="1"/>
  <c r="BT27" i="1"/>
  <c r="BF37" i="1"/>
  <c r="BF42" i="1"/>
  <c r="BF46" i="1" s="1"/>
  <c r="BO36" i="1"/>
  <c r="BP27" i="1"/>
  <c r="BO25" i="1"/>
  <c r="AJ27" i="1"/>
  <c r="AI36" i="1"/>
  <c r="AQ27" i="1"/>
  <c r="AV36" i="1"/>
  <c r="AV25" i="1"/>
  <c r="AZ26" i="1"/>
  <c r="BT25" i="1"/>
  <c r="AO36" i="1"/>
  <c r="AO25" i="1"/>
  <c r="BH254" i="1"/>
  <c r="BI146" i="1"/>
  <c r="BJ211" i="1" s="1"/>
  <c r="BJ209" i="1" s="1"/>
  <c r="I173" i="1"/>
  <c r="I174" i="1" s="1"/>
  <c r="E211" i="1"/>
  <c r="E209" i="1" s="1"/>
  <c r="K206" i="1"/>
  <c r="K207" i="1" s="1"/>
  <c r="G174" i="1"/>
  <c r="E173" i="1"/>
  <c r="BV26" i="1"/>
  <c r="J194" i="1"/>
  <c r="BB25" i="1"/>
  <c r="BB36" i="1"/>
  <c r="BF26" i="1"/>
  <c r="E206" i="1"/>
  <c r="E207" i="1" s="1"/>
  <c r="E221" i="1" s="1"/>
  <c r="G206" i="1"/>
  <c r="G207" i="1" s="1"/>
  <c r="M206" i="1"/>
  <c r="M207" i="1" s="1"/>
  <c r="M221" i="1" s="1"/>
  <c r="M213" i="1"/>
  <c r="M218" i="1" s="1"/>
  <c r="M219" i="1" s="1"/>
  <c r="B118" i="1"/>
  <c r="B121" i="1" s="1"/>
  <c r="F213" i="1"/>
  <c r="C213" i="1"/>
  <c r="C118" i="1"/>
  <c r="C121" i="1" s="1"/>
  <c r="C119" i="1"/>
  <c r="C122" i="1" s="1"/>
  <c r="D76" i="1"/>
  <c r="D77" i="1"/>
  <c r="K189" i="1"/>
  <c r="K194" i="1"/>
  <c r="E252" i="1"/>
  <c r="E254" i="1"/>
  <c r="F211" i="1"/>
  <c r="F209" i="1" s="1"/>
  <c r="I252" i="1"/>
  <c r="I254" i="1"/>
  <c r="J211" i="1"/>
  <c r="J209" i="1" s="1"/>
  <c r="I211" i="1"/>
  <c r="I209" i="1" s="1"/>
  <c r="L189" i="1"/>
  <c r="L194" i="1"/>
  <c r="L197" i="1" s="1"/>
  <c r="L198" i="1" s="1"/>
  <c r="X211" i="1"/>
  <c r="X209" i="1" s="1"/>
  <c r="W211" i="1"/>
  <c r="W209" i="1" s="1"/>
  <c r="E192" i="1"/>
  <c r="E194" i="1"/>
  <c r="N206" i="1"/>
  <c r="N207" i="1" s="1"/>
  <c r="Q213" i="1"/>
  <c r="T213" i="1"/>
  <c r="BI27" i="1"/>
  <c r="BH117" i="1"/>
  <c r="BI45" i="1"/>
  <c r="R189" i="1"/>
  <c r="R194" i="1"/>
  <c r="G194" i="1"/>
  <c r="G192" i="1"/>
  <c r="AR36" i="1"/>
  <c r="AR25" i="1"/>
  <c r="AS27" i="1"/>
  <c r="P67" i="1"/>
  <c r="AV26" i="1"/>
  <c r="AR26" i="1"/>
  <c r="AR27" i="1"/>
  <c r="BA42" i="1"/>
  <c r="BA46" i="1" s="1"/>
  <c r="BA240" i="1"/>
  <c r="BA241" i="1" s="1"/>
  <c r="BA37" i="1"/>
  <c r="BA258" i="1"/>
  <c r="BA38" i="1"/>
  <c r="AW42" i="1"/>
  <c r="AW46" i="1" s="1"/>
  <c r="AW37" i="1"/>
  <c r="AW240" i="1"/>
  <c r="AW241" i="1" s="1"/>
  <c r="BW27" i="1"/>
  <c r="CA26" i="1"/>
  <c r="BW25" i="1"/>
  <c r="X67" i="1"/>
  <c r="BX27" i="1"/>
  <c r="BW36" i="1"/>
  <c r="BW26" i="1"/>
  <c r="BC25" i="1"/>
  <c r="BC36" i="1"/>
  <c r="S67" i="1"/>
  <c r="BD27" i="1"/>
  <c r="BL27" i="1"/>
  <c r="BO26" i="1"/>
  <c r="D189" i="1"/>
  <c r="D194" i="1"/>
  <c r="BR27" i="1"/>
  <c r="BR25" i="1"/>
  <c r="BS27" i="1"/>
  <c r="V67" i="1"/>
  <c r="BR36" i="1"/>
  <c r="N194" i="1"/>
  <c r="N189" i="1"/>
  <c r="BH26" i="1"/>
  <c r="BH36" i="1"/>
  <c r="BH25" i="1"/>
  <c r="BL26" i="1"/>
  <c r="AZ42" i="1"/>
  <c r="AZ46" i="1" s="1"/>
  <c r="AZ240" i="1"/>
  <c r="AZ241" i="1" s="1"/>
  <c r="AZ37" i="1"/>
  <c r="BA39" i="1"/>
  <c r="P189" i="1"/>
  <c r="P194" i="1"/>
  <c r="O192" i="1"/>
  <c r="O194" i="1"/>
  <c r="BN26" i="1"/>
  <c r="BN36" i="1"/>
  <c r="BN25" i="1"/>
  <c r="BN27" i="1"/>
  <c r="BO27" i="1"/>
  <c r="BR26" i="1"/>
  <c r="BZ38" i="1"/>
  <c r="BV37" i="1"/>
  <c r="BV240" i="1"/>
  <c r="BV241" i="1" s="1"/>
  <c r="BV42" i="1"/>
  <c r="BV46" i="1" s="1"/>
  <c r="BY26" i="1"/>
  <c r="BV27" i="1"/>
  <c r="BU36" i="1"/>
  <c r="BU26" i="1"/>
  <c r="BU25" i="1"/>
  <c r="BU27" i="1"/>
  <c r="S192" i="1"/>
  <c r="S194" i="1"/>
  <c r="BJ27" i="1"/>
  <c r="BK26" i="1"/>
  <c r="C206" i="1"/>
  <c r="C207" i="1" s="1"/>
  <c r="C221" i="1" s="1"/>
  <c r="U67" i="1"/>
  <c r="BM26" i="1"/>
  <c r="BX41" i="1"/>
  <c r="BG25" i="1"/>
  <c r="BI25" i="1"/>
  <c r="BK36" i="1"/>
  <c r="B174" i="1"/>
  <c r="J206" i="1"/>
  <c r="J207" i="1" s="1"/>
  <c r="BG36" i="1"/>
  <c r="O213" i="1"/>
  <c r="T67" i="1"/>
  <c r="BI36" i="1"/>
  <c r="BH27" i="1"/>
  <c r="O206" i="1"/>
  <c r="O207" i="1" s="1"/>
  <c r="BG26" i="1"/>
  <c r="BC26" i="1"/>
  <c r="BC27" i="1"/>
  <c r="BI26" i="1"/>
  <c r="BK25" i="1"/>
  <c r="BK27" i="1"/>
  <c r="AM95" i="1"/>
  <c r="AM94" i="1"/>
  <c r="BW45" i="1"/>
  <c r="S211" i="1"/>
  <c r="S209" i="1" s="1"/>
  <c r="E213" i="1"/>
  <c r="U194" i="1"/>
  <c r="F206" i="1"/>
  <c r="F207" i="1" s="1"/>
  <c r="U206" i="1"/>
  <c r="U207" i="1" s="1"/>
  <c r="R173" i="1"/>
  <c r="R174" i="1" s="1"/>
  <c r="D119" i="1"/>
  <c r="D122" i="1" s="1"/>
  <c r="R252" i="1"/>
  <c r="R254" i="1"/>
  <c r="D213" i="1"/>
  <c r="B119" i="1"/>
  <c r="B122" i="1" s="1"/>
  <c r="BS146" i="1"/>
  <c r="BT41" i="1"/>
  <c r="BR254" i="1"/>
  <c r="BR252" i="1"/>
  <c r="AN102" i="1"/>
  <c r="AN104" i="1"/>
  <c r="C197" i="1"/>
  <c r="C198" i="1" s="1"/>
  <c r="BA146" i="1"/>
  <c r="BB41" i="1"/>
  <c r="AZ252" i="1"/>
  <c r="AZ254" i="1"/>
  <c r="AU45" i="1"/>
  <c r="AT117" i="1"/>
  <c r="AR102" i="1"/>
  <c r="AR104" i="1"/>
  <c r="AR103" i="1"/>
  <c r="AT194" i="1"/>
  <c r="AT189" i="1"/>
  <c r="AV41" i="1"/>
  <c r="AU146" i="1"/>
  <c r="BP254" i="1"/>
  <c r="BP252" i="1"/>
  <c r="AY45" i="1"/>
  <c r="AX117" i="1"/>
  <c r="AT173" i="1"/>
  <c r="AT174" i="1" s="1"/>
  <c r="AT254" i="1"/>
  <c r="AT252" i="1"/>
  <c r="AZ117" i="1"/>
  <c r="BA45" i="1"/>
  <c r="AZ103" i="1"/>
  <c r="AZ104" i="1"/>
  <c r="AZ102" i="1"/>
  <c r="BF103" i="1"/>
  <c r="BF104" i="1"/>
  <c r="BF102" i="1"/>
  <c r="BR189" i="1"/>
  <c r="BN189" i="1"/>
  <c r="BN194" i="1"/>
  <c r="BX211" i="1"/>
  <c r="BX209" i="1" s="1"/>
  <c r="BW211" i="1"/>
  <c r="BW209" i="1" s="1"/>
  <c r="AZ194" i="1"/>
  <c r="AZ189" i="1"/>
  <c r="AM102" i="1"/>
  <c r="AM103" i="1"/>
  <c r="AM104" i="1"/>
  <c r="AU39" i="1"/>
  <c r="AU258" i="1"/>
  <c r="AU259" i="1" s="1"/>
  <c r="AU240" i="1"/>
  <c r="AU241" i="1" s="1"/>
  <c r="AU37" i="1"/>
  <c r="AU42" i="1"/>
  <c r="AU46" i="1" s="1"/>
  <c r="AU38" i="1"/>
  <c r="BV118" i="1"/>
  <c r="BV119" i="1"/>
  <c r="AN258" i="1"/>
  <c r="AN42" i="1"/>
  <c r="AN39" i="1"/>
  <c r="AN37" i="1"/>
  <c r="AN240" i="1"/>
  <c r="AN241" i="1" s="1"/>
  <c r="AN234" i="1"/>
  <c r="AN120" i="1"/>
  <c r="AN38" i="1"/>
  <c r="BN38" i="1"/>
  <c r="AX258" i="1"/>
  <c r="AX259" i="1" s="1"/>
  <c r="AX240" i="1"/>
  <c r="AX241" i="1" s="1"/>
  <c r="AX38" i="1"/>
  <c r="AX42" i="1"/>
  <c r="AX39" i="1"/>
  <c r="AX37" i="1"/>
  <c r="AQ37" i="1"/>
  <c r="AQ240" i="1"/>
  <c r="AQ241" i="1" s="1"/>
  <c r="AQ42" i="1"/>
  <c r="AQ38" i="1"/>
  <c r="BJ242" i="1"/>
  <c r="BJ50" i="1"/>
  <c r="BJ253" i="1" s="1"/>
  <c r="BJ56" i="1"/>
  <c r="CR142" i="1"/>
  <c r="AE150" i="1"/>
  <c r="AC132" i="1"/>
  <c r="D197" i="1" l="1"/>
  <c r="D198" i="1" s="1"/>
  <c r="AP117" i="1"/>
  <c r="AQ45" i="1"/>
  <c r="AP194" i="1"/>
  <c r="AP197" i="1" s="1"/>
  <c r="AP192" i="1"/>
  <c r="AX189" i="1"/>
  <c r="AX194" i="1"/>
  <c r="BF189" i="1"/>
  <c r="BF194" i="1"/>
  <c r="BJ197" i="1" s="1"/>
  <c r="BT104" i="1"/>
  <c r="BT103" i="1"/>
  <c r="BT102" i="1"/>
  <c r="AV189" i="1"/>
  <c r="BB194" i="1"/>
  <c r="BB189" i="1"/>
  <c r="BD189" i="1"/>
  <c r="BD194" i="1"/>
  <c r="BT194" i="1"/>
  <c r="BT189" i="1"/>
  <c r="AZ197" i="1"/>
  <c r="D221" i="1"/>
  <c r="U174" i="1"/>
  <c r="P174" i="1"/>
  <c r="S174" i="1"/>
  <c r="AS146" i="1"/>
  <c r="AT41" i="1"/>
  <c r="L174" i="1"/>
  <c r="AR173" i="1"/>
  <c r="AR174" i="1" s="1"/>
  <c r="BV197" i="1"/>
  <c r="BD38" i="1"/>
  <c r="T218" i="1"/>
  <c r="T219" i="1" s="1"/>
  <c r="H174" i="1"/>
  <c r="AR254" i="1"/>
  <c r="AR252" i="1"/>
  <c r="AT37" i="1"/>
  <c r="AT42" i="1"/>
  <c r="AT46" i="1" s="1"/>
  <c r="BC146" i="1"/>
  <c r="AN211" i="1"/>
  <c r="AN209" i="1" s="1"/>
  <c r="BT254" i="1"/>
  <c r="AW146" i="1"/>
  <c r="BB254" i="1"/>
  <c r="BB252" i="1"/>
  <c r="AV254" i="1"/>
  <c r="BE146" i="1"/>
  <c r="BD252" i="1"/>
  <c r="AX254" i="1"/>
  <c r="AP173" i="1"/>
  <c r="AP174" i="1" s="1"/>
  <c r="AX104" i="1"/>
  <c r="AX102" i="1"/>
  <c r="BU146" i="1"/>
  <c r="AR41" i="1"/>
  <c r="AR194" i="1"/>
  <c r="BP41" i="1"/>
  <c r="O174" i="1"/>
  <c r="AT240" i="1"/>
  <c r="AT241" i="1" s="1"/>
  <c r="M174" i="1"/>
  <c r="I197" i="1"/>
  <c r="I198" i="1" s="1"/>
  <c r="AW45" i="1"/>
  <c r="AV117" i="1"/>
  <c r="AP41" i="1"/>
  <c r="AO146" i="1"/>
  <c r="BB117" i="1"/>
  <c r="BC45" i="1"/>
  <c r="L221" i="1"/>
  <c r="BN117" i="1"/>
  <c r="BO45" i="1"/>
  <c r="BF254" i="1"/>
  <c r="BF252" i="1"/>
  <c r="AP254" i="1"/>
  <c r="AP252" i="1"/>
  <c r="BD41" i="1"/>
  <c r="AN252" i="1"/>
  <c r="BT252" i="1"/>
  <c r="AX41" i="1"/>
  <c r="BG146" i="1"/>
  <c r="BH41" i="1"/>
  <c r="AV252" i="1"/>
  <c r="BF41" i="1"/>
  <c r="BD254" i="1"/>
  <c r="AX252" i="1"/>
  <c r="AX103" i="1"/>
  <c r="BV41" i="1"/>
  <c r="AQ146" i="1"/>
  <c r="AO45" i="1"/>
  <c r="AN117" i="1"/>
  <c r="AR192" i="1"/>
  <c r="BO146" i="1"/>
  <c r="AN259" i="1"/>
  <c r="BD173" i="1"/>
  <c r="P197" i="1"/>
  <c r="P198" i="1" s="1"/>
  <c r="O197" i="1"/>
  <c r="O198" i="1" s="1"/>
  <c r="N197" i="1"/>
  <c r="N198" i="1" s="1"/>
  <c r="BA259" i="1"/>
  <c r="K174" i="1"/>
  <c r="T174" i="1"/>
  <c r="B94" i="1"/>
  <c r="B93" i="1"/>
  <c r="T221" i="1"/>
  <c r="U218" i="1"/>
  <c r="U219" i="1" s="1"/>
  <c r="U221" i="1"/>
  <c r="C78" i="1"/>
  <c r="H218" i="1"/>
  <c r="H219" i="1" s="1"/>
  <c r="S221" i="1"/>
  <c r="S218" i="1"/>
  <c r="S219" i="1" s="1"/>
  <c r="D252" i="1"/>
  <c r="D174" i="1"/>
  <c r="H221" i="1"/>
  <c r="V218" i="1"/>
  <c r="V219" i="1" s="1"/>
  <c r="V221" i="1"/>
  <c r="BR173" i="1"/>
  <c r="BR174" i="1" s="1"/>
  <c r="R218" i="1"/>
  <c r="R219" i="1" s="1"/>
  <c r="R221" i="1"/>
  <c r="L218" i="1"/>
  <c r="L219" i="1" s="1"/>
  <c r="AN173" i="1"/>
  <c r="AN174" i="1" s="1"/>
  <c r="BP173" i="1"/>
  <c r="BP174" i="1" s="1"/>
  <c r="AZ41" i="1"/>
  <c r="AY146" i="1"/>
  <c r="BN211" i="1"/>
  <c r="BN209" i="1" s="1"/>
  <c r="BN254" i="1"/>
  <c r="BN252" i="1"/>
  <c r="BN104" i="1"/>
  <c r="BN103" i="1"/>
  <c r="BN102" i="1"/>
  <c r="BP117" i="1"/>
  <c r="BQ45" i="1"/>
  <c r="BB173" i="1"/>
  <c r="BB174" i="1" s="1"/>
  <c r="BT173" i="1"/>
  <c r="BT174" i="1" s="1"/>
  <c r="BG45" i="1"/>
  <c r="BN173" i="1"/>
  <c r="BN174" i="1" s="1"/>
  <c r="AZ173" i="1"/>
  <c r="AZ174" i="1" s="1"/>
  <c r="BS45" i="1"/>
  <c r="BR117" i="1"/>
  <c r="BR41" i="1"/>
  <c r="BQ146" i="1"/>
  <c r="AN189" i="1"/>
  <c r="AN194" i="1"/>
  <c r="BE38" i="1"/>
  <c r="AW234" i="1"/>
  <c r="AV39" i="1"/>
  <c r="BO120" i="1"/>
  <c r="BB38" i="1"/>
  <c r="BF173" i="1"/>
  <c r="BF174" i="1" s="1"/>
  <c r="BF117" i="1"/>
  <c r="BD174" i="1"/>
  <c r="BM39" i="1"/>
  <c r="AW120" i="1"/>
  <c r="Q68" i="1"/>
  <c r="AO120" i="1"/>
  <c r="AO39" i="1"/>
  <c r="BB39" i="1"/>
  <c r="AO38" i="1"/>
  <c r="BD103" i="1"/>
  <c r="BD102" i="1"/>
  <c r="BD104" i="1"/>
  <c r="BU45" i="1"/>
  <c r="BT117" i="1"/>
  <c r="BE45" i="1"/>
  <c r="BD117" i="1"/>
  <c r="AV104" i="1"/>
  <c r="AV102" i="1"/>
  <c r="AV103" i="1"/>
  <c r="AV173" i="1"/>
  <c r="AV174" i="1" s="1"/>
  <c r="AX173" i="1"/>
  <c r="AX174" i="1" s="1"/>
  <c r="M197" i="1"/>
  <c r="M198" i="1" s="1"/>
  <c r="AX234" i="1"/>
  <c r="AX120" i="1"/>
  <c r="AO234" i="1"/>
  <c r="BO234" i="1"/>
  <c r="AZ234" i="1"/>
  <c r="T197" i="1"/>
  <c r="T198" i="1" s="1"/>
  <c r="BA234" i="1"/>
  <c r="BL120" i="1"/>
  <c r="AQ258" i="1"/>
  <c r="AQ259" i="1" s="1"/>
  <c r="AT38" i="1"/>
  <c r="AQ39" i="1"/>
  <c r="BS234" i="1"/>
  <c r="BO38" i="1"/>
  <c r="BK39" i="1"/>
  <c r="AP38" i="1"/>
  <c r="BM120" i="1"/>
  <c r="BM234" i="1"/>
  <c r="BP38" i="1"/>
  <c r="O68" i="1"/>
  <c r="AY38" i="1"/>
  <c r="AQ234" i="1"/>
  <c r="BA120" i="1"/>
  <c r="AY39" i="1"/>
  <c r="AZ120" i="1"/>
  <c r="AQ120" i="1"/>
  <c r="AP234" i="1"/>
  <c r="AP120" i="1"/>
  <c r="K197" i="1"/>
  <c r="K198" i="1" s="1"/>
  <c r="B97" i="1"/>
  <c r="C95" i="1"/>
  <c r="C93" i="1"/>
  <c r="C94" i="1"/>
  <c r="Q218" i="1"/>
  <c r="Q219" i="1" s="1"/>
  <c r="N174" i="1"/>
  <c r="P221" i="1"/>
  <c r="BQ42" i="1"/>
  <c r="BQ46" i="1" s="1"/>
  <c r="BQ37" i="1"/>
  <c r="BQ240" i="1"/>
  <c r="BQ241" i="1" s="1"/>
  <c r="Q197" i="1"/>
  <c r="Q198" i="1" s="1"/>
  <c r="J197" i="1"/>
  <c r="J198" i="1" s="1"/>
  <c r="O221" i="1"/>
  <c r="Q174" i="1"/>
  <c r="E174" i="1"/>
  <c r="V197" i="1"/>
  <c r="V198" i="1" s="1"/>
  <c r="C174" i="1"/>
  <c r="D218" i="1"/>
  <c r="D219" i="1" s="1"/>
  <c r="K218" i="1"/>
  <c r="K219" i="1" s="1"/>
  <c r="K221" i="1"/>
  <c r="Q221" i="1"/>
  <c r="P218" i="1"/>
  <c r="P219" i="1" s="1"/>
  <c r="BK37" i="1"/>
  <c r="BL39" i="1"/>
  <c r="BK240" i="1"/>
  <c r="BK241" i="1" s="1"/>
  <c r="BK42" i="1"/>
  <c r="BK46" i="1" s="1"/>
  <c r="BK258" i="1"/>
  <c r="BK259" i="1" s="1"/>
  <c r="BL258" i="1"/>
  <c r="BL259" i="1" s="1"/>
  <c r="AY37" i="1"/>
  <c r="AY240" i="1"/>
  <c r="AY241" i="1" s="1"/>
  <c r="AY42" i="1"/>
  <c r="AY46" i="1" s="1"/>
  <c r="AZ258" i="1"/>
  <c r="AZ259" i="1" s="1"/>
  <c r="AZ39" i="1"/>
  <c r="AP37" i="1"/>
  <c r="AP240" i="1"/>
  <c r="AP241" i="1" s="1"/>
  <c r="AP42" i="1"/>
  <c r="AP46" i="1" s="1"/>
  <c r="BV258" i="1"/>
  <c r="BV259" i="1" s="1"/>
  <c r="BV39" i="1"/>
  <c r="BU38" i="1"/>
  <c r="BU37" i="1"/>
  <c r="BU240" i="1"/>
  <c r="BU241" i="1" s="1"/>
  <c r="BY38" i="1"/>
  <c r="BU42" i="1"/>
  <c r="BU46" i="1" s="1"/>
  <c r="BK120" i="1"/>
  <c r="U68" i="1"/>
  <c r="AS240" i="1"/>
  <c r="AS241" i="1" s="1"/>
  <c r="AS42" i="1"/>
  <c r="AS46" i="1" s="1"/>
  <c r="AW38" i="1"/>
  <c r="AT39" i="1"/>
  <c r="AS258" i="1"/>
  <c r="AS259" i="1" s="1"/>
  <c r="AS37" i="1"/>
  <c r="AT258" i="1"/>
  <c r="AT259" i="1" s="1"/>
  <c r="AS234" i="1"/>
  <c r="AS120" i="1"/>
  <c r="BF258" i="1"/>
  <c r="BF259" i="1" s="1"/>
  <c r="BQ39" i="1"/>
  <c r="BP37" i="1"/>
  <c r="BP240" i="1"/>
  <c r="BP241" i="1" s="1"/>
  <c r="BP42" i="1"/>
  <c r="BP46" i="1" s="1"/>
  <c r="BQ258" i="1"/>
  <c r="BQ259" i="1" s="1"/>
  <c r="BM42" i="1"/>
  <c r="BM46" i="1" s="1"/>
  <c r="BM37" i="1"/>
  <c r="BQ38" i="1"/>
  <c r="BM38" i="1"/>
  <c r="BM240" i="1"/>
  <c r="BM241" i="1" s="1"/>
  <c r="BM258" i="1"/>
  <c r="BM259" i="1" s="1"/>
  <c r="AP39" i="1"/>
  <c r="BE39" i="1"/>
  <c r="BD42" i="1"/>
  <c r="BD46" i="1" s="1"/>
  <c r="BD37" i="1"/>
  <c r="BD240" i="1"/>
  <c r="BD241" i="1" s="1"/>
  <c r="BE258" i="1"/>
  <c r="BE259" i="1" s="1"/>
  <c r="BI38" i="1"/>
  <c r="BE240" i="1"/>
  <c r="BE241" i="1" s="1"/>
  <c r="BE37" i="1"/>
  <c r="BE42" i="1"/>
  <c r="BE46" i="1" s="1"/>
  <c r="BF39" i="1"/>
  <c r="BF49" i="1"/>
  <c r="BF48" i="1"/>
  <c r="BO37" i="1"/>
  <c r="BO42" i="1"/>
  <c r="BO46" i="1" s="1"/>
  <c r="BO240" i="1"/>
  <c r="BO241" i="1" s="1"/>
  <c r="BP39" i="1"/>
  <c r="BP258" i="1"/>
  <c r="BP259" i="1" s="1"/>
  <c r="BT258" i="1"/>
  <c r="BT259" i="1" s="1"/>
  <c r="AJ39" i="1"/>
  <c r="AL120" i="1"/>
  <c r="AI37" i="1"/>
  <c r="AM38" i="1"/>
  <c r="AI42" i="1"/>
  <c r="N68" i="1"/>
  <c r="AL234" i="1"/>
  <c r="AI240" i="1"/>
  <c r="AI241" i="1" s="1"/>
  <c r="AU120" i="1"/>
  <c r="AV234" i="1"/>
  <c r="AV258" i="1"/>
  <c r="AV259" i="1" s="1"/>
  <c r="BS38" i="1"/>
  <c r="BS42" i="1"/>
  <c r="BS46" i="1" s="1"/>
  <c r="BS37" i="1"/>
  <c r="BS240" i="1"/>
  <c r="BS241" i="1" s="1"/>
  <c r="BS258" i="1"/>
  <c r="BS259" i="1" s="1"/>
  <c r="BD39" i="1"/>
  <c r="BF120" i="1"/>
  <c r="BC42" i="1"/>
  <c r="BC37" i="1"/>
  <c r="BB42" i="1"/>
  <c r="BB240" i="1"/>
  <c r="BB241" i="1" s="1"/>
  <c r="BB37" i="1"/>
  <c r="AO37" i="1"/>
  <c r="BU258" i="1"/>
  <c r="BU259" i="1" s="1"/>
  <c r="BU39" i="1"/>
  <c r="BT38" i="1"/>
  <c r="BC240" i="1"/>
  <c r="BC241" i="1" s="1"/>
  <c r="BF234" i="1"/>
  <c r="BC38" i="1"/>
  <c r="BV38" i="1"/>
  <c r="BS120" i="1"/>
  <c r="BT234" i="1"/>
  <c r="AZ49" i="1"/>
  <c r="AZ48" i="1"/>
  <c r="BV234" i="1"/>
  <c r="BR258" i="1"/>
  <c r="BR259" i="1" s="1"/>
  <c r="BR37" i="1"/>
  <c r="BR39" i="1"/>
  <c r="BS39" i="1"/>
  <c r="V68" i="1"/>
  <c r="BR234" i="1"/>
  <c r="BR240" i="1"/>
  <c r="BR241" i="1" s="1"/>
  <c r="BR120" i="1"/>
  <c r="BR42" i="1"/>
  <c r="AY120" i="1"/>
  <c r="AY234" i="1"/>
  <c r="AY258" i="1"/>
  <c r="AY259" i="1" s="1"/>
  <c r="BV120" i="1"/>
  <c r="BT120" i="1"/>
  <c r="BT39" i="1"/>
  <c r="AR234" i="1"/>
  <c r="AP258" i="1"/>
  <c r="AP259" i="1" s="1"/>
  <c r="BK234" i="1"/>
  <c r="BX120" i="1"/>
  <c r="AV120" i="1"/>
  <c r="BI211" i="1"/>
  <c r="BI209" i="1" s="1"/>
  <c r="BB234" i="1"/>
  <c r="R68" i="1"/>
  <c r="AV42" i="1"/>
  <c r="AZ38" i="1"/>
  <c r="AV37" i="1"/>
  <c r="AV240" i="1"/>
  <c r="AV241" i="1" s="1"/>
  <c r="AW258" i="1"/>
  <c r="AW259" i="1" s="1"/>
  <c r="AW39" i="1"/>
  <c r="BG37" i="1"/>
  <c r="BH234" i="1"/>
  <c r="T68" i="1"/>
  <c r="BH240" i="1"/>
  <c r="BH241" i="1" s="1"/>
  <c r="BH38" i="1"/>
  <c r="BI258" i="1"/>
  <c r="BI259" i="1" s="1"/>
  <c r="BI39" i="1"/>
  <c r="BN42" i="1"/>
  <c r="BP234" i="1"/>
  <c r="BR38" i="1"/>
  <c r="BQ120" i="1"/>
  <c r="BN37" i="1"/>
  <c r="BO39" i="1"/>
  <c r="BN39" i="1"/>
  <c r="BN240" i="1"/>
  <c r="BN241" i="1" s="1"/>
  <c r="BO258" i="1"/>
  <c r="BO259" i="1" s="1"/>
  <c r="BN258" i="1"/>
  <c r="BN259" i="1" s="1"/>
  <c r="BP120" i="1"/>
  <c r="BQ234" i="1"/>
  <c r="BF38" i="1"/>
  <c r="BB120" i="1"/>
  <c r="BB258" i="1"/>
  <c r="BB259" i="1" s="1"/>
  <c r="AO240" i="1"/>
  <c r="AO241" i="1" s="1"/>
  <c r="AO42" i="1"/>
  <c r="AO46" i="1" s="1"/>
  <c r="AO48" i="1" s="1"/>
  <c r="AO258" i="1"/>
  <c r="AO259" i="1" s="1"/>
  <c r="AS38" i="1"/>
  <c r="BT42" i="1"/>
  <c r="BT37" i="1"/>
  <c r="BX38" i="1"/>
  <c r="BT240" i="1"/>
  <c r="BT241" i="1" s="1"/>
  <c r="BU120" i="1"/>
  <c r="AT49" i="1"/>
  <c r="AT48" i="1"/>
  <c r="F218" i="1"/>
  <c r="F219" i="1" s="1"/>
  <c r="F221" i="1"/>
  <c r="BI240" i="1"/>
  <c r="BI241" i="1" s="1"/>
  <c r="BI42" i="1"/>
  <c r="BI37" i="1"/>
  <c r="BL234" i="1"/>
  <c r="BJ39" i="1"/>
  <c r="BJ258" i="1"/>
  <c r="BJ259" i="1" s="1"/>
  <c r="BN120" i="1"/>
  <c r="BN234" i="1"/>
  <c r="E218" i="1"/>
  <c r="E219" i="1" s="1"/>
  <c r="G218" i="1"/>
  <c r="G219" i="1" s="1"/>
  <c r="G221" i="1"/>
  <c r="D78" i="1"/>
  <c r="D93" i="1"/>
  <c r="D94" i="1"/>
  <c r="D95" i="1"/>
  <c r="C97" i="1"/>
  <c r="I221" i="1"/>
  <c r="I218" i="1"/>
  <c r="I219" i="1" s="1"/>
  <c r="F197" i="1"/>
  <c r="F198" i="1" s="1"/>
  <c r="E197" i="1"/>
  <c r="E198" i="1" s="1"/>
  <c r="S197" i="1"/>
  <c r="S198" i="1" s="1"/>
  <c r="R197" i="1"/>
  <c r="R198" i="1" s="1"/>
  <c r="H197" i="1"/>
  <c r="H198" i="1" s="1"/>
  <c r="G197" i="1"/>
  <c r="G198" i="1" s="1"/>
  <c r="AV38" i="1"/>
  <c r="AR38" i="1"/>
  <c r="AT120" i="1"/>
  <c r="AR258" i="1"/>
  <c r="AR259" i="1" s="1"/>
  <c r="AU234" i="1"/>
  <c r="AR39" i="1"/>
  <c r="P68" i="1"/>
  <c r="AT234" i="1"/>
  <c r="AR120" i="1"/>
  <c r="BA49" i="1"/>
  <c r="BA48" i="1"/>
  <c r="AW49" i="1"/>
  <c r="AW48" i="1"/>
  <c r="X68" i="1"/>
  <c r="BW37" i="1"/>
  <c r="BZ234" i="1"/>
  <c r="BW258" i="1"/>
  <c r="BW259" i="1" s="1"/>
  <c r="BW42" i="1"/>
  <c r="BY120" i="1"/>
  <c r="CA38" i="1"/>
  <c r="BX258" i="1"/>
  <c r="BX259" i="1" s="1"/>
  <c r="BY234" i="1"/>
  <c r="BW38" i="1"/>
  <c r="BZ120" i="1"/>
  <c r="BW120" i="1"/>
  <c r="BX234" i="1"/>
  <c r="BW39" i="1"/>
  <c r="BW234" i="1"/>
  <c r="BW240" i="1"/>
  <c r="BW241" i="1" s="1"/>
  <c r="BX39" i="1"/>
  <c r="S68" i="1"/>
  <c r="BE234" i="1"/>
  <c r="BE120" i="1"/>
  <c r="BC234" i="1"/>
  <c r="BC120" i="1"/>
  <c r="BD234" i="1"/>
  <c r="BC39" i="1"/>
  <c r="BD258" i="1"/>
  <c r="BD259" i="1" s="1"/>
  <c r="BD120" i="1"/>
  <c r="BC258" i="1"/>
  <c r="BC259" i="1" s="1"/>
  <c r="O218" i="1"/>
  <c r="O219" i="1" s="1"/>
  <c r="AT211" i="1"/>
  <c r="AT209" i="1" s="1"/>
  <c r="AS211" i="1"/>
  <c r="AS209" i="1" s="1"/>
  <c r="N221" i="1"/>
  <c r="N218" i="1"/>
  <c r="N219" i="1" s="1"/>
  <c r="BH118" i="1"/>
  <c r="BH119" i="1"/>
  <c r="BV48" i="1"/>
  <c r="BV49" i="1"/>
  <c r="AS39" i="1"/>
  <c r="AR240" i="1"/>
  <c r="AR241" i="1" s="1"/>
  <c r="AR42" i="1"/>
  <c r="AR37" i="1"/>
  <c r="BL38" i="1"/>
  <c r="BH37" i="1"/>
  <c r="BH42" i="1"/>
  <c r="BH46" i="1" s="1"/>
  <c r="J221" i="1"/>
  <c r="J218" i="1"/>
  <c r="J219" i="1" s="1"/>
  <c r="BG120" i="1"/>
  <c r="BG42" i="1"/>
  <c r="BI120" i="1"/>
  <c r="BG240" i="1"/>
  <c r="BG241" i="1" s="1"/>
  <c r="BH120" i="1"/>
  <c r="BG38" i="1"/>
  <c r="BK38" i="1"/>
  <c r="U197" i="1"/>
  <c r="U198" i="1" s="1"/>
  <c r="BG234" i="1"/>
  <c r="BG258" i="1"/>
  <c r="BG259" i="1" s="1"/>
  <c r="BH39" i="1"/>
  <c r="BJ120" i="1"/>
  <c r="BJ121" i="1" s="1"/>
  <c r="C218" i="1"/>
  <c r="C219" i="1" s="1"/>
  <c r="BG39" i="1"/>
  <c r="BI234" i="1"/>
  <c r="BH258" i="1"/>
  <c r="BH259" i="1" s="1"/>
  <c r="BJ234" i="1"/>
  <c r="BT211" i="1"/>
  <c r="BT209" i="1" s="1"/>
  <c r="BS211" i="1"/>
  <c r="BS209" i="1" s="1"/>
  <c r="BB211" i="1"/>
  <c r="BB209" i="1" s="1"/>
  <c r="BA211" i="1"/>
  <c r="BA209" i="1" s="1"/>
  <c r="AT119" i="1"/>
  <c r="AT118" i="1"/>
  <c r="AT197" i="1"/>
  <c r="AX197" i="1"/>
  <c r="AV211" i="1"/>
  <c r="AV209" i="1" s="1"/>
  <c r="AU211" i="1"/>
  <c r="AU209" i="1" s="1"/>
  <c r="AX118" i="1"/>
  <c r="AX119" i="1"/>
  <c r="AP118" i="1"/>
  <c r="AP119" i="1"/>
  <c r="AZ118" i="1"/>
  <c r="AZ119" i="1"/>
  <c r="BH197" i="1"/>
  <c r="BD197" i="1"/>
  <c r="BN197" i="1"/>
  <c r="BR197" i="1"/>
  <c r="BB197" i="1"/>
  <c r="BF197" i="1"/>
  <c r="BT197" i="1"/>
  <c r="BX197" i="1"/>
  <c r="AU49" i="1"/>
  <c r="AU48" i="1"/>
  <c r="AX46" i="1"/>
  <c r="AQ46" i="1"/>
  <c r="AN63" i="1"/>
  <c r="AN46" i="1"/>
  <c r="BJ60" i="1"/>
  <c r="BJ201" i="1"/>
  <c r="BJ203" i="1" s="1"/>
  <c r="BJ74" i="1"/>
  <c r="CR146" i="1"/>
  <c r="CS40" i="1"/>
  <c r="AV118" i="1" l="1"/>
  <c r="AV119" i="1"/>
  <c r="AP211" i="1"/>
  <c r="AP209" i="1" s="1"/>
  <c r="AO211" i="1"/>
  <c r="AO209" i="1" s="1"/>
  <c r="BB119" i="1"/>
  <c r="BB118" i="1"/>
  <c r="BN119" i="1"/>
  <c r="BN118" i="1"/>
  <c r="BC211" i="1"/>
  <c r="BC209" i="1" s="1"/>
  <c r="BD211" i="1"/>
  <c r="BD209" i="1" s="1"/>
  <c r="AX211" i="1"/>
  <c r="AX209" i="1" s="1"/>
  <c r="AW211" i="1"/>
  <c r="AW209" i="1" s="1"/>
  <c r="BH211" i="1"/>
  <c r="BH209" i="1" s="1"/>
  <c r="BG211" i="1"/>
  <c r="BG209" i="1" s="1"/>
  <c r="AR211" i="1"/>
  <c r="AR209" i="1" s="1"/>
  <c r="AQ211" i="1"/>
  <c r="AQ209" i="1" s="1"/>
  <c r="AV197" i="1"/>
  <c r="BE211" i="1"/>
  <c r="BE209" i="1" s="1"/>
  <c r="BF211" i="1"/>
  <c r="BF209" i="1" s="1"/>
  <c r="AN119" i="1"/>
  <c r="AN122" i="1" s="1"/>
  <c r="AN118" i="1"/>
  <c r="AN121" i="1" s="1"/>
  <c r="BV211" i="1"/>
  <c r="BV209" i="1" s="1"/>
  <c r="BU211" i="1"/>
  <c r="BU209" i="1" s="1"/>
  <c r="BO211" i="1"/>
  <c r="BO209" i="1" s="1"/>
  <c r="BP211" i="1"/>
  <c r="BP209" i="1" s="1"/>
  <c r="BJ51" i="1"/>
  <c r="BD48" i="1"/>
  <c r="BD49" i="1"/>
  <c r="BO49" i="1"/>
  <c r="BO48" i="1"/>
  <c r="AV122" i="1"/>
  <c r="AP122" i="1"/>
  <c r="AZ121" i="1"/>
  <c r="AZ122" i="1"/>
  <c r="BX121" i="1"/>
  <c r="BX122" i="1"/>
  <c r="BR46" i="1"/>
  <c r="BR63" i="1"/>
  <c r="BV122" i="1"/>
  <c r="BN46" i="1"/>
  <c r="AV46" i="1"/>
  <c r="AX63" i="1"/>
  <c r="AZ242" i="1"/>
  <c r="AZ56" i="1"/>
  <c r="AZ50" i="1"/>
  <c r="AZ253" i="1" s="1"/>
  <c r="BP118" i="1"/>
  <c r="AZ211" i="1"/>
  <c r="AZ209" i="1" s="1"/>
  <c r="BP119" i="1"/>
  <c r="BF119" i="1"/>
  <c r="AY211" i="1"/>
  <c r="AY209" i="1" s="1"/>
  <c r="BF118" i="1"/>
  <c r="BR211" i="1"/>
  <c r="BR209" i="1" s="1"/>
  <c r="BQ211" i="1"/>
  <c r="BQ209" i="1" s="1"/>
  <c r="AR197" i="1"/>
  <c r="BR118" i="1"/>
  <c r="BR119" i="1"/>
  <c r="BT119" i="1"/>
  <c r="BT118" i="1"/>
  <c r="BD119" i="1"/>
  <c r="BD118" i="1"/>
  <c r="AX121" i="1"/>
  <c r="AX122" i="1"/>
  <c r="BL121" i="1"/>
  <c r="BL122" i="1"/>
  <c r="BB121" i="1"/>
  <c r="AT242" i="1"/>
  <c r="AP121" i="1"/>
  <c r="BI46" i="1"/>
  <c r="BL63" i="1"/>
  <c r="BE48" i="1"/>
  <c r="BE49" i="1"/>
  <c r="BF242" i="1"/>
  <c r="BF50" i="1"/>
  <c r="BF253" i="1" s="1"/>
  <c r="BF56" i="1"/>
  <c r="BD63" i="1"/>
  <c r="BV63" i="1"/>
  <c r="AL122" i="1"/>
  <c r="AL121" i="1"/>
  <c r="AI46" i="1"/>
  <c r="AL63" i="1"/>
  <c r="BC46" i="1"/>
  <c r="BF63" i="1"/>
  <c r="AP63" i="1"/>
  <c r="AO49" i="1"/>
  <c r="AZ63" i="1"/>
  <c r="BB46" i="1"/>
  <c r="BT46" i="1"/>
  <c r="BS48" i="1"/>
  <c r="BS49" i="1"/>
  <c r="AT56" i="1"/>
  <c r="AT50" i="1"/>
  <c r="AT253" i="1" s="1"/>
  <c r="BQ48" i="1"/>
  <c r="BQ49" i="1"/>
  <c r="BB122" i="1"/>
  <c r="BN122" i="1"/>
  <c r="BN121" i="1"/>
  <c r="BU49" i="1"/>
  <c r="BY51" i="1" s="1"/>
  <c r="BP48" i="1"/>
  <c r="BP63" i="1"/>
  <c r="BN63" i="1"/>
  <c r="BK49" i="1"/>
  <c r="BK48" i="1"/>
  <c r="AY48" i="1"/>
  <c r="AY49" i="1"/>
  <c r="AP48" i="1"/>
  <c r="AP49" i="1"/>
  <c r="AP51" i="1" s="1"/>
  <c r="BU48" i="1"/>
  <c r="AS48" i="1"/>
  <c r="AS49" i="1"/>
  <c r="BP49" i="1"/>
  <c r="BM48" i="1"/>
  <c r="BM49" i="1"/>
  <c r="BV121" i="1"/>
  <c r="BB63" i="1"/>
  <c r="AV63" i="1"/>
  <c r="BT63" i="1"/>
  <c r="AT122" i="1"/>
  <c r="AT121" i="1"/>
  <c r="BA242" i="1"/>
  <c r="BA50" i="1"/>
  <c r="BA253" i="1" s="1"/>
  <c r="BA52" i="1"/>
  <c r="BA56" i="1"/>
  <c r="AW56" i="1"/>
  <c r="AW242" i="1"/>
  <c r="AW50" i="1"/>
  <c r="AW253" i="1" s="1"/>
  <c r="BA51" i="1"/>
  <c r="BX63" i="1"/>
  <c r="BZ63" i="1"/>
  <c r="BW46" i="1"/>
  <c r="BY63" i="1"/>
  <c r="BZ121" i="1"/>
  <c r="BZ122" i="1"/>
  <c r="BV50" i="1"/>
  <c r="BV253" i="1" s="1"/>
  <c r="BV56" i="1"/>
  <c r="BV242" i="1"/>
  <c r="BZ51" i="1"/>
  <c r="AR46" i="1"/>
  <c r="AR63" i="1"/>
  <c r="AT63" i="1"/>
  <c r="BH49" i="1"/>
  <c r="BH48" i="1"/>
  <c r="BJ63" i="1"/>
  <c r="BG46" i="1"/>
  <c r="BH63" i="1"/>
  <c r="BH121" i="1"/>
  <c r="BH122" i="1"/>
  <c r="BJ122" i="1"/>
  <c r="BI49" i="1"/>
  <c r="BI48" i="1"/>
  <c r="BF74" i="1"/>
  <c r="BE51" i="1"/>
  <c r="BD56" i="1"/>
  <c r="BD242" i="1"/>
  <c r="BD50" i="1"/>
  <c r="BD253" i="1" s="1"/>
  <c r="BD51" i="1"/>
  <c r="BO242" i="1"/>
  <c r="BO50" i="1"/>
  <c r="BO253" i="1" s="1"/>
  <c r="BO56" i="1"/>
  <c r="AU50" i="1"/>
  <c r="AU253" i="1" s="1"/>
  <c r="AU242" i="1"/>
  <c r="AU56" i="1"/>
  <c r="AU52" i="1"/>
  <c r="AQ49" i="1"/>
  <c r="AQ48" i="1"/>
  <c r="AN49" i="1"/>
  <c r="AN48" i="1"/>
  <c r="AX49" i="1"/>
  <c r="AX48" i="1"/>
  <c r="CS202" i="1"/>
  <c r="CS140" i="1"/>
  <c r="CR211" i="1"/>
  <c r="CR209" i="1" s="1"/>
  <c r="AC133" i="1"/>
  <c r="AC136" i="1" s="1"/>
  <c r="AC257" i="1" s="1"/>
  <c r="AV121" i="1" l="1"/>
  <c r="AZ74" i="1"/>
  <c r="AZ60" i="1"/>
  <c r="AZ201" i="1"/>
  <c r="AZ203" i="1" s="1"/>
  <c r="BR49" i="1"/>
  <c r="BR48" i="1"/>
  <c r="BN49" i="1"/>
  <c r="BN48" i="1"/>
  <c r="AV48" i="1"/>
  <c r="AV49" i="1"/>
  <c r="BP121" i="1"/>
  <c r="BP122" i="1"/>
  <c r="BF122" i="1"/>
  <c r="BF121" i="1"/>
  <c r="BR121" i="1"/>
  <c r="BR122" i="1"/>
  <c r="BT122" i="1"/>
  <c r="BT121" i="1"/>
  <c r="BD122" i="1"/>
  <c r="BD121" i="1"/>
  <c r="BF60" i="1"/>
  <c r="BC49" i="1"/>
  <c r="BC48" i="1"/>
  <c r="BS51" i="1"/>
  <c r="BF201" i="1"/>
  <c r="BF203" i="1" s="1"/>
  <c r="AO51" i="1"/>
  <c r="AO242" i="1"/>
  <c r="AS51" i="1"/>
  <c r="BQ52" i="1"/>
  <c r="BK52" i="1"/>
  <c r="BU51" i="1"/>
  <c r="BP51" i="1"/>
  <c r="BM52" i="1"/>
  <c r="BM235" i="1"/>
  <c r="BE50" i="1"/>
  <c r="BE253" i="1" s="1"/>
  <c r="BE56" i="1"/>
  <c r="BE242" i="1"/>
  <c r="BF52" i="1"/>
  <c r="BE52" i="1"/>
  <c r="BP52" i="1"/>
  <c r="BO51" i="1"/>
  <c r="AI49" i="1"/>
  <c r="AI48" i="1"/>
  <c r="AY51" i="1"/>
  <c r="AP52" i="1"/>
  <c r="AO56" i="1"/>
  <c r="AO50" i="1"/>
  <c r="AO253" i="1" s="1"/>
  <c r="BT49" i="1"/>
  <c r="BT48" i="1"/>
  <c r="BB49" i="1"/>
  <c r="BB48" i="1"/>
  <c r="BS242" i="1"/>
  <c r="BS50" i="1"/>
  <c r="BS253" i="1" s="1"/>
  <c r="BS56" i="1"/>
  <c r="AT74" i="1"/>
  <c r="AT201" i="1"/>
  <c r="AT203" i="1" s="1"/>
  <c r="AT60" i="1"/>
  <c r="BQ242" i="1"/>
  <c r="BQ56" i="1"/>
  <c r="BQ50" i="1"/>
  <c r="BQ253" i="1" s="1"/>
  <c r="BL52" i="1"/>
  <c r="BK56" i="1"/>
  <c r="BK50" i="1"/>
  <c r="BK253" i="1" s="1"/>
  <c r="AY242" i="1"/>
  <c r="AY50" i="1"/>
  <c r="AY253" i="1" s="1"/>
  <c r="AT51" i="1"/>
  <c r="AP242" i="1"/>
  <c r="AP56" i="1"/>
  <c r="AP50" i="1"/>
  <c r="AP253" i="1" s="1"/>
  <c r="AZ52" i="1"/>
  <c r="AY56" i="1"/>
  <c r="BU50" i="1"/>
  <c r="BU253" i="1" s="1"/>
  <c r="BU242" i="1"/>
  <c r="BU56" i="1"/>
  <c r="BK242" i="1"/>
  <c r="AS56" i="1"/>
  <c r="AS50" i="1"/>
  <c r="AS253" i="1" s="1"/>
  <c r="BV52" i="1"/>
  <c r="AS242" i="1"/>
  <c r="AT52" i="1"/>
  <c r="AW51" i="1"/>
  <c r="BP56" i="1"/>
  <c r="BP242" i="1"/>
  <c r="BP50" i="1"/>
  <c r="BP253" i="1" s="1"/>
  <c r="BM56" i="1"/>
  <c r="BM242" i="1"/>
  <c r="BQ51" i="1"/>
  <c r="BM50" i="1"/>
  <c r="BM253" i="1" s="1"/>
  <c r="AR48" i="1"/>
  <c r="AR49" i="1"/>
  <c r="AU235" i="1" s="1"/>
  <c r="BI52" i="1"/>
  <c r="BA60" i="1"/>
  <c r="BA201" i="1"/>
  <c r="BA203" i="1" s="1"/>
  <c r="BA74" i="1"/>
  <c r="BA127" i="1"/>
  <c r="BA128" i="1" s="1"/>
  <c r="AW201" i="1"/>
  <c r="AW203" i="1" s="1"/>
  <c r="AW74" i="1"/>
  <c r="AW127" i="1"/>
  <c r="AW128" i="1" s="1"/>
  <c r="AW60" i="1"/>
  <c r="BW49" i="1"/>
  <c r="BW48" i="1"/>
  <c r="BV201" i="1"/>
  <c r="BV203" i="1" s="1"/>
  <c r="BV74" i="1"/>
  <c r="BV60" i="1"/>
  <c r="BH51" i="1"/>
  <c r="BH56" i="1"/>
  <c r="BL51" i="1"/>
  <c r="BH242" i="1"/>
  <c r="BH50" i="1"/>
  <c r="BH253" i="1" s="1"/>
  <c r="BG48" i="1"/>
  <c r="BG49" i="1"/>
  <c r="BS52" i="1"/>
  <c r="BS235" i="1"/>
  <c r="BI51" i="1"/>
  <c r="BK235" i="1"/>
  <c r="BM51" i="1"/>
  <c r="BL235" i="1"/>
  <c r="BI56" i="1"/>
  <c r="BI242" i="1"/>
  <c r="BJ52" i="1"/>
  <c r="BI50" i="1"/>
  <c r="BI253" i="1" s="1"/>
  <c r="BD60" i="1"/>
  <c r="BD201" i="1"/>
  <c r="BD203" i="1" s="1"/>
  <c r="BD74" i="1"/>
  <c r="BO60" i="1"/>
  <c r="BO74" i="1"/>
  <c r="BO201" i="1"/>
  <c r="BO203" i="1" s="1"/>
  <c r="BO127" i="1"/>
  <c r="BO128" i="1" s="1"/>
  <c r="AU60" i="1"/>
  <c r="AU74" i="1"/>
  <c r="AU201" i="1"/>
  <c r="AU203" i="1" s="1"/>
  <c r="AU127" i="1"/>
  <c r="AU128" i="1" s="1"/>
  <c r="BR50" i="1"/>
  <c r="BR253" i="1" s="1"/>
  <c r="BR242" i="1"/>
  <c r="BR56" i="1"/>
  <c r="BV51" i="1"/>
  <c r="BR52" i="1"/>
  <c r="BR235" i="1"/>
  <c r="AN50" i="1"/>
  <c r="AN253" i="1" s="1"/>
  <c r="AQ235" i="1"/>
  <c r="AO52" i="1"/>
  <c r="AN235" i="1"/>
  <c r="AN51" i="1"/>
  <c r="AP235" i="1"/>
  <c r="AO235" i="1"/>
  <c r="AN56" i="1"/>
  <c r="AN52" i="1"/>
  <c r="AN242" i="1"/>
  <c r="AZ51" i="1"/>
  <c r="AV50" i="1"/>
  <c r="AV253" i="1" s="1"/>
  <c r="AV242" i="1"/>
  <c r="AV56" i="1"/>
  <c r="AY235" i="1"/>
  <c r="AW235" i="1"/>
  <c r="AQ51" i="1"/>
  <c r="AQ242" i="1"/>
  <c r="AQ56" i="1"/>
  <c r="AQ50" i="1"/>
  <c r="AQ253" i="1" s="1"/>
  <c r="AQ52" i="1"/>
  <c r="AU51" i="1"/>
  <c r="BN242" i="1"/>
  <c r="BR51" i="1"/>
  <c r="BN56" i="1"/>
  <c r="BN51" i="1"/>
  <c r="BN50" i="1"/>
  <c r="BN253" i="1" s="1"/>
  <c r="BO52" i="1"/>
  <c r="BN235" i="1"/>
  <c r="BQ235" i="1"/>
  <c r="BN52" i="1"/>
  <c r="BO235" i="1"/>
  <c r="BP235" i="1"/>
  <c r="AX56" i="1"/>
  <c r="AX242" i="1"/>
  <c r="AX50" i="1"/>
  <c r="AX253" i="1" s="1"/>
  <c r="AZ235" i="1"/>
  <c r="AX52" i="1"/>
  <c r="AY52" i="1"/>
  <c r="AX51" i="1"/>
  <c r="BA235" i="1"/>
  <c r="CS142" i="1"/>
  <c r="AC214" i="1"/>
  <c r="CA234" i="1"/>
  <c r="CB234" i="1"/>
  <c r="BU234" i="1"/>
  <c r="AW52" i="1" l="1"/>
  <c r="AV52" i="1"/>
  <c r="AX235" i="1"/>
  <c r="AV235" i="1"/>
  <c r="AT235" i="1"/>
  <c r="AS235" i="1"/>
  <c r="AR235" i="1"/>
  <c r="BE127" i="1"/>
  <c r="BE128" i="1" s="1"/>
  <c r="BF235" i="1"/>
  <c r="BE74" i="1"/>
  <c r="BE201" i="1"/>
  <c r="BE203" i="1" s="1"/>
  <c r="BE60" i="1"/>
  <c r="BD52" i="1"/>
  <c r="BC51" i="1"/>
  <c r="BC56" i="1"/>
  <c r="BC242" i="1"/>
  <c r="BC50" i="1"/>
  <c r="BC253" i="1" s="1"/>
  <c r="AO60" i="1"/>
  <c r="AR51" i="1"/>
  <c r="AI50" i="1"/>
  <c r="AI242" i="1"/>
  <c r="AJ52" i="1"/>
  <c r="AM51" i="1"/>
  <c r="AI56" i="1"/>
  <c r="AL235" i="1"/>
  <c r="AO201" i="1"/>
  <c r="AO203" i="1" s="1"/>
  <c r="AO74" i="1"/>
  <c r="AO127" i="1"/>
  <c r="AO128" i="1" s="1"/>
  <c r="BX51" i="1"/>
  <c r="BT50" i="1"/>
  <c r="BT253" i="1" s="1"/>
  <c r="BT242" i="1"/>
  <c r="BT56" i="1"/>
  <c r="BU52" i="1"/>
  <c r="BT51" i="1"/>
  <c r="BW235" i="1"/>
  <c r="BV235" i="1"/>
  <c r="AR52" i="1"/>
  <c r="BB50" i="1"/>
  <c r="BB253" i="1" s="1"/>
  <c r="BF51" i="1"/>
  <c r="BB242" i="1"/>
  <c r="BB56" i="1"/>
  <c r="BB215" i="1" s="1"/>
  <c r="BB213" i="1" s="1"/>
  <c r="BC52" i="1"/>
  <c r="BD235" i="1"/>
  <c r="BB235" i="1"/>
  <c r="BB52" i="1"/>
  <c r="BC235" i="1"/>
  <c r="BE235" i="1"/>
  <c r="BB51" i="1"/>
  <c r="BH60" i="1"/>
  <c r="BH74" i="1"/>
  <c r="BH201" i="1"/>
  <c r="BH203" i="1" s="1"/>
  <c r="BT235" i="1"/>
  <c r="BT52" i="1"/>
  <c r="BK51" i="1"/>
  <c r="BG56" i="1"/>
  <c r="BH235" i="1"/>
  <c r="BS201" i="1"/>
  <c r="BS203" i="1" s="1"/>
  <c r="BS60" i="1"/>
  <c r="BS127" i="1"/>
  <c r="BS128" i="1" s="1"/>
  <c r="BS74" i="1"/>
  <c r="BQ60" i="1"/>
  <c r="BQ74" i="1"/>
  <c r="BQ127" i="1"/>
  <c r="BQ128" i="1" s="1"/>
  <c r="BQ201" i="1"/>
  <c r="BQ203" i="1" s="1"/>
  <c r="AS52" i="1"/>
  <c r="AR242" i="1"/>
  <c r="AR56" i="1"/>
  <c r="AR50" i="1"/>
  <c r="AR253" i="1" s="1"/>
  <c r="BK60" i="1"/>
  <c r="BK201" i="1"/>
  <c r="BK203" i="1" s="1"/>
  <c r="BK127" i="1"/>
  <c r="BK128" i="1" s="1"/>
  <c r="BK74" i="1"/>
  <c r="AP201" i="1"/>
  <c r="AP203" i="1" s="1"/>
  <c r="AP74" i="1"/>
  <c r="AP60" i="1"/>
  <c r="BU127" i="1"/>
  <c r="BU128" i="1" s="1"/>
  <c r="BU60" i="1"/>
  <c r="BU201" i="1"/>
  <c r="BU203" i="1" s="1"/>
  <c r="BU74" i="1"/>
  <c r="AY201" i="1"/>
  <c r="AY203" i="1" s="1"/>
  <c r="AY74" i="1"/>
  <c r="AY127" i="1"/>
  <c r="AY128" i="1" s="1"/>
  <c r="AY60" i="1"/>
  <c r="AS60" i="1"/>
  <c r="AS127" i="1"/>
  <c r="AS128" i="1" s="1"/>
  <c r="AS201" i="1"/>
  <c r="AS203" i="1" s="1"/>
  <c r="AS74" i="1"/>
  <c r="BM74" i="1"/>
  <c r="BM60" i="1"/>
  <c r="BP60" i="1"/>
  <c r="BP201" i="1"/>
  <c r="BP203" i="1" s="1"/>
  <c r="BP74" i="1"/>
  <c r="BM127" i="1"/>
  <c r="BM128" i="1" s="1"/>
  <c r="BM201" i="1"/>
  <c r="BM203" i="1" s="1"/>
  <c r="AV51" i="1"/>
  <c r="BA215" i="1"/>
  <c r="BA213" i="1" s="1"/>
  <c r="BA100" i="1"/>
  <c r="BA137" i="1"/>
  <c r="BA63" i="1" s="1"/>
  <c r="AW137" i="1"/>
  <c r="AW63" i="1" s="1"/>
  <c r="AW215" i="1"/>
  <c r="AW213" i="1" s="1"/>
  <c r="AW100" i="1"/>
  <c r="BW51" i="1"/>
  <c r="BX235" i="1"/>
  <c r="BW242" i="1"/>
  <c r="BW52" i="1"/>
  <c r="BX52" i="1"/>
  <c r="BW56" i="1"/>
  <c r="X69" i="1"/>
  <c r="BY235" i="1"/>
  <c r="CA51" i="1"/>
  <c r="BW50" i="1"/>
  <c r="BW253" i="1" s="1"/>
  <c r="BZ235" i="1"/>
  <c r="BG242" i="1"/>
  <c r="BG51" i="1"/>
  <c r="BG50" i="1"/>
  <c r="BG253" i="1" s="1"/>
  <c r="BH52" i="1"/>
  <c r="BG235" i="1"/>
  <c r="BJ235" i="1"/>
  <c r="BG52" i="1"/>
  <c r="BI235" i="1"/>
  <c r="BL62" i="1"/>
  <c r="BI60" i="1"/>
  <c r="BI201" i="1"/>
  <c r="BI203" i="1" s="1"/>
  <c r="BI74" i="1"/>
  <c r="BI127" i="1"/>
  <c r="BI128" i="1" s="1"/>
  <c r="AX215" i="1"/>
  <c r="AX213" i="1" s="1"/>
  <c r="BA62" i="1"/>
  <c r="BO215" i="1"/>
  <c r="BO213" i="1" s="1"/>
  <c r="BO137" i="1"/>
  <c r="BO63" i="1" s="1"/>
  <c r="BP215" i="1"/>
  <c r="BP213" i="1" s="1"/>
  <c r="BO100" i="1"/>
  <c r="AU100" i="1"/>
  <c r="AU215" i="1"/>
  <c r="AU213" i="1" s="1"/>
  <c r="AU137" i="1"/>
  <c r="AU63" i="1" s="1"/>
  <c r="AV215" i="1"/>
  <c r="AV213" i="1" s="1"/>
  <c r="BR60" i="1"/>
  <c r="BR201" i="1"/>
  <c r="BR203" i="1" s="1"/>
  <c r="BR74" i="1"/>
  <c r="BR62" i="1"/>
  <c r="V69" i="1"/>
  <c r="AW62" i="1"/>
  <c r="BO62" i="1"/>
  <c r="BN60" i="1"/>
  <c r="BN74" i="1"/>
  <c r="BN201" i="1"/>
  <c r="BN203" i="1" s="1"/>
  <c r="BN62" i="1"/>
  <c r="U69" i="1"/>
  <c r="BP62" i="1"/>
  <c r="AV201" i="1"/>
  <c r="AV203" i="1" s="1"/>
  <c r="AV60" i="1"/>
  <c r="AV74" i="1"/>
  <c r="AV62" i="1"/>
  <c r="Q69" i="1"/>
  <c r="AX62" i="1"/>
  <c r="AX60" i="1"/>
  <c r="AX74" i="1"/>
  <c r="AX201" i="1"/>
  <c r="AX203" i="1" s="1"/>
  <c r="AZ62" i="1"/>
  <c r="AQ127" i="1"/>
  <c r="AQ128" i="1" s="1"/>
  <c r="AQ201" i="1"/>
  <c r="AQ203" i="1" s="1"/>
  <c r="AQ60" i="1"/>
  <c r="AQ74" i="1"/>
  <c r="AN60" i="1"/>
  <c r="AP62" i="1"/>
  <c r="AN74" i="1"/>
  <c r="AN201" i="1"/>
  <c r="AN203" i="1" s="1"/>
  <c r="AN62" i="1"/>
  <c r="O69" i="1"/>
  <c r="AN215" i="1"/>
  <c r="AN213" i="1" s="1"/>
  <c r="CS146" i="1"/>
  <c r="CT40" i="1"/>
  <c r="AD132" i="1"/>
  <c r="W67" i="1"/>
  <c r="BS100" i="1" l="1"/>
  <c r="BS137" i="1"/>
  <c r="BS63" i="1" s="1"/>
  <c r="BS215" i="1"/>
  <c r="BS213" i="1" s="1"/>
  <c r="BS62" i="1"/>
  <c r="AR74" i="1"/>
  <c r="AU77" i="1" s="1"/>
  <c r="AR60" i="1"/>
  <c r="BK62" i="1"/>
  <c r="BK100" i="1"/>
  <c r="BL215" i="1"/>
  <c r="BL213" i="1" s="1"/>
  <c r="BF215" i="1"/>
  <c r="BF213" i="1" s="1"/>
  <c r="BE137" i="1"/>
  <c r="BE63" i="1" s="1"/>
  <c r="S69" i="1"/>
  <c r="BC74" i="1"/>
  <c r="BF77" i="1" s="1"/>
  <c r="AR201" i="1"/>
  <c r="AR203" i="1" s="1"/>
  <c r="BM77" i="1"/>
  <c r="BI97" i="1" s="1"/>
  <c r="BE100" i="1"/>
  <c r="BE215" i="1"/>
  <c r="BE213" i="1" s="1"/>
  <c r="BF62" i="1"/>
  <c r="BC127" i="1"/>
  <c r="BC128" i="1" s="1"/>
  <c r="BC201" i="1"/>
  <c r="BC203" i="1" s="1"/>
  <c r="BC60" i="1"/>
  <c r="AI74" i="1"/>
  <c r="AL77" i="1" s="1"/>
  <c r="AI60" i="1"/>
  <c r="AL62" i="1"/>
  <c r="N69" i="1"/>
  <c r="AI215" i="1"/>
  <c r="AI213" i="1" s="1"/>
  <c r="AI201" i="1"/>
  <c r="AI203" i="1" s="1"/>
  <c r="AI207" i="1" s="1"/>
  <c r="AI221" i="1" s="1"/>
  <c r="BT201" i="1"/>
  <c r="BT203" i="1" s="1"/>
  <c r="BT60" i="1"/>
  <c r="BT74" i="1"/>
  <c r="BV77" i="1" s="1"/>
  <c r="BR97" i="1" s="1"/>
  <c r="AR62" i="1"/>
  <c r="AT62" i="1"/>
  <c r="P69" i="1"/>
  <c r="BT215" i="1"/>
  <c r="BT213" i="1" s="1"/>
  <c r="AO62" i="1"/>
  <c r="AU62" i="1"/>
  <c r="AP215" i="1"/>
  <c r="AP213" i="1" s="1"/>
  <c r="AO100" i="1"/>
  <c r="AO137" i="1"/>
  <c r="AO63" i="1" s="1"/>
  <c r="AO215" i="1"/>
  <c r="AO213" i="1" s="1"/>
  <c r="BT62" i="1"/>
  <c r="BV62" i="1"/>
  <c r="BU62" i="1"/>
  <c r="BG60" i="1"/>
  <c r="BG74" i="1"/>
  <c r="BG127" i="1"/>
  <c r="BG128" i="1" s="1"/>
  <c r="BH62" i="1"/>
  <c r="BB74" i="1"/>
  <c r="BB60" i="1"/>
  <c r="BB201" i="1"/>
  <c r="BB203" i="1" s="1"/>
  <c r="BB62" i="1"/>
  <c r="R69" i="1"/>
  <c r="BD62" i="1"/>
  <c r="BE62" i="1"/>
  <c r="BJ62" i="1"/>
  <c r="BG201" i="1"/>
  <c r="BG203" i="1" s="1"/>
  <c r="T69" i="1"/>
  <c r="BQ100" i="1"/>
  <c r="BQ137" i="1"/>
  <c r="BQ63" i="1" s="1"/>
  <c r="BQ215" i="1"/>
  <c r="BQ213" i="1" s="1"/>
  <c r="BQ62" i="1"/>
  <c r="BR215" i="1"/>
  <c r="BR213" i="1" s="1"/>
  <c r="BK215" i="1"/>
  <c r="BK213" i="1" s="1"/>
  <c r="BK137" i="1"/>
  <c r="BK63" i="1" s="1"/>
  <c r="BV215" i="1"/>
  <c r="BV213" i="1" s="1"/>
  <c r="BU215" i="1"/>
  <c r="BU213" i="1" s="1"/>
  <c r="BU100" i="1"/>
  <c r="BU137" i="1"/>
  <c r="BU63" i="1" s="1"/>
  <c r="AY100" i="1"/>
  <c r="AY215" i="1"/>
  <c r="AY213" i="1" s="1"/>
  <c r="AY137" i="1"/>
  <c r="AY63" i="1" s="1"/>
  <c r="AZ215" i="1"/>
  <c r="AZ213" i="1" s="1"/>
  <c r="AS215" i="1"/>
  <c r="AS213" i="1" s="1"/>
  <c r="AS100" i="1"/>
  <c r="AS137" i="1"/>
  <c r="AS63" i="1" s="1"/>
  <c r="AT215" i="1"/>
  <c r="AT213" i="1" s="1"/>
  <c r="BM62" i="1"/>
  <c r="BM215" i="1"/>
  <c r="BM213" i="1" s="1"/>
  <c r="BM137" i="1"/>
  <c r="BM63" i="1" s="1"/>
  <c r="BM100" i="1"/>
  <c r="AY62" i="1"/>
  <c r="BN215" i="1"/>
  <c r="BN213" i="1" s="1"/>
  <c r="AS62" i="1"/>
  <c r="BA103" i="1"/>
  <c r="BA104" i="1"/>
  <c r="BA102" i="1"/>
  <c r="AW103" i="1"/>
  <c r="AW102" i="1"/>
  <c r="AW104" i="1"/>
  <c r="BX62" i="1"/>
  <c r="BW127" i="1"/>
  <c r="BW128" i="1" s="1"/>
  <c r="BY62" i="1"/>
  <c r="BW201" i="1"/>
  <c r="BW203" i="1" s="1"/>
  <c r="BW60" i="1"/>
  <c r="BZ62" i="1"/>
  <c r="BW74" i="1"/>
  <c r="BZ77" i="1" s="1"/>
  <c r="BL77" i="1"/>
  <c r="BK77" i="1"/>
  <c r="BR77" i="1"/>
  <c r="BR94" i="1" s="1"/>
  <c r="BS77" i="1"/>
  <c r="BI100" i="1"/>
  <c r="BI137" i="1"/>
  <c r="BI63" i="1" s="1"/>
  <c r="BI215" i="1"/>
  <c r="BI213" i="1" s="1"/>
  <c r="BI62" i="1"/>
  <c r="BJ215" i="1"/>
  <c r="BJ213" i="1" s="1"/>
  <c r="BO102" i="1"/>
  <c r="BO103" i="1"/>
  <c r="BO104" i="1"/>
  <c r="AU103" i="1"/>
  <c r="AU104" i="1"/>
  <c r="AU102" i="1"/>
  <c r="BA77" i="1"/>
  <c r="AZ77" i="1"/>
  <c r="AY77" i="1"/>
  <c r="AY94" i="1" s="1"/>
  <c r="AX77" i="1"/>
  <c r="AV77" i="1"/>
  <c r="AW77" i="1"/>
  <c r="BQ77" i="1"/>
  <c r="BO77" i="1"/>
  <c r="BN77" i="1"/>
  <c r="BP77" i="1"/>
  <c r="AQ77" i="1"/>
  <c r="AN77" i="1"/>
  <c r="AP77" i="1"/>
  <c r="AO77" i="1"/>
  <c r="AQ137" i="1"/>
  <c r="AQ63" i="1" s="1"/>
  <c r="AQ215" i="1"/>
  <c r="AQ213" i="1" s="1"/>
  <c r="AQ100" i="1"/>
  <c r="AR215" i="1"/>
  <c r="AR213" i="1" s="1"/>
  <c r="AQ62" i="1"/>
  <c r="BS102" i="1"/>
  <c r="BS103" i="1"/>
  <c r="BS104" i="1"/>
  <c r="AC40" i="1"/>
  <c r="CT202" i="1"/>
  <c r="CT140" i="1"/>
  <c r="CS211" i="1"/>
  <c r="CS209" i="1" s="1"/>
  <c r="W68" i="1"/>
  <c r="BX77" i="1" l="1"/>
  <c r="BY77" i="1"/>
  <c r="BM93" i="1"/>
  <c r="BM95" i="1"/>
  <c r="BM94" i="1"/>
  <c r="BK104" i="1"/>
  <c r="BK102" i="1"/>
  <c r="BK103" i="1"/>
  <c r="AU95" i="1"/>
  <c r="AU94" i="1"/>
  <c r="AQ97" i="1"/>
  <c r="AU93" i="1"/>
  <c r="BT77" i="1"/>
  <c r="AI218" i="1"/>
  <c r="AI219" i="1" s="1"/>
  <c r="BU77" i="1"/>
  <c r="BU93" i="1" s="1"/>
  <c r="BE102" i="1"/>
  <c r="BE104" i="1"/>
  <c r="BE103" i="1"/>
  <c r="BC215" i="1"/>
  <c r="BC213" i="1" s="1"/>
  <c r="BC137" i="1"/>
  <c r="BC63" i="1" s="1"/>
  <c r="BC100" i="1"/>
  <c r="BC62" i="1"/>
  <c r="BD215" i="1"/>
  <c r="BD213" i="1" s="1"/>
  <c r="BB97" i="1"/>
  <c r="BF93" i="1"/>
  <c r="BF95" i="1"/>
  <c r="BF94" i="1"/>
  <c r="AL93" i="1"/>
  <c r="AL94" i="1"/>
  <c r="AL95" i="1"/>
  <c r="AT77" i="1"/>
  <c r="AR77" i="1"/>
  <c r="AS77" i="1"/>
  <c r="BJ77" i="1"/>
  <c r="BF97" i="1" s="1"/>
  <c r="BG77" i="1"/>
  <c r="BH77" i="1"/>
  <c r="BI77" i="1"/>
  <c r="BE77" i="1"/>
  <c r="BE94" i="1" s="1"/>
  <c r="BD77" i="1"/>
  <c r="BB77" i="1"/>
  <c r="BC77" i="1"/>
  <c r="BG137" i="1"/>
  <c r="BG63" i="1" s="1"/>
  <c r="BG100" i="1"/>
  <c r="BG62" i="1"/>
  <c r="BH215" i="1"/>
  <c r="BH213" i="1" s="1"/>
  <c r="BV93" i="1"/>
  <c r="BV94" i="1"/>
  <c r="BW77" i="1"/>
  <c r="BV95" i="1"/>
  <c r="AO104" i="1"/>
  <c r="AO102" i="1"/>
  <c r="AO103" i="1"/>
  <c r="BG215" i="1"/>
  <c r="BG213" i="1" s="1"/>
  <c r="BQ104" i="1"/>
  <c r="BQ103" i="1"/>
  <c r="BQ102" i="1"/>
  <c r="BU102" i="1"/>
  <c r="BU104" i="1"/>
  <c r="BU103" i="1"/>
  <c r="AY102" i="1"/>
  <c r="AY103" i="1"/>
  <c r="AY104" i="1"/>
  <c r="AS103" i="1"/>
  <c r="AS104" i="1"/>
  <c r="AS102" i="1"/>
  <c r="BM103" i="1"/>
  <c r="BM104" i="1"/>
  <c r="BM102" i="1"/>
  <c r="BW215" i="1"/>
  <c r="BW213" i="1" s="1"/>
  <c r="BX215" i="1"/>
  <c r="BX213" i="1" s="1"/>
  <c r="BW137" i="1"/>
  <c r="BW63" i="1" s="1"/>
  <c r="BW62" i="1"/>
  <c r="BW100" i="1"/>
  <c r="BL93" i="1"/>
  <c r="BL94" i="1"/>
  <c r="BN97" i="1"/>
  <c r="BR93" i="1"/>
  <c r="BR95" i="1"/>
  <c r="BV78" i="1"/>
  <c r="BT95" i="1"/>
  <c r="BT93" i="1"/>
  <c r="BT94" i="1"/>
  <c r="BS95" i="1"/>
  <c r="BO97" i="1"/>
  <c r="BS94" i="1"/>
  <c r="BS93" i="1"/>
  <c r="BH97" i="1"/>
  <c r="BL95" i="1"/>
  <c r="BK93" i="1"/>
  <c r="BK94" i="1"/>
  <c r="BK95" i="1"/>
  <c r="BG97" i="1"/>
  <c r="BV97" i="1"/>
  <c r="BZ78" i="1"/>
  <c r="BI103" i="1"/>
  <c r="BI104" i="1"/>
  <c r="BI102" i="1"/>
  <c r="AW97" i="1"/>
  <c r="BQ94" i="1"/>
  <c r="BM97" i="1"/>
  <c r="AQ94" i="1"/>
  <c r="AQ93" i="1"/>
  <c r="BA95" i="1"/>
  <c r="CD78" i="1"/>
  <c r="BZ95" i="1"/>
  <c r="BX94" i="1"/>
  <c r="BT97" i="1"/>
  <c r="BX95" i="1"/>
  <c r="CB78" i="1"/>
  <c r="BX93" i="1"/>
  <c r="AN95" i="1"/>
  <c r="AN94" i="1"/>
  <c r="AN93" i="1"/>
  <c r="BO93" i="1"/>
  <c r="BK97" i="1"/>
  <c r="BO94" i="1"/>
  <c r="BO78" i="1"/>
  <c r="BO95" i="1"/>
  <c r="AU78" i="1"/>
  <c r="AQ78" i="1"/>
  <c r="AQ95" i="1"/>
  <c r="BQ93" i="1"/>
  <c r="BQ78" i="1"/>
  <c r="BQ95" i="1"/>
  <c r="AW93" i="1"/>
  <c r="AW94" i="1"/>
  <c r="AS97" i="1"/>
  <c r="BA78" i="1"/>
  <c r="AW95" i="1"/>
  <c r="AV97" i="1"/>
  <c r="AZ95" i="1"/>
  <c r="AZ94" i="1"/>
  <c r="AZ93" i="1"/>
  <c r="AY95" i="1"/>
  <c r="AU97" i="1"/>
  <c r="AY78" i="1"/>
  <c r="AM97" i="1"/>
  <c r="BS78" i="1"/>
  <c r="BC93" i="1"/>
  <c r="AO95" i="1"/>
  <c r="AO93" i="1"/>
  <c r="AO94" i="1"/>
  <c r="BP78" i="1"/>
  <c r="BL97" i="1"/>
  <c r="BP94" i="1"/>
  <c r="BP95" i="1"/>
  <c r="BP93" i="1"/>
  <c r="AV94" i="1"/>
  <c r="AV93" i="1"/>
  <c r="AZ78" i="1"/>
  <c r="AV95" i="1"/>
  <c r="AR97" i="1"/>
  <c r="BA93" i="1"/>
  <c r="BA94" i="1"/>
  <c r="AY93" i="1"/>
  <c r="BZ94" i="1"/>
  <c r="CC98" i="1" s="1"/>
  <c r="BZ93" i="1"/>
  <c r="CC78" i="1"/>
  <c r="BY95" i="1"/>
  <c r="BU97" i="1"/>
  <c r="BY94" i="1"/>
  <c r="BY93" i="1"/>
  <c r="AX97" i="1"/>
  <c r="AP95" i="1"/>
  <c r="AP78" i="1"/>
  <c r="AL97" i="1"/>
  <c r="AP94" i="1"/>
  <c r="AP93" i="1"/>
  <c r="BR78" i="1"/>
  <c r="BJ97" i="1"/>
  <c r="BN95" i="1"/>
  <c r="BN93" i="1"/>
  <c r="BN94" i="1"/>
  <c r="AX94" i="1"/>
  <c r="AX93" i="1"/>
  <c r="AT97" i="1"/>
  <c r="AX95" i="1"/>
  <c r="AQ103" i="1"/>
  <c r="AQ104" i="1"/>
  <c r="AQ102" i="1"/>
  <c r="AC202" i="1"/>
  <c r="AC140" i="1"/>
  <c r="AC142" i="1" s="1"/>
  <c r="AC41" i="1" s="1"/>
  <c r="CT142" i="1"/>
  <c r="AD133" i="1"/>
  <c r="AD136" i="1" s="1"/>
  <c r="AD257" i="1" s="1"/>
  <c r="AR117" i="1"/>
  <c r="W69" i="1"/>
  <c r="BT78" i="1" l="1"/>
  <c r="BY78" i="1"/>
  <c r="BD78" i="1"/>
  <c r="AZ97" i="1"/>
  <c r="BD93" i="1"/>
  <c r="BD95" i="1"/>
  <c r="BC78" i="1"/>
  <c r="BA97" i="1"/>
  <c r="BQ97" i="1"/>
  <c r="BU95" i="1"/>
  <c r="BU94" i="1"/>
  <c r="BW78" i="1"/>
  <c r="BC103" i="1"/>
  <c r="BC102" i="1"/>
  <c r="BC104" i="1"/>
  <c r="BE78" i="1"/>
  <c r="CA78" i="1"/>
  <c r="BS97" i="1"/>
  <c r="BW95" i="1"/>
  <c r="BE95" i="1"/>
  <c r="BE93" i="1"/>
  <c r="BP97" i="1"/>
  <c r="BU78" i="1"/>
  <c r="AX78" i="1"/>
  <c r="AR78" i="1"/>
  <c r="AP97" i="1"/>
  <c r="BI78" i="1"/>
  <c r="BJ94" i="1"/>
  <c r="BJ78" i="1"/>
  <c r="BJ93" i="1"/>
  <c r="BH78" i="1"/>
  <c r="AS78" i="1"/>
  <c r="AS94" i="1"/>
  <c r="AO97" i="1"/>
  <c r="AS95" i="1"/>
  <c r="AS93" i="1"/>
  <c r="AW78" i="1"/>
  <c r="BC97" i="1"/>
  <c r="BG93" i="1"/>
  <c r="BG94" i="1"/>
  <c r="BG95" i="1"/>
  <c r="BK78" i="1"/>
  <c r="AT95" i="1"/>
  <c r="AT93" i="1"/>
  <c r="BN78" i="1"/>
  <c r="BW93" i="1"/>
  <c r="BD94" i="1"/>
  <c r="AT94" i="1"/>
  <c r="BJ95" i="1"/>
  <c r="BW94" i="1"/>
  <c r="BC95" i="1"/>
  <c r="AY97" i="1"/>
  <c r="BG78" i="1"/>
  <c r="BC94" i="1"/>
  <c r="BM78" i="1"/>
  <c r="BI95" i="1"/>
  <c r="BI93" i="1"/>
  <c r="BI94" i="1"/>
  <c r="BE97" i="1"/>
  <c r="BF78" i="1"/>
  <c r="BB95" i="1"/>
  <c r="BB94" i="1"/>
  <c r="BB93" i="1"/>
  <c r="BH95" i="1"/>
  <c r="BH93" i="1"/>
  <c r="BD97" i="1"/>
  <c r="BL78" i="1"/>
  <c r="BH94" i="1"/>
  <c r="AT78" i="1"/>
  <c r="AN97" i="1"/>
  <c r="AR95" i="1"/>
  <c r="AR94" i="1"/>
  <c r="AR93" i="1"/>
  <c r="AV78" i="1"/>
  <c r="BB78" i="1"/>
  <c r="BX78" i="1"/>
  <c r="BG102" i="1"/>
  <c r="BG104" i="1"/>
  <c r="BG103" i="1"/>
  <c r="BW102" i="1"/>
  <c r="BW104" i="1"/>
  <c r="BW103" i="1"/>
  <c r="CB98" i="1"/>
  <c r="BT98" i="1"/>
  <c r="BH98" i="1"/>
  <c r="BG98" i="1"/>
  <c r="BN98" i="1"/>
  <c r="BB98" i="1"/>
  <c r="BI98" i="1"/>
  <c r="AW98" i="1"/>
  <c r="BY98" i="1"/>
  <c r="AZ98" i="1"/>
  <c r="AR98" i="1"/>
  <c r="AV98" i="1"/>
  <c r="BJ98" i="1"/>
  <c r="AS98" i="1"/>
  <c r="BA98" i="1"/>
  <c r="AT98" i="1"/>
  <c r="AQ98" i="1"/>
  <c r="AP98" i="1"/>
  <c r="AO98" i="1"/>
  <c r="BP98" i="1"/>
  <c r="BO98" i="1"/>
  <c r="AY98" i="1"/>
  <c r="AX98" i="1"/>
  <c r="CA98" i="1"/>
  <c r="BR98" i="1"/>
  <c r="BS98" i="1"/>
  <c r="BQ98" i="1"/>
  <c r="BV98" i="1"/>
  <c r="BU98" i="1"/>
  <c r="CU40" i="1"/>
  <c r="CT146" i="1"/>
  <c r="AD214" i="1"/>
  <c r="AB146" i="1"/>
  <c r="AR118" i="1"/>
  <c r="AR121" i="1" s="1"/>
  <c r="AR119" i="1"/>
  <c r="AR122" i="1" s="1"/>
  <c r="CA235" i="1"/>
  <c r="CB235" i="1"/>
  <c r="W201" i="1"/>
  <c r="W203" i="1" s="1"/>
  <c r="BU235" i="1"/>
  <c r="BC98" i="1" l="1"/>
  <c r="BZ98" i="1"/>
  <c r="BD98" i="1"/>
  <c r="BX98" i="1"/>
  <c r="BW98" i="1"/>
  <c r="BF98" i="1"/>
  <c r="BM98" i="1"/>
  <c r="BL98" i="1"/>
  <c r="BK98" i="1"/>
  <c r="BE98" i="1"/>
  <c r="AU98" i="1"/>
  <c r="CT211" i="1"/>
  <c r="CT209" i="1" s="1"/>
  <c r="CU202" i="1"/>
  <c r="CU140" i="1"/>
  <c r="AB211" i="1"/>
  <c r="AB209" i="1" s="1"/>
  <c r="AE132" i="1"/>
  <c r="CA97" i="1"/>
  <c r="CU142" i="1" l="1"/>
  <c r="CF97" i="1"/>
  <c r="CU146" i="1" l="1"/>
  <c r="CV40" i="1"/>
  <c r="AE133" i="1"/>
  <c r="AE136" i="1" s="1"/>
  <c r="AE257" i="1" s="1"/>
  <c r="CV202" i="1" l="1"/>
  <c r="CV140" i="1"/>
  <c r="CU211" i="1"/>
  <c r="CU209" i="1" s="1"/>
  <c r="AE214" i="1"/>
  <c r="AC146" i="1"/>
  <c r="W128" i="1"/>
  <c r="CV142" i="1" l="1"/>
  <c r="W62" i="1"/>
  <c r="AC211" i="1"/>
  <c r="AC209" i="1" s="1"/>
  <c r="X215" i="1"/>
  <c r="X213" i="1" s="1"/>
  <c r="W215" i="1"/>
  <c r="W213" i="1" s="1"/>
  <c r="W137" i="1"/>
  <c r="W63" i="1" s="1"/>
  <c r="W183" i="1"/>
  <c r="CW40" i="1" l="1"/>
  <c r="CV146" i="1"/>
  <c r="CV211" i="1" l="1"/>
  <c r="CV209" i="1" s="1"/>
  <c r="CW202" i="1"/>
  <c r="CW140" i="1"/>
  <c r="CW142" i="1" l="1"/>
  <c r="CW146" i="1" l="1"/>
  <c r="CX40" i="1"/>
  <c r="AD40" i="1" l="1"/>
  <c r="CX202" i="1"/>
  <c r="CX140" i="1"/>
  <c r="CW211" i="1"/>
  <c r="CW209" i="1" s="1"/>
  <c r="AD202" i="1" l="1"/>
  <c r="AD140" i="1"/>
  <c r="AD142" i="1" s="1"/>
  <c r="CX142" i="1"/>
  <c r="AD146" i="1" l="1"/>
  <c r="AD211" i="1" s="1"/>
  <c r="AD209" i="1" s="1"/>
  <c r="AD41" i="1"/>
  <c r="CX146" i="1"/>
  <c r="CY40" i="1"/>
  <c r="CY202" i="1" l="1"/>
  <c r="CY140" i="1"/>
  <c r="CX211" i="1"/>
  <c r="CX209" i="1" s="1"/>
  <c r="CY142" i="1" l="1"/>
  <c r="W188" i="1"/>
  <c r="CY146" i="1" l="1"/>
  <c r="CZ40" i="1"/>
  <c r="W191" i="1"/>
  <c r="W164" i="1"/>
  <c r="X205" i="1" s="1"/>
  <c r="CZ202" i="1" l="1"/>
  <c r="CZ140" i="1"/>
  <c r="CY211" i="1"/>
  <c r="CY209" i="1" s="1"/>
  <c r="W193" i="1"/>
  <c r="W192" i="1" s="1"/>
  <c r="W205" i="1"/>
  <c r="W156" i="1"/>
  <c r="X204" i="1" s="1"/>
  <c r="X206" i="1" s="1"/>
  <c r="X207" i="1" s="1"/>
  <c r="X221" i="1" s="1"/>
  <c r="W187" i="1"/>
  <c r="CZ142" i="1" l="1"/>
  <c r="W190" i="1"/>
  <c r="W165" i="1"/>
  <c r="W204" i="1"/>
  <c r="W206" i="1" s="1"/>
  <c r="W207" i="1" s="1"/>
  <c r="CZ146" i="1" l="1"/>
  <c r="CZ211" i="1" s="1"/>
  <c r="CZ209" i="1" s="1"/>
  <c r="DA40" i="1"/>
  <c r="W189" i="1"/>
  <c r="W194" i="1"/>
  <c r="W218" i="1"/>
  <c r="W221" i="1"/>
  <c r="DA202" i="1" l="1"/>
  <c r="DA140" i="1"/>
  <c r="W197" i="1"/>
  <c r="W198" i="1" s="1"/>
  <c r="X197" i="1"/>
  <c r="X198" i="1" s="1"/>
  <c r="DA142" i="1" l="1"/>
  <c r="W169" i="1"/>
  <c r="X217" i="1" l="1"/>
  <c r="X218" i="1" s="1"/>
  <c r="X219" i="1" s="1"/>
  <c r="W254" i="1"/>
  <c r="W256" i="1"/>
  <c r="W252" i="1"/>
  <c r="DA146" i="1"/>
  <c r="DA211" i="1" s="1"/>
  <c r="DA209" i="1" s="1"/>
  <c r="DB40" i="1"/>
  <c r="W176" i="1"/>
  <c r="W117" i="1" s="1"/>
  <c r="W173" i="1"/>
  <c r="W219" i="1"/>
  <c r="AE40" i="1" l="1"/>
  <c r="AE202" i="1" s="1"/>
  <c r="DB202" i="1"/>
  <c r="DB140" i="1"/>
  <c r="W174" i="1"/>
  <c r="DB142" i="1" l="1"/>
  <c r="DB146" i="1" s="1"/>
  <c r="DB211" i="1" s="1"/>
  <c r="DB209" i="1" s="1"/>
  <c r="AE140" i="1"/>
  <c r="AE142" i="1" s="1"/>
  <c r="C113" i="2"/>
  <c r="C111" i="2"/>
  <c r="C112" i="2"/>
  <c r="AE146" i="1" l="1"/>
  <c r="AE211" i="1" s="1"/>
  <c r="AE209" i="1" s="1"/>
  <c r="AE41" i="1"/>
  <c r="B81" i="1"/>
  <c r="B82" i="1"/>
  <c r="AK187" i="1" l="1"/>
  <c r="AK152" i="1" s="1"/>
  <c r="AM152" i="1" l="1"/>
  <c r="AO152" i="1" l="1"/>
  <c r="AQ152" i="1" l="1"/>
  <c r="AS152" i="1" l="1"/>
  <c r="AU152" i="1" l="1"/>
  <c r="AW152" i="1" l="1"/>
  <c r="AY152" i="1" l="1"/>
  <c r="BA152" i="1" l="1"/>
  <c r="BC152" i="1" l="1"/>
  <c r="BE152" i="1" l="1"/>
  <c r="BG152" i="1" l="1"/>
  <c r="BI152" i="1" l="1"/>
  <c r="BK152" i="1" l="1"/>
  <c r="BM152" i="1" l="1"/>
  <c r="BO152" i="1" l="1"/>
  <c r="BQ152" i="1" l="1"/>
  <c r="BS152" i="1" l="1"/>
  <c r="BU152" i="1" l="1"/>
  <c r="BW152" i="1" l="1"/>
  <c r="BY152" i="1" l="1"/>
  <c r="AK153" i="1" l="1"/>
  <c r="AK156" i="1" s="1"/>
  <c r="AL204" i="1" l="1"/>
  <c r="AK204" i="1"/>
  <c r="AK190" i="1"/>
  <c r="AM153" i="1"/>
  <c r="AM156" i="1" s="1"/>
  <c r="AM190" i="1" l="1"/>
  <c r="AM189" i="1" s="1"/>
  <c r="AN204" i="1"/>
  <c r="AM204" i="1"/>
  <c r="AJ189" i="1"/>
  <c r="AK189" i="1"/>
  <c r="AO153" i="1" l="1"/>
  <c r="AO156" i="1" s="1"/>
  <c r="AP204" i="1" l="1"/>
  <c r="AO190" i="1"/>
  <c r="AO189" i="1" s="1"/>
  <c r="AO204" i="1"/>
  <c r="AQ153" i="1" l="1"/>
  <c r="AQ156" i="1" s="1"/>
  <c r="AQ190" i="1" l="1"/>
  <c r="AQ189" i="1" s="1"/>
  <c r="AR204" i="1"/>
  <c r="AQ204" i="1"/>
  <c r="AS153" i="1" l="1"/>
  <c r="AS156" i="1" s="1"/>
  <c r="AT204" i="1" l="1"/>
  <c r="AS190" i="1"/>
  <c r="AS189" i="1" s="1"/>
  <c r="AS204" i="1"/>
  <c r="AU153" i="1" l="1"/>
  <c r="AU156" i="1" s="1"/>
  <c r="AU190" i="1" l="1"/>
  <c r="AU189" i="1" s="1"/>
  <c r="AV204" i="1"/>
  <c r="AU204" i="1"/>
  <c r="AW153" i="1" l="1"/>
  <c r="AW156" i="1" s="1"/>
  <c r="AW190" i="1" l="1"/>
  <c r="AW189" i="1" s="1"/>
  <c r="AX204" i="1"/>
  <c r="AW204" i="1"/>
  <c r="AY153" i="1" l="1"/>
  <c r="AY156" i="1" s="1"/>
  <c r="AY190" i="1" l="1"/>
  <c r="AY189" i="1" s="1"/>
  <c r="AZ204" i="1"/>
  <c r="AY204" i="1"/>
  <c r="BA153" i="1" l="1"/>
  <c r="BA156" i="1" s="1"/>
  <c r="BB204" i="1" l="1"/>
  <c r="BA190" i="1"/>
  <c r="BA189" i="1" s="1"/>
  <c r="BA204" i="1"/>
  <c r="BC153" i="1" l="1"/>
  <c r="BC156" i="1" s="1"/>
  <c r="BD204" i="1" l="1"/>
  <c r="BC190" i="1"/>
  <c r="BC189" i="1" s="1"/>
  <c r="BC204" i="1"/>
  <c r="BE153" i="1" l="1"/>
  <c r="BE156" i="1" s="1"/>
  <c r="BF204" i="1" l="1"/>
  <c r="BE190" i="1"/>
  <c r="BE189" i="1" s="1"/>
  <c r="BE204" i="1"/>
  <c r="BG153" i="1" l="1"/>
  <c r="BG156" i="1" s="1"/>
  <c r="BG190" i="1" l="1"/>
  <c r="BG189" i="1" s="1"/>
  <c r="BH204" i="1"/>
  <c r="BG204" i="1"/>
  <c r="BI153" i="1" l="1"/>
  <c r="BI156" i="1" s="1"/>
  <c r="BJ204" i="1" l="1"/>
  <c r="BI190" i="1"/>
  <c r="BI189" i="1" s="1"/>
  <c r="BI204" i="1"/>
  <c r="BK153" i="1" l="1"/>
  <c r="BK156" i="1" s="1"/>
  <c r="BL204" i="1" l="1"/>
  <c r="BK190" i="1"/>
  <c r="BK189" i="1" s="1"/>
  <c r="BK204" i="1"/>
  <c r="BM153" i="1" l="1"/>
  <c r="BM156" i="1" s="1"/>
  <c r="BM190" i="1" l="1"/>
  <c r="BM189" i="1" s="1"/>
  <c r="BN204" i="1"/>
  <c r="BM204" i="1"/>
  <c r="BO153" i="1" l="1"/>
  <c r="BO156" i="1" s="1"/>
  <c r="BO190" i="1" l="1"/>
  <c r="BO189" i="1" s="1"/>
  <c r="BP204" i="1"/>
  <c r="BO204" i="1"/>
  <c r="BQ153" i="1" l="1"/>
  <c r="BQ156" i="1" s="1"/>
  <c r="BR204" i="1" l="1"/>
  <c r="BQ190" i="1"/>
  <c r="BQ189" i="1" s="1"/>
  <c r="BQ204" i="1"/>
  <c r="BS153" i="1" l="1"/>
  <c r="BS156" i="1" s="1"/>
  <c r="BT204" i="1" l="1"/>
  <c r="BS190" i="1"/>
  <c r="BS189" i="1" s="1"/>
  <c r="BS204" i="1"/>
  <c r="BU153" i="1" l="1"/>
  <c r="BU156" i="1" s="1"/>
  <c r="BU190" i="1" l="1"/>
  <c r="BU189" i="1" s="1"/>
  <c r="BV204" i="1"/>
  <c r="BU204" i="1"/>
  <c r="BW153" i="1" l="1"/>
  <c r="BW156" i="1" s="1"/>
  <c r="BW190" i="1" l="1"/>
  <c r="BW189" i="1" s="1"/>
  <c r="BX204" i="1"/>
  <c r="BW204" i="1"/>
  <c r="BY153" i="1" l="1"/>
  <c r="BY156" i="1" s="1"/>
  <c r="BZ204" i="1" l="1"/>
  <c r="BY190" i="1"/>
  <c r="BY189" i="1" s="1"/>
  <c r="BY204" i="1"/>
  <c r="AK191" i="1" l="1"/>
  <c r="AK161" i="1" s="1"/>
  <c r="AK164" i="1" s="1"/>
  <c r="AK165" i="1" l="1"/>
  <c r="AK193" i="1"/>
  <c r="AL205" i="1"/>
  <c r="AL206" i="1" s="1"/>
  <c r="AL207" i="1" s="1"/>
  <c r="AL221" i="1" s="1"/>
  <c r="AK205" i="1"/>
  <c r="AK206" i="1" s="1"/>
  <c r="AK207" i="1" s="1"/>
  <c r="AM161" i="1"/>
  <c r="AM164" i="1" s="1"/>
  <c r="AK221" i="1" l="1"/>
  <c r="AK218" i="1"/>
  <c r="AK168" i="1" s="1"/>
  <c r="AK169" i="1" s="1"/>
  <c r="AK173" i="1" s="1"/>
  <c r="AK174" i="1" s="1"/>
  <c r="AN205" i="1"/>
  <c r="AN206" i="1" s="1"/>
  <c r="AN207" i="1" s="1"/>
  <c r="AN221" i="1" s="1"/>
  <c r="AM193" i="1"/>
  <c r="AM192" i="1" s="1"/>
  <c r="AM205" i="1"/>
  <c r="AM206" i="1" s="1"/>
  <c r="AM207" i="1" s="1"/>
  <c r="AM165" i="1"/>
  <c r="AJ192" i="1"/>
  <c r="AJ194" i="1"/>
  <c r="AN197" i="1" s="1"/>
  <c r="AK192" i="1"/>
  <c r="AK194" i="1"/>
  <c r="AO161" i="1"/>
  <c r="AO164" i="1" s="1"/>
  <c r="AM194" i="1" l="1"/>
  <c r="AO193" i="1"/>
  <c r="AO192" i="1" s="1"/>
  <c r="AP205" i="1"/>
  <c r="AP206" i="1" s="1"/>
  <c r="AP207" i="1" s="1"/>
  <c r="AP221" i="1" s="1"/>
  <c r="AO205" i="1"/>
  <c r="AO206" i="1" s="1"/>
  <c r="AO207" i="1" s="1"/>
  <c r="AM221" i="1"/>
  <c r="AM218" i="1"/>
  <c r="AO165" i="1"/>
  <c r="AL217" i="1" l="1"/>
  <c r="AL218" i="1" s="1"/>
  <c r="AL219" i="1" s="1"/>
  <c r="AK219" i="1"/>
  <c r="AO194" i="1"/>
  <c r="AO197" i="1" s="1"/>
  <c r="AO221" i="1"/>
  <c r="AO218" i="1"/>
  <c r="AQ161" i="1"/>
  <c r="AQ164" i="1" s="1"/>
  <c r="AK176" i="1"/>
  <c r="AL45" i="1" s="1"/>
  <c r="AM168" i="1"/>
  <c r="AM169" i="1" s="1"/>
  <c r="AM173" i="1" s="1"/>
  <c r="AN217" i="1" l="1"/>
  <c r="AN218" i="1" s="1"/>
  <c r="AN219" i="1" s="1"/>
  <c r="AM256" i="1"/>
  <c r="AM254" i="1"/>
  <c r="AM252" i="1"/>
  <c r="AQ193" i="1"/>
  <c r="AQ192" i="1" s="1"/>
  <c r="AR205" i="1"/>
  <c r="AR206" i="1" s="1"/>
  <c r="AR207" i="1" s="1"/>
  <c r="AR221" i="1" s="1"/>
  <c r="AQ205" i="1"/>
  <c r="AQ206" i="1" s="1"/>
  <c r="AQ207" i="1" s="1"/>
  <c r="AM219" i="1"/>
  <c r="AQ165" i="1"/>
  <c r="AO168" i="1"/>
  <c r="AO169" i="1" s="1"/>
  <c r="AM176" i="1"/>
  <c r="AO254" i="1" l="1"/>
  <c r="AO256" i="1"/>
  <c r="AO252" i="1"/>
  <c r="AM117" i="1"/>
  <c r="AM118" i="1" s="1"/>
  <c r="AM121" i="1" s="1"/>
  <c r="AN45" i="1"/>
  <c r="AQ194" i="1"/>
  <c r="AQ197" i="1" s="1"/>
  <c r="AQ221" i="1"/>
  <c r="AQ218" i="1"/>
  <c r="AP217" i="1"/>
  <c r="AP218" i="1" s="1"/>
  <c r="AP219" i="1" s="1"/>
  <c r="AO219" i="1"/>
  <c r="AS161" i="1"/>
  <c r="AS164" i="1" s="1"/>
  <c r="AO176" i="1"/>
  <c r="AO173" i="1"/>
  <c r="AM174" i="1"/>
  <c r="AM119" i="1" l="1"/>
  <c r="AM122" i="1" s="1"/>
  <c r="AO117" i="1"/>
  <c r="AO119" i="1" s="1"/>
  <c r="AO122" i="1" s="1"/>
  <c r="AP45" i="1"/>
  <c r="AS193" i="1"/>
  <c r="AS192" i="1" s="1"/>
  <c r="AT205" i="1"/>
  <c r="AT206" i="1" s="1"/>
  <c r="AT207" i="1" s="1"/>
  <c r="AT221" i="1" s="1"/>
  <c r="AS205" i="1"/>
  <c r="AS206" i="1" s="1"/>
  <c r="AS207" i="1" s="1"/>
  <c r="AO174" i="1"/>
  <c r="AS165" i="1"/>
  <c r="AQ168" i="1"/>
  <c r="AQ169" i="1" s="1"/>
  <c r="AQ254" i="1" l="1"/>
  <c r="AQ256" i="1"/>
  <c r="AQ252" i="1"/>
  <c r="AO118" i="1"/>
  <c r="AO121" i="1" s="1"/>
  <c r="AS194" i="1"/>
  <c r="AS197" i="1" s="1"/>
  <c r="AS221" i="1"/>
  <c r="AS218" i="1"/>
  <c r="AR217" i="1"/>
  <c r="AR218" i="1" s="1"/>
  <c r="AR219" i="1" s="1"/>
  <c r="AQ219" i="1"/>
  <c r="AQ173" i="1"/>
  <c r="AQ176" i="1"/>
  <c r="AU161" i="1"/>
  <c r="AU164" i="1" s="1"/>
  <c r="AQ117" i="1" l="1"/>
  <c r="AQ118" i="1" s="1"/>
  <c r="AQ121" i="1" s="1"/>
  <c r="AR45" i="1"/>
  <c r="AU193" i="1"/>
  <c r="AU192" i="1" s="1"/>
  <c r="AV205" i="1"/>
  <c r="AV206" i="1" s="1"/>
  <c r="AV207" i="1" s="1"/>
  <c r="AV221" i="1" s="1"/>
  <c r="AU205" i="1"/>
  <c r="AU206" i="1" s="1"/>
  <c r="AU207" i="1" s="1"/>
  <c r="AU165" i="1"/>
  <c r="AS168" i="1"/>
  <c r="AS169" i="1" s="1"/>
  <c r="AQ174" i="1"/>
  <c r="AS256" i="1" l="1"/>
  <c r="AS254" i="1"/>
  <c r="AS252" i="1"/>
  <c r="AQ119" i="1"/>
  <c r="AQ122" i="1" s="1"/>
  <c r="AU194" i="1"/>
  <c r="AU197" i="1" s="1"/>
  <c r="AU221" i="1"/>
  <c r="AU218" i="1"/>
  <c r="AT217" i="1"/>
  <c r="AT218" i="1" s="1"/>
  <c r="AT219" i="1" s="1"/>
  <c r="AS219" i="1"/>
  <c r="AS176" i="1"/>
  <c r="AS173" i="1"/>
  <c r="AW161" i="1"/>
  <c r="AW164" i="1" s="1"/>
  <c r="AS117" i="1" l="1"/>
  <c r="AS118" i="1" s="1"/>
  <c r="AS121" i="1" s="1"/>
  <c r="AT45" i="1"/>
  <c r="AW193" i="1"/>
  <c r="AW194" i="1" s="1"/>
  <c r="AW197" i="1" s="1"/>
  <c r="AX205" i="1"/>
  <c r="AX206" i="1" s="1"/>
  <c r="AX207" i="1" s="1"/>
  <c r="AX221" i="1" s="1"/>
  <c r="AW205" i="1"/>
  <c r="AW206" i="1" s="1"/>
  <c r="AW207" i="1" s="1"/>
  <c r="AU168" i="1"/>
  <c r="AU169" i="1" s="1"/>
  <c r="AS174" i="1"/>
  <c r="AW165" i="1"/>
  <c r="AU256" i="1" l="1"/>
  <c r="AU254" i="1"/>
  <c r="AU252" i="1"/>
  <c r="AS119" i="1"/>
  <c r="AS122" i="1" s="1"/>
  <c r="AW192" i="1"/>
  <c r="AW221" i="1"/>
  <c r="AW218" i="1"/>
  <c r="AV217" i="1"/>
  <c r="AV218" i="1" s="1"/>
  <c r="AV219" i="1" s="1"/>
  <c r="AU219" i="1"/>
  <c r="AU176" i="1"/>
  <c r="AU173" i="1"/>
  <c r="AY161" i="1"/>
  <c r="AY164" i="1" s="1"/>
  <c r="AU117" i="1" l="1"/>
  <c r="AU119" i="1" s="1"/>
  <c r="AU122" i="1" s="1"/>
  <c r="AV45" i="1"/>
  <c r="AY193" i="1"/>
  <c r="AY192" i="1" s="1"/>
  <c r="AZ205" i="1"/>
  <c r="AZ206" i="1" s="1"/>
  <c r="AZ207" i="1" s="1"/>
  <c r="AZ221" i="1" s="1"/>
  <c r="AY205" i="1"/>
  <c r="AY206" i="1" s="1"/>
  <c r="AY207" i="1" s="1"/>
  <c r="AW168" i="1"/>
  <c r="AW169" i="1" s="1"/>
  <c r="AY165" i="1"/>
  <c r="AU174" i="1"/>
  <c r="AW254" i="1" l="1"/>
  <c r="AW256" i="1"/>
  <c r="AW252" i="1"/>
  <c r="AU118" i="1"/>
  <c r="AU121" i="1" s="1"/>
  <c r="AY194" i="1"/>
  <c r="AY197" i="1" s="1"/>
  <c r="AY221" i="1"/>
  <c r="AY218" i="1"/>
  <c r="AX217" i="1"/>
  <c r="AX218" i="1" s="1"/>
  <c r="AX219" i="1" s="1"/>
  <c r="AW219" i="1"/>
  <c r="BA161" i="1"/>
  <c r="BA164" i="1" s="1"/>
  <c r="AW173" i="1"/>
  <c r="AW176" i="1"/>
  <c r="AW117" i="1" l="1"/>
  <c r="AW119" i="1" s="1"/>
  <c r="AW122" i="1" s="1"/>
  <c r="AX45" i="1"/>
  <c r="BB205" i="1"/>
  <c r="BB206" i="1" s="1"/>
  <c r="BB207" i="1" s="1"/>
  <c r="BB221" i="1" s="1"/>
  <c r="BA193" i="1"/>
  <c r="BA192" i="1" s="1"/>
  <c r="BA205" i="1"/>
  <c r="BA206" i="1" s="1"/>
  <c r="BA207" i="1" s="1"/>
  <c r="AW174" i="1"/>
  <c r="BA165" i="1"/>
  <c r="AY168" i="1"/>
  <c r="AY169" i="1" s="1"/>
  <c r="AY254" i="1" l="1"/>
  <c r="AY256" i="1"/>
  <c r="AY252" i="1"/>
  <c r="AW118" i="1"/>
  <c r="AW121" i="1" s="1"/>
  <c r="BA194" i="1"/>
  <c r="BA197" i="1" s="1"/>
  <c r="BA221" i="1"/>
  <c r="BA218" i="1"/>
  <c r="AZ217" i="1"/>
  <c r="AZ218" i="1" s="1"/>
  <c r="AZ219" i="1" s="1"/>
  <c r="AY219" i="1"/>
  <c r="AY173" i="1"/>
  <c r="AY176" i="1"/>
  <c r="BC161" i="1"/>
  <c r="BC164" i="1" s="1"/>
  <c r="AY117" i="1" l="1"/>
  <c r="AY119" i="1" s="1"/>
  <c r="AY122" i="1" s="1"/>
  <c r="AZ45" i="1"/>
  <c r="BC193" i="1"/>
  <c r="BC192" i="1" s="1"/>
  <c r="BD205" i="1"/>
  <c r="BD206" i="1" s="1"/>
  <c r="BD207" i="1" s="1"/>
  <c r="BD221" i="1" s="1"/>
  <c r="BC205" i="1"/>
  <c r="BC206" i="1" s="1"/>
  <c r="BC207" i="1" s="1"/>
  <c r="AY174" i="1"/>
  <c r="BC165" i="1"/>
  <c r="BA168" i="1"/>
  <c r="BA169" i="1" s="1"/>
  <c r="BA256" i="1" l="1"/>
  <c r="BA254" i="1"/>
  <c r="BA252" i="1"/>
  <c r="AY118" i="1"/>
  <c r="AY121" i="1" s="1"/>
  <c r="BC194" i="1"/>
  <c r="BC197" i="1" s="1"/>
  <c r="BC221" i="1"/>
  <c r="BC218" i="1"/>
  <c r="BB217" i="1"/>
  <c r="BB218" i="1" s="1"/>
  <c r="BB219" i="1" s="1"/>
  <c r="BA219" i="1"/>
  <c r="BE161" i="1"/>
  <c r="BE164" i="1" s="1"/>
  <c r="BA176" i="1"/>
  <c r="BA173" i="1"/>
  <c r="BA117" i="1" l="1"/>
  <c r="BA118" i="1" s="1"/>
  <c r="BA121" i="1" s="1"/>
  <c r="BB45" i="1"/>
  <c r="BE193" i="1"/>
  <c r="BE192" i="1" s="1"/>
  <c r="BF205" i="1"/>
  <c r="BF206" i="1" s="1"/>
  <c r="BF207" i="1" s="1"/>
  <c r="BF221" i="1" s="1"/>
  <c r="BE205" i="1"/>
  <c r="BE206" i="1" s="1"/>
  <c r="BE207" i="1" s="1"/>
  <c r="BC168" i="1"/>
  <c r="BC169" i="1" s="1"/>
  <c r="BA174" i="1"/>
  <c r="BE165" i="1"/>
  <c r="BC256" i="1" l="1"/>
  <c r="BC254" i="1"/>
  <c r="BC252" i="1"/>
  <c r="BA119" i="1"/>
  <c r="BA122" i="1" s="1"/>
  <c r="BE194" i="1"/>
  <c r="BE197" i="1" s="1"/>
  <c r="BE221" i="1"/>
  <c r="BE218" i="1"/>
  <c r="BD217" i="1"/>
  <c r="BD218" i="1" s="1"/>
  <c r="BD219" i="1" s="1"/>
  <c r="BC219" i="1"/>
  <c r="BG161" i="1"/>
  <c r="BG164" i="1" s="1"/>
  <c r="BC173" i="1"/>
  <c r="BC176" i="1"/>
  <c r="BC117" i="1" l="1"/>
  <c r="BC118" i="1" s="1"/>
  <c r="BC121" i="1" s="1"/>
  <c r="BD45" i="1"/>
  <c r="BG193" i="1"/>
  <c r="BG194" i="1" s="1"/>
  <c r="BG197" i="1" s="1"/>
  <c r="BH205" i="1"/>
  <c r="BH206" i="1" s="1"/>
  <c r="BH207" i="1" s="1"/>
  <c r="BH221" i="1" s="1"/>
  <c r="BG205" i="1"/>
  <c r="BG206" i="1" s="1"/>
  <c r="BG207" i="1" s="1"/>
  <c r="BC174" i="1"/>
  <c r="BE168" i="1"/>
  <c r="BE169" i="1" s="1"/>
  <c r="BG165" i="1"/>
  <c r="BE254" i="1" l="1"/>
  <c r="BE256" i="1"/>
  <c r="BE252" i="1"/>
  <c r="BC119" i="1"/>
  <c r="BC122" i="1" s="1"/>
  <c r="BG192" i="1"/>
  <c r="BG221" i="1"/>
  <c r="BG218" i="1"/>
  <c r="BF217" i="1"/>
  <c r="BF218" i="1" s="1"/>
  <c r="BF219" i="1" s="1"/>
  <c r="BE219" i="1"/>
  <c r="BE176" i="1"/>
  <c r="BE173" i="1"/>
  <c r="BI161" i="1"/>
  <c r="BI164" i="1" s="1"/>
  <c r="BE117" i="1" l="1"/>
  <c r="BE118" i="1" s="1"/>
  <c r="BE121" i="1" s="1"/>
  <c r="BF45" i="1"/>
  <c r="BI193" i="1"/>
  <c r="BI192" i="1" s="1"/>
  <c r="BJ205" i="1"/>
  <c r="BJ206" i="1" s="1"/>
  <c r="BJ207" i="1" s="1"/>
  <c r="BJ221" i="1" s="1"/>
  <c r="BI205" i="1"/>
  <c r="BI206" i="1" s="1"/>
  <c r="BI207" i="1" s="1"/>
  <c r="BE174" i="1"/>
  <c r="BG168" i="1"/>
  <c r="BG169" i="1" s="1"/>
  <c r="BI165" i="1"/>
  <c r="BG254" i="1" l="1"/>
  <c r="BG256" i="1"/>
  <c r="BG252" i="1"/>
  <c r="BE119" i="1"/>
  <c r="BE122" i="1" s="1"/>
  <c r="BI194" i="1"/>
  <c r="BI197" i="1" s="1"/>
  <c r="BI221" i="1"/>
  <c r="BI218" i="1"/>
  <c r="BH217" i="1"/>
  <c r="BH218" i="1" s="1"/>
  <c r="BH219" i="1" s="1"/>
  <c r="BG219" i="1"/>
  <c r="BG173" i="1"/>
  <c r="BG176" i="1"/>
  <c r="BK161" i="1"/>
  <c r="BK164" i="1" s="1"/>
  <c r="BG117" i="1" l="1"/>
  <c r="BG118" i="1" s="1"/>
  <c r="BG121" i="1" s="1"/>
  <c r="BH45" i="1"/>
  <c r="BL205" i="1"/>
  <c r="BL206" i="1" s="1"/>
  <c r="BL207" i="1" s="1"/>
  <c r="BL221" i="1" s="1"/>
  <c r="BK193" i="1"/>
  <c r="BK192" i="1" s="1"/>
  <c r="BK205" i="1"/>
  <c r="BK206" i="1" s="1"/>
  <c r="BK207" i="1" s="1"/>
  <c r="BK165" i="1"/>
  <c r="BG174" i="1"/>
  <c r="BI168" i="1"/>
  <c r="BI169" i="1" s="1"/>
  <c r="BI256" i="1" l="1"/>
  <c r="BI254" i="1"/>
  <c r="BI252" i="1"/>
  <c r="BG119" i="1"/>
  <c r="BG122" i="1" s="1"/>
  <c r="BK194" i="1"/>
  <c r="BK197" i="1" s="1"/>
  <c r="BK221" i="1"/>
  <c r="BK218" i="1"/>
  <c r="BJ217" i="1"/>
  <c r="BJ218" i="1" s="1"/>
  <c r="BJ219" i="1" s="1"/>
  <c r="BI219" i="1"/>
  <c r="BI176" i="1"/>
  <c r="BI173" i="1"/>
  <c r="BM161" i="1"/>
  <c r="BM164" i="1" s="1"/>
  <c r="BI117" i="1" l="1"/>
  <c r="BI119" i="1" s="1"/>
  <c r="BI122" i="1" s="1"/>
  <c r="BJ45" i="1"/>
  <c r="BM193" i="1"/>
  <c r="BM192" i="1" s="1"/>
  <c r="BN205" i="1"/>
  <c r="BN206" i="1" s="1"/>
  <c r="BN207" i="1" s="1"/>
  <c r="BN221" i="1" s="1"/>
  <c r="BM205" i="1"/>
  <c r="BM206" i="1" s="1"/>
  <c r="BM207" i="1" s="1"/>
  <c r="BM165" i="1"/>
  <c r="BI174" i="1"/>
  <c r="BK168" i="1"/>
  <c r="BK169" i="1" s="1"/>
  <c r="BK256" i="1" l="1"/>
  <c r="BK254" i="1"/>
  <c r="BK252" i="1"/>
  <c r="BI118" i="1"/>
  <c r="BI121" i="1" s="1"/>
  <c r="BM194" i="1"/>
  <c r="BM197" i="1" s="1"/>
  <c r="BM221" i="1"/>
  <c r="BM218" i="1"/>
  <c r="BL217" i="1"/>
  <c r="BL218" i="1" s="1"/>
  <c r="BL219" i="1" s="1"/>
  <c r="BK219" i="1"/>
  <c r="BK176" i="1"/>
  <c r="BK173" i="1"/>
  <c r="BO161" i="1"/>
  <c r="BO164" i="1" s="1"/>
  <c r="BK117" i="1" l="1"/>
  <c r="BK119" i="1" s="1"/>
  <c r="BK122" i="1" s="1"/>
  <c r="BL45" i="1"/>
  <c r="BO193" i="1"/>
  <c r="BO192" i="1" s="1"/>
  <c r="BP205" i="1"/>
  <c r="BP206" i="1" s="1"/>
  <c r="BP207" i="1" s="1"/>
  <c r="BP221" i="1" s="1"/>
  <c r="BO205" i="1"/>
  <c r="BO206" i="1" s="1"/>
  <c r="BO207" i="1" s="1"/>
  <c r="BM168" i="1"/>
  <c r="BM169" i="1" s="1"/>
  <c r="BK174" i="1"/>
  <c r="BO165" i="1"/>
  <c r="BM254" i="1" l="1"/>
  <c r="BM256" i="1"/>
  <c r="BM252" i="1"/>
  <c r="BK118" i="1"/>
  <c r="BK121" i="1" s="1"/>
  <c r="BO194" i="1"/>
  <c r="BO197" i="1" s="1"/>
  <c r="BO221" i="1"/>
  <c r="BO218" i="1"/>
  <c r="BN217" i="1"/>
  <c r="BN218" i="1" s="1"/>
  <c r="BN219" i="1" s="1"/>
  <c r="BM219" i="1"/>
  <c r="BM173" i="1"/>
  <c r="BM176" i="1"/>
  <c r="BQ161" i="1"/>
  <c r="BQ164" i="1" s="1"/>
  <c r="BM117" i="1" l="1"/>
  <c r="BM118" i="1" s="1"/>
  <c r="BM121" i="1" s="1"/>
  <c r="BN45" i="1"/>
  <c r="BQ193" i="1"/>
  <c r="BQ192" i="1" s="1"/>
  <c r="BR205" i="1"/>
  <c r="BR206" i="1" s="1"/>
  <c r="BR207" i="1" s="1"/>
  <c r="BR221" i="1" s="1"/>
  <c r="BQ205" i="1"/>
  <c r="BQ206" i="1" s="1"/>
  <c r="BQ207" i="1" s="1"/>
  <c r="BO168" i="1"/>
  <c r="BO169" i="1" s="1"/>
  <c r="BQ165" i="1"/>
  <c r="BM174" i="1"/>
  <c r="BO254" i="1" l="1"/>
  <c r="BO256" i="1"/>
  <c r="BO252" i="1"/>
  <c r="BM119" i="1"/>
  <c r="BM122" i="1" s="1"/>
  <c r="BQ194" i="1"/>
  <c r="BQ197" i="1" s="1"/>
  <c r="BQ221" i="1"/>
  <c r="BQ218" i="1"/>
  <c r="BP217" i="1"/>
  <c r="BP218" i="1" s="1"/>
  <c r="BP219" i="1" s="1"/>
  <c r="BO219" i="1"/>
  <c r="BS161" i="1"/>
  <c r="BS164" i="1" s="1"/>
  <c r="BO173" i="1"/>
  <c r="BO176" i="1"/>
  <c r="BO117" i="1" l="1"/>
  <c r="BO118" i="1" s="1"/>
  <c r="BO121" i="1" s="1"/>
  <c r="BP45" i="1"/>
  <c r="BS193" i="1"/>
  <c r="BS192" i="1" s="1"/>
  <c r="BT205" i="1"/>
  <c r="BT206" i="1" s="1"/>
  <c r="BT207" i="1" s="1"/>
  <c r="BT221" i="1" s="1"/>
  <c r="BS205" i="1"/>
  <c r="BS206" i="1" s="1"/>
  <c r="BS207" i="1" s="1"/>
  <c r="BO174" i="1"/>
  <c r="BS165" i="1"/>
  <c r="BQ168" i="1"/>
  <c r="BQ169" i="1" s="1"/>
  <c r="BQ256" i="1" l="1"/>
  <c r="BQ254" i="1"/>
  <c r="BQ252" i="1"/>
  <c r="BO119" i="1"/>
  <c r="BO122" i="1" s="1"/>
  <c r="BS194" i="1"/>
  <c r="BS197" i="1" s="1"/>
  <c r="BS221" i="1"/>
  <c r="BS218" i="1"/>
  <c r="BR217" i="1"/>
  <c r="BR218" i="1" s="1"/>
  <c r="BR219" i="1" s="1"/>
  <c r="BQ219" i="1"/>
  <c r="BQ173" i="1"/>
  <c r="BQ176" i="1"/>
  <c r="BU161" i="1"/>
  <c r="BU164" i="1" s="1"/>
  <c r="BQ117" i="1" l="1"/>
  <c r="BQ118" i="1" s="1"/>
  <c r="BQ121" i="1" s="1"/>
  <c r="BR45" i="1"/>
  <c r="BU193" i="1"/>
  <c r="BU192" i="1" s="1"/>
  <c r="BV205" i="1"/>
  <c r="BV206" i="1" s="1"/>
  <c r="BV207" i="1" s="1"/>
  <c r="BV221" i="1" s="1"/>
  <c r="BU205" i="1"/>
  <c r="BU206" i="1" s="1"/>
  <c r="BU207" i="1" s="1"/>
  <c r="BS168" i="1"/>
  <c r="BS169" i="1" s="1"/>
  <c r="BQ174" i="1"/>
  <c r="BU165" i="1"/>
  <c r="BS256" i="1" l="1"/>
  <c r="BS254" i="1"/>
  <c r="BS252" i="1"/>
  <c r="BQ119" i="1"/>
  <c r="BQ122" i="1" s="1"/>
  <c r="BU194" i="1"/>
  <c r="BU197" i="1" s="1"/>
  <c r="BU221" i="1"/>
  <c r="BU218" i="1"/>
  <c r="BT217" i="1"/>
  <c r="BT218" i="1" s="1"/>
  <c r="BT219" i="1" s="1"/>
  <c r="BS219" i="1"/>
  <c r="BS173" i="1"/>
  <c r="BS176" i="1"/>
  <c r="BW161" i="1"/>
  <c r="BW164" i="1" s="1"/>
  <c r="BS117" i="1" l="1"/>
  <c r="BS119" i="1" s="1"/>
  <c r="BS122" i="1" s="1"/>
  <c r="BT45" i="1"/>
  <c r="BW193" i="1"/>
  <c r="BW192" i="1" s="1"/>
  <c r="BX205" i="1"/>
  <c r="BX206" i="1" s="1"/>
  <c r="BX207" i="1" s="1"/>
  <c r="BX221" i="1" s="1"/>
  <c r="BW205" i="1"/>
  <c r="BW206" i="1" s="1"/>
  <c r="BW207" i="1" s="1"/>
  <c r="BW165" i="1"/>
  <c r="BS174" i="1"/>
  <c r="BU168" i="1"/>
  <c r="BU169" i="1" s="1"/>
  <c r="BU254" i="1" l="1"/>
  <c r="BU256" i="1"/>
  <c r="BU252" i="1"/>
  <c r="BS118" i="1"/>
  <c r="BS121" i="1" s="1"/>
  <c r="BW194" i="1"/>
  <c r="BW197" i="1" s="1"/>
  <c r="BW221" i="1"/>
  <c r="BW218" i="1"/>
  <c r="BV217" i="1"/>
  <c r="BV218" i="1" s="1"/>
  <c r="BV219" i="1" s="1"/>
  <c r="BU219" i="1"/>
  <c r="BU173" i="1"/>
  <c r="BU176" i="1"/>
  <c r="BY161" i="1"/>
  <c r="BY164" i="1" s="1"/>
  <c r="BU117" i="1" l="1"/>
  <c r="BU119" i="1" s="1"/>
  <c r="BU122" i="1" s="1"/>
  <c r="BV45" i="1"/>
  <c r="BZ205" i="1"/>
  <c r="BZ206" i="1" s="1"/>
  <c r="BZ207" i="1" s="1"/>
  <c r="BZ221" i="1" s="1"/>
  <c r="BY193" i="1"/>
  <c r="BY192" i="1" s="1"/>
  <c r="BY205" i="1"/>
  <c r="BY206" i="1" s="1"/>
  <c r="BY207" i="1" s="1"/>
  <c r="BW168" i="1"/>
  <c r="BW169" i="1" s="1"/>
  <c r="BY165" i="1"/>
  <c r="BU174" i="1"/>
  <c r="BW254" i="1" l="1"/>
  <c r="BW256" i="1"/>
  <c r="BW252" i="1"/>
  <c r="BU118" i="1"/>
  <c r="BU121" i="1" s="1"/>
  <c r="BY194" i="1"/>
  <c r="BY197" i="1" s="1"/>
  <c r="BY221" i="1"/>
  <c r="BY218" i="1"/>
  <c r="BX217" i="1"/>
  <c r="BX218" i="1" s="1"/>
  <c r="BX219" i="1" s="1"/>
  <c r="BW219" i="1"/>
  <c r="BW173" i="1"/>
  <c r="BW176" i="1"/>
  <c r="BW117" i="1" l="1"/>
  <c r="BW119" i="1" s="1"/>
  <c r="BW122" i="1" s="1"/>
  <c r="BX45" i="1"/>
  <c r="BW174" i="1"/>
  <c r="BY168" i="1"/>
  <c r="BY169" i="1" s="1"/>
  <c r="BY256" i="1" l="1"/>
  <c r="BY254" i="1"/>
  <c r="BY252" i="1"/>
  <c r="BW118" i="1"/>
  <c r="BW121" i="1" s="1"/>
  <c r="BZ217" i="1"/>
  <c r="BZ218" i="1" s="1"/>
  <c r="BZ219" i="1" s="1"/>
  <c r="BY219" i="1"/>
  <c r="BY176" i="1"/>
  <c r="BY173" i="1"/>
  <c r="BY117" i="1" l="1"/>
  <c r="BY118" i="1" s="1"/>
  <c r="BY121" i="1" s="1"/>
  <c r="BZ45" i="1"/>
  <c r="BY174" i="1"/>
  <c r="CC153" i="1"/>
  <c r="CC152" i="1"/>
  <c r="CA152" i="1"/>
  <c r="CA161" i="1"/>
  <c r="CA164" i="1" s="1"/>
  <c r="CA153" i="1"/>
  <c r="BY119" i="1" l="1"/>
  <c r="BY122" i="1" s="1"/>
  <c r="CA156" i="1"/>
  <c r="CA190" i="1" s="1"/>
  <c r="CA189" i="1" s="1"/>
  <c r="CB205" i="1"/>
  <c r="CA193" i="1"/>
  <c r="CA192" i="1" s="1"/>
  <c r="CA205" i="1"/>
  <c r="CC161" i="1"/>
  <c r="CC164" i="1" s="1"/>
  <c r="CC156" i="1"/>
  <c r="CA165" i="1" l="1"/>
  <c r="CA204" i="1"/>
  <c r="CA206" i="1" s="1"/>
  <c r="CA207" i="1" s="1"/>
  <c r="CA221" i="1" s="1"/>
  <c r="CB204" i="1"/>
  <c r="CB206" i="1" s="1"/>
  <c r="CB207" i="1" s="1"/>
  <c r="CB221" i="1" s="1"/>
  <c r="CA194" i="1"/>
  <c r="CD204" i="1"/>
  <c r="CC190" i="1"/>
  <c r="CC189" i="1" s="1"/>
  <c r="CC204" i="1"/>
  <c r="CC193" i="1"/>
  <c r="CC192" i="1" s="1"/>
  <c r="CD205" i="1"/>
  <c r="CC205" i="1"/>
  <c r="CC165" i="1"/>
  <c r="CA197" i="1" l="1"/>
  <c r="CE197" i="1"/>
  <c r="CC206" i="1"/>
  <c r="CC207" i="1" s="1"/>
  <c r="CC221" i="1" s="1"/>
  <c r="CD206" i="1"/>
  <c r="CD207" i="1" s="1"/>
  <c r="CD221" i="1" s="1"/>
  <c r="CA218" i="1"/>
  <c r="CA168" i="1" s="1"/>
  <c r="CA169" i="1" s="1"/>
  <c r="CC194" i="1"/>
  <c r="CA256" i="1" l="1"/>
  <c r="CA254" i="1"/>
  <c r="CA252" i="1"/>
  <c r="CC197" i="1"/>
  <c r="CG197" i="1"/>
  <c r="CC218" i="1"/>
  <c r="CC168" i="1" s="1"/>
  <c r="CC169" i="1" s="1"/>
  <c r="CB217" i="1"/>
  <c r="CB218" i="1" s="1"/>
  <c r="CB219" i="1" s="1"/>
  <c r="CA219" i="1"/>
  <c r="CA176" i="1"/>
  <c r="CA173" i="1"/>
  <c r="CC254" i="1" l="1"/>
  <c r="CC256" i="1"/>
  <c r="CC252" i="1"/>
  <c r="CA117" i="1"/>
  <c r="CA118" i="1" s="1"/>
  <c r="CA121" i="1" s="1"/>
  <c r="CB45" i="1"/>
  <c r="CD217" i="1"/>
  <c r="CD218" i="1" s="1"/>
  <c r="CD219" i="1" s="1"/>
  <c r="CC219" i="1"/>
  <c r="CC173" i="1"/>
  <c r="CC176" i="1"/>
  <c r="CA174" i="1"/>
  <c r="CA119" i="1" l="1"/>
  <c r="CA122" i="1" s="1"/>
  <c r="CC117" i="1"/>
  <c r="CC118" i="1" s="1"/>
  <c r="CC121" i="1" s="1"/>
  <c r="CD45" i="1"/>
  <c r="CC174" i="1"/>
  <c r="CC119" i="1" l="1"/>
  <c r="CC122" i="1" s="1"/>
  <c r="CE97" i="1"/>
  <c r="CD97" i="1"/>
  <c r="CC97" i="1"/>
  <c r="CB97" i="1"/>
  <c r="CI153" i="1" l="1"/>
  <c r="CI161" i="1"/>
  <c r="CI164" i="1" s="1"/>
  <c r="CI152" i="1"/>
  <c r="CJ205" i="1" l="1"/>
  <c r="CI156" i="1"/>
  <c r="CI205" i="1"/>
  <c r="CJ204" i="1" l="1"/>
  <c r="CJ206" i="1" s="1"/>
  <c r="CJ207" i="1" s="1"/>
  <c r="CJ221" i="1" s="1"/>
  <c r="CI165" i="1"/>
  <c r="CI204" i="1"/>
  <c r="CI206" i="1" s="1"/>
  <c r="CI207" i="1" s="1"/>
  <c r="CI221" i="1" s="1"/>
  <c r="CI194" i="1" l="1"/>
  <c r="CI197" i="1" s="1"/>
  <c r="CI218" i="1"/>
  <c r="CI168" i="1" s="1"/>
  <c r="CI169" i="1" s="1"/>
  <c r="CI256" i="1" l="1"/>
  <c r="CI254" i="1"/>
  <c r="CI252" i="1"/>
  <c r="CI219" i="1"/>
  <c r="CJ217" i="1"/>
  <c r="CJ218" i="1" s="1"/>
  <c r="CI176" i="1"/>
  <c r="CI173" i="1"/>
  <c r="CI117" i="1" l="1"/>
  <c r="CI119" i="1" s="1"/>
  <c r="CI122" i="1" s="1"/>
  <c r="CJ45" i="1"/>
  <c r="CJ219" i="1"/>
  <c r="CI174" i="1"/>
  <c r="CI118" i="1" l="1"/>
  <c r="CI121" i="1" s="1"/>
  <c r="CJ176" i="1"/>
  <c r="CJ117" i="1" l="1"/>
  <c r="CK45" i="1"/>
  <c r="CJ118" i="1" l="1"/>
  <c r="CJ121" i="1" s="1"/>
  <c r="CJ119" i="1"/>
  <c r="CJ122" i="1" s="1"/>
  <c r="CK239" i="1" l="1"/>
  <c r="CK261" i="1"/>
  <c r="CK260" i="1"/>
  <c r="CN18" i="1"/>
  <c r="CN261" i="1"/>
  <c r="CM18" i="1"/>
  <c r="CM261" i="1"/>
  <c r="CN239" i="1"/>
  <c r="CM239" i="1"/>
  <c r="CM106" i="1"/>
  <c r="CM107" i="1" s="1"/>
  <c r="CM110" i="1" s="1"/>
  <c r="CN106" i="1"/>
  <c r="CN107" i="1" s="1"/>
  <c r="CN110" i="1" s="1"/>
  <c r="CP16" i="1"/>
  <c r="CM154" i="1" l="1"/>
  <c r="CQ16" i="1"/>
  <c r="CQ261" i="1" s="1"/>
  <c r="CO16" i="1"/>
  <c r="CO18" i="1" s="1"/>
  <c r="CN34" i="1"/>
  <c r="CN31" i="1" s="1"/>
  <c r="CR16" i="1"/>
  <c r="CR261" i="1" s="1"/>
  <c r="CN153" i="1"/>
  <c r="CN24" i="1"/>
  <c r="CN152" i="1"/>
  <c r="CN161" i="1"/>
  <c r="CM34" i="1"/>
  <c r="CM31" i="1" s="1"/>
  <c r="CM161" i="1"/>
  <c r="CN20" i="1"/>
  <c r="CN160" i="1"/>
  <c r="CN154" i="1"/>
  <c r="CM153" i="1"/>
  <c r="CM20" i="1"/>
  <c r="CM24" i="1"/>
  <c r="CM23" i="1" s="1"/>
  <c r="CM160" i="1"/>
  <c r="CM152" i="1"/>
  <c r="CK152" i="1"/>
  <c r="CK161" i="1"/>
  <c r="CK153" i="1"/>
  <c r="CM233" i="1"/>
  <c r="CK160" i="1"/>
  <c r="CK233" i="1"/>
  <c r="CK154" i="1"/>
  <c r="CN233" i="1"/>
  <c r="CO233" i="1" l="1"/>
  <c r="CS16" i="1"/>
  <c r="CM164" i="1"/>
  <c r="CK164" i="1"/>
  <c r="CN23" i="1"/>
  <c r="CN26" i="1"/>
  <c r="CN36" i="1"/>
  <c r="CN156" i="1"/>
  <c r="CM156" i="1"/>
  <c r="CN164" i="1"/>
  <c r="CR18" i="1"/>
  <c r="CV16" i="1" s="1"/>
  <c r="CM26" i="1"/>
  <c r="CR239" i="1"/>
  <c r="CQ18" i="1"/>
  <c r="CQ239" i="1"/>
  <c r="CM36" i="1"/>
  <c r="CR106" i="1"/>
  <c r="CR107" i="1" s="1"/>
  <c r="CR110" i="1" s="1"/>
  <c r="CP261" i="1"/>
  <c r="CN27" i="1"/>
  <c r="CO106" i="1"/>
  <c r="CO107" i="1" s="1"/>
  <c r="CO110" i="1" s="1"/>
  <c r="CO261" i="1"/>
  <c r="CO239" i="1"/>
  <c r="CK156" i="1"/>
  <c r="CM27" i="1"/>
  <c r="CP239" i="1"/>
  <c r="CP18" i="1"/>
  <c r="CT16" i="1" s="1"/>
  <c r="CQ106" i="1"/>
  <c r="CQ107" i="1" s="1"/>
  <c r="CQ110" i="1" s="1"/>
  <c r="AB16" i="1"/>
  <c r="AB261" i="1" s="1"/>
  <c r="CP106" i="1"/>
  <c r="CP107" i="1" s="1"/>
  <c r="CP110" i="1" s="1"/>
  <c r="CO152" i="1"/>
  <c r="CO24" i="1"/>
  <c r="CO160" i="1"/>
  <c r="CO161" i="1"/>
  <c r="CO34" i="1"/>
  <c r="CO31" i="1" s="1"/>
  <c r="CO153" i="1"/>
  <c r="CO154" i="1"/>
  <c r="CO20" i="1"/>
  <c r="CK205" i="1" l="1"/>
  <c r="CL205" i="1"/>
  <c r="CK204" i="1"/>
  <c r="CK206" i="1" s="1"/>
  <c r="CL204" i="1"/>
  <c r="CL206" i="1" s="1"/>
  <c r="CL207" i="1" s="1"/>
  <c r="CL221" i="1" s="1"/>
  <c r="CU16" i="1"/>
  <c r="CN258" i="1"/>
  <c r="CN259" i="1" s="1"/>
  <c r="CN205" i="1"/>
  <c r="CN37" i="1"/>
  <c r="CN240" i="1"/>
  <c r="CN241" i="1" s="1"/>
  <c r="CN38" i="1"/>
  <c r="CN42" i="1"/>
  <c r="CN165" i="1"/>
  <c r="CM165" i="1"/>
  <c r="CN204" i="1"/>
  <c r="CR160" i="1"/>
  <c r="CR24" i="1"/>
  <c r="CR152" i="1"/>
  <c r="CR153" i="1"/>
  <c r="CR20" i="1"/>
  <c r="CR154" i="1"/>
  <c r="CR34" i="1"/>
  <c r="CR31" i="1" s="1"/>
  <c r="CR161" i="1"/>
  <c r="CQ20" i="1"/>
  <c r="CQ34" i="1"/>
  <c r="CQ31" i="1" s="1"/>
  <c r="CQ154" i="1"/>
  <c r="CQ153" i="1"/>
  <c r="CQ160" i="1"/>
  <c r="CQ161" i="1"/>
  <c r="CQ152" i="1"/>
  <c r="CN39" i="1"/>
  <c r="CM38" i="1"/>
  <c r="CM240" i="1"/>
  <c r="CM241" i="1" s="1"/>
  <c r="CM37" i="1"/>
  <c r="CM42" i="1"/>
  <c r="CQ24" i="1"/>
  <c r="CK165" i="1"/>
  <c r="CK258" i="1"/>
  <c r="CK259" i="1" s="1"/>
  <c r="CS106" i="1"/>
  <c r="CS107" i="1" s="1"/>
  <c r="CS110" i="1" s="1"/>
  <c r="CS261" i="1"/>
  <c r="CM258" i="1"/>
  <c r="CM259" i="1" s="1"/>
  <c r="CK240" i="1"/>
  <c r="CK241" i="1" s="1"/>
  <c r="CK234" i="1"/>
  <c r="CN234" i="1"/>
  <c r="CR233" i="1"/>
  <c r="CP233" i="1"/>
  <c r="AB18" i="1"/>
  <c r="CO164" i="1"/>
  <c r="CS18" i="1"/>
  <c r="CS239" i="1"/>
  <c r="CO156" i="1"/>
  <c r="CM120" i="1"/>
  <c r="CN120" i="1"/>
  <c r="CM205" i="1"/>
  <c r="CP153" i="1"/>
  <c r="AB153" i="1" s="1"/>
  <c r="AB188" i="1" s="1"/>
  <c r="CP152" i="1"/>
  <c r="CP160" i="1"/>
  <c r="CP24" i="1"/>
  <c r="CP23" i="1" s="1"/>
  <c r="CP161" i="1"/>
  <c r="AB161" i="1" s="1"/>
  <c r="AB191" i="1" s="1"/>
  <c r="CP154" i="1"/>
  <c r="AB154" i="1" s="1"/>
  <c r="CP20" i="1"/>
  <c r="CP34" i="1"/>
  <c r="CP31" i="1" s="1"/>
  <c r="CT261" i="1"/>
  <c r="CO36" i="1"/>
  <c r="CO26" i="1"/>
  <c r="CO27" i="1"/>
  <c r="CM204" i="1"/>
  <c r="CQ233" i="1"/>
  <c r="CO23" i="1"/>
  <c r="CM234" i="1"/>
  <c r="CM39" i="1"/>
  <c r="CU261" i="1" l="1"/>
  <c r="CU239" i="1"/>
  <c r="CU18" i="1"/>
  <c r="CS233" i="1"/>
  <c r="CW16" i="1"/>
  <c r="CW261" i="1" s="1"/>
  <c r="CR156" i="1"/>
  <c r="CQ164" i="1"/>
  <c r="AB31" i="1"/>
  <c r="AB34" i="1" s="1"/>
  <c r="AB35" i="1" s="1"/>
  <c r="CN206" i="1"/>
  <c r="CR164" i="1"/>
  <c r="CR26" i="1"/>
  <c r="CR27" i="1"/>
  <c r="CR36" i="1"/>
  <c r="CR23" i="1"/>
  <c r="CV261" i="1"/>
  <c r="CV239" i="1"/>
  <c r="CV18" i="1"/>
  <c r="CZ16" i="1" s="1"/>
  <c r="CQ23" i="1"/>
  <c r="CQ26" i="1"/>
  <c r="CQ36" i="1"/>
  <c r="CQ156" i="1"/>
  <c r="CO120" i="1"/>
  <c r="CO258" i="1"/>
  <c r="CO259" i="1" s="1"/>
  <c r="AB106" i="1"/>
  <c r="AB196" i="1"/>
  <c r="CQ27" i="1"/>
  <c r="AB23" i="1"/>
  <c r="AB24" i="1" s="1"/>
  <c r="CM206" i="1"/>
  <c r="CO165" i="1"/>
  <c r="CO204" i="1"/>
  <c r="CO234" i="1"/>
  <c r="AC16" i="1"/>
  <c r="AC261" i="1" s="1"/>
  <c r="CV106" i="1"/>
  <c r="CV107" i="1" s="1"/>
  <c r="CV110" i="1" s="1"/>
  <c r="AB19" i="1"/>
  <c r="AB66" i="1"/>
  <c r="AB152" i="1"/>
  <c r="CP156" i="1"/>
  <c r="CS152" i="1"/>
  <c r="CS24" i="1"/>
  <c r="CS23" i="1" s="1"/>
  <c r="CS160" i="1"/>
  <c r="CS20" i="1"/>
  <c r="CS153" i="1"/>
  <c r="CS161" i="1"/>
  <c r="CS154" i="1"/>
  <c r="CS34" i="1"/>
  <c r="CS31" i="1" s="1"/>
  <c r="CT106" i="1"/>
  <c r="CT107" i="1" s="1"/>
  <c r="CT110" i="1" s="1"/>
  <c r="CO205" i="1"/>
  <c r="CO38" i="1"/>
  <c r="CO240" i="1"/>
  <c r="CO241" i="1" s="1"/>
  <c r="CO42" i="1"/>
  <c r="CO39" i="1"/>
  <c r="CO37" i="1"/>
  <c r="CP26" i="1"/>
  <c r="CP36" i="1"/>
  <c r="CP27" i="1"/>
  <c r="CT239" i="1"/>
  <c r="CT18" i="1"/>
  <c r="AB160" i="1"/>
  <c r="AB164" i="1" s="1"/>
  <c r="CP164" i="1"/>
  <c r="CU106" i="1"/>
  <c r="CU107" i="1" s="1"/>
  <c r="CU110" i="1" s="1"/>
  <c r="CY16" i="1" l="1"/>
  <c r="CU152" i="1"/>
  <c r="CU161" i="1"/>
  <c r="CU34" i="1"/>
  <c r="CU31" i="1" s="1"/>
  <c r="CU24" i="1"/>
  <c r="CU160" i="1"/>
  <c r="CU164" i="1" s="1"/>
  <c r="CU153" i="1"/>
  <c r="CU154" i="1"/>
  <c r="CU20" i="1"/>
  <c r="CX16" i="1"/>
  <c r="CQ205" i="1"/>
  <c r="CV152" i="1"/>
  <c r="CV24" i="1"/>
  <c r="CV26" i="1" s="1"/>
  <c r="CV160" i="1"/>
  <c r="CR205" i="1"/>
  <c r="CR165" i="1"/>
  <c r="CR240" i="1"/>
  <c r="CR241" i="1" s="1"/>
  <c r="CR37" i="1"/>
  <c r="CR42" i="1"/>
  <c r="CR38" i="1"/>
  <c r="CV154" i="1"/>
  <c r="CV153" i="1"/>
  <c r="CV34" i="1"/>
  <c r="CV31" i="1" s="1"/>
  <c r="CV20" i="1"/>
  <c r="CV161" i="1"/>
  <c r="CQ42" i="1"/>
  <c r="CQ37" i="1"/>
  <c r="CQ38" i="1"/>
  <c r="CR39" i="1"/>
  <c r="CR258" i="1"/>
  <c r="CR259" i="1" s="1"/>
  <c r="CQ240" i="1"/>
  <c r="CQ241" i="1" s="1"/>
  <c r="CR204" i="1"/>
  <c r="CQ165" i="1"/>
  <c r="AB26" i="1"/>
  <c r="CP120" i="1"/>
  <c r="CP258" i="1"/>
  <c r="CP259" i="1" s="1"/>
  <c r="CQ258" i="1"/>
  <c r="CQ259" i="1" s="1"/>
  <c r="CS164" i="1"/>
  <c r="CS205" i="1" s="1"/>
  <c r="CV233" i="1"/>
  <c r="CP205" i="1"/>
  <c r="CP240" i="1"/>
  <c r="CP241" i="1" s="1"/>
  <c r="CP38" i="1"/>
  <c r="CP39" i="1"/>
  <c r="CP37" i="1"/>
  <c r="CP42" i="1"/>
  <c r="CT233" i="1"/>
  <c r="CP234" i="1"/>
  <c r="CU233" i="1"/>
  <c r="CR234" i="1"/>
  <c r="CQ234" i="1"/>
  <c r="CS36" i="1"/>
  <c r="CS258" i="1" s="1"/>
  <c r="CS259" i="1" s="1"/>
  <c r="CS26" i="1"/>
  <c r="CS27" i="1"/>
  <c r="AC18" i="1"/>
  <c r="CO206" i="1"/>
  <c r="CW239" i="1"/>
  <c r="CW18" i="1"/>
  <c r="CQ120" i="1"/>
  <c r="CW106" i="1"/>
  <c r="CW107" i="1" s="1"/>
  <c r="CW110" i="1" s="1"/>
  <c r="CS156" i="1"/>
  <c r="CT152" i="1"/>
  <c r="CT161" i="1"/>
  <c r="AC161" i="1" s="1"/>
  <c r="AC191" i="1" s="1"/>
  <c r="CT24" i="1"/>
  <c r="CT23" i="1" s="1"/>
  <c r="AC23" i="1" s="1"/>
  <c r="CT153" i="1"/>
  <c r="AC153" i="1" s="1"/>
  <c r="AC188" i="1" s="1"/>
  <c r="CT160" i="1"/>
  <c r="CT34" i="1"/>
  <c r="CT31" i="1" s="1"/>
  <c r="CT20" i="1"/>
  <c r="CT154" i="1"/>
  <c r="AC154" i="1" s="1"/>
  <c r="AB67" i="1"/>
  <c r="AB25" i="1"/>
  <c r="AB36" i="1"/>
  <c r="AB258" i="1" s="1"/>
  <c r="AB259" i="1" s="1"/>
  <c r="CQ39" i="1"/>
  <c r="CQ204" i="1"/>
  <c r="CP165" i="1"/>
  <c r="CP204" i="1"/>
  <c r="AB193" i="1"/>
  <c r="AB192" i="1" s="1"/>
  <c r="AB205" i="1"/>
  <c r="CR120" i="1"/>
  <c r="AB156" i="1"/>
  <c r="AB187" i="1"/>
  <c r="CU36" i="1" l="1"/>
  <c r="CU240" i="1" s="1"/>
  <c r="CU241" i="1" s="1"/>
  <c r="CU156" i="1"/>
  <c r="CU165" i="1" s="1"/>
  <c r="CY261" i="1"/>
  <c r="CY18" i="1"/>
  <c r="CY161" i="1" s="1"/>
  <c r="CY239" i="1"/>
  <c r="CU23" i="1"/>
  <c r="CU26" i="1"/>
  <c r="CW233" i="1"/>
  <c r="DA16" i="1"/>
  <c r="DA261" i="1" s="1"/>
  <c r="CQ206" i="1"/>
  <c r="AC31" i="1"/>
  <c r="AC34" i="1" s="1"/>
  <c r="AC35" i="1" s="1"/>
  <c r="CV156" i="1"/>
  <c r="CV23" i="1"/>
  <c r="CV27" i="1"/>
  <c r="CV164" i="1"/>
  <c r="CV36" i="1"/>
  <c r="CZ261" i="1"/>
  <c r="CZ239" i="1"/>
  <c r="CZ18" i="1"/>
  <c r="CZ161" i="1" s="1"/>
  <c r="CR206" i="1"/>
  <c r="CX106" i="1"/>
  <c r="CX107" i="1" s="1"/>
  <c r="CX110" i="1" s="1"/>
  <c r="CX261" i="1"/>
  <c r="CP206" i="1"/>
  <c r="AC106" i="1"/>
  <c r="AC196" i="1"/>
  <c r="AB38" i="1"/>
  <c r="CT156" i="1"/>
  <c r="CT204" i="1" s="1"/>
  <c r="AC152" i="1"/>
  <c r="CS165" i="1"/>
  <c r="CS204" i="1"/>
  <c r="CS206" i="1" s="1"/>
  <c r="CU37" i="1"/>
  <c r="CU38" i="1"/>
  <c r="CY106" i="1"/>
  <c r="CY107" i="1" s="1"/>
  <c r="CY110" i="1" s="1"/>
  <c r="CS39" i="1"/>
  <c r="CS37" i="1"/>
  <c r="CS42" i="1"/>
  <c r="CS240" i="1"/>
  <c r="CS241" i="1" s="1"/>
  <c r="CS38" i="1"/>
  <c r="AB165" i="1"/>
  <c r="AB190" i="1"/>
  <c r="AB204" i="1"/>
  <c r="AB206" i="1" s="1"/>
  <c r="AB68" i="1"/>
  <c r="AB42" i="1"/>
  <c r="AB120" i="1"/>
  <c r="AB37" i="1"/>
  <c r="CW24" i="1"/>
  <c r="CW23" i="1" s="1"/>
  <c r="CW160" i="1"/>
  <c r="CW152" i="1"/>
  <c r="CW20" i="1"/>
  <c r="CW154" i="1"/>
  <c r="CW153" i="1"/>
  <c r="CW161" i="1"/>
  <c r="CW34" i="1"/>
  <c r="CW31" i="1" s="1"/>
  <c r="CT164" i="1"/>
  <c r="AC160" i="1"/>
  <c r="AC164" i="1" s="1"/>
  <c r="CS120" i="1"/>
  <c r="CK253" i="1"/>
  <c r="CK235" i="1"/>
  <c r="CK242" i="1"/>
  <c r="CS234" i="1"/>
  <c r="CT27" i="1"/>
  <c r="CT26" i="1"/>
  <c r="CT36" i="1"/>
  <c r="AC19" i="1"/>
  <c r="AC24" i="1"/>
  <c r="AC66" i="1"/>
  <c r="CX239" i="1"/>
  <c r="CX18" i="1"/>
  <c r="DB16" i="1" s="1"/>
  <c r="CZ106" i="1"/>
  <c r="CZ107" i="1" s="1"/>
  <c r="CZ110" i="1" s="1"/>
  <c r="CU27" i="1"/>
  <c r="AD16" i="1"/>
  <c r="AD261" i="1" s="1"/>
  <c r="CU42" i="1" l="1"/>
  <c r="CY153" i="1"/>
  <c r="CY24" i="1"/>
  <c r="CY23" i="1" s="1"/>
  <c r="CY34" i="1"/>
  <c r="CY31" i="1" s="1"/>
  <c r="CY152" i="1"/>
  <c r="CV204" i="1"/>
  <c r="CY160" i="1"/>
  <c r="CY154" i="1"/>
  <c r="CZ233" i="1"/>
  <c r="CV258" i="1"/>
  <c r="CV259" i="1" s="1"/>
  <c r="CV42" i="1"/>
  <c r="CV240" i="1"/>
  <c r="CV241" i="1" s="1"/>
  <c r="CV37" i="1"/>
  <c r="CV39" i="1"/>
  <c r="CV38" i="1"/>
  <c r="CZ34" i="1"/>
  <c r="CZ31" i="1" s="1"/>
  <c r="CZ152" i="1"/>
  <c r="CZ20" i="1"/>
  <c r="CZ160" i="1"/>
  <c r="CZ164" i="1" s="1"/>
  <c r="CZ154" i="1"/>
  <c r="CZ153" i="1"/>
  <c r="CZ24" i="1"/>
  <c r="CV165" i="1"/>
  <c r="CV205" i="1"/>
  <c r="AC26" i="1"/>
  <c r="CU120" i="1"/>
  <c r="CT258" i="1"/>
  <c r="CT259" i="1" s="1"/>
  <c r="CU258" i="1"/>
  <c r="CU259" i="1" s="1"/>
  <c r="CW164" i="1"/>
  <c r="CW205" i="1" s="1"/>
  <c r="CX233" i="1"/>
  <c r="CY233" i="1"/>
  <c r="CY20" i="1"/>
  <c r="CU205" i="1"/>
  <c r="CT205" i="1"/>
  <c r="CT206" i="1" s="1"/>
  <c r="CK201" i="1"/>
  <c r="CK203" i="1" s="1"/>
  <c r="CK207" i="1" s="1"/>
  <c r="CK221" i="1" s="1"/>
  <c r="CK127" i="1"/>
  <c r="CV234" i="1"/>
  <c r="AC36" i="1"/>
  <c r="AC258" i="1" s="1"/>
  <c r="AC259" i="1" s="1"/>
  <c r="AC67" i="1"/>
  <c r="AC25" i="1"/>
  <c r="CW156" i="1"/>
  <c r="CT234" i="1"/>
  <c r="AC187" i="1"/>
  <c r="AC156" i="1"/>
  <c r="DA239" i="1"/>
  <c r="DA18" i="1"/>
  <c r="DA233" i="1" s="1"/>
  <c r="CT165" i="1"/>
  <c r="CU204" i="1"/>
  <c r="CY156" i="1"/>
  <c r="CY164" i="1"/>
  <c r="CX152" i="1"/>
  <c r="CX153" i="1"/>
  <c r="AD153" i="1" s="1"/>
  <c r="AD188" i="1" s="1"/>
  <c r="CX24" i="1"/>
  <c r="CX161" i="1"/>
  <c r="AD161" i="1" s="1"/>
  <c r="AD191" i="1" s="1"/>
  <c r="CX160" i="1"/>
  <c r="CX20" i="1"/>
  <c r="CX34" i="1"/>
  <c r="CX31" i="1" s="1"/>
  <c r="CX154" i="1"/>
  <c r="AD154" i="1" s="1"/>
  <c r="CT42" i="1"/>
  <c r="CT38" i="1"/>
  <c r="CT37" i="1"/>
  <c r="CT240" i="1"/>
  <c r="CT241" i="1" s="1"/>
  <c r="CT39" i="1"/>
  <c r="CW27" i="1"/>
  <c r="CW26" i="1"/>
  <c r="CW36" i="1"/>
  <c r="CU234" i="1"/>
  <c r="CU39" i="1"/>
  <c r="AD18" i="1"/>
  <c r="DA106" i="1"/>
  <c r="DA107" i="1" s="1"/>
  <c r="DA110" i="1" s="1"/>
  <c r="AC193" i="1"/>
  <c r="AC192" i="1" s="1"/>
  <c r="AC205" i="1"/>
  <c r="AB189" i="1"/>
  <c r="AB194" i="1"/>
  <c r="AB197" i="1" s="1"/>
  <c r="AB198" i="1" s="1"/>
  <c r="CT120" i="1"/>
  <c r="CV120" i="1"/>
  <c r="CY27" i="1" l="1"/>
  <c r="CY26" i="1"/>
  <c r="CY36" i="1"/>
  <c r="CV206" i="1"/>
  <c r="AD31" i="1"/>
  <c r="AD34" i="1" s="1"/>
  <c r="AD35" i="1" s="1"/>
  <c r="CZ156" i="1"/>
  <c r="CZ23" i="1"/>
  <c r="CZ26" i="1"/>
  <c r="CZ36" i="1"/>
  <c r="CZ27" i="1"/>
  <c r="CZ205" i="1"/>
  <c r="CW234" i="1"/>
  <c r="CW258" i="1"/>
  <c r="CW259" i="1" s="1"/>
  <c r="DB106" i="1"/>
  <c r="DB107" i="1" s="1"/>
  <c r="DB110" i="1" s="1"/>
  <c r="DB261" i="1"/>
  <c r="AD106" i="1"/>
  <c r="AD196" i="1"/>
  <c r="CU206" i="1"/>
  <c r="AC38" i="1"/>
  <c r="AD160" i="1"/>
  <c r="AD164" i="1" s="1"/>
  <c r="CX164" i="1"/>
  <c r="CY42" i="1"/>
  <c r="CY38" i="1"/>
  <c r="CY37" i="1"/>
  <c r="CY240" i="1"/>
  <c r="CY241" i="1" s="1"/>
  <c r="CY165" i="1"/>
  <c r="DA160" i="1"/>
  <c r="DA161" i="1"/>
  <c r="DA153" i="1"/>
  <c r="DA24" i="1"/>
  <c r="DA152" i="1"/>
  <c r="DA34" i="1"/>
  <c r="DA31" i="1" s="1"/>
  <c r="DA20" i="1"/>
  <c r="DA154" i="1"/>
  <c r="CK128" i="1"/>
  <c r="CL215" i="1" s="1"/>
  <c r="CL213" i="1" s="1"/>
  <c r="CX27" i="1"/>
  <c r="CX36" i="1"/>
  <c r="CY258" i="1" s="1"/>
  <c r="CY259" i="1" s="1"/>
  <c r="CX26" i="1"/>
  <c r="AC190" i="1"/>
  <c r="AC165" i="1"/>
  <c r="AC204" i="1"/>
  <c r="AC206" i="1" s="1"/>
  <c r="AC42" i="1"/>
  <c r="AC68" i="1"/>
  <c r="AC37" i="1"/>
  <c r="AC120" i="1"/>
  <c r="DB18" i="1"/>
  <c r="DB233" i="1" s="1"/>
  <c r="DB239" i="1"/>
  <c r="CW165" i="1"/>
  <c r="CW204" i="1"/>
  <c r="CW206" i="1" s="1"/>
  <c r="AD152" i="1"/>
  <c r="CX156" i="1"/>
  <c r="AD66" i="1"/>
  <c r="AD19" i="1"/>
  <c r="CW42" i="1"/>
  <c r="CW38" i="1"/>
  <c r="CW240" i="1"/>
  <c r="CW241" i="1" s="1"/>
  <c r="CW39" i="1"/>
  <c r="CW37" i="1"/>
  <c r="CW120" i="1"/>
  <c r="CX23" i="1"/>
  <c r="AD23" i="1" s="1"/>
  <c r="AD24" i="1" s="1"/>
  <c r="AE16" i="1"/>
  <c r="AE261" i="1" s="1"/>
  <c r="CK62" i="1" l="1"/>
  <c r="CK100" i="1"/>
  <c r="CZ204" i="1"/>
  <c r="CZ206" i="1" s="1"/>
  <c r="CZ165" i="1"/>
  <c r="CZ258" i="1"/>
  <c r="CZ259" i="1" s="1"/>
  <c r="CZ37" i="1"/>
  <c r="CZ240" i="1"/>
  <c r="CZ241" i="1" s="1"/>
  <c r="CZ39" i="1"/>
  <c r="CZ42" i="1"/>
  <c r="CZ38" i="1"/>
  <c r="AD26" i="1"/>
  <c r="CZ120" i="1"/>
  <c r="CX258" i="1"/>
  <c r="CX259" i="1" s="1"/>
  <c r="CY234" i="1"/>
  <c r="CY39" i="1"/>
  <c r="CZ234" i="1"/>
  <c r="CX234" i="1"/>
  <c r="CY120" i="1"/>
  <c r="CX120" i="1"/>
  <c r="DA156" i="1"/>
  <c r="DA204" i="1" s="1"/>
  <c r="AD25" i="1"/>
  <c r="AD67" i="1"/>
  <c r="AD36" i="1"/>
  <c r="AD258" i="1" s="1"/>
  <c r="AD259" i="1" s="1"/>
  <c r="CY204" i="1"/>
  <c r="CX165" i="1"/>
  <c r="CY205" i="1"/>
  <c r="CX205" i="1"/>
  <c r="AD193" i="1"/>
  <c r="AD192" i="1" s="1"/>
  <c r="AD205" i="1"/>
  <c r="CG97" i="1"/>
  <c r="DA27" i="1"/>
  <c r="DA26" i="1"/>
  <c r="DA36" i="1"/>
  <c r="DA258" i="1" s="1"/>
  <c r="DA259" i="1" s="1"/>
  <c r="CX204" i="1"/>
  <c r="CX42" i="1"/>
  <c r="CX38" i="1"/>
  <c r="CX37" i="1"/>
  <c r="CX240" i="1"/>
  <c r="CX241" i="1" s="1"/>
  <c r="CX39" i="1"/>
  <c r="AD187" i="1"/>
  <c r="AD156" i="1"/>
  <c r="CK215" i="1"/>
  <c r="CK213" i="1" s="1"/>
  <c r="CK218" i="1" s="1"/>
  <c r="CK137" i="1"/>
  <c r="CK63" i="1" s="1"/>
  <c r="AC189" i="1"/>
  <c r="AC194" i="1"/>
  <c r="AC197" i="1" s="1"/>
  <c r="AC198" i="1" s="1"/>
  <c r="DA23" i="1"/>
  <c r="DB153" i="1"/>
  <c r="AE153" i="1" s="1"/>
  <c r="AE188" i="1" s="1"/>
  <c r="DB24" i="1"/>
  <c r="DB23" i="1" s="1"/>
  <c r="DB152" i="1"/>
  <c r="DB34" i="1"/>
  <c r="DB31" i="1" s="1"/>
  <c r="DB161" i="1"/>
  <c r="AE161" i="1" s="1"/>
  <c r="AE191" i="1" s="1"/>
  <c r="DB20" i="1"/>
  <c r="DB154" i="1"/>
  <c r="AE154" i="1" s="1"/>
  <c r="DB160" i="1"/>
  <c r="AE18" i="1"/>
  <c r="DA164" i="1"/>
  <c r="CK102" i="1" l="1"/>
  <c r="CK104" i="1"/>
  <c r="CK103" i="1"/>
  <c r="AE31" i="1"/>
  <c r="AE34" i="1" s="1"/>
  <c r="AE35" i="1" s="1"/>
  <c r="AE106" i="1"/>
  <c r="AE196" i="1"/>
  <c r="AD38" i="1"/>
  <c r="DA165" i="1"/>
  <c r="CK168" i="1"/>
  <c r="CK169" i="1" s="1"/>
  <c r="CL217" i="1" s="1"/>
  <c r="CL218" i="1" s="1"/>
  <c r="CL219" i="1" s="1"/>
  <c r="DB27" i="1"/>
  <c r="DB36" i="1"/>
  <c r="DB258" i="1" s="1"/>
  <c r="DB259" i="1" s="1"/>
  <c r="DB26" i="1"/>
  <c r="CX206" i="1"/>
  <c r="CY206" i="1"/>
  <c r="AD165" i="1"/>
  <c r="AD190" i="1"/>
  <c r="AD204" i="1"/>
  <c r="AD206" i="1" s="1"/>
  <c r="DB156" i="1"/>
  <c r="AE152" i="1"/>
  <c r="DA42" i="1"/>
  <c r="DA37" i="1"/>
  <c r="DA38" i="1"/>
  <c r="DA39" i="1"/>
  <c r="DA240" i="1"/>
  <c r="DA241" i="1" s="1"/>
  <c r="AD42" i="1"/>
  <c r="AD37" i="1"/>
  <c r="AD120" i="1"/>
  <c r="AD68" i="1"/>
  <c r="AE19" i="1"/>
  <c r="AE66" i="1"/>
  <c r="AE23" i="1"/>
  <c r="AE24" i="1" s="1"/>
  <c r="AE26" i="1" s="1"/>
  <c r="DA120" i="1"/>
  <c r="DA234" i="1"/>
  <c r="AE160" i="1"/>
  <c r="AE164" i="1" s="1"/>
  <c r="DB164" i="1"/>
  <c r="DB205" i="1" s="1"/>
  <c r="DA205" i="1"/>
  <c r="DA206" i="1" s="1"/>
  <c r="CK219" i="1" l="1"/>
  <c r="CK256" i="1"/>
  <c r="CK252" i="1"/>
  <c r="CK254" i="1"/>
  <c r="AE36" i="1"/>
  <c r="AE25" i="1"/>
  <c r="AE67" i="1"/>
  <c r="DB42" i="1"/>
  <c r="DB39" i="1"/>
  <c r="DB240" i="1"/>
  <c r="DB241" i="1" s="1"/>
  <c r="DB37" i="1"/>
  <c r="DB38" i="1"/>
  <c r="DB120" i="1"/>
  <c r="AD194" i="1"/>
  <c r="AD197" i="1" s="1"/>
  <c r="AD198" i="1" s="1"/>
  <c r="AD189" i="1"/>
  <c r="AE156" i="1"/>
  <c r="AE187" i="1"/>
  <c r="CK173" i="1"/>
  <c r="CK176" i="1"/>
  <c r="DB165" i="1"/>
  <c r="DB204" i="1"/>
  <c r="DB206" i="1" s="1"/>
  <c r="AE193" i="1"/>
  <c r="AE192" i="1" s="1"/>
  <c r="AE205" i="1"/>
  <c r="DB234" i="1"/>
  <c r="CK117" i="1" l="1"/>
  <c r="CL45" i="1"/>
  <c r="CM45" i="1" s="1"/>
  <c r="CO45" i="1" s="1"/>
  <c r="CP45" i="1" s="1"/>
  <c r="CQ45" i="1" s="1"/>
  <c r="CS45" i="1" s="1"/>
  <c r="CT45" i="1" s="1"/>
  <c r="CU45" i="1" s="1"/>
  <c r="CV45" i="1" s="1"/>
  <c r="CX45" i="1" s="1"/>
  <c r="CY45" i="1" s="1"/>
  <c r="AE38" i="1"/>
  <c r="AE258" i="1"/>
  <c r="AE259" i="1" s="1"/>
  <c r="CK174" i="1"/>
  <c r="AE165" i="1"/>
  <c r="AE190" i="1"/>
  <c r="AE204" i="1"/>
  <c r="AE206" i="1" s="1"/>
  <c r="AE42" i="1"/>
  <c r="AE37" i="1"/>
  <c r="AE68" i="1"/>
  <c r="AE120" i="1"/>
  <c r="CK118" i="1" l="1"/>
  <c r="CK121" i="1" s="1"/>
  <c r="CK119" i="1"/>
  <c r="CK122" i="1" s="1"/>
  <c r="AE194" i="1"/>
  <c r="AE197" i="1" s="1"/>
  <c r="AE198" i="1" s="1"/>
  <c r="AE189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H97" i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CM217" i="1" l="1"/>
  <c r="AB217" i="1"/>
  <c r="CM44" i="1" l="1"/>
  <c r="CM260" i="1" s="1"/>
  <c r="CM46" i="1" l="1"/>
  <c r="CM47" i="1" l="1"/>
  <c r="CM49" i="1" l="1"/>
  <c r="CM51" i="1" l="1"/>
  <c r="CM52" i="1"/>
  <c r="CM242" i="1"/>
  <c r="CM56" i="1"/>
  <c r="CM50" i="1"/>
  <c r="CM253" i="1" s="1"/>
  <c r="CM235" i="1"/>
  <c r="CM201" i="1" l="1"/>
  <c r="CM203" i="1" s="1"/>
  <c r="CM207" i="1" s="1"/>
  <c r="CM221" i="1" s="1"/>
  <c r="CM74" i="1"/>
  <c r="CM127" i="1"/>
  <c r="CM128" i="1" l="1"/>
  <c r="CM77" i="1"/>
  <c r="CM78" i="1" l="1"/>
  <c r="CM86" i="1"/>
  <c r="CI97" i="1"/>
  <c r="CM93" i="1"/>
  <c r="CM87" i="1"/>
  <c r="CM137" i="1"/>
  <c r="CM63" i="1" s="1"/>
  <c r="CM100" i="1"/>
  <c r="CM102" i="1" s="1"/>
  <c r="CM215" i="1"/>
  <c r="CM213" i="1" s="1"/>
  <c r="CM218" i="1" s="1"/>
  <c r="CM62" i="1"/>
  <c r="CM168" i="1" l="1"/>
  <c r="CM169" i="1" s="1"/>
  <c r="CM90" i="1"/>
  <c r="CM116" i="1"/>
  <c r="CM89" i="1"/>
  <c r="CM115" i="1"/>
  <c r="CM219" i="1" l="1"/>
  <c r="CM256" i="1"/>
  <c r="CM254" i="1"/>
  <c r="CM252" i="1"/>
  <c r="CN217" i="1"/>
  <c r="CM173" i="1"/>
  <c r="CM176" i="1"/>
  <c r="CM174" i="1" l="1"/>
  <c r="CN44" i="1"/>
  <c r="CN260" i="1" s="1"/>
  <c r="CM117" i="1"/>
  <c r="CM118" i="1" l="1"/>
  <c r="CM121" i="1" s="1"/>
  <c r="CM119" i="1"/>
  <c r="CM122" i="1" s="1"/>
  <c r="CN46" i="1"/>
  <c r="CN47" i="1" l="1"/>
  <c r="CN49" i="1" s="1"/>
  <c r="CN51" i="1" l="1"/>
  <c r="CN52" i="1"/>
  <c r="CN56" i="1"/>
  <c r="CN242" i="1"/>
  <c r="CN50" i="1"/>
  <c r="CN253" i="1" s="1"/>
  <c r="CN235" i="1"/>
  <c r="CN74" i="1" l="1"/>
  <c r="CN201" i="1"/>
  <c r="CN203" i="1" s="1"/>
  <c r="CN207" i="1" s="1"/>
  <c r="CN221" i="1" s="1"/>
  <c r="CN127" i="1"/>
  <c r="CN77" i="1" l="1"/>
  <c r="CN128" i="1"/>
  <c r="CN78" i="1" l="1"/>
  <c r="CN137" i="1"/>
  <c r="CN63" i="1" s="1"/>
  <c r="CN215" i="1"/>
  <c r="CN213" i="1" s="1"/>
  <c r="CN218" i="1" s="1"/>
  <c r="CN100" i="1"/>
  <c r="CN102" i="1" s="1"/>
  <c r="CN62" i="1"/>
  <c r="CN93" i="1"/>
  <c r="CN86" i="1"/>
  <c r="CN87" i="1"/>
  <c r="CJ97" i="1"/>
  <c r="CN89" i="1" l="1"/>
  <c r="CN115" i="1"/>
  <c r="CN168" i="1"/>
  <c r="CN169" i="1" s="1"/>
  <c r="CN116" i="1"/>
  <c r="CN90" i="1"/>
  <c r="CN219" i="1" l="1"/>
  <c r="CN256" i="1"/>
  <c r="CN254" i="1"/>
  <c r="CN252" i="1"/>
  <c r="CN173" i="1"/>
  <c r="CN176" i="1"/>
  <c r="CO217" i="1"/>
  <c r="CN174" i="1" l="1"/>
  <c r="CO44" i="1"/>
  <c r="CO260" i="1" s="1"/>
  <c r="CN117" i="1"/>
  <c r="CO46" i="1" l="1"/>
  <c r="CN119" i="1"/>
  <c r="CN122" i="1" s="1"/>
  <c r="CN118" i="1"/>
  <c r="CN121" i="1" s="1"/>
  <c r="CO47" i="1" l="1"/>
  <c r="CO49" i="1" l="1"/>
  <c r="CO50" i="1" l="1"/>
  <c r="CO253" i="1" s="1"/>
  <c r="CO52" i="1"/>
  <c r="CO51" i="1"/>
  <c r="CO242" i="1"/>
  <c r="CO56" i="1"/>
  <c r="CO235" i="1"/>
  <c r="CO74" i="1" l="1"/>
  <c r="CO201" i="1"/>
  <c r="CO203" i="1" s="1"/>
  <c r="CO207" i="1" s="1"/>
  <c r="CO221" i="1" s="1"/>
  <c r="CO127" i="1"/>
  <c r="CO128" i="1" l="1"/>
  <c r="CO77" i="1"/>
  <c r="CK97" i="1" s="1"/>
  <c r="CO78" i="1" l="1"/>
  <c r="CO87" i="1"/>
  <c r="CO93" i="1"/>
  <c r="CO86" i="1"/>
  <c r="CO100" i="1"/>
  <c r="CO102" i="1" s="1"/>
  <c r="CO215" i="1"/>
  <c r="CO213" i="1" s="1"/>
  <c r="CO218" i="1" s="1"/>
  <c r="CO137" i="1"/>
  <c r="CO63" i="1" s="1"/>
  <c r="CO62" i="1"/>
  <c r="CO168" i="1" l="1"/>
  <c r="CO169" i="1" s="1"/>
  <c r="CO89" i="1"/>
  <c r="CO115" i="1"/>
  <c r="CO116" i="1"/>
  <c r="CO90" i="1"/>
  <c r="CO219" i="1" l="1"/>
  <c r="CO254" i="1"/>
  <c r="CO252" i="1"/>
  <c r="CO256" i="1"/>
  <c r="CO173" i="1"/>
  <c r="CO176" i="1"/>
  <c r="CP217" i="1"/>
  <c r="CP44" i="1" l="1"/>
  <c r="CP260" i="1" s="1"/>
  <c r="CO117" i="1"/>
  <c r="CO174" i="1"/>
  <c r="CO119" i="1" l="1"/>
  <c r="CO122" i="1" s="1"/>
  <c r="CO118" i="1"/>
  <c r="CO121" i="1" s="1"/>
  <c r="CP46" i="1"/>
  <c r="AB44" i="1"/>
  <c r="AB45" i="1" l="1"/>
  <c r="AB260" i="1"/>
  <c r="AB46" i="1"/>
  <c r="CP47" i="1"/>
  <c r="AB47" i="1" s="1"/>
  <c r="AB48" i="1" l="1"/>
  <c r="CP49" i="1"/>
  <c r="CP50" i="1" s="1"/>
  <c r="CP253" i="1" s="1"/>
  <c r="AB49" i="1"/>
  <c r="CP51" i="1" l="1"/>
  <c r="CP235" i="1"/>
  <c r="CP242" i="1"/>
  <c r="CP56" i="1"/>
  <c r="CP127" i="1" s="1"/>
  <c r="CP52" i="1"/>
  <c r="AB51" i="1"/>
  <c r="AB56" i="1"/>
  <c r="AB50" i="1"/>
  <c r="AB253" i="1" s="1"/>
  <c r="AB69" i="1"/>
  <c r="CP201" i="1" l="1"/>
  <c r="CP203" i="1" s="1"/>
  <c r="CP207" i="1" s="1"/>
  <c r="CP221" i="1" s="1"/>
  <c r="CP74" i="1"/>
  <c r="CP77" i="1" s="1"/>
  <c r="CL97" i="1" s="1"/>
  <c r="AB127" i="1"/>
  <c r="AB128" i="1" s="1"/>
  <c r="AB62" i="1" s="1"/>
  <c r="CP128" i="1"/>
  <c r="AB59" i="1"/>
  <c r="AB60" i="1" s="1"/>
  <c r="AB201" i="1"/>
  <c r="AB203" i="1" s="1"/>
  <c r="AB207" i="1" s="1"/>
  <c r="AB221" i="1" s="1"/>
  <c r="CP78" i="1" l="1"/>
  <c r="AB137" i="1"/>
  <c r="AB63" i="1" s="1"/>
  <c r="AB183" i="1"/>
  <c r="AB215" i="1"/>
  <c r="AB213" i="1" s="1"/>
  <c r="AB218" i="1" s="1"/>
  <c r="CP86" i="1"/>
  <c r="CP93" i="1"/>
  <c r="CP87" i="1"/>
  <c r="CP215" i="1"/>
  <c r="CP213" i="1" s="1"/>
  <c r="CP218" i="1" s="1"/>
  <c r="CP137" i="1"/>
  <c r="CP63" i="1" s="1"/>
  <c r="CP100" i="1"/>
  <c r="CP102" i="1" s="1"/>
  <c r="CP62" i="1"/>
  <c r="CP168" i="1" l="1"/>
  <c r="CP89" i="1"/>
  <c r="CP115" i="1"/>
  <c r="AB86" i="1"/>
  <c r="CP116" i="1"/>
  <c r="CP90" i="1"/>
  <c r="AB87" i="1"/>
  <c r="AB90" i="1" l="1"/>
  <c r="CP169" i="1"/>
  <c r="AB168" i="1"/>
  <c r="AB169" i="1" s="1"/>
  <c r="AB89" i="1"/>
  <c r="AB256" i="1" l="1"/>
  <c r="AB254" i="1"/>
  <c r="AB252" i="1"/>
  <c r="CP254" i="1"/>
  <c r="CP252" i="1"/>
  <c r="CP256" i="1"/>
  <c r="CP173" i="1"/>
  <c r="CQ217" i="1"/>
  <c r="CP176" i="1"/>
  <c r="CP219" i="1"/>
  <c r="AB176" i="1"/>
  <c r="AB117" i="1" s="1"/>
  <c r="AB173" i="1"/>
  <c r="AC217" i="1"/>
  <c r="AB219" i="1"/>
  <c r="AB174" i="1" l="1"/>
  <c r="CP117" i="1"/>
  <c r="CQ44" i="1"/>
  <c r="CQ260" i="1" s="1"/>
  <c r="CP174" i="1"/>
  <c r="CQ46" i="1" l="1"/>
  <c r="CP118" i="1"/>
  <c r="CP121" i="1" s="1"/>
  <c r="CP119" i="1"/>
  <c r="CP122" i="1" s="1"/>
  <c r="CQ47" i="1" l="1"/>
  <c r="CQ49" i="1" s="1"/>
  <c r="CQ56" i="1" l="1"/>
  <c r="CQ50" i="1"/>
  <c r="CQ253" i="1" s="1"/>
  <c r="CQ51" i="1"/>
  <c r="CQ52" i="1"/>
  <c r="CQ242" i="1"/>
  <c r="CQ235" i="1"/>
  <c r="CQ74" i="1" l="1"/>
  <c r="CQ201" i="1"/>
  <c r="CQ203" i="1" s="1"/>
  <c r="CQ207" i="1" s="1"/>
  <c r="CQ221" i="1" s="1"/>
  <c r="CQ127" i="1"/>
  <c r="CQ128" i="1" l="1"/>
  <c r="CQ77" i="1"/>
  <c r="CQ78" i="1" l="1"/>
  <c r="CQ87" i="1"/>
  <c r="CQ86" i="1"/>
  <c r="CQ93" i="1"/>
  <c r="CQ137" i="1"/>
  <c r="CQ63" i="1" s="1"/>
  <c r="CQ215" i="1"/>
  <c r="CQ213" i="1" s="1"/>
  <c r="CQ218" i="1" s="1"/>
  <c r="CQ100" i="1"/>
  <c r="CQ102" i="1" s="1"/>
  <c r="CQ62" i="1"/>
  <c r="CQ168" i="1" l="1"/>
  <c r="CQ169" i="1" s="1"/>
  <c r="CQ219" i="1" s="1"/>
  <c r="CQ115" i="1"/>
  <c r="CQ89" i="1"/>
  <c r="CQ116" i="1"/>
  <c r="CQ90" i="1"/>
  <c r="CQ256" i="1" l="1"/>
  <c r="CQ254" i="1"/>
  <c r="CQ252" i="1"/>
  <c r="CQ176" i="1"/>
  <c r="CR217" i="1"/>
  <c r="CQ173" i="1"/>
  <c r="CQ174" i="1" l="1"/>
  <c r="CQ117" i="1"/>
  <c r="CR44" i="1"/>
  <c r="CR260" i="1" s="1"/>
  <c r="CR46" i="1" l="1"/>
  <c r="CQ118" i="1"/>
  <c r="CQ121" i="1" s="1"/>
  <c r="CQ119" i="1"/>
  <c r="CQ122" i="1" s="1"/>
  <c r="CR47" i="1" l="1"/>
  <c r="CR49" i="1" s="1"/>
  <c r="CR242" i="1" l="1"/>
  <c r="CR50" i="1"/>
  <c r="CR253" i="1" s="1"/>
  <c r="CR56" i="1"/>
  <c r="CR51" i="1"/>
  <c r="CR52" i="1"/>
  <c r="CR235" i="1"/>
  <c r="CR74" i="1" l="1"/>
  <c r="CR201" i="1"/>
  <c r="CR203" i="1" s="1"/>
  <c r="CR207" i="1" s="1"/>
  <c r="CR221" i="1" s="1"/>
  <c r="CR127" i="1"/>
  <c r="CR128" i="1" l="1"/>
  <c r="CR77" i="1"/>
  <c r="CR78" i="1" l="1"/>
  <c r="CR93" i="1"/>
  <c r="CR86" i="1"/>
  <c r="CR87" i="1"/>
  <c r="CR137" i="1"/>
  <c r="CR63" i="1" s="1"/>
  <c r="CR215" i="1"/>
  <c r="CR213" i="1" s="1"/>
  <c r="CR218" i="1" s="1"/>
  <c r="CR100" i="1"/>
  <c r="CR102" i="1" s="1"/>
  <c r="CR62" i="1"/>
  <c r="CR168" i="1" l="1"/>
  <c r="CR169" i="1" s="1"/>
  <c r="CR116" i="1"/>
  <c r="CR90" i="1"/>
  <c r="CR115" i="1"/>
  <c r="CR89" i="1"/>
  <c r="CR256" i="1" l="1"/>
  <c r="CR254" i="1"/>
  <c r="CR252" i="1"/>
  <c r="CS217" i="1"/>
  <c r="CR176" i="1"/>
  <c r="CR173" i="1"/>
  <c r="CR219" i="1"/>
  <c r="CR174" i="1" l="1"/>
  <c r="CR117" i="1"/>
  <c r="CS44" i="1"/>
  <c r="CS260" i="1" s="1"/>
  <c r="CS46" i="1" l="1"/>
  <c r="CR118" i="1"/>
  <c r="CR121" i="1" s="1"/>
  <c r="CR119" i="1"/>
  <c r="CR122" i="1" s="1"/>
  <c r="CS47" i="1" l="1"/>
  <c r="CS49" i="1" l="1"/>
  <c r="CS56" i="1" l="1"/>
  <c r="CS52" i="1"/>
  <c r="CS242" i="1"/>
  <c r="CS51" i="1"/>
  <c r="CS50" i="1"/>
  <c r="CS253" i="1" s="1"/>
  <c r="CS235" i="1"/>
  <c r="CS74" i="1" l="1"/>
  <c r="CS201" i="1"/>
  <c r="CS203" i="1" s="1"/>
  <c r="CS207" i="1" s="1"/>
  <c r="CS221" i="1" s="1"/>
  <c r="CS127" i="1"/>
  <c r="CS128" i="1" l="1"/>
  <c r="CS77" i="1"/>
  <c r="CS78" i="1" l="1"/>
  <c r="CS86" i="1"/>
  <c r="CS87" i="1"/>
  <c r="CS93" i="1"/>
  <c r="CS137" i="1"/>
  <c r="CS63" i="1" s="1"/>
  <c r="CS100" i="1"/>
  <c r="CS102" i="1" s="1"/>
  <c r="CS215" i="1"/>
  <c r="CS213" i="1" s="1"/>
  <c r="CS218" i="1" s="1"/>
  <c r="CS62" i="1"/>
  <c r="CS168" i="1" l="1"/>
  <c r="CS169" i="1" s="1"/>
  <c r="CS116" i="1"/>
  <c r="CS90" i="1"/>
  <c r="CS115" i="1"/>
  <c r="CS89" i="1"/>
  <c r="CS254" i="1" l="1"/>
  <c r="CS256" i="1"/>
  <c r="CS252" i="1"/>
  <c r="CT217" i="1"/>
  <c r="CS173" i="1"/>
  <c r="CS176" i="1"/>
  <c r="CS219" i="1"/>
  <c r="CT44" i="1" l="1"/>
  <c r="CT260" i="1" s="1"/>
  <c r="CS117" i="1"/>
  <c r="CS174" i="1"/>
  <c r="CS119" i="1" l="1"/>
  <c r="CS122" i="1" s="1"/>
  <c r="CS118" i="1"/>
  <c r="CS121" i="1" s="1"/>
  <c r="CT46" i="1"/>
  <c r="AC44" i="1"/>
  <c r="AC45" i="1" l="1"/>
  <c r="AC260" i="1"/>
  <c r="AC46" i="1"/>
  <c r="CT47" i="1"/>
  <c r="AC47" i="1" s="1"/>
  <c r="AC48" i="1" l="1"/>
  <c r="CT49" i="1"/>
  <c r="CT52" i="1" s="1"/>
  <c r="AC49" i="1"/>
  <c r="CT51" i="1" l="1"/>
  <c r="CT56" i="1"/>
  <c r="CT242" i="1"/>
  <c r="CT235" i="1"/>
  <c r="CT50" i="1"/>
  <c r="CT253" i="1" s="1"/>
  <c r="AC51" i="1"/>
  <c r="AC50" i="1"/>
  <c r="AC253" i="1" s="1"/>
  <c r="AC69" i="1"/>
  <c r="AC56" i="1"/>
  <c r="CT127" i="1" l="1"/>
  <c r="CT74" i="1"/>
  <c r="CT77" i="1" s="1"/>
  <c r="CT201" i="1"/>
  <c r="CT203" i="1" s="1"/>
  <c r="CT207" i="1" s="1"/>
  <c r="CT221" i="1" s="1"/>
  <c r="AC59" i="1"/>
  <c r="AC60" i="1" s="1"/>
  <c r="AC201" i="1"/>
  <c r="AC203" i="1" s="1"/>
  <c r="AC207" i="1" s="1"/>
  <c r="AC221" i="1" s="1"/>
  <c r="CT128" i="1" l="1"/>
  <c r="AC127" i="1"/>
  <c r="AC128" i="1" s="1"/>
  <c r="AC137" i="1" s="1"/>
  <c r="AC63" i="1" s="1"/>
  <c r="CT78" i="1"/>
  <c r="CT93" i="1"/>
  <c r="CT86" i="1"/>
  <c r="CT87" i="1"/>
  <c r="CT137" i="1" l="1"/>
  <c r="CT63" i="1" s="1"/>
  <c r="CT100" i="1"/>
  <c r="CT102" i="1" s="1"/>
  <c r="CT215" i="1"/>
  <c r="CT213" i="1" s="1"/>
  <c r="CT218" i="1" s="1"/>
  <c r="CT168" i="1" s="1"/>
  <c r="CT62" i="1"/>
  <c r="AC62" i="1"/>
  <c r="AC215" i="1"/>
  <c r="AC213" i="1" s="1"/>
  <c r="AC218" i="1" s="1"/>
  <c r="AC183" i="1"/>
  <c r="CT115" i="1"/>
  <c r="CT89" i="1"/>
  <c r="AC86" i="1"/>
  <c r="CT116" i="1"/>
  <c r="CT90" i="1"/>
  <c r="AC87" i="1"/>
  <c r="AC89" i="1" l="1"/>
  <c r="CT169" i="1"/>
  <c r="AC168" i="1"/>
  <c r="AC169" i="1" s="1"/>
  <c r="AC90" i="1"/>
  <c r="CT254" i="1" l="1"/>
  <c r="CT256" i="1"/>
  <c r="CT252" i="1"/>
  <c r="AC256" i="1"/>
  <c r="AC254" i="1"/>
  <c r="AC252" i="1"/>
  <c r="CU217" i="1"/>
  <c r="CT173" i="1"/>
  <c r="CT176" i="1"/>
  <c r="CT219" i="1"/>
  <c r="AD217" i="1"/>
  <c r="AC176" i="1"/>
  <c r="AC117" i="1" s="1"/>
  <c r="AC173" i="1"/>
  <c r="AC219" i="1"/>
  <c r="AC174" i="1" l="1"/>
  <c r="CT174" i="1"/>
  <c r="CT117" i="1"/>
  <c r="CU44" i="1"/>
  <c r="CU260" i="1" s="1"/>
  <c r="CU46" i="1" l="1"/>
  <c r="CT118" i="1"/>
  <c r="CT121" i="1" s="1"/>
  <c r="CT119" i="1"/>
  <c r="CT122" i="1" s="1"/>
  <c r="CU47" i="1" l="1"/>
  <c r="CU49" i="1" s="1"/>
  <c r="CU50" i="1" l="1"/>
  <c r="CU253" i="1" s="1"/>
  <c r="CU51" i="1"/>
  <c r="CU52" i="1"/>
  <c r="CU56" i="1"/>
  <c r="CU242" i="1"/>
  <c r="CU235" i="1"/>
  <c r="CU201" i="1" l="1"/>
  <c r="CU203" i="1" s="1"/>
  <c r="CU207" i="1" s="1"/>
  <c r="CU221" i="1" s="1"/>
  <c r="CU74" i="1"/>
  <c r="CU127" i="1"/>
  <c r="CU128" i="1" l="1"/>
  <c r="CU77" i="1"/>
  <c r="CU78" i="1" l="1"/>
  <c r="CU93" i="1"/>
  <c r="CU87" i="1"/>
  <c r="CU86" i="1"/>
  <c r="CU137" i="1"/>
  <c r="CU63" i="1" s="1"/>
  <c r="CU215" i="1"/>
  <c r="CU213" i="1" s="1"/>
  <c r="CU218" i="1" s="1"/>
  <c r="CU100" i="1"/>
  <c r="CU102" i="1" s="1"/>
  <c r="CU62" i="1"/>
  <c r="CU168" i="1" l="1"/>
  <c r="CU169" i="1" s="1"/>
  <c r="CU115" i="1"/>
  <c r="CU89" i="1"/>
  <c r="CU116" i="1"/>
  <c r="CU90" i="1"/>
  <c r="CU256" i="1" l="1"/>
  <c r="CU252" i="1"/>
  <c r="CU254" i="1"/>
  <c r="CU173" i="1"/>
  <c r="CU176" i="1"/>
  <c r="CV217" i="1"/>
  <c r="CU219" i="1"/>
  <c r="CU174" i="1" l="1"/>
  <c r="CV44" i="1"/>
  <c r="CV260" i="1" s="1"/>
  <c r="CU117" i="1"/>
  <c r="CU118" i="1" l="1"/>
  <c r="CU121" i="1" s="1"/>
  <c r="CU119" i="1"/>
  <c r="CU122" i="1" s="1"/>
  <c r="CV46" i="1"/>
  <c r="CV47" i="1" l="1"/>
  <c r="CV49" i="1" l="1"/>
  <c r="CV56" i="1" l="1"/>
  <c r="CV242" i="1"/>
  <c r="CV50" i="1"/>
  <c r="CV253" i="1" s="1"/>
  <c r="CV52" i="1"/>
  <c r="CV51" i="1"/>
  <c r="CV235" i="1"/>
  <c r="CV201" i="1" l="1"/>
  <c r="CV203" i="1" s="1"/>
  <c r="CV207" i="1" s="1"/>
  <c r="CV221" i="1" s="1"/>
  <c r="CV74" i="1"/>
  <c r="CV127" i="1"/>
  <c r="CV128" i="1" l="1"/>
  <c r="CV77" i="1"/>
  <c r="CV78" i="1" l="1"/>
  <c r="CV86" i="1"/>
  <c r="CV87" i="1"/>
  <c r="CV93" i="1"/>
  <c r="CV100" i="1"/>
  <c r="CV102" i="1" s="1"/>
  <c r="CV137" i="1"/>
  <c r="CV63" i="1" s="1"/>
  <c r="CV215" i="1"/>
  <c r="CV213" i="1" s="1"/>
  <c r="CV218" i="1" s="1"/>
  <c r="CV62" i="1"/>
  <c r="CV168" i="1" l="1"/>
  <c r="CV169" i="1" s="1"/>
  <c r="CV116" i="1"/>
  <c r="CV90" i="1"/>
  <c r="CV115" i="1"/>
  <c r="CV89" i="1"/>
  <c r="CV254" i="1" l="1"/>
  <c r="CV252" i="1"/>
  <c r="CV256" i="1"/>
  <c r="CV176" i="1"/>
  <c r="CW217" i="1"/>
  <c r="CV173" i="1"/>
  <c r="CV219" i="1"/>
  <c r="CV174" i="1" l="1"/>
  <c r="CV117" i="1"/>
  <c r="CW44" i="1"/>
  <c r="CW260" i="1" s="1"/>
  <c r="CW46" i="1" l="1"/>
  <c r="CV119" i="1"/>
  <c r="CV122" i="1" s="1"/>
  <c r="CV118" i="1"/>
  <c r="CV121" i="1" s="1"/>
  <c r="CW47" i="1" l="1"/>
  <c r="CW49" i="1" l="1"/>
  <c r="CW50" i="1" l="1"/>
  <c r="CW253" i="1" s="1"/>
  <c r="CW52" i="1"/>
  <c r="CW56" i="1"/>
  <c r="CW51" i="1"/>
  <c r="CW242" i="1"/>
  <c r="CW235" i="1"/>
  <c r="CW201" i="1" l="1"/>
  <c r="CW203" i="1" s="1"/>
  <c r="CW207" i="1" s="1"/>
  <c r="CW221" i="1" s="1"/>
  <c r="CW74" i="1"/>
  <c r="CW127" i="1"/>
  <c r="CW128" i="1" l="1"/>
  <c r="CW77" i="1"/>
  <c r="CW78" i="1" l="1"/>
  <c r="CW93" i="1"/>
  <c r="CW87" i="1"/>
  <c r="CW86" i="1"/>
  <c r="CW215" i="1"/>
  <c r="CW213" i="1" s="1"/>
  <c r="CW218" i="1" s="1"/>
  <c r="CW137" i="1"/>
  <c r="CW63" i="1" s="1"/>
  <c r="CW100" i="1"/>
  <c r="CW102" i="1" s="1"/>
  <c r="CW62" i="1"/>
  <c r="CW168" i="1" l="1"/>
  <c r="CW169" i="1" s="1"/>
  <c r="CW115" i="1"/>
  <c r="CW89" i="1"/>
  <c r="CW116" i="1"/>
  <c r="CW90" i="1"/>
  <c r="CW254" i="1" l="1"/>
  <c r="CW252" i="1"/>
  <c r="CW256" i="1"/>
  <c r="CW173" i="1"/>
  <c r="CX217" i="1"/>
  <c r="CW176" i="1"/>
  <c r="CW219" i="1"/>
  <c r="CX44" i="1" l="1"/>
  <c r="CX260" i="1" s="1"/>
  <c r="CW117" i="1"/>
  <c r="CW174" i="1"/>
  <c r="CW118" i="1" l="1"/>
  <c r="CW121" i="1" s="1"/>
  <c r="CW119" i="1"/>
  <c r="CW122" i="1" s="1"/>
  <c r="CX46" i="1"/>
  <c r="AD44" i="1"/>
  <c r="AD45" i="1" l="1"/>
  <c r="AD260" i="1"/>
  <c r="AD46" i="1"/>
  <c r="CX47" i="1"/>
  <c r="AD47" i="1" s="1"/>
  <c r="AD48" i="1" l="1"/>
  <c r="CX49" i="1"/>
  <c r="CX235" i="1" s="1"/>
  <c r="AD49" i="1"/>
  <c r="CX52" i="1" l="1"/>
  <c r="CX242" i="1"/>
  <c r="CX56" i="1"/>
  <c r="CX50" i="1"/>
  <c r="CX253" i="1" s="1"/>
  <c r="CX51" i="1"/>
  <c r="AD51" i="1"/>
  <c r="AD69" i="1"/>
  <c r="AD56" i="1"/>
  <c r="AD50" i="1"/>
  <c r="AD253" i="1" s="1"/>
  <c r="CX74" i="1" l="1"/>
  <c r="CX77" i="1" s="1"/>
  <c r="CX201" i="1"/>
  <c r="CX203" i="1" s="1"/>
  <c r="CX207" i="1" s="1"/>
  <c r="CX221" i="1" s="1"/>
  <c r="CX127" i="1"/>
  <c r="AD59" i="1"/>
  <c r="AD60" i="1" s="1"/>
  <c r="AD201" i="1"/>
  <c r="AD203" i="1" s="1"/>
  <c r="AD207" i="1" s="1"/>
  <c r="AD221" i="1" s="1"/>
  <c r="AD127" i="1" l="1"/>
  <c r="AD128" i="1" s="1"/>
  <c r="CX128" i="1"/>
  <c r="CX215" i="1" s="1"/>
  <c r="CX213" i="1" s="1"/>
  <c r="CX218" i="1" s="1"/>
  <c r="CX78" i="1"/>
  <c r="CX86" i="1"/>
  <c r="CX93" i="1"/>
  <c r="CX87" i="1"/>
  <c r="AD183" i="1" l="1"/>
  <c r="AD137" i="1"/>
  <c r="AD63" i="1" s="1"/>
  <c r="AD62" i="1"/>
  <c r="AD215" i="1"/>
  <c r="AD213" i="1" s="1"/>
  <c r="AD218" i="1" s="1"/>
  <c r="CX137" i="1"/>
  <c r="CX63" i="1" s="1"/>
  <c r="CX100" i="1"/>
  <c r="CX102" i="1" s="1"/>
  <c r="CX62" i="1"/>
  <c r="CX168" i="1"/>
  <c r="CX90" i="1"/>
  <c r="CX116" i="1"/>
  <c r="AD87" i="1"/>
  <c r="CX115" i="1"/>
  <c r="CX89" i="1"/>
  <c r="AD86" i="1"/>
  <c r="AD90" i="1" l="1"/>
  <c r="AD89" i="1"/>
  <c r="CX169" i="1"/>
  <c r="AD168" i="1"/>
  <c r="AD169" i="1" s="1"/>
  <c r="AD256" i="1" l="1"/>
  <c r="AD254" i="1"/>
  <c r="AD252" i="1"/>
  <c r="CX256" i="1"/>
  <c r="CX254" i="1"/>
  <c r="CX252" i="1"/>
  <c r="AE217" i="1"/>
  <c r="AD173" i="1"/>
  <c r="AD176" i="1"/>
  <c r="AD117" i="1" s="1"/>
  <c r="AD219" i="1"/>
  <c r="CY217" i="1"/>
  <c r="CX173" i="1"/>
  <c r="CX176" i="1"/>
  <c r="CX219" i="1"/>
  <c r="AD174" i="1" l="1"/>
  <c r="CX117" i="1"/>
  <c r="CY44" i="1"/>
  <c r="CY260" i="1" s="1"/>
  <c r="CX174" i="1"/>
  <c r="CY46" i="1" l="1"/>
  <c r="CX118" i="1"/>
  <c r="CX121" i="1" s="1"/>
  <c r="CX119" i="1"/>
  <c r="CX122" i="1" s="1"/>
  <c r="CY47" i="1" l="1"/>
  <c r="CY49" i="1" l="1"/>
  <c r="CY50" i="1" l="1"/>
  <c r="CY253" i="1" s="1"/>
  <c r="CY242" i="1"/>
  <c r="CY51" i="1"/>
  <c r="CY52" i="1"/>
  <c r="CY56" i="1"/>
  <c r="CY235" i="1"/>
  <c r="CY74" i="1" l="1"/>
  <c r="CY201" i="1"/>
  <c r="CY203" i="1" s="1"/>
  <c r="CY207" i="1" s="1"/>
  <c r="CY221" i="1" s="1"/>
  <c r="CY127" i="1"/>
  <c r="CY128" i="1" l="1"/>
  <c r="CY77" i="1"/>
  <c r="CY78" i="1" s="1"/>
  <c r="CY86" i="1" l="1"/>
  <c r="CY93" i="1"/>
  <c r="CY87" i="1"/>
  <c r="CY100" i="1"/>
  <c r="CY102" i="1" s="1"/>
  <c r="CY137" i="1"/>
  <c r="CY63" i="1" s="1"/>
  <c r="CY215" i="1"/>
  <c r="CY213" i="1" s="1"/>
  <c r="CY218" i="1" s="1"/>
  <c r="CY62" i="1"/>
  <c r="CY168" i="1" l="1"/>
  <c r="CY169" i="1" s="1"/>
  <c r="CY116" i="1"/>
  <c r="CY90" i="1"/>
  <c r="CY89" i="1"/>
  <c r="CY115" i="1"/>
  <c r="CY219" i="1" l="1"/>
  <c r="CY256" i="1"/>
  <c r="CY254" i="1"/>
  <c r="CY252" i="1"/>
  <c r="CZ217" i="1"/>
  <c r="CY173" i="1"/>
  <c r="CY176" i="1"/>
  <c r="CY174" i="1" l="1"/>
  <c r="CZ44" i="1"/>
  <c r="CZ260" i="1" s="1"/>
  <c r="CY117" i="1"/>
  <c r="CY119" i="1" l="1"/>
  <c r="CY122" i="1" s="1"/>
  <c r="CY118" i="1"/>
  <c r="CY121" i="1" s="1"/>
  <c r="CZ46" i="1"/>
  <c r="CZ47" i="1" l="1"/>
  <c r="CZ49" i="1" l="1"/>
  <c r="CZ242" i="1" l="1"/>
  <c r="CZ51" i="1"/>
  <c r="CZ50" i="1"/>
  <c r="CZ253" i="1" s="1"/>
  <c r="CZ52" i="1"/>
  <c r="CZ56" i="1"/>
  <c r="CZ235" i="1"/>
  <c r="CZ201" i="1" l="1"/>
  <c r="CZ203" i="1" s="1"/>
  <c r="CZ207" i="1" s="1"/>
  <c r="CZ221" i="1" s="1"/>
  <c r="CZ74" i="1"/>
  <c r="CZ127" i="1"/>
  <c r="CZ128" i="1" l="1"/>
  <c r="CZ77" i="1"/>
  <c r="CZ78" i="1" s="1"/>
  <c r="CZ93" i="1" l="1"/>
  <c r="CZ87" i="1"/>
  <c r="CZ86" i="1"/>
  <c r="CZ137" i="1"/>
  <c r="CZ63" i="1" s="1"/>
  <c r="CZ215" i="1"/>
  <c r="CZ213" i="1" s="1"/>
  <c r="CZ218" i="1" s="1"/>
  <c r="CZ100" i="1"/>
  <c r="CZ102" i="1" s="1"/>
  <c r="CZ62" i="1"/>
  <c r="CZ168" i="1" l="1"/>
  <c r="CZ169" i="1" s="1"/>
  <c r="CZ115" i="1"/>
  <c r="CZ89" i="1"/>
  <c r="CZ90" i="1"/>
  <c r="CZ116" i="1"/>
  <c r="CZ254" i="1" l="1"/>
  <c r="CZ252" i="1"/>
  <c r="CZ256" i="1"/>
  <c r="CZ173" i="1"/>
  <c r="CZ176" i="1"/>
  <c r="DA217" i="1"/>
  <c r="CZ219" i="1"/>
  <c r="CZ117" i="1" l="1"/>
  <c r="DA44" i="1"/>
  <c r="DA260" i="1" s="1"/>
  <c r="CZ174" i="1"/>
  <c r="DA46" i="1" l="1"/>
  <c r="CZ118" i="1"/>
  <c r="CZ121" i="1" s="1"/>
  <c r="CZ119" i="1"/>
  <c r="CZ122" i="1" s="1"/>
  <c r="DA47" i="1" l="1"/>
  <c r="DA49" i="1" l="1"/>
  <c r="DA242" i="1" l="1"/>
  <c r="DA56" i="1"/>
  <c r="DA51" i="1"/>
  <c r="DA52" i="1"/>
  <c r="DA50" i="1"/>
  <c r="DA253" i="1" s="1"/>
  <c r="DA235" i="1"/>
  <c r="DA74" i="1" l="1"/>
  <c r="DA201" i="1"/>
  <c r="DA203" i="1" s="1"/>
  <c r="DA207" i="1" s="1"/>
  <c r="DA221" i="1" s="1"/>
  <c r="DA127" i="1"/>
  <c r="DA128" i="1" l="1"/>
  <c r="DA77" i="1"/>
  <c r="DA78" i="1" s="1"/>
  <c r="DA87" i="1" l="1"/>
  <c r="DA86" i="1"/>
  <c r="DA93" i="1"/>
  <c r="DA137" i="1"/>
  <c r="DA63" i="1" s="1"/>
  <c r="DA215" i="1"/>
  <c r="DA213" i="1" s="1"/>
  <c r="DA218" i="1" s="1"/>
  <c r="DA100" i="1"/>
  <c r="DA102" i="1" s="1"/>
  <c r="DA62" i="1"/>
  <c r="DA168" i="1" l="1"/>
  <c r="DA169" i="1" s="1"/>
  <c r="DA115" i="1"/>
  <c r="DA89" i="1"/>
  <c r="DA90" i="1"/>
  <c r="DA116" i="1"/>
  <c r="DA219" i="1" l="1"/>
  <c r="DA256" i="1"/>
  <c r="DA252" i="1"/>
  <c r="DA254" i="1"/>
  <c r="DA176" i="1"/>
  <c r="DB217" i="1"/>
  <c r="DA173" i="1"/>
  <c r="DA174" i="1" l="1"/>
  <c r="DA117" i="1"/>
  <c r="DB44" i="1"/>
  <c r="DB260" i="1" s="1"/>
  <c r="DA119" i="1" l="1"/>
  <c r="DA122" i="1" s="1"/>
  <c r="DA118" i="1"/>
  <c r="DA121" i="1" s="1"/>
  <c r="DB46" i="1"/>
  <c r="AE44" i="1"/>
  <c r="AE45" i="1" l="1"/>
  <c r="AE260" i="1"/>
  <c r="AE46" i="1"/>
  <c r="DB47" i="1"/>
  <c r="AE47" i="1" s="1"/>
  <c r="AE48" i="1" l="1"/>
  <c r="DB49" i="1"/>
  <c r="AE49" i="1"/>
  <c r="AE51" i="1" s="1"/>
  <c r="AE50" i="1" l="1"/>
  <c r="AE253" i="1" s="1"/>
  <c r="AE56" i="1"/>
  <c r="AE69" i="1"/>
  <c r="DB51" i="1"/>
  <c r="DB52" i="1"/>
  <c r="DB242" i="1"/>
  <c r="DB50" i="1"/>
  <c r="DB253" i="1" s="1"/>
  <c r="DB56" i="1"/>
  <c r="DB235" i="1"/>
  <c r="AE59" i="1" l="1"/>
  <c r="AE60" i="1" s="1"/>
  <c r="AE201" i="1"/>
  <c r="AE203" i="1" s="1"/>
  <c r="AE207" i="1" s="1"/>
  <c r="AE221" i="1" s="1"/>
  <c r="DB201" i="1"/>
  <c r="DB203" i="1" s="1"/>
  <c r="DB207" i="1" s="1"/>
  <c r="DB221" i="1" s="1"/>
  <c r="DB74" i="1"/>
  <c r="DB77" i="1" s="1"/>
  <c r="DB78" i="1" s="1"/>
  <c r="DB127" i="1"/>
  <c r="AE127" i="1" l="1"/>
  <c r="AE128" i="1" s="1"/>
  <c r="DB128" i="1"/>
  <c r="DB87" i="1"/>
  <c r="DB86" i="1"/>
  <c r="DB93" i="1"/>
  <c r="DB115" i="1" l="1"/>
  <c r="DB89" i="1"/>
  <c r="AE86" i="1"/>
  <c r="DB116" i="1"/>
  <c r="DB90" i="1"/>
  <c r="AE87" i="1"/>
  <c r="DB215" i="1"/>
  <c r="DB213" i="1" s="1"/>
  <c r="DB218" i="1" s="1"/>
  <c r="DB137" i="1"/>
  <c r="DB63" i="1" s="1"/>
  <c r="DB100" i="1"/>
  <c r="DB102" i="1" s="1"/>
  <c r="DB62" i="1"/>
  <c r="AE215" i="1"/>
  <c r="AE213" i="1" s="1"/>
  <c r="AE218" i="1" s="1"/>
  <c r="AE137" i="1"/>
  <c r="AE63" i="1" s="1"/>
  <c r="AE183" i="1"/>
  <c r="AE62" i="1"/>
  <c r="AE90" i="1" l="1"/>
  <c r="AE89" i="1"/>
  <c r="DB168" i="1"/>
  <c r="AE168" i="1" l="1"/>
  <c r="AE169" i="1" s="1"/>
  <c r="DB169" i="1"/>
  <c r="DB252" i="1" l="1"/>
  <c r="DB256" i="1"/>
  <c r="DB254" i="1"/>
  <c r="AE254" i="1"/>
  <c r="AE252" i="1"/>
  <c r="AE256" i="1"/>
  <c r="DB173" i="1"/>
  <c r="DB176" i="1"/>
  <c r="DB117" i="1" s="1"/>
  <c r="DB219" i="1"/>
  <c r="AE176" i="1"/>
  <c r="AE117" i="1" s="1"/>
  <c r="AE173" i="1"/>
  <c r="AE219" i="1"/>
  <c r="AE174" i="1" l="1"/>
  <c r="DB118" i="1"/>
  <c r="DB121" i="1" s="1"/>
  <c r="DB119" i="1"/>
  <c r="DB122" i="1" s="1"/>
  <c r="DB174" i="1"/>
  <c r="AB71" i="1" l="1"/>
  <c r="AA71" i="1"/>
  <c r="AA73" i="1"/>
  <c r="AA74" i="1"/>
  <c r="AA77" i="1"/>
  <c r="AA78" i="1"/>
  <c r="AA94" i="1"/>
  <c r="AA115" i="1"/>
  <c r="AA118" i="1"/>
  <c r="AA121" i="1"/>
  <c r="AA116" i="1"/>
  <c r="AA119" i="1"/>
  <c r="AA122" i="1"/>
  <c r="AA95" i="1"/>
  <c r="AA93" i="1"/>
  <c r="AA100" i="1"/>
  <c r="AA107" i="1"/>
  <c r="AA104" i="1"/>
  <c r="AA103" i="1"/>
  <c r="AA102" i="1"/>
  <c r="AA111" i="1"/>
  <c r="AA110" i="1"/>
  <c r="AA112" i="1"/>
  <c r="AA76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M73" i="1"/>
  <c r="M107" i="1"/>
  <c r="M111" i="1"/>
  <c r="O73" i="1"/>
  <c r="O74" i="1"/>
  <c r="O77" i="1"/>
  <c r="O95" i="1"/>
  <c r="AC71" i="1"/>
  <c r="AC73" i="1"/>
  <c r="AC74" i="1"/>
  <c r="AC77" i="1"/>
  <c r="AC95" i="1"/>
  <c r="AD71" i="1"/>
  <c r="AD73" i="1"/>
  <c r="AD100" i="1"/>
  <c r="AD104" i="1"/>
  <c r="AD74" i="1"/>
  <c r="AD77" i="1"/>
  <c r="AD94" i="1"/>
  <c r="Q73" i="1"/>
  <c r="Q107" i="1"/>
  <c r="Q112" i="1"/>
  <c r="U73" i="1"/>
  <c r="U107" i="1"/>
  <c r="U112" i="1"/>
  <c r="L71" i="1"/>
  <c r="L73" i="1"/>
  <c r="L116" i="1"/>
  <c r="L119" i="1"/>
  <c r="Q116" i="1"/>
  <c r="Q119" i="1"/>
  <c r="K71" i="1"/>
  <c r="J71" i="1"/>
  <c r="I71" i="1"/>
  <c r="H71" i="1"/>
  <c r="G71" i="1"/>
  <c r="F71" i="1"/>
  <c r="F73" i="1"/>
  <c r="F100" i="1"/>
  <c r="F102" i="1"/>
  <c r="E71" i="1"/>
  <c r="E73" i="1"/>
  <c r="E115" i="1"/>
  <c r="E118" i="1"/>
  <c r="N73" i="1"/>
  <c r="N115" i="1"/>
  <c r="N118" i="1"/>
  <c r="S73" i="1"/>
  <c r="S100" i="1"/>
  <c r="S102" i="1"/>
  <c r="S116" i="1"/>
  <c r="O116" i="1"/>
  <c r="G73" i="1"/>
  <c r="O100" i="1"/>
  <c r="M74" i="1"/>
  <c r="N100" i="1"/>
  <c r="N103" i="1"/>
  <c r="O93" i="1"/>
  <c r="I73" i="1"/>
  <c r="I74" i="1"/>
  <c r="L74" i="1"/>
  <c r="U111" i="1"/>
  <c r="Y73" i="1"/>
  <c r="R73" i="1"/>
  <c r="M112" i="1"/>
  <c r="F107" i="1"/>
  <c r="AB73" i="1"/>
  <c r="L122" i="1"/>
  <c r="R116" i="1"/>
  <c r="U116" i="1"/>
  <c r="F110" i="1"/>
  <c r="N116" i="1"/>
  <c r="AB74" i="1"/>
  <c r="AB77" i="1"/>
  <c r="T73" i="1"/>
  <c r="AB94" i="1"/>
  <c r="T107" i="1"/>
  <c r="E100" i="1"/>
  <c r="Y74" i="1"/>
  <c r="S107" i="1"/>
  <c r="N119" i="1"/>
  <c r="AB95" i="1"/>
  <c r="O115" i="1"/>
  <c r="O118" i="1"/>
  <c r="O121" i="1"/>
  <c r="E121" i="1"/>
  <c r="AB78" i="1"/>
  <c r="W73" i="1"/>
  <c r="W107" i="1"/>
  <c r="W110" i="1"/>
  <c r="I76" i="1"/>
  <c r="O119" i="1"/>
  <c r="AC94" i="1"/>
  <c r="H73" i="1"/>
  <c r="H74" i="1"/>
  <c r="H77" i="1"/>
  <c r="H93" i="1"/>
  <c r="AE71" i="1"/>
  <c r="AE73" i="1"/>
  <c r="AE115" i="1"/>
  <c r="AE118" i="1"/>
  <c r="AE121" i="1"/>
  <c r="P73" i="1"/>
  <c r="P100" i="1"/>
  <c r="P103" i="1"/>
  <c r="Q110" i="1"/>
  <c r="J73" i="1"/>
  <c r="J116" i="1"/>
  <c r="J119" i="1"/>
  <c r="J122" i="1"/>
  <c r="G74" i="1"/>
  <c r="G77" i="1"/>
  <c r="G93" i="1"/>
  <c r="W112" i="1"/>
  <c r="L77" i="1"/>
  <c r="L78" i="1"/>
  <c r="K97" i="1"/>
  <c r="AB115" i="1"/>
  <c r="AB118" i="1"/>
  <c r="AB121" i="1"/>
  <c r="AB93" i="1"/>
  <c r="X73" i="1"/>
  <c r="K73" i="1"/>
  <c r="K107" i="1"/>
  <c r="K112" i="1"/>
  <c r="R100" i="1"/>
  <c r="R102" i="1"/>
  <c r="N121" i="1"/>
  <c r="M76" i="1"/>
  <c r="G107" i="1"/>
  <c r="G111" i="1"/>
  <c r="AE74" i="1"/>
  <c r="AE77" i="1"/>
  <c r="AE93" i="1"/>
  <c r="V73" i="1"/>
  <c r="V107" i="1"/>
  <c r="V112" i="1"/>
  <c r="V111" i="1"/>
  <c r="M115" i="1"/>
  <c r="F103" i="1"/>
  <c r="S115" i="1"/>
  <c r="G116" i="1"/>
  <c r="AC100" i="1"/>
  <c r="AC115" i="1"/>
  <c r="Z73" i="1"/>
  <c r="Z74" i="1"/>
  <c r="Z77" i="1"/>
  <c r="Z95" i="1"/>
  <c r="Z78" i="1"/>
  <c r="I107" i="1"/>
  <c r="M77" i="1"/>
  <c r="R103" i="1"/>
  <c r="U115" i="1"/>
  <c r="G119" i="1"/>
  <c r="R74" i="1"/>
  <c r="R77" i="1"/>
  <c r="R93" i="1"/>
  <c r="L97" i="1"/>
  <c r="Q111" i="1"/>
  <c r="K115" i="1"/>
  <c r="K118" i="1"/>
  <c r="K121" i="1"/>
  <c r="M116" i="1"/>
  <c r="I115" i="1"/>
  <c r="I118" i="1"/>
  <c r="S103" i="1"/>
  <c r="O103" i="1"/>
  <c r="AD115" i="1"/>
  <c r="AD118" i="1"/>
  <c r="AD121" i="1"/>
  <c r="W74" i="1"/>
  <c r="W77" i="1"/>
  <c r="AC76" i="1"/>
  <c r="AB97" i="1"/>
  <c r="J107" i="1"/>
  <c r="G97" i="1"/>
  <c r="AB100" i="1"/>
  <c r="G100" i="1"/>
  <c r="S74" i="1"/>
  <c r="H116" i="1"/>
  <c r="Q122" i="1"/>
  <c r="K116" i="1"/>
  <c r="K119" i="1"/>
  <c r="K122" i="1"/>
  <c r="Q74" i="1"/>
  <c r="Q77" i="1"/>
  <c r="Q95" i="1"/>
  <c r="H76" i="1"/>
  <c r="H100" i="1"/>
  <c r="U119" i="1"/>
  <c r="G102" i="1"/>
  <c r="T100" i="1"/>
  <c r="H103" i="1"/>
  <c r="I111" i="1"/>
  <c r="L93" i="1"/>
  <c r="I121" i="1"/>
  <c r="G115" i="1"/>
  <c r="T112" i="1"/>
  <c r="V110" i="1"/>
  <c r="AE76" i="1"/>
  <c r="X116" i="1"/>
  <c r="X119" i="1"/>
  <c r="X74" i="1"/>
  <c r="X77" i="1"/>
  <c r="X94" i="1"/>
  <c r="M100" i="1"/>
  <c r="AB107" i="1"/>
  <c r="Y77" i="1"/>
  <c r="M110" i="1"/>
  <c r="E107" i="1"/>
  <c r="AC78" i="1"/>
  <c r="J100" i="1"/>
  <c r="P74" i="1"/>
  <c r="X122" i="1"/>
  <c r="H115" i="1"/>
  <c r="S76" i="1"/>
  <c r="Y93" i="1"/>
  <c r="T103" i="1"/>
  <c r="Y95" i="1"/>
  <c r="R119" i="1"/>
  <c r="P116" i="1"/>
  <c r="P119" i="1"/>
  <c r="P122" i="1"/>
  <c r="Z97" i="1"/>
  <c r="E103" i="1"/>
  <c r="E110" i="1"/>
  <c r="R122" i="1"/>
  <c r="T110" i="1"/>
  <c r="P97" i="1"/>
  <c r="V116" i="1"/>
  <c r="V119" i="1"/>
  <c r="V122" i="1"/>
  <c r="G76" i="1"/>
  <c r="R76" i="1"/>
  <c r="AB102" i="1"/>
  <c r="AC107" i="1"/>
  <c r="AC111" i="1"/>
  <c r="AD103" i="1"/>
  <c r="AE107" i="1"/>
  <c r="AE112" i="1"/>
  <c r="AD76" i="1"/>
  <c r="AA72" i="1"/>
  <c r="AB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AC72" i="1"/>
  <c r="AD72" i="1"/>
  <c r="AE72" i="1"/>
  <c r="Z116" i="1"/>
  <c r="Z107" i="1"/>
  <c r="Z100" i="1"/>
  <c r="Y116" i="1"/>
  <c r="Z104" i="1"/>
  <c r="Z103" i="1"/>
  <c r="Z112" i="1"/>
  <c r="Z111" i="1"/>
  <c r="AC93" i="1"/>
  <c r="AD102" i="1"/>
  <c r="W100" i="1"/>
  <c r="W104" i="1"/>
  <c r="AC116" i="1"/>
  <c r="L72" i="1"/>
  <c r="W116" i="1"/>
  <c r="L107" i="1"/>
  <c r="U118" i="1"/>
  <c r="G122" i="1"/>
  <c r="F74" i="1"/>
  <c r="T116" i="1"/>
  <c r="T119" i="1"/>
  <c r="U74" i="1"/>
  <c r="H94" i="1"/>
  <c r="W95" i="1"/>
  <c r="W103" i="1"/>
  <c r="Z115" i="1"/>
  <c r="Y119" i="1"/>
  <c r="X115" i="1"/>
  <c r="Q100" i="1"/>
  <c r="F77" i="1"/>
  <c r="AB116" i="1"/>
  <c r="Q97" i="1"/>
  <c r="U77" i="1"/>
  <c r="AD116" i="1"/>
  <c r="AD119" i="1"/>
  <c r="AD122" i="1"/>
  <c r="M118" i="1"/>
  <c r="I110" i="1"/>
  <c r="Y97" i="1"/>
  <c r="O76" i="1"/>
  <c r="R115" i="1"/>
  <c r="Y107" i="1"/>
  <c r="R118" i="1"/>
  <c r="R121" i="1"/>
  <c r="Y112" i="1"/>
  <c r="AE78" i="1"/>
  <c r="H78" i="1"/>
  <c r="Q93" i="1"/>
  <c r="H95" i="1"/>
  <c r="L115" i="1"/>
  <c r="L118" i="1"/>
  <c r="L121" i="1"/>
  <c r="F97" i="1"/>
  <c r="F76" i="1"/>
  <c r="M119" i="1"/>
  <c r="G112" i="1"/>
  <c r="P104" i="1"/>
  <c r="G95" i="1"/>
  <c r="W115" i="1"/>
  <c r="W118" i="1"/>
  <c r="W121" i="1"/>
  <c r="AA97" i="1"/>
  <c r="AB119" i="1"/>
  <c r="U95" i="1"/>
  <c r="G78" i="1"/>
  <c r="X107" i="1"/>
  <c r="X110" i="1"/>
  <c r="P115" i="1"/>
  <c r="P118" i="1"/>
  <c r="E116" i="1"/>
  <c r="V97" i="1"/>
  <c r="F116" i="1"/>
  <c r="N74" i="1"/>
  <c r="AE94" i="1"/>
  <c r="E119" i="1"/>
  <c r="N77" i="1"/>
  <c r="Q78" i="1"/>
  <c r="T115" i="1"/>
  <c r="O78" i="1"/>
  <c r="S118" i="1"/>
  <c r="S77" i="1"/>
  <c r="Q115" i="1"/>
  <c r="W93" i="1"/>
  <c r="AC103" i="1"/>
  <c r="AE110" i="1"/>
  <c r="R94" i="1"/>
  <c r="S93" i="1"/>
  <c r="N78" i="1"/>
  <c r="Y100" i="1"/>
  <c r="O102" i="1"/>
  <c r="T74" i="1"/>
  <c r="L94" i="1"/>
  <c r="E74" i="1"/>
  <c r="K111" i="1"/>
  <c r="O122" i="1"/>
  <c r="L112" i="1"/>
  <c r="P102" i="1"/>
  <c r="AD78" i="1"/>
  <c r="Q104" i="1"/>
  <c r="AE116" i="1"/>
  <c r="E97" i="1"/>
  <c r="Y122" i="1"/>
  <c r="W97" i="1"/>
  <c r="AC110" i="1"/>
  <c r="E104" i="1"/>
  <c r="V115" i="1"/>
  <c r="I116" i="1"/>
  <c r="W94" i="1"/>
  <c r="X97" i="1"/>
  <c r="V74" i="1"/>
  <c r="V77" i="1"/>
  <c r="W78" i="1"/>
  <c r="T118" i="1"/>
  <c r="U121" i="1"/>
  <c r="Y102" i="1"/>
  <c r="I119" i="1"/>
  <c r="I122" i="1"/>
  <c r="J74" i="1"/>
  <c r="J77" i="1"/>
  <c r="J94" i="1"/>
  <c r="F78" i="1"/>
  <c r="H118" i="1"/>
  <c r="E77" i="1"/>
  <c r="Q118" i="1"/>
  <c r="Q121" i="1"/>
  <c r="F119" i="1"/>
  <c r="X95" i="1"/>
  <c r="M97" i="1"/>
  <c r="F93" i="1"/>
  <c r="H107" i="1"/>
  <c r="S121" i="1"/>
  <c r="AE111" i="1"/>
  <c r="W111" i="1"/>
  <c r="Q103" i="1"/>
  <c r="F115" i="1"/>
  <c r="K100" i="1"/>
  <c r="K103" i="1"/>
  <c r="X118" i="1"/>
  <c r="X121" i="1"/>
  <c r="L100" i="1"/>
  <c r="L103" i="1"/>
  <c r="AD107" i="1"/>
  <c r="N97" i="1"/>
  <c r="AD111" i="1"/>
  <c r="AD110" i="1"/>
  <c r="AD112" i="1"/>
  <c r="U110" i="1"/>
  <c r="O107" i="1"/>
  <c r="AD93" i="1"/>
  <c r="O111" i="1"/>
  <c r="O110" i="1"/>
  <c r="O112" i="1"/>
  <c r="U100" i="1"/>
  <c r="U104" i="1"/>
  <c r="U102" i="1"/>
  <c r="U103" i="1"/>
  <c r="V76" i="1"/>
  <c r="Q76" i="1"/>
  <c r="N104" i="1"/>
  <c r="N107" i="1"/>
  <c r="O104" i="1"/>
  <c r="AB76" i="1"/>
  <c r="N110" i="1"/>
  <c r="N112" i="1"/>
  <c r="N111" i="1"/>
  <c r="H119" i="1"/>
  <c r="AC119" i="1"/>
  <c r="AC122" i="1"/>
  <c r="T77" i="1"/>
  <c r="AB111" i="1"/>
  <c r="M103" i="1"/>
  <c r="S95" i="1"/>
  <c r="AB110" i="1"/>
  <c r="M78" i="1"/>
  <c r="L111" i="1"/>
  <c r="U76" i="1"/>
  <c r="V78" i="1"/>
  <c r="T78" i="1"/>
  <c r="V118" i="1"/>
  <c r="V121" i="1"/>
  <c r="M121" i="1"/>
  <c r="H102" i="1"/>
  <c r="G103" i="1"/>
  <c r="K74" i="1"/>
  <c r="K76" i="1"/>
  <c r="AE100" i="1"/>
  <c r="AE103" i="1"/>
  <c r="S112" i="1"/>
  <c r="F112" i="1"/>
  <c r="I77" i="1"/>
  <c r="Y76" i="1"/>
  <c r="N122" i="1"/>
  <c r="G94" i="1"/>
  <c r="G104" i="1"/>
  <c r="R95" i="1"/>
  <c r="M94" i="1"/>
  <c r="Y103" i="1"/>
  <c r="T93" i="1"/>
  <c r="H104" i="1"/>
  <c r="Y110" i="1"/>
  <c r="N93" i="1"/>
  <c r="T111" i="1"/>
  <c r="E111" i="1"/>
  <c r="E76" i="1"/>
  <c r="AE102" i="1"/>
  <c r="E94" i="1"/>
  <c r="X76" i="1"/>
  <c r="J104" i="1"/>
  <c r="T94" i="1"/>
  <c r="N94" i="1"/>
  <c r="F122" i="1"/>
  <c r="J115" i="1"/>
  <c r="J118" i="1"/>
  <c r="J121" i="1"/>
  <c r="X111" i="1"/>
  <c r="G118" i="1"/>
  <c r="G121" i="1"/>
  <c r="N95" i="1"/>
  <c r="S110" i="1"/>
  <c r="F95" i="1"/>
  <c r="H121" i="1"/>
  <c r="X93" i="1"/>
  <c r="V93" i="1"/>
  <c r="AB112" i="1"/>
  <c r="E93" i="1"/>
  <c r="E102" i="1"/>
  <c r="I95" i="1"/>
  <c r="Y78" i="1"/>
  <c r="S111" i="1"/>
  <c r="AE104" i="1"/>
  <c r="H122" i="1"/>
  <c r="T95" i="1"/>
  <c r="S97" i="1"/>
  <c r="I78" i="1"/>
  <c r="H97" i="1"/>
  <c r="I93" i="1"/>
  <c r="I94" i="1"/>
  <c r="AD95" i="1"/>
  <c r="I100" i="1"/>
  <c r="O94" i="1"/>
  <c r="P77" i="1"/>
  <c r="J110" i="1"/>
  <c r="P93" i="1"/>
  <c r="I103" i="1"/>
  <c r="P94" i="1"/>
  <c r="O97" i="1"/>
  <c r="M122" i="1"/>
  <c r="P78" i="1"/>
  <c r="P95" i="1"/>
  <c r="I102" i="1"/>
  <c r="I104" i="1"/>
  <c r="N102" i="1"/>
  <c r="S119" i="1"/>
  <c r="Z118" i="1"/>
  <c r="K72" i="1"/>
  <c r="J72" i="1"/>
  <c r="I72" i="1"/>
  <c r="H72" i="1"/>
  <c r="G72" i="1"/>
  <c r="X112" i="1"/>
  <c r="U78" i="1"/>
  <c r="AE119" i="1"/>
  <c r="X100" i="1"/>
  <c r="Z119" i="1"/>
  <c r="AC118" i="1"/>
  <c r="AC97" i="1"/>
  <c r="M93" i="1"/>
  <c r="AC102" i="1"/>
  <c r="V100" i="1"/>
  <c r="F104" i="1"/>
  <c r="K77" i="1"/>
  <c r="AC112" i="1"/>
  <c r="V103" i="1"/>
  <c r="R107" i="1"/>
  <c r="P76" i="1"/>
  <c r="J103" i="1"/>
  <c r="W119" i="1"/>
  <c r="W122" i="1"/>
  <c r="AC121" i="1"/>
  <c r="J78" i="1"/>
  <c r="F111" i="1"/>
  <c r="K95" i="1"/>
  <c r="M104" i="1"/>
  <c r="P107" i="1"/>
  <c r="Y115" i="1"/>
  <c r="X78" i="1"/>
  <c r="Y94" i="1"/>
  <c r="P110" i="1"/>
  <c r="S104" i="1"/>
  <c r="AB103" i="1"/>
  <c r="U97" i="1"/>
  <c r="T104" i="1"/>
  <c r="K104" i="1"/>
  <c r="J102" i="1"/>
  <c r="R97" i="1"/>
  <c r="X102" i="1"/>
  <c r="Q102" i="1"/>
  <c r="E122" i="1"/>
  <c r="K102" i="1"/>
  <c r="F118" i="1"/>
  <c r="J93" i="1"/>
  <c r="H110" i="1"/>
  <c r="U93" i="1"/>
  <c r="L104" i="1"/>
  <c r="L76" i="1"/>
  <c r="Z76" i="1"/>
  <c r="Q94" i="1"/>
  <c r="L95" i="1"/>
  <c r="T102" i="1"/>
  <c r="G110" i="1"/>
  <c r="R104" i="1"/>
  <c r="R78" i="1"/>
  <c r="P121" i="1"/>
  <c r="AC104" i="1"/>
  <c r="K110" i="1"/>
  <c r="J112" i="1"/>
  <c r="I112" i="1"/>
  <c r="AD97" i="1"/>
  <c r="J111" i="1"/>
  <c r="AE95" i="1"/>
  <c r="E112" i="1"/>
  <c r="R112" i="1"/>
  <c r="E95" i="1"/>
  <c r="Y118" i="1"/>
  <c r="Y121" i="1"/>
  <c r="T121" i="1"/>
  <c r="Z122" i="1"/>
  <c r="U122" i="1"/>
  <c r="Z93" i="1"/>
  <c r="Y111" i="1"/>
  <c r="W76" i="1"/>
  <c r="S78" i="1"/>
  <c r="AB104" i="1"/>
  <c r="T122" i="1"/>
  <c r="Z94" i="1"/>
  <c r="F72" i="1"/>
  <c r="E72" i="1"/>
  <c r="N76" i="1"/>
  <c r="S94" i="1"/>
  <c r="M102" i="1"/>
  <c r="H112" i="1"/>
  <c r="M95" i="1"/>
  <c r="L102" i="1"/>
  <c r="T76" i="1"/>
  <c r="Z110" i="1"/>
  <c r="U94" i="1"/>
  <c r="L110" i="1"/>
  <c r="AB122" i="1"/>
  <c r="Z102" i="1"/>
  <c r="AE122" i="1"/>
  <c r="I97" i="1"/>
  <c r="W102" i="1"/>
  <c r="V104" i="1"/>
  <c r="T97" i="1"/>
  <c r="Y104" i="1"/>
  <c r="J95" i="1"/>
  <c r="X104" i="1"/>
  <c r="E78" i="1"/>
  <c r="D97" i="1"/>
  <c r="F94" i="1"/>
  <c r="V95" i="1"/>
  <c r="K93" i="1"/>
  <c r="V94" i="1"/>
  <c r="F121" i="1"/>
  <c r="H111" i="1"/>
  <c r="P112" i="1"/>
  <c r="V102" i="1"/>
  <c r="S122" i="1"/>
  <c r="K94" i="1"/>
  <c r="P111" i="1"/>
  <c r="K78" i="1"/>
  <c r="J76" i="1"/>
  <c r="X103" i="1"/>
  <c r="R111" i="1"/>
  <c r="Z121" i="1"/>
  <c r="R110" i="1"/>
  <c r="J9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<sst xmlns="http://schemas.openxmlformats.org/spreadsheetml/2006/main" count="670" uniqueCount="531">
  <si>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</si>
  <si>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</si>
  <si>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</si>
  <si>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</si>
  <si>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</si>
  <si>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</si>
  <si>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</si>
  <si>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</si>
  <si>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</si>
  <si>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</si>
  <si>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</si>
  <si>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</si>
  <si>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</si>
  <si>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</si>
  <si>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</si>
  <si>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</si>
  <si>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</si>
  <si>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</si>
  <si>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</si>
  <si>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</si>
  <si>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</si>
  <si>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</si>
  <si>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</si>
  <si>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</si>
  <si>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</si>
  <si>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</si>
  <si>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</si>
  <si>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</si>
  <si>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</si>
  <si>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</si>
  <si>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</si>
  <si>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</si>
  <si>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</si>
  <si>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</si>
  <si>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</si>
  <si>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</si>
  <si>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</si>
  <si>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</si>
  <si>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</si>
  <si>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</si>
  <si>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</si>
  <si>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</si>
  <si>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</si>
  <si>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</si>
  <si>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</si>
  <si>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</si>
  <si>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</si>
  <si>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</si>
  <si>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</si>
  <si>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</si>
  <si>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</si>
  <si>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</si>
  <si>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</si>
  <si>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</si>
  <si>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</si>
  <si>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</si>
  <si>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</si>
  <si>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</si>
  <si>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</si>
  <si>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</si>
  <si>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</si>
  <si>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</si>
  <si>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</si>
  <si>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</si>
  <si>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</si>
  <si>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</si>
  <si>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</si>
  <si>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</si>
  <si>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</si>
  <si>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</si>
  <si>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</si>
  <si>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</si>
  <si>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</si>
  <si>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</si>
  <si>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</si>
  <si>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</si>
  <si>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</si>
  <si>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</si>
  <si>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</si>
  <si>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</si>
  <si>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</si>
  <si>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</si>
  <si>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</si>
  <si>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</si>
  <si>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</si>
  <si>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</si>
  <si>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</si>
  <si>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</si>
  <si>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</si>
  <si>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</si>
  <si>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</si>
  <si>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</si>
  <si>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</si>
  <si>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</si>
  <si>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</si>
  <si>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</si>
  <si>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</si>
  <si>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</si>
  <si>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</si>
  <si>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</si>
  <si>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</si>
  <si>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</si>
  <si>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</si>
  <si>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</si>
  <si>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</si>
  <si>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</si>
  <si>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</si>
  <si>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</si>
  <si>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</si>
  <si>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</si>
  <si>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</si>
  <si>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</si>
  <si>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</si>
  <si>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</si>
  <si>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</si>
  <si>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</si>
  <si>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</si>
  <si>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</si>
  <si>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</si>
  <si>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</si>
  <si>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</si>
  <si>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</si>
  <si>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</si>
  <si>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</si>
  <si>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</si>
  <si>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</si>
  <si>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</si>
  <si>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</si>
  <si>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</si>
  <si>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</si>
  <si>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</si>
  <si>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</si>
  <si>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</si>
  <si>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</si>
  <si>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</si>
  <si>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</si>
  <si>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</si>
  <si>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</si>
  <si>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</si>
  <si>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</si>
  <si>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</si>
  <si>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</si>
  <si>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</si>
  <si>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</si>
  <si>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</si>
  <si>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</si>
  <si>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</si>
  <si>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</si>
  <si>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</si>
  <si>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</si>
  <si>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</si>
  <si>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</si>
  <si>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</si>
  <si>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</si>
  <si>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</si>
  <si>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</si>
  <si>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</si>
  <si>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</si>
  <si>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</si>
  <si>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</si>
  <si>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</si>
  <si>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</si>
  <si>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</si>
  <si>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</si>
  <si>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</si>
  <si>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</si>
  <si>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</si>
  <si>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</si>
  <si>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</si>
  <si>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</si>
  <si>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</si>
  <si>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</si>
  <si>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</si>
  <si>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</si>
  <si>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</si>
  <si>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</si>
  <si>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</si>
  <si>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</si>
  <si>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</si>
  <si>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</si>
  <si>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</si>
  <si>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</si>
  <si>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</si>
  <si>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</si>
  <si>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</si>
  <si>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</si>
  <si>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</si>
  <si>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</si>
  <si>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</si>
  <si>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</si>
  <si>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</si>
  <si>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</si>
  <si>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</si>
  <si>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</si>
  <si>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</si>
  <si>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</si>
  <si>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</si>
  <si>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</si>
  <si>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</si>
  <si>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</si>
  <si>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</si>
  <si>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</si>
  <si>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</si>
  <si>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</si>
  <si>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</si>
  <si>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</si>
  <si>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</si>
  <si>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</si>
  <si>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</si>
  <si>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</si>
  <si>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</si>
  <si>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</si>
  <si>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</si>
  <si>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</si>
  <si>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</si>
  <si>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</si>
  <si>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</si>
  <si>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</si>
  <si>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</si>
  <si>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</si>
  <si>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</si>
  <si>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</si>
  <si>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</si>
  <si>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</si>
  <si>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</si>
  <si>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</si>
  <si>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</si>
  <si>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</si>
  <si>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</si>
  <si>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</si>
  <si>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</si>
  <si>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</si>
  <si>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</si>
  <si>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</si>
  <si>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</si>
  <si>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</si>
  <si>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</si>
  <si>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</si>
  <si>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</si>
  <si>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</si>
  <si>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</si>
  <si>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</si>
  <si>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</si>
  <si>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</si>
  <si>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</si>
  <si>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</si>
  <si>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</si>
  <si>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</si>
  <si>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</si>
  <si>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</si>
  <si>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</si>
  <si>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</si>
  <si>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</si>
  <si>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</si>
  <si>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</si>
  <si>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</si>
  <si>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</si>
  <si>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</si>
  <si>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</si>
  <si>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</si>
  <si>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</si>
  <si>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</si>
  <si>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</si>
  <si>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</si>
  <si>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</si>
  <si>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</si>
  <si>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</si>
  <si>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</si>
  <si>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</si>
  <si>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</si>
  <si>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</si>
  <si>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</si>
  <si>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</si>
  <si>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</si>
  <si>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</si>
  <si>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</si>
  <si>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</si>
  <si>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</si>
  <si>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</si>
  <si>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</si>
  <si>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</si>
  <si>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</si>
  <si>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</si>
  <si>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</si>
  <si>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</si>
  <si>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</si>
  <si>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</si>
  <si>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</si>
  <si>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</si>
  <si>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</si>
  <si>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</si>
  <si>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</si>
  <si>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</si>
  <si>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</si>
  <si>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</si>
  <si>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</si>
  <si>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</si>
  <si>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</si>
  <si>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</si>
  <si>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</si>
  <si>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</si>
  <si>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</si>
  <si>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</si>
  <si>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</si>
  <si>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</si>
  <si>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</si>
  <si>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</si>
  <si>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</si>
  <si>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</si>
  <si>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</si>
  <si>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</si>
  <si>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</si>
  <si>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</si>
  <si>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</si>
  <si>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</si>
  <si>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</si>
  <si>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</si>
  <si>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</si>
  <si>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</si>
  <si>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</si>
  <si>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</si>
  <si>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</si>
  <si>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</si>
  <si>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</si>
  <si>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</si>
  <si>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</si>
  <si>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</si>
  <si>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</si>
  <si>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</si>
  <si>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</si>
  <si>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</si>
  <si>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</si>
  <si>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</si>
  <si>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</si>
  <si>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</si>
  <si>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</si>
  <si>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</si>
  <si>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</si>
  <si>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</si>
  <si>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</si>
  <si>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</si>
  <si>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</si>
  <si>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</si>
  <si>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</si>
  <si>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</si>
  <si>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</si>
  <si>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</si>
  <si>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</si>
  <si>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</si>
  <si>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</si>
  <si>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</si>
  <si>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</si>
  <si>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</si>
  <si>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</si>
  <si>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</si>
  <si>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</si>
  <si>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</si>
  <si>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</si>
  <si>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</si>
  <si>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</si>
  <si>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</si>
  <si>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</si>
  <si>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</si>
  <si>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</si>
  <si>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</si>
  <si>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</si>
  <si>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</si>
  <si>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</si>
  <si>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</si>
  <si>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</si>
  <si>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</si>
  <si>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</si>
  <si>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</si>
  <si>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</si>
  <si>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</si>
  <si>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</si>
  <si>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</si>
  <si>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</si>
  <si>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</si>
  <si>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</si>
  <si>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</si>
  <si>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</si>
  <si>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</si>
  <si>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</si>
  <si>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</si>
  <si>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</si>
  <si>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</si>
  <si>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</si>
  <si>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</si>
  <si>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</si>
  <si>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</si>
  <si>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</si>
  <si>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</si>
  <si>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</si>
  <si>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</si>
  <si>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</si>
  <si>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</si>
  <si>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</si>
  <si>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</si>
  <si>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</si>
  <si>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</si>
  <si>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</si>
  <si>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</si>
  <si>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</si>
  <si>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</si>
  <si>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</si>
  <si>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</si>
  <si>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</si>
  <si>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</si>
  <si>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</si>
  <si>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</si>
  <si>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</si>
  <si>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</si>
  <si>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</si>
  <si>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</si>
  <si>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</si>
  <si>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</si>
  <si>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</si>
  <si>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</si>
  <si>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</si>
  <si>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</si>
  <si>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</si>
  <si>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</si>
  <si>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</si>
  <si>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</si>
  <si>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</si>
  <si>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</si>
  <si>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</si>
  <si>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</si>
  <si>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</si>
  <si>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</si>
  <si>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</si>
  <si>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</si>
  <si>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</si>
  <si>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</si>
  <si>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</si>
  <si>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</si>
  <si>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</si>
  <si>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</si>
  <si>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</si>
  <si>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</si>
  <si>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</si>
  <si>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</si>
  <si>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</si>
  <si>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</si>
  <si>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</si>
  <si>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</si>
  <si>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</si>
  <si>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</si>
  <si>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</si>
  <si>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</si>
  <si>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</si>
  <si>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</si>
  <si>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</si>
  <si>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</si>
  <si>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</si>
  <si>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</si>
  <si>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</si>
  <si>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</si>
  <si>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</si>
  <si>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</si>
  <si>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</si>
  <si>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</si>
  <si>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</si>
  <si>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</si>
  <si>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</si>
  <si>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</si>
  <si>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</si>
  <si>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</si>
  <si>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</si>
  <si>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</si>
  <si>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</si>
  <si>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</si>
  <si>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</si>
  <si>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</si>
  <si>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</si>
  <si>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</si>
  <si>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</si>
  <si>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</si>
  <si>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</si>
  <si>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</si>
  <si>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</si>
  <si>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</si>
  <si>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</si>
  <si>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</si>
  <si>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</si>
  <si>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</si>
  <si>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</si>
  <si>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</si>
  <si>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</si>
  <si>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</si>
  <si>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</si>
  <si>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</si>
  <si>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</si>
  <si>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</si>
  <si>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</si>
  <si>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</si>
  <si>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</si>
  <si>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</si>
  <si>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</si>
  <si>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</si>
  <si>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</si>
  <si>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</si>
  <si>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</si>
  <si>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</si>
  <si>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</si>
  <si>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</si>
  <si>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</si>
  <si>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</si>
  <si>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</si>
  <si>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</si>
  <si>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</si>
  <si>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</si>
  <si>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</si>
  <si>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</si>
  <si>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Laurus Labs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</si>
  <si>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</si>
  <si>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</si>
  <si>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</si>
  <si>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</si>
  <si>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</si>
  <si>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</si>
  <si>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</si>
  <si>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Sales Break Up </t>
  </si>
  <si>
    <t xml:space="preserve">Growth </t>
  </si>
  <si>
    <t xml:space="preserve">Sales- CDMO </t>
  </si>
  <si>
    <t>Sales- Generics</t>
  </si>
  <si>
    <t xml:space="preserve">Growth YoY%- CDMO </t>
  </si>
  <si>
    <t>Growth YoY%- Generics</t>
  </si>
  <si>
    <t xml:space="preserve">Total Sales </t>
  </si>
  <si>
    <t>Sales 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</si>
</sst>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0" fontId="20" fillId="2" borderId="0" xfId="2" applyNumberFormat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2"/>
  <sheetViews>
    <sheetView tabSelected="1" zoomScale="110" zoomScaleNormal="11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F15" sqref="DF15:DF26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Laurus Labs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79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7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86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>
        <v>384</v>
      </c>
      <c r="V5" s="156">
        <v>578</v>
      </c>
      <c r="W5" s="156">
        <v>1017</v>
      </c>
      <c r="X5" s="156">
        <v>2292</v>
      </c>
      <c r="Y5" s="156">
        <v>1082</v>
      </c>
      <c r="Z5" s="156">
        <v>1534</v>
      </c>
      <c r="AA5" s="156">
        <v>2080</v>
      </c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>
        <f>CC16-CC6</f>
        <v>254.92000000000007</v>
      </c>
      <c r="CD5" s="156">
        <v>265</v>
      </c>
      <c r="CE5" s="156">
        <f>214+43</f>
        <v>257</v>
      </c>
      <c r="CF5" s="156">
        <f>299+40</f>
        <v>339</v>
      </c>
      <c r="CG5" s="156">
        <v>448</v>
      </c>
      <c r="CH5" s="156">
        <v>490</v>
      </c>
      <c r="CI5" s="156">
        <v>522</v>
      </c>
      <c r="CJ5" s="156">
        <v>518</v>
      </c>
      <c r="CK5" s="156">
        <v>451</v>
      </c>
      <c r="CL5" s="156">
        <v>589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526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>
        <v>2448</v>
      </c>
      <c r="V6" s="156">
        <v>4286</v>
      </c>
      <c r="W6" s="156">
        <v>3919</v>
      </c>
      <c r="X6" s="156">
        <v>3749</v>
      </c>
      <c r="Y6" s="156">
        <v>3959</v>
      </c>
      <c r="Z6" s="156">
        <v>4020</v>
      </c>
      <c r="AA6" s="156">
        <v>4733</v>
      </c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>
        <f>570+370</f>
        <v>940</v>
      </c>
      <c r="CD6" s="156">
        <v>1175</v>
      </c>
      <c r="CE6" s="156">
        <v>938</v>
      </c>
      <c r="CF6" s="156">
        <v>885</v>
      </c>
      <c r="CG6" s="156">
        <v>967</v>
      </c>
      <c r="CH6" s="156">
        <v>1230</v>
      </c>
      <c r="CI6" s="156">
        <v>1048</v>
      </c>
      <c r="CJ6" s="156">
        <v>1135</v>
      </c>
      <c r="CK6" s="156">
        <v>1327</v>
      </c>
      <c r="CL6" s="156">
        <v>1223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86" t="s">
        <v>529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07">
        <f t="shared" ref="U7:Z7" si="33">U6+U5</f>
        <v>2832</v>
      </c>
      <c r="V7" s="107">
        <f t="shared" si="33"/>
        <v>4864</v>
      </c>
      <c r="W7" s="107">
        <f t="shared" si="33"/>
        <v>4936</v>
      </c>
      <c r="X7" s="107">
        <f t="shared" si="33"/>
        <v>6041</v>
      </c>
      <c r="Y7" s="107">
        <f t="shared" si="33"/>
        <v>5041</v>
      </c>
      <c r="Z7" s="107">
        <f t="shared" si="33"/>
        <v>5554</v>
      </c>
      <c r="AA7" s="107">
        <f t="shared" ref="AA7" si="34">AA6+AA5</f>
        <v>6813</v>
      </c>
      <c r="AB7" s="108"/>
      <c r="AC7" s="108"/>
      <c r="AD7" s="108"/>
      <c r="AE7" s="108"/>
      <c r="AF7" s="109"/>
      <c r="AG7" s="109"/>
      <c r="AH7" s="109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>
        <f>CC6+CC5</f>
        <v>1194.92</v>
      </c>
      <c r="CD7" s="107">
        <f t="shared" ref="CD7:CK7" si="35">CD6+CD5</f>
        <v>1440</v>
      </c>
      <c r="CE7" s="107">
        <f t="shared" si="35"/>
        <v>1195</v>
      </c>
      <c r="CF7" s="107">
        <f t="shared" si="35"/>
        <v>1224</v>
      </c>
      <c r="CG7" s="107">
        <f t="shared" si="35"/>
        <v>1415</v>
      </c>
      <c r="CH7" s="107">
        <f t="shared" si="35"/>
        <v>1720</v>
      </c>
      <c r="CI7" s="107">
        <f t="shared" si="35"/>
        <v>1570</v>
      </c>
      <c r="CJ7" s="107">
        <f t="shared" si="35"/>
        <v>1653</v>
      </c>
      <c r="CK7" s="107">
        <f t="shared" si="35"/>
        <v>1778</v>
      </c>
      <c r="CL7" s="107">
        <f t="shared" ref="CL7" si="36">CL6+CL5</f>
        <v>1812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530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>
        <f>U7-U18</f>
        <v>0.28000000000020009</v>
      </c>
      <c r="V8" s="156">
        <f t="shared" ref="V8:Z8" si="37">V7-V18</f>
        <v>50.489999999999782</v>
      </c>
      <c r="W8" s="156">
        <f t="shared" si="37"/>
        <v>0.43000000000029104</v>
      </c>
      <c r="X8" s="156">
        <f t="shared" si="37"/>
        <v>0.4499999999998181</v>
      </c>
      <c r="Y8" s="156">
        <f t="shared" si="37"/>
        <v>0.17000000000007276</v>
      </c>
      <c r="Z8" s="156">
        <f t="shared" si="37"/>
        <v>3.999999999996362E-2</v>
      </c>
      <c r="AA8" s="156">
        <f t="shared" ref="AA8" si="38">AA7-AA18</f>
        <v>0.1000000000003638</v>
      </c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>
        <f t="shared" ref="CC8:CK8" si="39">CC7-CC18</f>
        <v>0</v>
      </c>
      <c r="CD8" s="156">
        <f t="shared" si="39"/>
        <v>0.32999999999992724</v>
      </c>
      <c r="CE8" s="156">
        <f t="shared" si="39"/>
        <v>8.9999999999918145E-2</v>
      </c>
      <c r="CF8" s="156">
        <f t="shared" si="39"/>
        <v>0.29999999999995453</v>
      </c>
      <c r="CG8" s="156">
        <f t="shared" si="39"/>
        <v>-4.9999999999954525E-2</v>
      </c>
      <c r="CH8" s="156">
        <f t="shared" si="39"/>
        <v>-0.29999999999995453</v>
      </c>
      <c r="CI8" s="156">
        <f t="shared" si="39"/>
        <v>0.43000000000006366</v>
      </c>
      <c r="CJ8" s="156">
        <f t="shared" si="39"/>
        <v>-0.47000000000002728</v>
      </c>
      <c r="CK8" s="156">
        <f t="shared" si="39"/>
        <v>-0.28999999999996362</v>
      </c>
      <c r="CL8" s="156">
        <f t="shared" ref="CL8" si="40">CL7-CL18</f>
        <v>0.43000000000006366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86" t="s">
        <v>524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 t="s">
        <v>527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85">
        <f>V5/U5-1</f>
        <v>0.50520833333333326</v>
      </c>
      <c r="W11" s="185">
        <f t="shared" ref="W11:AA11" si="41">W5/V5-1</f>
        <v>0.75951557093425603</v>
      </c>
      <c r="X11" s="185">
        <f t="shared" si="41"/>
        <v>1.2536873156342181</v>
      </c>
      <c r="Y11" s="185">
        <f t="shared" si="41"/>
        <v>-0.52792321116928442</v>
      </c>
      <c r="Z11" s="185">
        <f t="shared" si="41"/>
        <v>0.41774491682070236</v>
      </c>
      <c r="AA11" s="185">
        <f t="shared" si="41"/>
        <v>0.35593220338983045</v>
      </c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85">
        <f t="shared" ref="CG11:CJ11" si="42">CG5/CC5-1</f>
        <v>0.75741409069511945</v>
      </c>
      <c r="CH11" s="185">
        <f t="shared" si="42"/>
        <v>0.84905660377358494</v>
      </c>
      <c r="CI11" s="185">
        <f t="shared" si="42"/>
        <v>1.0311284046692606</v>
      </c>
      <c r="CJ11" s="185">
        <f t="shared" si="42"/>
        <v>0.528023598820059</v>
      </c>
      <c r="CK11" s="185">
        <f>CK5/CG5-1</f>
        <v>6.6964285714286031E-3</v>
      </c>
      <c r="CL11" s="185">
        <f>CL5/CH5-1</f>
        <v>0.20204081632653059</v>
      </c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 t="s">
        <v>528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85">
        <f>V6/U6-1</f>
        <v>0.75081699346405228</v>
      </c>
      <c r="W12" s="185">
        <f t="shared" ref="W12:AA12" si="43">W6/V6-1</f>
        <v>-8.5627624825011628E-2</v>
      </c>
      <c r="X12" s="185">
        <f t="shared" si="43"/>
        <v>-4.3378412860423543E-2</v>
      </c>
      <c r="Y12" s="185">
        <f t="shared" si="43"/>
        <v>5.6014937316617663E-2</v>
      </c>
      <c r="Z12" s="185">
        <f t="shared" si="43"/>
        <v>1.5407931295781774E-2</v>
      </c>
      <c r="AA12" s="185">
        <f t="shared" si="43"/>
        <v>0.17736318407960194</v>
      </c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85">
        <f t="shared" ref="CG12:CJ12" si="44">CG6/CC6-1</f>
        <v>2.8723404255319052E-2</v>
      </c>
      <c r="CH12" s="185">
        <f t="shared" si="44"/>
        <v>4.6808510638297829E-2</v>
      </c>
      <c r="CI12" s="185">
        <f t="shared" si="44"/>
        <v>0.11727078891257992</v>
      </c>
      <c r="CJ12" s="185">
        <f t="shared" si="44"/>
        <v>0.28248587570621475</v>
      </c>
      <c r="CK12" s="185">
        <f>CK6/CG6-1</f>
        <v>0.37228541882109623</v>
      </c>
      <c r="CL12" s="185">
        <f>CL6/CH6-1</f>
        <v>-5.6910569105691478E-3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06" customFormat="1" x14ac:dyDescent="0.2">
      <c r="A14" s="151" t="s">
        <v>500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5"/>
      <c r="AC14" s="105"/>
      <c r="AD14" s="105"/>
      <c r="AE14" s="105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8"/>
    </row>
    <row r="15" spans="1:110" s="106" customFormat="1" x14ac:dyDescent="0.2">
      <c r="A15" s="151" t="s">
        <v>485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05"/>
      <c r="AC15" s="105"/>
      <c r="AD15" s="105"/>
      <c r="AE15" s="105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60"/>
      <c r="CK15" s="160"/>
      <c r="CL15" s="160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25" customFormat="1" outlineLevel="1" x14ac:dyDescent="0.2">
      <c r="A16" s="25" t="s">
        <v>430</v>
      </c>
      <c r="B16" s="25">
        <f>'Annual Raw'!C6</f>
        <v>0</v>
      </c>
      <c r="C16" s="25">
        <f>'Annual Raw'!D6</f>
        <v>0</v>
      </c>
      <c r="D16" s="25">
        <f>'Annual Raw'!E6</f>
        <v>0</v>
      </c>
      <c r="E16" s="25">
        <f>'Annual Raw'!F6</f>
        <v>0</v>
      </c>
      <c r="F16" s="25">
        <f>'Annual Raw'!G6</f>
        <v>0</v>
      </c>
      <c r="G16" s="25">
        <f>'Annual Raw'!H6</f>
        <v>0</v>
      </c>
      <c r="H16" s="25">
        <f>'Annual Raw'!I6</f>
        <v>0</v>
      </c>
      <c r="I16" s="25">
        <f>'Annual Raw'!J6</f>
        <v>0</v>
      </c>
      <c r="J16" s="25">
        <f>'Annual Raw'!K6</f>
        <v>0</v>
      </c>
      <c r="K16" s="25">
        <f>'Annual Raw'!L6</f>
        <v>0</v>
      </c>
      <c r="L16" s="25">
        <f>'Annual Raw'!M6</f>
        <v>0</v>
      </c>
      <c r="M16" s="25">
        <f>'Annual Raw'!N6</f>
        <v>454.09500000000003</v>
      </c>
      <c r="N16" s="25">
        <f>'Annual Raw'!O6</f>
        <v>722.54200000000003</v>
      </c>
      <c r="O16" s="25">
        <f>'Annual Raw'!P6</f>
        <v>1165.6859999999999</v>
      </c>
      <c r="P16" s="25">
        <f>'Annual Raw'!Q6</f>
        <v>1337.924</v>
      </c>
      <c r="Q16" s="25">
        <f>'Annual Raw'!R6</f>
        <v>1810.9860000000001</v>
      </c>
      <c r="R16" s="25">
        <f>'Annual Raw'!S6</f>
        <v>1931.549</v>
      </c>
      <c r="S16" s="25">
        <f>'Annual Raw'!T6</f>
        <v>2069.0030000000002</v>
      </c>
      <c r="T16" s="25">
        <f>'Annual Raw'!U6</f>
        <v>2291.9160000000002</v>
      </c>
      <c r="U16" s="25">
        <f>'Annual Raw'!V6</f>
        <v>2831.72</v>
      </c>
      <c r="V16" s="25">
        <f>'Annual Raw'!W6</f>
        <v>4813.51</v>
      </c>
      <c r="W16" s="25">
        <f>'Annual Raw'!X6</f>
        <v>4935.57</v>
      </c>
      <c r="X16" s="25">
        <f>'Annual Raw'!Y6</f>
        <v>6040.55</v>
      </c>
      <c r="Y16" s="25">
        <f>'Annual Raw'!Z6</f>
        <v>5040.83</v>
      </c>
      <c r="Z16" s="25">
        <f>'Annual Raw'!AA6</f>
        <v>5553.96</v>
      </c>
      <c r="AA16" s="25">
        <f>'Annual Raw'!AB6</f>
        <v>6812.9</v>
      </c>
      <c r="AB16" s="17">
        <f>+SUM(CM16:CP16)</f>
        <v>7834.8350000000009</v>
      </c>
      <c r="AC16" s="17">
        <f>+SUM(CQ16:CT16)</f>
        <v>9010.0602500000005</v>
      </c>
      <c r="AD16" s="17">
        <f>+SUM(CU16:CX16)</f>
        <v>10361.569287499999</v>
      </c>
      <c r="AE16" s="17">
        <f>+SUM(CY16:DB16)</f>
        <v>11915.804680624999</v>
      </c>
      <c r="AI16" s="25">
        <f>'QTR Raw'!C6+'QTR Raw'!C8</f>
        <v>0</v>
      </c>
      <c r="AJ16" s="25">
        <f>'QTR Raw'!D6+'QTR Raw'!D8</f>
        <v>0</v>
      </c>
      <c r="AK16" s="25">
        <f>'QTR Raw'!E6+'QTR Raw'!E8</f>
        <v>0</v>
      </c>
      <c r="AL16" s="25">
        <f>'QTR Raw'!F6+'QTR Raw'!F8</f>
        <v>0</v>
      </c>
      <c r="AM16" s="25">
        <f>'QTR Raw'!G6+'QTR Raw'!G8</f>
        <v>0</v>
      </c>
      <c r="AN16" s="25">
        <f>'QTR Raw'!H6+'QTR Raw'!H8</f>
        <v>0</v>
      </c>
      <c r="AO16" s="25">
        <f>'QTR Raw'!I6+'QTR Raw'!I8</f>
        <v>0</v>
      </c>
      <c r="AP16" s="25">
        <f>'QTR Raw'!J6+'QTR Raw'!J8</f>
        <v>0</v>
      </c>
      <c r="AQ16" s="25">
        <f>'QTR Raw'!K6+'QTR Raw'!K8</f>
        <v>0</v>
      </c>
      <c r="AR16" s="25">
        <f>'QTR Raw'!L6+'QTR Raw'!L8</f>
        <v>0</v>
      </c>
      <c r="AS16" s="25">
        <f>'QTR Raw'!M6+'QTR Raw'!M8</f>
        <v>0</v>
      </c>
      <c r="AT16" s="25">
        <f>'QTR Raw'!N6+'QTR Raw'!N8</f>
        <v>0</v>
      </c>
      <c r="AU16" s="25">
        <f>'QTR Raw'!O6+'QTR Raw'!O8</f>
        <v>0</v>
      </c>
      <c r="AV16" s="25">
        <f>'QTR Raw'!P6+'QTR Raw'!P8</f>
        <v>0</v>
      </c>
      <c r="AW16" s="25">
        <f>'QTR Raw'!Q6+'QTR Raw'!Q8</f>
        <v>450.09800000000001</v>
      </c>
      <c r="AX16" s="25">
        <f>'QTR Raw'!R6+'QTR Raw'!R8</f>
        <v>491.15600000000001</v>
      </c>
      <c r="AY16" s="25">
        <f>'QTR Raw'!S6+'QTR Raw'!S8</f>
        <v>416.49099999999999</v>
      </c>
      <c r="AZ16" s="25">
        <f>'QTR Raw'!T6+'QTR Raw'!T8</f>
        <v>525.41099999999994</v>
      </c>
      <c r="BA16" s="25">
        <f>'QTR Raw'!U6+'QTR Raw'!U8</f>
        <v>509.72899999999998</v>
      </c>
      <c r="BB16" s="25">
        <f>'QTR Raw'!V6+'QTR Raw'!V8</f>
        <v>479.91800000000001</v>
      </c>
      <c r="BC16" s="25">
        <f>'QTR Raw'!W6+'QTR Raw'!W8</f>
        <v>491.22199999999998</v>
      </c>
      <c r="BD16" s="25">
        <f>'QTR Raw'!X6+'QTR Raw'!X8</f>
        <v>538.61</v>
      </c>
      <c r="BE16" s="25">
        <f>'QTR Raw'!Y6+'QTR Raw'!Y8</f>
        <v>478.93099999999998</v>
      </c>
      <c r="BF16" s="25">
        <f>'QTR Raw'!Z6+'QTR Raw'!Z8</f>
        <v>560.24</v>
      </c>
      <c r="BG16" s="25">
        <f>'QTR Raw'!AA6+'QTR Raw'!AA8</f>
        <v>539.01700000000005</v>
      </c>
      <c r="BH16" s="25">
        <f>'QTR Raw'!AB6+'QTR Raw'!AB8</f>
        <v>588.28099999999995</v>
      </c>
      <c r="BI16" s="25">
        <f>'QTR Raw'!AC6+'QTR Raw'!AC8</f>
        <v>529.45699999999999</v>
      </c>
      <c r="BJ16" s="25">
        <f>'QTR Raw'!AD6+'QTR Raw'!AD8</f>
        <v>635.16099999999994</v>
      </c>
      <c r="BK16" s="25">
        <f>'QTR Raw'!AE6+'QTR Raw'!AE8</f>
        <v>550.57000000000005</v>
      </c>
      <c r="BL16" s="25">
        <f>'QTR Raw'!AF6+'QTR Raw'!AF8</f>
        <v>712.42</v>
      </c>
      <c r="BM16" s="25">
        <f>'QTR Raw'!AG6+'QTR Raw'!AG8</f>
        <v>729.59</v>
      </c>
      <c r="BN16" s="25">
        <f>'QTR Raw'!AH6+'QTR Raw'!AH8</f>
        <v>839.14</v>
      </c>
      <c r="BO16" s="25">
        <f>'QTR Raw'!AI6+'QTR Raw'!AI8</f>
        <v>974.32</v>
      </c>
      <c r="BP16" s="25">
        <f>'QTR Raw'!AJ6+'QTR Raw'!AJ8</f>
        <v>1138.8399999999999</v>
      </c>
      <c r="BQ16" s="25">
        <f>'QTR Raw'!AK6+'QTR Raw'!AK8</f>
        <v>1288.42</v>
      </c>
      <c r="BR16" s="25">
        <f>'QTR Raw'!AL6+'QTR Raw'!AL8</f>
        <v>1411.93</v>
      </c>
      <c r="BS16" s="25">
        <f>'QTR Raw'!AM6+'QTR Raw'!AM8</f>
        <v>1278.5</v>
      </c>
      <c r="BT16" s="25">
        <f>'QTR Raw'!AN6+'QTR Raw'!AN8</f>
        <v>1203.48</v>
      </c>
      <c r="BU16" s="25">
        <f>'QTR Raw'!AO6+'QTR Raw'!AO8</f>
        <v>1028.76</v>
      </c>
      <c r="BV16" s="25">
        <f>'QTR Raw'!AP6+'QTR Raw'!AP8</f>
        <v>1424.83</v>
      </c>
      <c r="BW16" s="25">
        <f>'QTR Raw'!AQ6+'QTR Raw'!AQ8</f>
        <v>1538.94</v>
      </c>
      <c r="BX16" s="25">
        <f>'QTR Raw'!AR6+'QTR Raw'!AR8</f>
        <v>1575.89</v>
      </c>
      <c r="BY16" s="25">
        <f>'QTR Raw'!AS6+'QTR Raw'!AS8</f>
        <v>1544.82</v>
      </c>
      <c r="BZ16" s="25">
        <f>'QTR Raw'!AT6+'QTR Raw'!AT8</f>
        <v>1380.9</v>
      </c>
      <c r="CA16" s="25">
        <f>'QTR Raw'!AU6+'QTR Raw'!AU8</f>
        <v>1181.79</v>
      </c>
      <c r="CB16" s="25">
        <f>'QTR Raw'!AV6+'QTR Raw'!AV8</f>
        <v>1224.45</v>
      </c>
      <c r="CC16" s="25">
        <f>'QTR Raw'!AW6+'QTR Raw'!AW8</f>
        <v>1194.92</v>
      </c>
      <c r="CD16" s="25">
        <f>'QTR Raw'!AX6+'QTR Raw'!AX8</f>
        <v>1439.67</v>
      </c>
      <c r="CE16" s="25">
        <f>'QTR Raw'!AY6+'QTR Raw'!AY8</f>
        <v>1194.9100000000001</v>
      </c>
      <c r="CF16" s="25">
        <f>'QTR Raw'!AZ6+'QTR Raw'!AZ8</f>
        <v>1223.7</v>
      </c>
      <c r="CG16" s="25">
        <f>'QTR Raw'!BA6+'QTR Raw'!BA8</f>
        <v>1415.05</v>
      </c>
      <c r="CH16" s="25">
        <f>'QTR Raw'!BB6+'QTR Raw'!BB8</f>
        <v>1720.3</v>
      </c>
      <c r="CI16" s="25">
        <f>'QTR Raw'!BC6+'QTR Raw'!BC8</f>
        <v>1569.57</v>
      </c>
      <c r="CJ16" s="25">
        <f>'QTR Raw'!BD6+'QTR Raw'!BD8</f>
        <v>1653.47</v>
      </c>
      <c r="CK16" s="25">
        <f>'QTR Raw'!BE6+'QTR Raw'!BE8</f>
        <v>1778.29</v>
      </c>
      <c r="CL16" s="25">
        <f>'QTR Raw'!BF6+'QTR Raw'!BF8</f>
        <v>1811.57</v>
      </c>
      <c r="CM16" s="17">
        <f t="shared" ref="CM16:DB16" si="45">+CI18+(CM19*CI18)</f>
        <v>1805.0055</v>
      </c>
      <c r="CN16" s="17">
        <f t="shared" si="45"/>
        <v>1901.4905000000001</v>
      </c>
      <c r="CO16" s="17">
        <f t="shared" si="45"/>
        <v>2045.0335</v>
      </c>
      <c r="CP16" s="17">
        <f t="shared" si="45"/>
        <v>2083.3054999999999</v>
      </c>
      <c r="CQ16" s="17">
        <f t="shared" si="45"/>
        <v>2075.7563249999998</v>
      </c>
      <c r="CR16" s="17">
        <f t="shared" si="45"/>
        <v>2186.7140749999999</v>
      </c>
      <c r="CS16" s="17">
        <f t="shared" si="45"/>
        <v>2351.7885249999999</v>
      </c>
      <c r="CT16" s="17">
        <f t="shared" si="45"/>
        <v>2395.8013249999999</v>
      </c>
      <c r="CU16" s="17">
        <f t="shared" si="45"/>
        <v>2387.1197737499997</v>
      </c>
      <c r="CV16" s="17">
        <f t="shared" si="45"/>
        <v>2514.7211862499998</v>
      </c>
      <c r="CW16" s="17">
        <f t="shared" si="45"/>
        <v>2704.5568037499997</v>
      </c>
      <c r="CX16" s="17">
        <f t="shared" si="45"/>
        <v>2755.1715237499998</v>
      </c>
      <c r="CY16" s="17">
        <f t="shared" si="45"/>
        <v>2745.1877398124998</v>
      </c>
      <c r="CZ16" s="17">
        <f t="shared" si="45"/>
        <v>2891.9293641874997</v>
      </c>
      <c r="DA16" s="17">
        <f t="shared" si="45"/>
        <v>3110.2403243124995</v>
      </c>
      <c r="DB16" s="17">
        <f t="shared" si="45"/>
        <v>3168.4472523124996</v>
      </c>
      <c r="DE16" s="119"/>
      <c r="DF16" s="25">
        <v>6812.9</v>
      </c>
    </row>
    <row r="17" spans="1:110" s="92" customFormat="1" outlineLevel="1" x14ac:dyDescent="0.2">
      <c r="A17" s="92" t="s">
        <v>109</v>
      </c>
      <c r="B17" s="92">
        <f>'Annual Raw'!C7+'Annual Raw'!C8+'Annual Raw'!C9</f>
        <v>0</v>
      </c>
      <c r="C17" s="92">
        <f>'Annual Raw'!D7+'Annual Raw'!D8+'Annual Raw'!D9</f>
        <v>0</v>
      </c>
      <c r="D17" s="92">
        <f>'Annual Raw'!E7+'Annual Raw'!E8+'Annual Raw'!E9</f>
        <v>0</v>
      </c>
      <c r="E17" s="92">
        <f>'Annual Raw'!F7+'Annual Raw'!F8+'Annual Raw'!F9</f>
        <v>0</v>
      </c>
      <c r="F17" s="92">
        <f>'Annual Raw'!G7+'Annual Raw'!G8+'Annual Raw'!G9</f>
        <v>0</v>
      </c>
      <c r="G17" s="92">
        <f>'Annual Raw'!H7+'Annual Raw'!H8+'Annual Raw'!H9</f>
        <v>0</v>
      </c>
      <c r="H17" s="92">
        <f>'Annual Raw'!I7+'Annual Raw'!I8+'Annual Raw'!I9</f>
        <v>0</v>
      </c>
      <c r="I17" s="92">
        <f>'Annual Raw'!J7+'Annual Raw'!J8+'Annual Raw'!J9</f>
        <v>0</v>
      </c>
      <c r="J17" s="92">
        <f>'Annual Raw'!K7+'Annual Raw'!K8+'Annual Raw'!K9</f>
        <v>0</v>
      </c>
      <c r="K17" s="92">
        <f>'Annual Raw'!L7+'Annual Raw'!L8+'Annual Raw'!L9</f>
        <v>0</v>
      </c>
      <c r="L17" s="92">
        <f>'Annual Raw'!M7+'Annual Raw'!M8+'Annual Raw'!M9</f>
        <v>0</v>
      </c>
      <c r="M17" s="92">
        <f>'Annual Raw'!N7+'Annual Raw'!N8+'Annual Raw'!N9</f>
        <v>3.3769999999999998</v>
      </c>
      <c r="N17" s="92">
        <f>'Annual Raw'!O7+'Annual Raw'!O8+'Annual Raw'!O9</f>
        <v>4.0309999999999997</v>
      </c>
      <c r="O17" s="92">
        <f>'Annual Raw'!P7+'Annual Raw'!P8+'Annual Raw'!P9</f>
        <v>5.9690000000000003</v>
      </c>
      <c r="P17" s="92">
        <f>'Annual Raw'!Q7+'Annual Raw'!Q8+'Annual Raw'!Q9</f>
        <v>11.334</v>
      </c>
      <c r="Q17" s="92">
        <f>'Annual Raw'!R7+'Annual Raw'!R8+'Annual Raw'!R9</f>
        <v>33.408000000000001</v>
      </c>
      <c r="R17" s="92">
        <f>'Annual Raw'!S7+'Annual Raw'!S8+'Annual Raw'!S9</f>
        <v>26.902000000000001</v>
      </c>
      <c r="S17" s="92">
        <f>'Annual Raw'!T7+'Annual Raw'!T8+'Annual Raw'!T9</f>
        <v>12.833</v>
      </c>
      <c r="T17" s="92">
        <f>'Annual Raw'!U7+'Annual Raw'!U8+'Annual Raw'!U9</f>
        <v>0</v>
      </c>
      <c r="U17" s="92">
        <f>'Annual Raw'!V7+'Annual Raw'!V8+'Annual Raw'!V9</f>
        <v>0</v>
      </c>
      <c r="V17" s="92">
        <f>'Annual Raw'!W7+'Annual Raw'!W8+'Annual Raw'!W9</f>
        <v>0</v>
      </c>
      <c r="W17" s="92">
        <f>'Annual Raw'!X7+'Annual Raw'!X8+'Annual Raw'!X9</f>
        <v>0</v>
      </c>
      <c r="X17" s="92">
        <f>'Annual Raw'!Y7+'Annual Raw'!Y8+'Annual Raw'!Y9</f>
        <v>0</v>
      </c>
      <c r="Y17" s="92">
        <f>'Annual Raw'!Z7+'Annual Raw'!Z8+'Annual Raw'!Z9</f>
        <v>0</v>
      </c>
      <c r="Z17" s="92">
        <f>'Annual Raw'!AA7+'Annual Raw'!AA8+'Annual Raw'!AA9</f>
        <v>0</v>
      </c>
      <c r="AA17" s="92">
        <f>'Annual Raw'!AB7+'Annual Raw'!AB8+'Annual Raw'!AB9</f>
        <v>0</v>
      </c>
      <c r="AB17" s="76">
        <f>+SUM(CM17:CP17)</f>
        <v>0</v>
      </c>
      <c r="AC17" s="76">
        <f>+SUM(CQ17:CT17)</f>
        <v>0</v>
      </c>
      <c r="AD17" s="76">
        <f>+SUM(CU17:CX17)</f>
        <v>0</v>
      </c>
      <c r="AE17" s="76">
        <f>+SUM(CY17:DB17)</f>
        <v>0</v>
      </c>
      <c r="AI17" s="92">
        <f>+'QTR Raw'!C20+'QTR Raw'!C19+'QTR Raw'!C13+'QTR Raw'!C7</f>
        <v>0</v>
      </c>
      <c r="AJ17" s="92">
        <f>+'QTR Raw'!D20+'QTR Raw'!D19+'QTR Raw'!D13+'QTR Raw'!D7</f>
        <v>0</v>
      </c>
      <c r="AK17" s="92">
        <f>+'QTR Raw'!E20+'QTR Raw'!E19+'QTR Raw'!E13+'QTR Raw'!E7</f>
        <v>0</v>
      </c>
      <c r="AL17" s="92">
        <f>+'QTR Raw'!F20+'QTR Raw'!F19+'QTR Raw'!F13+'QTR Raw'!F7</f>
        <v>0</v>
      </c>
      <c r="AM17" s="92">
        <f>+'QTR Raw'!G20+'QTR Raw'!G19+'QTR Raw'!G13+'QTR Raw'!G7</f>
        <v>0</v>
      </c>
      <c r="AN17" s="92">
        <f>+'QTR Raw'!H20+'QTR Raw'!H19+'QTR Raw'!H13+'QTR Raw'!H7</f>
        <v>0</v>
      </c>
      <c r="AO17" s="92">
        <f>+'QTR Raw'!I20+'QTR Raw'!I19+'QTR Raw'!I13+'QTR Raw'!I7</f>
        <v>0</v>
      </c>
      <c r="AP17" s="92">
        <f>+'QTR Raw'!J20+'QTR Raw'!J19+'QTR Raw'!J13+'QTR Raw'!J7</f>
        <v>0</v>
      </c>
      <c r="AQ17" s="92">
        <f>+'QTR Raw'!K20+'QTR Raw'!K19+'QTR Raw'!K13+'QTR Raw'!K7</f>
        <v>0</v>
      </c>
      <c r="AR17" s="92">
        <f>+'QTR Raw'!L20+'QTR Raw'!L19+'QTR Raw'!L13+'QTR Raw'!L7</f>
        <v>0</v>
      </c>
      <c r="AS17" s="92">
        <f>+'QTR Raw'!M20+'QTR Raw'!M19+'QTR Raw'!M13+'QTR Raw'!M7</f>
        <v>0</v>
      </c>
      <c r="AT17" s="92">
        <f>+'QTR Raw'!N20+'QTR Raw'!N19+'QTR Raw'!N13+'QTR Raw'!N7</f>
        <v>0</v>
      </c>
      <c r="AU17" s="92">
        <f>+'QTR Raw'!O20+'QTR Raw'!O19+'QTR Raw'!O13+'QTR Raw'!O7</f>
        <v>0</v>
      </c>
      <c r="AV17" s="92">
        <f>+'QTR Raw'!P20+'QTR Raw'!P19+'QTR Raw'!P13+'QTR Raw'!P7</f>
        <v>0</v>
      </c>
      <c r="AW17" s="92">
        <f>+'QTR Raw'!Q20+'QTR Raw'!Q19+'QTR Raw'!Q13+'QTR Raw'!Q7</f>
        <v>0</v>
      </c>
      <c r="AX17" s="92">
        <f>+'QTR Raw'!R20+'QTR Raw'!R19+'QTR Raw'!R13+'QTR Raw'!R7</f>
        <v>8.0670000000000002</v>
      </c>
      <c r="AY17" s="92">
        <f>+'QTR Raw'!S20+'QTR Raw'!S19+'QTR Raw'!S13+'QTR Raw'!S7</f>
        <v>6.7309999999999999</v>
      </c>
      <c r="AZ17" s="92">
        <f>+'QTR Raw'!T20+'QTR Raw'!T19+'QTR Raw'!T13+'QTR Raw'!T7</f>
        <v>8.9149999999999991</v>
      </c>
      <c r="BA17" s="92">
        <f>+'QTR Raw'!U20+'QTR Raw'!U19+'QTR Raw'!U13+'QTR Raw'!U7</f>
        <v>4.0890000000000004</v>
      </c>
      <c r="BB17" s="92">
        <f>+'QTR Raw'!V20+'QTR Raw'!V19+'QTR Raw'!V13+'QTR Raw'!V7</f>
        <v>7.1669999999999998</v>
      </c>
      <c r="BC17" s="92">
        <f>+'QTR Raw'!W20+'QTR Raw'!W19+'QTR Raw'!W13+'QTR Raw'!W7</f>
        <v>12.833</v>
      </c>
      <c r="BD17" s="92">
        <f>+'QTR Raw'!X20+'QTR Raw'!X19+'QTR Raw'!X13+'QTR Raw'!X7</f>
        <v>0</v>
      </c>
      <c r="BE17" s="92">
        <f>+'QTR Raw'!Y20+'QTR Raw'!Y19+'QTR Raw'!Y13+'QTR Raw'!Y7</f>
        <v>0</v>
      </c>
      <c r="BF17" s="92">
        <f>+'QTR Raw'!Z20+'QTR Raw'!Z19+'QTR Raw'!Z13+'QTR Raw'!Z7</f>
        <v>0</v>
      </c>
      <c r="BG17" s="92">
        <f>+'QTR Raw'!AA20+'QTR Raw'!AA19+'QTR Raw'!AA13+'QTR Raw'!AA7</f>
        <v>0</v>
      </c>
      <c r="BH17" s="92">
        <f>+'QTR Raw'!AB20+'QTR Raw'!AB19+'QTR Raw'!AB13+'QTR Raw'!AB7</f>
        <v>0</v>
      </c>
      <c r="BI17" s="92">
        <f>+'QTR Raw'!AC20+'QTR Raw'!AC19+'QTR Raw'!AC13+'QTR Raw'!AC7</f>
        <v>0</v>
      </c>
      <c r="BJ17" s="92">
        <f>+'QTR Raw'!AD20+'QTR Raw'!AD19+'QTR Raw'!AD13+'QTR Raw'!AD7</f>
        <v>0</v>
      </c>
      <c r="BK17" s="92">
        <f>+'QTR Raw'!AE20+'QTR Raw'!AE19+'QTR Raw'!AE13+'QTR Raw'!AE7</f>
        <v>0</v>
      </c>
      <c r="BL17" s="92">
        <f>+'QTR Raw'!AF20+'QTR Raw'!AF19+'QTR Raw'!AF13+'QTR Raw'!AF7</f>
        <v>0</v>
      </c>
      <c r="BM17" s="92">
        <f>+'QTR Raw'!AG20+'QTR Raw'!AG19+'QTR Raw'!AG13+'QTR Raw'!AG7</f>
        <v>0</v>
      </c>
      <c r="BN17" s="92">
        <f>+'QTR Raw'!AH20+'QTR Raw'!AH19+'QTR Raw'!AH13+'QTR Raw'!AH7</f>
        <v>0</v>
      </c>
      <c r="BO17" s="92">
        <f>+'QTR Raw'!AI20+'QTR Raw'!AI19+'QTR Raw'!AI13+'QTR Raw'!AI7</f>
        <v>0</v>
      </c>
      <c r="BP17" s="92">
        <f>+'QTR Raw'!AJ20+'QTR Raw'!AJ19+'QTR Raw'!AJ13+'QTR Raw'!AJ7</f>
        <v>0</v>
      </c>
      <c r="BQ17" s="92">
        <f>+'QTR Raw'!AK20+'QTR Raw'!AK19+'QTR Raw'!AK13+'QTR Raw'!AK7</f>
        <v>0</v>
      </c>
      <c r="BR17" s="92">
        <f>+'QTR Raw'!AL20+'QTR Raw'!AL19+'QTR Raw'!AL13+'QTR Raw'!AL7</f>
        <v>0</v>
      </c>
      <c r="BS17" s="92">
        <f>+'QTR Raw'!AM20+'QTR Raw'!AM19+'QTR Raw'!AM13+'QTR Raw'!AM7</f>
        <v>0</v>
      </c>
      <c r="BT17" s="92">
        <f>+'QTR Raw'!AN20+'QTR Raw'!AN19+'QTR Raw'!AN13+'QTR Raw'!AN7</f>
        <v>0</v>
      </c>
      <c r="BU17" s="92">
        <f>+'QTR Raw'!AO20+'QTR Raw'!AO19+'QTR Raw'!AO13+'QTR Raw'!AO7</f>
        <v>0</v>
      </c>
      <c r="BV17" s="92">
        <f>+'QTR Raw'!AP20+'QTR Raw'!AP19+'QTR Raw'!AP13+'QTR Raw'!AP7</f>
        <v>0</v>
      </c>
      <c r="BW17" s="92">
        <f>+'QTR Raw'!AQ20+'QTR Raw'!AQ19+'QTR Raw'!AQ13+'QTR Raw'!AQ7</f>
        <v>0</v>
      </c>
      <c r="BX17" s="92">
        <f>+'QTR Raw'!AR20+'QTR Raw'!AR19+'QTR Raw'!AR13+'QTR Raw'!AR7</f>
        <v>0</v>
      </c>
      <c r="BY17" s="92">
        <f>+'QTR Raw'!AS20+'QTR Raw'!AS19+'QTR Raw'!AS13+'QTR Raw'!AS7</f>
        <v>0</v>
      </c>
      <c r="BZ17" s="92">
        <f>+'QTR Raw'!AT20+'QTR Raw'!AT19+'QTR Raw'!AT13+'QTR Raw'!AT7</f>
        <v>0</v>
      </c>
      <c r="CA17" s="92">
        <f>+'QTR Raw'!AU20+'QTR Raw'!AU19+'QTR Raw'!AU13+'QTR Raw'!AU7</f>
        <v>0</v>
      </c>
      <c r="CB17" s="92">
        <f>+'QTR Raw'!AV20+'QTR Raw'!AV19+'QTR Raw'!AV13+'QTR Raw'!AV7</f>
        <v>0</v>
      </c>
      <c r="CC17" s="92">
        <f>+'QTR Raw'!AW20+'QTR Raw'!AW19+'QTR Raw'!AW13+'QTR Raw'!AW7</f>
        <v>0</v>
      </c>
      <c r="CD17" s="92">
        <f>+'QTR Raw'!AX20+'QTR Raw'!AX19+'QTR Raw'!AX13+'QTR Raw'!AX7</f>
        <v>0</v>
      </c>
      <c r="CE17" s="92">
        <f>+'QTR Raw'!AY20+'QTR Raw'!AY19+'QTR Raw'!AY13+'QTR Raw'!AY7</f>
        <v>0</v>
      </c>
      <c r="CF17" s="92">
        <f>+'QTR Raw'!AZ20+'QTR Raw'!AZ19+'QTR Raw'!AZ13+'QTR Raw'!AZ7</f>
        <v>0</v>
      </c>
      <c r="CG17" s="92">
        <f>+'QTR Raw'!BA20+'QTR Raw'!BA19+'QTR Raw'!BA13+'QTR Raw'!BA7</f>
        <v>0</v>
      </c>
      <c r="CH17" s="92">
        <f>+'QTR Raw'!BB20+'QTR Raw'!BB19+'QTR Raw'!BB13+'QTR Raw'!BB7</f>
        <v>0</v>
      </c>
      <c r="CI17" s="92">
        <f>+'QTR Raw'!BC20+'QTR Raw'!BC19+'QTR Raw'!BC13+'QTR Raw'!BC7</f>
        <v>0</v>
      </c>
      <c r="CJ17" s="92">
        <f>+'QTR Raw'!BD20+'QTR Raw'!BD19+'QTR Raw'!BD13+'QTR Raw'!BD7</f>
        <v>0</v>
      </c>
      <c r="CK17" s="92">
        <f>+'QTR Raw'!BE20+'QTR Raw'!BE19+'QTR Raw'!BE13+'QTR Raw'!BE7</f>
        <v>0</v>
      </c>
      <c r="CL17" s="92">
        <f>+'QTR Raw'!BF20+'QTR Raw'!BF19+'QTR Raw'!BF13+'QTR Raw'!BF7</f>
        <v>0</v>
      </c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E17" s="120"/>
      <c r="DF17" s="92">
        <v>0</v>
      </c>
    </row>
    <row r="18" spans="1:110" s="26" customFormat="1" x14ac:dyDescent="0.2">
      <c r="A18" s="26" t="s">
        <v>431</v>
      </c>
      <c r="B18" s="26">
        <f>+B16-B17</f>
        <v>0</v>
      </c>
      <c r="C18" s="26">
        <f>+C16-C17</f>
        <v>0</v>
      </c>
      <c r="D18" s="26">
        <f t="shared" ref="D18:U18" si="46">+D16-D17</f>
        <v>0</v>
      </c>
      <c r="E18" s="26">
        <f t="shared" si="46"/>
        <v>0</v>
      </c>
      <c r="F18" s="26">
        <f t="shared" si="46"/>
        <v>0</v>
      </c>
      <c r="G18" s="26">
        <f t="shared" si="46"/>
        <v>0</v>
      </c>
      <c r="H18" s="26">
        <f t="shared" si="46"/>
        <v>0</v>
      </c>
      <c r="I18" s="26">
        <f t="shared" si="46"/>
        <v>0</v>
      </c>
      <c r="J18" s="26">
        <f t="shared" si="46"/>
        <v>0</v>
      </c>
      <c r="K18" s="26">
        <f t="shared" si="46"/>
        <v>0</v>
      </c>
      <c r="L18" s="26">
        <f t="shared" si="46"/>
        <v>0</v>
      </c>
      <c r="M18" s="26">
        <f t="shared" si="46"/>
        <v>450.71800000000002</v>
      </c>
      <c r="N18" s="26">
        <f t="shared" si="46"/>
        <v>718.51100000000008</v>
      </c>
      <c r="O18" s="26">
        <f t="shared" si="46"/>
        <v>1159.7169999999999</v>
      </c>
      <c r="P18" s="26">
        <f t="shared" si="46"/>
        <v>1326.59</v>
      </c>
      <c r="Q18" s="26">
        <f t="shared" si="46"/>
        <v>1777.5780000000002</v>
      </c>
      <c r="R18" s="26">
        <f t="shared" si="46"/>
        <v>1904.6469999999999</v>
      </c>
      <c r="S18" s="26">
        <f t="shared" si="46"/>
        <v>2056.17</v>
      </c>
      <c r="T18" s="26">
        <f t="shared" si="46"/>
        <v>2291.9160000000002</v>
      </c>
      <c r="U18" s="26">
        <f t="shared" si="46"/>
        <v>2831.72</v>
      </c>
      <c r="V18" s="26">
        <f t="shared" ref="V18:AA18" si="47">+V16-V17</f>
        <v>4813.51</v>
      </c>
      <c r="W18" s="26">
        <f t="shared" si="47"/>
        <v>4935.57</v>
      </c>
      <c r="X18" s="26">
        <f t="shared" si="47"/>
        <v>6040.55</v>
      </c>
      <c r="Y18" s="26">
        <f t="shared" si="47"/>
        <v>5040.83</v>
      </c>
      <c r="Z18" s="26">
        <f t="shared" si="47"/>
        <v>5553.96</v>
      </c>
      <c r="AA18" s="26">
        <f t="shared" si="47"/>
        <v>6812.9</v>
      </c>
      <c r="AB18" s="27">
        <f t="shared" ref="AB18:AD18" si="48">+AB16-AB17</f>
        <v>7834.8350000000009</v>
      </c>
      <c r="AC18" s="27">
        <f t="shared" si="48"/>
        <v>9010.0602500000005</v>
      </c>
      <c r="AD18" s="27">
        <f t="shared" si="48"/>
        <v>10361.569287499999</v>
      </c>
      <c r="AE18" s="27">
        <f t="shared" ref="AE18" si="49">+AE16-AE17</f>
        <v>11915.804680624999</v>
      </c>
      <c r="AI18" s="26">
        <f t="shared" ref="AI18" si="50">+AI16-AI17</f>
        <v>0</v>
      </c>
      <c r="AJ18" s="26">
        <f t="shared" ref="AJ18" si="51">+AJ16-AJ17</f>
        <v>0</v>
      </c>
      <c r="AK18" s="26">
        <f t="shared" ref="AK18:AM18" si="52">+AK16-AK17</f>
        <v>0</v>
      </c>
      <c r="AL18" s="26">
        <f t="shared" si="52"/>
        <v>0</v>
      </c>
      <c r="AM18" s="26">
        <f t="shared" si="52"/>
        <v>0</v>
      </c>
      <c r="AN18" s="26">
        <f t="shared" ref="AN18:AO18" si="53">+AN16-AN17</f>
        <v>0</v>
      </c>
      <c r="AO18" s="26">
        <f t="shared" si="53"/>
        <v>0</v>
      </c>
      <c r="AP18" s="26">
        <f t="shared" ref="AP18:AW18" si="54">+AP16-AP17</f>
        <v>0</v>
      </c>
      <c r="AQ18" s="26">
        <f t="shared" si="54"/>
        <v>0</v>
      </c>
      <c r="AR18" s="26">
        <f t="shared" si="54"/>
        <v>0</v>
      </c>
      <c r="AS18" s="26">
        <f t="shared" si="54"/>
        <v>0</v>
      </c>
      <c r="AT18" s="26">
        <f t="shared" si="54"/>
        <v>0</v>
      </c>
      <c r="AU18" s="26">
        <f t="shared" si="54"/>
        <v>0</v>
      </c>
      <c r="AV18" s="26">
        <f t="shared" si="54"/>
        <v>0</v>
      </c>
      <c r="AW18" s="26">
        <f t="shared" si="54"/>
        <v>450.09800000000001</v>
      </c>
      <c r="AX18" s="26">
        <f t="shared" ref="AX18:CF18" si="55">+AX16-AX17</f>
        <v>483.089</v>
      </c>
      <c r="AY18" s="26">
        <f t="shared" si="55"/>
        <v>409.76</v>
      </c>
      <c r="AZ18" s="26">
        <f t="shared" si="55"/>
        <v>516.49599999999998</v>
      </c>
      <c r="BA18" s="26">
        <f t="shared" si="55"/>
        <v>505.64</v>
      </c>
      <c r="BB18" s="26">
        <f t="shared" si="55"/>
        <v>472.75100000000003</v>
      </c>
      <c r="BC18" s="26">
        <f t="shared" si="55"/>
        <v>478.38899999999995</v>
      </c>
      <c r="BD18" s="26">
        <f t="shared" si="55"/>
        <v>538.61</v>
      </c>
      <c r="BE18" s="26">
        <f t="shared" si="55"/>
        <v>478.93099999999998</v>
      </c>
      <c r="BF18" s="26">
        <f t="shared" si="55"/>
        <v>560.24</v>
      </c>
      <c r="BG18" s="26">
        <f t="shared" si="55"/>
        <v>539.01700000000005</v>
      </c>
      <c r="BH18" s="26">
        <f t="shared" si="55"/>
        <v>588.28099999999995</v>
      </c>
      <c r="BI18" s="26">
        <f t="shared" si="55"/>
        <v>529.45699999999999</v>
      </c>
      <c r="BJ18" s="26">
        <f t="shared" si="55"/>
        <v>635.16099999999994</v>
      </c>
      <c r="BK18" s="26">
        <f t="shared" si="55"/>
        <v>550.57000000000005</v>
      </c>
      <c r="BL18" s="26">
        <f t="shared" si="55"/>
        <v>712.42</v>
      </c>
      <c r="BM18" s="26">
        <f t="shared" si="55"/>
        <v>729.59</v>
      </c>
      <c r="BN18" s="26">
        <f t="shared" si="55"/>
        <v>839.14</v>
      </c>
      <c r="BO18" s="26">
        <f t="shared" si="55"/>
        <v>974.32</v>
      </c>
      <c r="BP18" s="26">
        <f t="shared" si="55"/>
        <v>1138.8399999999999</v>
      </c>
      <c r="BQ18" s="26">
        <f t="shared" si="55"/>
        <v>1288.42</v>
      </c>
      <c r="BR18" s="26">
        <f t="shared" si="55"/>
        <v>1411.93</v>
      </c>
      <c r="BS18" s="26">
        <f t="shared" si="55"/>
        <v>1278.5</v>
      </c>
      <c r="BT18" s="26">
        <f t="shared" si="55"/>
        <v>1203.48</v>
      </c>
      <c r="BU18" s="26">
        <f t="shared" si="55"/>
        <v>1028.76</v>
      </c>
      <c r="BV18" s="26">
        <f t="shared" si="55"/>
        <v>1424.83</v>
      </c>
      <c r="BW18" s="26">
        <f t="shared" si="55"/>
        <v>1538.94</v>
      </c>
      <c r="BX18" s="26">
        <f t="shared" si="55"/>
        <v>1575.89</v>
      </c>
      <c r="BY18" s="26">
        <f t="shared" si="55"/>
        <v>1544.82</v>
      </c>
      <c r="BZ18" s="26">
        <f t="shared" si="55"/>
        <v>1380.9</v>
      </c>
      <c r="CA18" s="26">
        <f t="shared" si="55"/>
        <v>1181.79</v>
      </c>
      <c r="CB18" s="26">
        <f t="shared" si="55"/>
        <v>1224.45</v>
      </c>
      <c r="CC18" s="26">
        <f t="shared" si="55"/>
        <v>1194.92</v>
      </c>
      <c r="CD18" s="26">
        <f t="shared" si="55"/>
        <v>1439.67</v>
      </c>
      <c r="CE18" s="26">
        <f t="shared" si="55"/>
        <v>1194.9100000000001</v>
      </c>
      <c r="CF18" s="26">
        <f t="shared" si="55"/>
        <v>1223.7</v>
      </c>
      <c r="CG18" s="26">
        <f t="shared" ref="CG18:CH18" si="56">+CG16-CG17</f>
        <v>1415.05</v>
      </c>
      <c r="CH18" s="26">
        <f t="shared" si="56"/>
        <v>1720.3</v>
      </c>
      <c r="CI18" s="26">
        <f t="shared" ref="CI18:CJ18" si="57">+CI16-CI17</f>
        <v>1569.57</v>
      </c>
      <c r="CJ18" s="26">
        <f t="shared" si="57"/>
        <v>1653.47</v>
      </c>
      <c r="CK18" s="26">
        <f t="shared" ref="CK18:CL18" si="58">+CK16-CK17</f>
        <v>1778.29</v>
      </c>
      <c r="CL18" s="26">
        <f t="shared" si="58"/>
        <v>1811.57</v>
      </c>
      <c r="CM18" s="27">
        <f t="shared" ref="CM18:DB18" si="59">+CM16-CM17</f>
        <v>1805.0055</v>
      </c>
      <c r="CN18" s="27">
        <f t="shared" si="59"/>
        <v>1901.4905000000001</v>
      </c>
      <c r="CO18" s="27">
        <f t="shared" si="59"/>
        <v>2045.0335</v>
      </c>
      <c r="CP18" s="27">
        <f t="shared" si="59"/>
        <v>2083.3054999999999</v>
      </c>
      <c r="CQ18" s="27">
        <f t="shared" si="59"/>
        <v>2075.7563249999998</v>
      </c>
      <c r="CR18" s="27">
        <f t="shared" si="59"/>
        <v>2186.7140749999999</v>
      </c>
      <c r="CS18" s="27">
        <f t="shared" si="59"/>
        <v>2351.7885249999999</v>
      </c>
      <c r="CT18" s="27">
        <f t="shared" si="59"/>
        <v>2395.8013249999999</v>
      </c>
      <c r="CU18" s="27">
        <f t="shared" si="59"/>
        <v>2387.1197737499997</v>
      </c>
      <c r="CV18" s="27">
        <f t="shared" si="59"/>
        <v>2514.7211862499998</v>
      </c>
      <c r="CW18" s="27">
        <f t="shared" si="59"/>
        <v>2704.5568037499997</v>
      </c>
      <c r="CX18" s="27">
        <f t="shared" si="59"/>
        <v>2755.1715237499998</v>
      </c>
      <c r="CY18" s="27">
        <f t="shared" si="59"/>
        <v>2745.1877398124998</v>
      </c>
      <c r="CZ18" s="27">
        <f t="shared" si="59"/>
        <v>2891.9293641874997</v>
      </c>
      <c r="DA18" s="27">
        <f t="shared" si="59"/>
        <v>3110.2403243124995</v>
      </c>
      <c r="DB18" s="27">
        <f t="shared" si="59"/>
        <v>3168.4472523124996</v>
      </c>
      <c r="DE18" s="121"/>
      <c r="DF18" s="26">
        <v>6812.9</v>
      </c>
    </row>
    <row r="19" spans="1:110" s="39" customFormat="1" x14ac:dyDescent="0.2">
      <c r="A19" s="39" t="s">
        <v>484</v>
      </c>
      <c r="C19" s="39" t="e">
        <f t="shared" ref="C19" si="60">C18/B18-1</f>
        <v>#DIV/0!</v>
      </c>
      <c r="D19" s="39" t="e">
        <f t="shared" ref="D19" si="61">D18/C18-1</f>
        <v>#DIV/0!</v>
      </c>
      <c r="E19" s="39" t="e">
        <f t="shared" ref="E19" si="62">E18/D18-1</f>
        <v>#DIV/0!</v>
      </c>
      <c r="F19" s="39" t="e">
        <f t="shared" ref="F19:R19" si="63">F18/E18-1</f>
        <v>#DIV/0!</v>
      </c>
      <c r="G19" s="39" t="e">
        <f t="shared" si="63"/>
        <v>#DIV/0!</v>
      </c>
      <c r="H19" s="39" t="e">
        <f t="shared" si="63"/>
        <v>#DIV/0!</v>
      </c>
      <c r="I19" s="39" t="e">
        <f t="shared" si="63"/>
        <v>#DIV/0!</v>
      </c>
      <c r="J19" s="39" t="e">
        <f t="shared" si="63"/>
        <v>#DIV/0!</v>
      </c>
      <c r="K19" s="39" t="e">
        <f>K18/J18-1</f>
        <v>#DIV/0!</v>
      </c>
      <c r="L19" s="39" t="e">
        <f t="shared" si="63"/>
        <v>#DIV/0!</v>
      </c>
      <c r="M19" s="39" t="e">
        <f t="shared" si="63"/>
        <v>#DIV/0!</v>
      </c>
      <c r="N19" s="39">
        <f t="shared" si="63"/>
        <v>0.59414756011519421</v>
      </c>
      <c r="O19" s="39">
        <f t="shared" si="63"/>
        <v>0.61405601306034252</v>
      </c>
      <c r="P19" s="39">
        <f t="shared" si="63"/>
        <v>0.14389113895890127</v>
      </c>
      <c r="Q19" s="39">
        <f t="shared" si="63"/>
        <v>0.3399603494674317</v>
      </c>
      <c r="R19" s="39">
        <f t="shared" si="63"/>
        <v>7.1484345553331385E-2</v>
      </c>
      <c r="S19" s="39">
        <f t="shared" ref="S19:AA19" si="64">S18/R18-1</f>
        <v>7.9554374117618787E-2</v>
      </c>
      <c r="T19" s="39">
        <f t="shared" si="64"/>
        <v>0.11465297130101115</v>
      </c>
      <c r="U19" s="39">
        <f t="shared" si="64"/>
        <v>0.23552521122065539</v>
      </c>
      <c r="V19" s="39">
        <f t="shared" si="64"/>
        <v>0.69985379910443135</v>
      </c>
      <c r="W19" s="39">
        <f t="shared" si="64"/>
        <v>2.5357795039378628E-2</v>
      </c>
      <c r="X19" s="39">
        <f t="shared" si="64"/>
        <v>0.22388092965959361</v>
      </c>
      <c r="Y19" s="39">
        <f t="shared" si="64"/>
        <v>-0.16550148579185675</v>
      </c>
      <c r="Z19" s="39">
        <f t="shared" si="64"/>
        <v>0.10179474411951994</v>
      </c>
      <c r="AA19" s="39">
        <f t="shared" si="64"/>
        <v>0.2266743008592067</v>
      </c>
      <c r="AB19" s="40">
        <f t="shared" ref="AB19" si="65">AB18/AA18-1</f>
        <v>0.15000000000000013</v>
      </c>
      <c r="AC19" s="40">
        <f t="shared" ref="AC19" si="66">AC18/AB18-1</f>
        <v>0.14999999999999991</v>
      </c>
      <c r="AD19" s="40">
        <f t="shared" ref="AD19" si="67">AD18/AC18-1</f>
        <v>0.14999999999999969</v>
      </c>
      <c r="AE19" s="40">
        <f t="shared" ref="AE19" si="68">AE18/AD18-1</f>
        <v>0.14999999999999991</v>
      </c>
      <c r="AM19" s="39" t="e">
        <f t="shared" ref="AM19:CI19" si="69">+IF(AI18&lt;0,1-AM18/AI18,AM18/AI18-1)</f>
        <v>#DIV/0!</v>
      </c>
      <c r="AN19" s="39" t="e">
        <f t="shared" si="69"/>
        <v>#DIV/0!</v>
      </c>
      <c r="AO19" s="39" t="e">
        <f t="shared" si="69"/>
        <v>#DIV/0!</v>
      </c>
      <c r="AP19" s="39" t="e">
        <f t="shared" si="69"/>
        <v>#DIV/0!</v>
      </c>
      <c r="AQ19" s="39" t="e">
        <f t="shared" si="69"/>
        <v>#DIV/0!</v>
      </c>
      <c r="AR19" s="39" t="e">
        <f t="shared" si="69"/>
        <v>#DIV/0!</v>
      </c>
      <c r="AS19" s="39" t="e">
        <f t="shared" si="69"/>
        <v>#DIV/0!</v>
      </c>
      <c r="AT19" s="39" t="e">
        <f t="shared" si="69"/>
        <v>#DIV/0!</v>
      </c>
      <c r="AU19" s="39" t="e">
        <f t="shared" si="69"/>
        <v>#DIV/0!</v>
      </c>
      <c r="AV19" s="39" t="e">
        <f t="shared" si="69"/>
        <v>#DIV/0!</v>
      </c>
      <c r="AW19" s="39" t="e">
        <f t="shared" si="69"/>
        <v>#DIV/0!</v>
      </c>
      <c r="AX19" s="39" t="e">
        <f t="shared" si="69"/>
        <v>#DIV/0!</v>
      </c>
      <c r="AY19" s="39" t="e">
        <f t="shared" si="69"/>
        <v>#DIV/0!</v>
      </c>
      <c r="AZ19" s="39" t="e">
        <f t="shared" si="69"/>
        <v>#DIV/0!</v>
      </c>
      <c r="BA19" s="39">
        <f t="shared" si="69"/>
        <v>0.12339979293398318</v>
      </c>
      <c r="BB19" s="39">
        <f t="shared" si="69"/>
        <v>-2.1399783476750645E-2</v>
      </c>
      <c r="BC19" s="39">
        <f t="shared" si="69"/>
        <v>0.16748584537290112</v>
      </c>
      <c r="BD19" s="39">
        <f t="shared" si="69"/>
        <v>4.2815433226975674E-2</v>
      </c>
      <c r="BE19" s="39">
        <f t="shared" si="69"/>
        <v>-5.2822165967882251E-2</v>
      </c>
      <c r="BF19" s="39">
        <f t="shared" si="69"/>
        <v>0.18506359584643928</v>
      </c>
      <c r="BG19" s="39">
        <f t="shared" si="69"/>
        <v>0.12673368325776746</v>
      </c>
      <c r="BH19" s="39">
        <f t="shared" si="69"/>
        <v>9.222071628822337E-2</v>
      </c>
      <c r="BI19" s="39">
        <f t="shared" si="69"/>
        <v>0.10549745161620372</v>
      </c>
      <c r="BJ19" s="39">
        <f t="shared" si="69"/>
        <v>0.13373018706268724</v>
      </c>
      <c r="BK19" s="39">
        <f t="shared" si="69"/>
        <v>2.1433461282297284E-2</v>
      </c>
      <c r="BL19" s="39">
        <f t="shared" si="69"/>
        <v>0.21101990375347834</v>
      </c>
      <c r="BM19" s="39">
        <f t="shared" si="69"/>
        <v>0.37799670228177185</v>
      </c>
      <c r="BN19" s="39">
        <f t="shared" si="69"/>
        <v>0.32114534740010803</v>
      </c>
      <c r="BO19" s="39">
        <f t="shared" si="69"/>
        <v>0.76965690102984174</v>
      </c>
      <c r="BP19" s="39">
        <f t="shared" si="69"/>
        <v>0.59855141629937392</v>
      </c>
      <c r="BQ19" s="39">
        <f t="shared" si="69"/>
        <v>0.76595073945640713</v>
      </c>
      <c r="BR19" s="39">
        <f t="shared" si="69"/>
        <v>0.6825917010272422</v>
      </c>
      <c r="BS19" s="39">
        <f t="shared" si="69"/>
        <v>0.31219722473109446</v>
      </c>
      <c r="BT19" s="39">
        <f t="shared" si="69"/>
        <v>5.6759509676512998E-2</v>
      </c>
      <c r="BU19" s="39">
        <f t="shared" si="69"/>
        <v>-0.20153366138371032</v>
      </c>
      <c r="BV19" s="39">
        <f t="shared" si="69"/>
        <v>9.1364302762884098E-3</v>
      </c>
      <c r="BW19" s="39">
        <f t="shared" si="69"/>
        <v>0.20370746969104414</v>
      </c>
      <c r="BX19" s="39">
        <f t="shared" si="69"/>
        <v>0.30944427825971355</v>
      </c>
      <c r="BY19" s="39">
        <f t="shared" si="69"/>
        <v>0.5016330339437769</v>
      </c>
      <c r="BZ19" s="39">
        <f t="shared" si="69"/>
        <v>-3.0831748348925769E-2</v>
      </c>
      <c r="CA19" s="39">
        <f t="shared" si="69"/>
        <v>-0.23207532457405755</v>
      </c>
      <c r="CB19" s="39">
        <f t="shared" si="69"/>
        <v>-0.22301048931080214</v>
      </c>
      <c r="CC19" s="39">
        <f t="shared" si="69"/>
        <v>-0.22649888012842911</v>
      </c>
      <c r="CD19" s="39">
        <f t="shared" si="69"/>
        <v>4.2559200521399054E-2</v>
      </c>
      <c r="CE19" s="39">
        <f t="shared" si="69"/>
        <v>1.1101803196845506E-2</v>
      </c>
      <c r="CF19" s="39">
        <f t="shared" si="69"/>
        <v>-6.1251990689692448E-4</v>
      </c>
      <c r="CG19" s="39">
        <f t="shared" si="69"/>
        <v>0.18422153784353745</v>
      </c>
      <c r="CH19" s="39">
        <f t="shared" si="69"/>
        <v>0.19492661512707765</v>
      </c>
      <c r="CI19" s="39">
        <f t="shared" si="69"/>
        <v>0.31354662694261481</v>
      </c>
      <c r="CJ19" s="39">
        <f>+IF(CF18&lt;0,1-CJ18/CF18,CJ18/CF18-1)</f>
        <v>0.35120536079104347</v>
      </c>
      <c r="CK19" s="39">
        <f>+IF(CG18&lt;0,1-CK18/CG18,CK18/CG18-1)</f>
        <v>0.25669764319282007</v>
      </c>
      <c r="CL19" s="39">
        <f>+IF(CH18&lt;0,1-CL18/CH18,CL18/CH18-1)</f>
        <v>5.3054699761669433E-2</v>
      </c>
      <c r="CM19" s="40">
        <v>0.15</v>
      </c>
      <c r="CN19" s="40">
        <v>0.15</v>
      </c>
      <c r="CO19" s="40">
        <v>0.15</v>
      </c>
      <c r="CP19" s="40">
        <v>0.15</v>
      </c>
      <c r="CQ19" s="40">
        <v>0.15</v>
      </c>
      <c r="CR19" s="40">
        <v>0.15</v>
      </c>
      <c r="CS19" s="40">
        <v>0.15</v>
      </c>
      <c r="CT19" s="40">
        <v>0.15</v>
      </c>
      <c r="CU19" s="40">
        <v>0.15</v>
      </c>
      <c r="CV19" s="40">
        <v>0.15</v>
      </c>
      <c r="CW19" s="40">
        <v>0.15</v>
      </c>
      <c r="CX19" s="40">
        <v>0.15</v>
      </c>
      <c r="CY19" s="40">
        <v>0.15</v>
      </c>
      <c r="CZ19" s="40">
        <v>0.15</v>
      </c>
      <c r="DA19" s="40">
        <v>0.15</v>
      </c>
      <c r="DB19" s="40">
        <v>0.15</v>
      </c>
      <c r="DE19" s="122"/>
      <c r="DF19" s="39">
        <v>0.2266743008592067</v>
      </c>
    </row>
    <row r="20" spans="1:110" s="39" customFormat="1" x14ac:dyDescent="0.2">
      <c r="A20" s="39" t="s">
        <v>446</v>
      </c>
      <c r="AB20" s="40"/>
      <c r="AC20" s="40"/>
      <c r="AD20" s="40"/>
      <c r="AE20" s="40"/>
      <c r="AJ20" s="39" t="e">
        <f t="shared" ref="AJ20:AL20" si="70">+IF(AI18&lt;0,1-AJ18/AI18,AJ18/AI18-1)</f>
        <v>#DIV/0!</v>
      </c>
      <c r="AK20" s="39" t="e">
        <f t="shared" si="70"/>
        <v>#DIV/0!</v>
      </c>
      <c r="AL20" s="39" t="e">
        <f t="shared" si="70"/>
        <v>#DIV/0!</v>
      </c>
      <c r="AM20" s="39" t="e">
        <f t="shared" ref="AM20:CI20" si="71">+IF(AL18&lt;0,1-AM18/AL18,AM18/AL18-1)</f>
        <v>#DIV/0!</v>
      </c>
      <c r="AN20" s="39" t="e">
        <f t="shared" si="71"/>
        <v>#DIV/0!</v>
      </c>
      <c r="AO20" s="39" t="e">
        <f t="shared" si="71"/>
        <v>#DIV/0!</v>
      </c>
      <c r="AP20" s="39" t="e">
        <f t="shared" si="71"/>
        <v>#DIV/0!</v>
      </c>
      <c r="AQ20" s="39" t="e">
        <f t="shared" si="71"/>
        <v>#DIV/0!</v>
      </c>
      <c r="AR20" s="39" t="e">
        <f t="shared" si="71"/>
        <v>#DIV/0!</v>
      </c>
      <c r="AS20" s="39" t="e">
        <f t="shared" si="71"/>
        <v>#DIV/0!</v>
      </c>
      <c r="AT20" s="39" t="e">
        <f t="shared" si="71"/>
        <v>#DIV/0!</v>
      </c>
      <c r="AU20" s="39" t="e">
        <f t="shared" si="71"/>
        <v>#DIV/0!</v>
      </c>
      <c r="AV20" s="39" t="e">
        <f t="shared" si="71"/>
        <v>#DIV/0!</v>
      </c>
      <c r="AW20" s="39" t="e">
        <f t="shared" si="71"/>
        <v>#DIV/0!</v>
      </c>
      <c r="AX20" s="39">
        <f t="shared" si="71"/>
        <v>7.3297370794804584E-2</v>
      </c>
      <c r="AY20" s="39">
        <f t="shared" si="71"/>
        <v>-0.15179190583929669</v>
      </c>
      <c r="AZ20" s="39">
        <f t="shared" si="71"/>
        <v>0.26048418586489652</v>
      </c>
      <c r="BA20" s="39">
        <f t="shared" si="71"/>
        <v>-2.1018555806821326E-2</v>
      </c>
      <c r="BB20" s="39">
        <f t="shared" si="71"/>
        <v>-6.5044300292698254E-2</v>
      </c>
      <c r="BC20" s="39">
        <f t="shared" si="71"/>
        <v>1.1925939871094693E-2</v>
      </c>
      <c r="BD20" s="39">
        <f t="shared" si="71"/>
        <v>0.12588291118733941</v>
      </c>
      <c r="BE20" s="39">
        <f t="shared" si="71"/>
        <v>-0.11080187891052906</v>
      </c>
      <c r="BF20" s="39">
        <f t="shared" si="71"/>
        <v>0.16977184604880469</v>
      </c>
      <c r="BG20" s="39">
        <f t="shared" si="71"/>
        <v>-3.7881979151792033E-2</v>
      </c>
      <c r="BH20" s="39">
        <f t="shared" si="71"/>
        <v>9.1396004207659365E-2</v>
      </c>
      <c r="BI20" s="39">
        <f t="shared" si="71"/>
        <v>-9.9993030541526862E-2</v>
      </c>
      <c r="BJ20" s="39">
        <f t="shared" si="71"/>
        <v>0.19964605246507272</v>
      </c>
      <c r="BK20" s="39">
        <f t="shared" si="71"/>
        <v>-0.13318040622771221</v>
      </c>
      <c r="BL20" s="39">
        <f t="shared" si="71"/>
        <v>0.29396806945529153</v>
      </c>
      <c r="BM20" s="39">
        <f t="shared" si="71"/>
        <v>2.4100951685803507E-2</v>
      </c>
      <c r="BN20" s="39">
        <f t="shared" si="71"/>
        <v>0.15015282555956078</v>
      </c>
      <c r="BO20" s="39">
        <f t="shared" si="71"/>
        <v>0.16109350048859561</v>
      </c>
      <c r="BP20" s="39">
        <f t="shared" si="71"/>
        <v>0.16885622793332766</v>
      </c>
      <c r="BQ20" s="39">
        <f t="shared" si="71"/>
        <v>0.13134417477433202</v>
      </c>
      <c r="BR20" s="39">
        <f t="shared" si="71"/>
        <v>9.5861597926142128E-2</v>
      </c>
      <c r="BS20" s="39">
        <f t="shared" si="71"/>
        <v>-9.4501852074819648E-2</v>
      </c>
      <c r="BT20" s="39">
        <f t="shared" si="71"/>
        <v>-5.8678138443488459E-2</v>
      </c>
      <c r="BU20" s="39">
        <f t="shared" si="71"/>
        <v>-0.14517898095522985</v>
      </c>
      <c r="BV20" s="39">
        <f t="shared" si="71"/>
        <v>0.38499747268556317</v>
      </c>
      <c r="BW20" s="39">
        <f t="shared" si="71"/>
        <v>8.0086747190893037E-2</v>
      </c>
      <c r="BX20" s="39">
        <f t="shared" si="71"/>
        <v>2.4010032879774323E-2</v>
      </c>
      <c r="BY20" s="39">
        <f t="shared" si="71"/>
        <v>-1.9715843110877151E-2</v>
      </c>
      <c r="BZ20" s="39">
        <f t="shared" si="71"/>
        <v>-0.10610944964461866</v>
      </c>
      <c r="CA20" s="39">
        <f t="shared" si="71"/>
        <v>-0.14418857266999796</v>
      </c>
      <c r="CB20" s="39">
        <f t="shared" si="71"/>
        <v>3.6097783870230771E-2</v>
      </c>
      <c r="CC20" s="39">
        <f t="shared" si="71"/>
        <v>-2.4116950467556797E-2</v>
      </c>
      <c r="CD20" s="39">
        <f t="shared" si="71"/>
        <v>0.2048254276436916</v>
      </c>
      <c r="CE20" s="39">
        <f t="shared" si="71"/>
        <v>-0.1700111831183535</v>
      </c>
      <c r="CF20" s="39">
        <f t="shared" si="71"/>
        <v>2.4093864809902055E-2</v>
      </c>
      <c r="CG20" s="39">
        <f t="shared" si="71"/>
        <v>0.15637002533300648</v>
      </c>
      <c r="CH20" s="39">
        <f t="shared" si="71"/>
        <v>0.21571675912511923</v>
      </c>
      <c r="CI20" s="39">
        <f t="shared" si="71"/>
        <v>-8.7618438644422536E-2</v>
      </c>
      <c r="CJ20" s="39">
        <f>+IF(CI18&lt;0,1-CJ18/CI18,CJ18/CI18-1)</f>
        <v>5.3454130749186035E-2</v>
      </c>
      <c r="CK20" s="39">
        <f>+IF(CJ18&lt;0,1-CK18/CJ18,CK18/CJ18-1)</f>
        <v>7.5489727663640593E-2</v>
      </c>
      <c r="CL20" s="39">
        <f>+IF(CK18&lt;0,1-CL18/CK18,CL18/CK18-1)</f>
        <v>1.8714607853612231E-2</v>
      </c>
      <c r="CM20" s="40">
        <f t="shared" ref="CM20" si="72">+CM18/CL18-1</f>
        <v>-3.6236524119962477E-3</v>
      </c>
      <c r="CN20" s="40">
        <f t="shared" ref="CN20" si="73">+CN18/CM18-1</f>
        <v>5.3454130749186257E-2</v>
      </c>
      <c r="CO20" s="40">
        <f t="shared" ref="CO20" si="74">+CO18/CN18-1</f>
        <v>7.5489727663640593E-2</v>
      </c>
      <c r="CP20" s="40">
        <f t="shared" ref="CP20" si="75">+CP18/CO18-1</f>
        <v>1.8714607853612231E-2</v>
      </c>
      <c r="CQ20" s="40">
        <f t="shared" ref="CQ20" si="76">+CQ18/CP18-1</f>
        <v>-3.6236524119962477E-3</v>
      </c>
      <c r="CR20" s="40">
        <f t="shared" ref="CR20" si="77">+CR18/CQ18-1</f>
        <v>5.3454130749186035E-2</v>
      </c>
      <c r="CS20" s="40">
        <f t="shared" ref="CS20" si="78">+CS18/CR18-1</f>
        <v>7.5489727663640815E-2</v>
      </c>
      <c r="CT20" s="40">
        <f t="shared" ref="CT20" si="79">+CT18/CS18-1</f>
        <v>1.8714607853612231E-2</v>
      </c>
      <c r="CU20" s="40">
        <f t="shared" ref="CU20" si="80">+CU18/CT18-1</f>
        <v>-3.6236524119963587E-3</v>
      </c>
      <c r="CV20" s="40">
        <f t="shared" ref="CV20" si="81">+CV18/CU18-1</f>
        <v>5.3454130749186257E-2</v>
      </c>
      <c r="CW20" s="40">
        <f t="shared" ref="CW20" si="82">+CW18/CV18-1</f>
        <v>7.5489727663640593E-2</v>
      </c>
      <c r="CX20" s="40">
        <f t="shared" ref="CX20" si="83">+CX18/CW18-1</f>
        <v>1.8714607853612231E-2</v>
      </c>
      <c r="CY20" s="40">
        <f t="shared" ref="CY20" si="84">+CY18/CX18-1</f>
        <v>-3.6236524119962477E-3</v>
      </c>
      <c r="CZ20" s="40">
        <f t="shared" ref="CZ20" si="85">+CZ18/CY18-1</f>
        <v>5.3454130749186035E-2</v>
      </c>
      <c r="DA20" s="40">
        <f t="shared" ref="DA20" si="86">+DA18/CZ18-1</f>
        <v>7.5489727663640593E-2</v>
      </c>
      <c r="DB20" s="40">
        <f t="shared" ref="DB20" si="87">+DB18/DA18-1</f>
        <v>1.8714607853612231E-2</v>
      </c>
      <c r="DE20" s="122"/>
    </row>
    <row r="21" spans="1:110" s="23" customFormat="1" outlineLevel="1" x14ac:dyDescent="0.2">
      <c r="A21" s="23" t="s">
        <v>2</v>
      </c>
      <c r="B21" s="23">
        <f>'Annual Raw'!C11</f>
        <v>0</v>
      </c>
      <c r="C21" s="23">
        <f>'Annual Raw'!D11</f>
        <v>0</v>
      </c>
      <c r="D21" s="23">
        <f>'Annual Raw'!E11</f>
        <v>0</v>
      </c>
      <c r="E21" s="23">
        <f>'Annual Raw'!F11</f>
        <v>0</v>
      </c>
      <c r="F21" s="23">
        <f>'Annual Raw'!G11</f>
        <v>0</v>
      </c>
      <c r="G21" s="23">
        <f>'Annual Raw'!H11</f>
        <v>0</v>
      </c>
      <c r="H21" s="23">
        <f>'Annual Raw'!I11</f>
        <v>0</v>
      </c>
      <c r="I21" s="23">
        <f>'Annual Raw'!J11</f>
        <v>0</v>
      </c>
      <c r="J21" s="23">
        <f>'Annual Raw'!K11</f>
        <v>0</v>
      </c>
      <c r="K21" s="23">
        <f>'Annual Raw'!L11</f>
        <v>0</v>
      </c>
      <c r="L21" s="23">
        <f>'Annual Raw'!M11</f>
        <v>0</v>
      </c>
      <c r="M21" s="23">
        <f>'Annual Raw'!N11</f>
        <v>-10.132</v>
      </c>
      <c r="N21" s="23">
        <f>'Annual Raw'!O11</f>
        <v>-33.194000000000003</v>
      </c>
      <c r="O21" s="23">
        <f>'Annual Raw'!P11</f>
        <v>-70.293000000000006</v>
      </c>
      <c r="P21" s="23">
        <f>'Annual Raw'!Q11</f>
        <v>-84.453000000000003</v>
      </c>
      <c r="Q21" s="23">
        <f>'Annual Raw'!R11</f>
        <v>-25.077999999999999</v>
      </c>
      <c r="R21" s="23">
        <f>'Annual Raw'!S11</f>
        <v>-34.9</v>
      </c>
      <c r="S21" s="23">
        <f>'Annual Raw'!T11</f>
        <v>-24.704999999999998</v>
      </c>
      <c r="T21" s="23">
        <f>'Annual Raw'!U11</f>
        <v>-31.986999999999998</v>
      </c>
      <c r="U21" s="23">
        <f>'Annual Raw'!V11</f>
        <v>-216.15</v>
      </c>
      <c r="V21" s="23">
        <f>'Annual Raw'!W11</f>
        <v>-297.01</v>
      </c>
      <c r="W21" s="23">
        <f>'Annual Raw'!X11</f>
        <v>-221.17</v>
      </c>
      <c r="X21" s="23">
        <f>'Annual Raw'!Y11</f>
        <v>22.04</v>
      </c>
      <c r="Y21" s="23">
        <f>'Annual Raw'!Z11</f>
        <v>-100.88</v>
      </c>
      <c r="Z21" s="23">
        <f>'Annual Raw'!AA11</f>
        <v>-55.93</v>
      </c>
      <c r="AA21" s="23">
        <f>'Annual Raw'!AB11</f>
        <v>-271.44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23">
        <f>'QTR Raw'!C10</f>
        <v>0</v>
      </c>
      <c r="AJ21" s="23">
        <f>'QTR Raw'!D10</f>
        <v>0</v>
      </c>
      <c r="AK21" s="23">
        <f>'QTR Raw'!E10</f>
        <v>0</v>
      </c>
      <c r="AL21" s="23">
        <f>'QTR Raw'!F10</f>
        <v>0</v>
      </c>
      <c r="AM21" s="23">
        <f>'QTR Raw'!G10</f>
        <v>0</v>
      </c>
      <c r="AN21" s="23">
        <f>'QTR Raw'!H10</f>
        <v>0</v>
      </c>
      <c r="AO21" s="23">
        <f>'QTR Raw'!I10</f>
        <v>0</v>
      </c>
      <c r="AP21" s="23">
        <f>'QTR Raw'!J10</f>
        <v>0</v>
      </c>
      <c r="AQ21" s="23">
        <f>'QTR Raw'!K10</f>
        <v>0</v>
      </c>
      <c r="AR21" s="23">
        <f>'QTR Raw'!L10</f>
        <v>0</v>
      </c>
      <c r="AS21" s="23">
        <f>'QTR Raw'!M10</f>
        <v>0</v>
      </c>
      <c r="AT21" s="23">
        <f>'QTR Raw'!N10</f>
        <v>0</v>
      </c>
      <c r="AU21" s="23">
        <f>'QTR Raw'!O10</f>
        <v>0</v>
      </c>
      <c r="AV21" s="23">
        <f>'QTR Raw'!P10</f>
        <v>0</v>
      </c>
      <c r="AW21" s="23">
        <f>'QTR Raw'!Q10</f>
        <v>-43.695</v>
      </c>
      <c r="AX21" s="23">
        <f>'QTR Raw'!R10</f>
        <v>45.404000000000003</v>
      </c>
      <c r="AY21" s="23">
        <f>'QTR Raw'!S10</f>
        <v>-9.3550000000000004</v>
      </c>
      <c r="AZ21" s="23">
        <f>'QTR Raw'!T10</f>
        <v>-26.85</v>
      </c>
      <c r="BA21" s="23">
        <f>'QTR Raw'!U10</f>
        <v>4.7050000000000001</v>
      </c>
      <c r="BB21" s="23">
        <f>'QTR Raw'!V10</f>
        <v>-3.4</v>
      </c>
      <c r="BC21" s="23">
        <f>'QTR Raw'!W10</f>
        <v>10.811999999999999</v>
      </c>
      <c r="BD21" s="23">
        <f>'QTR Raw'!X10</f>
        <v>-36.328000000000003</v>
      </c>
      <c r="BE21" s="23">
        <f>'QTR Raw'!Y10</f>
        <v>-27.324000000000002</v>
      </c>
      <c r="BF21" s="23">
        <f>'QTR Raw'!Z10</f>
        <v>28.135999999999999</v>
      </c>
      <c r="BG21" s="23">
        <f>'QTR Raw'!AA10</f>
        <v>4.2300000000000004</v>
      </c>
      <c r="BH21" s="23">
        <f>'QTR Raw'!AB10</f>
        <v>-17.783999999999999</v>
      </c>
      <c r="BI21" s="23">
        <f>'QTR Raw'!AC10</f>
        <v>-18.358000000000001</v>
      </c>
      <c r="BJ21" s="23">
        <f>'QTR Raw'!AD10</f>
        <v>-7.4999999999999997E-2</v>
      </c>
      <c r="BK21" s="23">
        <f>'QTR Raw'!AE10</f>
        <v>-77.22</v>
      </c>
      <c r="BL21" s="23">
        <f>'QTR Raw'!AF10</f>
        <v>-124.8</v>
      </c>
      <c r="BM21" s="23">
        <f>'QTR Raw'!AG10</f>
        <v>-12.85</v>
      </c>
      <c r="BN21" s="23">
        <f>'QTR Raw'!AH10</f>
        <v>-1.28</v>
      </c>
      <c r="BO21" s="23">
        <f>'QTR Raw'!AI10</f>
        <v>-15.41</v>
      </c>
      <c r="BP21" s="23">
        <f>'QTR Raw'!AJ10</f>
        <v>-66.77</v>
      </c>
      <c r="BQ21" s="23">
        <f>'QTR Raw'!AK10</f>
        <v>-103.29</v>
      </c>
      <c r="BR21" s="23">
        <f>'QTR Raw'!AL10</f>
        <v>-111.54</v>
      </c>
      <c r="BS21" s="23">
        <f>'QTR Raw'!AM10</f>
        <v>-206.23</v>
      </c>
      <c r="BT21" s="23">
        <f>'QTR Raw'!AN10</f>
        <v>-87.55</v>
      </c>
      <c r="BU21" s="23">
        <f>'QTR Raw'!AO10</f>
        <v>-32.270000000000003</v>
      </c>
      <c r="BV21" s="23">
        <f>'QTR Raw'!AP10</f>
        <v>104.88</v>
      </c>
      <c r="BW21" s="23">
        <f>'QTR Raw'!AQ10</f>
        <v>-161.19</v>
      </c>
      <c r="BX21" s="23">
        <f>'QTR Raw'!AR10</f>
        <v>-116</v>
      </c>
      <c r="BY21" s="23">
        <f>'QTR Raw'!AS10</f>
        <v>86.02</v>
      </c>
      <c r="BZ21" s="23">
        <f>'QTR Raw'!AT10</f>
        <v>213.21</v>
      </c>
      <c r="CA21" s="23">
        <f>'QTR Raw'!AU10</f>
        <v>34.18</v>
      </c>
      <c r="CB21" s="23">
        <f>'QTR Raw'!AV10</f>
        <v>-118.62</v>
      </c>
      <c r="CC21" s="23">
        <f>'QTR Raw'!AW10</f>
        <v>-106.25</v>
      </c>
      <c r="CD21" s="23">
        <f>'QTR Raw'!AX10</f>
        <v>89.81</v>
      </c>
      <c r="CE21" s="23">
        <f>'QTR Raw'!AY10</f>
        <v>-57.87</v>
      </c>
      <c r="CF21" s="23">
        <f>'QTR Raw'!AZ10</f>
        <v>-54.46</v>
      </c>
      <c r="CG21" s="23">
        <f>'QTR Raw'!BA10</f>
        <v>-77.64</v>
      </c>
      <c r="CH21" s="23">
        <f>'QTR Raw'!BB10</f>
        <v>134.04</v>
      </c>
      <c r="CI21" s="23">
        <f>'QTR Raw'!BC10</f>
        <v>-0.56000000000000005</v>
      </c>
      <c r="CJ21" s="23">
        <f>'QTR Raw'!BD10</f>
        <v>-44.01</v>
      </c>
      <c r="CK21" s="23">
        <f>'QTR Raw'!BE10</f>
        <v>-85.87</v>
      </c>
      <c r="CL21" s="23">
        <f>'QTR Raw'!BF10</f>
        <v>-141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-271.44</v>
      </c>
    </row>
    <row r="22" spans="1:110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Raw'!C12</f>
        <v>0</v>
      </c>
      <c r="AJ22" s="23">
        <f>'QTR Raw'!D12</f>
        <v>0</v>
      </c>
      <c r="AK22" s="23">
        <f>'QTR Raw'!E12</f>
        <v>0</v>
      </c>
      <c r="AL22" s="23">
        <f>'QTR Raw'!F12</f>
        <v>0</v>
      </c>
      <c r="AM22" s="23">
        <f>'QTR Raw'!G12</f>
        <v>0</v>
      </c>
      <c r="AN22" s="23">
        <f>'QTR Raw'!H12</f>
        <v>0</v>
      </c>
      <c r="AO22" s="23">
        <f>'QTR Raw'!I12</f>
        <v>0</v>
      </c>
      <c r="AP22" s="23">
        <f>'QTR Raw'!J12</f>
        <v>0</v>
      </c>
      <c r="AQ22" s="23">
        <f>'QTR Raw'!K12</f>
        <v>0</v>
      </c>
      <c r="AR22" s="23">
        <f>'QTR Raw'!L12</f>
        <v>0</v>
      </c>
      <c r="AS22" s="23">
        <f>'QTR Raw'!M12</f>
        <v>0</v>
      </c>
      <c r="AT22" s="23">
        <f>'QTR Raw'!N12</f>
        <v>0</v>
      </c>
      <c r="AU22" s="23">
        <f>'QTR Raw'!O12</f>
        <v>0</v>
      </c>
      <c r="AV22" s="23">
        <f>'QTR Raw'!P12</f>
        <v>0</v>
      </c>
      <c r="AW22" s="23">
        <f>'QTR Raw'!Q12</f>
        <v>5.35</v>
      </c>
      <c r="AX22" s="23">
        <f>'QTR Raw'!R12</f>
        <v>3.492</v>
      </c>
      <c r="AY22" s="23">
        <f>'QTR Raw'!S12</f>
        <v>1.117</v>
      </c>
      <c r="AZ22" s="23">
        <f>'QTR Raw'!T12</f>
        <v>6.4139999999999997</v>
      </c>
      <c r="BA22" s="23">
        <f>'QTR Raw'!U12</f>
        <v>2.605</v>
      </c>
      <c r="BB22" s="23">
        <f>'QTR Raw'!V12</f>
        <v>2.8239999999999998</v>
      </c>
      <c r="BC22" s="23">
        <f>'QTR Raw'!W12</f>
        <v>4.7809999999999997</v>
      </c>
      <c r="BD22" s="23">
        <f>'QTR Raw'!X12</f>
        <v>7.798</v>
      </c>
      <c r="BE22" s="23">
        <f>'QTR Raw'!Y12</f>
        <v>7.5250000000000004</v>
      </c>
      <c r="BF22" s="23">
        <f>'QTR Raw'!Z12</f>
        <v>6.9109999999999996</v>
      </c>
      <c r="BG22" s="23">
        <f>'QTR Raw'!AA12</f>
        <v>2.6989999999999998</v>
      </c>
      <c r="BH22" s="23">
        <f>'QTR Raw'!AB12</f>
        <v>5.8310000000000004</v>
      </c>
      <c r="BI22" s="23">
        <f>'QTR Raw'!AC12</f>
        <v>5.17</v>
      </c>
      <c r="BJ22" s="23">
        <f>'QTR Raw'!AD12</f>
        <v>8.68</v>
      </c>
      <c r="BK22" s="23">
        <f>'QTR Raw'!AE12</f>
        <v>3.15</v>
      </c>
      <c r="BL22" s="23">
        <f>'QTR Raw'!AF12</f>
        <v>9.5299999999999994</v>
      </c>
      <c r="BM22" s="23">
        <f>'QTR Raw'!AG12</f>
        <v>1.95</v>
      </c>
      <c r="BN22" s="23">
        <f>'QTR Raw'!AH12</f>
        <v>1.24</v>
      </c>
      <c r="BO22" s="23">
        <f>'QTR Raw'!AI12</f>
        <v>23.29</v>
      </c>
      <c r="BP22" s="23">
        <f>'QTR Raw'!AJ12</f>
        <v>14.01</v>
      </c>
      <c r="BQ22" s="23">
        <f>'QTR Raw'!AK12</f>
        <v>21.67</v>
      </c>
      <c r="BR22" s="23">
        <f>'QTR Raw'!AL12</f>
        <v>37.26</v>
      </c>
      <c r="BS22" s="23">
        <f>'QTR Raw'!AM12</f>
        <v>15.65</v>
      </c>
      <c r="BT22" s="23">
        <f>'QTR Raw'!AN12</f>
        <v>40.43</v>
      </c>
      <c r="BU22" s="23">
        <f>'QTR Raw'!AO12</f>
        <v>33.32</v>
      </c>
      <c r="BV22" s="23">
        <f>'QTR Raw'!AP12</f>
        <v>56.41</v>
      </c>
      <c r="BW22" s="23">
        <f>'QTR Raw'!AQ12</f>
        <v>54.94</v>
      </c>
      <c r="BX22" s="23">
        <f>'QTR Raw'!AR12</f>
        <v>44.1</v>
      </c>
      <c r="BY22" s="23">
        <f>'QTR Raw'!AS12</f>
        <v>51.8</v>
      </c>
      <c r="BZ22" s="23">
        <f>'QTR Raw'!AT12</f>
        <v>4.87</v>
      </c>
      <c r="CA22" s="23">
        <f>'QTR Raw'!AU12</f>
        <v>26.33</v>
      </c>
      <c r="CB22" s="23">
        <f>'QTR Raw'!AV12</f>
        <v>26.29</v>
      </c>
      <c r="CC22" s="23">
        <f>'QTR Raw'!AW12</f>
        <v>17.54</v>
      </c>
      <c r="CD22" s="23">
        <f>'QTR Raw'!AX12</f>
        <v>40.76</v>
      </c>
      <c r="CE22" s="23">
        <f>'QTR Raw'!AY12</f>
        <v>22.67</v>
      </c>
      <c r="CF22" s="23">
        <f>'QTR Raw'!AZ12</f>
        <v>25.59</v>
      </c>
      <c r="CG22" s="23">
        <f>'QTR Raw'!BA12</f>
        <v>34.79</v>
      </c>
      <c r="CH22" s="23">
        <f>'QTR Raw'!BB12</f>
        <v>22.31</v>
      </c>
      <c r="CI22" s="23">
        <f>'QTR Raw'!BC12</f>
        <v>38.5</v>
      </c>
      <c r="CJ22" s="23">
        <f>'QTR Raw'!BD12</f>
        <v>30.7</v>
      </c>
      <c r="CK22" s="23">
        <f>'QTR Raw'!BE12</f>
        <v>55.12</v>
      </c>
      <c r="CL22" s="23">
        <f>'QTR Raw'!BF12</f>
        <v>48.24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172.56</v>
      </c>
    </row>
    <row r="23" spans="1:110" s="23" customFormat="1" outlineLevel="1" x14ac:dyDescent="0.2">
      <c r="A23" s="23" t="s">
        <v>4</v>
      </c>
      <c r="B23" s="23">
        <f>'Annual Raw'!C12</f>
        <v>0</v>
      </c>
      <c r="C23" s="23">
        <f>'Annual Raw'!D12</f>
        <v>0</v>
      </c>
      <c r="D23" s="23">
        <f>'Annual Raw'!E12</f>
        <v>0</v>
      </c>
      <c r="E23" s="23">
        <f>'Annual Raw'!F12</f>
        <v>0</v>
      </c>
      <c r="F23" s="23">
        <f>'Annual Raw'!G12</f>
        <v>0</v>
      </c>
      <c r="G23" s="23">
        <f>'Annual Raw'!H12</f>
        <v>0</v>
      </c>
      <c r="H23" s="23">
        <f>'Annual Raw'!I12</f>
        <v>0</v>
      </c>
      <c r="I23" s="23">
        <f>'Annual Raw'!J12</f>
        <v>0</v>
      </c>
      <c r="J23" s="23">
        <f>'Annual Raw'!K12</f>
        <v>0</v>
      </c>
      <c r="K23" s="23">
        <f>'Annual Raw'!L12</f>
        <v>0</v>
      </c>
      <c r="L23" s="23">
        <f>'Annual Raw'!M12</f>
        <v>0</v>
      </c>
      <c r="M23" s="23">
        <f>'Annual Raw'!N12</f>
        <v>273.95</v>
      </c>
      <c r="N23" s="23">
        <f>'Annual Raw'!O12</f>
        <v>442.90800000000002</v>
      </c>
      <c r="O23" s="23">
        <f>'Annual Raw'!P12</f>
        <v>790.71699999999998</v>
      </c>
      <c r="P23" s="23">
        <f>'Annual Raw'!Q12</f>
        <v>905.721</v>
      </c>
      <c r="Q23" s="23">
        <f>'Annual Raw'!R12</f>
        <v>1025.2270000000001</v>
      </c>
      <c r="R23" s="23">
        <f>'Annual Raw'!S12</f>
        <v>1024.1869999999999</v>
      </c>
      <c r="S23" s="23">
        <f>'Annual Raw'!T12</f>
        <v>1080.7239999999999</v>
      </c>
      <c r="T23" s="23">
        <f>'Annual Raw'!U12</f>
        <v>1256.787</v>
      </c>
      <c r="U23" s="23">
        <f>'Annual Raw'!V12</f>
        <v>1599.03</v>
      </c>
      <c r="V23" s="23">
        <f>'Annual Raw'!W12</f>
        <v>2404.63</v>
      </c>
      <c r="W23" s="23">
        <f>'Annual Raw'!X12</f>
        <v>2355.06</v>
      </c>
      <c r="X23" s="23">
        <f>'Annual Raw'!Y12</f>
        <v>2707.63</v>
      </c>
      <c r="Y23" s="23">
        <f>'Annual Raw'!Z12</f>
        <v>2475.23</v>
      </c>
      <c r="Z23" s="23">
        <f>'Annual Raw'!AA12</f>
        <v>2451.0100000000002</v>
      </c>
      <c r="AA23" s="23">
        <f>'Annual Raw'!AB12</f>
        <v>2871.96</v>
      </c>
      <c r="AB23" s="24">
        <f>+SUM(CM23:CP23)</f>
        <v>3080.9181957286373</v>
      </c>
      <c r="AC23" s="24">
        <f>+SUM(CQ23:CT23)</f>
        <v>3538.4394255682664</v>
      </c>
      <c r="AD23" s="24">
        <f>+SUM(CU23:CX23)</f>
        <v>4068.2572273605288</v>
      </c>
      <c r="AE23" s="24">
        <f>+SUM(CY23:DB23)</f>
        <v>4678.331763360643</v>
      </c>
      <c r="AI23" s="23">
        <f>'QTR Raw'!C11</f>
        <v>0</v>
      </c>
      <c r="AJ23" s="23">
        <f>'QTR Raw'!D11</f>
        <v>0</v>
      </c>
      <c r="AK23" s="23">
        <f>'QTR Raw'!E11</f>
        <v>0</v>
      </c>
      <c r="AL23" s="23">
        <f>'QTR Raw'!F11</f>
        <v>0</v>
      </c>
      <c r="AM23" s="23">
        <f>'QTR Raw'!G11</f>
        <v>0</v>
      </c>
      <c r="AN23" s="23">
        <f>'QTR Raw'!H11</f>
        <v>0</v>
      </c>
      <c r="AO23" s="23">
        <f>'QTR Raw'!I11</f>
        <v>0</v>
      </c>
      <c r="AP23" s="23">
        <f>'QTR Raw'!J11</f>
        <v>0</v>
      </c>
      <c r="AQ23" s="23">
        <f>'QTR Raw'!K11</f>
        <v>0</v>
      </c>
      <c r="AR23" s="23">
        <f>'QTR Raw'!L11</f>
        <v>0</v>
      </c>
      <c r="AS23" s="23">
        <f>'QTR Raw'!M11</f>
        <v>0</v>
      </c>
      <c r="AT23" s="23">
        <f>'QTR Raw'!N11</f>
        <v>0</v>
      </c>
      <c r="AU23" s="23">
        <f>'QTR Raw'!O11</f>
        <v>0</v>
      </c>
      <c r="AV23" s="23">
        <f>'QTR Raw'!P11</f>
        <v>0</v>
      </c>
      <c r="AW23" s="23">
        <f>'QTR Raw'!Q11</f>
        <v>278.83999999999997</v>
      </c>
      <c r="AX23" s="23">
        <f>'QTR Raw'!R11</f>
        <v>205.33699999999999</v>
      </c>
      <c r="AY23" s="23">
        <f>'QTR Raw'!S11</f>
        <v>220.91200000000001</v>
      </c>
      <c r="AZ23" s="23">
        <f>'QTR Raw'!T11</f>
        <v>303.12799999999999</v>
      </c>
      <c r="BA23" s="23">
        <f>'QTR Raw'!U11</f>
        <v>273.50799999999998</v>
      </c>
      <c r="BB23" s="23">
        <f>'QTR Raw'!V11</f>
        <v>221.15700000000001</v>
      </c>
      <c r="BC23" s="23">
        <f>'QTR Raw'!W11</f>
        <v>230.09700000000001</v>
      </c>
      <c r="BD23" s="23">
        <f>'QTR Raw'!X11</f>
        <v>309.87599999999998</v>
      </c>
      <c r="BE23" s="23">
        <f>'QTR Raw'!Y11</f>
        <v>265.55200000000002</v>
      </c>
      <c r="BF23" s="23">
        <f>'QTR Raw'!Z11</f>
        <v>255.869</v>
      </c>
      <c r="BG23" s="23">
        <f>'QTR Raw'!AA11</f>
        <v>288.21899999999999</v>
      </c>
      <c r="BH23" s="23">
        <f>'QTR Raw'!AB11</f>
        <v>326.59199999999998</v>
      </c>
      <c r="BI23" s="23">
        <f>'QTR Raw'!AC11</f>
        <v>297.13</v>
      </c>
      <c r="BJ23" s="23">
        <f>'QTR Raw'!AD11</f>
        <v>333.30599999999998</v>
      </c>
      <c r="BK23" s="23">
        <f>'QTR Raw'!AE11</f>
        <v>348.63</v>
      </c>
      <c r="BL23" s="23">
        <f>'QTR Raw'!AF11</f>
        <v>475.25</v>
      </c>
      <c r="BM23" s="23">
        <f>'QTR Raw'!AG11</f>
        <v>371.46</v>
      </c>
      <c r="BN23" s="23">
        <f>'QTR Raw'!AH11</f>
        <v>418.35</v>
      </c>
      <c r="BO23" s="23">
        <f>'QTR Raw'!AI11</f>
        <v>438.18</v>
      </c>
      <c r="BP23" s="23">
        <f>'QTR Raw'!AJ11</f>
        <v>554.04999999999995</v>
      </c>
      <c r="BQ23" s="23">
        <f>'QTR Raw'!AK11</f>
        <v>664.7</v>
      </c>
      <c r="BR23" s="23">
        <f>'QTR Raw'!AL11</f>
        <v>702.04</v>
      </c>
      <c r="BS23" s="23">
        <f>'QTR Raw'!AM11</f>
        <v>744.4</v>
      </c>
      <c r="BT23" s="23">
        <f>'QTR Raw'!AN11</f>
        <v>579.79</v>
      </c>
      <c r="BU23" s="23">
        <f>'QTR Raw'!AO11</f>
        <v>422.97</v>
      </c>
      <c r="BV23" s="23">
        <f>'QTR Raw'!AP11</f>
        <v>521.97</v>
      </c>
      <c r="BW23" s="23">
        <f>'QTR Raw'!AQ11</f>
        <v>759.2</v>
      </c>
      <c r="BX23" s="23">
        <f>'QTR Raw'!AR11</f>
        <v>779.31</v>
      </c>
      <c r="BY23" s="23">
        <f>'QTR Raw'!AS11</f>
        <v>581.55999999999995</v>
      </c>
      <c r="BZ23" s="23">
        <f>'QTR Raw'!AT11</f>
        <v>476.5</v>
      </c>
      <c r="CA23" s="23">
        <f>'QTR Raw'!AU11</f>
        <v>523.41</v>
      </c>
      <c r="CB23" s="23">
        <f>'QTR Raw'!AV11</f>
        <v>673.41</v>
      </c>
      <c r="CC23" s="23">
        <f>'QTR Raw'!AW11</f>
        <v>634.12</v>
      </c>
      <c r="CD23" s="23">
        <f>'QTR Raw'!AX11</f>
        <v>591.44000000000005</v>
      </c>
      <c r="CE23" s="23">
        <f>'QTR Raw'!AY11</f>
        <v>572.04999999999995</v>
      </c>
      <c r="CF23" s="23">
        <f>'QTR Raw'!AZ11</f>
        <v>577.16999999999996</v>
      </c>
      <c r="CG23" s="23">
        <f>'QTR Raw'!BA11</f>
        <v>653</v>
      </c>
      <c r="CH23" s="23">
        <f>'QTR Raw'!BB11</f>
        <v>626.33000000000004</v>
      </c>
      <c r="CI23" s="23">
        <f>'QTR Raw'!BC11</f>
        <v>599.41</v>
      </c>
      <c r="CJ23" s="23">
        <f>'QTR Raw'!BD11</f>
        <v>676.75</v>
      </c>
      <c r="CK23" s="23">
        <f>'QTR Raw'!BE11</f>
        <v>725.32</v>
      </c>
      <c r="CL23" s="23">
        <f>'QTR Raw'!BF11</f>
        <v>792.86</v>
      </c>
      <c r="CM23" s="24">
        <f t="shared" ref="CM23:DB23" si="88">+CM18-CM24</f>
        <v>714.94061575091632</v>
      </c>
      <c r="CN23" s="24">
        <f t="shared" si="88"/>
        <v>748.4134714369759</v>
      </c>
      <c r="CO23" s="24">
        <f t="shared" si="88"/>
        <v>801.00091555460608</v>
      </c>
      <c r="CP23" s="24">
        <f t="shared" si="88"/>
        <v>816.56319298613948</v>
      </c>
      <c r="CQ23" s="24">
        <f t="shared" si="88"/>
        <v>816.455928980831</v>
      </c>
      <c r="CR23" s="24">
        <f t="shared" si="88"/>
        <v>858.59090953973987</v>
      </c>
      <c r="CS23" s="24">
        <f t="shared" si="88"/>
        <v>922.84521667874378</v>
      </c>
      <c r="CT23" s="24">
        <f t="shared" si="88"/>
        <v>940.54737036895176</v>
      </c>
      <c r="CU23" s="24">
        <f t="shared" si="88"/>
        <v>937.51271963397744</v>
      </c>
      <c r="CV23" s="24">
        <f t="shared" si="88"/>
        <v>987.25488350953447</v>
      </c>
      <c r="CW23" s="24">
        <f t="shared" si="88"/>
        <v>1061.7489675011661</v>
      </c>
      <c r="CX23" s="24">
        <f t="shared" si="88"/>
        <v>1081.7406567158509</v>
      </c>
      <c r="CY23" s="24">
        <f t="shared" si="88"/>
        <v>1077.8484990537413</v>
      </c>
      <c r="CZ23" s="24">
        <f t="shared" si="88"/>
        <v>1135.3872810130761</v>
      </c>
      <c r="DA23" s="24">
        <f t="shared" si="88"/>
        <v>1221.1092323943162</v>
      </c>
      <c r="DB23" s="24">
        <f t="shared" si="88"/>
        <v>1243.9867508995094</v>
      </c>
      <c r="DE23" s="123"/>
      <c r="DF23" s="23">
        <v>2794.34</v>
      </c>
    </row>
    <row r="24" spans="1:110" s="31" customFormat="1" x14ac:dyDescent="0.2">
      <c r="A24" s="31" t="s">
        <v>5</v>
      </c>
      <c r="B24" s="31">
        <f t="shared" ref="B24:T24" si="89">B18-B21-B23-B22</f>
        <v>0</v>
      </c>
      <c r="C24" s="31">
        <f t="shared" si="89"/>
        <v>0</v>
      </c>
      <c r="D24" s="31">
        <f t="shared" si="89"/>
        <v>0</v>
      </c>
      <c r="E24" s="31">
        <f t="shared" si="89"/>
        <v>0</v>
      </c>
      <c r="F24" s="31">
        <f t="shared" si="89"/>
        <v>0</v>
      </c>
      <c r="G24" s="31">
        <f t="shared" si="89"/>
        <v>0</v>
      </c>
      <c r="H24" s="31">
        <f t="shared" si="89"/>
        <v>0</v>
      </c>
      <c r="I24" s="31">
        <f t="shared" si="89"/>
        <v>0</v>
      </c>
      <c r="J24" s="31">
        <f t="shared" si="89"/>
        <v>0</v>
      </c>
      <c r="K24" s="31">
        <f t="shared" si="89"/>
        <v>0</v>
      </c>
      <c r="L24" s="31">
        <f t="shared" si="89"/>
        <v>0</v>
      </c>
      <c r="M24" s="31">
        <f t="shared" si="89"/>
        <v>186.90000000000003</v>
      </c>
      <c r="N24" s="31">
        <f t="shared" si="89"/>
        <v>308.79700000000003</v>
      </c>
      <c r="O24" s="31">
        <f t="shared" si="89"/>
        <v>439.29299999999978</v>
      </c>
      <c r="P24" s="31">
        <f t="shared" si="89"/>
        <v>505.32199999999989</v>
      </c>
      <c r="Q24" s="31">
        <f t="shared" si="89"/>
        <v>777.42900000000009</v>
      </c>
      <c r="R24" s="31">
        <f t="shared" si="89"/>
        <v>915.36000000000013</v>
      </c>
      <c r="S24" s="31">
        <f t="shared" si="89"/>
        <v>1000.1510000000001</v>
      </c>
      <c r="T24" s="31">
        <f t="shared" si="89"/>
        <v>1067.1160000000002</v>
      </c>
      <c r="U24" s="31">
        <f t="shared" ref="U24:Z24" si="90">U18-U21-U23-U22</f>
        <v>1448.84</v>
      </c>
      <c r="V24" s="31">
        <f t="shared" si="90"/>
        <v>2705.8900000000003</v>
      </c>
      <c r="W24" s="31">
        <f t="shared" si="90"/>
        <v>2801.68</v>
      </c>
      <c r="X24" s="31">
        <f t="shared" si="90"/>
        <v>3310.88</v>
      </c>
      <c r="Y24" s="31">
        <f t="shared" si="90"/>
        <v>2666.48</v>
      </c>
      <c r="Z24" s="31">
        <f t="shared" si="90"/>
        <v>3158.88</v>
      </c>
      <c r="AA24" s="31">
        <f t="shared" ref="AA24" si="91">AA18-AA21-AA23-AA22</f>
        <v>4212.3799999999992</v>
      </c>
      <c r="AB24" s="32">
        <f t="shared" ref="AB24:AD24" si="92">AB18-AB21-AB23-AB22</f>
        <v>4753.9168042713636</v>
      </c>
      <c r="AC24" s="32">
        <f t="shared" si="92"/>
        <v>5471.620824431734</v>
      </c>
      <c r="AD24" s="32">
        <f t="shared" si="92"/>
        <v>6293.3120601394694</v>
      </c>
      <c r="AE24" s="32">
        <f t="shared" ref="AE24" si="93">AE18-AE21-AE23-AE22</f>
        <v>7237.4729172643556</v>
      </c>
      <c r="AI24" s="31">
        <f t="shared" ref="AI24" si="94">AI18-AI21-AI23-AI22</f>
        <v>0</v>
      </c>
      <c r="AJ24" s="31">
        <f t="shared" ref="AJ24" si="95">AJ18-AJ21-AJ23-AJ22</f>
        <v>0</v>
      </c>
      <c r="AK24" s="31">
        <f t="shared" ref="AK24:AM24" si="96">AK18-AK21-AK23-AK22</f>
        <v>0</v>
      </c>
      <c r="AL24" s="31">
        <f t="shared" si="96"/>
        <v>0</v>
      </c>
      <c r="AM24" s="31">
        <f t="shared" si="96"/>
        <v>0</v>
      </c>
      <c r="AN24" s="31">
        <f t="shared" ref="AN24:AO24" si="97">AN18-AN21-AN23-AN22</f>
        <v>0</v>
      </c>
      <c r="AO24" s="31">
        <f t="shared" si="97"/>
        <v>0</v>
      </c>
      <c r="AP24" s="31">
        <f t="shared" ref="AP24:CD24" si="98">AP18-AP21-AP23-AP22</f>
        <v>0</v>
      </c>
      <c r="AQ24" s="31">
        <f t="shared" si="98"/>
        <v>0</v>
      </c>
      <c r="AR24" s="31">
        <f t="shared" si="98"/>
        <v>0</v>
      </c>
      <c r="AS24" s="31">
        <f t="shared" si="98"/>
        <v>0</v>
      </c>
      <c r="AT24" s="31">
        <f t="shared" si="98"/>
        <v>0</v>
      </c>
      <c r="AU24" s="31">
        <f t="shared" si="98"/>
        <v>0</v>
      </c>
      <c r="AV24" s="31">
        <f t="shared" si="98"/>
        <v>0</v>
      </c>
      <c r="AW24" s="31">
        <f t="shared" si="98"/>
        <v>209.60300000000004</v>
      </c>
      <c r="AX24" s="31">
        <f t="shared" si="98"/>
        <v>228.85600000000002</v>
      </c>
      <c r="AY24" s="31">
        <f t="shared" si="98"/>
        <v>197.08600000000001</v>
      </c>
      <c r="AZ24" s="31">
        <f t="shared" si="98"/>
        <v>233.80400000000003</v>
      </c>
      <c r="BA24" s="31">
        <f t="shared" si="98"/>
        <v>224.82200000000003</v>
      </c>
      <c r="BB24" s="31">
        <f t="shared" si="98"/>
        <v>252.17</v>
      </c>
      <c r="BC24" s="31">
        <f t="shared" si="98"/>
        <v>232.69899999999993</v>
      </c>
      <c r="BD24" s="31">
        <f t="shared" si="98"/>
        <v>257.26400000000001</v>
      </c>
      <c r="BE24" s="31">
        <f t="shared" si="98"/>
        <v>233.17799999999997</v>
      </c>
      <c r="BF24" s="31">
        <f t="shared" si="98"/>
        <v>269.32400000000001</v>
      </c>
      <c r="BG24" s="31">
        <f t="shared" si="98"/>
        <v>243.86900000000003</v>
      </c>
      <c r="BH24" s="31">
        <f t="shared" si="98"/>
        <v>273.64199999999994</v>
      </c>
      <c r="BI24" s="31">
        <f t="shared" si="98"/>
        <v>245.51499999999996</v>
      </c>
      <c r="BJ24" s="31">
        <f t="shared" si="98"/>
        <v>293.25</v>
      </c>
      <c r="BK24" s="31">
        <f t="shared" si="98"/>
        <v>276.0100000000001</v>
      </c>
      <c r="BL24" s="31">
        <f t="shared" si="98"/>
        <v>352.43999999999994</v>
      </c>
      <c r="BM24" s="31">
        <f t="shared" si="98"/>
        <v>369.03000000000009</v>
      </c>
      <c r="BN24" s="31">
        <f t="shared" si="98"/>
        <v>420.82999999999993</v>
      </c>
      <c r="BO24" s="31">
        <f t="shared" si="98"/>
        <v>528.26</v>
      </c>
      <c r="BP24" s="31">
        <f t="shared" si="98"/>
        <v>637.54999999999995</v>
      </c>
      <c r="BQ24" s="31">
        <f t="shared" si="98"/>
        <v>705.34</v>
      </c>
      <c r="BR24" s="31">
        <f t="shared" si="98"/>
        <v>784.17000000000007</v>
      </c>
      <c r="BS24" s="31">
        <f t="shared" si="98"/>
        <v>724.68000000000006</v>
      </c>
      <c r="BT24" s="31">
        <f t="shared" si="98"/>
        <v>670.81000000000006</v>
      </c>
      <c r="BU24" s="31">
        <f t="shared" si="98"/>
        <v>604.7399999999999</v>
      </c>
      <c r="BV24" s="31">
        <f t="shared" si="98"/>
        <v>741.56999999999982</v>
      </c>
      <c r="BW24" s="31">
        <f t="shared" si="98"/>
        <v>885.99</v>
      </c>
      <c r="BX24" s="31">
        <f t="shared" si="98"/>
        <v>868.48000000000013</v>
      </c>
      <c r="BY24" s="31">
        <f t="shared" si="98"/>
        <v>825.44</v>
      </c>
      <c r="BZ24" s="31">
        <f t="shared" si="98"/>
        <v>686.32</v>
      </c>
      <c r="CA24" s="31">
        <f t="shared" si="98"/>
        <v>597.86999999999989</v>
      </c>
      <c r="CB24" s="31">
        <f t="shared" si="98"/>
        <v>643.37000000000023</v>
      </c>
      <c r="CC24" s="31">
        <f t="shared" si="98"/>
        <v>649.5100000000001</v>
      </c>
      <c r="CD24" s="31">
        <f t="shared" si="98"/>
        <v>717.66000000000008</v>
      </c>
      <c r="CE24" s="31">
        <f t="shared" ref="CE24:CF24" si="99">CE18-CE21-CE23-CE22</f>
        <v>658.06000000000006</v>
      </c>
      <c r="CF24" s="31">
        <f t="shared" si="99"/>
        <v>675.40000000000009</v>
      </c>
      <c r="CG24" s="31">
        <f t="shared" ref="CG24:CH24" si="100">CG18-CG21-CG23-CG22</f>
        <v>804.90000000000009</v>
      </c>
      <c r="CH24" s="31">
        <f t="shared" si="100"/>
        <v>937.62</v>
      </c>
      <c r="CI24" s="31">
        <f t="shared" ref="CI24:CJ24" si="101">CI18-CI21-CI23-CI22</f>
        <v>932.21999999999991</v>
      </c>
      <c r="CJ24" s="31">
        <f t="shared" si="101"/>
        <v>990.03</v>
      </c>
      <c r="CK24" s="31">
        <f t="shared" ref="CK24:CL24" si="102">CK18-CK21-CK23-CK22</f>
        <v>1083.7199999999998</v>
      </c>
      <c r="CL24" s="31">
        <f t="shared" si="102"/>
        <v>1111.47</v>
      </c>
      <c r="CM24" s="32">
        <f t="shared" ref="CM24:DB24" si="103">+CM25*CM18</f>
        <v>1090.0648842490837</v>
      </c>
      <c r="CN24" s="32">
        <f t="shared" si="103"/>
        <v>1153.0770285630242</v>
      </c>
      <c r="CO24" s="32">
        <f t="shared" si="103"/>
        <v>1244.0325844453939</v>
      </c>
      <c r="CP24" s="32">
        <f t="shared" si="103"/>
        <v>1266.7423070138605</v>
      </c>
      <c r="CQ24" s="32">
        <f t="shared" si="103"/>
        <v>1259.3003960191688</v>
      </c>
      <c r="CR24" s="32">
        <f t="shared" si="103"/>
        <v>1328.12316546026</v>
      </c>
      <c r="CS24" s="32">
        <f t="shared" si="103"/>
        <v>1428.9433083212562</v>
      </c>
      <c r="CT24" s="32">
        <f t="shared" si="103"/>
        <v>1455.2539546310481</v>
      </c>
      <c r="CU24" s="32">
        <f t="shared" si="103"/>
        <v>1449.6070541160223</v>
      </c>
      <c r="CV24" s="32">
        <f t="shared" si="103"/>
        <v>1527.4663027404654</v>
      </c>
      <c r="CW24" s="32">
        <f t="shared" si="103"/>
        <v>1642.8078362488336</v>
      </c>
      <c r="CX24" s="32">
        <f t="shared" si="103"/>
        <v>1673.4308670341488</v>
      </c>
      <c r="CY24" s="32">
        <f t="shared" si="103"/>
        <v>1667.3392407587585</v>
      </c>
      <c r="CZ24" s="32">
        <f t="shared" si="103"/>
        <v>1756.5420831744236</v>
      </c>
      <c r="DA24" s="32">
        <f t="shared" si="103"/>
        <v>1889.1310919181833</v>
      </c>
      <c r="DB24" s="32">
        <f t="shared" si="103"/>
        <v>1924.4605014129902</v>
      </c>
      <c r="DE24" s="124"/>
      <c r="DF24" s="31">
        <v>4117.4399999999987</v>
      </c>
    </row>
    <row r="25" spans="1:110" s="41" customFormat="1" x14ac:dyDescent="0.2">
      <c r="A25" s="41" t="s">
        <v>6</v>
      </c>
      <c r="B25" s="41" t="e">
        <f>B24/B18</f>
        <v>#DIV/0!</v>
      </c>
      <c r="C25" s="41" t="e">
        <f t="shared" ref="C25:U25" si="104">C24/C18</f>
        <v>#DIV/0!</v>
      </c>
      <c r="D25" s="41" t="e">
        <f t="shared" si="104"/>
        <v>#DIV/0!</v>
      </c>
      <c r="E25" s="41" t="e">
        <f t="shared" si="104"/>
        <v>#DIV/0!</v>
      </c>
      <c r="F25" s="41" t="e">
        <f t="shared" si="104"/>
        <v>#DIV/0!</v>
      </c>
      <c r="G25" s="41" t="e">
        <f t="shared" si="104"/>
        <v>#DIV/0!</v>
      </c>
      <c r="H25" s="41" t="e">
        <f t="shared" si="104"/>
        <v>#DIV/0!</v>
      </c>
      <c r="I25" s="41" t="e">
        <f t="shared" si="104"/>
        <v>#DIV/0!</v>
      </c>
      <c r="J25" s="41" t="e">
        <f t="shared" si="104"/>
        <v>#DIV/0!</v>
      </c>
      <c r="K25" s="41" t="e">
        <f t="shared" si="104"/>
        <v>#DIV/0!</v>
      </c>
      <c r="L25" s="41" t="e">
        <f t="shared" si="104"/>
        <v>#DIV/0!</v>
      </c>
      <c r="M25" s="41">
        <f t="shared" si="104"/>
        <v>0.41467170159612005</v>
      </c>
      <c r="N25" s="41">
        <f t="shared" si="104"/>
        <v>0.42977351773320099</v>
      </c>
      <c r="O25" s="41">
        <f t="shared" si="104"/>
        <v>0.37879327456612244</v>
      </c>
      <c r="P25" s="41">
        <f t="shared" si="104"/>
        <v>0.38091799274832461</v>
      </c>
      <c r="Q25" s="41">
        <f t="shared" si="104"/>
        <v>0.43735296003888435</v>
      </c>
      <c r="R25" s="41">
        <f t="shared" si="104"/>
        <v>0.48059299177222875</v>
      </c>
      <c r="S25" s="41">
        <f t="shared" si="104"/>
        <v>0.48641454743528018</v>
      </c>
      <c r="T25" s="41">
        <f t="shared" si="104"/>
        <v>0.46559996090607164</v>
      </c>
      <c r="U25" s="41">
        <f t="shared" si="104"/>
        <v>0.51164663172912572</v>
      </c>
      <c r="V25" s="41">
        <f t="shared" ref="V25:AA25" si="105">V24/V18</f>
        <v>0.56214487972394367</v>
      </c>
      <c r="W25" s="41">
        <f t="shared" si="105"/>
        <v>0.5676507475327065</v>
      </c>
      <c r="X25" s="41">
        <f t="shared" si="105"/>
        <v>0.54810902980688847</v>
      </c>
      <c r="Y25" s="41">
        <f t="shared" si="105"/>
        <v>0.52897637888998439</v>
      </c>
      <c r="Z25" s="41">
        <f t="shared" si="105"/>
        <v>0.56876174837413307</v>
      </c>
      <c r="AA25" s="41">
        <f t="shared" si="105"/>
        <v>0.61829470563196276</v>
      </c>
      <c r="AB25" s="42">
        <f t="shared" ref="AB25:AD25" si="106">AB24/AB18</f>
        <v>0.60676667782682892</v>
      </c>
      <c r="AC25" s="42">
        <f t="shared" si="106"/>
        <v>0.60727904948601574</v>
      </c>
      <c r="AD25" s="42">
        <f t="shared" si="106"/>
        <v>0.60737055223204484</v>
      </c>
      <c r="AE25" s="42">
        <f t="shared" ref="AE25" si="107">AE24/AE18</f>
        <v>0.60738431950235205</v>
      </c>
      <c r="AI25" s="41" t="e">
        <f t="shared" ref="AI25" si="108">AI24/AI18</f>
        <v>#DIV/0!</v>
      </c>
      <c r="AJ25" s="41" t="e">
        <f t="shared" ref="AJ25" si="109">AJ24/AJ18</f>
        <v>#DIV/0!</v>
      </c>
      <c r="AK25" s="41" t="e">
        <f t="shared" ref="AK25:AM25" si="110">AK24/AK18</f>
        <v>#DIV/0!</v>
      </c>
      <c r="AL25" s="41" t="e">
        <f t="shared" si="110"/>
        <v>#DIV/0!</v>
      </c>
      <c r="AM25" s="41" t="e">
        <f t="shared" si="110"/>
        <v>#DIV/0!</v>
      </c>
      <c r="AN25" s="41" t="e">
        <f t="shared" ref="AN25:AO25" si="111">AN24/AN18</f>
        <v>#DIV/0!</v>
      </c>
      <c r="AO25" s="41" t="e">
        <f t="shared" si="111"/>
        <v>#DIV/0!</v>
      </c>
      <c r="AP25" s="41" t="e">
        <f t="shared" ref="AP25:CD25" si="112">AP24/AP18</f>
        <v>#DIV/0!</v>
      </c>
      <c r="AQ25" s="41" t="e">
        <f t="shared" si="112"/>
        <v>#DIV/0!</v>
      </c>
      <c r="AR25" s="41" t="e">
        <f t="shared" si="112"/>
        <v>#DIV/0!</v>
      </c>
      <c r="AS25" s="41" t="e">
        <f t="shared" si="112"/>
        <v>#DIV/0!</v>
      </c>
      <c r="AT25" s="41" t="e">
        <f t="shared" si="112"/>
        <v>#DIV/0!</v>
      </c>
      <c r="AU25" s="41" t="e">
        <f t="shared" si="112"/>
        <v>#DIV/0!</v>
      </c>
      <c r="AV25" s="41" t="e">
        <f t="shared" si="112"/>
        <v>#DIV/0!</v>
      </c>
      <c r="AW25" s="41">
        <f t="shared" si="112"/>
        <v>0.4656830290292337</v>
      </c>
      <c r="AX25" s="41">
        <f t="shared" si="112"/>
        <v>0.47373465344895044</v>
      </c>
      <c r="AY25" s="41">
        <f t="shared" si="112"/>
        <v>0.48097910972276459</v>
      </c>
      <c r="AZ25" s="41">
        <f t="shared" si="112"/>
        <v>0.45267339921315952</v>
      </c>
      <c r="BA25" s="41">
        <f t="shared" si="112"/>
        <v>0.44462858951032364</v>
      </c>
      <c r="BB25" s="41">
        <f t="shared" si="112"/>
        <v>0.53340976539446761</v>
      </c>
      <c r="BC25" s="41">
        <f t="shared" si="112"/>
        <v>0.48642213763276321</v>
      </c>
      <c r="BD25" s="41">
        <f t="shared" si="112"/>
        <v>0.47764430664116891</v>
      </c>
      <c r="BE25" s="41">
        <f t="shared" si="112"/>
        <v>0.4868718040803372</v>
      </c>
      <c r="BF25" s="41">
        <f t="shared" si="112"/>
        <v>0.48072968727688137</v>
      </c>
      <c r="BG25" s="41">
        <f t="shared" si="112"/>
        <v>0.45243285462239596</v>
      </c>
      <c r="BH25" s="41">
        <f t="shared" si="112"/>
        <v>0.4651552574364971</v>
      </c>
      <c r="BI25" s="41">
        <f t="shared" si="112"/>
        <v>0.46371093403241426</v>
      </c>
      <c r="BJ25" s="41">
        <f t="shared" si="112"/>
        <v>0.4616939642075002</v>
      </c>
      <c r="BK25" s="41">
        <f t="shared" si="112"/>
        <v>0.50131681711680631</v>
      </c>
      <c r="BL25" s="41">
        <f t="shared" si="112"/>
        <v>0.4947081777603099</v>
      </c>
      <c r="BM25" s="41">
        <f t="shared" si="112"/>
        <v>0.50580462999767006</v>
      </c>
      <c r="BN25" s="41">
        <f t="shared" si="112"/>
        <v>0.50150153728817592</v>
      </c>
      <c r="BO25" s="41">
        <f t="shared" si="112"/>
        <v>0.54218326627801949</v>
      </c>
      <c r="BP25" s="41">
        <f t="shared" si="112"/>
        <v>0.55982403147061921</v>
      </c>
      <c r="BQ25" s="41">
        <f t="shared" si="112"/>
        <v>0.54744570869747444</v>
      </c>
      <c r="BR25" s="41">
        <f t="shared" si="112"/>
        <v>0.55538872323698774</v>
      </c>
      <c r="BS25" s="41">
        <f t="shared" si="112"/>
        <v>0.56682049276495894</v>
      </c>
      <c r="BT25" s="41">
        <f t="shared" si="112"/>
        <v>0.55739189683251911</v>
      </c>
      <c r="BU25" s="41">
        <f t="shared" si="112"/>
        <v>0.58783389711886147</v>
      </c>
      <c r="BV25" s="41">
        <f t="shared" si="112"/>
        <v>0.52046209021427103</v>
      </c>
      <c r="BW25" s="41">
        <f t="shared" si="112"/>
        <v>0.57571445280517752</v>
      </c>
      <c r="BX25" s="41">
        <f t="shared" si="112"/>
        <v>0.55110445526020224</v>
      </c>
      <c r="BY25" s="41">
        <f t="shared" si="112"/>
        <v>0.53432762393029609</v>
      </c>
      <c r="BZ25" s="41">
        <f t="shared" si="112"/>
        <v>0.4970091969005721</v>
      </c>
      <c r="CA25" s="41">
        <f t="shared" si="112"/>
        <v>0.50590206381844482</v>
      </c>
      <c r="CB25" s="41">
        <f t="shared" si="112"/>
        <v>0.52543591000040857</v>
      </c>
      <c r="CC25" s="41">
        <f t="shared" si="112"/>
        <v>0.54355940146620696</v>
      </c>
      <c r="CD25" s="41">
        <f t="shared" si="112"/>
        <v>0.49848923711683929</v>
      </c>
      <c r="CE25" s="41">
        <f t="shared" ref="CE25:CF25" si="113">CE24/CE18</f>
        <v>0.55071930103522437</v>
      </c>
      <c r="CF25" s="41">
        <f t="shared" si="113"/>
        <v>0.55193266323445289</v>
      </c>
      <c r="CG25" s="41">
        <f t="shared" ref="CG25:CH25" si="114">CG24/CG18</f>
        <v>0.56881382283311555</v>
      </c>
      <c r="CH25" s="41">
        <f t="shared" si="114"/>
        <v>0.5450328431087601</v>
      </c>
      <c r="CI25" s="41">
        <f t="shared" ref="CI25:CJ25" si="115">CI24/CI18</f>
        <v>0.59393337028612925</v>
      </c>
      <c r="CJ25" s="41">
        <f t="shared" si="115"/>
        <v>0.59875897355258934</v>
      </c>
      <c r="CK25" s="41">
        <f t="shared" ref="CK25:CL25" si="116">CK24/CK18</f>
        <v>0.60941691175230128</v>
      </c>
      <c r="CL25" s="41">
        <f t="shared" si="116"/>
        <v>0.61353963688954893</v>
      </c>
      <c r="CM25" s="42">
        <f t="shared" ref="CM25:DB25" si="117">AVERAGE(CI25:CL25)</f>
        <v>0.60391222312014214</v>
      </c>
      <c r="CN25" s="42">
        <f t="shared" si="117"/>
        <v>0.6064069363286454</v>
      </c>
      <c r="CO25" s="42">
        <f t="shared" si="117"/>
        <v>0.60831892702265944</v>
      </c>
      <c r="CP25" s="42">
        <f t="shared" si="117"/>
        <v>0.60804443084024906</v>
      </c>
      <c r="CQ25" s="42">
        <f t="shared" si="117"/>
        <v>0.60667062932792404</v>
      </c>
      <c r="CR25" s="42">
        <f t="shared" si="117"/>
        <v>0.60736023087986946</v>
      </c>
      <c r="CS25" s="42">
        <f t="shared" si="117"/>
        <v>0.60759855451767553</v>
      </c>
      <c r="CT25" s="42">
        <f t="shared" si="117"/>
        <v>0.60741846139142952</v>
      </c>
      <c r="CU25" s="42">
        <f t="shared" si="117"/>
        <v>0.60726196902922469</v>
      </c>
      <c r="CV25" s="42">
        <f t="shared" si="117"/>
        <v>0.6074098039545498</v>
      </c>
      <c r="CW25" s="42">
        <f t="shared" si="117"/>
        <v>0.60742219722321988</v>
      </c>
      <c r="CX25" s="42">
        <f t="shared" si="117"/>
        <v>0.60737810789960589</v>
      </c>
      <c r="CY25" s="42">
        <f t="shared" si="117"/>
        <v>0.60736801952664998</v>
      </c>
      <c r="CZ25" s="42">
        <f t="shared" si="117"/>
        <v>0.60739453215100636</v>
      </c>
      <c r="DA25" s="42">
        <f t="shared" si="117"/>
        <v>0.60739071420012047</v>
      </c>
      <c r="DB25" s="42">
        <f t="shared" si="117"/>
        <v>0.60738284344434568</v>
      </c>
      <c r="DE25" s="125"/>
      <c r="DF25" s="41">
        <v>0.60435937706409881</v>
      </c>
    </row>
    <row r="26" spans="1:110" s="39" customFormat="1" x14ac:dyDescent="0.2">
      <c r="A26" s="39" t="s">
        <v>447</v>
      </c>
      <c r="C26" s="39" t="e">
        <f t="shared" ref="C26:AE26" si="118">+IF(B24&lt;0,1-C24/B24,C24/B24-1)</f>
        <v>#DIV/0!</v>
      </c>
      <c r="D26" s="39" t="e">
        <f t="shared" si="118"/>
        <v>#DIV/0!</v>
      </c>
      <c r="E26" s="39" t="e">
        <f t="shared" si="118"/>
        <v>#DIV/0!</v>
      </c>
      <c r="F26" s="39" t="e">
        <f t="shared" si="118"/>
        <v>#DIV/0!</v>
      </c>
      <c r="G26" s="39" t="e">
        <f t="shared" si="118"/>
        <v>#DIV/0!</v>
      </c>
      <c r="H26" s="39" t="e">
        <f t="shared" si="118"/>
        <v>#DIV/0!</v>
      </c>
      <c r="I26" s="39" t="e">
        <f t="shared" si="118"/>
        <v>#DIV/0!</v>
      </c>
      <c r="J26" s="39" t="e">
        <f t="shared" si="118"/>
        <v>#DIV/0!</v>
      </c>
      <c r="K26" s="39" t="e">
        <f t="shared" si="118"/>
        <v>#DIV/0!</v>
      </c>
      <c r="L26" s="39" t="e">
        <f t="shared" si="118"/>
        <v>#DIV/0!</v>
      </c>
      <c r="M26" s="39" t="e">
        <f t="shared" si="118"/>
        <v>#DIV/0!</v>
      </c>
      <c r="N26" s="39">
        <f t="shared" si="118"/>
        <v>0.65220438737292663</v>
      </c>
      <c r="O26" s="39">
        <f t="shared" si="118"/>
        <v>0.42259477909435561</v>
      </c>
      <c r="P26" s="39">
        <f t="shared" si="118"/>
        <v>0.15030742579553991</v>
      </c>
      <c r="Q26" s="39">
        <f t="shared" si="118"/>
        <v>0.53848239340460191</v>
      </c>
      <c r="R26" s="39">
        <f t="shared" si="118"/>
        <v>0.17741941707860143</v>
      </c>
      <c r="S26" s="39">
        <f t="shared" si="118"/>
        <v>9.2631314455514646E-2</v>
      </c>
      <c r="T26" s="39">
        <f t="shared" si="118"/>
        <v>6.6954889811638552E-2</v>
      </c>
      <c r="U26" s="39">
        <f t="shared" si="118"/>
        <v>0.35771556231937263</v>
      </c>
      <c r="V26" s="39">
        <f t="shared" si="118"/>
        <v>0.86762513459043134</v>
      </c>
      <c r="W26" s="39">
        <f t="shared" si="118"/>
        <v>3.5400552128874274E-2</v>
      </c>
      <c r="X26" s="39">
        <f t="shared" si="118"/>
        <v>0.18174809400074254</v>
      </c>
      <c r="Y26" s="39">
        <f t="shared" si="118"/>
        <v>-0.19463103464939835</v>
      </c>
      <c r="Z26" s="39">
        <f t="shared" si="118"/>
        <v>0.18466292640484827</v>
      </c>
      <c r="AA26" s="39">
        <f t="shared" si="118"/>
        <v>0.33350427999797372</v>
      </c>
      <c r="AB26" s="40">
        <f t="shared" si="118"/>
        <v>0.12855839318185081</v>
      </c>
      <c r="AC26" s="40">
        <f t="shared" si="118"/>
        <v>0.15097109388105356</v>
      </c>
      <c r="AD26" s="40">
        <f t="shared" si="118"/>
        <v>0.15017327809681946</v>
      </c>
      <c r="AE26" s="40">
        <f t="shared" si="118"/>
        <v>0.15002606705378629</v>
      </c>
      <c r="AM26" s="39" t="e">
        <f>+IF(AI24&lt;0,1-AM24/AI24,AM24/AI24-1)</f>
        <v>#DIV/0!</v>
      </c>
      <c r="AN26" s="39" t="e">
        <f t="shared" ref="AN26" si="119">+IF(AJ24&lt;0,1-AN24/AJ24,AN24/AJ24-1)</f>
        <v>#DIV/0!</v>
      </c>
      <c r="AO26" s="39" t="e">
        <f t="shared" ref="AO26" si="120">+IF(AK24&lt;0,1-AO24/AK24,AO24/AK24-1)</f>
        <v>#DIV/0!</v>
      </c>
      <c r="AP26" s="39" t="e">
        <f t="shared" ref="AP26" si="121">+IF(AL24&lt;0,1-AP24/AL24,AP24/AL24-1)</f>
        <v>#DIV/0!</v>
      </c>
      <c r="AQ26" s="39" t="e">
        <f t="shared" ref="AQ26" si="122">+IF(AM24&lt;0,1-AQ24/AM24,AQ24/AM24-1)</f>
        <v>#DIV/0!</v>
      </c>
      <c r="AR26" s="39" t="e">
        <f t="shared" ref="AR26" si="123">+IF(AN24&lt;0,1-AR24/AN24,AR24/AN24-1)</f>
        <v>#DIV/0!</v>
      </c>
      <c r="AS26" s="39" t="e">
        <f t="shared" ref="AS26" si="124">+IF(AO24&lt;0,1-AS24/AO24,AS24/AO24-1)</f>
        <v>#DIV/0!</v>
      </c>
      <c r="AT26" s="39" t="e">
        <f t="shared" ref="AT26" si="125">+IF(AP24&lt;0,1-AT24/AP24,AT24/AP24-1)</f>
        <v>#DIV/0!</v>
      </c>
      <c r="AU26" s="39" t="e">
        <f t="shared" ref="AU26" si="126">+IF(AQ24&lt;0,1-AU24/AQ24,AU24/AQ24-1)</f>
        <v>#DIV/0!</v>
      </c>
      <c r="AV26" s="39" t="e">
        <f t="shared" ref="AV26" si="127">+IF(AR24&lt;0,1-AV24/AR24,AV24/AR24-1)</f>
        <v>#DIV/0!</v>
      </c>
      <c r="AW26" s="39" t="e">
        <f t="shared" ref="AW26" si="128">+IF(AS24&lt;0,1-AW24/AS24,AW24/AS24-1)</f>
        <v>#DIV/0!</v>
      </c>
      <c r="AX26" s="39" t="e">
        <f t="shared" ref="AX26" si="129">+IF(AT24&lt;0,1-AX24/AT24,AX24/AT24-1)</f>
        <v>#DIV/0!</v>
      </c>
      <c r="AY26" s="39" t="e">
        <f t="shared" ref="AY26" si="130">+IF(AU24&lt;0,1-AY24/AU24,AY24/AU24-1)</f>
        <v>#DIV/0!</v>
      </c>
      <c r="AZ26" s="39" t="e">
        <f t="shared" ref="AZ26" si="131">+IF(AV24&lt;0,1-AZ24/AV24,AZ24/AV24-1)</f>
        <v>#DIV/0!</v>
      </c>
      <c r="BA26" s="39">
        <f t="shared" ref="BA26" si="132">+IF(AW24&lt;0,1-BA24/AW24,BA24/AW24-1)</f>
        <v>7.2608693577859151E-2</v>
      </c>
      <c r="BB26" s="39">
        <f t="shared" ref="BB26" si="133">+IF(AX24&lt;0,1-BB24/AX24,BB24/AX24-1)</f>
        <v>0.10187191946027174</v>
      </c>
      <c r="BC26" s="39">
        <f t="shared" ref="BC26" si="134">+IF(AY24&lt;0,1-BC24/AY24,BC24/AY24-1)</f>
        <v>0.18069776645728219</v>
      </c>
      <c r="BD26" s="39">
        <f t="shared" ref="BD26" si="135">+IF(AZ24&lt;0,1-BD24/AZ24,BD24/AZ24-1)</f>
        <v>0.10034045610853526</v>
      </c>
      <c r="BE26" s="39">
        <f t="shared" ref="BE26" si="136">+IF(BA24&lt;0,1-BE24/BA24,BE24/BA24-1)</f>
        <v>3.7167181147752082E-2</v>
      </c>
      <c r="BF26" s="39">
        <f t="shared" ref="BF26" si="137">+IF(BB24&lt;0,1-BF24/BB24,BF24/BB24-1)</f>
        <v>6.8025538327318946E-2</v>
      </c>
      <c r="BG26" s="39">
        <f t="shared" ref="BG26" si="138">+IF(BC24&lt;0,1-BG24/BC24,BG24/BC24-1)</f>
        <v>4.8001925233886356E-2</v>
      </c>
      <c r="BH26" s="39">
        <f t="shared" ref="BH26" si="139">+IF(BD24&lt;0,1-BH24/BD24,BH24/BD24-1)</f>
        <v>6.3662230238198614E-2</v>
      </c>
      <c r="BI26" s="39">
        <f t="shared" ref="BI26" si="140">+IF(BE24&lt;0,1-BI24/BE24,BI24/BE24-1)</f>
        <v>5.2908078806748415E-2</v>
      </c>
      <c r="BJ26" s="39">
        <f t="shared" ref="BJ26" si="141">+IF(BF24&lt;0,1-BJ24/BF24,BJ24/BF24-1)</f>
        <v>8.8837236933953179E-2</v>
      </c>
      <c r="BK26" s="39">
        <f t="shared" ref="BK26" si="142">+IF(BG24&lt;0,1-BK24/BG24,BK24/BG24-1)</f>
        <v>0.13179616925480508</v>
      </c>
      <c r="BL26" s="39">
        <f t="shared" ref="BL26" si="143">+IF(BH24&lt;0,1-BL24/BH24,BL24/BH24-1)</f>
        <v>0.28796018155107772</v>
      </c>
      <c r="BM26" s="39">
        <f t="shared" ref="BM26" si="144">+IF(BI24&lt;0,1-BM24/BI24,BM24/BI24-1)</f>
        <v>0.50308535120053821</v>
      </c>
      <c r="BN26" s="39">
        <f t="shared" ref="BN26" si="145">+IF(BJ24&lt;0,1-BN24/BJ24,BN24/BJ24-1)</f>
        <v>0.43505541346973553</v>
      </c>
      <c r="BO26" s="39">
        <f t="shared" ref="BO26" si="146">+IF(BK24&lt;0,1-BO24/BK24,BO24/BK24-1)</f>
        <v>0.9139161624578811</v>
      </c>
      <c r="BP26" s="39">
        <f t="shared" ref="BP26" si="147">+IF(BL24&lt;0,1-BP24/BL24,BP24/BL24-1)</f>
        <v>0.80896039042106471</v>
      </c>
      <c r="BQ26" s="39">
        <f t="shared" ref="BQ26" si="148">+IF(BM24&lt;0,1-BQ24/BM24,BQ24/BM24-1)</f>
        <v>0.91133512180581477</v>
      </c>
      <c r="BR26" s="39">
        <f t="shared" ref="BR26" si="149">+IF(BN24&lt;0,1-BR24/BN24,BR24/BN24-1)</f>
        <v>0.86338901694270898</v>
      </c>
      <c r="BS26" s="39">
        <f t="shared" ref="BS26" si="150">+IF(BO24&lt;0,1-BS24/BO24,BS24/BO24-1)</f>
        <v>0.37182448036951521</v>
      </c>
      <c r="BT26" s="39">
        <f t="shared" ref="BT26" si="151">+IF(BP24&lt;0,1-BT24/BP24,BT24/BP24-1)</f>
        <v>5.2168457375892263E-2</v>
      </c>
      <c r="BU26" s="39">
        <f t="shared" ref="BU26" si="152">+IF(BQ24&lt;0,1-BU24/BQ24,BU24/BQ24-1)</f>
        <v>-0.14262625116964889</v>
      </c>
      <c r="BV26" s="39">
        <f t="shared" ref="BV26" si="153">+IF(BR24&lt;0,1-BV24/BR24,BV24/BR24-1)</f>
        <v>-5.4324955048012824E-2</v>
      </c>
      <c r="BW26" s="39">
        <f t="shared" ref="BW26" si="154">+IF(BS24&lt;0,1-BW24/BS24,BW24/BS24-1)</f>
        <v>0.22259480046365288</v>
      </c>
      <c r="BX26" s="39">
        <f t="shared" ref="BX26" si="155">+IF(BT24&lt;0,1-BX24/BT24,BX24/BT24-1)</f>
        <v>0.29467360355391259</v>
      </c>
      <c r="BY26" s="39">
        <f t="shared" ref="BY26" si="156">+IF(BU24&lt;0,1-BY24/BU24,BY24/BU24-1)</f>
        <v>0.36495022654363884</v>
      </c>
      <c r="BZ26" s="39">
        <f t="shared" ref="BZ26" si="157">+IF(BV24&lt;0,1-BZ24/BV24,BZ24/BV24-1)</f>
        <v>-7.4504092668257638E-2</v>
      </c>
      <c r="CA26" s="39">
        <f t="shared" ref="CA26" si="158">+IF(BW24&lt;0,1-CA24/BW24,CA24/BW24-1)</f>
        <v>-0.32519554396776496</v>
      </c>
      <c r="CB26" s="39">
        <f t="shared" ref="CB26" si="159">+IF(BX24&lt;0,1-CB24/BX24,CB24/BX24-1)</f>
        <v>-0.25919998157700797</v>
      </c>
      <c r="CC26" s="39">
        <f t="shared" ref="CC26" si="160">+IF(BY24&lt;0,1-CC24/BY24,CC24/BY24-1)</f>
        <v>-0.21313481294824566</v>
      </c>
      <c r="CD26" s="39">
        <f t="shared" ref="CD26" si="161">+IF(BZ24&lt;0,1-CD24/BZ24,CD24/BZ24-1)</f>
        <v>4.566383028324994E-2</v>
      </c>
      <c r="CE26" s="39">
        <f t="shared" ref="CE26" si="162">+IF(CA24&lt;0,1-CE24/CA24,CE24/CA24-1)</f>
        <v>0.10067405957816944</v>
      </c>
      <c r="CF26" s="39">
        <f t="shared" ref="CF26" si="163">+IF(CB24&lt;0,1-CF24/CB24,CF24/CB24-1)</f>
        <v>4.978472729533534E-2</v>
      </c>
      <c r="CG26" s="39">
        <f t="shared" ref="CG26" si="164">+IF(CC24&lt;0,1-CG24/CC24,CG24/CC24-1)</f>
        <v>0.23924189004018404</v>
      </c>
      <c r="CH26" s="39">
        <f t="shared" ref="CH26:CL26" si="165">+IF(CD24&lt;0,1-CH24/CD24,CH24/CD24-1)</f>
        <v>0.30649611236518681</v>
      </c>
      <c r="CI26" s="39">
        <f t="shared" si="165"/>
        <v>0.41661854542138999</v>
      </c>
      <c r="CJ26" s="39">
        <f t="shared" si="165"/>
        <v>0.46584246372519966</v>
      </c>
      <c r="CK26" s="39">
        <f t="shared" si="165"/>
        <v>0.34640327991054742</v>
      </c>
      <c r="CL26" s="39">
        <f t="shared" si="165"/>
        <v>0.18541626671786005</v>
      </c>
      <c r="CM26" s="40">
        <f t="shared" ref="CM26" si="166">+CM24/CI24-1</f>
        <v>0.16932149519328465</v>
      </c>
      <c r="CN26" s="40">
        <f t="shared" ref="CN26" si="167">+CN24/CJ24-1</f>
        <v>0.16468897767039814</v>
      </c>
      <c r="CO26" s="40">
        <f t="shared" ref="CO26" si="168">+CO24/CK24-1</f>
        <v>0.14792804824622063</v>
      </c>
      <c r="CP26" s="40">
        <f t="shared" ref="CP26" si="169">+CP24/CL24-1</f>
        <v>0.13969995322758177</v>
      </c>
      <c r="CQ26" s="40">
        <f t="shared" ref="CQ26" si="170">+CQ24/CM24-1</f>
        <v>0.15525269570229927</v>
      </c>
      <c r="CR26" s="40">
        <f t="shared" ref="CR26" si="171">+CR24/CN24-1</f>
        <v>0.15180784332802122</v>
      </c>
      <c r="CS26" s="40">
        <f t="shared" ref="CS26" si="172">+CS24/CO24-1</f>
        <v>0.14863816767170768</v>
      </c>
      <c r="CT26" s="40">
        <f t="shared" ref="CT26" si="173">+CT24/CP24-1</f>
        <v>0.14881609824935382</v>
      </c>
      <c r="CU26" s="40">
        <f t="shared" ref="CU26" si="174">+CU24/CQ24-1</f>
        <v>0.15112093881526634</v>
      </c>
      <c r="CV26" s="40">
        <f t="shared" ref="CV26" si="175">+CV24/CR24-1</f>
        <v>0.15009386362982613</v>
      </c>
      <c r="CW26" s="40">
        <f t="shared" ref="CW26" si="176">+CW24/CS24-1</f>
        <v>0.14966620906663453</v>
      </c>
      <c r="CX26" s="40">
        <f t="shared" ref="CX26" si="177">+CX24/CT24-1</f>
        <v>0.14992360041956743</v>
      </c>
      <c r="CY26" s="40">
        <f t="shared" ref="CY26" si="178">+CY24/CU24-1</f>
        <v>0.15020083271842966</v>
      </c>
      <c r="CZ26" s="40">
        <f t="shared" ref="CZ26" si="179">+CZ24/CV24-1</f>
        <v>0.14997108612017662</v>
      </c>
      <c r="DA26" s="40">
        <f t="shared" ref="DA26" si="180">+DA24/CW24-1</f>
        <v>0.14994039487405963</v>
      </c>
      <c r="DB26" s="40">
        <f t="shared" ref="DB26" si="181">+DB24/CX24-1</f>
        <v>0.15000896620470838</v>
      </c>
      <c r="DE26" s="122"/>
      <c r="DF26" s="39">
        <v>0.30344932381097056</v>
      </c>
    </row>
    <row r="27" spans="1:110" s="39" customFormat="1" x14ac:dyDescent="0.2">
      <c r="A27" s="39" t="s">
        <v>448</v>
      </c>
      <c r="AB27" s="40"/>
      <c r="AC27" s="40"/>
      <c r="AD27" s="40"/>
      <c r="AE27" s="40"/>
      <c r="AJ27" s="39" t="e">
        <f>+IF(AI24&lt;0,1-AJ24/AI24,AJ24/AI24-1)</f>
        <v>#DIV/0!</v>
      </c>
      <c r="AK27" s="39" t="e">
        <f t="shared" ref="AK27" si="182">+IF(AJ24&lt;0,1-AK24/AJ24,AK24/AJ24-1)</f>
        <v>#DIV/0!</v>
      </c>
      <c r="AL27" s="39" t="e">
        <f t="shared" ref="AL27" si="183">+IF(AK24&lt;0,1-AL24/AK24,AL24/AK24-1)</f>
        <v>#DIV/0!</v>
      </c>
      <c r="AM27" s="39" t="e">
        <f t="shared" ref="AM27" si="184">+IF(AL24&lt;0,1-AM24/AL24,AM24/AL24-1)</f>
        <v>#DIV/0!</v>
      </c>
      <c r="AN27" s="39" t="e">
        <f t="shared" ref="AN27" si="185">+IF(AM24&lt;0,1-AN24/AM24,AN24/AM24-1)</f>
        <v>#DIV/0!</v>
      </c>
      <c r="AO27" s="39" t="e">
        <f t="shared" ref="AO27" si="186">+IF(AN24&lt;0,1-AO24/AN24,AO24/AN24-1)</f>
        <v>#DIV/0!</v>
      </c>
      <c r="AP27" s="39" t="e">
        <f t="shared" ref="AP27" si="187">+IF(AO24&lt;0,1-AP24/AO24,AP24/AO24-1)</f>
        <v>#DIV/0!</v>
      </c>
      <c r="AQ27" s="39" t="e">
        <f t="shared" ref="AQ27" si="188">+IF(AP24&lt;0,1-AQ24/AP24,AQ24/AP24-1)</f>
        <v>#DIV/0!</v>
      </c>
      <c r="AR27" s="39" t="e">
        <f t="shared" ref="AR27" si="189">+IF(AQ24&lt;0,1-AR24/AQ24,AR24/AQ24-1)</f>
        <v>#DIV/0!</v>
      </c>
      <c r="AS27" s="39" t="e">
        <f t="shared" ref="AS27" si="190">+IF(AR24&lt;0,1-AS24/AR24,AS24/AR24-1)</f>
        <v>#DIV/0!</v>
      </c>
      <c r="AT27" s="39" t="e">
        <f t="shared" ref="AT27" si="191">+IF(AS24&lt;0,1-AT24/AS24,AT24/AS24-1)</f>
        <v>#DIV/0!</v>
      </c>
      <c r="AU27" s="39" t="e">
        <f t="shared" ref="AU27" si="192">+IF(AT24&lt;0,1-AU24/AT24,AU24/AT24-1)</f>
        <v>#DIV/0!</v>
      </c>
      <c r="AV27" s="39" t="e">
        <f t="shared" ref="AV27" si="193">+IF(AU24&lt;0,1-AV24/AU24,AV24/AU24-1)</f>
        <v>#DIV/0!</v>
      </c>
      <c r="AW27" s="39" t="e">
        <f t="shared" ref="AW27" si="194">+IF(AV24&lt;0,1-AW24/AV24,AW24/AV24-1)</f>
        <v>#DIV/0!</v>
      </c>
      <c r="AX27" s="39">
        <f t="shared" ref="AX27" si="195">+IF(AW24&lt;0,1-AX24/AW24,AX24/AW24-1)</f>
        <v>9.1854601317729045E-2</v>
      </c>
      <c r="AY27" s="39">
        <f t="shared" ref="AY27" si="196">+IF(AX24&lt;0,1-AY24/AX24,AY24/AX24-1)</f>
        <v>-0.13882091795714335</v>
      </c>
      <c r="AZ27" s="39">
        <f t="shared" ref="AZ27" si="197">+IF(AY24&lt;0,1-AZ24/AY24,AZ24/AY24-1)</f>
        <v>0.1863044559227951</v>
      </c>
      <c r="BA27" s="39">
        <f t="shared" ref="BA27" si="198">+IF(AZ24&lt;0,1-BA24/AZ24,BA24/AZ24-1)</f>
        <v>-3.8416793553574746E-2</v>
      </c>
      <c r="BB27" s="39">
        <f t="shared" ref="BB27" si="199">+IF(BA24&lt;0,1-BB24/BA24,BB24/BA24-1)</f>
        <v>0.12164289971621978</v>
      </c>
      <c r="BC27" s="39">
        <f t="shared" ref="BC27" si="200">+IF(BB24&lt;0,1-BC24/BB24,BC24/BB24-1)</f>
        <v>-7.7213784351826353E-2</v>
      </c>
      <c r="BD27" s="39">
        <f t="shared" ref="BD27" si="201">+IF(BC24&lt;0,1-BD24/BC24,BD24/BC24-1)</f>
        <v>0.10556555894094988</v>
      </c>
      <c r="BE27" s="39">
        <f t="shared" ref="BE27" si="202">+IF(BD24&lt;0,1-BE24/BD24,BE24/BD24-1)</f>
        <v>-9.3623670626282851E-2</v>
      </c>
      <c r="BF27" s="39">
        <f t="shared" ref="BF27" si="203">+IF(BE24&lt;0,1-BF24/BE24,BF24/BE24-1)</f>
        <v>0.15501462402113431</v>
      </c>
      <c r="BG27" s="39">
        <f t="shared" ref="BG27" si="204">+IF(BF24&lt;0,1-BG24/BF24,BG24/BF24-1)</f>
        <v>-9.4514413865826929E-2</v>
      </c>
      <c r="BH27" s="39">
        <f t="shared" ref="BH27" si="205">+IF(BG24&lt;0,1-BH24/BG24,BH24/BG24-1)</f>
        <v>0.12208603799580886</v>
      </c>
      <c r="BI27" s="39">
        <f t="shared" ref="BI27" si="206">+IF(BH24&lt;0,1-BI24/BH24,BI24/BH24-1)</f>
        <v>-0.10278758377734409</v>
      </c>
      <c r="BJ27" s="39">
        <f t="shared" ref="BJ27" si="207">+IF(BI24&lt;0,1-BJ24/BI24,BJ24/BI24-1)</f>
        <v>0.19442803902001926</v>
      </c>
      <c r="BK27" s="39">
        <f t="shared" ref="BK27" si="208">+IF(BJ24&lt;0,1-BK24/BJ24,BK24/BJ24-1)</f>
        <v>-5.878942881500393E-2</v>
      </c>
      <c r="BL27" s="39">
        <f t="shared" ref="BL27" si="209">+IF(BK24&lt;0,1-BL24/BK24,BL24/BK24-1)</f>
        <v>0.27691025687475013</v>
      </c>
      <c r="BM27" s="39">
        <f t="shared" ref="BM27" si="210">+IF(BL24&lt;0,1-BM24/BL24,BM24/BL24-1)</f>
        <v>4.7071842015662613E-2</v>
      </c>
      <c r="BN27" s="39">
        <f t="shared" ref="BN27" si="211">+IF(BM24&lt;0,1-BN24/BM24,BN24/BM24-1)</f>
        <v>0.14036799176218695</v>
      </c>
      <c r="BO27" s="39">
        <f t="shared" ref="BO27" si="212">+IF(BN24&lt;0,1-BO24/BN24,BO24/BN24-1)</f>
        <v>0.25528122995033642</v>
      </c>
      <c r="BP27" s="39">
        <f t="shared" ref="BP27" si="213">+IF(BO24&lt;0,1-BP24/BO24,BP24/BO24-1)</f>
        <v>0.20688676030742426</v>
      </c>
      <c r="BQ27" s="39">
        <f t="shared" ref="BQ27" si="214">+IF(BP24&lt;0,1-BQ24/BP24,BQ24/BP24-1)</f>
        <v>0.10632891537918598</v>
      </c>
      <c r="BR27" s="39">
        <f t="shared" ref="BR27" si="215">+IF(BQ24&lt;0,1-BR24/BQ24,BR24/BQ24-1)</f>
        <v>0.11176170357558068</v>
      </c>
      <c r="BS27" s="39">
        <f t="shared" ref="BS27" si="216">+IF(BR24&lt;0,1-BS24/BR24,BS24/BR24-1)</f>
        <v>-7.586365201423162E-2</v>
      </c>
      <c r="BT27" s="39">
        <f t="shared" ref="BT27" si="217">+IF(BS24&lt;0,1-BT24/BS24,BT24/BS24-1)</f>
        <v>-7.4336258762488283E-2</v>
      </c>
      <c r="BU27" s="39">
        <f t="shared" ref="BU27" si="218">+IF(BT24&lt;0,1-BU24/BT24,BU24/BT24-1)</f>
        <v>-9.8492866832635362E-2</v>
      </c>
      <c r="BV27" s="39">
        <f t="shared" ref="BV27" si="219">+IF(BU24&lt;0,1-BV24/BU24,BV24/BU24-1)</f>
        <v>0.22626252604425034</v>
      </c>
      <c r="BW27" s="39">
        <f t="shared" ref="BW27" si="220">+IF(BV24&lt;0,1-BW24/BV24,BW24/BV24-1)</f>
        <v>0.19474897851854878</v>
      </c>
      <c r="BX27" s="39">
        <f t="shared" ref="BX27" si="221">+IF(BW24&lt;0,1-BX24/BW24,BX24/BW24-1)</f>
        <v>-1.9763202744951802E-2</v>
      </c>
      <c r="BY27" s="39">
        <f t="shared" ref="BY27" si="222">+IF(BX24&lt;0,1-BY24/BX24,BY24/BX24-1)</f>
        <v>-4.9557848194546894E-2</v>
      </c>
      <c r="BZ27" s="39">
        <f t="shared" ref="BZ27" si="223">+IF(BY24&lt;0,1-BZ24/BY24,BZ24/BY24-1)</f>
        <v>-0.16854041480907156</v>
      </c>
      <c r="CA27" s="39">
        <f t="shared" ref="CA27" si="224">+IF(BZ24&lt;0,1-CA24/BZ24,CA24/BZ24-1)</f>
        <v>-0.12887574309360084</v>
      </c>
      <c r="CB27" s="39">
        <f t="shared" ref="CB27" si="225">+IF(CA24&lt;0,1-CB24/CA24,CB24/CA24-1)</f>
        <v>7.6103500761035558E-2</v>
      </c>
      <c r="CC27" s="39">
        <f t="shared" ref="CC27" si="226">+IF(CB24&lt;0,1-CC24/CB24,CC24/CB24-1)</f>
        <v>9.543497520866584E-3</v>
      </c>
      <c r="CD27" s="39">
        <f t="shared" ref="CD27" si="227">+IF(CC24&lt;0,1-CD24/CC24,CD24/CC24-1)</f>
        <v>0.10492525134332031</v>
      </c>
      <c r="CE27" s="39">
        <f t="shared" ref="CE27" si="228">+IF(CD24&lt;0,1-CE24/CD24,CE24/CD24-1)</f>
        <v>-8.3047682746704599E-2</v>
      </c>
      <c r="CF27" s="39">
        <f t="shared" ref="CF27" si="229">+IF(CE24&lt;0,1-CF24/CE24,CF24/CE24-1)</f>
        <v>2.6350180834574299E-2</v>
      </c>
      <c r="CG27" s="39">
        <f t="shared" ref="CG27" si="230">+IF(CF24&lt;0,1-CG24/CF24,CG24/CF24-1)</f>
        <v>0.19173822919751249</v>
      </c>
      <c r="CH27" s="39">
        <f t="shared" ref="CH27:CL27" si="231">+IF(CG24&lt;0,1-CH24/CG24,CH24/CG24-1)</f>
        <v>0.16489004845322386</v>
      </c>
      <c r="CI27" s="39">
        <f t="shared" si="231"/>
        <v>-5.7592628143599001E-3</v>
      </c>
      <c r="CJ27" s="39">
        <f t="shared" si="231"/>
        <v>6.2013258672845462E-2</v>
      </c>
      <c r="CK27" s="39">
        <f t="shared" si="231"/>
        <v>9.4633495954667968E-2</v>
      </c>
      <c r="CL27" s="39">
        <f t="shared" si="231"/>
        <v>2.5606245155575413E-2</v>
      </c>
      <c r="CM27" s="40">
        <f t="shared" ref="CM27" si="232">+CM24/CL24-1</f>
        <v>-1.9258383717883798E-2</v>
      </c>
      <c r="CN27" s="40">
        <f t="shared" ref="CN27" si="233">+CN24/CM24-1</f>
        <v>5.780586570986368E-2</v>
      </c>
      <c r="CO27" s="40">
        <f t="shared" ref="CO27" si="234">+CO24/CN24-1</f>
        <v>7.8880728372257458E-2</v>
      </c>
      <c r="CP27" s="40">
        <f t="shared" ref="CP27" si="235">+CP24/CO24-1</f>
        <v>1.825492583748578E-2</v>
      </c>
      <c r="CQ27" s="40">
        <f t="shared" ref="CQ27" si="236">+CQ24/CP24-1</f>
        <v>-5.8748420681036251E-3</v>
      </c>
      <c r="CR27" s="40">
        <f t="shared" ref="CR27" si="237">+CR24/CQ24-1</f>
        <v>5.4651590405791817E-2</v>
      </c>
      <c r="CS27" s="40">
        <f t="shared" ref="CS27" si="238">+CS24/CR24-1</f>
        <v>7.5911741834618907E-2</v>
      </c>
      <c r="CT27" s="40">
        <f t="shared" ref="CT27" si="239">+CT24/CS24-1</f>
        <v>1.8412659310257817E-2</v>
      </c>
      <c r="CU27" s="40">
        <f t="shared" ref="CU27" si="240">+CU24/CT24-1</f>
        <v>-3.880354007667064E-3</v>
      </c>
      <c r="CV27" s="40">
        <f t="shared" ref="CV27" si="241">+CV24/CU24-1</f>
        <v>5.3710588951239702E-2</v>
      </c>
      <c r="CW27" s="40">
        <f t="shared" ref="CW27" si="242">+CW24/CV24-1</f>
        <v>7.5511671387729518E-2</v>
      </c>
      <c r="CX27" s="40">
        <f t="shared" ref="CX27" si="243">+CX24/CW24-1</f>
        <v>1.8640665152437785E-2</v>
      </c>
      <c r="CY27" s="40">
        <f t="shared" ref="CY27" si="244">+CY24/CX24-1</f>
        <v>-3.6402019320861401E-3</v>
      </c>
      <c r="CZ27" s="40">
        <f t="shared" ref="CZ27" si="245">+CZ24/CY24-1</f>
        <v>5.3500115774322898E-2</v>
      </c>
      <c r="DA27" s="40">
        <f t="shared" ref="DA27" si="246">+DA24/CZ24-1</f>
        <v>7.548296736742266E-2</v>
      </c>
      <c r="DB27" s="40">
        <f t="shared" ref="DB27" si="247">+DB24/DA24-1</f>
        <v>1.8701407036255002E-2</v>
      </c>
      <c r="DE27" s="122"/>
    </row>
    <row r="28" spans="1:110" s="23" customFormat="1" outlineLevel="1" x14ac:dyDescent="0.2">
      <c r="A28" s="23" t="s">
        <v>8</v>
      </c>
      <c r="B28" s="23">
        <f>'Annual Raw'!C14</f>
        <v>0</v>
      </c>
      <c r="C28" s="23">
        <f>'Annual Raw'!D14</f>
        <v>0</v>
      </c>
      <c r="D28" s="23">
        <f>'Annual Raw'!E14</f>
        <v>0</v>
      </c>
      <c r="E28" s="23">
        <f>'Annual Raw'!F14</f>
        <v>0</v>
      </c>
      <c r="F28" s="23">
        <f>'Annual Raw'!G14</f>
        <v>0</v>
      </c>
      <c r="G28" s="23">
        <f>'Annual Raw'!H14</f>
        <v>0</v>
      </c>
      <c r="H28" s="23">
        <f>'Annual Raw'!I14</f>
        <v>0</v>
      </c>
      <c r="I28" s="23">
        <f>'Annual Raw'!J14</f>
        <v>0</v>
      </c>
      <c r="J28" s="23">
        <f>'Annual Raw'!K14</f>
        <v>0</v>
      </c>
      <c r="K28" s="23">
        <f>'Annual Raw'!L14</f>
        <v>0</v>
      </c>
      <c r="L28" s="23">
        <f>'Annual Raw'!M14</f>
        <v>0</v>
      </c>
      <c r="M28" s="23">
        <f>'Annual Raw'!N14</f>
        <v>55.402999999999999</v>
      </c>
      <c r="N28" s="23">
        <f>'Annual Raw'!O14</f>
        <v>69.632000000000005</v>
      </c>
      <c r="O28" s="23">
        <f>'Annual Raw'!P14</f>
        <v>103.252</v>
      </c>
      <c r="P28" s="23">
        <f>'Annual Raw'!Q14</f>
        <v>131.376</v>
      </c>
      <c r="Q28" s="23">
        <f>'Annual Raw'!R14</f>
        <v>175.459</v>
      </c>
      <c r="R28" s="23">
        <f>'Annual Raw'!S14</f>
        <v>204.73400000000001</v>
      </c>
      <c r="S28" s="23">
        <f>'Annual Raw'!T14</f>
        <v>238.14400000000001</v>
      </c>
      <c r="T28" s="23">
        <f>'Annual Raw'!U14</f>
        <v>276.33199999999999</v>
      </c>
      <c r="U28" s="23">
        <f>'Annual Raw'!V14</f>
        <v>320.77</v>
      </c>
      <c r="V28" s="23">
        <f>'Annual Raw'!W14</f>
        <v>397.04</v>
      </c>
      <c r="W28" s="23">
        <f>'Annual Raw'!X14</f>
        <v>469.55</v>
      </c>
      <c r="X28" s="23">
        <f>'Annual Raw'!Y14</f>
        <v>557.42999999999995</v>
      </c>
      <c r="Y28" s="23">
        <f>'Annual Raw'!Z14</f>
        <v>614.85</v>
      </c>
      <c r="Z28" s="23">
        <f>'Annual Raw'!AA14</f>
        <v>676.44</v>
      </c>
      <c r="AA28" s="23">
        <f>'Annual Raw'!AB14</f>
        <v>815.39</v>
      </c>
      <c r="AB28" s="76">
        <f t="shared" ref="AB28:AB33" si="248">+SUM(CM28:CP28)</f>
        <v>958.13150000000007</v>
      </c>
      <c r="AC28" s="76">
        <f t="shared" ref="AC28:AC33" si="249">+SUM(CQ28:CT28)</f>
        <v>1025.2007050000002</v>
      </c>
      <c r="AD28" s="76">
        <f t="shared" ref="AD28:AD33" si="250">+SUM(CU28:CX28)</f>
        <v>1096.9647543500002</v>
      </c>
      <c r="AE28" s="76">
        <f t="shared" ref="AE28:AE33" si="251">+SUM(CY28:DB28)</f>
        <v>1173.7522871545002</v>
      </c>
      <c r="AI28" s="23">
        <f>'QTR Raw'!C16</f>
        <v>0</v>
      </c>
      <c r="AJ28" s="23">
        <f>'QTR Raw'!D16</f>
        <v>0</v>
      </c>
      <c r="AK28" s="23">
        <f>'QTR Raw'!E16</f>
        <v>0</v>
      </c>
      <c r="AL28" s="23">
        <f>'QTR Raw'!F16</f>
        <v>0</v>
      </c>
      <c r="AM28" s="23">
        <f>'QTR Raw'!G16</f>
        <v>0</v>
      </c>
      <c r="AN28" s="23">
        <f>'QTR Raw'!H16</f>
        <v>0</v>
      </c>
      <c r="AO28" s="23">
        <f>'QTR Raw'!I16</f>
        <v>0</v>
      </c>
      <c r="AP28" s="23">
        <f>'QTR Raw'!J16</f>
        <v>0</v>
      </c>
      <c r="AQ28" s="23">
        <f>'QTR Raw'!K16</f>
        <v>0</v>
      </c>
      <c r="AR28" s="23">
        <f>'QTR Raw'!L16</f>
        <v>0</v>
      </c>
      <c r="AS28" s="23">
        <f>'QTR Raw'!M16</f>
        <v>0</v>
      </c>
      <c r="AT28" s="23">
        <f>'QTR Raw'!N16</f>
        <v>0</v>
      </c>
      <c r="AU28" s="23">
        <f>'QTR Raw'!O16</f>
        <v>0</v>
      </c>
      <c r="AV28" s="23">
        <f>'QTR Raw'!P16</f>
        <v>0</v>
      </c>
      <c r="AW28" s="23">
        <f>'QTR Raw'!Q16</f>
        <v>41.835999999999999</v>
      </c>
      <c r="AX28" s="23">
        <f>'QTR Raw'!R16</f>
        <v>46.786999999999999</v>
      </c>
      <c r="AY28" s="23">
        <f>'QTR Raw'!S16</f>
        <v>53.131</v>
      </c>
      <c r="AZ28" s="23">
        <f>'QTR Raw'!T16</f>
        <v>53.531999999999996</v>
      </c>
      <c r="BA28" s="23">
        <f>'QTR Raw'!U16</f>
        <v>54.904000000000003</v>
      </c>
      <c r="BB28" s="23">
        <f>'QTR Raw'!V16</f>
        <v>61.823</v>
      </c>
      <c r="BC28" s="23">
        <f>'QTR Raw'!W16</f>
        <v>62.719000000000001</v>
      </c>
      <c r="BD28" s="23">
        <f>'QTR Raw'!X16</f>
        <v>63.372</v>
      </c>
      <c r="BE28" s="23">
        <f>'QTR Raw'!Y16</f>
        <v>64.724999999999994</v>
      </c>
      <c r="BF28" s="23">
        <f>'QTR Raw'!Z16</f>
        <v>67.230999999999995</v>
      </c>
      <c r="BG28" s="23">
        <f>'QTR Raw'!AA16</f>
        <v>72.811999999999998</v>
      </c>
      <c r="BH28" s="23">
        <f>'QTR Raw'!AB16</f>
        <v>73.474999999999994</v>
      </c>
      <c r="BI28" s="23">
        <f>'QTR Raw'!AC16</f>
        <v>68.900000000000006</v>
      </c>
      <c r="BJ28" s="23">
        <f>'QTR Raw'!AD16</f>
        <v>74.016999999999996</v>
      </c>
      <c r="BK28" s="23">
        <f>'QTR Raw'!AE16</f>
        <v>80.34</v>
      </c>
      <c r="BL28" s="23">
        <f>'QTR Raw'!AF16</f>
        <v>87.95</v>
      </c>
      <c r="BM28" s="23">
        <f>'QTR Raw'!AG16</f>
        <v>88.44</v>
      </c>
      <c r="BN28" s="23">
        <f>'QTR Raw'!AH16</f>
        <v>88.13</v>
      </c>
      <c r="BO28" s="23">
        <f>'QTR Raw'!AI16</f>
        <v>111.56</v>
      </c>
      <c r="BP28" s="23">
        <f>'QTR Raw'!AJ16</f>
        <v>108.11</v>
      </c>
      <c r="BQ28" s="23">
        <f>'QTR Raw'!AK16</f>
        <v>100.61</v>
      </c>
      <c r="BR28" s="23">
        <f>'QTR Raw'!AL16</f>
        <v>113.81</v>
      </c>
      <c r="BS28" s="23">
        <f>'QTR Raw'!AM16</f>
        <v>127.29</v>
      </c>
      <c r="BT28" s="23">
        <f>'QTR Raw'!AN16</f>
        <v>122.87</v>
      </c>
      <c r="BU28" s="23">
        <f>'QTR Raw'!AO16</f>
        <v>121.99</v>
      </c>
      <c r="BV28" s="23">
        <f>'QTR Raw'!AP16</f>
        <v>129.38</v>
      </c>
      <c r="BW28" s="23">
        <f>'QTR Raw'!AQ16</f>
        <v>152.03</v>
      </c>
      <c r="BX28" s="23">
        <f>'QTR Raw'!AR16</f>
        <v>146.99</v>
      </c>
      <c r="BY28" s="23">
        <f>'QTR Raw'!AS16</f>
        <v>147.35</v>
      </c>
      <c r="BZ28" s="23">
        <f>'QTR Raw'!AT16</f>
        <v>134.27000000000001</v>
      </c>
      <c r="CA28" s="23">
        <f>'QTR Raw'!AU16</f>
        <v>159.93</v>
      </c>
      <c r="CB28" s="23">
        <f>'QTR Raw'!AV16</f>
        <v>163.93</v>
      </c>
      <c r="CC28" s="23">
        <f>'QTR Raw'!AW16</f>
        <v>154.96</v>
      </c>
      <c r="CD28" s="23">
        <f>'QTR Raw'!AX16</f>
        <v>161.11000000000001</v>
      </c>
      <c r="CE28" s="23">
        <f>'QTR Raw'!AY16</f>
        <v>173.98</v>
      </c>
      <c r="CF28" s="23">
        <f>'QTR Raw'!AZ16</f>
        <v>178.72</v>
      </c>
      <c r="CG28" s="23">
        <f>'QTR Raw'!BA16</f>
        <v>189.12</v>
      </c>
      <c r="CH28" s="23">
        <f>'QTR Raw'!BB16</f>
        <v>177.7</v>
      </c>
      <c r="CI28" s="23">
        <f>'QTR Raw'!BC16</f>
        <v>214.8</v>
      </c>
      <c r="CJ28" s="23">
        <f>'QTR Raw'!BD16</f>
        <v>215.56</v>
      </c>
      <c r="CK28" s="23">
        <f>'QTR Raw'!BE16</f>
        <v>229.24</v>
      </c>
      <c r="CL28" s="23">
        <f>'QTR Raw'!BF16</f>
        <v>235.85</v>
      </c>
      <c r="CM28" s="24">
        <f t="shared" ref="CM28:DB28" si="252">CI28*107%</f>
        <v>229.83600000000001</v>
      </c>
      <c r="CN28" s="24">
        <f t="shared" si="252"/>
        <v>230.64920000000001</v>
      </c>
      <c r="CO28" s="24">
        <f t="shared" si="252"/>
        <v>245.28680000000003</v>
      </c>
      <c r="CP28" s="24">
        <f t="shared" si="252"/>
        <v>252.3595</v>
      </c>
      <c r="CQ28" s="24">
        <f t="shared" si="252"/>
        <v>245.92452000000003</v>
      </c>
      <c r="CR28" s="24">
        <f t="shared" si="252"/>
        <v>246.79464400000003</v>
      </c>
      <c r="CS28" s="24">
        <f t="shared" si="252"/>
        <v>262.45687600000002</v>
      </c>
      <c r="CT28" s="24">
        <f t="shared" si="252"/>
        <v>270.02466500000003</v>
      </c>
      <c r="CU28" s="24">
        <f t="shared" si="252"/>
        <v>263.13923640000007</v>
      </c>
      <c r="CV28" s="24">
        <f t="shared" si="252"/>
        <v>264.07026908000006</v>
      </c>
      <c r="CW28" s="24">
        <f t="shared" si="252"/>
        <v>280.82885732000005</v>
      </c>
      <c r="CX28" s="24">
        <f t="shared" si="252"/>
        <v>288.92639155000006</v>
      </c>
      <c r="CY28" s="24">
        <f t="shared" si="252"/>
        <v>281.55898294800011</v>
      </c>
      <c r="CZ28" s="24">
        <f t="shared" si="252"/>
        <v>282.55518791560007</v>
      </c>
      <c r="DA28" s="24">
        <f t="shared" si="252"/>
        <v>300.48687733240007</v>
      </c>
      <c r="DB28" s="24">
        <f t="shared" si="252"/>
        <v>309.15123895850007</v>
      </c>
      <c r="DE28" s="123"/>
      <c r="DF28" s="23">
        <v>895.45</v>
      </c>
    </row>
    <row r="29" spans="1:110" s="23" customFormat="1" outlineLevel="1" x14ac:dyDescent="0.2">
      <c r="A29" s="23" t="s">
        <v>10</v>
      </c>
      <c r="B29" s="23">
        <f>'Annual Raw'!C17</f>
        <v>0</v>
      </c>
      <c r="C29" s="23">
        <f>'Annual Raw'!D17</f>
        <v>0</v>
      </c>
      <c r="D29" s="23">
        <f>'Annual Raw'!E17</f>
        <v>0</v>
      </c>
      <c r="E29" s="23">
        <f>'Annual Raw'!F17</f>
        <v>0</v>
      </c>
      <c r="F29" s="23">
        <f>'Annual Raw'!G17</f>
        <v>0</v>
      </c>
      <c r="G29" s="23">
        <f>'Annual Raw'!H17</f>
        <v>0</v>
      </c>
      <c r="H29" s="23">
        <f>'Annual Raw'!I17</f>
        <v>0</v>
      </c>
      <c r="I29" s="23">
        <f>'Annual Raw'!J17</f>
        <v>0</v>
      </c>
      <c r="J29" s="23">
        <f>'Annual Raw'!K17</f>
        <v>0</v>
      </c>
      <c r="K29" s="23">
        <f>'Annual Raw'!L17</f>
        <v>0</v>
      </c>
      <c r="L29" s="23">
        <f>'Annual Raw'!M17</f>
        <v>0</v>
      </c>
      <c r="M29" s="23">
        <f>'Annual Raw'!N17</f>
        <v>15.907999999999999</v>
      </c>
      <c r="N29" s="23">
        <f>'Annual Raw'!O17</f>
        <v>24.286999999999999</v>
      </c>
      <c r="O29" s="23">
        <f>'Annual Raw'!P17</f>
        <v>27.295000000000002</v>
      </c>
      <c r="P29" s="23">
        <f>'Annual Raw'!Q17</f>
        <v>28.39</v>
      </c>
      <c r="Q29" s="23">
        <f>'Annual Raw'!R17</f>
        <v>49.088999999999999</v>
      </c>
      <c r="R29" s="23">
        <f>'Annual Raw'!S17</f>
        <v>65.421999999999997</v>
      </c>
      <c r="S29" s="23">
        <f>'Annual Raw'!T17</f>
        <v>73.168999999999997</v>
      </c>
      <c r="T29" s="23">
        <f>'Annual Raw'!U17</f>
        <v>97.480999999999995</v>
      </c>
      <c r="U29" s="23">
        <f>'Annual Raw'!V17</f>
        <v>114.23</v>
      </c>
      <c r="V29" s="23">
        <f>'Annual Raw'!W17</f>
        <v>133.28</v>
      </c>
      <c r="W29" s="23">
        <f>'Annual Raw'!X17</f>
        <v>146.49</v>
      </c>
      <c r="X29" s="23">
        <f>'Annual Raw'!Y17</f>
        <v>151.15</v>
      </c>
      <c r="Y29" s="23">
        <f>'Annual Raw'!Z17</f>
        <v>157.88999999999999</v>
      </c>
      <c r="Z29" s="23">
        <f>'Annual Raw'!AA17</f>
        <v>201.69</v>
      </c>
      <c r="AA29" s="23">
        <f>'Annual Raw'!AB17</f>
        <v>267.73</v>
      </c>
      <c r="AB29" s="76">
        <f t="shared" si="248"/>
        <v>0</v>
      </c>
      <c r="AC29" s="76">
        <f t="shared" si="249"/>
        <v>0</v>
      </c>
      <c r="AD29" s="76">
        <f t="shared" si="250"/>
        <v>0</v>
      </c>
      <c r="AE29" s="76">
        <f t="shared" si="251"/>
        <v>0</v>
      </c>
      <c r="AI29" s="23">
        <f>'QTR Raw'!C17</f>
        <v>0</v>
      </c>
      <c r="AJ29" s="23">
        <f>'QTR Raw'!D17</f>
        <v>0</v>
      </c>
      <c r="AK29" s="23">
        <f>'QTR Raw'!E17</f>
        <v>0</v>
      </c>
      <c r="AL29" s="23">
        <f>'QTR Raw'!F17</f>
        <v>0</v>
      </c>
      <c r="AM29" s="23">
        <f>'QTR Raw'!G17</f>
        <v>0</v>
      </c>
      <c r="AN29" s="23">
        <f>'QTR Raw'!H17</f>
        <v>0</v>
      </c>
      <c r="AO29" s="23">
        <f>'QTR Raw'!I17</f>
        <v>0</v>
      </c>
      <c r="AP29" s="23">
        <f>'QTR Raw'!J17</f>
        <v>0</v>
      </c>
      <c r="AQ29" s="23">
        <f>'QTR Raw'!K17</f>
        <v>0</v>
      </c>
      <c r="AR29" s="23">
        <f>'QTR Raw'!L17</f>
        <v>0</v>
      </c>
      <c r="AS29" s="23">
        <f>'QTR Raw'!M17</f>
        <v>0</v>
      </c>
      <c r="AT29" s="23">
        <f>'QTR Raw'!N17</f>
        <v>0</v>
      </c>
      <c r="AU29" s="23">
        <f>'QTR Raw'!O17</f>
        <v>0</v>
      </c>
      <c r="AV29" s="23">
        <f>'QTR Raw'!P17</f>
        <v>0</v>
      </c>
      <c r="AW29" s="23">
        <f>'QTR Raw'!Q17</f>
        <v>0</v>
      </c>
      <c r="AX29" s="23">
        <f>'QTR Raw'!R17</f>
        <v>0</v>
      </c>
      <c r="AY29" s="23">
        <f>'QTR Raw'!S17</f>
        <v>0</v>
      </c>
      <c r="AZ29" s="23">
        <f>'QTR Raw'!T17</f>
        <v>0</v>
      </c>
      <c r="BA29" s="23">
        <f>'QTR Raw'!U17</f>
        <v>0</v>
      </c>
      <c r="BB29" s="23">
        <f>'QTR Raw'!V17</f>
        <v>0</v>
      </c>
      <c r="BC29" s="23">
        <f>'QTR Raw'!W17</f>
        <v>0</v>
      </c>
      <c r="BD29" s="23">
        <f>'QTR Raw'!X17</f>
        <v>0</v>
      </c>
      <c r="BE29" s="23">
        <f>'QTR Raw'!Y17</f>
        <v>0</v>
      </c>
      <c r="BF29" s="23">
        <f>'QTR Raw'!Z17</f>
        <v>0</v>
      </c>
      <c r="BG29" s="23">
        <f>'QTR Raw'!AA17</f>
        <v>0</v>
      </c>
      <c r="BH29" s="23">
        <f>'QTR Raw'!AB17</f>
        <v>0</v>
      </c>
      <c r="BI29" s="23">
        <f>'QTR Raw'!AC17</f>
        <v>0</v>
      </c>
      <c r="BJ29" s="23">
        <f>'QTR Raw'!AD17</f>
        <v>0</v>
      </c>
      <c r="BK29" s="23">
        <f>'QTR Raw'!AE17</f>
        <v>0</v>
      </c>
      <c r="BL29" s="23">
        <f>'QTR Raw'!AF17</f>
        <v>0</v>
      </c>
      <c r="BM29" s="23">
        <f>'QTR Raw'!AG17</f>
        <v>0</v>
      </c>
      <c r="BN29" s="23">
        <f>'QTR Raw'!AH17</f>
        <v>0</v>
      </c>
      <c r="BO29" s="23">
        <f>'QTR Raw'!AI17</f>
        <v>0</v>
      </c>
      <c r="BP29" s="23">
        <f>'QTR Raw'!AJ17</f>
        <v>0</v>
      </c>
      <c r="BQ29" s="23">
        <f>'QTR Raw'!AK17</f>
        <v>0</v>
      </c>
      <c r="BR29" s="23">
        <f>'QTR Raw'!AL17</f>
        <v>0</v>
      </c>
      <c r="BS29" s="23">
        <f>'QTR Raw'!AM17</f>
        <v>0</v>
      </c>
      <c r="BT29" s="23">
        <f>'QTR Raw'!AN17</f>
        <v>0</v>
      </c>
      <c r="BU29" s="23">
        <f>'QTR Raw'!AO17</f>
        <v>0</v>
      </c>
      <c r="BV29" s="23">
        <f>'QTR Raw'!AP17</f>
        <v>0</v>
      </c>
      <c r="BW29" s="23">
        <f>'QTR Raw'!AQ17</f>
        <v>0</v>
      </c>
      <c r="BX29" s="23">
        <f>'QTR Raw'!AR17</f>
        <v>0</v>
      </c>
      <c r="BY29" s="23">
        <f>'QTR Raw'!AS17</f>
        <v>0</v>
      </c>
      <c r="BZ29" s="23">
        <f>'QTR Raw'!AT17</f>
        <v>0</v>
      </c>
      <c r="CA29" s="23">
        <f>'QTR Raw'!AU17</f>
        <v>0</v>
      </c>
      <c r="CB29" s="23">
        <f>'QTR Raw'!AV17</f>
        <v>0</v>
      </c>
      <c r="CC29" s="23">
        <f>'QTR Raw'!AW17</f>
        <v>0</v>
      </c>
      <c r="CD29" s="23">
        <f>'QTR Raw'!AX17</f>
        <v>0</v>
      </c>
      <c r="CE29" s="23">
        <f>'QTR Raw'!AY17</f>
        <v>0</v>
      </c>
      <c r="CF29" s="23">
        <f>'QTR Raw'!AZ17</f>
        <v>0</v>
      </c>
      <c r="CG29" s="23">
        <f>'QTR Raw'!BA17</f>
        <v>0</v>
      </c>
      <c r="CH29" s="23">
        <f>'QTR Raw'!BB17</f>
        <v>0</v>
      </c>
      <c r="CI29" s="23">
        <f>'QTR Raw'!BC17</f>
        <v>0</v>
      </c>
      <c r="CJ29" s="23">
        <f>'QTR Raw'!BD17</f>
        <v>0</v>
      </c>
      <c r="CK29" s="23">
        <f>'QTR Raw'!BE17</f>
        <v>0</v>
      </c>
      <c r="CL29" s="23">
        <f>'QTR Raw'!BF17</f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12</v>
      </c>
      <c r="B30" s="23">
        <f>'Annual Raw'!C19-'Annual Raw'!C20</f>
        <v>0</v>
      </c>
      <c r="C30" s="23">
        <f>'Annual Raw'!D19-'Annual Raw'!D20</f>
        <v>0</v>
      </c>
      <c r="D30" s="23">
        <f>'Annual Raw'!E19-'Annual Raw'!E20</f>
        <v>0</v>
      </c>
      <c r="E30" s="23">
        <f>'Annual Raw'!F19-'Annual Raw'!F20</f>
        <v>0</v>
      </c>
      <c r="F30" s="23">
        <f>'Annual Raw'!G19-'Annual Raw'!G20</f>
        <v>0</v>
      </c>
      <c r="G30" s="23">
        <f>'Annual Raw'!H19-'Annual Raw'!H20</f>
        <v>0</v>
      </c>
      <c r="H30" s="23">
        <f>'Annual Raw'!I19-'Annual Raw'!I20</f>
        <v>0</v>
      </c>
      <c r="I30" s="23">
        <f>'Annual Raw'!J19-'Annual Raw'!J20</f>
        <v>0</v>
      </c>
      <c r="J30" s="23">
        <f>'Annual Raw'!K19-'Annual Raw'!K20</f>
        <v>0</v>
      </c>
      <c r="K30" s="23">
        <f>'Annual Raw'!L19-'Annual Raw'!L20</f>
        <v>0</v>
      </c>
      <c r="L30" s="23">
        <f>'Annual Raw'!M19-'Annual Raw'!M20</f>
        <v>0</v>
      </c>
      <c r="M30" s="23">
        <f>'Annual Raw'!N19-'Annual Raw'!N20</f>
        <v>8.8369999999999997</v>
      </c>
      <c r="N30" s="23">
        <f>'Annual Raw'!O19-'Annual Raw'!O20</f>
        <v>6.1310000000000002</v>
      </c>
      <c r="O30" s="23">
        <f>'Annual Raw'!P19-'Annual Raw'!P20</f>
        <v>9.5779999999999994</v>
      </c>
      <c r="P30" s="23">
        <f>'Annual Raw'!Q19-'Annual Raw'!Q20</f>
        <v>7.4930000000000003</v>
      </c>
      <c r="Q30" s="23">
        <f>'Annual Raw'!R19-'Annual Raw'!R20</f>
        <v>9.2710000000000008</v>
      </c>
      <c r="R30" s="23">
        <f>'Annual Raw'!S19-'Annual Raw'!S20</f>
        <v>9.1820000000000004</v>
      </c>
      <c r="S30" s="23">
        <f>'Annual Raw'!T19-'Annual Raw'!T20</f>
        <v>6.4420000000000002</v>
      </c>
      <c r="T30" s="23">
        <f>'Annual Raw'!U19-'Annual Raw'!U20</f>
        <v>17.030999999999999</v>
      </c>
      <c r="U30" s="23">
        <f>'Annual Raw'!V19-'Annual Raw'!V20</f>
        <v>11.49</v>
      </c>
      <c r="V30" s="23">
        <f>'Annual Raw'!W19-'Annual Raw'!W20</f>
        <v>10.71</v>
      </c>
      <c r="W30" s="23">
        <f>'Annual Raw'!X19-'Annual Raw'!X20</f>
        <v>15.58</v>
      </c>
      <c r="X30" s="23">
        <f>'Annual Raw'!Y19-'Annual Raw'!Y20</f>
        <v>46.97</v>
      </c>
      <c r="Y30" s="23">
        <f>'Annual Raw'!Z19-'Annual Raw'!Z20</f>
        <v>31.8</v>
      </c>
      <c r="Z30" s="23">
        <f>'Annual Raw'!AA19-'Annual Raw'!AA20</f>
        <v>82.15</v>
      </c>
      <c r="AA30" s="23">
        <f>'Annual Raw'!AB19-'Annual Raw'!AB20</f>
        <v>105.72</v>
      </c>
      <c r="AB30" s="76">
        <f t="shared" si="248"/>
        <v>0</v>
      </c>
      <c r="AC30" s="76">
        <f t="shared" si="249"/>
        <v>0</v>
      </c>
      <c r="AD30" s="76">
        <f t="shared" si="250"/>
        <v>0</v>
      </c>
      <c r="AE30" s="76">
        <f t="shared" si="251"/>
        <v>0</v>
      </c>
      <c r="AI30" s="23">
        <f>+'QTR Raw'!C21</f>
        <v>0</v>
      </c>
      <c r="AJ30" s="23">
        <f>+'QTR Raw'!D21</f>
        <v>0</v>
      </c>
      <c r="AK30" s="23">
        <f>+'QTR Raw'!E21</f>
        <v>0</v>
      </c>
      <c r="AL30" s="23">
        <f>+'QTR Raw'!F21</f>
        <v>0</v>
      </c>
      <c r="AM30" s="23">
        <f>+'QTR Raw'!G21</f>
        <v>0</v>
      </c>
      <c r="AN30" s="23">
        <f>+'QTR Raw'!H21</f>
        <v>0</v>
      </c>
      <c r="AO30" s="23">
        <f>+'QTR Raw'!I21</f>
        <v>0</v>
      </c>
      <c r="AP30" s="23">
        <f>+'QTR Raw'!J21</f>
        <v>0</v>
      </c>
      <c r="AQ30" s="23">
        <f>+'QTR Raw'!K21</f>
        <v>0</v>
      </c>
      <c r="AR30" s="23">
        <f>+'QTR Raw'!L21</f>
        <v>0</v>
      </c>
      <c r="AS30" s="23">
        <f>+'QTR Raw'!M21</f>
        <v>0</v>
      </c>
      <c r="AT30" s="23">
        <f>+'QTR Raw'!N21</f>
        <v>0</v>
      </c>
      <c r="AU30" s="23">
        <f>+'QTR Raw'!O21</f>
        <v>0</v>
      </c>
      <c r="AV30" s="23">
        <f>+'QTR Raw'!P21</f>
        <v>0</v>
      </c>
      <c r="AW30" s="23">
        <f>+'QTR Raw'!Q21</f>
        <v>0</v>
      </c>
      <c r="AX30" s="23">
        <f>+'QTR Raw'!R21</f>
        <v>0</v>
      </c>
      <c r="AY30" s="23">
        <f>+'QTR Raw'!S21</f>
        <v>0</v>
      </c>
      <c r="AZ30" s="23">
        <f>+'QTR Raw'!T21</f>
        <v>0</v>
      </c>
      <c r="BA30" s="23">
        <f>+'QTR Raw'!U21</f>
        <v>0</v>
      </c>
      <c r="BB30" s="23">
        <f>+'QTR Raw'!V21</f>
        <v>0</v>
      </c>
      <c r="BC30" s="23">
        <f>+'QTR Raw'!W21</f>
        <v>0</v>
      </c>
      <c r="BD30" s="23">
        <f>+'QTR Raw'!X21</f>
        <v>0</v>
      </c>
      <c r="BE30" s="23">
        <f>+'QTR Raw'!Y21</f>
        <v>0</v>
      </c>
      <c r="BF30" s="23">
        <f>+'QTR Raw'!Z21</f>
        <v>0</v>
      </c>
      <c r="BG30" s="23">
        <f>+'QTR Raw'!AA21</f>
        <v>0</v>
      </c>
      <c r="BH30" s="23">
        <f>+'QTR Raw'!AB21</f>
        <v>0</v>
      </c>
      <c r="BI30" s="23">
        <f>+'QTR Raw'!AC21</f>
        <v>0</v>
      </c>
      <c r="BJ30" s="23">
        <f>+'QTR Raw'!AD21</f>
        <v>0</v>
      </c>
      <c r="BK30" s="23">
        <f>+'QTR Raw'!AE21</f>
        <v>0</v>
      </c>
      <c r="BL30" s="23">
        <f>+'QTR Raw'!AF21</f>
        <v>0</v>
      </c>
      <c r="BM30" s="23">
        <f>+'QTR Raw'!AG21</f>
        <v>0</v>
      </c>
      <c r="BN30" s="23">
        <f>+'QTR Raw'!AH21</f>
        <v>0</v>
      </c>
      <c r="BO30" s="23">
        <f>+'QTR Raw'!AI21</f>
        <v>0</v>
      </c>
      <c r="BP30" s="23">
        <f>+'QTR Raw'!AJ21</f>
        <v>0</v>
      </c>
      <c r="BQ30" s="23">
        <f>+'QTR Raw'!AK21</f>
        <v>0</v>
      </c>
      <c r="BR30" s="23">
        <f>+'QTR Raw'!AL21</f>
        <v>0</v>
      </c>
      <c r="BS30" s="23">
        <f>+'QTR Raw'!AM21</f>
        <v>0</v>
      </c>
      <c r="BT30" s="23">
        <f>+'QTR Raw'!AN21</f>
        <v>0</v>
      </c>
      <c r="BU30" s="23">
        <f>+'QTR Raw'!AO21</f>
        <v>0</v>
      </c>
      <c r="BV30" s="23">
        <f>+'QTR Raw'!AP21</f>
        <v>0</v>
      </c>
      <c r="BW30" s="23">
        <f>+'QTR Raw'!AQ21</f>
        <v>0</v>
      </c>
      <c r="BX30" s="23">
        <f>+'QTR Raw'!AR21</f>
        <v>0</v>
      </c>
      <c r="BY30" s="23">
        <f>+'QTR Raw'!AS21</f>
        <v>0</v>
      </c>
      <c r="BZ30" s="23">
        <f>+'QTR Raw'!AT21</f>
        <v>0</v>
      </c>
      <c r="CA30" s="23">
        <f>+'QTR Raw'!AU21</f>
        <v>0</v>
      </c>
      <c r="CB30" s="23">
        <f>+'QTR Raw'!AV21</f>
        <v>0</v>
      </c>
      <c r="CC30" s="23">
        <f>+'QTR Raw'!AW21</f>
        <v>0</v>
      </c>
      <c r="CD30" s="23">
        <f>+'QTR Raw'!AX21</f>
        <v>0</v>
      </c>
      <c r="CE30" s="23">
        <f>+'QTR Raw'!AY21</f>
        <v>0</v>
      </c>
      <c r="CF30" s="23">
        <f>+'QTR Raw'!AZ21</f>
        <v>0</v>
      </c>
      <c r="CG30" s="23">
        <f>+'QTR Raw'!BA21</f>
        <v>0</v>
      </c>
      <c r="CH30" s="23">
        <f>+'QTR Raw'!BB21</f>
        <v>0</v>
      </c>
      <c r="CI30" s="23">
        <f>+'QTR Raw'!BC21</f>
        <v>0</v>
      </c>
      <c r="CJ30" s="23">
        <f>+'QTR Raw'!BD21</f>
        <v>0</v>
      </c>
      <c r="CK30" s="23">
        <f>+'QTR Raw'!BE21</f>
        <v>0</v>
      </c>
      <c r="CL30" s="23">
        <f>+'QTR Raw'!BF21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9</v>
      </c>
      <c r="B31" s="23">
        <f>'Annual Raw'!C15+'Annual Raw'!C16</f>
        <v>0</v>
      </c>
      <c r="C31" s="23">
        <f>'Annual Raw'!D15+'Annual Raw'!D16</f>
        <v>0</v>
      </c>
      <c r="D31" s="23">
        <f>'Annual Raw'!E15+'Annual Raw'!E16</f>
        <v>0</v>
      </c>
      <c r="E31" s="23">
        <f>'Annual Raw'!F15+'Annual Raw'!F16</f>
        <v>0</v>
      </c>
      <c r="F31" s="23">
        <f>'Annual Raw'!G15+'Annual Raw'!G16</f>
        <v>0</v>
      </c>
      <c r="G31" s="23">
        <f>'Annual Raw'!H15+'Annual Raw'!H16</f>
        <v>0</v>
      </c>
      <c r="H31" s="23">
        <f>'Annual Raw'!I15+'Annual Raw'!I16</f>
        <v>0</v>
      </c>
      <c r="I31" s="23">
        <f>'Annual Raw'!J15+'Annual Raw'!J16</f>
        <v>0</v>
      </c>
      <c r="J31" s="23">
        <f>'Annual Raw'!K15+'Annual Raw'!K16</f>
        <v>0</v>
      </c>
      <c r="K31" s="23">
        <f>'Annual Raw'!L15+'Annual Raw'!L16</f>
        <v>0</v>
      </c>
      <c r="L31" s="23">
        <f>'Annual Raw'!M15+'Annual Raw'!M16</f>
        <v>0</v>
      </c>
      <c r="M31" s="23">
        <f>'Annual Raw'!N15+'Annual Raw'!N16</f>
        <v>17.594000000000001</v>
      </c>
      <c r="N31" s="23">
        <f>'Annual Raw'!O15+'Annual Raw'!O16</f>
        <v>28.585999999999999</v>
      </c>
      <c r="O31" s="23">
        <f>'Annual Raw'!P15+'Annual Raw'!P16</f>
        <v>47.963999999999999</v>
      </c>
      <c r="P31" s="23">
        <f>'Annual Raw'!Q15+'Annual Raw'!Q16</f>
        <v>80.606999999999999</v>
      </c>
      <c r="Q31" s="23">
        <f>'Annual Raw'!R15+'Annual Raw'!R16</f>
        <v>106.971</v>
      </c>
      <c r="R31" s="23">
        <f>'Annual Raw'!S15+'Annual Raw'!S16</f>
        <v>139.465</v>
      </c>
      <c r="S31" s="23">
        <f>'Annual Raw'!T15+'Annual Raw'!T16</f>
        <v>150.77500000000001</v>
      </c>
      <c r="T31" s="23">
        <f>'Annual Raw'!U15+'Annual Raw'!U16</f>
        <v>178.95699999999999</v>
      </c>
      <c r="U31" s="23">
        <f>'Annual Raw'!V15+'Annual Raw'!V16</f>
        <v>239.5</v>
      </c>
      <c r="V31" s="23">
        <f>'Annual Raw'!W15+'Annual Raw'!W16</f>
        <v>364.78</v>
      </c>
      <c r="W31" s="23">
        <f>'Annual Raw'!X15+'Annual Raw'!X16</f>
        <v>441.18</v>
      </c>
      <c r="X31" s="23">
        <f>'Annual Raw'!Y15+'Annual Raw'!Y16</f>
        <v>522.9</v>
      </c>
      <c r="Y31" s="23">
        <f>'Annual Raw'!Z15+'Annual Raw'!Z16</f>
        <v>611.79999999999995</v>
      </c>
      <c r="Z31" s="23">
        <f>'Annual Raw'!AA15+'Annual Raw'!AA16</f>
        <v>648.97</v>
      </c>
      <c r="AA31" s="23">
        <f>'Annual Raw'!AB15+'Annual Raw'!AB16</f>
        <v>733.32</v>
      </c>
      <c r="AB31" s="76">
        <f t="shared" si="248"/>
        <v>1862.4090999999999</v>
      </c>
      <c r="AC31" s="76">
        <f t="shared" si="249"/>
        <v>2218.4209849999997</v>
      </c>
      <c r="AD31" s="76">
        <f t="shared" si="250"/>
        <v>2633.2001891499995</v>
      </c>
      <c r="AE31" s="76">
        <f t="shared" si="251"/>
        <v>3115.9373978704989</v>
      </c>
      <c r="AI31" s="23">
        <f>'QTR Raw'!C14</f>
        <v>0</v>
      </c>
      <c r="AJ31" s="23">
        <f>'QTR Raw'!D14</f>
        <v>0</v>
      </c>
      <c r="AK31" s="23">
        <f>'QTR Raw'!E14</f>
        <v>0</v>
      </c>
      <c r="AL31" s="23">
        <f>'QTR Raw'!F14</f>
        <v>0</v>
      </c>
      <c r="AM31" s="23">
        <f>'QTR Raw'!G14</f>
        <v>0</v>
      </c>
      <c r="AN31" s="23">
        <f>'QTR Raw'!H14</f>
        <v>0</v>
      </c>
      <c r="AO31" s="23">
        <f>'QTR Raw'!I14</f>
        <v>0</v>
      </c>
      <c r="AP31" s="23">
        <f>'QTR Raw'!J14</f>
        <v>0</v>
      </c>
      <c r="AQ31" s="23">
        <f>'QTR Raw'!K14</f>
        <v>0</v>
      </c>
      <c r="AR31" s="23">
        <f>'QTR Raw'!L14</f>
        <v>0</v>
      </c>
      <c r="AS31" s="23">
        <f>'QTR Raw'!M14</f>
        <v>0</v>
      </c>
      <c r="AT31" s="23">
        <f>'QTR Raw'!N14</f>
        <v>0</v>
      </c>
      <c r="AU31" s="23">
        <f>'QTR Raw'!O14</f>
        <v>0</v>
      </c>
      <c r="AV31" s="23">
        <f>'QTR Raw'!P14</f>
        <v>0</v>
      </c>
      <c r="AW31" s="23">
        <f>'QTR Raw'!Q14</f>
        <v>67.566000000000003</v>
      </c>
      <c r="AX31" s="23">
        <f>'QTR Raw'!R14</f>
        <v>61.558</v>
      </c>
      <c r="AY31" s="23">
        <f>'QTR Raw'!S14</f>
        <v>58.960999999999999</v>
      </c>
      <c r="AZ31" s="23">
        <f>'QTR Raw'!T14</f>
        <v>72.040000000000006</v>
      </c>
      <c r="BA31" s="23">
        <f>'QTR Raw'!U14</f>
        <v>70.575999999999993</v>
      </c>
      <c r="BB31" s="23">
        <f>'QTR Raw'!V14</f>
        <v>75.28</v>
      </c>
      <c r="BC31" s="23">
        <f>'QTR Raw'!W14</f>
        <v>73.466999999999999</v>
      </c>
      <c r="BD31" s="23">
        <f>'QTR Raw'!X14</f>
        <v>81.316999999999993</v>
      </c>
      <c r="BE31" s="23">
        <f>'QTR Raw'!Y14</f>
        <v>81.105000000000004</v>
      </c>
      <c r="BF31" s="23">
        <f>'QTR Raw'!Z14</f>
        <v>85.209000000000003</v>
      </c>
      <c r="BG31" s="23">
        <f>'QTR Raw'!AA14</f>
        <v>90.504000000000005</v>
      </c>
      <c r="BH31" s="23">
        <f>'QTR Raw'!AB14</f>
        <v>124.441</v>
      </c>
      <c r="BI31" s="23">
        <f>'QTR Raw'!AC14</f>
        <v>88.9</v>
      </c>
      <c r="BJ31" s="23">
        <f>'QTR Raw'!AD14</f>
        <v>107.245</v>
      </c>
      <c r="BK31" s="23">
        <f>'QTR Raw'!AE14</f>
        <v>112.41</v>
      </c>
      <c r="BL31" s="23">
        <f>'QTR Raw'!AF14</f>
        <v>126.68</v>
      </c>
      <c r="BM31" s="23">
        <f>'QTR Raw'!AG14</f>
        <v>132.41999999999999</v>
      </c>
      <c r="BN31" s="23">
        <f>'QTR Raw'!AH14</f>
        <v>140.93</v>
      </c>
      <c r="BO31" s="23">
        <f>'QTR Raw'!AI14</f>
        <v>138.38</v>
      </c>
      <c r="BP31" s="23">
        <f>'QTR Raw'!AJ14</f>
        <v>155.57</v>
      </c>
      <c r="BQ31" s="23">
        <f>'QTR Raw'!AK14</f>
        <v>178.43</v>
      </c>
      <c r="BR31" s="23">
        <f>'QTR Raw'!AL14</f>
        <v>198.17</v>
      </c>
      <c r="BS31" s="23">
        <f>'QTR Raw'!AM14</f>
        <v>202.04</v>
      </c>
      <c r="BT31" s="23">
        <f>'QTR Raw'!AN14</f>
        <v>202.86</v>
      </c>
      <c r="BU31" s="23">
        <f>'QTR Raw'!AO14</f>
        <v>197.46</v>
      </c>
      <c r="BV31" s="23">
        <f>'QTR Raw'!AP14</f>
        <v>215.48</v>
      </c>
      <c r="BW31" s="23">
        <f>'QTR Raw'!AQ14</f>
        <v>279.79000000000002</v>
      </c>
      <c r="BX31" s="23">
        <f>'QTR Raw'!AR14</f>
        <v>272.58</v>
      </c>
      <c r="BY31" s="23">
        <f>'QTR Raw'!AS14</f>
        <v>274.52</v>
      </c>
      <c r="BZ31" s="23">
        <f>'QTR Raw'!AT14</f>
        <v>266.51</v>
      </c>
      <c r="CA31" s="23">
        <f>'QTR Raw'!AU14</f>
        <v>271.22000000000003</v>
      </c>
      <c r="CB31" s="23">
        <f>'QTR Raw'!AV14</f>
        <v>291.57</v>
      </c>
      <c r="CC31" s="23">
        <f>'QTR Raw'!AW14</f>
        <v>313.13</v>
      </c>
      <c r="CD31" s="23">
        <f>'QTR Raw'!AX14</f>
        <v>315.06</v>
      </c>
      <c r="CE31" s="23">
        <f>'QTR Raw'!AY14</f>
        <v>312.88</v>
      </c>
      <c r="CF31" s="23">
        <f>'QTR Raw'!AZ14</f>
        <v>318.35000000000002</v>
      </c>
      <c r="CG31" s="23">
        <f>'QTR Raw'!BA14</f>
        <v>330.63</v>
      </c>
      <c r="CH31" s="23">
        <f>'QTR Raw'!BB14</f>
        <v>339.32</v>
      </c>
      <c r="CI31" s="23">
        <f>'QTR Raw'!BC14</f>
        <v>335.29</v>
      </c>
      <c r="CJ31" s="23">
        <f>'QTR Raw'!BD14</f>
        <v>371.21</v>
      </c>
      <c r="CK31" s="23">
        <f>'QTR Raw'!BE14</f>
        <v>374.27</v>
      </c>
      <c r="CL31" s="23">
        <f>'QTR Raw'!BF14</f>
        <v>363.51</v>
      </c>
      <c r="CM31" s="24">
        <f t="shared" ref="CM31:DB31" si="253">CM34-CM28-CM29-CM30-CM32-CM33</f>
        <v>419.96597999999994</v>
      </c>
      <c r="CN31" s="24">
        <f t="shared" si="253"/>
        <v>453.88737999999995</v>
      </c>
      <c r="CO31" s="24">
        <f t="shared" si="253"/>
        <v>490.92525999999992</v>
      </c>
      <c r="CP31" s="24">
        <f t="shared" si="253"/>
        <v>497.63047999999992</v>
      </c>
      <c r="CQ31" s="24">
        <f t="shared" si="253"/>
        <v>501.34775699999989</v>
      </c>
      <c r="CR31" s="24">
        <f t="shared" si="253"/>
        <v>540.42242299999987</v>
      </c>
      <c r="CS31" s="24">
        <f t="shared" si="253"/>
        <v>584.18699300000003</v>
      </c>
      <c r="CT31" s="24">
        <f t="shared" si="253"/>
        <v>592.46381199999996</v>
      </c>
      <c r="CU31" s="24">
        <f t="shared" si="253"/>
        <v>596.22388214999978</v>
      </c>
      <c r="CV31" s="24">
        <f t="shared" si="253"/>
        <v>641.22935796999991</v>
      </c>
      <c r="CW31" s="24">
        <f t="shared" si="253"/>
        <v>692.81159202999993</v>
      </c>
      <c r="CX31" s="24">
        <f t="shared" si="253"/>
        <v>702.93535699999984</v>
      </c>
      <c r="CY31" s="24">
        <f t="shared" si="253"/>
        <v>706.70860338449972</v>
      </c>
      <c r="CZ31" s="24">
        <f t="shared" si="253"/>
        <v>758.53938319189979</v>
      </c>
      <c r="DA31" s="24">
        <f t="shared" si="253"/>
        <v>819.19963942009963</v>
      </c>
      <c r="DB31" s="24">
        <f t="shared" si="253"/>
        <v>831.48977187399987</v>
      </c>
      <c r="DE31" s="123"/>
      <c r="DF31" s="23">
        <v>1444.28</v>
      </c>
    </row>
    <row r="32" spans="1:110" s="23" customFormat="1" outlineLevel="1" x14ac:dyDescent="0.2">
      <c r="A32" s="23" t="s">
        <v>7</v>
      </c>
      <c r="B32" s="23">
        <f>'Annual Raw'!C13</f>
        <v>0</v>
      </c>
      <c r="C32" s="23">
        <f>'Annual Raw'!D13</f>
        <v>0</v>
      </c>
      <c r="D32" s="23">
        <f>'Annual Raw'!E13</f>
        <v>0</v>
      </c>
      <c r="E32" s="23">
        <f>'Annual Raw'!F13</f>
        <v>0</v>
      </c>
      <c r="F32" s="23">
        <f>'Annual Raw'!G13</f>
        <v>0</v>
      </c>
      <c r="G32" s="23">
        <f>'Annual Raw'!H13</f>
        <v>0</v>
      </c>
      <c r="H32" s="23">
        <f>'Annual Raw'!I13</f>
        <v>0</v>
      </c>
      <c r="I32" s="23">
        <f>'Annual Raw'!J13</f>
        <v>0</v>
      </c>
      <c r="J32" s="23">
        <f>'Annual Raw'!K13</f>
        <v>0</v>
      </c>
      <c r="K32" s="23">
        <f>'Annual Raw'!L13</f>
        <v>0</v>
      </c>
      <c r="L32" s="23">
        <f>'Annual Raw'!M13</f>
        <v>0</v>
      </c>
      <c r="M32" s="23">
        <f>'Annual Raw'!N13</f>
        <v>10.551</v>
      </c>
      <c r="N32" s="23">
        <f>'Annual Raw'!O13</f>
        <v>27.626999999999999</v>
      </c>
      <c r="O32" s="23">
        <f>'Annual Raw'!P13</f>
        <v>35.03</v>
      </c>
      <c r="P32" s="23">
        <f>'Annual Raw'!Q13</f>
        <v>49.862000000000002</v>
      </c>
      <c r="Q32" s="23">
        <f>'Annual Raw'!R13</f>
        <v>57.954999999999998</v>
      </c>
      <c r="R32" s="23">
        <f>'Annual Raw'!S13</f>
        <v>66.274000000000001</v>
      </c>
      <c r="S32" s="23">
        <f>'Annual Raw'!T13</f>
        <v>94.212999999999994</v>
      </c>
      <c r="T32" s="23">
        <f>'Annual Raw'!U13</f>
        <v>109.373</v>
      </c>
      <c r="U32" s="23">
        <f>'Annual Raw'!V13</f>
        <v>136.77000000000001</v>
      </c>
      <c r="V32" s="23">
        <f>'Annual Raw'!W13</f>
        <v>157.75</v>
      </c>
      <c r="W32" s="23">
        <f>'Annual Raw'!X13</f>
        <v>204.47</v>
      </c>
      <c r="X32" s="23">
        <f>'Annual Raw'!Y13</f>
        <v>324.10000000000002</v>
      </c>
      <c r="Y32" s="23">
        <f>'Annual Raw'!Z13</f>
        <v>338.15</v>
      </c>
      <c r="Z32" s="23">
        <f>'Annual Raw'!AA13</f>
        <v>323.39999999999998</v>
      </c>
      <c r="AA32" s="23">
        <f>'Annual Raw'!AB13</f>
        <v>371.19</v>
      </c>
      <c r="AB32" s="76">
        <f t="shared" si="248"/>
        <v>0</v>
      </c>
      <c r="AC32" s="76">
        <f t="shared" si="249"/>
        <v>0</v>
      </c>
      <c r="AD32" s="76">
        <f t="shared" si="250"/>
        <v>0</v>
      </c>
      <c r="AE32" s="76">
        <f t="shared" si="251"/>
        <v>0</v>
      </c>
      <c r="AI32" s="23">
        <f>'QTR Raw'!C15</f>
        <v>0</v>
      </c>
      <c r="AJ32" s="23">
        <f>'QTR Raw'!D15</f>
        <v>0</v>
      </c>
      <c r="AK32" s="23">
        <f>'QTR Raw'!E15</f>
        <v>0</v>
      </c>
      <c r="AL32" s="23">
        <f>'QTR Raw'!F15</f>
        <v>0</v>
      </c>
      <c r="AM32" s="23">
        <f>'QTR Raw'!G15</f>
        <v>0</v>
      </c>
      <c r="AN32" s="23">
        <f>'QTR Raw'!H15</f>
        <v>0</v>
      </c>
      <c r="AO32" s="23">
        <f>'QTR Raw'!I15</f>
        <v>0</v>
      </c>
      <c r="AP32" s="23">
        <f>'QTR Raw'!J15</f>
        <v>0</v>
      </c>
      <c r="AQ32" s="23">
        <f>'QTR Raw'!K15</f>
        <v>0</v>
      </c>
      <c r="AR32" s="23">
        <f>'QTR Raw'!L15</f>
        <v>0</v>
      </c>
      <c r="AS32" s="23">
        <f>'QTR Raw'!M15</f>
        <v>0</v>
      </c>
      <c r="AT32" s="23">
        <f>'QTR Raw'!N15</f>
        <v>0</v>
      </c>
      <c r="AU32" s="23">
        <f>'QTR Raw'!O15</f>
        <v>0</v>
      </c>
      <c r="AV32" s="23">
        <f>'QTR Raw'!P15</f>
        <v>0</v>
      </c>
      <c r="AW32" s="23">
        <f>'QTR Raw'!Q15</f>
        <v>0</v>
      </c>
      <c r="AX32" s="23">
        <f>'QTR Raw'!R15</f>
        <v>0</v>
      </c>
      <c r="AY32" s="23">
        <f>'QTR Raw'!S15</f>
        <v>0</v>
      </c>
      <c r="AZ32" s="23">
        <f>'QTR Raw'!T15</f>
        <v>0</v>
      </c>
      <c r="BA32" s="23">
        <f>'QTR Raw'!U15</f>
        <v>0</v>
      </c>
      <c r="BB32" s="23">
        <f>'QTR Raw'!V15</f>
        <v>0</v>
      </c>
      <c r="BC32" s="23">
        <f>'QTR Raw'!W15</f>
        <v>0</v>
      </c>
      <c r="BD32" s="23">
        <f>'QTR Raw'!X15</f>
        <v>0</v>
      </c>
      <c r="BE32" s="23">
        <f>'QTR Raw'!Y15</f>
        <v>0</v>
      </c>
      <c r="BF32" s="23">
        <f>'QTR Raw'!Z15</f>
        <v>0</v>
      </c>
      <c r="BG32" s="23">
        <f>'QTR Raw'!AA15</f>
        <v>0</v>
      </c>
      <c r="BH32" s="23">
        <f>'QTR Raw'!AB15</f>
        <v>0</v>
      </c>
      <c r="BI32" s="23">
        <f>'QTR Raw'!AC15</f>
        <v>0</v>
      </c>
      <c r="BJ32" s="23">
        <f>'QTR Raw'!AD15</f>
        <v>0</v>
      </c>
      <c r="BK32" s="23">
        <f>'QTR Raw'!AE15</f>
        <v>0</v>
      </c>
      <c r="BL32" s="23">
        <f>'QTR Raw'!AF15</f>
        <v>0</v>
      </c>
      <c r="BM32" s="23">
        <f>'QTR Raw'!AG15</f>
        <v>0</v>
      </c>
      <c r="BN32" s="23">
        <f>'QTR Raw'!AH15</f>
        <v>0</v>
      </c>
      <c r="BO32" s="23">
        <f>'QTR Raw'!AI15</f>
        <v>0</v>
      </c>
      <c r="BP32" s="23">
        <f>'QTR Raw'!AJ15</f>
        <v>0</v>
      </c>
      <c r="BQ32" s="23">
        <f>'QTR Raw'!AK15</f>
        <v>0</v>
      </c>
      <c r="BR32" s="23">
        <f>'QTR Raw'!AL15</f>
        <v>0</v>
      </c>
      <c r="BS32" s="23">
        <f>'QTR Raw'!AM15</f>
        <v>0</v>
      </c>
      <c r="BT32" s="23">
        <f>'QTR Raw'!AN15</f>
        <v>0</v>
      </c>
      <c r="BU32" s="23">
        <f>'QTR Raw'!AO15</f>
        <v>0</v>
      </c>
      <c r="BV32" s="23">
        <f>'QTR Raw'!AP15</f>
        <v>0</v>
      </c>
      <c r="BW32" s="23">
        <f>'QTR Raw'!AQ15</f>
        <v>0</v>
      </c>
      <c r="BX32" s="23">
        <f>'QTR Raw'!AR15</f>
        <v>0</v>
      </c>
      <c r="BY32" s="23">
        <f>'QTR Raw'!AS15</f>
        <v>0</v>
      </c>
      <c r="BZ32" s="23">
        <f>'QTR Raw'!AT15</f>
        <v>0</v>
      </c>
      <c r="CA32" s="23">
        <f>'QTR Raw'!AU15</f>
        <v>0</v>
      </c>
      <c r="CB32" s="23">
        <f>'QTR Raw'!AV15</f>
        <v>0</v>
      </c>
      <c r="CC32" s="23">
        <f>'QTR Raw'!AW15</f>
        <v>0</v>
      </c>
      <c r="CD32" s="23">
        <f>'QTR Raw'!AX15</f>
        <v>0</v>
      </c>
      <c r="CE32" s="23">
        <f>'QTR Raw'!AY15</f>
        <v>0</v>
      </c>
      <c r="CF32" s="23">
        <f>'QTR Raw'!AZ15</f>
        <v>0</v>
      </c>
      <c r="CG32" s="23">
        <f>'QTR Raw'!BA15</f>
        <v>0</v>
      </c>
      <c r="CH32" s="23">
        <f>'QTR Raw'!BB15</f>
        <v>0</v>
      </c>
      <c r="CI32" s="23">
        <f>'QTR Raw'!BC15</f>
        <v>0</v>
      </c>
      <c r="CJ32" s="23">
        <f>'QTR Raw'!BD15</f>
        <v>0</v>
      </c>
      <c r="CK32" s="23">
        <f>'QTR Raw'!BE15</f>
        <v>0</v>
      </c>
      <c r="CL32" s="23">
        <f>'QTR Raw'!BF15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11</v>
      </c>
      <c r="B33" s="23">
        <f>'Annual Raw'!C18</f>
        <v>0</v>
      </c>
      <c r="C33" s="23">
        <f>'Annual Raw'!D18</f>
        <v>0</v>
      </c>
      <c r="D33" s="23">
        <f>'Annual Raw'!E18</f>
        <v>0</v>
      </c>
      <c r="E33" s="23">
        <f>'Annual Raw'!F18</f>
        <v>0</v>
      </c>
      <c r="F33" s="23">
        <f>'Annual Raw'!G18</f>
        <v>0</v>
      </c>
      <c r="G33" s="23">
        <f>'Annual Raw'!H18</f>
        <v>0</v>
      </c>
      <c r="H33" s="23">
        <f>'Annual Raw'!I18</f>
        <v>0</v>
      </c>
      <c r="I33" s="23">
        <f>'Annual Raw'!J18</f>
        <v>0</v>
      </c>
      <c r="J33" s="23">
        <f>'Annual Raw'!K18</f>
        <v>0</v>
      </c>
      <c r="K33" s="23">
        <f>'Annual Raw'!L18</f>
        <v>0</v>
      </c>
      <c r="L33" s="23">
        <f>'Annual Raw'!M18</f>
        <v>0</v>
      </c>
      <c r="M33" s="23">
        <f>'Annual Raw'!N18</f>
        <v>7.2469999999999999</v>
      </c>
      <c r="N33" s="23">
        <f>'Annual Raw'!O18</f>
        <v>9.7409999999999997</v>
      </c>
      <c r="O33" s="23">
        <f>'Annual Raw'!P18</f>
        <v>12.544</v>
      </c>
      <c r="P33" s="23">
        <f>'Annual Raw'!Q18</f>
        <v>12.461</v>
      </c>
      <c r="Q33" s="23">
        <f>'Annual Raw'!R18</f>
        <v>16.486000000000001</v>
      </c>
      <c r="R33" s="23">
        <f>'Annual Raw'!S18</f>
        <v>22.648</v>
      </c>
      <c r="S33" s="23">
        <f>'Annual Raw'!T18</f>
        <v>24.088000000000001</v>
      </c>
      <c r="T33" s="23">
        <f>'Annual Raw'!U18</f>
        <v>31.96</v>
      </c>
      <c r="U33" s="23">
        <f>'Annual Raw'!V18</f>
        <v>61.53</v>
      </c>
      <c r="V33" s="23">
        <f>'Annual Raw'!W18</f>
        <v>91.65</v>
      </c>
      <c r="W33" s="23">
        <f>'Annual Raw'!X18</f>
        <v>101.98</v>
      </c>
      <c r="X33" s="23">
        <f>'Annual Raw'!Y18</f>
        <v>116.14</v>
      </c>
      <c r="Y33" s="23">
        <f>'Annual Raw'!Z18</f>
        <v>134.49</v>
      </c>
      <c r="Z33" s="23">
        <f>'Annual Raw'!AA18</f>
        <v>170.95</v>
      </c>
      <c r="AA33" s="23">
        <f>'Annual Raw'!AB18</f>
        <v>141.32</v>
      </c>
      <c r="AB33" s="76">
        <f t="shared" si="248"/>
        <v>0</v>
      </c>
      <c r="AC33" s="76">
        <f t="shared" si="249"/>
        <v>0</v>
      </c>
      <c r="AD33" s="76">
        <f t="shared" si="250"/>
        <v>0</v>
      </c>
      <c r="AE33" s="76">
        <f t="shared" si="251"/>
        <v>0</v>
      </c>
      <c r="AI33" s="23">
        <f>'QTR Raw'!C18</f>
        <v>0</v>
      </c>
      <c r="AJ33" s="23">
        <f>'QTR Raw'!D18</f>
        <v>0</v>
      </c>
      <c r="AK33" s="23">
        <f>'QTR Raw'!E18</f>
        <v>0</v>
      </c>
      <c r="AL33" s="23">
        <f>'QTR Raw'!F18</f>
        <v>0</v>
      </c>
      <c r="AM33" s="23">
        <f>'QTR Raw'!G18</f>
        <v>0</v>
      </c>
      <c r="AN33" s="23">
        <f>'QTR Raw'!H18</f>
        <v>0</v>
      </c>
      <c r="AO33" s="23">
        <f>'QTR Raw'!I18</f>
        <v>0</v>
      </c>
      <c r="AP33" s="23">
        <f>'QTR Raw'!J18</f>
        <v>0</v>
      </c>
      <c r="AQ33" s="23">
        <f>'QTR Raw'!K18</f>
        <v>0</v>
      </c>
      <c r="AR33" s="23">
        <f>'QTR Raw'!L18</f>
        <v>0</v>
      </c>
      <c r="AS33" s="23">
        <f>'QTR Raw'!M18</f>
        <v>0</v>
      </c>
      <c r="AT33" s="23">
        <f>'QTR Raw'!N18</f>
        <v>0</v>
      </c>
      <c r="AU33" s="23">
        <f>'QTR Raw'!O18</f>
        <v>0</v>
      </c>
      <c r="AV33" s="23">
        <f>'QTR Raw'!P18</f>
        <v>0</v>
      </c>
      <c r="AW33" s="23">
        <f>'QTR Raw'!Q18</f>
        <v>0</v>
      </c>
      <c r="AX33" s="23">
        <f>'QTR Raw'!R18</f>
        <v>0</v>
      </c>
      <c r="AY33" s="23">
        <f>'QTR Raw'!S18</f>
        <v>0</v>
      </c>
      <c r="AZ33" s="23">
        <f>'QTR Raw'!T18</f>
        <v>0</v>
      </c>
      <c r="BA33" s="23">
        <f>'QTR Raw'!U18</f>
        <v>0</v>
      </c>
      <c r="BB33" s="23">
        <f>'QTR Raw'!V18</f>
        <v>0</v>
      </c>
      <c r="BC33" s="23">
        <f>'QTR Raw'!W18</f>
        <v>0</v>
      </c>
      <c r="BD33" s="23">
        <f>'QTR Raw'!X18</f>
        <v>0</v>
      </c>
      <c r="BE33" s="23">
        <f>'QTR Raw'!Y18</f>
        <v>0</v>
      </c>
      <c r="BF33" s="23">
        <f>'QTR Raw'!Z18</f>
        <v>0</v>
      </c>
      <c r="BG33" s="23">
        <f>'QTR Raw'!AA18</f>
        <v>0</v>
      </c>
      <c r="BH33" s="23">
        <f>'QTR Raw'!AB18</f>
        <v>0</v>
      </c>
      <c r="BI33" s="23">
        <f>'QTR Raw'!AC18</f>
        <v>0</v>
      </c>
      <c r="BJ33" s="23">
        <f>'QTR Raw'!AD18</f>
        <v>0</v>
      </c>
      <c r="BK33" s="23">
        <f>'QTR Raw'!AE18</f>
        <v>0</v>
      </c>
      <c r="BL33" s="23">
        <f>'QTR Raw'!AF18</f>
        <v>0</v>
      </c>
      <c r="BM33" s="23">
        <f>'QTR Raw'!AG18</f>
        <v>0</v>
      </c>
      <c r="BN33" s="23">
        <f>'QTR Raw'!AH18</f>
        <v>0</v>
      </c>
      <c r="BO33" s="23">
        <f>'QTR Raw'!AI18</f>
        <v>0</v>
      </c>
      <c r="BP33" s="23">
        <f>'QTR Raw'!AJ18</f>
        <v>0</v>
      </c>
      <c r="BQ33" s="23">
        <f>'QTR Raw'!AK18</f>
        <v>0</v>
      </c>
      <c r="BR33" s="23">
        <f>'QTR Raw'!AL18</f>
        <v>0</v>
      </c>
      <c r="BS33" s="23">
        <f>'QTR Raw'!AM18</f>
        <v>0</v>
      </c>
      <c r="BT33" s="23">
        <f>'QTR Raw'!AN18</f>
        <v>0</v>
      </c>
      <c r="BU33" s="23">
        <f>'QTR Raw'!AO18</f>
        <v>0</v>
      </c>
      <c r="BV33" s="23">
        <f>'QTR Raw'!AP18</f>
        <v>0</v>
      </c>
      <c r="BW33" s="23">
        <f>'QTR Raw'!AQ18</f>
        <v>0</v>
      </c>
      <c r="BX33" s="23">
        <f>'QTR Raw'!AR18</f>
        <v>0</v>
      </c>
      <c r="BY33" s="23">
        <f>'QTR Raw'!AS18</f>
        <v>0</v>
      </c>
      <c r="BZ33" s="23">
        <f>'QTR Raw'!AT18</f>
        <v>0</v>
      </c>
      <c r="CA33" s="23">
        <f>'QTR Raw'!AU18</f>
        <v>0</v>
      </c>
      <c r="CB33" s="23">
        <f>'QTR Raw'!AV18</f>
        <v>0</v>
      </c>
      <c r="CC33" s="23">
        <f>'QTR Raw'!AW18</f>
        <v>0</v>
      </c>
      <c r="CD33" s="23">
        <f>'QTR Raw'!AX18</f>
        <v>0</v>
      </c>
      <c r="CE33" s="23">
        <f>'QTR Raw'!AY18</f>
        <v>0</v>
      </c>
      <c r="CF33" s="23">
        <f>'QTR Raw'!AZ18</f>
        <v>0</v>
      </c>
      <c r="CG33" s="23">
        <f>'QTR Raw'!BA18</f>
        <v>0</v>
      </c>
      <c r="CH33" s="23">
        <f>'QTR Raw'!BB18</f>
        <v>0</v>
      </c>
      <c r="CI33" s="23">
        <f>'QTR Raw'!BC18</f>
        <v>0</v>
      </c>
      <c r="CJ33" s="23">
        <f>'QTR Raw'!BD18</f>
        <v>0</v>
      </c>
      <c r="CK33" s="23">
        <f>'QTR Raw'!BE18</f>
        <v>0</v>
      </c>
      <c r="CL33" s="23">
        <f>'QTR Raw'!BF18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2" customFormat="1" x14ac:dyDescent="0.2">
      <c r="A34" s="33" t="s">
        <v>348</v>
      </c>
      <c r="B34" s="22">
        <f t="shared" ref="B34:E34" si="254">+SUM(B28:B33)</f>
        <v>0</v>
      </c>
      <c r="C34" s="22">
        <f t="shared" si="254"/>
        <v>0</v>
      </c>
      <c r="D34" s="22">
        <f t="shared" si="254"/>
        <v>0</v>
      </c>
      <c r="E34" s="22">
        <f t="shared" si="254"/>
        <v>0</v>
      </c>
      <c r="F34" s="22">
        <f t="shared" ref="F34:AE34" si="255">+SUM(F28:F33)</f>
        <v>0</v>
      </c>
      <c r="G34" s="22">
        <f t="shared" si="255"/>
        <v>0</v>
      </c>
      <c r="H34" s="22">
        <f t="shared" si="255"/>
        <v>0</v>
      </c>
      <c r="I34" s="22">
        <f t="shared" si="255"/>
        <v>0</v>
      </c>
      <c r="J34" s="22">
        <f t="shared" si="255"/>
        <v>0</v>
      </c>
      <c r="K34" s="22">
        <f t="shared" si="255"/>
        <v>0</v>
      </c>
      <c r="L34" s="22">
        <f t="shared" si="255"/>
        <v>0</v>
      </c>
      <c r="M34" s="22">
        <f t="shared" si="255"/>
        <v>115.53999999999999</v>
      </c>
      <c r="N34" s="22">
        <f t="shared" si="255"/>
        <v>166.00400000000002</v>
      </c>
      <c r="O34" s="22">
        <f t="shared" si="255"/>
        <v>235.66300000000001</v>
      </c>
      <c r="P34" s="22">
        <f t="shared" si="255"/>
        <v>310.18900000000002</v>
      </c>
      <c r="Q34" s="22">
        <f t="shared" si="255"/>
        <v>415.23099999999999</v>
      </c>
      <c r="R34" s="22">
        <f t="shared" si="255"/>
        <v>507.72500000000002</v>
      </c>
      <c r="S34" s="22">
        <f t="shared" si="255"/>
        <v>586.8309999999999</v>
      </c>
      <c r="T34" s="22">
        <f t="shared" si="255"/>
        <v>711.13400000000001</v>
      </c>
      <c r="U34" s="22">
        <f t="shared" si="255"/>
        <v>884.29</v>
      </c>
      <c r="V34" s="22">
        <f t="shared" si="255"/>
        <v>1155.21</v>
      </c>
      <c r="W34" s="22">
        <f t="shared" si="255"/>
        <v>1379.25</v>
      </c>
      <c r="X34" s="22">
        <f t="shared" si="255"/>
        <v>1718.6899999999998</v>
      </c>
      <c r="Y34" s="22">
        <f t="shared" si="255"/>
        <v>1888.9799999999998</v>
      </c>
      <c r="Z34" s="22">
        <f t="shared" ref="Z34:AA34" si="256">+SUM(Z28:Z33)</f>
        <v>2103.6</v>
      </c>
      <c r="AA34" s="22">
        <f t="shared" ref="AA34" si="257">+SUM(AA28:AA33)</f>
        <v>2434.67</v>
      </c>
      <c r="AB34" s="21">
        <f t="shared" si="255"/>
        <v>2820.5405999999998</v>
      </c>
      <c r="AC34" s="21">
        <f t="shared" si="255"/>
        <v>3243.6216899999999</v>
      </c>
      <c r="AD34" s="21">
        <f t="shared" si="255"/>
        <v>3730.1649434999999</v>
      </c>
      <c r="AE34" s="21">
        <f t="shared" si="255"/>
        <v>4289.6896850249996</v>
      </c>
      <c r="AI34" s="22">
        <f t="shared" ref="AI34:BN34" si="258">+SUM(AI28:AI33)</f>
        <v>0</v>
      </c>
      <c r="AJ34" s="22">
        <f t="shared" si="258"/>
        <v>0</v>
      </c>
      <c r="AK34" s="22">
        <f t="shared" si="258"/>
        <v>0</v>
      </c>
      <c r="AL34" s="22">
        <f t="shared" si="258"/>
        <v>0</v>
      </c>
      <c r="AM34" s="22">
        <f t="shared" si="258"/>
        <v>0</v>
      </c>
      <c r="AN34" s="22">
        <f t="shared" si="258"/>
        <v>0</v>
      </c>
      <c r="AO34" s="22">
        <f t="shared" si="258"/>
        <v>0</v>
      </c>
      <c r="AP34" s="22">
        <f t="shared" si="258"/>
        <v>0</v>
      </c>
      <c r="AQ34" s="22">
        <f t="shared" si="258"/>
        <v>0</v>
      </c>
      <c r="AR34" s="22">
        <f t="shared" si="258"/>
        <v>0</v>
      </c>
      <c r="AS34" s="22">
        <f t="shared" si="258"/>
        <v>0</v>
      </c>
      <c r="AT34" s="22">
        <f t="shared" si="258"/>
        <v>0</v>
      </c>
      <c r="AU34" s="22">
        <f t="shared" si="258"/>
        <v>0</v>
      </c>
      <c r="AV34" s="22">
        <f t="shared" si="258"/>
        <v>0</v>
      </c>
      <c r="AW34" s="22">
        <f t="shared" si="258"/>
        <v>109.402</v>
      </c>
      <c r="AX34" s="22">
        <f t="shared" si="258"/>
        <v>108.345</v>
      </c>
      <c r="AY34" s="22">
        <f t="shared" si="258"/>
        <v>112.092</v>
      </c>
      <c r="AZ34" s="22">
        <f t="shared" si="258"/>
        <v>125.572</v>
      </c>
      <c r="BA34" s="22">
        <f t="shared" si="258"/>
        <v>125.47999999999999</v>
      </c>
      <c r="BB34" s="22">
        <f t="shared" si="258"/>
        <v>137.10300000000001</v>
      </c>
      <c r="BC34" s="22">
        <f t="shared" si="258"/>
        <v>136.18600000000001</v>
      </c>
      <c r="BD34" s="22">
        <f t="shared" si="258"/>
        <v>144.68899999999999</v>
      </c>
      <c r="BE34" s="22">
        <f t="shared" si="258"/>
        <v>145.82999999999998</v>
      </c>
      <c r="BF34" s="22">
        <f t="shared" si="258"/>
        <v>152.44</v>
      </c>
      <c r="BG34" s="22">
        <f t="shared" si="258"/>
        <v>163.316</v>
      </c>
      <c r="BH34" s="22">
        <f t="shared" si="258"/>
        <v>197.916</v>
      </c>
      <c r="BI34" s="22">
        <f t="shared" si="258"/>
        <v>157.80000000000001</v>
      </c>
      <c r="BJ34" s="22">
        <f t="shared" si="258"/>
        <v>181.262</v>
      </c>
      <c r="BK34" s="22">
        <f t="shared" si="258"/>
        <v>192.75</v>
      </c>
      <c r="BL34" s="22">
        <f t="shared" si="258"/>
        <v>214.63</v>
      </c>
      <c r="BM34" s="22">
        <f t="shared" si="258"/>
        <v>220.85999999999999</v>
      </c>
      <c r="BN34" s="22">
        <f t="shared" si="258"/>
        <v>229.06</v>
      </c>
      <c r="BO34" s="22">
        <f t="shared" ref="BO34:CH34" si="259">+SUM(BO28:BO33)</f>
        <v>249.94</v>
      </c>
      <c r="BP34" s="22">
        <f t="shared" si="259"/>
        <v>263.68</v>
      </c>
      <c r="BQ34" s="22">
        <f t="shared" si="259"/>
        <v>279.04000000000002</v>
      </c>
      <c r="BR34" s="22">
        <f t="shared" si="259"/>
        <v>311.98</v>
      </c>
      <c r="BS34" s="22">
        <f t="shared" si="259"/>
        <v>329.33</v>
      </c>
      <c r="BT34" s="22">
        <f t="shared" si="259"/>
        <v>325.73</v>
      </c>
      <c r="BU34" s="22">
        <f t="shared" si="259"/>
        <v>319.45</v>
      </c>
      <c r="BV34" s="22">
        <f t="shared" si="259"/>
        <v>344.86</v>
      </c>
      <c r="BW34" s="22">
        <f t="shared" si="259"/>
        <v>431.82000000000005</v>
      </c>
      <c r="BX34" s="22">
        <f t="shared" si="259"/>
        <v>419.57</v>
      </c>
      <c r="BY34" s="22">
        <f t="shared" si="259"/>
        <v>421.87</v>
      </c>
      <c r="BZ34" s="22">
        <f t="shared" si="259"/>
        <v>400.78</v>
      </c>
      <c r="CA34" s="22">
        <f t="shared" si="259"/>
        <v>431.15000000000003</v>
      </c>
      <c r="CB34" s="22">
        <f t="shared" si="259"/>
        <v>455.5</v>
      </c>
      <c r="CC34" s="22">
        <f t="shared" si="259"/>
        <v>468.09000000000003</v>
      </c>
      <c r="CD34" s="22">
        <f t="shared" si="259"/>
        <v>476.17</v>
      </c>
      <c r="CE34" s="22">
        <f t="shared" si="259"/>
        <v>486.86</v>
      </c>
      <c r="CF34" s="22">
        <f t="shared" si="259"/>
        <v>497.07000000000005</v>
      </c>
      <c r="CG34" s="22">
        <f t="shared" si="259"/>
        <v>519.75</v>
      </c>
      <c r="CH34" s="22">
        <f t="shared" si="259"/>
        <v>517.02</v>
      </c>
      <c r="CI34" s="22">
        <f t="shared" ref="CI34:CJ34" si="260">+SUM(CI28:CI33)</f>
        <v>550.09</v>
      </c>
      <c r="CJ34" s="22">
        <f t="shared" si="260"/>
        <v>586.77</v>
      </c>
      <c r="CK34" s="22">
        <f t="shared" ref="CK34:CL34" si="261">+SUM(CK28:CK33)</f>
        <v>603.51</v>
      </c>
      <c r="CL34" s="22">
        <f t="shared" si="261"/>
        <v>599.36</v>
      </c>
      <c r="CM34" s="21">
        <f t="shared" ref="CM34:DB34" si="262">CM35*CM18</f>
        <v>649.80197999999996</v>
      </c>
      <c r="CN34" s="21">
        <f t="shared" si="262"/>
        <v>684.53657999999996</v>
      </c>
      <c r="CO34" s="21">
        <f t="shared" si="262"/>
        <v>736.21205999999995</v>
      </c>
      <c r="CP34" s="21">
        <f t="shared" si="262"/>
        <v>749.98997999999995</v>
      </c>
      <c r="CQ34" s="21">
        <f t="shared" si="262"/>
        <v>747.27227699999992</v>
      </c>
      <c r="CR34" s="21">
        <f t="shared" si="262"/>
        <v>787.21706699999993</v>
      </c>
      <c r="CS34" s="21">
        <f t="shared" si="262"/>
        <v>846.643869</v>
      </c>
      <c r="CT34" s="21">
        <f t="shared" si="262"/>
        <v>862.48847699999999</v>
      </c>
      <c r="CU34" s="21">
        <f t="shared" si="262"/>
        <v>859.36311854999985</v>
      </c>
      <c r="CV34" s="21">
        <f t="shared" si="262"/>
        <v>905.29962704999991</v>
      </c>
      <c r="CW34" s="21">
        <f t="shared" si="262"/>
        <v>973.64044934999993</v>
      </c>
      <c r="CX34" s="21">
        <f t="shared" si="262"/>
        <v>991.8617485499999</v>
      </c>
      <c r="CY34" s="21">
        <f t="shared" si="262"/>
        <v>988.26758633249983</v>
      </c>
      <c r="CZ34" s="21">
        <f t="shared" si="262"/>
        <v>1041.0945711074999</v>
      </c>
      <c r="DA34" s="21">
        <f t="shared" si="262"/>
        <v>1119.6865167524998</v>
      </c>
      <c r="DB34" s="21">
        <f t="shared" si="262"/>
        <v>1140.6410108324999</v>
      </c>
      <c r="DE34" s="126"/>
      <c r="DF34" s="22">
        <v>2339.73</v>
      </c>
    </row>
    <row r="35" spans="1:110" s="44" customFormat="1" x14ac:dyDescent="0.2">
      <c r="A35" s="43" t="s">
        <v>349</v>
      </c>
      <c r="B35" s="44" t="e">
        <f t="shared" ref="B35:E35" si="263">B34/B18</f>
        <v>#DIV/0!</v>
      </c>
      <c r="C35" s="44" t="e">
        <f t="shared" si="263"/>
        <v>#DIV/0!</v>
      </c>
      <c r="D35" s="44" t="e">
        <f t="shared" si="263"/>
        <v>#DIV/0!</v>
      </c>
      <c r="E35" s="44" t="e">
        <f t="shared" si="263"/>
        <v>#DIV/0!</v>
      </c>
      <c r="F35" s="44" t="e">
        <f t="shared" ref="F35:AE35" si="264">F34/F18</f>
        <v>#DIV/0!</v>
      </c>
      <c r="G35" s="44" t="e">
        <f t="shared" si="264"/>
        <v>#DIV/0!</v>
      </c>
      <c r="H35" s="44" t="e">
        <f t="shared" si="264"/>
        <v>#DIV/0!</v>
      </c>
      <c r="I35" s="44" t="e">
        <f t="shared" si="264"/>
        <v>#DIV/0!</v>
      </c>
      <c r="J35" s="44" t="e">
        <f t="shared" si="264"/>
        <v>#DIV/0!</v>
      </c>
      <c r="K35" s="44" t="e">
        <f t="shared" si="264"/>
        <v>#DIV/0!</v>
      </c>
      <c r="L35" s="44" t="e">
        <f t="shared" si="264"/>
        <v>#DIV/0!</v>
      </c>
      <c r="M35" s="44">
        <f t="shared" si="264"/>
        <v>0.25634654040885874</v>
      </c>
      <c r="N35" s="44">
        <f t="shared" si="264"/>
        <v>0.23103891241748561</v>
      </c>
      <c r="O35" s="44">
        <f t="shared" si="264"/>
        <v>0.20320733420308579</v>
      </c>
      <c r="P35" s="44">
        <f t="shared" si="264"/>
        <v>0.23382431648060067</v>
      </c>
      <c r="Q35" s="44">
        <f t="shared" si="264"/>
        <v>0.23359368759064297</v>
      </c>
      <c r="R35" s="44">
        <f t="shared" si="264"/>
        <v>0.26657170593816076</v>
      </c>
      <c r="S35" s="44">
        <f t="shared" si="264"/>
        <v>0.28540003987997098</v>
      </c>
      <c r="T35" s="44">
        <f t="shared" si="264"/>
        <v>0.31027925979835208</v>
      </c>
      <c r="U35" s="44">
        <f t="shared" si="264"/>
        <v>0.31228016894325711</v>
      </c>
      <c r="V35" s="44">
        <f t="shared" si="264"/>
        <v>0.23999326894511488</v>
      </c>
      <c r="W35" s="44">
        <f t="shared" si="264"/>
        <v>0.27945100565892089</v>
      </c>
      <c r="X35" s="44">
        <f t="shared" si="264"/>
        <v>0.28452541573201112</v>
      </c>
      <c r="Y35" s="44">
        <f t="shared" si="264"/>
        <v>0.37473590658681205</v>
      </c>
      <c r="Z35" s="44">
        <f t="shared" ref="Z35:AA35" si="265">Z34/Z18</f>
        <v>0.37875677894691351</v>
      </c>
      <c r="AA35" s="44">
        <f t="shared" ref="AA35" si="266">AA34/AA18</f>
        <v>0.35736176958417121</v>
      </c>
      <c r="AB35" s="52">
        <f t="shared" si="264"/>
        <v>0.35999999999999993</v>
      </c>
      <c r="AC35" s="52">
        <f t="shared" si="264"/>
        <v>0.36</v>
      </c>
      <c r="AD35" s="52">
        <f t="shared" si="264"/>
        <v>0.36000000000000004</v>
      </c>
      <c r="AE35" s="52">
        <f t="shared" si="264"/>
        <v>0.36</v>
      </c>
      <c r="AI35" s="44" t="e">
        <f t="shared" ref="AI35:BN35" si="267">AI34/AI18</f>
        <v>#DIV/0!</v>
      </c>
      <c r="AJ35" s="44" t="e">
        <f t="shared" si="267"/>
        <v>#DIV/0!</v>
      </c>
      <c r="AK35" s="44" t="e">
        <f t="shared" si="267"/>
        <v>#DIV/0!</v>
      </c>
      <c r="AL35" s="44" t="e">
        <f t="shared" si="267"/>
        <v>#DIV/0!</v>
      </c>
      <c r="AM35" s="44" t="e">
        <f t="shared" si="267"/>
        <v>#DIV/0!</v>
      </c>
      <c r="AN35" s="44" t="e">
        <f t="shared" si="267"/>
        <v>#DIV/0!</v>
      </c>
      <c r="AO35" s="44" t="e">
        <f t="shared" si="267"/>
        <v>#DIV/0!</v>
      </c>
      <c r="AP35" s="44" t="e">
        <f t="shared" si="267"/>
        <v>#DIV/0!</v>
      </c>
      <c r="AQ35" s="44" t="e">
        <f t="shared" si="267"/>
        <v>#DIV/0!</v>
      </c>
      <c r="AR35" s="44" t="e">
        <f t="shared" si="267"/>
        <v>#DIV/0!</v>
      </c>
      <c r="AS35" s="44" t="e">
        <f t="shared" si="267"/>
        <v>#DIV/0!</v>
      </c>
      <c r="AT35" s="44" t="e">
        <f t="shared" si="267"/>
        <v>#DIV/0!</v>
      </c>
      <c r="AU35" s="44" t="e">
        <f t="shared" si="267"/>
        <v>#DIV/0!</v>
      </c>
      <c r="AV35" s="44" t="e">
        <f t="shared" si="267"/>
        <v>#DIV/0!</v>
      </c>
      <c r="AW35" s="44">
        <f t="shared" si="267"/>
        <v>0.24306262191789343</v>
      </c>
      <c r="AX35" s="44">
        <f t="shared" si="267"/>
        <v>0.22427544406931227</v>
      </c>
      <c r="AY35" s="44">
        <f t="shared" si="267"/>
        <v>0.27355525185474422</v>
      </c>
      <c r="AZ35" s="44">
        <f t="shared" si="267"/>
        <v>0.24312288962547629</v>
      </c>
      <c r="BA35" s="44">
        <f t="shared" si="267"/>
        <v>0.24816074677636263</v>
      </c>
      <c r="BB35" s="44">
        <f t="shared" si="267"/>
        <v>0.29001102060069678</v>
      </c>
      <c r="BC35" s="44">
        <f t="shared" si="267"/>
        <v>0.28467627809167856</v>
      </c>
      <c r="BD35" s="44">
        <f t="shared" si="267"/>
        <v>0.26863407660459326</v>
      </c>
      <c r="BE35" s="44">
        <f t="shared" si="267"/>
        <v>0.30449062599831705</v>
      </c>
      <c r="BF35" s="44">
        <f t="shared" si="267"/>
        <v>0.27209767242610311</v>
      </c>
      <c r="BG35" s="44">
        <f t="shared" si="267"/>
        <v>0.3029885884860774</v>
      </c>
      <c r="BH35" s="44">
        <f t="shared" si="267"/>
        <v>0.33643105930669187</v>
      </c>
      <c r="BI35" s="44">
        <f t="shared" si="267"/>
        <v>0.29804120070185119</v>
      </c>
      <c r="BJ35" s="44">
        <f t="shared" si="267"/>
        <v>0.28537961241323068</v>
      </c>
      <c r="BK35" s="44">
        <f t="shared" si="267"/>
        <v>0.35009172312330855</v>
      </c>
      <c r="BL35" s="44">
        <f t="shared" si="267"/>
        <v>0.30126891440442438</v>
      </c>
      <c r="BM35" s="44">
        <f t="shared" si="267"/>
        <v>0.30271796488438707</v>
      </c>
      <c r="BN35" s="44">
        <f t="shared" si="267"/>
        <v>0.27296994542031128</v>
      </c>
      <c r="BO35" s="44">
        <f t="shared" ref="BO35:CH35" si="268">BO34/BO18</f>
        <v>0.25652762952623365</v>
      </c>
      <c r="BP35" s="44">
        <f t="shared" si="268"/>
        <v>0.23153384145270628</v>
      </c>
      <c r="BQ35" s="44">
        <f t="shared" si="268"/>
        <v>0.21657534033933035</v>
      </c>
      <c r="BR35" s="44">
        <f t="shared" si="268"/>
        <v>0.22095996260437842</v>
      </c>
      <c r="BS35" s="44">
        <f t="shared" si="268"/>
        <v>0.25759092686742274</v>
      </c>
      <c r="BT35" s="44">
        <f t="shared" si="268"/>
        <v>0.27065676205670225</v>
      </c>
      <c r="BU35" s="44">
        <f t="shared" si="268"/>
        <v>0.31051946032116334</v>
      </c>
      <c r="BV35" s="44">
        <f t="shared" si="268"/>
        <v>0.24203589200115103</v>
      </c>
      <c r="BW35" s="44">
        <f t="shared" si="268"/>
        <v>0.28059573472650007</v>
      </c>
      <c r="BX35" s="44">
        <f t="shared" si="268"/>
        <v>0.26624320225396442</v>
      </c>
      <c r="BY35" s="44">
        <f t="shared" si="268"/>
        <v>0.27308683212283635</v>
      </c>
      <c r="BZ35" s="44">
        <f t="shared" si="268"/>
        <v>0.29023100876240132</v>
      </c>
      <c r="CA35" s="44">
        <f t="shared" si="268"/>
        <v>0.3648279305121892</v>
      </c>
      <c r="CB35" s="44">
        <f t="shared" si="268"/>
        <v>0.3720037567887623</v>
      </c>
      <c r="CC35" s="44">
        <f t="shared" si="268"/>
        <v>0.39173333779667258</v>
      </c>
      <c r="CD35" s="44">
        <f t="shared" si="268"/>
        <v>0.33074940785041018</v>
      </c>
      <c r="CE35" s="44">
        <f t="shared" si="268"/>
        <v>0.40744491216911732</v>
      </c>
      <c r="CF35" s="44">
        <f t="shared" si="268"/>
        <v>0.40620250061289537</v>
      </c>
      <c r="CG35" s="44">
        <f t="shared" si="268"/>
        <v>0.36730150878060847</v>
      </c>
      <c r="CH35" s="44">
        <f t="shared" si="268"/>
        <v>0.30054060338313082</v>
      </c>
      <c r="CI35" s="44">
        <f t="shared" ref="CI35:CJ35" si="269">CI34/CI18</f>
        <v>0.35047178526602829</v>
      </c>
      <c r="CJ35" s="44">
        <f t="shared" si="269"/>
        <v>0.35487187551029048</v>
      </c>
      <c r="CK35" s="44">
        <f t="shared" ref="CK35:CL35" si="270">CK34/CK18</f>
        <v>0.33937659211939558</v>
      </c>
      <c r="CL35" s="44">
        <f t="shared" si="270"/>
        <v>0.33085114017123268</v>
      </c>
      <c r="CM35" s="52">
        <v>0.36</v>
      </c>
      <c r="CN35" s="52">
        <v>0.36</v>
      </c>
      <c r="CO35" s="52">
        <v>0.36</v>
      </c>
      <c r="CP35" s="52">
        <v>0.36</v>
      </c>
      <c r="CQ35" s="52">
        <v>0.36</v>
      </c>
      <c r="CR35" s="52">
        <v>0.36</v>
      </c>
      <c r="CS35" s="52">
        <v>0.36</v>
      </c>
      <c r="CT35" s="52">
        <v>0.36</v>
      </c>
      <c r="CU35" s="52">
        <v>0.36</v>
      </c>
      <c r="CV35" s="52">
        <v>0.36</v>
      </c>
      <c r="CW35" s="52">
        <v>0.36</v>
      </c>
      <c r="CX35" s="52">
        <v>0.36</v>
      </c>
      <c r="CY35" s="52">
        <v>0.36</v>
      </c>
      <c r="CZ35" s="52">
        <v>0.36</v>
      </c>
      <c r="DA35" s="52">
        <v>0.36</v>
      </c>
      <c r="DB35" s="52">
        <v>0.36</v>
      </c>
      <c r="DE35" s="128"/>
      <c r="DF35" s="44">
        <v>0.34342644101630732</v>
      </c>
    </row>
    <row r="36" spans="1:110" s="26" customFormat="1" x14ac:dyDescent="0.2">
      <c r="A36" s="34" t="s">
        <v>13</v>
      </c>
      <c r="B36" s="26">
        <f t="shared" ref="B36:E36" si="271">B24-B34</f>
        <v>0</v>
      </c>
      <c r="C36" s="26">
        <f t="shared" si="271"/>
        <v>0</v>
      </c>
      <c r="D36" s="26">
        <f t="shared" si="271"/>
        <v>0</v>
      </c>
      <c r="E36" s="26">
        <f t="shared" si="271"/>
        <v>0</v>
      </c>
      <c r="F36" s="26">
        <f t="shared" ref="F36:AE36" si="272">F24-F34</f>
        <v>0</v>
      </c>
      <c r="G36" s="26">
        <f t="shared" si="272"/>
        <v>0</v>
      </c>
      <c r="H36" s="26">
        <f t="shared" si="272"/>
        <v>0</v>
      </c>
      <c r="I36" s="26">
        <f t="shared" si="272"/>
        <v>0</v>
      </c>
      <c r="J36" s="26">
        <f t="shared" si="272"/>
        <v>0</v>
      </c>
      <c r="K36" s="26">
        <f t="shared" si="272"/>
        <v>0</v>
      </c>
      <c r="L36" s="26">
        <f t="shared" si="272"/>
        <v>0</v>
      </c>
      <c r="M36" s="26">
        <f t="shared" si="272"/>
        <v>71.360000000000042</v>
      </c>
      <c r="N36" s="26">
        <f t="shared" si="272"/>
        <v>142.79300000000001</v>
      </c>
      <c r="O36" s="26">
        <f t="shared" si="272"/>
        <v>203.62999999999977</v>
      </c>
      <c r="P36" s="26">
        <f t="shared" si="272"/>
        <v>195.13299999999987</v>
      </c>
      <c r="Q36" s="26">
        <f t="shared" si="272"/>
        <v>362.19800000000009</v>
      </c>
      <c r="R36" s="26">
        <f t="shared" si="272"/>
        <v>407.6350000000001</v>
      </c>
      <c r="S36" s="26">
        <f t="shared" si="272"/>
        <v>413.32000000000016</v>
      </c>
      <c r="T36" s="26">
        <f t="shared" si="272"/>
        <v>355.9820000000002</v>
      </c>
      <c r="U36" s="26">
        <f t="shared" si="272"/>
        <v>564.54999999999995</v>
      </c>
      <c r="V36" s="26">
        <f t="shared" si="272"/>
        <v>1550.6800000000003</v>
      </c>
      <c r="W36" s="26">
        <f t="shared" si="272"/>
        <v>1422.4299999999998</v>
      </c>
      <c r="X36" s="26">
        <f t="shared" si="272"/>
        <v>1592.1900000000003</v>
      </c>
      <c r="Y36" s="26">
        <f t="shared" si="272"/>
        <v>777.50000000000023</v>
      </c>
      <c r="Z36" s="26">
        <f t="shared" ref="Z36:AA36" si="273">Z24-Z34</f>
        <v>1055.2800000000002</v>
      </c>
      <c r="AA36" s="26">
        <f t="shared" ref="AA36" si="274">AA24-AA34</f>
        <v>1777.7099999999991</v>
      </c>
      <c r="AB36" s="27">
        <f t="shared" si="272"/>
        <v>1933.3762042713638</v>
      </c>
      <c r="AC36" s="27">
        <f t="shared" si="272"/>
        <v>2227.9991344317341</v>
      </c>
      <c r="AD36" s="27">
        <f t="shared" si="272"/>
        <v>2563.1471166394695</v>
      </c>
      <c r="AE36" s="27">
        <f t="shared" si="272"/>
        <v>2947.783232239356</v>
      </c>
      <c r="AI36" s="26">
        <f t="shared" ref="AI36:BN36" si="275">AI24-AI34</f>
        <v>0</v>
      </c>
      <c r="AJ36" s="26">
        <f t="shared" si="275"/>
        <v>0</v>
      </c>
      <c r="AK36" s="26">
        <f t="shared" si="275"/>
        <v>0</v>
      </c>
      <c r="AL36" s="26">
        <f t="shared" si="275"/>
        <v>0</v>
      </c>
      <c r="AM36" s="26">
        <f t="shared" si="275"/>
        <v>0</v>
      </c>
      <c r="AN36" s="26">
        <f t="shared" si="275"/>
        <v>0</v>
      </c>
      <c r="AO36" s="26">
        <f t="shared" si="275"/>
        <v>0</v>
      </c>
      <c r="AP36" s="26">
        <f t="shared" si="275"/>
        <v>0</v>
      </c>
      <c r="AQ36" s="26">
        <f t="shared" si="275"/>
        <v>0</v>
      </c>
      <c r="AR36" s="26">
        <f t="shared" si="275"/>
        <v>0</v>
      </c>
      <c r="AS36" s="26">
        <f t="shared" si="275"/>
        <v>0</v>
      </c>
      <c r="AT36" s="26">
        <f t="shared" si="275"/>
        <v>0</v>
      </c>
      <c r="AU36" s="26">
        <f t="shared" si="275"/>
        <v>0</v>
      </c>
      <c r="AV36" s="26">
        <f t="shared" si="275"/>
        <v>0</v>
      </c>
      <c r="AW36" s="26">
        <f t="shared" si="275"/>
        <v>100.20100000000004</v>
      </c>
      <c r="AX36" s="26">
        <f t="shared" si="275"/>
        <v>120.51100000000002</v>
      </c>
      <c r="AY36" s="26">
        <f t="shared" si="275"/>
        <v>84.994000000000014</v>
      </c>
      <c r="AZ36" s="26">
        <f t="shared" si="275"/>
        <v>108.23200000000003</v>
      </c>
      <c r="BA36" s="26">
        <f t="shared" si="275"/>
        <v>99.342000000000041</v>
      </c>
      <c r="BB36" s="26">
        <f t="shared" si="275"/>
        <v>115.06699999999998</v>
      </c>
      <c r="BC36" s="26">
        <f t="shared" si="275"/>
        <v>96.51299999999992</v>
      </c>
      <c r="BD36" s="26">
        <f t="shared" si="275"/>
        <v>112.57500000000002</v>
      </c>
      <c r="BE36" s="26">
        <f t="shared" si="275"/>
        <v>87.347999999999985</v>
      </c>
      <c r="BF36" s="26">
        <f t="shared" si="275"/>
        <v>116.88400000000001</v>
      </c>
      <c r="BG36" s="26">
        <f t="shared" si="275"/>
        <v>80.553000000000026</v>
      </c>
      <c r="BH36" s="26">
        <f t="shared" si="275"/>
        <v>75.725999999999942</v>
      </c>
      <c r="BI36" s="26">
        <f t="shared" si="275"/>
        <v>87.714999999999947</v>
      </c>
      <c r="BJ36" s="26">
        <f t="shared" si="275"/>
        <v>111.988</v>
      </c>
      <c r="BK36" s="26">
        <f t="shared" si="275"/>
        <v>83.260000000000105</v>
      </c>
      <c r="BL36" s="26">
        <f t="shared" si="275"/>
        <v>137.80999999999995</v>
      </c>
      <c r="BM36" s="26">
        <f t="shared" si="275"/>
        <v>148.1700000000001</v>
      </c>
      <c r="BN36" s="26">
        <f t="shared" si="275"/>
        <v>191.76999999999992</v>
      </c>
      <c r="BO36" s="26">
        <f t="shared" ref="BO36:CT36" si="276">BO24-BO34</f>
        <v>278.32</v>
      </c>
      <c r="BP36" s="26">
        <f t="shared" si="276"/>
        <v>373.86999999999995</v>
      </c>
      <c r="BQ36" s="26">
        <f t="shared" si="276"/>
        <v>426.3</v>
      </c>
      <c r="BR36" s="26">
        <f t="shared" si="276"/>
        <v>472.19000000000005</v>
      </c>
      <c r="BS36" s="26">
        <f t="shared" si="276"/>
        <v>395.35000000000008</v>
      </c>
      <c r="BT36" s="26">
        <f t="shared" si="276"/>
        <v>345.08000000000004</v>
      </c>
      <c r="BU36" s="26">
        <f t="shared" si="276"/>
        <v>285.28999999999991</v>
      </c>
      <c r="BV36" s="26">
        <f t="shared" si="276"/>
        <v>396.70999999999981</v>
      </c>
      <c r="BW36" s="26">
        <f t="shared" si="276"/>
        <v>454.16999999999996</v>
      </c>
      <c r="BX36" s="26">
        <f t="shared" si="276"/>
        <v>448.91000000000014</v>
      </c>
      <c r="BY36" s="26">
        <f t="shared" si="276"/>
        <v>403.57000000000005</v>
      </c>
      <c r="BZ36" s="26">
        <f t="shared" si="276"/>
        <v>285.54000000000008</v>
      </c>
      <c r="CA36" s="26">
        <f t="shared" si="276"/>
        <v>166.71999999999986</v>
      </c>
      <c r="CB36" s="26">
        <f t="shared" si="276"/>
        <v>187.87000000000023</v>
      </c>
      <c r="CC36" s="26">
        <f t="shared" si="276"/>
        <v>181.42000000000007</v>
      </c>
      <c r="CD36" s="26">
        <f t="shared" si="276"/>
        <v>241.49000000000007</v>
      </c>
      <c r="CE36" s="26">
        <f t="shared" si="276"/>
        <v>171.20000000000005</v>
      </c>
      <c r="CF36" s="26">
        <f t="shared" si="276"/>
        <v>178.33000000000004</v>
      </c>
      <c r="CG36" s="26">
        <f t="shared" si="276"/>
        <v>285.15000000000009</v>
      </c>
      <c r="CH36" s="26">
        <f t="shared" si="276"/>
        <v>420.6</v>
      </c>
      <c r="CI36" s="26">
        <f t="shared" ref="CI36:CJ36" si="277">CI24-CI34</f>
        <v>382.12999999999988</v>
      </c>
      <c r="CJ36" s="26">
        <f t="shared" si="277"/>
        <v>403.26</v>
      </c>
      <c r="CK36" s="26">
        <f t="shared" ref="CK36:CL36" si="278">CK24-CK34</f>
        <v>480.20999999999981</v>
      </c>
      <c r="CL36" s="26">
        <f t="shared" si="278"/>
        <v>512.11</v>
      </c>
      <c r="CM36" s="27">
        <f t="shared" si="276"/>
        <v>440.2629042490837</v>
      </c>
      <c r="CN36" s="27">
        <f t="shared" si="276"/>
        <v>468.54044856302426</v>
      </c>
      <c r="CO36" s="27">
        <f t="shared" si="276"/>
        <v>507.82052444539397</v>
      </c>
      <c r="CP36" s="27">
        <f t="shared" si="276"/>
        <v>516.75232701386051</v>
      </c>
      <c r="CQ36" s="27">
        <f t="shared" si="276"/>
        <v>512.02811901916891</v>
      </c>
      <c r="CR36" s="27">
        <f t="shared" si="276"/>
        <v>540.90609846026007</v>
      </c>
      <c r="CS36" s="27">
        <f t="shared" si="276"/>
        <v>582.29943932125616</v>
      </c>
      <c r="CT36" s="27">
        <f t="shared" si="276"/>
        <v>592.76547763104816</v>
      </c>
      <c r="CU36" s="27">
        <f t="shared" ref="CU36:DB36" si="279">CU24-CU34</f>
        <v>590.2439355660224</v>
      </c>
      <c r="CV36" s="27">
        <f t="shared" si="279"/>
        <v>622.16667569046547</v>
      </c>
      <c r="CW36" s="27">
        <f t="shared" si="279"/>
        <v>669.16738689883368</v>
      </c>
      <c r="CX36" s="27">
        <f t="shared" si="279"/>
        <v>681.56911848414893</v>
      </c>
      <c r="CY36" s="27">
        <f t="shared" si="279"/>
        <v>679.07165442625865</v>
      </c>
      <c r="CZ36" s="27">
        <f t="shared" si="279"/>
        <v>715.44751206692376</v>
      </c>
      <c r="DA36" s="27">
        <f t="shared" si="279"/>
        <v>769.44457516568355</v>
      </c>
      <c r="DB36" s="27">
        <f t="shared" si="279"/>
        <v>783.81949058049031</v>
      </c>
      <c r="DE36" s="121"/>
      <c r="DF36" s="26">
        <v>1777.7099999999987</v>
      </c>
    </row>
    <row r="37" spans="1:110" s="168" customFormat="1" x14ac:dyDescent="0.2">
      <c r="A37" s="165" t="s">
        <v>14</v>
      </c>
      <c r="B37" s="166" t="e">
        <f t="shared" ref="B37:E37" si="280">B36/B18</f>
        <v>#DIV/0!</v>
      </c>
      <c r="C37" s="166" t="e">
        <f t="shared" si="280"/>
        <v>#DIV/0!</v>
      </c>
      <c r="D37" s="166" t="e">
        <f t="shared" si="280"/>
        <v>#DIV/0!</v>
      </c>
      <c r="E37" s="166" t="e">
        <f t="shared" si="280"/>
        <v>#DIV/0!</v>
      </c>
      <c r="F37" s="166" t="e">
        <f t="shared" ref="F37:AE37" si="281">F36/F18</f>
        <v>#DIV/0!</v>
      </c>
      <c r="G37" s="166" t="e">
        <f t="shared" si="281"/>
        <v>#DIV/0!</v>
      </c>
      <c r="H37" s="166" t="e">
        <f t="shared" si="281"/>
        <v>#DIV/0!</v>
      </c>
      <c r="I37" s="166" t="e">
        <f t="shared" si="281"/>
        <v>#DIV/0!</v>
      </c>
      <c r="J37" s="166" t="e">
        <f t="shared" si="281"/>
        <v>#DIV/0!</v>
      </c>
      <c r="K37" s="166" t="e">
        <f t="shared" si="281"/>
        <v>#DIV/0!</v>
      </c>
      <c r="L37" s="166" t="e">
        <f t="shared" si="281"/>
        <v>#DIV/0!</v>
      </c>
      <c r="M37" s="166">
        <f t="shared" si="281"/>
        <v>0.15832516118726131</v>
      </c>
      <c r="N37" s="166">
        <f t="shared" si="281"/>
        <v>0.19873460531571541</v>
      </c>
      <c r="O37" s="166">
        <f t="shared" si="281"/>
        <v>0.17558594036303665</v>
      </c>
      <c r="P37" s="166">
        <f t="shared" si="281"/>
        <v>0.14709367626772393</v>
      </c>
      <c r="Q37" s="166">
        <f t="shared" si="281"/>
        <v>0.20375927244824141</v>
      </c>
      <c r="R37" s="166">
        <f t="shared" si="281"/>
        <v>0.21402128583406801</v>
      </c>
      <c r="S37" s="166">
        <f t="shared" si="281"/>
        <v>0.20101450755530922</v>
      </c>
      <c r="T37" s="166">
        <f t="shared" si="281"/>
        <v>0.15532070110771956</v>
      </c>
      <c r="U37" s="166">
        <f t="shared" si="281"/>
        <v>0.19936646278586867</v>
      </c>
      <c r="V37" s="166">
        <f t="shared" si="281"/>
        <v>0.32215161077882881</v>
      </c>
      <c r="W37" s="166">
        <f t="shared" si="281"/>
        <v>0.28819974187378561</v>
      </c>
      <c r="X37" s="166">
        <f t="shared" si="281"/>
        <v>0.26358361407487735</v>
      </c>
      <c r="Y37" s="166">
        <f t="shared" si="281"/>
        <v>0.15424047230317234</v>
      </c>
      <c r="Z37" s="166">
        <f t="shared" ref="Z37:AA37" si="282">Z36/Z18</f>
        <v>0.19000496942721953</v>
      </c>
      <c r="AA37" s="166">
        <f t="shared" ref="AA37" si="283">AA36/AA18</f>
        <v>0.26093293604779155</v>
      </c>
      <c r="AB37" s="167">
        <f t="shared" si="281"/>
        <v>0.24676667782682898</v>
      </c>
      <c r="AC37" s="167">
        <f t="shared" si="281"/>
        <v>0.24727904948601581</v>
      </c>
      <c r="AD37" s="167">
        <f t="shared" si="281"/>
        <v>0.24737055223204479</v>
      </c>
      <c r="AE37" s="167">
        <f t="shared" si="281"/>
        <v>0.24738431950235198</v>
      </c>
      <c r="AI37" s="166" t="e">
        <f t="shared" ref="AI37:BN37" si="284">AI36/AI18</f>
        <v>#DIV/0!</v>
      </c>
      <c r="AJ37" s="166" t="e">
        <f t="shared" si="284"/>
        <v>#DIV/0!</v>
      </c>
      <c r="AK37" s="166" t="e">
        <f t="shared" si="284"/>
        <v>#DIV/0!</v>
      </c>
      <c r="AL37" s="166" t="e">
        <f t="shared" si="284"/>
        <v>#DIV/0!</v>
      </c>
      <c r="AM37" s="166" t="e">
        <f t="shared" si="284"/>
        <v>#DIV/0!</v>
      </c>
      <c r="AN37" s="166" t="e">
        <f t="shared" si="284"/>
        <v>#DIV/0!</v>
      </c>
      <c r="AO37" s="166" t="e">
        <f t="shared" si="284"/>
        <v>#DIV/0!</v>
      </c>
      <c r="AP37" s="166" t="e">
        <f t="shared" si="284"/>
        <v>#DIV/0!</v>
      </c>
      <c r="AQ37" s="166" t="e">
        <f t="shared" si="284"/>
        <v>#DIV/0!</v>
      </c>
      <c r="AR37" s="166" t="e">
        <f t="shared" si="284"/>
        <v>#DIV/0!</v>
      </c>
      <c r="AS37" s="166" t="e">
        <f t="shared" si="284"/>
        <v>#DIV/0!</v>
      </c>
      <c r="AT37" s="166" t="e">
        <f t="shared" si="284"/>
        <v>#DIV/0!</v>
      </c>
      <c r="AU37" s="166" t="e">
        <f t="shared" si="284"/>
        <v>#DIV/0!</v>
      </c>
      <c r="AV37" s="166" t="e">
        <f t="shared" si="284"/>
        <v>#DIV/0!</v>
      </c>
      <c r="AW37" s="166">
        <f t="shared" si="284"/>
        <v>0.22262040711134026</v>
      </c>
      <c r="AX37" s="166">
        <f t="shared" si="284"/>
        <v>0.24945920937963817</v>
      </c>
      <c r="AY37" s="166">
        <f t="shared" si="284"/>
        <v>0.20742385786802034</v>
      </c>
      <c r="AZ37" s="166">
        <f t="shared" si="284"/>
        <v>0.20955050958768323</v>
      </c>
      <c r="BA37" s="166">
        <f t="shared" si="284"/>
        <v>0.19646784273396101</v>
      </c>
      <c r="BB37" s="166">
        <f t="shared" si="284"/>
        <v>0.24339874479377085</v>
      </c>
      <c r="BC37" s="166">
        <f t="shared" si="284"/>
        <v>0.20174585954108462</v>
      </c>
      <c r="BD37" s="166">
        <f t="shared" si="284"/>
        <v>0.20901023003657565</v>
      </c>
      <c r="BE37" s="166">
        <f t="shared" si="284"/>
        <v>0.18238117808202015</v>
      </c>
      <c r="BF37" s="166">
        <f t="shared" si="284"/>
        <v>0.20863201485077826</v>
      </c>
      <c r="BG37" s="166">
        <f t="shared" si="284"/>
        <v>0.14944426613631856</v>
      </c>
      <c r="BH37" s="166">
        <f t="shared" si="284"/>
        <v>0.12872419812980523</v>
      </c>
      <c r="BI37" s="166">
        <f t="shared" si="284"/>
        <v>0.16566973333056309</v>
      </c>
      <c r="BJ37" s="166">
        <f t="shared" si="284"/>
        <v>0.17631435179426949</v>
      </c>
      <c r="BK37" s="166">
        <f t="shared" si="284"/>
        <v>0.15122509399349782</v>
      </c>
      <c r="BL37" s="166">
        <f t="shared" si="284"/>
        <v>0.19343926335588552</v>
      </c>
      <c r="BM37" s="166">
        <f t="shared" si="284"/>
        <v>0.20308666511328294</v>
      </c>
      <c r="BN37" s="166">
        <f t="shared" si="284"/>
        <v>0.22853159186786462</v>
      </c>
      <c r="BO37" s="166">
        <f t="shared" ref="BO37:CT37" si="285">BO36/BO18</f>
        <v>0.28565563675178585</v>
      </c>
      <c r="BP37" s="166">
        <f t="shared" si="285"/>
        <v>0.32829019001791293</v>
      </c>
      <c r="BQ37" s="166">
        <f t="shared" si="285"/>
        <v>0.3308703683581441</v>
      </c>
      <c r="BR37" s="166">
        <f t="shared" si="285"/>
        <v>0.33442876063260929</v>
      </c>
      <c r="BS37" s="166">
        <f t="shared" si="285"/>
        <v>0.30922956589753625</v>
      </c>
      <c r="BT37" s="166">
        <f t="shared" si="285"/>
        <v>0.2867351347758168</v>
      </c>
      <c r="BU37" s="166">
        <f t="shared" si="285"/>
        <v>0.27731443679769813</v>
      </c>
      <c r="BV37" s="166">
        <f t="shared" si="285"/>
        <v>0.27842619821312004</v>
      </c>
      <c r="BW37" s="166">
        <f t="shared" si="285"/>
        <v>0.29511871807867751</v>
      </c>
      <c r="BX37" s="166">
        <f t="shared" si="285"/>
        <v>0.28486125300623782</v>
      </c>
      <c r="BY37" s="166">
        <f t="shared" si="285"/>
        <v>0.26124079180745979</v>
      </c>
      <c r="BZ37" s="166">
        <f t="shared" si="285"/>
        <v>0.20677818813817081</v>
      </c>
      <c r="CA37" s="166">
        <f t="shared" si="285"/>
        <v>0.14107413330625565</v>
      </c>
      <c r="CB37" s="166">
        <f t="shared" si="285"/>
        <v>0.15343215321164622</v>
      </c>
      <c r="CC37" s="166">
        <f t="shared" si="285"/>
        <v>0.15182606366953441</v>
      </c>
      <c r="CD37" s="166">
        <f t="shared" si="285"/>
        <v>0.16773982926642914</v>
      </c>
      <c r="CE37" s="166">
        <f t="shared" si="285"/>
        <v>0.14327438886610711</v>
      </c>
      <c r="CF37" s="166">
        <f t="shared" si="285"/>
        <v>0.14573016262155761</v>
      </c>
      <c r="CG37" s="166">
        <f t="shared" si="285"/>
        <v>0.20151231405250705</v>
      </c>
      <c r="CH37" s="166">
        <f t="shared" si="285"/>
        <v>0.24449223972562928</v>
      </c>
      <c r="CI37" s="166">
        <f t="shared" ref="CI37:CJ37" si="286">CI36/CI18</f>
        <v>0.24346158502010098</v>
      </c>
      <c r="CJ37" s="166">
        <f t="shared" si="286"/>
        <v>0.24388709804229891</v>
      </c>
      <c r="CK37" s="166">
        <f t="shared" ref="CK37:CL37" si="287">CK36/CK18</f>
        <v>0.27004031963290565</v>
      </c>
      <c r="CL37" s="166">
        <f t="shared" si="287"/>
        <v>0.2826884967183162</v>
      </c>
      <c r="CM37" s="167">
        <f t="shared" si="285"/>
        <v>0.24391222312014213</v>
      </c>
      <c r="CN37" s="167">
        <f t="shared" si="285"/>
        <v>0.24640693632864547</v>
      </c>
      <c r="CO37" s="167">
        <f t="shared" si="285"/>
        <v>0.24831892702265951</v>
      </c>
      <c r="CP37" s="167">
        <f t="shared" si="285"/>
        <v>0.24804443084024907</v>
      </c>
      <c r="CQ37" s="167">
        <f t="shared" si="285"/>
        <v>0.24667062932792411</v>
      </c>
      <c r="CR37" s="167">
        <f t="shared" si="285"/>
        <v>0.24736023087986941</v>
      </c>
      <c r="CS37" s="167">
        <f t="shared" si="285"/>
        <v>0.24759855451767551</v>
      </c>
      <c r="CT37" s="167">
        <f t="shared" si="285"/>
        <v>0.24741846139142951</v>
      </c>
      <c r="CU37" s="167">
        <f t="shared" ref="CU37:DB37" si="288">CU36/CU18</f>
        <v>0.24726196902922473</v>
      </c>
      <c r="CV37" s="167">
        <f t="shared" si="288"/>
        <v>0.24740980395454984</v>
      </c>
      <c r="CW37" s="167">
        <f t="shared" si="288"/>
        <v>0.2474221972232199</v>
      </c>
      <c r="CX37" s="167">
        <f t="shared" si="288"/>
        <v>0.24737810789960585</v>
      </c>
      <c r="CY37" s="167">
        <f t="shared" si="288"/>
        <v>0.24736801952665</v>
      </c>
      <c r="CZ37" s="167">
        <f t="shared" si="288"/>
        <v>0.24739453215100635</v>
      </c>
      <c r="DA37" s="167">
        <f t="shared" si="288"/>
        <v>0.24739071420012046</v>
      </c>
      <c r="DB37" s="167">
        <f t="shared" si="288"/>
        <v>0.24738284344434569</v>
      </c>
      <c r="DE37" s="169"/>
      <c r="DF37" s="168">
        <v>0.2609329360477915</v>
      </c>
    </row>
    <row r="38" spans="1:110" s="38" customFormat="1" x14ac:dyDescent="0.2">
      <c r="A38" s="39" t="s">
        <v>449</v>
      </c>
      <c r="B38" s="39"/>
      <c r="C38" s="39" t="e">
        <f t="shared" ref="C38:E38" si="289">+IF(B36&lt;0,1-C36/B36,C36/B36-1)</f>
        <v>#DIV/0!</v>
      </c>
      <c r="D38" s="39" t="e">
        <f t="shared" si="289"/>
        <v>#DIV/0!</v>
      </c>
      <c r="E38" s="39" t="e">
        <f t="shared" si="289"/>
        <v>#DIV/0!</v>
      </c>
      <c r="F38" s="39" t="e">
        <f t="shared" ref="F38:Y38" si="290">+IF(E36&lt;0,1-F36/E36,F36/E36-1)</f>
        <v>#DIV/0!</v>
      </c>
      <c r="G38" s="39" t="e">
        <f t="shared" si="290"/>
        <v>#DIV/0!</v>
      </c>
      <c r="H38" s="39" t="e">
        <f t="shared" si="290"/>
        <v>#DIV/0!</v>
      </c>
      <c r="I38" s="39" t="e">
        <f t="shared" si="290"/>
        <v>#DIV/0!</v>
      </c>
      <c r="J38" s="39" t="e">
        <f t="shared" si="290"/>
        <v>#DIV/0!</v>
      </c>
      <c r="K38" s="39" t="e">
        <f t="shared" si="290"/>
        <v>#DIV/0!</v>
      </c>
      <c r="L38" s="39" t="e">
        <f t="shared" si="290"/>
        <v>#DIV/0!</v>
      </c>
      <c r="M38" s="39" t="e">
        <f t="shared" si="290"/>
        <v>#DIV/0!</v>
      </c>
      <c r="N38" s="39">
        <f t="shared" si="290"/>
        <v>1.0010229820627794</v>
      </c>
      <c r="O38" s="39">
        <f t="shared" si="290"/>
        <v>0.42605029658316407</v>
      </c>
      <c r="P38" s="39">
        <f t="shared" si="290"/>
        <v>-4.1727643274566129E-2</v>
      </c>
      <c r="Q38" s="39">
        <f t="shared" si="290"/>
        <v>0.85615964496010588</v>
      </c>
      <c r="R38" s="39">
        <f t="shared" si="290"/>
        <v>0.12544795940342013</v>
      </c>
      <c r="S38" s="39">
        <f t="shared" si="290"/>
        <v>1.3946299998773615E-2</v>
      </c>
      <c r="T38" s="39">
        <f t="shared" si="290"/>
        <v>-0.13872544275621779</v>
      </c>
      <c r="U38" s="39">
        <f t="shared" si="290"/>
        <v>0.58589479243332421</v>
      </c>
      <c r="V38" s="39">
        <f t="shared" si="290"/>
        <v>1.7467540518997438</v>
      </c>
      <c r="W38" s="39">
        <f t="shared" si="290"/>
        <v>-8.2705651714086947E-2</v>
      </c>
      <c r="X38" s="39">
        <f t="shared" si="290"/>
        <v>0.11934506443199355</v>
      </c>
      <c r="Y38" s="39">
        <f t="shared" si="290"/>
        <v>-0.51167888254542482</v>
      </c>
      <c r="Z38" s="39">
        <f t="shared" ref="Z38:AE38" si="291">+IF(Y36&lt;0,1-Z36/Y36,Z36/Y36-1)</f>
        <v>0.35727331189710587</v>
      </c>
      <c r="AA38" s="39">
        <f t="shared" si="291"/>
        <v>0.68458608141914823</v>
      </c>
      <c r="AB38" s="40">
        <f t="shared" si="291"/>
        <v>8.7565578340316863E-2</v>
      </c>
      <c r="AC38" s="40">
        <f t="shared" si="291"/>
        <v>0.15238779163075789</v>
      </c>
      <c r="AD38" s="40">
        <f t="shared" si="291"/>
        <v>0.150425544170248</v>
      </c>
      <c r="AE38" s="40">
        <f t="shared" si="291"/>
        <v>0.15006400260948793</v>
      </c>
      <c r="AI38" s="39"/>
      <c r="AJ38" s="39"/>
      <c r="AK38" s="39"/>
      <c r="AL38" s="39"/>
      <c r="AM38" s="39" t="e">
        <f>+IF(AI36&lt;0,1-AM36/AI36,AM36/AI36-1)</f>
        <v>#DIV/0!</v>
      </c>
      <c r="AN38" s="39" t="e">
        <f t="shared" ref="AN38" si="292">+IF(AJ36&lt;0,1-AN36/AJ36,AN36/AJ36-1)</f>
        <v>#DIV/0!</v>
      </c>
      <c r="AO38" s="39" t="e">
        <f t="shared" ref="AO38" si="293">+IF(AK36&lt;0,1-AO36/AK36,AO36/AK36-1)</f>
        <v>#DIV/0!</v>
      </c>
      <c r="AP38" s="39" t="e">
        <f t="shared" ref="AP38" si="294">+IF(AL36&lt;0,1-AP36/AL36,AP36/AL36-1)</f>
        <v>#DIV/0!</v>
      </c>
      <c r="AQ38" s="39" t="e">
        <f t="shared" ref="AQ38" si="295">+IF(AM36&lt;0,1-AQ36/AM36,AQ36/AM36-1)</f>
        <v>#DIV/0!</v>
      </c>
      <c r="AR38" s="39" t="e">
        <f t="shared" ref="AR38" si="296">+IF(AN36&lt;0,1-AR36/AN36,AR36/AN36-1)</f>
        <v>#DIV/0!</v>
      </c>
      <c r="AS38" s="39" t="e">
        <f t="shared" ref="AS38" si="297">+IF(AO36&lt;0,1-AS36/AO36,AS36/AO36-1)</f>
        <v>#DIV/0!</v>
      </c>
      <c r="AT38" s="39" t="e">
        <f t="shared" ref="AT38" si="298">+IF(AP36&lt;0,1-AT36/AP36,AT36/AP36-1)</f>
        <v>#DIV/0!</v>
      </c>
      <c r="AU38" s="39" t="e">
        <f t="shared" ref="AU38" si="299">+IF(AQ36&lt;0,1-AU36/AQ36,AU36/AQ36-1)</f>
        <v>#DIV/0!</v>
      </c>
      <c r="AV38" s="39" t="e">
        <f t="shared" ref="AV38" si="300">+IF(AR36&lt;0,1-AV36/AR36,AV36/AR36-1)</f>
        <v>#DIV/0!</v>
      </c>
      <c r="AW38" s="39" t="e">
        <f t="shared" ref="AW38" si="301">+IF(AS36&lt;0,1-AW36/AS36,AW36/AS36-1)</f>
        <v>#DIV/0!</v>
      </c>
      <c r="AX38" s="39" t="e">
        <f t="shared" ref="AX38" si="302">+IF(AT36&lt;0,1-AX36/AT36,AX36/AT36-1)</f>
        <v>#DIV/0!</v>
      </c>
      <c r="AY38" s="39" t="e">
        <f t="shared" ref="AY38" si="303">+IF(AU36&lt;0,1-AY36/AU36,AY36/AU36-1)</f>
        <v>#DIV/0!</v>
      </c>
      <c r="AZ38" s="39" t="e">
        <f t="shared" ref="AZ38" si="304">+IF(AV36&lt;0,1-AZ36/AV36,AZ36/AV36-1)</f>
        <v>#DIV/0!</v>
      </c>
      <c r="BA38" s="39">
        <f t="shared" ref="BA38" si="305">+IF(AW36&lt;0,1-BA36/AW36,BA36/AW36-1)</f>
        <v>-8.5727687348429171E-3</v>
      </c>
      <c r="BB38" s="39">
        <f t="shared" ref="BB38" si="306">+IF(AX36&lt;0,1-BB36/AX36,BB36/AX36-1)</f>
        <v>-4.5174299441545163E-2</v>
      </c>
      <c r="BC38" s="39">
        <f t="shared" ref="BC38" si="307">+IF(AY36&lt;0,1-BC36/AY36,BC36/AY36-1)</f>
        <v>0.13552721368567089</v>
      </c>
      <c r="BD38" s="39">
        <f t="shared" ref="BD38" si="308">+IF(AZ36&lt;0,1-BD36/AZ36,BD36/AZ36-1)</f>
        <v>4.0126764727622E-2</v>
      </c>
      <c r="BE38" s="39">
        <f t="shared" ref="BE38" si="309">+IF(BA36&lt;0,1-BE36/BA36,BE36/BA36-1)</f>
        <v>-0.12073443256628669</v>
      </c>
      <c r="BF38" s="39">
        <f t="shared" ref="BF38" si="310">+IF(BB36&lt;0,1-BF36/BB36,BF36/BB36-1)</f>
        <v>1.5790800142525985E-2</v>
      </c>
      <c r="BG38" s="39">
        <f t="shared" ref="BG38" si="311">+IF(BC36&lt;0,1-BG36/BC36,BG36/BC36-1)</f>
        <v>-0.16536632370768611</v>
      </c>
      <c r="BH38" s="39">
        <f t="shared" ref="BH38" si="312">+IF(BD36&lt;0,1-BH36/BD36,BH36/BD36-1)</f>
        <v>-0.32732844770153291</v>
      </c>
      <c r="BI38" s="39">
        <f t="shared" ref="BI38" si="313">+IF(BE36&lt;0,1-BI36/BE36,BI36/BE36-1)</f>
        <v>4.201584466730246E-3</v>
      </c>
      <c r="BJ38" s="39">
        <f t="shared" ref="BJ38" si="314">+IF(BF36&lt;0,1-BJ36/BF36,BJ36/BF36-1)</f>
        <v>-4.1887683515280272E-2</v>
      </c>
      <c r="BK38" s="39">
        <f t="shared" ref="BK38" si="315">+IF(BG36&lt;0,1-BK36/BG36,BK36/BG36-1)</f>
        <v>3.3605204027163271E-2</v>
      </c>
      <c r="BL38" s="39">
        <f t="shared" ref="BL38" si="316">+IF(BH36&lt;0,1-BL36/BH36,BL36/BH36-1)</f>
        <v>0.81985051369410833</v>
      </c>
      <c r="BM38" s="39">
        <f t="shared" ref="BM38" si="317">+IF(BI36&lt;0,1-BM36/BI36,BM36/BI36-1)</f>
        <v>0.68922077181782115</v>
      </c>
      <c r="BN38" s="39">
        <f t="shared" ref="BN38" si="318">+IF(BJ36&lt;0,1-BN36/BJ36,BN36/BJ36-1)</f>
        <v>0.71241561595885217</v>
      </c>
      <c r="BO38" s="39">
        <f t="shared" ref="BO38" si="319">+IF(BK36&lt;0,1-BO36/BK36,BO36/BK36-1)</f>
        <v>2.3427816478501038</v>
      </c>
      <c r="BP38" s="39">
        <f t="shared" ref="BP38" si="320">+IF(BL36&lt;0,1-BP36/BL36,BP36/BL36-1)</f>
        <v>1.7129381031855462</v>
      </c>
      <c r="BQ38" s="39">
        <f t="shared" ref="BQ38" si="321">+IF(BM36&lt;0,1-BQ36/BM36,BQ36/BM36-1)</f>
        <v>1.8771006276574185</v>
      </c>
      <c r="BR38" s="39">
        <f t="shared" ref="BR38" si="322">+IF(BN36&lt;0,1-BR36/BN36,BR36/BN36-1)</f>
        <v>1.4622725139490025</v>
      </c>
      <c r="BS38" s="39">
        <f t="shared" ref="BS38" si="323">+IF(BO36&lt;0,1-BS36/BO36,BS36/BO36-1)</f>
        <v>0.42048720896809466</v>
      </c>
      <c r="BT38" s="39">
        <f t="shared" ref="BT38" si="324">+IF(BP36&lt;0,1-BT36/BP36,BT36/BP36-1)</f>
        <v>-7.7005376200283249E-2</v>
      </c>
      <c r="BU38" s="39">
        <f t="shared" ref="BU38" si="325">+IF(BQ36&lt;0,1-BU36/BQ36,BU36/BQ36-1)</f>
        <v>-0.33077644851043886</v>
      </c>
      <c r="BV38" s="39">
        <f t="shared" ref="BV38" si="326">+IF(BR36&lt;0,1-BV36/BR36,BV36/BR36-1)</f>
        <v>-0.15985090747368691</v>
      </c>
      <c r="BW38" s="39">
        <f t="shared" ref="BW38" si="327">+IF(BS36&lt;0,1-BW36/BS36,BW36/BS36-1)</f>
        <v>0.14877956241305146</v>
      </c>
      <c r="BX38" s="39">
        <f t="shared" ref="BX38" si="328">+IF(BT36&lt;0,1-BX36/BT36,BX36/BT36-1)</f>
        <v>0.3008867508983426</v>
      </c>
      <c r="BY38" s="39">
        <f t="shared" ref="BY38" si="329">+IF(BU36&lt;0,1-BY36/BU36,BY36/BU36-1)</f>
        <v>0.41459567457674718</v>
      </c>
      <c r="BZ38" s="39">
        <f t="shared" ref="BZ38" si="330">+IF(BV36&lt;0,1-BZ36/BV36,BZ36/BV36-1)</f>
        <v>-0.28022989085225924</v>
      </c>
      <c r="CA38" s="39">
        <f t="shared" ref="CA38" si="331">+IF(BW36&lt;0,1-CA36/BW36,CA36/BW36-1)</f>
        <v>-0.63291278596120426</v>
      </c>
      <c r="CB38" s="39">
        <f t="shared" ref="CB38" si="332">+IF(BX36&lt;0,1-CB36/BX36,CB36/BX36-1)</f>
        <v>-0.58149740482502021</v>
      </c>
      <c r="CC38" s="39">
        <f t="shared" ref="CC38" si="333">+IF(BY36&lt;0,1-CC36/BY36,CC36/BY36-1)</f>
        <v>-0.55046212552964779</v>
      </c>
      <c r="CD38" s="39">
        <f t="shared" ref="CD38" si="334">+IF(BZ36&lt;0,1-CD36/BZ36,CD36/BZ36-1)</f>
        <v>-0.15426910415353368</v>
      </c>
      <c r="CE38" s="39">
        <f t="shared" ref="CE38" si="335">+IF(CA36&lt;0,1-CE36/CA36,CE36/CA36-1)</f>
        <v>2.6871401151632668E-2</v>
      </c>
      <c r="CF38" s="39">
        <f t="shared" ref="CF38" si="336">+IF(CB36&lt;0,1-CF36/CB36,CF36/CB36-1)</f>
        <v>-5.0779794538777789E-2</v>
      </c>
      <c r="CG38" s="39">
        <f t="shared" ref="CG38" si="337">+IF(CC36&lt;0,1-CG36/CC36,CG36/CC36-1)</f>
        <v>0.57176717010252442</v>
      </c>
      <c r="CH38" s="39">
        <f t="shared" ref="CH38:CL38" si="338">+IF(CD36&lt;0,1-CH36/CD36,CH36/CD36-1)</f>
        <v>0.7416870263779034</v>
      </c>
      <c r="CI38" s="39">
        <f t="shared" si="338"/>
        <v>1.2320677570093443</v>
      </c>
      <c r="CJ38" s="39">
        <f t="shared" si="338"/>
        <v>1.2613132955756177</v>
      </c>
      <c r="CK38" s="39">
        <f t="shared" si="338"/>
        <v>0.68406102051551687</v>
      </c>
      <c r="CL38" s="39">
        <f t="shared" si="338"/>
        <v>0.21757013789824065</v>
      </c>
      <c r="CM38" s="40">
        <f t="shared" ref="CM38" si="339">+CM36/CI36-1</f>
        <v>0.15212860610023782</v>
      </c>
      <c r="CN38" s="40">
        <f t="shared" ref="CN38" si="340">+CN36/CJ36-1</f>
        <v>0.16188178486094396</v>
      </c>
      <c r="CO38" s="40">
        <f t="shared" ref="CO38" si="341">+CO36/CK36-1</f>
        <v>5.7496771090552512E-2</v>
      </c>
      <c r="CP38" s="40">
        <f t="shared" ref="CP38" si="342">+CP36/CL36-1</f>
        <v>9.0650973694332837E-3</v>
      </c>
      <c r="CQ38" s="40">
        <f t="shared" ref="CQ38" si="343">+CQ36/CM36-1</f>
        <v>0.16300536356223017</v>
      </c>
      <c r="CR38" s="40">
        <f t="shared" ref="CR38" si="344">+CR36/CN36-1</f>
        <v>0.15444909851257327</v>
      </c>
      <c r="CS38" s="40">
        <f t="shared" ref="CS38" si="345">+CS36/CO36-1</f>
        <v>0.14666385325249087</v>
      </c>
      <c r="CT38" s="40">
        <f t="shared" ref="CT38" si="346">+CT36/CP36-1</f>
        <v>0.14709783902946749</v>
      </c>
      <c r="CU38" s="40">
        <f t="shared" ref="CU38" si="347">+CU36/CQ36-1</f>
        <v>0.15275687729158749</v>
      </c>
      <c r="CV38" s="40">
        <f t="shared" ref="CV38" si="348">+CV36/CR36-1</f>
        <v>0.15023046969061959</v>
      </c>
      <c r="CW38" s="40">
        <f t="shared" ref="CW38" si="349">+CW36/CS36-1</f>
        <v>0.14918088823652842</v>
      </c>
      <c r="CX38" s="40">
        <f t="shared" ref="CX38" si="350">+CX36/CT36-1</f>
        <v>0.14981243713449577</v>
      </c>
      <c r="CY38" s="40">
        <f t="shared" ref="CY38" si="351">+CY36/CU36-1</f>
        <v>0.1504932342507741</v>
      </c>
      <c r="CZ38" s="40">
        <f t="shared" ref="CZ38" si="352">+CZ36/CV36-1</f>
        <v>0.14992901423551408</v>
      </c>
      <c r="DA38" s="40">
        <f t="shared" ref="DA38" si="353">+DA36/CW36-1</f>
        <v>0.14985366924645116</v>
      </c>
      <c r="DB38" s="40">
        <f t="shared" ref="DB38" si="354">+DB36/CX36-1</f>
        <v>0.15002201438315232</v>
      </c>
      <c r="DE38" s="122"/>
      <c r="DF38" s="38">
        <v>0.68458608141914778</v>
      </c>
    </row>
    <row r="39" spans="1:110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0"/>
      <c r="AD39" s="40"/>
      <c r="AE39" s="40"/>
      <c r="AI39" s="39"/>
      <c r="AJ39" s="39" t="e">
        <f>+IF(AI36&lt;0,1-AJ36/AI36,AJ36/AI36-1)</f>
        <v>#DIV/0!</v>
      </c>
      <c r="AK39" s="39" t="e">
        <f t="shared" ref="AK39:AM39" si="355">+IF(AJ36&lt;0,1-AK36/AJ36,AK36/AJ36-1)</f>
        <v>#DIV/0!</v>
      </c>
      <c r="AL39" s="39" t="e">
        <f t="shared" si="355"/>
        <v>#DIV/0!</v>
      </c>
      <c r="AM39" s="39" t="e">
        <f t="shared" si="355"/>
        <v>#DIV/0!</v>
      </c>
      <c r="AN39" s="39" t="e">
        <f t="shared" ref="AN39" si="356">+IF(AM36&lt;0,1-AN36/AM36,AN36/AM36-1)</f>
        <v>#DIV/0!</v>
      </c>
      <c r="AO39" s="39" t="e">
        <f t="shared" ref="AO39" si="357">+IF(AN36&lt;0,1-AO36/AN36,AO36/AN36-1)</f>
        <v>#DIV/0!</v>
      </c>
      <c r="AP39" s="39" t="e">
        <f t="shared" ref="AP39" si="358">+IF(AO36&lt;0,1-AP36/AO36,AP36/AO36-1)</f>
        <v>#DIV/0!</v>
      </c>
      <c r="AQ39" s="39" t="e">
        <f t="shared" ref="AQ39" si="359">+IF(AP36&lt;0,1-AQ36/AP36,AQ36/AP36-1)</f>
        <v>#DIV/0!</v>
      </c>
      <c r="AR39" s="39" t="e">
        <f t="shared" ref="AR39" si="360">+IF(AQ36&lt;0,1-AR36/AQ36,AR36/AQ36-1)</f>
        <v>#DIV/0!</v>
      </c>
      <c r="AS39" s="39" t="e">
        <f t="shared" ref="AS39" si="361">+IF(AR36&lt;0,1-AS36/AR36,AS36/AR36-1)</f>
        <v>#DIV/0!</v>
      </c>
      <c r="AT39" s="39" t="e">
        <f t="shared" ref="AT39" si="362">+IF(AS36&lt;0,1-AT36/AS36,AT36/AS36-1)</f>
        <v>#DIV/0!</v>
      </c>
      <c r="AU39" s="39" t="e">
        <f t="shared" ref="AU39" si="363">+IF(AT36&lt;0,1-AU36/AT36,AU36/AT36-1)</f>
        <v>#DIV/0!</v>
      </c>
      <c r="AV39" s="39" t="e">
        <f t="shared" ref="AV39" si="364">+IF(AU36&lt;0,1-AV36/AU36,AV36/AU36-1)</f>
        <v>#DIV/0!</v>
      </c>
      <c r="AW39" s="39" t="e">
        <f t="shared" ref="AW39" si="365">+IF(AV36&lt;0,1-AW36/AV36,AW36/AV36-1)</f>
        <v>#DIV/0!</v>
      </c>
      <c r="AX39" s="39">
        <f t="shared" ref="AX39" si="366">+IF(AW36&lt;0,1-AX36/AW36,AX36/AW36-1)</f>
        <v>0.20269258789832412</v>
      </c>
      <c r="AY39" s="39">
        <f t="shared" ref="AY39" si="367">+IF(AX36&lt;0,1-AY36/AX36,AY36/AX36-1)</f>
        <v>-0.2947199840678445</v>
      </c>
      <c r="AZ39" s="39">
        <f t="shared" ref="AZ39" si="368">+IF(AY36&lt;0,1-AZ36/AY36,AZ36/AY36-1)</f>
        <v>0.27340753464950485</v>
      </c>
      <c r="BA39" s="39">
        <f t="shared" ref="BA39" si="369">+IF(AZ36&lt;0,1-BA36/AZ36,BA36/AZ36-1)</f>
        <v>-8.2138369428634617E-2</v>
      </c>
      <c r="BB39" s="39">
        <f t="shared" ref="BB39" si="370">+IF(BA36&lt;0,1-BB36/BA36,BB36/BA36-1)</f>
        <v>0.15829155845463072</v>
      </c>
      <c r="BC39" s="39">
        <f t="shared" ref="BC39" si="371">+IF(BB36&lt;0,1-BC36/BB36,BC36/BB36-1)</f>
        <v>-0.1612451875863633</v>
      </c>
      <c r="BD39" s="39">
        <f t="shared" ref="BD39" si="372">+IF(BC36&lt;0,1-BD36/BC36,BD36/BC36-1)</f>
        <v>0.16642317615243662</v>
      </c>
      <c r="BE39" s="39">
        <f t="shared" ref="BE39" si="373">+IF(BD36&lt;0,1-BE36/BD36,BE36/BD36-1)</f>
        <v>-0.22409060626249189</v>
      </c>
      <c r="BF39" s="39">
        <f t="shared" ref="BF39" si="374">+IF(BE36&lt;0,1-BF36/BE36,BF36/BE36-1)</f>
        <v>0.33814168612904738</v>
      </c>
      <c r="BG39" s="39">
        <f t="shared" ref="BG39" si="375">+IF(BF36&lt;0,1-BG36/BF36,BG36/BF36-1)</f>
        <v>-0.31082954039902799</v>
      </c>
      <c r="BH39" s="39">
        <f t="shared" ref="BH39" si="376">+IF(BG36&lt;0,1-BH36/BG36,BH36/BG36-1)</f>
        <v>-5.9923280324756134E-2</v>
      </c>
      <c r="BI39" s="39">
        <f t="shared" ref="BI39" si="377">+IF(BH36&lt;0,1-BI36/BH36,BI36/BH36-1)</f>
        <v>0.15832078810448214</v>
      </c>
      <c r="BJ39" s="39">
        <f t="shared" ref="BJ39" si="378">+IF(BI36&lt;0,1-BJ36/BI36,BJ36/BI36-1)</f>
        <v>0.27672575956221923</v>
      </c>
      <c r="BK39" s="39">
        <f t="shared" ref="BK39" si="379">+IF(BJ36&lt;0,1-BK36/BJ36,BK36/BJ36-1)</f>
        <v>-0.25652748508768708</v>
      </c>
      <c r="BL39" s="39">
        <f t="shared" ref="BL39" si="380">+IF(BK36&lt;0,1-BL36/BK36,BL36/BK36-1)</f>
        <v>0.65517655536872166</v>
      </c>
      <c r="BM39" s="39">
        <f t="shared" ref="BM39" si="381">+IF(BL36&lt;0,1-BM36/BL36,BM36/BL36-1)</f>
        <v>7.5175966910965508E-2</v>
      </c>
      <c r="BN39" s="39">
        <f t="shared" ref="BN39" si="382">+IF(BM36&lt;0,1-BN36/BM36,BN36/BM36-1)</f>
        <v>0.29425659715191865</v>
      </c>
      <c r="BO39" s="39">
        <f t="shared" ref="BO39" si="383">+IF(BN36&lt;0,1-BO36/BN36,BO36/BN36-1)</f>
        <v>0.45132189602127593</v>
      </c>
      <c r="BP39" s="39">
        <f t="shared" ref="BP39" si="384">+IF(BO36&lt;0,1-BP36/BO36,BP36/BO36-1)</f>
        <v>0.34330985915492951</v>
      </c>
      <c r="BQ39" s="39">
        <f t="shared" ref="BQ39" si="385">+IF(BP36&lt;0,1-BQ36/BP36,BQ36/BP36-1)</f>
        <v>0.14023591087811282</v>
      </c>
      <c r="BR39" s="39">
        <f t="shared" ref="BR39" si="386">+IF(BQ36&lt;0,1-BR36/BQ36,BR36/BQ36-1)</f>
        <v>0.10764719680975854</v>
      </c>
      <c r="BS39" s="39">
        <f t="shared" ref="BS39" si="387">+IF(BR36&lt;0,1-BS36/BR36,BS36/BR36-1)</f>
        <v>-0.16273110400474378</v>
      </c>
      <c r="BT39" s="39">
        <f t="shared" ref="BT39" si="388">+IF(BS36&lt;0,1-BT36/BS36,BT36/BS36-1)</f>
        <v>-0.12715315543189587</v>
      </c>
      <c r="BU39" s="39">
        <f t="shared" ref="BU39" si="389">+IF(BT36&lt;0,1-BU36/BT36,BU36/BT36-1)</f>
        <v>-0.17326417062710131</v>
      </c>
      <c r="BV39" s="39">
        <f t="shared" ref="BV39" si="390">+IF(BU36&lt;0,1-BV36/BU36,BV36/BU36-1)</f>
        <v>0.39054996670055009</v>
      </c>
      <c r="BW39" s="39">
        <f t="shared" ref="BW39" si="391">+IF(BV36&lt;0,1-BW36/BV36,BW36/BV36-1)</f>
        <v>0.1448413198558145</v>
      </c>
      <c r="BX39" s="39">
        <f t="shared" ref="BX39" si="392">+IF(BW36&lt;0,1-BX36/BW36,BX36/BW36-1)</f>
        <v>-1.1581566373824348E-2</v>
      </c>
      <c r="BY39" s="39">
        <f t="shared" ref="BY39" si="393">+IF(BX36&lt;0,1-BY36/BX36,BY36/BX36-1)</f>
        <v>-0.10100020048562086</v>
      </c>
      <c r="BZ39" s="39">
        <f t="shared" ref="BZ39" si="394">+IF(BY36&lt;0,1-BZ36/BY36,BZ36/BY36-1)</f>
        <v>-0.29246475208761791</v>
      </c>
      <c r="CA39" s="39">
        <f t="shared" ref="CA39" si="395">+IF(BZ36&lt;0,1-CA36/BZ36,CA36/BZ36-1)</f>
        <v>-0.41612383553967991</v>
      </c>
      <c r="CB39" s="39">
        <f t="shared" ref="CB39" si="396">+IF(CA36&lt;0,1-CB36/CA36,CB36/CA36-1)</f>
        <v>0.12685940499040549</v>
      </c>
      <c r="CC39" s="39">
        <f t="shared" ref="CC39" si="397">+IF(CB36&lt;0,1-CC36/CB36,CC36/CB36-1)</f>
        <v>-3.4332251024645544E-2</v>
      </c>
      <c r="CD39" s="39">
        <f t="shared" ref="CD39" si="398">+IF(CC36&lt;0,1-CD36/CC36,CD36/CC36-1)</f>
        <v>0.33111013118729993</v>
      </c>
      <c r="CE39" s="39">
        <f t="shared" ref="CE39" si="399">+IF(CD36&lt;0,1-CE36/CD36,CE36/CD36-1)</f>
        <v>-0.29106795312435296</v>
      </c>
      <c r="CF39" s="39">
        <f t="shared" ref="CF39" si="400">+IF(CE36&lt;0,1-CF36/CE36,CF36/CE36-1)</f>
        <v>4.1647196261682229E-2</v>
      </c>
      <c r="CG39" s="39">
        <f t="shared" ref="CG39" si="401">+IF(CF36&lt;0,1-CG36/CF36,CG36/CF36-1)</f>
        <v>0.5990018505018786</v>
      </c>
      <c r="CH39" s="39">
        <f t="shared" ref="CH39:CI39" si="402">+IF(CG36&lt;0,1-CH36/CG36,CH36/CG36-1)</f>
        <v>0.47501315097317165</v>
      </c>
      <c r="CI39" s="39">
        <f t="shared" si="402"/>
        <v>-9.1464574417499112E-2</v>
      </c>
      <c r="CJ39" s="39">
        <f>+IF(CI36&gt;1,CJ36/CI36-1,1-CJ36/CI36)</f>
        <v>5.5295318347159617E-2</v>
      </c>
      <c r="CK39" s="39">
        <f>+IF(CJ36&gt;1,CK36/CJ36-1,1-CK36/CJ36)</f>
        <v>0.19081981847939256</v>
      </c>
      <c r="CL39" s="39">
        <f>+IF(CK36&gt;1,CL36/CK36-1,1-CL36/CK36)</f>
        <v>6.6429270527478046E-2</v>
      </c>
      <c r="CM39" s="40">
        <f t="shared" ref="CM39" si="403">+CM36/CL36-1</f>
        <v>-0.14029621712311091</v>
      </c>
      <c r="CN39" s="40">
        <f t="shared" ref="CN39" si="404">+CN36/CM36-1</f>
        <v>6.4228768858396013E-2</v>
      </c>
      <c r="CO39" s="40">
        <f t="shared" ref="CO39" si="405">+CO36/CN36-1</f>
        <v>8.383497305907861E-2</v>
      </c>
      <c r="CP39" s="40">
        <f t="shared" ref="CP39" si="406">+CP36/CO36-1</f>
        <v>1.758850250926991E-2</v>
      </c>
      <c r="CQ39" s="40">
        <f t="shared" ref="CQ39" si="407">+CQ36/CP36-1</f>
        <v>-9.1421126673801867E-3</v>
      </c>
      <c r="CR39" s="40">
        <f t="shared" ref="CR39" si="408">+CR36/CQ36-1</f>
        <v>5.6399206153773918E-2</v>
      </c>
      <c r="CS39" s="40">
        <f t="shared" ref="CS39" si="409">+CS36/CR36-1</f>
        <v>7.6525927473966693E-2</v>
      </c>
      <c r="CT39" s="40">
        <f t="shared" ref="CT39" si="410">+CT36/CS36-1</f>
        <v>1.7973636248029834E-2</v>
      </c>
      <c r="CU39" s="40">
        <f t="shared" ref="CU39" si="411">+CU36/CT36-1</f>
        <v>-4.2538611983662378E-3</v>
      </c>
      <c r="CV39" s="40">
        <f t="shared" ref="CV39" si="412">+CV36/CU36-1</f>
        <v>5.4083978167146052E-2</v>
      </c>
      <c r="CW39" s="40">
        <f t="shared" ref="CW39" si="413">+CW36/CV36-1</f>
        <v>7.5543601167979535E-2</v>
      </c>
      <c r="CX39" s="40">
        <f t="shared" ref="CX39" si="414">+CX36/CW36-1</f>
        <v>1.8533078312123585E-2</v>
      </c>
      <c r="CY39" s="40">
        <f t="shared" ref="CY39" si="415">+CY36/CX36-1</f>
        <v>-3.6642858224633645E-3</v>
      </c>
      <c r="CZ39" s="40">
        <f t="shared" ref="CZ39" si="416">+CZ36/CY36-1</f>
        <v>5.3567038770597319E-2</v>
      </c>
      <c r="DA39" s="40">
        <f t="shared" ref="DA39" si="417">+DA36/CZ36-1</f>
        <v>7.5473130017270629E-2</v>
      </c>
      <c r="DB39" s="40">
        <f t="shared" ref="DB39" si="418">+DB36/DA36-1</f>
        <v>1.8682197365172737E-2</v>
      </c>
      <c r="DE39" s="122"/>
    </row>
    <row r="40" spans="1:110" s="23" customFormat="1" x14ac:dyDescent="0.2">
      <c r="A40" s="23" t="s">
        <v>15</v>
      </c>
      <c r="B40" s="23">
        <f>'Annual Raw'!C27</f>
        <v>0</v>
      </c>
      <c r="C40" s="23">
        <f>'Annual Raw'!D27</f>
        <v>0</v>
      </c>
      <c r="D40" s="23">
        <f>'Annual Raw'!E27</f>
        <v>0</v>
      </c>
      <c r="E40" s="23">
        <f>'Annual Raw'!F27</f>
        <v>0</v>
      </c>
      <c r="F40" s="23">
        <f>'Annual Raw'!G27</f>
        <v>0</v>
      </c>
      <c r="G40" s="23">
        <f>'Annual Raw'!H27</f>
        <v>0</v>
      </c>
      <c r="H40" s="23">
        <f>'Annual Raw'!I27</f>
        <v>0</v>
      </c>
      <c r="I40" s="23">
        <f>'Annual Raw'!J27</f>
        <v>0</v>
      </c>
      <c r="J40" s="23">
        <f>'Annual Raw'!K27</f>
        <v>0</v>
      </c>
      <c r="K40" s="23">
        <f>'Annual Raw'!L27</f>
        <v>0</v>
      </c>
      <c r="L40" s="23">
        <f>'Annual Raw'!M27</f>
        <v>0</v>
      </c>
      <c r="M40" s="23">
        <f>'Annual Raw'!N27</f>
        <v>18.27</v>
      </c>
      <c r="N40" s="23">
        <f>'Annual Raw'!O27</f>
        <v>22.628</v>
      </c>
      <c r="O40" s="23">
        <f>'Annual Raw'!P27</f>
        <v>32.880000000000003</v>
      </c>
      <c r="P40" s="23">
        <f>'Annual Raw'!Q27</f>
        <v>61.526000000000003</v>
      </c>
      <c r="Q40" s="23">
        <f>'Annual Raw'!R27</f>
        <v>86.409000000000006</v>
      </c>
      <c r="R40" s="23">
        <f>'Annual Raw'!S27</f>
        <v>105.982</v>
      </c>
      <c r="S40" s="23">
        <f>'Annual Raw'!T27</f>
        <v>125.453</v>
      </c>
      <c r="T40" s="23">
        <f>'Annual Raw'!U27</f>
        <v>164.19200000000001</v>
      </c>
      <c r="U40" s="23">
        <f>'Annual Raw'!V27</f>
        <v>187.27</v>
      </c>
      <c r="V40" s="23">
        <f>'Annual Raw'!W27</f>
        <v>205.07</v>
      </c>
      <c r="W40" s="23">
        <f>'Annual Raw'!X27</f>
        <v>251.49</v>
      </c>
      <c r="X40" s="23">
        <f>'Annual Raw'!Y27</f>
        <v>324.08</v>
      </c>
      <c r="Y40" s="23">
        <f>'Annual Raw'!Z27</f>
        <v>384.58</v>
      </c>
      <c r="Z40" s="23">
        <f>'Annual Raw'!AA27</f>
        <v>430.09</v>
      </c>
      <c r="AA40" s="23">
        <f>'Annual Raw'!AB27</f>
        <v>480.05</v>
      </c>
      <c r="AB40" s="76">
        <f>+SUM(CM40:CP40)</f>
        <v>527.9194521872148</v>
      </c>
      <c r="AC40" s="76">
        <f>+SUM(CQ40:CT40)</f>
        <v>562.11846148648033</v>
      </c>
      <c r="AD40" s="76">
        <f>+SUM(CU40:CX40)</f>
        <v>592.01884581437889</v>
      </c>
      <c r="AE40" s="76">
        <f>+SUM(CY40:DB40)</f>
        <v>618.16091838533021</v>
      </c>
      <c r="AI40" s="23">
        <f>'QTR Raw'!C28</f>
        <v>0</v>
      </c>
      <c r="AJ40" s="23">
        <f>'QTR Raw'!D28</f>
        <v>0</v>
      </c>
      <c r="AK40" s="23">
        <f>'QTR Raw'!E28</f>
        <v>0</v>
      </c>
      <c r="AL40" s="23">
        <f>'QTR Raw'!F28</f>
        <v>0</v>
      </c>
      <c r="AM40" s="23">
        <f>'QTR Raw'!G28</f>
        <v>0</v>
      </c>
      <c r="AN40" s="23">
        <f>'QTR Raw'!H28</f>
        <v>0</v>
      </c>
      <c r="AO40" s="23">
        <f>'QTR Raw'!I28</f>
        <v>0</v>
      </c>
      <c r="AP40" s="23">
        <f>'QTR Raw'!J28</f>
        <v>0</v>
      </c>
      <c r="AQ40" s="23">
        <f>'QTR Raw'!K28</f>
        <v>0</v>
      </c>
      <c r="AR40" s="23">
        <f>'QTR Raw'!L28</f>
        <v>0</v>
      </c>
      <c r="AS40" s="23">
        <f>'QTR Raw'!M28</f>
        <v>0</v>
      </c>
      <c r="AT40" s="23">
        <f>'QTR Raw'!N28</f>
        <v>0</v>
      </c>
      <c r="AU40" s="23">
        <f>'QTR Raw'!O28</f>
        <v>0</v>
      </c>
      <c r="AV40" s="23">
        <f>'QTR Raw'!P28</f>
        <v>0</v>
      </c>
      <c r="AW40" s="23">
        <f>'QTR Raw'!Q28</f>
        <v>23.632000000000001</v>
      </c>
      <c r="AX40" s="23">
        <f>'QTR Raw'!R28</f>
        <v>24.785</v>
      </c>
      <c r="AY40" s="23">
        <f>'QTR Raw'!S28</f>
        <v>24.757000000000001</v>
      </c>
      <c r="AZ40" s="23">
        <f>'QTR Raw'!T28</f>
        <v>25.594999999999999</v>
      </c>
      <c r="BA40" s="23">
        <f>'QTR Raw'!U28</f>
        <v>27.436</v>
      </c>
      <c r="BB40" s="23">
        <f>'QTR Raw'!V28</f>
        <v>28.193999999999999</v>
      </c>
      <c r="BC40" s="23">
        <f>'QTR Raw'!W28</f>
        <v>29.785</v>
      </c>
      <c r="BD40" s="23">
        <f>'QTR Raw'!X28</f>
        <v>30.08</v>
      </c>
      <c r="BE40" s="23">
        <f>'QTR Raw'!Y28</f>
        <v>30.975000000000001</v>
      </c>
      <c r="BF40" s="23">
        <f>'QTR Raw'!Z28</f>
        <v>34.613</v>
      </c>
      <c r="BG40" s="23">
        <f>'QTR Raw'!AA28</f>
        <v>38.192999999999998</v>
      </c>
      <c r="BH40" s="23">
        <f>'QTR Raw'!AB28</f>
        <v>39.817999999999998</v>
      </c>
      <c r="BI40" s="23">
        <f>'QTR Raw'!AC28</f>
        <v>42.707999999999998</v>
      </c>
      <c r="BJ40" s="23">
        <f>'QTR Raw'!AD28</f>
        <v>43.472999999999999</v>
      </c>
      <c r="BK40" s="23">
        <f>'QTR Raw'!AE28</f>
        <v>45.84</v>
      </c>
      <c r="BL40" s="23">
        <f>'QTR Raw'!AF28</f>
        <v>47.83</v>
      </c>
      <c r="BM40" s="23">
        <f>'QTR Raw'!AG28</f>
        <v>47.55</v>
      </c>
      <c r="BN40" s="23">
        <f>'QTR Raw'!AH28</f>
        <v>46.05</v>
      </c>
      <c r="BO40" s="23">
        <f>'QTR Raw'!AI28</f>
        <v>48.8</v>
      </c>
      <c r="BP40" s="23">
        <f>'QTR Raw'!AJ28</f>
        <v>51</v>
      </c>
      <c r="BQ40" s="23">
        <f>'QTR Raw'!AK28</f>
        <v>51.64</v>
      </c>
      <c r="BR40" s="23">
        <f>'QTR Raw'!AL28</f>
        <v>53.63</v>
      </c>
      <c r="BS40" s="23">
        <f>'QTR Raw'!AM28</f>
        <v>58.54</v>
      </c>
      <c r="BT40" s="23">
        <f>'QTR Raw'!AN28</f>
        <v>63.19</v>
      </c>
      <c r="BU40" s="23">
        <f>'QTR Raw'!AO28</f>
        <v>64.02</v>
      </c>
      <c r="BV40" s="23">
        <f>'QTR Raw'!AP28</f>
        <v>65.739999999999995</v>
      </c>
      <c r="BW40" s="23">
        <f>'QTR Raw'!AQ28</f>
        <v>70.790000000000006</v>
      </c>
      <c r="BX40" s="23">
        <f>'QTR Raw'!AR28</f>
        <v>81.84</v>
      </c>
      <c r="BY40" s="23">
        <f>'QTR Raw'!AS28</f>
        <v>84.44</v>
      </c>
      <c r="BZ40" s="23">
        <f>'QTR Raw'!AT28</f>
        <v>87.01</v>
      </c>
      <c r="CA40" s="23">
        <f>'QTR Raw'!AU28</f>
        <v>90.55</v>
      </c>
      <c r="CB40" s="23">
        <f>'QTR Raw'!AV28</f>
        <v>93.37</v>
      </c>
      <c r="CC40" s="23">
        <f>'QTR Raw'!AW28</f>
        <v>98.41</v>
      </c>
      <c r="CD40" s="23">
        <f>'QTR Raw'!AX28</f>
        <v>102.25</v>
      </c>
      <c r="CE40" s="23">
        <f>'QTR Raw'!AY28</f>
        <v>106.06</v>
      </c>
      <c r="CF40" s="23">
        <f>'QTR Raw'!AZ28</f>
        <v>107.51</v>
      </c>
      <c r="CG40" s="23">
        <f>'QTR Raw'!BA28</f>
        <v>106.09</v>
      </c>
      <c r="CH40" s="23">
        <f>'QTR Raw'!BB28</f>
        <v>110.43</v>
      </c>
      <c r="CI40" s="23">
        <f>'QTR Raw'!BC28</f>
        <v>116.84</v>
      </c>
      <c r="CJ40" s="23">
        <f>'QTR Raw'!BD28</f>
        <v>120.49</v>
      </c>
      <c r="CK40" s="23">
        <f>'QTR Raw'!BE28</f>
        <v>120.62</v>
      </c>
      <c r="CL40" s="23">
        <f>'QTR Raw'!BF28</f>
        <v>122.1</v>
      </c>
      <c r="CM40" s="24">
        <f t="shared" ref="CM40:DB40" si="419">CM41*CL142</f>
        <v>128.51618271514116</v>
      </c>
      <c r="CN40" s="24">
        <f t="shared" si="419"/>
        <v>130.87684581090224</v>
      </c>
      <c r="CO40" s="24">
        <f t="shared" si="419"/>
        <v>133.1595509790742</v>
      </c>
      <c r="CP40" s="24">
        <f t="shared" si="419"/>
        <v>135.36687268209718</v>
      </c>
      <c r="CQ40" s="24">
        <f t="shared" si="419"/>
        <v>137.50130036402959</v>
      </c>
      <c r="CR40" s="24">
        <f t="shared" si="419"/>
        <v>139.56524125817293</v>
      </c>
      <c r="CS40" s="24">
        <f t="shared" si="419"/>
        <v>141.56102310197878</v>
      </c>
      <c r="CT40" s="24">
        <f t="shared" si="419"/>
        <v>143.49089676229903</v>
      </c>
      <c r="CU40" s="24">
        <f t="shared" si="419"/>
        <v>145.3570387739407</v>
      </c>
      <c r="CV40" s="24">
        <f t="shared" si="419"/>
        <v>147.16155379438834</v>
      </c>
      <c r="CW40" s="24">
        <f t="shared" si="419"/>
        <v>148.90647697746192</v>
      </c>
      <c r="CX40" s="24">
        <f t="shared" si="419"/>
        <v>150.59377626858793</v>
      </c>
      <c r="CY40" s="24">
        <f t="shared" si="419"/>
        <v>152.22535462427211</v>
      </c>
      <c r="CZ40" s="24">
        <f t="shared" si="419"/>
        <v>153.80305215827667</v>
      </c>
      <c r="DA40" s="24">
        <f t="shared" si="419"/>
        <v>155.32864821692272</v>
      </c>
      <c r="DB40" s="24">
        <f t="shared" si="419"/>
        <v>156.8038633858587</v>
      </c>
      <c r="DE40" s="123"/>
      <c r="DF40" s="23">
        <v>480.04999999999995</v>
      </c>
    </row>
    <row r="41" spans="1:110" s="46" customFormat="1" x14ac:dyDescent="0.2">
      <c r="A41" s="46" t="s">
        <v>483</v>
      </c>
      <c r="B41" s="46" t="e">
        <f t="shared" ref="B41:D41" si="420">+B40/B142</f>
        <v>#DIV/0!</v>
      </c>
      <c r="C41" s="46" t="e">
        <f t="shared" si="420"/>
        <v>#DIV/0!</v>
      </c>
      <c r="D41" s="46" t="e">
        <f t="shared" si="420"/>
        <v>#DIV/0!</v>
      </c>
      <c r="E41" s="46" t="e">
        <f t="shared" ref="E41:AE41" si="421">+E40/E142</f>
        <v>#DIV/0!</v>
      </c>
      <c r="F41" s="46" t="e">
        <f t="shared" si="421"/>
        <v>#DIV/0!</v>
      </c>
      <c r="G41" s="46" t="e">
        <f t="shared" si="421"/>
        <v>#DIV/0!</v>
      </c>
      <c r="H41" s="46" t="e">
        <f t="shared" si="421"/>
        <v>#DIV/0!</v>
      </c>
      <c r="I41" s="46" t="e">
        <f t="shared" si="421"/>
        <v>#DIV/0!</v>
      </c>
      <c r="J41" s="46" t="e">
        <f t="shared" si="421"/>
        <v>#DIV/0!</v>
      </c>
      <c r="K41" s="46" t="e">
        <f t="shared" si="421"/>
        <v>#DIV/0!</v>
      </c>
      <c r="L41" s="46" t="e">
        <f t="shared" si="421"/>
        <v>#DIV/0!</v>
      </c>
      <c r="M41" s="46">
        <f t="shared" si="421"/>
        <v>9.7941460276616266E-2</v>
      </c>
      <c r="N41" s="46">
        <f t="shared" si="421"/>
        <v>9.6063306347191499E-2</v>
      </c>
      <c r="O41" s="46">
        <f t="shared" si="421"/>
        <v>6.5900235701572954E-2</v>
      </c>
      <c r="P41" s="46">
        <f t="shared" si="421"/>
        <v>7.6810143143565532E-2</v>
      </c>
      <c r="Q41" s="46">
        <f t="shared" si="421"/>
        <v>8.4629495596100793E-2</v>
      </c>
      <c r="R41" s="46">
        <f t="shared" si="421"/>
        <v>8.6856537802123601E-2</v>
      </c>
      <c r="S41" s="46">
        <f t="shared" si="421"/>
        <v>8.5280913846923573E-2</v>
      </c>
      <c r="T41" s="46">
        <f t="shared" si="421"/>
        <v>0.10139502139773858</v>
      </c>
      <c r="U41" s="46">
        <f t="shared" si="421"/>
        <v>0.10909355703134101</v>
      </c>
      <c r="V41" s="46">
        <f t="shared" si="421"/>
        <v>0.10656751475846014</v>
      </c>
      <c r="W41" s="46">
        <f t="shared" si="421"/>
        <v>0.10451879958606418</v>
      </c>
      <c r="X41" s="46">
        <f t="shared" si="421"/>
        <v>0.10248172227984519</v>
      </c>
      <c r="Y41" s="46">
        <f t="shared" si="421"/>
        <v>0.10554627014773404</v>
      </c>
      <c r="Z41" s="46">
        <f t="shared" si="421"/>
        <v>0.11093600074285774</v>
      </c>
      <c r="AA41" s="46">
        <f t="shared" ref="AA41" si="422">+AA40/AA142</f>
        <v>0.11639438067666584</v>
      </c>
      <c r="AB41" s="110">
        <f t="shared" si="421"/>
        <v>0.12679062248083817</v>
      </c>
      <c r="AC41" s="110">
        <f t="shared" si="421"/>
        <v>0.12770798621542426</v>
      </c>
      <c r="AD41" s="110">
        <f t="shared" si="421"/>
        <v>0.12843246325089974</v>
      </c>
      <c r="AE41" s="110">
        <f t="shared" si="421"/>
        <v>0.12901434416960564</v>
      </c>
      <c r="AI41" s="46" t="e">
        <f t="shared" ref="AI41:BN41" si="423">+AI40/AH142</f>
        <v>#DIV/0!</v>
      </c>
      <c r="AJ41" s="46" t="e">
        <f t="shared" si="423"/>
        <v>#DIV/0!</v>
      </c>
      <c r="AK41" s="46" t="e">
        <f t="shared" si="423"/>
        <v>#DIV/0!</v>
      </c>
      <c r="AL41" s="46" t="e">
        <f t="shared" si="423"/>
        <v>#DIV/0!</v>
      </c>
      <c r="AM41" s="46" t="e">
        <f t="shared" si="423"/>
        <v>#DIV/0!</v>
      </c>
      <c r="AN41" s="46" t="e">
        <f t="shared" si="423"/>
        <v>#DIV/0!</v>
      </c>
      <c r="AO41" s="46" t="e">
        <f t="shared" si="423"/>
        <v>#DIV/0!</v>
      </c>
      <c r="AP41" s="46" t="e">
        <f t="shared" si="423"/>
        <v>#DIV/0!</v>
      </c>
      <c r="AQ41" s="46" t="e">
        <f t="shared" si="423"/>
        <v>#DIV/0!</v>
      </c>
      <c r="AR41" s="46" t="e">
        <f t="shared" si="423"/>
        <v>#DIV/0!</v>
      </c>
      <c r="AS41" s="46" t="e">
        <f t="shared" si="423"/>
        <v>#DIV/0!</v>
      </c>
      <c r="AT41" s="46" t="e">
        <f t="shared" si="423"/>
        <v>#DIV/0!</v>
      </c>
      <c r="AU41" s="46" t="e">
        <f t="shared" si="423"/>
        <v>#DIV/0!</v>
      </c>
      <c r="AV41" s="46" t="e">
        <f t="shared" si="423"/>
        <v>#DIV/0!</v>
      </c>
      <c r="AW41" s="46" t="e">
        <f t="shared" si="423"/>
        <v>#DIV/0!</v>
      </c>
      <c r="AX41" s="46" t="e">
        <f t="shared" si="423"/>
        <v>#DIV/0!</v>
      </c>
      <c r="AY41" s="46">
        <f t="shared" si="423"/>
        <v>2.4247155070336045E-2</v>
      </c>
      <c r="AZ41" s="46">
        <f t="shared" si="423"/>
        <v>2.5067897322989498E-2</v>
      </c>
      <c r="BA41" s="46" t="e">
        <f t="shared" si="423"/>
        <v>#DIV/0!</v>
      </c>
      <c r="BB41" s="46" t="e">
        <f t="shared" si="423"/>
        <v>#DIV/0!</v>
      </c>
      <c r="BC41" s="46">
        <f t="shared" si="423"/>
        <v>2.441001281761291E-2</v>
      </c>
      <c r="BD41" s="46">
        <f t="shared" si="423"/>
        <v>2.4651777255457322E-2</v>
      </c>
      <c r="BE41" s="46">
        <f t="shared" si="423"/>
        <v>2.6345984225581164E-2</v>
      </c>
      <c r="BF41" s="46">
        <f t="shared" si="423"/>
        <v>2.9440308377725287E-2</v>
      </c>
      <c r="BG41" s="46">
        <f t="shared" si="423"/>
        <v>2.5962981694782523E-2</v>
      </c>
      <c r="BH41" s="46">
        <f t="shared" si="423"/>
        <v>2.7067630328145222E-2</v>
      </c>
      <c r="BI41" s="46">
        <f t="shared" si="423"/>
        <v>2.6921076767428446E-2</v>
      </c>
      <c r="BJ41" s="46">
        <f t="shared" si="423"/>
        <v>2.7403296111042821E-2</v>
      </c>
      <c r="BK41" s="46">
        <f t="shared" si="423"/>
        <v>2.8308003927550285E-2</v>
      </c>
      <c r="BL41" s="46">
        <f t="shared" si="423"/>
        <v>2.9536907239413834E-2</v>
      </c>
      <c r="BM41" s="46">
        <f t="shared" si="423"/>
        <v>2.9387897377833181E-2</v>
      </c>
      <c r="BN41" s="46">
        <f t="shared" si="423"/>
        <v>2.8460834369068728E-2</v>
      </c>
      <c r="BO41" s="46">
        <f t="shared" ref="BO41:CL41" si="424">+BO40/BN142</f>
        <v>2.9156783433211247E-2</v>
      </c>
      <c r="BP41" s="46">
        <f t="shared" si="424"/>
        <v>3.0471228587987165E-2</v>
      </c>
      <c r="BQ41" s="46">
        <f t="shared" si="424"/>
        <v>3.0780785255741593E-2</v>
      </c>
      <c r="BR41" s="46">
        <f t="shared" si="424"/>
        <v>3.1966954168579038E-2</v>
      </c>
      <c r="BS41" s="46">
        <f t="shared" si="424"/>
        <v>3.1318881208671275E-2</v>
      </c>
      <c r="BT41" s="46">
        <f t="shared" si="424"/>
        <v>3.380662971602217E-2</v>
      </c>
      <c r="BU41" s="46">
        <f t="shared" si="424"/>
        <v>3.076878712728531E-2</v>
      </c>
      <c r="BV41" s="46">
        <f t="shared" si="424"/>
        <v>3.1595439952323279E-2</v>
      </c>
      <c r="BW41" s="46">
        <f t="shared" si="424"/>
        <v>3.1210870677036491E-2</v>
      </c>
      <c r="BX41" s="46">
        <f t="shared" si="424"/>
        <v>3.6082746944606107E-2</v>
      </c>
      <c r="BY41" s="46">
        <f t="shared" si="424"/>
        <v>2.9645649525508109E-2</v>
      </c>
      <c r="BZ41" s="46">
        <f t="shared" si="424"/>
        <v>3.054793895327405E-2</v>
      </c>
      <c r="CA41" s="46">
        <f t="shared" si="424"/>
        <v>2.9895440243785678E-2</v>
      </c>
      <c r="CB41" s="46">
        <f t="shared" si="424"/>
        <v>3.0826474385005732E-2</v>
      </c>
      <c r="CC41" s="46">
        <f t="shared" si="424"/>
        <v>2.9572267397484205E-2</v>
      </c>
      <c r="CD41" s="46">
        <f t="shared" si="424"/>
        <v>3.0726189832260543E-2</v>
      </c>
      <c r="CE41" s="46">
        <f t="shared" si="424"/>
        <v>3.0605501833848428E-2</v>
      </c>
      <c r="CF41" s="46">
        <f t="shared" si="424"/>
        <v>3.1023925157053031E-2</v>
      </c>
      <c r="CG41" s="46">
        <f t="shared" si="424"/>
        <v>3.1036712197319651E-2</v>
      </c>
      <c r="CH41" s="46">
        <f t="shared" si="424"/>
        <v>3.2306382580356389E-2</v>
      </c>
      <c r="CI41" s="46">
        <f t="shared" si="424"/>
        <v>3.0137325505813897E-2</v>
      </c>
      <c r="CJ41" s="46">
        <f t="shared" si="424"/>
        <v>3.2044530967426231E-2</v>
      </c>
      <c r="CK41" s="46">
        <f t="shared" si="424"/>
        <v>3.1592787771480058E-2</v>
      </c>
      <c r="CL41" s="46">
        <f t="shared" si="424"/>
        <v>3.3023741392460525E-2</v>
      </c>
      <c r="CM41" s="47">
        <f t="shared" ref="CM41" si="425">CL41</f>
        <v>3.3023741392460525E-2</v>
      </c>
      <c r="CN41" s="47">
        <f t="shared" ref="CN41" si="426">CM41</f>
        <v>3.3023741392460525E-2</v>
      </c>
      <c r="CO41" s="47">
        <f t="shared" ref="CO41" si="427">CN41</f>
        <v>3.3023741392460525E-2</v>
      </c>
      <c r="CP41" s="47">
        <f t="shared" ref="CP41" si="428">CO41</f>
        <v>3.3023741392460525E-2</v>
      </c>
      <c r="CQ41" s="47">
        <f t="shared" ref="CQ41" si="429">CP41</f>
        <v>3.3023741392460525E-2</v>
      </c>
      <c r="CR41" s="47">
        <f t="shared" ref="CR41" si="430">CQ41</f>
        <v>3.3023741392460525E-2</v>
      </c>
      <c r="CS41" s="47">
        <f t="shared" ref="CS41" si="431">CR41</f>
        <v>3.3023741392460525E-2</v>
      </c>
      <c r="CT41" s="47">
        <f t="shared" ref="CT41" si="432">CS41</f>
        <v>3.3023741392460525E-2</v>
      </c>
      <c r="CU41" s="47">
        <f t="shared" ref="CU41" si="433">CT41</f>
        <v>3.3023741392460525E-2</v>
      </c>
      <c r="CV41" s="47">
        <f t="shared" ref="CV41" si="434">CU41</f>
        <v>3.3023741392460525E-2</v>
      </c>
      <c r="CW41" s="47">
        <f t="shared" ref="CW41" si="435">CV41</f>
        <v>3.3023741392460525E-2</v>
      </c>
      <c r="CX41" s="47">
        <f t="shared" ref="CX41" si="436">CW41</f>
        <v>3.3023741392460525E-2</v>
      </c>
      <c r="CY41" s="47">
        <f t="shared" ref="CY41" si="437">CX41</f>
        <v>3.3023741392460525E-2</v>
      </c>
      <c r="CZ41" s="47">
        <f t="shared" ref="CZ41" si="438">CY41</f>
        <v>3.3023741392460525E-2</v>
      </c>
      <c r="DA41" s="47">
        <f t="shared" ref="DA41" si="439">CZ41</f>
        <v>3.3023741392460525E-2</v>
      </c>
      <c r="DB41" s="47">
        <f t="shared" ref="DB41" si="440">DA41</f>
        <v>3.3023741392460525E-2</v>
      </c>
      <c r="DE41" s="130"/>
      <c r="DF41" s="46">
        <v>0.12335448128419195</v>
      </c>
    </row>
    <row r="42" spans="1:110" s="26" customFormat="1" x14ac:dyDescent="0.2">
      <c r="A42" s="34" t="s">
        <v>16</v>
      </c>
      <c r="B42" s="26">
        <f>B36-B40</f>
        <v>0</v>
      </c>
      <c r="C42" s="26">
        <f t="shared" ref="C42:T42" si="441">C36-C40</f>
        <v>0</v>
      </c>
      <c r="D42" s="26">
        <f>D36-D40</f>
        <v>0</v>
      </c>
      <c r="E42" s="26">
        <f t="shared" si="441"/>
        <v>0</v>
      </c>
      <c r="F42" s="26">
        <f t="shared" si="441"/>
        <v>0</v>
      </c>
      <c r="G42" s="26">
        <f t="shared" si="441"/>
        <v>0</v>
      </c>
      <c r="H42" s="26">
        <f t="shared" si="441"/>
        <v>0</v>
      </c>
      <c r="I42" s="26">
        <f t="shared" si="441"/>
        <v>0</v>
      </c>
      <c r="J42" s="26">
        <f t="shared" si="441"/>
        <v>0</v>
      </c>
      <c r="K42" s="26">
        <f t="shared" si="441"/>
        <v>0</v>
      </c>
      <c r="L42" s="26">
        <f t="shared" si="441"/>
        <v>0</v>
      </c>
      <c r="M42" s="26">
        <f t="shared" si="441"/>
        <v>53.090000000000046</v>
      </c>
      <c r="N42" s="26">
        <f t="shared" si="441"/>
        <v>120.16500000000001</v>
      </c>
      <c r="O42" s="26">
        <f t="shared" si="441"/>
        <v>170.74999999999977</v>
      </c>
      <c r="P42" s="26">
        <f t="shared" si="441"/>
        <v>133.60699999999986</v>
      </c>
      <c r="Q42" s="26">
        <f t="shared" si="441"/>
        <v>275.7890000000001</v>
      </c>
      <c r="R42" s="26">
        <f t="shared" si="441"/>
        <v>301.65300000000013</v>
      </c>
      <c r="S42" s="26">
        <f t="shared" si="441"/>
        <v>287.86700000000019</v>
      </c>
      <c r="T42" s="26">
        <f t="shared" si="441"/>
        <v>191.79000000000019</v>
      </c>
      <c r="U42" s="26">
        <f t="shared" ref="U42:Z42" si="442">U36-U40</f>
        <v>377.28</v>
      </c>
      <c r="V42" s="26">
        <f t="shared" si="442"/>
        <v>1345.6100000000004</v>
      </c>
      <c r="W42" s="26">
        <f t="shared" si="442"/>
        <v>1170.9399999999998</v>
      </c>
      <c r="X42" s="26">
        <f t="shared" si="442"/>
        <v>1268.1100000000004</v>
      </c>
      <c r="Y42" s="26">
        <f t="shared" si="442"/>
        <v>392.92000000000024</v>
      </c>
      <c r="Z42" s="26">
        <f t="shared" si="442"/>
        <v>625.19000000000028</v>
      </c>
      <c r="AA42" s="26">
        <f t="shared" ref="AA42" si="443">AA36-AA40</f>
        <v>1297.6599999999992</v>
      </c>
      <c r="AB42" s="27">
        <f t="shared" ref="AB42:AD42" si="444">AB36-AB40</f>
        <v>1405.456752084149</v>
      </c>
      <c r="AC42" s="27">
        <f t="shared" si="444"/>
        <v>1665.8806729452538</v>
      </c>
      <c r="AD42" s="27">
        <f t="shared" si="444"/>
        <v>1971.1282708250906</v>
      </c>
      <c r="AE42" s="27">
        <f t="shared" ref="AE42" si="445">AE36-AE40</f>
        <v>2329.6223138540258</v>
      </c>
      <c r="AI42" s="26">
        <f t="shared" ref="AI42" si="446">AI36-AI40</f>
        <v>0</v>
      </c>
      <c r="AJ42" s="26">
        <f t="shared" ref="AJ42" si="447">AJ36-AJ40</f>
        <v>0</v>
      </c>
      <c r="AK42" s="26">
        <f t="shared" ref="AK42:AM42" si="448">AK36-AK40</f>
        <v>0</v>
      </c>
      <c r="AL42" s="26">
        <f t="shared" si="448"/>
        <v>0</v>
      </c>
      <c r="AM42" s="26">
        <f t="shared" si="448"/>
        <v>0</v>
      </c>
      <c r="AN42" s="26">
        <f t="shared" ref="AN42:AO42" si="449">AN36-AN40</f>
        <v>0</v>
      </c>
      <c r="AO42" s="26">
        <f t="shared" si="449"/>
        <v>0</v>
      </c>
      <c r="AP42" s="26">
        <f t="shared" ref="AP42:CD42" si="450">AP36-AP40</f>
        <v>0</v>
      </c>
      <c r="AQ42" s="26">
        <f t="shared" si="450"/>
        <v>0</v>
      </c>
      <c r="AR42" s="26">
        <f t="shared" si="450"/>
        <v>0</v>
      </c>
      <c r="AS42" s="26">
        <f t="shared" si="450"/>
        <v>0</v>
      </c>
      <c r="AT42" s="26">
        <f t="shared" si="450"/>
        <v>0</v>
      </c>
      <c r="AU42" s="26">
        <f t="shared" si="450"/>
        <v>0</v>
      </c>
      <c r="AV42" s="26">
        <f t="shared" si="450"/>
        <v>0</v>
      </c>
      <c r="AW42" s="26">
        <f t="shared" si="450"/>
        <v>76.569000000000031</v>
      </c>
      <c r="AX42" s="26">
        <f t="shared" si="450"/>
        <v>95.726000000000028</v>
      </c>
      <c r="AY42" s="26">
        <f t="shared" si="450"/>
        <v>60.237000000000009</v>
      </c>
      <c r="AZ42" s="26">
        <f t="shared" si="450"/>
        <v>82.637000000000029</v>
      </c>
      <c r="BA42" s="26">
        <f t="shared" si="450"/>
        <v>71.906000000000034</v>
      </c>
      <c r="BB42" s="26">
        <f t="shared" si="450"/>
        <v>86.872999999999976</v>
      </c>
      <c r="BC42" s="26">
        <f t="shared" si="450"/>
        <v>66.727999999999923</v>
      </c>
      <c r="BD42" s="26">
        <f t="shared" si="450"/>
        <v>82.495000000000019</v>
      </c>
      <c r="BE42" s="26">
        <f t="shared" si="450"/>
        <v>56.372999999999983</v>
      </c>
      <c r="BF42" s="26">
        <f t="shared" si="450"/>
        <v>82.271000000000015</v>
      </c>
      <c r="BG42" s="26">
        <f t="shared" si="450"/>
        <v>42.360000000000028</v>
      </c>
      <c r="BH42" s="26">
        <f t="shared" si="450"/>
        <v>35.907999999999944</v>
      </c>
      <c r="BI42" s="26">
        <f t="shared" si="450"/>
        <v>45.006999999999948</v>
      </c>
      <c r="BJ42" s="26">
        <f t="shared" si="450"/>
        <v>68.515000000000001</v>
      </c>
      <c r="BK42" s="26">
        <f t="shared" si="450"/>
        <v>37.420000000000101</v>
      </c>
      <c r="BL42" s="26">
        <f t="shared" si="450"/>
        <v>89.979999999999947</v>
      </c>
      <c r="BM42" s="26">
        <f t="shared" si="450"/>
        <v>100.6200000000001</v>
      </c>
      <c r="BN42" s="26">
        <f t="shared" si="450"/>
        <v>145.71999999999991</v>
      </c>
      <c r="BO42" s="26">
        <f t="shared" si="450"/>
        <v>229.51999999999998</v>
      </c>
      <c r="BP42" s="26">
        <f t="shared" si="450"/>
        <v>322.86999999999995</v>
      </c>
      <c r="BQ42" s="26">
        <f t="shared" si="450"/>
        <v>374.66</v>
      </c>
      <c r="BR42" s="26">
        <f t="shared" si="450"/>
        <v>418.56000000000006</v>
      </c>
      <c r="BS42" s="26">
        <f t="shared" si="450"/>
        <v>336.81000000000006</v>
      </c>
      <c r="BT42" s="26">
        <f t="shared" si="450"/>
        <v>281.89000000000004</v>
      </c>
      <c r="BU42" s="26">
        <f t="shared" si="450"/>
        <v>221.26999999999992</v>
      </c>
      <c r="BV42" s="26">
        <f t="shared" si="450"/>
        <v>330.9699999999998</v>
      </c>
      <c r="BW42" s="26">
        <f t="shared" si="450"/>
        <v>383.37999999999994</v>
      </c>
      <c r="BX42" s="26">
        <f t="shared" si="450"/>
        <v>367.07000000000016</v>
      </c>
      <c r="BY42" s="26">
        <f t="shared" si="450"/>
        <v>319.13000000000005</v>
      </c>
      <c r="BZ42" s="26">
        <f t="shared" si="450"/>
        <v>198.53000000000009</v>
      </c>
      <c r="CA42" s="26">
        <f t="shared" si="450"/>
        <v>76.16999999999986</v>
      </c>
      <c r="CB42" s="26">
        <f t="shared" si="450"/>
        <v>94.500000000000227</v>
      </c>
      <c r="CC42" s="26">
        <f t="shared" si="450"/>
        <v>83.010000000000076</v>
      </c>
      <c r="CD42" s="26">
        <f t="shared" si="450"/>
        <v>139.24000000000007</v>
      </c>
      <c r="CE42" s="26">
        <f t="shared" ref="CE42:CF42" si="451">CE36-CE40</f>
        <v>65.140000000000043</v>
      </c>
      <c r="CF42" s="26">
        <f t="shared" si="451"/>
        <v>70.820000000000036</v>
      </c>
      <c r="CG42" s="26">
        <f t="shared" ref="CG42:CH42" si="452">CG36-CG40</f>
        <v>179.06000000000009</v>
      </c>
      <c r="CH42" s="26">
        <f t="shared" si="452"/>
        <v>310.17</v>
      </c>
      <c r="CI42" s="26">
        <f t="shared" ref="CI42:CJ42" si="453">CI36-CI40</f>
        <v>265.28999999999985</v>
      </c>
      <c r="CJ42" s="26">
        <f t="shared" si="453"/>
        <v>282.77</v>
      </c>
      <c r="CK42" s="26">
        <f t="shared" ref="CK42:CL42" si="454">CK36-CK40</f>
        <v>359.5899999999998</v>
      </c>
      <c r="CL42" s="26">
        <f t="shared" si="454"/>
        <v>390.01</v>
      </c>
      <c r="CM42" s="27">
        <f t="shared" ref="CM42:DB42" si="455">CM36-CM40</f>
        <v>311.74672153394255</v>
      </c>
      <c r="CN42" s="27">
        <f t="shared" si="455"/>
        <v>337.66360275212202</v>
      </c>
      <c r="CO42" s="27">
        <f t="shared" si="455"/>
        <v>374.66097346631977</v>
      </c>
      <c r="CP42" s="27">
        <f t="shared" si="455"/>
        <v>381.3854543317633</v>
      </c>
      <c r="CQ42" s="27">
        <f t="shared" si="455"/>
        <v>374.52681865513932</v>
      </c>
      <c r="CR42" s="27">
        <f t="shared" si="455"/>
        <v>401.34085720208714</v>
      </c>
      <c r="CS42" s="27">
        <f t="shared" si="455"/>
        <v>440.73841621927738</v>
      </c>
      <c r="CT42" s="27">
        <f t="shared" si="455"/>
        <v>449.27458086874913</v>
      </c>
      <c r="CU42" s="27">
        <f t="shared" si="455"/>
        <v>444.8868967920817</v>
      </c>
      <c r="CV42" s="27">
        <f t="shared" si="455"/>
        <v>475.00512189607713</v>
      </c>
      <c r="CW42" s="27">
        <f t="shared" si="455"/>
        <v>520.26090992137176</v>
      </c>
      <c r="CX42" s="27">
        <f t="shared" si="455"/>
        <v>530.975342215561</v>
      </c>
      <c r="CY42" s="27">
        <f t="shared" si="455"/>
        <v>526.84629980198656</v>
      </c>
      <c r="CZ42" s="27">
        <f t="shared" si="455"/>
        <v>561.64445990864715</v>
      </c>
      <c r="DA42" s="27">
        <f t="shared" si="455"/>
        <v>614.11592694876083</v>
      </c>
      <c r="DB42" s="27">
        <f t="shared" si="455"/>
        <v>627.01562719463163</v>
      </c>
      <c r="DE42" s="121"/>
      <c r="DF42" s="26">
        <v>1297.6599999999987</v>
      </c>
    </row>
    <row r="43" spans="1:110" s="23" customFormat="1" x14ac:dyDescent="0.2">
      <c r="A43" s="23" t="s">
        <v>17</v>
      </c>
      <c r="B43" s="23">
        <f>'Annual Raw'!C23</f>
        <v>0</v>
      </c>
      <c r="C43" s="23">
        <f>'Annual Raw'!D23</f>
        <v>0</v>
      </c>
      <c r="D43" s="23">
        <f>'Annual Raw'!E23</f>
        <v>0</v>
      </c>
      <c r="E43" s="23">
        <f>'Annual Raw'!F23</f>
        <v>0</v>
      </c>
      <c r="F43" s="23">
        <f>'Annual Raw'!G23</f>
        <v>0</v>
      </c>
      <c r="G43" s="23">
        <f>'Annual Raw'!H23</f>
        <v>0</v>
      </c>
      <c r="H43" s="23">
        <f>'Annual Raw'!I23</f>
        <v>0</v>
      </c>
      <c r="I43" s="23">
        <f>'Annual Raw'!J23</f>
        <v>0</v>
      </c>
      <c r="J43" s="23">
        <f>'Annual Raw'!K23</f>
        <v>0</v>
      </c>
      <c r="K43" s="23">
        <f>'Annual Raw'!L23</f>
        <v>0</v>
      </c>
      <c r="L43" s="23">
        <f>'Annual Raw'!M23</f>
        <v>0</v>
      </c>
      <c r="M43" s="23">
        <f>'Annual Raw'!N23</f>
        <v>1.589</v>
      </c>
      <c r="N43" s="23">
        <f>'Annual Raw'!O23</f>
        <v>5.056</v>
      </c>
      <c r="O43" s="23">
        <f>'Annual Raw'!P23</f>
        <v>8.8170000000000002</v>
      </c>
      <c r="P43" s="23">
        <f>'Annual Raw'!Q23</f>
        <v>34.070999999999998</v>
      </c>
      <c r="Q43" s="23">
        <f>'Annual Raw'!R23</f>
        <v>4.3600000000000003</v>
      </c>
      <c r="R43" s="23">
        <f>'Annual Raw'!S23</f>
        <v>33.438000000000002</v>
      </c>
      <c r="S43" s="23">
        <f>'Annual Raw'!T23</f>
        <v>29.193000000000001</v>
      </c>
      <c r="T43" s="23">
        <f>'Annual Raw'!U23</f>
        <v>16.152000000000001</v>
      </c>
      <c r="U43" s="23">
        <f>'Annual Raw'!V23</f>
        <v>5.92</v>
      </c>
      <c r="V43" s="23">
        <f>'Annual Raw'!W23</f>
        <v>23.66</v>
      </c>
      <c r="W43" s="23">
        <f>'Annual Raw'!X23</f>
        <v>15.3</v>
      </c>
      <c r="X43" s="23">
        <f>'Annual Raw'!Y23</f>
        <v>6</v>
      </c>
      <c r="Y43" s="23">
        <f>'Annual Raw'!Z23</f>
        <v>26.34</v>
      </c>
      <c r="Z43" s="23">
        <f>'Annual Raw'!AA23</f>
        <v>75.099999999999994</v>
      </c>
      <c r="AA43" s="23">
        <f>'Annual Raw'!AB23</f>
        <v>54.95</v>
      </c>
      <c r="AB43" s="76">
        <f t="shared" ref="AB43:AB44" si="456">+SUM(CM43:CP43)</f>
        <v>0</v>
      </c>
      <c r="AC43" s="76">
        <f t="shared" ref="AC43:AC44" si="457">+SUM(CQ43:CT43)</f>
        <v>0</v>
      </c>
      <c r="AD43" s="76">
        <f t="shared" ref="AD43:AD44" si="458">+SUM(CU43:CX43)</f>
        <v>0</v>
      </c>
      <c r="AE43" s="76">
        <f t="shared" ref="AE43:AE44" si="459">+SUM(CY43:DB43)</f>
        <v>0</v>
      </c>
      <c r="AI43" s="23">
        <f>'QTR Raw'!C23</f>
        <v>0</v>
      </c>
      <c r="AJ43" s="23">
        <f>'QTR Raw'!D23</f>
        <v>0</v>
      </c>
      <c r="AK43" s="23">
        <f>'QTR Raw'!E23</f>
        <v>0</v>
      </c>
      <c r="AL43" s="23">
        <f>'QTR Raw'!F23</f>
        <v>0</v>
      </c>
      <c r="AM43" s="23">
        <f>'QTR Raw'!G23</f>
        <v>0</v>
      </c>
      <c r="AN43" s="23">
        <f>'QTR Raw'!H23</f>
        <v>0</v>
      </c>
      <c r="AO43" s="23">
        <f>'QTR Raw'!I23</f>
        <v>0</v>
      </c>
      <c r="AP43" s="23">
        <f>'QTR Raw'!J23</f>
        <v>0</v>
      </c>
      <c r="AQ43" s="23">
        <f>'QTR Raw'!K23</f>
        <v>0</v>
      </c>
      <c r="AR43" s="23">
        <f>'QTR Raw'!L23</f>
        <v>0</v>
      </c>
      <c r="AS43" s="23">
        <f>'QTR Raw'!M23</f>
        <v>0</v>
      </c>
      <c r="AT43" s="23">
        <f>'QTR Raw'!N23</f>
        <v>0</v>
      </c>
      <c r="AU43" s="23">
        <f>'QTR Raw'!O23</f>
        <v>0</v>
      </c>
      <c r="AV43" s="23">
        <f>'QTR Raw'!P23</f>
        <v>0</v>
      </c>
      <c r="AW43" s="23">
        <f>'QTR Raw'!Q23</f>
        <v>1.72</v>
      </c>
      <c r="AX43" s="23">
        <f>'QTR Raw'!R23</f>
        <v>1.3680000000000001</v>
      </c>
      <c r="AY43" s="23">
        <f>'QTR Raw'!S23</f>
        <v>2.3149999999999999</v>
      </c>
      <c r="AZ43" s="23">
        <f>'QTR Raw'!T23</f>
        <v>7.9560000000000004</v>
      </c>
      <c r="BA43" s="23">
        <f>'QTR Raw'!U23</f>
        <v>12.965999999999999</v>
      </c>
      <c r="BB43" s="23">
        <f>'QTR Raw'!V23</f>
        <v>10.201000000000001</v>
      </c>
      <c r="BC43" s="23">
        <f>'QTR Raw'!W23</f>
        <v>7.5419999999999998</v>
      </c>
      <c r="BD43" s="23">
        <f>'QTR Raw'!X23</f>
        <v>6.6260000000000003</v>
      </c>
      <c r="BE43" s="23">
        <f>'QTR Raw'!Y23</f>
        <v>9.9440000000000008</v>
      </c>
      <c r="BF43" s="23">
        <f>'QTR Raw'!Z23</f>
        <v>5.0810000000000004</v>
      </c>
      <c r="BG43" s="23">
        <f>'QTR Raw'!AA23</f>
        <v>2.5870000000000002</v>
      </c>
      <c r="BH43" s="23">
        <f>'QTR Raw'!AB23</f>
        <v>10.528</v>
      </c>
      <c r="BI43" s="23">
        <f>'QTR Raw'!AC23</f>
        <v>1.415</v>
      </c>
      <c r="BJ43" s="23">
        <f>'QTR Raw'!AD23</f>
        <v>1.6220000000000001</v>
      </c>
      <c r="BK43" s="23">
        <f>'QTR Raw'!AE23</f>
        <v>4.5</v>
      </c>
      <c r="BL43" s="23">
        <f>'QTR Raw'!AF23</f>
        <v>1.36</v>
      </c>
      <c r="BM43" s="23">
        <f>'QTR Raw'!AG23</f>
        <v>1.92</v>
      </c>
      <c r="BN43" s="23">
        <f>'QTR Raw'!AH23</f>
        <v>1.68</v>
      </c>
      <c r="BO43" s="23">
        <f>'QTR Raw'!AI23</f>
        <v>7.09</v>
      </c>
      <c r="BP43" s="23">
        <f>'QTR Raw'!AJ23</f>
        <v>5.12</v>
      </c>
      <c r="BQ43" s="23">
        <f>'QTR Raw'!AK23</f>
        <v>6.93</v>
      </c>
      <c r="BR43" s="23">
        <f>'QTR Raw'!AL23</f>
        <v>4.5199999999999996</v>
      </c>
      <c r="BS43" s="23">
        <f>'QTR Raw'!AM23</f>
        <v>5.85</v>
      </c>
      <c r="BT43" s="23">
        <f>'QTR Raw'!AN23</f>
        <v>2.83</v>
      </c>
      <c r="BU43" s="23">
        <f>'QTR Raw'!AO23</f>
        <v>5.33</v>
      </c>
      <c r="BV43" s="23">
        <f>'QTR Raw'!AP23</f>
        <v>1.29</v>
      </c>
      <c r="BW43" s="23">
        <f>'QTR Raw'!AQ23</f>
        <v>1.75</v>
      </c>
      <c r="BX43" s="23">
        <f>'QTR Raw'!AR23</f>
        <v>1.1100000000000001</v>
      </c>
      <c r="BY43" s="23">
        <f>'QTR Raw'!AS23</f>
        <v>1.43</v>
      </c>
      <c r="BZ43" s="23">
        <f>'QTR Raw'!AT23</f>
        <v>1.71</v>
      </c>
      <c r="CA43" s="23">
        <f>'QTR Raw'!AU23</f>
        <v>3.6</v>
      </c>
      <c r="CB43" s="23">
        <f>'QTR Raw'!AV23</f>
        <v>1.78</v>
      </c>
      <c r="CC43" s="23">
        <f>'QTR Raw'!AW23</f>
        <v>2.4300000000000002</v>
      </c>
      <c r="CD43" s="23">
        <f>'QTR Raw'!AX23</f>
        <v>18.53</v>
      </c>
      <c r="CE43" s="23">
        <f>'QTR Raw'!AY23</f>
        <v>2.5099999999999998</v>
      </c>
      <c r="CF43" s="23">
        <f>'QTR Raw'!AZ23</f>
        <v>4.5999999999999996</v>
      </c>
      <c r="CG43" s="23">
        <f>'QTR Raw'!BA23</f>
        <v>9.42</v>
      </c>
      <c r="CH43" s="23">
        <f>'QTR Raw'!BB23</f>
        <v>58.57</v>
      </c>
      <c r="CI43" s="23">
        <f>'QTR Raw'!BC23</f>
        <v>10.43</v>
      </c>
      <c r="CJ43" s="23">
        <f>'QTR Raw'!BD23</f>
        <v>26.96</v>
      </c>
      <c r="CK43" s="23">
        <f>'QTR Raw'!BE23</f>
        <v>5.76</v>
      </c>
      <c r="CL43" s="23">
        <f>'QTR Raw'!BF23</f>
        <v>11.8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54.95</v>
      </c>
    </row>
    <row r="44" spans="1:110" s="23" customFormat="1" x14ac:dyDescent="0.2">
      <c r="A44" s="23" t="s">
        <v>18</v>
      </c>
      <c r="B44" s="23">
        <f>'Annual Raw'!C25</f>
        <v>0</v>
      </c>
      <c r="C44" s="23">
        <f>'Annual Raw'!D25</f>
        <v>0</v>
      </c>
      <c r="D44" s="23">
        <f>'Annual Raw'!E25</f>
        <v>0</v>
      </c>
      <c r="E44" s="23">
        <f>'Annual Raw'!F25</f>
        <v>0</v>
      </c>
      <c r="F44" s="23">
        <f>'Annual Raw'!G25</f>
        <v>0</v>
      </c>
      <c r="G44" s="23">
        <f>'Annual Raw'!H25</f>
        <v>0</v>
      </c>
      <c r="H44" s="23">
        <f>'Annual Raw'!I25</f>
        <v>0</v>
      </c>
      <c r="I44" s="23">
        <f>'Annual Raw'!J25</f>
        <v>0</v>
      </c>
      <c r="J44" s="23">
        <f>'Annual Raw'!K25</f>
        <v>0</v>
      </c>
      <c r="K44" s="23">
        <f>'Annual Raw'!L25</f>
        <v>0</v>
      </c>
      <c r="L44" s="23">
        <f>'Annual Raw'!M25</f>
        <v>0</v>
      </c>
      <c r="M44" s="23">
        <f>'Annual Raw'!N25</f>
        <v>33.101999999999997</v>
      </c>
      <c r="N44" s="23">
        <f>'Annual Raw'!O25</f>
        <v>39.122</v>
      </c>
      <c r="O44" s="23">
        <f>'Annual Raw'!P25</f>
        <v>58.712000000000003</v>
      </c>
      <c r="P44" s="23">
        <f>'Annual Raw'!Q25</f>
        <v>101.10899999999999</v>
      </c>
      <c r="Q44" s="23">
        <f>'Annual Raw'!R25</f>
        <v>111.10899999999999</v>
      </c>
      <c r="R44" s="23">
        <f>'Annual Raw'!S25</f>
        <v>99.896000000000001</v>
      </c>
      <c r="S44" s="23">
        <f>'Annual Raw'!T25</f>
        <v>79.644000000000005</v>
      </c>
      <c r="T44" s="23">
        <f>'Annual Raw'!U25</f>
        <v>88.19</v>
      </c>
      <c r="U44" s="23">
        <f>'Annual Raw'!V25</f>
        <v>89.59</v>
      </c>
      <c r="V44" s="23">
        <f>'Annual Raw'!W25</f>
        <v>68.16</v>
      </c>
      <c r="W44" s="23">
        <f>'Annual Raw'!X25</f>
        <v>102.39</v>
      </c>
      <c r="X44" s="23">
        <f>'Annual Raw'!Y25</f>
        <v>165.17</v>
      </c>
      <c r="Y44" s="23">
        <f>'Annual Raw'!Z25</f>
        <v>182.9</v>
      </c>
      <c r="Z44" s="23">
        <f>'Annual Raw'!AA25</f>
        <v>216</v>
      </c>
      <c r="AA44" s="23">
        <f>'Annual Raw'!AB25</f>
        <v>170.73</v>
      </c>
      <c r="AB44" s="76">
        <f t="shared" si="456"/>
        <v>162.98975933310618</v>
      </c>
      <c r="AC44" s="76">
        <f t="shared" si="457"/>
        <v>199.65670329473303</v>
      </c>
      <c r="AD44" s="76">
        <f t="shared" si="458"/>
        <v>231.8396436470035</v>
      </c>
      <c r="AE44" s="76">
        <f t="shared" si="459"/>
        <v>-100.75410643515909</v>
      </c>
      <c r="AI44" s="23">
        <f>'QTR Raw'!C25</f>
        <v>0</v>
      </c>
      <c r="AJ44" s="23">
        <f>'QTR Raw'!D25</f>
        <v>0</v>
      </c>
      <c r="AK44" s="23">
        <f>'QTR Raw'!E25</f>
        <v>0</v>
      </c>
      <c r="AL44" s="23">
        <f>'QTR Raw'!F25</f>
        <v>0</v>
      </c>
      <c r="AM44" s="23">
        <f>'QTR Raw'!G25</f>
        <v>0</v>
      </c>
      <c r="AN44" s="23">
        <f>'QTR Raw'!H25</f>
        <v>0</v>
      </c>
      <c r="AO44" s="23">
        <f>'QTR Raw'!I25</f>
        <v>0</v>
      </c>
      <c r="AP44" s="23">
        <f>'QTR Raw'!J25</f>
        <v>0</v>
      </c>
      <c r="AQ44" s="23">
        <f>'QTR Raw'!K25</f>
        <v>0</v>
      </c>
      <c r="AR44" s="23">
        <f>'QTR Raw'!L25</f>
        <v>0</v>
      </c>
      <c r="AS44" s="23">
        <f>'QTR Raw'!M25</f>
        <v>0</v>
      </c>
      <c r="AT44" s="23">
        <f>'QTR Raw'!N25</f>
        <v>0</v>
      </c>
      <c r="AU44" s="23">
        <f>'QTR Raw'!O25</f>
        <v>0</v>
      </c>
      <c r="AV44" s="23">
        <f>'QTR Raw'!P25</f>
        <v>0</v>
      </c>
      <c r="AW44" s="23">
        <f>'QTR Raw'!Q25</f>
        <v>29.43</v>
      </c>
      <c r="AX44" s="23">
        <f>'QTR Raw'!R25</f>
        <v>29.001999999999999</v>
      </c>
      <c r="AY44" s="23">
        <f>'QTR Raw'!S25</f>
        <v>27.905000000000001</v>
      </c>
      <c r="AZ44" s="23">
        <f>'QTR Raw'!T25</f>
        <v>24.721</v>
      </c>
      <c r="BA44" s="23">
        <f>'QTR Raw'!U25</f>
        <v>30.818000000000001</v>
      </c>
      <c r="BB44" s="23">
        <f>'QTR Raw'!V25</f>
        <v>16.452000000000002</v>
      </c>
      <c r="BC44" s="23">
        <f>'QTR Raw'!W25</f>
        <v>19.096</v>
      </c>
      <c r="BD44" s="23">
        <f>'QTR Raw'!X25</f>
        <v>19.521000000000001</v>
      </c>
      <c r="BE44" s="23">
        <f>'QTR Raw'!Y25</f>
        <v>17.763000000000002</v>
      </c>
      <c r="BF44" s="23">
        <f>'QTR Raw'!Z25</f>
        <v>23.263999999999999</v>
      </c>
      <c r="BG44" s="23">
        <f>'QTR Raw'!AA25</f>
        <v>22.323</v>
      </c>
      <c r="BH44" s="23">
        <f>'QTR Raw'!AB25</f>
        <v>24.645</v>
      </c>
      <c r="BI44" s="23">
        <f>'QTR Raw'!AC25</f>
        <v>23.654</v>
      </c>
      <c r="BJ44" s="23">
        <f>'QTR Raw'!AD25</f>
        <v>17.568000000000001</v>
      </c>
      <c r="BK44" s="23">
        <f>'QTR Raw'!AE25</f>
        <v>22.53</v>
      </c>
      <c r="BL44" s="23">
        <f>'QTR Raw'!AF25</f>
        <v>25.57</v>
      </c>
      <c r="BM44" s="23">
        <f>'QTR Raw'!AG25</f>
        <v>20.83</v>
      </c>
      <c r="BN44" s="23">
        <f>'QTR Raw'!AH25</f>
        <v>20.66</v>
      </c>
      <c r="BO44" s="23">
        <f>'QTR Raw'!AI25</f>
        <v>15.14</v>
      </c>
      <c r="BP44" s="23">
        <f>'QTR Raw'!AJ25</f>
        <v>13.68</v>
      </c>
      <c r="BQ44" s="23">
        <f>'QTR Raw'!AK25</f>
        <v>17.43</v>
      </c>
      <c r="BR44" s="23">
        <f>'QTR Raw'!AL25</f>
        <v>21.91</v>
      </c>
      <c r="BS44" s="23">
        <f>'QTR Raw'!AM25</f>
        <v>26.61</v>
      </c>
      <c r="BT44" s="23">
        <f>'QTR Raw'!AN25</f>
        <v>22.13</v>
      </c>
      <c r="BU44" s="23">
        <f>'QTR Raw'!AO25</f>
        <v>23.1</v>
      </c>
      <c r="BV44" s="23">
        <f>'QTR Raw'!AP25</f>
        <v>30.55</v>
      </c>
      <c r="BW44" s="23">
        <f>'QTR Raw'!AQ25</f>
        <v>29.25</v>
      </c>
      <c r="BX44" s="23">
        <f>'QTR Raw'!AR25</f>
        <v>40.11</v>
      </c>
      <c r="BY44" s="23">
        <f>'QTR Raw'!AS25</f>
        <v>42.71</v>
      </c>
      <c r="BZ44" s="23">
        <f>'QTR Raw'!AT25</f>
        <v>53.1</v>
      </c>
      <c r="CA44" s="23">
        <f>'QTR Raw'!AU25</f>
        <v>39.19</v>
      </c>
      <c r="CB44" s="23">
        <f>'QTR Raw'!AV25</f>
        <v>42.39</v>
      </c>
      <c r="CC44" s="23">
        <f>'QTR Raw'!AW25</f>
        <v>50.82</v>
      </c>
      <c r="CD44" s="23">
        <f>'QTR Raw'!AX25</f>
        <v>50.5</v>
      </c>
      <c r="CE44" s="23">
        <f>'QTR Raw'!AY25</f>
        <v>49.19</v>
      </c>
      <c r="CF44" s="23">
        <f>'QTR Raw'!AZ25</f>
        <v>52.61</v>
      </c>
      <c r="CG44" s="23">
        <f>'QTR Raw'!BA25</f>
        <v>57.8</v>
      </c>
      <c r="CH44" s="23">
        <f>'QTR Raw'!BB25</f>
        <v>56.4</v>
      </c>
      <c r="CI44" s="23">
        <f>'QTR Raw'!BC25</f>
        <v>51.5</v>
      </c>
      <c r="CJ44" s="23">
        <f>'QTR Raw'!BD25</f>
        <v>40</v>
      </c>
      <c r="CK44" s="23">
        <f>'QTR Raw'!BE25</f>
        <v>38.79</v>
      </c>
      <c r="CL44" s="23">
        <f>'QTR Raw'!BF25</f>
        <v>40.44</v>
      </c>
      <c r="CM44" s="24">
        <f t="shared" ref="CM44:DB44" si="460">CM45*CL176</f>
        <v>34.826246226793842</v>
      </c>
      <c r="CN44" s="24">
        <f t="shared" si="460"/>
        <v>42.835349683072337</v>
      </c>
      <c r="CO44" s="24">
        <f t="shared" si="460"/>
        <v>42.507761683478186</v>
      </c>
      <c r="CP44" s="24">
        <f t="shared" si="460"/>
        <v>42.820401739761827</v>
      </c>
      <c r="CQ44" s="24">
        <f t="shared" si="460"/>
        <v>40.075051827985469</v>
      </c>
      <c r="CR44" s="24">
        <f t="shared" si="460"/>
        <v>54.154658947686535</v>
      </c>
      <c r="CS44" s="24">
        <f t="shared" si="460"/>
        <v>52.774079602068909</v>
      </c>
      <c r="CT44" s="24">
        <f t="shared" si="460"/>
        <v>52.652912916992101</v>
      </c>
      <c r="CU44" s="24">
        <f t="shared" si="460"/>
        <v>47.226746402837165</v>
      </c>
      <c r="CV44" s="24">
        <f t="shared" si="460"/>
        <v>39.524077072796771</v>
      </c>
      <c r="CW44" s="24">
        <f t="shared" si="460"/>
        <v>73.189827295498191</v>
      </c>
      <c r="CX44" s="24">
        <f t="shared" si="460"/>
        <v>71.898992875871357</v>
      </c>
      <c r="CY44" s="24">
        <f t="shared" si="460"/>
        <v>58.326196157125068</v>
      </c>
      <c r="CZ44" s="24">
        <f t="shared" si="460"/>
        <v>-97.89876219981511</v>
      </c>
      <c r="DA44" s="24">
        <f t="shared" si="460"/>
        <v>-40.475814731743576</v>
      </c>
      <c r="DB44" s="24">
        <f t="shared" si="460"/>
        <v>-20.705725660725474</v>
      </c>
      <c r="DE44" s="123"/>
      <c r="DF44" s="23">
        <v>170.73</v>
      </c>
    </row>
    <row r="45" spans="1:110" s="46" customFormat="1" x14ac:dyDescent="0.2">
      <c r="A45" s="46" t="s">
        <v>482</v>
      </c>
      <c r="B45" s="46" t="e">
        <f t="shared" ref="B45:D45" si="461">+B44/B136</f>
        <v>#DIV/0!</v>
      </c>
      <c r="C45" s="46" t="e">
        <f t="shared" si="461"/>
        <v>#DIV/0!</v>
      </c>
      <c r="D45" s="46" t="e">
        <f t="shared" si="461"/>
        <v>#DIV/0!</v>
      </c>
      <c r="E45" s="46" t="e">
        <f t="shared" ref="E45:AE45" si="462">+E44/E136</f>
        <v>#DIV/0!</v>
      </c>
      <c r="F45" s="46" t="e">
        <f t="shared" si="462"/>
        <v>#DIV/0!</v>
      </c>
      <c r="G45" s="46" t="e">
        <f t="shared" si="462"/>
        <v>#DIV/0!</v>
      </c>
      <c r="H45" s="46" t="e">
        <f t="shared" si="462"/>
        <v>#DIV/0!</v>
      </c>
      <c r="I45" s="46" t="e">
        <f t="shared" si="462"/>
        <v>#DIV/0!</v>
      </c>
      <c r="J45" s="46" t="e">
        <f t="shared" si="462"/>
        <v>#DIV/0!</v>
      </c>
      <c r="K45" s="46" t="e">
        <f t="shared" si="462"/>
        <v>#DIV/0!</v>
      </c>
      <c r="L45" s="46" t="e">
        <f t="shared" si="462"/>
        <v>#DIV/0!</v>
      </c>
      <c r="M45" s="46">
        <f t="shared" si="462"/>
        <v>0.14692344907479327</v>
      </c>
      <c r="N45" s="46">
        <f t="shared" si="462"/>
        <v>0.13394229682861944</v>
      </c>
      <c r="O45" s="46">
        <f t="shared" si="462"/>
        <v>0.10816208100365686</v>
      </c>
      <c r="P45" s="46">
        <f t="shared" si="462"/>
        <v>0.12313757298083317</v>
      </c>
      <c r="Q45" s="46">
        <f t="shared" si="462"/>
        <v>0.10811318368022106</v>
      </c>
      <c r="R45" s="46">
        <f t="shared" si="462"/>
        <v>0.11867698964178072</v>
      </c>
      <c r="S45" s="46">
        <f t="shared" si="462"/>
        <v>8.1277100786095013E-2</v>
      </c>
      <c r="T45" s="46">
        <f t="shared" si="462"/>
        <v>8.5131316914576177E-2</v>
      </c>
      <c r="U45" s="46">
        <f t="shared" si="462"/>
        <v>8.4769176909175223E-2</v>
      </c>
      <c r="V45" s="46">
        <f t="shared" si="462"/>
        <v>4.690338563170933E-2</v>
      </c>
      <c r="W45" s="46">
        <f t="shared" si="462"/>
        <v>5.9115604233183024E-2</v>
      </c>
      <c r="X45" s="46">
        <f t="shared" si="462"/>
        <v>8.3758880713195441E-2</v>
      </c>
      <c r="Y45" s="46">
        <f t="shared" si="462"/>
        <v>7.2954268961528485E-2</v>
      </c>
      <c r="Z45" s="46">
        <f t="shared" si="462"/>
        <v>8.0205266069830555E-2</v>
      </c>
      <c r="AA45" s="46">
        <f t="shared" ref="AA45" si="463">+AA44/AA136</f>
        <v>7.1211975858084905E-2</v>
      </c>
      <c r="AB45" s="110">
        <f t="shared" si="462"/>
        <v>6.7983499131636066E-2</v>
      </c>
      <c r="AC45" s="110">
        <f t="shared" si="462"/>
        <v>8.3277387307030687E-2</v>
      </c>
      <c r="AD45" s="110">
        <f t="shared" si="462"/>
        <v>9.6700984632679787E-2</v>
      </c>
      <c r="AE45" s="110">
        <f t="shared" si="462"/>
        <v>-4.2024828647943921E-2</v>
      </c>
      <c r="AI45" s="46" t="e">
        <f t="shared" ref="AI45:BN45" si="464">(AI44-AI43)/AH176</f>
        <v>#DIV/0!</v>
      </c>
      <c r="AJ45" s="46" t="e">
        <f t="shared" si="464"/>
        <v>#DIV/0!</v>
      </c>
      <c r="AK45" s="46" t="e">
        <f t="shared" si="464"/>
        <v>#DIV/0!</v>
      </c>
      <c r="AL45" s="46" t="e">
        <f t="shared" si="464"/>
        <v>#DIV/0!</v>
      </c>
      <c r="AM45" s="46" t="e">
        <f t="shared" si="464"/>
        <v>#DIV/0!</v>
      </c>
      <c r="AN45" s="46" t="e">
        <f t="shared" si="464"/>
        <v>#DIV/0!</v>
      </c>
      <c r="AO45" s="46" t="e">
        <f t="shared" si="464"/>
        <v>#DIV/0!</v>
      </c>
      <c r="AP45" s="46" t="e">
        <f t="shared" si="464"/>
        <v>#DIV/0!</v>
      </c>
      <c r="AQ45" s="46" t="e">
        <f t="shared" si="464"/>
        <v>#DIV/0!</v>
      </c>
      <c r="AR45" s="46" t="e">
        <f t="shared" si="464"/>
        <v>#DIV/0!</v>
      </c>
      <c r="AS45" s="46" t="e">
        <f t="shared" si="464"/>
        <v>#DIV/0!</v>
      </c>
      <c r="AT45" s="46" t="e">
        <f t="shared" si="464"/>
        <v>#DIV/0!</v>
      </c>
      <c r="AU45" s="46" t="e">
        <f t="shared" si="464"/>
        <v>#DIV/0!</v>
      </c>
      <c r="AV45" s="46" t="e">
        <f t="shared" si="464"/>
        <v>#DIV/0!</v>
      </c>
      <c r="AW45" s="46" t="e">
        <f t="shared" si="464"/>
        <v>#DIV/0!</v>
      </c>
      <c r="AX45" s="46" t="e">
        <f t="shared" si="464"/>
        <v>#DIV/0!</v>
      </c>
      <c r="AY45" s="46">
        <f t="shared" si="464"/>
        <v>2.4693931314394558E-2</v>
      </c>
      <c r="AZ45" s="46">
        <f t="shared" si="464"/>
        <v>1.8685219490068312E-2</v>
      </c>
      <c r="BA45" s="46" t="e">
        <f t="shared" si="464"/>
        <v>#DIV/0!</v>
      </c>
      <c r="BB45" s="46">
        <f t="shared" si="464"/>
        <v>-0.13885248450654164</v>
      </c>
      <c r="BC45" s="46">
        <f t="shared" si="464"/>
        <v>1.2762775202173006E-2</v>
      </c>
      <c r="BD45" s="46">
        <f t="shared" si="464"/>
        <v>1.4928361431116213E-2</v>
      </c>
      <c r="BE45" s="46">
        <f t="shared" si="464"/>
        <v>8.6401131535473758E-3</v>
      </c>
      <c r="BF45" s="46">
        <f t="shared" si="464"/>
        <v>2.3543326653524769E-2</v>
      </c>
      <c r="BG45" s="46">
        <f t="shared" si="464"/>
        <v>2.199931112817809E-2</v>
      </c>
      <c r="BH45" s="46">
        <f t="shared" si="464"/>
        <v>1.6635147037462033E-2</v>
      </c>
      <c r="BI45" s="46">
        <f t="shared" si="464"/>
        <v>2.1071831266167011E-2</v>
      </c>
      <c r="BJ45" s="46">
        <f t="shared" si="464"/>
        <v>1.6812245749446963E-2</v>
      </c>
      <c r="BK45" s="46">
        <f t="shared" si="464"/>
        <v>1.9182953025703879E-2</v>
      </c>
      <c r="BL45" s="46">
        <f t="shared" si="464"/>
        <v>3.0094727677148599E-2</v>
      </c>
      <c r="BM45" s="46">
        <f t="shared" si="464"/>
        <v>1.6926698711923874E-2</v>
      </c>
      <c r="BN45" s="46">
        <f t="shared" si="464"/>
        <v>1.7792020613542243E-2</v>
      </c>
      <c r="BO45" s="46">
        <f t="shared" ref="BO45:CL45" si="465">(BO44-BO43)/BN176</f>
        <v>8.4400130007653684E-3</v>
      </c>
      <c r="BP45" s="46">
        <f t="shared" si="465"/>
        <v>8.9525357007118195E-3</v>
      </c>
      <c r="BQ45" s="46">
        <f t="shared" si="465"/>
        <v>1.1567443705107303E-2</v>
      </c>
      <c r="BR45" s="46">
        <f t="shared" si="465"/>
        <v>2.1592159181533222E-2</v>
      </c>
      <c r="BS45" s="46">
        <f t="shared" si="465"/>
        <v>1.4778535529706564E-2</v>
      </c>
      <c r="BT45" s="46">
        <f t="shared" si="465"/>
        <v>1.9253207845979836E-2</v>
      </c>
      <c r="BU45" s="46">
        <f t="shared" si="465"/>
        <v>1.0492875827413749E-2</v>
      </c>
      <c r="BV45" s="46">
        <f t="shared" si="465"/>
        <v>2.3684491119828562E-2</v>
      </c>
      <c r="BW45" s="46">
        <f t="shared" si="465"/>
        <v>1.6605377727055896E-2</v>
      </c>
      <c r="BX45" s="46">
        <f t="shared" si="465"/>
        <v>2.4620389113900458E-2</v>
      </c>
      <c r="BY45" s="46">
        <f t="shared" si="465"/>
        <v>2.0635769667218223E-2</v>
      </c>
      <c r="BZ45" s="46">
        <f t="shared" si="465"/>
        <v>2.9523288627184525E-2</v>
      </c>
      <c r="CA45" s="46">
        <f t="shared" si="465"/>
        <v>1.8502633207001785E-2</v>
      </c>
      <c r="CB45" s="46">
        <f t="shared" si="465"/>
        <v>2.6537005030275257E-2</v>
      </c>
      <c r="CC45" s="46">
        <f t="shared" si="465"/>
        <v>2.3950228663063493E-2</v>
      </c>
      <c r="CD45" s="46">
        <f t="shared" si="465"/>
        <v>1.6487905596365249E-2</v>
      </c>
      <c r="CE45" s="46">
        <f t="shared" si="465"/>
        <v>1.9734505791832248E-2</v>
      </c>
      <c r="CF45" s="46">
        <f t="shared" si="465"/>
        <v>2.4809353706466211E-2</v>
      </c>
      <c r="CG45" s="46">
        <f t="shared" si="465"/>
        <v>1.8073481891028632E-2</v>
      </c>
      <c r="CH45" s="46">
        <f t="shared" si="465"/>
        <v>-7.1801813014429222E-4</v>
      </c>
      <c r="CI45" s="46">
        <f t="shared" si="465"/>
        <v>1.6112959417469635E-2</v>
      </c>
      <c r="CJ45" s="46">
        <f t="shared" si="465"/>
        <v>6.3254854358407138E-3</v>
      </c>
      <c r="CK45" s="46">
        <f t="shared" si="465"/>
        <v>1.5834360033941047E-2</v>
      </c>
      <c r="CL45" s="46">
        <f t="shared" si="465"/>
        <v>1.5249320746125446E-2</v>
      </c>
      <c r="CM45" s="47">
        <f t="shared" ref="CM45" si="466">+CL45</f>
        <v>1.5249320746125446E-2</v>
      </c>
      <c r="CN45" s="47">
        <v>0.02</v>
      </c>
      <c r="CO45" s="47">
        <f t="shared" ref="CO45" si="467">+CN45</f>
        <v>0.02</v>
      </c>
      <c r="CP45" s="47">
        <f t="shared" ref="CP45" si="468">+CO45</f>
        <v>0.02</v>
      </c>
      <c r="CQ45" s="47">
        <f t="shared" ref="CQ45" si="469">+CP45</f>
        <v>0.02</v>
      </c>
      <c r="CR45" s="47">
        <v>0.03</v>
      </c>
      <c r="CS45" s="47">
        <f t="shared" ref="CS45" si="470">+CR45</f>
        <v>0.03</v>
      </c>
      <c r="CT45" s="47">
        <f t="shared" ref="CT45" si="471">+CS45</f>
        <v>0.03</v>
      </c>
      <c r="CU45" s="47">
        <f t="shared" ref="CU45" si="472">+CT45</f>
        <v>0.03</v>
      </c>
      <c r="CV45" s="47">
        <f t="shared" ref="CV45" si="473">+CU45</f>
        <v>0.03</v>
      </c>
      <c r="CW45" s="47">
        <v>0.06</v>
      </c>
      <c r="CX45" s="47">
        <f t="shared" ref="CX45" si="474">+CW45</f>
        <v>0.06</v>
      </c>
      <c r="CY45" s="47">
        <f t="shared" ref="CY45" si="475">+CX45</f>
        <v>0.06</v>
      </c>
      <c r="CZ45" s="47">
        <v>-0.15</v>
      </c>
      <c r="DA45" s="47">
        <v>-0.1</v>
      </c>
      <c r="DB45" s="47">
        <v>-0.08</v>
      </c>
      <c r="DE45" s="130"/>
      <c r="DF45" s="46">
        <v>7.1211975858084905E-2</v>
      </c>
    </row>
    <row r="46" spans="1:110" s="26" customFormat="1" x14ac:dyDescent="0.2">
      <c r="A46" s="26" t="s">
        <v>20</v>
      </c>
      <c r="B46" s="26">
        <f>B42+B43-B44</f>
        <v>0</v>
      </c>
      <c r="C46" s="26">
        <f t="shared" ref="C46:T46" si="476">C42+C43-C44</f>
        <v>0</v>
      </c>
      <c r="D46" s="26">
        <f>D42+D43-D44</f>
        <v>0</v>
      </c>
      <c r="E46" s="26">
        <f t="shared" si="476"/>
        <v>0</v>
      </c>
      <c r="F46" s="26">
        <f t="shared" si="476"/>
        <v>0</v>
      </c>
      <c r="G46" s="26">
        <f t="shared" si="476"/>
        <v>0</v>
      </c>
      <c r="H46" s="26">
        <f t="shared" si="476"/>
        <v>0</v>
      </c>
      <c r="I46" s="26">
        <f t="shared" si="476"/>
        <v>0</v>
      </c>
      <c r="J46" s="26">
        <f t="shared" si="476"/>
        <v>0</v>
      </c>
      <c r="K46" s="26">
        <f t="shared" si="476"/>
        <v>0</v>
      </c>
      <c r="L46" s="26">
        <f t="shared" si="476"/>
        <v>0</v>
      </c>
      <c r="M46" s="26">
        <f t="shared" si="476"/>
        <v>21.577000000000048</v>
      </c>
      <c r="N46" s="26">
        <f t="shared" si="476"/>
        <v>86.099000000000004</v>
      </c>
      <c r="O46" s="26">
        <f t="shared" si="476"/>
        <v>120.85499999999978</v>
      </c>
      <c r="P46" s="26">
        <f t="shared" si="476"/>
        <v>66.568999999999861</v>
      </c>
      <c r="Q46" s="26">
        <f t="shared" si="476"/>
        <v>169.04000000000013</v>
      </c>
      <c r="R46" s="26">
        <f t="shared" si="476"/>
        <v>235.19500000000011</v>
      </c>
      <c r="S46" s="26">
        <f t="shared" si="476"/>
        <v>237.41600000000017</v>
      </c>
      <c r="T46" s="26">
        <f t="shared" si="476"/>
        <v>119.75200000000018</v>
      </c>
      <c r="U46" s="26">
        <f t="shared" ref="U46:Z46" si="477">U42+U43-U44</f>
        <v>293.61</v>
      </c>
      <c r="V46" s="26">
        <f t="shared" si="477"/>
        <v>1301.1100000000004</v>
      </c>
      <c r="W46" s="26">
        <f t="shared" si="477"/>
        <v>1083.8499999999997</v>
      </c>
      <c r="X46" s="26">
        <f t="shared" si="477"/>
        <v>1108.9400000000003</v>
      </c>
      <c r="Y46" s="26">
        <f t="shared" si="477"/>
        <v>236.36000000000021</v>
      </c>
      <c r="Z46" s="26">
        <f t="shared" si="477"/>
        <v>484.2900000000003</v>
      </c>
      <c r="AA46" s="26">
        <f t="shared" ref="AA46" si="478">AA42+AA43-AA44</f>
        <v>1181.8799999999992</v>
      </c>
      <c r="AB46" s="27">
        <f t="shared" ref="AB46:AD46" si="479">AB42+AB43-AB44</f>
        <v>1242.4669927510429</v>
      </c>
      <c r="AC46" s="27">
        <f t="shared" si="479"/>
        <v>1466.2239696505208</v>
      </c>
      <c r="AD46" s="27">
        <f t="shared" si="479"/>
        <v>1739.2886271780872</v>
      </c>
      <c r="AE46" s="27">
        <f t="shared" ref="AE46" si="480">AE42+AE43-AE44</f>
        <v>2430.3764202891848</v>
      </c>
      <c r="AI46" s="26">
        <f>AI42+AI43-AI44</f>
        <v>0</v>
      </c>
      <c r="AJ46" s="26">
        <f t="shared" ref="AJ46" si="481">AJ42+AJ43-AJ44</f>
        <v>0</v>
      </c>
      <c r="AK46" s="26">
        <f t="shared" ref="AK46:AM46" si="482">AK42+AK43-AK44</f>
        <v>0</v>
      </c>
      <c r="AL46" s="26">
        <f t="shared" si="482"/>
        <v>0</v>
      </c>
      <c r="AM46" s="26">
        <f t="shared" si="482"/>
        <v>0</v>
      </c>
      <c r="AN46" s="26">
        <f t="shared" ref="AN46:AO46" si="483">AN42+AN43-AN44</f>
        <v>0</v>
      </c>
      <c r="AO46" s="26">
        <f t="shared" si="483"/>
        <v>0</v>
      </c>
      <c r="AP46" s="26">
        <f t="shared" ref="AP46:CD46" si="484">AP42+AP43-AP44</f>
        <v>0</v>
      </c>
      <c r="AQ46" s="26">
        <f t="shared" si="484"/>
        <v>0</v>
      </c>
      <c r="AR46" s="26">
        <f t="shared" si="484"/>
        <v>0</v>
      </c>
      <c r="AS46" s="26">
        <f t="shared" si="484"/>
        <v>0</v>
      </c>
      <c r="AT46" s="26">
        <f t="shared" si="484"/>
        <v>0</v>
      </c>
      <c r="AU46" s="26">
        <f t="shared" si="484"/>
        <v>0</v>
      </c>
      <c r="AV46" s="26">
        <f t="shared" si="484"/>
        <v>0</v>
      </c>
      <c r="AW46" s="26">
        <f t="shared" si="484"/>
        <v>48.85900000000003</v>
      </c>
      <c r="AX46" s="26">
        <f t="shared" si="484"/>
        <v>68.092000000000027</v>
      </c>
      <c r="AY46" s="26">
        <f t="shared" si="484"/>
        <v>34.647000000000006</v>
      </c>
      <c r="AZ46" s="26">
        <f t="shared" si="484"/>
        <v>65.872000000000028</v>
      </c>
      <c r="BA46" s="26">
        <f t="shared" si="484"/>
        <v>54.05400000000003</v>
      </c>
      <c r="BB46" s="26">
        <f t="shared" si="484"/>
        <v>80.621999999999986</v>
      </c>
      <c r="BC46" s="26">
        <f t="shared" si="484"/>
        <v>55.173999999999921</v>
      </c>
      <c r="BD46" s="26">
        <f t="shared" si="484"/>
        <v>69.600000000000023</v>
      </c>
      <c r="BE46" s="26">
        <f t="shared" si="484"/>
        <v>48.553999999999974</v>
      </c>
      <c r="BF46" s="26">
        <f t="shared" si="484"/>
        <v>64.088000000000022</v>
      </c>
      <c r="BG46" s="26">
        <f t="shared" si="484"/>
        <v>22.624000000000031</v>
      </c>
      <c r="BH46" s="26">
        <f t="shared" si="484"/>
        <v>21.790999999999944</v>
      </c>
      <c r="BI46" s="26">
        <f t="shared" si="484"/>
        <v>22.767999999999947</v>
      </c>
      <c r="BJ46" s="26">
        <f t="shared" si="484"/>
        <v>52.569000000000003</v>
      </c>
      <c r="BK46" s="26">
        <f t="shared" si="484"/>
        <v>19.3900000000001</v>
      </c>
      <c r="BL46" s="26">
        <f t="shared" si="484"/>
        <v>65.769999999999953</v>
      </c>
      <c r="BM46" s="26">
        <f t="shared" si="484"/>
        <v>81.710000000000107</v>
      </c>
      <c r="BN46" s="26">
        <f t="shared" si="484"/>
        <v>126.73999999999992</v>
      </c>
      <c r="BO46" s="26">
        <f t="shared" si="484"/>
        <v>221.46999999999997</v>
      </c>
      <c r="BP46" s="26">
        <f t="shared" si="484"/>
        <v>314.30999999999995</v>
      </c>
      <c r="BQ46" s="26">
        <f t="shared" si="484"/>
        <v>364.16</v>
      </c>
      <c r="BR46" s="26">
        <f t="shared" si="484"/>
        <v>401.17</v>
      </c>
      <c r="BS46" s="26">
        <f t="shared" si="484"/>
        <v>316.05000000000007</v>
      </c>
      <c r="BT46" s="26">
        <f t="shared" si="484"/>
        <v>262.59000000000003</v>
      </c>
      <c r="BU46" s="26">
        <f t="shared" si="484"/>
        <v>203.49999999999994</v>
      </c>
      <c r="BV46" s="26">
        <f t="shared" si="484"/>
        <v>301.70999999999981</v>
      </c>
      <c r="BW46" s="26">
        <f t="shared" si="484"/>
        <v>355.87999999999994</v>
      </c>
      <c r="BX46" s="26">
        <f t="shared" si="484"/>
        <v>328.07000000000016</v>
      </c>
      <c r="BY46" s="26">
        <f t="shared" si="484"/>
        <v>277.85000000000008</v>
      </c>
      <c r="BZ46" s="26">
        <f t="shared" si="484"/>
        <v>147.1400000000001</v>
      </c>
      <c r="CA46" s="26">
        <f t="shared" si="484"/>
        <v>40.579999999999856</v>
      </c>
      <c r="CB46" s="26">
        <f t="shared" si="484"/>
        <v>53.890000000000228</v>
      </c>
      <c r="CC46" s="26">
        <f t="shared" si="484"/>
        <v>34.620000000000083</v>
      </c>
      <c r="CD46" s="26">
        <f t="shared" si="484"/>
        <v>107.27000000000007</v>
      </c>
      <c r="CE46" s="26">
        <f t="shared" ref="CE46:CF46" si="485">CE42+CE43-CE44</f>
        <v>18.460000000000051</v>
      </c>
      <c r="CF46" s="26">
        <f t="shared" si="485"/>
        <v>22.810000000000031</v>
      </c>
      <c r="CG46" s="26">
        <f t="shared" ref="CG46:CH46" si="486">CG42+CG43-CG44</f>
        <v>130.68000000000006</v>
      </c>
      <c r="CH46" s="26">
        <f t="shared" si="486"/>
        <v>312.34000000000003</v>
      </c>
      <c r="CI46" s="26">
        <f t="shared" ref="CI46:CJ46" si="487">CI42+CI43-CI44</f>
        <v>224.21999999999986</v>
      </c>
      <c r="CJ46" s="26">
        <f t="shared" si="487"/>
        <v>269.72999999999996</v>
      </c>
      <c r="CK46" s="26">
        <f t="shared" ref="CK46:CL46" si="488">CK42+CK43-CK44</f>
        <v>326.55999999999977</v>
      </c>
      <c r="CL46" s="26">
        <f t="shared" si="488"/>
        <v>361.37</v>
      </c>
      <c r="CM46" s="27">
        <f t="shared" ref="CM46:DB46" si="489">CM42+CM43-CM44</f>
        <v>276.92047530714871</v>
      </c>
      <c r="CN46" s="27">
        <f t="shared" si="489"/>
        <v>294.82825306904965</v>
      </c>
      <c r="CO46" s="27">
        <f t="shared" si="489"/>
        <v>332.15321178284159</v>
      </c>
      <c r="CP46" s="27">
        <f t="shared" si="489"/>
        <v>338.56505259200145</v>
      </c>
      <c r="CQ46" s="27">
        <f t="shared" si="489"/>
        <v>334.45176682715385</v>
      </c>
      <c r="CR46" s="27">
        <f t="shared" si="489"/>
        <v>347.18619825440061</v>
      </c>
      <c r="CS46" s="27">
        <f t="shared" si="489"/>
        <v>387.96433661720846</v>
      </c>
      <c r="CT46" s="27">
        <f t="shared" si="489"/>
        <v>396.62166795175705</v>
      </c>
      <c r="CU46" s="27">
        <f t="shared" si="489"/>
        <v>397.66015038924456</v>
      </c>
      <c r="CV46" s="27">
        <f t="shared" si="489"/>
        <v>435.48104482328034</v>
      </c>
      <c r="CW46" s="27">
        <f t="shared" si="489"/>
        <v>447.0710826258736</v>
      </c>
      <c r="CX46" s="27">
        <f t="shared" si="489"/>
        <v>459.07634933968961</v>
      </c>
      <c r="CY46" s="27">
        <f t="shared" si="489"/>
        <v>468.52010364486148</v>
      </c>
      <c r="CZ46" s="27">
        <f t="shared" si="489"/>
        <v>659.54322210846226</v>
      </c>
      <c r="DA46" s="27">
        <f t="shared" si="489"/>
        <v>654.59174168050436</v>
      </c>
      <c r="DB46" s="27">
        <f t="shared" si="489"/>
        <v>647.72135285535705</v>
      </c>
      <c r="DE46" s="121"/>
      <c r="DF46" s="26">
        <v>1181.8799999999987</v>
      </c>
    </row>
    <row r="47" spans="1:110" s="23" customFormat="1" x14ac:dyDescent="0.2">
      <c r="A47" s="23" t="s">
        <v>21</v>
      </c>
      <c r="B47" s="23">
        <f>'Annual Raw'!C30</f>
        <v>0</v>
      </c>
      <c r="C47" s="23">
        <f>'Annual Raw'!D30</f>
        <v>0</v>
      </c>
      <c r="D47" s="23">
        <f>'Annual Raw'!E30</f>
        <v>0</v>
      </c>
      <c r="E47" s="23">
        <f>'Annual Raw'!F30</f>
        <v>0</v>
      </c>
      <c r="F47" s="23">
        <f>'Annual Raw'!G30</f>
        <v>0</v>
      </c>
      <c r="G47" s="23">
        <f>'Annual Raw'!H30</f>
        <v>0</v>
      </c>
      <c r="H47" s="23">
        <f>'Annual Raw'!I30</f>
        <v>0</v>
      </c>
      <c r="I47" s="23">
        <f>'Annual Raw'!J30</f>
        <v>0</v>
      </c>
      <c r="J47" s="23">
        <f>'Annual Raw'!K30</f>
        <v>0</v>
      </c>
      <c r="K47" s="23">
        <f>'Annual Raw'!L30</f>
        <v>0</v>
      </c>
      <c r="L47" s="23">
        <f>'Annual Raw'!M30</f>
        <v>0</v>
      </c>
      <c r="M47" s="23">
        <f>'Annual Raw'!N30</f>
        <v>0</v>
      </c>
      <c r="N47" s="23">
        <f>'Annual Raw'!O30</f>
        <v>-2.12</v>
      </c>
      <c r="O47" s="23">
        <f>'Annual Raw'!P30</f>
        <v>23.638000000000002</v>
      </c>
      <c r="P47" s="23">
        <f>'Annual Raw'!Q30</f>
        <v>-1.5509999999999999</v>
      </c>
      <c r="Q47" s="23">
        <f>'Annual Raw'!R30</f>
        <v>34.902999999999999</v>
      </c>
      <c r="R47" s="23">
        <f>'Annual Raw'!S30</f>
        <v>43.863999999999997</v>
      </c>
      <c r="S47" s="23">
        <f>'Annual Raw'!T30</f>
        <v>69.805999999999997</v>
      </c>
      <c r="T47" s="23">
        <f>'Annual Raw'!U30</f>
        <v>25.988</v>
      </c>
      <c r="U47" s="23">
        <f>'Annual Raw'!V30</f>
        <v>38.340000000000003</v>
      </c>
      <c r="V47" s="23">
        <f>'Annual Raw'!W30</f>
        <v>317.29000000000002</v>
      </c>
      <c r="W47" s="23">
        <f>'Annual Raw'!X30</f>
        <v>251.42</v>
      </c>
      <c r="X47" s="23">
        <f>'Annual Raw'!Y30</f>
        <v>312.3</v>
      </c>
      <c r="Y47" s="23">
        <f>'Annual Raw'!Z30</f>
        <v>68.150000000000006</v>
      </c>
      <c r="Z47" s="23">
        <f>'Annual Raw'!AA30</f>
        <v>129.88</v>
      </c>
      <c r="AA47" s="23">
        <f>'Annual Raw'!AB30</f>
        <v>292.02999999999997</v>
      </c>
      <c r="AB47" s="24">
        <f>+SUM(CM47:CP47)</f>
        <v>300.66153633752788</v>
      </c>
      <c r="AC47" s="24">
        <f>+SUM(CQ47:CT47)</f>
        <v>352.33609483229924</v>
      </c>
      <c r="AD47" s="24">
        <f>+SUM(CU47:CX47)</f>
        <v>417.3974434333104</v>
      </c>
      <c r="AE47" s="24">
        <f>+SUM(CY47:DB47)</f>
        <v>583.12084186399943</v>
      </c>
      <c r="AI47" s="23">
        <f>'QTR Raw'!C29</f>
        <v>0</v>
      </c>
      <c r="AJ47" s="23">
        <f>'QTR Raw'!D29</f>
        <v>0</v>
      </c>
      <c r="AK47" s="23">
        <f>'QTR Raw'!E29</f>
        <v>0</v>
      </c>
      <c r="AL47" s="23">
        <f>'QTR Raw'!F29</f>
        <v>0</v>
      </c>
      <c r="AM47" s="23">
        <f>'QTR Raw'!G29</f>
        <v>0</v>
      </c>
      <c r="AN47" s="23">
        <f>'QTR Raw'!H29</f>
        <v>0</v>
      </c>
      <c r="AO47" s="23">
        <f>'QTR Raw'!I29</f>
        <v>0</v>
      </c>
      <c r="AP47" s="23">
        <f>'QTR Raw'!J29</f>
        <v>0</v>
      </c>
      <c r="AQ47" s="23">
        <f>'QTR Raw'!K29</f>
        <v>0</v>
      </c>
      <c r="AR47" s="23">
        <f>'QTR Raw'!L29</f>
        <v>0</v>
      </c>
      <c r="AS47" s="23">
        <f>'QTR Raw'!M29</f>
        <v>0</v>
      </c>
      <c r="AT47" s="23">
        <f>'QTR Raw'!N29</f>
        <v>0</v>
      </c>
      <c r="AU47" s="23">
        <f>'QTR Raw'!O29</f>
        <v>0</v>
      </c>
      <c r="AV47" s="23">
        <f>'QTR Raw'!P29</f>
        <v>0</v>
      </c>
      <c r="AW47" s="23">
        <f>'QTR Raw'!Q29</f>
        <v>8.6280000000000001</v>
      </c>
      <c r="AX47" s="23">
        <f>'QTR Raw'!R29</f>
        <v>14.676</v>
      </c>
      <c r="AY47" s="23">
        <f>'QTR Raw'!S29</f>
        <v>7.9589999999999996</v>
      </c>
      <c r="AZ47" s="23">
        <f>'QTR Raw'!T29</f>
        <v>17.143999999999998</v>
      </c>
      <c r="BA47" s="23">
        <f>'QTR Raw'!U29</f>
        <v>9.4719999999999995</v>
      </c>
      <c r="BB47" s="23">
        <f>'QTR Raw'!V29</f>
        <v>9.2889999999999997</v>
      </c>
      <c r="BC47" s="23">
        <f>'QTR Raw'!W29</f>
        <v>16.268999999999998</v>
      </c>
      <c r="BD47" s="23">
        <f>'QTR Raw'!X29</f>
        <v>20.844999999999999</v>
      </c>
      <c r="BE47" s="23">
        <f>'QTR Raw'!Y29</f>
        <v>13.683999999999999</v>
      </c>
      <c r="BF47" s="23">
        <f>'QTR Raw'!Z29</f>
        <v>19.007999999999999</v>
      </c>
      <c r="BG47" s="23">
        <f>'QTR Raw'!AA29</f>
        <v>6.0659999999999998</v>
      </c>
      <c r="BH47" s="23">
        <f>'QTR Raw'!AB29</f>
        <v>5.5810000000000004</v>
      </c>
      <c r="BI47" s="23">
        <f>'QTR Raw'!AC29</f>
        <v>4.9509999999999996</v>
      </c>
      <c r="BJ47" s="23">
        <f>'QTR Raw'!AD29</f>
        <v>9.39</v>
      </c>
      <c r="BK47" s="23">
        <f>'QTR Raw'!AE29</f>
        <v>4.29</v>
      </c>
      <c r="BL47" s="23">
        <f>'QTR Raw'!AF29</f>
        <v>9.2200000000000006</v>
      </c>
      <c r="BM47" s="23">
        <f>'QTR Raw'!AG29</f>
        <v>8.24</v>
      </c>
      <c r="BN47" s="23">
        <f>'QTR Raw'!AH29</f>
        <v>16.59</v>
      </c>
      <c r="BO47" s="23">
        <f>'QTR Raw'!AI29</f>
        <v>49.69</v>
      </c>
      <c r="BP47" s="23">
        <f>'QTR Raw'!AJ29</f>
        <v>72.040000000000006</v>
      </c>
      <c r="BQ47" s="23">
        <f>'QTR Raw'!AK29</f>
        <v>91.31</v>
      </c>
      <c r="BR47" s="23">
        <f>'QTR Raw'!AL29</f>
        <v>104.25</v>
      </c>
      <c r="BS47" s="23">
        <f>'QTR Raw'!AM29</f>
        <v>74.44</v>
      </c>
      <c r="BT47" s="23">
        <f>'QTR Raw'!AN29</f>
        <v>58.64</v>
      </c>
      <c r="BU47" s="23">
        <f>'QTR Raw'!AO29</f>
        <v>48.53</v>
      </c>
      <c r="BV47" s="23">
        <f>'QTR Raw'!AP29</f>
        <v>69.81</v>
      </c>
      <c r="BW47" s="23">
        <f>'QTR Raw'!AQ29</f>
        <v>103.34</v>
      </c>
      <c r="BX47" s="23">
        <f>'QTR Raw'!AR29</f>
        <v>94.27</v>
      </c>
      <c r="BY47" s="23">
        <f>'QTR Raw'!AS29</f>
        <v>74.790000000000006</v>
      </c>
      <c r="BZ47" s="23">
        <f>'QTR Raw'!AT29</f>
        <v>39.9</v>
      </c>
      <c r="CA47" s="23">
        <f>'QTR Raw'!AU29</f>
        <v>12.18</v>
      </c>
      <c r="CB47" s="23">
        <f>'QTR Raw'!AV29</f>
        <v>14.57</v>
      </c>
      <c r="CC47" s="23">
        <f>'QTR Raw'!AW29</f>
        <v>9.4499999999999993</v>
      </c>
      <c r="CD47" s="23">
        <f>'QTR Raw'!AX29</f>
        <v>31.95</v>
      </c>
      <c r="CE47" s="23">
        <f>'QTR Raw'!AY29</f>
        <v>6.25</v>
      </c>
      <c r="CF47" s="23">
        <f>'QTR Raw'!AZ29</f>
        <v>5.09</v>
      </c>
      <c r="CG47" s="23">
        <f>'QTR Raw'!BA29</f>
        <v>40.07</v>
      </c>
      <c r="CH47" s="23">
        <f>'QTR Raw'!BB29</f>
        <v>78.47</v>
      </c>
      <c r="CI47" s="23">
        <f>'QTR Raw'!BC29</f>
        <v>63.14</v>
      </c>
      <c r="CJ47" s="23">
        <f>'QTR Raw'!BD29</f>
        <v>75.98</v>
      </c>
      <c r="CK47" s="23">
        <f>'QTR Raw'!BE29</f>
        <v>73.45</v>
      </c>
      <c r="CL47" s="23">
        <f>'QTR Raw'!BF29</f>
        <v>79.459999999999994</v>
      </c>
      <c r="CM47" s="24">
        <f t="shared" ref="CM47:DB47" si="490">+CM46*CM48</f>
        <v>69.790422046404132</v>
      </c>
      <c r="CN47" s="24">
        <f t="shared" si="490"/>
        <v>72.123706622827157</v>
      </c>
      <c r="CO47" s="24">
        <f t="shared" si="490"/>
        <v>78.177134156942145</v>
      </c>
      <c r="CP47" s="24">
        <f t="shared" si="490"/>
        <v>80.570273511354443</v>
      </c>
      <c r="CQ47" s="24">
        <f t="shared" si="490"/>
        <v>81.103995899201607</v>
      </c>
      <c r="CR47" s="24">
        <f t="shared" si="490"/>
        <v>83.36533687295676</v>
      </c>
      <c r="CS47" s="24">
        <f t="shared" si="490"/>
        <v>92.71919408459614</v>
      </c>
      <c r="CT47" s="24">
        <f t="shared" si="490"/>
        <v>95.147567975544746</v>
      </c>
      <c r="CU47" s="24">
        <f t="shared" si="490"/>
        <v>95.587499957239686</v>
      </c>
      <c r="CV47" s="24">
        <f t="shared" si="490"/>
        <v>104.44750799586231</v>
      </c>
      <c r="CW47" s="24">
        <f t="shared" si="490"/>
        <v>107.19678505772004</v>
      </c>
      <c r="CX47" s="24">
        <f t="shared" si="490"/>
        <v>110.16565042248838</v>
      </c>
      <c r="CY47" s="24">
        <f t="shared" si="490"/>
        <v>112.44095204719524</v>
      </c>
      <c r="CZ47" s="24">
        <f t="shared" si="490"/>
        <v>158.22175066382476</v>
      </c>
      <c r="DA47" s="24">
        <f t="shared" si="490"/>
        <v>157.04241565445008</v>
      </c>
      <c r="DB47" s="24">
        <f t="shared" si="490"/>
        <v>155.41572349852933</v>
      </c>
      <c r="DE47" s="123"/>
      <c r="DF47" s="23">
        <v>292.02999999999997</v>
      </c>
    </row>
    <row r="48" spans="1:110" s="90" customFormat="1" x14ac:dyDescent="0.2">
      <c r="A48" s="90" t="s">
        <v>106</v>
      </c>
      <c r="B48" s="90" t="e">
        <f t="shared" ref="B48:E48" si="491">B47/B46</f>
        <v>#DIV/0!</v>
      </c>
      <c r="C48" s="90" t="e">
        <f t="shared" si="491"/>
        <v>#DIV/0!</v>
      </c>
      <c r="D48" s="90" t="e">
        <f t="shared" si="491"/>
        <v>#DIV/0!</v>
      </c>
      <c r="E48" s="90" t="e">
        <f t="shared" si="491"/>
        <v>#DIV/0!</v>
      </c>
      <c r="F48" s="90" t="e">
        <f t="shared" ref="F48:T48" si="492">F47/F46</f>
        <v>#DIV/0!</v>
      </c>
      <c r="G48" s="90" t="e">
        <f t="shared" si="492"/>
        <v>#DIV/0!</v>
      </c>
      <c r="H48" s="90" t="e">
        <f t="shared" si="492"/>
        <v>#DIV/0!</v>
      </c>
      <c r="I48" s="90" t="e">
        <f t="shared" si="492"/>
        <v>#DIV/0!</v>
      </c>
      <c r="J48" s="90" t="e">
        <f t="shared" si="492"/>
        <v>#DIV/0!</v>
      </c>
      <c r="K48" s="90" t="e">
        <f t="shared" si="492"/>
        <v>#DIV/0!</v>
      </c>
      <c r="L48" s="90" t="e">
        <f t="shared" si="492"/>
        <v>#DIV/0!</v>
      </c>
      <c r="M48" s="90">
        <f t="shared" si="492"/>
        <v>0</v>
      </c>
      <c r="N48" s="90">
        <f t="shared" si="492"/>
        <v>-2.4622817918907306E-2</v>
      </c>
      <c r="O48" s="90">
        <f t="shared" si="492"/>
        <v>0.19558975631955686</v>
      </c>
      <c r="P48" s="90">
        <f t="shared" si="492"/>
        <v>-2.3299133230182265E-2</v>
      </c>
      <c r="Q48" s="90">
        <f t="shared" si="492"/>
        <v>0.20647775674396576</v>
      </c>
      <c r="R48" s="90">
        <f t="shared" si="492"/>
        <v>0.18650056336231627</v>
      </c>
      <c r="S48" s="90">
        <f t="shared" si="492"/>
        <v>0.29402399164335996</v>
      </c>
      <c r="T48" s="90">
        <f t="shared" si="492"/>
        <v>0.21701516467365856</v>
      </c>
      <c r="U48" s="90">
        <f t="shared" ref="U48:Z48" si="493">U47/U46</f>
        <v>0.13058138346786555</v>
      </c>
      <c r="V48" s="90">
        <f t="shared" si="493"/>
        <v>0.24386101098292992</v>
      </c>
      <c r="W48" s="90">
        <f t="shared" si="493"/>
        <v>0.23196936845504457</v>
      </c>
      <c r="X48" s="90">
        <f t="shared" si="493"/>
        <v>0.28162028603891998</v>
      </c>
      <c r="Y48" s="90">
        <f t="shared" si="493"/>
        <v>0.28833135894398354</v>
      </c>
      <c r="Z48" s="90">
        <f t="shared" si="493"/>
        <v>0.26818641722934589</v>
      </c>
      <c r="AA48" s="90">
        <f t="shared" ref="AA48" si="494">AA47/AA46</f>
        <v>0.24708938301688849</v>
      </c>
      <c r="AB48" s="91">
        <f t="shared" ref="AB48:AD48" si="495">AB47/AB46</f>
        <v>0.24198754420977395</v>
      </c>
      <c r="AC48" s="91">
        <f t="shared" si="495"/>
        <v>0.24030168795854545</v>
      </c>
      <c r="AD48" s="91">
        <f t="shared" si="495"/>
        <v>0.23998170108805797</v>
      </c>
      <c r="AE48" s="91">
        <f t="shared" ref="AE48" si="496">AE47/AE46</f>
        <v>0.23993025812627627</v>
      </c>
      <c r="AI48" s="90" t="e">
        <f t="shared" ref="AI48" si="497">AI47/AI46</f>
        <v>#DIV/0!</v>
      </c>
      <c r="AJ48" s="90" t="e">
        <f t="shared" ref="AJ48" si="498">AJ47/AJ46</f>
        <v>#DIV/0!</v>
      </c>
      <c r="AK48" s="90" t="e">
        <f t="shared" ref="AK48:AM48" si="499">AK47/AK46</f>
        <v>#DIV/0!</v>
      </c>
      <c r="AL48" s="90" t="e">
        <f t="shared" si="499"/>
        <v>#DIV/0!</v>
      </c>
      <c r="AM48" s="90" t="e">
        <f t="shared" si="499"/>
        <v>#DIV/0!</v>
      </c>
      <c r="AN48" s="90" t="e">
        <f t="shared" ref="AN48:AO48" si="500">AN47/AN46</f>
        <v>#DIV/0!</v>
      </c>
      <c r="AO48" s="90" t="e">
        <f t="shared" si="500"/>
        <v>#DIV/0!</v>
      </c>
      <c r="AP48" s="90" t="e">
        <f t="shared" ref="AP48:CD48" si="501">AP47/AP46</f>
        <v>#DIV/0!</v>
      </c>
      <c r="AQ48" s="90" t="e">
        <f t="shared" si="501"/>
        <v>#DIV/0!</v>
      </c>
      <c r="AR48" s="90" t="e">
        <f t="shared" si="501"/>
        <v>#DIV/0!</v>
      </c>
      <c r="AS48" s="90" t="e">
        <f t="shared" si="501"/>
        <v>#DIV/0!</v>
      </c>
      <c r="AT48" s="90" t="e">
        <f t="shared" si="501"/>
        <v>#DIV/0!</v>
      </c>
      <c r="AU48" s="90" t="e">
        <f t="shared" si="501"/>
        <v>#DIV/0!</v>
      </c>
      <c r="AV48" s="90" t="e">
        <f t="shared" si="501"/>
        <v>#DIV/0!</v>
      </c>
      <c r="AW48" s="90">
        <f t="shared" si="501"/>
        <v>0.17658977875109999</v>
      </c>
      <c r="AX48" s="90">
        <f t="shared" si="501"/>
        <v>0.21553192739235144</v>
      </c>
      <c r="AY48" s="90">
        <f t="shared" si="501"/>
        <v>0.22971685860247637</v>
      </c>
      <c r="AZ48" s="90">
        <f t="shared" si="501"/>
        <v>0.26026232693709</v>
      </c>
      <c r="BA48" s="90">
        <f t="shared" si="501"/>
        <v>0.17523217523217513</v>
      </c>
      <c r="BB48" s="90">
        <f t="shared" si="501"/>
        <v>0.11521669023343506</v>
      </c>
      <c r="BC48" s="90">
        <f t="shared" si="501"/>
        <v>0.29486714756950777</v>
      </c>
      <c r="BD48" s="90">
        <f t="shared" si="501"/>
        <v>0.2994971264367815</v>
      </c>
      <c r="BE48" s="90">
        <f t="shared" si="501"/>
        <v>0.28183053919347545</v>
      </c>
      <c r="BF48" s="90">
        <f t="shared" si="501"/>
        <v>0.29659218574460106</v>
      </c>
      <c r="BG48" s="90">
        <f t="shared" si="501"/>
        <v>0.26812234794908024</v>
      </c>
      <c r="BH48" s="90">
        <f t="shared" si="501"/>
        <v>0.25611490982515783</v>
      </c>
      <c r="BI48" s="90">
        <f t="shared" si="501"/>
        <v>0.21745432185523592</v>
      </c>
      <c r="BJ48" s="90">
        <f t="shared" si="501"/>
        <v>0.17862238201221253</v>
      </c>
      <c r="BK48" s="90">
        <f t="shared" si="501"/>
        <v>0.22124806601340782</v>
      </c>
      <c r="BL48" s="90">
        <f t="shared" si="501"/>
        <v>0.14018549490649243</v>
      </c>
      <c r="BM48" s="90">
        <f t="shared" si="501"/>
        <v>0.10084444988373503</v>
      </c>
      <c r="BN48" s="90">
        <f t="shared" si="501"/>
        <v>0.13089790121508607</v>
      </c>
      <c r="BO48" s="90">
        <f t="shared" si="501"/>
        <v>0.22436447374362217</v>
      </c>
      <c r="BP48" s="90">
        <f t="shared" si="501"/>
        <v>0.22920047087270534</v>
      </c>
      <c r="BQ48" s="90">
        <f t="shared" si="501"/>
        <v>0.25074143233743407</v>
      </c>
      <c r="BR48" s="90">
        <f t="shared" si="501"/>
        <v>0.25986489518159384</v>
      </c>
      <c r="BS48" s="90">
        <f t="shared" si="501"/>
        <v>0.23553235247587401</v>
      </c>
      <c r="BT48" s="90">
        <f t="shared" si="501"/>
        <v>0.22331391142084617</v>
      </c>
      <c r="BU48" s="90">
        <f t="shared" si="501"/>
        <v>0.23847665847665855</v>
      </c>
      <c r="BV48" s="90">
        <f t="shared" si="501"/>
        <v>0.23138112757283499</v>
      </c>
      <c r="BW48" s="90">
        <f t="shared" si="501"/>
        <v>0.29037877936383055</v>
      </c>
      <c r="BX48" s="90">
        <f t="shared" si="501"/>
        <v>0.28734721248514022</v>
      </c>
      <c r="BY48" s="90">
        <f t="shared" si="501"/>
        <v>0.26917401475616332</v>
      </c>
      <c r="BZ48" s="90">
        <f t="shared" si="501"/>
        <v>0.27117031398667918</v>
      </c>
      <c r="CA48" s="90">
        <f t="shared" si="501"/>
        <v>0.30014785608674327</v>
      </c>
      <c r="CB48" s="90">
        <f t="shared" si="501"/>
        <v>0.27036555947299939</v>
      </c>
      <c r="CC48" s="90">
        <f t="shared" si="501"/>
        <v>0.27296360485268562</v>
      </c>
      <c r="CD48" s="90">
        <f t="shared" si="501"/>
        <v>0.29784655542090033</v>
      </c>
      <c r="CE48" s="90">
        <f t="shared" ref="CE48:CF48" si="502">CE47/CE46</f>
        <v>0.338569880823401</v>
      </c>
      <c r="CF48" s="90">
        <f t="shared" si="502"/>
        <v>0.22314774221832498</v>
      </c>
      <c r="CG48" s="90">
        <f t="shared" ref="CG48:CH48" si="503">CG47/CG46</f>
        <v>0.30662687480869283</v>
      </c>
      <c r="CH48" s="90">
        <f t="shared" si="503"/>
        <v>0.25123263110712685</v>
      </c>
      <c r="CI48" s="90">
        <f t="shared" ref="CI48:CJ48" si="504">CI47/CI46</f>
        <v>0.28159843011328178</v>
      </c>
      <c r="CJ48" s="90">
        <f t="shared" si="504"/>
        <v>0.28168909650391138</v>
      </c>
      <c r="CK48" s="90">
        <f t="shared" ref="CK48:CL48" si="505">CK47/CK46</f>
        <v>0.22492038216560525</v>
      </c>
      <c r="CL48" s="90">
        <f t="shared" si="505"/>
        <v>0.21988543597974372</v>
      </c>
      <c r="CM48" s="91">
        <f t="shared" ref="CM48:DB48" si="506">AVERAGE(CI48:CL48)</f>
        <v>0.25202333619063555</v>
      </c>
      <c r="CN48" s="91">
        <f t="shared" si="506"/>
        <v>0.24462956270997399</v>
      </c>
      <c r="CO48" s="91">
        <f t="shared" si="506"/>
        <v>0.23536467926148963</v>
      </c>
      <c r="CP48" s="91">
        <f t="shared" si="506"/>
        <v>0.23797575353546074</v>
      </c>
      <c r="CQ48" s="91">
        <f t="shared" si="506"/>
        <v>0.24249833292438999</v>
      </c>
      <c r="CR48" s="91">
        <f t="shared" si="506"/>
        <v>0.24011708210782856</v>
      </c>
      <c r="CS48" s="91">
        <f t="shared" si="506"/>
        <v>0.23898896195729222</v>
      </c>
      <c r="CT48" s="91">
        <f t="shared" si="506"/>
        <v>0.2398950326312429</v>
      </c>
      <c r="CU48" s="91">
        <f t="shared" si="506"/>
        <v>0.24037485240518841</v>
      </c>
      <c r="CV48" s="91">
        <f t="shared" si="506"/>
        <v>0.23984398227538803</v>
      </c>
      <c r="CW48" s="91">
        <f t="shared" si="506"/>
        <v>0.2397757073172779</v>
      </c>
      <c r="CX48" s="91">
        <f t="shared" si="506"/>
        <v>0.23997239365727432</v>
      </c>
      <c r="CY48" s="91">
        <f t="shared" si="506"/>
        <v>0.23999173391378217</v>
      </c>
      <c r="CZ48" s="91">
        <f t="shared" si="506"/>
        <v>0.23989595429093061</v>
      </c>
      <c r="DA48" s="91">
        <f t="shared" si="506"/>
        <v>0.23990894729481624</v>
      </c>
      <c r="DB48" s="91">
        <f t="shared" si="506"/>
        <v>0.23994225728920085</v>
      </c>
      <c r="DE48" s="127"/>
      <c r="DF48" s="90">
        <v>0.2470893830168886</v>
      </c>
    </row>
    <row r="49" spans="1:110" s="26" customFormat="1" x14ac:dyDescent="0.2">
      <c r="A49" s="26" t="s">
        <v>22</v>
      </c>
      <c r="B49" s="26">
        <f t="shared" ref="B49:E49" si="507">B46-B47</f>
        <v>0</v>
      </c>
      <c r="C49" s="26">
        <f t="shared" si="507"/>
        <v>0</v>
      </c>
      <c r="D49" s="26">
        <f t="shared" si="507"/>
        <v>0</v>
      </c>
      <c r="E49" s="26">
        <f t="shared" si="507"/>
        <v>0</v>
      </c>
      <c r="F49" s="26">
        <f t="shared" ref="F49:T49" si="508">F46-F47</f>
        <v>0</v>
      </c>
      <c r="G49" s="26">
        <f t="shared" si="508"/>
        <v>0</v>
      </c>
      <c r="H49" s="26">
        <f t="shared" si="508"/>
        <v>0</v>
      </c>
      <c r="I49" s="26">
        <f t="shared" si="508"/>
        <v>0</v>
      </c>
      <c r="J49" s="26">
        <f t="shared" si="508"/>
        <v>0</v>
      </c>
      <c r="K49" s="26">
        <f t="shared" si="508"/>
        <v>0</v>
      </c>
      <c r="L49" s="26">
        <f t="shared" si="508"/>
        <v>0</v>
      </c>
      <c r="M49" s="26">
        <f t="shared" si="508"/>
        <v>21.577000000000048</v>
      </c>
      <c r="N49" s="26">
        <f t="shared" si="508"/>
        <v>88.219000000000008</v>
      </c>
      <c r="O49" s="26">
        <f t="shared" si="508"/>
        <v>97.216999999999771</v>
      </c>
      <c r="P49" s="26">
        <f t="shared" si="508"/>
        <v>68.119999999999862</v>
      </c>
      <c r="Q49" s="26">
        <f t="shared" si="508"/>
        <v>134.13700000000014</v>
      </c>
      <c r="R49" s="26">
        <f t="shared" si="508"/>
        <v>191.3310000000001</v>
      </c>
      <c r="S49" s="26">
        <f t="shared" si="508"/>
        <v>167.61000000000018</v>
      </c>
      <c r="T49" s="26">
        <f t="shared" si="508"/>
        <v>93.764000000000181</v>
      </c>
      <c r="U49" s="26">
        <f t="shared" ref="U49:Z49" si="509">U46-U47</f>
        <v>255.27</v>
      </c>
      <c r="V49" s="26">
        <f t="shared" si="509"/>
        <v>983.82000000000039</v>
      </c>
      <c r="W49" s="26">
        <f t="shared" si="509"/>
        <v>832.42999999999972</v>
      </c>
      <c r="X49" s="26">
        <f t="shared" si="509"/>
        <v>796.64000000000033</v>
      </c>
      <c r="Y49" s="26">
        <f t="shared" si="509"/>
        <v>168.21000000000021</v>
      </c>
      <c r="Z49" s="26">
        <f t="shared" si="509"/>
        <v>354.41000000000031</v>
      </c>
      <c r="AA49" s="26">
        <f t="shared" ref="AA49" si="510">AA46-AA47</f>
        <v>889.84999999999923</v>
      </c>
      <c r="AB49" s="27">
        <f t="shared" ref="AB49:AD49" si="511">AB46-AB47</f>
        <v>941.805456413515</v>
      </c>
      <c r="AC49" s="27">
        <f t="shared" si="511"/>
        <v>1113.8878748182215</v>
      </c>
      <c r="AD49" s="27">
        <f t="shared" si="511"/>
        <v>1321.8911837447768</v>
      </c>
      <c r="AE49" s="27">
        <f t="shared" ref="AE49" si="512">AE46-AE47</f>
        <v>1847.2555784251854</v>
      </c>
      <c r="AI49" s="26">
        <f>AI46-AI47</f>
        <v>0</v>
      </c>
      <c r="AJ49" s="26">
        <f t="shared" ref="AJ49" si="513">AJ46-AJ47</f>
        <v>0</v>
      </c>
      <c r="AK49" s="26">
        <f t="shared" ref="AK49:AM49" si="514">AK46-AK47</f>
        <v>0</v>
      </c>
      <c r="AL49" s="26">
        <f t="shared" si="514"/>
        <v>0</v>
      </c>
      <c r="AM49" s="26">
        <f t="shared" si="514"/>
        <v>0</v>
      </c>
      <c r="AN49" s="26">
        <f t="shared" ref="AN49:AO49" si="515">AN46-AN47</f>
        <v>0</v>
      </c>
      <c r="AO49" s="26">
        <f t="shared" si="515"/>
        <v>0</v>
      </c>
      <c r="AP49" s="26">
        <f t="shared" ref="AP49:CD49" si="516">AP46-AP47</f>
        <v>0</v>
      </c>
      <c r="AQ49" s="26">
        <f t="shared" si="516"/>
        <v>0</v>
      </c>
      <c r="AR49" s="26">
        <f t="shared" si="516"/>
        <v>0</v>
      </c>
      <c r="AS49" s="26">
        <f t="shared" si="516"/>
        <v>0</v>
      </c>
      <c r="AT49" s="26">
        <f t="shared" si="516"/>
        <v>0</v>
      </c>
      <c r="AU49" s="26">
        <f t="shared" si="516"/>
        <v>0</v>
      </c>
      <c r="AV49" s="26">
        <f t="shared" si="516"/>
        <v>0</v>
      </c>
      <c r="AW49" s="26">
        <f t="shared" si="516"/>
        <v>40.23100000000003</v>
      </c>
      <c r="AX49" s="26">
        <f t="shared" si="516"/>
        <v>53.416000000000025</v>
      </c>
      <c r="AY49" s="26">
        <f t="shared" si="516"/>
        <v>26.688000000000006</v>
      </c>
      <c r="AZ49" s="26">
        <f t="shared" si="516"/>
        <v>48.72800000000003</v>
      </c>
      <c r="BA49" s="26">
        <f t="shared" si="516"/>
        <v>44.582000000000029</v>
      </c>
      <c r="BB49" s="26">
        <f t="shared" si="516"/>
        <v>71.332999999999984</v>
      </c>
      <c r="BC49" s="26">
        <f t="shared" si="516"/>
        <v>38.904999999999923</v>
      </c>
      <c r="BD49" s="26">
        <f t="shared" si="516"/>
        <v>48.755000000000024</v>
      </c>
      <c r="BE49" s="26">
        <f t="shared" si="516"/>
        <v>34.869999999999976</v>
      </c>
      <c r="BF49" s="26">
        <f t="shared" si="516"/>
        <v>45.080000000000027</v>
      </c>
      <c r="BG49" s="26">
        <f t="shared" si="516"/>
        <v>16.558000000000032</v>
      </c>
      <c r="BH49" s="26">
        <f t="shared" si="516"/>
        <v>16.209999999999944</v>
      </c>
      <c r="BI49" s="26">
        <f t="shared" si="516"/>
        <v>17.816999999999947</v>
      </c>
      <c r="BJ49" s="26">
        <f t="shared" si="516"/>
        <v>43.179000000000002</v>
      </c>
      <c r="BK49" s="26">
        <f t="shared" si="516"/>
        <v>15.100000000000101</v>
      </c>
      <c r="BL49" s="26">
        <f t="shared" si="516"/>
        <v>56.549999999999955</v>
      </c>
      <c r="BM49" s="26">
        <f t="shared" si="516"/>
        <v>73.470000000000113</v>
      </c>
      <c r="BN49" s="26">
        <f t="shared" si="516"/>
        <v>110.14999999999992</v>
      </c>
      <c r="BO49" s="26">
        <f t="shared" si="516"/>
        <v>171.77999999999997</v>
      </c>
      <c r="BP49" s="26">
        <f t="shared" si="516"/>
        <v>242.26999999999992</v>
      </c>
      <c r="BQ49" s="26">
        <f t="shared" si="516"/>
        <v>272.85000000000002</v>
      </c>
      <c r="BR49" s="26">
        <f t="shared" si="516"/>
        <v>296.92</v>
      </c>
      <c r="BS49" s="26">
        <f t="shared" si="516"/>
        <v>241.61000000000007</v>
      </c>
      <c r="BT49" s="26">
        <f t="shared" si="516"/>
        <v>203.95000000000005</v>
      </c>
      <c r="BU49" s="26">
        <f t="shared" si="516"/>
        <v>154.96999999999994</v>
      </c>
      <c r="BV49" s="26">
        <f t="shared" si="516"/>
        <v>231.89999999999981</v>
      </c>
      <c r="BW49" s="26">
        <f t="shared" si="516"/>
        <v>252.53999999999994</v>
      </c>
      <c r="BX49" s="26">
        <f t="shared" si="516"/>
        <v>233.80000000000018</v>
      </c>
      <c r="BY49" s="26">
        <f t="shared" si="516"/>
        <v>203.06000000000006</v>
      </c>
      <c r="BZ49" s="26">
        <f t="shared" si="516"/>
        <v>107.24000000000009</v>
      </c>
      <c r="CA49" s="26">
        <f t="shared" si="516"/>
        <v>28.399999999999856</v>
      </c>
      <c r="CB49" s="26">
        <f t="shared" si="516"/>
        <v>39.320000000000228</v>
      </c>
      <c r="CC49" s="26">
        <f t="shared" si="516"/>
        <v>25.170000000000083</v>
      </c>
      <c r="CD49" s="26">
        <f t="shared" si="516"/>
        <v>75.320000000000064</v>
      </c>
      <c r="CE49" s="26">
        <f t="shared" ref="CE49:CF49" si="517">CE46-CE47</f>
        <v>12.210000000000051</v>
      </c>
      <c r="CF49" s="26">
        <f t="shared" si="517"/>
        <v>17.720000000000031</v>
      </c>
      <c r="CG49" s="26">
        <f t="shared" ref="CG49:CH49" si="518">CG46-CG47</f>
        <v>90.61000000000007</v>
      </c>
      <c r="CH49" s="26">
        <f t="shared" si="518"/>
        <v>233.87000000000003</v>
      </c>
      <c r="CI49" s="26">
        <f t="shared" ref="CI49:CJ49" si="519">CI46-CI47</f>
        <v>161.07999999999987</v>
      </c>
      <c r="CJ49" s="26">
        <f t="shared" si="519"/>
        <v>193.74999999999994</v>
      </c>
      <c r="CK49" s="26">
        <f t="shared" ref="CK49:CL49" si="520">CK46-CK47</f>
        <v>253.10999999999979</v>
      </c>
      <c r="CL49" s="26">
        <f t="shared" si="520"/>
        <v>281.91000000000003</v>
      </c>
      <c r="CM49" s="27">
        <f t="shared" ref="CM49:DB49" si="521">CM46-CM47</f>
        <v>207.13005326074457</v>
      </c>
      <c r="CN49" s="27">
        <f t="shared" si="521"/>
        <v>222.70454644622248</v>
      </c>
      <c r="CO49" s="27">
        <f t="shared" si="521"/>
        <v>253.97607762589945</v>
      </c>
      <c r="CP49" s="27">
        <f t="shared" si="521"/>
        <v>257.99477908064699</v>
      </c>
      <c r="CQ49" s="27">
        <f t="shared" si="521"/>
        <v>253.34777092795224</v>
      </c>
      <c r="CR49" s="27">
        <f t="shared" si="521"/>
        <v>263.82086138144382</v>
      </c>
      <c r="CS49" s="27">
        <f t="shared" si="521"/>
        <v>295.24514253261231</v>
      </c>
      <c r="CT49" s="27">
        <f t="shared" si="521"/>
        <v>301.4740999762123</v>
      </c>
      <c r="CU49" s="27">
        <f t="shared" si="521"/>
        <v>302.07265043200488</v>
      </c>
      <c r="CV49" s="27">
        <f t="shared" si="521"/>
        <v>331.03353682741806</v>
      </c>
      <c r="CW49" s="27">
        <f t="shared" si="521"/>
        <v>339.87429756815357</v>
      </c>
      <c r="CX49" s="27">
        <f t="shared" si="521"/>
        <v>348.91069891720122</v>
      </c>
      <c r="CY49" s="27">
        <f t="shared" si="521"/>
        <v>356.07915159766623</v>
      </c>
      <c r="CZ49" s="27">
        <f t="shared" si="521"/>
        <v>501.3214714446375</v>
      </c>
      <c r="DA49" s="27">
        <f t="shared" si="521"/>
        <v>497.54932602605425</v>
      </c>
      <c r="DB49" s="27">
        <f t="shared" si="521"/>
        <v>492.30562935682769</v>
      </c>
      <c r="DE49" s="121"/>
      <c r="DF49" s="26">
        <v>889.84999999999877</v>
      </c>
    </row>
    <row r="50" spans="1:110" s="45" customFormat="1" x14ac:dyDescent="0.2">
      <c r="A50" s="45" t="s">
        <v>107</v>
      </c>
      <c r="B50" s="45" t="e">
        <f t="shared" ref="B50:E50" si="522">+B49/B18</f>
        <v>#DIV/0!</v>
      </c>
      <c r="C50" s="45" t="e">
        <f t="shared" si="522"/>
        <v>#DIV/0!</v>
      </c>
      <c r="D50" s="45" t="e">
        <f t="shared" si="522"/>
        <v>#DIV/0!</v>
      </c>
      <c r="E50" s="45" t="e">
        <f t="shared" si="522"/>
        <v>#DIV/0!</v>
      </c>
      <c r="F50" s="45" t="e">
        <f t="shared" ref="F50:AE50" si="523">+F49/F18</f>
        <v>#DIV/0!</v>
      </c>
      <c r="G50" s="45" t="e">
        <f t="shared" si="523"/>
        <v>#DIV/0!</v>
      </c>
      <c r="H50" s="45" t="e">
        <f t="shared" si="523"/>
        <v>#DIV/0!</v>
      </c>
      <c r="I50" s="45" t="e">
        <f t="shared" si="523"/>
        <v>#DIV/0!</v>
      </c>
      <c r="J50" s="45" t="e">
        <f t="shared" si="523"/>
        <v>#DIV/0!</v>
      </c>
      <c r="K50" s="45" t="e">
        <f t="shared" si="523"/>
        <v>#DIV/0!</v>
      </c>
      <c r="L50" s="45" t="e">
        <f t="shared" si="523"/>
        <v>#DIV/0!</v>
      </c>
      <c r="M50" s="45">
        <f t="shared" si="523"/>
        <v>4.7872505646546284E-2</v>
      </c>
      <c r="N50" s="45">
        <f t="shared" si="523"/>
        <v>0.122780305381546</v>
      </c>
      <c r="O50" s="45">
        <f t="shared" si="523"/>
        <v>8.3828209813255977E-2</v>
      </c>
      <c r="P50" s="45">
        <f t="shared" si="523"/>
        <v>5.1349701113380823E-2</v>
      </c>
      <c r="Q50" s="45">
        <f t="shared" si="523"/>
        <v>7.5460542378449846E-2</v>
      </c>
      <c r="R50" s="45">
        <f t="shared" si="523"/>
        <v>0.10045483493791768</v>
      </c>
      <c r="S50" s="45">
        <f t="shared" si="523"/>
        <v>8.151563343497871E-2</v>
      </c>
      <c r="T50" s="45">
        <f t="shared" si="523"/>
        <v>4.0910748910518609E-2</v>
      </c>
      <c r="U50" s="45">
        <f t="shared" si="523"/>
        <v>9.0146624666280581E-2</v>
      </c>
      <c r="V50" s="45">
        <f t="shared" si="523"/>
        <v>0.20438723509455686</v>
      </c>
      <c r="W50" s="45">
        <f t="shared" si="523"/>
        <v>0.16865934431078877</v>
      </c>
      <c r="X50" s="45">
        <f t="shared" si="523"/>
        <v>0.1318820306097955</v>
      </c>
      <c r="Y50" s="45">
        <f t="shared" si="523"/>
        <v>3.336950462523041E-2</v>
      </c>
      <c r="Z50" s="45">
        <f t="shared" ref="Z50:AA50" si="524">+Z49/Z18</f>
        <v>6.3812126842829317E-2</v>
      </c>
      <c r="AA50" s="45">
        <f t="shared" ref="AA50" si="525">+AA49/AA18</f>
        <v>0.13061251449456168</v>
      </c>
      <c r="AB50" s="48">
        <f t="shared" si="523"/>
        <v>0.12020743977550451</v>
      </c>
      <c r="AC50" s="48">
        <f t="shared" si="523"/>
        <v>0.1236271283333784</v>
      </c>
      <c r="AD50" s="48">
        <f t="shared" si="523"/>
        <v>0.12757634939907039</v>
      </c>
      <c r="AE50" s="48">
        <f t="shared" si="523"/>
        <v>0.15502566783666805</v>
      </c>
      <c r="AI50" s="45" t="e">
        <f t="shared" ref="AI50:BN50" si="526">+AI49/AI18</f>
        <v>#DIV/0!</v>
      </c>
      <c r="AJ50" s="45" t="e">
        <f t="shared" si="526"/>
        <v>#DIV/0!</v>
      </c>
      <c r="AK50" s="45" t="e">
        <f t="shared" si="526"/>
        <v>#DIV/0!</v>
      </c>
      <c r="AL50" s="45" t="e">
        <f t="shared" si="526"/>
        <v>#DIV/0!</v>
      </c>
      <c r="AM50" s="45" t="e">
        <f t="shared" si="526"/>
        <v>#DIV/0!</v>
      </c>
      <c r="AN50" s="45" t="e">
        <f t="shared" si="526"/>
        <v>#DIV/0!</v>
      </c>
      <c r="AO50" s="45" t="e">
        <f t="shared" si="526"/>
        <v>#DIV/0!</v>
      </c>
      <c r="AP50" s="45" t="e">
        <f t="shared" si="526"/>
        <v>#DIV/0!</v>
      </c>
      <c r="AQ50" s="45" t="e">
        <f t="shared" si="526"/>
        <v>#DIV/0!</v>
      </c>
      <c r="AR50" s="45" t="e">
        <f t="shared" si="526"/>
        <v>#DIV/0!</v>
      </c>
      <c r="AS50" s="45" t="e">
        <f t="shared" si="526"/>
        <v>#DIV/0!</v>
      </c>
      <c r="AT50" s="45" t="e">
        <f t="shared" si="526"/>
        <v>#DIV/0!</v>
      </c>
      <c r="AU50" s="45" t="e">
        <f t="shared" si="526"/>
        <v>#DIV/0!</v>
      </c>
      <c r="AV50" s="45" t="e">
        <f t="shared" si="526"/>
        <v>#DIV/0!</v>
      </c>
      <c r="AW50" s="45">
        <f t="shared" si="526"/>
        <v>8.9382756644108677E-2</v>
      </c>
      <c r="AX50" s="45">
        <f t="shared" si="526"/>
        <v>0.1105717579990437</v>
      </c>
      <c r="AY50" s="45">
        <f t="shared" si="526"/>
        <v>6.5130808278016414E-2</v>
      </c>
      <c r="AZ50" s="45">
        <f t="shared" si="526"/>
        <v>9.4343421827081012E-2</v>
      </c>
      <c r="BA50" s="45">
        <f t="shared" si="526"/>
        <v>8.8169448619571295E-2</v>
      </c>
      <c r="BB50" s="45">
        <f t="shared" si="526"/>
        <v>0.15088915729422039</v>
      </c>
      <c r="BC50" s="45">
        <f t="shared" si="526"/>
        <v>8.1325030466837506E-2</v>
      </c>
      <c r="BD50" s="45">
        <f t="shared" si="526"/>
        <v>9.0520042331185865E-2</v>
      </c>
      <c r="BE50" s="45">
        <f t="shared" si="526"/>
        <v>7.2807982778312491E-2</v>
      </c>
      <c r="BF50" s="45">
        <f t="shared" si="526"/>
        <v>8.0465514779380312E-2</v>
      </c>
      <c r="BG50" s="45">
        <f t="shared" si="526"/>
        <v>3.0718882706853457E-2</v>
      </c>
      <c r="BH50" s="45">
        <f t="shared" si="526"/>
        <v>2.7554858987456583E-2</v>
      </c>
      <c r="BI50" s="45">
        <f t="shared" si="526"/>
        <v>3.3651458003199401E-2</v>
      </c>
      <c r="BJ50" s="45">
        <f t="shared" si="526"/>
        <v>6.798118902136624E-2</v>
      </c>
      <c r="BK50" s="45">
        <f t="shared" si="526"/>
        <v>2.7426122018998675E-2</v>
      </c>
      <c r="BL50" s="45">
        <f t="shared" si="526"/>
        <v>7.9377333595350999E-2</v>
      </c>
      <c r="BM50" s="45">
        <f t="shared" si="526"/>
        <v>0.10070039337161983</v>
      </c>
      <c r="BN50" s="45">
        <f t="shared" si="526"/>
        <v>0.13126534308935328</v>
      </c>
      <c r="BO50" s="45">
        <f t="shared" ref="BO50:CT50" si="527">+BO49/BO18</f>
        <v>0.1763075786189342</v>
      </c>
      <c r="BP50" s="45">
        <f t="shared" si="527"/>
        <v>0.2127340100453092</v>
      </c>
      <c r="BQ50" s="45">
        <f t="shared" si="527"/>
        <v>0.2117710063488614</v>
      </c>
      <c r="BR50" s="45">
        <f t="shared" si="527"/>
        <v>0.21029371144461836</v>
      </c>
      <c r="BS50" s="45">
        <f t="shared" si="527"/>
        <v>0.18897927258506067</v>
      </c>
      <c r="BT50" s="45">
        <f t="shared" si="527"/>
        <v>0.16946687938312233</v>
      </c>
      <c r="BU50" s="45">
        <f t="shared" si="527"/>
        <v>0.15063766087328428</v>
      </c>
      <c r="BV50" s="45">
        <f t="shared" si="527"/>
        <v>0.16275625864138166</v>
      </c>
      <c r="BW50" s="45">
        <f t="shared" si="527"/>
        <v>0.16409996491091267</v>
      </c>
      <c r="BX50" s="45">
        <f t="shared" si="527"/>
        <v>0.14836060892575001</v>
      </c>
      <c r="BY50" s="45">
        <f t="shared" si="527"/>
        <v>0.1314457347781619</v>
      </c>
      <c r="BZ50" s="45">
        <f t="shared" si="527"/>
        <v>7.7659497429212895E-2</v>
      </c>
      <c r="CA50" s="45">
        <f t="shared" si="527"/>
        <v>2.4031342285854389E-2</v>
      </c>
      <c r="CB50" s="45">
        <f t="shared" si="527"/>
        <v>3.2112376985585549E-2</v>
      </c>
      <c r="CC50" s="45">
        <f t="shared" si="527"/>
        <v>2.1064171660027518E-2</v>
      </c>
      <c r="CD50" s="45">
        <f t="shared" si="527"/>
        <v>5.2317544992949813E-2</v>
      </c>
      <c r="CE50" s="45">
        <f t="shared" si="527"/>
        <v>1.0218342804060598E-2</v>
      </c>
      <c r="CF50" s="45">
        <f t="shared" si="527"/>
        <v>1.4480673367655496E-2</v>
      </c>
      <c r="CG50" s="45">
        <f t="shared" si="527"/>
        <v>6.4033073036288524E-2</v>
      </c>
      <c r="CH50" s="45">
        <f t="shared" si="527"/>
        <v>0.13594721850839972</v>
      </c>
      <c r="CI50" s="45">
        <f t="shared" ref="CI50:CJ50" si="528">+CI49/CI18</f>
        <v>0.10262683410105945</v>
      </c>
      <c r="CJ50" s="45">
        <f t="shared" si="528"/>
        <v>0.11717781393070327</v>
      </c>
      <c r="CK50" s="45">
        <f t="shared" ref="CK50:CL50" si="529">+CK49/CK18</f>
        <v>0.14233336519915188</v>
      </c>
      <c r="CL50" s="45">
        <f t="shared" si="529"/>
        <v>0.15561639903509114</v>
      </c>
      <c r="CM50" s="48">
        <f t="shared" si="527"/>
        <v>0.1147531424479009</v>
      </c>
      <c r="CN50" s="48">
        <f t="shared" si="527"/>
        <v>0.11712104080784125</v>
      </c>
      <c r="CO50" s="48">
        <f t="shared" si="527"/>
        <v>0.12419164655537401</v>
      </c>
      <c r="CP50" s="48">
        <f t="shared" si="527"/>
        <v>0.12383914844973384</v>
      </c>
      <c r="CQ50" s="48">
        <f t="shared" si="527"/>
        <v>0.12205082450029497</v>
      </c>
      <c r="CR50" s="48">
        <f t="shared" si="527"/>
        <v>0.12064716846048738</v>
      </c>
      <c r="CS50" s="48">
        <f t="shared" si="527"/>
        <v>0.12554068505484026</v>
      </c>
      <c r="CT50" s="48">
        <f t="shared" si="527"/>
        <v>0.12583434896306034</v>
      </c>
      <c r="CU50" s="48">
        <f t="shared" ref="CU50:DB50" si="530">+CU49/CU18</f>
        <v>0.1265427289211675</v>
      </c>
      <c r="CV50" s="48">
        <f t="shared" si="530"/>
        <v>0.13163826615747473</v>
      </c>
      <c r="CW50" s="48">
        <f t="shared" si="530"/>
        <v>0.12566728016098655</v>
      </c>
      <c r="CX50" s="48">
        <f t="shared" si="530"/>
        <v>0.1266384673003251</v>
      </c>
      <c r="CY50" s="48">
        <f t="shared" si="530"/>
        <v>0.12971030958414048</v>
      </c>
      <c r="CZ50" s="48">
        <f t="shared" si="530"/>
        <v>0.17335190743342585</v>
      </c>
      <c r="DA50" s="48">
        <f t="shared" si="530"/>
        <v>0.15997134438028823</v>
      </c>
      <c r="DB50" s="48">
        <f t="shared" si="530"/>
        <v>0.15537756830179739</v>
      </c>
      <c r="DE50" s="129"/>
      <c r="DF50" s="45">
        <v>0.13061251449456163</v>
      </c>
    </row>
    <row r="51" spans="1:110" s="39" customFormat="1" x14ac:dyDescent="0.2">
      <c r="A51" s="39" t="s">
        <v>451</v>
      </c>
      <c r="C51" s="39" t="e">
        <f t="shared" ref="C51:E51" si="531">+IF(B49&lt;0,1-C49/B49,C49/B49-1)</f>
        <v>#DIV/0!</v>
      </c>
      <c r="D51" s="39" t="e">
        <f t="shared" si="531"/>
        <v>#DIV/0!</v>
      </c>
      <c r="E51" s="39" t="e">
        <f t="shared" si="531"/>
        <v>#DIV/0!</v>
      </c>
      <c r="F51" s="39" t="e">
        <f t="shared" ref="F51:AE51" si="532">+IF(E49&lt;0,1-F49/E49,F49/E49-1)</f>
        <v>#DIV/0!</v>
      </c>
      <c r="G51" s="39" t="e">
        <f t="shared" si="532"/>
        <v>#DIV/0!</v>
      </c>
      <c r="H51" s="39" t="e">
        <f t="shared" si="532"/>
        <v>#DIV/0!</v>
      </c>
      <c r="I51" s="39" t="e">
        <f t="shared" si="532"/>
        <v>#DIV/0!</v>
      </c>
      <c r="J51" s="39" t="e">
        <f t="shared" si="532"/>
        <v>#DIV/0!</v>
      </c>
      <c r="K51" s="39" t="e">
        <f t="shared" si="532"/>
        <v>#DIV/0!</v>
      </c>
      <c r="L51" s="39" t="e">
        <f t="shared" si="532"/>
        <v>#DIV/0!</v>
      </c>
      <c r="M51" s="39" t="e">
        <f t="shared" si="532"/>
        <v>#DIV/0!</v>
      </c>
      <c r="N51" s="39">
        <f t="shared" si="532"/>
        <v>3.0885665291745754</v>
      </c>
      <c r="O51" s="39">
        <f t="shared" si="532"/>
        <v>0.10199616862580352</v>
      </c>
      <c r="P51" s="39">
        <f t="shared" si="532"/>
        <v>-0.29929950523056648</v>
      </c>
      <c r="Q51" s="39">
        <f t="shared" si="532"/>
        <v>0.96912800939519106</v>
      </c>
      <c r="R51" s="39">
        <f t="shared" si="532"/>
        <v>0.42638496462571762</v>
      </c>
      <c r="S51" s="39">
        <f t="shared" si="532"/>
        <v>-0.12397886385373991</v>
      </c>
      <c r="T51" s="39">
        <f t="shared" si="532"/>
        <v>-0.44058230415846267</v>
      </c>
      <c r="U51" s="39">
        <f t="shared" si="532"/>
        <v>1.7224734439656961</v>
      </c>
      <c r="V51" s="39">
        <f t="shared" si="532"/>
        <v>2.8540369021036565</v>
      </c>
      <c r="W51" s="39">
        <f t="shared" si="532"/>
        <v>-0.15387977475554537</v>
      </c>
      <c r="X51" s="39">
        <f t="shared" si="532"/>
        <v>-4.299460615306927E-2</v>
      </c>
      <c r="Y51" s="39">
        <f t="shared" si="532"/>
        <v>-0.78885067282586852</v>
      </c>
      <c r="Z51" s="39">
        <f t="shared" ref="Z51:AA51" si="533">+IF(Y49&lt;0,1-Z49/Y49,Z49/Y49-1)</f>
        <v>1.1069496462754884</v>
      </c>
      <c r="AA51" s="39">
        <f t="shared" si="533"/>
        <v>1.5107925848593395</v>
      </c>
      <c r="AB51" s="40">
        <f t="shared" si="532"/>
        <v>5.8386757783352117E-2</v>
      </c>
      <c r="AC51" s="40">
        <f t="shared" si="532"/>
        <v>0.18271546128009564</v>
      </c>
      <c r="AD51" s="40">
        <f t="shared" si="532"/>
        <v>0.18673630769210048</v>
      </c>
      <c r="AE51" s="40">
        <f t="shared" si="532"/>
        <v>0.39743391978158704</v>
      </c>
      <c r="AM51" s="39" t="e">
        <f>+IF(AI49&lt;0,1-AM49/AI49,AM49/AI49-1)</f>
        <v>#DIV/0!</v>
      </c>
      <c r="AN51" s="39" t="e">
        <f t="shared" ref="AN51" si="534">+IF(AJ49&lt;0,1-AN49/AJ49,AN49/AJ49-1)</f>
        <v>#DIV/0!</v>
      </c>
      <c r="AO51" s="39" t="e">
        <f t="shared" ref="AO51" si="535">+IF(AK49&lt;0,1-AO49/AK49,AO49/AK49-1)</f>
        <v>#DIV/0!</v>
      </c>
      <c r="AP51" s="39" t="e">
        <f t="shared" ref="AP51" si="536">+IF(AL49&lt;0,1-AP49/AL49,AP49/AL49-1)</f>
        <v>#DIV/0!</v>
      </c>
      <c r="AQ51" s="39" t="e">
        <f t="shared" ref="AQ51" si="537">+IF(AM49&lt;0,1-AQ49/AM49,AQ49/AM49-1)</f>
        <v>#DIV/0!</v>
      </c>
      <c r="AR51" s="39" t="e">
        <f t="shared" ref="AR51" si="538">+IF(AN49&lt;0,1-AR49/AN49,AR49/AN49-1)</f>
        <v>#DIV/0!</v>
      </c>
      <c r="AS51" s="39" t="e">
        <f t="shared" ref="AS51" si="539">+IF(AO49&lt;0,1-AS49/AO49,AS49/AO49-1)</f>
        <v>#DIV/0!</v>
      </c>
      <c r="AT51" s="39" t="e">
        <f t="shared" ref="AT51" si="540">+IF(AP49&lt;0,1-AT49/AP49,AT49/AP49-1)</f>
        <v>#DIV/0!</v>
      </c>
      <c r="AU51" s="39" t="e">
        <f t="shared" ref="AU51" si="541">+IF(AQ49&lt;0,1-AU49/AQ49,AU49/AQ49-1)</f>
        <v>#DIV/0!</v>
      </c>
      <c r="AV51" s="39" t="e">
        <f t="shared" ref="AV51" si="542">+IF(AR49&lt;0,1-AV49/AR49,AV49/AR49-1)</f>
        <v>#DIV/0!</v>
      </c>
      <c r="AW51" s="39" t="e">
        <f t="shared" ref="AW51" si="543">+IF(AS49&lt;0,1-AW49/AS49,AW49/AS49-1)</f>
        <v>#DIV/0!</v>
      </c>
      <c r="AX51" s="39" t="e">
        <f t="shared" ref="AX51" si="544">+IF(AT49&lt;0,1-AX49/AT49,AX49/AT49-1)</f>
        <v>#DIV/0!</v>
      </c>
      <c r="AY51" s="39" t="e">
        <f t="shared" ref="AY51" si="545">+IF(AU49&lt;0,1-AY49/AU49,AY49/AU49-1)</f>
        <v>#DIV/0!</v>
      </c>
      <c r="AZ51" s="39" t="e">
        <f t="shared" ref="AZ51" si="546">+IF(AV49&lt;0,1-AZ49/AV49,AZ49/AV49-1)</f>
        <v>#DIV/0!</v>
      </c>
      <c r="BA51" s="39">
        <f t="shared" ref="BA51" si="547">+IF(AW49&lt;0,1-BA49/AW49,BA49/AW49-1)</f>
        <v>0.10815043125947632</v>
      </c>
      <c r="BB51" s="39">
        <f t="shared" ref="BB51" si="548">+IF(AX49&lt;0,1-BB49/AX49,BB49/AX49-1)</f>
        <v>0.33542384304328188</v>
      </c>
      <c r="BC51" s="39">
        <f t="shared" ref="BC51" si="549">+IF(AY49&lt;0,1-BC49/AY49,BC49/AY49-1)</f>
        <v>0.4577712829736178</v>
      </c>
      <c r="BD51" s="39">
        <f t="shared" ref="BD51" si="550">+IF(AZ49&lt;0,1-BD49/AZ49,BD49/AZ49-1)</f>
        <v>5.5409620751922795E-4</v>
      </c>
      <c r="BE51" s="39">
        <f t="shared" ref="BE51" si="551">+IF(BA49&lt;0,1-BE49/BA49,BE49/BA49-1)</f>
        <v>-0.21784576735005268</v>
      </c>
      <c r="BF51" s="39">
        <f t="shared" ref="BF51" si="552">+IF(BB49&lt;0,1-BF49/BB49,BF49/BB49-1)</f>
        <v>-0.36803443006742975</v>
      </c>
      <c r="BG51" s="39">
        <f t="shared" ref="BG51" si="553">+IF(BC49&lt;0,1-BG49/BC49,BG49/BC49-1)</f>
        <v>-0.57439917748361224</v>
      </c>
      <c r="BH51" s="39">
        <f t="shared" ref="BH51" si="554">+IF(BD49&lt;0,1-BH49/BD49,BH49/BD49-1)</f>
        <v>-0.66752127986873266</v>
      </c>
      <c r="BI51" s="39">
        <f t="shared" ref="BI51" si="555">+IF(BE49&lt;0,1-BI49/BE49,BI49/BE49-1)</f>
        <v>-0.48904502437625585</v>
      </c>
      <c r="BJ51" s="39">
        <f t="shared" ref="BJ51" si="556">+IF(BF49&lt;0,1-BJ49/BF49,BJ49/BF49-1)</f>
        <v>-4.2169476486247248E-2</v>
      </c>
      <c r="BK51" s="39">
        <f t="shared" ref="BK51" si="557">+IF(BG49&lt;0,1-BK49/BG49,BK49/BG49-1)</f>
        <v>-8.8054112815553087E-2</v>
      </c>
      <c r="BL51" s="39">
        <f t="shared" ref="BL51" si="558">+IF(BH49&lt;0,1-BL49/BH49,BL49/BH49-1)</f>
        <v>2.4885872917951972</v>
      </c>
      <c r="BM51" s="39">
        <f t="shared" ref="BM51" si="559">+IF(BI49&lt;0,1-BM49/BI49,BM49/BI49-1)</f>
        <v>3.1235898299377185</v>
      </c>
      <c r="BN51" s="39">
        <f t="shared" ref="BN51" si="560">+IF(BJ49&lt;0,1-BN49/BJ49,BN49/BJ49-1)</f>
        <v>1.5510085921396954</v>
      </c>
      <c r="BO51" s="39">
        <f t="shared" ref="BO51" si="561">+IF(BK49&lt;0,1-BO49/BK49,BO49/BK49-1)</f>
        <v>10.376158940397273</v>
      </c>
      <c r="BP51" s="39">
        <f t="shared" ref="BP51" si="562">+IF(BL49&lt;0,1-BP49/BL49,BP49/BL49-1)</f>
        <v>3.2841732979664036</v>
      </c>
      <c r="BQ51" s="39">
        <f t="shared" ref="BQ51" si="563">+IF(BM49&lt;0,1-BQ49/BM49,BQ49/BM49-1)</f>
        <v>2.7137607186606725</v>
      </c>
      <c r="BR51" s="39">
        <f t="shared" ref="BR51" si="564">+IF(BN49&lt;0,1-BR49/BN49,BR49/BN49-1)</f>
        <v>1.6955969133000477</v>
      </c>
      <c r="BS51" s="39">
        <f t="shared" ref="BS51" si="565">+IF(BO49&lt;0,1-BS49/BO49,BS49/BO49-1)</f>
        <v>0.40650832460123487</v>
      </c>
      <c r="BT51" s="39">
        <f t="shared" ref="BT51" si="566">+IF(BP49&lt;0,1-BT49/BP49,BT49/BP49-1)</f>
        <v>-0.15817063606719728</v>
      </c>
      <c r="BU51" s="39">
        <f t="shared" ref="BU51" si="567">+IF(BQ49&lt;0,1-BU49/BQ49,BU49/BQ49-1)</f>
        <v>-0.43203225215319796</v>
      </c>
      <c r="BV51" s="39">
        <f t="shared" ref="BV51" si="568">+IF(BR49&lt;0,1-BV49/BR49,BV49/BR49-1)</f>
        <v>-0.21898154385019608</v>
      </c>
      <c r="BW51" s="39">
        <f t="shared" ref="BW51" si="569">+IF(BS49&lt;0,1-BW49/BS49,BW49/BS49-1)</f>
        <v>4.523819378336924E-2</v>
      </c>
      <c r="BX51" s="39">
        <f t="shared" ref="BX51" si="570">+IF(BT49&lt;0,1-BX49/BT49,BX49/BT49-1)</f>
        <v>0.14635940181417073</v>
      </c>
      <c r="BY51" s="39">
        <f t="shared" ref="BY51" si="571">+IF(BU49&lt;0,1-BY49/BU49,BY49/BU49-1)</f>
        <v>0.3103181260889214</v>
      </c>
      <c r="BZ51" s="39">
        <f t="shared" ref="BZ51" si="572">+IF(BV49&lt;0,1-BZ49/BV49,BZ49/BV49-1)</f>
        <v>-0.53755929279861925</v>
      </c>
      <c r="CA51" s="39">
        <f t="shared" ref="CA51" si="573">+IF(BW49&lt;0,1-CA49/BW49,CA49/BW49-1)</f>
        <v>-0.88754256751405769</v>
      </c>
      <c r="CB51" s="39">
        <f t="shared" ref="CB51" si="574">+IF(BX49&lt;0,1-CB49/BX49,CB49/BX49-1)</f>
        <v>-0.83182207014542264</v>
      </c>
      <c r="CC51" s="39">
        <f t="shared" ref="CC51" si="575">+IF(BY49&lt;0,1-CC49/BY49,CC49/BY49-1)</f>
        <v>-0.87604648872254465</v>
      </c>
      <c r="CD51" s="39">
        <f t="shared" ref="CD51" si="576">+IF(BZ49&lt;0,1-CD49/BZ49,CD49/BZ49-1)</f>
        <v>-0.29765013054830292</v>
      </c>
      <c r="CE51" s="39">
        <f t="shared" ref="CE51" si="577">+IF(CA49&lt;0,1-CE49/CA49,CE49/CA49-1)</f>
        <v>-0.57007042253520734</v>
      </c>
      <c r="CF51" s="39">
        <f t="shared" ref="CF51" si="578">+IF(CB49&lt;0,1-CF49/CB49,CF49/CB49-1)</f>
        <v>-0.54933875890132433</v>
      </c>
      <c r="CG51" s="39">
        <f t="shared" ref="CG51" si="579">+IF(CC49&lt;0,1-CG49/CC49,CG49/CC49-1)</f>
        <v>2.5999205403257757</v>
      </c>
      <c r="CH51" s="39">
        <f t="shared" ref="CH51:CL51" si="580">+IF(CD49&lt;0,1-CH49/CD49,CH49/CD49-1)</f>
        <v>2.1050185873605924</v>
      </c>
      <c r="CI51" s="39">
        <f t="shared" si="580"/>
        <v>12.192465192465127</v>
      </c>
      <c r="CJ51" s="39">
        <f t="shared" si="580"/>
        <v>9.9339729119638598</v>
      </c>
      <c r="CK51" s="39">
        <f t="shared" si="580"/>
        <v>1.7934002869440415</v>
      </c>
      <c r="CL51" s="39">
        <f t="shared" si="580"/>
        <v>0.20541326377902247</v>
      </c>
      <c r="CM51" s="40">
        <f t="shared" ref="CM51" si="581">+CM49/CI49-1</f>
        <v>0.28588312180745423</v>
      </c>
      <c r="CN51" s="40">
        <f t="shared" ref="CN51" si="582">+CN49/CJ49-1</f>
        <v>0.14944282036760015</v>
      </c>
      <c r="CO51" s="40">
        <f t="shared" ref="CO51" si="583">+CO49/CK49-1</f>
        <v>3.4217440081374395E-3</v>
      </c>
      <c r="CP51" s="40">
        <f t="shared" ref="CP51" si="584">+CP49/CL49-1</f>
        <v>-8.4832822245940354E-2</v>
      </c>
      <c r="CQ51" s="40">
        <f t="shared" ref="CQ51" si="585">+CQ49/CM49-1</f>
        <v>0.22313380863677335</v>
      </c>
      <c r="CR51" s="40">
        <f t="shared" ref="CR51" si="586">+CR49/CN49-1</f>
        <v>0.18462270120358726</v>
      </c>
      <c r="CS51" s="40">
        <f t="shared" ref="CS51" si="587">+CS49/CO49-1</f>
        <v>0.16249193740010881</v>
      </c>
      <c r="CT51" s="40">
        <f t="shared" ref="CT51" si="588">+CT49/CP49-1</f>
        <v>0.16852790994648004</v>
      </c>
      <c r="CU51" s="40">
        <f t="shared" ref="CU51" si="589">+CU49/CQ49-1</f>
        <v>0.19232409002686324</v>
      </c>
      <c r="CV51" s="40">
        <f t="shared" ref="CV51" si="590">+CV49/CR49-1</f>
        <v>0.25476634066778825</v>
      </c>
      <c r="CW51" s="40">
        <f t="shared" ref="CW51" si="591">+CW49/CS49-1</f>
        <v>0.1511596588946813</v>
      </c>
      <c r="CX51" s="40">
        <f t="shared" ref="CX51" si="592">+CX49/CT49-1</f>
        <v>0.15734883674827094</v>
      </c>
      <c r="CY51" s="40">
        <f t="shared" ref="CY51" si="593">+CY49/CU49-1</f>
        <v>0.17878646440988533</v>
      </c>
      <c r="CZ51" s="40">
        <f t="shared" ref="CZ51" si="594">+CZ49/CV49-1</f>
        <v>0.5144129390914185</v>
      </c>
      <c r="DA51" s="40">
        <f t="shared" ref="DA51" si="595">+DA49/CW49-1</f>
        <v>0.46392160156295059</v>
      </c>
      <c r="DB51" s="40">
        <f t="shared" ref="DB51" si="596">+DB49/CX49-1</f>
        <v>0.41097888624405599</v>
      </c>
      <c r="DE51" s="122"/>
      <c r="DF51" s="39">
        <v>1.5107925848593382</v>
      </c>
    </row>
    <row r="52" spans="1:110" s="39" customFormat="1" x14ac:dyDescent="0.2">
      <c r="A52" s="39" t="s">
        <v>452</v>
      </c>
      <c r="AB52" s="40"/>
      <c r="AC52" s="40"/>
      <c r="AD52" s="40"/>
      <c r="AE52" s="40"/>
      <c r="AJ52" s="39" t="e">
        <f>+IF(AI49&lt;0,1-AJ49/AI49,AJ49/AI49-1)</f>
        <v>#DIV/0!</v>
      </c>
      <c r="AK52" s="39" t="e">
        <f t="shared" ref="AK52:AM52" si="597">+IF(AJ49&lt;0,1-AK49/AJ49,AK49/AJ49-1)</f>
        <v>#DIV/0!</v>
      </c>
      <c r="AL52" s="39" t="e">
        <f t="shared" si="597"/>
        <v>#DIV/0!</v>
      </c>
      <c r="AM52" s="39" t="e">
        <f t="shared" si="597"/>
        <v>#DIV/0!</v>
      </c>
      <c r="AN52" s="39" t="e">
        <f t="shared" ref="AN52" si="598">+IF(AM49&lt;0,1-AN49/AM49,AN49/AM49-1)</f>
        <v>#DIV/0!</v>
      </c>
      <c r="AO52" s="39" t="e">
        <f t="shared" ref="AO52" si="599">+IF(AN49&lt;0,1-AO49/AN49,AO49/AN49-1)</f>
        <v>#DIV/0!</v>
      </c>
      <c r="AP52" s="39" t="e">
        <f t="shared" ref="AP52" si="600">+IF(AO49&lt;0,1-AP49/AO49,AP49/AO49-1)</f>
        <v>#DIV/0!</v>
      </c>
      <c r="AQ52" s="39" t="e">
        <f t="shared" ref="AQ52" si="601">+IF(AP49&lt;0,1-AQ49/AP49,AQ49/AP49-1)</f>
        <v>#DIV/0!</v>
      </c>
      <c r="AR52" s="39" t="e">
        <f t="shared" ref="AR52" si="602">+IF(AQ49&lt;0,1-AR49/AQ49,AR49/AQ49-1)</f>
        <v>#DIV/0!</v>
      </c>
      <c r="AS52" s="39" t="e">
        <f t="shared" ref="AS52" si="603">+IF(AR49&lt;0,1-AS49/AR49,AS49/AR49-1)</f>
        <v>#DIV/0!</v>
      </c>
      <c r="AT52" s="39" t="e">
        <f t="shared" ref="AT52" si="604">+IF(AS49&lt;0,1-AT49/AS49,AT49/AS49-1)</f>
        <v>#DIV/0!</v>
      </c>
      <c r="AU52" s="39" t="e">
        <f t="shared" ref="AU52" si="605">+IF(AT49&lt;0,1-AU49/AT49,AU49/AT49-1)</f>
        <v>#DIV/0!</v>
      </c>
      <c r="AV52" s="39" t="e">
        <f t="shared" ref="AV52" si="606">+IF(AU49&lt;0,1-AV49/AU49,AV49/AU49-1)</f>
        <v>#DIV/0!</v>
      </c>
      <c r="AW52" s="39" t="e">
        <f t="shared" ref="AW52" si="607">+IF(AV49&lt;0,1-AW49/AV49,AW49/AV49-1)</f>
        <v>#DIV/0!</v>
      </c>
      <c r="AX52" s="39">
        <f t="shared" ref="AX52" si="608">+IF(AW49&lt;0,1-AX49/AW49,AX49/AW49-1)</f>
        <v>0.32773234570356147</v>
      </c>
      <c r="AY52" s="39">
        <f t="shared" ref="AY52" si="609">+IF(AX49&lt;0,1-AY49/AX49,AY49/AX49-1)</f>
        <v>-0.50037441964954332</v>
      </c>
      <c r="AZ52" s="39">
        <f t="shared" ref="AZ52" si="610">+IF(AY49&lt;0,1-AZ49/AY49,AZ49/AY49-1)</f>
        <v>0.82583932853717101</v>
      </c>
      <c r="BA52" s="39">
        <f t="shared" ref="BA52" si="611">+IF(AZ49&lt;0,1-BA49/AZ49,BA49/AZ49-1)</f>
        <v>-8.5084550976851081E-2</v>
      </c>
      <c r="BB52" s="39">
        <f t="shared" ref="BB52" si="612">+IF(BA49&lt;0,1-BB49/BA49,BB49/BA49-1)</f>
        <v>0.60004037503925201</v>
      </c>
      <c r="BC52" s="39">
        <f t="shared" ref="BC52" si="613">+IF(BB49&lt;0,1-BC49/BB49,BC49/BB49-1)</f>
        <v>-0.45460025514138014</v>
      </c>
      <c r="BD52" s="39">
        <f t="shared" ref="BD52" si="614">+IF(BC49&lt;0,1-BD49/BC49,BD49/BC49-1)</f>
        <v>0.25318082508675288</v>
      </c>
      <c r="BE52" s="39">
        <f t="shared" ref="BE52" si="615">+IF(BD49&lt;0,1-BE49/BD49,BE49/BD49-1)</f>
        <v>-0.28479130345605663</v>
      </c>
      <c r="BF52" s="39">
        <f t="shared" ref="BF52" si="616">+IF(BE49&lt;0,1-BF49/BE49,BF49/BE49-1)</f>
        <v>0.29280183538858773</v>
      </c>
      <c r="BG52" s="39">
        <f t="shared" ref="BG52" si="617">+IF(BF49&lt;0,1-BG49/BF49,BG49/BF49-1)</f>
        <v>-0.63269742679680518</v>
      </c>
      <c r="BH52" s="39">
        <f t="shared" ref="BH52" si="618">+IF(BG49&lt;0,1-BH49/BG49,BH49/BG49-1)</f>
        <v>-2.1017031042401713E-2</v>
      </c>
      <c r="BI52" s="39">
        <f t="shared" ref="BI52" si="619">+IF(BH49&lt;0,1-BI49/BH49,BI49/BH49-1)</f>
        <v>9.9136335595312097E-2</v>
      </c>
      <c r="BJ52" s="39">
        <f t="shared" ref="BJ52" si="620">+IF(BI49&lt;0,1-BJ49/BI49,BJ49/BI49-1)</f>
        <v>1.4234719649772765</v>
      </c>
      <c r="BK52" s="39">
        <f t="shared" ref="BK52" si="621">+IF(BJ49&lt;0,1-BK49/BJ49,BK49/BJ49-1)</f>
        <v>-0.6502929664883369</v>
      </c>
      <c r="BL52" s="39">
        <f t="shared" ref="BL52" si="622">+IF(BK49&lt;0,1-BL49/BK49,BL49/BK49-1)</f>
        <v>2.7450331125827536</v>
      </c>
      <c r="BM52" s="39">
        <f t="shared" ref="BM52" si="623">+IF(BL49&lt;0,1-BM49/BL49,BM49/BL49-1)</f>
        <v>0.29920424403183321</v>
      </c>
      <c r="BN52" s="39">
        <f t="shared" ref="BN52" si="624">+IF(BM49&lt;0,1-BN49/BM49,BN49/BM49-1)</f>
        <v>0.49925139512725947</v>
      </c>
      <c r="BO52" s="39">
        <f t="shared" ref="BO52" si="625">+IF(BN49&lt;0,1-BO49/BN49,BO49/BN49-1)</f>
        <v>0.55950975941897507</v>
      </c>
      <c r="BP52" s="39">
        <f t="shared" ref="BP52" si="626">+IF(BO49&lt;0,1-BP49/BO49,BP49/BO49-1)</f>
        <v>0.41035044824775846</v>
      </c>
      <c r="BQ52" s="39">
        <f t="shared" ref="BQ52" si="627">+IF(BP49&lt;0,1-BQ49/BP49,BQ49/BP49-1)</f>
        <v>0.1262228092623936</v>
      </c>
      <c r="BR52" s="39">
        <f t="shared" ref="BR52" si="628">+IF(BQ49&lt;0,1-BR49/BQ49,BR49/BQ49-1)</f>
        <v>8.8216969030602943E-2</v>
      </c>
      <c r="BS52" s="39">
        <f t="shared" ref="BS52" si="629">+IF(BR49&lt;0,1-BS49/BR49,BS49/BR49-1)</f>
        <v>-0.18627913242624261</v>
      </c>
      <c r="BT52" s="39">
        <f t="shared" ref="BT52" si="630">+IF(BS49&lt;0,1-BT49/BS49,BT49/BS49-1)</f>
        <v>-0.15587103182815287</v>
      </c>
      <c r="BU52" s="39">
        <f t="shared" ref="BU52" si="631">+IF(BT49&lt;0,1-BU49/BT49,BU49/BT49-1)</f>
        <v>-0.24015690120127531</v>
      </c>
      <c r="BV52" s="39">
        <f t="shared" ref="BV52" si="632">+IF(BU49&lt;0,1-BV49/BU49,BV49/BU49-1)</f>
        <v>0.49641866167645277</v>
      </c>
      <c r="BW52" s="39">
        <f t="shared" ref="BW52" si="633">+IF(BV49&lt;0,1-BW49/BV49,BW49/BV49-1)</f>
        <v>8.9003880983183015E-2</v>
      </c>
      <c r="BX52" s="39">
        <f t="shared" ref="BX52" si="634">+IF(BW49&lt;0,1-BX49/BW49,BX49/BW49-1)</f>
        <v>-7.4206066365723244E-2</v>
      </c>
      <c r="BY52" s="39">
        <f t="shared" ref="BY52" si="635">+IF(BX49&lt;0,1-BY49/BX49,BY49/BX49-1)</f>
        <v>-0.13147989734816123</v>
      </c>
      <c r="BZ52" s="39">
        <f t="shared" ref="BZ52" si="636">+IF(BY49&lt;0,1-BZ49/BY49,BZ49/BY49-1)</f>
        <v>-0.47188023244361244</v>
      </c>
      <c r="CA52" s="39">
        <f t="shared" ref="CA52" si="637">+IF(BZ49&lt;0,1-CA49/BZ49,CA49/BZ49-1)</f>
        <v>-0.73517344274524588</v>
      </c>
      <c r="CB52" s="39">
        <f t="shared" ref="CB52" si="638">+IF(CA49&lt;0,1-CB49/CA49,CB49/CA49-1)</f>
        <v>0.38450704225353616</v>
      </c>
      <c r="CC52" s="39">
        <f t="shared" ref="CC52" si="639">+IF(CB49&lt;0,1-CC49/CB49,CC49/CB49-1)</f>
        <v>-0.35986775178026609</v>
      </c>
      <c r="CD52" s="39">
        <f t="shared" ref="CD52" si="640">+IF(CC49&lt;0,1-CD49/CC49,CD49/CC49-1)</f>
        <v>1.9924513309495357</v>
      </c>
      <c r="CE52" s="39">
        <f t="shared" ref="CE52" si="641">+IF(CD49&lt;0,1-CE49/CD49,CE49/CD49-1)</f>
        <v>-0.83789166224110412</v>
      </c>
      <c r="CF52" s="39">
        <f t="shared" ref="CF52" si="642">+IF(CE49&lt;0,1-CF49/CE49,CF49/CE49-1)</f>
        <v>0.45126945126944773</v>
      </c>
      <c r="CG52" s="39">
        <f t="shared" ref="CG52" si="643">+IF(CF49&lt;0,1-CG49/CF49,CG49/CF49-1)</f>
        <v>4.1134311512415298</v>
      </c>
      <c r="CH52" s="39">
        <f t="shared" ref="CH52:CL52" si="644">+IF(CG49&lt;0,1-CH49/CG49,CH49/CG49-1)</f>
        <v>1.5810616929698691</v>
      </c>
      <c r="CI52" s="39">
        <f t="shared" si="644"/>
        <v>-0.31124128789498506</v>
      </c>
      <c r="CJ52" s="39">
        <f t="shared" si="644"/>
        <v>0.20281847529178099</v>
      </c>
      <c r="CK52" s="39">
        <f t="shared" si="644"/>
        <v>0.30637419354838635</v>
      </c>
      <c r="CL52" s="39">
        <f t="shared" si="644"/>
        <v>0.11378452056418253</v>
      </c>
      <c r="CM52" s="40">
        <f t="shared" ref="CM52" si="645">+CM49/CL49-1</f>
        <v>-0.26526177410966423</v>
      </c>
      <c r="CN52" s="40">
        <f t="shared" ref="CN52" si="646">+CN49/CM49-1</f>
        <v>7.5191856228955967E-2</v>
      </c>
      <c r="CO52" s="40">
        <f t="shared" ref="CO52" si="647">+CO49/CN49-1</f>
        <v>0.14041712070403678</v>
      </c>
      <c r="CP52" s="40">
        <f t="shared" ref="CP52" si="648">+CP49/CO49-1</f>
        <v>1.5823149535630687E-2</v>
      </c>
      <c r="CQ52" s="40">
        <f t="shared" ref="CQ52" si="649">+CQ49/CP49-1</f>
        <v>-1.8012024000075399E-2</v>
      </c>
      <c r="CR52" s="40">
        <f t="shared" ref="CR52" si="650">+CR49/CQ49-1</f>
        <v>4.1338790608384413E-2</v>
      </c>
      <c r="CS52" s="40">
        <f t="shared" ref="CS52" si="651">+CS49/CR49-1</f>
        <v>0.11911219221490543</v>
      </c>
      <c r="CT52" s="40">
        <f t="shared" ref="CT52" si="652">+CT49/CS49-1</f>
        <v>2.1097578067391654E-2</v>
      </c>
      <c r="CU52" s="40">
        <f t="shared" ref="CU52" si="653">+CU49/CT49-1</f>
        <v>1.9854125307607884E-3</v>
      </c>
      <c r="CV52" s="40">
        <f t="shared" ref="CV52" si="654">+CV49/CU49-1</f>
        <v>9.587391097471154E-2</v>
      </c>
      <c r="CW52" s="40">
        <f t="shared" ref="CW52" si="655">+CW49/CV49-1</f>
        <v>2.6706541051593202E-2</v>
      </c>
      <c r="CX52" s="40">
        <f t="shared" ref="CX52" si="656">+CX49/CW49-1</f>
        <v>2.6587480764813209E-2</v>
      </c>
      <c r="CY52" s="40">
        <f t="shared" ref="CY52" si="657">+CY49/CX49-1</f>
        <v>2.054523608106984E-2</v>
      </c>
      <c r="CZ52" s="40">
        <f t="shared" ref="CZ52" si="658">+CZ49/CY49-1</f>
        <v>0.40789335515795799</v>
      </c>
      <c r="DA52" s="40">
        <f t="shared" ref="DA52" si="659">+DA49/CZ49-1</f>
        <v>-7.5244042664145416E-3</v>
      </c>
      <c r="DB52" s="40">
        <f t="shared" ref="DB52" si="660">+DB49/DA49-1</f>
        <v>-1.0539048884073754E-2</v>
      </c>
      <c r="DE52" s="122"/>
    </row>
    <row r="53" spans="1:110" s="75" customFormat="1" x14ac:dyDescent="0.2">
      <c r="A53" s="23" t="s">
        <v>23</v>
      </c>
      <c r="B53" s="75">
        <f>'Annual Raw'!C32</f>
        <v>0</v>
      </c>
      <c r="C53" s="75">
        <f>'Annual Raw'!D32</f>
        <v>0</v>
      </c>
      <c r="D53" s="75">
        <f>'Annual Raw'!E32</f>
        <v>0</v>
      </c>
      <c r="E53" s="75">
        <f>'Annual Raw'!F32</f>
        <v>0</v>
      </c>
      <c r="F53" s="75">
        <f>'Annual Raw'!G32</f>
        <v>0</v>
      </c>
      <c r="G53" s="75">
        <f>'Annual Raw'!H32</f>
        <v>0</v>
      </c>
      <c r="H53" s="75">
        <f>'Annual Raw'!I32</f>
        <v>0</v>
      </c>
      <c r="I53" s="75">
        <f>'Annual Raw'!J32</f>
        <v>0</v>
      </c>
      <c r="J53" s="75">
        <f>'Annual Raw'!K32</f>
        <v>0</v>
      </c>
      <c r="K53" s="75">
        <f>'Annual Raw'!L32</f>
        <v>0</v>
      </c>
      <c r="L53" s="75">
        <f>'Annual Raw'!M32</f>
        <v>0</v>
      </c>
      <c r="M53" s="75">
        <f>'Annual Raw'!N32</f>
        <v>0</v>
      </c>
      <c r="N53" s="75">
        <f>'Annual Raw'!O32</f>
        <v>0</v>
      </c>
      <c r="O53" s="75">
        <f>'Annual Raw'!P32</f>
        <v>0</v>
      </c>
      <c r="P53" s="75">
        <f>'Annual Raw'!Q32</f>
        <v>0</v>
      </c>
      <c r="Q53" s="75">
        <f>'Annual Raw'!R32</f>
        <v>0</v>
      </c>
      <c r="R53" s="75">
        <f>'Annual Raw'!S32</f>
        <v>0</v>
      </c>
      <c r="S53" s="75">
        <f>'Annual Raw'!T32</f>
        <v>0</v>
      </c>
      <c r="T53" s="75">
        <f>'Annual Raw'!U32</f>
        <v>0</v>
      </c>
      <c r="U53" s="75">
        <f>'Annual Raw'!V32</f>
        <v>0</v>
      </c>
      <c r="V53" s="75">
        <f>'Annual Raw'!W32</f>
        <v>-0.24</v>
      </c>
      <c r="W53" s="75">
        <f>'Annual Raw'!X32</f>
        <v>-4.71</v>
      </c>
      <c r="X53" s="75">
        <f>'Annual Raw'!Y32</f>
        <v>-3.27</v>
      </c>
      <c r="Y53" s="75">
        <f>'Annual Raw'!Z32</f>
        <v>-1.72</v>
      </c>
      <c r="Z53" s="75">
        <f>'Annual Raw'!AA32</f>
        <v>-0.02</v>
      </c>
      <c r="AA53" s="75">
        <f>'Annual Raw'!AB32</f>
        <v>-1.35</v>
      </c>
      <c r="AB53" s="76">
        <f t="shared" ref="AB53:AB54" si="661">+SUM(CM53:CP53)</f>
        <v>-11.8</v>
      </c>
      <c r="AC53" s="76">
        <f t="shared" ref="AC53:AC54" si="662">+SUM(CQ53:CT53)</f>
        <v>-11.8</v>
      </c>
      <c r="AD53" s="76">
        <f t="shared" ref="AD53:AD54" si="663">+SUM(CU53:CX53)</f>
        <v>-11.8</v>
      </c>
      <c r="AE53" s="76">
        <f t="shared" ref="AE53:AE54" si="664">+SUM(CY53:DB53)</f>
        <v>-11.8</v>
      </c>
      <c r="AI53" s="75">
        <f>'QTR Raw'!C34</f>
        <v>0</v>
      </c>
      <c r="AJ53" s="75">
        <f>'QTR Raw'!D34</f>
        <v>0</v>
      </c>
      <c r="AK53" s="75">
        <f>'QTR Raw'!E34</f>
        <v>0</v>
      </c>
      <c r="AL53" s="75">
        <f>'QTR Raw'!F34</f>
        <v>0</v>
      </c>
      <c r="AM53" s="75">
        <f>'QTR Raw'!G34</f>
        <v>0</v>
      </c>
      <c r="AN53" s="75">
        <f>'QTR Raw'!H34</f>
        <v>0</v>
      </c>
      <c r="AO53" s="75">
        <f>'QTR Raw'!I34</f>
        <v>0</v>
      </c>
      <c r="AP53" s="75">
        <f>'QTR Raw'!J34</f>
        <v>0</v>
      </c>
      <c r="AQ53" s="75">
        <f>'QTR Raw'!K34</f>
        <v>0</v>
      </c>
      <c r="AR53" s="75">
        <f>'QTR Raw'!L34</f>
        <v>0</v>
      </c>
      <c r="AS53" s="75">
        <f>'QTR Raw'!M34</f>
        <v>0</v>
      </c>
      <c r="AT53" s="75">
        <f>'QTR Raw'!N34</f>
        <v>0</v>
      </c>
      <c r="AU53" s="75">
        <f>'QTR Raw'!O34</f>
        <v>0</v>
      </c>
      <c r="AV53" s="75">
        <f>'QTR Raw'!P34</f>
        <v>0</v>
      </c>
      <c r="AW53" s="75">
        <f>'QTR Raw'!Q34</f>
        <v>0</v>
      </c>
      <c r="AX53" s="75">
        <f>'QTR Raw'!R34</f>
        <v>0</v>
      </c>
      <c r="AY53" s="75">
        <f>'QTR Raw'!S34</f>
        <v>0</v>
      </c>
      <c r="AZ53" s="75">
        <f>'QTR Raw'!T34</f>
        <v>0</v>
      </c>
      <c r="BA53" s="75">
        <f>'QTR Raw'!U34</f>
        <v>0</v>
      </c>
      <c r="BB53" s="75">
        <f>'QTR Raw'!V34</f>
        <v>0</v>
      </c>
      <c r="BC53" s="75">
        <f>'QTR Raw'!W34</f>
        <v>0</v>
      </c>
      <c r="BD53" s="75">
        <f>'QTR Raw'!X34</f>
        <v>0</v>
      </c>
      <c r="BE53" s="75">
        <f>'QTR Raw'!Y34</f>
        <v>0</v>
      </c>
      <c r="BF53" s="75">
        <f>'QTR Raw'!Z34</f>
        <v>0</v>
      </c>
      <c r="BG53" s="75">
        <f>'QTR Raw'!AA34</f>
        <v>0</v>
      </c>
      <c r="BH53" s="75">
        <f>'QTR Raw'!AB34</f>
        <v>0</v>
      </c>
      <c r="BI53" s="75">
        <f>'QTR Raw'!AC34</f>
        <v>0</v>
      </c>
      <c r="BJ53" s="75">
        <f>'QTR Raw'!AD34</f>
        <v>0</v>
      </c>
      <c r="BK53" s="75">
        <f>'QTR Raw'!AE34</f>
        <v>0</v>
      </c>
      <c r="BL53" s="75">
        <f>'QTR Raw'!AF34</f>
        <v>0</v>
      </c>
      <c r="BM53" s="75">
        <f>'QTR Raw'!AG34</f>
        <v>0</v>
      </c>
      <c r="BN53" s="75">
        <f>'QTR Raw'!AH34</f>
        <v>0</v>
      </c>
      <c r="BO53" s="75">
        <f>'QTR Raw'!AI34</f>
        <v>0</v>
      </c>
      <c r="BP53" s="75">
        <f>'QTR Raw'!AJ34</f>
        <v>0</v>
      </c>
      <c r="BQ53" s="75">
        <f>'QTR Raw'!AK34</f>
        <v>0</v>
      </c>
      <c r="BR53" s="75">
        <f>'QTR Raw'!AL34</f>
        <v>-0.24</v>
      </c>
      <c r="BS53" s="75">
        <f>'QTR Raw'!AM34</f>
        <v>-0.22</v>
      </c>
      <c r="BT53" s="75">
        <f>'QTR Raw'!AN34</f>
        <v>-2.0499999999999998</v>
      </c>
      <c r="BU53" s="75">
        <f>'QTR Raw'!AO34</f>
        <v>-1.22</v>
      </c>
      <c r="BV53" s="75">
        <f>'QTR Raw'!AP34</f>
        <v>-1.22</v>
      </c>
      <c r="BW53" s="75">
        <f>'QTR Raw'!AQ34</f>
        <v>-0.95</v>
      </c>
      <c r="BX53" s="75">
        <f>'QTR Raw'!AR34</f>
        <v>-0.57999999999999996</v>
      </c>
      <c r="BY53" s="75">
        <f>'QTR Raw'!AS34</f>
        <v>0.5</v>
      </c>
      <c r="BZ53" s="75">
        <f>'QTR Raw'!AT34</f>
        <v>-2.29</v>
      </c>
      <c r="CA53" s="75">
        <f>'QTR Raw'!AU34</f>
        <v>-1.94</v>
      </c>
      <c r="CB53" s="75">
        <f>'QTR Raw'!AV34</f>
        <v>-0.17</v>
      </c>
      <c r="CC53" s="75">
        <f>'QTR Raw'!AW34</f>
        <v>-0.2</v>
      </c>
      <c r="CD53" s="75">
        <f>'QTR Raw'!AX34</f>
        <v>0.59</v>
      </c>
      <c r="CE53" s="75">
        <f>'QTR Raw'!AY34</f>
        <v>-0.17</v>
      </c>
      <c r="CF53" s="75">
        <f>'QTR Raw'!AZ34</f>
        <v>-0.11</v>
      </c>
      <c r="CG53" s="75">
        <f>'QTR Raw'!BA34</f>
        <v>-0.64</v>
      </c>
      <c r="CH53" s="75">
        <f>'QTR Raw'!BB34</f>
        <v>0.9</v>
      </c>
      <c r="CI53" s="75">
        <f>'QTR Raw'!BC34</f>
        <v>1.34</v>
      </c>
      <c r="CJ53" s="75">
        <f>'QTR Raw'!BD34</f>
        <v>0.48</v>
      </c>
      <c r="CK53" s="75">
        <f>'QTR Raw'!BE34</f>
        <v>-0.22</v>
      </c>
      <c r="CL53" s="75">
        <f>'QTR Raw'!BF34</f>
        <v>-2.95</v>
      </c>
      <c r="CM53" s="76">
        <f t="shared" ref="CM53:CM54" si="665">+CL53</f>
        <v>-2.95</v>
      </c>
      <c r="CN53" s="76">
        <f t="shared" ref="CN53:CN54" si="666">+CM53</f>
        <v>-2.95</v>
      </c>
      <c r="CO53" s="76">
        <f t="shared" ref="CO53:CO54" si="667">+CN53</f>
        <v>-2.95</v>
      </c>
      <c r="CP53" s="76">
        <f t="shared" ref="CP53:CP54" si="668">+CO53</f>
        <v>-2.95</v>
      </c>
      <c r="CQ53" s="76">
        <f t="shared" ref="CQ53:CQ54" si="669">+CP53</f>
        <v>-2.95</v>
      </c>
      <c r="CR53" s="76">
        <f t="shared" ref="CR53:CR54" si="670">+CQ53</f>
        <v>-2.95</v>
      </c>
      <c r="CS53" s="76">
        <f t="shared" ref="CS53:CS54" si="671">+CR53</f>
        <v>-2.95</v>
      </c>
      <c r="CT53" s="76">
        <f t="shared" ref="CT53:CT54" si="672">+CS53</f>
        <v>-2.95</v>
      </c>
      <c r="CU53" s="76">
        <f t="shared" ref="CU53:CU54" si="673">+CT53</f>
        <v>-2.95</v>
      </c>
      <c r="CV53" s="76">
        <f t="shared" ref="CV53:CV54" si="674">+CU53</f>
        <v>-2.95</v>
      </c>
      <c r="CW53" s="76">
        <f t="shared" ref="CW53:CW54" si="675">+CV53</f>
        <v>-2.95</v>
      </c>
      <c r="CX53" s="76">
        <f t="shared" ref="CX53:CX54" si="676">+CW53</f>
        <v>-2.95</v>
      </c>
      <c r="CY53" s="76">
        <f t="shared" ref="CY53:CY54" si="677">+CX53</f>
        <v>-2.95</v>
      </c>
      <c r="CZ53" s="76">
        <f t="shared" ref="CZ53:CZ54" si="678">+CY53</f>
        <v>-2.95</v>
      </c>
      <c r="DA53" s="76">
        <f t="shared" ref="DA53:DA54" si="679">+CZ53</f>
        <v>-2.95</v>
      </c>
      <c r="DB53" s="76">
        <f t="shared" ref="DB53:DB54" si="680">+DA53</f>
        <v>-2.95</v>
      </c>
      <c r="DE53" s="131"/>
      <c r="DF53" s="75">
        <v>-1.35</v>
      </c>
    </row>
    <row r="54" spans="1:110" s="75" customFormat="1" x14ac:dyDescent="0.2">
      <c r="A54" s="23" t="s">
        <v>24</v>
      </c>
      <c r="B54" s="75">
        <f>'Annual Raw'!C33+'Annual Raw'!C28</f>
        <v>0</v>
      </c>
      <c r="C54" s="75">
        <f>'Annual Raw'!D33+'Annual Raw'!D28</f>
        <v>0</v>
      </c>
      <c r="D54" s="75">
        <f>'Annual Raw'!E33+'Annual Raw'!E28</f>
        <v>0</v>
      </c>
      <c r="E54" s="75">
        <f>'Annual Raw'!F33+'Annual Raw'!F28</f>
        <v>0</v>
      </c>
      <c r="F54" s="75">
        <f>'Annual Raw'!G33+'Annual Raw'!G28</f>
        <v>0</v>
      </c>
      <c r="G54" s="75">
        <f>'Annual Raw'!H33+'Annual Raw'!H28</f>
        <v>0</v>
      </c>
      <c r="H54" s="75">
        <f>'Annual Raw'!I33+'Annual Raw'!I28</f>
        <v>0</v>
      </c>
      <c r="I54" s="75">
        <f>'Annual Raw'!J33+'Annual Raw'!J28</f>
        <v>0</v>
      </c>
      <c r="J54" s="75">
        <f>'Annual Raw'!K33+'Annual Raw'!K28</f>
        <v>0</v>
      </c>
      <c r="K54" s="75">
        <f>'Annual Raw'!L33+'Annual Raw'!L28</f>
        <v>0</v>
      </c>
      <c r="L54" s="75">
        <f>'Annual Raw'!M33+'Annual Raw'!M28</f>
        <v>0</v>
      </c>
      <c r="M54" s="75">
        <f>'Annual Raw'!N33+'Annual Raw'!N28</f>
        <v>0</v>
      </c>
      <c r="N54" s="75">
        <f>'Annual Raw'!O33+'Annual Raw'!O28</f>
        <v>0</v>
      </c>
      <c r="O54" s="75">
        <f>'Annual Raw'!P33+'Annual Raw'!P28</f>
        <v>0</v>
      </c>
      <c r="P54" s="75">
        <f>'Annual Raw'!Q33+'Annual Raw'!Q28</f>
        <v>0.249</v>
      </c>
      <c r="Q54" s="75">
        <f>'Annual Raw'!R33+'Annual Raw'!R28</f>
        <v>-0.40200000000000002</v>
      </c>
      <c r="R54" s="75">
        <f>'Annual Raw'!S33+'Annual Raw'!S28</f>
        <v>-1.0549999999999999</v>
      </c>
      <c r="S54" s="75">
        <f>'Annual Raw'!T33+'Annual Raw'!T28</f>
        <v>0</v>
      </c>
      <c r="T54" s="75">
        <f>'Annual Raw'!U33+'Annual Raw'!U28</f>
        <v>0</v>
      </c>
      <c r="U54" s="75">
        <f>'Annual Raw'!V33+'Annual Raw'!V28</f>
        <v>0</v>
      </c>
      <c r="V54" s="75">
        <f>'Annual Raw'!W33+'Annual Raw'!W28</f>
        <v>0</v>
      </c>
      <c r="W54" s="75">
        <f>'Annual Raw'!X33+'Annual Raw'!X28</f>
        <v>-0.2</v>
      </c>
      <c r="X54" s="75">
        <f>'Annual Raw'!Y33+'Annual Raw'!Y28</f>
        <v>-3.21</v>
      </c>
      <c r="Y54" s="75">
        <f>'Annual Raw'!Z33+'Annual Raw'!Z28</f>
        <v>-5.94</v>
      </c>
      <c r="Z54" s="75">
        <f>'Annual Raw'!AA33+'Annual Raw'!AA28</f>
        <v>3.93</v>
      </c>
      <c r="AA54" s="75">
        <f>'Annual Raw'!AB33+'Annual Raw'!AB28</f>
        <v>0.28999999999999998</v>
      </c>
      <c r="AB54" s="76">
        <f t="shared" si="661"/>
        <v>0.72</v>
      </c>
      <c r="AC54" s="76">
        <f t="shared" si="662"/>
        <v>0.72</v>
      </c>
      <c r="AD54" s="76">
        <f t="shared" si="663"/>
        <v>0.72</v>
      </c>
      <c r="AE54" s="76">
        <f t="shared" si="664"/>
        <v>0.72</v>
      </c>
      <c r="AI54" s="75">
        <f>'QTR Raw'!C35</f>
        <v>0</v>
      </c>
      <c r="AJ54" s="75">
        <f>'QTR Raw'!D35</f>
        <v>0</v>
      </c>
      <c r="AK54" s="75">
        <f>'QTR Raw'!E35</f>
        <v>0</v>
      </c>
      <c r="AL54" s="75">
        <f>'QTR Raw'!F35</f>
        <v>0</v>
      </c>
      <c r="AM54" s="75">
        <f>'QTR Raw'!G35</f>
        <v>0</v>
      </c>
      <c r="AN54" s="75">
        <f>'QTR Raw'!H35</f>
        <v>0</v>
      </c>
      <c r="AO54" s="75">
        <f>'QTR Raw'!I35</f>
        <v>0</v>
      </c>
      <c r="AP54" s="75">
        <f>'QTR Raw'!J35</f>
        <v>0</v>
      </c>
      <c r="AQ54" s="75">
        <f>'QTR Raw'!K35</f>
        <v>0</v>
      </c>
      <c r="AR54" s="75">
        <f>'QTR Raw'!L35</f>
        <v>0</v>
      </c>
      <c r="AS54" s="75">
        <f>'QTR Raw'!M35</f>
        <v>0</v>
      </c>
      <c r="AT54" s="75">
        <f>'QTR Raw'!N35</f>
        <v>0</v>
      </c>
      <c r="AU54" s="75">
        <f>'QTR Raw'!O35</f>
        <v>0</v>
      </c>
      <c r="AV54" s="75">
        <f>'QTR Raw'!P35</f>
        <v>0</v>
      </c>
      <c r="AW54" s="75">
        <f>'QTR Raw'!Q35</f>
        <v>0</v>
      </c>
      <c r="AX54" s="75">
        <f>'QTR Raw'!R35</f>
        <v>0</v>
      </c>
      <c r="AY54" s="75">
        <f>'QTR Raw'!S35</f>
        <v>-1.0449999999999999</v>
      </c>
      <c r="AZ54" s="75">
        <f>'QTR Raw'!T35</f>
        <v>-0.44700000000000001</v>
      </c>
      <c r="BA54" s="75">
        <f>'QTR Raw'!U35</f>
        <v>0.437</v>
      </c>
      <c r="BB54" s="75">
        <f>'QTR Raw'!V35</f>
        <v>0</v>
      </c>
      <c r="BC54" s="75">
        <f>'QTR Raw'!W35</f>
        <v>0</v>
      </c>
      <c r="BD54" s="75">
        <f>'QTR Raw'!X35</f>
        <v>0</v>
      </c>
      <c r="BE54" s="75">
        <f>'QTR Raw'!Y35</f>
        <v>0</v>
      </c>
      <c r="BF54" s="75">
        <f>'QTR Raw'!Z35</f>
        <v>0</v>
      </c>
      <c r="BG54" s="75">
        <f>'QTR Raw'!AA35</f>
        <v>0</v>
      </c>
      <c r="BH54" s="75">
        <f>'QTR Raw'!AB35</f>
        <v>0</v>
      </c>
      <c r="BI54" s="75">
        <f>'QTR Raw'!AC35</f>
        <v>0</v>
      </c>
      <c r="BJ54" s="75">
        <f>'QTR Raw'!AD35</f>
        <v>0</v>
      </c>
      <c r="BK54" s="75">
        <f>'QTR Raw'!AE35</f>
        <v>0</v>
      </c>
      <c r="BL54" s="75">
        <f>'QTR Raw'!AF35</f>
        <v>0</v>
      </c>
      <c r="BM54" s="75">
        <f>'QTR Raw'!AG35</f>
        <v>0</v>
      </c>
      <c r="BN54" s="75">
        <f>'QTR Raw'!AH35</f>
        <v>0</v>
      </c>
      <c r="BO54" s="75">
        <f>'QTR Raw'!AI35</f>
        <v>0</v>
      </c>
      <c r="BP54" s="75">
        <f>'QTR Raw'!AJ35</f>
        <v>0</v>
      </c>
      <c r="BQ54" s="75">
        <f>'QTR Raw'!AK35</f>
        <v>0</v>
      </c>
      <c r="BR54" s="75">
        <f>'QTR Raw'!AL35</f>
        <v>0</v>
      </c>
      <c r="BS54" s="75">
        <f>'QTR Raw'!AM35</f>
        <v>0</v>
      </c>
      <c r="BT54" s="75">
        <f>'QTR Raw'!AN35</f>
        <v>0</v>
      </c>
      <c r="BU54" s="75">
        <f>'QTR Raw'!AO35</f>
        <v>-0.02</v>
      </c>
      <c r="BV54" s="75">
        <f>'QTR Raw'!AP35</f>
        <v>-0.18</v>
      </c>
      <c r="BW54" s="75">
        <f>'QTR Raw'!AQ35</f>
        <v>-0.31</v>
      </c>
      <c r="BX54" s="75">
        <f>'QTR Raw'!AR35</f>
        <v>-0.41</v>
      </c>
      <c r="BY54" s="75">
        <f>'QTR Raw'!AS35</f>
        <v>-0.52</v>
      </c>
      <c r="BZ54" s="75">
        <f>'QTR Raw'!AT35</f>
        <v>-1.97</v>
      </c>
      <c r="CA54" s="75">
        <f>'QTR Raw'!AU35</f>
        <v>-1.61</v>
      </c>
      <c r="CB54" s="75">
        <f>'QTR Raw'!AV35</f>
        <v>-2.2000000000000002</v>
      </c>
      <c r="CC54" s="75">
        <f>'QTR Raw'!AW35</f>
        <v>-1.83</v>
      </c>
      <c r="CD54" s="75">
        <f>'QTR Raw'!AX35</f>
        <v>-0.3</v>
      </c>
      <c r="CE54" s="75">
        <f>'QTR Raw'!AY35</f>
        <v>0.47</v>
      </c>
      <c r="CF54" s="75">
        <f>'QTR Raw'!AZ35</f>
        <v>2.23</v>
      </c>
      <c r="CG54" s="75">
        <f>'QTR Raw'!BA35</f>
        <v>2.33</v>
      </c>
      <c r="CH54" s="75">
        <f>'QTR Raw'!BB35</f>
        <v>-1.1000000000000001</v>
      </c>
      <c r="CI54" s="75">
        <f>'QTR Raw'!BC35</f>
        <v>0.6</v>
      </c>
      <c r="CJ54" s="75">
        <f>'QTR Raw'!BD35</f>
        <v>0.74</v>
      </c>
      <c r="CK54" s="75">
        <f>'QTR Raw'!BE35</f>
        <v>-1.23</v>
      </c>
      <c r="CL54" s="75">
        <f>'QTR Raw'!BF35</f>
        <v>0.18</v>
      </c>
      <c r="CM54" s="76">
        <f t="shared" si="665"/>
        <v>0.18</v>
      </c>
      <c r="CN54" s="76">
        <f t="shared" si="666"/>
        <v>0.18</v>
      </c>
      <c r="CO54" s="76">
        <f t="shared" si="667"/>
        <v>0.18</v>
      </c>
      <c r="CP54" s="76">
        <f t="shared" si="668"/>
        <v>0.18</v>
      </c>
      <c r="CQ54" s="76">
        <f t="shared" si="669"/>
        <v>0.18</v>
      </c>
      <c r="CR54" s="76">
        <f t="shared" si="670"/>
        <v>0.18</v>
      </c>
      <c r="CS54" s="76">
        <f t="shared" si="671"/>
        <v>0.18</v>
      </c>
      <c r="CT54" s="76">
        <f t="shared" si="672"/>
        <v>0.18</v>
      </c>
      <c r="CU54" s="76">
        <f t="shared" si="673"/>
        <v>0.18</v>
      </c>
      <c r="CV54" s="76">
        <f t="shared" si="674"/>
        <v>0.18</v>
      </c>
      <c r="CW54" s="76">
        <f t="shared" si="675"/>
        <v>0.18</v>
      </c>
      <c r="CX54" s="76">
        <f t="shared" si="676"/>
        <v>0.18</v>
      </c>
      <c r="CY54" s="76">
        <f t="shared" si="677"/>
        <v>0.18</v>
      </c>
      <c r="CZ54" s="76">
        <f t="shared" si="678"/>
        <v>0.18</v>
      </c>
      <c r="DA54" s="76">
        <f t="shared" si="679"/>
        <v>0.18</v>
      </c>
      <c r="DB54" s="76">
        <f t="shared" si="680"/>
        <v>0.18</v>
      </c>
      <c r="DE54" s="131"/>
      <c r="DF54" s="75">
        <v>0.28999999999999987</v>
      </c>
    </row>
    <row r="55" spans="1:110" s="23" customFormat="1" x14ac:dyDescent="0.2">
      <c r="A55" s="23" t="s">
        <v>19</v>
      </c>
      <c r="B55" s="75">
        <f>'Annual Raw'!C29+'Annual Raw'!C31+'Annual Raw'!C34+'Annual Raw'!C36</f>
        <v>0</v>
      </c>
      <c r="C55" s="75">
        <f>'Annual Raw'!D29+'Annual Raw'!D31+'Annual Raw'!D34+'Annual Raw'!D36</f>
        <v>0</v>
      </c>
      <c r="D55" s="75">
        <f>'Annual Raw'!E29+'Annual Raw'!E31+'Annual Raw'!E34+'Annual Raw'!E36</f>
        <v>0</v>
      </c>
      <c r="E55" s="75">
        <f>'Annual Raw'!F29+'Annual Raw'!F31+'Annual Raw'!F34+'Annual Raw'!F36</f>
        <v>0</v>
      </c>
      <c r="F55" s="75">
        <f>'Annual Raw'!G29+'Annual Raw'!G31+'Annual Raw'!G34+'Annual Raw'!G36</f>
        <v>0</v>
      </c>
      <c r="G55" s="75">
        <f>'Annual Raw'!H29+'Annual Raw'!H31+'Annual Raw'!H34+'Annual Raw'!H36</f>
        <v>0</v>
      </c>
      <c r="H55" s="75">
        <f>'Annual Raw'!I29+'Annual Raw'!I31+'Annual Raw'!I34+'Annual Raw'!I36</f>
        <v>0</v>
      </c>
      <c r="I55" s="75">
        <f>'Annual Raw'!J29+'Annual Raw'!J31+'Annual Raw'!J34+'Annual Raw'!J36</f>
        <v>0</v>
      </c>
      <c r="J55" s="75">
        <f>'Annual Raw'!K29+'Annual Raw'!K31+'Annual Raw'!K34+'Annual Raw'!K36</f>
        <v>0</v>
      </c>
      <c r="K55" s="75">
        <f>'Annual Raw'!L29+'Annual Raw'!L31+'Annual Raw'!L34+'Annual Raw'!L36</f>
        <v>0</v>
      </c>
      <c r="L55" s="75">
        <f>'Annual Raw'!M29+'Annual Raw'!M31+'Annual Raw'!M34+'Annual Raw'!M36</f>
        <v>0</v>
      </c>
      <c r="M55" s="75">
        <f>'Annual Raw'!N29+'Annual Raw'!N31+'Annual Raw'!N34+'Annual Raw'!N36</f>
        <v>0</v>
      </c>
      <c r="N55" s="75">
        <f>'Annual Raw'!O29+'Annual Raw'!O31+'Annual Raw'!O34+'Annual Raw'!O36</f>
        <v>0</v>
      </c>
      <c r="O55" s="75">
        <f>'Annual Raw'!P29+'Annual Raw'!P31+'Annual Raw'!P34+'Annual Raw'!P36</f>
        <v>0</v>
      </c>
      <c r="P55" s="75">
        <f>'Annual Raw'!Q29+'Annual Raw'!Q31+'Annual Raw'!Q34+'Annual Raw'!Q36</f>
        <v>0</v>
      </c>
      <c r="Q55" s="75">
        <f>'Annual Raw'!R29+'Annual Raw'!R31+'Annual Raw'!R34+'Annual Raw'!R36</f>
        <v>0</v>
      </c>
      <c r="R55" s="75">
        <f>'Annual Raw'!S29+'Annual Raw'!S31+'Annual Raw'!S34+'Annual Raw'!S36</f>
        <v>0</v>
      </c>
      <c r="S55" s="75">
        <f>'Annual Raw'!T29+'Annual Raw'!T31+'Annual Raw'!T34+'Annual Raw'!T36</f>
        <v>0</v>
      </c>
      <c r="T55" s="75">
        <f>'Annual Raw'!U29+'Annual Raw'!U31+'Annual Raw'!U34+'Annual Raw'!U36</f>
        <v>0</v>
      </c>
      <c r="U55" s="75">
        <f>'Annual Raw'!V29+'Annual Raw'!V31+'Annual Raw'!V34+'Annual Raw'!V36</f>
        <v>0</v>
      </c>
      <c r="V55" s="75">
        <f>'Annual Raw'!W29+'Annual Raw'!W31+'Annual Raw'!W34+'Annual Raw'!W36</f>
        <v>0</v>
      </c>
      <c r="W55" s="75">
        <f>'Annual Raw'!X29+'Annual Raw'!X31+'Annual Raw'!X34+'Annual Raw'!X36</f>
        <v>0</v>
      </c>
      <c r="X55" s="75">
        <f>'Annual Raw'!Y29+'Annual Raw'!Y31+'Annual Raw'!Y34+'Annual Raw'!Y36</f>
        <v>-5.63</v>
      </c>
      <c r="Y55" s="75">
        <f>'Annual Raw'!Z29+'Annual Raw'!Z31+'Annual Raw'!Z34+'Annual Raw'!Z36</f>
        <v>-2.87</v>
      </c>
      <c r="Z55" s="75">
        <f>'Annual Raw'!AA29+'Annual Raw'!AA31+'Annual Raw'!AA34+'Annual Raw'!AA36</f>
        <v>0</v>
      </c>
      <c r="AA55" s="75">
        <f>'Annual Raw'!AB29+'Annual Raw'!AB31+'Annual Raw'!AB34+'Annual Raw'!AB36</f>
        <v>0</v>
      </c>
      <c r="AB55" s="76">
        <f>+SUM(CM55:CP55)</f>
        <v>0</v>
      </c>
      <c r="AC55" s="76">
        <f>+SUM(CQ55:CT55)</f>
        <v>0</v>
      </c>
      <c r="AD55" s="76">
        <f>+SUM(CU55:CX55)</f>
        <v>0</v>
      </c>
      <c r="AE55" s="76">
        <f>+SUM(CY55:DB55)</f>
        <v>0</v>
      </c>
      <c r="AI55" s="75">
        <f>'QTR Raw'!C26+'QTR Raw'!C31+'QTR Raw'!C32+'QTR Raw'!C33+'QTR Raw'!C36+'QTR Raw'!C37+'QTR Raw'!C39</f>
        <v>0</v>
      </c>
      <c r="AJ55" s="75">
        <f>'QTR Raw'!D26+'QTR Raw'!D31+'QTR Raw'!D32+'QTR Raw'!D33+'QTR Raw'!D36+'QTR Raw'!D37+'QTR Raw'!D39</f>
        <v>0</v>
      </c>
      <c r="AK55" s="75">
        <f>'QTR Raw'!E26+'QTR Raw'!E31+'QTR Raw'!E32+'QTR Raw'!E33+'QTR Raw'!E36+'QTR Raw'!E37+'QTR Raw'!E39</f>
        <v>0</v>
      </c>
      <c r="AL55" s="75">
        <f>'QTR Raw'!F26+'QTR Raw'!F31+'QTR Raw'!F32+'QTR Raw'!F33+'QTR Raw'!F36+'QTR Raw'!F37+'QTR Raw'!F39</f>
        <v>0</v>
      </c>
      <c r="AM55" s="75">
        <f>'QTR Raw'!G26+'QTR Raw'!G31+'QTR Raw'!G32+'QTR Raw'!G33+'QTR Raw'!G36+'QTR Raw'!G37+'QTR Raw'!G39</f>
        <v>0</v>
      </c>
      <c r="AN55" s="75">
        <f>'QTR Raw'!H26+'QTR Raw'!H31+'QTR Raw'!H32+'QTR Raw'!H33+'QTR Raw'!H36+'QTR Raw'!H37+'QTR Raw'!H39</f>
        <v>0</v>
      </c>
      <c r="AO55" s="75">
        <f>'QTR Raw'!I26+'QTR Raw'!I31+'QTR Raw'!I32+'QTR Raw'!I33+'QTR Raw'!I36+'QTR Raw'!I37+'QTR Raw'!I39</f>
        <v>0</v>
      </c>
      <c r="AP55" s="75">
        <f>'QTR Raw'!J26+'QTR Raw'!J31+'QTR Raw'!J32+'QTR Raw'!J33+'QTR Raw'!J36+'QTR Raw'!J37+'QTR Raw'!J39</f>
        <v>0</v>
      </c>
      <c r="AQ55" s="75">
        <f>'QTR Raw'!K26+'QTR Raw'!K31+'QTR Raw'!K32+'QTR Raw'!K33+'QTR Raw'!K36+'QTR Raw'!K37+'QTR Raw'!K39</f>
        <v>0</v>
      </c>
      <c r="AR55" s="75">
        <f>'QTR Raw'!L26+'QTR Raw'!L31+'QTR Raw'!L32+'QTR Raw'!L33+'QTR Raw'!L36+'QTR Raw'!L37+'QTR Raw'!L39</f>
        <v>0</v>
      </c>
      <c r="AS55" s="75">
        <f>'QTR Raw'!M26+'QTR Raw'!M31+'QTR Raw'!M32+'QTR Raw'!M33+'QTR Raw'!M36+'QTR Raw'!M37+'QTR Raw'!M39</f>
        <v>0</v>
      </c>
      <c r="AT55" s="75">
        <f>'QTR Raw'!N26+'QTR Raw'!N31+'QTR Raw'!N32+'QTR Raw'!N33+'QTR Raw'!N36+'QTR Raw'!N37+'QTR Raw'!N39</f>
        <v>0</v>
      </c>
      <c r="AU55" s="75">
        <f>'QTR Raw'!O26+'QTR Raw'!O31+'QTR Raw'!O32+'QTR Raw'!O33+'QTR Raw'!O36+'QTR Raw'!O37+'QTR Raw'!O39</f>
        <v>0</v>
      </c>
      <c r="AV55" s="75">
        <f>'QTR Raw'!P26+'QTR Raw'!P31+'QTR Raw'!P32+'QTR Raw'!P33+'QTR Raw'!P36+'QTR Raw'!P37+'QTR Raw'!P39</f>
        <v>0</v>
      </c>
      <c r="AW55" s="75">
        <f>'QTR Raw'!Q26+'QTR Raw'!Q31+'QTR Raw'!Q32+'QTR Raw'!Q33+'QTR Raw'!Q36+'QTR Raw'!Q37+'QTR Raw'!Q39</f>
        <v>0</v>
      </c>
      <c r="AX55" s="75">
        <f>'QTR Raw'!R26+'QTR Raw'!R31+'QTR Raw'!R32+'QTR Raw'!R33+'QTR Raw'!R36+'QTR Raw'!R37+'QTR Raw'!R39</f>
        <v>0</v>
      </c>
      <c r="AY55" s="75">
        <f>'QTR Raw'!S26+'QTR Raw'!S31+'QTR Raw'!S32+'QTR Raw'!S33+'QTR Raw'!S36+'QTR Raw'!S37+'QTR Raw'!S39</f>
        <v>0</v>
      </c>
      <c r="AZ55" s="75">
        <f>'QTR Raw'!T26+'QTR Raw'!T31+'QTR Raw'!T32+'QTR Raw'!T33+'QTR Raw'!T36+'QTR Raw'!T37+'QTR Raw'!T39</f>
        <v>0</v>
      </c>
      <c r="BA55" s="75">
        <f>'QTR Raw'!U26+'QTR Raw'!U31+'QTR Raw'!U32+'QTR Raw'!U33+'QTR Raw'!U36+'QTR Raw'!U37+'QTR Raw'!U39</f>
        <v>0</v>
      </c>
      <c r="BB55" s="75">
        <f>'QTR Raw'!V26+'QTR Raw'!V31+'QTR Raw'!V32+'QTR Raw'!V33+'QTR Raw'!V36+'QTR Raw'!V37+'QTR Raw'!V39</f>
        <v>0</v>
      </c>
      <c r="BC55" s="75">
        <f>'QTR Raw'!W26+'QTR Raw'!W31+'QTR Raw'!W32+'QTR Raw'!W33+'QTR Raw'!W36+'QTR Raw'!W37+'QTR Raw'!W39</f>
        <v>0</v>
      </c>
      <c r="BD55" s="75">
        <f>'QTR Raw'!X26+'QTR Raw'!X31+'QTR Raw'!X32+'QTR Raw'!X33+'QTR Raw'!X36+'QTR Raw'!X37+'QTR Raw'!X39</f>
        <v>0</v>
      </c>
      <c r="BE55" s="75">
        <f>'QTR Raw'!Y26+'QTR Raw'!Y31+'QTR Raw'!Y32+'QTR Raw'!Y33+'QTR Raw'!Y36+'QTR Raw'!Y37+'QTR Raw'!Y39</f>
        <v>0</v>
      </c>
      <c r="BF55" s="75">
        <f>'QTR Raw'!Z26+'QTR Raw'!Z31+'QTR Raw'!Z32+'QTR Raw'!Z33+'QTR Raw'!Z36+'QTR Raw'!Z37+'QTR Raw'!Z39</f>
        <v>0</v>
      </c>
      <c r="BG55" s="75">
        <f>'QTR Raw'!AA26+'QTR Raw'!AA31+'QTR Raw'!AA32+'QTR Raw'!AA33+'QTR Raw'!AA36+'QTR Raw'!AA37+'QTR Raw'!AA39</f>
        <v>0</v>
      </c>
      <c r="BH55" s="75">
        <f>'QTR Raw'!AB26+'QTR Raw'!AB31+'QTR Raw'!AB32+'QTR Raw'!AB33+'QTR Raw'!AB36+'QTR Raw'!AB37+'QTR Raw'!AB39</f>
        <v>0</v>
      </c>
      <c r="BI55" s="75">
        <f>'QTR Raw'!AC26+'QTR Raw'!AC31+'QTR Raw'!AC32+'QTR Raw'!AC33+'QTR Raw'!AC36+'QTR Raw'!AC37+'QTR Raw'!AC39</f>
        <v>0</v>
      </c>
      <c r="BJ55" s="75">
        <f>'QTR Raw'!AD26+'QTR Raw'!AD31+'QTR Raw'!AD32+'QTR Raw'!AD33+'QTR Raw'!AD36+'QTR Raw'!AD37+'QTR Raw'!AD39</f>
        <v>0</v>
      </c>
      <c r="BK55" s="75">
        <f>'QTR Raw'!AE26+'QTR Raw'!AE31+'QTR Raw'!AE32+'QTR Raw'!AE33+'QTR Raw'!AE36+'QTR Raw'!AE37+'QTR Raw'!AE39</f>
        <v>0</v>
      </c>
      <c r="BL55" s="75">
        <f>'QTR Raw'!AF26+'QTR Raw'!AF31+'QTR Raw'!AF32+'QTR Raw'!AF33+'QTR Raw'!AF36+'QTR Raw'!AF37+'QTR Raw'!AF39</f>
        <v>0</v>
      </c>
      <c r="BM55" s="75">
        <f>'QTR Raw'!AG26+'QTR Raw'!AG31+'QTR Raw'!AG32+'QTR Raw'!AG33+'QTR Raw'!AG36+'QTR Raw'!AG37+'QTR Raw'!AG39</f>
        <v>0</v>
      </c>
      <c r="BN55" s="75">
        <f>'QTR Raw'!AH26+'QTR Raw'!AH31+'QTR Raw'!AH32+'QTR Raw'!AH33+'QTR Raw'!AH36+'QTR Raw'!AH37+'QTR Raw'!AH39</f>
        <v>0</v>
      </c>
      <c r="BO55" s="75">
        <f>'QTR Raw'!AI26+'QTR Raw'!AI31+'QTR Raw'!AI32+'QTR Raw'!AI33+'QTR Raw'!AI36+'QTR Raw'!AI37+'QTR Raw'!AI39</f>
        <v>0</v>
      </c>
      <c r="BP55" s="75">
        <f>'QTR Raw'!AJ26+'QTR Raw'!AJ31+'QTR Raw'!AJ32+'QTR Raw'!AJ33+'QTR Raw'!AJ36+'QTR Raw'!AJ37+'QTR Raw'!AJ39</f>
        <v>0</v>
      </c>
      <c r="BQ55" s="75">
        <f>'QTR Raw'!AK26+'QTR Raw'!AK31+'QTR Raw'!AK32+'QTR Raw'!AK33+'QTR Raw'!AK36+'QTR Raw'!AK37+'QTR Raw'!AK39</f>
        <v>0</v>
      </c>
      <c r="BR55" s="75">
        <f>'QTR Raw'!AL26+'QTR Raw'!AL31+'QTR Raw'!AL32+'QTR Raw'!AL33+'QTR Raw'!AL36+'QTR Raw'!AL37+'QTR Raw'!AL39</f>
        <v>0</v>
      </c>
      <c r="BS55" s="75">
        <f>'QTR Raw'!AM26+'QTR Raw'!AM31+'QTR Raw'!AM32+'QTR Raw'!AM33+'QTR Raw'!AM36+'QTR Raw'!AM37+'QTR Raw'!AM39</f>
        <v>0</v>
      </c>
      <c r="BT55" s="75">
        <f>'QTR Raw'!AN26+'QTR Raw'!AN31+'QTR Raw'!AN32+'QTR Raw'!AN33+'QTR Raw'!AN36+'QTR Raw'!AN37+'QTR Raw'!AN39</f>
        <v>0</v>
      </c>
      <c r="BU55" s="75">
        <f>'QTR Raw'!AO26+'QTR Raw'!AO31+'QTR Raw'!AO32+'QTR Raw'!AO33+'QTR Raw'!AO36+'QTR Raw'!AO37+'QTR Raw'!AO39</f>
        <v>0</v>
      </c>
      <c r="BV55" s="75">
        <f>'QTR Raw'!AP26+'QTR Raw'!AP31+'QTR Raw'!AP32+'QTR Raw'!AP33+'QTR Raw'!AP36+'QTR Raw'!AP37+'QTR Raw'!AP39</f>
        <v>0</v>
      </c>
      <c r="BW55" s="75">
        <f>'QTR Raw'!AQ26+'QTR Raw'!AQ31+'QTR Raw'!AQ32+'QTR Raw'!AQ33+'QTR Raw'!AQ36+'QTR Raw'!AQ37+'QTR Raw'!AQ39</f>
        <v>0</v>
      </c>
      <c r="BX55" s="75">
        <f>'QTR Raw'!AR26+'QTR Raw'!AR31+'QTR Raw'!AR32+'QTR Raw'!AR33+'QTR Raw'!AR36+'QTR Raw'!AR37+'QTR Raw'!AR39</f>
        <v>0</v>
      </c>
      <c r="BY55" s="75">
        <f>'QTR Raw'!AS26+'QTR Raw'!AS31+'QTR Raw'!AS32+'QTR Raw'!AS33+'QTR Raw'!AS36+'QTR Raw'!AS37+'QTR Raw'!AS39</f>
        <v>0</v>
      </c>
      <c r="BZ55" s="75">
        <f>'QTR Raw'!AT26+'QTR Raw'!AT31+'QTR Raw'!AT32+'QTR Raw'!AT33+'QTR Raw'!AT36+'QTR Raw'!AT37+'QTR Raw'!AT39</f>
        <v>0</v>
      </c>
      <c r="CA55" s="75">
        <f>'QTR Raw'!AU26+'QTR Raw'!AU31+'QTR Raw'!AU32+'QTR Raw'!AU33+'QTR Raw'!AU36+'QTR Raw'!AU37+'QTR Raw'!AU39</f>
        <v>0</v>
      </c>
      <c r="CB55" s="75">
        <f>'QTR Raw'!AV26+'QTR Raw'!AV31+'QTR Raw'!AV32+'QTR Raw'!AV33+'QTR Raw'!AV36+'QTR Raw'!AV37+'QTR Raw'!AV39</f>
        <v>0</v>
      </c>
      <c r="CC55" s="75">
        <f>'QTR Raw'!AW26+'QTR Raw'!AW31+'QTR Raw'!AW32+'QTR Raw'!AW33+'QTR Raw'!AW36+'QTR Raw'!AW37+'QTR Raw'!AW39</f>
        <v>0</v>
      </c>
      <c r="CD55" s="75">
        <f>'QTR Raw'!AX26+'QTR Raw'!AX31+'QTR Raw'!AX32+'QTR Raw'!AX33+'QTR Raw'!AX36+'QTR Raw'!AX37+'QTR Raw'!AX39</f>
        <v>0</v>
      </c>
      <c r="CE55" s="75">
        <f>'QTR Raw'!AY26+'QTR Raw'!AY31+'QTR Raw'!AY32+'QTR Raw'!AY33+'QTR Raw'!AY36+'QTR Raw'!AY37+'QTR Raw'!AY39</f>
        <v>0</v>
      </c>
      <c r="CF55" s="75">
        <f>'QTR Raw'!AZ26+'QTR Raw'!AZ31+'QTR Raw'!AZ32+'QTR Raw'!AZ33+'QTR Raw'!AZ36+'QTR Raw'!AZ37+'QTR Raw'!AZ39</f>
        <v>0</v>
      </c>
      <c r="CG55" s="75">
        <f>'QTR Raw'!BA26+'QTR Raw'!BA31+'QTR Raw'!BA32+'QTR Raw'!BA33+'QTR Raw'!BA36+'QTR Raw'!BA37+'QTR Raw'!BA39</f>
        <v>0</v>
      </c>
      <c r="CH55" s="75">
        <f>'QTR Raw'!BB26+'QTR Raw'!BB31+'QTR Raw'!BB32+'QTR Raw'!BB33+'QTR Raw'!BB36+'QTR Raw'!BB37+'QTR Raw'!BB39</f>
        <v>0</v>
      </c>
      <c r="CI55" s="75">
        <f>'QTR Raw'!BC26+'QTR Raw'!BC31+'QTR Raw'!BC32+'QTR Raw'!BC33+'QTR Raw'!BC36+'QTR Raw'!BC37+'QTR Raw'!BC39</f>
        <v>0</v>
      </c>
      <c r="CJ55" s="75">
        <f>'QTR Raw'!BD26+'QTR Raw'!BD31+'QTR Raw'!BD32+'QTR Raw'!BD33+'QTR Raw'!BD36+'QTR Raw'!BD37+'QTR Raw'!BD39</f>
        <v>0</v>
      </c>
      <c r="CK55" s="75">
        <f>'QTR Raw'!BE26+'QTR Raw'!BE31+'QTR Raw'!BE32+'QTR Raw'!BE33+'QTR Raw'!BE36+'QTR Raw'!BE37+'QTR Raw'!BE39</f>
        <v>0</v>
      </c>
      <c r="CL55" s="75">
        <f>'QTR Raw'!BF26+'QTR Raw'!BF31+'QTR Raw'!BF32+'QTR Raw'!BF33+'QTR Raw'!BF36+'QTR Raw'!BF37+'QTR Raw'!BF39</f>
        <v>0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0</v>
      </c>
    </row>
    <row r="56" spans="1:110" s="26" customFormat="1" x14ac:dyDescent="0.2">
      <c r="A56" s="35" t="s">
        <v>25</v>
      </c>
      <c r="B56" s="26">
        <f>B49+B53+B54+B55</f>
        <v>0</v>
      </c>
      <c r="C56" s="26">
        <f>C49+C53+C54+C55</f>
        <v>0</v>
      </c>
      <c r="D56" s="26">
        <f>D49+D53+D54+D55</f>
        <v>0</v>
      </c>
      <c r="E56" s="26">
        <f t="shared" ref="E56:U56" si="681">E49+E53+E54+E55</f>
        <v>0</v>
      </c>
      <c r="F56" s="26">
        <f t="shared" si="681"/>
        <v>0</v>
      </c>
      <c r="G56" s="26">
        <f t="shared" si="681"/>
        <v>0</v>
      </c>
      <c r="H56" s="26">
        <f t="shared" si="681"/>
        <v>0</v>
      </c>
      <c r="I56" s="26">
        <f t="shared" si="681"/>
        <v>0</v>
      </c>
      <c r="J56" s="26">
        <f t="shared" si="681"/>
        <v>0</v>
      </c>
      <c r="K56" s="26">
        <f t="shared" si="681"/>
        <v>0</v>
      </c>
      <c r="L56" s="26">
        <f t="shared" si="681"/>
        <v>0</v>
      </c>
      <c r="M56" s="26">
        <f t="shared" si="681"/>
        <v>21.577000000000048</v>
      </c>
      <c r="N56" s="26">
        <f t="shared" si="681"/>
        <v>88.219000000000008</v>
      </c>
      <c r="O56" s="26">
        <f t="shared" si="681"/>
        <v>97.216999999999771</v>
      </c>
      <c r="P56" s="26">
        <f t="shared" si="681"/>
        <v>68.368999999999858</v>
      </c>
      <c r="Q56" s="26">
        <f t="shared" si="681"/>
        <v>133.73500000000016</v>
      </c>
      <c r="R56" s="26">
        <f t="shared" si="681"/>
        <v>190.2760000000001</v>
      </c>
      <c r="S56" s="26">
        <f t="shared" si="681"/>
        <v>167.61000000000018</v>
      </c>
      <c r="T56" s="26">
        <f t="shared" si="681"/>
        <v>93.764000000000181</v>
      </c>
      <c r="U56" s="26">
        <f t="shared" si="681"/>
        <v>255.27</v>
      </c>
      <c r="V56" s="26">
        <f t="shared" ref="V56:AA56" si="682">V49+V53+V54+V55</f>
        <v>983.58000000000038</v>
      </c>
      <c r="W56" s="26">
        <f t="shared" si="682"/>
        <v>827.51999999999964</v>
      </c>
      <c r="X56" s="26">
        <f t="shared" si="682"/>
        <v>784.53000000000031</v>
      </c>
      <c r="Y56" s="26">
        <f t="shared" si="682"/>
        <v>157.68000000000021</v>
      </c>
      <c r="Z56" s="26">
        <f t="shared" si="682"/>
        <v>358.32000000000033</v>
      </c>
      <c r="AA56" s="26">
        <f t="shared" si="682"/>
        <v>888.78999999999917</v>
      </c>
      <c r="AB56" s="27">
        <f t="shared" ref="AB56:AD56" si="683">AB49+AB53+AB54+AB55</f>
        <v>930.72545641351508</v>
      </c>
      <c r="AC56" s="27">
        <f t="shared" si="683"/>
        <v>1102.8078748182215</v>
      </c>
      <c r="AD56" s="27">
        <f t="shared" si="683"/>
        <v>1310.8111837447768</v>
      </c>
      <c r="AE56" s="27">
        <f t="shared" ref="AE56" si="684">AE49+AE53+AE54+AE55</f>
        <v>1836.1755784251854</v>
      </c>
      <c r="AI56" s="26">
        <f t="shared" ref="AI56" si="685">AI49+AI53+AI54+AI55</f>
        <v>0</v>
      </c>
      <c r="AJ56" s="26">
        <f t="shared" ref="AJ56" si="686">AJ49+AJ53+AJ54+AJ55</f>
        <v>0</v>
      </c>
      <c r="AK56" s="26">
        <f t="shared" ref="AK56:AM56" si="687">AK49+AK53+AK54+AK55</f>
        <v>0</v>
      </c>
      <c r="AL56" s="26">
        <f t="shared" si="687"/>
        <v>0</v>
      </c>
      <c r="AM56" s="26">
        <f t="shared" si="687"/>
        <v>0</v>
      </c>
      <c r="AN56" s="26">
        <f t="shared" ref="AN56:AO56" si="688">AN49+AN53+AN54+AN55</f>
        <v>0</v>
      </c>
      <c r="AO56" s="26">
        <f t="shared" si="688"/>
        <v>0</v>
      </c>
      <c r="AP56" s="26">
        <f t="shared" ref="AP56:CD56" si="689">AP49+AP53+AP54+AP55</f>
        <v>0</v>
      </c>
      <c r="AQ56" s="26">
        <f t="shared" si="689"/>
        <v>0</v>
      </c>
      <c r="AR56" s="26">
        <f t="shared" si="689"/>
        <v>0</v>
      </c>
      <c r="AS56" s="26">
        <f t="shared" si="689"/>
        <v>0</v>
      </c>
      <c r="AT56" s="26">
        <f t="shared" si="689"/>
        <v>0</v>
      </c>
      <c r="AU56" s="26">
        <f t="shared" si="689"/>
        <v>0</v>
      </c>
      <c r="AV56" s="26">
        <f t="shared" si="689"/>
        <v>0</v>
      </c>
      <c r="AW56" s="26">
        <f t="shared" si="689"/>
        <v>40.23100000000003</v>
      </c>
      <c r="AX56" s="26">
        <f t="shared" si="689"/>
        <v>53.416000000000025</v>
      </c>
      <c r="AY56" s="26">
        <f t="shared" si="689"/>
        <v>25.643000000000008</v>
      </c>
      <c r="AZ56" s="26">
        <f t="shared" si="689"/>
        <v>48.281000000000027</v>
      </c>
      <c r="BA56" s="26">
        <f t="shared" si="689"/>
        <v>45.019000000000027</v>
      </c>
      <c r="BB56" s="26">
        <f t="shared" si="689"/>
        <v>71.332999999999984</v>
      </c>
      <c r="BC56" s="26">
        <f t="shared" si="689"/>
        <v>38.904999999999923</v>
      </c>
      <c r="BD56" s="26">
        <f t="shared" si="689"/>
        <v>48.755000000000024</v>
      </c>
      <c r="BE56" s="26">
        <f t="shared" si="689"/>
        <v>34.869999999999976</v>
      </c>
      <c r="BF56" s="26">
        <f t="shared" si="689"/>
        <v>45.080000000000027</v>
      </c>
      <c r="BG56" s="26">
        <f t="shared" si="689"/>
        <v>16.558000000000032</v>
      </c>
      <c r="BH56" s="26">
        <f t="shared" si="689"/>
        <v>16.209999999999944</v>
      </c>
      <c r="BI56" s="26">
        <f t="shared" si="689"/>
        <v>17.816999999999947</v>
      </c>
      <c r="BJ56" s="26">
        <f t="shared" si="689"/>
        <v>43.179000000000002</v>
      </c>
      <c r="BK56" s="26">
        <f t="shared" si="689"/>
        <v>15.100000000000101</v>
      </c>
      <c r="BL56" s="26">
        <f t="shared" si="689"/>
        <v>56.549999999999955</v>
      </c>
      <c r="BM56" s="26">
        <f t="shared" si="689"/>
        <v>73.470000000000113</v>
      </c>
      <c r="BN56" s="26">
        <f t="shared" si="689"/>
        <v>110.14999999999992</v>
      </c>
      <c r="BO56" s="26">
        <f t="shared" si="689"/>
        <v>171.77999999999997</v>
      </c>
      <c r="BP56" s="26">
        <f t="shared" si="689"/>
        <v>242.26999999999992</v>
      </c>
      <c r="BQ56" s="26">
        <f t="shared" si="689"/>
        <v>272.85000000000002</v>
      </c>
      <c r="BR56" s="26">
        <f t="shared" si="689"/>
        <v>296.68</v>
      </c>
      <c r="BS56" s="26">
        <f t="shared" si="689"/>
        <v>241.39000000000007</v>
      </c>
      <c r="BT56" s="26">
        <f t="shared" si="689"/>
        <v>201.90000000000003</v>
      </c>
      <c r="BU56" s="26">
        <f t="shared" si="689"/>
        <v>153.72999999999993</v>
      </c>
      <c r="BV56" s="26">
        <f t="shared" si="689"/>
        <v>230.4999999999998</v>
      </c>
      <c r="BW56" s="26">
        <f t="shared" si="689"/>
        <v>251.27999999999994</v>
      </c>
      <c r="BX56" s="26">
        <f t="shared" si="689"/>
        <v>232.81000000000017</v>
      </c>
      <c r="BY56" s="26">
        <f t="shared" si="689"/>
        <v>203.04000000000005</v>
      </c>
      <c r="BZ56" s="26">
        <f t="shared" si="689"/>
        <v>102.98000000000009</v>
      </c>
      <c r="CA56" s="26">
        <f t="shared" si="689"/>
        <v>24.849999999999856</v>
      </c>
      <c r="CB56" s="26">
        <f t="shared" si="689"/>
        <v>36.950000000000223</v>
      </c>
      <c r="CC56" s="26">
        <f t="shared" si="689"/>
        <v>23.140000000000086</v>
      </c>
      <c r="CD56" s="26">
        <f t="shared" si="689"/>
        <v>75.61000000000007</v>
      </c>
      <c r="CE56" s="26">
        <f t="shared" ref="CE56:CF56" si="690">CE49+CE53+CE54+CE55</f>
        <v>12.510000000000051</v>
      </c>
      <c r="CF56" s="26">
        <f t="shared" si="690"/>
        <v>19.840000000000032</v>
      </c>
      <c r="CG56" s="26">
        <f t="shared" ref="CG56:CH56" si="691">CG49+CG53+CG54+CG55</f>
        <v>92.300000000000068</v>
      </c>
      <c r="CH56" s="26">
        <f t="shared" si="691"/>
        <v>233.67000000000004</v>
      </c>
      <c r="CI56" s="26">
        <f t="shared" ref="CI56:CJ56" si="692">CI49+CI53+CI54+CI55</f>
        <v>163.01999999999987</v>
      </c>
      <c r="CJ56" s="26">
        <f t="shared" si="692"/>
        <v>194.96999999999994</v>
      </c>
      <c r="CK56" s="26">
        <f t="shared" ref="CK56:CL56" si="693">CK49+CK53+CK54+CK55</f>
        <v>251.6599999999998</v>
      </c>
      <c r="CL56" s="26">
        <f t="shared" si="693"/>
        <v>279.14000000000004</v>
      </c>
      <c r="CM56" s="27">
        <f t="shared" ref="CM56:DB56" si="694">CM49+CM53+CM54+CM55</f>
        <v>204.36005326074459</v>
      </c>
      <c r="CN56" s="27">
        <f t="shared" si="694"/>
        <v>219.9345464462225</v>
      </c>
      <c r="CO56" s="27">
        <f t="shared" si="694"/>
        <v>251.20607762589947</v>
      </c>
      <c r="CP56" s="27">
        <f t="shared" si="694"/>
        <v>255.22477908064701</v>
      </c>
      <c r="CQ56" s="27">
        <f t="shared" si="694"/>
        <v>250.57777092795226</v>
      </c>
      <c r="CR56" s="27">
        <f t="shared" si="694"/>
        <v>261.05086138144384</v>
      </c>
      <c r="CS56" s="27">
        <f t="shared" si="694"/>
        <v>292.47514253261232</v>
      </c>
      <c r="CT56" s="27">
        <f t="shared" si="694"/>
        <v>298.70409997621232</v>
      </c>
      <c r="CU56" s="27">
        <f t="shared" si="694"/>
        <v>299.3026504320049</v>
      </c>
      <c r="CV56" s="27">
        <f t="shared" si="694"/>
        <v>328.26353682741808</v>
      </c>
      <c r="CW56" s="27">
        <f t="shared" si="694"/>
        <v>337.10429756815358</v>
      </c>
      <c r="CX56" s="27">
        <f t="shared" si="694"/>
        <v>346.14069891720123</v>
      </c>
      <c r="CY56" s="27">
        <f t="shared" si="694"/>
        <v>353.30915159766624</v>
      </c>
      <c r="CZ56" s="27">
        <f t="shared" si="694"/>
        <v>498.55147144463751</v>
      </c>
      <c r="DA56" s="27">
        <f t="shared" si="694"/>
        <v>494.77932602605426</v>
      </c>
      <c r="DB56" s="27">
        <f t="shared" si="694"/>
        <v>489.53562935682771</v>
      </c>
      <c r="DE56" s="121"/>
      <c r="DF56" s="26">
        <v>888.78999999999871</v>
      </c>
    </row>
    <row r="57" spans="1:110" s="25" customFormat="1" x14ac:dyDescent="0.2">
      <c r="A57" s="151" t="s">
        <v>486</v>
      </c>
      <c r="AB57" s="17"/>
      <c r="AC57" s="17"/>
      <c r="AD57" s="17"/>
      <c r="AE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1" customFormat="1" x14ac:dyDescent="0.2">
      <c r="AB58" s="20"/>
      <c r="AC58" s="20"/>
      <c r="AD58" s="20"/>
      <c r="AE58" s="20"/>
      <c r="BV58" s="183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22" customFormat="1" x14ac:dyDescent="0.2">
      <c r="A59" s="22" t="s">
        <v>434</v>
      </c>
      <c r="B59" s="22">
        <f>'Annual Raw'!C35</f>
        <v>0</v>
      </c>
      <c r="C59" s="22">
        <f>'Annual Raw'!D35</f>
        <v>0</v>
      </c>
      <c r="D59" s="22">
        <f>'Annual Raw'!E35</f>
        <v>0</v>
      </c>
      <c r="E59" s="22">
        <f>'Annual Raw'!F35</f>
        <v>0</v>
      </c>
      <c r="F59" s="22">
        <f>'Annual Raw'!G35</f>
        <v>0</v>
      </c>
      <c r="G59" s="22">
        <f>'Annual Raw'!H35</f>
        <v>0</v>
      </c>
      <c r="H59" s="22">
        <f>'Annual Raw'!I35</f>
        <v>0</v>
      </c>
      <c r="I59" s="22">
        <f>'Annual Raw'!J35</f>
        <v>0</v>
      </c>
      <c r="J59" s="22">
        <f>'Annual Raw'!K35</f>
        <v>0</v>
      </c>
      <c r="K59" s="22">
        <f>'Annual Raw'!L35</f>
        <v>0</v>
      </c>
      <c r="L59" s="22">
        <f>'Annual Raw'!M35</f>
        <v>0</v>
      </c>
      <c r="M59" s="22">
        <f>'Annual Raw'!N35</f>
        <v>21.577000000000002</v>
      </c>
      <c r="N59" s="22">
        <f>'Annual Raw'!O35</f>
        <v>88.218999999999994</v>
      </c>
      <c r="O59" s="22">
        <f>'Annual Raw'!P35</f>
        <v>97.216999999999999</v>
      </c>
      <c r="P59" s="22">
        <f>'Annual Raw'!Q35</f>
        <v>68.369</v>
      </c>
      <c r="Q59" s="22">
        <f>'Annual Raw'!R35</f>
        <v>133.73500000000001</v>
      </c>
      <c r="R59" s="22">
        <f>'Annual Raw'!S35</f>
        <v>190.27600000000001</v>
      </c>
      <c r="S59" s="22">
        <f>'Annual Raw'!T35</f>
        <v>167.61</v>
      </c>
      <c r="T59" s="22">
        <f>'Annual Raw'!U35</f>
        <v>93.763999999999996</v>
      </c>
      <c r="U59" s="22">
        <f>'Annual Raw'!V35</f>
        <v>255.27</v>
      </c>
      <c r="V59" s="22">
        <f>'Annual Raw'!W35</f>
        <v>983.58</v>
      </c>
      <c r="W59" s="22">
        <f>'Annual Raw'!X35</f>
        <v>827.52</v>
      </c>
      <c r="X59" s="22">
        <f>'Annual Raw'!Y35</f>
        <v>784.53</v>
      </c>
      <c r="Y59" s="22">
        <f>'Annual Raw'!Z35</f>
        <v>157.68</v>
      </c>
      <c r="Z59" s="22">
        <f>'Annual Raw'!AA35</f>
        <v>358.32</v>
      </c>
      <c r="AA59" s="22">
        <f>'Annual Raw'!AB35</f>
        <v>888.79</v>
      </c>
      <c r="AB59" s="21">
        <f t="shared" ref="AB59:AD59" si="695">+AB56</f>
        <v>930.72545641351508</v>
      </c>
      <c r="AC59" s="21">
        <f t="shared" si="695"/>
        <v>1102.8078748182215</v>
      </c>
      <c r="AD59" s="21">
        <f t="shared" si="695"/>
        <v>1310.8111837447768</v>
      </c>
      <c r="AE59" s="21">
        <f t="shared" ref="AE59" si="696">+AE56</f>
        <v>1836.1755784251854</v>
      </c>
      <c r="AI59" s="22">
        <f>'QTR Raw'!C42</f>
        <v>0</v>
      </c>
      <c r="AJ59" s="22">
        <f>'QTR Raw'!D42</f>
        <v>0</v>
      </c>
      <c r="AK59" s="22">
        <f>'QTR Raw'!E42</f>
        <v>0</v>
      </c>
      <c r="AL59" s="22">
        <f>'QTR Raw'!F42</f>
        <v>0</v>
      </c>
      <c r="AM59" s="22">
        <f>'QTR Raw'!G42</f>
        <v>0</v>
      </c>
      <c r="AN59" s="22">
        <f>'QTR Raw'!H42</f>
        <v>0</v>
      </c>
      <c r="AO59" s="22">
        <f>'QTR Raw'!I42</f>
        <v>0</v>
      </c>
      <c r="AP59" s="22">
        <f>'QTR Raw'!J42</f>
        <v>0</v>
      </c>
      <c r="AQ59" s="22">
        <f>'QTR Raw'!K42</f>
        <v>0</v>
      </c>
      <c r="AR59" s="22">
        <f>'QTR Raw'!L42</f>
        <v>0</v>
      </c>
      <c r="AS59" s="22">
        <f>'QTR Raw'!M42</f>
        <v>0</v>
      </c>
      <c r="AT59" s="22">
        <f>'QTR Raw'!N42</f>
        <v>0</v>
      </c>
      <c r="AU59" s="22">
        <f>'QTR Raw'!O42</f>
        <v>0</v>
      </c>
      <c r="AV59" s="22">
        <f>'QTR Raw'!P42</f>
        <v>0</v>
      </c>
      <c r="AW59" s="22">
        <f>'QTR Raw'!Q42</f>
        <v>40.226999999999997</v>
      </c>
      <c r="AX59" s="22">
        <f>'QTR Raw'!R42</f>
        <v>53.415999999999997</v>
      </c>
      <c r="AY59" s="22">
        <f>'QTR Raw'!S42</f>
        <v>25.643000000000001</v>
      </c>
      <c r="AZ59" s="22">
        <f>'QTR Raw'!T42</f>
        <v>48.280999999999999</v>
      </c>
      <c r="BA59" s="22">
        <f>'QTR Raw'!U42</f>
        <v>45.018999999999998</v>
      </c>
      <c r="BB59" s="22">
        <f>'QTR Raw'!V42</f>
        <v>71.332999999999998</v>
      </c>
      <c r="BC59" s="22">
        <f>'QTR Raw'!W42</f>
        <v>38.905000000000001</v>
      </c>
      <c r="BD59" s="22">
        <f>'QTR Raw'!X42</f>
        <v>48.755000000000003</v>
      </c>
      <c r="BE59" s="22">
        <f>'QTR Raw'!Y42</f>
        <v>34.869999999999997</v>
      </c>
      <c r="BF59" s="22">
        <f>'QTR Raw'!Z42</f>
        <v>45.08</v>
      </c>
      <c r="BG59" s="22">
        <f>'QTR Raw'!AA42</f>
        <v>16.558</v>
      </c>
      <c r="BH59" s="22">
        <f>'QTR Raw'!AB42</f>
        <v>16.21</v>
      </c>
      <c r="BI59" s="22">
        <f>'QTR Raw'!AC42</f>
        <v>17.817</v>
      </c>
      <c r="BJ59" s="22">
        <f>'QTR Raw'!AD42</f>
        <v>43.179000000000002</v>
      </c>
      <c r="BK59" s="22">
        <f>'QTR Raw'!AE42</f>
        <v>15.1</v>
      </c>
      <c r="BL59" s="22">
        <f>'QTR Raw'!AF42</f>
        <v>56.55</v>
      </c>
      <c r="BM59" s="22">
        <f>'QTR Raw'!AG42</f>
        <v>73.47</v>
      </c>
      <c r="BN59" s="22">
        <f>'QTR Raw'!AH42</f>
        <v>110.15</v>
      </c>
      <c r="BO59" s="22">
        <f>'QTR Raw'!AI42</f>
        <v>171.78</v>
      </c>
      <c r="BP59" s="22">
        <f>'QTR Raw'!AJ42</f>
        <v>242.27</v>
      </c>
      <c r="BQ59" s="22">
        <f>'QTR Raw'!AK42</f>
        <v>272.85000000000002</v>
      </c>
      <c r="BR59" s="22">
        <f>'QTR Raw'!AL42</f>
        <v>296.68</v>
      </c>
      <c r="BS59" s="22">
        <f>'QTR Raw'!AM42</f>
        <v>241.39</v>
      </c>
      <c r="BT59" s="22">
        <f>'QTR Raw'!AN42</f>
        <v>201.9</v>
      </c>
      <c r="BU59" s="22">
        <f>'QTR Raw'!AO42</f>
        <v>153.72999999999999</v>
      </c>
      <c r="BV59" s="22">
        <f>'QTR Raw'!AP42</f>
        <v>230.5</v>
      </c>
      <c r="BW59" s="22">
        <f>'QTR Raw'!AQ42</f>
        <v>251.28</v>
      </c>
      <c r="BX59" s="22">
        <f>'QTR Raw'!AR42</f>
        <v>232.81</v>
      </c>
      <c r="BY59" s="22">
        <f>'QTR Raw'!AS42</f>
        <v>203.04</v>
      </c>
      <c r="BZ59" s="22">
        <f>'QTR Raw'!AT42</f>
        <v>102.98</v>
      </c>
      <c r="CA59" s="22">
        <f>'QTR Raw'!AU42</f>
        <v>24.85</v>
      </c>
      <c r="CB59" s="22">
        <f>'QTR Raw'!AV42</f>
        <v>36.950000000000003</v>
      </c>
      <c r="CC59" s="22">
        <f>'QTR Raw'!AW42</f>
        <v>23.14</v>
      </c>
      <c r="CD59" s="22">
        <f>'QTR Raw'!AX42</f>
        <v>75.61</v>
      </c>
      <c r="CE59" s="22">
        <f>'QTR Raw'!AY42</f>
        <v>12.51</v>
      </c>
      <c r="CF59" s="22">
        <f>'QTR Raw'!AZ42</f>
        <v>19.84</v>
      </c>
      <c r="CG59" s="22">
        <f>'QTR Raw'!BA42</f>
        <v>92.3</v>
      </c>
      <c r="CH59" s="22">
        <f>'QTR Raw'!BB42</f>
        <v>233.67</v>
      </c>
      <c r="CI59" s="22">
        <f>'QTR Raw'!BC42</f>
        <v>163.02000000000001</v>
      </c>
      <c r="CJ59" s="22">
        <f>'QTR Raw'!BD42</f>
        <v>194.97</v>
      </c>
      <c r="CK59" s="22">
        <f>'QTR Raw'!BE42</f>
        <v>251.66</v>
      </c>
      <c r="CL59" s="22">
        <f>'QTR Raw'!BF42</f>
        <v>279.14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22">
        <v>888.78999999999871</v>
      </c>
    </row>
    <row r="60" spans="1:110" s="25" customFormat="1" x14ac:dyDescent="0.2">
      <c r="A60" s="36" t="s">
        <v>435</v>
      </c>
      <c r="B60" s="25">
        <f t="shared" ref="B60:V60" si="697">B59-B56</f>
        <v>0</v>
      </c>
      <c r="C60" s="25">
        <f>C59-C56</f>
        <v>0</v>
      </c>
      <c r="D60" s="25">
        <f t="shared" si="697"/>
        <v>0</v>
      </c>
      <c r="E60" s="25">
        <f t="shared" si="697"/>
        <v>0</v>
      </c>
      <c r="F60" s="25">
        <f t="shared" si="697"/>
        <v>0</v>
      </c>
      <c r="G60" s="25">
        <f t="shared" si="697"/>
        <v>0</v>
      </c>
      <c r="H60" s="25">
        <f t="shared" si="697"/>
        <v>0</v>
      </c>
      <c r="I60" s="25">
        <f t="shared" si="697"/>
        <v>0</v>
      </c>
      <c r="J60" s="25">
        <f t="shared" si="697"/>
        <v>0</v>
      </c>
      <c r="K60" s="25">
        <f t="shared" si="697"/>
        <v>0</v>
      </c>
      <c r="L60" s="25">
        <f t="shared" si="697"/>
        <v>0</v>
      </c>
      <c r="M60" s="25">
        <f t="shared" si="697"/>
        <v>-4.6185277824406512E-14</v>
      </c>
      <c r="N60" s="25">
        <f t="shared" si="697"/>
        <v>0</v>
      </c>
      <c r="O60" s="25">
        <f t="shared" si="697"/>
        <v>2.2737367544323206E-13</v>
      </c>
      <c r="P60" s="25">
        <f t="shared" si="697"/>
        <v>1.4210854715202004E-13</v>
      </c>
      <c r="Q60" s="25">
        <f t="shared" si="697"/>
        <v>0</v>
      </c>
      <c r="R60" s="25">
        <f t="shared" si="697"/>
        <v>0</v>
      </c>
      <c r="S60" s="25">
        <f t="shared" si="697"/>
        <v>0</v>
      </c>
      <c r="T60" s="25">
        <f t="shared" si="697"/>
        <v>-1.8474111129762605E-13</v>
      </c>
      <c r="U60" s="25">
        <f t="shared" si="697"/>
        <v>0</v>
      </c>
      <c r="V60" s="25">
        <f t="shared" si="697"/>
        <v>0</v>
      </c>
      <c r="W60" s="25">
        <f t="shared" ref="W60" si="698">W59-W56</f>
        <v>0</v>
      </c>
      <c r="X60" s="25">
        <f t="shared" ref="X60:Y60" si="699">X59-X56</f>
        <v>0</v>
      </c>
      <c r="Y60" s="25">
        <f t="shared" si="699"/>
        <v>0</v>
      </c>
      <c r="Z60" s="25">
        <f t="shared" ref="Z60:AA60" si="700">Z59-Z56</f>
        <v>0</v>
      </c>
      <c r="AA60" s="25">
        <f t="shared" ref="AA60" si="701">AA59-AA56</f>
        <v>0</v>
      </c>
      <c r="AB60" s="17">
        <f t="shared" ref="AB60:AD60" si="702">AB59-AB56</f>
        <v>0</v>
      </c>
      <c r="AC60" s="17">
        <f t="shared" si="702"/>
        <v>0</v>
      </c>
      <c r="AD60" s="17">
        <f t="shared" si="702"/>
        <v>0</v>
      </c>
      <c r="AE60" s="17">
        <f t="shared" ref="AE60" si="703">AE59-AE56</f>
        <v>0</v>
      </c>
      <c r="AI60" s="25">
        <f t="shared" ref="AI60" si="704">AI59-AI56</f>
        <v>0</v>
      </c>
      <c r="AJ60" s="25">
        <f t="shared" ref="AJ60" si="705">AJ59-AJ56</f>
        <v>0</v>
      </c>
      <c r="AK60" s="25">
        <f t="shared" ref="AK60:AM60" si="706">AK59-AK56</f>
        <v>0</v>
      </c>
      <c r="AL60" s="25">
        <f t="shared" si="706"/>
        <v>0</v>
      </c>
      <c r="AM60" s="25">
        <f t="shared" si="706"/>
        <v>0</v>
      </c>
      <c r="AN60" s="25">
        <f t="shared" ref="AN60:AO60" si="707">AN59-AN56</f>
        <v>0</v>
      </c>
      <c r="AO60" s="25">
        <f t="shared" si="707"/>
        <v>0</v>
      </c>
      <c r="AP60" s="25">
        <f t="shared" ref="AP60:CD60" si="708">AP59-AP56</f>
        <v>0</v>
      </c>
      <c r="AQ60" s="25">
        <f t="shared" si="708"/>
        <v>0</v>
      </c>
      <c r="AR60" s="25">
        <f t="shared" si="708"/>
        <v>0</v>
      </c>
      <c r="AS60" s="25">
        <f t="shared" si="708"/>
        <v>0</v>
      </c>
      <c r="AT60" s="25">
        <f t="shared" si="708"/>
        <v>0</v>
      </c>
      <c r="AU60" s="25">
        <f t="shared" si="708"/>
        <v>0</v>
      </c>
      <c r="AV60" s="25">
        <f t="shared" si="708"/>
        <v>0</v>
      </c>
      <c r="AW60" s="25">
        <f t="shared" si="708"/>
        <v>-4.0000000000333102E-3</v>
      </c>
      <c r="AX60" s="25">
        <f t="shared" si="708"/>
        <v>0</v>
      </c>
      <c r="AY60" s="25">
        <f t="shared" si="708"/>
        <v>0</v>
      </c>
      <c r="AZ60" s="25">
        <f t="shared" si="708"/>
        <v>0</v>
      </c>
      <c r="BA60" s="25">
        <f t="shared" si="708"/>
        <v>0</v>
      </c>
      <c r="BB60" s="25">
        <f t="shared" si="708"/>
        <v>0</v>
      </c>
      <c r="BC60" s="25">
        <f t="shared" si="708"/>
        <v>7.815970093361102E-14</v>
      </c>
      <c r="BD60" s="25">
        <f t="shared" si="708"/>
        <v>0</v>
      </c>
      <c r="BE60" s="25">
        <f t="shared" si="708"/>
        <v>0</v>
      </c>
      <c r="BF60" s="25">
        <f t="shared" si="708"/>
        <v>0</v>
      </c>
      <c r="BG60" s="25">
        <f t="shared" si="708"/>
        <v>-3.1974423109204508E-14</v>
      </c>
      <c r="BH60" s="25">
        <f t="shared" si="708"/>
        <v>5.6843418860808015E-14</v>
      </c>
      <c r="BI60" s="25">
        <f t="shared" si="708"/>
        <v>5.3290705182007514E-14</v>
      </c>
      <c r="BJ60" s="25">
        <f t="shared" si="708"/>
        <v>0</v>
      </c>
      <c r="BK60" s="25">
        <f t="shared" si="708"/>
        <v>-1.0125233984581428E-13</v>
      </c>
      <c r="BL60" s="25">
        <f t="shared" si="708"/>
        <v>0</v>
      </c>
      <c r="BM60" s="25">
        <f t="shared" si="708"/>
        <v>-1.1368683772161603E-13</v>
      </c>
      <c r="BN60" s="25">
        <f t="shared" si="708"/>
        <v>0</v>
      </c>
      <c r="BO60" s="25">
        <f t="shared" si="708"/>
        <v>0</v>
      </c>
      <c r="BP60" s="25">
        <f t="shared" si="708"/>
        <v>0</v>
      </c>
      <c r="BQ60" s="25">
        <f t="shared" si="708"/>
        <v>0</v>
      </c>
      <c r="BR60" s="25">
        <f t="shared" si="708"/>
        <v>0</v>
      </c>
      <c r="BS60" s="25">
        <f t="shared" si="708"/>
        <v>0</v>
      </c>
      <c r="BT60" s="25">
        <f t="shared" si="708"/>
        <v>0</v>
      </c>
      <c r="BU60" s="25">
        <f t="shared" si="708"/>
        <v>0</v>
      </c>
      <c r="BV60" s="25">
        <f t="shared" si="708"/>
        <v>0</v>
      </c>
      <c r="BW60" s="25">
        <f t="shared" si="708"/>
        <v>0</v>
      </c>
      <c r="BX60" s="25">
        <f t="shared" si="708"/>
        <v>0</v>
      </c>
      <c r="BY60" s="25">
        <f t="shared" si="708"/>
        <v>0</v>
      </c>
      <c r="BZ60" s="25">
        <f t="shared" si="708"/>
        <v>0</v>
      </c>
      <c r="CA60" s="25">
        <f t="shared" si="708"/>
        <v>1.4566126083082054E-13</v>
      </c>
      <c r="CB60" s="25">
        <f t="shared" si="708"/>
        <v>-2.2026824808563106E-13</v>
      </c>
      <c r="CC60" s="25">
        <f t="shared" si="708"/>
        <v>-8.5265128291212022E-14</v>
      </c>
      <c r="CD60" s="25">
        <f t="shared" si="708"/>
        <v>0</v>
      </c>
      <c r="CE60" s="25">
        <f t="shared" ref="CE60:CF60" si="709">CE59-CE56</f>
        <v>-5.1514348342607263E-14</v>
      </c>
      <c r="CF60" s="25">
        <f t="shared" si="709"/>
        <v>-3.1974423109204508E-14</v>
      </c>
      <c r="CG60" s="25">
        <f t="shared" ref="CG60:CH60" si="710">CG59-CG56</f>
        <v>0</v>
      </c>
      <c r="CH60" s="25">
        <f t="shared" si="710"/>
        <v>0</v>
      </c>
      <c r="CI60" s="25">
        <f t="shared" ref="CI60:CJ60" si="711">CI59-CI56</f>
        <v>0</v>
      </c>
      <c r="CJ60" s="25">
        <f t="shared" si="711"/>
        <v>0</v>
      </c>
      <c r="CK60" s="25">
        <f t="shared" ref="CK60:CL60" si="712">CK59-CK56</f>
        <v>0</v>
      </c>
      <c r="CL60" s="25">
        <f t="shared" si="712"/>
        <v>0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5">
        <v>0</v>
      </c>
    </row>
    <row r="61" spans="1:110" s="1" customFormat="1" x14ac:dyDescent="0.2">
      <c r="A61" s="150" t="s">
        <v>487</v>
      </c>
      <c r="AB61" s="20"/>
      <c r="AC61" s="20"/>
      <c r="AD61" s="20"/>
      <c r="AE61" s="20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38" customFormat="1" x14ac:dyDescent="0.2">
      <c r="A62" s="38" t="s">
        <v>350</v>
      </c>
      <c r="B62" s="39" t="e">
        <f t="shared" ref="B62:AE62" si="713">(B56-B55)/B128</f>
        <v>#DIV/0!</v>
      </c>
      <c r="C62" s="39" t="e">
        <f t="shared" si="713"/>
        <v>#DIV/0!</v>
      </c>
      <c r="D62" s="39" t="e">
        <f t="shared" si="713"/>
        <v>#DIV/0!</v>
      </c>
      <c r="E62" s="39" t="e">
        <f t="shared" si="713"/>
        <v>#DIV/0!</v>
      </c>
      <c r="F62" s="39" t="e">
        <f t="shared" si="713"/>
        <v>#DIV/0!</v>
      </c>
      <c r="G62" s="39" t="e">
        <f t="shared" si="713"/>
        <v>#DIV/0!</v>
      </c>
      <c r="H62" s="39" t="e">
        <f t="shared" si="713"/>
        <v>#DIV/0!</v>
      </c>
      <c r="I62" s="39" t="e">
        <f t="shared" si="713"/>
        <v>#DIV/0!</v>
      </c>
      <c r="J62" s="39" t="e">
        <f t="shared" si="713"/>
        <v>#DIV/0!</v>
      </c>
      <c r="K62" s="39" t="e">
        <f t="shared" si="713"/>
        <v>#DIV/0!</v>
      </c>
      <c r="L62" s="39" t="e">
        <f t="shared" si="713"/>
        <v>#DIV/0!</v>
      </c>
      <c r="M62" s="39">
        <f t="shared" si="713"/>
        <v>0.12753419313654824</v>
      </c>
      <c r="N62" s="39">
        <f t="shared" si="713"/>
        <v>0.3402211346746421</v>
      </c>
      <c r="O62" s="39">
        <f t="shared" si="713"/>
        <v>0.27123992444554745</v>
      </c>
      <c r="P62" s="39">
        <f t="shared" si="713"/>
        <v>9.4680792134053268E-2</v>
      </c>
      <c r="Q62" s="39">
        <f t="shared" si="713"/>
        <v>0.15608696565584906</v>
      </c>
      <c r="R62" s="39">
        <f t="shared" si="713"/>
        <v>0.14301648767933817</v>
      </c>
      <c r="S62" s="39">
        <f t="shared" si="713"/>
        <v>0.11304842244133616</v>
      </c>
      <c r="T62" s="39">
        <f t="shared" si="713"/>
        <v>6.0166567526968355E-2</v>
      </c>
      <c r="U62" s="39">
        <f t="shared" si="713"/>
        <v>0.14423908191459908</v>
      </c>
      <c r="V62" s="39">
        <f t="shared" si="713"/>
        <v>0.37865681122596312</v>
      </c>
      <c r="W62" s="39">
        <f t="shared" si="713"/>
        <v>0.2469331789603095</v>
      </c>
      <c r="X62" s="39">
        <f t="shared" si="713"/>
        <v>0.19570380901194551</v>
      </c>
      <c r="Y62" s="39">
        <f t="shared" si="713"/>
        <v>3.9054233206436521E-2</v>
      </c>
      <c r="Z62" s="39">
        <f t="shared" si="713"/>
        <v>8.011519129983731E-2</v>
      </c>
      <c r="AA62" s="39">
        <f t="shared" ref="AA62" si="714">(AA56-AA55)/AA128</f>
        <v>0.16769432798873962</v>
      </c>
      <c r="AB62" s="40">
        <f t="shared" si="713"/>
        <v>0.14937530154492715</v>
      </c>
      <c r="AC62" s="40">
        <f t="shared" si="713"/>
        <v>0.15037756049570811</v>
      </c>
      <c r="AD62" s="40">
        <f t="shared" si="713"/>
        <v>0.15163695561374813</v>
      </c>
      <c r="AE62" s="40">
        <f t="shared" si="713"/>
        <v>0.17519789573300376</v>
      </c>
      <c r="AF62" s="39"/>
      <c r="AG62" s="39"/>
      <c r="AH62" s="39"/>
      <c r="AI62" s="39"/>
      <c r="AJ62" s="39"/>
      <c r="AK62" s="39"/>
      <c r="AL62" s="39" t="e">
        <f t="shared" ref="AL62:BQ62" si="715">(SUM(AI56:AL56)-SUM(AI55:AL55))/AL128</f>
        <v>#DIV/0!</v>
      </c>
      <c r="AM62" s="39" t="e">
        <f t="shared" si="715"/>
        <v>#DIV/0!</v>
      </c>
      <c r="AN62" s="39" t="e">
        <f t="shared" si="715"/>
        <v>#DIV/0!</v>
      </c>
      <c r="AO62" s="39" t="e">
        <f t="shared" si="715"/>
        <v>#DIV/0!</v>
      </c>
      <c r="AP62" s="39" t="e">
        <f t="shared" si="715"/>
        <v>#DIV/0!</v>
      </c>
      <c r="AQ62" s="39" t="e">
        <f t="shared" si="715"/>
        <v>#DIV/0!</v>
      </c>
      <c r="AR62" s="39" t="e">
        <f t="shared" si="715"/>
        <v>#DIV/0!</v>
      </c>
      <c r="AS62" s="39" t="e">
        <f t="shared" si="715"/>
        <v>#DIV/0!</v>
      </c>
      <c r="AT62" s="39" t="e">
        <f t="shared" si="715"/>
        <v>#DIV/0!</v>
      </c>
      <c r="AU62" s="39" t="e">
        <f t="shared" si="715"/>
        <v>#DIV/0!</v>
      </c>
      <c r="AV62" s="39" t="e">
        <f t="shared" si="715"/>
        <v>#DIV/0!</v>
      </c>
      <c r="AW62" s="39">
        <f t="shared" si="715"/>
        <v>1</v>
      </c>
      <c r="AX62" s="39">
        <f t="shared" si="715"/>
        <v>0.10929880788703994</v>
      </c>
      <c r="AY62" s="39">
        <f t="shared" si="715"/>
        <v>0.13518184218548326</v>
      </c>
      <c r="AZ62" s="39" t="e">
        <f t="shared" si="715"/>
        <v>#DIV/0!</v>
      </c>
      <c r="BA62" s="39">
        <f t="shared" si="715"/>
        <v>3.8285834869721671</v>
      </c>
      <c r="BB62" s="39">
        <f t="shared" si="715"/>
        <v>0.14301648767933814</v>
      </c>
      <c r="BC62" s="39">
        <f t="shared" si="715"/>
        <v>0.14863807944335752</v>
      </c>
      <c r="BD62" s="39">
        <f t="shared" si="715"/>
        <v>0.14558849975593949</v>
      </c>
      <c r="BE62" s="39">
        <f t="shared" si="715"/>
        <v>0.13498686081375216</v>
      </c>
      <c r="BF62" s="39">
        <f t="shared" si="715"/>
        <v>0.11304842244133601</v>
      </c>
      <c r="BG62" s="39">
        <f t="shared" si="715"/>
        <v>9.689387051868438E-2</v>
      </c>
      <c r="BH62" s="39">
        <f t="shared" si="715"/>
        <v>7.5517331709333516E-2</v>
      </c>
      <c r="BI62" s="39">
        <f t="shared" si="715"/>
        <v>6.3336352345163077E-2</v>
      </c>
      <c r="BJ62" s="39">
        <f t="shared" si="715"/>
        <v>6.0166567526968195E-2</v>
      </c>
      <c r="BK62" s="39">
        <f t="shared" si="715"/>
        <v>5.866259254010308E-2</v>
      </c>
      <c r="BL62" s="39">
        <f t="shared" si="715"/>
        <v>8.2096230948334445E-2</v>
      </c>
      <c r="BM62" s="39">
        <f t="shared" si="715"/>
        <v>0.11147176665040669</v>
      </c>
      <c r="BN62" s="39">
        <f t="shared" si="715"/>
        <v>0.14423908191459914</v>
      </c>
      <c r="BO62" s="39">
        <f t="shared" si="715"/>
        <v>0.21217583889160718</v>
      </c>
      <c r="BP62" s="39">
        <f t="shared" si="715"/>
        <v>0.27319434477147331</v>
      </c>
      <c r="BQ62" s="39">
        <f t="shared" si="715"/>
        <v>0.32393032480410955</v>
      </c>
      <c r="BR62" s="39">
        <f t="shared" ref="BR62:CW62" si="716">(SUM(BO56:BR56)-SUM(BO55:BR55))/BR128</f>
        <v>0.3786568112259629</v>
      </c>
      <c r="BS62" s="39">
        <f t="shared" si="716"/>
        <v>0.37098001366707295</v>
      </c>
      <c r="BT62" s="39">
        <f t="shared" si="716"/>
        <v>0.33765618957447097</v>
      </c>
      <c r="BU62" s="39">
        <f t="shared" si="716"/>
        <v>0.28341827107560674</v>
      </c>
      <c r="BV62" s="39">
        <f t="shared" si="716"/>
        <v>0.24693317896030959</v>
      </c>
      <c r="BW62" s="39">
        <f t="shared" si="716"/>
        <v>0.2324543993426732</v>
      </c>
      <c r="BX62" s="39">
        <f t="shared" si="716"/>
        <v>0.23072201600110531</v>
      </c>
      <c r="BY62" s="39">
        <f t="shared" si="716"/>
        <v>0.23134326476794581</v>
      </c>
      <c r="BZ62" s="39">
        <f t="shared" si="716"/>
        <v>0.19569142520303262</v>
      </c>
      <c r="CA62" s="39">
        <f t="shared" si="716"/>
        <v>0.13875609864168303</v>
      </c>
      <c r="CB62" s="39">
        <f t="shared" si="716"/>
        <v>9.1274548242849612E-2</v>
      </c>
      <c r="CC62" s="39">
        <f t="shared" si="716"/>
        <v>4.636611266827214E-2</v>
      </c>
      <c r="CD62" s="39">
        <f t="shared" si="716"/>
        <v>3.9054233206436528E-2</v>
      </c>
      <c r="CE62" s="39">
        <f t="shared" si="716"/>
        <v>3.5943115732904027E-2</v>
      </c>
      <c r="CF62" s="39">
        <f t="shared" si="716"/>
        <v>3.1713087272674551E-2</v>
      </c>
      <c r="CG62" s="39">
        <f t="shared" si="716"/>
        <v>4.7384909517680075E-2</v>
      </c>
      <c r="CH62" s="39">
        <f t="shared" si="716"/>
        <v>8.0115191299837282E-2</v>
      </c>
      <c r="CI62" s="39">
        <f t="shared" si="716"/>
        <v>0.1097661996988511</v>
      </c>
      <c r="CJ62" s="39">
        <f t="shared" si="716"/>
        <v>0.14233183987147763</v>
      </c>
      <c r="CK62" s="39">
        <f t="shared" si="716"/>
        <v>0.16676125409082365</v>
      </c>
      <c r="CL62" s="39">
        <f t="shared" si="716"/>
        <v>0.16769432798873968</v>
      </c>
      <c r="CM62" s="40">
        <f t="shared" si="716"/>
        <v>0.16897875602893855</v>
      </c>
      <c r="CN62" s="40">
        <f t="shared" si="716"/>
        <v>0.1668475603792712</v>
      </c>
      <c r="CO62" s="40">
        <f t="shared" si="716"/>
        <v>0.1597575070995616</v>
      </c>
      <c r="CP62" s="40">
        <f t="shared" si="716"/>
        <v>0.14937530154492693</v>
      </c>
      <c r="CQ62" s="40">
        <f t="shared" si="716"/>
        <v>0.1507311255075956</v>
      </c>
      <c r="CR62" s="40">
        <f t="shared" si="716"/>
        <v>0.15099332014014208</v>
      </c>
      <c r="CS62" s="40">
        <f t="shared" si="716"/>
        <v>0.15058212277403499</v>
      </c>
      <c r="CT62" s="40">
        <f t="shared" si="716"/>
        <v>0.150377560495708</v>
      </c>
      <c r="CU62" s="40">
        <f t="shared" si="716"/>
        <v>0.15086446311970761</v>
      </c>
      <c r="CV62" s="40">
        <f t="shared" si="716"/>
        <v>0.15308642251640639</v>
      </c>
      <c r="CW62" s="40">
        <f t="shared" si="716"/>
        <v>0.15224565195900724</v>
      </c>
      <c r="CX62" s="40">
        <f t="shared" ref="CX62:DB62" si="717">(SUM(CU56:CX56)-SUM(CU55:CX55))/CX128</f>
        <v>0.15163695561374821</v>
      </c>
      <c r="CY62" s="40">
        <f t="shared" si="717"/>
        <v>0.15168494302954241</v>
      </c>
      <c r="CZ62" s="40">
        <f t="shared" si="717"/>
        <v>0.16165361826111824</v>
      </c>
      <c r="DA62" s="40">
        <f t="shared" si="717"/>
        <v>0.1694297982635779</v>
      </c>
      <c r="DB62" s="40">
        <f t="shared" si="717"/>
        <v>0.17519789573300379</v>
      </c>
      <c r="DE62" s="122"/>
      <c r="DF62" s="38">
        <v>0.16769432798873948</v>
      </c>
    </row>
    <row r="63" spans="1:110" s="38" customFormat="1" x14ac:dyDescent="0.2">
      <c r="A63" s="38" t="s">
        <v>351</v>
      </c>
      <c r="B63" s="39" t="e">
        <f t="shared" ref="B63:AE63" si="718">+B42/B137</f>
        <v>#DIV/0!</v>
      </c>
      <c r="C63" s="39" t="e">
        <f t="shared" si="718"/>
        <v>#DIV/0!</v>
      </c>
      <c r="D63" s="39" t="e">
        <f t="shared" si="718"/>
        <v>#DIV/0!</v>
      </c>
      <c r="E63" s="39" t="e">
        <f t="shared" si="718"/>
        <v>#DIV/0!</v>
      </c>
      <c r="F63" s="39" t="e">
        <f t="shared" si="718"/>
        <v>#DIV/0!</v>
      </c>
      <c r="G63" s="39" t="e">
        <f t="shared" si="718"/>
        <v>#DIV/0!</v>
      </c>
      <c r="H63" s="39" t="e">
        <f t="shared" si="718"/>
        <v>#DIV/0!</v>
      </c>
      <c r="I63" s="39" t="e">
        <f t="shared" si="718"/>
        <v>#DIV/0!</v>
      </c>
      <c r="J63" s="39" t="e">
        <f t="shared" si="718"/>
        <v>#DIV/0!</v>
      </c>
      <c r="K63" s="39" t="e">
        <f t="shared" si="718"/>
        <v>#DIV/0!</v>
      </c>
      <c r="L63" s="39" t="e">
        <f t="shared" si="718"/>
        <v>#DIV/0!</v>
      </c>
      <c r="M63" s="39">
        <f t="shared" si="718"/>
        <v>0.13457984673766196</v>
      </c>
      <c r="N63" s="39">
        <f t="shared" si="718"/>
        <v>0.21793499945591063</v>
      </c>
      <c r="O63" s="39">
        <f t="shared" si="718"/>
        <v>0.18946286860652947</v>
      </c>
      <c r="P63" s="39">
        <f t="shared" si="718"/>
        <v>8.6577553482814262E-2</v>
      </c>
      <c r="Q63" s="39">
        <f t="shared" si="718"/>
        <v>0.14634535910699242</v>
      </c>
      <c r="R63" s="39">
        <f t="shared" si="718"/>
        <v>0.13887012906299856</v>
      </c>
      <c r="S63" s="39">
        <f t="shared" si="718"/>
        <v>0.11689812088789416</v>
      </c>
      <c r="T63" s="39">
        <f t="shared" si="718"/>
        <v>7.3926430500906651E-2</v>
      </c>
      <c r="U63" s="39">
        <f t="shared" si="718"/>
        <v>0.13347295729204992</v>
      </c>
      <c r="V63" s="39">
        <f t="shared" si="718"/>
        <v>0.33192974666370662</v>
      </c>
      <c r="W63" s="39">
        <f t="shared" si="718"/>
        <v>0.22999835005539096</v>
      </c>
      <c r="X63" s="39">
        <f t="shared" si="718"/>
        <v>0.21062745925260318</v>
      </c>
      <c r="Y63" s="39">
        <f t="shared" si="718"/>
        <v>5.9329993265505233E-2</v>
      </c>
      <c r="Z63" s="39">
        <f t="shared" si="718"/>
        <v>8.569399954219048E-2</v>
      </c>
      <c r="AA63" s="39">
        <f t="shared" ref="AA63" si="719">+AA42/AA137</f>
        <v>0.16575359088499578</v>
      </c>
      <c r="AB63" s="40">
        <f t="shared" si="718"/>
        <v>0.16044804443748623</v>
      </c>
      <c r="AC63" s="40">
        <f t="shared" si="718"/>
        <v>0.16891258603484019</v>
      </c>
      <c r="AD63" s="40">
        <f t="shared" si="718"/>
        <v>0.17641581986091778</v>
      </c>
      <c r="AE63" s="40">
        <f t="shared" si="718"/>
        <v>0.17907264511104973</v>
      </c>
      <c r="AF63" s="39"/>
      <c r="AG63" s="39"/>
      <c r="AH63" s="39"/>
      <c r="AI63" s="39"/>
      <c r="AJ63" s="39"/>
      <c r="AK63" s="39"/>
      <c r="AL63" s="39" t="e">
        <f t="shared" ref="AL63:BQ63" si="720">+SUM(AI42:AL42)/AL137</f>
        <v>#DIV/0!</v>
      </c>
      <c r="AM63" s="39" t="e">
        <f t="shared" si="720"/>
        <v>#DIV/0!</v>
      </c>
      <c r="AN63" s="39" t="e">
        <f t="shared" si="720"/>
        <v>#DIV/0!</v>
      </c>
      <c r="AO63" s="39" t="e">
        <f t="shared" si="720"/>
        <v>#DIV/0!</v>
      </c>
      <c r="AP63" s="39" t="e">
        <f t="shared" si="720"/>
        <v>#DIV/0!</v>
      </c>
      <c r="AQ63" s="39" t="e">
        <f t="shared" si="720"/>
        <v>#DIV/0!</v>
      </c>
      <c r="AR63" s="39" t="e">
        <f t="shared" si="720"/>
        <v>#DIV/0!</v>
      </c>
      <c r="AS63" s="39" t="e">
        <f t="shared" si="720"/>
        <v>#DIV/0!</v>
      </c>
      <c r="AT63" s="39" t="e">
        <f t="shared" si="720"/>
        <v>#DIV/0!</v>
      </c>
      <c r="AU63" s="39" t="e">
        <f t="shared" si="720"/>
        <v>#DIV/0!</v>
      </c>
      <c r="AV63" s="39" t="e">
        <f t="shared" si="720"/>
        <v>#DIV/0!</v>
      </c>
      <c r="AW63" s="39">
        <f t="shared" si="720"/>
        <v>1.9032338246625731</v>
      </c>
      <c r="AX63" s="39">
        <f t="shared" si="720"/>
        <v>8.9650177250256161E-2</v>
      </c>
      <c r="AY63" s="39">
        <f t="shared" si="720"/>
        <v>0.11940013412052983</v>
      </c>
      <c r="AZ63" s="39" t="e">
        <f t="shared" si="720"/>
        <v>#DIV/0!</v>
      </c>
      <c r="BA63" s="39">
        <f t="shared" si="720"/>
        <v>6.8972211732823894</v>
      </c>
      <c r="BB63" s="39">
        <f t="shared" si="720"/>
        <v>0.13467685911596783</v>
      </c>
      <c r="BC63" s="39">
        <f t="shared" si="720"/>
        <v>0.13522602253094154</v>
      </c>
      <c r="BD63" s="39">
        <f t="shared" si="720"/>
        <v>0.13323424461215894</v>
      </c>
      <c r="BE63" s="39">
        <f t="shared" si="720"/>
        <v>0.12463505757045394</v>
      </c>
      <c r="BF63" s="39">
        <f t="shared" si="720"/>
        <v>0.1208096306259613</v>
      </c>
      <c r="BG63" s="39">
        <f t="shared" si="720"/>
        <v>0.10981994045944504</v>
      </c>
      <c r="BH63" s="39">
        <f t="shared" si="720"/>
        <v>8.4826480979036625E-2</v>
      </c>
      <c r="BI63" s="39">
        <f t="shared" si="720"/>
        <v>7.9825456330489625E-2</v>
      </c>
      <c r="BJ63" s="39">
        <f t="shared" si="720"/>
        <v>7.6675362058109167E-2</v>
      </c>
      <c r="BK63" s="39">
        <f t="shared" si="720"/>
        <v>7.4252163287203063E-2</v>
      </c>
      <c r="BL63" s="39">
        <f t="shared" si="720"/>
        <v>8.800028928960045E-2</v>
      </c>
      <c r="BM63" s="39">
        <f t="shared" si="720"/>
        <v>0.10548301070250511</v>
      </c>
      <c r="BN63" s="39">
        <f t="shared" si="720"/>
        <v>0.13713719590503801</v>
      </c>
      <c r="BO63" s="39">
        <f t="shared" si="720"/>
        <v>0.19531390227401382</v>
      </c>
      <c r="BP63" s="39">
        <f t="shared" si="720"/>
        <v>0.25785280311981457</v>
      </c>
      <c r="BQ63" s="39">
        <f t="shared" si="720"/>
        <v>0.31828498696027557</v>
      </c>
      <c r="BR63" s="39">
        <f t="shared" ref="BR63:CW63" si="721">+SUM(BO42:BR42)/BR137</f>
        <v>0.33192974666370656</v>
      </c>
      <c r="BS63" s="39">
        <f t="shared" si="721"/>
        <v>0.33825422730479204</v>
      </c>
      <c r="BT63" s="39">
        <f t="shared" si="721"/>
        <v>0.29805073904728135</v>
      </c>
      <c r="BU63" s="39">
        <f t="shared" si="721"/>
        <v>0.25732021239401259</v>
      </c>
      <c r="BV63" s="39">
        <f t="shared" si="721"/>
        <v>0.22999835005539102</v>
      </c>
      <c r="BW63" s="39">
        <f t="shared" si="721"/>
        <v>0.22789740863588373</v>
      </c>
      <c r="BX63" s="39">
        <f t="shared" si="721"/>
        <v>0.22361934123883348</v>
      </c>
      <c r="BY63" s="39">
        <f t="shared" si="721"/>
        <v>0.23232070226191504</v>
      </c>
      <c r="BZ63" s="39">
        <f t="shared" si="721"/>
        <v>0.21062745925260315</v>
      </c>
      <c r="CA63" s="39">
        <f t="shared" si="721"/>
        <v>0.15894519541872607</v>
      </c>
      <c r="CB63" s="39">
        <f t="shared" si="721"/>
        <v>0.1122766553682638</v>
      </c>
      <c r="CC63" s="39">
        <f t="shared" si="721"/>
        <v>7.3484676135071064E-2</v>
      </c>
      <c r="CD63" s="39">
        <f t="shared" si="721"/>
        <v>5.932999326550522E-2</v>
      </c>
      <c r="CE63" s="39">
        <f t="shared" si="721"/>
        <v>5.7555767558435236E-2</v>
      </c>
      <c r="CF63" s="39">
        <f t="shared" si="721"/>
        <v>5.2172101958511109E-2</v>
      </c>
      <c r="CG63" s="39">
        <f t="shared" si="721"/>
        <v>6.5283843736122574E-2</v>
      </c>
      <c r="CH63" s="39">
        <f t="shared" si="721"/>
        <v>8.569399954219048E-2</v>
      </c>
      <c r="CI63" s="39">
        <f t="shared" si="721"/>
        <v>0.11065571023096736</v>
      </c>
      <c r="CJ63" s="39">
        <f t="shared" si="721"/>
        <v>0.14645031399656636</v>
      </c>
      <c r="CK63" s="39">
        <f t="shared" si="721"/>
        <v>0.16603904266661573</v>
      </c>
      <c r="CL63" s="39">
        <f t="shared" si="721"/>
        <v>0.16575359088499581</v>
      </c>
      <c r="CM63" s="40">
        <f t="shared" si="721"/>
        <v>0.16732000191982463</v>
      </c>
      <c r="CN63" s="40">
        <f t="shared" si="721"/>
        <v>0.16951239704872459</v>
      </c>
      <c r="CO63" s="40">
        <f t="shared" si="721"/>
        <v>0.16627739746450204</v>
      </c>
      <c r="CP63" s="40">
        <f t="shared" si="721"/>
        <v>0.16044804443748609</v>
      </c>
      <c r="CQ63" s="40">
        <f t="shared" si="721"/>
        <v>0.16295359381347194</v>
      </c>
      <c r="CR63" s="40">
        <f t="shared" si="721"/>
        <v>0.16523356502513667</v>
      </c>
      <c r="CS63" s="40">
        <f t="shared" si="721"/>
        <v>0.1670896218670524</v>
      </c>
      <c r="CT63" s="40">
        <f t="shared" si="721"/>
        <v>0.16891258603484011</v>
      </c>
      <c r="CU63" s="40">
        <f t="shared" si="721"/>
        <v>0.17086148442445048</v>
      </c>
      <c r="CV63" s="40">
        <f t="shared" si="721"/>
        <v>0.17253705678809758</v>
      </c>
      <c r="CW63" s="40">
        <f t="shared" si="721"/>
        <v>0.1745098474227377</v>
      </c>
      <c r="CX63" s="40">
        <f t="shared" ref="CX63:DB63" si="722">+SUM(CU42:CX42)/CX137</f>
        <v>0.17641581986091787</v>
      </c>
      <c r="CY63" s="40">
        <f t="shared" si="722"/>
        <v>0.17811885834806662</v>
      </c>
      <c r="CZ63" s="40">
        <f t="shared" si="722"/>
        <v>0.17793906034430848</v>
      </c>
      <c r="DA63" s="40">
        <f t="shared" si="722"/>
        <v>0.17840347931831496</v>
      </c>
      <c r="DB63" s="40">
        <f t="shared" si="722"/>
        <v>0.17907264511104976</v>
      </c>
      <c r="DE63" s="122"/>
      <c r="DF63" s="38">
        <v>0.16575359088499569</v>
      </c>
    </row>
    <row r="64" spans="1:110" s="1" customFormat="1" x14ac:dyDescent="0.2">
      <c r="A64" s="150" t="s">
        <v>488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8" customFormat="1" x14ac:dyDescent="0.2">
      <c r="A65" s="12" t="s">
        <v>26</v>
      </c>
      <c r="AB65" s="58"/>
      <c r="AC65" s="58"/>
      <c r="AD65" s="58"/>
      <c r="AE65" s="58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E65" s="132"/>
    </row>
    <row r="66" spans="1:110" s="9" customFormat="1" x14ac:dyDescent="0.2">
      <c r="A66" s="9" t="s">
        <v>453</v>
      </c>
      <c r="N66" s="9">
        <f>N18-SUM(AI18:AL18)</f>
        <v>718.51100000000008</v>
      </c>
      <c r="O66" s="9">
        <f>O18-SUM(AM18:AP18)</f>
        <v>1159.7169999999999</v>
      </c>
      <c r="P66" s="9">
        <f>P18-SUM(AQ18:AT18)</f>
        <v>1326.59</v>
      </c>
      <c r="Q66" s="9">
        <f>Q18-SUM(AU18:AX18)</f>
        <v>844.39100000000019</v>
      </c>
      <c r="R66" s="9">
        <f>R18-SUM(AY18:BB18)</f>
        <v>0</v>
      </c>
      <c r="S66" s="9">
        <f>S18-SUM(BC18:BF18)</f>
        <v>0</v>
      </c>
      <c r="T66" s="9">
        <f>T18-SUM(BG18:BJ18)</f>
        <v>0</v>
      </c>
      <c r="U66" s="9">
        <f>U18-SUM(BK18:BN18)</f>
        <v>0</v>
      </c>
      <c r="V66" s="9">
        <f>V18-SUM(BO18:BR18)</f>
        <v>0</v>
      </c>
      <c r="W66" s="9">
        <f>W18-SUM(BS18:BV18)</f>
        <v>0</v>
      </c>
      <c r="X66" s="9">
        <f>X18-SUM(BW18:BZ18)</f>
        <v>0</v>
      </c>
      <c r="Y66" s="9">
        <f>Y18-SUM(CA18:CD18)</f>
        <v>0</v>
      </c>
      <c r="Z66" s="9">
        <f>Z18-SUM(CE18:CH18)</f>
        <v>0</v>
      </c>
      <c r="AA66" s="9">
        <f>AA18-SUM(CF18:CI18)</f>
        <v>884.27999999999975</v>
      </c>
      <c r="AB66" s="15">
        <f>AB18-SUM(CM18:CP18)</f>
        <v>0</v>
      </c>
      <c r="AC66" s="15">
        <f>AC18-SUM(CQ18:CT18)</f>
        <v>0</v>
      </c>
      <c r="AD66" s="15">
        <f>AD18-SUM(CU18:CX18)</f>
        <v>0</v>
      </c>
      <c r="AE66" s="15">
        <f>AE18-SUM(CY18:DB18)</f>
        <v>0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454</v>
      </c>
      <c r="N67" s="9">
        <f>N24-SUM(AI24:AL24)</f>
        <v>308.79700000000003</v>
      </c>
      <c r="O67" s="9">
        <f>O24-SUM(AM24:AP24)</f>
        <v>439.29299999999978</v>
      </c>
      <c r="P67" s="9">
        <f>P24-SUM(AQ24:AT24)</f>
        <v>505.32199999999989</v>
      </c>
      <c r="Q67" s="9">
        <f>Q24-SUM(AU24:AX24)</f>
        <v>338.97</v>
      </c>
      <c r="R67" s="9">
        <f>R24-SUM(AY24:BB24)</f>
        <v>7.4780000000000655</v>
      </c>
      <c r="S67" s="9">
        <f>S24-SUM(BC24:BF24)</f>
        <v>7.6860000000001492</v>
      </c>
      <c r="T67" s="9">
        <f>T24-SUM(BG24:BJ24)</f>
        <v>10.840000000000373</v>
      </c>
      <c r="U67" s="9">
        <f>U24-SUM(BK24:BN24)</f>
        <v>30.529999999999973</v>
      </c>
      <c r="V67" s="9">
        <f>V24-SUM(BO24:BR24)</f>
        <v>50.570000000000164</v>
      </c>
      <c r="W67" s="9">
        <f>W24-SUM(BS24:BV24)</f>
        <v>59.880000000000109</v>
      </c>
      <c r="X67" s="9">
        <f>X24-SUM(BW24:BZ24)</f>
        <v>44.649999999999636</v>
      </c>
      <c r="Y67" s="9">
        <f>Y24-SUM(CA24:CD24)</f>
        <v>58.069999999999254</v>
      </c>
      <c r="Z67" s="9">
        <f>Z24-SUM(CE24:CH24)</f>
        <v>82.900000000000091</v>
      </c>
      <c r="AA67" s="9">
        <f>AA24-SUM(CF24:CI24)</f>
        <v>862.23999999999933</v>
      </c>
      <c r="AB67" s="15">
        <f>AB24-SUM(CM24:CP24)</f>
        <v>0</v>
      </c>
      <c r="AC67" s="15">
        <f>AC24-SUM(CQ24:CT24)</f>
        <v>0</v>
      </c>
      <c r="AD67" s="15">
        <f>AD24-SUM(CU24:CX24)</f>
        <v>0</v>
      </c>
      <c r="AE67" s="15">
        <f>AE24-SUM(CY24:DB24)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455</v>
      </c>
      <c r="N68" s="9">
        <f>N36-SUM(AI36:AL36)</f>
        <v>142.79300000000001</v>
      </c>
      <c r="O68" s="9">
        <f>O36-SUM(AM36:AP36)</f>
        <v>203.62999999999977</v>
      </c>
      <c r="P68" s="9">
        <f>P36-SUM(AQ36:AT36)</f>
        <v>195.13299999999987</v>
      </c>
      <c r="Q68" s="9">
        <f>Q36-SUM(AU36:AX36)</f>
        <v>141.48600000000005</v>
      </c>
      <c r="R68" s="9">
        <f>R36-SUM(AY36:BB36)</f>
        <v>0</v>
      </c>
      <c r="S68" s="9">
        <f>S36-SUM(BC36:BF36)</f>
        <v>0</v>
      </c>
      <c r="T68" s="9">
        <f>T36-SUM(BG36:BJ36)</f>
        <v>0</v>
      </c>
      <c r="U68" s="9">
        <f>U36-SUM(BK36:BN36)</f>
        <v>3.5399999999999636</v>
      </c>
      <c r="V68" s="9">
        <f>V36-SUM(BO36:BR36)</f>
        <v>0</v>
      </c>
      <c r="W68" s="9">
        <f>W36-SUM(BS36:BV36)</f>
        <v>0</v>
      </c>
      <c r="X68" s="9">
        <f>X36-SUM(BW36:BZ36)</f>
        <v>0</v>
      </c>
      <c r="Y68" s="9">
        <f>Y36-SUM(CA36:CD36)</f>
        <v>0</v>
      </c>
      <c r="Z68" s="9">
        <f>Z36-SUM(CE36:CH36)</f>
        <v>0</v>
      </c>
      <c r="AA68" s="9">
        <f>AA36-SUM(CF36:CI36)</f>
        <v>511.49999999999909</v>
      </c>
      <c r="AB68" s="15">
        <f>AB36-SUM(CM36:CP36)</f>
        <v>0</v>
      </c>
      <c r="AC68" s="15">
        <f>AC36-SUM(CQ36:CT36)</f>
        <v>0</v>
      </c>
      <c r="AD68" s="15">
        <f>AD36-SUM(CU36:CX36)</f>
        <v>0</v>
      </c>
      <c r="AE68" s="15">
        <f>AE36-SUM(CY36:DB36)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456</v>
      </c>
      <c r="N69" s="9">
        <f>N56-SUM(AI56:AL56)</f>
        <v>88.219000000000008</v>
      </c>
      <c r="O69" s="9">
        <f>O56-SUM(AM56:AP56)</f>
        <v>97.216999999999771</v>
      </c>
      <c r="P69" s="9">
        <f>P56-SUM(AQ56:AT56)</f>
        <v>68.368999999999858</v>
      </c>
      <c r="Q69" s="9">
        <f>Q56-SUM(AU56:AX56)</f>
        <v>40.088000000000108</v>
      </c>
      <c r="R69" s="9">
        <f>R56-SUM(AY56:BB56)</f>
        <v>0</v>
      </c>
      <c r="S69" s="9">
        <f>S56-SUM(BC56:BF56)</f>
        <v>2.2737367544323206E-13</v>
      </c>
      <c r="T69" s="9">
        <f>T56-SUM(BG56:BJ56)</f>
        <v>2.5579538487363607E-13</v>
      </c>
      <c r="U69" s="9">
        <f>U56-SUM(BK56:BN56)</f>
        <v>0</v>
      </c>
      <c r="V69" s="9">
        <f>V56-SUM(BO56:BR56)</f>
        <v>0</v>
      </c>
      <c r="W69" s="9">
        <f>W49-SUM(BS49:BV49)</f>
        <v>0</v>
      </c>
      <c r="X69" s="9">
        <f>X49-SUM(BW49:BZ49)</f>
        <v>0</v>
      </c>
      <c r="Y69" s="9">
        <f>Y49-SUM(CA49:CD49)</f>
        <v>0</v>
      </c>
      <c r="Z69" s="9">
        <f>Z49-SUM(CE49:CH49)</f>
        <v>0</v>
      </c>
      <c r="AA69" s="9">
        <f>AA49-SUM(CF49:CI49)</f>
        <v>386.5699999999992</v>
      </c>
      <c r="AB69" s="15">
        <f>AB49-SUM(CM49:CP49)</f>
        <v>1.3642420526593924E-12</v>
      </c>
      <c r="AC69" s="15">
        <f>AC49-SUM(CQ49:CT49)</f>
        <v>0</v>
      </c>
      <c r="AD69" s="15">
        <f>AD49-SUM(CU49:CX49)</f>
        <v>0</v>
      </c>
      <c r="AE69" s="15">
        <f>AE49-SUM(CY49:DB49)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-9.0949470177292824E-13</v>
      </c>
    </row>
    <row r="70" spans="1:110" s="8" customFormat="1" x14ac:dyDescent="0.2">
      <c r="A70" s="149" t="s">
        <v>489</v>
      </c>
      <c r="AB70" s="58"/>
      <c r="AC70" s="58"/>
      <c r="AD70" s="58"/>
      <c r="AE70" s="58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E70" s="132"/>
    </row>
    <row r="71" spans="1:110" s="3" customFormat="1" x14ac:dyDescent="0.2">
      <c r="A71" s="3" t="s">
        <v>27</v>
      </c>
      <c r="B71" s="3">
        <f>'Annual Raw'!C104</f>
        <v>0</v>
      </c>
      <c r="C71" s="3">
        <f>'Annual Raw'!D104</f>
        <v>0</v>
      </c>
      <c r="D71" s="3">
        <f>'Annual Raw'!E104</f>
        <v>0</v>
      </c>
      <c r="E71" s="3">
        <f t="shared" ref="E71:Y71" ca="1" si="723">+F71</f>
        <v>107.97</v>
      </c>
      <c r="F71" s="3">
        <f t="shared" ca="1" si="723"/>
        <v>107.97</v>
      </c>
      <c r="G71" s="3">
        <f t="shared" ca="1" si="723"/>
        <v>107.97</v>
      </c>
      <c r="H71" s="3">
        <f t="shared" ca="1" si="723"/>
        <v>107.97</v>
      </c>
      <c r="I71" s="3">
        <f t="shared" ca="1" si="723"/>
        <v>107.97</v>
      </c>
      <c r="J71" s="3">
        <f t="shared" ca="1" si="723"/>
        <v>107.97</v>
      </c>
      <c r="K71" s="3">
        <f t="shared" ca="1" si="723"/>
        <v>107.97</v>
      </c>
      <c r="L71" s="3">
        <f t="shared" ca="1" si="723"/>
        <v>107.97</v>
      </c>
      <c r="M71" s="3">
        <f t="shared" ca="1" si="723"/>
        <v>107.97</v>
      </c>
      <c r="N71" s="3">
        <f t="shared" ca="1" si="723"/>
        <v>107.97</v>
      </c>
      <c r="O71" s="3">
        <f t="shared" ca="1" si="723"/>
        <v>107.97</v>
      </c>
      <c r="P71" s="3">
        <f t="shared" ca="1" si="723"/>
        <v>107.97</v>
      </c>
      <c r="Q71" s="3">
        <f t="shared" ca="1" si="723"/>
        <v>107.97</v>
      </c>
      <c r="R71" s="3">
        <f t="shared" ca="1" si="723"/>
        <v>107.97</v>
      </c>
      <c r="S71" s="3">
        <f t="shared" ca="1" si="723"/>
        <v>107.97</v>
      </c>
      <c r="T71" s="3">
        <f t="shared" ca="1" si="723"/>
        <v>107.97</v>
      </c>
      <c r="U71" s="3">
        <f t="shared" ca="1" si="723"/>
        <v>107.97</v>
      </c>
      <c r="V71" s="3">
        <f t="shared" ca="1" si="723"/>
        <v>107.97</v>
      </c>
      <c r="W71" s="3">
        <f t="shared" ca="1" si="723"/>
        <v>107.97</v>
      </c>
      <c r="X71" s="3">
        <f t="shared" ca="1" si="723"/>
        <v>107.97</v>
      </c>
      <c r="Y71" s="3">
        <f t="shared" ca="1" si="723"/>
        <v>107.97</v>
      </c>
      <c r="Z71" s="3">
        <f ca="1">+AA71</f>
        <v>107.97</v>
      </c>
      <c r="AA71" s="3">
        <f ca="1">+AB71</f>
        <v>107.97</v>
      </c>
      <c r="AB71" s="37">
        <f t="shared" ref="AB71:AB72" ca="1" si="724">AA71</f>
        <v>107.97</v>
      </c>
      <c r="AC71" s="37">
        <f t="shared" ref="AC71:AC72" ca="1" si="725">AB71</f>
        <v>107.97</v>
      </c>
      <c r="AD71" s="37">
        <f t="shared" ref="AD71:AD72" ca="1" si="726">AC71</f>
        <v>107.97</v>
      </c>
      <c r="AE71" s="37">
        <f t="shared" ref="AE71:AE72" ca="1" si="727">AD71</f>
        <v>107.97</v>
      </c>
      <c r="AI71" s="3">
        <f t="shared" ref="AI71:CH71" si="728">+AJ71</f>
        <v>107.96</v>
      </c>
      <c r="AJ71" s="3">
        <f t="shared" si="728"/>
        <v>107.96</v>
      </c>
      <c r="AK71" s="3">
        <f t="shared" si="728"/>
        <v>107.96</v>
      </c>
      <c r="AL71" s="3">
        <f t="shared" si="728"/>
        <v>107.96</v>
      </c>
      <c r="AM71" s="3">
        <f t="shared" si="728"/>
        <v>107.96</v>
      </c>
      <c r="AN71" s="3">
        <f t="shared" si="728"/>
        <v>107.96</v>
      </c>
      <c r="AO71" s="3">
        <f t="shared" si="728"/>
        <v>107.96</v>
      </c>
      <c r="AP71" s="3">
        <f t="shared" si="728"/>
        <v>107.96</v>
      </c>
      <c r="AQ71" s="3">
        <f t="shared" si="728"/>
        <v>107.96</v>
      </c>
      <c r="AR71" s="3">
        <f t="shared" si="728"/>
        <v>107.96</v>
      </c>
      <c r="AS71" s="3">
        <f t="shared" si="728"/>
        <v>107.96</v>
      </c>
      <c r="AT71" s="3">
        <f t="shared" si="728"/>
        <v>107.96</v>
      </c>
      <c r="AU71" s="3">
        <f t="shared" si="728"/>
        <v>107.96</v>
      </c>
      <c r="AV71" s="3">
        <f t="shared" si="728"/>
        <v>107.96</v>
      </c>
      <c r="AW71" s="3">
        <f t="shared" si="728"/>
        <v>107.96</v>
      </c>
      <c r="AX71" s="3">
        <f t="shared" si="728"/>
        <v>107.96</v>
      </c>
      <c r="AY71" s="3">
        <f t="shared" si="728"/>
        <v>107.96</v>
      </c>
      <c r="AZ71" s="3">
        <f t="shared" si="728"/>
        <v>107.96</v>
      </c>
      <c r="BA71" s="3">
        <f t="shared" si="728"/>
        <v>107.96</v>
      </c>
      <c r="BB71" s="3">
        <f t="shared" si="728"/>
        <v>107.96</v>
      </c>
      <c r="BC71" s="3">
        <f t="shared" si="728"/>
        <v>107.96</v>
      </c>
      <c r="BD71" s="3">
        <f t="shared" si="728"/>
        <v>107.96</v>
      </c>
      <c r="BE71" s="3">
        <f t="shared" si="728"/>
        <v>107.96</v>
      </c>
      <c r="BF71" s="3">
        <f t="shared" si="728"/>
        <v>107.96</v>
      </c>
      <c r="BG71" s="3">
        <f t="shared" si="728"/>
        <v>107.96</v>
      </c>
      <c r="BH71" s="3">
        <f t="shared" si="728"/>
        <v>107.96</v>
      </c>
      <c r="BI71" s="3">
        <f t="shared" si="728"/>
        <v>107.96</v>
      </c>
      <c r="BJ71" s="3">
        <f t="shared" si="728"/>
        <v>107.96</v>
      </c>
      <c r="BK71" s="3">
        <f t="shared" si="728"/>
        <v>107.96</v>
      </c>
      <c r="BL71" s="3">
        <f t="shared" si="728"/>
        <v>107.96</v>
      </c>
      <c r="BM71" s="3">
        <f t="shared" si="728"/>
        <v>107.96</v>
      </c>
      <c r="BN71" s="3">
        <f t="shared" si="728"/>
        <v>107.96</v>
      </c>
      <c r="BO71" s="3">
        <f t="shared" si="728"/>
        <v>107.96</v>
      </c>
      <c r="BP71" s="3">
        <f t="shared" si="728"/>
        <v>107.96</v>
      </c>
      <c r="BQ71" s="3">
        <f t="shared" si="728"/>
        <v>107.96</v>
      </c>
      <c r="BR71" s="3">
        <f t="shared" si="728"/>
        <v>107.96</v>
      </c>
      <c r="BS71" s="3">
        <f t="shared" si="728"/>
        <v>107.96</v>
      </c>
      <c r="BT71" s="3">
        <f t="shared" si="728"/>
        <v>107.96</v>
      </c>
      <c r="BU71" s="3">
        <f t="shared" si="728"/>
        <v>107.96</v>
      </c>
      <c r="BV71" s="3">
        <f t="shared" si="728"/>
        <v>107.96</v>
      </c>
      <c r="BW71" s="3">
        <f t="shared" si="728"/>
        <v>107.96</v>
      </c>
      <c r="BX71" s="3">
        <f t="shared" si="728"/>
        <v>107.96</v>
      </c>
      <c r="BY71" s="3">
        <f t="shared" si="728"/>
        <v>107.96</v>
      </c>
      <c r="BZ71" s="3">
        <f t="shared" si="728"/>
        <v>107.96</v>
      </c>
      <c r="CA71" s="3">
        <f t="shared" si="728"/>
        <v>107.96</v>
      </c>
      <c r="CB71" s="3">
        <f t="shared" si="728"/>
        <v>107.96</v>
      </c>
      <c r="CC71" s="3">
        <f t="shared" si="728"/>
        <v>107.96</v>
      </c>
      <c r="CD71" s="3">
        <f t="shared" si="728"/>
        <v>107.96</v>
      </c>
      <c r="CE71" s="3">
        <f t="shared" si="728"/>
        <v>107.96</v>
      </c>
      <c r="CF71" s="3">
        <f t="shared" si="728"/>
        <v>107.96</v>
      </c>
      <c r="CG71" s="3">
        <f t="shared" si="728"/>
        <v>107.96</v>
      </c>
      <c r="CH71" s="3">
        <f t="shared" si="728"/>
        <v>107.96</v>
      </c>
      <c r="CI71" s="3">
        <f>+CJ71</f>
        <v>107.96</v>
      </c>
      <c r="CJ71" s="3">
        <f>'QTR Raw'!BD45</f>
        <v>107.96</v>
      </c>
      <c r="CK71" s="3">
        <f>'QTR Raw'!BE45</f>
        <v>107.97</v>
      </c>
      <c r="CL71" s="3">
        <f>'QTR Raw'!BF45</f>
        <v>107.97</v>
      </c>
      <c r="CM71" s="37">
        <f t="shared" ref="CM71:CM72" si="729">+CL71</f>
        <v>107.97</v>
      </c>
      <c r="CN71" s="37">
        <f t="shared" ref="CN71:CN72" si="730">+CM71</f>
        <v>107.97</v>
      </c>
      <c r="CO71" s="37">
        <f t="shared" ref="CO71:CO72" si="731">+CN71</f>
        <v>107.97</v>
      </c>
      <c r="CP71" s="37">
        <f t="shared" ref="CP71:CP72" si="732">+CO71</f>
        <v>107.97</v>
      </c>
      <c r="CQ71" s="37">
        <f t="shared" ref="CQ71:CQ72" si="733">+CP71</f>
        <v>107.97</v>
      </c>
      <c r="CR71" s="37">
        <f t="shared" ref="CR71:CR72" si="734">+CQ71</f>
        <v>107.97</v>
      </c>
      <c r="CS71" s="37">
        <f t="shared" ref="CS71:CS72" si="735">+CR71</f>
        <v>107.97</v>
      </c>
      <c r="CT71" s="37">
        <f t="shared" ref="CT71:CT72" si="736">+CS71</f>
        <v>107.97</v>
      </c>
      <c r="CU71" s="37">
        <f t="shared" ref="CU71:CU72" si="737">+CT71</f>
        <v>107.97</v>
      </c>
      <c r="CV71" s="37">
        <f t="shared" ref="CV71:CV72" si="738">+CU71</f>
        <v>107.97</v>
      </c>
      <c r="CW71" s="37">
        <f t="shared" ref="CW71:CW72" si="739">+CV71</f>
        <v>107.97</v>
      </c>
      <c r="CX71" s="37">
        <f t="shared" ref="CX71:CX72" si="740">+CW71</f>
        <v>107.97</v>
      </c>
      <c r="CY71" s="37">
        <f t="shared" ref="CY71:CY72" si="741">+CX71</f>
        <v>107.97</v>
      </c>
      <c r="CZ71" s="37">
        <f t="shared" ref="CZ71:CZ72" si="742">+CY71</f>
        <v>107.97</v>
      </c>
      <c r="DA71" s="37">
        <f t="shared" ref="DA71:DA72" si="743">+CZ71</f>
        <v>107.97</v>
      </c>
      <c r="DB71" s="37">
        <f t="shared" ref="DB71:DB72" si="744">+DA71</f>
        <v>107.97</v>
      </c>
      <c r="DE71" s="134"/>
      <c r="DF71" s="3">
        <v>107.97</v>
      </c>
    </row>
    <row r="72" spans="1:110" s="3" customFormat="1" x14ac:dyDescent="0.2">
      <c r="A72" s="3" t="s">
        <v>28</v>
      </c>
      <c r="B72" s="3">
        <f>'Annual Raw'!C105</f>
        <v>0</v>
      </c>
      <c r="C72" s="3">
        <f>'Annual Raw'!D105</f>
        <v>0</v>
      </c>
      <c r="D72" s="3">
        <f>'Annual Raw'!E105</f>
        <v>0</v>
      </c>
      <c r="E72" s="3">
        <f t="shared" ref="E72:Y72" ca="1" si="745">+F72</f>
        <v>2</v>
      </c>
      <c r="F72" s="3">
        <f t="shared" ca="1" si="745"/>
        <v>2</v>
      </c>
      <c r="G72" s="3">
        <f t="shared" ca="1" si="745"/>
        <v>2</v>
      </c>
      <c r="H72" s="3">
        <f t="shared" ca="1" si="745"/>
        <v>2</v>
      </c>
      <c r="I72" s="3">
        <f t="shared" ca="1" si="745"/>
        <v>2</v>
      </c>
      <c r="J72" s="3">
        <f t="shared" ca="1" si="745"/>
        <v>2</v>
      </c>
      <c r="K72" s="3">
        <f t="shared" ca="1" si="745"/>
        <v>2</v>
      </c>
      <c r="L72" s="3">
        <f t="shared" ca="1" si="745"/>
        <v>2</v>
      </c>
      <c r="M72" s="3">
        <f t="shared" ca="1" si="745"/>
        <v>2</v>
      </c>
      <c r="N72" s="3">
        <f t="shared" ca="1" si="745"/>
        <v>2</v>
      </c>
      <c r="O72" s="3">
        <f t="shared" ca="1" si="745"/>
        <v>2</v>
      </c>
      <c r="P72" s="3">
        <f t="shared" ca="1" si="745"/>
        <v>2</v>
      </c>
      <c r="Q72" s="3">
        <f t="shared" ca="1" si="745"/>
        <v>2</v>
      </c>
      <c r="R72" s="3">
        <f t="shared" ca="1" si="745"/>
        <v>2</v>
      </c>
      <c r="S72" s="3">
        <f t="shared" ca="1" si="745"/>
        <v>2</v>
      </c>
      <c r="T72" s="3">
        <f t="shared" ca="1" si="745"/>
        <v>2</v>
      </c>
      <c r="U72" s="3">
        <f t="shared" ca="1" si="745"/>
        <v>2</v>
      </c>
      <c r="V72" s="3">
        <f t="shared" ca="1" si="745"/>
        <v>2</v>
      </c>
      <c r="W72" s="3">
        <f t="shared" ca="1" si="745"/>
        <v>2</v>
      </c>
      <c r="X72" s="3">
        <f t="shared" ca="1" si="745"/>
        <v>2</v>
      </c>
      <c r="Y72" s="3">
        <f t="shared" ca="1" si="745"/>
        <v>2</v>
      </c>
      <c r="Z72" s="3">
        <f ca="1">+AA72</f>
        <v>2</v>
      </c>
      <c r="AA72" s="3">
        <f ca="1">+AB72</f>
        <v>2</v>
      </c>
      <c r="AB72" s="37">
        <f t="shared" ca="1" si="724"/>
        <v>2</v>
      </c>
      <c r="AC72" s="37">
        <f t="shared" ca="1" si="725"/>
        <v>2</v>
      </c>
      <c r="AD72" s="37">
        <f t="shared" ca="1" si="726"/>
        <v>2</v>
      </c>
      <c r="AE72" s="37">
        <f t="shared" ca="1" si="727"/>
        <v>2</v>
      </c>
      <c r="AI72" s="3">
        <f t="shared" ref="AI72:CH72" si="746">AJ72</f>
        <v>2</v>
      </c>
      <c r="AJ72" s="3">
        <f t="shared" si="746"/>
        <v>2</v>
      </c>
      <c r="AK72" s="3">
        <f t="shared" si="746"/>
        <v>2</v>
      </c>
      <c r="AL72" s="3">
        <f t="shared" si="746"/>
        <v>2</v>
      </c>
      <c r="AM72" s="3">
        <f t="shared" si="746"/>
        <v>2</v>
      </c>
      <c r="AN72" s="3">
        <f t="shared" si="746"/>
        <v>2</v>
      </c>
      <c r="AO72" s="3">
        <f t="shared" si="746"/>
        <v>2</v>
      </c>
      <c r="AP72" s="3">
        <f t="shared" si="746"/>
        <v>2</v>
      </c>
      <c r="AQ72" s="3">
        <f t="shared" si="746"/>
        <v>2</v>
      </c>
      <c r="AR72" s="3">
        <f t="shared" si="746"/>
        <v>2</v>
      </c>
      <c r="AS72" s="3">
        <f t="shared" si="746"/>
        <v>2</v>
      </c>
      <c r="AT72" s="3">
        <f t="shared" si="746"/>
        <v>2</v>
      </c>
      <c r="AU72" s="3">
        <f t="shared" si="746"/>
        <v>2</v>
      </c>
      <c r="AV72" s="3">
        <f t="shared" si="746"/>
        <v>2</v>
      </c>
      <c r="AW72" s="3">
        <f t="shared" si="746"/>
        <v>2</v>
      </c>
      <c r="AX72" s="3">
        <f t="shared" si="746"/>
        <v>2</v>
      </c>
      <c r="AY72" s="3">
        <f t="shared" si="746"/>
        <v>2</v>
      </c>
      <c r="AZ72" s="3">
        <f t="shared" si="746"/>
        <v>2</v>
      </c>
      <c r="BA72" s="3">
        <f t="shared" si="746"/>
        <v>2</v>
      </c>
      <c r="BB72" s="3">
        <f t="shared" si="746"/>
        <v>2</v>
      </c>
      <c r="BC72" s="3">
        <f t="shared" si="746"/>
        <v>2</v>
      </c>
      <c r="BD72" s="3">
        <f t="shared" si="746"/>
        <v>2</v>
      </c>
      <c r="BE72" s="3">
        <f t="shared" si="746"/>
        <v>2</v>
      </c>
      <c r="BF72" s="3">
        <f t="shared" si="746"/>
        <v>2</v>
      </c>
      <c r="BG72" s="3">
        <f t="shared" si="746"/>
        <v>2</v>
      </c>
      <c r="BH72" s="3">
        <f t="shared" si="746"/>
        <v>2</v>
      </c>
      <c r="BI72" s="3">
        <f t="shared" si="746"/>
        <v>2</v>
      </c>
      <c r="BJ72" s="3">
        <f t="shared" si="746"/>
        <v>2</v>
      </c>
      <c r="BK72" s="3">
        <f t="shared" si="746"/>
        <v>2</v>
      </c>
      <c r="BL72" s="3">
        <f t="shared" si="746"/>
        <v>2</v>
      </c>
      <c r="BM72" s="3">
        <f t="shared" si="746"/>
        <v>2</v>
      </c>
      <c r="BN72" s="3">
        <f t="shared" si="746"/>
        <v>2</v>
      </c>
      <c r="BO72" s="3">
        <f t="shared" si="746"/>
        <v>2</v>
      </c>
      <c r="BP72" s="3">
        <f t="shared" si="746"/>
        <v>2</v>
      </c>
      <c r="BQ72" s="3">
        <f t="shared" si="746"/>
        <v>2</v>
      </c>
      <c r="BR72" s="3">
        <f t="shared" si="746"/>
        <v>2</v>
      </c>
      <c r="BS72" s="3">
        <f t="shared" si="746"/>
        <v>2</v>
      </c>
      <c r="BT72" s="3">
        <f t="shared" si="746"/>
        <v>2</v>
      </c>
      <c r="BU72" s="3">
        <f t="shared" si="746"/>
        <v>2</v>
      </c>
      <c r="BV72" s="3">
        <f t="shared" si="746"/>
        <v>2</v>
      </c>
      <c r="BW72" s="3">
        <f t="shared" si="746"/>
        <v>2</v>
      </c>
      <c r="BX72" s="3">
        <f t="shared" si="746"/>
        <v>2</v>
      </c>
      <c r="BY72" s="3">
        <f t="shared" si="746"/>
        <v>2</v>
      </c>
      <c r="BZ72" s="3">
        <f t="shared" si="746"/>
        <v>2</v>
      </c>
      <c r="CA72" s="3">
        <f t="shared" si="746"/>
        <v>2</v>
      </c>
      <c r="CB72" s="3">
        <f t="shared" si="746"/>
        <v>2</v>
      </c>
      <c r="CC72" s="3">
        <f t="shared" si="746"/>
        <v>2</v>
      </c>
      <c r="CD72" s="3">
        <f t="shared" si="746"/>
        <v>2</v>
      </c>
      <c r="CE72" s="3">
        <f t="shared" si="746"/>
        <v>2</v>
      </c>
      <c r="CF72" s="3">
        <f t="shared" si="746"/>
        <v>2</v>
      </c>
      <c r="CG72" s="3">
        <f t="shared" si="746"/>
        <v>2</v>
      </c>
      <c r="CH72" s="3">
        <f t="shared" si="746"/>
        <v>2</v>
      </c>
      <c r="CI72" s="3">
        <f>CJ72</f>
        <v>2</v>
      </c>
      <c r="CJ72" s="3">
        <f>'QTR Raw'!BD46</f>
        <v>2</v>
      </c>
      <c r="CK72" s="3">
        <f>'QTR Raw'!BE46</f>
        <v>2</v>
      </c>
      <c r="CL72" s="3">
        <f>'QTR Raw'!BF46</f>
        <v>2</v>
      </c>
      <c r="CM72" s="37">
        <f t="shared" si="729"/>
        <v>2</v>
      </c>
      <c r="CN72" s="37">
        <f t="shared" si="730"/>
        <v>2</v>
      </c>
      <c r="CO72" s="37">
        <f t="shared" si="731"/>
        <v>2</v>
      </c>
      <c r="CP72" s="37">
        <f t="shared" si="732"/>
        <v>2</v>
      </c>
      <c r="CQ72" s="37">
        <f t="shared" si="733"/>
        <v>2</v>
      </c>
      <c r="CR72" s="37">
        <f t="shared" si="734"/>
        <v>2</v>
      </c>
      <c r="CS72" s="37">
        <f t="shared" si="735"/>
        <v>2</v>
      </c>
      <c r="CT72" s="37">
        <f t="shared" si="736"/>
        <v>2</v>
      </c>
      <c r="CU72" s="37">
        <f t="shared" si="737"/>
        <v>2</v>
      </c>
      <c r="CV72" s="37">
        <f t="shared" si="738"/>
        <v>2</v>
      </c>
      <c r="CW72" s="37">
        <f t="shared" si="739"/>
        <v>2</v>
      </c>
      <c r="CX72" s="37">
        <f t="shared" si="740"/>
        <v>2</v>
      </c>
      <c r="CY72" s="37">
        <f t="shared" si="741"/>
        <v>2</v>
      </c>
      <c r="CZ72" s="37">
        <f t="shared" si="742"/>
        <v>2</v>
      </c>
      <c r="DA72" s="37">
        <f t="shared" si="743"/>
        <v>2</v>
      </c>
      <c r="DB72" s="37">
        <f t="shared" si="744"/>
        <v>2</v>
      </c>
      <c r="DE72" s="134"/>
      <c r="DF72" s="3">
        <v>2</v>
      </c>
    </row>
    <row r="73" spans="1:110" s="3" customFormat="1" x14ac:dyDescent="0.2">
      <c r="A73" s="3" t="s">
        <v>29</v>
      </c>
      <c r="B73" s="3" t="e">
        <f>B71/B72</f>
        <v>#DIV/0!</v>
      </c>
      <c r="C73" s="3" t="e">
        <f t="shared" ref="C73:W73" si="747">C71/C72</f>
        <v>#DIV/0!</v>
      </c>
      <c r="D73" s="3" t="e">
        <f t="shared" si="747"/>
        <v>#DIV/0!</v>
      </c>
      <c r="E73" s="3">
        <f t="shared" ca="1" si="747"/>
        <v>53.984999999999999</v>
      </c>
      <c r="F73" s="3">
        <f t="shared" ca="1" si="747"/>
        <v>53.984999999999999</v>
      </c>
      <c r="G73" s="3">
        <f t="shared" ca="1" si="747"/>
        <v>53.984999999999999</v>
      </c>
      <c r="H73" s="3">
        <f t="shared" ca="1" si="747"/>
        <v>53.984999999999999</v>
      </c>
      <c r="I73" s="3">
        <f t="shared" ca="1" si="747"/>
        <v>53.984999999999999</v>
      </c>
      <c r="J73" s="3">
        <f t="shared" ca="1" si="747"/>
        <v>53.984999999999999</v>
      </c>
      <c r="K73" s="3">
        <f t="shared" ca="1" si="747"/>
        <v>53.984999999999999</v>
      </c>
      <c r="L73" s="3">
        <f t="shared" ca="1" si="747"/>
        <v>53.984999999999999</v>
      </c>
      <c r="M73" s="3">
        <f t="shared" ca="1" si="747"/>
        <v>53.984999999999999</v>
      </c>
      <c r="N73" s="3">
        <f t="shared" ca="1" si="747"/>
        <v>53.984999999999999</v>
      </c>
      <c r="O73" s="3">
        <f t="shared" ca="1" si="747"/>
        <v>53.984999999999999</v>
      </c>
      <c r="P73" s="3">
        <f t="shared" ca="1" si="747"/>
        <v>53.984999999999999</v>
      </c>
      <c r="Q73" s="3">
        <f t="shared" ca="1" si="747"/>
        <v>53.984999999999999</v>
      </c>
      <c r="R73" s="3">
        <f t="shared" ca="1" si="747"/>
        <v>53.984999999999999</v>
      </c>
      <c r="S73" s="3">
        <f t="shared" ca="1" si="747"/>
        <v>53.984999999999999</v>
      </c>
      <c r="T73" s="3">
        <f t="shared" ca="1" si="747"/>
        <v>53.984999999999999</v>
      </c>
      <c r="U73" s="3">
        <f t="shared" ca="1" si="747"/>
        <v>53.984999999999999</v>
      </c>
      <c r="V73" s="3">
        <f ca="1">V71/V72</f>
        <v>53.984999999999999</v>
      </c>
      <c r="W73" s="3">
        <f t="shared" ca="1" si="747"/>
        <v>53.984999999999999</v>
      </c>
      <c r="X73" s="3">
        <f t="shared" ref="X73:Y73" ca="1" si="748">X71/X72</f>
        <v>53.984999999999999</v>
      </c>
      <c r="Y73" s="3">
        <f t="shared" ca="1" si="748"/>
        <v>53.984999999999999</v>
      </c>
      <c r="Z73" s="3">
        <f t="shared" ref="Z73:AA73" ca="1" si="749">Z71/Z72</f>
        <v>53.984999999999999</v>
      </c>
      <c r="AA73" s="3">
        <f t="shared" ref="AA73" ca="1" si="750">AA71/AA72</f>
        <v>53.984999999999999</v>
      </c>
      <c r="AB73" s="37">
        <f t="shared" ref="AB73:AD73" ca="1" si="751">AB71/AB72</f>
        <v>53.984999999999999</v>
      </c>
      <c r="AC73" s="37">
        <f t="shared" ca="1" si="751"/>
        <v>53.984999999999999</v>
      </c>
      <c r="AD73" s="37">
        <f t="shared" ca="1" si="751"/>
        <v>53.984999999999999</v>
      </c>
      <c r="AE73" s="37">
        <f t="shared" ref="AE73" ca="1" si="752">AE71/AE72</f>
        <v>53.984999999999999</v>
      </c>
      <c r="AI73" s="3">
        <f t="shared" ref="AI73" si="753">AI71/AI72</f>
        <v>53.98</v>
      </c>
      <c r="AJ73" s="3">
        <f t="shared" ref="AJ73" si="754">AJ71/AJ72</f>
        <v>53.98</v>
      </c>
      <c r="AK73" s="3">
        <f t="shared" ref="AK73:AM73" si="755">AK71/AK72</f>
        <v>53.98</v>
      </c>
      <c r="AL73" s="3">
        <f t="shared" si="755"/>
        <v>53.98</v>
      </c>
      <c r="AM73" s="3">
        <f t="shared" si="755"/>
        <v>53.98</v>
      </c>
      <c r="AN73" s="3">
        <f t="shared" ref="AN73:AO73" si="756">AN71/AN72</f>
        <v>53.98</v>
      </c>
      <c r="AO73" s="3">
        <f t="shared" si="756"/>
        <v>53.98</v>
      </c>
      <c r="AP73" s="3">
        <f t="shared" ref="AP73:CD73" si="757">AP71/AP72</f>
        <v>53.98</v>
      </c>
      <c r="AQ73" s="3">
        <f t="shared" si="757"/>
        <v>53.98</v>
      </c>
      <c r="AR73" s="3">
        <f t="shared" si="757"/>
        <v>53.98</v>
      </c>
      <c r="AS73" s="3">
        <f t="shared" si="757"/>
        <v>53.98</v>
      </c>
      <c r="AT73" s="3">
        <f t="shared" si="757"/>
        <v>53.98</v>
      </c>
      <c r="AU73" s="3">
        <f t="shared" si="757"/>
        <v>53.98</v>
      </c>
      <c r="AV73" s="3">
        <f t="shared" si="757"/>
        <v>53.98</v>
      </c>
      <c r="AW73" s="3">
        <f t="shared" si="757"/>
        <v>53.98</v>
      </c>
      <c r="AX73" s="3">
        <f t="shared" si="757"/>
        <v>53.98</v>
      </c>
      <c r="AY73" s="3">
        <f t="shared" si="757"/>
        <v>53.98</v>
      </c>
      <c r="AZ73" s="3">
        <f t="shared" si="757"/>
        <v>53.98</v>
      </c>
      <c r="BA73" s="3">
        <f t="shared" si="757"/>
        <v>53.98</v>
      </c>
      <c r="BB73" s="3">
        <f t="shared" si="757"/>
        <v>53.98</v>
      </c>
      <c r="BC73" s="3">
        <f t="shared" si="757"/>
        <v>53.98</v>
      </c>
      <c r="BD73" s="3">
        <f t="shared" si="757"/>
        <v>53.98</v>
      </c>
      <c r="BE73" s="3">
        <f t="shared" si="757"/>
        <v>53.98</v>
      </c>
      <c r="BF73" s="3">
        <f t="shared" si="757"/>
        <v>53.98</v>
      </c>
      <c r="BG73" s="3">
        <f t="shared" si="757"/>
        <v>53.98</v>
      </c>
      <c r="BH73" s="3">
        <f t="shared" si="757"/>
        <v>53.98</v>
      </c>
      <c r="BI73" s="3">
        <f t="shared" si="757"/>
        <v>53.98</v>
      </c>
      <c r="BJ73" s="3">
        <f t="shared" si="757"/>
        <v>53.98</v>
      </c>
      <c r="BK73" s="3">
        <f t="shared" si="757"/>
        <v>53.98</v>
      </c>
      <c r="BL73" s="3">
        <f t="shared" si="757"/>
        <v>53.98</v>
      </c>
      <c r="BM73" s="3">
        <f t="shared" si="757"/>
        <v>53.98</v>
      </c>
      <c r="BN73" s="3">
        <f t="shared" si="757"/>
        <v>53.98</v>
      </c>
      <c r="BO73" s="3">
        <f t="shared" si="757"/>
        <v>53.98</v>
      </c>
      <c r="BP73" s="3">
        <f t="shared" si="757"/>
        <v>53.98</v>
      </c>
      <c r="BQ73" s="3">
        <f t="shared" si="757"/>
        <v>53.98</v>
      </c>
      <c r="BR73" s="3">
        <f t="shared" si="757"/>
        <v>53.98</v>
      </c>
      <c r="BS73" s="3">
        <f t="shared" si="757"/>
        <v>53.98</v>
      </c>
      <c r="BT73" s="3">
        <f t="shared" si="757"/>
        <v>53.98</v>
      </c>
      <c r="BU73" s="3">
        <f t="shared" si="757"/>
        <v>53.98</v>
      </c>
      <c r="BV73" s="3">
        <f t="shared" si="757"/>
        <v>53.98</v>
      </c>
      <c r="BW73" s="3">
        <f t="shared" si="757"/>
        <v>53.98</v>
      </c>
      <c r="BX73" s="3">
        <f t="shared" si="757"/>
        <v>53.98</v>
      </c>
      <c r="BY73" s="3">
        <f t="shared" si="757"/>
        <v>53.98</v>
      </c>
      <c r="BZ73" s="3">
        <f t="shared" si="757"/>
        <v>53.98</v>
      </c>
      <c r="CA73" s="3">
        <f t="shared" si="757"/>
        <v>53.98</v>
      </c>
      <c r="CB73" s="3">
        <f t="shared" si="757"/>
        <v>53.98</v>
      </c>
      <c r="CC73" s="3">
        <f t="shared" si="757"/>
        <v>53.98</v>
      </c>
      <c r="CD73" s="3">
        <f t="shared" si="757"/>
        <v>53.98</v>
      </c>
      <c r="CE73" s="3">
        <f t="shared" ref="CE73:CF73" si="758">CE71/CE72</f>
        <v>53.98</v>
      </c>
      <c r="CF73" s="3">
        <f t="shared" si="758"/>
        <v>53.98</v>
      </c>
      <c r="CG73" s="3">
        <f t="shared" ref="CG73:CH73" si="759">CG71/CG72</f>
        <v>53.98</v>
      </c>
      <c r="CH73" s="3">
        <f t="shared" si="759"/>
        <v>53.98</v>
      </c>
      <c r="CI73" s="3">
        <f t="shared" ref="CI73:CJ73" si="760">CI71/CI72</f>
        <v>53.98</v>
      </c>
      <c r="CJ73" s="3">
        <f t="shared" si="760"/>
        <v>53.98</v>
      </c>
      <c r="CK73" s="3">
        <f t="shared" ref="CK73:CL73" si="761">CK71/CK72</f>
        <v>53.984999999999999</v>
      </c>
      <c r="CL73" s="3">
        <f t="shared" si="761"/>
        <v>53.984999999999999</v>
      </c>
      <c r="CM73" s="37">
        <f t="shared" ref="CM73:DB73" si="762">CM71/CM72</f>
        <v>53.984999999999999</v>
      </c>
      <c r="CN73" s="37">
        <f t="shared" si="762"/>
        <v>53.984999999999999</v>
      </c>
      <c r="CO73" s="37">
        <f t="shared" si="762"/>
        <v>53.984999999999999</v>
      </c>
      <c r="CP73" s="37">
        <f t="shared" si="762"/>
        <v>53.984999999999999</v>
      </c>
      <c r="CQ73" s="37">
        <f t="shared" si="762"/>
        <v>53.984999999999999</v>
      </c>
      <c r="CR73" s="37">
        <f t="shared" si="762"/>
        <v>53.984999999999999</v>
      </c>
      <c r="CS73" s="37">
        <f t="shared" si="762"/>
        <v>53.984999999999999</v>
      </c>
      <c r="CT73" s="37">
        <f t="shared" si="762"/>
        <v>53.984999999999999</v>
      </c>
      <c r="CU73" s="37">
        <f t="shared" si="762"/>
        <v>53.984999999999999</v>
      </c>
      <c r="CV73" s="37">
        <f t="shared" si="762"/>
        <v>53.984999999999999</v>
      </c>
      <c r="CW73" s="37">
        <f t="shared" si="762"/>
        <v>53.984999999999999</v>
      </c>
      <c r="CX73" s="37">
        <f t="shared" si="762"/>
        <v>53.984999999999999</v>
      </c>
      <c r="CY73" s="37">
        <f t="shared" si="762"/>
        <v>53.984999999999999</v>
      </c>
      <c r="CZ73" s="37">
        <f t="shared" si="762"/>
        <v>53.984999999999999</v>
      </c>
      <c r="DA73" s="37">
        <f t="shared" si="762"/>
        <v>53.984999999999999</v>
      </c>
      <c r="DB73" s="37">
        <f t="shared" si="762"/>
        <v>53.984999999999999</v>
      </c>
      <c r="DE73" s="134"/>
      <c r="DF73" s="3">
        <v>53.984999999999999</v>
      </c>
    </row>
    <row r="74" spans="1:110" s="53" customFormat="1" x14ac:dyDescent="0.2">
      <c r="A74" s="53" t="s">
        <v>30</v>
      </c>
      <c r="B74" s="53" t="e">
        <f t="shared" ref="B74:AE74" si="763">(B56-B55)/B73</f>
        <v>#DIV/0!</v>
      </c>
      <c r="C74" s="53" t="e">
        <f t="shared" si="763"/>
        <v>#DIV/0!</v>
      </c>
      <c r="D74" s="53" t="e">
        <f t="shared" si="763"/>
        <v>#DIV/0!</v>
      </c>
      <c r="E74" s="53">
        <f t="shared" ca="1" si="763"/>
        <v>0</v>
      </c>
      <c r="F74" s="53">
        <f t="shared" ca="1" si="763"/>
        <v>0</v>
      </c>
      <c r="G74" s="53">
        <f t="shared" ca="1" si="763"/>
        <v>0</v>
      </c>
      <c r="H74" s="53">
        <f t="shared" ca="1" si="763"/>
        <v>0</v>
      </c>
      <c r="I74" s="53">
        <f t="shared" ca="1" si="763"/>
        <v>0</v>
      </c>
      <c r="J74" s="53">
        <f t="shared" ca="1" si="763"/>
        <v>0</v>
      </c>
      <c r="K74" s="53">
        <f t="shared" ca="1" si="763"/>
        <v>0</v>
      </c>
      <c r="L74" s="53">
        <f t="shared" ca="1" si="763"/>
        <v>0</v>
      </c>
      <c r="M74" s="53">
        <f t="shared" ca="1" si="763"/>
        <v>0.39968509771232841</v>
      </c>
      <c r="N74" s="53">
        <f t="shared" ca="1" si="763"/>
        <v>1.6341391127164955</v>
      </c>
      <c r="O74" s="53">
        <f t="shared" ca="1" si="763"/>
        <v>1.8008150412151482</v>
      </c>
      <c r="P74" s="53">
        <f t="shared" ca="1" si="763"/>
        <v>1.2664443826988951</v>
      </c>
      <c r="Q74" s="53">
        <f t="shared" ca="1" si="763"/>
        <v>2.4772622024636504</v>
      </c>
      <c r="R74" s="53">
        <f t="shared" ca="1" si="763"/>
        <v>3.5246086875984086</v>
      </c>
      <c r="S74" s="53">
        <f t="shared" ca="1" si="763"/>
        <v>3.1047513198110619</v>
      </c>
      <c r="T74" s="53">
        <f t="shared" ca="1" si="763"/>
        <v>1.7368528294896763</v>
      </c>
      <c r="U74" s="53">
        <f t="shared" ca="1" si="763"/>
        <v>4.7285357043623231</v>
      </c>
      <c r="V74" s="53">
        <f t="shared" ca="1" si="763"/>
        <v>18.219505418171721</v>
      </c>
      <c r="W74" s="53">
        <f t="shared" ca="1" si="763"/>
        <v>15.328702417338143</v>
      </c>
      <c r="X74" s="53">
        <f t="shared" ca="1" si="763"/>
        <v>14.63665833101788</v>
      </c>
      <c r="Y74" s="53">
        <f t="shared" ca="1" si="763"/>
        <v>2.9739742521070709</v>
      </c>
      <c r="Z74" s="53">
        <f t="shared" ca="1" si="763"/>
        <v>6.6373992775771109</v>
      </c>
      <c r="AA74" s="53">
        <f t="shared" ref="AA74" ca="1" si="764">(AA56-AA55)/AA73</f>
        <v>6.6373992775771109</v>
      </c>
      <c r="AB74" s="54">
        <f t="shared" ca="1" si="763"/>
        <v>17.240445612920535</v>
      </c>
      <c r="AC74" s="54">
        <f t="shared" ca="1" si="763"/>
        <v>20.428042508441631</v>
      </c>
      <c r="AD74" s="54">
        <f t="shared" ca="1" si="763"/>
        <v>24.281025909878242</v>
      </c>
      <c r="AE74" s="54">
        <f t="shared" ca="1" si="763"/>
        <v>34.012699424380578</v>
      </c>
      <c r="AI74" s="53">
        <f t="shared" ref="AI74:BN74" si="765">(AI56-AI55)/AI73</f>
        <v>0</v>
      </c>
      <c r="AJ74" s="53">
        <f t="shared" si="765"/>
        <v>0</v>
      </c>
      <c r="AK74" s="53">
        <f t="shared" si="765"/>
        <v>0</v>
      </c>
      <c r="AL74" s="53">
        <f t="shared" si="765"/>
        <v>0</v>
      </c>
      <c r="AM74" s="53">
        <f t="shared" si="765"/>
        <v>0</v>
      </c>
      <c r="AN74" s="53">
        <f t="shared" si="765"/>
        <v>0</v>
      </c>
      <c r="AO74" s="53">
        <f t="shared" si="765"/>
        <v>0</v>
      </c>
      <c r="AP74" s="53">
        <f t="shared" si="765"/>
        <v>0</v>
      </c>
      <c r="AQ74" s="53">
        <f t="shared" si="765"/>
        <v>0</v>
      </c>
      <c r="AR74" s="53">
        <f t="shared" si="765"/>
        <v>0</v>
      </c>
      <c r="AS74" s="53">
        <f t="shared" si="765"/>
        <v>0</v>
      </c>
      <c r="AT74" s="53">
        <f t="shared" si="765"/>
        <v>0</v>
      </c>
      <c r="AU74" s="53">
        <f t="shared" si="765"/>
        <v>0</v>
      </c>
      <c r="AV74" s="53">
        <f t="shared" si="765"/>
        <v>0</v>
      </c>
      <c r="AW74" s="53">
        <f t="shared" si="765"/>
        <v>0.74529455353834817</v>
      </c>
      <c r="AX74" s="53">
        <f t="shared" si="765"/>
        <v>0.98955168580955966</v>
      </c>
      <c r="AY74" s="53">
        <f t="shared" si="765"/>
        <v>0.47504631344942588</v>
      </c>
      <c r="AZ74" s="53">
        <f t="shared" si="765"/>
        <v>0.8944238606891447</v>
      </c>
      <c r="BA74" s="53">
        <f t="shared" si="765"/>
        <v>0.83399407187847407</v>
      </c>
      <c r="BB74" s="53">
        <f t="shared" si="765"/>
        <v>1.3214709151537605</v>
      </c>
      <c r="BC74" s="53">
        <f t="shared" si="765"/>
        <v>0.7207298999629479</v>
      </c>
      <c r="BD74" s="53">
        <f t="shared" si="765"/>
        <v>0.90320489070025989</v>
      </c>
      <c r="BE74" s="53">
        <f t="shared" si="765"/>
        <v>0.64597999258984773</v>
      </c>
      <c r="BF74" s="53">
        <f t="shared" si="765"/>
        <v>0.83512412004446146</v>
      </c>
      <c r="BG74" s="53">
        <f t="shared" si="765"/>
        <v>0.30674323823638444</v>
      </c>
      <c r="BH74" s="53">
        <f t="shared" si="765"/>
        <v>0.30029640607632352</v>
      </c>
      <c r="BI74" s="53">
        <f t="shared" si="765"/>
        <v>0.33006669136717204</v>
      </c>
      <c r="BJ74" s="53">
        <f t="shared" si="765"/>
        <v>0.79990737310114868</v>
      </c>
      <c r="BK74" s="53">
        <f t="shared" si="765"/>
        <v>0.27973323453130977</v>
      </c>
      <c r="BL74" s="53">
        <f t="shared" si="765"/>
        <v>1.0476102260096325</v>
      </c>
      <c r="BM74" s="53">
        <f t="shared" si="765"/>
        <v>1.3610596517228626</v>
      </c>
      <c r="BN74" s="53">
        <f t="shared" si="765"/>
        <v>2.0405705816969233</v>
      </c>
      <c r="BO74" s="53">
        <f t="shared" ref="BO74:CT74" si="766">(BO56-BO55)/BO73</f>
        <v>3.182289736939607</v>
      </c>
      <c r="BP74" s="53">
        <f t="shared" si="766"/>
        <v>4.4881437569470162</v>
      </c>
      <c r="BQ74" s="53">
        <f t="shared" si="766"/>
        <v>5.0546498703223426</v>
      </c>
      <c r="BR74" s="53">
        <f t="shared" si="766"/>
        <v>5.4961096702482406</v>
      </c>
      <c r="BS74" s="53">
        <f t="shared" si="766"/>
        <v>4.4718414227491676</v>
      </c>
      <c r="BT74" s="53">
        <f t="shared" si="766"/>
        <v>3.740274175620601</v>
      </c>
      <c r="BU74" s="53">
        <f t="shared" si="766"/>
        <v>2.8479066320859565</v>
      </c>
      <c r="BV74" s="53">
        <f t="shared" si="766"/>
        <v>4.2701000370507565</v>
      </c>
      <c r="BW74" s="53">
        <f t="shared" si="766"/>
        <v>4.6550574286772868</v>
      </c>
      <c r="BX74" s="53">
        <f t="shared" si="766"/>
        <v>4.3128936643201223</v>
      </c>
      <c r="BY74" s="53">
        <f t="shared" si="766"/>
        <v>3.7613931085587264</v>
      </c>
      <c r="BZ74" s="53">
        <f t="shared" si="766"/>
        <v>1.907743608743981</v>
      </c>
      <c r="CA74" s="53">
        <f t="shared" si="766"/>
        <v>0.46035568729158682</v>
      </c>
      <c r="CB74" s="53">
        <f t="shared" si="766"/>
        <v>0.68451278251204561</v>
      </c>
      <c r="CC74" s="53">
        <f t="shared" si="766"/>
        <v>0.42867728788440324</v>
      </c>
      <c r="CD74" s="53">
        <f t="shared" si="766"/>
        <v>1.4007039644312722</v>
      </c>
      <c r="CE74" s="53">
        <f t="shared" si="766"/>
        <v>0.23175250092626995</v>
      </c>
      <c r="CF74" s="53">
        <f t="shared" si="766"/>
        <v>0.36754353464246076</v>
      </c>
      <c r="CG74" s="53">
        <f t="shared" si="766"/>
        <v>1.7098925527973337</v>
      </c>
      <c r="CH74" s="53">
        <f t="shared" si="766"/>
        <v>4.328825490922565</v>
      </c>
      <c r="CI74" s="53">
        <f t="shared" si="766"/>
        <v>3.0200074101519059</v>
      </c>
      <c r="CJ74" s="53">
        <f t="shared" si="766"/>
        <v>3.6118932938125221</v>
      </c>
      <c r="CK74" s="53">
        <f t="shared" ref="CK74:CL74" si="767">(CK56-CK55)/CK73</f>
        <v>4.6616652773918643</v>
      </c>
      <c r="CL74" s="53">
        <f t="shared" si="767"/>
        <v>5.1706955635824778</v>
      </c>
      <c r="CM74" s="54">
        <f t="shared" si="766"/>
        <v>3.7854969576872204</v>
      </c>
      <c r="CN74" s="54">
        <f t="shared" si="766"/>
        <v>4.073993636125266</v>
      </c>
      <c r="CO74" s="54">
        <f t="shared" si="766"/>
        <v>4.6532569718606922</v>
      </c>
      <c r="CP74" s="54">
        <f t="shared" si="766"/>
        <v>4.727698047247328</v>
      </c>
      <c r="CQ74" s="54">
        <f t="shared" si="766"/>
        <v>4.6416184297110723</v>
      </c>
      <c r="CR74" s="54">
        <f t="shared" si="766"/>
        <v>4.835618438111398</v>
      </c>
      <c r="CS74" s="54">
        <f t="shared" si="766"/>
        <v>5.4177112629918005</v>
      </c>
      <c r="CT74" s="54">
        <f t="shared" si="766"/>
        <v>5.5330943776273465</v>
      </c>
      <c r="CU74" s="54">
        <f t="shared" ref="CU74:DB74" si="768">(CU56-CU55)/CU73</f>
        <v>5.5441817251459646</v>
      </c>
      <c r="CV74" s="54">
        <f t="shared" si="768"/>
        <v>6.0806434533188494</v>
      </c>
      <c r="CW74" s="54">
        <f t="shared" si="768"/>
        <v>6.2444067346143113</v>
      </c>
      <c r="CX74" s="54">
        <f t="shared" si="768"/>
        <v>6.4117939967991342</v>
      </c>
      <c r="CY74" s="54">
        <f t="shared" si="768"/>
        <v>6.5445800055138692</v>
      </c>
      <c r="CZ74" s="54">
        <f t="shared" si="768"/>
        <v>9.2349999341416602</v>
      </c>
      <c r="DA74" s="54">
        <f t="shared" si="768"/>
        <v>9.1651259799213527</v>
      </c>
      <c r="DB74" s="54">
        <f t="shared" si="768"/>
        <v>9.0679935048036988</v>
      </c>
      <c r="DE74" s="132"/>
      <c r="DF74" s="53">
        <v>16.463647309437782</v>
      </c>
    </row>
    <row r="75" spans="1:110" s="3" customFormat="1" x14ac:dyDescent="0.2">
      <c r="A75" s="3" t="s">
        <v>31</v>
      </c>
      <c r="B75" s="3">
        <f>'Annual Raw'!C110</f>
        <v>0</v>
      </c>
      <c r="C75" s="3">
        <f>'Annual Raw'!D110</f>
        <v>0</v>
      </c>
      <c r="D75" s="3">
        <f>'Annual Raw'!E110</f>
        <v>0</v>
      </c>
      <c r="E75" s="3">
        <f>'Annual Raw'!F110</f>
        <v>0</v>
      </c>
      <c r="F75" s="3">
        <f>'Annual Raw'!G110</f>
        <v>0</v>
      </c>
      <c r="G75" s="3">
        <f>'Annual Raw'!H110</f>
        <v>0</v>
      </c>
      <c r="H75" s="3">
        <f>'Annual Raw'!I110</f>
        <v>0</v>
      </c>
      <c r="I75" s="3">
        <f>'Annual Raw'!J110</f>
        <v>0</v>
      </c>
      <c r="J75" s="3">
        <f>'Annual Raw'!K110</f>
        <v>0</v>
      </c>
      <c r="K75" s="3">
        <f>'Annual Raw'!L110</f>
        <v>0</v>
      </c>
      <c r="L75" s="3">
        <f>'Annual Raw'!M110</f>
        <v>0</v>
      </c>
      <c r="M75" s="3">
        <f>'Annual Raw'!N110</f>
        <v>0</v>
      </c>
      <c r="N75" s="3">
        <f>'Annual Raw'!O110</f>
        <v>0</v>
      </c>
      <c r="O75" s="3">
        <f>'Annual Raw'!P110</f>
        <v>0</v>
      </c>
      <c r="P75" s="3">
        <f>'Annual Raw'!Q110</f>
        <v>0</v>
      </c>
      <c r="Q75" s="3">
        <f>'Annual Raw'!R110</f>
        <v>0.1</v>
      </c>
      <c r="R75" s="3">
        <f>'Annual Raw'!S110</f>
        <v>0.3</v>
      </c>
      <c r="S75" s="3">
        <f>'Annual Raw'!T110</f>
        <v>0.3</v>
      </c>
      <c r="T75" s="3">
        <f>'Annual Raw'!U110</f>
        <v>0.3</v>
      </c>
      <c r="U75" s="3">
        <f>'Annual Raw'!V110</f>
        <v>0.5</v>
      </c>
      <c r="V75" s="3">
        <f>'Annual Raw'!W110</f>
        <v>2</v>
      </c>
      <c r="W75" s="3">
        <f>'Annual Raw'!X110</f>
        <v>2</v>
      </c>
      <c r="X75" s="3">
        <f>'Annual Raw'!Y110</f>
        <v>2</v>
      </c>
      <c r="Y75" s="3">
        <f>'Annual Raw'!Z110</f>
        <v>0.8</v>
      </c>
      <c r="Z75" s="3">
        <f>'Annual Raw'!AA110</f>
        <v>1.2</v>
      </c>
      <c r="AA75" s="3">
        <f>'Annual Raw'!AB110</f>
        <v>2</v>
      </c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  <c r="DF75" s="3">
        <v>2</v>
      </c>
    </row>
    <row r="76" spans="1:110" s="3" customFormat="1" x14ac:dyDescent="0.2">
      <c r="A76" s="3" t="s">
        <v>32</v>
      </c>
      <c r="B76" s="3" t="e">
        <f>B75/B74</f>
        <v>#DIV/0!</v>
      </c>
      <c r="C76" s="3" t="e">
        <f t="shared" ref="C76:U76" si="769">C75/C74</f>
        <v>#DIV/0!</v>
      </c>
      <c r="D76" s="3" t="e">
        <f t="shared" si="769"/>
        <v>#DIV/0!</v>
      </c>
      <c r="E76" s="3" t="e">
        <f t="shared" ca="1" si="769"/>
        <v>#DIV/0!</v>
      </c>
      <c r="F76" s="3" t="e">
        <f t="shared" ca="1" si="769"/>
        <v>#DIV/0!</v>
      </c>
      <c r="G76" s="3" t="e">
        <f t="shared" ca="1" si="769"/>
        <v>#DIV/0!</v>
      </c>
      <c r="H76" s="3" t="e">
        <f t="shared" ca="1" si="769"/>
        <v>#DIV/0!</v>
      </c>
      <c r="I76" s="3" t="e">
        <f t="shared" ca="1" si="769"/>
        <v>#DIV/0!</v>
      </c>
      <c r="J76" s="3" t="e">
        <f t="shared" ca="1" si="769"/>
        <v>#DIV/0!</v>
      </c>
      <c r="K76" s="3" t="e">
        <f t="shared" ca="1" si="769"/>
        <v>#DIV/0!</v>
      </c>
      <c r="L76" s="3" t="e">
        <f t="shared" ca="1" si="769"/>
        <v>#DIV/0!</v>
      </c>
      <c r="M76" s="3">
        <f t="shared" ca="1" si="769"/>
        <v>0</v>
      </c>
      <c r="N76" s="3">
        <f t="shared" ca="1" si="769"/>
        <v>0</v>
      </c>
      <c r="O76" s="3">
        <f t="shared" ca="1" si="769"/>
        <v>0</v>
      </c>
      <c r="P76" s="3">
        <f t="shared" ca="1" si="769"/>
        <v>0</v>
      </c>
      <c r="Q76" s="3">
        <f t="shared" ca="1" si="769"/>
        <v>4.0367143978763925E-2</v>
      </c>
      <c r="R76" s="3">
        <f t="shared" ca="1" si="769"/>
        <v>8.5115831739157807E-2</v>
      </c>
      <c r="S76" s="3">
        <f t="shared" ca="1" si="769"/>
        <v>9.6626096294970362E-2</v>
      </c>
      <c r="T76" s="3">
        <f t="shared" ca="1" si="769"/>
        <v>0.17272620621987084</v>
      </c>
      <c r="U76" s="3">
        <f t="shared" ca="1" si="769"/>
        <v>0.10574098013867669</v>
      </c>
      <c r="V76" s="3">
        <f ca="1">V75/V74</f>
        <v>0.10977246385652409</v>
      </c>
      <c r="W76" s="3">
        <f t="shared" ref="W76" ca="1" si="770">W75/W74</f>
        <v>0.13047418793503487</v>
      </c>
      <c r="X76" s="3">
        <f t="shared" ref="X76:Y76" ca="1" si="771">X75/X74</f>
        <v>0.13664321150146802</v>
      </c>
      <c r="Y76" s="3">
        <f t="shared" ca="1" si="771"/>
        <v>0.26900031142946085</v>
      </c>
      <c r="Z76" s="3">
        <f t="shared" ref="Z76:AA76" ca="1" si="772">Z75/Z74</f>
        <v>0.18079370395177477</v>
      </c>
      <c r="AA76" s="3">
        <f t="shared" ref="AA76" ca="1" si="773">AA75/AA74</f>
        <v>0.18079370395177477</v>
      </c>
      <c r="AB76" s="37">
        <f t="shared" ref="AB76:AD76" ca="1" si="774">AB75/AB74</f>
        <v>0</v>
      </c>
      <c r="AC76" s="37">
        <f t="shared" ca="1" si="774"/>
        <v>0</v>
      </c>
      <c r="AD76" s="37">
        <f t="shared" ca="1" si="774"/>
        <v>0</v>
      </c>
      <c r="AE76" s="37">
        <f t="shared" ref="AE76" ca="1" si="775">AE75/AE74</f>
        <v>0</v>
      </c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  <c r="DF76" s="3">
        <v>0</v>
      </c>
    </row>
    <row r="77" spans="1:110" s="3" customFormat="1" x14ac:dyDescent="0.2">
      <c r="A77" s="3" t="s">
        <v>33</v>
      </c>
      <c r="B77" s="3" t="e">
        <f>+B74</f>
        <v>#DIV/0!</v>
      </c>
      <c r="C77" s="3" t="e">
        <f t="shared" ref="C77:U77" si="776">+C74</f>
        <v>#DIV/0!</v>
      </c>
      <c r="D77" s="3" t="e">
        <f t="shared" si="776"/>
        <v>#DIV/0!</v>
      </c>
      <c r="E77" s="3">
        <f t="shared" ca="1" si="776"/>
        <v>0</v>
      </c>
      <c r="F77" s="3">
        <f t="shared" ca="1" si="776"/>
        <v>0</v>
      </c>
      <c r="G77" s="3">
        <f t="shared" ca="1" si="776"/>
        <v>0</v>
      </c>
      <c r="H77" s="3">
        <f t="shared" ca="1" si="776"/>
        <v>0</v>
      </c>
      <c r="I77" s="3">
        <f t="shared" ca="1" si="776"/>
        <v>0</v>
      </c>
      <c r="J77" s="3">
        <f t="shared" ca="1" si="776"/>
        <v>0</v>
      </c>
      <c r="K77" s="3">
        <f t="shared" ca="1" si="776"/>
        <v>0</v>
      </c>
      <c r="L77" s="3">
        <f t="shared" ca="1" si="776"/>
        <v>0</v>
      </c>
      <c r="M77" s="3">
        <f t="shared" ca="1" si="776"/>
        <v>0.39968509771232841</v>
      </c>
      <c r="N77" s="3">
        <f t="shared" ca="1" si="776"/>
        <v>1.6341391127164955</v>
      </c>
      <c r="O77" s="3">
        <f t="shared" ca="1" si="776"/>
        <v>1.8008150412151482</v>
      </c>
      <c r="P77" s="3">
        <f t="shared" ca="1" si="776"/>
        <v>1.2664443826988951</v>
      </c>
      <c r="Q77" s="3">
        <f t="shared" ca="1" si="776"/>
        <v>2.4772622024636504</v>
      </c>
      <c r="R77" s="3">
        <f t="shared" ca="1" si="776"/>
        <v>3.5246086875984086</v>
      </c>
      <c r="S77" s="3">
        <f t="shared" ca="1" si="776"/>
        <v>3.1047513198110619</v>
      </c>
      <c r="T77" s="3">
        <f ca="1">+T74</f>
        <v>1.7368528294896763</v>
      </c>
      <c r="U77" s="3">
        <f t="shared" ca="1" si="776"/>
        <v>4.7285357043623231</v>
      </c>
      <c r="V77" s="3">
        <f ca="1">+V74</f>
        <v>18.219505418171721</v>
      </c>
      <c r="W77" s="3">
        <f t="shared" ref="W77" ca="1" si="777">+W74</f>
        <v>15.328702417338143</v>
      </c>
      <c r="X77" s="3">
        <f t="shared" ref="X77:Y77" ca="1" si="778">+X74</f>
        <v>14.63665833101788</v>
      </c>
      <c r="Y77" s="3">
        <f t="shared" ca="1" si="778"/>
        <v>2.9739742521070709</v>
      </c>
      <c r="Z77" s="3">
        <f t="shared" ref="Z77:AA77" ca="1" si="779">+Z74</f>
        <v>6.6373992775771109</v>
      </c>
      <c r="AA77" s="3">
        <f t="shared" ref="AA77" ca="1" si="780">+AA74</f>
        <v>6.6373992775771109</v>
      </c>
      <c r="AB77" s="37">
        <f t="shared" ref="AB77:AD77" ca="1" si="781">+AB74</f>
        <v>17.240445612920535</v>
      </c>
      <c r="AC77" s="37">
        <f t="shared" ca="1" si="781"/>
        <v>20.428042508441631</v>
      </c>
      <c r="AD77" s="37">
        <f t="shared" ca="1" si="781"/>
        <v>24.281025909878242</v>
      </c>
      <c r="AE77" s="37">
        <f t="shared" ref="AE77" ca="1" si="782">+AE74</f>
        <v>34.012699424380578</v>
      </c>
      <c r="AL77" s="3">
        <f>SUM(AI74:AL74)</f>
        <v>0</v>
      </c>
      <c r="AM77" s="3">
        <f t="shared" ref="AM77" si="783">SUM(AJ74:AM74)</f>
        <v>0</v>
      </c>
      <c r="AN77" s="3">
        <f t="shared" ref="AN77" si="784">SUM(AK74:AN74)</f>
        <v>0</v>
      </c>
      <c r="AO77" s="3">
        <f t="shared" ref="AO77" si="785">SUM(AL74:AO74)</f>
        <v>0</v>
      </c>
      <c r="AP77" s="3">
        <f t="shared" ref="AP77" si="786">SUM(AM74:AP74)</f>
        <v>0</v>
      </c>
      <c r="AQ77" s="3">
        <f t="shared" ref="AQ77" si="787">SUM(AN74:AQ74)</f>
        <v>0</v>
      </c>
      <c r="AR77" s="3">
        <f t="shared" ref="AR77" si="788">SUM(AO74:AR74)</f>
        <v>0</v>
      </c>
      <c r="AS77" s="3">
        <f t="shared" ref="AS77" si="789">SUM(AP74:AS74)</f>
        <v>0</v>
      </c>
      <c r="AT77" s="3">
        <f t="shared" ref="AT77" si="790">SUM(AQ74:AT74)</f>
        <v>0</v>
      </c>
      <c r="AU77" s="3">
        <f t="shared" ref="AU77" si="791">SUM(AR74:AU74)</f>
        <v>0</v>
      </c>
      <c r="AV77" s="3">
        <f t="shared" ref="AV77" si="792">SUM(AS74:AV74)</f>
        <v>0</v>
      </c>
      <c r="AW77" s="3">
        <f t="shared" ref="AW77" si="793">SUM(AT74:AW74)</f>
        <v>0.74529455353834817</v>
      </c>
      <c r="AX77" s="3">
        <f t="shared" ref="AX77" si="794">SUM(AU74:AX74)</f>
        <v>1.7348462393479078</v>
      </c>
      <c r="AY77" s="3">
        <f t="shared" ref="AY77" si="795">SUM(AV74:AY74)</f>
        <v>2.2098925527973337</v>
      </c>
      <c r="AZ77" s="3">
        <f t="shared" ref="AZ77" si="796">SUM(AW74:AZ74)</f>
        <v>3.1043164134864782</v>
      </c>
      <c r="BA77" s="3">
        <f t="shared" ref="BA77" si="797">SUM(AX74:BA74)</f>
        <v>3.1930159318266043</v>
      </c>
      <c r="BB77" s="3">
        <f t="shared" ref="BB77" si="798">SUM(AY74:BB74)</f>
        <v>3.5249351611708053</v>
      </c>
      <c r="BC77" s="3">
        <f t="shared" ref="BC77" si="799">SUM(AZ74:BC74)</f>
        <v>3.7706187476843276</v>
      </c>
      <c r="BD77" s="3">
        <f t="shared" ref="BD77" si="800">SUM(BA74:BD74)</f>
        <v>3.779399777695442</v>
      </c>
      <c r="BE77" s="3">
        <f t="shared" ref="BE77" si="801">SUM(BB74:BE74)</f>
        <v>3.5913856984068162</v>
      </c>
      <c r="BF77" s="3">
        <f t="shared" ref="BF77" si="802">SUM(BC74:BF74)</f>
        <v>3.1050389032975168</v>
      </c>
      <c r="BG77" s="3">
        <f t="shared" ref="BG77" si="803">SUM(BD74:BG74)</f>
        <v>2.6910522415709535</v>
      </c>
      <c r="BH77" s="3">
        <f t="shared" ref="BH77" si="804">SUM(BE74:BH74)</f>
        <v>2.0881437569470171</v>
      </c>
      <c r="BI77" s="3">
        <f t="shared" ref="BI77" si="805">SUM(BF74:BI74)</f>
        <v>1.7722304557243413</v>
      </c>
      <c r="BJ77" s="3">
        <f t="shared" ref="BJ77" si="806">SUM(BG74:BJ74)</f>
        <v>1.7370137087810287</v>
      </c>
      <c r="BK77" s="3">
        <f t="shared" ref="BK77" si="807">SUM(BH74:BK74)</f>
        <v>1.710003705075954</v>
      </c>
      <c r="BL77" s="3">
        <f t="shared" ref="BL77" si="808">SUM(BI74:BL74)</f>
        <v>2.4573175250092629</v>
      </c>
      <c r="BM77" s="3">
        <f t="shared" ref="BM77" si="809">SUM(BJ74:BM74)</f>
        <v>3.4883104853649538</v>
      </c>
      <c r="BN77" s="3">
        <f t="shared" ref="BN77" si="810">SUM(BK74:BN74)</f>
        <v>4.7289736939607279</v>
      </c>
      <c r="BO77" s="3">
        <f t="shared" ref="BO77" si="811">SUM(BL74:BO74)</f>
        <v>7.6315301963690256</v>
      </c>
      <c r="BP77" s="3">
        <f t="shared" ref="BP77" si="812">SUM(BM74:BP74)</f>
        <v>11.072063727306409</v>
      </c>
      <c r="BQ77" s="3">
        <f t="shared" ref="BQ77" si="813">SUM(BN74:BQ74)</f>
        <v>14.765653945905889</v>
      </c>
      <c r="BR77" s="3">
        <f t="shared" ref="BR77" si="814">SUM(BO74:BR74)</f>
        <v>18.221193034457208</v>
      </c>
      <c r="BS77" s="3">
        <f t="shared" ref="BS77" si="815">SUM(BP74:BS74)</f>
        <v>19.510744720266768</v>
      </c>
      <c r="BT77" s="3">
        <f t="shared" ref="BT77" si="816">SUM(BQ74:BT74)</f>
        <v>18.762875138940352</v>
      </c>
      <c r="BU77" s="3">
        <f t="shared" ref="BU77" si="817">SUM(BR74:BU74)</f>
        <v>16.556131900703964</v>
      </c>
      <c r="BV77" s="3">
        <f t="shared" ref="BV77" si="818">SUM(BS74:BV74)</f>
        <v>15.330122267506482</v>
      </c>
      <c r="BW77" s="3">
        <f t="shared" ref="BW77" si="819">SUM(BT74:BW74)</f>
        <v>15.5133382734346</v>
      </c>
      <c r="BX77" s="3">
        <f t="shared" ref="BX77" si="820">SUM(BU74:BX74)</f>
        <v>16.085957762134122</v>
      </c>
      <c r="BY77" s="3">
        <f t="shared" ref="BY77" si="821">SUM(BV74:BY74)</f>
        <v>16.999444238606891</v>
      </c>
      <c r="BZ77" s="3">
        <f t="shared" ref="BZ77" si="822">SUM(BW74:BZ74)</f>
        <v>14.637087810300118</v>
      </c>
      <c r="CA77" s="3">
        <f t="shared" ref="CA77" si="823">SUM(BX74:CA74)</f>
        <v>10.442386068914418</v>
      </c>
      <c r="CB77" s="3">
        <f t="shared" ref="CB77" si="824">SUM(BY74:CB74)</f>
        <v>6.814005187106341</v>
      </c>
      <c r="CC77" s="3">
        <f t="shared" ref="CC77" si="825">SUM(BZ74:CC74)</f>
        <v>3.4812893664320166</v>
      </c>
      <c r="CD77" s="3">
        <f t="shared" ref="CD77" si="826">SUM(CA74:CD74)</f>
        <v>2.9742497221193078</v>
      </c>
      <c r="CE77" s="3">
        <f t="shared" ref="CE77" si="827">SUM(CB74:CE74)</f>
        <v>2.7456465357539908</v>
      </c>
      <c r="CF77" s="3">
        <f t="shared" ref="CF77" si="828">SUM(CC74:CF74)</f>
        <v>2.4286772878844061</v>
      </c>
      <c r="CG77" s="3">
        <f t="shared" ref="CG77" si="829">SUM(CD74:CG74)</f>
        <v>3.7098925527973368</v>
      </c>
      <c r="CH77" s="3">
        <f t="shared" ref="CH77:CL77" si="830">SUM(CE74:CH74)</f>
        <v>6.6380140792886291</v>
      </c>
      <c r="CI77" s="3">
        <f t="shared" si="830"/>
        <v>9.4262689885142663</v>
      </c>
      <c r="CJ77" s="3">
        <f t="shared" si="830"/>
        <v>12.670618747684326</v>
      </c>
      <c r="CK77" s="3">
        <f t="shared" si="830"/>
        <v>15.622391472278856</v>
      </c>
      <c r="CL77" s="3">
        <f t="shared" si="830"/>
        <v>16.464261544938768</v>
      </c>
      <c r="CM77" s="37">
        <f t="shared" ref="CM77" si="831">SUM(CJ74:CM74)</f>
        <v>17.229751092474082</v>
      </c>
      <c r="CN77" s="37">
        <f t="shared" ref="CN77" si="832">SUM(CK74:CN74)</f>
        <v>17.691851434786827</v>
      </c>
      <c r="CO77" s="37">
        <f t="shared" ref="CO77" si="833">SUM(CL74:CO74)</f>
        <v>17.683443129255657</v>
      </c>
      <c r="CP77" s="37">
        <f t="shared" ref="CP77" si="834">SUM(CM74:CP74)</f>
        <v>17.240445612920507</v>
      </c>
      <c r="CQ77" s="37">
        <f t="shared" ref="CQ77" si="835">SUM(CN74:CQ74)</f>
        <v>18.096567084944358</v>
      </c>
      <c r="CR77" s="37">
        <f t="shared" ref="CR77" si="836">SUM(CO74:CR74)</f>
        <v>18.858191886930491</v>
      </c>
      <c r="CS77" s="37">
        <f t="shared" ref="CS77" si="837">SUM(CP74:CS74)</f>
        <v>19.622646178061597</v>
      </c>
      <c r="CT77" s="37">
        <f t="shared" ref="CT77" si="838">SUM(CQ74:CT74)</f>
        <v>20.428042508441617</v>
      </c>
      <c r="CU77" s="37">
        <f t="shared" ref="CU77" si="839">SUM(CR74:CU74)</f>
        <v>21.330605803876509</v>
      </c>
      <c r="CV77" s="37">
        <f t="shared" ref="CV77" si="840">SUM(CS74:CV74)</f>
        <v>22.575630819083962</v>
      </c>
      <c r="CW77" s="37">
        <f t="shared" ref="CW77" si="841">SUM(CT74:CW74)</f>
        <v>23.402326290706473</v>
      </c>
      <c r="CX77" s="37">
        <f t="shared" ref="CX77" si="842">SUM(CU74:CX74)</f>
        <v>24.281025909878259</v>
      </c>
      <c r="CY77" s="37">
        <f t="shared" ref="CY77" si="843">SUM(CV74:CY74)</f>
        <v>25.281424190246163</v>
      </c>
      <c r="CZ77" s="37">
        <f t="shared" ref="CZ77" si="844">SUM(CW74:CZ74)</f>
        <v>28.435780671068976</v>
      </c>
      <c r="DA77" s="37">
        <f t="shared" ref="DA77" si="845">SUM(CX74:DA74)</f>
        <v>31.356499916376016</v>
      </c>
      <c r="DB77" s="37">
        <f t="shared" ref="DB77" si="846">SUM(CY74:DB74)</f>
        <v>34.012699424380585</v>
      </c>
      <c r="DE77" s="134"/>
      <c r="DF77" s="3">
        <v>16.463647309437782</v>
      </c>
    </row>
    <row r="78" spans="1:110" s="97" customFormat="1" x14ac:dyDescent="0.2">
      <c r="A78" s="97" t="s">
        <v>425</v>
      </c>
      <c r="C78" s="101" t="e">
        <f t="shared" ref="C78:AA78" si="847">+C77/B77-1</f>
        <v>#DIV/0!</v>
      </c>
      <c r="D78" s="101" t="e">
        <f t="shared" si="847"/>
        <v>#DIV/0!</v>
      </c>
      <c r="E78" s="101" t="e">
        <f t="shared" ca="1" si="847"/>
        <v>#DIV/0!</v>
      </c>
      <c r="F78" s="101" t="e">
        <f t="shared" ca="1" si="847"/>
        <v>#DIV/0!</v>
      </c>
      <c r="G78" s="101" t="e">
        <f t="shared" ca="1" si="847"/>
        <v>#DIV/0!</v>
      </c>
      <c r="H78" s="101" t="e">
        <f t="shared" ca="1" si="847"/>
        <v>#DIV/0!</v>
      </c>
      <c r="I78" s="101" t="e">
        <f t="shared" ca="1" si="847"/>
        <v>#DIV/0!</v>
      </c>
      <c r="J78" s="101" t="e">
        <f t="shared" ca="1" si="847"/>
        <v>#DIV/0!</v>
      </c>
      <c r="K78" s="101" t="e">
        <f t="shared" ca="1" si="847"/>
        <v>#DIV/0!</v>
      </c>
      <c r="L78" s="101" t="e">
        <f t="shared" ca="1" si="847"/>
        <v>#DIV/0!</v>
      </c>
      <c r="M78" s="101" t="e">
        <f t="shared" ca="1" si="847"/>
        <v>#DIV/0!</v>
      </c>
      <c r="N78" s="101">
        <f t="shared" ca="1" si="847"/>
        <v>3.0885665291745754</v>
      </c>
      <c r="O78" s="101">
        <f t="shared" ca="1" si="847"/>
        <v>0.10199616862580352</v>
      </c>
      <c r="P78" s="101">
        <f t="shared" ca="1" si="847"/>
        <v>-0.2967382247960747</v>
      </c>
      <c r="Q78" s="101">
        <f t="shared" ca="1" si="847"/>
        <v>0.95607658441692078</v>
      </c>
      <c r="R78" s="101">
        <f t="shared" ca="1" si="847"/>
        <v>0.42278386361087117</v>
      </c>
      <c r="S78" s="101">
        <f t="shared" ca="1" si="847"/>
        <v>-0.11912169690344498</v>
      </c>
      <c r="T78" s="101">
        <f t="shared" ca="1" si="847"/>
        <v>-0.44058230415846267</v>
      </c>
      <c r="U78" s="101">
        <f t="shared" ca="1" si="847"/>
        <v>1.7224734439656961</v>
      </c>
      <c r="V78" s="101">
        <f t="shared" ca="1" si="847"/>
        <v>2.8530967211188165</v>
      </c>
      <c r="W78" s="101">
        <f t="shared" ca="1" si="847"/>
        <v>-0.15866528396266766</v>
      </c>
      <c r="X78" s="101">
        <f t="shared" ca="1" si="847"/>
        <v>-4.5146945088939683E-2</v>
      </c>
      <c r="Y78" s="101">
        <f t="shared" ca="1" si="847"/>
        <v>-0.7968133036347067</v>
      </c>
      <c r="Z78" s="101">
        <f t="shared" ca="1" si="847"/>
        <v>1.2318280909374018</v>
      </c>
      <c r="AA78" s="101">
        <f t="shared" ca="1" si="847"/>
        <v>1.2318280909374018</v>
      </c>
      <c r="AB78" s="174">
        <f t="shared" ref="AB78" ca="1" si="848">+AB77/AA77-1</f>
        <v>4.7182637533631722E-2</v>
      </c>
      <c r="AC78" s="174">
        <f t="shared" ref="AC78" ca="1" si="849">+AC77/AB77-1</f>
        <v>0.18489063259085436</v>
      </c>
      <c r="AD78" s="174">
        <f t="shared" ref="AD78" ca="1" si="850">+AD77/AC77-1</f>
        <v>0.1886124624933796</v>
      </c>
      <c r="AE78" s="174">
        <f t="shared" ref="AE78" ca="1" si="851">+AE77/AD77-1</f>
        <v>0.40079334170732883</v>
      </c>
      <c r="AL78" s="176"/>
      <c r="AM78" s="176"/>
      <c r="AN78" s="176"/>
      <c r="AO78" s="176"/>
      <c r="AP78" s="176" t="e">
        <f t="shared" ref="AP78:CL78" si="852">+IF(AL77&lt;0,1-AP77/AL77,AP77/AL77-1)</f>
        <v>#DIV/0!</v>
      </c>
      <c r="AQ78" s="176" t="e">
        <f t="shared" si="852"/>
        <v>#DIV/0!</v>
      </c>
      <c r="AR78" s="176" t="e">
        <f t="shared" si="852"/>
        <v>#DIV/0!</v>
      </c>
      <c r="AS78" s="176" t="e">
        <f t="shared" si="852"/>
        <v>#DIV/0!</v>
      </c>
      <c r="AT78" s="176" t="e">
        <f t="shared" si="852"/>
        <v>#DIV/0!</v>
      </c>
      <c r="AU78" s="176" t="e">
        <f t="shared" si="852"/>
        <v>#DIV/0!</v>
      </c>
      <c r="AV78" s="176" t="e">
        <f t="shared" si="852"/>
        <v>#DIV/0!</v>
      </c>
      <c r="AW78" s="176" t="e">
        <f t="shared" si="852"/>
        <v>#DIV/0!</v>
      </c>
      <c r="AX78" s="176" t="e">
        <f t="shared" si="852"/>
        <v>#DIV/0!</v>
      </c>
      <c r="AY78" s="176" t="e">
        <f t="shared" si="852"/>
        <v>#DIV/0!</v>
      </c>
      <c r="AZ78" s="176" t="e">
        <f t="shared" si="852"/>
        <v>#DIV/0!</v>
      </c>
      <c r="BA78" s="176">
        <f t="shared" si="852"/>
        <v>3.284233551241579</v>
      </c>
      <c r="BB78" s="176">
        <f t="shared" si="852"/>
        <v>1.0318429848259947</v>
      </c>
      <c r="BC78" s="176">
        <f t="shared" si="852"/>
        <v>0.70624528460055225</v>
      </c>
      <c r="BD78" s="176">
        <f t="shared" si="852"/>
        <v>0.21746602932488224</v>
      </c>
      <c r="BE78" s="176">
        <f t="shared" si="852"/>
        <v>0.12476284963361262</v>
      </c>
      <c r="BF78" s="176">
        <f t="shared" si="852"/>
        <v>-0.11912169690344609</v>
      </c>
      <c r="BG78" s="176">
        <f t="shared" si="852"/>
        <v>-0.2863101730389408</v>
      </c>
      <c r="BH78" s="176">
        <f t="shared" si="852"/>
        <v>-0.44749328470874261</v>
      </c>
      <c r="BI78" s="176">
        <f t="shared" si="852"/>
        <v>-0.50653296400035086</v>
      </c>
      <c r="BJ78" s="176">
        <f t="shared" si="852"/>
        <v>-0.44058230415846333</v>
      </c>
      <c r="BK78" s="176">
        <f t="shared" si="852"/>
        <v>-0.3645594542312911</v>
      </c>
      <c r="BL78" s="176">
        <f t="shared" si="852"/>
        <v>0.17679518799127059</v>
      </c>
      <c r="BM78" s="176">
        <f t="shared" si="852"/>
        <v>0.96831652119375233</v>
      </c>
      <c r="BN78" s="176">
        <f t="shared" si="852"/>
        <v>1.7224734439657041</v>
      </c>
      <c r="BO78" s="176">
        <f t="shared" si="852"/>
        <v>3.4628734860139101</v>
      </c>
      <c r="BP78" s="176">
        <f t="shared" si="852"/>
        <v>3.5057521523453392</v>
      </c>
      <c r="BQ78" s="176">
        <f t="shared" si="852"/>
        <v>3.2328955544107991</v>
      </c>
      <c r="BR78" s="176">
        <f t="shared" si="852"/>
        <v>2.8530967211188143</v>
      </c>
      <c r="BS78" s="176">
        <f t="shared" si="852"/>
        <v>1.5565966743536839</v>
      </c>
      <c r="BT78" s="176">
        <f t="shared" si="852"/>
        <v>0.69461408469556818</v>
      </c>
      <c r="BU78" s="176">
        <f t="shared" si="852"/>
        <v>0.12125964494071906</v>
      </c>
      <c r="BV78" s="176">
        <f t="shared" si="852"/>
        <v>-0.15866528396266721</v>
      </c>
      <c r="BW78" s="176">
        <f t="shared" si="852"/>
        <v>-0.20488230993458001</v>
      </c>
      <c r="BX78" s="176">
        <f t="shared" si="852"/>
        <v>-0.14267095831440957</v>
      </c>
      <c r="BY78" s="176">
        <f t="shared" si="852"/>
        <v>2.6776323150945469E-2</v>
      </c>
      <c r="BZ78" s="176">
        <f t="shared" si="852"/>
        <v>-4.5207366589326559E-2</v>
      </c>
      <c r="CA78" s="176">
        <f t="shared" si="852"/>
        <v>-0.32687691811657316</v>
      </c>
      <c r="CB78" s="176">
        <f t="shared" si="852"/>
        <v>-0.57640040538050452</v>
      </c>
      <c r="CC78" s="176">
        <f t="shared" si="852"/>
        <v>-0.79521157765112271</v>
      </c>
      <c r="CD78" s="176">
        <f t="shared" si="852"/>
        <v>-0.79680044550758733</v>
      </c>
      <c r="CE78" s="176">
        <f t="shared" si="852"/>
        <v>-0.73706713028668691</v>
      </c>
      <c r="CF78" s="176">
        <f t="shared" si="852"/>
        <v>-0.64357566200859084</v>
      </c>
      <c r="CG78" s="176">
        <f t="shared" si="852"/>
        <v>6.5666240953597077E-2</v>
      </c>
      <c r="CH78" s="176">
        <f t="shared" si="852"/>
        <v>1.2318280909374004</v>
      </c>
      <c r="CI78" s="176">
        <f t="shared" si="852"/>
        <v>2.4331691518790812</v>
      </c>
      <c r="CJ78" s="176">
        <f t="shared" si="852"/>
        <v>4.2170861937452226</v>
      </c>
      <c r="CK78" s="176">
        <f t="shared" si="852"/>
        <v>3.2110091464776378</v>
      </c>
      <c r="CL78" s="176">
        <f t="shared" si="852"/>
        <v>1.4802992805196311</v>
      </c>
      <c r="CM78" s="102">
        <f t="shared" ref="CM78:DB78" si="853">+IF(CI77&lt;0,1-CM77/CI77,CM77/CI77-1)</f>
        <v>0.82784419938240816</v>
      </c>
      <c r="CN78" s="102">
        <f t="shared" si="853"/>
        <v>0.39628946202964066</v>
      </c>
      <c r="CO78" s="102">
        <f t="shared" si="853"/>
        <v>0.13192933109082783</v>
      </c>
      <c r="CP78" s="102">
        <f t="shared" si="853"/>
        <v>4.7143570081364716E-2</v>
      </c>
      <c r="CQ78" s="102">
        <f t="shared" si="853"/>
        <v>5.0309257970006183E-2</v>
      </c>
      <c r="CR78" s="102">
        <f t="shared" si="853"/>
        <v>6.5925290885629595E-2</v>
      </c>
      <c r="CS78" s="102">
        <f t="shared" si="853"/>
        <v>0.10966207398816485</v>
      </c>
      <c r="CT78" s="102">
        <f t="shared" si="853"/>
        <v>0.18489063259085547</v>
      </c>
      <c r="CU78" s="102">
        <f t="shared" si="853"/>
        <v>0.17871006714984894</v>
      </c>
      <c r="CV78" s="102">
        <f t="shared" si="853"/>
        <v>0.19712594687987073</v>
      </c>
      <c r="CW78" s="102">
        <f t="shared" si="853"/>
        <v>0.19261826760503964</v>
      </c>
      <c r="CX78" s="102">
        <f t="shared" si="853"/>
        <v>0.18861246249338115</v>
      </c>
      <c r="CY78" s="102">
        <f t="shared" si="853"/>
        <v>0.18521829256493283</v>
      </c>
      <c r="CZ78" s="102">
        <f t="shared" si="853"/>
        <v>0.25957856499988585</v>
      </c>
      <c r="DA78" s="102">
        <f t="shared" si="853"/>
        <v>0.33988816012826484</v>
      </c>
      <c r="DB78" s="102">
        <f t="shared" si="853"/>
        <v>0.40079334170732817</v>
      </c>
      <c r="DE78" s="135"/>
      <c r="DF78" s="97">
        <v>1.4804364813574398</v>
      </c>
    </row>
    <row r="79" spans="1:110" s="144" customFormat="1" x14ac:dyDescent="0.2">
      <c r="A79" s="144" t="s">
        <v>424</v>
      </c>
      <c r="AB79" s="145"/>
      <c r="AC79" s="145"/>
      <c r="AD79" s="145"/>
      <c r="AE79" s="145"/>
      <c r="CM79" s="145"/>
      <c r="CN79" s="145"/>
      <c r="CO79" s="145"/>
      <c r="CP79" s="145">
        <v>17.8</v>
      </c>
      <c r="CQ79" s="145"/>
      <c r="CR79" s="145"/>
      <c r="CS79" s="145"/>
      <c r="CT79" s="145">
        <v>21.3</v>
      </c>
      <c r="CU79" s="145"/>
      <c r="CV79" s="145"/>
      <c r="CW79" s="145"/>
      <c r="CX79" s="145"/>
      <c r="CY79" s="145"/>
      <c r="CZ79" s="145"/>
      <c r="DA79" s="145"/>
      <c r="DB79" s="145"/>
      <c r="DE79" s="146"/>
    </row>
    <row r="80" spans="1:110" s="144" customFormat="1" x14ac:dyDescent="0.2">
      <c r="A80" s="144" t="s">
        <v>436</v>
      </c>
      <c r="AB80" s="145"/>
      <c r="AC80" s="145"/>
      <c r="AD80" s="145"/>
      <c r="AE80" s="145"/>
      <c r="CM80" s="145"/>
      <c r="CN80" s="145"/>
      <c r="CO80" s="145"/>
      <c r="CP80" s="145"/>
      <c r="CQ80" s="145"/>
      <c r="CR80" s="145"/>
      <c r="CS80" s="145"/>
      <c r="CT80" s="145"/>
      <c r="CU80" s="145"/>
      <c r="CV80" s="145"/>
      <c r="CW80" s="145"/>
      <c r="CX80" s="145"/>
      <c r="CY80" s="145"/>
      <c r="CZ80" s="145"/>
      <c r="DA80" s="145"/>
      <c r="DB80" s="145"/>
      <c r="DE80" s="146"/>
    </row>
    <row r="81" spans="1:110" s="3" customFormat="1" x14ac:dyDescent="0.2">
      <c r="A81" s="3" t="s">
        <v>34</v>
      </c>
      <c r="B81" s="3">
        <f>'Annual Raw'!C112</f>
        <v>0</v>
      </c>
      <c r="C81" s="3">
        <f>'Annual Raw'!D112</f>
        <v>0</v>
      </c>
      <c r="D81" s="3">
        <f>'Annual Raw'!E112</f>
        <v>0</v>
      </c>
      <c r="E81" s="3">
        <f>'Annual Raw'!F112</f>
        <v>0</v>
      </c>
      <c r="F81" s="3">
        <f>'Annual Raw'!G112</f>
        <v>0</v>
      </c>
      <c r="G81" s="3">
        <f>'Annual Raw'!H112</f>
        <v>0</v>
      </c>
      <c r="H81" s="3">
        <f>'Annual Raw'!I112</f>
        <v>0</v>
      </c>
      <c r="I81" s="3">
        <f>'Annual Raw'!J112</f>
        <v>0</v>
      </c>
      <c r="J81" s="3">
        <f>'Annual Raw'!K112</f>
        <v>0</v>
      </c>
      <c r="K81" s="3">
        <f>'Annual Raw'!L112</f>
        <v>0</v>
      </c>
      <c r="L81" s="3">
        <f>'Annual Raw'!M112</f>
        <v>0</v>
      </c>
      <c r="M81" s="3">
        <f>'Annual Raw'!N112</f>
        <v>0</v>
      </c>
      <c r="N81" s="3">
        <f>'Annual Raw'!O112</f>
        <v>0</v>
      </c>
      <c r="O81" s="3">
        <f>'Annual Raw'!P112</f>
        <v>0</v>
      </c>
      <c r="P81" s="3">
        <f>'Annual Raw'!Q112</f>
        <v>0</v>
      </c>
      <c r="Q81" s="3">
        <f>'Annual Raw'!R112</f>
        <v>0</v>
      </c>
      <c r="R81" s="3">
        <f>'Annual Raw'!S112</f>
        <v>30.64</v>
      </c>
      <c r="S81" s="3">
        <f>'Annual Raw'!T112</f>
        <v>30.57</v>
      </c>
      <c r="T81" s="3">
        <f>'Annual Raw'!U112</f>
        <v>32.770000000000003</v>
      </c>
      <c r="U81" s="3">
        <f>'Annual Raw'!V112</f>
        <v>32.04</v>
      </c>
      <c r="V81" s="3">
        <f>'Annual Raw'!W112</f>
        <v>27.45</v>
      </c>
      <c r="W81" s="3">
        <f>'Annual Raw'!X112</f>
        <v>27.27</v>
      </c>
      <c r="X81" s="3">
        <f>'Annual Raw'!Y112</f>
        <v>27.2</v>
      </c>
      <c r="Y81" s="3">
        <f>'Annual Raw'!Z112</f>
        <v>27.19</v>
      </c>
      <c r="Z81" s="3">
        <f>'Annual Raw'!AA112</f>
        <v>27.62</v>
      </c>
      <c r="AA81" s="3">
        <f>'Annual Raw'!AB112</f>
        <v>27.49</v>
      </c>
      <c r="AB81" s="37"/>
      <c r="AC81" s="37"/>
      <c r="AD81" s="37"/>
      <c r="AE81" s="37"/>
      <c r="AI81" s="3">
        <f>'QTR Raw'!C49</f>
        <v>0</v>
      </c>
      <c r="AJ81" s="3">
        <f>'QTR Raw'!D49</f>
        <v>0</v>
      </c>
      <c r="AK81" s="3">
        <f>'QTR Raw'!E49</f>
        <v>0</v>
      </c>
      <c r="AL81" s="3">
        <f>'QTR Raw'!F49</f>
        <v>0</v>
      </c>
      <c r="AM81" s="3">
        <f>'QTR Raw'!G49</f>
        <v>0</v>
      </c>
      <c r="AN81" s="3">
        <f>'QTR Raw'!H49</f>
        <v>0</v>
      </c>
      <c r="AO81" s="3">
        <f>'QTR Raw'!I49</f>
        <v>0</v>
      </c>
      <c r="AP81" s="3">
        <f>'QTR Raw'!J49</f>
        <v>0</v>
      </c>
      <c r="AQ81" s="3">
        <f>'QTR Raw'!K49</f>
        <v>0</v>
      </c>
      <c r="AR81" s="3">
        <f>'QTR Raw'!L49</f>
        <v>0</v>
      </c>
      <c r="AS81" s="3">
        <f>'QTR Raw'!M49</f>
        <v>0</v>
      </c>
      <c r="AT81" s="3">
        <f>'QTR Raw'!N49</f>
        <v>0</v>
      </c>
      <c r="AU81" s="3">
        <f>'QTR Raw'!O49</f>
        <v>0</v>
      </c>
      <c r="AV81" s="3">
        <f>'QTR Raw'!P49</f>
        <v>0</v>
      </c>
      <c r="AW81" s="3">
        <f>'QTR Raw'!Q49</f>
        <v>0</v>
      </c>
      <c r="AX81" s="3">
        <f>'QTR Raw'!R49</f>
        <v>0</v>
      </c>
      <c r="AY81" s="3">
        <f>'QTR Raw'!S49</f>
        <v>0</v>
      </c>
      <c r="AZ81" s="3">
        <f>'QTR Raw'!T49</f>
        <v>0</v>
      </c>
      <c r="BA81" s="3">
        <f>'QTR Raw'!U49</f>
        <v>30.64</v>
      </c>
      <c r="BB81" s="3">
        <f>'QTR Raw'!V49</f>
        <v>30.64</v>
      </c>
      <c r="BC81" s="3">
        <f>'QTR Raw'!W49</f>
        <v>30.64</v>
      </c>
      <c r="BD81" s="3">
        <f>'QTR Raw'!X49</f>
        <v>30.56</v>
      </c>
      <c r="BE81" s="3">
        <f>'QTR Raw'!Y49</f>
        <v>30.57</v>
      </c>
      <c r="BF81" s="3">
        <f>'QTR Raw'!Z49</f>
        <v>30.57</v>
      </c>
      <c r="BG81" s="3">
        <f>'QTR Raw'!AA49</f>
        <v>32.06</v>
      </c>
      <c r="BH81" s="3">
        <f>'QTR Raw'!AB49</f>
        <v>33.4</v>
      </c>
      <c r="BI81" s="3">
        <f>'QTR Raw'!AC49</f>
        <v>33.5</v>
      </c>
      <c r="BJ81" s="3">
        <f>'QTR Raw'!AD49</f>
        <v>32.770000000000003</v>
      </c>
      <c r="BK81" s="3">
        <f>'QTR Raw'!AE49</f>
        <v>32.82</v>
      </c>
      <c r="BL81" s="3">
        <f>'QTR Raw'!AF49</f>
        <v>32.729999999999997</v>
      </c>
      <c r="BM81" s="3">
        <f>'QTR Raw'!AG49</f>
        <v>32.58</v>
      </c>
      <c r="BN81" s="3">
        <f>'QTR Raw'!AH49</f>
        <v>32.04</v>
      </c>
      <c r="BO81" s="3">
        <f>'QTR Raw'!AI49</f>
        <v>32.130000000000003</v>
      </c>
      <c r="BP81" s="3">
        <f>'QTR Raw'!AJ49</f>
        <v>32.119999999999997</v>
      </c>
      <c r="BQ81" s="3">
        <f>'QTR Raw'!AK49</f>
        <v>28.76</v>
      </c>
      <c r="BR81" s="3">
        <f>'QTR Raw'!AL49</f>
        <v>27.45</v>
      </c>
      <c r="BS81" s="3">
        <f>'QTR Raw'!AM49</f>
        <v>27.3</v>
      </c>
      <c r="BT81" s="3">
        <f>'QTR Raw'!AN49</f>
        <v>27.3</v>
      </c>
      <c r="BU81" s="3">
        <f>'QTR Raw'!AO49</f>
        <v>27.27</v>
      </c>
      <c r="BV81" s="3">
        <f>'QTR Raw'!AP49</f>
        <v>27.27</v>
      </c>
      <c r="BW81" s="3">
        <f>'QTR Raw'!AQ49</f>
        <v>27.27</v>
      </c>
      <c r="BX81" s="3">
        <f>'QTR Raw'!AR49</f>
        <v>27.27</v>
      </c>
      <c r="BY81" s="3">
        <f>'QTR Raw'!AS49</f>
        <v>27.2</v>
      </c>
      <c r="BZ81" s="3">
        <f>'QTR Raw'!AT49</f>
        <v>27.2</v>
      </c>
      <c r="CA81" s="3">
        <f>'QTR Raw'!AU49</f>
        <v>27.2</v>
      </c>
      <c r="CB81" s="3">
        <f>'QTR Raw'!AV49</f>
        <v>27.2</v>
      </c>
      <c r="CC81" s="3">
        <f>'QTR Raw'!AW49</f>
        <v>27.19</v>
      </c>
      <c r="CD81" s="3">
        <f>'QTR Raw'!AX49</f>
        <v>27.19</v>
      </c>
      <c r="CE81" s="3">
        <f>'QTR Raw'!AY49</f>
        <v>27.18</v>
      </c>
      <c r="CF81" s="3">
        <f>'QTR Raw'!AZ49</f>
        <v>27.18</v>
      </c>
      <c r="CG81" s="3">
        <f>'QTR Raw'!BA49</f>
        <v>27.62</v>
      </c>
      <c r="CH81" s="3">
        <f>'QTR Raw'!BB49</f>
        <v>27.62</v>
      </c>
      <c r="CI81" s="3">
        <f>'QTR Raw'!BC49</f>
        <v>27.59</v>
      </c>
      <c r="CJ81" s="3">
        <f>'QTR Raw'!BD49</f>
        <v>27.59</v>
      </c>
      <c r="CK81" s="3">
        <f>'QTR Raw'!BE49</f>
        <v>27.49</v>
      </c>
      <c r="CL81" s="3">
        <f>'QTR Raw'!BF49</f>
        <v>27.49</v>
      </c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  <c r="DF81" s="3">
        <v>0</v>
      </c>
    </row>
    <row r="82" spans="1:110" s="3" customFormat="1" x14ac:dyDescent="0.2">
      <c r="A82" s="3" t="s">
        <v>35</v>
      </c>
      <c r="B82" s="3">
        <f>'Annual Raw'!C113</f>
        <v>0</v>
      </c>
      <c r="C82" s="3">
        <f>'Annual Raw'!D113</f>
        <v>0</v>
      </c>
      <c r="D82" s="3">
        <f>'Annual Raw'!E113</f>
        <v>0</v>
      </c>
      <c r="E82" s="3">
        <f>'Annual Raw'!F113</f>
        <v>0</v>
      </c>
      <c r="F82" s="3">
        <f>'Annual Raw'!G113</f>
        <v>0</v>
      </c>
      <c r="G82" s="3">
        <f>'Annual Raw'!H113</f>
        <v>0</v>
      </c>
      <c r="H82" s="3">
        <f>'Annual Raw'!I113</f>
        <v>0</v>
      </c>
      <c r="I82" s="3">
        <f>'Annual Raw'!J113</f>
        <v>0</v>
      </c>
      <c r="J82" s="3">
        <f>'Annual Raw'!K113</f>
        <v>0</v>
      </c>
      <c r="K82" s="3">
        <f>'Annual Raw'!L113</f>
        <v>0</v>
      </c>
      <c r="L82" s="3">
        <f>'Annual Raw'!M113</f>
        <v>0</v>
      </c>
      <c r="M82" s="3">
        <f>'Annual Raw'!N113</f>
        <v>0</v>
      </c>
      <c r="N82" s="3">
        <f>'Annual Raw'!O113</f>
        <v>0</v>
      </c>
      <c r="O82" s="3">
        <f>'Annual Raw'!P113</f>
        <v>0</v>
      </c>
      <c r="P82" s="3">
        <f>'Annual Raw'!Q113</f>
        <v>0</v>
      </c>
      <c r="Q82" s="3">
        <f>'Annual Raw'!R113</f>
        <v>0</v>
      </c>
      <c r="R82" s="3">
        <f>'Annual Raw'!S113</f>
        <v>0</v>
      </c>
      <c r="S82" s="3">
        <f>'Annual Raw'!T113</f>
        <v>0</v>
      </c>
      <c r="T82" s="3">
        <f>'Annual Raw'!U113</f>
        <v>30.22</v>
      </c>
      <c r="U82" s="3">
        <f>'Annual Raw'!V113</f>
        <v>45.22</v>
      </c>
      <c r="V82" s="3">
        <f>'Annual Raw'!W113</f>
        <v>1.1499999999999999</v>
      </c>
      <c r="W82" s="3">
        <f>'Annual Raw'!X113</f>
        <v>0</v>
      </c>
      <c r="X82" s="3">
        <f>'Annual Raw'!Y113</f>
        <v>0.04</v>
      </c>
      <c r="Y82" s="3">
        <f>'Annual Raw'!Z113</f>
        <v>0</v>
      </c>
      <c r="Z82" s="3">
        <f>'Annual Raw'!AA113</f>
        <v>2.69</v>
      </c>
      <c r="AA82" s="3">
        <f>'Annual Raw'!AB113</f>
        <v>2.69</v>
      </c>
      <c r="AB82" s="37"/>
      <c r="AC82" s="37"/>
      <c r="AD82" s="37"/>
      <c r="AE82" s="37"/>
      <c r="AI82" s="3">
        <f>'QTR Raw'!C50</f>
        <v>0</v>
      </c>
      <c r="AJ82" s="3">
        <f>'QTR Raw'!D50</f>
        <v>0</v>
      </c>
      <c r="AK82" s="3">
        <f>'QTR Raw'!E50</f>
        <v>0</v>
      </c>
      <c r="AL82" s="3">
        <f>'QTR Raw'!F50</f>
        <v>0</v>
      </c>
      <c r="AM82" s="3">
        <f>'QTR Raw'!G50</f>
        <v>0</v>
      </c>
      <c r="AN82" s="3">
        <f>'QTR Raw'!H50</f>
        <v>0</v>
      </c>
      <c r="AO82" s="3">
        <f>'QTR Raw'!I50</f>
        <v>0</v>
      </c>
      <c r="AP82" s="3">
        <f>'QTR Raw'!J50</f>
        <v>0</v>
      </c>
      <c r="AQ82" s="3">
        <f>'QTR Raw'!K50</f>
        <v>0</v>
      </c>
      <c r="AR82" s="3">
        <f>'QTR Raw'!L50</f>
        <v>0</v>
      </c>
      <c r="AS82" s="3">
        <f>'QTR Raw'!M50</f>
        <v>0</v>
      </c>
      <c r="AT82" s="3">
        <f>'QTR Raw'!N50</f>
        <v>0</v>
      </c>
      <c r="AU82" s="3">
        <f>'QTR Raw'!O50</f>
        <v>0</v>
      </c>
      <c r="AV82" s="3">
        <f>'QTR Raw'!P50</f>
        <v>0</v>
      </c>
      <c r="AW82" s="3">
        <f>'QTR Raw'!Q50</f>
        <v>0</v>
      </c>
      <c r="AX82" s="3">
        <f>'QTR Raw'!R50</f>
        <v>0</v>
      </c>
      <c r="AY82" s="3">
        <f>'QTR Raw'!S50</f>
        <v>0</v>
      </c>
      <c r="AZ82" s="3">
        <f>'QTR Raw'!T50</f>
        <v>0</v>
      </c>
      <c r="BA82" s="3">
        <f>'QTR Raw'!U50</f>
        <v>0</v>
      </c>
      <c r="BB82" s="3">
        <f>'QTR Raw'!V50</f>
        <v>0</v>
      </c>
      <c r="BC82" s="3">
        <f>'QTR Raw'!W50</f>
        <v>0</v>
      </c>
      <c r="BD82" s="3">
        <f>'QTR Raw'!X50</f>
        <v>0</v>
      </c>
      <c r="BE82" s="3">
        <f>'QTR Raw'!Y50</f>
        <v>0</v>
      </c>
      <c r="BF82" s="3">
        <f>'QTR Raw'!Z50</f>
        <v>0</v>
      </c>
      <c r="BG82" s="3">
        <f>'QTR Raw'!AA50</f>
        <v>18.350000000000001</v>
      </c>
      <c r="BH82" s="3">
        <f>'QTR Raw'!AB50</f>
        <v>23.46</v>
      </c>
      <c r="BI82" s="3">
        <f>'QTR Raw'!AC50</f>
        <v>31.25</v>
      </c>
      <c r="BJ82" s="3">
        <f>'QTR Raw'!AD50</f>
        <v>30.22</v>
      </c>
      <c r="BK82" s="3">
        <f>'QTR Raw'!AE50</f>
        <v>31.46</v>
      </c>
      <c r="BL82" s="3">
        <f>'QTR Raw'!AF50</f>
        <v>31.69</v>
      </c>
      <c r="BM82" s="3">
        <f>'QTR Raw'!AG50</f>
        <v>32.270000000000003</v>
      </c>
      <c r="BN82" s="3">
        <f>'QTR Raw'!AH50</f>
        <v>45.22</v>
      </c>
      <c r="BO82" s="3">
        <f>'QTR Raw'!AI50</f>
        <v>31.56</v>
      </c>
      <c r="BP82" s="3">
        <f>'QTR Raw'!AJ50</f>
        <v>16.420000000000002</v>
      </c>
      <c r="BQ82" s="3">
        <f>'QTR Raw'!AK50</f>
        <v>15.76</v>
      </c>
      <c r="BR82" s="3">
        <f>'QTR Raw'!AL50</f>
        <v>1.1499999999999999</v>
      </c>
      <c r="BS82" s="3">
        <f>'QTR Raw'!AM50</f>
        <v>0</v>
      </c>
      <c r="BT82" s="3">
        <f>'QTR Raw'!AN50</f>
        <v>0</v>
      </c>
      <c r="BU82" s="3">
        <f>'QTR Raw'!AO50</f>
        <v>0</v>
      </c>
      <c r="BV82" s="3">
        <f>'QTR Raw'!AP50</f>
        <v>0</v>
      </c>
      <c r="BW82" s="3">
        <f>'QTR Raw'!AQ50</f>
        <v>0</v>
      </c>
      <c r="BX82" s="3">
        <f>'QTR Raw'!AR50</f>
        <v>0.04</v>
      </c>
      <c r="BY82" s="3">
        <f>'QTR Raw'!AS50</f>
        <v>0.04</v>
      </c>
      <c r="BZ82" s="3">
        <f>'QTR Raw'!AT50</f>
        <v>0.04</v>
      </c>
      <c r="CA82" s="3">
        <f>'QTR Raw'!AU50</f>
        <v>0.04</v>
      </c>
      <c r="CB82" s="3">
        <f>'QTR Raw'!AV50</f>
        <v>0.04</v>
      </c>
      <c r="CC82" s="3">
        <f>'QTR Raw'!AW50</f>
        <v>0.04</v>
      </c>
      <c r="CD82" s="3">
        <f>'QTR Raw'!AX50</f>
        <v>0</v>
      </c>
      <c r="CE82" s="3">
        <f>'QTR Raw'!AY50</f>
        <v>0</v>
      </c>
      <c r="CF82" s="3">
        <f>'QTR Raw'!AZ50</f>
        <v>0</v>
      </c>
      <c r="CG82" s="3">
        <f>'QTR Raw'!BA50</f>
        <v>2.69</v>
      </c>
      <c r="CH82" s="3">
        <f>'QTR Raw'!BB50</f>
        <v>2.69</v>
      </c>
      <c r="CI82" s="3">
        <f>'QTR Raw'!BC50</f>
        <v>2.69</v>
      </c>
      <c r="CJ82" s="3">
        <f>'QTR Raw'!BD50</f>
        <v>2.69</v>
      </c>
      <c r="CK82" s="3">
        <f>'QTR Raw'!BE50</f>
        <v>2.69</v>
      </c>
      <c r="CL82" s="3">
        <f>'QTR Raw'!BF50</f>
        <v>2.69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  <c r="DF82" s="3">
        <v>0</v>
      </c>
    </row>
    <row r="83" spans="1:110" s="3" customFormat="1" x14ac:dyDescent="0.2"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36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457</v>
      </c>
      <c r="B85" s="13">
        <f>'Annual Raw'!C106</f>
        <v>0</v>
      </c>
      <c r="C85" s="13">
        <f>'Annual Raw'!D106</f>
        <v>0</v>
      </c>
      <c r="D85" s="13">
        <f>'Annual Raw'!E106</f>
        <v>0</v>
      </c>
      <c r="E85" s="13">
        <f>'Annual Raw'!F106</f>
        <v>0</v>
      </c>
      <c r="F85" s="13">
        <f>'Annual Raw'!G106</f>
        <v>0</v>
      </c>
      <c r="G85" s="13">
        <f>'Annual Raw'!H106</f>
        <v>0</v>
      </c>
      <c r="H85" s="13">
        <f>'Annual Raw'!I106</f>
        <v>0</v>
      </c>
      <c r="I85" s="13">
        <f>'Annual Raw'!J106</f>
        <v>0</v>
      </c>
      <c r="J85" s="13">
        <f>'Annual Raw'!K106</f>
        <v>0</v>
      </c>
      <c r="K85" s="13">
        <f>'Annual Raw'!L106</f>
        <v>0</v>
      </c>
      <c r="L85" s="13">
        <f>'Annual Raw'!M106</f>
        <v>0</v>
      </c>
      <c r="M85" s="13">
        <f>'Annual Raw'!N106</f>
        <v>0</v>
      </c>
      <c r="N85" s="13">
        <f>'Annual Raw'!O106</f>
        <v>0</v>
      </c>
      <c r="O85" s="13">
        <f>'Annual Raw'!P106</f>
        <v>0</v>
      </c>
      <c r="P85" s="13">
        <f>'Annual Raw'!Q106</f>
        <v>0</v>
      </c>
      <c r="Q85" s="13">
        <f>'Annual Raw'!R106</f>
        <v>0</v>
      </c>
      <c r="R85" s="13">
        <f>'Annual Raw'!S106</f>
        <v>103.06</v>
      </c>
      <c r="S85" s="13">
        <f>'Annual Raw'!T106</f>
        <v>100.62</v>
      </c>
      <c r="T85" s="13">
        <f>'Annual Raw'!U106</f>
        <v>79.95</v>
      </c>
      <c r="U85" s="13">
        <f>'Annual Raw'!V106</f>
        <v>64.52</v>
      </c>
      <c r="V85" s="13">
        <f>'Annual Raw'!W106</f>
        <v>362.05</v>
      </c>
      <c r="W85" s="13">
        <f>'Annual Raw'!X106</f>
        <v>590.04999999999995</v>
      </c>
      <c r="X85" s="13">
        <f>'Annual Raw'!Y106</f>
        <v>293</v>
      </c>
      <c r="Y85" s="13">
        <f>'Annual Raw'!Z106</f>
        <v>391.75</v>
      </c>
      <c r="Z85" s="13">
        <f>'Annual Raw'!AA106</f>
        <v>613.79999999999995</v>
      </c>
      <c r="AA85" s="13">
        <f>'Annual Raw'!AB106</f>
        <v>991.85</v>
      </c>
      <c r="AB85" s="37">
        <f>+CP85</f>
        <v>991.85</v>
      </c>
      <c r="AC85" s="37">
        <f>+CT85</f>
        <v>991.85</v>
      </c>
      <c r="AD85" s="37">
        <f>+CX85</f>
        <v>991.85</v>
      </c>
      <c r="AE85" s="37">
        <f>+DB85</f>
        <v>991.85</v>
      </c>
      <c r="AJ85" s="13">
        <f>'QTR Share Price'!HP21</f>
        <v>0</v>
      </c>
      <c r="AK85" s="13">
        <f>'QTR Share Price'!HQ21</f>
        <v>0</v>
      </c>
      <c r="AL85" s="13">
        <f>'QTR Share Price'!HR21</f>
        <v>0</v>
      </c>
      <c r="AM85" s="13">
        <f>'QTR Share Price'!HS21</f>
        <v>0</v>
      </c>
      <c r="AN85" s="13">
        <f>'QTR Share Price'!HT21</f>
        <v>0</v>
      </c>
      <c r="AO85" s="13">
        <f>'QTR Share Price'!HU21</f>
        <v>0</v>
      </c>
      <c r="AP85" s="13">
        <f>'QTR Share Price'!HV21</f>
        <v>0</v>
      </c>
      <c r="AQ85" s="13">
        <f>'QTR Share Price'!HW21</f>
        <v>0</v>
      </c>
      <c r="AR85" s="13">
        <f>'QTR Share Price'!HX21</f>
        <v>0</v>
      </c>
      <c r="AS85" s="13">
        <f>'QTR Share Price'!HY21</f>
        <v>0</v>
      </c>
      <c r="AT85" s="13">
        <f>'QTR Share Price'!HZ21</f>
        <v>0</v>
      </c>
      <c r="AU85" s="13">
        <f>'QTR Share Price'!IA21</f>
        <v>0</v>
      </c>
      <c r="AV85" s="13">
        <f>'QTR Share Price'!IB21</f>
        <v>0</v>
      </c>
      <c r="AW85" s="13">
        <f>'QTR Share Price'!IC21</f>
        <v>0</v>
      </c>
      <c r="AX85" s="13">
        <f>'QTR Share Price'!ID21</f>
        <v>0</v>
      </c>
      <c r="AY85" s="13">
        <f>'QTR Share Price'!IE21</f>
        <v>0</v>
      </c>
      <c r="AZ85" s="13">
        <f>'QTR Share Price'!IF21</f>
        <v>0</v>
      </c>
      <c r="BA85" s="13">
        <f>'QTR Share Price'!IG21</f>
        <v>95.94</v>
      </c>
      <c r="BB85" s="13">
        <f>'QTR Share Price'!IH21</f>
        <v>103.06</v>
      </c>
      <c r="BC85" s="13">
        <f>'QTR Share Price'!II21</f>
        <v>122.88</v>
      </c>
      <c r="BD85" s="13">
        <f>'QTR Share Price'!IJ21</f>
        <v>101.18</v>
      </c>
      <c r="BE85" s="13">
        <f>'QTR Share Price'!IK21</f>
        <v>108.58</v>
      </c>
      <c r="BF85" s="13">
        <f>'QTR Share Price'!IL21</f>
        <v>100.62</v>
      </c>
      <c r="BG85" s="13">
        <f>'QTR Share Price'!IM21</f>
        <v>92.15</v>
      </c>
      <c r="BH85" s="13">
        <f>'QTR Share Price'!IN21</f>
        <v>86.03</v>
      </c>
      <c r="BI85" s="13">
        <f>'QTR Share Price'!IO21</f>
        <v>75.94</v>
      </c>
      <c r="BJ85" s="13">
        <f>'QTR Share Price'!IP21</f>
        <v>79.95</v>
      </c>
      <c r="BK85" s="13">
        <f>'QTR Share Price'!IQ21</f>
        <v>67.349999999999994</v>
      </c>
      <c r="BL85" s="13">
        <f>'QTR Share Price'!IR21</f>
        <v>74.72</v>
      </c>
      <c r="BM85" s="13">
        <f>'QTR Share Price'!IS21</f>
        <v>71.91</v>
      </c>
      <c r="BN85" s="13">
        <f>'QTR Share Price'!IT21</f>
        <v>64.52</v>
      </c>
      <c r="BO85" s="13">
        <f>'QTR Share Price'!IU21</f>
        <v>103.95</v>
      </c>
      <c r="BP85" s="13">
        <f>'QTR Share Price'!IV21</f>
        <v>287.05</v>
      </c>
      <c r="BQ85" s="13">
        <f>'QTR Share Price'!IW21</f>
        <v>353.15</v>
      </c>
      <c r="BR85" s="13">
        <f>'QTR Share Price'!IX21</f>
        <v>362.05</v>
      </c>
      <c r="BS85" s="13">
        <f>'QTR Share Price'!IY21</f>
        <v>679.6</v>
      </c>
      <c r="BT85" s="13">
        <f>'QTR Share Price'!IZ21</f>
        <v>617.04999999999995</v>
      </c>
      <c r="BU85" s="13">
        <f>'QTR Share Price'!JA21</f>
        <v>539.20000000000005</v>
      </c>
      <c r="BV85" s="13">
        <f>'QTR Share Price'!JB21</f>
        <v>590.04999999999995</v>
      </c>
      <c r="BW85" s="13">
        <f>'QTR Share Price'!JC21</f>
        <v>464.5</v>
      </c>
      <c r="BX85" s="13">
        <f>'QTR Share Price'!JD21</f>
        <v>512.5</v>
      </c>
      <c r="BY85" s="13">
        <f>'QTR Share Price'!JE21</f>
        <v>375.15</v>
      </c>
      <c r="BZ85" s="13">
        <f>'QTR Share Price'!JF21</f>
        <v>293</v>
      </c>
      <c r="CA85" s="13">
        <f>'QTR Share Price'!JG21</f>
        <v>366.5</v>
      </c>
      <c r="CB85" s="13">
        <f>'QTR Share Price'!JH21</f>
        <v>395.2</v>
      </c>
      <c r="CC85" s="13">
        <f>'QTR Share Price'!JI21</f>
        <v>430.15</v>
      </c>
      <c r="CD85" s="13">
        <f>'QTR Share Price'!JJ21</f>
        <v>391.75</v>
      </c>
      <c r="CE85" s="13">
        <f>'QTR Share Price'!JK21</f>
        <v>424.25</v>
      </c>
      <c r="CF85" s="13">
        <f>'QTR Share Price'!JL21</f>
        <v>462.75</v>
      </c>
      <c r="CG85" s="13">
        <f>'QTR Share Price'!JM21</f>
        <v>602.35</v>
      </c>
      <c r="CH85" s="13">
        <f>'QTR Share Price'!JN21</f>
        <v>613.79999999999995</v>
      </c>
      <c r="CI85" s="13">
        <f>'QTR Share Price'!JO21</f>
        <v>724.9</v>
      </c>
      <c r="CJ85" s="13">
        <f>'QTR Share Price'!JP21</f>
        <v>841.95</v>
      </c>
      <c r="CK85" s="13">
        <f>'QTR Share Price'!JQ21</f>
        <v>1108.2</v>
      </c>
      <c r="CL85" s="13">
        <f>'QTR Share Price'!JR21</f>
        <v>991.85</v>
      </c>
      <c r="CM85" s="37">
        <f t="shared" ref="CM85" si="854">+CL85</f>
        <v>991.85</v>
      </c>
      <c r="CN85" s="37">
        <f t="shared" ref="CN85" si="855">+CM85</f>
        <v>991.85</v>
      </c>
      <c r="CO85" s="37">
        <f t="shared" ref="CO85" si="856">+CN85</f>
        <v>991.85</v>
      </c>
      <c r="CP85" s="37">
        <f t="shared" ref="CP85" si="857">+CO85</f>
        <v>991.85</v>
      </c>
      <c r="CQ85" s="37">
        <f t="shared" ref="CQ85" si="858">+CP85</f>
        <v>991.85</v>
      </c>
      <c r="CR85" s="37">
        <f t="shared" ref="CR85" si="859">+CQ85</f>
        <v>991.85</v>
      </c>
      <c r="CS85" s="37">
        <f t="shared" ref="CS85" si="860">+CR85</f>
        <v>991.85</v>
      </c>
      <c r="CT85" s="37">
        <f t="shared" ref="CT85" si="861">+CS85</f>
        <v>991.85</v>
      </c>
      <c r="CU85" s="37">
        <f t="shared" ref="CU85" si="862">+CT85</f>
        <v>991.85</v>
      </c>
      <c r="CV85" s="37">
        <f t="shared" ref="CV85" si="863">+CU85</f>
        <v>991.85</v>
      </c>
      <c r="CW85" s="37">
        <f t="shared" ref="CW85" si="864">+CV85</f>
        <v>991.85</v>
      </c>
      <c r="CX85" s="37">
        <f t="shared" ref="CX85" si="865">+CW85</f>
        <v>991.85</v>
      </c>
      <c r="CY85" s="37">
        <f t="shared" ref="CY85" si="866">+CX85</f>
        <v>991.85</v>
      </c>
      <c r="CZ85" s="37">
        <f t="shared" ref="CZ85" si="867">+CY85</f>
        <v>991.85</v>
      </c>
      <c r="DA85" s="37">
        <f t="shared" ref="DA85" si="868">+CZ85</f>
        <v>991.85</v>
      </c>
      <c r="DB85" s="37">
        <f t="shared" ref="DB85" si="869">+DA85</f>
        <v>991.85</v>
      </c>
      <c r="DE85" s="134"/>
      <c r="DF85" s="13">
        <v>991.85</v>
      </c>
    </row>
    <row r="86" spans="1:110" s="13" customFormat="1" x14ac:dyDescent="0.2">
      <c r="A86" s="13" t="s">
        <v>458</v>
      </c>
      <c r="B86" s="13">
        <f>'Annual Raw'!C107</f>
        <v>0</v>
      </c>
      <c r="C86" s="13">
        <f>'Annual Raw'!D107</f>
        <v>0</v>
      </c>
      <c r="D86" s="13">
        <f>'Annual Raw'!E107</f>
        <v>0</v>
      </c>
      <c r="E86" s="13">
        <f>'Annual Raw'!F107</f>
        <v>0</v>
      </c>
      <c r="F86" s="13">
        <f>'Annual Raw'!G107</f>
        <v>0</v>
      </c>
      <c r="G86" s="13">
        <f>'Annual Raw'!H107</f>
        <v>0</v>
      </c>
      <c r="H86" s="13">
        <f>'Annual Raw'!I107</f>
        <v>0</v>
      </c>
      <c r="I86" s="13">
        <f>'Annual Raw'!J107</f>
        <v>0</v>
      </c>
      <c r="J86" s="13">
        <f>'Annual Raw'!K107</f>
        <v>0</v>
      </c>
      <c r="K86" s="13">
        <f>'Annual Raw'!L107</f>
        <v>0</v>
      </c>
      <c r="L86" s="13">
        <f>'Annual Raw'!M107</f>
        <v>0</v>
      </c>
      <c r="M86" s="13">
        <f>'Annual Raw'!N107</f>
        <v>0</v>
      </c>
      <c r="N86" s="13">
        <f>'Annual Raw'!O107</f>
        <v>0</v>
      </c>
      <c r="O86" s="13">
        <f>'Annual Raw'!P107</f>
        <v>0</v>
      </c>
      <c r="P86" s="13">
        <f>'Annual Raw'!Q107</f>
        <v>0</v>
      </c>
      <c r="Q86" s="13">
        <f>'Annual Raw'!R107</f>
        <v>0</v>
      </c>
      <c r="R86" s="13">
        <f>'Annual Raw'!S107</f>
        <v>117</v>
      </c>
      <c r="S86" s="13">
        <f>'Annual Raw'!T107</f>
        <v>126.8</v>
      </c>
      <c r="T86" s="13">
        <f>'Annual Raw'!U107</f>
        <v>104</v>
      </c>
      <c r="U86" s="13">
        <f>'Annual Raw'!V107</f>
        <v>92</v>
      </c>
      <c r="V86" s="13">
        <f>'Annual Raw'!W107</f>
        <v>385.8</v>
      </c>
      <c r="W86" s="13">
        <f>'Annual Raw'!X107</f>
        <v>723.55</v>
      </c>
      <c r="X86" s="13">
        <f>'Annual Raw'!Y107</f>
        <v>626</v>
      </c>
      <c r="Y86" s="13">
        <f>'Annual Raw'!Z107</f>
        <v>444.5</v>
      </c>
      <c r="Z86" s="13">
        <f>'Annual Raw'!AA107</f>
        <v>646.25</v>
      </c>
      <c r="AA86" s="13">
        <f>'Annual Raw'!AB107</f>
        <v>1140.9000000000001</v>
      </c>
      <c r="AB86" s="37">
        <f>+MAX(CM86:CP86)</f>
        <v>1225.9665121848841</v>
      </c>
      <c r="AC86" s="37">
        <f>+MAX(CQ86:CT86)</f>
        <v>1415.5723677170074</v>
      </c>
      <c r="AD86" s="37">
        <f>+MAX(CU86:CX86)</f>
        <v>1682.5669578296981</v>
      </c>
      <c r="AE86" s="37">
        <f>+MAX(CY86:DB86)</f>
        <v>2356.9285915045962</v>
      </c>
      <c r="AJ86" s="13">
        <f>'QTR Share Price'!HP19</f>
        <v>0</v>
      </c>
      <c r="AK86" s="13">
        <f>'QTR Share Price'!HQ19</f>
        <v>0</v>
      </c>
      <c r="AL86" s="13">
        <f>'QTR Share Price'!HR19</f>
        <v>0</v>
      </c>
      <c r="AM86" s="13">
        <f>'QTR Share Price'!HS19</f>
        <v>0</v>
      </c>
      <c r="AN86" s="13">
        <f>'QTR Share Price'!HT19</f>
        <v>0</v>
      </c>
      <c r="AO86" s="13">
        <f>'QTR Share Price'!HU19</f>
        <v>0</v>
      </c>
      <c r="AP86" s="13">
        <f>'QTR Share Price'!HV19</f>
        <v>0</v>
      </c>
      <c r="AQ86" s="13">
        <f>'QTR Share Price'!HW19</f>
        <v>0</v>
      </c>
      <c r="AR86" s="13">
        <f>'QTR Share Price'!HX19</f>
        <v>0</v>
      </c>
      <c r="AS86" s="13">
        <f>'QTR Share Price'!HY19</f>
        <v>0</v>
      </c>
      <c r="AT86" s="13">
        <f>'QTR Share Price'!HZ19</f>
        <v>0</v>
      </c>
      <c r="AU86" s="13">
        <f>'QTR Share Price'!IA19</f>
        <v>0</v>
      </c>
      <c r="AV86" s="13">
        <f>'QTR Share Price'!IB19</f>
        <v>0</v>
      </c>
      <c r="AW86" s="13">
        <f>'QTR Share Price'!IC19</f>
        <v>0</v>
      </c>
      <c r="AX86" s="13">
        <f>'QTR Share Price'!ID19</f>
        <v>0</v>
      </c>
      <c r="AY86" s="13">
        <f>'QTR Share Price'!IE19</f>
        <v>0</v>
      </c>
      <c r="AZ86" s="13">
        <f>'QTR Share Price'!IF19</f>
        <v>0</v>
      </c>
      <c r="BA86" s="13">
        <f>'QTR Share Price'!IG19</f>
        <v>99.72</v>
      </c>
      <c r="BB86" s="13">
        <f>'QTR Share Price'!IH19</f>
        <v>117</v>
      </c>
      <c r="BC86" s="13">
        <f>'QTR Share Price'!II19</f>
        <v>126.8</v>
      </c>
      <c r="BD86" s="13">
        <f>'QTR Share Price'!IJ19</f>
        <v>126</v>
      </c>
      <c r="BE86" s="13">
        <f>'QTR Share Price'!IK19</f>
        <v>115.85</v>
      </c>
      <c r="BF86" s="13">
        <f>'QTR Share Price'!IL19</f>
        <v>113.2</v>
      </c>
      <c r="BG86" s="13">
        <f>'QTR Share Price'!IM19</f>
        <v>104</v>
      </c>
      <c r="BH86" s="13">
        <f>'QTR Share Price'!IN19</f>
        <v>100.6</v>
      </c>
      <c r="BI86" s="13">
        <f>'QTR Share Price'!IO19</f>
        <v>87</v>
      </c>
      <c r="BJ86" s="13">
        <f>'QTR Share Price'!IP19</f>
        <v>82.4</v>
      </c>
      <c r="BK86" s="13">
        <f>'QTR Share Price'!IQ19</f>
        <v>81.8</v>
      </c>
      <c r="BL86" s="13">
        <f>'QTR Share Price'!IR19</f>
        <v>75.040000000000006</v>
      </c>
      <c r="BM86" s="13">
        <f>'QTR Share Price'!IS19</f>
        <v>83.64</v>
      </c>
      <c r="BN86" s="13">
        <f>'QTR Share Price'!IT19</f>
        <v>92</v>
      </c>
      <c r="BO86" s="13">
        <f>'QTR Share Price'!IU19</f>
        <v>117.46</v>
      </c>
      <c r="BP86" s="13">
        <f>'QTR Share Price'!IV19</f>
        <v>309.95999999999998</v>
      </c>
      <c r="BQ86" s="13">
        <f>'QTR Share Price'!IW19</f>
        <v>365.65</v>
      </c>
      <c r="BR86" s="13">
        <f>'QTR Share Price'!IX19</f>
        <v>385.8</v>
      </c>
      <c r="BS86" s="13">
        <f>'QTR Share Price'!IY19</f>
        <v>697.75</v>
      </c>
      <c r="BT86" s="13">
        <f>'QTR Share Price'!IZ19</f>
        <v>723.55</v>
      </c>
      <c r="BU86" s="13">
        <f>'QTR Share Price'!JA19</f>
        <v>663</v>
      </c>
      <c r="BV86" s="13">
        <f>'QTR Share Price'!JB19</f>
        <v>613.35</v>
      </c>
      <c r="BW86" s="13">
        <f>'QTR Share Price'!JC19</f>
        <v>626</v>
      </c>
      <c r="BX86" s="13">
        <f>'QTR Share Price'!JD19</f>
        <v>605.5</v>
      </c>
      <c r="BY86" s="13">
        <f>'QTR Share Price'!JE19</f>
        <v>533.20000000000005</v>
      </c>
      <c r="BZ86" s="13">
        <f>'QTR Share Price'!JF19</f>
        <v>385.95</v>
      </c>
      <c r="CA86" s="13">
        <f>'QTR Share Price'!JG19</f>
        <v>375</v>
      </c>
      <c r="CB86" s="13">
        <f>'QTR Share Price'!JH19</f>
        <v>417.85</v>
      </c>
      <c r="CC86" s="13">
        <f>'QTR Share Price'!JI19</f>
        <v>439</v>
      </c>
      <c r="CD86" s="13">
        <f>'QTR Share Price'!JJ19</f>
        <v>444.5</v>
      </c>
      <c r="CE86" s="13">
        <f>'QTR Share Price'!JK19</f>
        <v>470.9</v>
      </c>
      <c r="CF86" s="13">
        <f>'QTR Share Price'!JL19</f>
        <v>517.9</v>
      </c>
      <c r="CG86" s="13">
        <f>'QTR Share Price'!JM19</f>
        <v>604.6</v>
      </c>
      <c r="CH86" s="13">
        <f>'QTR Share Price'!JN19</f>
        <v>646.25</v>
      </c>
      <c r="CI86" s="13">
        <f>'QTR Share Price'!JO19</f>
        <v>726.9</v>
      </c>
      <c r="CJ86" s="13">
        <f>'QTR Share Price'!JP19</f>
        <v>944</v>
      </c>
      <c r="CK86" s="13">
        <f>'QTR Share Price'!JQ19</f>
        <v>1118.95</v>
      </c>
      <c r="CL86" s="13">
        <f>'QTR Share Price'!JR19</f>
        <v>1140.9000000000001</v>
      </c>
      <c r="CM86" s="37">
        <f t="shared" ref="CM86:DB86" si="870">+CM77*CM94</f>
        <v>1193.9450164678972</v>
      </c>
      <c r="CN86" s="37">
        <f t="shared" si="870"/>
        <v>1225.9665121848841</v>
      </c>
      <c r="CO86" s="37">
        <f t="shared" si="870"/>
        <v>1225.3838540587162</v>
      </c>
      <c r="CP86" s="37">
        <f t="shared" si="870"/>
        <v>1194.686099105829</v>
      </c>
      <c r="CQ86" s="37">
        <f t="shared" si="870"/>
        <v>1254.0115043033838</v>
      </c>
      <c r="CR86" s="37">
        <f t="shared" si="870"/>
        <v>1306.7887111167133</v>
      </c>
      <c r="CS86" s="37">
        <f t="shared" si="870"/>
        <v>1359.7619889264058</v>
      </c>
      <c r="CT86" s="37">
        <f t="shared" si="870"/>
        <v>1415.5723677170074</v>
      </c>
      <c r="CU86" s="37">
        <f t="shared" si="870"/>
        <v>1478.1159844441247</v>
      </c>
      <c r="CV86" s="37">
        <f t="shared" si="870"/>
        <v>1564.3906731675215</v>
      </c>
      <c r="CW86" s="37">
        <f t="shared" si="870"/>
        <v>1621.6769875885932</v>
      </c>
      <c r="CX86" s="37">
        <f t="shared" si="870"/>
        <v>1682.5669578296981</v>
      </c>
      <c r="CY86" s="37">
        <f t="shared" si="870"/>
        <v>1751.8901032958004</v>
      </c>
      <c r="CZ86" s="37">
        <f t="shared" si="870"/>
        <v>1970.4729592075521</v>
      </c>
      <c r="DA86" s="37">
        <f t="shared" si="870"/>
        <v>2172.8657952224271</v>
      </c>
      <c r="DB86" s="37">
        <f t="shared" si="870"/>
        <v>2356.9285915045962</v>
      </c>
      <c r="DE86" s="134"/>
      <c r="DF86" s="13">
        <v>1140.9000000000001</v>
      </c>
    </row>
    <row r="87" spans="1:110" s="13" customFormat="1" x14ac:dyDescent="0.2">
      <c r="A87" s="13" t="s">
        <v>459</v>
      </c>
      <c r="B87" s="13">
        <f>'Annual Raw'!C108</f>
        <v>0</v>
      </c>
      <c r="C87" s="13">
        <f>'Annual Raw'!D108</f>
        <v>0</v>
      </c>
      <c r="D87" s="13">
        <f>'Annual Raw'!E108</f>
        <v>0</v>
      </c>
      <c r="E87" s="13">
        <f>'Annual Raw'!F108</f>
        <v>0</v>
      </c>
      <c r="F87" s="13">
        <f>'Annual Raw'!G108</f>
        <v>0</v>
      </c>
      <c r="G87" s="13">
        <f>'Annual Raw'!H108</f>
        <v>0</v>
      </c>
      <c r="H87" s="13">
        <f>'Annual Raw'!I108</f>
        <v>0</v>
      </c>
      <c r="I87" s="13">
        <f>'Annual Raw'!J108</f>
        <v>0</v>
      </c>
      <c r="J87" s="13">
        <f>'Annual Raw'!K108</f>
        <v>0</v>
      </c>
      <c r="K87" s="13">
        <f>'Annual Raw'!L108</f>
        <v>0</v>
      </c>
      <c r="L87" s="13">
        <f>'Annual Raw'!M108</f>
        <v>0</v>
      </c>
      <c r="M87" s="13">
        <f>'Annual Raw'!N108</f>
        <v>0</v>
      </c>
      <c r="N87" s="13">
        <f>'Annual Raw'!O108</f>
        <v>0</v>
      </c>
      <c r="O87" s="13">
        <f>'Annual Raw'!P108</f>
        <v>0</v>
      </c>
      <c r="P87" s="13">
        <f>'Annual Raw'!Q108</f>
        <v>0</v>
      </c>
      <c r="Q87" s="13">
        <f>'Annual Raw'!R108</f>
        <v>0</v>
      </c>
      <c r="R87" s="13">
        <f>'Annual Raw'!S108</f>
        <v>90.6</v>
      </c>
      <c r="S87" s="13">
        <f>'Annual Raw'!T108</f>
        <v>97</v>
      </c>
      <c r="T87" s="13">
        <f>'Annual Raw'!U108</f>
        <v>64.8</v>
      </c>
      <c r="U87" s="13">
        <f>'Annual Raw'!V108</f>
        <v>59.6</v>
      </c>
      <c r="V87" s="13">
        <f>'Annual Raw'!W108</f>
        <v>63.64</v>
      </c>
      <c r="W87" s="13">
        <f>'Annual Raw'!X108</f>
        <v>360.6</v>
      </c>
      <c r="X87" s="13">
        <f>'Annual Raw'!Y108</f>
        <v>286.8</v>
      </c>
      <c r="Y87" s="13">
        <f>'Annual Raw'!Z108</f>
        <v>279.64999999999998</v>
      </c>
      <c r="Z87" s="13">
        <f>'Annual Raw'!AA108</f>
        <v>386.85</v>
      </c>
      <c r="AA87" s="13">
        <f>'Annual Raw'!AB108</f>
        <v>517.04999999999995</v>
      </c>
      <c r="AB87" s="37">
        <f>+MIN(CM87:CP87)</f>
        <v>955.81530440087101</v>
      </c>
      <c r="AC87" s="37">
        <f>+MIN(CQ87:CT87)</f>
        <v>1003.9016631216545</v>
      </c>
      <c r="AD87" s="37">
        <f>+MIN(CU87:CX87)</f>
        <v>1183.3089967499702</v>
      </c>
      <c r="AE87" s="37">
        <f>+MIN(CY87:DB87)</f>
        <v>1402.4794687047236</v>
      </c>
      <c r="AJ87" s="13">
        <f>+'QTR Share Price'!HP20</f>
        <v>0</v>
      </c>
      <c r="AK87" s="13">
        <f>+'QTR Share Price'!HQ20</f>
        <v>0</v>
      </c>
      <c r="AL87" s="13">
        <f>+'QTR Share Price'!HR20</f>
        <v>0</v>
      </c>
      <c r="AM87" s="13">
        <f>+'QTR Share Price'!HS20</f>
        <v>0</v>
      </c>
      <c r="AN87" s="13">
        <f>+'QTR Share Price'!HT20</f>
        <v>0</v>
      </c>
      <c r="AO87" s="13">
        <f>+'QTR Share Price'!HU20</f>
        <v>0</v>
      </c>
      <c r="AP87" s="13">
        <f>+'QTR Share Price'!HV20</f>
        <v>0</v>
      </c>
      <c r="AQ87" s="13">
        <f>+'QTR Share Price'!HW20</f>
        <v>0</v>
      </c>
      <c r="AR87" s="13">
        <f>+'QTR Share Price'!HX20</f>
        <v>0</v>
      </c>
      <c r="AS87" s="13">
        <f>+'QTR Share Price'!HY20</f>
        <v>0</v>
      </c>
      <c r="AT87" s="13">
        <f>+'QTR Share Price'!HZ20</f>
        <v>0</v>
      </c>
      <c r="AU87" s="13">
        <f>+'QTR Share Price'!IA20</f>
        <v>0</v>
      </c>
      <c r="AV87" s="13">
        <f>+'QTR Share Price'!IB20</f>
        <v>0</v>
      </c>
      <c r="AW87" s="13">
        <f>+'QTR Share Price'!IC20</f>
        <v>0</v>
      </c>
      <c r="AX87" s="13">
        <f>+'QTR Share Price'!ID20</f>
        <v>0</v>
      </c>
      <c r="AY87" s="13">
        <f>+'QTR Share Price'!IE20</f>
        <v>0</v>
      </c>
      <c r="AZ87" s="13">
        <f>+'QTR Share Price'!IF20</f>
        <v>0</v>
      </c>
      <c r="BA87" s="13">
        <f>+'QTR Share Price'!IG20</f>
        <v>0</v>
      </c>
      <c r="BB87" s="13">
        <f>+'QTR Share Price'!IH20</f>
        <v>92.65</v>
      </c>
      <c r="BC87" s="13">
        <f>+'QTR Share Price'!II20</f>
        <v>100.5</v>
      </c>
      <c r="BD87" s="13">
        <f>+'QTR Share Price'!IJ20</f>
        <v>99.44</v>
      </c>
      <c r="BE87" s="13">
        <f>+'QTR Share Price'!IK20</f>
        <v>99.8</v>
      </c>
      <c r="BF87" s="13">
        <f>+'QTR Share Price'!IL20</f>
        <v>97</v>
      </c>
      <c r="BG87" s="13">
        <f>+'QTR Share Price'!IM20</f>
        <v>87.85</v>
      </c>
      <c r="BH87" s="13">
        <f>+'QTR Share Price'!IN20</f>
        <v>83.18</v>
      </c>
      <c r="BI87" s="13">
        <f>+'QTR Share Price'!IO20</f>
        <v>66.06</v>
      </c>
      <c r="BJ87" s="13">
        <f>+'QTR Share Price'!IP20</f>
        <v>64.8</v>
      </c>
      <c r="BK87" s="13">
        <f>+'QTR Share Price'!IQ20</f>
        <v>64.41</v>
      </c>
      <c r="BL87" s="13">
        <f>+'QTR Share Price'!IR20</f>
        <v>59.6</v>
      </c>
      <c r="BM87" s="13">
        <f>+'QTR Share Price'!IS20</f>
        <v>60.74</v>
      </c>
      <c r="BN87" s="13">
        <f>+'QTR Share Price'!IT20</f>
        <v>61.9</v>
      </c>
      <c r="BO87" s="13">
        <f>+'QTR Share Price'!IU20</f>
        <v>63.64</v>
      </c>
      <c r="BP87" s="13">
        <f>+'QTR Share Price'!IV20</f>
        <v>103.28</v>
      </c>
      <c r="BQ87" s="13">
        <f>+'QTR Share Price'!IW20</f>
        <v>251</v>
      </c>
      <c r="BR87" s="13">
        <f>+'QTR Share Price'!IX20</f>
        <v>333.25</v>
      </c>
      <c r="BS87" s="13">
        <f>+'QTR Share Price'!IY20</f>
        <v>360.6</v>
      </c>
      <c r="BT87" s="13">
        <f>+'QTR Share Price'!IZ20</f>
        <v>587.04999999999995</v>
      </c>
      <c r="BU87" s="13">
        <f>+'QTR Share Price'!JA20</f>
        <v>444.9</v>
      </c>
      <c r="BV87" s="13">
        <f>+'QTR Share Price'!JB20</f>
        <v>433.2</v>
      </c>
      <c r="BW87" s="13">
        <f>+'QTR Share Price'!JC20</f>
        <v>437</v>
      </c>
      <c r="BX87" s="13">
        <f>+'QTR Share Price'!JD20</f>
        <v>458.45</v>
      </c>
      <c r="BY87" s="13">
        <f>+'QTR Share Price'!JE20</f>
        <v>368.75</v>
      </c>
      <c r="BZ87" s="13">
        <f>+'QTR Share Price'!JF20</f>
        <v>286.8</v>
      </c>
      <c r="CA87" s="13">
        <f>+'QTR Share Price'!JG20</f>
        <v>279.64999999999998</v>
      </c>
      <c r="CB87" s="13">
        <f>+'QTR Share Price'!JH20</f>
        <v>328.15</v>
      </c>
      <c r="CC87" s="13">
        <f>+'QTR Share Price'!JI20</f>
        <v>349.8</v>
      </c>
      <c r="CD87" s="13">
        <f>+'QTR Share Price'!JJ20</f>
        <v>358.7</v>
      </c>
      <c r="CE87" s="13">
        <f>+'QTR Share Price'!JK20</f>
        <v>386.85</v>
      </c>
      <c r="CF87" s="13">
        <f>+'QTR Share Price'!JL20</f>
        <v>390.3</v>
      </c>
      <c r="CG87" s="13">
        <f>+'QTR Share Price'!JM20</f>
        <v>422.7</v>
      </c>
      <c r="CH87" s="13">
        <f>+'QTR Share Price'!JN20</f>
        <v>504.3</v>
      </c>
      <c r="CI87" s="13">
        <f>+'QTR Share Price'!JO20</f>
        <v>517.04999999999995</v>
      </c>
      <c r="CJ87" s="13">
        <f>+'QTR Share Price'!JP20</f>
        <v>722</v>
      </c>
      <c r="CK87" s="13">
        <f>+'QTR Share Price'!JQ20</f>
        <v>838.4</v>
      </c>
      <c r="CL87" s="13">
        <f>+'QTR Share Price'!JR20</f>
        <v>913.35</v>
      </c>
      <c r="CM87" s="37">
        <f t="shared" ref="CM87:DB87" si="871">+CM95*CM77</f>
        <v>955.81530440087101</v>
      </c>
      <c r="CN87" s="37">
        <f t="shared" si="871"/>
        <v>981.45018310462251</v>
      </c>
      <c r="CO87" s="37">
        <f t="shared" si="871"/>
        <v>980.98373486241417</v>
      </c>
      <c r="CP87" s="37">
        <f t="shared" si="871"/>
        <v>956.40857973381446</v>
      </c>
      <c r="CQ87" s="37">
        <f t="shared" si="871"/>
        <v>1003.9016631216545</v>
      </c>
      <c r="CR87" s="37">
        <f t="shared" si="871"/>
        <v>1046.1525719155491</v>
      </c>
      <c r="CS87" s="37">
        <f t="shared" si="871"/>
        <v>1088.5604457760826</v>
      </c>
      <c r="CT87" s="37">
        <f t="shared" si="871"/>
        <v>1133.2395670561209</v>
      </c>
      <c r="CU87" s="37">
        <f t="shared" si="871"/>
        <v>1183.3089967499702</v>
      </c>
      <c r="CV87" s="37">
        <f t="shared" si="871"/>
        <v>1252.3763882352139</v>
      </c>
      <c r="CW87" s="37">
        <f t="shared" si="871"/>
        <v>1298.2370730248413</v>
      </c>
      <c r="CX87" s="37">
        <f t="shared" si="871"/>
        <v>1346.9826723935091</v>
      </c>
      <c r="CY87" s="37">
        <f t="shared" si="871"/>
        <v>1402.4794687047236</v>
      </c>
      <c r="CZ87" s="37">
        <f t="shared" si="871"/>
        <v>1577.4664539330506</v>
      </c>
      <c r="DA87" s="37">
        <f t="shared" si="871"/>
        <v>1739.4924831855583</v>
      </c>
      <c r="DB87" s="37">
        <f t="shared" si="871"/>
        <v>1886.8443588839709</v>
      </c>
      <c r="DE87" s="134"/>
      <c r="DF87" s="13">
        <v>517.04999999999995</v>
      </c>
    </row>
    <row r="88" spans="1:110" s="14" customFormat="1" x14ac:dyDescent="0.2">
      <c r="AB88" s="16"/>
      <c r="AC88" s="16"/>
      <c r="AD88" s="16"/>
      <c r="AE88" s="16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51" customFormat="1" x14ac:dyDescent="0.2">
      <c r="A89" s="51" t="s">
        <v>346</v>
      </c>
      <c r="AB89" s="48">
        <f t="shared" ref="AB89:AD89" si="872">+AB86/AB85-1</f>
        <v>0.23604024014204161</v>
      </c>
      <c r="AC89" s="48">
        <f t="shared" si="872"/>
        <v>0.42720408097696971</v>
      </c>
      <c r="AD89" s="48">
        <f t="shared" si="872"/>
        <v>0.69639255717063886</v>
      </c>
      <c r="AE89" s="48">
        <f t="shared" ref="AE89" si="873">+AE86/AE85-1</f>
        <v>1.3762953990064992</v>
      </c>
      <c r="CM89" s="48">
        <f t="shared" ref="CM89:DB89" si="874">+CM86/CM85-1</f>
        <v>0.20375562481009957</v>
      </c>
      <c r="CN89" s="48">
        <f t="shared" si="874"/>
        <v>0.23604024014204161</v>
      </c>
      <c r="CO89" s="48">
        <f t="shared" si="874"/>
        <v>0.23545279433252619</v>
      </c>
      <c r="CP89" s="48">
        <f t="shared" si="874"/>
        <v>0.20450279690056861</v>
      </c>
      <c r="CQ89" s="48">
        <f t="shared" si="874"/>
        <v>0.26431567707151671</v>
      </c>
      <c r="CR89" s="48">
        <f t="shared" si="874"/>
        <v>0.31752655251974926</v>
      </c>
      <c r="CS89" s="48">
        <f t="shared" si="874"/>
        <v>0.37093511007350477</v>
      </c>
      <c r="CT89" s="48">
        <f t="shared" si="874"/>
        <v>0.42720408097696971</v>
      </c>
      <c r="CU89" s="48">
        <f t="shared" si="874"/>
        <v>0.49026161661957413</v>
      </c>
      <c r="CV89" s="48">
        <f t="shared" si="874"/>
        <v>0.57724522172457671</v>
      </c>
      <c r="CW89" s="48">
        <f t="shared" si="874"/>
        <v>0.63500225597478765</v>
      </c>
      <c r="CX89" s="48">
        <f t="shared" si="874"/>
        <v>0.69639255717063886</v>
      </c>
      <c r="CY89" s="48">
        <f t="shared" si="874"/>
        <v>0.76628532872490829</v>
      </c>
      <c r="CZ89" s="48">
        <f t="shared" si="874"/>
        <v>0.98666427303276905</v>
      </c>
      <c r="DA89" s="48">
        <f t="shared" si="874"/>
        <v>1.1907201645636207</v>
      </c>
      <c r="DB89" s="48">
        <f t="shared" si="874"/>
        <v>1.3762953990064992</v>
      </c>
      <c r="DE89" s="129"/>
      <c r="DF89" s="51">
        <v>0.15027473912385947</v>
      </c>
    </row>
    <row r="90" spans="1:110" s="51" customFormat="1" x14ac:dyDescent="0.2">
      <c r="A90" s="51" t="s">
        <v>347</v>
      </c>
      <c r="AB90" s="48">
        <f t="shared" ref="AB90:AD90" si="875">+AB87/AB85-1</f>
        <v>-3.6330791550263641E-2</v>
      </c>
      <c r="AC90" s="48">
        <f t="shared" si="875"/>
        <v>1.2150691255385926E-2</v>
      </c>
      <c r="AD90" s="48">
        <f t="shared" si="875"/>
        <v>0.19303220925540177</v>
      </c>
      <c r="AE90" s="48">
        <f t="shared" ref="AE90" si="876">+AE87/AE85-1</f>
        <v>0.41400359802865716</v>
      </c>
      <c r="CM90" s="48">
        <f t="shared" ref="CM90:DB90" si="877">+CM87/CM85-1</f>
        <v>-3.6330791550263641E-2</v>
      </c>
      <c r="CN90" s="48">
        <f t="shared" si="877"/>
        <v>-1.0485271861044976E-2</v>
      </c>
      <c r="CO90" s="48">
        <f t="shared" si="877"/>
        <v>-1.0955552893669229E-2</v>
      </c>
      <c r="CP90" s="48">
        <f t="shared" si="877"/>
        <v>-3.5732641292721246E-2</v>
      </c>
      <c r="CQ90" s="48">
        <f t="shared" si="877"/>
        <v>1.2150691255385926E-2</v>
      </c>
      <c r="CR90" s="48">
        <f t="shared" si="877"/>
        <v>5.474877442713022E-2</v>
      </c>
      <c r="CS90" s="48">
        <f t="shared" si="877"/>
        <v>9.7505112442488828E-2</v>
      </c>
      <c r="CT90" s="48">
        <f t="shared" si="877"/>
        <v>0.14255136064538076</v>
      </c>
      <c r="CU90" s="48">
        <f t="shared" si="877"/>
        <v>0.19303220925540177</v>
      </c>
      <c r="CV90" s="48">
        <f t="shared" si="877"/>
        <v>0.26266712530646141</v>
      </c>
      <c r="CW90" s="48">
        <f t="shared" si="877"/>
        <v>0.30890464588883515</v>
      </c>
      <c r="CX90" s="48">
        <f t="shared" si="877"/>
        <v>0.35805078630186937</v>
      </c>
      <c r="CY90" s="48">
        <f t="shared" si="877"/>
        <v>0.41400359802865716</v>
      </c>
      <c r="CZ90" s="48">
        <f t="shared" si="877"/>
        <v>0.59042844576604381</v>
      </c>
      <c r="DA90" s="48">
        <f t="shared" si="877"/>
        <v>0.7537858377633293</v>
      </c>
      <c r="DB90" s="48">
        <f t="shared" si="877"/>
        <v>0.90234849915206028</v>
      </c>
      <c r="DE90" s="129"/>
      <c r="DF90" s="51">
        <v>-0.47870141654484055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40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460</v>
      </c>
      <c r="B93" s="13" t="e">
        <f t="shared" ref="B93:D93" si="878">+B85/B77</f>
        <v>#DIV/0!</v>
      </c>
      <c r="C93" s="13" t="e">
        <f t="shared" si="878"/>
        <v>#DIV/0!</v>
      </c>
      <c r="D93" s="13" t="e">
        <f t="shared" si="878"/>
        <v>#DIV/0!</v>
      </c>
      <c r="E93" s="13" t="e">
        <f t="shared" ref="E93:AE93" ca="1" si="879">+E85/E77</f>
        <v>#DIV/0!</v>
      </c>
      <c r="F93" s="13" t="e">
        <f t="shared" ca="1" si="879"/>
        <v>#DIV/0!</v>
      </c>
      <c r="G93" s="13" t="e">
        <f t="shared" ca="1" si="879"/>
        <v>#DIV/0!</v>
      </c>
      <c r="H93" s="13" t="e">
        <f t="shared" ca="1" si="879"/>
        <v>#DIV/0!</v>
      </c>
      <c r="I93" s="13" t="e">
        <f t="shared" ca="1" si="879"/>
        <v>#DIV/0!</v>
      </c>
      <c r="J93" s="13" t="e">
        <f t="shared" ca="1" si="879"/>
        <v>#DIV/0!</v>
      </c>
      <c r="K93" s="13" t="e">
        <f t="shared" ca="1" si="879"/>
        <v>#DIV/0!</v>
      </c>
      <c r="L93" s="13" t="e">
        <f t="shared" ca="1" si="879"/>
        <v>#DIV/0!</v>
      </c>
      <c r="M93" s="13">
        <f t="shared" ca="1" si="879"/>
        <v>0</v>
      </c>
      <c r="N93" s="13">
        <f t="shared" ca="1" si="879"/>
        <v>0</v>
      </c>
      <c r="O93" s="13">
        <f t="shared" ca="1" si="879"/>
        <v>0</v>
      </c>
      <c r="P93" s="13">
        <f t="shared" ca="1" si="879"/>
        <v>0</v>
      </c>
      <c r="Q93" s="13">
        <f t="shared" ca="1" si="879"/>
        <v>0</v>
      </c>
      <c r="R93" s="13">
        <f t="shared" ca="1" si="879"/>
        <v>29.240125396792017</v>
      </c>
      <c r="S93" s="13">
        <f t="shared" ca="1" si="879"/>
        <v>32.408392697333063</v>
      </c>
      <c r="T93" s="13">
        <f t="shared" ca="1" si="879"/>
        <v>46.031533957595578</v>
      </c>
      <c r="U93" s="13">
        <f t="shared" ca="1" si="879"/>
        <v>13.644816077094839</v>
      </c>
      <c r="V93" s="13">
        <f t="shared" ca="1" si="879"/>
        <v>19.871560269627274</v>
      </c>
      <c r="W93" s="13">
        <f t="shared" ca="1" si="879"/>
        <v>38.49314729553366</v>
      </c>
      <c r="X93" s="13">
        <f t="shared" ca="1" si="879"/>
        <v>20.018230484965063</v>
      </c>
      <c r="Y93" s="13">
        <f t="shared" ca="1" si="879"/>
        <v>131.72609000311411</v>
      </c>
      <c r="Z93" s="13">
        <f t="shared" ref="Z93:AA93" ca="1" si="880">+Z85/Z77</f>
        <v>92.4759795713328</v>
      </c>
      <c r="AA93" s="13">
        <f t="shared" ref="AA93" ca="1" si="881">+AA85/AA77</f>
        <v>92.4759795713328</v>
      </c>
      <c r="AB93" s="37">
        <f t="shared" ca="1" si="879"/>
        <v>57.530415528046227</v>
      </c>
      <c r="AC93" s="37">
        <f t="shared" ca="1" si="879"/>
        <v>48.553355006488289</v>
      </c>
      <c r="AD93" s="37">
        <f t="shared" ca="1" si="879"/>
        <v>40.848768239091825</v>
      </c>
      <c r="AE93" s="37">
        <f t="shared" ca="1" si="879"/>
        <v>29.16116676375983</v>
      </c>
      <c r="AL93" s="13" t="e">
        <f t="shared" ref="AL93:BQ93" si="882">+AL85/AL77</f>
        <v>#DIV/0!</v>
      </c>
      <c r="AM93" s="13" t="e">
        <f t="shared" si="882"/>
        <v>#DIV/0!</v>
      </c>
      <c r="AN93" s="13" t="e">
        <f t="shared" si="882"/>
        <v>#DIV/0!</v>
      </c>
      <c r="AO93" s="13" t="e">
        <f t="shared" si="882"/>
        <v>#DIV/0!</v>
      </c>
      <c r="AP93" s="13" t="e">
        <f t="shared" si="882"/>
        <v>#DIV/0!</v>
      </c>
      <c r="AQ93" s="13" t="e">
        <f t="shared" si="882"/>
        <v>#DIV/0!</v>
      </c>
      <c r="AR93" s="13" t="e">
        <f t="shared" si="882"/>
        <v>#DIV/0!</v>
      </c>
      <c r="AS93" s="13" t="e">
        <f t="shared" si="882"/>
        <v>#DIV/0!</v>
      </c>
      <c r="AT93" s="13" t="e">
        <f t="shared" si="882"/>
        <v>#DIV/0!</v>
      </c>
      <c r="AU93" s="13" t="e">
        <f t="shared" si="882"/>
        <v>#DIV/0!</v>
      </c>
      <c r="AV93" s="13" t="e">
        <f t="shared" si="882"/>
        <v>#DIV/0!</v>
      </c>
      <c r="AW93" s="13">
        <f t="shared" si="882"/>
        <v>0</v>
      </c>
      <c r="AX93" s="13">
        <f t="shared" si="882"/>
        <v>0</v>
      </c>
      <c r="AY93" s="13">
        <f t="shared" si="882"/>
        <v>0</v>
      </c>
      <c r="AZ93" s="13">
        <f t="shared" si="882"/>
        <v>0</v>
      </c>
      <c r="BA93" s="13">
        <f t="shared" si="882"/>
        <v>30.046827841888135</v>
      </c>
      <c r="BB93" s="13">
        <f t="shared" si="882"/>
        <v>29.237417225503993</v>
      </c>
      <c r="BC93" s="13">
        <f t="shared" si="882"/>
        <v>32.588815847654985</v>
      </c>
      <c r="BD93" s="13">
        <f t="shared" si="882"/>
        <v>26.771446777640538</v>
      </c>
      <c r="BE93" s="13">
        <f t="shared" si="882"/>
        <v>30.233455584613885</v>
      </c>
      <c r="BF93" s="13">
        <f t="shared" si="882"/>
        <v>32.405391086450699</v>
      </c>
      <c r="BG93" s="13">
        <f t="shared" si="882"/>
        <v>34.2431107714972</v>
      </c>
      <c r="BH93" s="13">
        <f t="shared" si="882"/>
        <v>41.199270746464634</v>
      </c>
      <c r="BI93" s="13">
        <f t="shared" si="882"/>
        <v>42.8499576647677</v>
      </c>
      <c r="BJ93" s="13">
        <f t="shared" si="882"/>
        <v>46.027270594257963</v>
      </c>
      <c r="BK93" s="13">
        <f t="shared" si="882"/>
        <v>39.385879574458862</v>
      </c>
      <c r="BL93" s="13">
        <f t="shared" si="882"/>
        <v>30.407140810880083</v>
      </c>
      <c r="BM93" s="13">
        <f t="shared" si="882"/>
        <v>20.614564070972207</v>
      </c>
      <c r="BN93" s="13">
        <f t="shared" si="882"/>
        <v>13.643552317154381</v>
      </c>
      <c r="BO93" s="13">
        <f t="shared" si="882"/>
        <v>13.621121495327102</v>
      </c>
      <c r="BP93" s="13">
        <f t="shared" si="882"/>
        <v>25.925609450030958</v>
      </c>
      <c r="BQ93" s="13">
        <f t="shared" si="882"/>
        <v>23.916990151182485</v>
      </c>
      <c r="BR93" s="13">
        <f t="shared" ref="BR93:DB93" si="883">+BR85/BR77</f>
        <v>19.86971979910124</v>
      </c>
      <c r="BS93" s="13">
        <f t="shared" si="883"/>
        <v>34.83208917669176</v>
      </c>
      <c r="BT93" s="13">
        <f t="shared" si="883"/>
        <v>32.886750854051058</v>
      </c>
      <c r="BU93" s="13">
        <f t="shared" si="883"/>
        <v>32.567993733915188</v>
      </c>
      <c r="BV93" s="13">
        <f t="shared" si="883"/>
        <v>38.489582124903329</v>
      </c>
      <c r="BW93" s="13">
        <f t="shared" si="883"/>
        <v>29.941975854121647</v>
      </c>
      <c r="BX93" s="13">
        <f t="shared" si="883"/>
        <v>31.860086143357293</v>
      </c>
      <c r="BY93" s="13">
        <f t="shared" si="883"/>
        <v>22.068368514542897</v>
      </c>
      <c r="BZ93" s="13">
        <f t="shared" si="883"/>
        <v>20.01764311298426</v>
      </c>
      <c r="CA93" s="13">
        <f t="shared" si="883"/>
        <v>35.097342463809234</v>
      </c>
      <c r="CB93" s="13">
        <f t="shared" si="883"/>
        <v>57.998194769180529</v>
      </c>
      <c r="CC93" s="13">
        <f t="shared" si="883"/>
        <v>123.56054171988063</v>
      </c>
      <c r="CD93" s="13">
        <f t="shared" si="883"/>
        <v>131.71388975397053</v>
      </c>
      <c r="CE93" s="13">
        <f t="shared" si="883"/>
        <v>154.51734026044082</v>
      </c>
      <c r="CF93" s="13">
        <f t="shared" si="883"/>
        <v>190.53581235697905</v>
      </c>
      <c r="CG93" s="13">
        <f t="shared" si="883"/>
        <v>162.36319284929573</v>
      </c>
      <c r="CH93" s="13">
        <f t="shared" si="883"/>
        <v>92.467414601473479</v>
      </c>
      <c r="CI93" s="13">
        <f t="shared" ref="CI93:CJ93" si="884">+CI85/CI77</f>
        <v>76.902112689896413</v>
      </c>
      <c r="CJ93" s="13">
        <f t="shared" si="884"/>
        <v>66.449004327738479</v>
      </c>
      <c r="CK93" s="13">
        <f t="shared" ref="CK93:CL93" si="885">+CK85/CK77</f>
        <v>70.936642572710127</v>
      </c>
      <c r="CL93" s="13">
        <f t="shared" si="885"/>
        <v>60.242604704302806</v>
      </c>
      <c r="CM93" s="37">
        <f t="shared" si="883"/>
        <v>57.566124703521574</v>
      </c>
      <c r="CN93" s="37">
        <f t="shared" si="883"/>
        <v>56.062532723384869</v>
      </c>
      <c r="CO93" s="37">
        <f t="shared" si="883"/>
        <v>56.089189913420988</v>
      </c>
      <c r="CP93" s="37">
        <f t="shared" si="883"/>
        <v>57.530415528046326</v>
      </c>
      <c r="CQ93" s="37">
        <f t="shared" si="883"/>
        <v>54.808737775750892</v>
      </c>
      <c r="CR93" s="37">
        <f t="shared" si="883"/>
        <v>52.59518017140303</v>
      </c>
      <c r="CS93" s="37">
        <f t="shared" si="883"/>
        <v>50.546189897104838</v>
      </c>
      <c r="CT93" s="37">
        <f t="shared" si="883"/>
        <v>48.553355006488317</v>
      </c>
      <c r="CU93" s="37">
        <f t="shared" si="883"/>
        <v>46.498913772985603</v>
      </c>
      <c r="CV93" s="37">
        <f t="shared" si="883"/>
        <v>43.934541982390805</v>
      </c>
      <c r="CW93" s="37">
        <f t="shared" si="883"/>
        <v>42.38253871342198</v>
      </c>
      <c r="CX93" s="37">
        <f t="shared" si="883"/>
        <v>40.848768239091797</v>
      </c>
      <c r="CY93" s="37">
        <f t="shared" si="883"/>
        <v>39.232362565344168</v>
      </c>
      <c r="CZ93" s="37">
        <f t="shared" si="883"/>
        <v>34.880350621395962</v>
      </c>
      <c r="DA93" s="37">
        <f t="shared" si="883"/>
        <v>31.631400272515865</v>
      </c>
      <c r="DB93" s="37">
        <f t="shared" si="883"/>
        <v>29.161166763759823</v>
      </c>
      <c r="DE93" s="134"/>
      <c r="DF93" s="13">
        <v>60.244852271065248</v>
      </c>
    </row>
    <row r="94" spans="1:110" s="13" customFormat="1" x14ac:dyDescent="0.2">
      <c r="A94" s="13" t="s">
        <v>461</v>
      </c>
      <c r="B94" s="13" t="e">
        <f t="shared" ref="B94:D94" si="886">+B86/B77</f>
        <v>#DIV/0!</v>
      </c>
      <c r="C94" s="13" t="e">
        <f t="shared" si="886"/>
        <v>#DIV/0!</v>
      </c>
      <c r="D94" s="13" t="e">
        <f t="shared" si="886"/>
        <v>#DIV/0!</v>
      </c>
      <c r="E94" s="13" t="e">
        <f t="shared" ref="E94:AE94" ca="1" si="887">+E86/E77</f>
        <v>#DIV/0!</v>
      </c>
      <c r="F94" s="13" t="e">
        <f t="shared" ca="1" si="887"/>
        <v>#DIV/0!</v>
      </c>
      <c r="G94" s="13" t="e">
        <f t="shared" ca="1" si="887"/>
        <v>#DIV/0!</v>
      </c>
      <c r="H94" s="13" t="e">
        <f t="shared" ca="1" si="887"/>
        <v>#DIV/0!</v>
      </c>
      <c r="I94" s="13" t="e">
        <f t="shared" ca="1" si="887"/>
        <v>#DIV/0!</v>
      </c>
      <c r="J94" s="13" t="e">
        <f t="shared" ca="1" si="887"/>
        <v>#DIV/0!</v>
      </c>
      <c r="K94" s="13" t="e">
        <f t="shared" ca="1" si="887"/>
        <v>#DIV/0!</v>
      </c>
      <c r="L94" s="13" t="e">
        <f t="shared" ca="1" si="887"/>
        <v>#DIV/0!</v>
      </c>
      <c r="M94" s="13">
        <f t="shared" ca="1" si="887"/>
        <v>0</v>
      </c>
      <c r="N94" s="13">
        <f t="shared" ca="1" si="887"/>
        <v>0</v>
      </c>
      <c r="O94" s="13">
        <f t="shared" ca="1" si="887"/>
        <v>0</v>
      </c>
      <c r="P94" s="13">
        <f t="shared" ca="1" si="887"/>
        <v>0</v>
      </c>
      <c r="Q94" s="13">
        <f t="shared" ca="1" si="887"/>
        <v>0</v>
      </c>
      <c r="R94" s="13">
        <f t="shared" ca="1" si="887"/>
        <v>33.195174378271545</v>
      </c>
      <c r="S94" s="13">
        <f t="shared" ca="1" si="887"/>
        <v>40.840630034007475</v>
      </c>
      <c r="T94" s="13">
        <f t="shared" ca="1" si="887"/>
        <v>59.87841815622189</v>
      </c>
      <c r="U94" s="13">
        <f t="shared" ca="1" si="887"/>
        <v>19.456340345516512</v>
      </c>
      <c r="V94" s="13">
        <f t="shared" ca="1" si="887"/>
        <v>21.175108277923496</v>
      </c>
      <c r="W94" s="13">
        <f t="shared" ca="1" si="887"/>
        <v>47.202299340197236</v>
      </c>
      <c r="X94" s="13">
        <f t="shared" ca="1" si="887"/>
        <v>42.769325199959489</v>
      </c>
      <c r="Y94" s="13">
        <f t="shared" ca="1" si="887"/>
        <v>149.46329803799418</v>
      </c>
      <c r="Z94" s="13">
        <f t="shared" ref="Z94:AA94" ca="1" si="888">+Z86/Z77</f>
        <v>97.364942649028706</v>
      </c>
      <c r="AA94" s="13">
        <f t="shared" ref="AA94" ca="1" si="889">+AA86/AA77</f>
        <v>97.364942649028706</v>
      </c>
      <c r="AB94" s="60">
        <f t="shared" ca="1" si="887"/>
        <v>71.109908624757708</v>
      </c>
      <c r="AC94" s="60">
        <f t="shared" ca="1" si="887"/>
        <v>69.295546410383665</v>
      </c>
      <c r="AD94" s="60">
        <f t="shared" ca="1" si="887"/>
        <v>69.29554641038375</v>
      </c>
      <c r="AE94" s="60">
        <f t="shared" ca="1" si="887"/>
        <v>69.295546410383722</v>
      </c>
      <c r="AL94" s="13" t="e">
        <f t="shared" ref="AL94:BQ94" si="890">+AL86/AL77</f>
        <v>#DIV/0!</v>
      </c>
      <c r="AM94" s="13" t="e">
        <f t="shared" si="890"/>
        <v>#DIV/0!</v>
      </c>
      <c r="AN94" s="13" t="e">
        <f t="shared" si="890"/>
        <v>#DIV/0!</v>
      </c>
      <c r="AO94" s="13" t="e">
        <f t="shared" si="890"/>
        <v>#DIV/0!</v>
      </c>
      <c r="AP94" s="13" t="e">
        <f t="shared" si="890"/>
        <v>#DIV/0!</v>
      </c>
      <c r="AQ94" s="13" t="e">
        <f t="shared" si="890"/>
        <v>#DIV/0!</v>
      </c>
      <c r="AR94" s="13" t="e">
        <f t="shared" si="890"/>
        <v>#DIV/0!</v>
      </c>
      <c r="AS94" s="13" t="e">
        <f t="shared" si="890"/>
        <v>#DIV/0!</v>
      </c>
      <c r="AT94" s="13" t="e">
        <f t="shared" si="890"/>
        <v>#DIV/0!</v>
      </c>
      <c r="AU94" s="13" t="e">
        <f t="shared" si="890"/>
        <v>#DIV/0!</v>
      </c>
      <c r="AV94" s="13" t="e">
        <f t="shared" si="890"/>
        <v>#DIV/0!</v>
      </c>
      <c r="AW94" s="13">
        <f t="shared" si="890"/>
        <v>0</v>
      </c>
      <c r="AX94" s="13">
        <f t="shared" si="890"/>
        <v>0</v>
      </c>
      <c r="AY94" s="13">
        <f t="shared" si="890"/>
        <v>0</v>
      </c>
      <c r="AZ94" s="13">
        <f t="shared" si="890"/>
        <v>0</v>
      </c>
      <c r="BA94" s="13">
        <f t="shared" si="890"/>
        <v>31.230661584251457</v>
      </c>
      <c r="BB94" s="13">
        <f t="shared" si="890"/>
        <v>33.192099896991728</v>
      </c>
      <c r="BC94" s="13">
        <f t="shared" si="890"/>
        <v>33.628433019878351</v>
      </c>
      <c r="BD94" s="13">
        <f t="shared" si="890"/>
        <v>33.338627139580034</v>
      </c>
      <c r="BE94" s="13">
        <f t="shared" si="890"/>
        <v>32.257743870671568</v>
      </c>
      <c r="BF94" s="13">
        <f t="shared" si="890"/>
        <v>36.45687011514827</v>
      </c>
      <c r="BG94" s="13">
        <f t="shared" si="890"/>
        <v>38.646592731803679</v>
      </c>
      <c r="BH94" s="13">
        <f t="shared" si="890"/>
        <v>48.176759701201235</v>
      </c>
      <c r="BI94" s="13">
        <f t="shared" si="890"/>
        <v>49.09068102231749</v>
      </c>
      <c r="BJ94" s="13">
        <f t="shared" si="890"/>
        <v>47.437737297896888</v>
      </c>
      <c r="BK94" s="13">
        <f t="shared" si="890"/>
        <v>47.836153662817154</v>
      </c>
      <c r="BL94" s="13">
        <f t="shared" si="890"/>
        <v>30.537364111997345</v>
      </c>
      <c r="BM94" s="13">
        <f t="shared" si="890"/>
        <v>23.977223458435759</v>
      </c>
      <c r="BN94" s="13">
        <f t="shared" si="890"/>
        <v>19.45453833196223</v>
      </c>
      <c r="BO94" s="13">
        <f t="shared" si="890"/>
        <v>15.391408666100254</v>
      </c>
      <c r="BP94" s="13">
        <f t="shared" si="890"/>
        <v>27.994781066474811</v>
      </c>
      <c r="BQ94" s="13">
        <f t="shared" si="890"/>
        <v>24.763549338184557</v>
      </c>
      <c r="BR94" s="13">
        <f t="shared" ref="BR94:CH94" si="891">+BR86/BR77</f>
        <v>21.173147074971023</v>
      </c>
      <c r="BS94" s="13">
        <f t="shared" si="891"/>
        <v>35.762345825539548</v>
      </c>
      <c r="BT94" s="13">
        <f t="shared" si="891"/>
        <v>38.562853221697821</v>
      </c>
      <c r="BU94" s="13">
        <f t="shared" si="891"/>
        <v>40.045585767035924</v>
      </c>
      <c r="BV94" s="13">
        <f t="shared" si="891"/>
        <v>40.009465632250588</v>
      </c>
      <c r="BW94" s="13">
        <f t="shared" si="891"/>
        <v>40.352372195220994</v>
      </c>
      <c r="BX94" s="13">
        <f t="shared" si="891"/>
        <v>37.641526165468953</v>
      </c>
      <c r="BY94" s="13">
        <f t="shared" si="891"/>
        <v>31.365731286030321</v>
      </c>
      <c r="BZ94" s="13">
        <f t="shared" si="891"/>
        <v>26.367950032273974</v>
      </c>
      <c r="CA94" s="13">
        <f t="shared" si="891"/>
        <v>35.911332671018997</v>
      </c>
      <c r="CB94" s="13">
        <f t="shared" si="891"/>
        <v>61.322230982545769</v>
      </c>
      <c r="CC94" s="13">
        <f t="shared" si="891"/>
        <v>126.10270327799046</v>
      </c>
      <c r="CD94" s="13">
        <f t="shared" si="891"/>
        <v>149.44945499844263</v>
      </c>
      <c r="CE94" s="13">
        <f t="shared" si="891"/>
        <v>171.50787396262012</v>
      </c>
      <c r="CF94" s="13">
        <f t="shared" si="891"/>
        <v>213.2436460717006</v>
      </c>
      <c r="CG94" s="13">
        <f t="shared" si="891"/>
        <v>162.96967941675803</v>
      </c>
      <c r="CH94" s="13">
        <f t="shared" si="891"/>
        <v>97.355924871623074</v>
      </c>
      <c r="CI94" s="13">
        <f t="shared" ref="CI94:CJ94" si="892">+CI86/CI77</f>
        <v>77.1142857142857</v>
      </c>
      <c r="CJ94" s="13">
        <f t="shared" si="892"/>
        <v>74.503070354991522</v>
      </c>
      <c r="CK94" s="13">
        <f t="shared" ref="CK94:CL94" si="893">+CK86/CK77</f>
        <v>71.624757450581129</v>
      </c>
      <c r="CL94" s="13">
        <f t="shared" si="893"/>
        <v>69.295546410383707</v>
      </c>
      <c r="CM94" s="60">
        <f t="shared" ref="CM94:CM95" si="894">+CL94</f>
        <v>69.295546410383707</v>
      </c>
      <c r="CN94" s="60">
        <f t="shared" ref="CN94:CN95" si="895">+CM94</f>
        <v>69.295546410383707</v>
      </c>
      <c r="CO94" s="60">
        <f t="shared" ref="CO94:CO95" si="896">+CN94</f>
        <v>69.295546410383707</v>
      </c>
      <c r="CP94" s="60">
        <f t="shared" ref="CP94:CP95" si="897">+CO94</f>
        <v>69.295546410383707</v>
      </c>
      <c r="CQ94" s="60">
        <f t="shared" ref="CQ94:CQ95" si="898">+CP94</f>
        <v>69.295546410383707</v>
      </c>
      <c r="CR94" s="60">
        <f t="shared" ref="CR94:CR95" si="899">+CQ94</f>
        <v>69.295546410383707</v>
      </c>
      <c r="CS94" s="60">
        <f t="shared" ref="CS94:CS95" si="900">+CR94</f>
        <v>69.295546410383707</v>
      </c>
      <c r="CT94" s="60">
        <f t="shared" ref="CT94:CT95" si="901">+CS94</f>
        <v>69.295546410383707</v>
      </c>
      <c r="CU94" s="60">
        <f t="shared" ref="CU94:CU95" si="902">+CT94</f>
        <v>69.295546410383707</v>
      </c>
      <c r="CV94" s="60">
        <f t="shared" ref="CV94:CV95" si="903">+CU94</f>
        <v>69.295546410383707</v>
      </c>
      <c r="CW94" s="60">
        <f t="shared" ref="CW94:CW95" si="904">+CV94</f>
        <v>69.295546410383707</v>
      </c>
      <c r="CX94" s="60">
        <f t="shared" ref="CX94:CX95" si="905">+CW94</f>
        <v>69.295546410383707</v>
      </c>
      <c r="CY94" s="60">
        <f t="shared" ref="CY94:CY95" si="906">+CX94</f>
        <v>69.295546410383707</v>
      </c>
      <c r="CZ94" s="60">
        <f t="shared" ref="CZ94:CZ95" si="907">+CY94</f>
        <v>69.295546410383707</v>
      </c>
      <c r="DA94" s="60">
        <f t="shared" ref="DA94:DA95" si="908">+CZ94</f>
        <v>69.295546410383707</v>
      </c>
      <c r="DB94" s="60">
        <f t="shared" ref="DB94:DB95" si="909">+DA94</f>
        <v>69.295546410383707</v>
      </c>
      <c r="DE94" s="136"/>
      <c r="DF94" s="13">
        <v>69.29813172965504</v>
      </c>
    </row>
    <row r="95" spans="1:110" s="13" customFormat="1" x14ac:dyDescent="0.2">
      <c r="A95" s="13" t="s">
        <v>462</v>
      </c>
      <c r="B95" s="13" t="e">
        <f t="shared" ref="B95:D95" si="910">+B87/B77</f>
        <v>#DIV/0!</v>
      </c>
      <c r="C95" s="13" t="e">
        <f t="shared" si="910"/>
        <v>#DIV/0!</v>
      </c>
      <c r="D95" s="13" t="e">
        <f t="shared" si="910"/>
        <v>#DIV/0!</v>
      </c>
      <c r="E95" s="13" t="e">
        <f t="shared" ref="E95:AE95" ca="1" si="911">+E87/E77</f>
        <v>#DIV/0!</v>
      </c>
      <c r="F95" s="13" t="e">
        <f t="shared" ca="1" si="911"/>
        <v>#DIV/0!</v>
      </c>
      <c r="G95" s="13" t="e">
        <f t="shared" ca="1" si="911"/>
        <v>#DIV/0!</v>
      </c>
      <c r="H95" s="13" t="e">
        <f t="shared" ca="1" si="911"/>
        <v>#DIV/0!</v>
      </c>
      <c r="I95" s="13" t="e">
        <f t="shared" ca="1" si="911"/>
        <v>#DIV/0!</v>
      </c>
      <c r="J95" s="13" t="e">
        <f t="shared" ca="1" si="911"/>
        <v>#DIV/0!</v>
      </c>
      <c r="K95" s="13" t="e">
        <f t="shared" ca="1" si="911"/>
        <v>#DIV/0!</v>
      </c>
      <c r="L95" s="13" t="e">
        <f t="shared" ca="1" si="911"/>
        <v>#DIV/0!</v>
      </c>
      <c r="M95" s="13">
        <f t="shared" ca="1" si="911"/>
        <v>0</v>
      </c>
      <c r="N95" s="13">
        <f t="shared" ca="1" si="911"/>
        <v>0</v>
      </c>
      <c r="O95" s="13">
        <f t="shared" ca="1" si="911"/>
        <v>0</v>
      </c>
      <c r="P95" s="13">
        <f t="shared" ca="1" si="911"/>
        <v>0</v>
      </c>
      <c r="Q95" s="13">
        <f t="shared" ca="1" si="911"/>
        <v>0</v>
      </c>
      <c r="R95" s="13">
        <f t="shared" ca="1" si="911"/>
        <v>25.704981185225659</v>
      </c>
      <c r="S95" s="13">
        <f t="shared" ca="1" si="911"/>
        <v>31.242437802040417</v>
      </c>
      <c r="T95" s="13">
        <f t="shared" ca="1" si="911"/>
        <v>37.308860543492102</v>
      </c>
      <c r="U95" s="13">
        <f t="shared" ca="1" si="911"/>
        <v>12.604324832530262</v>
      </c>
      <c r="V95" s="13">
        <f t="shared" ca="1" si="911"/>
        <v>3.4929597999145963</v>
      </c>
      <c r="W95" s="13">
        <f t="shared" ca="1" si="911"/>
        <v>23.524496084686788</v>
      </c>
      <c r="X95" s="13">
        <f t="shared" ca="1" si="911"/>
        <v>19.594636529310513</v>
      </c>
      <c r="Y95" s="13">
        <f t="shared" ca="1" si="911"/>
        <v>94.032421364060909</v>
      </c>
      <c r="Z95" s="13">
        <f t="shared" ref="Z95:AA95" ca="1" si="912">+Z87/Z77</f>
        <v>58.283370311453396</v>
      </c>
      <c r="AA95" s="13">
        <f t="shared" ref="AA95" ca="1" si="913">+AA87/AA77</f>
        <v>58.283370311453396</v>
      </c>
      <c r="AB95" s="60">
        <f t="shared" ca="1" si="911"/>
        <v>55.44028999369673</v>
      </c>
      <c r="AC95" s="60">
        <f t="shared" ca="1" si="911"/>
        <v>49.143311832585269</v>
      </c>
      <c r="AD95" s="60">
        <f t="shared" ca="1" si="911"/>
        <v>48.733896217645608</v>
      </c>
      <c r="AE95" s="60">
        <f t="shared" ca="1" si="911"/>
        <v>41.23399472667009</v>
      </c>
      <c r="AL95" s="13" t="e">
        <f t="shared" ref="AL95:BQ95" si="914">+AL87/AL77</f>
        <v>#DIV/0!</v>
      </c>
      <c r="AM95" s="13" t="e">
        <f t="shared" si="914"/>
        <v>#DIV/0!</v>
      </c>
      <c r="AN95" s="13" t="e">
        <f t="shared" si="914"/>
        <v>#DIV/0!</v>
      </c>
      <c r="AO95" s="13" t="e">
        <f t="shared" si="914"/>
        <v>#DIV/0!</v>
      </c>
      <c r="AP95" s="13" t="e">
        <f t="shared" si="914"/>
        <v>#DIV/0!</v>
      </c>
      <c r="AQ95" s="13" t="e">
        <f t="shared" si="914"/>
        <v>#DIV/0!</v>
      </c>
      <c r="AR95" s="13" t="e">
        <f t="shared" si="914"/>
        <v>#DIV/0!</v>
      </c>
      <c r="AS95" s="13" t="e">
        <f t="shared" si="914"/>
        <v>#DIV/0!</v>
      </c>
      <c r="AT95" s="13" t="e">
        <f t="shared" si="914"/>
        <v>#DIV/0!</v>
      </c>
      <c r="AU95" s="13" t="e">
        <f t="shared" si="914"/>
        <v>#DIV/0!</v>
      </c>
      <c r="AV95" s="13" t="e">
        <f t="shared" si="914"/>
        <v>#DIV/0!</v>
      </c>
      <c r="AW95" s="13">
        <f t="shared" si="914"/>
        <v>0</v>
      </c>
      <c r="AX95" s="13">
        <f t="shared" si="914"/>
        <v>0</v>
      </c>
      <c r="AY95" s="13">
        <f t="shared" si="914"/>
        <v>0</v>
      </c>
      <c r="AZ95" s="13">
        <f t="shared" si="914"/>
        <v>0</v>
      </c>
      <c r="BA95" s="13">
        <f t="shared" si="914"/>
        <v>0</v>
      </c>
      <c r="BB95" s="13">
        <f t="shared" si="914"/>
        <v>26.284171414156269</v>
      </c>
      <c r="BC95" s="13">
        <f t="shared" si="914"/>
        <v>26.653450461338913</v>
      </c>
      <c r="BD95" s="13">
        <f t="shared" si="914"/>
        <v>26.311056212379668</v>
      </c>
      <c r="BE95" s="13">
        <f t="shared" si="914"/>
        <v>27.788716774216851</v>
      </c>
      <c r="BF95" s="13">
        <f t="shared" si="914"/>
        <v>31.239544179941539</v>
      </c>
      <c r="BG95" s="13">
        <f t="shared" si="914"/>
        <v>32.645222802778392</v>
      </c>
      <c r="BH95" s="13">
        <f t="shared" si="914"/>
        <v>39.834422186341143</v>
      </c>
      <c r="BI95" s="13">
        <f t="shared" si="914"/>
        <v>37.275061934876938</v>
      </c>
      <c r="BJ95" s="13">
        <f t="shared" si="914"/>
        <v>37.305405059511138</v>
      </c>
      <c r="BK95" s="13">
        <f t="shared" si="914"/>
        <v>37.666585054059325</v>
      </c>
      <c r="BL95" s="13">
        <f t="shared" si="914"/>
        <v>24.254089833089576</v>
      </c>
      <c r="BM95" s="13">
        <f t="shared" si="914"/>
        <v>17.412440852049116</v>
      </c>
      <c r="BN95" s="13">
        <f t="shared" si="914"/>
        <v>13.089520899439805</v>
      </c>
      <c r="BO95" s="13">
        <f t="shared" si="914"/>
        <v>8.339087753368128</v>
      </c>
      <c r="BP95" s="13">
        <f t="shared" si="914"/>
        <v>9.3279809928555899</v>
      </c>
      <c r="BQ95" s="13">
        <f t="shared" si="914"/>
        <v>16.998908475001571</v>
      </c>
      <c r="BR95" s="13">
        <f t="shared" ref="BR95:CH95" si="915">+BR87/BR77</f>
        <v>18.2891427235202</v>
      </c>
      <c r="BS95" s="13">
        <f t="shared" si="915"/>
        <v>18.482123833306431</v>
      </c>
      <c r="BT95" s="13">
        <f t="shared" si="915"/>
        <v>31.287848778657601</v>
      </c>
      <c r="BU95" s="13">
        <f t="shared" si="915"/>
        <v>26.872218865391069</v>
      </c>
      <c r="BV95" s="13">
        <f t="shared" si="915"/>
        <v>28.258091647331788</v>
      </c>
      <c r="BW95" s="13">
        <f t="shared" si="915"/>
        <v>28.16930774650411</v>
      </c>
      <c r="BX95" s="13">
        <f t="shared" si="915"/>
        <v>28.50001266814078</v>
      </c>
      <c r="BY95" s="13">
        <f t="shared" si="915"/>
        <v>21.691885618386497</v>
      </c>
      <c r="BZ95" s="13">
        <f t="shared" si="915"/>
        <v>19.594061586361384</v>
      </c>
      <c r="CA95" s="13">
        <f t="shared" si="915"/>
        <v>26.780277817201235</v>
      </c>
      <c r="CB95" s="13">
        <f t="shared" si="915"/>
        <v>48.15816703822518</v>
      </c>
      <c r="CC95" s="13">
        <f t="shared" si="915"/>
        <v>100.48001277139196</v>
      </c>
      <c r="CD95" s="13">
        <f t="shared" si="915"/>
        <v>120.60184366241029</v>
      </c>
      <c r="CE95" s="13">
        <f t="shared" si="915"/>
        <v>140.89577626340963</v>
      </c>
      <c r="CF95" s="13">
        <f t="shared" si="915"/>
        <v>160.70475972540018</v>
      </c>
      <c r="CG95" s="13">
        <f t="shared" si="915"/>
        <v>113.93860980725043</v>
      </c>
      <c r="CH95" s="13">
        <f t="shared" si="915"/>
        <v>75.971517079705251</v>
      </c>
      <c r="CI95" s="13">
        <f t="shared" ref="CI95:CJ95" si="916">+CI87/CI77</f>
        <v>54.852031130239951</v>
      </c>
      <c r="CJ95" s="13">
        <f t="shared" si="916"/>
        <v>56.982221182525301</v>
      </c>
      <c r="CK95" s="13">
        <f t="shared" ref="CK95:CL95" si="917">+CK87/CK77</f>
        <v>53.666559405306053</v>
      </c>
      <c r="CL95" s="13">
        <f t="shared" si="917"/>
        <v>55.474701826561443</v>
      </c>
      <c r="CM95" s="60">
        <f t="shared" si="894"/>
        <v>55.474701826561443</v>
      </c>
      <c r="CN95" s="60">
        <f t="shared" si="895"/>
        <v>55.474701826561443</v>
      </c>
      <c r="CO95" s="60">
        <f t="shared" si="896"/>
        <v>55.474701826561443</v>
      </c>
      <c r="CP95" s="60">
        <f t="shared" si="897"/>
        <v>55.474701826561443</v>
      </c>
      <c r="CQ95" s="60">
        <f t="shared" si="898"/>
        <v>55.474701826561443</v>
      </c>
      <c r="CR95" s="60">
        <f t="shared" si="899"/>
        <v>55.474701826561443</v>
      </c>
      <c r="CS95" s="60">
        <f t="shared" si="900"/>
        <v>55.474701826561443</v>
      </c>
      <c r="CT95" s="60">
        <f t="shared" si="901"/>
        <v>55.474701826561443</v>
      </c>
      <c r="CU95" s="60">
        <f t="shared" si="902"/>
        <v>55.474701826561443</v>
      </c>
      <c r="CV95" s="60">
        <f t="shared" si="903"/>
        <v>55.474701826561443</v>
      </c>
      <c r="CW95" s="60">
        <f t="shared" si="904"/>
        <v>55.474701826561443</v>
      </c>
      <c r="CX95" s="60">
        <f t="shared" si="905"/>
        <v>55.474701826561443</v>
      </c>
      <c r="CY95" s="60">
        <f t="shared" si="906"/>
        <v>55.474701826561443</v>
      </c>
      <c r="CZ95" s="60">
        <f t="shared" si="907"/>
        <v>55.474701826561443</v>
      </c>
      <c r="DA95" s="60">
        <f t="shared" si="908"/>
        <v>55.474701826561443</v>
      </c>
      <c r="DB95" s="60">
        <f t="shared" si="909"/>
        <v>55.474701826561443</v>
      </c>
      <c r="DE95" s="136"/>
      <c r="DF95" s="13">
        <v>31.405556149371662</v>
      </c>
    </row>
    <row r="96" spans="1:110" s="13" customFormat="1" x14ac:dyDescent="0.2">
      <c r="AB96" s="60"/>
      <c r="AC96" s="60"/>
      <c r="AD96" s="60"/>
      <c r="AE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E96" s="136"/>
    </row>
    <row r="97" spans="1:110" s="13" customFormat="1" x14ac:dyDescent="0.2">
      <c r="A97" s="13" t="s">
        <v>463</v>
      </c>
      <c r="B97" s="13" t="e">
        <f t="shared" ref="B97:AD97" si="918">+B86/C77</f>
        <v>#DIV/0!</v>
      </c>
      <c r="C97" s="13" t="e">
        <f t="shared" si="918"/>
        <v>#DIV/0!</v>
      </c>
      <c r="D97" s="13" t="e">
        <f t="shared" ca="1" si="918"/>
        <v>#DIV/0!</v>
      </c>
      <c r="E97" s="13" t="e">
        <f t="shared" ca="1" si="918"/>
        <v>#DIV/0!</v>
      </c>
      <c r="F97" s="13" t="e">
        <f t="shared" ca="1" si="918"/>
        <v>#DIV/0!</v>
      </c>
      <c r="G97" s="13" t="e">
        <f t="shared" ca="1" si="918"/>
        <v>#DIV/0!</v>
      </c>
      <c r="H97" s="13" t="e">
        <f t="shared" ca="1" si="918"/>
        <v>#DIV/0!</v>
      </c>
      <c r="I97" s="13" t="e">
        <f t="shared" ca="1" si="918"/>
        <v>#DIV/0!</v>
      </c>
      <c r="J97" s="13" t="e">
        <f t="shared" ca="1" si="918"/>
        <v>#DIV/0!</v>
      </c>
      <c r="K97" s="13" t="e">
        <f t="shared" ca="1" si="918"/>
        <v>#DIV/0!</v>
      </c>
      <c r="L97" s="13">
        <f t="shared" ca="1" si="918"/>
        <v>0</v>
      </c>
      <c r="M97" s="13">
        <f t="shared" ca="1" si="918"/>
        <v>0</v>
      </c>
      <c r="N97" s="13">
        <f t="shared" ca="1" si="918"/>
        <v>0</v>
      </c>
      <c r="O97" s="13">
        <f t="shared" ca="1" si="918"/>
        <v>0</v>
      </c>
      <c r="P97" s="13">
        <f t="shared" ca="1" si="918"/>
        <v>0</v>
      </c>
      <c r="Q97" s="13">
        <f t="shared" ca="1" si="918"/>
        <v>0</v>
      </c>
      <c r="R97" s="13">
        <f t="shared" ca="1" si="918"/>
        <v>37.684177555038445</v>
      </c>
      <c r="S97" s="13">
        <f t="shared" ca="1" si="918"/>
        <v>73.00560982893208</v>
      </c>
      <c r="T97" s="13">
        <f t="shared" ca="1" si="918"/>
        <v>21.994123868844753</v>
      </c>
      <c r="U97" s="13">
        <f t="shared" ca="1" si="918"/>
        <v>5.0495333374001081</v>
      </c>
      <c r="V97" s="13">
        <f t="shared" ca="1" si="918"/>
        <v>25.168470852668225</v>
      </c>
      <c r="W97" s="13">
        <f t="shared" ca="1" si="918"/>
        <v>49.434097840943586</v>
      </c>
      <c r="X97" s="13">
        <f t="shared" ca="1" si="918"/>
        <v>210.49274369355311</v>
      </c>
      <c r="Y97" s="13">
        <f t="shared" ca="1" si="918"/>
        <v>66.969001172136572</v>
      </c>
      <c r="Z97" s="13">
        <f t="shared" ref="Z97:AA97" ca="1" si="919">+Z86/AA77</f>
        <v>39.253148944070084</v>
      </c>
      <c r="AA97" s="13">
        <f t="shared" ca="1" si="919"/>
        <v>39.253148944070084</v>
      </c>
      <c r="AB97" s="37">
        <f t="shared" ca="1" si="918"/>
        <v>60.013900581921582</v>
      </c>
      <c r="AC97" s="37">
        <f t="shared" ca="1" si="918"/>
        <v>58.299528733714276</v>
      </c>
      <c r="AD97" s="37">
        <f t="shared" ca="1" si="918"/>
        <v>49.468786256453981</v>
      </c>
      <c r="AE97" s="37"/>
      <c r="AL97" s="13" t="e">
        <f t="shared" ref="AL97:BQ97" si="920">+AL86/AP77</f>
        <v>#DIV/0!</v>
      </c>
      <c r="AM97" s="13" t="e">
        <f t="shared" si="920"/>
        <v>#DIV/0!</v>
      </c>
      <c r="AN97" s="13" t="e">
        <f t="shared" si="920"/>
        <v>#DIV/0!</v>
      </c>
      <c r="AO97" s="13" t="e">
        <f t="shared" si="920"/>
        <v>#DIV/0!</v>
      </c>
      <c r="AP97" s="13" t="e">
        <f t="shared" si="920"/>
        <v>#DIV/0!</v>
      </c>
      <c r="AQ97" s="13" t="e">
        <f t="shared" si="920"/>
        <v>#DIV/0!</v>
      </c>
      <c r="AR97" s="13" t="e">
        <f t="shared" si="920"/>
        <v>#DIV/0!</v>
      </c>
      <c r="AS97" s="13">
        <f t="shared" si="920"/>
        <v>0</v>
      </c>
      <c r="AT97" s="13">
        <f t="shared" si="920"/>
        <v>0</v>
      </c>
      <c r="AU97" s="13">
        <f t="shared" si="920"/>
        <v>0</v>
      </c>
      <c r="AV97" s="13">
        <f t="shared" si="920"/>
        <v>0</v>
      </c>
      <c r="AW97" s="13">
        <f t="shared" si="920"/>
        <v>0</v>
      </c>
      <c r="AX97" s="13">
        <f t="shared" si="920"/>
        <v>0</v>
      </c>
      <c r="AY97" s="13">
        <f t="shared" si="920"/>
        <v>0</v>
      </c>
      <c r="AZ97" s="13">
        <f t="shared" si="920"/>
        <v>0</v>
      </c>
      <c r="BA97" s="13">
        <f t="shared" si="920"/>
        <v>27.766441249748542</v>
      </c>
      <c r="BB97" s="13">
        <f t="shared" si="920"/>
        <v>37.680687309826396</v>
      </c>
      <c r="BC97" s="13">
        <f t="shared" si="920"/>
        <v>47.119114984545249</v>
      </c>
      <c r="BD97" s="13">
        <f t="shared" si="920"/>
        <v>60.340673184407109</v>
      </c>
      <c r="BE97" s="13">
        <f t="shared" si="920"/>
        <v>65.369602257879095</v>
      </c>
      <c r="BF97" s="13">
        <f t="shared" si="920"/>
        <v>65.169318715071938</v>
      </c>
      <c r="BG97" s="13">
        <f t="shared" si="920"/>
        <v>60.818581673997357</v>
      </c>
      <c r="BH97" s="13">
        <f t="shared" si="920"/>
        <v>40.93895028873844</v>
      </c>
      <c r="BI97" s="13">
        <f t="shared" si="920"/>
        <v>24.940440469678517</v>
      </c>
      <c r="BJ97" s="13">
        <f t="shared" si="920"/>
        <v>17.424499549496606</v>
      </c>
      <c r="BK97" s="13">
        <f t="shared" si="920"/>
        <v>10.718689161305983</v>
      </c>
      <c r="BL97" s="13">
        <f t="shared" si="920"/>
        <v>6.7774176384961615</v>
      </c>
      <c r="BM97" s="13">
        <f t="shared" si="920"/>
        <v>5.6644968320682523</v>
      </c>
      <c r="BN97" s="13">
        <f t="shared" si="920"/>
        <v>5.0490656581061018</v>
      </c>
      <c r="BO97" s="13">
        <f t="shared" si="920"/>
        <v>6.020272505435865</v>
      </c>
      <c r="BP97" s="13">
        <f t="shared" si="920"/>
        <v>16.519856242965183</v>
      </c>
      <c r="BQ97" s="13">
        <f t="shared" si="920"/>
        <v>22.085472753720488</v>
      </c>
      <c r="BR97" s="13">
        <f t="shared" ref="BR97:CL97" si="921">+BR86/BV77</f>
        <v>25.166139791183298</v>
      </c>
      <c r="BS97" s="13">
        <f t="shared" si="921"/>
        <v>44.97742443964129</v>
      </c>
      <c r="BT97" s="13">
        <f t="shared" si="921"/>
        <v>44.980225032246182</v>
      </c>
      <c r="BU97" s="13">
        <f t="shared" si="921"/>
        <v>39.001275023702362</v>
      </c>
      <c r="BV97" s="13">
        <f t="shared" si="921"/>
        <v>41.903827315183946</v>
      </c>
      <c r="BW97" s="13">
        <f t="shared" si="921"/>
        <v>59.947984672154384</v>
      </c>
      <c r="BX97" s="13">
        <f t="shared" si="921"/>
        <v>88.861100538306715</v>
      </c>
      <c r="BY97" s="13">
        <f t="shared" si="921"/>
        <v>153.16164325244765</v>
      </c>
      <c r="BZ97" s="13">
        <f t="shared" si="921"/>
        <v>129.76381812519446</v>
      </c>
      <c r="CA97" s="13">
        <f t="shared" si="921"/>
        <v>136.57985291140909</v>
      </c>
      <c r="CB97" s="13">
        <f t="shared" si="921"/>
        <v>172.04838291380594</v>
      </c>
      <c r="CC97" s="13">
        <f t="shared" si="921"/>
        <v>118.33226805153286</v>
      </c>
      <c r="CD97" s="13">
        <f t="shared" si="921"/>
        <v>66.962798615762409</v>
      </c>
      <c r="CE97" s="13">
        <f t="shared" si="921"/>
        <v>49.956138592457194</v>
      </c>
      <c r="CF97" s="13">
        <f t="shared" si="921"/>
        <v>40.874089128019186</v>
      </c>
      <c r="CG97" s="13">
        <f t="shared" si="921"/>
        <v>38.70086094519089</v>
      </c>
      <c r="CH97" s="13">
        <f t="shared" si="921"/>
        <v>39.251684518985421</v>
      </c>
      <c r="CI97" s="13">
        <f t="shared" si="921"/>
        <v>42.188653573614786</v>
      </c>
      <c r="CJ97" s="13">
        <f t="shared" si="921"/>
        <v>53.357897757599751</v>
      </c>
      <c r="CK97" s="13">
        <f t="shared" si="921"/>
        <v>63.27670419279368</v>
      </c>
      <c r="CL97" s="13">
        <f t="shared" si="921"/>
        <v>66.17578371321072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  <c r="DF97" s="13">
        <v>66.175783713210606</v>
      </c>
    </row>
    <row r="98" spans="1:110" s="98" customFormat="1" x14ac:dyDescent="0.2">
      <c r="A98" s="98" t="s">
        <v>426</v>
      </c>
      <c r="AB98" s="99"/>
      <c r="AC98" s="99"/>
      <c r="AD98" s="99"/>
      <c r="AE98" s="99"/>
      <c r="AL98" s="175"/>
      <c r="AM98" s="175"/>
      <c r="AN98" s="175"/>
      <c r="AO98" s="175" t="e">
        <f t="shared" ref="AO98:CI98" si="922">+CORREL(AL77:AO77,AL94:AO94)</f>
        <v>#DIV/0!</v>
      </c>
      <c r="AP98" s="175" t="e">
        <f t="shared" si="922"/>
        <v>#DIV/0!</v>
      </c>
      <c r="AQ98" s="175" t="e">
        <f t="shared" si="922"/>
        <v>#DIV/0!</v>
      </c>
      <c r="AR98" s="175" t="e">
        <f t="shared" si="922"/>
        <v>#DIV/0!</v>
      </c>
      <c r="AS98" s="175" t="e">
        <f t="shared" si="922"/>
        <v>#DIV/0!</v>
      </c>
      <c r="AT98" s="175" t="e">
        <f t="shared" si="922"/>
        <v>#DIV/0!</v>
      </c>
      <c r="AU98" s="175" t="e">
        <f t="shared" si="922"/>
        <v>#DIV/0!</v>
      </c>
      <c r="AV98" s="175" t="e">
        <f t="shared" si="922"/>
        <v>#DIV/0!</v>
      </c>
      <c r="AW98" s="175" t="e">
        <f t="shared" si="922"/>
        <v>#DIV/0!</v>
      </c>
      <c r="AX98" s="175" t="e">
        <f t="shared" si="922"/>
        <v>#DIV/0!</v>
      </c>
      <c r="AY98" s="175" t="e">
        <f t="shared" si="922"/>
        <v>#DIV/0!</v>
      </c>
      <c r="AZ98" s="175" t="e">
        <f t="shared" si="922"/>
        <v>#DIV/0!</v>
      </c>
      <c r="BA98" s="175">
        <f t="shared" si="922"/>
        <v>0.59623705184601217</v>
      </c>
      <c r="BB98" s="175">
        <f t="shared" si="922"/>
        <v>0.73067962554269206</v>
      </c>
      <c r="BC98" s="175">
        <f t="shared" si="922"/>
        <v>0.68372599837122638</v>
      </c>
      <c r="BD98" s="175">
        <f t="shared" si="922"/>
        <v>0.94375171645793621</v>
      </c>
      <c r="BE98" s="175">
        <f t="shared" si="922"/>
        <v>0.58006793348031627</v>
      </c>
      <c r="BF98" s="175">
        <f t="shared" si="922"/>
        <v>-0.82063397733035159</v>
      </c>
      <c r="BG98" s="175">
        <f t="shared" si="922"/>
        <v>-0.95191490579834503</v>
      </c>
      <c r="BH98" s="175">
        <f t="shared" si="922"/>
        <v>-0.97580593723015496</v>
      </c>
      <c r="BI98" s="175">
        <f t="shared" si="922"/>
        <v>-0.97559945926993585</v>
      </c>
      <c r="BJ98" s="175">
        <f t="shared" si="922"/>
        <v>-0.92331302455051034</v>
      </c>
      <c r="BK98" s="175">
        <f t="shared" si="922"/>
        <v>0.1511523750997236</v>
      </c>
      <c r="BL98" s="175">
        <f t="shared" si="922"/>
        <v>-0.98990689692381917</v>
      </c>
      <c r="BM98" s="175">
        <f t="shared" si="922"/>
        <v>-0.95402676187115298</v>
      </c>
      <c r="BN98" s="175">
        <f t="shared" si="922"/>
        <v>-0.91233410660317182</v>
      </c>
      <c r="BO98" s="175">
        <f t="shared" si="922"/>
        <v>-0.93619216725311682</v>
      </c>
      <c r="BP98" s="175">
        <f t="shared" si="922"/>
        <v>0.33883473475916731</v>
      </c>
      <c r="BQ98" s="175">
        <f t="shared" si="922"/>
        <v>0.66679015060263347</v>
      </c>
      <c r="BR98" s="175">
        <f t="shared" si="922"/>
        <v>0.33142561045803554</v>
      </c>
      <c r="BS98" s="175">
        <f t="shared" si="922"/>
        <v>0.22450970135511231</v>
      </c>
      <c r="BT98" s="175">
        <f t="shared" si="922"/>
        <v>0.57161757793974732</v>
      </c>
      <c r="BU98" s="175">
        <f t="shared" si="922"/>
        <v>-0.16271436385226751</v>
      </c>
      <c r="BV98" s="175">
        <f t="shared" si="922"/>
        <v>-0.8717443514313129</v>
      </c>
      <c r="BW98" s="175">
        <f t="shared" si="922"/>
        <v>-0.940777639410041</v>
      </c>
      <c r="BX98" s="175">
        <f t="shared" si="922"/>
        <v>-0.28784308637950912</v>
      </c>
      <c r="BY98" s="175">
        <f t="shared" si="922"/>
        <v>-0.98128322683789015</v>
      </c>
      <c r="BZ98" s="175">
        <f t="shared" si="922"/>
        <v>0.26361363320479114</v>
      </c>
      <c r="CA98" s="175">
        <f t="shared" si="922"/>
        <v>-0.21423138460851363</v>
      </c>
      <c r="CB98" s="175">
        <f t="shared" si="922"/>
        <v>-0.86565460045005294</v>
      </c>
      <c r="CC98" s="175">
        <f t="shared" si="922"/>
        <v>-0.91329874540729483</v>
      </c>
      <c r="CD98" s="175">
        <f t="shared" si="922"/>
        <v>-0.96360248412268645</v>
      </c>
      <c r="CE98" s="175">
        <f t="shared" si="922"/>
        <v>-0.97071983349382329</v>
      </c>
      <c r="CF98" s="175">
        <f t="shared" si="922"/>
        <v>-0.96378774083144647</v>
      </c>
      <c r="CG98" s="175">
        <f t="shared" si="922"/>
        <v>-0.64363719843550515</v>
      </c>
      <c r="CH98" s="175">
        <f t="shared" si="922"/>
        <v>-0.95601294907453793</v>
      </c>
      <c r="CI98" s="175">
        <f t="shared" si="922"/>
        <v>-0.95991263010357708</v>
      </c>
      <c r="CJ98" s="175">
        <f>+CORREL(CG77:CJ77,CG94:CJ94)</f>
        <v>-0.88428263756724446</v>
      </c>
      <c r="CK98" s="175">
        <f>+CORREL(CH77:CK77,CH94:CK94)</f>
        <v>-0.87105646615363697</v>
      </c>
      <c r="CL98" s="175">
        <f>+CORREL(CI77:CL77,CI94:CL94)</f>
        <v>-0.98006848316088746</v>
      </c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E98" s="137"/>
    </row>
    <row r="99" spans="1:110" s="4" customFormat="1" x14ac:dyDescent="0.2">
      <c r="A99" s="3"/>
      <c r="AB99" s="17"/>
      <c r="AC99" s="17"/>
      <c r="AD99" s="17"/>
      <c r="AE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E99" s="119"/>
    </row>
    <row r="100" spans="1:110" s="162" customFormat="1" x14ac:dyDescent="0.2">
      <c r="A100" s="49" t="s">
        <v>505</v>
      </c>
      <c r="E100" s="162">
        <f t="shared" ref="E100:AE100" ca="1" si="923">+E$128/E$73</f>
        <v>0</v>
      </c>
      <c r="F100" s="162">
        <f t="shared" ca="1" si="923"/>
        <v>0</v>
      </c>
      <c r="G100" s="162">
        <f t="shared" ca="1" si="923"/>
        <v>0</v>
      </c>
      <c r="H100" s="162">
        <f t="shared" ca="1" si="923"/>
        <v>0</v>
      </c>
      <c r="I100" s="162">
        <f t="shared" ca="1" si="923"/>
        <v>0</v>
      </c>
      <c r="J100" s="162">
        <f t="shared" ca="1" si="923"/>
        <v>0</v>
      </c>
      <c r="K100" s="162">
        <f t="shared" ca="1" si="923"/>
        <v>0</v>
      </c>
      <c r="L100" s="162">
        <f t="shared" ca="1" si="923"/>
        <v>0</v>
      </c>
      <c r="M100" s="162">
        <f t="shared" ca="1" si="923"/>
        <v>3.1339446142446974</v>
      </c>
      <c r="N100" s="162">
        <f t="shared" ca="1" si="923"/>
        <v>4.8031675465407053</v>
      </c>
      <c r="O100" s="162">
        <f t="shared" ca="1" si="923"/>
        <v>6.6391960729832356</v>
      </c>
      <c r="P100" s="162">
        <f t="shared" ca="1" si="923"/>
        <v>13.375937760489023</v>
      </c>
      <c r="Q100" s="162">
        <f t="shared" ca="1" si="923"/>
        <v>15.871038251366121</v>
      </c>
      <c r="R100" s="162">
        <f t="shared" ca="1" si="923"/>
        <v>24.644771695841435</v>
      </c>
      <c r="S100" s="162">
        <f t="shared" ca="1" si="923"/>
        <v>27.463906640733537</v>
      </c>
      <c r="T100" s="162">
        <f t="shared" ca="1" si="923"/>
        <v>28.8674076132259</v>
      </c>
      <c r="U100" s="162">
        <f t="shared" ca="1" si="923"/>
        <v>32.782624803186067</v>
      </c>
      <c r="V100" s="162">
        <f t="shared" ca="1" si="923"/>
        <v>48.116143373159204</v>
      </c>
      <c r="W100" s="162">
        <f t="shared" ca="1" si="923"/>
        <v>62.076317495600634</v>
      </c>
      <c r="X100" s="162">
        <f t="shared" ca="1" si="923"/>
        <v>74.789849032138548</v>
      </c>
      <c r="Y100" s="162">
        <f t="shared" ca="1" si="923"/>
        <v>76.149856441604143</v>
      </c>
      <c r="Z100" s="162">
        <f t="shared" ca="1" si="923"/>
        <v>82.848198573677863</v>
      </c>
      <c r="AA100" s="162">
        <f t="shared" ca="1" si="923"/>
        <v>82.848198573677863</v>
      </c>
      <c r="AB100" s="21">
        <f t="shared" ca="1" si="923"/>
        <v>115.41697613065691</v>
      </c>
      <c r="AC100" s="21">
        <f t="shared" ca="1" si="923"/>
        <v>135.8450186390985</v>
      </c>
      <c r="AD100" s="21">
        <f t="shared" ca="1" si="923"/>
        <v>160.12604454897675</v>
      </c>
      <c r="AE100" s="21">
        <f t="shared" ca="1" si="923"/>
        <v>194.13874397335735</v>
      </c>
      <c r="AL100" s="162">
        <f t="shared" ref="AL100:BQ100" si="924">+AL$128/AL$73</f>
        <v>0</v>
      </c>
      <c r="AM100" s="162">
        <f t="shared" si="924"/>
        <v>0</v>
      </c>
      <c r="AN100" s="162">
        <f t="shared" si="924"/>
        <v>0</v>
      </c>
      <c r="AO100" s="162">
        <f t="shared" si="924"/>
        <v>0</v>
      </c>
      <c r="AP100" s="162">
        <f t="shared" si="924"/>
        <v>0</v>
      </c>
      <c r="AQ100" s="162">
        <f t="shared" si="924"/>
        <v>0</v>
      </c>
      <c r="AR100" s="162">
        <f t="shared" si="924"/>
        <v>0</v>
      </c>
      <c r="AS100" s="162">
        <f t="shared" si="924"/>
        <v>0</v>
      </c>
      <c r="AT100" s="162">
        <f t="shared" si="924"/>
        <v>0</v>
      </c>
      <c r="AU100" s="162">
        <f t="shared" si="924"/>
        <v>0</v>
      </c>
      <c r="AV100" s="162">
        <f t="shared" si="924"/>
        <v>0</v>
      </c>
      <c r="AW100" s="162">
        <f t="shared" si="924"/>
        <v>0.74529455353834817</v>
      </c>
      <c r="AX100" s="162">
        <f t="shared" si="924"/>
        <v>15.872508336420898</v>
      </c>
      <c r="AY100" s="162">
        <f t="shared" si="924"/>
        <v>16.347554649870325</v>
      </c>
      <c r="AZ100" s="162">
        <f t="shared" si="924"/>
        <v>0</v>
      </c>
      <c r="BA100" s="162">
        <f t="shared" si="924"/>
        <v>0.83399407187847407</v>
      </c>
      <c r="BB100" s="162">
        <f t="shared" si="924"/>
        <v>24.647054464616527</v>
      </c>
      <c r="BC100" s="162">
        <f t="shared" si="924"/>
        <v>25.367784364579478</v>
      </c>
      <c r="BD100" s="162">
        <f t="shared" si="924"/>
        <v>25.959466469062615</v>
      </c>
      <c r="BE100" s="162">
        <f t="shared" si="924"/>
        <v>26.605446461652463</v>
      </c>
      <c r="BF100" s="162">
        <f t="shared" si="924"/>
        <v>27.466450537236014</v>
      </c>
      <c r="BG100" s="162">
        <f t="shared" si="924"/>
        <v>27.773193775472397</v>
      </c>
      <c r="BH100" s="162">
        <f t="shared" si="924"/>
        <v>27.651185624305299</v>
      </c>
      <c r="BI100" s="162">
        <f t="shared" si="924"/>
        <v>27.981252315672471</v>
      </c>
      <c r="BJ100" s="162">
        <f t="shared" si="924"/>
        <v>28.870081511670989</v>
      </c>
      <c r="BK100" s="162">
        <f t="shared" si="924"/>
        <v>29.149814746202299</v>
      </c>
      <c r="BL100" s="162">
        <f t="shared" si="924"/>
        <v>29.93216005928122</v>
      </c>
      <c r="BM100" s="162">
        <f t="shared" si="924"/>
        <v>31.293219711004078</v>
      </c>
      <c r="BN100" s="162">
        <f t="shared" si="924"/>
        <v>32.785661356057801</v>
      </c>
      <c r="BO100" s="162">
        <f t="shared" si="924"/>
        <v>35.96795109299741</v>
      </c>
      <c r="BP100" s="162">
        <f t="shared" si="924"/>
        <v>40.528158577250835</v>
      </c>
      <c r="BQ100" s="162">
        <f t="shared" si="924"/>
        <v>45.582808447573179</v>
      </c>
      <c r="BR100" s="162">
        <f t="shared" ref="BR100:DB100" si="925">+BR$128/BR$73</f>
        <v>48.12060022230456</v>
      </c>
      <c r="BS100" s="162">
        <f t="shared" si="925"/>
        <v>52.592441645053725</v>
      </c>
      <c r="BT100" s="162">
        <f t="shared" si="925"/>
        <v>55.567988143756949</v>
      </c>
      <c r="BU100" s="162">
        <f t="shared" si="925"/>
        <v>58.415894775842908</v>
      </c>
      <c r="BV100" s="162">
        <f t="shared" si="925"/>
        <v>62.08206743238236</v>
      </c>
      <c r="BW100" s="162">
        <f t="shared" si="925"/>
        <v>66.737124861059641</v>
      </c>
      <c r="BX100" s="162">
        <f t="shared" si="925"/>
        <v>69.720081511670983</v>
      </c>
      <c r="BY100" s="162">
        <f t="shared" si="925"/>
        <v>73.481474620229719</v>
      </c>
      <c r="BZ100" s="162">
        <f t="shared" si="925"/>
        <v>74.796776583919979</v>
      </c>
      <c r="CA100" s="162">
        <f t="shared" si="925"/>
        <v>75.25713227121156</v>
      </c>
      <c r="CB100" s="162">
        <f t="shared" si="925"/>
        <v>74.653945905891078</v>
      </c>
      <c r="CC100" s="162">
        <f t="shared" si="925"/>
        <v>75.082623193775476</v>
      </c>
      <c r="CD100" s="162">
        <f t="shared" si="925"/>
        <v>76.156909966654311</v>
      </c>
      <c r="CE100" s="162">
        <f t="shared" si="925"/>
        <v>76.388662467580588</v>
      </c>
      <c r="CF100" s="162">
        <f t="shared" si="925"/>
        <v>76.582808447573186</v>
      </c>
      <c r="CG100" s="162">
        <f t="shared" si="925"/>
        <v>78.292701000370513</v>
      </c>
      <c r="CH100" s="162">
        <f t="shared" si="925"/>
        <v>82.855872545387172</v>
      </c>
      <c r="CI100" s="162">
        <f t="shared" si="925"/>
        <v>85.875879955539077</v>
      </c>
      <c r="CJ100" s="162">
        <f t="shared" si="925"/>
        <v>89.021674694331239</v>
      </c>
      <c r="CK100" s="162">
        <f t="shared" si="925"/>
        <v>93.675094933777899</v>
      </c>
      <c r="CL100" s="162">
        <f t="shared" si="925"/>
        <v>98.17653051773641</v>
      </c>
      <c r="CM100" s="21">
        <f t="shared" si="925"/>
        <v>101.96202747542362</v>
      </c>
      <c r="CN100" s="21">
        <f t="shared" si="925"/>
        <v>106.03602111154889</v>
      </c>
      <c r="CO100" s="21">
        <f t="shared" si="925"/>
        <v>110.68927808340959</v>
      </c>
      <c r="CP100" s="21">
        <f t="shared" si="925"/>
        <v>115.41697613065691</v>
      </c>
      <c r="CQ100" s="21">
        <f t="shared" si="925"/>
        <v>120.05859456036798</v>
      </c>
      <c r="CR100" s="21">
        <f t="shared" si="925"/>
        <v>124.89421299847938</v>
      </c>
      <c r="CS100" s="21">
        <f t="shared" si="925"/>
        <v>130.31192426147118</v>
      </c>
      <c r="CT100" s="21">
        <f t="shared" si="925"/>
        <v>135.8450186390985</v>
      </c>
      <c r="CU100" s="21">
        <f t="shared" si="925"/>
        <v>141.38920036424449</v>
      </c>
      <c r="CV100" s="21">
        <f t="shared" si="925"/>
        <v>147.46984381756332</v>
      </c>
      <c r="CW100" s="21">
        <f t="shared" si="925"/>
        <v>153.71425055217762</v>
      </c>
      <c r="CX100" s="21">
        <f t="shared" si="925"/>
        <v>160.12604454897675</v>
      </c>
      <c r="CY100" s="21">
        <f t="shared" si="925"/>
        <v>166.67062455449062</v>
      </c>
      <c r="CZ100" s="21">
        <f t="shared" si="925"/>
        <v>175.9056244886323</v>
      </c>
      <c r="DA100" s="21">
        <f t="shared" si="925"/>
        <v>185.07075046855365</v>
      </c>
      <c r="DB100" s="21">
        <f t="shared" si="925"/>
        <v>194.13874397335735</v>
      </c>
      <c r="DE100" s="22"/>
      <c r="DF100" s="162">
        <v>98.17653051773641</v>
      </c>
    </row>
    <row r="101" spans="1:110" s="162" customFormat="1" x14ac:dyDescent="0.2">
      <c r="A101" s="49" t="s">
        <v>501</v>
      </c>
      <c r="AB101" s="21"/>
      <c r="AC101" s="21"/>
      <c r="AD101" s="21"/>
      <c r="AE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E101" s="22"/>
    </row>
    <row r="102" spans="1:110" s="162" customFormat="1" x14ac:dyDescent="0.2">
      <c r="A102" s="49" t="s">
        <v>502</v>
      </c>
      <c r="E102" s="162" t="e">
        <f t="shared" ref="E102:AE104" ca="1" si="926">+E85/E$100</f>
        <v>#DIV/0!</v>
      </c>
      <c r="F102" s="162" t="e">
        <f t="shared" ca="1" si="926"/>
        <v>#DIV/0!</v>
      </c>
      <c r="G102" s="162" t="e">
        <f t="shared" ca="1" si="926"/>
        <v>#DIV/0!</v>
      </c>
      <c r="H102" s="162" t="e">
        <f t="shared" ca="1" si="926"/>
        <v>#DIV/0!</v>
      </c>
      <c r="I102" s="162" t="e">
        <f t="shared" ca="1" si="926"/>
        <v>#DIV/0!</v>
      </c>
      <c r="J102" s="162" t="e">
        <f t="shared" ca="1" si="926"/>
        <v>#DIV/0!</v>
      </c>
      <c r="K102" s="162" t="e">
        <f t="shared" ca="1" si="926"/>
        <v>#DIV/0!</v>
      </c>
      <c r="L102" s="162" t="e">
        <f t="shared" ca="1" si="926"/>
        <v>#DIV/0!</v>
      </c>
      <c r="M102" s="162">
        <f t="shared" ca="1" si="926"/>
        <v>0</v>
      </c>
      <c r="N102" s="162">
        <f t="shared" ca="1" si="926"/>
        <v>0</v>
      </c>
      <c r="O102" s="162">
        <f t="shared" ca="1" si="926"/>
        <v>0</v>
      </c>
      <c r="P102" s="162">
        <f t="shared" ca="1" si="926"/>
        <v>0</v>
      </c>
      <c r="Q102" s="162">
        <f t="shared" ca="1" si="926"/>
        <v>0</v>
      </c>
      <c r="R102" s="162">
        <f t="shared" ca="1" si="926"/>
        <v>4.1818200335526088</v>
      </c>
      <c r="S102" s="162">
        <f t="shared" ca="1" si="926"/>
        <v>3.6637176682928212</v>
      </c>
      <c r="T102" s="162">
        <f t="shared" ca="1" si="926"/>
        <v>2.769559396229611</v>
      </c>
      <c r="U102" s="162">
        <f t="shared" ca="1" si="926"/>
        <v>1.9681157438537211</v>
      </c>
      <c r="V102" s="162">
        <f t="shared" ca="1" si="926"/>
        <v>7.5245016457816032</v>
      </c>
      <c r="W102" s="162">
        <f t="shared" ca="1" si="926"/>
        <v>9.5052352298735663</v>
      </c>
      <c r="X102" s="162">
        <f t="shared" ca="1" si="926"/>
        <v>3.917643955586708</v>
      </c>
      <c r="Y102" s="162">
        <f t="shared" ca="1" si="926"/>
        <v>5.144461438353666</v>
      </c>
      <c r="Z102" s="162">
        <f t="shared" ca="1" si="926"/>
        <v>7.408730793997174</v>
      </c>
      <c r="AA102" s="162">
        <f t="shared" ref="AA102" ca="1" si="927">+AA85/AA$100</f>
        <v>7.408730793997174</v>
      </c>
      <c r="AB102" s="21">
        <f t="shared" ca="1" si="926"/>
        <v>8.5936231675068644</v>
      </c>
      <c r="AC102" s="21">
        <f t="shared" ca="1" si="926"/>
        <v>7.3013350797577852</v>
      </c>
      <c r="AD102" s="21">
        <f t="shared" ca="1" si="926"/>
        <v>6.1941828563474512</v>
      </c>
      <c r="AE102" s="21">
        <f t="shared" ca="1" si="926"/>
        <v>5.1089750541299299</v>
      </c>
      <c r="AL102" s="162" t="e">
        <f t="shared" ref="AL102:CI104" si="928">+AL85/AL$100</f>
        <v>#DIV/0!</v>
      </c>
      <c r="AM102" s="162" t="e">
        <f t="shared" si="928"/>
        <v>#DIV/0!</v>
      </c>
      <c r="AN102" s="162" t="e">
        <f t="shared" si="928"/>
        <v>#DIV/0!</v>
      </c>
      <c r="AO102" s="162" t="e">
        <f t="shared" si="928"/>
        <v>#DIV/0!</v>
      </c>
      <c r="AP102" s="162" t="e">
        <f t="shared" si="928"/>
        <v>#DIV/0!</v>
      </c>
      <c r="AQ102" s="162" t="e">
        <f t="shared" si="928"/>
        <v>#DIV/0!</v>
      </c>
      <c r="AR102" s="162" t="e">
        <f t="shared" si="928"/>
        <v>#DIV/0!</v>
      </c>
      <c r="AS102" s="162" t="e">
        <f t="shared" si="928"/>
        <v>#DIV/0!</v>
      </c>
      <c r="AT102" s="162" t="e">
        <f t="shared" si="928"/>
        <v>#DIV/0!</v>
      </c>
      <c r="AU102" s="162" t="e">
        <f t="shared" si="928"/>
        <v>#DIV/0!</v>
      </c>
      <c r="AV102" s="162" t="e">
        <f t="shared" si="928"/>
        <v>#DIV/0!</v>
      </c>
      <c r="AW102" s="162">
        <f t="shared" si="928"/>
        <v>0</v>
      </c>
      <c r="AX102" s="162">
        <f t="shared" si="928"/>
        <v>0</v>
      </c>
      <c r="AY102" s="162">
        <f t="shared" si="928"/>
        <v>0</v>
      </c>
      <c r="AZ102" s="162" t="e">
        <f t="shared" si="928"/>
        <v>#DIV/0!</v>
      </c>
      <c r="BA102" s="162">
        <f t="shared" si="928"/>
        <v>115.03678891134847</v>
      </c>
      <c r="BB102" s="162">
        <f t="shared" si="928"/>
        <v>4.1814327204069599</v>
      </c>
      <c r="BC102" s="162">
        <f t="shared" si="928"/>
        <v>4.8439389989286905</v>
      </c>
      <c r="BD102" s="162">
        <f t="shared" si="928"/>
        <v>3.8976147726526666</v>
      </c>
      <c r="BE102" s="162">
        <f t="shared" si="928"/>
        <v>4.0811192609190332</v>
      </c>
      <c r="BF102" s="162">
        <f t="shared" si="928"/>
        <v>3.6633783409177827</v>
      </c>
      <c r="BG102" s="162">
        <f t="shared" si="928"/>
        <v>3.3179475412504162</v>
      </c>
      <c r="BH102" s="162">
        <f t="shared" si="928"/>
        <v>3.1112589951434098</v>
      </c>
      <c r="BI102" s="162">
        <f t="shared" si="928"/>
        <v>2.7139600166310478</v>
      </c>
      <c r="BJ102" s="162">
        <f t="shared" si="928"/>
        <v>2.7693028842914593</v>
      </c>
      <c r="BK102" s="162">
        <f t="shared" si="928"/>
        <v>2.310477805310049</v>
      </c>
      <c r="BL102" s="162">
        <f t="shared" si="928"/>
        <v>2.4963116544885366</v>
      </c>
      <c r="BM102" s="162">
        <f t="shared" si="928"/>
        <v>2.2979418757192716</v>
      </c>
      <c r="BN102" s="162">
        <f t="shared" si="928"/>
        <v>1.9679334602801493</v>
      </c>
      <c r="BO102" s="162">
        <f t="shared" si="928"/>
        <v>2.8900728799155311</v>
      </c>
      <c r="BP102" s="162">
        <f t="shared" si="928"/>
        <v>7.0827298865023245</v>
      </c>
      <c r="BQ102" s="162">
        <f t="shared" si="928"/>
        <v>7.7474383880092326</v>
      </c>
      <c r="BR102" s="162">
        <f t="shared" si="928"/>
        <v>7.523804739081057</v>
      </c>
      <c r="BS102" s="162">
        <f t="shared" si="928"/>
        <v>12.922008918821813</v>
      </c>
      <c r="BT102" s="162">
        <f t="shared" si="928"/>
        <v>11.104414980863858</v>
      </c>
      <c r="BU102" s="162">
        <f t="shared" si="928"/>
        <v>9.230364476467436</v>
      </c>
      <c r="BV102" s="162">
        <f t="shared" si="928"/>
        <v>9.5043548709562877</v>
      </c>
      <c r="BW102" s="162">
        <f t="shared" si="928"/>
        <v>6.9601440123026714</v>
      </c>
      <c r="BX102" s="162">
        <f t="shared" si="928"/>
        <v>7.3508233049642762</v>
      </c>
      <c r="BY102" s="162">
        <f t="shared" si="928"/>
        <v>5.1053684202564957</v>
      </c>
      <c r="BZ102" s="162">
        <f t="shared" si="928"/>
        <v>3.9172811099855602</v>
      </c>
      <c r="CA102" s="162">
        <f t="shared" si="928"/>
        <v>4.8699703129692447</v>
      </c>
      <c r="CB102" s="162">
        <f t="shared" si="928"/>
        <v>5.2937590264577565</v>
      </c>
      <c r="CC102" s="162">
        <f t="shared" si="928"/>
        <v>5.7290219987367248</v>
      </c>
      <c r="CD102" s="162">
        <f t="shared" si="928"/>
        <v>5.1439849669784357</v>
      </c>
      <c r="CE102" s="162">
        <f t="shared" si="928"/>
        <v>5.5538346437215349</v>
      </c>
      <c r="CF102" s="162">
        <f t="shared" si="928"/>
        <v>6.0424788458468184</v>
      </c>
      <c r="CG102" s="162">
        <f t="shared" si="928"/>
        <v>7.6935652021655176</v>
      </c>
      <c r="CH102" s="162">
        <f t="shared" si="928"/>
        <v>7.4080446097984156</v>
      </c>
      <c r="CI102" s="162">
        <f t="shared" si="928"/>
        <v>8.4412526587827212</v>
      </c>
      <c r="CJ102" s="162">
        <f>+CJ85/CJ$100</f>
        <v>9.4578090435947963</v>
      </c>
      <c r="CK102" s="162">
        <f>+CK85/CK$100</f>
        <v>11.830252222145322</v>
      </c>
      <c r="CL102" s="162">
        <f>+CL85/CL$100</f>
        <v>10.102720016377173</v>
      </c>
      <c r="CM102" s="21">
        <f t="shared" ref="CM102:DB102" si="929">+CM85/CM$100</f>
        <v>9.7276410106602693</v>
      </c>
      <c r="CN102" s="21">
        <f t="shared" si="929"/>
        <v>9.3538968135798228</v>
      </c>
      <c r="CO102" s="21">
        <f t="shared" si="929"/>
        <v>8.9606691558020124</v>
      </c>
      <c r="CP102" s="21">
        <f t="shared" si="929"/>
        <v>8.5936231675068644</v>
      </c>
      <c r="CQ102" s="21">
        <f t="shared" si="929"/>
        <v>8.2613827325896025</v>
      </c>
      <c r="CR102" s="21">
        <f t="shared" si="929"/>
        <v>7.9415208774491104</v>
      </c>
      <c r="CS102" s="21">
        <f t="shared" si="929"/>
        <v>7.6113525728455267</v>
      </c>
      <c r="CT102" s="21">
        <f t="shared" si="929"/>
        <v>7.3013350797577852</v>
      </c>
      <c r="CU102" s="21">
        <f t="shared" si="929"/>
        <v>7.0150336620110494</v>
      </c>
      <c r="CV102" s="21">
        <f t="shared" si="929"/>
        <v>6.7257818569810741</v>
      </c>
      <c r="CW102" s="21">
        <f t="shared" si="929"/>
        <v>6.452557238102794</v>
      </c>
      <c r="CX102" s="21">
        <f t="shared" si="929"/>
        <v>6.1941828563474512</v>
      </c>
      <c r="CY102" s="21">
        <f t="shared" si="929"/>
        <v>5.9509586806385828</v>
      </c>
      <c r="CZ102" s="21">
        <f t="shared" si="929"/>
        <v>5.6385348841651011</v>
      </c>
      <c r="DA102" s="21">
        <f t="shared" si="929"/>
        <v>5.3593017669668468</v>
      </c>
      <c r="DB102" s="21">
        <f t="shared" si="929"/>
        <v>5.1089750541299299</v>
      </c>
      <c r="DE102" s="22"/>
      <c r="DF102" s="162">
        <v>10.102720016377173</v>
      </c>
    </row>
    <row r="103" spans="1:110" s="162" customFormat="1" x14ac:dyDescent="0.2">
      <c r="A103" s="49" t="s">
        <v>503</v>
      </c>
      <c r="E103" s="162" t="e">
        <f t="shared" ca="1" si="926"/>
        <v>#DIV/0!</v>
      </c>
      <c r="F103" s="162" t="e">
        <f t="shared" ca="1" si="926"/>
        <v>#DIV/0!</v>
      </c>
      <c r="G103" s="162" t="e">
        <f t="shared" ca="1" si="926"/>
        <v>#DIV/0!</v>
      </c>
      <c r="H103" s="162" t="e">
        <f t="shared" ca="1" si="926"/>
        <v>#DIV/0!</v>
      </c>
      <c r="I103" s="162" t="e">
        <f t="shared" ca="1" si="926"/>
        <v>#DIV/0!</v>
      </c>
      <c r="J103" s="162" t="e">
        <f t="shared" ca="1" si="926"/>
        <v>#DIV/0!</v>
      </c>
      <c r="K103" s="162" t="e">
        <f t="shared" ca="1" si="926"/>
        <v>#DIV/0!</v>
      </c>
      <c r="L103" s="162" t="e">
        <f t="shared" ca="1" si="926"/>
        <v>#DIV/0!</v>
      </c>
      <c r="M103" s="162">
        <f t="shared" ca="1" si="926"/>
        <v>0</v>
      </c>
      <c r="N103" s="162">
        <f t="shared" ca="1" si="926"/>
        <v>0</v>
      </c>
      <c r="O103" s="162">
        <f t="shared" ca="1" si="926"/>
        <v>0</v>
      </c>
      <c r="P103" s="162">
        <f t="shared" ca="1" si="926"/>
        <v>0</v>
      </c>
      <c r="Q103" s="162">
        <f t="shared" ca="1" si="926"/>
        <v>0</v>
      </c>
      <c r="R103" s="162">
        <f t="shared" ca="1" si="926"/>
        <v>4.7474572474835552</v>
      </c>
      <c r="S103" s="162">
        <f t="shared" ca="1" si="926"/>
        <v>4.6169687968547972</v>
      </c>
      <c r="T103" s="162">
        <f t="shared" ca="1" si="926"/>
        <v>3.602678889404372</v>
      </c>
      <c r="U103" s="162">
        <f t="shared" ca="1" si="926"/>
        <v>2.806364668855275</v>
      </c>
      <c r="V103" s="162">
        <f t="shared" ca="1" si="926"/>
        <v>8.0180989778830067</v>
      </c>
      <c r="W103" s="162">
        <f t="shared" ca="1" si="926"/>
        <v>11.655813830311022</v>
      </c>
      <c r="X103" s="162">
        <f t="shared" ca="1" si="926"/>
        <v>8.3701198505026593</v>
      </c>
      <c r="Y103" s="162">
        <f t="shared" ca="1" si="926"/>
        <v>5.8371744973789514</v>
      </c>
      <c r="Z103" s="162">
        <f t="shared" ca="1" si="926"/>
        <v>7.8004110062246239</v>
      </c>
      <c r="AA103" s="162">
        <f t="shared" ref="AA103" ca="1" si="930">+AA86/AA$100</f>
        <v>7.8004110062246239</v>
      </c>
      <c r="AB103" s="21">
        <f t="shared" ca="1" si="926"/>
        <v>10.622064043655399</v>
      </c>
      <c r="AC103" s="21">
        <f t="shared" ca="1" si="926"/>
        <v>10.420495222410619</v>
      </c>
      <c r="AD103" s="21">
        <f t="shared" ca="1" si="926"/>
        <v>10.507765695261785</v>
      </c>
      <c r="AE103" s="21">
        <f t="shared" ca="1" si="926"/>
        <v>12.140433914767932</v>
      </c>
      <c r="AL103" s="162" t="e">
        <f t="shared" si="928"/>
        <v>#DIV/0!</v>
      </c>
      <c r="AM103" s="162" t="e">
        <f t="shared" si="928"/>
        <v>#DIV/0!</v>
      </c>
      <c r="AN103" s="162" t="e">
        <f t="shared" si="928"/>
        <v>#DIV/0!</v>
      </c>
      <c r="AO103" s="162" t="e">
        <f t="shared" si="928"/>
        <v>#DIV/0!</v>
      </c>
      <c r="AP103" s="162" t="e">
        <f t="shared" si="928"/>
        <v>#DIV/0!</v>
      </c>
      <c r="AQ103" s="162" t="e">
        <f t="shared" si="928"/>
        <v>#DIV/0!</v>
      </c>
      <c r="AR103" s="162" t="e">
        <f t="shared" si="928"/>
        <v>#DIV/0!</v>
      </c>
      <c r="AS103" s="162" t="e">
        <f t="shared" si="928"/>
        <v>#DIV/0!</v>
      </c>
      <c r="AT103" s="162" t="e">
        <f t="shared" si="928"/>
        <v>#DIV/0!</v>
      </c>
      <c r="AU103" s="162" t="e">
        <f t="shared" si="928"/>
        <v>#DIV/0!</v>
      </c>
      <c r="AV103" s="162" t="e">
        <f t="shared" si="928"/>
        <v>#DIV/0!</v>
      </c>
      <c r="AW103" s="162">
        <f t="shared" si="928"/>
        <v>0</v>
      </c>
      <c r="AX103" s="162">
        <f t="shared" si="928"/>
        <v>0</v>
      </c>
      <c r="AY103" s="162">
        <f t="shared" si="928"/>
        <v>0</v>
      </c>
      <c r="AZ103" s="162" t="e">
        <f t="shared" si="928"/>
        <v>#DIV/0!</v>
      </c>
      <c r="BA103" s="162">
        <f t="shared" si="928"/>
        <v>119.56919522868114</v>
      </c>
      <c r="BB103" s="162">
        <f t="shared" si="928"/>
        <v>4.7470175459694772</v>
      </c>
      <c r="BC103" s="162">
        <f t="shared" si="928"/>
        <v>4.9984656987643064</v>
      </c>
      <c r="BD103" s="162">
        <f t="shared" si="928"/>
        <v>4.8537207091741053</v>
      </c>
      <c r="BE103" s="162">
        <f t="shared" si="928"/>
        <v>4.35437158203601</v>
      </c>
      <c r="BF103" s="162">
        <f t="shared" si="928"/>
        <v>4.1213916536661994</v>
      </c>
      <c r="BG103" s="162">
        <f t="shared" si="928"/>
        <v>3.7446179521437144</v>
      </c>
      <c r="BH103" s="162">
        <f t="shared" si="928"/>
        <v>3.6381803430364639</v>
      </c>
      <c r="BI103" s="162">
        <f t="shared" si="928"/>
        <v>3.1092246700935098</v>
      </c>
      <c r="BJ103" s="162">
        <f t="shared" si="928"/>
        <v>2.8541658244604911</v>
      </c>
      <c r="BK103" s="162">
        <f t="shared" si="928"/>
        <v>2.8061927910076023</v>
      </c>
      <c r="BL103" s="162">
        <f t="shared" si="928"/>
        <v>2.5070024966919142</v>
      </c>
      <c r="BM103" s="162">
        <f t="shared" si="928"/>
        <v>2.6727834582834085</v>
      </c>
      <c r="BN103" s="162">
        <f t="shared" si="928"/>
        <v>2.8061047480746084</v>
      </c>
      <c r="BO103" s="162">
        <f t="shared" si="928"/>
        <v>3.2656850454533743</v>
      </c>
      <c r="BP103" s="162">
        <f t="shared" si="928"/>
        <v>7.6480158704764332</v>
      </c>
      <c r="BQ103" s="162">
        <f t="shared" si="928"/>
        <v>8.0216645804207154</v>
      </c>
      <c r="BR103" s="162">
        <f t="shared" si="928"/>
        <v>8.0173563550268518</v>
      </c>
      <c r="BS103" s="162">
        <f t="shared" si="928"/>
        <v>13.26711554312525</v>
      </c>
      <c r="BT103" s="162">
        <f t="shared" si="928"/>
        <v>13.020986077958099</v>
      </c>
      <c r="BU103" s="162">
        <f t="shared" si="928"/>
        <v>11.349650682303244</v>
      </c>
      <c r="BV103" s="162">
        <f t="shared" si="928"/>
        <v>9.8796645370748912</v>
      </c>
      <c r="BW103" s="162">
        <f t="shared" si="928"/>
        <v>9.3800864406920823</v>
      </c>
      <c r="BX103" s="162">
        <f t="shared" si="928"/>
        <v>8.6847288022553535</v>
      </c>
      <c r="BY103" s="162">
        <f t="shared" si="928"/>
        <v>7.2562506775443527</v>
      </c>
      <c r="BZ103" s="162">
        <f t="shared" si="928"/>
        <v>5.1599817214980437</v>
      </c>
      <c r="CA103" s="162">
        <f t="shared" si="928"/>
        <v>4.9829164184542067</v>
      </c>
      <c r="CB103" s="162">
        <f t="shared" si="928"/>
        <v>5.5971589301755413</v>
      </c>
      <c r="CC103" s="162">
        <f t="shared" si="928"/>
        <v>5.8468921479609959</v>
      </c>
      <c r="CD103" s="162">
        <f t="shared" si="928"/>
        <v>5.8366338680840197</v>
      </c>
      <c r="CE103" s="162">
        <f t="shared" si="928"/>
        <v>6.1645273629427706</v>
      </c>
      <c r="CF103" s="162">
        <f t="shared" si="928"/>
        <v>6.7626143582151643</v>
      </c>
      <c r="CG103" s="162">
        <f t="shared" si="928"/>
        <v>7.7223035132884075</v>
      </c>
      <c r="CH103" s="162">
        <f t="shared" si="928"/>
        <v>7.7996885452626694</v>
      </c>
      <c r="CI103" s="162">
        <f t="shared" si="928"/>
        <v>8.464542085348544</v>
      </c>
      <c r="CJ103" s="162">
        <f t="shared" ref="CJ103:CK104" si="931">+CJ86/CJ$100</f>
        <v>10.604159079700086</v>
      </c>
      <c r="CK103" s="162">
        <f t="shared" si="931"/>
        <v>11.945010579290299</v>
      </c>
      <c r="CL103" s="162">
        <f t="shared" ref="CL103" si="932">+CL86/CL$100</f>
        <v>11.620903631279647</v>
      </c>
      <c r="CM103" s="94">
        <f t="shared" ref="CM103:DB103" si="933">+CL103</f>
        <v>11.620903631279647</v>
      </c>
      <c r="CN103" s="94">
        <f t="shared" si="933"/>
        <v>11.620903631279647</v>
      </c>
      <c r="CO103" s="94">
        <f t="shared" si="933"/>
        <v>11.620903631279647</v>
      </c>
      <c r="CP103" s="94">
        <f t="shared" si="933"/>
        <v>11.620903631279647</v>
      </c>
      <c r="CQ103" s="94">
        <f t="shared" si="933"/>
        <v>11.620903631279647</v>
      </c>
      <c r="CR103" s="94">
        <f t="shared" si="933"/>
        <v>11.620903631279647</v>
      </c>
      <c r="CS103" s="94">
        <f t="shared" si="933"/>
        <v>11.620903631279647</v>
      </c>
      <c r="CT103" s="94">
        <f t="shared" si="933"/>
        <v>11.620903631279647</v>
      </c>
      <c r="CU103" s="94">
        <f t="shared" si="933"/>
        <v>11.620903631279647</v>
      </c>
      <c r="CV103" s="94">
        <f t="shared" si="933"/>
        <v>11.620903631279647</v>
      </c>
      <c r="CW103" s="94">
        <f t="shared" si="933"/>
        <v>11.620903631279647</v>
      </c>
      <c r="CX103" s="94">
        <f t="shared" si="933"/>
        <v>11.620903631279647</v>
      </c>
      <c r="CY103" s="94">
        <f t="shared" si="933"/>
        <v>11.620903631279647</v>
      </c>
      <c r="CZ103" s="94">
        <f t="shared" si="933"/>
        <v>11.620903631279647</v>
      </c>
      <c r="DA103" s="94">
        <f t="shared" si="933"/>
        <v>11.620903631279647</v>
      </c>
      <c r="DB103" s="94">
        <f t="shared" si="933"/>
        <v>11.620903631279647</v>
      </c>
      <c r="DC103" s="94"/>
      <c r="DE103" s="22"/>
      <c r="DF103" s="162">
        <v>11.620903631279647</v>
      </c>
    </row>
    <row r="104" spans="1:110" s="162" customFormat="1" x14ac:dyDescent="0.2">
      <c r="A104" s="49" t="s">
        <v>504</v>
      </c>
      <c r="E104" s="162" t="e">
        <f t="shared" ca="1" si="926"/>
        <v>#DIV/0!</v>
      </c>
      <c r="F104" s="162" t="e">
        <f t="shared" ca="1" si="926"/>
        <v>#DIV/0!</v>
      </c>
      <c r="G104" s="162" t="e">
        <f t="shared" ca="1" si="926"/>
        <v>#DIV/0!</v>
      </c>
      <c r="H104" s="162" t="e">
        <f t="shared" ca="1" si="926"/>
        <v>#DIV/0!</v>
      </c>
      <c r="I104" s="162" t="e">
        <f t="shared" ca="1" si="926"/>
        <v>#DIV/0!</v>
      </c>
      <c r="J104" s="162" t="e">
        <f t="shared" ca="1" si="926"/>
        <v>#DIV/0!</v>
      </c>
      <c r="K104" s="162" t="e">
        <f t="shared" ca="1" si="926"/>
        <v>#DIV/0!</v>
      </c>
      <c r="L104" s="162" t="e">
        <f t="shared" ca="1" si="926"/>
        <v>#DIV/0!</v>
      </c>
      <c r="M104" s="162">
        <f t="shared" ca="1" si="926"/>
        <v>0</v>
      </c>
      <c r="N104" s="162">
        <f t="shared" ca="1" si="926"/>
        <v>0</v>
      </c>
      <c r="O104" s="162">
        <f t="shared" ca="1" si="926"/>
        <v>0</v>
      </c>
      <c r="P104" s="162">
        <f t="shared" ca="1" si="926"/>
        <v>0</v>
      </c>
      <c r="Q104" s="162">
        <f t="shared" ca="1" si="926"/>
        <v>0</v>
      </c>
      <c r="R104" s="162">
        <f t="shared" ca="1" si="926"/>
        <v>3.6762361249744449</v>
      </c>
      <c r="S104" s="162">
        <f t="shared" ca="1" si="926"/>
        <v>3.5319083067422348</v>
      </c>
      <c r="T104" s="162">
        <f t="shared" ca="1" si="926"/>
        <v>2.2447460772442627</v>
      </c>
      <c r="U104" s="162">
        <f t="shared" ca="1" si="926"/>
        <v>1.818036241997548</v>
      </c>
      <c r="V104" s="162">
        <f t="shared" ca="1" si="926"/>
        <v>1.3226330195761393</v>
      </c>
      <c r="W104" s="162">
        <f t="shared" ca="1" si="926"/>
        <v>5.8089786016310621</v>
      </c>
      <c r="X104" s="162">
        <f t="shared" ca="1" si="926"/>
        <v>3.8347450049906757</v>
      </c>
      <c r="Y104" s="162">
        <f t="shared" ca="1" si="926"/>
        <v>3.6723641129179385</v>
      </c>
      <c r="Z104" s="162">
        <f t="shared" ca="1" si="926"/>
        <v>4.6693833621013479</v>
      </c>
      <c r="AA104" s="162">
        <f t="shared" ref="AA104" ca="1" si="934">+AA87/AA$100</f>
        <v>4.6693833621013479</v>
      </c>
      <c r="AB104" s="21">
        <f t="shared" ca="1" si="926"/>
        <v>8.2814100355466564</v>
      </c>
      <c r="AC104" s="21">
        <f t="shared" ca="1" si="926"/>
        <v>7.3900513480640395</v>
      </c>
      <c r="AD104" s="21">
        <f t="shared" ca="1" si="926"/>
        <v>7.3898596576401339</v>
      </c>
      <c r="AE104" s="21">
        <f t="shared" ca="1" si="926"/>
        <v>7.2241091087783742</v>
      </c>
      <c r="AL104" s="162" t="e">
        <f t="shared" si="928"/>
        <v>#DIV/0!</v>
      </c>
      <c r="AM104" s="162" t="e">
        <f t="shared" si="928"/>
        <v>#DIV/0!</v>
      </c>
      <c r="AN104" s="162" t="e">
        <f t="shared" si="928"/>
        <v>#DIV/0!</v>
      </c>
      <c r="AO104" s="162" t="e">
        <f t="shared" si="928"/>
        <v>#DIV/0!</v>
      </c>
      <c r="AP104" s="162" t="e">
        <f t="shared" si="928"/>
        <v>#DIV/0!</v>
      </c>
      <c r="AQ104" s="162" t="e">
        <f t="shared" si="928"/>
        <v>#DIV/0!</v>
      </c>
      <c r="AR104" s="162" t="e">
        <f t="shared" si="928"/>
        <v>#DIV/0!</v>
      </c>
      <c r="AS104" s="162" t="e">
        <f t="shared" si="928"/>
        <v>#DIV/0!</v>
      </c>
      <c r="AT104" s="162" t="e">
        <f t="shared" si="928"/>
        <v>#DIV/0!</v>
      </c>
      <c r="AU104" s="162" t="e">
        <f t="shared" si="928"/>
        <v>#DIV/0!</v>
      </c>
      <c r="AV104" s="162" t="e">
        <f t="shared" si="928"/>
        <v>#DIV/0!</v>
      </c>
      <c r="AW104" s="162">
        <f t="shared" si="928"/>
        <v>0</v>
      </c>
      <c r="AX104" s="162">
        <f t="shared" si="928"/>
        <v>0</v>
      </c>
      <c r="AY104" s="162">
        <f t="shared" si="928"/>
        <v>0</v>
      </c>
      <c r="AZ104" s="162" t="e">
        <f t="shared" si="928"/>
        <v>#DIV/0!</v>
      </c>
      <c r="BA104" s="162">
        <f t="shared" si="928"/>
        <v>0</v>
      </c>
      <c r="BB104" s="162">
        <f t="shared" si="928"/>
        <v>3.7590698772142916</v>
      </c>
      <c r="BC104" s="162">
        <f t="shared" si="928"/>
        <v>3.9617176871120883</v>
      </c>
      <c r="BD104" s="162">
        <f t="shared" si="928"/>
        <v>3.8305872009545476</v>
      </c>
      <c r="BE104" s="162">
        <f t="shared" si="928"/>
        <v>3.7511116433939904</v>
      </c>
      <c r="BF104" s="162">
        <f t="shared" si="928"/>
        <v>3.5315811873288103</v>
      </c>
      <c r="BG104" s="162">
        <f t="shared" si="928"/>
        <v>3.1631219913060122</v>
      </c>
      <c r="BH104" s="162">
        <f t="shared" si="928"/>
        <v>3.008189273695558</v>
      </c>
      <c r="BI104" s="162">
        <f t="shared" si="928"/>
        <v>2.3608664563951409</v>
      </c>
      <c r="BJ104" s="162">
        <f t="shared" si="928"/>
        <v>2.2445381726339781</v>
      </c>
      <c r="BK104" s="162">
        <f t="shared" si="928"/>
        <v>2.209619531403419</v>
      </c>
      <c r="BL104" s="162">
        <f t="shared" si="928"/>
        <v>1.9911693603789722</v>
      </c>
      <c r="BM104" s="162">
        <f t="shared" si="928"/>
        <v>1.9409955434736279</v>
      </c>
      <c r="BN104" s="162">
        <f t="shared" si="928"/>
        <v>1.8880204772371549</v>
      </c>
      <c r="BO104" s="162">
        <f t="shared" si="928"/>
        <v>1.7693529396616103</v>
      </c>
      <c r="BP104" s="162">
        <f t="shared" si="928"/>
        <v>2.5483516553839403</v>
      </c>
      <c r="BQ104" s="162">
        <f t="shared" si="928"/>
        <v>5.5064619436225897</v>
      </c>
      <c r="BR104" s="162">
        <f t="shared" si="928"/>
        <v>6.925308463744682</v>
      </c>
      <c r="BS104" s="162">
        <f t="shared" si="928"/>
        <v>6.8564985522765545</v>
      </c>
      <c r="BT104" s="162">
        <f t="shared" si="928"/>
        <v>10.56453579858379</v>
      </c>
      <c r="BU104" s="162">
        <f t="shared" si="928"/>
        <v>7.6160778107944394</v>
      </c>
      <c r="BV104" s="162">
        <f t="shared" si="928"/>
        <v>6.9778604018274111</v>
      </c>
      <c r="BW104" s="162">
        <f t="shared" si="928"/>
        <v>6.5480795121125235</v>
      </c>
      <c r="BX104" s="162">
        <f t="shared" si="928"/>
        <v>6.5755803788504821</v>
      </c>
      <c r="BY104" s="162">
        <f t="shared" si="928"/>
        <v>5.0182716379303818</v>
      </c>
      <c r="BZ104" s="162">
        <f t="shared" si="928"/>
        <v>3.8343898373510537</v>
      </c>
      <c r="CA104" s="162">
        <f t="shared" si="928"/>
        <v>3.7159268704552502</v>
      </c>
      <c r="CB104" s="162">
        <f t="shared" si="928"/>
        <v>4.3956149406176941</v>
      </c>
      <c r="CC104" s="162">
        <f t="shared" si="928"/>
        <v>4.6588675930677823</v>
      </c>
      <c r="CD104" s="162">
        <f t="shared" si="928"/>
        <v>4.7100125275179705</v>
      </c>
      <c r="CE104" s="162">
        <f t="shared" si="928"/>
        <v>5.0642331925130835</v>
      </c>
      <c r="CF104" s="162">
        <f t="shared" si="928"/>
        <v>5.0964440703058091</v>
      </c>
      <c r="CG104" s="162">
        <f t="shared" si="928"/>
        <v>5.3989707162868168</v>
      </c>
      <c r="CH104" s="162">
        <f t="shared" si="928"/>
        <v>6.086472624179442</v>
      </c>
      <c r="CI104" s="162">
        <f t="shared" si="928"/>
        <v>6.0208990029295153</v>
      </c>
      <c r="CJ104" s="162">
        <f t="shared" si="931"/>
        <v>8.1103843808723113</v>
      </c>
      <c r="CK104" s="162">
        <f t="shared" si="931"/>
        <v>8.950084337706766</v>
      </c>
      <c r="CL104" s="162">
        <f t="shared" ref="CL104" si="935">+CL87/CL$100</f>
        <v>9.3031399172839553</v>
      </c>
      <c r="CM104" s="94">
        <f t="shared" ref="CM104:DB104" si="936">+CL104</f>
        <v>9.3031399172839553</v>
      </c>
      <c r="CN104" s="94">
        <f t="shared" si="936"/>
        <v>9.3031399172839553</v>
      </c>
      <c r="CO104" s="94">
        <f t="shared" si="936"/>
        <v>9.3031399172839553</v>
      </c>
      <c r="CP104" s="94">
        <f t="shared" si="936"/>
        <v>9.3031399172839553</v>
      </c>
      <c r="CQ104" s="94">
        <f t="shared" si="936"/>
        <v>9.3031399172839553</v>
      </c>
      <c r="CR104" s="94">
        <f t="shared" si="936"/>
        <v>9.3031399172839553</v>
      </c>
      <c r="CS104" s="94">
        <f t="shared" si="936"/>
        <v>9.3031399172839553</v>
      </c>
      <c r="CT104" s="94">
        <f t="shared" si="936"/>
        <v>9.3031399172839553</v>
      </c>
      <c r="CU104" s="94">
        <f t="shared" si="936"/>
        <v>9.3031399172839553</v>
      </c>
      <c r="CV104" s="94">
        <f t="shared" si="936"/>
        <v>9.3031399172839553</v>
      </c>
      <c r="CW104" s="94">
        <f t="shared" si="936"/>
        <v>9.3031399172839553</v>
      </c>
      <c r="CX104" s="94">
        <f t="shared" si="936"/>
        <v>9.3031399172839553</v>
      </c>
      <c r="CY104" s="94">
        <f t="shared" si="936"/>
        <v>9.3031399172839553</v>
      </c>
      <c r="CZ104" s="94">
        <f t="shared" si="936"/>
        <v>9.3031399172839553</v>
      </c>
      <c r="DA104" s="94">
        <f t="shared" si="936"/>
        <v>9.3031399172839553</v>
      </c>
      <c r="DB104" s="94">
        <f t="shared" si="936"/>
        <v>9.3031399172839553</v>
      </c>
      <c r="DC104" s="94"/>
      <c r="DE104" s="22"/>
      <c r="DF104" s="162">
        <v>5.2665336335815063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77" customFormat="1" x14ac:dyDescent="0.2">
      <c r="A106" s="177" t="s">
        <v>510</v>
      </c>
      <c r="E106" s="177">
        <f t="shared" ref="E106:Y106" si="937">+E18</f>
        <v>0</v>
      </c>
      <c r="F106" s="177">
        <f t="shared" si="937"/>
        <v>0</v>
      </c>
      <c r="G106" s="177">
        <f t="shared" si="937"/>
        <v>0</v>
      </c>
      <c r="H106" s="177">
        <f t="shared" si="937"/>
        <v>0</v>
      </c>
      <c r="I106" s="177">
        <f t="shared" si="937"/>
        <v>0</v>
      </c>
      <c r="J106" s="177">
        <f t="shared" si="937"/>
        <v>0</v>
      </c>
      <c r="K106" s="177">
        <f t="shared" si="937"/>
        <v>0</v>
      </c>
      <c r="L106" s="177">
        <f t="shared" si="937"/>
        <v>0</v>
      </c>
      <c r="M106" s="177">
        <f t="shared" si="937"/>
        <v>450.71800000000002</v>
      </c>
      <c r="N106" s="177">
        <f t="shared" si="937"/>
        <v>718.51100000000008</v>
      </c>
      <c r="O106" s="177">
        <f t="shared" si="937"/>
        <v>1159.7169999999999</v>
      </c>
      <c r="P106" s="177">
        <f t="shared" si="937"/>
        <v>1326.59</v>
      </c>
      <c r="Q106" s="177">
        <f t="shared" si="937"/>
        <v>1777.5780000000002</v>
      </c>
      <c r="R106" s="177">
        <f t="shared" si="937"/>
        <v>1904.6469999999999</v>
      </c>
      <c r="S106" s="177">
        <f t="shared" si="937"/>
        <v>2056.17</v>
      </c>
      <c r="T106" s="177">
        <f t="shared" si="937"/>
        <v>2291.9160000000002</v>
      </c>
      <c r="U106" s="177">
        <f t="shared" si="937"/>
        <v>2831.72</v>
      </c>
      <c r="V106" s="177">
        <f t="shared" si="937"/>
        <v>4813.51</v>
      </c>
      <c r="W106" s="177">
        <f t="shared" si="937"/>
        <v>4935.57</v>
      </c>
      <c r="X106" s="177">
        <f t="shared" si="937"/>
        <v>6040.55</v>
      </c>
      <c r="Y106" s="177">
        <f t="shared" si="937"/>
        <v>5040.83</v>
      </c>
      <c r="Z106" s="177">
        <f>+Z18</f>
        <v>5553.96</v>
      </c>
      <c r="AA106" s="177">
        <f>+AA18</f>
        <v>6812.9</v>
      </c>
      <c r="AB106" s="178">
        <f t="shared" ref="AB106:AE106" si="938">+AB18</f>
        <v>7834.8350000000009</v>
      </c>
      <c r="AC106" s="178">
        <f t="shared" si="938"/>
        <v>9010.0602500000005</v>
      </c>
      <c r="AD106" s="178">
        <f t="shared" si="938"/>
        <v>10361.569287499999</v>
      </c>
      <c r="AE106" s="178">
        <f t="shared" si="938"/>
        <v>11915.804680624999</v>
      </c>
      <c r="AL106" s="177">
        <f t="shared" ref="AL106:BQ106" si="939">+SUM(AI16:AL16)</f>
        <v>0</v>
      </c>
      <c r="AM106" s="177">
        <f t="shared" si="939"/>
        <v>0</v>
      </c>
      <c r="AN106" s="177">
        <f t="shared" si="939"/>
        <v>0</v>
      </c>
      <c r="AO106" s="177">
        <f t="shared" si="939"/>
        <v>0</v>
      </c>
      <c r="AP106" s="177">
        <f t="shared" si="939"/>
        <v>0</v>
      </c>
      <c r="AQ106" s="177">
        <f t="shared" si="939"/>
        <v>0</v>
      </c>
      <c r="AR106" s="177">
        <f t="shared" si="939"/>
        <v>0</v>
      </c>
      <c r="AS106" s="177">
        <f t="shared" si="939"/>
        <v>0</v>
      </c>
      <c r="AT106" s="177">
        <f t="shared" si="939"/>
        <v>0</v>
      </c>
      <c r="AU106" s="177">
        <f t="shared" si="939"/>
        <v>0</v>
      </c>
      <c r="AV106" s="177">
        <f t="shared" si="939"/>
        <v>0</v>
      </c>
      <c r="AW106" s="177">
        <f t="shared" si="939"/>
        <v>450.09800000000001</v>
      </c>
      <c r="AX106" s="177">
        <f t="shared" si="939"/>
        <v>941.25400000000002</v>
      </c>
      <c r="AY106" s="177">
        <f t="shared" si="939"/>
        <v>1357.7449999999999</v>
      </c>
      <c r="AZ106" s="177">
        <f t="shared" si="939"/>
        <v>1883.1559999999999</v>
      </c>
      <c r="BA106" s="177">
        <f t="shared" si="939"/>
        <v>1942.787</v>
      </c>
      <c r="BB106" s="177">
        <f t="shared" si="939"/>
        <v>1931.549</v>
      </c>
      <c r="BC106" s="177">
        <f t="shared" si="939"/>
        <v>2006.28</v>
      </c>
      <c r="BD106" s="177">
        <f t="shared" si="939"/>
        <v>2019.4789999999998</v>
      </c>
      <c r="BE106" s="177">
        <f t="shared" si="939"/>
        <v>1988.681</v>
      </c>
      <c r="BF106" s="177">
        <f t="shared" si="939"/>
        <v>2069.0029999999997</v>
      </c>
      <c r="BG106" s="177">
        <f t="shared" si="939"/>
        <v>2116.7979999999998</v>
      </c>
      <c r="BH106" s="177">
        <f t="shared" si="939"/>
        <v>2166.4690000000001</v>
      </c>
      <c r="BI106" s="177">
        <f t="shared" si="939"/>
        <v>2216.9949999999999</v>
      </c>
      <c r="BJ106" s="177">
        <f t="shared" si="939"/>
        <v>2291.9160000000002</v>
      </c>
      <c r="BK106" s="177">
        <f t="shared" si="939"/>
        <v>2303.4690000000001</v>
      </c>
      <c r="BL106" s="177">
        <f t="shared" si="939"/>
        <v>2427.6080000000002</v>
      </c>
      <c r="BM106" s="177">
        <f t="shared" si="939"/>
        <v>2627.741</v>
      </c>
      <c r="BN106" s="177">
        <f t="shared" si="939"/>
        <v>2831.72</v>
      </c>
      <c r="BO106" s="177">
        <f t="shared" si="939"/>
        <v>3255.4700000000003</v>
      </c>
      <c r="BP106" s="177">
        <f t="shared" si="939"/>
        <v>3681.8900000000003</v>
      </c>
      <c r="BQ106" s="177">
        <f t="shared" si="939"/>
        <v>4240.72</v>
      </c>
      <c r="BR106" s="177">
        <f t="shared" ref="BR106:CW106" si="940">+SUM(BO16:BR16)</f>
        <v>4813.51</v>
      </c>
      <c r="BS106" s="177">
        <f t="shared" si="940"/>
        <v>5117.6900000000005</v>
      </c>
      <c r="BT106" s="177">
        <f t="shared" si="940"/>
        <v>5182.33</v>
      </c>
      <c r="BU106" s="177">
        <f t="shared" si="940"/>
        <v>4922.67</v>
      </c>
      <c r="BV106" s="177">
        <f t="shared" si="940"/>
        <v>4935.57</v>
      </c>
      <c r="BW106" s="177">
        <f t="shared" si="940"/>
        <v>5196.01</v>
      </c>
      <c r="BX106" s="177">
        <f t="shared" si="940"/>
        <v>5568.42</v>
      </c>
      <c r="BY106" s="177">
        <f t="shared" si="940"/>
        <v>6084.48</v>
      </c>
      <c r="BZ106" s="177">
        <f t="shared" si="940"/>
        <v>6040.5499999999993</v>
      </c>
      <c r="CA106" s="177">
        <f t="shared" si="940"/>
        <v>5683.4000000000005</v>
      </c>
      <c r="CB106" s="177">
        <f t="shared" si="940"/>
        <v>5331.96</v>
      </c>
      <c r="CC106" s="177">
        <f t="shared" si="940"/>
        <v>4982.0600000000004</v>
      </c>
      <c r="CD106" s="177">
        <f t="shared" si="940"/>
        <v>5040.83</v>
      </c>
      <c r="CE106" s="177">
        <f t="shared" si="940"/>
        <v>5053.95</v>
      </c>
      <c r="CF106" s="177">
        <f t="shared" si="940"/>
        <v>5053.2</v>
      </c>
      <c r="CG106" s="177">
        <f t="shared" si="940"/>
        <v>5273.33</v>
      </c>
      <c r="CH106" s="177">
        <f t="shared" si="940"/>
        <v>5553.96</v>
      </c>
      <c r="CI106" s="177">
        <f t="shared" si="940"/>
        <v>5928.62</v>
      </c>
      <c r="CJ106" s="177">
        <f t="shared" si="940"/>
        <v>6358.39</v>
      </c>
      <c r="CK106" s="177">
        <f t="shared" si="940"/>
        <v>6721.63</v>
      </c>
      <c r="CL106" s="177">
        <f t="shared" si="940"/>
        <v>6812.9</v>
      </c>
      <c r="CM106" s="178">
        <f t="shared" si="940"/>
        <v>7048.3355000000001</v>
      </c>
      <c r="CN106" s="178">
        <f t="shared" si="940"/>
        <v>7296.3559999999998</v>
      </c>
      <c r="CO106" s="178">
        <f t="shared" si="940"/>
        <v>7563.0995000000003</v>
      </c>
      <c r="CP106" s="178">
        <f t="shared" si="940"/>
        <v>7834.8350000000009</v>
      </c>
      <c r="CQ106" s="178">
        <f t="shared" si="940"/>
        <v>8105.5858250000001</v>
      </c>
      <c r="CR106" s="178">
        <f t="shared" si="940"/>
        <v>8390.8094000000001</v>
      </c>
      <c r="CS106" s="178">
        <f t="shared" si="940"/>
        <v>8697.5644250000005</v>
      </c>
      <c r="CT106" s="178">
        <f t="shared" si="940"/>
        <v>9010.0602500000005</v>
      </c>
      <c r="CU106" s="178">
        <f t="shared" si="940"/>
        <v>9321.4236987500008</v>
      </c>
      <c r="CV106" s="178">
        <f t="shared" si="940"/>
        <v>9649.4308099999998</v>
      </c>
      <c r="CW106" s="178">
        <f t="shared" si="940"/>
        <v>10002.19908875</v>
      </c>
      <c r="CX106" s="178">
        <f t="shared" ref="CX106:DB106" si="941">+SUM(CU16:CX16)</f>
        <v>10361.569287499999</v>
      </c>
      <c r="CY106" s="178">
        <f t="shared" si="941"/>
        <v>10719.6372535625</v>
      </c>
      <c r="CZ106" s="178">
        <f t="shared" si="941"/>
        <v>11096.845431499998</v>
      </c>
      <c r="DA106" s="178">
        <f t="shared" si="941"/>
        <v>11502.528952062497</v>
      </c>
      <c r="DB106" s="178">
        <f t="shared" si="941"/>
        <v>11915.804680624999</v>
      </c>
      <c r="DE106" s="179"/>
      <c r="DF106" s="177">
        <v>6812.9</v>
      </c>
    </row>
    <row r="107" spans="1:110" s="163" customFormat="1" x14ac:dyDescent="0.2">
      <c r="A107" s="163" t="s">
        <v>511</v>
      </c>
      <c r="E107" s="163">
        <f t="shared" ref="E107:AE107" ca="1" si="942">+E106/E73</f>
        <v>0</v>
      </c>
      <c r="F107" s="163">
        <f t="shared" ca="1" si="942"/>
        <v>0</v>
      </c>
      <c r="G107" s="163">
        <f t="shared" ca="1" si="942"/>
        <v>0</v>
      </c>
      <c r="H107" s="163">
        <f t="shared" ca="1" si="942"/>
        <v>0</v>
      </c>
      <c r="I107" s="163">
        <f t="shared" ca="1" si="942"/>
        <v>0</v>
      </c>
      <c r="J107" s="163">
        <f t="shared" ca="1" si="942"/>
        <v>0</v>
      </c>
      <c r="K107" s="163">
        <f t="shared" ca="1" si="942"/>
        <v>0</v>
      </c>
      <c r="L107" s="163">
        <f t="shared" ca="1" si="942"/>
        <v>0</v>
      </c>
      <c r="M107" s="163">
        <f t="shared" ca="1" si="942"/>
        <v>8.348948782069094</v>
      </c>
      <c r="N107" s="163">
        <f t="shared" ca="1" si="942"/>
        <v>13.309456330462167</v>
      </c>
      <c r="O107" s="163">
        <f t="shared" ca="1" si="942"/>
        <v>21.482208020746501</v>
      </c>
      <c r="P107" s="163">
        <f t="shared" ca="1" si="942"/>
        <v>24.57330740020376</v>
      </c>
      <c r="Q107" s="163">
        <f t="shared" ca="1" si="942"/>
        <v>32.927257571547656</v>
      </c>
      <c r="R107" s="163">
        <f t="shared" ca="1" si="942"/>
        <v>35.28104102991572</v>
      </c>
      <c r="S107" s="163">
        <f t="shared" ca="1" si="942"/>
        <v>38.087802167268684</v>
      </c>
      <c r="T107" s="163">
        <f t="shared" ca="1" si="942"/>
        <v>42.454681856071133</v>
      </c>
      <c r="U107" s="163">
        <f t="shared" ca="1" si="942"/>
        <v>52.453829767528013</v>
      </c>
      <c r="V107" s="163">
        <f t="shared" ca="1" si="942"/>
        <v>89.163841807909606</v>
      </c>
      <c r="W107" s="163">
        <f t="shared" ca="1" si="942"/>
        <v>91.424840233398157</v>
      </c>
      <c r="X107" s="163">
        <f t="shared" ca="1" si="942"/>
        <v>111.89311845883117</v>
      </c>
      <c r="Y107" s="163">
        <f t="shared" ca="1" si="942"/>
        <v>93.374641104010379</v>
      </c>
      <c r="Z107" s="163">
        <f t="shared" ref="Z107:AA107" ca="1" si="943">+Z106/Z73</f>
        <v>102.87968880244513</v>
      </c>
      <c r="AA107" s="163">
        <f t="shared" ref="AA107" ca="1" si="944">+AA106/AA73</f>
        <v>102.87968880244513</v>
      </c>
      <c r="AB107" s="94">
        <f t="shared" ca="1" si="942"/>
        <v>145.12985088450498</v>
      </c>
      <c r="AC107" s="94">
        <f t="shared" ca="1" si="942"/>
        <v>166.89932851718072</v>
      </c>
      <c r="AD107" s="94">
        <f t="shared" ca="1" si="942"/>
        <v>191.93422779475779</v>
      </c>
      <c r="AE107" s="94">
        <f t="shared" ca="1" si="942"/>
        <v>220.72436196397146</v>
      </c>
      <c r="AL107" s="163">
        <f t="shared" ref="AL107:BQ107" si="945">+AL106/AL73</f>
        <v>0</v>
      </c>
      <c r="AM107" s="163">
        <f t="shared" si="945"/>
        <v>0</v>
      </c>
      <c r="AN107" s="163">
        <f t="shared" si="945"/>
        <v>0</v>
      </c>
      <c r="AO107" s="163">
        <f t="shared" si="945"/>
        <v>0</v>
      </c>
      <c r="AP107" s="163">
        <f t="shared" si="945"/>
        <v>0</v>
      </c>
      <c r="AQ107" s="163">
        <f t="shared" si="945"/>
        <v>0</v>
      </c>
      <c r="AR107" s="163">
        <f t="shared" si="945"/>
        <v>0</v>
      </c>
      <c r="AS107" s="163">
        <f t="shared" si="945"/>
        <v>0</v>
      </c>
      <c r="AT107" s="163">
        <f t="shared" si="945"/>
        <v>0</v>
      </c>
      <c r="AU107" s="163">
        <f t="shared" si="945"/>
        <v>0</v>
      </c>
      <c r="AV107" s="163">
        <f t="shared" si="945"/>
        <v>0</v>
      </c>
      <c r="AW107" s="163">
        <f t="shared" si="945"/>
        <v>8.3382363838458691</v>
      </c>
      <c r="AX107" s="163">
        <f t="shared" si="945"/>
        <v>17.437087810300113</v>
      </c>
      <c r="AY107" s="163">
        <f t="shared" si="945"/>
        <v>25.152741756206002</v>
      </c>
      <c r="AZ107" s="163">
        <f t="shared" si="945"/>
        <v>34.886180066691367</v>
      </c>
      <c r="BA107" s="163">
        <f t="shared" si="945"/>
        <v>35.990866987773252</v>
      </c>
      <c r="BB107" s="163">
        <f t="shared" si="945"/>
        <v>35.782678769914781</v>
      </c>
      <c r="BC107" s="163">
        <f t="shared" si="945"/>
        <v>37.167098925527974</v>
      </c>
      <c r="BD107" s="163">
        <f t="shared" si="945"/>
        <v>37.411615413115967</v>
      </c>
      <c r="BE107" s="163">
        <f t="shared" si="945"/>
        <v>36.841070766950729</v>
      </c>
      <c r="BF107" s="163">
        <f t="shared" si="945"/>
        <v>38.329066320859575</v>
      </c>
      <c r="BG107" s="163">
        <f t="shared" si="945"/>
        <v>39.214486846980364</v>
      </c>
      <c r="BH107" s="163">
        <f t="shared" si="945"/>
        <v>40.134660985550205</v>
      </c>
      <c r="BI107" s="163">
        <f t="shared" si="945"/>
        <v>41.070674323823638</v>
      </c>
      <c r="BJ107" s="163">
        <f t="shared" si="945"/>
        <v>42.458614301593187</v>
      </c>
      <c r="BK107" s="163">
        <f t="shared" si="945"/>
        <v>42.67263801407929</v>
      </c>
      <c r="BL107" s="163">
        <f t="shared" si="945"/>
        <v>44.972360133382743</v>
      </c>
      <c r="BM107" s="163">
        <f t="shared" si="945"/>
        <v>48.679899962949243</v>
      </c>
      <c r="BN107" s="163">
        <f t="shared" si="945"/>
        <v>52.458688403112262</v>
      </c>
      <c r="BO107" s="163">
        <f t="shared" si="945"/>
        <v>60.308818080770664</v>
      </c>
      <c r="BP107" s="163">
        <f t="shared" si="945"/>
        <v>68.208410522415718</v>
      </c>
      <c r="BQ107" s="163">
        <f t="shared" si="945"/>
        <v>78.560948499444251</v>
      </c>
      <c r="BR107" s="163">
        <f t="shared" ref="BR107:CW107" si="946">+BR106/BR73</f>
        <v>89.172100778065953</v>
      </c>
      <c r="BS107" s="163">
        <f t="shared" si="946"/>
        <v>94.807150796591344</v>
      </c>
      <c r="BT107" s="163">
        <f t="shared" si="946"/>
        <v>96.004631344942581</v>
      </c>
      <c r="BU107" s="163">
        <f t="shared" si="946"/>
        <v>91.194331233790294</v>
      </c>
      <c r="BV107" s="163">
        <f t="shared" si="946"/>
        <v>91.433308632826979</v>
      </c>
      <c r="BW107" s="163">
        <f t="shared" si="946"/>
        <v>96.258058540200082</v>
      </c>
      <c r="BX107" s="163">
        <f t="shared" si="946"/>
        <v>103.15709522045202</v>
      </c>
      <c r="BY107" s="163">
        <f t="shared" si="946"/>
        <v>112.71730270470545</v>
      </c>
      <c r="BZ107" s="163">
        <f t="shared" si="946"/>
        <v>111.90348277139681</v>
      </c>
      <c r="CA107" s="163">
        <f t="shared" si="946"/>
        <v>105.28714338643944</v>
      </c>
      <c r="CB107" s="163">
        <f t="shared" si="946"/>
        <v>98.776583919970363</v>
      </c>
      <c r="CC107" s="163">
        <f t="shared" si="946"/>
        <v>92.294553538347543</v>
      </c>
      <c r="CD107" s="163">
        <f t="shared" si="946"/>
        <v>93.383290107447209</v>
      </c>
      <c r="CE107" s="163">
        <f t="shared" si="946"/>
        <v>93.626343090033345</v>
      </c>
      <c r="CF107" s="163">
        <f t="shared" si="946"/>
        <v>93.61244905520563</v>
      </c>
      <c r="CG107" s="163">
        <f t="shared" si="946"/>
        <v>97.690440904038539</v>
      </c>
      <c r="CH107" s="163">
        <f t="shared" si="946"/>
        <v>102.8892182289737</v>
      </c>
      <c r="CI107" s="163">
        <f t="shared" si="946"/>
        <v>109.82993701370879</v>
      </c>
      <c r="CJ107" s="163">
        <f t="shared" si="946"/>
        <v>117.79158947758431</v>
      </c>
      <c r="CK107" s="163">
        <f t="shared" ref="CK107:CL107" si="947">+CK106/CK73</f>
        <v>124.50921552283042</v>
      </c>
      <c r="CL107" s="163">
        <f t="shared" si="947"/>
        <v>126.19987033435213</v>
      </c>
      <c r="CM107" s="50">
        <f t="shared" si="946"/>
        <v>130.56099842548858</v>
      </c>
      <c r="CN107" s="50">
        <f t="shared" si="946"/>
        <v>135.15524682782254</v>
      </c>
      <c r="CO107" s="50">
        <f t="shared" si="946"/>
        <v>140.09631379086784</v>
      </c>
      <c r="CP107" s="50">
        <f t="shared" si="946"/>
        <v>145.12985088450498</v>
      </c>
      <c r="CQ107" s="50">
        <f t="shared" si="946"/>
        <v>150.14514818931184</v>
      </c>
      <c r="CR107" s="50">
        <f t="shared" si="946"/>
        <v>155.42853385199592</v>
      </c>
      <c r="CS107" s="50">
        <f t="shared" si="946"/>
        <v>161.11076085949801</v>
      </c>
      <c r="CT107" s="50">
        <f t="shared" si="946"/>
        <v>166.89932851718072</v>
      </c>
      <c r="CU107" s="50">
        <f t="shared" si="946"/>
        <v>172.66692041770864</v>
      </c>
      <c r="CV107" s="50">
        <f t="shared" si="946"/>
        <v>178.74281392979532</v>
      </c>
      <c r="CW107" s="50">
        <f t="shared" si="946"/>
        <v>185.27737498842271</v>
      </c>
      <c r="CX107" s="50">
        <f t="shared" ref="CX107:DB107" si="948">+CX106/CX73</f>
        <v>191.93422779475779</v>
      </c>
      <c r="CY107" s="50">
        <f t="shared" si="948"/>
        <v>198.56695848036492</v>
      </c>
      <c r="CZ107" s="50">
        <f t="shared" si="948"/>
        <v>205.55423601926458</v>
      </c>
      <c r="DA107" s="50">
        <f t="shared" si="948"/>
        <v>213.06898123668608</v>
      </c>
      <c r="DB107" s="50">
        <f t="shared" si="948"/>
        <v>220.72436196397146</v>
      </c>
      <c r="DE107" s="164"/>
      <c r="DF107" s="163">
        <v>126.19987033435213</v>
      </c>
    </row>
    <row r="108" spans="1:110" s="163" customFormat="1" x14ac:dyDescent="0.2">
      <c r="AB108" s="94"/>
      <c r="AC108" s="94"/>
      <c r="AD108" s="94"/>
      <c r="AE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E108" s="164"/>
    </row>
    <row r="109" spans="1:110" s="163" customFormat="1" x14ac:dyDescent="0.2">
      <c r="A109" s="163" t="s">
        <v>506</v>
      </c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x14ac:dyDescent="0.2">
      <c r="A110" s="163" t="s">
        <v>507</v>
      </c>
      <c r="E110" s="163" t="e">
        <f t="shared" ref="E110:AE112" ca="1" si="949">+E85/E$107</f>
        <v>#DIV/0!</v>
      </c>
      <c r="F110" s="163" t="e">
        <f t="shared" ca="1" si="949"/>
        <v>#DIV/0!</v>
      </c>
      <c r="G110" s="163" t="e">
        <f t="shared" ca="1" si="949"/>
        <v>#DIV/0!</v>
      </c>
      <c r="H110" s="163" t="e">
        <f t="shared" ca="1" si="949"/>
        <v>#DIV/0!</v>
      </c>
      <c r="I110" s="163" t="e">
        <f t="shared" ca="1" si="949"/>
        <v>#DIV/0!</v>
      </c>
      <c r="J110" s="163" t="e">
        <f t="shared" ca="1" si="949"/>
        <v>#DIV/0!</v>
      </c>
      <c r="K110" s="163" t="e">
        <f t="shared" ca="1" si="949"/>
        <v>#DIV/0!</v>
      </c>
      <c r="L110" s="163" t="e">
        <f t="shared" ca="1" si="949"/>
        <v>#DIV/0!</v>
      </c>
      <c r="M110" s="163">
        <f t="shared" ca="1" si="949"/>
        <v>0</v>
      </c>
      <c r="N110" s="163">
        <f t="shared" ca="1" si="949"/>
        <v>0</v>
      </c>
      <c r="O110" s="163">
        <f t="shared" ca="1" si="949"/>
        <v>0</v>
      </c>
      <c r="P110" s="163">
        <f t="shared" ca="1" si="949"/>
        <v>0</v>
      </c>
      <c r="Q110" s="163">
        <f t="shared" ca="1" si="949"/>
        <v>0</v>
      </c>
      <c r="R110" s="163">
        <f t="shared" ca="1" si="949"/>
        <v>2.9211156187997038</v>
      </c>
      <c r="S110" s="163">
        <f t="shared" ca="1" si="949"/>
        <v>2.641790659332643</v>
      </c>
      <c r="T110" s="163">
        <f t="shared" ca="1" si="949"/>
        <v>1.8831845277052037</v>
      </c>
      <c r="U110" s="163">
        <f t="shared" ca="1" si="949"/>
        <v>1.2300341135422994</v>
      </c>
      <c r="V110" s="163">
        <f t="shared" ca="1" si="949"/>
        <v>4.0605024711696869</v>
      </c>
      <c r="W110" s="163">
        <f t="shared" ca="1" si="949"/>
        <v>6.4539352597572321</v>
      </c>
      <c r="X110" s="163">
        <f t="shared" ca="1" si="949"/>
        <v>2.6185703288607822</v>
      </c>
      <c r="Y110" s="163">
        <f t="shared" ca="1" si="949"/>
        <v>4.1954645861891793</v>
      </c>
      <c r="Z110" s="163">
        <f ca="1">+Z85/Z$107</f>
        <v>5.9661922304085726</v>
      </c>
      <c r="AA110" s="163">
        <f ca="1">+AA85/AA$107</f>
        <v>5.9661922304085726</v>
      </c>
      <c r="AB110" s="50">
        <f t="shared" ref="AB110:AE110" ca="1" si="950">+AB85/AB$107</f>
        <v>6.8342246199186061</v>
      </c>
      <c r="AC110" s="50">
        <f t="shared" ca="1" si="950"/>
        <v>5.942804017320527</v>
      </c>
      <c r="AD110" s="50">
        <f t="shared" ca="1" si="950"/>
        <v>5.1676556672352421</v>
      </c>
      <c r="AE110" s="50">
        <f t="shared" ca="1" si="950"/>
        <v>4.493613623682819</v>
      </c>
      <c r="AL110" s="163" t="e">
        <f t="shared" ref="AL110:BQ110" si="951">+AL85/AL107</f>
        <v>#DIV/0!</v>
      </c>
      <c r="AM110" s="163" t="e">
        <f t="shared" si="951"/>
        <v>#DIV/0!</v>
      </c>
      <c r="AN110" s="163" t="e">
        <f t="shared" si="951"/>
        <v>#DIV/0!</v>
      </c>
      <c r="AO110" s="163" t="e">
        <f t="shared" si="951"/>
        <v>#DIV/0!</v>
      </c>
      <c r="AP110" s="163" t="e">
        <f t="shared" si="951"/>
        <v>#DIV/0!</v>
      </c>
      <c r="AQ110" s="163" t="e">
        <f t="shared" si="951"/>
        <v>#DIV/0!</v>
      </c>
      <c r="AR110" s="163" t="e">
        <f t="shared" si="951"/>
        <v>#DIV/0!</v>
      </c>
      <c r="AS110" s="163" t="e">
        <f t="shared" si="951"/>
        <v>#DIV/0!</v>
      </c>
      <c r="AT110" s="163" t="e">
        <f t="shared" si="951"/>
        <v>#DIV/0!</v>
      </c>
      <c r="AU110" s="163" t="e">
        <f t="shared" si="951"/>
        <v>#DIV/0!</v>
      </c>
      <c r="AV110" s="163" t="e">
        <f t="shared" si="951"/>
        <v>#DIV/0!</v>
      </c>
      <c r="AW110" s="163">
        <f t="shared" si="951"/>
        <v>0</v>
      </c>
      <c r="AX110" s="163">
        <f t="shared" si="951"/>
        <v>0</v>
      </c>
      <c r="AY110" s="163">
        <f t="shared" si="951"/>
        <v>0</v>
      </c>
      <c r="AZ110" s="163">
        <f t="shared" si="951"/>
        <v>0</v>
      </c>
      <c r="BA110" s="163">
        <f t="shared" si="951"/>
        <v>2.6656762681652695</v>
      </c>
      <c r="BB110" s="163">
        <f t="shared" si="951"/>
        <v>2.8801644690349559</v>
      </c>
      <c r="BC110" s="163">
        <f t="shared" si="951"/>
        <v>3.306149889347449</v>
      </c>
      <c r="BD110" s="163">
        <f t="shared" si="951"/>
        <v>2.7045076477645971</v>
      </c>
      <c r="BE110" s="163">
        <f t="shared" si="951"/>
        <v>2.9472541850603484</v>
      </c>
      <c r="BF110" s="163">
        <f t="shared" si="951"/>
        <v>2.625161780819071</v>
      </c>
      <c r="BG110" s="163">
        <f t="shared" si="951"/>
        <v>2.3498968725405072</v>
      </c>
      <c r="BH110" s="163">
        <f t="shared" si="951"/>
        <v>2.1435337408474342</v>
      </c>
      <c r="BI110" s="163">
        <f t="shared" si="951"/>
        <v>1.849007868759289</v>
      </c>
      <c r="BJ110" s="163">
        <f t="shared" si="951"/>
        <v>1.8830101103181791</v>
      </c>
      <c r="BK110" s="163">
        <f t="shared" si="951"/>
        <v>1.578294737198547</v>
      </c>
      <c r="BL110" s="163">
        <f t="shared" si="951"/>
        <v>1.6614649482123964</v>
      </c>
      <c r="BM110" s="163">
        <f t="shared" si="951"/>
        <v>1.4772010635751391</v>
      </c>
      <c r="BN110" s="163">
        <f t="shared" si="951"/>
        <v>1.2299201898492789</v>
      </c>
      <c r="BO110" s="163">
        <f t="shared" si="951"/>
        <v>1.7236285390435173</v>
      </c>
      <c r="BP110" s="163">
        <f t="shared" si="951"/>
        <v>4.2084252924449128</v>
      </c>
      <c r="BQ110" s="163">
        <f t="shared" si="951"/>
        <v>4.4952359504989712</v>
      </c>
      <c r="BR110" s="163">
        <f t="shared" ref="BR110:DB110" si="952">+BR85/BR107</f>
        <v>4.0601263942528423</v>
      </c>
      <c r="BS110" s="163">
        <f t="shared" si="952"/>
        <v>7.1682356688271458</v>
      </c>
      <c r="BT110" s="163">
        <f t="shared" si="952"/>
        <v>6.4272940935833871</v>
      </c>
      <c r="BU110" s="163">
        <f t="shared" si="952"/>
        <v>5.9126482173292141</v>
      </c>
      <c r="BV110" s="163">
        <f t="shared" si="952"/>
        <v>6.4533375071167054</v>
      </c>
      <c r="BW110" s="163">
        <f t="shared" si="952"/>
        <v>4.8255700046766652</v>
      </c>
      <c r="BX110" s="163">
        <f t="shared" si="952"/>
        <v>4.9681507501230149</v>
      </c>
      <c r="BY110" s="163">
        <f t="shared" si="952"/>
        <v>3.3282379102240451</v>
      </c>
      <c r="BZ110" s="163">
        <f t="shared" si="952"/>
        <v>2.618327801276374</v>
      </c>
      <c r="CA110" s="163">
        <f t="shared" si="952"/>
        <v>3.4809568216208602</v>
      </c>
      <c r="CB110" s="163">
        <f t="shared" si="952"/>
        <v>4.0009482441728741</v>
      </c>
      <c r="CC110" s="163">
        <f t="shared" si="952"/>
        <v>4.6606217106979839</v>
      </c>
      <c r="CD110" s="163">
        <f t="shared" si="952"/>
        <v>4.1950760093079911</v>
      </c>
      <c r="CE110" s="163">
        <f t="shared" si="952"/>
        <v>4.5313101633375874</v>
      </c>
      <c r="CF110" s="163">
        <f t="shared" si="952"/>
        <v>4.9432527903110897</v>
      </c>
      <c r="CG110" s="163">
        <f t="shared" si="952"/>
        <v>6.1659052249716968</v>
      </c>
      <c r="CH110" s="163">
        <f t="shared" si="952"/>
        <v>5.9656396517079697</v>
      </c>
      <c r="CI110" s="163">
        <f t="shared" si="952"/>
        <v>6.6002040947134404</v>
      </c>
      <c r="CJ110" s="163">
        <f t="shared" si="952"/>
        <v>7.147793859766387</v>
      </c>
      <c r="CK110" s="163">
        <f t="shared" ref="CK110:CL110" si="953">+CK85/CK107</f>
        <v>8.9005459985152413</v>
      </c>
      <c r="CL110" s="163">
        <f t="shared" si="953"/>
        <v>7.8593583129063989</v>
      </c>
      <c r="CM110" s="50">
        <f t="shared" si="952"/>
        <v>7.5968322237214725</v>
      </c>
      <c r="CN110" s="50">
        <f t="shared" si="952"/>
        <v>7.3385978219812742</v>
      </c>
      <c r="CO110" s="50">
        <f t="shared" si="952"/>
        <v>7.0797722878034328</v>
      </c>
      <c r="CP110" s="50">
        <f t="shared" si="952"/>
        <v>6.8342246199186061</v>
      </c>
      <c r="CQ110" s="50">
        <f t="shared" si="952"/>
        <v>6.6059410641056289</v>
      </c>
      <c r="CR110" s="50">
        <f t="shared" si="952"/>
        <v>6.3813894104184996</v>
      </c>
      <c r="CS110" s="50">
        <f t="shared" si="952"/>
        <v>6.1563237285247245</v>
      </c>
      <c r="CT110" s="50">
        <f t="shared" si="952"/>
        <v>5.942804017320527</v>
      </c>
      <c r="CU110" s="50">
        <f t="shared" si="952"/>
        <v>5.7442965774831549</v>
      </c>
      <c r="CV110" s="50">
        <f t="shared" si="952"/>
        <v>5.5490342699291295</v>
      </c>
      <c r="CW110" s="50">
        <f t="shared" si="952"/>
        <v>5.353324981325847</v>
      </c>
      <c r="CX110" s="50">
        <f t="shared" si="952"/>
        <v>5.1676556672352421</v>
      </c>
      <c r="CY110" s="50">
        <f t="shared" si="952"/>
        <v>4.9950405021592656</v>
      </c>
      <c r="CZ110" s="50">
        <f t="shared" si="952"/>
        <v>4.8252471912427222</v>
      </c>
      <c r="DA110" s="50">
        <f t="shared" si="952"/>
        <v>4.6550652011529117</v>
      </c>
      <c r="DB110" s="50">
        <f t="shared" si="952"/>
        <v>4.493613623682819</v>
      </c>
      <c r="DE110" s="106"/>
      <c r="DF110" s="163">
        <v>7.8593583129063989</v>
      </c>
    </row>
    <row r="111" spans="1:110" s="163" customFormat="1" x14ac:dyDescent="0.2">
      <c r="A111" s="163" t="s">
        <v>508</v>
      </c>
      <c r="E111" s="163" t="e">
        <f t="shared" ca="1" si="949"/>
        <v>#DIV/0!</v>
      </c>
      <c r="F111" s="163" t="e">
        <f t="shared" ca="1" si="949"/>
        <v>#DIV/0!</v>
      </c>
      <c r="G111" s="163" t="e">
        <f t="shared" ca="1" si="949"/>
        <v>#DIV/0!</v>
      </c>
      <c r="H111" s="163" t="e">
        <f t="shared" ca="1" si="949"/>
        <v>#DIV/0!</v>
      </c>
      <c r="I111" s="163" t="e">
        <f t="shared" ca="1" si="949"/>
        <v>#DIV/0!</v>
      </c>
      <c r="J111" s="163" t="e">
        <f t="shared" ca="1" si="949"/>
        <v>#DIV/0!</v>
      </c>
      <c r="K111" s="163" t="e">
        <f t="shared" ca="1" si="949"/>
        <v>#DIV/0!</v>
      </c>
      <c r="L111" s="163" t="e">
        <f t="shared" ca="1" si="949"/>
        <v>#DIV/0!</v>
      </c>
      <c r="M111" s="163">
        <f t="shared" ca="1" si="949"/>
        <v>0</v>
      </c>
      <c r="N111" s="163">
        <f t="shared" ca="1" si="949"/>
        <v>0</v>
      </c>
      <c r="O111" s="163">
        <f t="shared" ca="1" si="949"/>
        <v>0</v>
      </c>
      <c r="P111" s="163">
        <f t="shared" ca="1" si="949"/>
        <v>0</v>
      </c>
      <c r="Q111" s="163">
        <f t="shared" ca="1" si="949"/>
        <v>0</v>
      </c>
      <c r="R111" s="163">
        <f t="shared" ca="1" si="949"/>
        <v>3.3162286764949092</v>
      </c>
      <c r="S111" s="163">
        <f t="shared" ca="1" si="949"/>
        <v>3.3291498271057356</v>
      </c>
      <c r="T111" s="163">
        <f t="shared" ca="1" si="949"/>
        <v>2.4496709303482325</v>
      </c>
      <c r="U111" s="163">
        <f t="shared" ca="1" si="949"/>
        <v>1.7539234105066885</v>
      </c>
      <c r="V111" s="163">
        <f t="shared" ca="1" si="949"/>
        <v>4.3268660499303007</v>
      </c>
      <c r="W111" s="163">
        <f t="shared" ca="1" si="949"/>
        <v>7.9141511010886285</v>
      </c>
      <c r="X111" s="163">
        <f t="shared" ca="1" si="949"/>
        <v>5.5946246616616033</v>
      </c>
      <c r="Y111" s="163">
        <f t="shared" ca="1" si="949"/>
        <v>4.7603931297028463</v>
      </c>
      <c r="Z111" s="163">
        <f t="shared" ref="Z111:AA112" ca="1" si="954">+Z86/Z$107</f>
        <v>6.2816092031631481</v>
      </c>
      <c r="AA111" s="163">
        <f t="shared" ref="AA111" ca="1" si="955">+AA86/AA$107</f>
        <v>6.2816092031631481</v>
      </c>
      <c r="AB111" s="94">
        <f t="shared" ca="1" si="949"/>
        <v>8.4473766403888479</v>
      </c>
      <c r="AC111" s="94">
        <f t="shared" ca="1" si="949"/>
        <v>8.4815941459661861</v>
      </c>
      <c r="AD111" s="94">
        <f t="shared" ca="1" si="949"/>
        <v>8.7663726119185359</v>
      </c>
      <c r="AE111" s="94">
        <f t="shared" ca="1" si="949"/>
        <v>10.678153378870405</v>
      </c>
      <c r="AL111" s="163" t="e">
        <f t="shared" ref="AL111:BQ111" si="956">+AL86/AL107</f>
        <v>#DIV/0!</v>
      </c>
      <c r="AM111" s="163" t="e">
        <f t="shared" si="956"/>
        <v>#DIV/0!</v>
      </c>
      <c r="AN111" s="163" t="e">
        <f t="shared" si="956"/>
        <v>#DIV/0!</v>
      </c>
      <c r="AO111" s="163" t="e">
        <f t="shared" si="956"/>
        <v>#DIV/0!</v>
      </c>
      <c r="AP111" s="163" t="e">
        <f t="shared" si="956"/>
        <v>#DIV/0!</v>
      </c>
      <c r="AQ111" s="163" t="e">
        <f t="shared" si="956"/>
        <v>#DIV/0!</v>
      </c>
      <c r="AR111" s="163" t="e">
        <f t="shared" si="956"/>
        <v>#DIV/0!</v>
      </c>
      <c r="AS111" s="163" t="e">
        <f t="shared" si="956"/>
        <v>#DIV/0!</v>
      </c>
      <c r="AT111" s="163" t="e">
        <f t="shared" si="956"/>
        <v>#DIV/0!</v>
      </c>
      <c r="AU111" s="163" t="e">
        <f t="shared" si="956"/>
        <v>#DIV/0!</v>
      </c>
      <c r="AV111" s="163" t="e">
        <f t="shared" si="956"/>
        <v>#DIV/0!</v>
      </c>
      <c r="AW111" s="163">
        <f t="shared" si="956"/>
        <v>0</v>
      </c>
      <c r="AX111" s="163">
        <f t="shared" si="956"/>
        <v>0</v>
      </c>
      <c r="AY111" s="163">
        <f t="shared" si="956"/>
        <v>0</v>
      </c>
      <c r="AZ111" s="163">
        <f t="shared" si="956"/>
        <v>0</v>
      </c>
      <c r="BA111" s="163">
        <f t="shared" si="956"/>
        <v>2.7707029128772218</v>
      </c>
      <c r="BB111" s="163">
        <f t="shared" si="956"/>
        <v>3.2697384327293797</v>
      </c>
      <c r="BC111" s="163">
        <f t="shared" si="956"/>
        <v>3.4116195147237671</v>
      </c>
      <c r="BD111" s="163">
        <f t="shared" si="956"/>
        <v>3.3679379681591146</v>
      </c>
      <c r="BE111" s="163">
        <f t="shared" si="956"/>
        <v>3.1445882974695283</v>
      </c>
      <c r="BF111" s="163">
        <f t="shared" si="956"/>
        <v>2.9533722280731349</v>
      </c>
      <c r="BG111" s="163">
        <f t="shared" si="956"/>
        <v>2.6520811149670398</v>
      </c>
      <c r="BH111" s="163">
        <f t="shared" si="956"/>
        <v>2.5065615986196894</v>
      </c>
      <c r="BI111" s="163">
        <f t="shared" si="956"/>
        <v>2.1182997706354771</v>
      </c>
      <c r="BJ111" s="163">
        <f t="shared" si="956"/>
        <v>1.940713359477398</v>
      </c>
      <c r="BK111" s="163">
        <f t="shared" si="956"/>
        <v>1.9169192205321623</v>
      </c>
      <c r="BL111" s="163">
        <f t="shared" si="956"/>
        <v>1.6685804297893232</v>
      </c>
      <c r="BM111" s="163">
        <f t="shared" si="956"/>
        <v>1.7181629391937789</v>
      </c>
      <c r="BN111" s="163">
        <f t="shared" si="956"/>
        <v>1.7537609650671677</v>
      </c>
      <c r="BO111" s="163">
        <f t="shared" si="956"/>
        <v>1.9476422144882302</v>
      </c>
      <c r="BP111" s="163">
        <f t="shared" si="956"/>
        <v>4.544307624616704</v>
      </c>
      <c r="BQ111" s="163">
        <f t="shared" si="956"/>
        <v>4.6543480824011008</v>
      </c>
      <c r="BR111" s="163">
        <f t="shared" ref="BR111:CJ111" si="957">+BR86/BR107</f>
        <v>4.3264653028663078</v>
      </c>
      <c r="BS111" s="163">
        <f t="shared" si="957"/>
        <v>7.3596769245499427</v>
      </c>
      <c r="BT111" s="163">
        <f t="shared" si="957"/>
        <v>7.5366155763913127</v>
      </c>
      <c r="BU111" s="163">
        <f t="shared" si="957"/>
        <v>7.2701887390379607</v>
      </c>
      <c r="BV111" s="163">
        <f t="shared" si="957"/>
        <v>6.7081680535378894</v>
      </c>
      <c r="BW111" s="163">
        <f t="shared" si="957"/>
        <v>6.5033516101778091</v>
      </c>
      <c r="BX111" s="163">
        <f t="shared" si="957"/>
        <v>5.8696883496575332</v>
      </c>
      <c r="BY111" s="163">
        <f t="shared" si="957"/>
        <v>4.7304183759335228</v>
      </c>
      <c r="BZ111" s="163">
        <f t="shared" si="957"/>
        <v>3.4489543170737762</v>
      </c>
      <c r="CA111" s="163">
        <f t="shared" si="957"/>
        <v>3.5616884259422172</v>
      </c>
      <c r="CB111" s="163">
        <f t="shared" si="957"/>
        <v>4.2302536028027218</v>
      </c>
      <c r="CC111" s="163">
        <f t="shared" si="957"/>
        <v>4.756510359168697</v>
      </c>
      <c r="CD111" s="163">
        <f t="shared" si="957"/>
        <v>4.759952230089092</v>
      </c>
      <c r="CE111" s="163">
        <f t="shared" si="957"/>
        <v>5.0295673680982196</v>
      </c>
      <c r="CF111" s="163">
        <f t="shared" si="957"/>
        <v>5.5323838359851178</v>
      </c>
      <c r="CG111" s="163">
        <f t="shared" si="957"/>
        <v>6.1889371611486474</v>
      </c>
      <c r="CH111" s="163">
        <f t="shared" si="957"/>
        <v>6.2810274110724595</v>
      </c>
      <c r="CI111" s="163">
        <f t="shared" si="957"/>
        <v>6.6184140660052417</v>
      </c>
      <c r="CJ111" s="163">
        <f t="shared" si="957"/>
        <v>8.0141545265389489</v>
      </c>
      <c r="CK111" s="163">
        <f t="shared" ref="CK111:CL111" si="958">+CK86/CK107</f>
        <v>8.9868849892064873</v>
      </c>
      <c r="CL111" s="163">
        <f t="shared" si="958"/>
        <v>9.0404213330593439</v>
      </c>
      <c r="CM111" s="94">
        <f t="shared" ref="CM111:DB111" si="959">+CL111</f>
        <v>9.0404213330593439</v>
      </c>
      <c r="CN111" s="94">
        <f t="shared" si="959"/>
        <v>9.0404213330593439</v>
      </c>
      <c r="CO111" s="94">
        <f t="shared" si="959"/>
        <v>9.0404213330593439</v>
      </c>
      <c r="CP111" s="94">
        <f t="shared" si="959"/>
        <v>9.0404213330593439</v>
      </c>
      <c r="CQ111" s="94">
        <f t="shared" si="959"/>
        <v>9.0404213330593439</v>
      </c>
      <c r="CR111" s="94">
        <f t="shared" si="959"/>
        <v>9.0404213330593439</v>
      </c>
      <c r="CS111" s="94">
        <f t="shared" si="959"/>
        <v>9.0404213330593439</v>
      </c>
      <c r="CT111" s="94">
        <f t="shared" si="959"/>
        <v>9.0404213330593439</v>
      </c>
      <c r="CU111" s="94">
        <f t="shared" si="959"/>
        <v>9.0404213330593439</v>
      </c>
      <c r="CV111" s="94">
        <f t="shared" si="959"/>
        <v>9.0404213330593439</v>
      </c>
      <c r="CW111" s="94">
        <f t="shared" si="959"/>
        <v>9.0404213330593439</v>
      </c>
      <c r="CX111" s="94">
        <f t="shared" si="959"/>
        <v>9.0404213330593439</v>
      </c>
      <c r="CY111" s="94">
        <f t="shared" si="959"/>
        <v>9.0404213330593439</v>
      </c>
      <c r="CZ111" s="94">
        <f t="shared" si="959"/>
        <v>9.0404213330593439</v>
      </c>
      <c r="DA111" s="94">
        <f t="shared" si="959"/>
        <v>9.0404213330593439</v>
      </c>
      <c r="DB111" s="94">
        <f t="shared" si="959"/>
        <v>9.0404213330593439</v>
      </c>
      <c r="DE111" s="164"/>
      <c r="DF111" s="163">
        <v>9.0404213330593439</v>
      </c>
    </row>
    <row r="112" spans="1:110" s="163" customFormat="1" x14ac:dyDescent="0.2">
      <c r="A112" s="163" t="s">
        <v>509</v>
      </c>
      <c r="E112" s="163" t="e">
        <f t="shared" ca="1" si="949"/>
        <v>#DIV/0!</v>
      </c>
      <c r="F112" s="163" t="e">
        <f t="shared" ca="1" si="949"/>
        <v>#DIV/0!</v>
      </c>
      <c r="G112" s="163" t="e">
        <f t="shared" ca="1" si="949"/>
        <v>#DIV/0!</v>
      </c>
      <c r="H112" s="163" t="e">
        <f t="shared" ca="1" si="949"/>
        <v>#DIV/0!</v>
      </c>
      <c r="I112" s="163" t="e">
        <f t="shared" ca="1" si="949"/>
        <v>#DIV/0!</v>
      </c>
      <c r="J112" s="163" t="e">
        <f t="shared" ca="1" si="949"/>
        <v>#DIV/0!</v>
      </c>
      <c r="K112" s="163" t="e">
        <f t="shared" ca="1" si="949"/>
        <v>#DIV/0!</v>
      </c>
      <c r="L112" s="163" t="e">
        <f t="shared" ca="1" si="949"/>
        <v>#DIV/0!</v>
      </c>
      <c r="M112" s="163">
        <f t="shared" ca="1" si="949"/>
        <v>0</v>
      </c>
      <c r="N112" s="163">
        <f t="shared" ca="1" si="949"/>
        <v>0</v>
      </c>
      <c r="O112" s="163">
        <f t="shared" ca="1" si="949"/>
        <v>0</v>
      </c>
      <c r="P112" s="163">
        <f t="shared" ca="1" si="949"/>
        <v>0</v>
      </c>
      <c r="Q112" s="163">
        <f t="shared" ca="1" si="949"/>
        <v>0</v>
      </c>
      <c r="R112" s="163">
        <f t="shared" ca="1" si="949"/>
        <v>2.5679514366704166</v>
      </c>
      <c r="S112" s="163">
        <f t="shared" ca="1" si="949"/>
        <v>2.5467471074862487</v>
      </c>
      <c r="T112" s="163">
        <f t="shared" ca="1" si="949"/>
        <v>1.5263334258323602</v>
      </c>
      <c r="U112" s="163">
        <f t="shared" ca="1" si="949"/>
        <v>1.1362373398499852</v>
      </c>
      <c r="V112" s="163">
        <f t="shared" ca="1" si="949"/>
        <v>0.7137422379926498</v>
      </c>
      <c r="W112" s="163">
        <f t="shared" ca="1" si="949"/>
        <v>3.9442234635513231</v>
      </c>
      <c r="X112" s="163">
        <f t="shared" ca="1" si="949"/>
        <v>2.5631603082500765</v>
      </c>
      <c r="Y112" s="163">
        <f t="shared" ca="1" si="949"/>
        <v>2.9949244965610817</v>
      </c>
      <c r="Z112" s="163">
        <f t="shared" ca="1" si="954"/>
        <v>3.7602174394486094</v>
      </c>
      <c r="AA112" s="163">
        <f t="shared" ref="AA112" ca="1" si="960">+AA87/AA$107</f>
        <v>3.7602174394486094</v>
      </c>
      <c r="AB112" s="94">
        <f t="shared" ca="1" si="949"/>
        <v>6.5859318298446636</v>
      </c>
      <c r="AC112" s="94">
        <f t="shared" ca="1" si="949"/>
        <v>6.0150131941262552</v>
      </c>
      <c r="AD112" s="94">
        <f t="shared" ca="1" si="949"/>
        <v>6.1651796573528577</v>
      </c>
      <c r="AE112" s="94">
        <f t="shared" ca="1" si="949"/>
        <v>6.3539858320380986</v>
      </c>
      <c r="AL112" s="163" t="e">
        <f t="shared" ref="AL112:BQ112" si="961">+AL87/AL107</f>
        <v>#DIV/0!</v>
      </c>
      <c r="AM112" s="163" t="e">
        <f t="shared" si="961"/>
        <v>#DIV/0!</v>
      </c>
      <c r="AN112" s="163" t="e">
        <f t="shared" si="961"/>
        <v>#DIV/0!</v>
      </c>
      <c r="AO112" s="163" t="e">
        <f t="shared" si="961"/>
        <v>#DIV/0!</v>
      </c>
      <c r="AP112" s="163" t="e">
        <f t="shared" si="961"/>
        <v>#DIV/0!</v>
      </c>
      <c r="AQ112" s="163" t="e">
        <f t="shared" si="961"/>
        <v>#DIV/0!</v>
      </c>
      <c r="AR112" s="163" t="e">
        <f t="shared" si="961"/>
        <v>#DIV/0!</v>
      </c>
      <c r="AS112" s="163" t="e">
        <f t="shared" si="961"/>
        <v>#DIV/0!</v>
      </c>
      <c r="AT112" s="163" t="e">
        <f t="shared" si="961"/>
        <v>#DIV/0!</v>
      </c>
      <c r="AU112" s="163" t="e">
        <f t="shared" si="961"/>
        <v>#DIV/0!</v>
      </c>
      <c r="AV112" s="163" t="e">
        <f t="shared" si="961"/>
        <v>#DIV/0!</v>
      </c>
      <c r="AW112" s="163">
        <f t="shared" si="961"/>
        <v>0</v>
      </c>
      <c r="AX112" s="163">
        <f t="shared" si="961"/>
        <v>0</v>
      </c>
      <c r="AY112" s="163">
        <f t="shared" si="961"/>
        <v>0</v>
      </c>
      <c r="AZ112" s="163">
        <f t="shared" si="961"/>
        <v>0</v>
      </c>
      <c r="BA112" s="163">
        <f t="shared" si="961"/>
        <v>0</v>
      </c>
      <c r="BB112" s="163">
        <f t="shared" si="961"/>
        <v>2.5892415879690343</v>
      </c>
      <c r="BC112" s="163">
        <f t="shared" si="961"/>
        <v>2.7040044261020397</v>
      </c>
      <c r="BD112" s="163">
        <f t="shared" si="961"/>
        <v>2.6579980282043043</v>
      </c>
      <c r="BE112" s="163">
        <f t="shared" si="961"/>
        <v>2.7089332074877763</v>
      </c>
      <c r="BF112" s="163">
        <f t="shared" si="961"/>
        <v>2.5307164851863435</v>
      </c>
      <c r="BG112" s="163">
        <f t="shared" si="961"/>
        <v>2.2402435187486005</v>
      </c>
      <c r="BH112" s="163">
        <f t="shared" si="961"/>
        <v>2.0725228009263001</v>
      </c>
      <c r="BI112" s="163">
        <f t="shared" si="961"/>
        <v>1.608446929289421</v>
      </c>
      <c r="BJ112" s="163">
        <f t="shared" si="961"/>
        <v>1.5261920593948468</v>
      </c>
      <c r="BK112" s="163">
        <f t="shared" si="961"/>
        <v>1.5093981295168286</v>
      </c>
      <c r="BL112" s="163">
        <f t="shared" si="961"/>
        <v>1.3252584437026074</v>
      </c>
      <c r="BM112" s="163">
        <f t="shared" si="961"/>
        <v>1.2477429092136554</v>
      </c>
      <c r="BN112" s="163">
        <f t="shared" si="961"/>
        <v>1.1799761275832357</v>
      </c>
      <c r="BO112" s="163">
        <f t="shared" si="961"/>
        <v>1.0552354037973011</v>
      </c>
      <c r="BP112" s="163">
        <f t="shared" si="961"/>
        <v>1.5141827702620121</v>
      </c>
      <c r="BQ112" s="163">
        <f t="shared" si="961"/>
        <v>3.1949716085947664</v>
      </c>
      <c r="BR112" s="163">
        <f t="shared" ref="BR112:CJ112" si="962">+BR87/BR107</f>
        <v>3.7371554229657775</v>
      </c>
      <c r="BS112" s="163">
        <f t="shared" si="962"/>
        <v>3.8035105682446568</v>
      </c>
      <c r="BT112" s="163">
        <f t="shared" si="962"/>
        <v>6.11480916884876</v>
      </c>
      <c r="BU112" s="163">
        <f t="shared" si="962"/>
        <v>4.8785927149290931</v>
      </c>
      <c r="BV112" s="163">
        <f t="shared" si="962"/>
        <v>4.7378795154359068</v>
      </c>
      <c r="BW112" s="163">
        <f t="shared" si="962"/>
        <v>4.5398796384148605</v>
      </c>
      <c r="BX112" s="163">
        <f t="shared" si="962"/>
        <v>4.444192607597846</v>
      </c>
      <c r="BY112" s="163">
        <f t="shared" si="962"/>
        <v>3.2714586949090143</v>
      </c>
      <c r="BZ112" s="163">
        <f t="shared" si="962"/>
        <v>2.5629229126486828</v>
      </c>
      <c r="CA112" s="163">
        <f t="shared" si="962"/>
        <v>2.6560697821726427</v>
      </c>
      <c r="CB112" s="163">
        <f t="shared" si="962"/>
        <v>3.3221436394871677</v>
      </c>
      <c r="CC112" s="163">
        <f t="shared" si="962"/>
        <v>3.7900394615881781</v>
      </c>
      <c r="CD112" s="163">
        <f t="shared" si="962"/>
        <v>3.8411583013114901</v>
      </c>
      <c r="CE112" s="163">
        <f t="shared" si="962"/>
        <v>4.1318499391565018</v>
      </c>
      <c r="CF112" s="163">
        <f t="shared" si="962"/>
        <v>4.1693172643077654</v>
      </c>
      <c r="CG112" s="163">
        <f t="shared" si="962"/>
        <v>4.3269330764431579</v>
      </c>
      <c r="CH112" s="163">
        <f t="shared" si="962"/>
        <v>4.9013881986906638</v>
      </c>
      <c r="CI112" s="163">
        <f t="shared" si="962"/>
        <v>4.7077328282129729</v>
      </c>
      <c r="CJ112" s="163">
        <f t="shared" si="962"/>
        <v>6.129469881526612</v>
      </c>
      <c r="CK112" s="163">
        <f t="shared" ref="CK112:CL112" si="963">+CK87/CK107</f>
        <v>6.7336381205154101</v>
      </c>
      <c r="CL112" s="163">
        <f t="shared" si="963"/>
        <v>7.2373291476463777</v>
      </c>
      <c r="CM112" s="94">
        <f t="shared" ref="CM112:DB112" si="964">+CL112</f>
        <v>7.2373291476463777</v>
      </c>
      <c r="CN112" s="94">
        <f t="shared" si="964"/>
        <v>7.2373291476463777</v>
      </c>
      <c r="CO112" s="94">
        <f t="shared" si="964"/>
        <v>7.2373291476463777</v>
      </c>
      <c r="CP112" s="94">
        <f t="shared" si="964"/>
        <v>7.2373291476463777</v>
      </c>
      <c r="CQ112" s="94">
        <f t="shared" si="964"/>
        <v>7.2373291476463777</v>
      </c>
      <c r="CR112" s="94">
        <f t="shared" si="964"/>
        <v>7.2373291476463777</v>
      </c>
      <c r="CS112" s="94">
        <f t="shared" si="964"/>
        <v>7.2373291476463777</v>
      </c>
      <c r="CT112" s="94">
        <f t="shared" si="964"/>
        <v>7.2373291476463777</v>
      </c>
      <c r="CU112" s="94">
        <f t="shared" si="964"/>
        <v>7.2373291476463777</v>
      </c>
      <c r="CV112" s="94">
        <f t="shared" si="964"/>
        <v>7.2373291476463777</v>
      </c>
      <c r="CW112" s="94">
        <f t="shared" si="964"/>
        <v>7.2373291476463777</v>
      </c>
      <c r="CX112" s="94">
        <f t="shared" si="964"/>
        <v>7.2373291476463777</v>
      </c>
      <c r="CY112" s="94">
        <f t="shared" si="964"/>
        <v>7.2373291476463777</v>
      </c>
      <c r="CZ112" s="94">
        <f t="shared" si="964"/>
        <v>7.2373291476463777</v>
      </c>
      <c r="DA112" s="94">
        <f t="shared" si="964"/>
        <v>7.2373291476463777</v>
      </c>
      <c r="DB112" s="94">
        <f t="shared" si="964"/>
        <v>7.2373291476463777</v>
      </c>
      <c r="DE112" s="164"/>
      <c r="DF112" s="163">
        <v>4.097072355384638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162" customFormat="1" x14ac:dyDescent="0.2">
      <c r="A115" s="49" t="s">
        <v>340</v>
      </c>
      <c r="B115" s="162" t="e">
        <f t="shared" ref="B115:AE115" si="965">+B86*B73</f>
        <v>#DIV/0!</v>
      </c>
      <c r="C115" s="162" t="e">
        <f t="shared" si="965"/>
        <v>#DIV/0!</v>
      </c>
      <c r="D115" s="162" t="e">
        <f t="shared" si="965"/>
        <v>#DIV/0!</v>
      </c>
      <c r="E115" s="162">
        <f t="shared" ca="1" si="965"/>
        <v>0</v>
      </c>
      <c r="F115" s="162">
        <f t="shared" ca="1" si="965"/>
        <v>0</v>
      </c>
      <c r="G115" s="162">
        <f t="shared" ca="1" si="965"/>
        <v>0</v>
      </c>
      <c r="H115" s="162">
        <f t="shared" ca="1" si="965"/>
        <v>0</v>
      </c>
      <c r="I115" s="162">
        <f t="shared" ca="1" si="965"/>
        <v>0</v>
      </c>
      <c r="J115" s="162">
        <f t="shared" ca="1" si="965"/>
        <v>0</v>
      </c>
      <c r="K115" s="162">
        <f t="shared" ca="1" si="965"/>
        <v>0</v>
      </c>
      <c r="L115" s="162">
        <f t="shared" ca="1" si="965"/>
        <v>0</v>
      </c>
      <c r="M115" s="162">
        <f t="shared" ca="1" si="965"/>
        <v>0</v>
      </c>
      <c r="N115" s="162">
        <f t="shared" ca="1" si="965"/>
        <v>0</v>
      </c>
      <c r="O115" s="162">
        <f t="shared" ca="1" si="965"/>
        <v>0</v>
      </c>
      <c r="P115" s="162">
        <f t="shared" ca="1" si="965"/>
        <v>0</v>
      </c>
      <c r="Q115" s="162">
        <f t="shared" ca="1" si="965"/>
        <v>0</v>
      </c>
      <c r="R115" s="162">
        <f t="shared" ca="1" si="965"/>
        <v>6316.2449999999999</v>
      </c>
      <c r="S115" s="162">
        <f t="shared" ca="1" si="965"/>
        <v>6845.2979999999998</v>
      </c>
      <c r="T115" s="162">
        <f t="shared" ca="1" si="965"/>
        <v>5614.44</v>
      </c>
      <c r="U115" s="162">
        <f t="shared" ca="1" si="965"/>
        <v>4966.62</v>
      </c>
      <c r="V115" s="162">
        <f t="shared" ca="1" si="965"/>
        <v>20827.413</v>
      </c>
      <c r="W115" s="162">
        <f t="shared" ca="1" si="965"/>
        <v>39060.846749999997</v>
      </c>
      <c r="X115" s="162">
        <f t="shared" ca="1" si="965"/>
        <v>33794.61</v>
      </c>
      <c r="Y115" s="162">
        <f t="shared" ca="1" si="965"/>
        <v>23996.3325</v>
      </c>
      <c r="Z115" s="162">
        <f t="shared" ca="1" si="965"/>
        <v>34887.806250000001</v>
      </c>
      <c r="AA115" s="162">
        <f t="shared" ref="AA115" ca="1" si="966">+AA86*AA73</f>
        <v>34887.806250000001</v>
      </c>
      <c r="AB115" s="21">
        <f t="shared" ca="1" si="965"/>
        <v>66183.802160300969</v>
      </c>
      <c r="AC115" s="21">
        <f t="shared" ca="1" si="965"/>
        <v>76419.674271202646</v>
      </c>
      <c r="AD115" s="21">
        <f t="shared" ca="1" si="965"/>
        <v>90833.377218436246</v>
      </c>
      <c r="AE115" s="21">
        <f t="shared" ca="1" si="965"/>
        <v>127238.79001237563</v>
      </c>
      <c r="AL115" s="162">
        <f t="shared" ref="AL115:BQ115" si="967">+AL86*AL73</f>
        <v>0</v>
      </c>
      <c r="AM115" s="162">
        <f t="shared" si="967"/>
        <v>0</v>
      </c>
      <c r="AN115" s="162">
        <f t="shared" si="967"/>
        <v>0</v>
      </c>
      <c r="AO115" s="162">
        <f t="shared" si="967"/>
        <v>0</v>
      </c>
      <c r="AP115" s="162">
        <f t="shared" si="967"/>
        <v>0</v>
      </c>
      <c r="AQ115" s="162">
        <f t="shared" si="967"/>
        <v>0</v>
      </c>
      <c r="AR115" s="162">
        <f t="shared" si="967"/>
        <v>0</v>
      </c>
      <c r="AS115" s="162">
        <f t="shared" si="967"/>
        <v>0</v>
      </c>
      <c r="AT115" s="162">
        <f t="shared" si="967"/>
        <v>0</v>
      </c>
      <c r="AU115" s="162">
        <f t="shared" si="967"/>
        <v>0</v>
      </c>
      <c r="AV115" s="162">
        <f t="shared" si="967"/>
        <v>0</v>
      </c>
      <c r="AW115" s="162">
        <f t="shared" si="967"/>
        <v>0</v>
      </c>
      <c r="AX115" s="162">
        <f t="shared" si="967"/>
        <v>0</v>
      </c>
      <c r="AY115" s="162">
        <f t="shared" si="967"/>
        <v>0</v>
      </c>
      <c r="AZ115" s="162">
        <f t="shared" si="967"/>
        <v>0</v>
      </c>
      <c r="BA115" s="162">
        <f t="shared" si="967"/>
        <v>5382.8855999999996</v>
      </c>
      <c r="BB115" s="162">
        <f t="shared" si="967"/>
        <v>6315.66</v>
      </c>
      <c r="BC115" s="162">
        <f t="shared" si="967"/>
        <v>6844.6639999999998</v>
      </c>
      <c r="BD115" s="162">
        <f t="shared" si="967"/>
        <v>6801.48</v>
      </c>
      <c r="BE115" s="162">
        <f t="shared" si="967"/>
        <v>6253.5829999999996</v>
      </c>
      <c r="BF115" s="162">
        <f t="shared" si="967"/>
        <v>6110.5360000000001</v>
      </c>
      <c r="BG115" s="162">
        <f t="shared" si="967"/>
        <v>5613.92</v>
      </c>
      <c r="BH115" s="162">
        <f t="shared" si="967"/>
        <v>5430.387999999999</v>
      </c>
      <c r="BI115" s="162">
        <f t="shared" si="967"/>
        <v>4696.2599999999993</v>
      </c>
      <c r="BJ115" s="162">
        <f t="shared" si="967"/>
        <v>4447.9520000000002</v>
      </c>
      <c r="BK115" s="162">
        <f t="shared" si="967"/>
        <v>4415.5639999999994</v>
      </c>
      <c r="BL115" s="162">
        <f t="shared" si="967"/>
        <v>4050.6592000000001</v>
      </c>
      <c r="BM115" s="162">
        <f t="shared" si="967"/>
        <v>4514.8872000000001</v>
      </c>
      <c r="BN115" s="162">
        <f t="shared" si="967"/>
        <v>4966.16</v>
      </c>
      <c r="BO115" s="162">
        <f t="shared" si="967"/>
        <v>6340.4907999999996</v>
      </c>
      <c r="BP115" s="162">
        <f t="shared" si="967"/>
        <v>16731.640799999997</v>
      </c>
      <c r="BQ115" s="162">
        <f t="shared" si="967"/>
        <v>19737.786999999997</v>
      </c>
      <c r="BR115" s="162">
        <f t="shared" ref="BR115:CJ115" si="968">+BR86*BR73</f>
        <v>20825.484</v>
      </c>
      <c r="BS115" s="162">
        <f t="shared" si="968"/>
        <v>37664.544999999998</v>
      </c>
      <c r="BT115" s="162">
        <f t="shared" si="968"/>
        <v>39057.228999999992</v>
      </c>
      <c r="BU115" s="162">
        <f t="shared" si="968"/>
        <v>35788.74</v>
      </c>
      <c r="BV115" s="162">
        <f t="shared" si="968"/>
        <v>33108.633000000002</v>
      </c>
      <c r="BW115" s="162">
        <f t="shared" si="968"/>
        <v>33791.479999999996</v>
      </c>
      <c r="BX115" s="162">
        <f t="shared" si="968"/>
        <v>32684.89</v>
      </c>
      <c r="BY115" s="162">
        <f t="shared" si="968"/>
        <v>28782.136000000002</v>
      </c>
      <c r="BZ115" s="162">
        <f t="shared" si="968"/>
        <v>20833.580999999998</v>
      </c>
      <c r="CA115" s="162">
        <f t="shared" si="968"/>
        <v>20242.5</v>
      </c>
      <c r="CB115" s="162">
        <f t="shared" si="968"/>
        <v>22555.543000000001</v>
      </c>
      <c r="CC115" s="162">
        <f t="shared" si="968"/>
        <v>23697.219999999998</v>
      </c>
      <c r="CD115" s="162">
        <f t="shared" si="968"/>
        <v>23994.109999999997</v>
      </c>
      <c r="CE115" s="162">
        <f t="shared" si="968"/>
        <v>25419.181999999997</v>
      </c>
      <c r="CF115" s="162">
        <f t="shared" si="968"/>
        <v>27956.241999999998</v>
      </c>
      <c r="CG115" s="162">
        <f t="shared" si="968"/>
        <v>32636.308000000001</v>
      </c>
      <c r="CH115" s="162">
        <f t="shared" si="968"/>
        <v>34884.574999999997</v>
      </c>
      <c r="CI115" s="162">
        <f t="shared" si="968"/>
        <v>39238.061999999998</v>
      </c>
      <c r="CJ115" s="162">
        <f t="shared" si="968"/>
        <v>50957.119999999995</v>
      </c>
      <c r="CK115" s="162">
        <f t="shared" ref="CK115:CL115" si="969">+CK86*CK73</f>
        <v>60406.515749999999</v>
      </c>
      <c r="CL115" s="162">
        <f t="shared" si="969"/>
        <v>61591.486500000006</v>
      </c>
      <c r="CM115" s="21">
        <f t="shared" ref="CM115:DB115" si="970">+CM86*CM73</f>
        <v>64455.121714019428</v>
      </c>
      <c r="CN115" s="21">
        <f t="shared" si="970"/>
        <v>66183.802160300969</v>
      </c>
      <c r="CO115" s="21">
        <f t="shared" si="970"/>
        <v>66152.347361359789</v>
      </c>
      <c r="CP115" s="21">
        <f t="shared" si="970"/>
        <v>64495.129060228181</v>
      </c>
      <c r="CQ115" s="21">
        <f t="shared" si="970"/>
        <v>67697.811059818181</v>
      </c>
      <c r="CR115" s="21">
        <f t="shared" si="970"/>
        <v>70546.988569635767</v>
      </c>
      <c r="CS115" s="21">
        <f t="shared" si="970"/>
        <v>73406.750972192021</v>
      </c>
      <c r="CT115" s="21">
        <f t="shared" si="970"/>
        <v>76419.674271202646</v>
      </c>
      <c r="CU115" s="21">
        <f t="shared" si="970"/>
        <v>79796.091420216078</v>
      </c>
      <c r="CV115" s="21">
        <f t="shared" si="970"/>
        <v>84453.63049094865</v>
      </c>
      <c r="CW115" s="21">
        <f t="shared" si="970"/>
        <v>87546.23217497021</v>
      </c>
      <c r="CX115" s="21">
        <f t="shared" si="970"/>
        <v>90833.377218436246</v>
      </c>
      <c r="CY115" s="21">
        <f t="shared" si="970"/>
        <v>94575.787226423781</v>
      </c>
      <c r="CZ115" s="21">
        <f t="shared" si="970"/>
        <v>106375.9827028197</v>
      </c>
      <c r="DA115" s="21">
        <f t="shared" si="970"/>
        <v>117302.15995508272</v>
      </c>
      <c r="DB115" s="21">
        <f t="shared" si="970"/>
        <v>127238.79001237563</v>
      </c>
      <c r="DE115" s="22"/>
      <c r="DF115" s="162">
        <v>61591.486500000006</v>
      </c>
    </row>
    <row r="116" spans="1:110" s="162" customFormat="1" x14ac:dyDescent="0.2">
      <c r="A116" s="49" t="s">
        <v>341</v>
      </c>
      <c r="B116" s="162" t="e">
        <f t="shared" ref="B116:AE116" si="971">+B87*B73</f>
        <v>#DIV/0!</v>
      </c>
      <c r="C116" s="162" t="e">
        <f t="shared" si="971"/>
        <v>#DIV/0!</v>
      </c>
      <c r="D116" s="162" t="e">
        <f t="shared" si="971"/>
        <v>#DIV/0!</v>
      </c>
      <c r="E116" s="162">
        <f t="shared" ca="1" si="971"/>
        <v>0</v>
      </c>
      <c r="F116" s="162">
        <f t="shared" ca="1" si="971"/>
        <v>0</v>
      </c>
      <c r="G116" s="162">
        <f t="shared" ca="1" si="971"/>
        <v>0</v>
      </c>
      <c r="H116" s="162">
        <f t="shared" ca="1" si="971"/>
        <v>0</v>
      </c>
      <c r="I116" s="162">
        <f t="shared" ca="1" si="971"/>
        <v>0</v>
      </c>
      <c r="J116" s="162">
        <f t="shared" ca="1" si="971"/>
        <v>0</v>
      </c>
      <c r="K116" s="162">
        <f t="shared" ca="1" si="971"/>
        <v>0</v>
      </c>
      <c r="L116" s="162">
        <f t="shared" ca="1" si="971"/>
        <v>0</v>
      </c>
      <c r="M116" s="162">
        <f t="shared" ca="1" si="971"/>
        <v>0</v>
      </c>
      <c r="N116" s="162">
        <f t="shared" ca="1" si="971"/>
        <v>0</v>
      </c>
      <c r="O116" s="162">
        <f t="shared" ca="1" si="971"/>
        <v>0</v>
      </c>
      <c r="P116" s="162">
        <f t="shared" ca="1" si="971"/>
        <v>0</v>
      </c>
      <c r="Q116" s="162">
        <f t="shared" ca="1" si="971"/>
        <v>0</v>
      </c>
      <c r="R116" s="162">
        <f t="shared" ca="1" si="971"/>
        <v>4891.0409999999993</v>
      </c>
      <c r="S116" s="162">
        <f t="shared" ca="1" si="971"/>
        <v>5236.5450000000001</v>
      </c>
      <c r="T116" s="162">
        <f t="shared" ca="1" si="971"/>
        <v>3498.2279999999996</v>
      </c>
      <c r="U116" s="162">
        <f t="shared" ca="1" si="971"/>
        <v>3217.5059999999999</v>
      </c>
      <c r="V116" s="162">
        <f t="shared" ca="1" si="971"/>
        <v>3435.6053999999999</v>
      </c>
      <c r="W116" s="162">
        <f t="shared" ca="1" si="971"/>
        <v>19466.991000000002</v>
      </c>
      <c r="X116" s="162">
        <f t="shared" ca="1" si="971"/>
        <v>15482.898000000001</v>
      </c>
      <c r="Y116" s="162">
        <f t="shared" ca="1" si="971"/>
        <v>15096.905249999998</v>
      </c>
      <c r="Z116" s="162">
        <f t="shared" ca="1" si="971"/>
        <v>20884.097250000003</v>
      </c>
      <c r="AA116" s="162">
        <f t="shared" ref="AA116" ca="1" si="972">+AA87*AA73</f>
        <v>20884.097250000003</v>
      </c>
      <c r="AB116" s="21">
        <f t="shared" ca="1" si="971"/>
        <v>51599.689208081021</v>
      </c>
      <c r="AC116" s="21">
        <f t="shared" ca="1" si="971"/>
        <v>54195.631283622512</v>
      </c>
      <c r="AD116" s="21">
        <f t="shared" ca="1" si="971"/>
        <v>63880.936189547145</v>
      </c>
      <c r="AE116" s="21">
        <f t="shared" ca="1" si="971"/>
        <v>75712.854118024494</v>
      </c>
      <c r="AL116" s="162">
        <f t="shared" ref="AL116:BQ116" si="973">+AL87*AL73</f>
        <v>0</v>
      </c>
      <c r="AM116" s="162">
        <f t="shared" si="973"/>
        <v>0</v>
      </c>
      <c r="AN116" s="162">
        <f t="shared" si="973"/>
        <v>0</v>
      </c>
      <c r="AO116" s="162">
        <f t="shared" si="973"/>
        <v>0</v>
      </c>
      <c r="AP116" s="162">
        <f t="shared" si="973"/>
        <v>0</v>
      </c>
      <c r="AQ116" s="162">
        <f t="shared" si="973"/>
        <v>0</v>
      </c>
      <c r="AR116" s="162">
        <f t="shared" si="973"/>
        <v>0</v>
      </c>
      <c r="AS116" s="162">
        <f t="shared" si="973"/>
        <v>0</v>
      </c>
      <c r="AT116" s="162">
        <f t="shared" si="973"/>
        <v>0</v>
      </c>
      <c r="AU116" s="162">
        <f t="shared" si="973"/>
        <v>0</v>
      </c>
      <c r="AV116" s="162">
        <f t="shared" si="973"/>
        <v>0</v>
      </c>
      <c r="AW116" s="162">
        <f t="shared" si="973"/>
        <v>0</v>
      </c>
      <c r="AX116" s="162">
        <f t="shared" si="973"/>
        <v>0</v>
      </c>
      <c r="AY116" s="162">
        <f t="shared" si="973"/>
        <v>0</v>
      </c>
      <c r="AZ116" s="162">
        <f t="shared" si="973"/>
        <v>0</v>
      </c>
      <c r="BA116" s="162">
        <f t="shared" si="973"/>
        <v>0</v>
      </c>
      <c r="BB116" s="162">
        <f t="shared" si="973"/>
        <v>5001.2470000000003</v>
      </c>
      <c r="BC116" s="162">
        <f t="shared" si="973"/>
        <v>5424.99</v>
      </c>
      <c r="BD116" s="162">
        <f t="shared" si="973"/>
        <v>5367.7711999999992</v>
      </c>
      <c r="BE116" s="162">
        <f t="shared" si="973"/>
        <v>5387.2039999999997</v>
      </c>
      <c r="BF116" s="162">
        <f t="shared" si="973"/>
        <v>5236.0599999999995</v>
      </c>
      <c r="BG116" s="162">
        <f t="shared" si="973"/>
        <v>4742.1429999999991</v>
      </c>
      <c r="BH116" s="162">
        <f t="shared" si="973"/>
        <v>4490.0564000000004</v>
      </c>
      <c r="BI116" s="162">
        <f t="shared" si="973"/>
        <v>3565.9187999999999</v>
      </c>
      <c r="BJ116" s="162">
        <f t="shared" si="973"/>
        <v>3497.9039999999995</v>
      </c>
      <c r="BK116" s="162">
        <f t="shared" si="973"/>
        <v>3476.8517999999995</v>
      </c>
      <c r="BL116" s="162">
        <f t="shared" si="973"/>
        <v>3217.2080000000001</v>
      </c>
      <c r="BM116" s="162">
        <f t="shared" si="973"/>
        <v>3278.7451999999998</v>
      </c>
      <c r="BN116" s="162">
        <f t="shared" si="973"/>
        <v>3341.3619999999996</v>
      </c>
      <c r="BO116" s="162">
        <f t="shared" si="973"/>
        <v>3435.2871999999998</v>
      </c>
      <c r="BP116" s="162">
        <f t="shared" si="973"/>
        <v>5575.0544</v>
      </c>
      <c r="BQ116" s="162">
        <f t="shared" si="973"/>
        <v>13548.98</v>
      </c>
      <c r="BR116" s="162">
        <f t="shared" ref="BR116:CJ116" si="974">+BR87*BR73</f>
        <v>17988.834999999999</v>
      </c>
      <c r="BS116" s="162">
        <f t="shared" si="974"/>
        <v>19465.187999999998</v>
      </c>
      <c r="BT116" s="162">
        <f t="shared" si="974"/>
        <v>31688.958999999995</v>
      </c>
      <c r="BU116" s="162">
        <f t="shared" si="974"/>
        <v>24015.701999999997</v>
      </c>
      <c r="BV116" s="162">
        <f t="shared" si="974"/>
        <v>23384.135999999999</v>
      </c>
      <c r="BW116" s="162">
        <f t="shared" si="974"/>
        <v>23589.26</v>
      </c>
      <c r="BX116" s="162">
        <f t="shared" si="974"/>
        <v>24747.130999999998</v>
      </c>
      <c r="BY116" s="162">
        <f t="shared" si="974"/>
        <v>19905.125</v>
      </c>
      <c r="BZ116" s="162">
        <f t="shared" si="974"/>
        <v>15481.464</v>
      </c>
      <c r="CA116" s="162">
        <f t="shared" si="974"/>
        <v>15095.506999999998</v>
      </c>
      <c r="CB116" s="162">
        <f t="shared" si="974"/>
        <v>17713.536999999997</v>
      </c>
      <c r="CC116" s="162">
        <f t="shared" si="974"/>
        <v>18882.203999999998</v>
      </c>
      <c r="CD116" s="162">
        <f t="shared" si="974"/>
        <v>19362.625999999997</v>
      </c>
      <c r="CE116" s="162">
        <f t="shared" si="974"/>
        <v>20882.163</v>
      </c>
      <c r="CF116" s="162">
        <f t="shared" si="974"/>
        <v>21068.394</v>
      </c>
      <c r="CG116" s="162">
        <f t="shared" si="974"/>
        <v>22817.345999999998</v>
      </c>
      <c r="CH116" s="162">
        <f t="shared" si="974"/>
        <v>27222.113999999998</v>
      </c>
      <c r="CI116" s="162">
        <f t="shared" si="974"/>
        <v>27910.358999999997</v>
      </c>
      <c r="CJ116" s="162">
        <f t="shared" si="974"/>
        <v>38973.56</v>
      </c>
      <c r="CK116" s="162">
        <f t="shared" ref="CK116:CL116" si="975">+CK87*CK73</f>
        <v>45261.023999999998</v>
      </c>
      <c r="CL116" s="162">
        <f t="shared" si="975"/>
        <v>49307.19975</v>
      </c>
      <c r="CM116" s="21">
        <f t="shared" ref="CM116:DB116" si="976">+CM87*CM73</f>
        <v>51599.689208081021</v>
      </c>
      <c r="CN116" s="21">
        <f t="shared" si="976"/>
        <v>52983.588134903046</v>
      </c>
      <c r="CO116" s="21">
        <f t="shared" si="976"/>
        <v>52958.406926547432</v>
      </c>
      <c r="CP116" s="21">
        <f t="shared" si="976"/>
        <v>51631.717176929975</v>
      </c>
      <c r="CQ116" s="21">
        <f t="shared" si="976"/>
        <v>54195.631283622512</v>
      </c>
      <c r="CR116" s="21">
        <f t="shared" si="976"/>
        <v>56476.546594860913</v>
      </c>
      <c r="CS116" s="21">
        <f t="shared" si="976"/>
        <v>58765.935665221819</v>
      </c>
      <c r="CT116" s="21">
        <f t="shared" si="976"/>
        <v>61177.938027524688</v>
      </c>
      <c r="CU116" s="21">
        <f t="shared" si="976"/>
        <v>63880.936189547145</v>
      </c>
      <c r="CV116" s="21">
        <f t="shared" si="976"/>
        <v>67609.539318878014</v>
      </c>
      <c r="CW116" s="21">
        <f t="shared" si="976"/>
        <v>70085.32838724606</v>
      </c>
      <c r="CX116" s="21">
        <f t="shared" si="976"/>
        <v>72716.859569163586</v>
      </c>
      <c r="CY116" s="21">
        <f t="shared" si="976"/>
        <v>75712.854118024494</v>
      </c>
      <c r="CZ116" s="21">
        <f t="shared" si="976"/>
        <v>85159.526515575737</v>
      </c>
      <c r="DA116" s="21">
        <f t="shared" si="976"/>
        <v>93906.501704772367</v>
      </c>
      <c r="DB116" s="21">
        <f t="shared" si="976"/>
        <v>101861.29271435116</v>
      </c>
      <c r="DE116" s="22"/>
      <c r="DF116" s="162">
        <v>27912.944249999997</v>
      </c>
    </row>
    <row r="117" spans="1:110" s="162" customFormat="1" x14ac:dyDescent="0.2">
      <c r="A117" s="49" t="s">
        <v>80</v>
      </c>
      <c r="B117" s="162">
        <f>+B176</f>
        <v>0</v>
      </c>
      <c r="C117" s="162">
        <f t="shared" ref="C117:W117" si="977">+C176</f>
        <v>0</v>
      </c>
      <c r="D117" s="162">
        <f t="shared" si="977"/>
        <v>0</v>
      </c>
      <c r="E117" s="162">
        <f t="shared" si="977"/>
        <v>0</v>
      </c>
      <c r="F117" s="162">
        <f t="shared" si="977"/>
        <v>0</v>
      </c>
      <c r="G117" s="162">
        <f t="shared" si="977"/>
        <v>0</v>
      </c>
      <c r="H117" s="162">
        <f t="shared" si="977"/>
        <v>0</v>
      </c>
      <c r="I117" s="162">
        <f t="shared" si="977"/>
        <v>0</v>
      </c>
      <c r="J117" s="162">
        <f t="shared" si="977"/>
        <v>0</v>
      </c>
      <c r="K117" s="162">
        <f t="shared" si="977"/>
        <v>0</v>
      </c>
      <c r="L117" s="162">
        <f t="shared" si="977"/>
        <v>0</v>
      </c>
      <c r="M117" s="162">
        <f t="shared" si="977"/>
        <v>215.97699999999998</v>
      </c>
      <c r="N117" s="162">
        <f t="shared" si="977"/>
        <v>278.464</v>
      </c>
      <c r="O117" s="162">
        <f t="shared" si="977"/>
        <v>519.62</v>
      </c>
      <c r="P117" s="162">
        <f t="shared" si="977"/>
        <v>762.221</v>
      </c>
      <c r="Q117" s="162">
        <f t="shared" si="977"/>
        <v>998.93600000000004</v>
      </c>
      <c r="R117" s="162">
        <f t="shared" si="977"/>
        <v>837.65600000000006</v>
      </c>
      <c r="S117" s="162">
        <f t="shared" si="977"/>
        <v>976.85</v>
      </c>
      <c r="T117" s="162">
        <f t="shared" si="977"/>
        <v>1032.9080000000001</v>
      </c>
      <c r="U117" s="162">
        <f t="shared" si="977"/>
        <v>1055.1299999999999</v>
      </c>
      <c r="V117" s="162">
        <f t="shared" si="977"/>
        <v>1404.74</v>
      </c>
      <c r="W117" s="162">
        <f t="shared" si="977"/>
        <v>1656.0900000000001</v>
      </c>
      <c r="X117" s="162">
        <f t="shared" ref="X117:Y117" si="978">+X176</f>
        <v>1923.5099999999998</v>
      </c>
      <c r="Y117" s="162">
        <f t="shared" si="978"/>
        <v>2365.4</v>
      </c>
      <c r="Z117" s="162">
        <f t="shared" ref="Z117:AA117" si="979">+Z176</f>
        <v>2548.88</v>
      </c>
      <c r="AA117" s="162">
        <f t="shared" ref="AA117" si="980">+AA176</f>
        <v>2283.7900000000004</v>
      </c>
      <c r="AB117" s="21">
        <f t="shared" ref="AB117:AD117" si="981">+AB176</f>
        <v>2003.7525913992733</v>
      </c>
      <c r="AC117" s="21">
        <f t="shared" si="981"/>
        <v>1574.2248800945722</v>
      </c>
      <c r="AD117" s="21">
        <f t="shared" si="981"/>
        <v>972.10326928541781</v>
      </c>
      <c r="AE117" s="21">
        <f t="shared" ref="AE117" si="982">+AE176</f>
        <v>-106.41854596259736</v>
      </c>
      <c r="AL117" s="162">
        <f t="shared" ref="AL117:AM117" si="983">+AL176</f>
        <v>0</v>
      </c>
      <c r="AM117" s="162" t="e">
        <f t="shared" si="983"/>
        <v>#DIV/0!</v>
      </c>
      <c r="AN117" s="162">
        <f t="shared" ref="AN117:AO117" si="984">+AN176</f>
        <v>0</v>
      </c>
      <c r="AO117" s="162" t="e">
        <f t="shared" si="984"/>
        <v>#DIV/0!</v>
      </c>
      <c r="AP117" s="162">
        <f t="shared" ref="AP117:CD117" si="985">+AP176</f>
        <v>0</v>
      </c>
      <c r="AQ117" s="162" t="e">
        <f t="shared" si="985"/>
        <v>#DIV/0!</v>
      </c>
      <c r="AR117" s="162">
        <f t="shared" si="985"/>
        <v>0</v>
      </c>
      <c r="AS117" s="162" t="e">
        <f t="shared" si="985"/>
        <v>#DIV/0!</v>
      </c>
      <c r="AT117" s="162">
        <f t="shared" si="985"/>
        <v>0</v>
      </c>
      <c r="AU117" s="162" t="e">
        <f t="shared" si="985"/>
        <v>#DIV/0!</v>
      </c>
      <c r="AV117" s="162">
        <f t="shared" si="985"/>
        <v>0</v>
      </c>
      <c r="AW117" s="162" t="e">
        <f t="shared" si="985"/>
        <v>#DIV/0!</v>
      </c>
      <c r="AX117" s="162">
        <f t="shared" si="985"/>
        <v>1036.2870000000003</v>
      </c>
      <c r="AY117" s="162">
        <f t="shared" si="985"/>
        <v>897.23323875917231</v>
      </c>
      <c r="AZ117" s="162">
        <f t="shared" si="985"/>
        <v>0</v>
      </c>
      <c r="BA117" s="162">
        <f t="shared" si="985"/>
        <v>-45.019000000000027</v>
      </c>
      <c r="BB117" s="162">
        <f t="shared" si="985"/>
        <v>905.2890000000001</v>
      </c>
      <c r="BC117" s="162">
        <f t="shared" si="985"/>
        <v>863.79205510941483</v>
      </c>
      <c r="BD117" s="162">
        <f t="shared" si="985"/>
        <v>904.96499999999992</v>
      </c>
      <c r="BE117" s="162">
        <f t="shared" si="985"/>
        <v>772.32076280425508</v>
      </c>
      <c r="BF117" s="162">
        <f t="shared" si="985"/>
        <v>897.11900000000003</v>
      </c>
      <c r="BG117" s="162">
        <f t="shared" si="985"/>
        <v>848.62490053191505</v>
      </c>
      <c r="BH117" s="162">
        <f t="shared" si="985"/>
        <v>1055.3899999999999</v>
      </c>
      <c r="BI117" s="162">
        <f t="shared" si="985"/>
        <v>948.47531005930864</v>
      </c>
      <c r="BJ117" s="162">
        <f t="shared" si="985"/>
        <v>939.89700000000016</v>
      </c>
      <c r="BK117" s="162">
        <f t="shared" si="985"/>
        <v>804.45984624685718</v>
      </c>
      <c r="BL117" s="162">
        <f t="shared" si="985"/>
        <v>1117.17</v>
      </c>
      <c r="BM117" s="162">
        <f t="shared" si="985"/>
        <v>1066.7703467898152</v>
      </c>
      <c r="BN117" s="162">
        <f t="shared" si="985"/>
        <v>953.79</v>
      </c>
      <c r="BO117" s="162">
        <f t="shared" si="985"/>
        <v>956.15368496317637</v>
      </c>
      <c r="BP117" s="162">
        <f t="shared" si="985"/>
        <v>907.71999999999991</v>
      </c>
      <c r="BQ117" s="162">
        <f t="shared" si="985"/>
        <v>805.38494801728143</v>
      </c>
      <c r="BR117" s="162">
        <f t="shared" si="985"/>
        <v>1404.74</v>
      </c>
      <c r="BS117" s="162">
        <f t="shared" si="985"/>
        <v>1002.4303562499551</v>
      </c>
      <c r="BT117" s="162">
        <f t="shared" si="985"/>
        <v>1693.5299999999997</v>
      </c>
      <c r="BU117" s="162">
        <f t="shared" si="985"/>
        <v>1235.4075860005978</v>
      </c>
      <c r="BV117" s="162">
        <f t="shared" si="985"/>
        <v>1656.0900000000001</v>
      </c>
      <c r="BW117" s="162">
        <f t="shared" si="985"/>
        <v>1584.0529497554098</v>
      </c>
      <c r="BX117" s="162">
        <f t="shared" si="985"/>
        <v>2000.4099999999999</v>
      </c>
      <c r="BY117" s="162">
        <f t="shared" si="985"/>
        <v>1740.6597431927348</v>
      </c>
      <c r="BZ117" s="162">
        <f t="shared" si="985"/>
        <v>1923.5099999999998</v>
      </c>
      <c r="CA117" s="162">
        <f t="shared" si="985"/>
        <v>1530.3158722572232</v>
      </c>
      <c r="CB117" s="162">
        <f t="shared" si="985"/>
        <v>2020.4399999999998</v>
      </c>
      <c r="CC117" s="162">
        <f t="shared" si="985"/>
        <v>1938.9970310751762</v>
      </c>
      <c r="CD117" s="162">
        <f t="shared" si="985"/>
        <v>2365.4</v>
      </c>
      <c r="CE117" s="162">
        <f t="shared" ref="CE117:CF117" si="986">+CE176</f>
        <v>1935.1572220717246</v>
      </c>
      <c r="CF117" s="162">
        <f t="shared" si="986"/>
        <v>2676.85</v>
      </c>
      <c r="CG117" s="162">
        <f t="shared" ref="CG117:CH117" si="987">+CG176</f>
        <v>3022.2078091035396</v>
      </c>
      <c r="CH117" s="162">
        <f t="shared" si="987"/>
        <v>2548.88</v>
      </c>
      <c r="CI117" s="162">
        <f t="shared" ref="CI117:CJ117" si="988">+CI176</f>
        <v>2061.5018613613906</v>
      </c>
      <c r="CJ117" s="162">
        <f t="shared" si="988"/>
        <v>2085.9699999999998</v>
      </c>
      <c r="CK117" s="162">
        <f t="shared" ref="CK117:CL117" si="989">+CK176</f>
        <v>1878.1164405160052</v>
      </c>
      <c r="CL117" s="162">
        <f t="shared" si="989"/>
        <v>2283.7900000000004</v>
      </c>
      <c r="CM117" s="21">
        <f t="shared" ref="CM117:DB117" si="990">+CM176</f>
        <v>2141.7674841536168</v>
      </c>
      <c r="CN117" s="21">
        <f t="shared" si="990"/>
        <v>2125.3880841739092</v>
      </c>
      <c r="CO117" s="21">
        <f t="shared" si="990"/>
        <v>2141.0200869880914</v>
      </c>
      <c r="CP117" s="21">
        <f t="shared" si="990"/>
        <v>2003.7525913992733</v>
      </c>
      <c r="CQ117" s="21">
        <f t="shared" si="990"/>
        <v>1805.155298256218</v>
      </c>
      <c r="CR117" s="21">
        <f t="shared" si="990"/>
        <v>1759.1359867356305</v>
      </c>
      <c r="CS117" s="21">
        <f t="shared" si="990"/>
        <v>1755.0970972330701</v>
      </c>
      <c r="CT117" s="21">
        <f t="shared" si="990"/>
        <v>1574.2248800945722</v>
      </c>
      <c r="CU117" s="21">
        <f t="shared" si="990"/>
        <v>1317.4692357598924</v>
      </c>
      <c r="CV117" s="21">
        <f t="shared" si="990"/>
        <v>1219.8304549249699</v>
      </c>
      <c r="CW117" s="21">
        <f t="shared" si="990"/>
        <v>1198.3165479311892</v>
      </c>
      <c r="CX117" s="21">
        <f t="shared" si="990"/>
        <v>972.10326928541781</v>
      </c>
      <c r="CY117" s="21">
        <f t="shared" si="990"/>
        <v>652.65841466543407</v>
      </c>
      <c r="CZ117" s="21">
        <f t="shared" si="990"/>
        <v>404.75814731743571</v>
      </c>
      <c r="DA117" s="21">
        <f t="shared" si="990"/>
        <v>258.82157075906844</v>
      </c>
      <c r="DB117" s="21">
        <f t="shared" si="990"/>
        <v>-106.41854596259736</v>
      </c>
      <c r="DE117" s="22"/>
      <c r="DF117" s="162">
        <v>2283.7900000000004</v>
      </c>
    </row>
    <row r="118" spans="1:110" s="162" customFormat="1" x14ac:dyDescent="0.2">
      <c r="A118" s="49" t="s">
        <v>342</v>
      </c>
      <c r="B118" s="162" t="e">
        <f>+B115+B117</f>
        <v>#DIV/0!</v>
      </c>
      <c r="C118" s="162" t="e">
        <f t="shared" ref="C118:W118" si="991">+C115+C117</f>
        <v>#DIV/0!</v>
      </c>
      <c r="D118" s="162" t="e">
        <f t="shared" si="991"/>
        <v>#DIV/0!</v>
      </c>
      <c r="E118" s="162">
        <f t="shared" ca="1" si="991"/>
        <v>0</v>
      </c>
      <c r="F118" s="162">
        <f t="shared" ca="1" si="991"/>
        <v>0</v>
      </c>
      <c r="G118" s="162">
        <f t="shared" ca="1" si="991"/>
        <v>0</v>
      </c>
      <c r="H118" s="162">
        <f t="shared" ca="1" si="991"/>
        <v>0</v>
      </c>
      <c r="I118" s="162">
        <f t="shared" ca="1" si="991"/>
        <v>0</v>
      </c>
      <c r="J118" s="162">
        <f t="shared" ca="1" si="991"/>
        <v>0</v>
      </c>
      <c r="K118" s="162">
        <f t="shared" ca="1" si="991"/>
        <v>0</v>
      </c>
      <c r="L118" s="162">
        <f t="shared" ca="1" si="991"/>
        <v>0</v>
      </c>
      <c r="M118" s="162">
        <f t="shared" ca="1" si="991"/>
        <v>215.97699999999998</v>
      </c>
      <c r="N118" s="162">
        <f t="shared" ca="1" si="991"/>
        <v>278.464</v>
      </c>
      <c r="O118" s="162">
        <f t="shared" ca="1" si="991"/>
        <v>519.62</v>
      </c>
      <c r="P118" s="162">
        <f t="shared" ca="1" si="991"/>
        <v>762.221</v>
      </c>
      <c r="Q118" s="162">
        <f t="shared" ca="1" si="991"/>
        <v>998.93600000000004</v>
      </c>
      <c r="R118" s="162">
        <f t="shared" ca="1" si="991"/>
        <v>7153.9009999999998</v>
      </c>
      <c r="S118" s="162">
        <f t="shared" ca="1" si="991"/>
        <v>7822.1480000000001</v>
      </c>
      <c r="T118" s="162">
        <f t="shared" ca="1" si="991"/>
        <v>6647.348</v>
      </c>
      <c r="U118" s="162">
        <f t="shared" ca="1" si="991"/>
        <v>6021.75</v>
      </c>
      <c r="V118" s="162">
        <f t="shared" ca="1" si="991"/>
        <v>22232.153000000002</v>
      </c>
      <c r="W118" s="162">
        <f t="shared" ca="1" si="991"/>
        <v>40716.936749999993</v>
      </c>
      <c r="X118" s="162">
        <f t="shared" ref="X118:Y118" ca="1" si="992">+X115+X117</f>
        <v>35718.120000000003</v>
      </c>
      <c r="Y118" s="162">
        <f t="shared" ca="1" si="992"/>
        <v>26361.732500000002</v>
      </c>
      <c r="Z118" s="162">
        <f t="shared" ref="Z118:AA118" ca="1" si="993">+Z115+Z117</f>
        <v>37436.676250000004</v>
      </c>
      <c r="AA118" s="162">
        <f t="shared" ref="AA118" ca="1" si="994">+AA115+AA117</f>
        <v>37436.676250000004</v>
      </c>
      <c r="AB118" s="21">
        <f t="shared" ref="AB118:AD118" ca="1" si="995">+AB115+AB117</f>
        <v>68187.554751700241</v>
      </c>
      <c r="AC118" s="21">
        <f t="shared" ca="1" si="995"/>
        <v>77993.899151297213</v>
      </c>
      <c r="AD118" s="21">
        <f t="shared" ca="1" si="995"/>
        <v>91805.480487721667</v>
      </c>
      <c r="AE118" s="21">
        <f t="shared" ref="AE118" ca="1" si="996">+AE115+AE117</f>
        <v>127132.37146641302</v>
      </c>
      <c r="AL118" s="162">
        <f t="shared" ref="AL118" si="997">+AL115+AL117</f>
        <v>0</v>
      </c>
      <c r="AM118" s="162" t="e">
        <f t="shared" ref="AM118:AO118" si="998">+AM115+AM117</f>
        <v>#DIV/0!</v>
      </c>
      <c r="AN118" s="162">
        <f t="shared" si="998"/>
        <v>0</v>
      </c>
      <c r="AO118" s="162" t="e">
        <f t="shared" si="998"/>
        <v>#DIV/0!</v>
      </c>
      <c r="AP118" s="162">
        <f t="shared" ref="AP118:CD118" si="999">+AP115+AP117</f>
        <v>0</v>
      </c>
      <c r="AQ118" s="162" t="e">
        <f t="shared" si="999"/>
        <v>#DIV/0!</v>
      </c>
      <c r="AR118" s="162">
        <f t="shared" si="999"/>
        <v>0</v>
      </c>
      <c r="AS118" s="162" t="e">
        <f t="shared" si="999"/>
        <v>#DIV/0!</v>
      </c>
      <c r="AT118" s="162">
        <f t="shared" si="999"/>
        <v>0</v>
      </c>
      <c r="AU118" s="162" t="e">
        <f t="shared" si="999"/>
        <v>#DIV/0!</v>
      </c>
      <c r="AV118" s="162">
        <f t="shared" si="999"/>
        <v>0</v>
      </c>
      <c r="AW118" s="162" t="e">
        <f t="shared" si="999"/>
        <v>#DIV/0!</v>
      </c>
      <c r="AX118" s="162">
        <f t="shared" si="999"/>
        <v>1036.2870000000003</v>
      </c>
      <c r="AY118" s="162">
        <f t="shared" si="999"/>
        <v>897.23323875917231</v>
      </c>
      <c r="AZ118" s="162">
        <f t="shared" si="999"/>
        <v>0</v>
      </c>
      <c r="BA118" s="162">
        <f t="shared" si="999"/>
        <v>5337.8665999999994</v>
      </c>
      <c r="BB118" s="162">
        <f t="shared" si="999"/>
        <v>7220.9489999999996</v>
      </c>
      <c r="BC118" s="162">
        <f t="shared" si="999"/>
        <v>7708.4560551094146</v>
      </c>
      <c r="BD118" s="162">
        <f t="shared" si="999"/>
        <v>7706.4449999999997</v>
      </c>
      <c r="BE118" s="162">
        <f t="shared" si="999"/>
        <v>7025.9037628042552</v>
      </c>
      <c r="BF118" s="162">
        <f t="shared" si="999"/>
        <v>7007.6549999999997</v>
      </c>
      <c r="BG118" s="162">
        <f t="shared" si="999"/>
        <v>6462.5449005319151</v>
      </c>
      <c r="BH118" s="162">
        <f t="shared" si="999"/>
        <v>6485.7779999999984</v>
      </c>
      <c r="BI118" s="162">
        <f t="shared" si="999"/>
        <v>5644.7353100593082</v>
      </c>
      <c r="BJ118" s="162">
        <f t="shared" si="999"/>
        <v>5387.8490000000002</v>
      </c>
      <c r="BK118" s="162">
        <f t="shared" si="999"/>
        <v>5220.0238462468569</v>
      </c>
      <c r="BL118" s="162">
        <f t="shared" si="999"/>
        <v>5167.8292000000001</v>
      </c>
      <c r="BM118" s="162">
        <f t="shared" si="999"/>
        <v>5581.6575467898156</v>
      </c>
      <c r="BN118" s="162">
        <f t="shared" si="999"/>
        <v>5919.95</v>
      </c>
      <c r="BO118" s="162">
        <f t="shared" si="999"/>
        <v>7296.6444849631762</v>
      </c>
      <c r="BP118" s="162">
        <f t="shared" si="999"/>
        <v>17639.360799999999</v>
      </c>
      <c r="BQ118" s="162">
        <f t="shared" si="999"/>
        <v>20543.17194801728</v>
      </c>
      <c r="BR118" s="162">
        <f t="shared" si="999"/>
        <v>22230.224000000002</v>
      </c>
      <c r="BS118" s="162">
        <f t="shared" si="999"/>
        <v>38666.975356249954</v>
      </c>
      <c r="BT118" s="162">
        <f t="shared" si="999"/>
        <v>40750.758999999991</v>
      </c>
      <c r="BU118" s="162">
        <f t="shared" si="999"/>
        <v>37024.147586000596</v>
      </c>
      <c r="BV118" s="162">
        <f t="shared" si="999"/>
        <v>34764.722999999998</v>
      </c>
      <c r="BW118" s="162">
        <f t="shared" si="999"/>
        <v>35375.532949755405</v>
      </c>
      <c r="BX118" s="162">
        <f t="shared" si="999"/>
        <v>34685.300000000003</v>
      </c>
      <c r="BY118" s="162">
        <f t="shared" si="999"/>
        <v>30522.795743192735</v>
      </c>
      <c r="BZ118" s="162">
        <f t="shared" si="999"/>
        <v>22757.090999999997</v>
      </c>
      <c r="CA118" s="162">
        <f t="shared" si="999"/>
        <v>21772.815872257223</v>
      </c>
      <c r="CB118" s="162">
        <f t="shared" si="999"/>
        <v>24575.983</v>
      </c>
      <c r="CC118" s="162">
        <f t="shared" si="999"/>
        <v>25636.217031075175</v>
      </c>
      <c r="CD118" s="162">
        <f t="shared" si="999"/>
        <v>26359.51</v>
      </c>
      <c r="CE118" s="162">
        <f t="shared" ref="CE118:CF118" si="1000">+CE115+CE117</f>
        <v>27354.339222071721</v>
      </c>
      <c r="CF118" s="162">
        <f t="shared" si="1000"/>
        <v>30633.091999999997</v>
      </c>
      <c r="CG118" s="162">
        <f t="shared" ref="CG118:CH118" si="1001">+CG115+CG117</f>
        <v>35658.515809103541</v>
      </c>
      <c r="CH118" s="162">
        <f t="shared" si="1001"/>
        <v>37433.454999999994</v>
      </c>
      <c r="CI118" s="162">
        <f t="shared" ref="CI118:CJ118" si="1002">+CI115+CI117</f>
        <v>41299.563861361392</v>
      </c>
      <c r="CJ118" s="162">
        <f t="shared" si="1002"/>
        <v>53043.09</v>
      </c>
      <c r="CK118" s="162">
        <f t="shared" ref="CK118:CL118" si="1003">+CK115+CK117</f>
        <v>62284.632190516</v>
      </c>
      <c r="CL118" s="162">
        <f t="shared" si="1003"/>
        <v>63875.276500000007</v>
      </c>
      <c r="CM118" s="21">
        <f t="shared" ref="CM118:DB118" si="1004">+CM115+CM117</f>
        <v>66596.889198173041</v>
      </c>
      <c r="CN118" s="21">
        <f t="shared" si="1004"/>
        <v>68309.190244474885</v>
      </c>
      <c r="CO118" s="21">
        <f t="shared" si="1004"/>
        <v>68293.367448347883</v>
      </c>
      <c r="CP118" s="21">
        <f t="shared" si="1004"/>
        <v>66498.881651627453</v>
      </c>
      <c r="CQ118" s="21">
        <f t="shared" si="1004"/>
        <v>69502.966358074395</v>
      </c>
      <c r="CR118" s="21">
        <f t="shared" si="1004"/>
        <v>72306.124556371404</v>
      </c>
      <c r="CS118" s="21">
        <f t="shared" si="1004"/>
        <v>75161.84806942509</v>
      </c>
      <c r="CT118" s="21">
        <f t="shared" si="1004"/>
        <v>77993.899151297213</v>
      </c>
      <c r="CU118" s="21">
        <f t="shared" si="1004"/>
        <v>81113.560655975976</v>
      </c>
      <c r="CV118" s="21">
        <f t="shared" si="1004"/>
        <v>85673.460945873623</v>
      </c>
      <c r="CW118" s="21">
        <f t="shared" si="1004"/>
        <v>88744.548722901396</v>
      </c>
      <c r="CX118" s="21">
        <f t="shared" si="1004"/>
        <v>91805.480487721667</v>
      </c>
      <c r="CY118" s="21">
        <f t="shared" si="1004"/>
        <v>95228.445641089216</v>
      </c>
      <c r="CZ118" s="21">
        <f t="shared" si="1004"/>
        <v>106780.74085013714</v>
      </c>
      <c r="DA118" s="21">
        <f t="shared" si="1004"/>
        <v>117560.98152584179</v>
      </c>
      <c r="DB118" s="21">
        <f t="shared" si="1004"/>
        <v>127132.37146641302</v>
      </c>
      <c r="DE118" s="22"/>
      <c r="DF118" s="162">
        <v>63875.276500000007</v>
      </c>
    </row>
    <row r="119" spans="1:110" s="162" customFormat="1" x14ac:dyDescent="0.2">
      <c r="A119" s="49" t="s">
        <v>345</v>
      </c>
      <c r="B119" s="162" t="e">
        <f>+B116+B117</f>
        <v>#DIV/0!</v>
      </c>
      <c r="C119" s="162" t="e">
        <f t="shared" ref="C119:W119" si="1005">+C116+C117</f>
        <v>#DIV/0!</v>
      </c>
      <c r="D119" s="162" t="e">
        <f t="shared" si="1005"/>
        <v>#DIV/0!</v>
      </c>
      <c r="E119" s="162">
        <f t="shared" ca="1" si="1005"/>
        <v>0</v>
      </c>
      <c r="F119" s="162">
        <f t="shared" ca="1" si="1005"/>
        <v>0</v>
      </c>
      <c r="G119" s="162">
        <f t="shared" ca="1" si="1005"/>
        <v>0</v>
      </c>
      <c r="H119" s="162">
        <f t="shared" ca="1" si="1005"/>
        <v>0</v>
      </c>
      <c r="I119" s="162">
        <f t="shared" ca="1" si="1005"/>
        <v>0</v>
      </c>
      <c r="J119" s="162">
        <f t="shared" ca="1" si="1005"/>
        <v>0</v>
      </c>
      <c r="K119" s="162">
        <f t="shared" ca="1" si="1005"/>
        <v>0</v>
      </c>
      <c r="L119" s="162">
        <f t="shared" ca="1" si="1005"/>
        <v>0</v>
      </c>
      <c r="M119" s="162">
        <f t="shared" ca="1" si="1005"/>
        <v>215.97699999999998</v>
      </c>
      <c r="N119" s="162">
        <f t="shared" ca="1" si="1005"/>
        <v>278.464</v>
      </c>
      <c r="O119" s="162">
        <f t="shared" ca="1" si="1005"/>
        <v>519.62</v>
      </c>
      <c r="P119" s="162">
        <f t="shared" ca="1" si="1005"/>
        <v>762.221</v>
      </c>
      <c r="Q119" s="162">
        <f t="shared" ca="1" si="1005"/>
        <v>998.93600000000004</v>
      </c>
      <c r="R119" s="162">
        <f t="shared" ca="1" si="1005"/>
        <v>5728.6969999999992</v>
      </c>
      <c r="S119" s="162">
        <f t="shared" ca="1" si="1005"/>
        <v>6213.3950000000004</v>
      </c>
      <c r="T119" s="162">
        <f t="shared" ca="1" si="1005"/>
        <v>4531.1359999999995</v>
      </c>
      <c r="U119" s="162">
        <f t="shared" ca="1" si="1005"/>
        <v>4272.6359999999995</v>
      </c>
      <c r="V119" s="162">
        <f t="shared" ca="1" si="1005"/>
        <v>4840.3454000000002</v>
      </c>
      <c r="W119" s="162">
        <f t="shared" ca="1" si="1005"/>
        <v>21123.081000000002</v>
      </c>
      <c r="X119" s="162">
        <f t="shared" ref="X119:Y119" ca="1" si="1006">+X116+X117</f>
        <v>17406.407999999999</v>
      </c>
      <c r="Y119" s="162">
        <f t="shared" ca="1" si="1006"/>
        <v>17462.305249999998</v>
      </c>
      <c r="Z119" s="162">
        <f t="shared" ref="Z119:AA119" ca="1" si="1007">+Z116+Z117</f>
        <v>23432.967250000002</v>
      </c>
      <c r="AA119" s="162">
        <f t="shared" ref="AA119" ca="1" si="1008">+AA116+AA117</f>
        <v>23432.967250000002</v>
      </c>
      <c r="AB119" s="21">
        <f t="shared" ref="AB119:AD119" ca="1" si="1009">+AB116+AB117</f>
        <v>53603.441799480293</v>
      </c>
      <c r="AC119" s="21">
        <f t="shared" ca="1" si="1009"/>
        <v>55769.856163717086</v>
      </c>
      <c r="AD119" s="21">
        <f t="shared" ca="1" si="1009"/>
        <v>64853.039458832565</v>
      </c>
      <c r="AE119" s="21">
        <f t="shared" ref="AE119" ca="1" si="1010">+AE116+AE117</f>
        <v>75606.435572061891</v>
      </c>
      <c r="AL119" s="162">
        <f t="shared" ref="AL119:AM119" si="1011">+AL116+AL117</f>
        <v>0</v>
      </c>
      <c r="AM119" s="162" t="e">
        <f t="shared" si="1011"/>
        <v>#DIV/0!</v>
      </c>
      <c r="AN119" s="162">
        <f t="shared" ref="AN119:AO119" si="1012">+AN116+AN117</f>
        <v>0</v>
      </c>
      <c r="AO119" s="162" t="e">
        <f t="shared" si="1012"/>
        <v>#DIV/0!</v>
      </c>
      <c r="AP119" s="162">
        <f t="shared" ref="AP119:CD119" si="1013">+AP116+AP117</f>
        <v>0</v>
      </c>
      <c r="AQ119" s="162" t="e">
        <f t="shared" si="1013"/>
        <v>#DIV/0!</v>
      </c>
      <c r="AR119" s="162">
        <f t="shared" si="1013"/>
        <v>0</v>
      </c>
      <c r="AS119" s="162" t="e">
        <f t="shared" si="1013"/>
        <v>#DIV/0!</v>
      </c>
      <c r="AT119" s="162">
        <f t="shared" si="1013"/>
        <v>0</v>
      </c>
      <c r="AU119" s="162" t="e">
        <f t="shared" si="1013"/>
        <v>#DIV/0!</v>
      </c>
      <c r="AV119" s="162">
        <f t="shared" si="1013"/>
        <v>0</v>
      </c>
      <c r="AW119" s="162" t="e">
        <f t="shared" si="1013"/>
        <v>#DIV/0!</v>
      </c>
      <c r="AX119" s="162">
        <f t="shared" si="1013"/>
        <v>1036.2870000000003</v>
      </c>
      <c r="AY119" s="162">
        <f t="shared" si="1013"/>
        <v>897.23323875917231</v>
      </c>
      <c r="AZ119" s="162">
        <f t="shared" si="1013"/>
        <v>0</v>
      </c>
      <c r="BA119" s="162">
        <f t="shared" si="1013"/>
        <v>-45.019000000000027</v>
      </c>
      <c r="BB119" s="162">
        <f t="shared" si="1013"/>
        <v>5906.5360000000001</v>
      </c>
      <c r="BC119" s="162">
        <f t="shared" si="1013"/>
        <v>6288.7820551094146</v>
      </c>
      <c r="BD119" s="162">
        <f t="shared" si="1013"/>
        <v>6272.7361999999994</v>
      </c>
      <c r="BE119" s="162">
        <f t="shared" si="1013"/>
        <v>6159.5247628042544</v>
      </c>
      <c r="BF119" s="162">
        <f t="shared" si="1013"/>
        <v>6133.1789999999992</v>
      </c>
      <c r="BG119" s="162">
        <f t="shared" si="1013"/>
        <v>5590.7679005319142</v>
      </c>
      <c r="BH119" s="162">
        <f t="shared" si="1013"/>
        <v>5545.4464000000007</v>
      </c>
      <c r="BI119" s="162">
        <f t="shared" si="1013"/>
        <v>4514.3941100593083</v>
      </c>
      <c r="BJ119" s="162">
        <f t="shared" si="1013"/>
        <v>4437.8009999999995</v>
      </c>
      <c r="BK119" s="162">
        <f t="shared" si="1013"/>
        <v>4281.311646246857</v>
      </c>
      <c r="BL119" s="162">
        <f t="shared" si="1013"/>
        <v>4334.3780000000006</v>
      </c>
      <c r="BM119" s="162">
        <f t="shared" si="1013"/>
        <v>4345.5155467898148</v>
      </c>
      <c r="BN119" s="162">
        <f t="shared" si="1013"/>
        <v>4295.152</v>
      </c>
      <c r="BO119" s="162">
        <f t="shared" si="1013"/>
        <v>4391.4408849631764</v>
      </c>
      <c r="BP119" s="162">
        <f t="shared" si="1013"/>
        <v>6482.7744000000002</v>
      </c>
      <c r="BQ119" s="162">
        <f t="shared" si="1013"/>
        <v>14354.364948017281</v>
      </c>
      <c r="BR119" s="162">
        <f t="shared" si="1013"/>
        <v>19393.575000000001</v>
      </c>
      <c r="BS119" s="162">
        <f t="shared" si="1013"/>
        <v>20467.618356249954</v>
      </c>
      <c r="BT119" s="162">
        <f t="shared" si="1013"/>
        <v>33382.488999999994</v>
      </c>
      <c r="BU119" s="162">
        <f t="shared" si="1013"/>
        <v>25251.109586000595</v>
      </c>
      <c r="BV119" s="162">
        <f t="shared" si="1013"/>
        <v>25040.225999999999</v>
      </c>
      <c r="BW119" s="162">
        <f t="shared" si="1013"/>
        <v>25173.312949755407</v>
      </c>
      <c r="BX119" s="162">
        <f t="shared" si="1013"/>
        <v>26747.540999999997</v>
      </c>
      <c r="BY119" s="162">
        <f t="shared" si="1013"/>
        <v>21645.784743192737</v>
      </c>
      <c r="BZ119" s="162">
        <f t="shared" si="1013"/>
        <v>17404.973999999998</v>
      </c>
      <c r="CA119" s="162">
        <f t="shared" si="1013"/>
        <v>16625.82287225722</v>
      </c>
      <c r="CB119" s="162">
        <f t="shared" si="1013"/>
        <v>19733.976999999995</v>
      </c>
      <c r="CC119" s="162">
        <f t="shared" si="1013"/>
        <v>20821.201031075176</v>
      </c>
      <c r="CD119" s="162">
        <f t="shared" si="1013"/>
        <v>21728.025999999998</v>
      </c>
      <c r="CE119" s="162">
        <f t="shared" ref="CE119:CF119" si="1014">+CE116+CE117</f>
        <v>22817.320222071725</v>
      </c>
      <c r="CF119" s="162">
        <f t="shared" si="1014"/>
        <v>23745.243999999999</v>
      </c>
      <c r="CG119" s="162">
        <f t="shared" ref="CG119:CH119" si="1015">+CG116+CG117</f>
        <v>25839.553809103538</v>
      </c>
      <c r="CH119" s="162">
        <f t="shared" si="1015"/>
        <v>29770.993999999999</v>
      </c>
      <c r="CI119" s="162">
        <f t="shared" ref="CI119:CJ119" si="1016">+CI116+CI117</f>
        <v>29971.860861361387</v>
      </c>
      <c r="CJ119" s="162">
        <f t="shared" si="1016"/>
        <v>41059.53</v>
      </c>
      <c r="CK119" s="162">
        <f t="shared" ref="CK119:CL119" si="1017">+CK116+CK117</f>
        <v>47139.140440515999</v>
      </c>
      <c r="CL119" s="162">
        <f t="shared" si="1017"/>
        <v>51590.989750000001</v>
      </c>
      <c r="CM119" s="21">
        <f t="shared" ref="CM119:DB119" si="1018">+CM116+CM117</f>
        <v>53741.456692234635</v>
      </c>
      <c r="CN119" s="21">
        <f t="shared" si="1018"/>
        <v>55108.976219076954</v>
      </c>
      <c r="CO119" s="21">
        <f t="shared" si="1018"/>
        <v>55099.427013535525</v>
      </c>
      <c r="CP119" s="21">
        <f t="shared" si="1018"/>
        <v>53635.469768329247</v>
      </c>
      <c r="CQ119" s="21">
        <f t="shared" si="1018"/>
        <v>56000.786581878732</v>
      </c>
      <c r="CR119" s="21">
        <f t="shared" si="1018"/>
        <v>58235.682581596542</v>
      </c>
      <c r="CS119" s="21">
        <f t="shared" si="1018"/>
        <v>60521.032762454888</v>
      </c>
      <c r="CT119" s="21">
        <f t="shared" si="1018"/>
        <v>62752.162907619262</v>
      </c>
      <c r="CU119" s="21">
        <f t="shared" si="1018"/>
        <v>65198.405425307035</v>
      </c>
      <c r="CV119" s="21">
        <f t="shared" si="1018"/>
        <v>68829.369773802988</v>
      </c>
      <c r="CW119" s="21">
        <f t="shared" si="1018"/>
        <v>71283.644935177246</v>
      </c>
      <c r="CX119" s="21">
        <f t="shared" si="1018"/>
        <v>73688.962838449006</v>
      </c>
      <c r="CY119" s="21">
        <f t="shared" si="1018"/>
        <v>76365.512532689929</v>
      </c>
      <c r="CZ119" s="21">
        <f t="shared" si="1018"/>
        <v>85564.284662893173</v>
      </c>
      <c r="DA119" s="21">
        <f t="shared" si="1018"/>
        <v>94165.323275531438</v>
      </c>
      <c r="DB119" s="21">
        <f t="shared" si="1018"/>
        <v>101754.87416838856</v>
      </c>
      <c r="DE119" s="22"/>
      <c r="DF119" s="162">
        <v>30196.734249999998</v>
      </c>
    </row>
    <row r="120" spans="1:110" s="162" customFormat="1" x14ac:dyDescent="0.2">
      <c r="A120" s="49" t="s">
        <v>13</v>
      </c>
      <c r="B120" s="162">
        <f t="shared" ref="B120:AE120" si="1019">+B36</f>
        <v>0</v>
      </c>
      <c r="C120" s="162">
        <f t="shared" si="1019"/>
        <v>0</v>
      </c>
      <c r="D120" s="162">
        <f t="shared" si="1019"/>
        <v>0</v>
      </c>
      <c r="E120" s="162">
        <f t="shared" si="1019"/>
        <v>0</v>
      </c>
      <c r="F120" s="162">
        <f t="shared" si="1019"/>
        <v>0</v>
      </c>
      <c r="G120" s="162">
        <f t="shared" si="1019"/>
        <v>0</v>
      </c>
      <c r="H120" s="162">
        <f t="shared" si="1019"/>
        <v>0</v>
      </c>
      <c r="I120" s="162">
        <f t="shared" si="1019"/>
        <v>0</v>
      </c>
      <c r="J120" s="162">
        <f t="shared" si="1019"/>
        <v>0</v>
      </c>
      <c r="K120" s="162">
        <f t="shared" si="1019"/>
        <v>0</v>
      </c>
      <c r="L120" s="162">
        <f t="shared" si="1019"/>
        <v>0</v>
      </c>
      <c r="M120" s="162">
        <f t="shared" si="1019"/>
        <v>71.360000000000042</v>
      </c>
      <c r="N120" s="162">
        <f t="shared" si="1019"/>
        <v>142.79300000000001</v>
      </c>
      <c r="O120" s="162">
        <f t="shared" si="1019"/>
        <v>203.62999999999977</v>
      </c>
      <c r="P120" s="162">
        <f t="shared" si="1019"/>
        <v>195.13299999999987</v>
      </c>
      <c r="Q120" s="162">
        <f t="shared" si="1019"/>
        <v>362.19800000000009</v>
      </c>
      <c r="R120" s="162">
        <f t="shared" si="1019"/>
        <v>407.6350000000001</v>
      </c>
      <c r="S120" s="162">
        <f t="shared" si="1019"/>
        <v>413.32000000000016</v>
      </c>
      <c r="T120" s="162">
        <f t="shared" si="1019"/>
        <v>355.9820000000002</v>
      </c>
      <c r="U120" s="162">
        <f t="shared" si="1019"/>
        <v>564.54999999999995</v>
      </c>
      <c r="V120" s="162">
        <f t="shared" si="1019"/>
        <v>1550.6800000000003</v>
      </c>
      <c r="W120" s="162">
        <f t="shared" si="1019"/>
        <v>1422.4299999999998</v>
      </c>
      <c r="X120" s="162">
        <f t="shared" si="1019"/>
        <v>1592.1900000000003</v>
      </c>
      <c r="Y120" s="162">
        <f t="shared" si="1019"/>
        <v>777.50000000000023</v>
      </c>
      <c r="Z120" s="162">
        <f t="shared" si="1019"/>
        <v>1055.2800000000002</v>
      </c>
      <c r="AA120" s="162">
        <f t="shared" ref="AA120" si="1020">+AA36</f>
        <v>1777.7099999999991</v>
      </c>
      <c r="AB120" s="21">
        <f t="shared" si="1019"/>
        <v>1933.3762042713638</v>
      </c>
      <c r="AC120" s="21">
        <f t="shared" si="1019"/>
        <v>2227.9991344317341</v>
      </c>
      <c r="AD120" s="21">
        <f t="shared" si="1019"/>
        <v>2563.1471166394695</v>
      </c>
      <c r="AE120" s="21">
        <f t="shared" si="1019"/>
        <v>2947.783232239356</v>
      </c>
      <c r="AL120" s="162">
        <f t="shared" ref="AL120:BQ120" si="1021">+SUM(AI36:AL36)</f>
        <v>0</v>
      </c>
      <c r="AM120" s="162">
        <f t="shared" si="1021"/>
        <v>0</v>
      </c>
      <c r="AN120" s="162">
        <f t="shared" si="1021"/>
        <v>0</v>
      </c>
      <c r="AO120" s="162">
        <f t="shared" si="1021"/>
        <v>0</v>
      </c>
      <c r="AP120" s="162">
        <f t="shared" si="1021"/>
        <v>0</v>
      </c>
      <c r="AQ120" s="162">
        <f t="shared" si="1021"/>
        <v>0</v>
      </c>
      <c r="AR120" s="162">
        <f t="shared" si="1021"/>
        <v>0</v>
      </c>
      <c r="AS120" s="162">
        <f t="shared" si="1021"/>
        <v>0</v>
      </c>
      <c r="AT120" s="162">
        <f t="shared" si="1021"/>
        <v>0</v>
      </c>
      <c r="AU120" s="162">
        <f t="shared" si="1021"/>
        <v>0</v>
      </c>
      <c r="AV120" s="162">
        <f t="shared" si="1021"/>
        <v>0</v>
      </c>
      <c r="AW120" s="162">
        <f t="shared" si="1021"/>
        <v>100.20100000000004</v>
      </c>
      <c r="AX120" s="162">
        <f t="shared" si="1021"/>
        <v>220.71200000000005</v>
      </c>
      <c r="AY120" s="162">
        <f t="shared" si="1021"/>
        <v>305.70600000000007</v>
      </c>
      <c r="AZ120" s="162">
        <f t="shared" si="1021"/>
        <v>413.9380000000001</v>
      </c>
      <c r="BA120" s="162">
        <f t="shared" si="1021"/>
        <v>413.07900000000012</v>
      </c>
      <c r="BB120" s="162">
        <f t="shared" si="1021"/>
        <v>407.6350000000001</v>
      </c>
      <c r="BC120" s="162">
        <f t="shared" si="1021"/>
        <v>419.154</v>
      </c>
      <c r="BD120" s="162">
        <f t="shared" si="1021"/>
        <v>423.49699999999996</v>
      </c>
      <c r="BE120" s="162">
        <f t="shared" si="1021"/>
        <v>411.50299999999993</v>
      </c>
      <c r="BF120" s="162">
        <f t="shared" si="1021"/>
        <v>413.31999999999994</v>
      </c>
      <c r="BG120" s="162">
        <f t="shared" si="1021"/>
        <v>397.36</v>
      </c>
      <c r="BH120" s="162">
        <f t="shared" si="1021"/>
        <v>360.51099999999997</v>
      </c>
      <c r="BI120" s="162">
        <f t="shared" si="1021"/>
        <v>360.87799999999993</v>
      </c>
      <c r="BJ120" s="162">
        <f t="shared" si="1021"/>
        <v>355.98199999999991</v>
      </c>
      <c r="BK120" s="162">
        <f t="shared" si="1021"/>
        <v>358.68899999999996</v>
      </c>
      <c r="BL120" s="162">
        <f t="shared" si="1021"/>
        <v>420.77300000000002</v>
      </c>
      <c r="BM120" s="162">
        <f t="shared" si="1021"/>
        <v>481.22800000000018</v>
      </c>
      <c r="BN120" s="162">
        <f t="shared" si="1021"/>
        <v>561.01</v>
      </c>
      <c r="BO120" s="162">
        <f t="shared" si="1021"/>
        <v>756.06999999999994</v>
      </c>
      <c r="BP120" s="162">
        <f t="shared" si="1021"/>
        <v>992.12999999999988</v>
      </c>
      <c r="BQ120" s="162">
        <f t="shared" si="1021"/>
        <v>1270.2599999999998</v>
      </c>
      <c r="BR120" s="162">
        <f t="shared" ref="BR120:CW120" si="1022">+SUM(BO36:BR36)</f>
        <v>1550.68</v>
      </c>
      <c r="BS120" s="162">
        <f t="shared" si="1022"/>
        <v>1667.7100000000003</v>
      </c>
      <c r="BT120" s="162">
        <f t="shared" si="1022"/>
        <v>1638.92</v>
      </c>
      <c r="BU120" s="162">
        <f t="shared" si="1022"/>
        <v>1497.9100000000003</v>
      </c>
      <c r="BV120" s="162">
        <f t="shared" si="1022"/>
        <v>1422.4299999999998</v>
      </c>
      <c r="BW120" s="162">
        <f t="shared" si="1022"/>
        <v>1481.2499999999995</v>
      </c>
      <c r="BX120" s="162">
        <f t="shared" si="1022"/>
        <v>1585.0799999999997</v>
      </c>
      <c r="BY120" s="162">
        <f t="shared" si="1022"/>
        <v>1703.3600000000001</v>
      </c>
      <c r="BZ120" s="162">
        <f t="shared" si="1022"/>
        <v>1592.19</v>
      </c>
      <c r="CA120" s="162">
        <f t="shared" si="1022"/>
        <v>1304.7400000000002</v>
      </c>
      <c r="CB120" s="162">
        <f t="shared" si="1022"/>
        <v>1043.7000000000003</v>
      </c>
      <c r="CC120" s="162">
        <f t="shared" si="1022"/>
        <v>821.55000000000018</v>
      </c>
      <c r="CD120" s="162">
        <f t="shared" si="1022"/>
        <v>777.50000000000023</v>
      </c>
      <c r="CE120" s="162">
        <f t="shared" si="1022"/>
        <v>781.98000000000047</v>
      </c>
      <c r="CF120" s="162">
        <f t="shared" si="1022"/>
        <v>772.44000000000017</v>
      </c>
      <c r="CG120" s="162">
        <f t="shared" si="1022"/>
        <v>876.1700000000003</v>
      </c>
      <c r="CH120" s="162">
        <f t="shared" si="1022"/>
        <v>1055.2800000000002</v>
      </c>
      <c r="CI120" s="162">
        <f t="shared" si="1022"/>
        <v>1266.21</v>
      </c>
      <c r="CJ120" s="162">
        <f t="shared" si="1022"/>
        <v>1491.14</v>
      </c>
      <c r="CK120" s="162">
        <f t="shared" si="1022"/>
        <v>1686.1999999999996</v>
      </c>
      <c r="CL120" s="162">
        <f t="shared" si="1022"/>
        <v>1777.7099999999996</v>
      </c>
      <c r="CM120" s="21">
        <f t="shared" si="1022"/>
        <v>1835.8429042490836</v>
      </c>
      <c r="CN120" s="21">
        <f t="shared" si="1022"/>
        <v>1901.1233528121079</v>
      </c>
      <c r="CO120" s="21">
        <f t="shared" si="1022"/>
        <v>1928.7338772575017</v>
      </c>
      <c r="CP120" s="21">
        <f t="shared" si="1022"/>
        <v>1933.3762042713624</v>
      </c>
      <c r="CQ120" s="21">
        <f t="shared" si="1022"/>
        <v>2005.1414190414475</v>
      </c>
      <c r="CR120" s="21">
        <f t="shared" si="1022"/>
        <v>2077.5070689386835</v>
      </c>
      <c r="CS120" s="21">
        <f t="shared" si="1022"/>
        <v>2151.9859838145458</v>
      </c>
      <c r="CT120" s="21">
        <f t="shared" si="1022"/>
        <v>2227.9991344317332</v>
      </c>
      <c r="CU120" s="21">
        <f t="shared" si="1022"/>
        <v>2306.2149509785868</v>
      </c>
      <c r="CV120" s="21">
        <f t="shared" si="1022"/>
        <v>2387.4755282087922</v>
      </c>
      <c r="CW120" s="21">
        <f t="shared" si="1022"/>
        <v>2474.3434757863697</v>
      </c>
      <c r="CX120" s="21">
        <f t="shared" ref="CX120:DB120" si="1023">+SUM(CU36:CX36)</f>
        <v>2563.1471166394704</v>
      </c>
      <c r="CY120" s="21">
        <f t="shared" si="1023"/>
        <v>2651.9748354997068</v>
      </c>
      <c r="CZ120" s="21">
        <f t="shared" si="1023"/>
        <v>2745.2556718761653</v>
      </c>
      <c r="DA120" s="21">
        <f t="shared" si="1023"/>
        <v>2845.5328601430151</v>
      </c>
      <c r="DB120" s="21">
        <f t="shared" si="1023"/>
        <v>2947.783232239356</v>
      </c>
      <c r="DE120" s="22"/>
      <c r="DF120" s="162">
        <v>1777.7099999999987</v>
      </c>
    </row>
    <row r="121" spans="1:110" s="162" customFormat="1" x14ac:dyDescent="0.2">
      <c r="A121" s="49" t="s">
        <v>343</v>
      </c>
      <c r="B121" s="162" t="e">
        <f>+B118/B120</f>
        <v>#DIV/0!</v>
      </c>
      <c r="C121" s="162" t="e">
        <f t="shared" ref="C121:W121" si="1024">+C118/C120</f>
        <v>#DIV/0!</v>
      </c>
      <c r="D121" s="162" t="e">
        <f t="shared" si="1024"/>
        <v>#DIV/0!</v>
      </c>
      <c r="E121" s="162" t="e">
        <f t="shared" ca="1" si="1024"/>
        <v>#DIV/0!</v>
      </c>
      <c r="F121" s="162" t="e">
        <f t="shared" ca="1" si="1024"/>
        <v>#DIV/0!</v>
      </c>
      <c r="G121" s="162" t="e">
        <f t="shared" ca="1" si="1024"/>
        <v>#DIV/0!</v>
      </c>
      <c r="H121" s="162" t="e">
        <f t="shared" ca="1" si="1024"/>
        <v>#DIV/0!</v>
      </c>
      <c r="I121" s="162" t="e">
        <f t="shared" ca="1" si="1024"/>
        <v>#DIV/0!</v>
      </c>
      <c r="J121" s="162" t="e">
        <f t="shared" ca="1" si="1024"/>
        <v>#DIV/0!</v>
      </c>
      <c r="K121" s="162" t="e">
        <f t="shared" ca="1" si="1024"/>
        <v>#DIV/0!</v>
      </c>
      <c r="L121" s="162" t="e">
        <f t="shared" ca="1" si="1024"/>
        <v>#DIV/0!</v>
      </c>
      <c r="M121" s="162">
        <f t="shared" ca="1" si="1024"/>
        <v>3.0265835201793703</v>
      </c>
      <c r="N121" s="162">
        <f t="shared" ca="1" si="1024"/>
        <v>1.9501236054988689</v>
      </c>
      <c r="O121" s="162">
        <f t="shared" ca="1" si="1024"/>
        <v>2.5517851004272485</v>
      </c>
      <c r="P121" s="162">
        <f t="shared" ca="1" si="1024"/>
        <v>3.9061614386085415</v>
      </c>
      <c r="Q121" s="162">
        <f t="shared" ca="1" si="1024"/>
        <v>2.7579832025577162</v>
      </c>
      <c r="R121" s="162">
        <f t="shared" ca="1" si="1024"/>
        <v>17.549771241429216</v>
      </c>
      <c r="S121" s="162">
        <f t="shared" ca="1" si="1024"/>
        <v>18.925162102003284</v>
      </c>
      <c r="T121" s="162">
        <f t="shared" ca="1" si="1024"/>
        <v>18.673269996797579</v>
      </c>
      <c r="U121" s="162">
        <f t="shared" ca="1" si="1024"/>
        <v>10.666460012399257</v>
      </c>
      <c r="V121" s="162">
        <f t="shared" ca="1" si="1024"/>
        <v>14.33703472025176</v>
      </c>
      <c r="W121" s="162">
        <f t="shared" ca="1" si="1024"/>
        <v>28.624914231280272</v>
      </c>
      <c r="X121" s="162">
        <f t="shared" ref="X121:Y121" ca="1" si="1025">+X118/X120</f>
        <v>22.433327680741616</v>
      </c>
      <c r="Y121" s="162">
        <f t="shared" ca="1" si="1025"/>
        <v>33.905765273311893</v>
      </c>
      <c r="Z121" s="162">
        <f t="shared" ref="Z121:AA121" ca="1" si="1026">+Z118/Z120</f>
        <v>35.475585863467515</v>
      </c>
      <c r="AA121" s="162">
        <f t="shared" ref="AA121" ca="1" si="1027">+AA118/AA120</f>
        <v>35.475585863467515</v>
      </c>
      <c r="AB121" s="21">
        <f t="shared" ref="AB121:AD121" ca="1" si="1028">+AB118/AB120</f>
        <v>35.268642802707014</v>
      </c>
      <c r="AC121" s="21">
        <f t="shared" ca="1" si="1028"/>
        <v>35.006251998024261</v>
      </c>
      <c r="AD121" s="21">
        <f t="shared" ca="1" si="1028"/>
        <v>35.817483862606927</v>
      </c>
      <c r="AE121" s="21">
        <f t="shared" ref="AE121" ca="1" si="1029">+AE118/AE120</f>
        <v>43.128127630278222</v>
      </c>
      <c r="AL121" s="162" t="e">
        <f t="shared" ref="AL121" si="1030">+AL118/AL120</f>
        <v>#DIV/0!</v>
      </c>
      <c r="AM121" s="162" t="e">
        <f t="shared" ref="AM121:AO121" si="1031">+AM118/AM120</f>
        <v>#DIV/0!</v>
      </c>
      <c r="AN121" s="162" t="e">
        <f t="shared" si="1031"/>
        <v>#DIV/0!</v>
      </c>
      <c r="AO121" s="162" t="e">
        <f t="shared" si="1031"/>
        <v>#DIV/0!</v>
      </c>
      <c r="AP121" s="162" t="e">
        <f t="shared" ref="AP121:CD121" si="1032">+AP118/AP120</f>
        <v>#DIV/0!</v>
      </c>
      <c r="AQ121" s="162" t="e">
        <f t="shared" si="1032"/>
        <v>#DIV/0!</v>
      </c>
      <c r="AR121" s="162" t="e">
        <f t="shared" si="1032"/>
        <v>#DIV/0!</v>
      </c>
      <c r="AS121" s="162" t="e">
        <f t="shared" si="1032"/>
        <v>#DIV/0!</v>
      </c>
      <c r="AT121" s="162" t="e">
        <f t="shared" si="1032"/>
        <v>#DIV/0!</v>
      </c>
      <c r="AU121" s="162" t="e">
        <f t="shared" si="1032"/>
        <v>#DIV/0!</v>
      </c>
      <c r="AV121" s="162" t="e">
        <f t="shared" si="1032"/>
        <v>#DIV/0!</v>
      </c>
      <c r="AW121" s="162" t="e">
        <f t="shared" si="1032"/>
        <v>#DIV/0!</v>
      </c>
      <c r="AX121" s="162">
        <f t="shared" si="1032"/>
        <v>4.6952000797419267</v>
      </c>
      <c r="AY121" s="162">
        <f t="shared" si="1032"/>
        <v>2.9349546255525638</v>
      </c>
      <c r="AZ121" s="162">
        <f t="shared" si="1032"/>
        <v>0</v>
      </c>
      <c r="BA121" s="162">
        <f t="shared" si="1032"/>
        <v>12.922144674505356</v>
      </c>
      <c r="BB121" s="162">
        <f t="shared" si="1032"/>
        <v>17.714251720288978</v>
      </c>
      <c r="BC121" s="162">
        <f t="shared" si="1032"/>
        <v>18.39051054053979</v>
      </c>
      <c r="BD121" s="162">
        <f t="shared" si="1032"/>
        <v>18.197165505304643</v>
      </c>
      <c r="BE121" s="162">
        <f t="shared" si="1032"/>
        <v>17.073760732738901</v>
      </c>
      <c r="BF121" s="162">
        <f t="shared" si="1032"/>
        <v>16.954550953256557</v>
      </c>
      <c r="BG121" s="162">
        <f t="shared" si="1032"/>
        <v>16.2637026890777</v>
      </c>
      <c r="BH121" s="162">
        <f t="shared" si="1032"/>
        <v>17.990513465608537</v>
      </c>
      <c r="BI121" s="162">
        <f t="shared" si="1032"/>
        <v>15.64167200566205</v>
      </c>
      <c r="BJ121" s="162">
        <f t="shared" si="1032"/>
        <v>15.135172564904972</v>
      </c>
      <c r="BK121" s="162">
        <f t="shared" si="1032"/>
        <v>14.553063646353408</v>
      </c>
      <c r="BL121" s="162">
        <f t="shared" si="1032"/>
        <v>12.28175096786153</v>
      </c>
      <c r="BM121" s="162">
        <f t="shared" si="1032"/>
        <v>11.598779677803066</v>
      </c>
      <c r="BN121" s="162">
        <f t="shared" si="1032"/>
        <v>10.55230744550008</v>
      </c>
      <c r="BO121" s="162">
        <f t="shared" si="1032"/>
        <v>9.6507525559315628</v>
      </c>
      <c r="BP121" s="162">
        <f t="shared" si="1032"/>
        <v>17.779283763216515</v>
      </c>
      <c r="BQ121" s="162">
        <f t="shared" si="1032"/>
        <v>16.17241505519916</v>
      </c>
      <c r="BR121" s="162">
        <f t="shared" si="1032"/>
        <v>14.335790749864577</v>
      </c>
      <c r="BS121" s="162">
        <f t="shared" si="1032"/>
        <v>23.185670983714164</v>
      </c>
      <c r="BT121" s="162">
        <f t="shared" si="1032"/>
        <v>24.864397896175525</v>
      </c>
      <c r="BU121" s="162">
        <f t="shared" si="1032"/>
        <v>24.71720436207822</v>
      </c>
      <c r="BV121" s="162">
        <f t="shared" si="1032"/>
        <v>24.440375273299917</v>
      </c>
      <c r="BW121" s="162">
        <f t="shared" si="1032"/>
        <v>23.882216337387622</v>
      </c>
      <c r="BX121" s="162">
        <f t="shared" si="1032"/>
        <v>21.882365558836153</v>
      </c>
      <c r="BY121" s="162">
        <f t="shared" si="1032"/>
        <v>17.919169020754705</v>
      </c>
      <c r="BZ121" s="162">
        <f t="shared" si="1032"/>
        <v>14.292949333936274</v>
      </c>
      <c r="CA121" s="162">
        <f t="shared" si="1032"/>
        <v>16.687474801306941</v>
      </c>
      <c r="CB121" s="162">
        <f t="shared" si="1032"/>
        <v>23.546979975088622</v>
      </c>
      <c r="CC121" s="162">
        <f t="shared" si="1032"/>
        <v>31.204694822074334</v>
      </c>
      <c r="CD121" s="162">
        <f t="shared" si="1032"/>
        <v>33.90290675241156</v>
      </c>
      <c r="CE121" s="162">
        <f t="shared" ref="CE121:CF121" si="1033">+CE118/CE120</f>
        <v>34.980868081116789</v>
      </c>
      <c r="CF121" s="162">
        <f t="shared" si="1033"/>
        <v>39.657568225363768</v>
      </c>
      <c r="CG121" s="162">
        <f t="shared" ref="CG121:CH121" si="1034">+CG118/CG120</f>
        <v>40.698170228498498</v>
      </c>
      <c r="CH121" s="162">
        <f t="shared" si="1034"/>
        <v>35.472533356076099</v>
      </c>
      <c r="CI121" s="162">
        <f t="shared" ref="CI121:CJ121" si="1035">+CI118/CI120</f>
        <v>32.616678008672643</v>
      </c>
      <c r="CJ121" s="162">
        <f t="shared" si="1035"/>
        <v>35.57217296833295</v>
      </c>
      <c r="CK121" s="162">
        <f t="shared" ref="CK121:CL121" si="1036">+CK118/CK120</f>
        <v>36.937867507126093</v>
      </c>
      <c r="CL121" s="162">
        <f t="shared" si="1036"/>
        <v>35.931212908742161</v>
      </c>
      <c r="CM121" s="21">
        <f t="shared" ref="CM121:DB121" si="1037">+CM118/CM120</f>
        <v>36.275919385059382</v>
      </c>
      <c r="CN121" s="21">
        <f t="shared" si="1037"/>
        <v>35.930961630360883</v>
      </c>
      <c r="CO121" s="21">
        <f t="shared" si="1037"/>
        <v>35.408393171096961</v>
      </c>
      <c r="CP121" s="21">
        <f t="shared" si="1037"/>
        <v>34.395210567251752</v>
      </c>
      <c r="CQ121" s="21">
        <f t="shared" si="1037"/>
        <v>34.662376278327592</v>
      </c>
      <c r="CR121" s="21">
        <f t="shared" si="1037"/>
        <v>34.8042736592515</v>
      </c>
      <c r="CS121" s="21">
        <f t="shared" si="1037"/>
        <v>34.926736807177271</v>
      </c>
      <c r="CT121" s="21">
        <f t="shared" si="1037"/>
        <v>35.006251998024275</v>
      </c>
      <c r="CU121" s="21">
        <f t="shared" si="1037"/>
        <v>35.171726131407389</v>
      </c>
      <c r="CV121" s="21">
        <f t="shared" si="1037"/>
        <v>35.88453993920109</v>
      </c>
      <c r="CW121" s="21">
        <f t="shared" si="1037"/>
        <v>35.865897193071604</v>
      </c>
      <c r="CX121" s="21">
        <f t="shared" si="1037"/>
        <v>35.817483862606913</v>
      </c>
      <c r="CY121" s="21">
        <f t="shared" si="1037"/>
        <v>35.908502737789171</v>
      </c>
      <c r="CZ121" s="21">
        <f t="shared" si="1037"/>
        <v>38.896464888154092</v>
      </c>
      <c r="DA121" s="21">
        <f t="shared" si="1037"/>
        <v>41.314223839233129</v>
      </c>
      <c r="DB121" s="21">
        <f t="shared" si="1037"/>
        <v>43.128127630278222</v>
      </c>
      <c r="DE121" s="22"/>
      <c r="DF121" s="162">
        <v>35.931212908742175</v>
      </c>
    </row>
    <row r="122" spans="1:110" s="162" customFormat="1" x14ac:dyDescent="0.2">
      <c r="A122" s="49" t="s">
        <v>344</v>
      </c>
      <c r="B122" s="162" t="e">
        <f>+B119/B120</f>
        <v>#DIV/0!</v>
      </c>
      <c r="C122" s="162" t="e">
        <f t="shared" ref="C122:W122" si="1038">+C119/C120</f>
        <v>#DIV/0!</v>
      </c>
      <c r="D122" s="162" t="e">
        <f t="shared" si="1038"/>
        <v>#DIV/0!</v>
      </c>
      <c r="E122" s="162" t="e">
        <f t="shared" ca="1" si="1038"/>
        <v>#DIV/0!</v>
      </c>
      <c r="F122" s="162" t="e">
        <f t="shared" ca="1" si="1038"/>
        <v>#DIV/0!</v>
      </c>
      <c r="G122" s="162" t="e">
        <f t="shared" ca="1" si="1038"/>
        <v>#DIV/0!</v>
      </c>
      <c r="H122" s="162" t="e">
        <f t="shared" ca="1" si="1038"/>
        <v>#DIV/0!</v>
      </c>
      <c r="I122" s="162" t="e">
        <f t="shared" ca="1" si="1038"/>
        <v>#DIV/0!</v>
      </c>
      <c r="J122" s="162" t="e">
        <f t="shared" ca="1" si="1038"/>
        <v>#DIV/0!</v>
      </c>
      <c r="K122" s="162" t="e">
        <f t="shared" ca="1" si="1038"/>
        <v>#DIV/0!</v>
      </c>
      <c r="L122" s="162" t="e">
        <f t="shared" ca="1" si="1038"/>
        <v>#DIV/0!</v>
      </c>
      <c r="M122" s="162">
        <f t="shared" ca="1" si="1038"/>
        <v>3.0265835201793703</v>
      </c>
      <c r="N122" s="162">
        <f t="shared" ca="1" si="1038"/>
        <v>1.9501236054988689</v>
      </c>
      <c r="O122" s="162">
        <f t="shared" ca="1" si="1038"/>
        <v>2.5517851004272485</v>
      </c>
      <c r="P122" s="162">
        <f t="shared" ca="1" si="1038"/>
        <v>3.9061614386085415</v>
      </c>
      <c r="Q122" s="162">
        <f t="shared" ca="1" si="1038"/>
        <v>2.7579832025577162</v>
      </c>
      <c r="R122" s="162">
        <f t="shared" ca="1" si="1038"/>
        <v>14.053496387699775</v>
      </c>
      <c r="S122" s="162">
        <f t="shared" ca="1" si="1038"/>
        <v>15.032892190070642</v>
      </c>
      <c r="T122" s="162">
        <f t="shared" ca="1" si="1038"/>
        <v>12.728553690916948</v>
      </c>
      <c r="U122" s="162">
        <f t="shared" ca="1" si="1038"/>
        <v>7.5682153927907176</v>
      </c>
      <c r="V122" s="162">
        <f t="shared" ca="1" si="1038"/>
        <v>3.1214340805324112</v>
      </c>
      <c r="W122" s="162">
        <f t="shared" ca="1" si="1038"/>
        <v>14.849996836399685</v>
      </c>
      <c r="X122" s="162">
        <f t="shared" ref="X122:Y122" ca="1" si="1039">+X119/X120</f>
        <v>10.932368624347594</v>
      </c>
      <c r="Y122" s="162">
        <f t="shared" ca="1" si="1039"/>
        <v>22.459556591639863</v>
      </c>
      <c r="Z122" s="162">
        <f t="shared" ref="Z122:AA122" ca="1" si="1040">+Z119/Z120</f>
        <v>22.205449975361987</v>
      </c>
      <c r="AA122" s="162">
        <f t="shared" ref="AA122" ca="1" si="1041">+AA119/AA120</f>
        <v>22.205449975361987</v>
      </c>
      <c r="AB122" s="21">
        <f t="shared" ref="AB122:AD122" ca="1" si="1042">+AB119/AB120</f>
        <v>27.725303373991796</v>
      </c>
      <c r="AC122" s="21">
        <f t="shared" ca="1" si="1042"/>
        <v>25.031363478487865</v>
      </c>
      <c r="AD122" s="21">
        <f t="shared" ca="1" si="1042"/>
        <v>25.302113576633513</v>
      </c>
      <c r="AE122" s="21">
        <f t="shared" ref="AE122" ca="1" si="1043">+AE119/AE120</f>
        <v>25.648573729970504</v>
      </c>
      <c r="AL122" s="162" t="e">
        <f t="shared" ref="AL122:AM122" si="1044">+AL119/AL120</f>
        <v>#DIV/0!</v>
      </c>
      <c r="AM122" s="162" t="e">
        <f t="shared" si="1044"/>
        <v>#DIV/0!</v>
      </c>
      <c r="AN122" s="162" t="e">
        <f t="shared" ref="AN122:AO122" si="1045">+AN119/AN120</f>
        <v>#DIV/0!</v>
      </c>
      <c r="AO122" s="162" t="e">
        <f t="shared" si="1045"/>
        <v>#DIV/0!</v>
      </c>
      <c r="AP122" s="162" t="e">
        <f t="shared" ref="AP122:CD122" si="1046">+AP119/AP120</f>
        <v>#DIV/0!</v>
      </c>
      <c r="AQ122" s="162" t="e">
        <f t="shared" si="1046"/>
        <v>#DIV/0!</v>
      </c>
      <c r="AR122" s="162" t="e">
        <f t="shared" si="1046"/>
        <v>#DIV/0!</v>
      </c>
      <c r="AS122" s="162" t="e">
        <f t="shared" si="1046"/>
        <v>#DIV/0!</v>
      </c>
      <c r="AT122" s="162" t="e">
        <f t="shared" si="1046"/>
        <v>#DIV/0!</v>
      </c>
      <c r="AU122" s="162" t="e">
        <f t="shared" si="1046"/>
        <v>#DIV/0!</v>
      </c>
      <c r="AV122" s="162" t="e">
        <f t="shared" si="1046"/>
        <v>#DIV/0!</v>
      </c>
      <c r="AW122" s="162" t="e">
        <f t="shared" si="1046"/>
        <v>#DIV/0!</v>
      </c>
      <c r="AX122" s="162">
        <f t="shared" si="1046"/>
        <v>4.6952000797419267</v>
      </c>
      <c r="AY122" s="162">
        <f t="shared" si="1046"/>
        <v>2.9349546255525638</v>
      </c>
      <c r="AZ122" s="162">
        <f t="shared" si="1046"/>
        <v>0</v>
      </c>
      <c r="BA122" s="162">
        <f t="shared" si="1046"/>
        <v>-0.10898399579741409</v>
      </c>
      <c r="BB122" s="162">
        <f t="shared" si="1046"/>
        <v>14.489766580396674</v>
      </c>
      <c r="BC122" s="162">
        <f t="shared" si="1046"/>
        <v>15.00351196722306</v>
      </c>
      <c r="BD122" s="162">
        <f t="shared" si="1046"/>
        <v>14.811760650016412</v>
      </c>
      <c r="BE122" s="162">
        <f t="shared" si="1046"/>
        <v>14.968359314037214</v>
      </c>
      <c r="BF122" s="162">
        <f t="shared" si="1046"/>
        <v>14.838814961772961</v>
      </c>
      <c r="BG122" s="162">
        <f t="shared" si="1046"/>
        <v>14.069780301318486</v>
      </c>
      <c r="BH122" s="162">
        <f t="shared" si="1046"/>
        <v>15.382183622691128</v>
      </c>
      <c r="BI122" s="162">
        <f t="shared" si="1046"/>
        <v>12.509474420882706</v>
      </c>
      <c r="BJ122" s="162">
        <f t="shared" si="1046"/>
        <v>12.466363467815791</v>
      </c>
      <c r="BK122" s="162">
        <f t="shared" si="1046"/>
        <v>11.935999281402154</v>
      </c>
      <c r="BL122" s="162">
        <f t="shared" si="1046"/>
        <v>10.300988894249395</v>
      </c>
      <c r="BM122" s="162">
        <f t="shared" si="1046"/>
        <v>9.030055497165197</v>
      </c>
      <c r="BN122" s="162">
        <f t="shared" si="1046"/>
        <v>7.6561059517655661</v>
      </c>
      <c r="BO122" s="162">
        <f t="shared" si="1046"/>
        <v>5.8082464387730983</v>
      </c>
      <c r="BP122" s="162">
        <f t="shared" si="1046"/>
        <v>6.53419854252971</v>
      </c>
      <c r="BQ122" s="162">
        <f t="shared" si="1046"/>
        <v>11.300336110731097</v>
      </c>
      <c r="BR122" s="162">
        <f t="shared" si="1046"/>
        <v>12.506497149637578</v>
      </c>
      <c r="BS122" s="162">
        <f t="shared" si="1046"/>
        <v>12.272888185745693</v>
      </c>
      <c r="BT122" s="162">
        <f t="shared" si="1046"/>
        <v>20.368589681009439</v>
      </c>
      <c r="BU122" s="162">
        <f t="shared" si="1046"/>
        <v>16.857561259355094</v>
      </c>
      <c r="BV122" s="162">
        <f t="shared" si="1046"/>
        <v>17.603837095674304</v>
      </c>
      <c r="BW122" s="162">
        <f t="shared" si="1046"/>
        <v>16.994641653843317</v>
      </c>
      <c r="BX122" s="162">
        <f t="shared" si="1046"/>
        <v>16.874568476039066</v>
      </c>
      <c r="BY122" s="162">
        <f t="shared" si="1046"/>
        <v>12.707698163155607</v>
      </c>
      <c r="BZ122" s="162">
        <f t="shared" si="1046"/>
        <v>10.931467978067943</v>
      </c>
      <c r="CA122" s="162">
        <f t="shared" si="1046"/>
        <v>12.742632917100126</v>
      </c>
      <c r="CB122" s="162">
        <f t="shared" si="1046"/>
        <v>18.907710069943462</v>
      </c>
      <c r="CC122" s="162">
        <f t="shared" si="1046"/>
        <v>25.34380260614104</v>
      </c>
      <c r="CD122" s="162">
        <f t="shared" si="1046"/>
        <v>27.946014147909956</v>
      </c>
      <c r="CE122" s="162">
        <f t="shared" ref="CE122:CF122" si="1047">+CE119/CE120</f>
        <v>29.178905115312041</v>
      </c>
      <c r="CF122" s="162">
        <f t="shared" si="1047"/>
        <v>30.74056755217233</v>
      </c>
      <c r="CG122" s="162">
        <f t="shared" ref="CG122:CH122" si="1048">+CG119/CG120</f>
        <v>29.491484311381956</v>
      </c>
      <c r="CH122" s="162">
        <f t="shared" si="1048"/>
        <v>28.211464255932068</v>
      </c>
      <c r="CI122" s="162">
        <f t="shared" ref="CI122:CJ122" si="1049">+CI119/CI120</f>
        <v>23.670529265573155</v>
      </c>
      <c r="CJ122" s="162">
        <f t="shared" si="1049"/>
        <v>27.535663988626148</v>
      </c>
      <c r="CK122" s="162">
        <f t="shared" ref="CK122:CL122" si="1050">+CK119/CK120</f>
        <v>27.955841798431983</v>
      </c>
      <c r="CL122" s="162">
        <f t="shared" si="1050"/>
        <v>29.021038161454914</v>
      </c>
      <c r="CM122" s="21">
        <f t="shared" ref="CM122:DB122" si="1051">+CM119/CM120</f>
        <v>29.273450668273028</v>
      </c>
      <c r="CN122" s="21">
        <f t="shared" si="1051"/>
        <v>28.987585754265094</v>
      </c>
      <c r="CO122" s="21">
        <f t="shared" si="1051"/>
        <v>28.567666935929129</v>
      </c>
      <c r="CP122" s="21">
        <f t="shared" si="1051"/>
        <v>27.741869197434866</v>
      </c>
      <c r="CQ122" s="21">
        <f t="shared" si="1051"/>
        <v>27.928596980780416</v>
      </c>
      <c r="CR122" s="21">
        <f t="shared" si="1051"/>
        <v>28.031520783872402</v>
      </c>
      <c r="CS122" s="21">
        <f t="shared" si="1051"/>
        <v>28.123339658178033</v>
      </c>
      <c r="CT122" s="21">
        <f t="shared" si="1051"/>
        <v>28.165254616952371</v>
      </c>
      <c r="CU122" s="21">
        <f t="shared" si="1051"/>
        <v>28.270740937500932</v>
      </c>
      <c r="CV122" s="21">
        <f t="shared" si="1051"/>
        <v>28.829350902474946</v>
      </c>
      <c r="CW122" s="21">
        <f t="shared" si="1051"/>
        <v>28.80911467334689</v>
      </c>
      <c r="CX122" s="21">
        <f t="shared" si="1051"/>
        <v>28.749408241171206</v>
      </c>
      <c r="CY122" s="21">
        <f t="shared" si="1051"/>
        <v>28.795715370466745</v>
      </c>
      <c r="CZ122" s="21">
        <f t="shared" si="1051"/>
        <v>31.168056782272942</v>
      </c>
      <c r="DA122" s="21">
        <f t="shared" si="1051"/>
        <v>33.092333810124664</v>
      </c>
      <c r="DB122" s="21">
        <f t="shared" si="1051"/>
        <v>34.519116960675554</v>
      </c>
      <c r="DE122" s="22"/>
      <c r="DF122" s="162">
        <v>16.986310618717351</v>
      </c>
    </row>
    <row r="123" spans="1:110" s="10" customFormat="1" x14ac:dyDescent="0.2">
      <c r="A123" s="149" t="s">
        <v>490</v>
      </c>
      <c r="AB123" s="20"/>
      <c r="AC123" s="20"/>
      <c r="AD123" s="20"/>
      <c r="AE123" s="20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E123" s="126"/>
    </row>
    <row r="124" spans="1:110" x14ac:dyDescent="0.2">
      <c r="A124" s="152" t="s">
        <v>491</v>
      </c>
      <c r="AA124" s="2"/>
      <c r="CL124" s="2"/>
    </row>
    <row r="125" spans="1:110" s="23" customFormat="1" outlineLevel="1" x14ac:dyDescent="0.2">
      <c r="A125" s="23" t="s">
        <v>41</v>
      </c>
      <c r="B125" s="23">
        <f>'Annual Raw'!C41</f>
        <v>0</v>
      </c>
      <c r="C125" s="23">
        <f>'Annual Raw'!D41</f>
        <v>0</v>
      </c>
      <c r="D125" s="23">
        <f>'Annual Raw'!E41</f>
        <v>0</v>
      </c>
      <c r="E125" s="23">
        <f>'Annual Raw'!F41</f>
        <v>0</v>
      </c>
      <c r="F125" s="23">
        <f>'Annual Raw'!G41</f>
        <v>0</v>
      </c>
      <c r="G125" s="23">
        <f>'Annual Raw'!H41</f>
        <v>0</v>
      </c>
      <c r="H125" s="23">
        <f>'Annual Raw'!I41</f>
        <v>0</v>
      </c>
      <c r="I125" s="23">
        <f>'Annual Raw'!J41</f>
        <v>0</v>
      </c>
      <c r="J125" s="23">
        <f>'Annual Raw'!K41</f>
        <v>0</v>
      </c>
      <c r="K125" s="23">
        <f>'Annual Raw'!L41</f>
        <v>0</v>
      </c>
      <c r="L125" s="23">
        <f>'Annual Raw'!M41</f>
        <v>0</v>
      </c>
      <c r="M125" s="23">
        <f>'Annual Raw'!N41</f>
        <v>77.700999999999993</v>
      </c>
      <c r="N125" s="23">
        <f>'Annual Raw'!O41</f>
        <v>77.700999999999993</v>
      </c>
      <c r="O125" s="23">
        <f>'Annual Raw'!P41</f>
        <v>77.84</v>
      </c>
      <c r="P125" s="23">
        <f>'Annual Raw'!Q41</f>
        <v>82.125</v>
      </c>
      <c r="Q125" s="23">
        <f>'Annual Raw'!R41</f>
        <v>82.38</v>
      </c>
      <c r="R125" s="23">
        <f>'Annual Raw'!S41</f>
        <v>105.756</v>
      </c>
      <c r="S125" s="23">
        <f>'Annual Raw'!T41</f>
        <v>106.03</v>
      </c>
      <c r="T125" s="23">
        <f>'Annual Raw'!U41</f>
        <v>106.437</v>
      </c>
      <c r="U125" s="23">
        <f>'Annual Raw'!V41</f>
        <v>106.91</v>
      </c>
      <c r="V125" s="23">
        <f>'Annual Raw'!W41</f>
        <v>107.32</v>
      </c>
      <c r="W125" s="23">
        <f>'Annual Raw'!X41</f>
        <v>107.47</v>
      </c>
      <c r="X125" s="23">
        <f>'Annual Raw'!Y41</f>
        <v>107.73</v>
      </c>
      <c r="Y125" s="23">
        <f>'Annual Raw'!Z41</f>
        <v>107.79</v>
      </c>
      <c r="Z125" s="23">
        <f>'Annual Raw'!AA41</f>
        <v>107.85</v>
      </c>
      <c r="AA125" s="23">
        <f>'Annual Raw'!AB41</f>
        <v>107.97</v>
      </c>
      <c r="AB125" s="24">
        <f>+CP125</f>
        <v>107.97</v>
      </c>
      <c r="AC125" s="24">
        <f>+CT125</f>
        <v>107.97</v>
      </c>
      <c r="AD125" s="24">
        <f>+CX125</f>
        <v>107.97</v>
      </c>
      <c r="AE125" s="24">
        <f>+DB125</f>
        <v>107.97</v>
      </c>
      <c r="AJ125" s="23">
        <f>+'QTR Raw'!D56</f>
        <v>0</v>
      </c>
      <c r="AK125" s="23">
        <f t="shared" ref="AK125:CE125" si="1052">+AJ125</f>
        <v>0</v>
      </c>
      <c r="AL125" s="23">
        <f>+'QTR Raw'!F56</f>
        <v>0</v>
      </c>
      <c r="AM125" s="23">
        <f t="shared" si="1052"/>
        <v>0</v>
      </c>
      <c r="AN125" s="23">
        <f>+'QTR Raw'!H56</f>
        <v>0</v>
      </c>
      <c r="AO125" s="23">
        <f t="shared" si="1052"/>
        <v>0</v>
      </c>
      <c r="AP125" s="23">
        <f>+'QTR Raw'!J56</f>
        <v>0</v>
      </c>
      <c r="AQ125" s="23">
        <f t="shared" si="1052"/>
        <v>0</v>
      </c>
      <c r="AR125" s="23">
        <f>+'QTR Raw'!L56</f>
        <v>0</v>
      </c>
      <c r="AS125" s="23">
        <f t="shared" si="1052"/>
        <v>0</v>
      </c>
      <c r="AT125" s="23">
        <f>+'QTR Raw'!N56</f>
        <v>0</v>
      </c>
      <c r="AU125" s="23">
        <f t="shared" si="1052"/>
        <v>0</v>
      </c>
      <c r="AV125" s="23">
        <f>+'QTR Raw'!P56</f>
        <v>0</v>
      </c>
      <c r="AW125" s="23">
        <f t="shared" si="1052"/>
        <v>0</v>
      </c>
      <c r="AX125" s="23">
        <f>+'QTR Raw'!R56</f>
        <v>82.38</v>
      </c>
      <c r="AY125" s="23">
        <f t="shared" si="1052"/>
        <v>82.38</v>
      </c>
      <c r="AZ125" s="23">
        <f>+'QTR Raw'!T56</f>
        <v>0</v>
      </c>
      <c r="BA125" s="23">
        <f t="shared" si="1052"/>
        <v>0</v>
      </c>
      <c r="BB125" s="23">
        <f>+'QTR Raw'!V56</f>
        <v>105.756</v>
      </c>
      <c r="BC125" s="23">
        <f t="shared" si="1052"/>
        <v>105.756</v>
      </c>
      <c r="BD125" s="23">
        <f>+'QTR Raw'!X56</f>
        <v>106.03</v>
      </c>
      <c r="BE125" s="23">
        <f t="shared" si="1052"/>
        <v>106.03</v>
      </c>
      <c r="BF125" s="23">
        <f>+'QTR Raw'!Z56</f>
        <v>106.03</v>
      </c>
      <c r="BG125" s="23">
        <f t="shared" si="1052"/>
        <v>106.03</v>
      </c>
      <c r="BH125" s="23">
        <f>+'QTR Raw'!AB56</f>
        <v>106.437</v>
      </c>
      <c r="BI125" s="23">
        <f t="shared" si="1052"/>
        <v>106.437</v>
      </c>
      <c r="BJ125" s="23">
        <f>+'QTR Raw'!AD56</f>
        <v>106.437</v>
      </c>
      <c r="BK125" s="23">
        <f t="shared" si="1052"/>
        <v>106.437</v>
      </c>
      <c r="BL125" s="23">
        <f>+'QTR Raw'!AF56</f>
        <v>106.914</v>
      </c>
      <c r="BM125" s="23">
        <f t="shared" si="1052"/>
        <v>106.914</v>
      </c>
      <c r="BN125" s="23">
        <f>+'QTR Raw'!AH56</f>
        <v>106.91</v>
      </c>
      <c r="BO125" s="23">
        <f t="shared" si="1052"/>
        <v>106.91</v>
      </c>
      <c r="BP125" s="23">
        <f>+'QTR Raw'!AJ56</f>
        <v>107.2</v>
      </c>
      <c r="BQ125" s="23">
        <f t="shared" si="1052"/>
        <v>107.2</v>
      </c>
      <c r="BR125" s="23">
        <f>+'QTR Raw'!AL56</f>
        <v>107.32</v>
      </c>
      <c r="BS125" s="23">
        <f t="shared" si="1052"/>
        <v>107.32</v>
      </c>
      <c r="BT125" s="23">
        <f>+'QTR Raw'!AN56</f>
        <v>107.32</v>
      </c>
      <c r="BU125" s="23">
        <f t="shared" si="1052"/>
        <v>107.32</v>
      </c>
      <c r="BV125" s="23">
        <f>+'QTR Raw'!AP56</f>
        <v>107.47</v>
      </c>
      <c r="BW125" s="23">
        <f t="shared" si="1052"/>
        <v>107.47</v>
      </c>
      <c r="BX125" s="23">
        <f>+'QTR Raw'!AR56</f>
        <v>107.47</v>
      </c>
      <c r="BY125" s="23">
        <f t="shared" si="1052"/>
        <v>107.47</v>
      </c>
      <c r="BZ125" s="23">
        <f>+'QTR Raw'!AT56</f>
        <v>107.73</v>
      </c>
      <c r="CA125" s="23">
        <f t="shared" si="1052"/>
        <v>107.73</v>
      </c>
      <c r="CB125" s="23">
        <f>+'QTR Raw'!AV56</f>
        <v>107.73</v>
      </c>
      <c r="CC125" s="23">
        <f t="shared" si="1052"/>
        <v>107.73</v>
      </c>
      <c r="CD125" s="23">
        <f>+'QTR Raw'!AX56</f>
        <v>107.79</v>
      </c>
      <c r="CE125" s="23">
        <f t="shared" si="1052"/>
        <v>107.79</v>
      </c>
      <c r="CF125" s="23">
        <f>+'QTR Raw'!AZ56</f>
        <v>107.83</v>
      </c>
      <c r="CG125" s="23">
        <f t="shared" ref="CG125:CG126" si="1053">+CF125</f>
        <v>107.83</v>
      </c>
      <c r="CH125" s="23">
        <f>Z125</f>
        <v>107.85</v>
      </c>
      <c r="CI125" s="23">
        <f>CH125</f>
        <v>107.85</v>
      </c>
      <c r="CJ125" s="23">
        <f>+'QTR Raw'!BD56</f>
        <v>107.96</v>
      </c>
      <c r="CK125" s="23">
        <f t="shared" ref="CK125:DB125" si="1054">CJ125</f>
        <v>107.96</v>
      </c>
      <c r="CL125" s="23">
        <f>+'QTR Raw'!BF56</f>
        <v>107.97</v>
      </c>
      <c r="CM125" s="24">
        <f t="shared" si="1054"/>
        <v>107.97</v>
      </c>
      <c r="CN125" s="24">
        <f t="shared" si="1054"/>
        <v>107.97</v>
      </c>
      <c r="CO125" s="24">
        <f t="shared" si="1054"/>
        <v>107.97</v>
      </c>
      <c r="CP125" s="24">
        <f t="shared" si="1054"/>
        <v>107.97</v>
      </c>
      <c r="CQ125" s="24">
        <f t="shared" si="1054"/>
        <v>107.97</v>
      </c>
      <c r="CR125" s="24">
        <f t="shared" si="1054"/>
        <v>107.97</v>
      </c>
      <c r="CS125" s="24">
        <f t="shared" si="1054"/>
        <v>107.97</v>
      </c>
      <c r="CT125" s="24">
        <f t="shared" si="1054"/>
        <v>107.97</v>
      </c>
      <c r="CU125" s="24">
        <f t="shared" si="1054"/>
        <v>107.97</v>
      </c>
      <c r="CV125" s="24">
        <f t="shared" si="1054"/>
        <v>107.97</v>
      </c>
      <c r="CW125" s="24">
        <f t="shared" si="1054"/>
        <v>107.97</v>
      </c>
      <c r="CX125" s="24">
        <f t="shared" si="1054"/>
        <v>107.97</v>
      </c>
      <c r="CY125" s="24">
        <f t="shared" si="1054"/>
        <v>107.97</v>
      </c>
      <c r="CZ125" s="24">
        <f t="shared" si="1054"/>
        <v>107.97</v>
      </c>
      <c r="DA125" s="24">
        <f t="shared" si="1054"/>
        <v>107.97</v>
      </c>
      <c r="DB125" s="24">
        <f t="shared" si="1054"/>
        <v>107.97</v>
      </c>
      <c r="DE125" s="123"/>
      <c r="DF125" s="23">
        <v>107.97</v>
      </c>
    </row>
    <row r="126" spans="1:110" s="23" customFormat="1" outlineLevel="1" x14ac:dyDescent="0.2">
      <c r="A126" s="23" t="s">
        <v>42</v>
      </c>
      <c r="B126" s="23">
        <f>'Annual Raw'!C42</f>
        <v>0</v>
      </c>
      <c r="C126" s="23">
        <f>'Annual Raw'!D42</f>
        <v>0</v>
      </c>
      <c r="D126" s="23">
        <f>'Annual Raw'!E42</f>
        <v>0</v>
      </c>
      <c r="E126" s="23">
        <f>'Annual Raw'!F42</f>
        <v>0</v>
      </c>
      <c r="F126" s="23">
        <f>'Annual Raw'!G42</f>
        <v>0</v>
      </c>
      <c r="G126" s="23">
        <f>'Annual Raw'!H42</f>
        <v>0</v>
      </c>
      <c r="H126" s="23">
        <f>'Annual Raw'!I42</f>
        <v>0</v>
      </c>
      <c r="I126" s="23">
        <f>'Annual Raw'!J42</f>
        <v>0</v>
      </c>
      <c r="J126" s="23">
        <f>'Annual Raw'!K42</f>
        <v>0</v>
      </c>
      <c r="K126" s="23">
        <f>'Annual Raw'!L42</f>
        <v>0</v>
      </c>
      <c r="L126" s="23">
        <f>'Annual Raw'!M42</f>
        <v>0</v>
      </c>
      <c r="M126" s="23">
        <f>'Annual Raw'!N42</f>
        <v>1.0349999999999999</v>
      </c>
      <c r="N126" s="23">
        <f>'Annual Raw'!O42</f>
        <v>2.9289999999999998</v>
      </c>
      <c r="O126" s="23">
        <f>'Annual Raw'!P42</f>
        <v>3.36</v>
      </c>
      <c r="P126" s="23">
        <f>'Annual Raw'!Q42</f>
        <v>2.9449999999999998</v>
      </c>
      <c r="Q126" s="23">
        <f>'Annual Raw'!R42</f>
        <v>2.9449999999999998</v>
      </c>
      <c r="R126" s="23">
        <f>'Annual Raw'!S42</f>
        <v>5.8529999999999998</v>
      </c>
      <c r="S126" s="23">
        <f>'Annual Raw'!T42</f>
        <v>5.8550000000000004</v>
      </c>
      <c r="T126" s="23">
        <f>'Annual Raw'!U42</f>
        <v>5.367</v>
      </c>
      <c r="U126" s="23">
        <f>'Annual Raw'!V42</f>
        <v>4.63</v>
      </c>
      <c r="V126" s="23">
        <f>'Annual Raw'!W42</f>
        <v>4.92</v>
      </c>
      <c r="W126" s="23">
        <f>'Annual Raw'!X42</f>
        <v>9.17</v>
      </c>
      <c r="X126" s="23">
        <f>'Annual Raw'!Y42</f>
        <v>12.08</v>
      </c>
      <c r="Y126" s="23">
        <f>'Annual Raw'!Z42</f>
        <v>21.47</v>
      </c>
      <c r="Z126" s="23">
        <f>'Annual Raw'!AA42</f>
        <v>26.05</v>
      </c>
      <c r="AA126" s="23">
        <f>'Annual Raw'!AB42</f>
        <v>24.98</v>
      </c>
      <c r="AB126" s="24">
        <f t="shared" ref="AB126:AB127" si="1055">+CP126</f>
        <v>0</v>
      </c>
      <c r="AC126" s="24">
        <f t="shared" ref="AC126:AC127" si="1056">+CT126</f>
        <v>0</v>
      </c>
      <c r="AD126" s="24">
        <f t="shared" ref="AD126:AD127" si="1057">+CX126</f>
        <v>0</v>
      </c>
      <c r="AE126" s="24">
        <f t="shared" ref="AE126:AE127" si="1058">+DB126</f>
        <v>0</v>
      </c>
      <c r="AJ126" s="23">
        <f>+'QTR Raw'!D57</f>
        <v>0</v>
      </c>
      <c r="AK126" s="23">
        <f t="shared" ref="AK126:CE126" si="1059">+AJ126</f>
        <v>0</v>
      </c>
      <c r="AL126" s="23">
        <f>+'QTR Raw'!F57</f>
        <v>0</v>
      </c>
      <c r="AM126" s="23">
        <f t="shared" si="1059"/>
        <v>0</v>
      </c>
      <c r="AN126" s="23">
        <f>+'QTR Raw'!H57</f>
        <v>0</v>
      </c>
      <c r="AO126" s="23">
        <f t="shared" si="1059"/>
        <v>0</v>
      </c>
      <c r="AP126" s="23">
        <f>+'QTR Raw'!J57</f>
        <v>0</v>
      </c>
      <c r="AQ126" s="23">
        <f t="shared" si="1059"/>
        <v>0</v>
      </c>
      <c r="AR126" s="23">
        <f>+'QTR Raw'!L57</f>
        <v>0</v>
      </c>
      <c r="AS126" s="23">
        <f t="shared" si="1059"/>
        <v>0</v>
      </c>
      <c r="AT126" s="23">
        <f>+'QTR Raw'!N57</f>
        <v>0</v>
      </c>
      <c r="AU126" s="23">
        <f t="shared" si="1059"/>
        <v>0</v>
      </c>
      <c r="AV126" s="23">
        <f>+'QTR Raw'!P57</f>
        <v>0</v>
      </c>
      <c r="AW126" s="23">
        <f t="shared" si="1059"/>
        <v>0</v>
      </c>
      <c r="AX126" s="23">
        <f>+'QTR Raw'!R57</f>
        <v>0</v>
      </c>
      <c r="AY126" s="23">
        <f t="shared" si="1059"/>
        <v>0</v>
      </c>
      <c r="AZ126" s="23">
        <f>+'QTR Raw'!T57</f>
        <v>0</v>
      </c>
      <c r="BA126" s="23">
        <f t="shared" si="1059"/>
        <v>0</v>
      </c>
      <c r="BB126" s="23">
        <f>+'QTR Raw'!V57</f>
        <v>0</v>
      </c>
      <c r="BC126" s="23">
        <f t="shared" si="1059"/>
        <v>0</v>
      </c>
      <c r="BD126" s="23">
        <f>+'QTR Raw'!X57</f>
        <v>0</v>
      </c>
      <c r="BE126" s="23">
        <f t="shared" si="1059"/>
        <v>0</v>
      </c>
      <c r="BF126" s="23">
        <f>+'QTR Raw'!Z57</f>
        <v>0</v>
      </c>
      <c r="BG126" s="23">
        <f t="shared" si="1059"/>
        <v>0</v>
      </c>
      <c r="BH126" s="23">
        <f>+'QTR Raw'!AB57</f>
        <v>0</v>
      </c>
      <c r="BI126" s="23">
        <f t="shared" si="1059"/>
        <v>0</v>
      </c>
      <c r="BJ126" s="23">
        <f>+'QTR Raw'!AD57</f>
        <v>0</v>
      </c>
      <c r="BK126" s="23">
        <f t="shared" si="1059"/>
        <v>0</v>
      </c>
      <c r="BL126" s="23">
        <f>+'QTR Raw'!AF57</f>
        <v>0</v>
      </c>
      <c r="BM126" s="23">
        <f t="shared" si="1059"/>
        <v>0</v>
      </c>
      <c r="BN126" s="23">
        <f>+'QTR Raw'!AH57</f>
        <v>0</v>
      </c>
      <c r="BO126" s="23">
        <f t="shared" si="1059"/>
        <v>0</v>
      </c>
      <c r="BP126" s="23">
        <f>+'QTR Raw'!AJ57</f>
        <v>0</v>
      </c>
      <c r="BQ126" s="23">
        <f t="shared" si="1059"/>
        <v>0</v>
      </c>
      <c r="BR126" s="23">
        <f>+'QTR Raw'!AL57</f>
        <v>0</v>
      </c>
      <c r="BS126" s="23">
        <f t="shared" si="1059"/>
        <v>0</v>
      </c>
      <c r="BT126" s="23">
        <f>+'QTR Raw'!AN57</f>
        <v>0</v>
      </c>
      <c r="BU126" s="23">
        <f t="shared" si="1059"/>
        <v>0</v>
      </c>
      <c r="BV126" s="23">
        <f>+'QTR Raw'!AP57</f>
        <v>0</v>
      </c>
      <c r="BW126" s="23">
        <f t="shared" si="1059"/>
        <v>0</v>
      </c>
      <c r="BX126" s="23">
        <f>+'QTR Raw'!AR57</f>
        <v>0</v>
      </c>
      <c r="BY126" s="23">
        <f t="shared" si="1059"/>
        <v>0</v>
      </c>
      <c r="BZ126" s="23">
        <f>+'QTR Raw'!AT57</f>
        <v>0</v>
      </c>
      <c r="CA126" s="23">
        <f t="shared" si="1059"/>
        <v>0</v>
      </c>
      <c r="CB126" s="23">
        <f>+'QTR Raw'!AV57</f>
        <v>0</v>
      </c>
      <c r="CC126" s="23">
        <f t="shared" si="1059"/>
        <v>0</v>
      </c>
      <c r="CD126" s="23">
        <f>+'QTR Raw'!AX57</f>
        <v>0</v>
      </c>
      <c r="CE126" s="23">
        <f t="shared" si="1059"/>
        <v>0</v>
      </c>
      <c r="CF126" s="23">
        <f>+'QTR Raw'!AZ57</f>
        <v>0</v>
      </c>
      <c r="CG126" s="23">
        <f t="shared" si="1053"/>
        <v>0</v>
      </c>
      <c r="CH126" s="23">
        <f t="shared" ref="CH126:CH127" si="1060">Z126</f>
        <v>26.05</v>
      </c>
      <c r="CI126" s="23">
        <f>CH126</f>
        <v>26.05</v>
      </c>
      <c r="CJ126" s="23">
        <f>+'QTR Raw'!BD57</f>
        <v>0</v>
      </c>
      <c r="CK126" s="23">
        <f t="shared" ref="CK126:DB126" si="1061">CJ126</f>
        <v>0</v>
      </c>
      <c r="CL126" s="23">
        <f>+'QTR Raw'!BF57</f>
        <v>0</v>
      </c>
      <c r="CM126" s="24">
        <f t="shared" si="1061"/>
        <v>0</v>
      </c>
      <c r="CN126" s="24">
        <f t="shared" si="1061"/>
        <v>0</v>
      </c>
      <c r="CO126" s="24">
        <f t="shared" si="1061"/>
        <v>0</v>
      </c>
      <c r="CP126" s="24">
        <f t="shared" si="1061"/>
        <v>0</v>
      </c>
      <c r="CQ126" s="24">
        <f t="shared" si="1061"/>
        <v>0</v>
      </c>
      <c r="CR126" s="24">
        <f t="shared" si="1061"/>
        <v>0</v>
      </c>
      <c r="CS126" s="24">
        <f t="shared" si="1061"/>
        <v>0</v>
      </c>
      <c r="CT126" s="24">
        <f t="shared" si="1061"/>
        <v>0</v>
      </c>
      <c r="CU126" s="24">
        <f t="shared" si="1061"/>
        <v>0</v>
      </c>
      <c r="CV126" s="24">
        <f t="shared" si="1061"/>
        <v>0</v>
      </c>
      <c r="CW126" s="24">
        <f t="shared" si="1061"/>
        <v>0</v>
      </c>
      <c r="CX126" s="24">
        <f t="shared" si="1061"/>
        <v>0</v>
      </c>
      <c r="CY126" s="24">
        <f t="shared" si="1061"/>
        <v>0</v>
      </c>
      <c r="CZ126" s="24">
        <f t="shared" si="1061"/>
        <v>0</v>
      </c>
      <c r="DA126" s="24">
        <f t="shared" si="1061"/>
        <v>0</v>
      </c>
      <c r="DB126" s="24">
        <f t="shared" si="1061"/>
        <v>0</v>
      </c>
      <c r="DE126" s="123"/>
      <c r="DF126" s="23">
        <v>0</v>
      </c>
    </row>
    <row r="127" spans="1:110" s="23" customFormat="1" outlineLevel="1" x14ac:dyDescent="0.2">
      <c r="A127" s="23" t="s">
        <v>43</v>
      </c>
      <c r="B127" s="23">
        <f>'Annual Raw'!C43</f>
        <v>0</v>
      </c>
      <c r="C127" s="23">
        <f>'Annual Raw'!D43</f>
        <v>0</v>
      </c>
      <c r="D127" s="23">
        <f>'Annual Raw'!E43</f>
        <v>0</v>
      </c>
      <c r="E127" s="23">
        <f>'Annual Raw'!F43</f>
        <v>0</v>
      </c>
      <c r="F127" s="23">
        <f>'Annual Raw'!G43</f>
        <v>0</v>
      </c>
      <c r="G127" s="23">
        <f>'Annual Raw'!H43</f>
        <v>0</v>
      </c>
      <c r="H127" s="23">
        <f>'Annual Raw'!I43</f>
        <v>0</v>
      </c>
      <c r="I127" s="23">
        <f>'Annual Raw'!J43</f>
        <v>0</v>
      </c>
      <c r="J127" s="23">
        <f>'Annual Raw'!K43</f>
        <v>0</v>
      </c>
      <c r="K127" s="23">
        <f>'Annual Raw'!L43</f>
        <v>0</v>
      </c>
      <c r="L127" s="23">
        <f>'Annual Raw'!M43</f>
        <v>0</v>
      </c>
      <c r="M127" s="23">
        <f>'Annual Raw'!N43</f>
        <v>90.45</v>
      </c>
      <c r="N127" s="23">
        <f>'Annual Raw'!O43</f>
        <v>178.66900000000001</v>
      </c>
      <c r="O127" s="23">
        <f>'Annual Raw'!P43</f>
        <v>277.21699999999998</v>
      </c>
      <c r="P127" s="23">
        <f>'Annual Raw'!Q43</f>
        <v>637.03</v>
      </c>
      <c r="Q127" s="23">
        <f>'Annual Raw'!R43</f>
        <v>771.47299999999996</v>
      </c>
      <c r="R127" s="23">
        <f>'Annual Raw'!S43</f>
        <v>1218.8389999999999</v>
      </c>
      <c r="S127" s="23">
        <f>'Annual Raw'!T43</f>
        <v>1370.7539999999999</v>
      </c>
      <c r="T127" s="23">
        <f>'Annual Raw'!U43</f>
        <v>1446.6030000000001</v>
      </c>
      <c r="U127" s="23">
        <f>'Annual Raw'!V43</f>
        <v>1658.23</v>
      </c>
      <c r="V127" s="23">
        <f>'Annual Raw'!W43</f>
        <v>2485.31</v>
      </c>
      <c r="W127" s="23">
        <f>'Annual Raw'!X43</f>
        <v>3234.55</v>
      </c>
      <c r="X127" s="23">
        <f>'Annual Raw'!Y43</f>
        <v>3917.72</v>
      </c>
      <c r="Y127" s="23">
        <f>'Annual Raw'!Z43</f>
        <v>3981.69</v>
      </c>
      <c r="Z127" s="23">
        <f>'Annual Raw'!AA43</f>
        <v>4338.66</v>
      </c>
      <c r="AA127" s="23">
        <f>'Annual Raw'!AB43</f>
        <v>5167.1099999999997</v>
      </c>
      <c r="AB127" s="24">
        <f t="shared" si="1055"/>
        <v>6122.8154564135129</v>
      </c>
      <c r="AC127" s="24">
        <f t="shared" si="1056"/>
        <v>7225.6233312317327</v>
      </c>
      <c r="AD127" s="24">
        <f t="shared" si="1057"/>
        <v>8536.4345149765104</v>
      </c>
      <c r="AE127" s="24">
        <f t="shared" si="1058"/>
        <v>10372.610093401698</v>
      </c>
      <c r="AJ127" s="23">
        <f>+'QTR Raw'!D58</f>
        <v>0</v>
      </c>
      <c r="AK127" s="23">
        <f>+AJ127+AK56</f>
        <v>0</v>
      </c>
      <c r="AL127" s="23">
        <f>+'QTR Raw'!F58</f>
        <v>0</v>
      </c>
      <c r="AM127" s="23">
        <f>+AL127+AM56</f>
        <v>0</v>
      </c>
      <c r="AN127" s="23">
        <f>+'QTR Raw'!H58</f>
        <v>0</v>
      </c>
      <c r="AO127" s="23">
        <f>+AN127+AO56</f>
        <v>0</v>
      </c>
      <c r="AP127" s="23">
        <f>+'QTR Raw'!J58</f>
        <v>0</v>
      </c>
      <c r="AQ127" s="23">
        <f>+AP127+AQ56</f>
        <v>0</v>
      </c>
      <c r="AR127" s="23">
        <f>+'QTR Raw'!L58</f>
        <v>0</v>
      </c>
      <c r="AS127" s="23">
        <f>+AR127+AS56</f>
        <v>0</v>
      </c>
      <c r="AT127" s="23">
        <f>+'QTR Raw'!N58</f>
        <v>0</v>
      </c>
      <c r="AU127" s="23">
        <f>+AT127+AU56</f>
        <v>0</v>
      </c>
      <c r="AV127" s="23">
        <f>+'QTR Raw'!P58</f>
        <v>0</v>
      </c>
      <c r="AW127" s="23">
        <f>+AV127+AW56</f>
        <v>40.23100000000003</v>
      </c>
      <c r="AX127" s="23">
        <f>+'QTR Raw'!R58</f>
        <v>774.41800000000001</v>
      </c>
      <c r="AY127" s="23">
        <f>+AX127+AY56</f>
        <v>800.06100000000004</v>
      </c>
      <c r="AZ127" s="23">
        <f>+'QTR Raw'!T58</f>
        <v>0</v>
      </c>
      <c r="BA127" s="23">
        <f>+AZ127+BA56</f>
        <v>45.019000000000027</v>
      </c>
      <c r="BB127" s="23">
        <f>+'QTR Raw'!V58</f>
        <v>1224.692</v>
      </c>
      <c r="BC127" s="23">
        <f>+BB127+BC56</f>
        <v>1263.597</v>
      </c>
      <c r="BD127" s="23">
        <f>+'QTR Raw'!X58</f>
        <v>1295.2619999999999</v>
      </c>
      <c r="BE127" s="23">
        <f>+BD127+BE56</f>
        <v>1330.1319999999998</v>
      </c>
      <c r="BF127" s="23">
        <f>+'QTR Raw'!Z58</f>
        <v>1376.6089999999999</v>
      </c>
      <c r="BG127" s="23">
        <f>+BF127+BG56</f>
        <v>1393.1669999999999</v>
      </c>
      <c r="BH127" s="23">
        <f>+'QTR Raw'!AB58</f>
        <v>1386.174</v>
      </c>
      <c r="BI127" s="23">
        <f>+BH127+BI56</f>
        <v>1403.991</v>
      </c>
      <c r="BJ127" s="23">
        <f>+'QTR Raw'!AD58</f>
        <v>1451.97</v>
      </c>
      <c r="BK127" s="23">
        <f>+BJ127+BK56</f>
        <v>1467.0700000000002</v>
      </c>
      <c r="BL127" s="23">
        <f>+'QTR Raw'!AF58</f>
        <v>1508.8240000000001</v>
      </c>
      <c r="BM127" s="23">
        <f>+BL127+BM56</f>
        <v>1582.2940000000001</v>
      </c>
      <c r="BN127" s="23">
        <f>+'QTR Raw'!AH58</f>
        <v>1662.86</v>
      </c>
      <c r="BO127" s="23">
        <f>+BN127+BO56</f>
        <v>1834.6399999999999</v>
      </c>
      <c r="BP127" s="23">
        <f>+'QTR Raw'!AJ58</f>
        <v>2080.5100000000002</v>
      </c>
      <c r="BQ127" s="23">
        <f>+BP127+BQ56</f>
        <v>2353.36</v>
      </c>
      <c r="BR127" s="23">
        <f>+'QTR Raw'!AL58</f>
        <v>2490.23</v>
      </c>
      <c r="BS127" s="23">
        <f>+BR127+BS56</f>
        <v>2731.62</v>
      </c>
      <c r="BT127" s="23">
        <f>+'QTR Raw'!AN58</f>
        <v>2892.24</v>
      </c>
      <c r="BU127" s="23">
        <f>+BT127+BU56</f>
        <v>3045.97</v>
      </c>
      <c r="BV127" s="23">
        <f>+'QTR Raw'!AP58</f>
        <v>3243.72</v>
      </c>
      <c r="BW127" s="23">
        <f>+BV127+BW56</f>
        <v>3494.9999999999995</v>
      </c>
      <c r="BX127" s="23">
        <f>+'QTR Raw'!AR58</f>
        <v>3656.02</v>
      </c>
      <c r="BY127" s="23">
        <f>+BX127+BY56</f>
        <v>3859.06</v>
      </c>
      <c r="BZ127" s="23">
        <f>+'QTR Raw'!AT58</f>
        <v>3929.8</v>
      </c>
      <c r="CA127" s="23">
        <f>+BZ127+CA56</f>
        <v>3954.65</v>
      </c>
      <c r="CB127" s="23">
        <f>+'QTR Raw'!AV58</f>
        <v>3922.09</v>
      </c>
      <c r="CC127" s="23">
        <f>+CB127+CC56</f>
        <v>3945.23</v>
      </c>
      <c r="CD127" s="23">
        <f>+'QTR Raw'!AX58</f>
        <v>4003.16</v>
      </c>
      <c r="CE127" s="23">
        <f>+CD127+CE56</f>
        <v>4015.67</v>
      </c>
      <c r="CF127" s="23">
        <f>+'QTR Raw'!AZ58</f>
        <v>4026.11</v>
      </c>
      <c r="CG127" s="23">
        <f>+CF127+CG56</f>
        <v>4118.41</v>
      </c>
      <c r="CH127" s="23">
        <f t="shared" si="1060"/>
        <v>4338.66</v>
      </c>
      <c r="CI127" s="23">
        <f>CH127+CI56</f>
        <v>4501.6799999999994</v>
      </c>
      <c r="CJ127" s="23">
        <f>+'QTR Raw'!BD58</f>
        <v>4697.43</v>
      </c>
      <c r="CK127" s="23">
        <f t="shared" ref="CK127:DB127" si="1062">CJ127+CK56</f>
        <v>4949.09</v>
      </c>
      <c r="CL127" s="23">
        <f>+'QTR Raw'!BF58</f>
        <v>5192.09</v>
      </c>
      <c r="CM127" s="24">
        <f t="shared" si="1062"/>
        <v>5396.4500532607444</v>
      </c>
      <c r="CN127" s="24">
        <f t="shared" si="1062"/>
        <v>5616.3845997069666</v>
      </c>
      <c r="CO127" s="24">
        <f t="shared" si="1062"/>
        <v>5867.5906773328661</v>
      </c>
      <c r="CP127" s="24">
        <f t="shared" si="1062"/>
        <v>6122.8154564135129</v>
      </c>
      <c r="CQ127" s="24">
        <f t="shared" si="1062"/>
        <v>6373.3932273414648</v>
      </c>
      <c r="CR127" s="24">
        <f t="shared" si="1062"/>
        <v>6634.4440887229084</v>
      </c>
      <c r="CS127" s="24">
        <f t="shared" si="1062"/>
        <v>6926.9192312555206</v>
      </c>
      <c r="CT127" s="24">
        <f t="shared" si="1062"/>
        <v>7225.6233312317327</v>
      </c>
      <c r="CU127" s="24">
        <f t="shared" si="1062"/>
        <v>7524.9259816637377</v>
      </c>
      <c r="CV127" s="24">
        <f t="shared" si="1062"/>
        <v>7853.1895184911555</v>
      </c>
      <c r="CW127" s="24">
        <f t="shared" si="1062"/>
        <v>8190.2938160593094</v>
      </c>
      <c r="CX127" s="24">
        <f t="shared" si="1062"/>
        <v>8536.4345149765104</v>
      </c>
      <c r="CY127" s="24">
        <f t="shared" si="1062"/>
        <v>8889.743666574177</v>
      </c>
      <c r="CZ127" s="24">
        <f t="shared" si="1062"/>
        <v>9388.2951380188151</v>
      </c>
      <c r="DA127" s="24">
        <f t="shared" si="1062"/>
        <v>9883.0744640448702</v>
      </c>
      <c r="DB127" s="24">
        <f t="shared" si="1062"/>
        <v>10372.610093401698</v>
      </c>
      <c r="DE127" s="123"/>
      <c r="DF127" s="23">
        <v>5192.09</v>
      </c>
    </row>
    <row r="128" spans="1:110" s="22" customFormat="1" x14ac:dyDescent="0.2">
      <c r="A128" s="22" t="s">
        <v>44</v>
      </c>
      <c r="B128" s="22">
        <f>B125+B126+B127</f>
        <v>0</v>
      </c>
      <c r="C128" s="22">
        <f t="shared" ref="C128:V128" si="1063">C125+C126+C127</f>
        <v>0</v>
      </c>
      <c r="D128" s="22">
        <f t="shared" si="1063"/>
        <v>0</v>
      </c>
      <c r="E128" s="22">
        <f t="shared" si="1063"/>
        <v>0</v>
      </c>
      <c r="F128" s="22">
        <f t="shared" si="1063"/>
        <v>0</v>
      </c>
      <c r="G128" s="22">
        <f t="shared" si="1063"/>
        <v>0</v>
      </c>
      <c r="H128" s="22">
        <f t="shared" si="1063"/>
        <v>0</v>
      </c>
      <c r="I128" s="22">
        <f t="shared" si="1063"/>
        <v>0</v>
      </c>
      <c r="J128" s="22">
        <f t="shared" si="1063"/>
        <v>0</v>
      </c>
      <c r="K128" s="22">
        <f t="shared" si="1063"/>
        <v>0</v>
      </c>
      <c r="L128" s="22">
        <f t="shared" si="1063"/>
        <v>0</v>
      </c>
      <c r="M128" s="22">
        <f>M125+M126+M127</f>
        <v>169.18599999999998</v>
      </c>
      <c r="N128" s="22">
        <f t="shared" si="1063"/>
        <v>259.29899999999998</v>
      </c>
      <c r="O128" s="22">
        <f t="shared" si="1063"/>
        <v>358.41699999999997</v>
      </c>
      <c r="P128" s="22">
        <f t="shared" si="1063"/>
        <v>722.09999999999991</v>
      </c>
      <c r="Q128" s="22">
        <f t="shared" si="1063"/>
        <v>856.798</v>
      </c>
      <c r="R128" s="22">
        <f t="shared" si="1063"/>
        <v>1330.4479999999999</v>
      </c>
      <c r="S128" s="22">
        <f t="shared" si="1063"/>
        <v>1482.6389999999999</v>
      </c>
      <c r="T128" s="22">
        <f t="shared" si="1063"/>
        <v>1558.4070000000002</v>
      </c>
      <c r="U128" s="22">
        <f t="shared" si="1063"/>
        <v>1769.77</v>
      </c>
      <c r="V128" s="22">
        <f t="shared" si="1063"/>
        <v>2597.5499999999997</v>
      </c>
      <c r="W128" s="22">
        <f t="shared" ref="W128" si="1064">W125+W126+W127</f>
        <v>3351.19</v>
      </c>
      <c r="X128" s="22">
        <f t="shared" ref="X128:Y128" si="1065">X125+X126+X127</f>
        <v>4037.5299999999997</v>
      </c>
      <c r="Y128" s="22">
        <f t="shared" si="1065"/>
        <v>4110.95</v>
      </c>
      <c r="Z128" s="22">
        <f t="shared" ref="Z128:AA128" si="1066">Z125+Z126+Z127</f>
        <v>4472.5599999999995</v>
      </c>
      <c r="AA128" s="22">
        <f t="shared" ref="AA128" si="1067">AA125+AA126+AA127</f>
        <v>5300.0599999999995</v>
      </c>
      <c r="AB128" s="21">
        <f t="shared" ref="AB128:AD128" si="1068">AB125+AB126+AB127</f>
        <v>6230.7854564135132</v>
      </c>
      <c r="AC128" s="21">
        <f t="shared" si="1068"/>
        <v>7333.5933312317329</v>
      </c>
      <c r="AD128" s="21">
        <f t="shared" si="1068"/>
        <v>8644.4045149765097</v>
      </c>
      <c r="AE128" s="21">
        <f t="shared" ref="AE128" si="1069">AE125+AE126+AE127</f>
        <v>10480.580093401697</v>
      </c>
      <c r="AJ128" s="22">
        <f t="shared" ref="AJ128" si="1070">AJ125+AJ126+AJ127</f>
        <v>0</v>
      </c>
      <c r="AK128" s="22">
        <f t="shared" ref="AK128" si="1071">AK125+AK126+AK127</f>
        <v>0</v>
      </c>
      <c r="AL128" s="22">
        <f t="shared" ref="AL128:AM128" si="1072">AL125+AL126+AL127</f>
        <v>0</v>
      </c>
      <c r="AM128" s="22">
        <f t="shared" si="1072"/>
        <v>0</v>
      </c>
      <c r="AN128" s="22">
        <f t="shared" ref="AN128:AO128" si="1073">AN125+AN126+AN127</f>
        <v>0</v>
      </c>
      <c r="AO128" s="22">
        <f t="shared" si="1073"/>
        <v>0</v>
      </c>
      <c r="AP128" s="22">
        <f t="shared" ref="AP128:CE128" si="1074">AP125+AP126+AP127</f>
        <v>0</v>
      </c>
      <c r="AQ128" s="22">
        <f t="shared" si="1074"/>
        <v>0</v>
      </c>
      <c r="AR128" s="22">
        <f t="shared" si="1074"/>
        <v>0</v>
      </c>
      <c r="AS128" s="22">
        <f t="shared" si="1074"/>
        <v>0</v>
      </c>
      <c r="AT128" s="22">
        <f t="shared" si="1074"/>
        <v>0</v>
      </c>
      <c r="AU128" s="22">
        <f t="shared" si="1074"/>
        <v>0</v>
      </c>
      <c r="AV128" s="22">
        <f t="shared" si="1074"/>
        <v>0</v>
      </c>
      <c r="AW128" s="22">
        <f t="shared" si="1074"/>
        <v>40.23100000000003</v>
      </c>
      <c r="AX128" s="22">
        <f t="shared" si="1074"/>
        <v>856.798</v>
      </c>
      <c r="AY128" s="22">
        <f t="shared" si="1074"/>
        <v>882.44100000000003</v>
      </c>
      <c r="AZ128" s="22">
        <f t="shared" si="1074"/>
        <v>0</v>
      </c>
      <c r="BA128" s="22">
        <f t="shared" si="1074"/>
        <v>45.019000000000027</v>
      </c>
      <c r="BB128" s="22">
        <f t="shared" si="1074"/>
        <v>1330.4480000000001</v>
      </c>
      <c r="BC128" s="22">
        <f t="shared" si="1074"/>
        <v>1369.3530000000001</v>
      </c>
      <c r="BD128" s="22">
        <f t="shared" si="1074"/>
        <v>1401.2919999999999</v>
      </c>
      <c r="BE128" s="22">
        <f t="shared" si="1074"/>
        <v>1436.1619999999998</v>
      </c>
      <c r="BF128" s="22">
        <f t="shared" si="1074"/>
        <v>1482.6389999999999</v>
      </c>
      <c r="BG128" s="22">
        <f t="shared" si="1074"/>
        <v>1499.1969999999999</v>
      </c>
      <c r="BH128" s="22">
        <f t="shared" si="1074"/>
        <v>1492.6109999999999</v>
      </c>
      <c r="BI128" s="22">
        <f t="shared" si="1074"/>
        <v>1510.4279999999999</v>
      </c>
      <c r="BJ128" s="22">
        <f t="shared" si="1074"/>
        <v>1558.4069999999999</v>
      </c>
      <c r="BK128" s="22">
        <f t="shared" si="1074"/>
        <v>1573.5070000000001</v>
      </c>
      <c r="BL128" s="22">
        <f t="shared" si="1074"/>
        <v>1615.7380000000001</v>
      </c>
      <c r="BM128" s="22">
        <f t="shared" si="1074"/>
        <v>1689.2080000000001</v>
      </c>
      <c r="BN128" s="22">
        <f t="shared" si="1074"/>
        <v>1769.77</v>
      </c>
      <c r="BO128" s="22">
        <f t="shared" si="1074"/>
        <v>1941.55</v>
      </c>
      <c r="BP128" s="22">
        <f t="shared" si="1074"/>
        <v>2187.71</v>
      </c>
      <c r="BQ128" s="22">
        <f t="shared" si="1074"/>
        <v>2460.56</v>
      </c>
      <c r="BR128" s="22">
        <f t="shared" si="1074"/>
        <v>2597.5500000000002</v>
      </c>
      <c r="BS128" s="22">
        <f t="shared" si="1074"/>
        <v>2838.94</v>
      </c>
      <c r="BT128" s="22">
        <f t="shared" si="1074"/>
        <v>2999.56</v>
      </c>
      <c r="BU128" s="22">
        <f t="shared" si="1074"/>
        <v>3153.29</v>
      </c>
      <c r="BV128" s="22">
        <f t="shared" si="1074"/>
        <v>3351.1899999999996</v>
      </c>
      <c r="BW128" s="22">
        <f t="shared" si="1074"/>
        <v>3602.4699999999993</v>
      </c>
      <c r="BX128" s="22">
        <f t="shared" si="1074"/>
        <v>3763.49</v>
      </c>
      <c r="BY128" s="22">
        <f t="shared" si="1074"/>
        <v>3966.5299999999997</v>
      </c>
      <c r="BZ128" s="22">
        <f t="shared" si="1074"/>
        <v>4037.53</v>
      </c>
      <c r="CA128" s="22">
        <f t="shared" si="1074"/>
        <v>4062.38</v>
      </c>
      <c r="CB128" s="22">
        <f t="shared" si="1074"/>
        <v>4029.82</v>
      </c>
      <c r="CC128" s="22">
        <f t="shared" si="1074"/>
        <v>4052.96</v>
      </c>
      <c r="CD128" s="22">
        <f t="shared" si="1074"/>
        <v>4110.95</v>
      </c>
      <c r="CE128" s="22">
        <f t="shared" si="1074"/>
        <v>4123.46</v>
      </c>
      <c r="CF128" s="22">
        <f t="shared" ref="CF128:CG128" si="1075">CF125+CF126+CF127</f>
        <v>4133.9400000000005</v>
      </c>
      <c r="CG128" s="22">
        <f t="shared" si="1075"/>
        <v>4226.24</v>
      </c>
      <c r="CH128" s="22">
        <f t="shared" ref="CH128:CI128" si="1076">CH125+CH126+CH127</f>
        <v>4472.5599999999995</v>
      </c>
      <c r="CI128" s="22">
        <f t="shared" si="1076"/>
        <v>4635.579999999999</v>
      </c>
      <c r="CJ128" s="22">
        <f t="shared" ref="CJ128:DB128" si="1077">CJ125+CJ126+CJ127</f>
        <v>4805.3900000000003</v>
      </c>
      <c r="CK128" s="22">
        <f t="shared" si="1077"/>
        <v>5057.05</v>
      </c>
      <c r="CL128" s="22">
        <f t="shared" ref="CL128" si="1078">CL125+CL126+CL127</f>
        <v>5300.06</v>
      </c>
      <c r="CM128" s="21">
        <f t="shared" si="1077"/>
        <v>5504.4200532607447</v>
      </c>
      <c r="CN128" s="21">
        <f t="shared" si="1077"/>
        <v>5724.3545997069668</v>
      </c>
      <c r="CO128" s="21">
        <f t="shared" si="1077"/>
        <v>5975.5606773328664</v>
      </c>
      <c r="CP128" s="21">
        <f t="shared" si="1077"/>
        <v>6230.7854564135132</v>
      </c>
      <c r="CQ128" s="21">
        <f t="shared" si="1077"/>
        <v>6481.3632273414651</v>
      </c>
      <c r="CR128" s="21">
        <f t="shared" si="1077"/>
        <v>6742.4140887229087</v>
      </c>
      <c r="CS128" s="21">
        <f t="shared" si="1077"/>
        <v>7034.8892312555208</v>
      </c>
      <c r="CT128" s="21">
        <f t="shared" si="1077"/>
        <v>7333.5933312317329</v>
      </c>
      <c r="CU128" s="21">
        <f t="shared" si="1077"/>
        <v>7632.895981663738</v>
      </c>
      <c r="CV128" s="21">
        <f t="shared" si="1077"/>
        <v>7961.1595184911557</v>
      </c>
      <c r="CW128" s="21">
        <f t="shared" si="1077"/>
        <v>8298.2638160593087</v>
      </c>
      <c r="CX128" s="21">
        <f t="shared" si="1077"/>
        <v>8644.4045149765097</v>
      </c>
      <c r="CY128" s="21">
        <f t="shared" si="1077"/>
        <v>8997.7136665741764</v>
      </c>
      <c r="CZ128" s="21">
        <f t="shared" si="1077"/>
        <v>9496.2651380188145</v>
      </c>
      <c r="DA128" s="21">
        <f t="shared" si="1077"/>
        <v>9991.0444640448695</v>
      </c>
      <c r="DB128" s="21">
        <f t="shared" si="1077"/>
        <v>10480.580093401697</v>
      </c>
      <c r="DE128" s="126"/>
      <c r="DF128" s="22">
        <v>5300.06</v>
      </c>
    </row>
    <row r="129" spans="1:110" s="22" customFormat="1" x14ac:dyDescent="0.2">
      <c r="AB129" s="21"/>
      <c r="AC129" s="21"/>
      <c r="AD129" s="21"/>
      <c r="AE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s="23" customFormat="1" x14ac:dyDescent="0.2">
      <c r="A130" s="23" t="s">
        <v>23</v>
      </c>
      <c r="B130" s="23">
        <f>'Annual Raw'!C45</f>
        <v>0</v>
      </c>
      <c r="C130" s="23">
        <f>'Annual Raw'!D45</f>
        <v>0</v>
      </c>
      <c r="D130" s="23">
        <f>'Annual Raw'!E45</f>
        <v>0</v>
      </c>
      <c r="E130" s="23">
        <f>'Annual Raw'!F45</f>
        <v>0</v>
      </c>
      <c r="F130" s="23">
        <f>'Annual Raw'!G45</f>
        <v>0</v>
      </c>
      <c r="G130" s="23">
        <f>'Annual Raw'!H45</f>
        <v>0</v>
      </c>
      <c r="H130" s="23">
        <f>'Annual Raw'!I45</f>
        <v>0</v>
      </c>
      <c r="I130" s="23">
        <f>'Annual Raw'!J45</f>
        <v>0</v>
      </c>
      <c r="J130" s="23">
        <f>'Annual Raw'!K45</f>
        <v>0</v>
      </c>
      <c r="K130" s="23">
        <f>'Annual Raw'!L45</f>
        <v>0</v>
      </c>
      <c r="L130" s="23">
        <f>'Annual Raw'!M45</f>
        <v>0</v>
      </c>
      <c r="M130" s="23">
        <f>'Annual Raw'!N45</f>
        <v>0</v>
      </c>
      <c r="N130" s="23">
        <f>'Annual Raw'!O45</f>
        <v>0</v>
      </c>
      <c r="O130" s="23">
        <f>'Annual Raw'!P45</f>
        <v>0</v>
      </c>
      <c r="P130" s="23">
        <f>'Annual Raw'!Q45</f>
        <v>0</v>
      </c>
      <c r="Q130" s="23">
        <f>'Annual Raw'!R45</f>
        <v>0</v>
      </c>
      <c r="R130" s="23">
        <f>'Annual Raw'!S45</f>
        <v>0</v>
      </c>
      <c r="S130" s="23">
        <f>'Annual Raw'!T45</f>
        <v>0</v>
      </c>
      <c r="T130" s="23">
        <f>'Annual Raw'!U45</f>
        <v>0</v>
      </c>
      <c r="U130" s="23">
        <f>'Annual Raw'!V45</f>
        <v>0</v>
      </c>
      <c r="V130" s="23">
        <f>'Annual Raw'!W45</f>
        <v>3.15</v>
      </c>
      <c r="W130" s="23">
        <f>'Annual Raw'!X45</f>
        <v>7.86</v>
      </c>
      <c r="X130" s="23">
        <f>'Annual Raw'!Y45</f>
        <v>11.13</v>
      </c>
      <c r="Y130" s="23">
        <f>'Annual Raw'!Z45</f>
        <v>4.62</v>
      </c>
      <c r="Z130" s="23">
        <f>'Annual Raw'!AA45</f>
        <v>129.96</v>
      </c>
      <c r="AA130" s="23">
        <f>'Annual Raw'!AB45</f>
        <v>131.30000000000001</v>
      </c>
      <c r="AB130" s="24">
        <f>+CP130</f>
        <v>131.30000000000001</v>
      </c>
      <c r="AC130" s="24">
        <f>+CT130</f>
        <v>131.30000000000001</v>
      </c>
      <c r="AD130" s="24">
        <f>+CX130</f>
        <v>131.30000000000001</v>
      </c>
      <c r="AE130" s="24">
        <f>+DB130</f>
        <v>131.30000000000001</v>
      </c>
      <c r="AJ130" s="23">
        <f>+'QTR Raw'!D60</f>
        <v>0</v>
      </c>
      <c r="AK130" s="23">
        <f t="shared" ref="AK130:CE130" si="1079">+AJ130</f>
        <v>0</v>
      </c>
      <c r="AL130" s="23">
        <f>+'QTR Raw'!F60</f>
        <v>0</v>
      </c>
      <c r="AM130" s="23">
        <f t="shared" si="1079"/>
        <v>0</v>
      </c>
      <c r="AN130" s="23">
        <f>+'QTR Raw'!H60</f>
        <v>0</v>
      </c>
      <c r="AO130" s="23">
        <f t="shared" si="1079"/>
        <v>0</v>
      </c>
      <c r="AP130" s="23">
        <f>+'QTR Raw'!J60</f>
        <v>0</v>
      </c>
      <c r="AQ130" s="23">
        <f t="shared" si="1079"/>
        <v>0</v>
      </c>
      <c r="AR130" s="23">
        <f>+'QTR Raw'!L60</f>
        <v>0</v>
      </c>
      <c r="AS130" s="23">
        <f t="shared" si="1079"/>
        <v>0</v>
      </c>
      <c r="AT130" s="23">
        <f>+'QTR Raw'!N60</f>
        <v>0</v>
      </c>
      <c r="AU130" s="23">
        <f t="shared" si="1079"/>
        <v>0</v>
      </c>
      <c r="AV130" s="23">
        <f>+'QTR Raw'!P60</f>
        <v>0</v>
      </c>
      <c r="AW130" s="23">
        <f t="shared" si="1079"/>
        <v>0</v>
      </c>
      <c r="AX130" s="23">
        <f>+'QTR Raw'!R60</f>
        <v>0</v>
      </c>
      <c r="AY130" s="23">
        <f t="shared" si="1079"/>
        <v>0</v>
      </c>
      <c r="AZ130" s="23">
        <f>+'QTR Raw'!T60</f>
        <v>0</v>
      </c>
      <c r="BA130" s="23">
        <f t="shared" si="1079"/>
        <v>0</v>
      </c>
      <c r="BB130" s="23">
        <f>+'QTR Raw'!V60</f>
        <v>0</v>
      </c>
      <c r="BC130" s="23">
        <f t="shared" si="1079"/>
        <v>0</v>
      </c>
      <c r="BD130" s="23">
        <f>+'QTR Raw'!X60</f>
        <v>0</v>
      </c>
      <c r="BE130" s="23">
        <f t="shared" si="1079"/>
        <v>0</v>
      </c>
      <c r="BF130" s="23">
        <f>+'QTR Raw'!Z60</f>
        <v>0</v>
      </c>
      <c r="BG130" s="23">
        <f t="shared" si="1079"/>
        <v>0</v>
      </c>
      <c r="BH130" s="22">
        <f>+'QTR Raw'!AB60</f>
        <v>0</v>
      </c>
      <c r="BI130" s="23">
        <f t="shared" si="1079"/>
        <v>0</v>
      </c>
      <c r="BJ130" s="23">
        <f>+'QTR Raw'!AD60</f>
        <v>0</v>
      </c>
      <c r="BK130" s="23">
        <f t="shared" si="1079"/>
        <v>0</v>
      </c>
      <c r="BL130" s="23">
        <f>+'QTR Raw'!AF60</f>
        <v>0</v>
      </c>
      <c r="BM130" s="23">
        <f t="shared" si="1079"/>
        <v>0</v>
      </c>
      <c r="BN130" s="23">
        <f>+'QTR Raw'!AH60</f>
        <v>0</v>
      </c>
      <c r="BO130" s="23">
        <f t="shared" si="1079"/>
        <v>0</v>
      </c>
      <c r="BP130" s="23">
        <f>+'QTR Raw'!AJ60</f>
        <v>0</v>
      </c>
      <c r="BQ130" s="23">
        <f t="shared" si="1079"/>
        <v>0</v>
      </c>
      <c r="BR130" s="23">
        <f>+'QTR Raw'!AL60</f>
        <v>3.15</v>
      </c>
      <c r="BS130" s="23">
        <f t="shared" si="1079"/>
        <v>3.15</v>
      </c>
      <c r="BT130" s="23">
        <f>+'QTR Raw'!AN60</f>
        <v>5.42</v>
      </c>
      <c r="BU130" s="23">
        <f t="shared" si="1079"/>
        <v>5.42</v>
      </c>
      <c r="BV130" s="23">
        <f>+'QTR Raw'!AP60</f>
        <v>7.86</v>
      </c>
      <c r="BW130" s="23">
        <f t="shared" si="1079"/>
        <v>7.86</v>
      </c>
      <c r="BX130" s="23">
        <f>+'QTR Raw'!AR60</f>
        <v>9.39</v>
      </c>
      <c r="BY130" s="23">
        <f t="shared" si="1079"/>
        <v>9.39</v>
      </c>
      <c r="BZ130" s="23">
        <f>+'QTR Raw'!AT60</f>
        <v>11.13</v>
      </c>
      <c r="CA130" s="23">
        <f t="shared" si="1079"/>
        <v>11.13</v>
      </c>
      <c r="CB130" s="23">
        <f>+'QTR Raw'!AV60</f>
        <v>13.24</v>
      </c>
      <c r="CC130" s="23">
        <f t="shared" si="1079"/>
        <v>13.24</v>
      </c>
      <c r="CD130" s="23">
        <f>+'QTR Raw'!AX60</f>
        <v>4.62</v>
      </c>
      <c r="CE130" s="23">
        <f t="shared" si="1079"/>
        <v>4.62</v>
      </c>
      <c r="CF130" s="23">
        <f>+'QTR Raw'!AZ60</f>
        <v>10.220000000000001</v>
      </c>
      <c r="CG130" s="23">
        <f t="shared" ref="CG130:CI130" si="1080">+CF130</f>
        <v>10.220000000000001</v>
      </c>
      <c r="CH130" s="23">
        <f t="shared" ref="CH130:CH135" si="1081">Z130</f>
        <v>129.96</v>
      </c>
      <c r="CI130" s="23">
        <f t="shared" si="1080"/>
        <v>129.96</v>
      </c>
      <c r="CJ130" s="23">
        <f>+'QTR Raw'!BD60</f>
        <v>128.13999999999999</v>
      </c>
      <c r="CK130" s="23">
        <f t="shared" ref="CK130" si="1082">+CJ130</f>
        <v>128.13999999999999</v>
      </c>
      <c r="CL130" s="23">
        <f>+'QTR Raw'!BF60</f>
        <v>131.30000000000001</v>
      </c>
      <c r="CM130" s="24">
        <f t="shared" ref="CM130" si="1083">+CL130</f>
        <v>131.30000000000001</v>
      </c>
      <c r="CN130" s="24">
        <f t="shared" ref="CN130" si="1084">+CM130</f>
        <v>131.30000000000001</v>
      </c>
      <c r="CO130" s="24">
        <f t="shared" ref="CO130" si="1085">+CN130</f>
        <v>131.30000000000001</v>
      </c>
      <c r="CP130" s="24">
        <f t="shared" ref="CP130" si="1086">+CO130</f>
        <v>131.30000000000001</v>
      </c>
      <c r="CQ130" s="24">
        <f t="shared" ref="CQ130" si="1087">+CP130</f>
        <v>131.30000000000001</v>
      </c>
      <c r="CR130" s="24">
        <f t="shared" ref="CR130" si="1088">+CQ130</f>
        <v>131.30000000000001</v>
      </c>
      <c r="CS130" s="24">
        <f t="shared" ref="CS130" si="1089">+CR130</f>
        <v>131.30000000000001</v>
      </c>
      <c r="CT130" s="24">
        <f t="shared" ref="CT130" si="1090">+CS130</f>
        <v>131.30000000000001</v>
      </c>
      <c r="CU130" s="24">
        <f t="shared" ref="CU130" si="1091">+CT130</f>
        <v>131.30000000000001</v>
      </c>
      <c r="CV130" s="24">
        <f t="shared" ref="CV130" si="1092">+CU130</f>
        <v>131.30000000000001</v>
      </c>
      <c r="CW130" s="24">
        <f t="shared" ref="CW130" si="1093">+CV130</f>
        <v>131.30000000000001</v>
      </c>
      <c r="CX130" s="24">
        <f t="shared" ref="CX130" si="1094">+CW130</f>
        <v>131.30000000000001</v>
      </c>
      <c r="CY130" s="24">
        <f t="shared" ref="CY130" si="1095">+CX130</f>
        <v>131.30000000000001</v>
      </c>
      <c r="CZ130" s="24">
        <f t="shared" ref="CZ130" si="1096">+CY130</f>
        <v>131.30000000000001</v>
      </c>
      <c r="DA130" s="24">
        <f t="shared" ref="DA130" si="1097">+CZ130</f>
        <v>131.30000000000001</v>
      </c>
      <c r="DB130" s="24">
        <f t="shared" ref="DB130" si="1098">+DA130</f>
        <v>131.30000000000001</v>
      </c>
      <c r="DE130" s="123"/>
      <c r="DF130" s="23">
        <v>131.30000000000001</v>
      </c>
    </row>
    <row r="131" spans="1:110" s="23" customFormat="1" x14ac:dyDescent="0.2">
      <c r="AB131" s="24"/>
      <c r="AC131" s="24"/>
      <c r="AD131" s="24"/>
      <c r="AE131" s="24"/>
      <c r="BH131" s="22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E131" s="123"/>
    </row>
    <row r="132" spans="1:110" s="23" customFormat="1" outlineLevel="1" x14ac:dyDescent="0.2">
      <c r="A132" s="23" t="s">
        <v>45</v>
      </c>
      <c r="B132" s="23">
        <f>'Annual Raw'!C47</f>
        <v>0</v>
      </c>
      <c r="C132" s="23">
        <f>'Annual Raw'!D47</f>
        <v>0</v>
      </c>
      <c r="D132" s="23">
        <f>'Annual Raw'!E47</f>
        <v>0</v>
      </c>
      <c r="E132" s="23">
        <f>'Annual Raw'!F47</f>
        <v>0</v>
      </c>
      <c r="F132" s="23">
        <f>'Annual Raw'!G47</f>
        <v>0</v>
      </c>
      <c r="G132" s="23">
        <f>'Annual Raw'!H47</f>
        <v>0</v>
      </c>
      <c r="H132" s="23">
        <f>'Annual Raw'!I47</f>
        <v>0</v>
      </c>
      <c r="I132" s="23">
        <f>'Annual Raw'!J47</f>
        <v>0</v>
      </c>
      <c r="J132" s="23">
        <f>'Annual Raw'!K47</f>
        <v>0</v>
      </c>
      <c r="K132" s="23">
        <f>'Annual Raw'!L47</f>
        <v>0</v>
      </c>
      <c r="L132" s="23">
        <f>'Annual Raw'!M47</f>
        <v>0</v>
      </c>
      <c r="M132" s="23">
        <f>'Annual Raw'!N47</f>
        <v>36.337000000000003</v>
      </c>
      <c r="N132" s="23">
        <f>'Annual Raw'!O47</f>
        <v>68.703000000000003</v>
      </c>
      <c r="O132" s="23">
        <f>'Annual Raw'!P47</f>
        <v>188.172</v>
      </c>
      <c r="P132" s="23">
        <f>'Annual Raw'!Q47</f>
        <v>303.67700000000002</v>
      </c>
      <c r="Q132" s="23">
        <f>'Annual Raw'!R47</f>
        <v>353.60700000000003</v>
      </c>
      <c r="R132" s="23">
        <f>'Annual Raw'!S47</f>
        <v>124.562</v>
      </c>
      <c r="S132" s="23">
        <f>'Annual Raw'!T47</f>
        <v>141.65899999999999</v>
      </c>
      <c r="T132" s="23">
        <f>'Annual Raw'!U47</f>
        <v>258.71300000000002</v>
      </c>
      <c r="U132" s="23">
        <f>'Annual Raw'!V47</f>
        <v>165.02</v>
      </c>
      <c r="V132" s="23">
        <f>'Annual Raw'!W47</f>
        <v>429.16</v>
      </c>
      <c r="W132" s="23">
        <f>'Annual Raw'!X47</f>
        <v>596.34</v>
      </c>
      <c r="X132" s="23">
        <f>'Annual Raw'!Y47</f>
        <v>761.42</v>
      </c>
      <c r="Y132" s="23">
        <f>'Annual Raw'!Z47</f>
        <v>798.23</v>
      </c>
      <c r="Z132" s="23">
        <f>'Annual Raw'!AA47</f>
        <v>645.58000000000004</v>
      </c>
      <c r="AA132" s="23">
        <f>'Annual Raw'!AB47</f>
        <v>611.34</v>
      </c>
      <c r="AB132" s="24">
        <f t="shared" ref="AB132:AB135" si="1099">+CP132</f>
        <v>0</v>
      </c>
      <c r="AC132" s="24">
        <f t="shared" ref="AC132:AC135" si="1100">+CT132</f>
        <v>0</v>
      </c>
      <c r="AD132" s="24">
        <f t="shared" ref="AD132:AD135" si="1101">+CX132</f>
        <v>0</v>
      </c>
      <c r="AE132" s="24">
        <f t="shared" ref="AE132:AE135" si="1102">+DB132</f>
        <v>0</v>
      </c>
      <c r="AJ132" s="23">
        <f>+'QTR Raw'!D62</f>
        <v>0</v>
      </c>
      <c r="AK132" s="23">
        <f t="shared" ref="AK132:CC135" si="1103">+AJ132</f>
        <v>0</v>
      </c>
      <c r="AL132" s="23">
        <f>+'QTR Raw'!F62</f>
        <v>0</v>
      </c>
      <c r="AM132" s="23">
        <f t="shared" si="1103"/>
        <v>0</v>
      </c>
      <c r="AN132" s="23">
        <f>+'QTR Raw'!H62</f>
        <v>0</v>
      </c>
      <c r="AO132" s="23">
        <f t="shared" si="1103"/>
        <v>0</v>
      </c>
      <c r="AP132" s="23">
        <f>+'QTR Raw'!J62</f>
        <v>0</v>
      </c>
      <c r="AQ132" s="23">
        <f t="shared" si="1103"/>
        <v>0</v>
      </c>
      <c r="AR132" s="23">
        <f>+'QTR Raw'!L62</f>
        <v>0</v>
      </c>
      <c r="AS132" s="23">
        <f t="shared" si="1103"/>
        <v>0</v>
      </c>
      <c r="AT132" s="23">
        <f>+'QTR Raw'!N62</f>
        <v>0</v>
      </c>
      <c r="AU132" s="23">
        <f t="shared" si="1103"/>
        <v>0</v>
      </c>
      <c r="AV132" s="23">
        <f>+'QTR Raw'!P62</f>
        <v>0</v>
      </c>
      <c r="AW132" s="23">
        <f t="shared" si="1103"/>
        <v>0</v>
      </c>
      <c r="AX132" s="23">
        <f>+'QTR Raw'!R62</f>
        <v>0</v>
      </c>
      <c r="AY132" s="23">
        <f t="shared" si="1103"/>
        <v>0</v>
      </c>
      <c r="AZ132" s="23">
        <f>+'QTR Raw'!T62</f>
        <v>0</v>
      </c>
      <c r="BA132" s="23">
        <f t="shared" si="1103"/>
        <v>0</v>
      </c>
      <c r="BB132" s="23">
        <f>+'QTR Raw'!V62</f>
        <v>0</v>
      </c>
      <c r="BC132" s="23">
        <f t="shared" si="1103"/>
        <v>0</v>
      </c>
      <c r="BD132" s="23">
        <f>+'QTR Raw'!X62</f>
        <v>0</v>
      </c>
      <c r="BE132" s="23">
        <f t="shared" si="1103"/>
        <v>0</v>
      </c>
      <c r="BF132" s="23">
        <f>+'QTR Raw'!Z62</f>
        <v>0</v>
      </c>
      <c r="BG132" s="23">
        <f t="shared" si="1103"/>
        <v>0</v>
      </c>
      <c r="BH132" s="22">
        <f>+'QTR Raw'!AB62</f>
        <v>0</v>
      </c>
      <c r="BI132" s="23">
        <f t="shared" si="1103"/>
        <v>0</v>
      </c>
      <c r="BJ132" s="23">
        <f>+'QTR Raw'!AD62</f>
        <v>0</v>
      </c>
      <c r="BK132" s="23">
        <f t="shared" si="1103"/>
        <v>0</v>
      </c>
      <c r="BL132" s="23">
        <f>+'QTR Raw'!AF62</f>
        <v>0</v>
      </c>
      <c r="BM132" s="23">
        <f t="shared" si="1103"/>
        <v>0</v>
      </c>
      <c r="BN132" s="23">
        <f>+'QTR Raw'!AH62</f>
        <v>0</v>
      </c>
      <c r="BO132" s="23">
        <f t="shared" si="1103"/>
        <v>0</v>
      </c>
      <c r="BP132" s="23">
        <f>+'QTR Raw'!AJ62</f>
        <v>0</v>
      </c>
      <c r="BQ132" s="23">
        <f t="shared" si="1103"/>
        <v>0</v>
      </c>
      <c r="BR132" s="23">
        <f>+'QTR Raw'!AL62</f>
        <v>0</v>
      </c>
      <c r="BS132" s="23">
        <f t="shared" si="1103"/>
        <v>0</v>
      </c>
      <c r="BT132" s="23">
        <f>+'QTR Raw'!AN62</f>
        <v>0</v>
      </c>
      <c r="BU132" s="23">
        <f t="shared" si="1103"/>
        <v>0</v>
      </c>
      <c r="BV132" s="23">
        <f>+'QTR Raw'!AP62</f>
        <v>0</v>
      </c>
      <c r="BW132" s="23">
        <f t="shared" si="1103"/>
        <v>0</v>
      </c>
      <c r="BX132" s="23">
        <f>+'QTR Raw'!AR62</f>
        <v>0</v>
      </c>
      <c r="BY132" s="23">
        <f t="shared" si="1103"/>
        <v>0</v>
      </c>
      <c r="BZ132" s="23">
        <f>+'QTR Raw'!AT62</f>
        <v>0</v>
      </c>
      <c r="CA132" s="23">
        <f t="shared" si="1103"/>
        <v>0</v>
      </c>
      <c r="CB132" s="23">
        <f>+'QTR Raw'!AV62</f>
        <v>0</v>
      </c>
      <c r="CC132" s="23">
        <f t="shared" si="1103"/>
        <v>0</v>
      </c>
      <c r="CD132" s="23">
        <f>+'QTR Raw'!AX62</f>
        <v>0</v>
      </c>
      <c r="CE132" s="23">
        <f t="shared" ref="CE132:CE135" si="1104">+CD132</f>
        <v>0</v>
      </c>
      <c r="CF132" s="23">
        <f>+'QTR Raw'!AZ62</f>
        <v>0</v>
      </c>
      <c r="CG132" s="23">
        <f t="shared" ref="CG132:CI135" si="1105">+CF132</f>
        <v>0</v>
      </c>
      <c r="CH132" s="23">
        <f t="shared" si="1081"/>
        <v>645.58000000000004</v>
      </c>
      <c r="CI132" s="23">
        <f t="shared" si="1105"/>
        <v>645.58000000000004</v>
      </c>
      <c r="CJ132" s="23">
        <f>+'QTR Raw'!BD62</f>
        <v>0</v>
      </c>
      <c r="CK132" s="23">
        <f t="shared" ref="CK132:CK135" si="1106">+CJ132</f>
        <v>0</v>
      </c>
      <c r="CL132" s="23">
        <f>+'QTR Raw'!BF62</f>
        <v>0</v>
      </c>
      <c r="CM132" s="24">
        <f t="shared" ref="CM132:CM135" si="1107">+CL132</f>
        <v>0</v>
      </c>
      <c r="CN132" s="24">
        <f t="shared" ref="CN132:CN135" si="1108">+CM132</f>
        <v>0</v>
      </c>
      <c r="CO132" s="24">
        <f t="shared" ref="CO132:CO135" si="1109">+CN132</f>
        <v>0</v>
      </c>
      <c r="CP132" s="24">
        <f t="shared" ref="CP132:CP135" si="1110">+CO132</f>
        <v>0</v>
      </c>
      <c r="CQ132" s="24">
        <f t="shared" ref="CQ132:CQ135" si="1111">+CP132</f>
        <v>0</v>
      </c>
      <c r="CR132" s="24">
        <f t="shared" ref="CR132:CR135" si="1112">+CQ132</f>
        <v>0</v>
      </c>
      <c r="CS132" s="24">
        <f t="shared" ref="CS132:CS135" si="1113">+CR132</f>
        <v>0</v>
      </c>
      <c r="CT132" s="24">
        <f t="shared" ref="CT132:CT135" si="1114">+CS132</f>
        <v>0</v>
      </c>
      <c r="CU132" s="24">
        <f t="shared" ref="CU132:CU135" si="1115">+CT132</f>
        <v>0</v>
      </c>
      <c r="CV132" s="24">
        <f t="shared" ref="CV132:CV135" si="1116">+CU132</f>
        <v>0</v>
      </c>
      <c r="CW132" s="24">
        <f t="shared" ref="CW132:CW135" si="1117">+CV132</f>
        <v>0</v>
      </c>
      <c r="CX132" s="24">
        <f t="shared" ref="CX132:CX135" si="1118">+CW132</f>
        <v>0</v>
      </c>
      <c r="CY132" s="24">
        <f t="shared" ref="CY132:CY135" si="1119">+CX132</f>
        <v>0</v>
      </c>
      <c r="CZ132" s="24">
        <f t="shared" ref="CZ132:CZ135" si="1120">+CY132</f>
        <v>0</v>
      </c>
      <c r="DA132" s="24">
        <f t="shared" ref="DA132:DA135" si="1121">+CZ132</f>
        <v>0</v>
      </c>
      <c r="DB132" s="24">
        <f t="shared" ref="DB132:DB135" si="1122">+DA132</f>
        <v>0</v>
      </c>
      <c r="DE132" s="123"/>
      <c r="DF132" s="23">
        <v>0</v>
      </c>
    </row>
    <row r="133" spans="1:110" s="23" customFormat="1" outlineLevel="1" x14ac:dyDescent="0.2">
      <c r="A133" s="23" t="s">
        <v>46</v>
      </c>
      <c r="B133" s="23">
        <f>'Annual Raw'!C48</f>
        <v>0</v>
      </c>
      <c r="C133" s="23">
        <f>'Annual Raw'!D48</f>
        <v>0</v>
      </c>
      <c r="D133" s="23">
        <f>'Annual Raw'!E48</f>
        <v>0</v>
      </c>
      <c r="E133" s="23">
        <f>'Annual Raw'!F48</f>
        <v>0</v>
      </c>
      <c r="F133" s="23">
        <f>'Annual Raw'!G48</f>
        <v>0</v>
      </c>
      <c r="G133" s="23">
        <f>'Annual Raw'!H48</f>
        <v>0</v>
      </c>
      <c r="H133" s="23">
        <f>'Annual Raw'!I48</f>
        <v>0</v>
      </c>
      <c r="I133" s="23">
        <f>'Annual Raw'!J48</f>
        <v>0</v>
      </c>
      <c r="J133" s="23">
        <f>'Annual Raw'!K48</f>
        <v>0</v>
      </c>
      <c r="K133" s="23">
        <f>'Annual Raw'!L48</f>
        <v>0</v>
      </c>
      <c r="L133" s="23">
        <f>'Annual Raw'!M48</f>
        <v>0</v>
      </c>
      <c r="M133" s="23">
        <f>'Annual Raw'!N48</f>
        <v>0</v>
      </c>
      <c r="N133" s="23">
        <f>'Annual Raw'!O48</f>
        <v>0</v>
      </c>
      <c r="O133" s="23">
        <f>'Annual Raw'!P48</f>
        <v>0</v>
      </c>
      <c r="P133" s="23">
        <f>'Annual Raw'!Q48</f>
        <v>0</v>
      </c>
      <c r="Q133" s="23">
        <f>'Annual Raw'!R48</f>
        <v>106.133</v>
      </c>
      <c r="R133" s="23">
        <f>'Annual Raw'!S48</f>
        <v>0</v>
      </c>
      <c r="S133" s="23">
        <f>'Annual Raw'!T48</f>
        <v>0</v>
      </c>
      <c r="T133" s="23">
        <f>'Annual Raw'!U48</f>
        <v>0</v>
      </c>
      <c r="U133" s="23">
        <f>'Annual Raw'!V48</f>
        <v>0</v>
      </c>
      <c r="V133" s="23">
        <f>'Annual Raw'!W48</f>
        <v>0</v>
      </c>
      <c r="W133" s="23">
        <f>'Annual Raw'!X48</f>
        <v>0</v>
      </c>
      <c r="X133" s="23">
        <f>'Annual Raw'!Y48</f>
        <v>0</v>
      </c>
      <c r="Y133" s="23">
        <f>'Annual Raw'!Z48</f>
        <v>0</v>
      </c>
      <c r="Z133" s="23">
        <f>'Annual Raw'!AA48</f>
        <v>0</v>
      </c>
      <c r="AA133" s="23">
        <f>'Annual Raw'!AB48</f>
        <v>0</v>
      </c>
      <c r="AB133" s="24">
        <f t="shared" si="1099"/>
        <v>611.34</v>
      </c>
      <c r="AC133" s="24">
        <f t="shared" si="1100"/>
        <v>611.34</v>
      </c>
      <c r="AD133" s="24">
        <f t="shared" si="1101"/>
        <v>611.34</v>
      </c>
      <c r="AE133" s="24">
        <f t="shared" si="1102"/>
        <v>611.34</v>
      </c>
      <c r="AJ133" s="23">
        <f>+'QTR Raw'!D63</f>
        <v>0</v>
      </c>
      <c r="AK133" s="23">
        <f t="shared" si="1103"/>
        <v>0</v>
      </c>
      <c r="AL133" s="23">
        <f>+'QTR Raw'!F63</f>
        <v>0</v>
      </c>
      <c r="AM133" s="23">
        <f t="shared" si="1103"/>
        <v>0</v>
      </c>
      <c r="AN133" s="23">
        <f>+'QTR Raw'!H63</f>
        <v>0</v>
      </c>
      <c r="AO133" s="23">
        <f t="shared" si="1103"/>
        <v>0</v>
      </c>
      <c r="AP133" s="23">
        <f>+'QTR Raw'!J63</f>
        <v>0</v>
      </c>
      <c r="AQ133" s="23">
        <f t="shared" si="1103"/>
        <v>0</v>
      </c>
      <c r="AR133" s="23">
        <f>+'QTR Raw'!L63</f>
        <v>0</v>
      </c>
      <c r="AS133" s="23">
        <f t="shared" si="1103"/>
        <v>0</v>
      </c>
      <c r="AT133" s="23">
        <f>+'QTR Raw'!N63</f>
        <v>0</v>
      </c>
      <c r="AU133" s="23">
        <f t="shared" si="1103"/>
        <v>0</v>
      </c>
      <c r="AV133" s="23">
        <f>+'QTR Raw'!P63</f>
        <v>0</v>
      </c>
      <c r="AW133" s="23">
        <f t="shared" si="1103"/>
        <v>0</v>
      </c>
      <c r="AX133" s="23">
        <f>+'QTR Raw'!R63</f>
        <v>459.74</v>
      </c>
      <c r="AY133" s="23">
        <f t="shared" si="1103"/>
        <v>459.74</v>
      </c>
      <c r="AZ133" s="23">
        <f>+'QTR Raw'!T63</f>
        <v>0</v>
      </c>
      <c r="BA133" s="23">
        <f t="shared" si="1103"/>
        <v>0</v>
      </c>
      <c r="BB133" s="23">
        <f>+'QTR Raw'!V63</f>
        <v>124.562</v>
      </c>
      <c r="BC133" s="23">
        <f t="shared" si="1103"/>
        <v>124.562</v>
      </c>
      <c r="BD133" s="23">
        <f>+'QTR Raw'!X63</f>
        <v>140.405</v>
      </c>
      <c r="BE133" s="23">
        <f t="shared" si="1103"/>
        <v>140.405</v>
      </c>
      <c r="BF133" s="23">
        <f>+'QTR Raw'!Z63</f>
        <v>141.65899999999999</v>
      </c>
      <c r="BG133" s="23">
        <f t="shared" si="1103"/>
        <v>141.65899999999999</v>
      </c>
      <c r="BH133" s="23">
        <f>+'QTR Raw'!AB63</f>
        <v>291.221</v>
      </c>
      <c r="BI133" s="23">
        <f t="shared" si="1103"/>
        <v>291.221</v>
      </c>
      <c r="BJ133" s="23">
        <f>+'QTR Raw'!AD63</f>
        <v>258.71300000000002</v>
      </c>
      <c r="BK133" s="23">
        <f t="shared" si="1103"/>
        <v>258.71300000000002</v>
      </c>
      <c r="BL133" s="23">
        <f>+'QTR Raw'!AF63</f>
        <v>210.155</v>
      </c>
      <c r="BM133" s="23">
        <f t="shared" si="1103"/>
        <v>210.155</v>
      </c>
      <c r="BN133" s="23">
        <f>+'QTR Raw'!AH63</f>
        <v>165.02</v>
      </c>
      <c r="BO133" s="23">
        <f t="shared" si="1103"/>
        <v>165.02</v>
      </c>
      <c r="BP133" s="23">
        <f>+'QTR Raw'!AJ63</f>
        <v>157.1</v>
      </c>
      <c r="BQ133" s="23">
        <f t="shared" si="1103"/>
        <v>157.1</v>
      </c>
      <c r="BR133" s="23">
        <f>+'QTR Raw'!AL63</f>
        <v>429.16</v>
      </c>
      <c r="BS133" s="23">
        <f t="shared" si="1103"/>
        <v>429.16</v>
      </c>
      <c r="BT133" s="23">
        <f>+'QTR Raw'!AN63</f>
        <v>525.11</v>
      </c>
      <c r="BU133" s="23">
        <f t="shared" si="1103"/>
        <v>525.11</v>
      </c>
      <c r="BV133" s="23">
        <f>+'QTR Raw'!AP63</f>
        <v>596.34</v>
      </c>
      <c r="BW133" s="23">
        <f t="shared" si="1103"/>
        <v>596.34</v>
      </c>
      <c r="BX133" s="23">
        <f>+'QTR Raw'!AR63</f>
        <v>540.41999999999996</v>
      </c>
      <c r="BY133" s="23">
        <f t="shared" si="1103"/>
        <v>540.41999999999996</v>
      </c>
      <c r="BZ133" s="23">
        <f>+'QTR Raw'!AT63</f>
        <v>761.42</v>
      </c>
      <c r="CA133" s="23">
        <f t="shared" si="1103"/>
        <v>761.42</v>
      </c>
      <c r="CB133" s="23">
        <f>+'QTR Raw'!AV63</f>
        <v>653</v>
      </c>
      <c r="CC133" s="23">
        <f t="shared" si="1103"/>
        <v>653</v>
      </c>
      <c r="CD133" s="23">
        <f>+'QTR Raw'!AX63</f>
        <v>798.23</v>
      </c>
      <c r="CE133" s="23">
        <f t="shared" si="1104"/>
        <v>798.23</v>
      </c>
      <c r="CF133" s="23">
        <f>+'QTR Raw'!AZ63</f>
        <v>661.42</v>
      </c>
      <c r="CG133" s="23">
        <f t="shared" si="1105"/>
        <v>661.42</v>
      </c>
      <c r="CH133" s="23">
        <f t="shared" si="1081"/>
        <v>0</v>
      </c>
      <c r="CI133" s="23">
        <f t="shared" si="1105"/>
        <v>0</v>
      </c>
      <c r="CJ133" s="23">
        <f>+'QTR Raw'!BD63</f>
        <v>538.77</v>
      </c>
      <c r="CK133" s="23">
        <f t="shared" si="1106"/>
        <v>538.77</v>
      </c>
      <c r="CL133" s="23">
        <f>+'QTR Raw'!BF63</f>
        <v>611.34</v>
      </c>
      <c r="CM133" s="24">
        <f t="shared" si="1107"/>
        <v>611.34</v>
      </c>
      <c r="CN133" s="24">
        <f t="shared" si="1108"/>
        <v>611.34</v>
      </c>
      <c r="CO133" s="24">
        <f t="shared" si="1109"/>
        <v>611.34</v>
      </c>
      <c r="CP133" s="24">
        <f t="shared" si="1110"/>
        <v>611.34</v>
      </c>
      <c r="CQ133" s="24">
        <f t="shared" si="1111"/>
        <v>611.34</v>
      </c>
      <c r="CR133" s="24">
        <f t="shared" si="1112"/>
        <v>611.34</v>
      </c>
      <c r="CS133" s="24">
        <f t="shared" si="1113"/>
        <v>611.34</v>
      </c>
      <c r="CT133" s="24">
        <f t="shared" si="1114"/>
        <v>611.34</v>
      </c>
      <c r="CU133" s="24">
        <f t="shared" si="1115"/>
        <v>611.34</v>
      </c>
      <c r="CV133" s="24">
        <f t="shared" si="1116"/>
        <v>611.34</v>
      </c>
      <c r="CW133" s="24">
        <f t="shared" si="1117"/>
        <v>611.34</v>
      </c>
      <c r="CX133" s="24">
        <f t="shared" si="1118"/>
        <v>611.34</v>
      </c>
      <c r="CY133" s="24">
        <f t="shared" si="1119"/>
        <v>611.34</v>
      </c>
      <c r="CZ133" s="24">
        <f t="shared" si="1120"/>
        <v>611.34</v>
      </c>
      <c r="DA133" s="24">
        <f t="shared" si="1121"/>
        <v>611.34</v>
      </c>
      <c r="DB133" s="24">
        <f t="shared" si="1122"/>
        <v>611.34</v>
      </c>
      <c r="DE133" s="123"/>
      <c r="DF133" s="23">
        <v>611.34</v>
      </c>
    </row>
    <row r="134" spans="1:110" s="23" customFormat="1" outlineLevel="1" x14ac:dyDescent="0.2">
      <c r="A134" s="23" t="s">
        <v>47</v>
      </c>
      <c r="B134" s="23">
        <f>'Annual Raw'!C87+'Annual Raw'!C88+'Annual Raw'!C89+'Annual Raw'!C90</f>
        <v>0</v>
      </c>
      <c r="C134" s="23">
        <f>'Annual Raw'!D87+'Annual Raw'!D88+'Annual Raw'!D89+'Annual Raw'!D90</f>
        <v>0</v>
      </c>
      <c r="D134" s="23">
        <f>'Annual Raw'!E87+'Annual Raw'!E88+'Annual Raw'!E89+'Annual Raw'!E90</f>
        <v>0</v>
      </c>
      <c r="E134" s="23">
        <f>'Annual Raw'!F87+'Annual Raw'!F88+'Annual Raw'!F89+'Annual Raw'!F90</f>
        <v>0</v>
      </c>
      <c r="F134" s="23">
        <f>'Annual Raw'!G87+'Annual Raw'!G88+'Annual Raw'!G89+'Annual Raw'!G90</f>
        <v>0</v>
      </c>
      <c r="G134" s="23">
        <f>'Annual Raw'!H87+'Annual Raw'!H88+'Annual Raw'!H89+'Annual Raw'!H90</f>
        <v>0</v>
      </c>
      <c r="H134" s="23">
        <f>'Annual Raw'!I87+'Annual Raw'!I88+'Annual Raw'!I89+'Annual Raw'!I90</f>
        <v>0</v>
      </c>
      <c r="I134" s="23">
        <f>'Annual Raw'!J87+'Annual Raw'!J88+'Annual Raw'!J89+'Annual Raw'!J90</f>
        <v>0</v>
      </c>
      <c r="J134" s="23">
        <f>'Annual Raw'!K87+'Annual Raw'!K88+'Annual Raw'!K89+'Annual Raw'!K90</f>
        <v>0</v>
      </c>
      <c r="K134" s="23">
        <f>'Annual Raw'!L87+'Annual Raw'!L88+'Annual Raw'!L89+'Annual Raw'!L90</f>
        <v>0</v>
      </c>
      <c r="L134" s="23">
        <f>'Annual Raw'!M87+'Annual Raw'!M88+'Annual Raw'!M89+'Annual Raw'!M90</f>
        <v>0</v>
      </c>
      <c r="M134" s="23">
        <f>'Annual Raw'!N87+'Annual Raw'!N88+'Annual Raw'!N89+'Annual Raw'!N90</f>
        <v>59.975999999999999</v>
      </c>
      <c r="N134" s="23">
        <f>'Annual Raw'!O87+'Annual Raw'!O88+'Annual Raw'!O89+'Annual Raw'!O90</f>
        <v>45.536000000000001</v>
      </c>
      <c r="O134" s="23">
        <f>'Annual Raw'!P87+'Annual Raw'!P88+'Annual Raw'!P89+'Annual Raw'!P90</f>
        <v>42.459000000000003</v>
      </c>
      <c r="P134" s="23">
        <f>'Annual Raw'!Q87+'Annual Raw'!Q88+'Annual Raw'!Q89+'Annual Raw'!Q90</f>
        <v>85.793999999999997</v>
      </c>
      <c r="Q134" s="23">
        <f>'Annual Raw'!R87+'Annual Raw'!R88+'Annual Raw'!R89+'Annual Raw'!R90</f>
        <v>86.551000000000002</v>
      </c>
      <c r="R134" s="23">
        <f>'Annual Raw'!S87+'Annual Raw'!S88+'Annual Raw'!S89+'Annual Raw'!S90</f>
        <v>73.01400000000001</v>
      </c>
      <c r="S134" s="23">
        <f>'Annual Raw'!T87+'Annual Raw'!T88+'Annual Raw'!T89+'Annual Raw'!T90</f>
        <v>79.730999999999995</v>
      </c>
      <c r="T134" s="23">
        <f>'Annual Raw'!U87+'Annual Raw'!U88+'Annual Raw'!U89+'Annual Raw'!U90</f>
        <v>93.010999999999996</v>
      </c>
      <c r="U134" s="23">
        <f>'Annual Raw'!V87+'Annual Raw'!V88+'Annual Raw'!V89+'Annual Raw'!V90</f>
        <v>101.34</v>
      </c>
      <c r="V134" s="23">
        <f>'Annual Raw'!W87+'Annual Raw'!W88+'Annual Raw'!W89+'Annual Raw'!W90</f>
        <v>137.92000000000002</v>
      </c>
      <c r="W134" s="23">
        <f>'Annual Raw'!X87+'Annual Raw'!X88+'Annual Raw'!X89+'Annual Raw'!X90</f>
        <v>224.97</v>
      </c>
      <c r="X134" s="23">
        <f>'Annual Raw'!Y87+'Annual Raw'!Y88+'Annual Raw'!Y89+'Annual Raw'!Y90</f>
        <v>214.78</v>
      </c>
      <c r="Y134" s="23">
        <f>'Annual Raw'!Z87+'Annual Raw'!Z88+'Annual Raw'!Z89+'Annual Raw'!Z90</f>
        <v>319.52999999999997</v>
      </c>
      <c r="Z134" s="23">
        <f>'Annual Raw'!AA87+'Annual Raw'!AA88+'Annual Raw'!AA89+'Annual Raw'!AA90</f>
        <v>332.5</v>
      </c>
      <c r="AA134" s="23">
        <f>'Annual Raw'!AB87+'Annual Raw'!AB88+'Annual Raw'!AB89+'Annual Raw'!AB90</f>
        <v>293.51</v>
      </c>
      <c r="AB134" s="24">
        <f t="shared" si="1099"/>
        <v>0</v>
      </c>
      <c r="AC134" s="24">
        <f t="shared" si="1100"/>
        <v>0</v>
      </c>
      <c r="AD134" s="24">
        <f t="shared" si="1101"/>
        <v>0</v>
      </c>
      <c r="AE134" s="24">
        <f t="shared" si="1102"/>
        <v>0</v>
      </c>
      <c r="AJ134" s="23">
        <f>+'QTR Raw'!D90</f>
        <v>0</v>
      </c>
      <c r="AK134" s="23">
        <f t="shared" si="1103"/>
        <v>0</v>
      </c>
      <c r="AL134" s="23">
        <f>+'QTR Raw'!F90</f>
        <v>0</v>
      </c>
      <c r="AM134" s="23">
        <f t="shared" si="1103"/>
        <v>0</v>
      </c>
      <c r="AN134" s="23">
        <f>+'QTR Raw'!H90</f>
        <v>0</v>
      </c>
      <c r="AO134" s="23">
        <f t="shared" si="1103"/>
        <v>0</v>
      </c>
      <c r="AP134" s="23">
        <f>+'QTR Raw'!J90</f>
        <v>0</v>
      </c>
      <c r="AQ134" s="23">
        <f t="shared" si="1103"/>
        <v>0</v>
      </c>
      <c r="AR134" s="23">
        <f>+'QTR Raw'!L90</f>
        <v>0</v>
      </c>
      <c r="AS134" s="23">
        <f t="shared" si="1103"/>
        <v>0</v>
      </c>
      <c r="AT134" s="23">
        <f>+'QTR Raw'!N90</f>
        <v>0</v>
      </c>
      <c r="AU134" s="23">
        <f t="shared" si="1103"/>
        <v>0</v>
      </c>
      <c r="AV134" s="23">
        <f>+'QTR Raw'!P90</f>
        <v>0</v>
      </c>
      <c r="AW134" s="23">
        <f t="shared" si="1103"/>
        <v>0</v>
      </c>
      <c r="AX134" s="23">
        <f>+'QTR Raw'!R90</f>
        <v>123.902</v>
      </c>
      <c r="AY134" s="23">
        <f t="shared" si="1103"/>
        <v>123.902</v>
      </c>
      <c r="AZ134" s="23">
        <f>+'QTR Raw'!T90</f>
        <v>0</v>
      </c>
      <c r="BA134" s="23">
        <f t="shared" si="1103"/>
        <v>0</v>
      </c>
      <c r="BB134" s="23">
        <f>+'QTR Raw'!V90</f>
        <v>140.64699999999999</v>
      </c>
      <c r="BC134" s="23">
        <f t="shared" si="1103"/>
        <v>140.64699999999999</v>
      </c>
      <c r="BD134" s="23">
        <f>+'QTR Raw'!X90</f>
        <v>0</v>
      </c>
      <c r="BE134" s="23">
        <f t="shared" si="1103"/>
        <v>0</v>
      </c>
      <c r="BF134" s="23">
        <f>+'QTR Raw'!Z90</f>
        <v>0</v>
      </c>
      <c r="BG134" s="23">
        <f t="shared" si="1103"/>
        <v>0</v>
      </c>
      <c r="BH134" s="22">
        <f>+'QTR Raw'!AB90</f>
        <v>0</v>
      </c>
      <c r="BI134" s="23">
        <f t="shared" si="1103"/>
        <v>0</v>
      </c>
      <c r="BJ134" s="23">
        <f>+'QTR Raw'!AD90</f>
        <v>0</v>
      </c>
      <c r="BK134" s="23">
        <f t="shared" si="1103"/>
        <v>0</v>
      </c>
      <c r="BL134" s="23">
        <f>+'QTR Raw'!AF90</f>
        <v>161.441</v>
      </c>
      <c r="BM134" s="23">
        <f t="shared" si="1103"/>
        <v>161.441</v>
      </c>
      <c r="BN134" s="23">
        <f>+'QTR Raw'!AH90</f>
        <v>0</v>
      </c>
      <c r="BO134" s="23">
        <f t="shared" si="1103"/>
        <v>0</v>
      </c>
      <c r="BP134" s="23">
        <f>+'QTR Raw'!AJ90</f>
        <v>0</v>
      </c>
      <c r="BQ134" s="23">
        <f t="shared" si="1103"/>
        <v>0</v>
      </c>
      <c r="BR134" s="23">
        <f>+'QTR Raw'!AL90</f>
        <v>0</v>
      </c>
      <c r="BS134" s="23">
        <f t="shared" si="1103"/>
        <v>0</v>
      </c>
      <c r="BT134" s="23">
        <f>+'QTR Raw'!AN90</f>
        <v>0</v>
      </c>
      <c r="BU134" s="23">
        <f t="shared" si="1103"/>
        <v>0</v>
      </c>
      <c r="BV134" s="23">
        <f>+'QTR Raw'!AP90</f>
        <v>0</v>
      </c>
      <c r="BW134" s="23">
        <f t="shared" si="1103"/>
        <v>0</v>
      </c>
      <c r="BX134" s="23">
        <f>+'QTR Raw'!AR90</f>
        <v>0</v>
      </c>
      <c r="BY134" s="23">
        <f t="shared" si="1103"/>
        <v>0</v>
      </c>
      <c r="BZ134" s="23">
        <f>+'QTR Raw'!AT90</f>
        <v>0</v>
      </c>
      <c r="CA134" s="23">
        <f t="shared" si="1103"/>
        <v>0</v>
      </c>
      <c r="CB134" s="23">
        <f>+'QTR Raw'!AV90</f>
        <v>0</v>
      </c>
      <c r="CC134" s="23">
        <f t="shared" si="1103"/>
        <v>0</v>
      </c>
      <c r="CD134" s="23">
        <f>+'QTR Raw'!AX90</f>
        <v>0</v>
      </c>
      <c r="CE134" s="23">
        <f t="shared" si="1104"/>
        <v>0</v>
      </c>
      <c r="CF134" s="23">
        <f>+'QTR Raw'!AZ90</f>
        <v>0</v>
      </c>
      <c r="CG134" s="23">
        <f t="shared" si="1105"/>
        <v>0</v>
      </c>
      <c r="CH134" s="23">
        <f>+Z134</f>
        <v>332.5</v>
      </c>
      <c r="CI134" s="23">
        <f t="shared" si="1105"/>
        <v>332.5</v>
      </c>
      <c r="CJ134" s="23">
        <f>+'QTR Raw'!BD90</f>
        <v>0</v>
      </c>
      <c r="CK134" s="23">
        <f t="shared" si="1106"/>
        <v>0</v>
      </c>
      <c r="CL134" s="23">
        <f>+'QTR Raw'!BF90</f>
        <v>0</v>
      </c>
      <c r="CM134" s="24">
        <f t="shared" si="1107"/>
        <v>0</v>
      </c>
      <c r="CN134" s="24">
        <f t="shared" si="1108"/>
        <v>0</v>
      </c>
      <c r="CO134" s="24">
        <f t="shared" si="1109"/>
        <v>0</v>
      </c>
      <c r="CP134" s="24">
        <f t="shared" si="1110"/>
        <v>0</v>
      </c>
      <c r="CQ134" s="24">
        <f t="shared" si="1111"/>
        <v>0</v>
      </c>
      <c r="CR134" s="24">
        <f t="shared" si="1112"/>
        <v>0</v>
      </c>
      <c r="CS134" s="24">
        <f t="shared" si="1113"/>
        <v>0</v>
      </c>
      <c r="CT134" s="24">
        <f t="shared" si="1114"/>
        <v>0</v>
      </c>
      <c r="CU134" s="24">
        <f t="shared" si="1115"/>
        <v>0</v>
      </c>
      <c r="CV134" s="24">
        <f t="shared" si="1116"/>
        <v>0</v>
      </c>
      <c r="CW134" s="24">
        <f t="shared" si="1117"/>
        <v>0</v>
      </c>
      <c r="CX134" s="24">
        <f t="shared" si="1118"/>
        <v>0</v>
      </c>
      <c r="CY134" s="24">
        <f t="shared" si="1119"/>
        <v>0</v>
      </c>
      <c r="CZ134" s="24">
        <f t="shared" si="1120"/>
        <v>0</v>
      </c>
      <c r="DA134" s="24">
        <f t="shared" si="1121"/>
        <v>0</v>
      </c>
      <c r="DB134" s="24">
        <f t="shared" si="1122"/>
        <v>0</v>
      </c>
      <c r="DE134" s="123"/>
      <c r="DF134" s="23">
        <v>0</v>
      </c>
    </row>
    <row r="135" spans="1:110" s="23" customFormat="1" outlineLevel="1" x14ac:dyDescent="0.2">
      <c r="A135" s="23" t="s">
        <v>48</v>
      </c>
      <c r="B135" s="23">
        <f>'Annual Raw'!C56</f>
        <v>0</v>
      </c>
      <c r="C135" s="23">
        <f>'Annual Raw'!D56</f>
        <v>0</v>
      </c>
      <c r="D135" s="23">
        <f>'Annual Raw'!E56</f>
        <v>0</v>
      </c>
      <c r="E135" s="23">
        <f>'Annual Raw'!F56</f>
        <v>0</v>
      </c>
      <c r="F135" s="23">
        <f>'Annual Raw'!G56</f>
        <v>0</v>
      </c>
      <c r="G135" s="23">
        <f>'Annual Raw'!H56</f>
        <v>0</v>
      </c>
      <c r="H135" s="23">
        <f>'Annual Raw'!I56</f>
        <v>0</v>
      </c>
      <c r="I135" s="23">
        <f>'Annual Raw'!J56</f>
        <v>0</v>
      </c>
      <c r="J135" s="23">
        <f>'Annual Raw'!K56</f>
        <v>0</v>
      </c>
      <c r="K135" s="23">
        <f>'Annual Raw'!L56</f>
        <v>0</v>
      </c>
      <c r="L135" s="23">
        <f>'Annual Raw'!M56</f>
        <v>0</v>
      </c>
      <c r="M135" s="23">
        <f>'Annual Raw'!N56</f>
        <v>128.988</v>
      </c>
      <c r="N135" s="23">
        <f>'Annual Raw'!O56</f>
        <v>177.84200000000001</v>
      </c>
      <c r="O135" s="23">
        <f>'Annual Raw'!P56</f>
        <v>312.18400000000003</v>
      </c>
      <c r="P135" s="23">
        <f>'Annual Raw'!Q56</f>
        <v>431.63499999999999</v>
      </c>
      <c r="Q135" s="23">
        <f>'Annual Raw'!R56</f>
        <v>481.41899999999998</v>
      </c>
      <c r="R135" s="23">
        <f>'Annual Raw'!S56</f>
        <v>644.17100000000005</v>
      </c>
      <c r="S135" s="23">
        <f>'Annual Raw'!T56</f>
        <v>758.51700000000005</v>
      </c>
      <c r="T135" s="23">
        <f>'Annual Raw'!U56</f>
        <v>684.20500000000004</v>
      </c>
      <c r="U135" s="23">
        <f>'Annual Raw'!V56</f>
        <v>790.51</v>
      </c>
      <c r="V135" s="23">
        <f>'Annual Raw'!W56</f>
        <v>886.12</v>
      </c>
      <c r="W135" s="23">
        <f>'Annual Raw'!X56</f>
        <v>910.72</v>
      </c>
      <c r="X135" s="23">
        <f>'Annual Raw'!Y56</f>
        <v>995.77</v>
      </c>
      <c r="Y135" s="23">
        <f>'Annual Raw'!Z56</f>
        <v>1389.29</v>
      </c>
      <c r="Z135" s="23">
        <f>'Annual Raw'!AA56</f>
        <v>1715.01</v>
      </c>
      <c r="AA135" s="23">
        <f>'Annual Raw'!AB56</f>
        <v>1492.64</v>
      </c>
      <c r="AB135" s="24">
        <f t="shared" si="1099"/>
        <v>1786.15</v>
      </c>
      <c r="AC135" s="24">
        <f t="shared" si="1100"/>
        <v>1786.15</v>
      </c>
      <c r="AD135" s="24">
        <f t="shared" si="1101"/>
        <v>1786.15</v>
      </c>
      <c r="AE135" s="24">
        <f t="shared" si="1102"/>
        <v>1786.15</v>
      </c>
      <c r="AJ135" s="23">
        <f>+'QTR Raw'!D88</f>
        <v>0</v>
      </c>
      <c r="AK135" s="23">
        <f t="shared" si="1103"/>
        <v>0</v>
      </c>
      <c r="AL135" s="23">
        <f>+'QTR Raw'!F88</f>
        <v>0</v>
      </c>
      <c r="AM135" s="23">
        <f t="shared" si="1103"/>
        <v>0</v>
      </c>
      <c r="AN135" s="23">
        <f>+'QTR Raw'!H88</f>
        <v>0</v>
      </c>
      <c r="AO135" s="23">
        <f t="shared" si="1103"/>
        <v>0</v>
      </c>
      <c r="AP135" s="23">
        <f>+'QTR Raw'!J88</f>
        <v>0</v>
      </c>
      <c r="AQ135" s="23">
        <f t="shared" si="1103"/>
        <v>0</v>
      </c>
      <c r="AR135" s="23">
        <f>+'QTR Raw'!L88</f>
        <v>0</v>
      </c>
      <c r="AS135" s="23">
        <f t="shared" si="1103"/>
        <v>0</v>
      </c>
      <c r="AT135" s="23">
        <f>+'QTR Raw'!N88</f>
        <v>0</v>
      </c>
      <c r="AU135" s="23">
        <f t="shared" si="1103"/>
        <v>0</v>
      </c>
      <c r="AV135" s="23">
        <f>+'QTR Raw'!P88</f>
        <v>0</v>
      </c>
      <c r="AW135" s="23">
        <f t="shared" si="1103"/>
        <v>0</v>
      </c>
      <c r="AX135" s="23">
        <f>+'QTR Raw'!R88</f>
        <v>481.41899999999998</v>
      </c>
      <c r="AY135" s="23">
        <f t="shared" si="1103"/>
        <v>481.41899999999998</v>
      </c>
      <c r="AZ135" s="23">
        <f>+'QTR Raw'!T88</f>
        <v>0</v>
      </c>
      <c r="BA135" s="23">
        <f t="shared" si="1103"/>
        <v>0</v>
      </c>
      <c r="BB135" s="23">
        <f>+'QTR Raw'!V88</f>
        <v>644.17100000000005</v>
      </c>
      <c r="BC135" s="23">
        <f t="shared" si="1103"/>
        <v>644.17100000000005</v>
      </c>
      <c r="BD135" s="23">
        <f>+'QTR Raw'!X88</f>
        <v>770.03599999999994</v>
      </c>
      <c r="BE135" s="23">
        <f t="shared" si="1103"/>
        <v>770.03599999999994</v>
      </c>
      <c r="BF135" s="23">
        <f>+'QTR Raw'!Z88</f>
        <v>758.51700000000005</v>
      </c>
      <c r="BG135" s="23">
        <f t="shared" si="1103"/>
        <v>758.51700000000005</v>
      </c>
      <c r="BH135" s="23">
        <f>+'QTR Raw'!AB88</f>
        <v>773.29399999999998</v>
      </c>
      <c r="BI135" s="23">
        <f t="shared" si="1103"/>
        <v>773.29399999999998</v>
      </c>
      <c r="BJ135" s="23">
        <f>+'QTR Raw'!AD88</f>
        <v>684.20500000000004</v>
      </c>
      <c r="BK135" s="23">
        <f t="shared" si="1103"/>
        <v>684.20500000000004</v>
      </c>
      <c r="BL135" s="23">
        <f>+'QTR Raw'!AF88</f>
        <v>750.40700000000004</v>
      </c>
      <c r="BM135" s="23">
        <f t="shared" si="1103"/>
        <v>750.40700000000004</v>
      </c>
      <c r="BN135" s="23">
        <f>+'QTR Raw'!AH88</f>
        <v>790.51</v>
      </c>
      <c r="BO135" s="23">
        <f t="shared" si="1103"/>
        <v>790.51</v>
      </c>
      <c r="BP135" s="23">
        <f>+'QTR Raw'!AJ88</f>
        <v>752.81</v>
      </c>
      <c r="BQ135" s="23">
        <f t="shared" si="1103"/>
        <v>752.81</v>
      </c>
      <c r="BR135" s="23">
        <f>+'QTR Raw'!AL88</f>
        <v>1024.04</v>
      </c>
      <c r="BS135" s="23">
        <f t="shared" si="1103"/>
        <v>1024.04</v>
      </c>
      <c r="BT135" s="23">
        <f>+'QTR Raw'!AN88</f>
        <v>1207.0899999999999</v>
      </c>
      <c r="BU135" s="23">
        <f t="shared" si="1103"/>
        <v>1207.0899999999999</v>
      </c>
      <c r="BV135" s="23">
        <f>+'QTR Raw'!AP88</f>
        <v>1135.69</v>
      </c>
      <c r="BW135" s="23">
        <f t="shared" si="1103"/>
        <v>1135.69</v>
      </c>
      <c r="BX135" s="23">
        <f>+'QTR Raw'!AR88</f>
        <v>1512.18</v>
      </c>
      <c r="BY135" s="23">
        <f t="shared" si="1103"/>
        <v>1512.18</v>
      </c>
      <c r="BZ135" s="23">
        <f>+'QTR Raw'!AT88</f>
        <v>1210.55</v>
      </c>
      <c r="CA135" s="23">
        <f t="shared" si="1103"/>
        <v>1210.55</v>
      </c>
      <c r="CB135" s="23">
        <f>+'QTR Raw'!AV88</f>
        <v>1434.6</v>
      </c>
      <c r="CC135" s="23">
        <f t="shared" si="1103"/>
        <v>1434.6</v>
      </c>
      <c r="CD135" s="23">
        <f>+'QTR Raw'!AX88</f>
        <v>1708.82</v>
      </c>
      <c r="CE135" s="23">
        <f t="shared" si="1104"/>
        <v>1708.82</v>
      </c>
      <c r="CF135" s="23">
        <f>+'QTR Raw'!AZ88</f>
        <v>2060.35</v>
      </c>
      <c r="CG135" s="23">
        <f t="shared" si="1105"/>
        <v>2060.35</v>
      </c>
      <c r="CH135" s="23">
        <f t="shared" si="1081"/>
        <v>1715.01</v>
      </c>
      <c r="CI135" s="23">
        <f t="shared" si="1105"/>
        <v>1715.01</v>
      </c>
      <c r="CJ135" s="23">
        <f>+'QTR Raw'!BD88</f>
        <v>1610.58</v>
      </c>
      <c r="CK135" s="23">
        <f t="shared" si="1106"/>
        <v>1610.58</v>
      </c>
      <c r="CL135" s="23">
        <f>+'QTR Raw'!BF88</f>
        <v>1786.15</v>
      </c>
      <c r="CM135" s="24">
        <f t="shared" si="1107"/>
        <v>1786.15</v>
      </c>
      <c r="CN135" s="24">
        <f t="shared" si="1108"/>
        <v>1786.15</v>
      </c>
      <c r="CO135" s="24">
        <f t="shared" si="1109"/>
        <v>1786.15</v>
      </c>
      <c r="CP135" s="24">
        <f t="shared" si="1110"/>
        <v>1786.15</v>
      </c>
      <c r="CQ135" s="24">
        <f t="shared" si="1111"/>
        <v>1786.15</v>
      </c>
      <c r="CR135" s="24">
        <f t="shared" si="1112"/>
        <v>1786.15</v>
      </c>
      <c r="CS135" s="24">
        <f t="shared" si="1113"/>
        <v>1786.15</v>
      </c>
      <c r="CT135" s="24">
        <f t="shared" si="1114"/>
        <v>1786.15</v>
      </c>
      <c r="CU135" s="24">
        <f t="shared" si="1115"/>
        <v>1786.15</v>
      </c>
      <c r="CV135" s="24">
        <f t="shared" si="1116"/>
        <v>1786.15</v>
      </c>
      <c r="CW135" s="24">
        <f t="shared" si="1117"/>
        <v>1786.15</v>
      </c>
      <c r="CX135" s="24">
        <f t="shared" si="1118"/>
        <v>1786.15</v>
      </c>
      <c r="CY135" s="24">
        <f t="shared" si="1119"/>
        <v>1786.15</v>
      </c>
      <c r="CZ135" s="24">
        <f t="shared" si="1120"/>
        <v>1786.15</v>
      </c>
      <c r="DA135" s="24">
        <f t="shared" si="1121"/>
        <v>1786.15</v>
      </c>
      <c r="DB135" s="24">
        <f t="shared" si="1122"/>
        <v>1786.15</v>
      </c>
      <c r="DE135" s="123"/>
      <c r="DF135" s="23">
        <v>1786.15</v>
      </c>
    </row>
    <row r="136" spans="1:110" s="22" customFormat="1" x14ac:dyDescent="0.2">
      <c r="A136" s="22" t="s">
        <v>49</v>
      </c>
      <c r="B136" s="22">
        <f>SUM(B132:B135)</f>
        <v>0</v>
      </c>
      <c r="C136" s="22">
        <f t="shared" ref="C136:V136" si="1123">SUM(C132:C135)</f>
        <v>0</v>
      </c>
      <c r="D136" s="22">
        <f t="shared" si="1123"/>
        <v>0</v>
      </c>
      <c r="E136" s="22">
        <f t="shared" si="1123"/>
        <v>0</v>
      </c>
      <c r="F136" s="22">
        <f t="shared" si="1123"/>
        <v>0</v>
      </c>
      <c r="G136" s="22">
        <f t="shared" si="1123"/>
        <v>0</v>
      </c>
      <c r="H136" s="22">
        <f t="shared" si="1123"/>
        <v>0</v>
      </c>
      <c r="I136" s="22">
        <f t="shared" si="1123"/>
        <v>0</v>
      </c>
      <c r="J136" s="22">
        <f t="shared" si="1123"/>
        <v>0</v>
      </c>
      <c r="K136" s="22">
        <f t="shared" si="1123"/>
        <v>0</v>
      </c>
      <c r="L136" s="22">
        <f t="shared" si="1123"/>
        <v>0</v>
      </c>
      <c r="M136" s="22">
        <f t="shared" si="1123"/>
        <v>225.30099999999999</v>
      </c>
      <c r="N136" s="22">
        <f t="shared" si="1123"/>
        <v>292.08100000000002</v>
      </c>
      <c r="O136" s="22">
        <f t="shared" si="1123"/>
        <v>542.81500000000005</v>
      </c>
      <c r="P136" s="22">
        <f t="shared" si="1123"/>
        <v>821.10599999999999</v>
      </c>
      <c r="Q136" s="22">
        <f t="shared" si="1123"/>
        <v>1027.71</v>
      </c>
      <c r="R136" s="22">
        <f t="shared" si="1123"/>
        <v>841.74700000000007</v>
      </c>
      <c r="S136" s="22">
        <f t="shared" si="1123"/>
        <v>979.90700000000004</v>
      </c>
      <c r="T136" s="22">
        <f t="shared" si="1123"/>
        <v>1035.9290000000001</v>
      </c>
      <c r="U136" s="22">
        <f t="shared" si="1123"/>
        <v>1056.8699999999999</v>
      </c>
      <c r="V136" s="22">
        <f t="shared" si="1123"/>
        <v>1453.2</v>
      </c>
      <c r="W136" s="22">
        <f t="shared" ref="W136" si="1124">SUM(W132:W135)</f>
        <v>1732.0300000000002</v>
      </c>
      <c r="X136" s="22">
        <f t="shared" ref="X136:Y136" si="1125">SUM(X132:X135)</f>
        <v>1971.9699999999998</v>
      </c>
      <c r="Y136" s="22">
        <f t="shared" si="1125"/>
        <v>2507.0500000000002</v>
      </c>
      <c r="Z136" s="22">
        <f t="shared" ref="Z136:AA136" si="1126">SUM(Z132:Z135)</f>
        <v>2693.09</v>
      </c>
      <c r="AA136" s="22">
        <f t="shared" ref="AA136" si="1127">SUM(AA132:AA135)</f>
        <v>2397.4900000000002</v>
      </c>
      <c r="AB136" s="21">
        <f t="shared" ref="AB136:AD136" si="1128">SUM(AB132:AB135)</f>
        <v>2397.4900000000002</v>
      </c>
      <c r="AC136" s="21">
        <f t="shared" si="1128"/>
        <v>2397.4900000000002</v>
      </c>
      <c r="AD136" s="21">
        <f t="shared" si="1128"/>
        <v>2397.4900000000002</v>
      </c>
      <c r="AE136" s="21">
        <f t="shared" ref="AE136" si="1129">SUM(AE132:AE135)</f>
        <v>2397.4900000000002</v>
      </c>
      <c r="AJ136" s="22">
        <f t="shared" ref="AJ136" si="1130">SUM(AJ132:AJ135)</f>
        <v>0</v>
      </c>
      <c r="AK136" s="22">
        <f t="shared" ref="AK136" si="1131">SUM(AK132:AK135)</f>
        <v>0</v>
      </c>
      <c r="AL136" s="22">
        <f t="shared" ref="AL136:AM136" si="1132">SUM(AL132:AL135)</f>
        <v>0</v>
      </c>
      <c r="AM136" s="22">
        <f t="shared" si="1132"/>
        <v>0</v>
      </c>
      <c r="AN136" s="22">
        <f t="shared" ref="AN136:AO136" si="1133">SUM(AN132:AN135)</f>
        <v>0</v>
      </c>
      <c r="AO136" s="22">
        <f t="shared" si="1133"/>
        <v>0</v>
      </c>
      <c r="AP136" s="22">
        <f t="shared" ref="AP136:CE136" si="1134">SUM(AP132:AP135)</f>
        <v>0</v>
      </c>
      <c r="AQ136" s="22">
        <f t="shared" si="1134"/>
        <v>0</v>
      </c>
      <c r="AR136" s="22">
        <f t="shared" si="1134"/>
        <v>0</v>
      </c>
      <c r="AS136" s="22">
        <f t="shared" si="1134"/>
        <v>0</v>
      </c>
      <c r="AT136" s="22">
        <f t="shared" si="1134"/>
        <v>0</v>
      </c>
      <c r="AU136" s="22">
        <f t="shared" si="1134"/>
        <v>0</v>
      </c>
      <c r="AV136" s="22">
        <f t="shared" si="1134"/>
        <v>0</v>
      </c>
      <c r="AW136" s="22">
        <f t="shared" si="1134"/>
        <v>0</v>
      </c>
      <c r="AX136" s="22">
        <f t="shared" si="1134"/>
        <v>1065.0610000000001</v>
      </c>
      <c r="AY136" s="22">
        <f t="shared" si="1134"/>
        <v>1065.0610000000001</v>
      </c>
      <c r="AZ136" s="22">
        <f t="shared" si="1134"/>
        <v>0</v>
      </c>
      <c r="BA136" s="22">
        <f t="shared" si="1134"/>
        <v>0</v>
      </c>
      <c r="BB136" s="22">
        <f t="shared" si="1134"/>
        <v>909.38000000000011</v>
      </c>
      <c r="BC136" s="22">
        <f t="shared" si="1134"/>
        <v>909.38000000000011</v>
      </c>
      <c r="BD136" s="22">
        <f t="shared" si="1134"/>
        <v>910.44099999999992</v>
      </c>
      <c r="BE136" s="22">
        <f t="shared" si="1134"/>
        <v>910.44099999999992</v>
      </c>
      <c r="BF136" s="22">
        <f t="shared" si="1134"/>
        <v>900.17600000000004</v>
      </c>
      <c r="BG136" s="22">
        <f t="shared" si="1134"/>
        <v>900.17600000000004</v>
      </c>
      <c r="BH136" s="22">
        <f t="shared" ref="BH136" si="1135">SUM(BH132:BH135)</f>
        <v>1064.5149999999999</v>
      </c>
      <c r="BI136" s="22">
        <f t="shared" si="1134"/>
        <v>1064.5149999999999</v>
      </c>
      <c r="BJ136" s="22">
        <f t="shared" si="1134"/>
        <v>942.91800000000012</v>
      </c>
      <c r="BK136" s="22">
        <f t="shared" si="1134"/>
        <v>942.91800000000012</v>
      </c>
      <c r="BL136" s="22">
        <f t="shared" si="1134"/>
        <v>1122.0030000000002</v>
      </c>
      <c r="BM136" s="22">
        <f t="shared" si="1134"/>
        <v>1122.0030000000002</v>
      </c>
      <c r="BN136" s="22">
        <f t="shared" si="1134"/>
        <v>955.53</v>
      </c>
      <c r="BO136" s="22">
        <f t="shared" si="1134"/>
        <v>955.53</v>
      </c>
      <c r="BP136" s="22">
        <f t="shared" si="1134"/>
        <v>909.91</v>
      </c>
      <c r="BQ136" s="22">
        <f t="shared" si="1134"/>
        <v>909.91</v>
      </c>
      <c r="BR136" s="22">
        <f t="shared" si="1134"/>
        <v>1453.2</v>
      </c>
      <c r="BS136" s="22">
        <f t="shared" si="1134"/>
        <v>1453.2</v>
      </c>
      <c r="BT136" s="22">
        <f t="shared" si="1134"/>
        <v>1732.1999999999998</v>
      </c>
      <c r="BU136" s="22">
        <f t="shared" si="1134"/>
        <v>1732.1999999999998</v>
      </c>
      <c r="BV136" s="22">
        <f t="shared" si="1134"/>
        <v>1732.0300000000002</v>
      </c>
      <c r="BW136" s="22">
        <f t="shared" si="1134"/>
        <v>1732.0300000000002</v>
      </c>
      <c r="BX136" s="22">
        <f t="shared" si="1134"/>
        <v>2052.6</v>
      </c>
      <c r="BY136" s="22">
        <f t="shared" si="1134"/>
        <v>2052.6</v>
      </c>
      <c r="BZ136" s="22">
        <f t="shared" si="1134"/>
        <v>1971.9699999999998</v>
      </c>
      <c r="CA136" s="22">
        <f t="shared" si="1134"/>
        <v>1971.9699999999998</v>
      </c>
      <c r="CB136" s="22">
        <f t="shared" si="1134"/>
        <v>2087.6</v>
      </c>
      <c r="CC136" s="22">
        <f t="shared" si="1134"/>
        <v>2087.6</v>
      </c>
      <c r="CD136" s="22">
        <f t="shared" si="1134"/>
        <v>2507.0500000000002</v>
      </c>
      <c r="CE136" s="22">
        <f t="shared" si="1134"/>
        <v>2507.0500000000002</v>
      </c>
      <c r="CF136" s="22">
        <f t="shared" ref="CF136:CG136" si="1136">SUM(CF132:CF135)</f>
        <v>2721.77</v>
      </c>
      <c r="CG136" s="22">
        <f t="shared" si="1136"/>
        <v>2721.77</v>
      </c>
      <c r="CH136" s="22">
        <f t="shared" ref="CH136:CI136" si="1137">SUM(CH132:CH135)</f>
        <v>2693.09</v>
      </c>
      <c r="CI136" s="22">
        <f t="shared" si="1137"/>
        <v>2693.09</v>
      </c>
      <c r="CJ136" s="22">
        <f t="shared" ref="CJ136:DB136" si="1138">SUM(CJ132:CJ135)</f>
        <v>2149.35</v>
      </c>
      <c r="CK136" s="22">
        <f t="shared" si="1138"/>
        <v>2149.35</v>
      </c>
      <c r="CL136" s="22">
        <f t="shared" ref="CL136" si="1139">SUM(CL132:CL135)</f>
        <v>2397.4900000000002</v>
      </c>
      <c r="CM136" s="21">
        <f t="shared" si="1138"/>
        <v>2397.4900000000002</v>
      </c>
      <c r="CN136" s="21">
        <f t="shared" si="1138"/>
        <v>2397.4900000000002</v>
      </c>
      <c r="CO136" s="21">
        <f t="shared" si="1138"/>
        <v>2397.4900000000002</v>
      </c>
      <c r="CP136" s="21">
        <f t="shared" si="1138"/>
        <v>2397.4900000000002</v>
      </c>
      <c r="CQ136" s="21">
        <f t="shared" si="1138"/>
        <v>2397.4900000000002</v>
      </c>
      <c r="CR136" s="21">
        <f t="shared" si="1138"/>
        <v>2397.4900000000002</v>
      </c>
      <c r="CS136" s="21">
        <f t="shared" si="1138"/>
        <v>2397.4900000000002</v>
      </c>
      <c r="CT136" s="21">
        <f t="shared" si="1138"/>
        <v>2397.4900000000002</v>
      </c>
      <c r="CU136" s="21">
        <f t="shared" si="1138"/>
        <v>2397.4900000000002</v>
      </c>
      <c r="CV136" s="21">
        <f t="shared" si="1138"/>
        <v>2397.4900000000002</v>
      </c>
      <c r="CW136" s="21">
        <f t="shared" si="1138"/>
        <v>2397.4900000000002</v>
      </c>
      <c r="CX136" s="21">
        <f t="shared" si="1138"/>
        <v>2397.4900000000002</v>
      </c>
      <c r="CY136" s="21">
        <f t="shared" si="1138"/>
        <v>2397.4900000000002</v>
      </c>
      <c r="CZ136" s="21">
        <f t="shared" si="1138"/>
        <v>2397.4900000000002</v>
      </c>
      <c r="DA136" s="21">
        <f t="shared" si="1138"/>
        <v>2397.4900000000002</v>
      </c>
      <c r="DB136" s="21">
        <f t="shared" si="1138"/>
        <v>2397.4900000000002</v>
      </c>
      <c r="DE136" s="126"/>
      <c r="DF136" s="22">
        <v>2397.4900000000002</v>
      </c>
    </row>
    <row r="137" spans="1:110" s="26" customFormat="1" x14ac:dyDescent="0.2">
      <c r="A137" s="26" t="s">
        <v>437</v>
      </c>
      <c r="B137" s="26">
        <f>B136+B128+B130</f>
        <v>0</v>
      </c>
      <c r="C137" s="26">
        <f t="shared" ref="C137:V137" si="1140">C136+C128+C130</f>
        <v>0</v>
      </c>
      <c r="D137" s="26">
        <f>D136+D128+D130</f>
        <v>0</v>
      </c>
      <c r="E137" s="26">
        <f t="shared" si="1140"/>
        <v>0</v>
      </c>
      <c r="F137" s="26">
        <f t="shared" si="1140"/>
        <v>0</v>
      </c>
      <c r="G137" s="26">
        <f t="shared" si="1140"/>
        <v>0</v>
      </c>
      <c r="H137" s="26">
        <f t="shared" si="1140"/>
        <v>0</v>
      </c>
      <c r="I137" s="26">
        <f t="shared" si="1140"/>
        <v>0</v>
      </c>
      <c r="J137" s="26">
        <f t="shared" si="1140"/>
        <v>0</v>
      </c>
      <c r="K137" s="26">
        <f t="shared" si="1140"/>
        <v>0</v>
      </c>
      <c r="L137" s="26">
        <f t="shared" si="1140"/>
        <v>0</v>
      </c>
      <c r="M137" s="26">
        <f t="shared" si="1140"/>
        <v>394.48699999999997</v>
      </c>
      <c r="N137" s="26">
        <f t="shared" si="1140"/>
        <v>551.38</v>
      </c>
      <c r="O137" s="26">
        <f t="shared" si="1140"/>
        <v>901.23199999999997</v>
      </c>
      <c r="P137" s="26">
        <f t="shared" si="1140"/>
        <v>1543.2059999999999</v>
      </c>
      <c r="Q137" s="26">
        <f t="shared" si="1140"/>
        <v>1884.508</v>
      </c>
      <c r="R137" s="26">
        <f t="shared" si="1140"/>
        <v>2172.1949999999997</v>
      </c>
      <c r="S137" s="26">
        <f t="shared" si="1140"/>
        <v>2462.5459999999998</v>
      </c>
      <c r="T137" s="26">
        <f t="shared" si="1140"/>
        <v>2594.3360000000002</v>
      </c>
      <c r="U137" s="26">
        <f t="shared" si="1140"/>
        <v>2826.64</v>
      </c>
      <c r="V137" s="26">
        <f t="shared" si="1140"/>
        <v>4053.9</v>
      </c>
      <c r="W137" s="26">
        <f t="shared" ref="W137" si="1141">W136+W128+W130</f>
        <v>5091.08</v>
      </c>
      <c r="X137" s="26">
        <f t="shared" ref="X137:Y137" si="1142">X136+X128+X130</f>
        <v>6020.63</v>
      </c>
      <c r="Y137" s="26">
        <f t="shared" si="1142"/>
        <v>6622.62</v>
      </c>
      <c r="Z137" s="26">
        <f t="shared" ref="Z137:AA137" si="1143">Z136+Z128+Z130</f>
        <v>7295.61</v>
      </c>
      <c r="AA137" s="26">
        <f t="shared" ref="AA137" si="1144">AA136+AA128+AA130</f>
        <v>7828.8499999999995</v>
      </c>
      <c r="AB137" s="27">
        <f t="shared" ref="AB137:AD137" si="1145">AB136+AB128+AB130</f>
        <v>8759.5754564135132</v>
      </c>
      <c r="AC137" s="27">
        <f t="shared" si="1145"/>
        <v>9862.3833312317329</v>
      </c>
      <c r="AD137" s="27">
        <f t="shared" si="1145"/>
        <v>11173.194514976509</v>
      </c>
      <c r="AE137" s="27">
        <f t="shared" ref="AE137" si="1146">AE136+AE128+AE130</f>
        <v>13009.370093401696</v>
      </c>
      <c r="AJ137" s="26">
        <f t="shared" ref="AJ137" si="1147">AJ136+AJ128+AJ130</f>
        <v>0</v>
      </c>
      <c r="AK137" s="26">
        <f t="shared" ref="AK137" si="1148">AK136+AK128+AK130</f>
        <v>0</v>
      </c>
      <c r="AL137" s="26">
        <f t="shared" ref="AL137" si="1149">AL136+AL128+AL130</f>
        <v>0</v>
      </c>
      <c r="AM137" s="26">
        <f t="shared" ref="AM137:AO137" si="1150">AM136+AM128+AM130</f>
        <v>0</v>
      </c>
      <c r="AN137" s="26">
        <f t="shared" si="1150"/>
        <v>0</v>
      </c>
      <c r="AO137" s="26">
        <f t="shared" si="1150"/>
        <v>0</v>
      </c>
      <c r="AP137" s="26">
        <f t="shared" ref="AP137:CE137" si="1151">AP136+AP128+AP130</f>
        <v>0</v>
      </c>
      <c r="AQ137" s="26">
        <f t="shared" si="1151"/>
        <v>0</v>
      </c>
      <c r="AR137" s="26">
        <f t="shared" si="1151"/>
        <v>0</v>
      </c>
      <c r="AS137" s="26">
        <f t="shared" si="1151"/>
        <v>0</v>
      </c>
      <c r="AT137" s="26">
        <f t="shared" si="1151"/>
        <v>0</v>
      </c>
      <c r="AU137" s="26">
        <f t="shared" si="1151"/>
        <v>0</v>
      </c>
      <c r="AV137" s="26">
        <f t="shared" si="1151"/>
        <v>0</v>
      </c>
      <c r="AW137" s="26">
        <f t="shared" si="1151"/>
        <v>40.23100000000003</v>
      </c>
      <c r="AX137" s="26">
        <f t="shared" si="1151"/>
        <v>1921.8590000000002</v>
      </c>
      <c r="AY137" s="26">
        <f t="shared" si="1151"/>
        <v>1947.5020000000002</v>
      </c>
      <c r="AZ137" s="26">
        <f t="shared" si="1151"/>
        <v>0</v>
      </c>
      <c r="BA137" s="26">
        <f t="shared" si="1151"/>
        <v>45.019000000000027</v>
      </c>
      <c r="BB137" s="26">
        <f t="shared" si="1151"/>
        <v>2239.8280000000004</v>
      </c>
      <c r="BC137" s="26">
        <f t="shared" si="1151"/>
        <v>2278.7330000000002</v>
      </c>
      <c r="BD137" s="26">
        <f t="shared" si="1151"/>
        <v>2311.7329999999997</v>
      </c>
      <c r="BE137" s="26">
        <f t="shared" si="1151"/>
        <v>2346.6029999999996</v>
      </c>
      <c r="BF137" s="26">
        <f t="shared" si="1151"/>
        <v>2382.8150000000001</v>
      </c>
      <c r="BG137" s="26">
        <f t="shared" si="1151"/>
        <v>2399.373</v>
      </c>
      <c r="BH137" s="26">
        <f t="shared" ref="BH137" si="1152">BH136+BH128+BH130</f>
        <v>2557.1259999999997</v>
      </c>
      <c r="BI137" s="26">
        <f t="shared" si="1151"/>
        <v>2574.9429999999998</v>
      </c>
      <c r="BJ137" s="26">
        <f t="shared" si="1151"/>
        <v>2501.3249999999998</v>
      </c>
      <c r="BK137" s="26">
        <f t="shared" si="1151"/>
        <v>2516.4250000000002</v>
      </c>
      <c r="BL137" s="26">
        <f t="shared" si="1151"/>
        <v>2737.741</v>
      </c>
      <c r="BM137" s="26">
        <f t="shared" si="1151"/>
        <v>2811.2110000000002</v>
      </c>
      <c r="BN137" s="26">
        <f t="shared" si="1151"/>
        <v>2725.3</v>
      </c>
      <c r="BO137" s="26">
        <f t="shared" si="1151"/>
        <v>2897.08</v>
      </c>
      <c r="BP137" s="26">
        <f t="shared" si="1151"/>
        <v>3097.62</v>
      </c>
      <c r="BQ137" s="26">
        <f t="shared" si="1151"/>
        <v>3370.47</v>
      </c>
      <c r="BR137" s="26">
        <f t="shared" si="1151"/>
        <v>4053.9</v>
      </c>
      <c r="BS137" s="26">
        <f t="shared" si="1151"/>
        <v>4295.29</v>
      </c>
      <c r="BT137" s="26">
        <f t="shared" si="1151"/>
        <v>4737.18</v>
      </c>
      <c r="BU137" s="26">
        <f t="shared" si="1151"/>
        <v>4890.91</v>
      </c>
      <c r="BV137" s="26">
        <f t="shared" si="1151"/>
        <v>5091.079999999999</v>
      </c>
      <c r="BW137" s="26">
        <f t="shared" si="1151"/>
        <v>5342.36</v>
      </c>
      <c r="BX137" s="26">
        <f t="shared" si="1151"/>
        <v>5825.4800000000005</v>
      </c>
      <c r="BY137" s="26">
        <f t="shared" si="1151"/>
        <v>6028.5199999999995</v>
      </c>
      <c r="BZ137" s="26">
        <f t="shared" si="1151"/>
        <v>6020.63</v>
      </c>
      <c r="CA137" s="26">
        <f t="shared" si="1151"/>
        <v>6045.4800000000005</v>
      </c>
      <c r="CB137" s="26">
        <f t="shared" si="1151"/>
        <v>6130.66</v>
      </c>
      <c r="CC137" s="26">
        <f t="shared" si="1151"/>
        <v>6153.7999999999993</v>
      </c>
      <c r="CD137" s="26">
        <f t="shared" si="1151"/>
        <v>6622.62</v>
      </c>
      <c r="CE137" s="26">
        <f t="shared" si="1151"/>
        <v>6635.13</v>
      </c>
      <c r="CF137" s="26">
        <f t="shared" ref="CF137:CG137" si="1153">CF136+CF128+CF130</f>
        <v>6865.9300000000012</v>
      </c>
      <c r="CG137" s="26">
        <f t="shared" si="1153"/>
        <v>6958.2300000000005</v>
      </c>
      <c r="CH137" s="26">
        <f t="shared" ref="CH137:CI137" si="1154">CH136+CH128+CH130</f>
        <v>7295.61</v>
      </c>
      <c r="CI137" s="26">
        <f t="shared" si="1154"/>
        <v>7458.6299999999992</v>
      </c>
      <c r="CJ137" s="26">
        <f t="shared" ref="CJ137:DB137" si="1155">CJ136+CJ128+CJ130</f>
        <v>7082.88</v>
      </c>
      <c r="CK137" s="26">
        <f t="shared" si="1155"/>
        <v>7334.54</v>
      </c>
      <c r="CL137" s="26">
        <f t="shared" ref="CL137" si="1156">CL136+CL128+CL130</f>
        <v>7828.8500000000013</v>
      </c>
      <c r="CM137" s="27">
        <f t="shared" si="1155"/>
        <v>8033.2100532607446</v>
      </c>
      <c r="CN137" s="27">
        <f t="shared" si="1155"/>
        <v>8253.1445997069659</v>
      </c>
      <c r="CO137" s="27">
        <f t="shared" si="1155"/>
        <v>8504.3506773328663</v>
      </c>
      <c r="CP137" s="27">
        <f t="shared" si="1155"/>
        <v>8759.5754564135132</v>
      </c>
      <c r="CQ137" s="27">
        <f t="shared" si="1155"/>
        <v>9010.153227341465</v>
      </c>
      <c r="CR137" s="27">
        <f t="shared" si="1155"/>
        <v>9271.2040887229086</v>
      </c>
      <c r="CS137" s="27">
        <f t="shared" si="1155"/>
        <v>9563.6792312555208</v>
      </c>
      <c r="CT137" s="27">
        <f t="shared" si="1155"/>
        <v>9862.3833312317329</v>
      </c>
      <c r="CU137" s="27">
        <f t="shared" si="1155"/>
        <v>10161.685981663737</v>
      </c>
      <c r="CV137" s="27">
        <f t="shared" si="1155"/>
        <v>10489.949518491156</v>
      </c>
      <c r="CW137" s="27">
        <f t="shared" si="1155"/>
        <v>10827.053816059308</v>
      </c>
      <c r="CX137" s="27">
        <f t="shared" si="1155"/>
        <v>11173.194514976509</v>
      </c>
      <c r="CY137" s="27">
        <f t="shared" si="1155"/>
        <v>11526.503666574175</v>
      </c>
      <c r="CZ137" s="27">
        <f t="shared" si="1155"/>
        <v>12025.055138018814</v>
      </c>
      <c r="DA137" s="27">
        <f t="shared" si="1155"/>
        <v>12519.834464044869</v>
      </c>
      <c r="DB137" s="27">
        <f t="shared" si="1155"/>
        <v>13009.370093401696</v>
      </c>
      <c r="DE137" s="121"/>
      <c r="DF137" s="26">
        <v>7828.8500000000013</v>
      </c>
    </row>
    <row r="138" spans="1:110" s="23" customFormat="1" x14ac:dyDescent="0.2">
      <c r="AB138" s="24"/>
      <c r="AC138" s="24"/>
      <c r="AD138" s="24"/>
      <c r="AE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E138" s="123"/>
    </row>
    <row r="139" spans="1:110" s="23" customFormat="1" outlineLevel="1" x14ac:dyDescent="0.2">
      <c r="A139" s="23" t="s">
        <v>50</v>
      </c>
      <c r="B139" s="23">
        <f>'Annual Raw'!C62</f>
        <v>0</v>
      </c>
      <c r="C139" s="23">
        <f>'Annual Raw'!D62</f>
        <v>0</v>
      </c>
      <c r="D139" s="23">
        <f>'Annual Raw'!E62</f>
        <v>0</v>
      </c>
      <c r="E139" s="23">
        <f>'Annual Raw'!F62-E143</f>
        <v>0</v>
      </c>
      <c r="F139" s="23">
        <f>'Annual Raw'!G62-F143</f>
        <v>0</v>
      </c>
      <c r="G139" s="23">
        <f>'Annual Raw'!H62-G143</f>
        <v>0</v>
      </c>
      <c r="H139" s="23">
        <f>'Annual Raw'!I62-H143</f>
        <v>0</v>
      </c>
      <c r="I139" s="23">
        <f>'Annual Raw'!J62-I143</f>
        <v>0</v>
      </c>
      <c r="J139" s="23">
        <f>'Annual Raw'!K62-J143</f>
        <v>0</v>
      </c>
      <c r="K139" s="23">
        <f>'Annual Raw'!L62-K143</f>
        <v>0</v>
      </c>
      <c r="L139" s="23">
        <f>'Annual Raw'!M62-L143</f>
        <v>0</v>
      </c>
      <c r="M139" s="23">
        <f>'Annual Raw'!N62-M143</f>
        <v>259.91500000000002</v>
      </c>
      <c r="N139" s="23">
        <f>'Annual Raw'!O62-N143</f>
        <v>330.30900000000003</v>
      </c>
      <c r="O139" s="23">
        <f>'Annual Raw'!P62-O143</f>
        <v>622.976</v>
      </c>
      <c r="P139" s="23">
        <f>'Annual Raw'!Q62-P143</f>
        <v>986.17399999999998</v>
      </c>
      <c r="Q139" s="23">
        <f>'Annual Raw'!R62-Q143</f>
        <v>1106.326</v>
      </c>
      <c r="R139" s="23">
        <f>'Annual Raw'!S62-R143</f>
        <v>1408.845</v>
      </c>
      <c r="S139" s="23">
        <f>'Annual Raw'!T62-S143</f>
        <v>1784.011</v>
      </c>
      <c r="T139" s="23">
        <f>'Annual Raw'!U62-T143</f>
        <v>2095.6779999999999</v>
      </c>
      <c r="U139" s="23">
        <f>'Annual Raw'!V62-U143</f>
        <v>2377.9700000000003</v>
      </c>
      <c r="V139" s="23">
        <f>'Annual Raw'!W62-V143</f>
        <v>2781.6699999999996</v>
      </c>
      <c r="W139" s="23">
        <f>'Annual Raw'!X62-W143</f>
        <v>3503.8999999999996</v>
      </c>
      <c r="X139" s="23">
        <f>'Annual Raw'!Y62-X143</f>
        <v>4548.5199999999995</v>
      </c>
      <c r="Y139" s="23">
        <f>'Annual Raw'!Z62-Y143</f>
        <v>5405.9</v>
      </c>
      <c r="Z139" s="23">
        <f>'Annual Raw'!AA62-Z143</f>
        <v>6038.03</v>
      </c>
      <c r="AA139" s="23">
        <f>'Annual Raw'!AB62-AA143</f>
        <v>6723.99</v>
      </c>
      <c r="AB139" s="24">
        <f t="shared" ref="AB139:AB145" si="1157">+CP139</f>
        <v>7332.79</v>
      </c>
      <c r="AC139" s="24">
        <f t="shared" ref="AC139:AC145" si="1158">+CT139</f>
        <v>8132.79</v>
      </c>
      <c r="AD139" s="24">
        <f t="shared" ref="AD139:AD145" si="1159">+CX139</f>
        <v>8932.7900000000009</v>
      </c>
      <c r="AE139" s="24">
        <f t="shared" ref="AE139:AE145" si="1160">+DB139</f>
        <v>9732.7900000000009</v>
      </c>
      <c r="AJ139" s="23">
        <f>+'QTR Raw'!D68</f>
        <v>0</v>
      </c>
      <c r="AL139" s="23">
        <f>+'QTR Raw'!F68</f>
        <v>0</v>
      </c>
      <c r="AN139" s="23">
        <f>+'QTR Raw'!H68</f>
        <v>0</v>
      </c>
      <c r="AP139" s="23">
        <f>+'QTR Raw'!J68</f>
        <v>0</v>
      </c>
      <c r="AR139" s="23">
        <f>+'QTR Raw'!L68</f>
        <v>0</v>
      </c>
      <c r="AT139" s="23">
        <f>+'QTR Raw'!N68</f>
        <v>0</v>
      </c>
      <c r="AV139" s="23">
        <f>+'QTR Raw'!P68</f>
        <v>0</v>
      </c>
      <c r="AX139" s="23">
        <f>+'QTR Raw'!R68</f>
        <v>1021.027</v>
      </c>
      <c r="AZ139" s="23">
        <f>+'QTR Raw'!T68</f>
        <v>0</v>
      </c>
      <c r="BB139" s="23">
        <f>+'QTR Raw'!V68</f>
        <v>1220.1959999999999</v>
      </c>
      <c r="BD139" s="23">
        <f>+'QTR Raw'!X68</f>
        <v>1175.701</v>
      </c>
      <c r="BF139" s="23">
        <f>+'QTR Raw'!Z68</f>
        <v>1471.056</v>
      </c>
      <c r="BH139" s="23">
        <f>+'QTR Raw'!AB68</f>
        <v>1586.415</v>
      </c>
      <c r="BJ139" s="23">
        <f>+'QTR Raw'!AD68</f>
        <v>1619.33</v>
      </c>
      <c r="BL139" s="23">
        <f>+'QTR Raw'!AF68</f>
        <v>1618.0129999999999</v>
      </c>
      <c r="BN139" s="23">
        <f>+'QTR Raw'!AH68</f>
        <v>1673.71</v>
      </c>
      <c r="BP139" s="23">
        <f>+'QTR Raw'!AJ68</f>
        <v>1677.67</v>
      </c>
      <c r="BR139" s="23">
        <f>+'QTR Raw'!AL68</f>
        <v>1869.16</v>
      </c>
      <c r="BT139" s="23">
        <f>+'QTR Raw'!AN68</f>
        <v>2080.6799999999998</v>
      </c>
      <c r="BV139" s="23">
        <f>+'QTR Raw'!AP68</f>
        <v>2268.12</v>
      </c>
      <c r="BX139" s="23">
        <f>+'QTR Raw'!AR68</f>
        <v>2848.31</v>
      </c>
      <c r="BZ139" s="23">
        <f>+'QTR Raw'!AT68</f>
        <v>3028.89</v>
      </c>
      <c r="CB139" s="23">
        <f>+'QTR Raw'!AV68</f>
        <v>3327.78</v>
      </c>
      <c r="CD139" s="23">
        <f>+'QTR Raw'!AX68</f>
        <v>3465.39</v>
      </c>
      <c r="CF139" s="23">
        <f>+'QTR Raw'!AZ68</f>
        <v>3418.21</v>
      </c>
      <c r="CH139" s="23">
        <f t="shared" ref="CH139:CH145" si="1161">Z139</f>
        <v>6038.03</v>
      </c>
      <c r="CI139" s="23">
        <f>CH139</f>
        <v>6038.03</v>
      </c>
      <c r="CJ139" s="23">
        <f>+CJ140+CJ142</f>
        <v>6216.4</v>
      </c>
      <c r="CK139" s="23">
        <f>+CJ139</f>
        <v>6216.4</v>
      </c>
      <c r="CL139" s="23">
        <f>+CL140+CL142</f>
        <v>6532.79</v>
      </c>
      <c r="CM139" s="24">
        <f t="shared" ref="CM139:DB139" si="1162">+CL139+200</f>
        <v>6732.79</v>
      </c>
      <c r="CN139" s="24">
        <f t="shared" si="1162"/>
        <v>6932.79</v>
      </c>
      <c r="CO139" s="24">
        <f t="shared" si="1162"/>
        <v>7132.79</v>
      </c>
      <c r="CP139" s="24">
        <f t="shared" si="1162"/>
        <v>7332.79</v>
      </c>
      <c r="CQ139" s="24">
        <f t="shared" si="1162"/>
        <v>7532.79</v>
      </c>
      <c r="CR139" s="24">
        <f t="shared" si="1162"/>
        <v>7732.79</v>
      </c>
      <c r="CS139" s="24">
        <f t="shared" si="1162"/>
        <v>7932.79</v>
      </c>
      <c r="CT139" s="24">
        <f t="shared" si="1162"/>
        <v>8132.79</v>
      </c>
      <c r="CU139" s="24">
        <f t="shared" si="1162"/>
        <v>8332.7900000000009</v>
      </c>
      <c r="CV139" s="24">
        <f t="shared" si="1162"/>
        <v>8532.7900000000009</v>
      </c>
      <c r="CW139" s="24">
        <f t="shared" si="1162"/>
        <v>8732.7900000000009</v>
      </c>
      <c r="CX139" s="24">
        <f t="shared" si="1162"/>
        <v>8932.7900000000009</v>
      </c>
      <c r="CY139" s="24">
        <f t="shared" si="1162"/>
        <v>9132.7900000000009</v>
      </c>
      <c r="CZ139" s="24">
        <f t="shared" si="1162"/>
        <v>9332.7900000000009</v>
      </c>
      <c r="DA139" s="24">
        <f t="shared" si="1162"/>
        <v>9532.7900000000009</v>
      </c>
      <c r="DB139" s="24">
        <f t="shared" si="1162"/>
        <v>9732.7900000000009</v>
      </c>
      <c r="DE139" s="123"/>
      <c r="DF139" s="23">
        <v>6532.79</v>
      </c>
    </row>
    <row r="140" spans="1:110" s="23" customFormat="1" outlineLevel="1" x14ac:dyDescent="0.2">
      <c r="A140" s="23" t="s">
        <v>51</v>
      </c>
      <c r="B140" s="23">
        <f>'Annual Raw'!C63</f>
        <v>0</v>
      </c>
      <c r="C140" s="23">
        <f>'Annual Raw'!D63</f>
        <v>0</v>
      </c>
      <c r="D140" s="23">
        <f>'Annual Raw'!E63</f>
        <v>0</v>
      </c>
      <c r="E140" s="23">
        <f>'Annual Raw'!F63</f>
        <v>0</v>
      </c>
      <c r="F140" s="23">
        <f>'Annual Raw'!G63</f>
        <v>0</v>
      </c>
      <c r="G140" s="23">
        <f>'Annual Raw'!H63</f>
        <v>0</v>
      </c>
      <c r="H140" s="23">
        <f>'Annual Raw'!I63</f>
        <v>0</v>
      </c>
      <c r="I140" s="23">
        <f>'Annual Raw'!J63</f>
        <v>0</v>
      </c>
      <c r="J140" s="23">
        <f>'Annual Raw'!K63</f>
        <v>0</v>
      </c>
      <c r="K140" s="23">
        <f>'Annual Raw'!L63</f>
        <v>0</v>
      </c>
      <c r="L140" s="23">
        <f>'Annual Raw'!M63</f>
        <v>0</v>
      </c>
      <c r="M140" s="23">
        <f>'Annual Raw'!N63</f>
        <v>73.375</v>
      </c>
      <c r="N140" s="23">
        <f>'Annual Raw'!O63</f>
        <v>94.756</v>
      </c>
      <c r="O140" s="23">
        <f>'Annual Raw'!P63</f>
        <v>124.04</v>
      </c>
      <c r="P140" s="23">
        <f>'Annual Raw'!Q63</f>
        <v>185.16</v>
      </c>
      <c r="Q140" s="23">
        <f>'Annual Raw'!R63</f>
        <v>85.299000000000007</v>
      </c>
      <c r="R140" s="23">
        <f>'Annual Raw'!S63</f>
        <v>188.649</v>
      </c>
      <c r="S140" s="23">
        <f>'Annual Raw'!T63</f>
        <v>312.95499999999998</v>
      </c>
      <c r="T140" s="23">
        <f>'Annual Raw'!U63</f>
        <v>476.34800000000001</v>
      </c>
      <c r="U140" s="23">
        <f>'Annual Raw'!V63</f>
        <v>661.37</v>
      </c>
      <c r="V140" s="23">
        <f>'Annual Raw'!W63</f>
        <v>857.35</v>
      </c>
      <c r="W140" s="23">
        <f>'Annual Raw'!X63</f>
        <v>1097.73</v>
      </c>
      <c r="X140" s="23">
        <f>'Annual Raw'!Y63</f>
        <v>1386.2</v>
      </c>
      <c r="Y140" s="23">
        <f>'Annual Raw'!Z63</f>
        <v>1762.19</v>
      </c>
      <c r="Z140" s="23">
        <f>'Annual Raw'!AA63</f>
        <v>2161.11</v>
      </c>
      <c r="AA140" s="23">
        <f>'Annual Raw'!AB63</f>
        <v>2599.65</v>
      </c>
      <c r="AB140" s="24">
        <f t="shared" si="1157"/>
        <v>3169.079452187214</v>
      </c>
      <c r="AC140" s="24">
        <f t="shared" si="1158"/>
        <v>3731.1979136736945</v>
      </c>
      <c r="AD140" s="24">
        <f t="shared" si="1159"/>
        <v>4323.2167594880739</v>
      </c>
      <c r="AE140" s="24">
        <f t="shared" si="1160"/>
        <v>4941.3776778734036</v>
      </c>
      <c r="AJ140" s="23">
        <f>+'QTR Raw'!D69</f>
        <v>0</v>
      </c>
      <c r="AL140" s="23">
        <f>+'QTR Raw'!F69</f>
        <v>0</v>
      </c>
      <c r="AN140" s="23">
        <f>+'QTR Raw'!H69</f>
        <v>0</v>
      </c>
      <c r="AP140" s="23">
        <f>+'QTR Raw'!J69</f>
        <v>0</v>
      </c>
      <c r="AR140" s="23">
        <f>+'QTR Raw'!L69</f>
        <v>0</v>
      </c>
      <c r="AT140" s="23">
        <f>+'QTR Raw'!N69</f>
        <v>0</v>
      </c>
      <c r="AV140" s="23">
        <f>+'QTR Raw'!P69</f>
        <v>0</v>
      </c>
      <c r="AX140" s="23">
        <f>+'QTR Raw'!R69</f>
        <v>0</v>
      </c>
      <c r="AZ140" s="23">
        <f>+'QTR Raw'!T69</f>
        <v>0</v>
      </c>
      <c r="BB140" s="23">
        <f>+'QTR Raw'!V69</f>
        <v>0</v>
      </c>
      <c r="BD140" s="23">
        <f>+'QTR Raw'!X69</f>
        <v>0</v>
      </c>
      <c r="BF140" s="23">
        <f>+'QTR Raw'!Z69</f>
        <v>0</v>
      </c>
      <c r="BH140" s="23">
        <f>+'QTR Raw'!AB69</f>
        <v>0</v>
      </c>
      <c r="BJ140" s="23">
        <f>+'QTR Raw'!AD69</f>
        <v>0</v>
      </c>
      <c r="BL140" s="23">
        <f>+'QTR Raw'!AF69</f>
        <v>0</v>
      </c>
      <c r="BN140" s="23">
        <f>+'QTR Raw'!AH69</f>
        <v>0</v>
      </c>
      <c r="BP140" s="23">
        <f>+'QTR Raw'!AJ69</f>
        <v>0</v>
      </c>
      <c r="BR140" s="23">
        <f>+'QTR Raw'!AL69</f>
        <v>0</v>
      </c>
      <c r="BT140" s="23">
        <f>+'QTR Raw'!AN69</f>
        <v>0</v>
      </c>
      <c r="BV140" s="23">
        <f>+'QTR Raw'!AP69</f>
        <v>0</v>
      </c>
      <c r="BX140" s="23">
        <f>+'QTR Raw'!AR69</f>
        <v>0</v>
      </c>
      <c r="BZ140" s="23">
        <f>+'QTR Raw'!AT69</f>
        <v>0</v>
      </c>
      <c r="CB140" s="23">
        <f>+'QTR Raw'!AV69</f>
        <v>0</v>
      </c>
      <c r="CD140" s="23">
        <f>+'QTR Raw'!AX69</f>
        <v>0</v>
      </c>
      <c r="CF140" s="23">
        <f>+'QTR Raw'!AZ69</f>
        <v>0</v>
      </c>
      <c r="CH140" s="23">
        <f t="shared" si="1161"/>
        <v>2161.11</v>
      </c>
      <c r="CI140" s="23">
        <f t="shared" ref="CI140:DB140" si="1163">CH140+CI40</f>
        <v>2277.9500000000003</v>
      </c>
      <c r="CJ140" s="23">
        <f t="shared" si="1163"/>
        <v>2398.44</v>
      </c>
      <c r="CK140" s="23">
        <f t="shared" si="1163"/>
        <v>2519.06</v>
      </c>
      <c r="CL140" s="23">
        <f t="shared" si="1163"/>
        <v>2641.16</v>
      </c>
      <c r="CM140" s="24">
        <f t="shared" si="1163"/>
        <v>2769.6761827151408</v>
      </c>
      <c r="CN140" s="24">
        <f t="shared" si="1163"/>
        <v>2900.5530285260429</v>
      </c>
      <c r="CO140" s="24">
        <f t="shared" si="1163"/>
        <v>3033.712579505117</v>
      </c>
      <c r="CP140" s="24">
        <f t="shared" si="1163"/>
        <v>3169.079452187214</v>
      </c>
      <c r="CQ140" s="24">
        <f t="shared" si="1163"/>
        <v>3306.5807525512437</v>
      </c>
      <c r="CR140" s="24">
        <f t="shared" si="1163"/>
        <v>3446.1459938094167</v>
      </c>
      <c r="CS140" s="24">
        <f t="shared" si="1163"/>
        <v>3587.7070169113954</v>
      </c>
      <c r="CT140" s="24">
        <f t="shared" si="1163"/>
        <v>3731.1979136736945</v>
      </c>
      <c r="CU140" s="24">
        <f t="shared" si="1163"/>
        <v>3876.5549524476351</v>
      </c>
      <c r="CV140" s="24">
        <f t="shared" si="1163"/>
        <v>4023.7165062420236</v>
      </c>
      <c r="CW140" s="24">
        <f t="shared" si="1163"/>
        <v>4172.6229832194858</v>
      </c>
      <c r="CX140" s="24">
        <f t="shared" si="1163"/>
        <v>4323.2167594880739</v>
      </c>
      <c r="CY140" s="24">
        <f t="shared" si="1163"/>
        <v>4475.4421141123457</v>
      </c>
      <c r="CZ140" s="24">
        <f t="shared" si="1163"/>
        <v>4629.2451662706226</v>
      </c>
      <c r="DA140" s="24">
        <f t="shared" si="1163"/>
        <v>4784.573814487545</v>
      </c>
      <c r="DB140" s="24">
        <f t="shared" si="1163"/>
        <v>4941.3776778734036</v>
      </c>
      <c r="DE140" s="123"/>
      <c r="DF140" s="23">
        <v>2641.16</v>
      </c>
    </row>
    <row r="141" spans="1:110" s="23" customFormat="1" outlineLevel="1" x14ac:dyDescent="0.2">
      <c r="A141" s="23" t="s">
        <v>52</v>
      </c>
      <c r="B141" s="23">
        <f>'Annual Raw'!C64</f>
        <v>0</v>
      </c>
      <c r="C141" s="23">
        <f>'Annual Raw'!D64</f>
        <v>0</v>
      </c>
      <c r="D141" s="23">
        <f>'Annual Raw'!E64</f>
        <v>0</v>
      </c>
      <c r="E141" s="23">
        <f>'Annual Raw'!F64</f>
        <v>0</v>
      </c>
      <c r="F141" s="23">
        <f>'Annual Raw'!G64</f>
        <v>0</v>
      </c>
      <c r="G141" s="23">
        <f>'Annual Raw'!H64</f>
        <v>0</v>
      </c>
      <c r="H141" s="23">
        <f>'Annual Raw'!I64</f>
        <v>0</v>
      </c>
      <c r="I141" s="23">
        <f>'Annual Raw'!J64</f>
        <v>0</v>
      </c>
      <c r="J141" s="23">
        <f>'Annual Raw'!K64</f>
        <v>0</v>
      </c>
      <c r="K141" s="23">
        <f>'Annual Raw'!L64</f>
        <v>0</v>
      </c>
      <c r="L141" s="23">
        <f>'Annual Raw'!M64</f>
        <v>0</v>
      </c>
      <c r="M141" s="23">
        <f>'Annual Raw'!N64</f>
        <v>0</v>
      </c>
      <c r="N141" s="23">
        <f>'Annual Raw'!O64</f>
        <v>0</v>
      </c>
      <c r="O141" s="23">
        <f>'Annual Raw'!P64</f>
        <v>0</v>
      </c>
      <c r="P141" s="23">
        <f>'Annual Raw'!Q64</f>
        <v>0</v>
      </c>
      <c r="Q141" s="23">
        <f>'Annual Raw'!R64</f>
        <v>0</v>
      </c>
      <c r="R141" s="23">
        <f>'Annual Raw'!S64</f>
        <v>0</v>
      </c>
      <c r="S141" s="23">
        <f>'Annual Raw'!T64</f>
        <v>0</v>
      </c>
      <c r="T141" s="23">
        <f>'Annual Raw'!U64</f>
        <v>0</v>
      </c>
      <c r="U141" s="23">
        <f>'Annual Raw'!V64</f>
        <v>0</v>
      </c>
      <c r="V141" s="23">
        <f>'Annual Raw'!W64</f>
        <v>0</v>
      </c>
      <c r="W141" s="23">
        <f>'Annual Raw'!X64</f>
        <v>0</v>
      </c>
      <c r="X141" s="23">
        <f>'Annual Raw'!Y64</f>
        <v>0</v>
      </c>
      <c r="Y141" s="23">
        <f>'Annual Raw'!Z64</f>
        <v>0</v>
      </c>
      <c r="Z141" s="23">
        <f>'Annual Raw'!AA64</f>
        <v>0</v>
      </c>
      <c r="AA141" s="23">
        <f>'Annual Raw'!AB64</f>
        <v>0</v>
      </c>
      <c r="AB141" s="24">
        <f t="shared" si="1157"/>
        <v>0</v>
      </c>
      <c r="AC141" s="24">
        <f t="shared" si="1158"/>
        <v>0</v>
      </c>
      <c r="AD141" s="24">
        <f t="shared" si="1159"/>
        <v>0</v>
      </c>
      <c r="AE141" s="24">
        <f t="shared" si="1160"/>
        <v>0</v>
      </c>
      <c r="AJ141" s="23">
        <f>+'QTR Raw'!D70</f>
        <v>0</v>
      </c>
      <c r="AL141" s="23">
        <f>+'QTR Raw'!F70</f>
        <v>0</v>
      </c>
      <c r="AN141" s="23">
        <f>+'QTR Raw'!H70</f>
        <v>0</v>
      </c>
      <c r="AP141" s="23">
        <f>+'QTR Raw'!J70</f>
        <v>0</v>
      </c>
      <c r="AR141" s="23">
        <f>+'QTR Raw'!L70</f>
        <v>0</v>
      </c>
      <c r="AT141" s="23">
        <f>+'QTR Raw'!N70</f>
        <v>0</v>
      </c>
      <c r="AV141" s="23">
        <f>+'QTR Raw'!P70</f>
        <v>0</v>
      </c>
      <c r="AX141" s="23">
        <f>+'QTR Raw'!R70</f>
        <v>0</v>
      </c>
      <c r="AZ141" s="23">
        <f>+'QTR Raw'!T70</f>
        <v>0</v>
      </c>
      <c r="BB141" s="23">
        <f>+'QTR Raw'!V70</f>
        <v>0</v>
      </c>
      <c r="BD141" s="23">
        <f>+'QTR Raw'!X70</f>
        <v>0</v>
      </c>
      <c r="BF141" s="23">
        <f>+'QTR Raw'!Z70</f>
        <v>0</v>
      </c>
      <c r="BH141" s="23">
        <f>+'QTR Raw'!AB70</f>
        <v>0</v>
      </c>
      <c r="BJ141" s="23">
        <f>+'QTR Raw'!AD70</f>
        <v>0</v>
      </c>
      <c r="BL141" s="23">
        <f>+'QTR Raw'!AF70</f>
        <v>0</v>
      </c>
      <c r="BN141" s="23">
        <f>+'QTR Raw'!AH70</f>
        <v>0</v>
      </c>
      <c r="BP141" s="23">
        <f>+'QTR Raw'!AJ70</f>
        <v>0</v>
      </c>
      <c r="BR141" s="23">
        <f>+'QTR Raw'!AL70</f>
        <v>0</v>
      </c>
      <c r="BT141" s="23">
        <f>+'QTR Raw'!AN70</f>
        <v>0</v>
      </c>
      <c r="BV141" s="23">
        <f>+'QTR Raw'!AP70</f>
        <v>0</v>
      </c>
      <c r="BX141" s="23">
        <f>+'QTR Raw'!AR70</f>
        <v>0</v>
      </c>
      <c r="BZ141" s="23">
        <f>+'QTR Raw'!AT70</f>
        <v>0</v>
      </c>
      <c r="CB141" s="23">
        <f>+'QTR Raw'!AV70</f>
        <v>0</v>
      </c>
      <c r="CD141" s="23">
        <f>+'QTR Raw'!AX70</f>
        <v>0</v>
      </c>
      <c r="CF141" s="23">
        <f>+'QTR Raw'!AZ70</f>
        <v>0</v>
      </c>
      <c r="CH141" s="23">
        <f t="shared" si="1161"/>
        <v>0</v>
      </c>
      <c r="CI141" s="23">
        <f>CH141</f>
        <v>0</v>
      </c>
      <c r="CJ141" s="23">
        <f>+'QTR Raw'!BD70</f>
        <v>0</v>
      </c>
      <c r="CK141" s="23">
        <f t="shared" ref="CK141:DB141" si="1164">CJ141</f>
        <v>0</v>
      </c>
      <c r="CL141" s="23">
        <f>+'QTR Raw'!BF70</f>
        <v>0</v>
      </c>
      <c r="CM141" s="24">
        <f t="shared" si="1164"/>
        <v>0</v>
      </c>
      <c r="CN141" s="24">
        <f t="shared" si="1164"/>
        <v>0</v>
      </c>
      <c r="CO141" s="24">
        <f t="shared" si="1164"/>
        <v>0</v>
      </c>
      <c r="CP141" s="24">
        <f t="shared" si="1164"/>
        <v>0</v>
      </c>
      <c r="CQ141" s="24">
        <f t="shared" si="1164"/>
        <v>0</v>
      </c>
      <c r="CR141" s="24">
        <f t="shared" si="1164"/>
        <v>0</v>
      </c>
      <c r="CS141" s="24">
        <f t="shared" si="1164"/>
        <v>0</v>
      </c>
      <c r="CT141" s="24">
        <f t="shared" si="1164"/>
        <v>0</v>
      </c>
      <c r="CU141" s="24">
        <f t="shared" si="1164"/>
        <v>0</v>
      </c>
      <c r="CV141" s="24">
        <f t="shared" si="1164"/>
        <v>0</v>
      </c>
      <c r="CW141" s="24">
        <f t="shared" si="1164"/>
        <v>0</v>
      </c>
      <c r="CX141" s="24">
        <f t="shared" si="1164"/>
        <v>0</v>
      </c>
      <c r="CY141" s="24">
        <f t="shared" si="1164"/>
        <v>0</v>
      </c>
      <c r="CZ141" s="24">
        <f t="shared" si="1164"/>
        <v>0</v>
      </c>
      <c r="DA141" s="24">
        <f t="shared" si="1164"/>
        <v>0</v>
      </c>
      <c r="DB141" s="24">
        <f t="shared" si="1164"/>
        <v>0</v>
      </c>
      <c r="DE141" s="123"/>
      <c r="DF141" s="23">
        <v>0</v>
      </c>
    </row>
    <row r="142" spans="1:110" s="22" customFormat="1" outlineLevel="1" x14ac:dyDescent="0.2">
      <c r="A142" s="22" t="s">
        <v>53</v>
      </c>
      <c r="B142" s="22">
        <f>+B139-B140-B141</f>
        <v>0</v>
      </c>
      <c r="C142" s="22">
        <f t="shared" ref="C142:W142" si="1165">+C139-C140-C141</f>
        <v>0</v>
      </c>
      <c r="D142" s="22">
        <f t="shared" si="1165"/>
        <v>0</v>
      </c>
      <c r="E142" s="22">
        <f t="shared" si="1165"/>
        <v>0</v>
      </c>
      <c r="F142" s="22">
        <f t="shared" si="1165"/>
        <v>0</v>
      </c>
      <c r="G142" s="22">
        <f t="shared" si="1165"/>
        <v>0</v>
      </c>
      <c r="H142" s="22">
        <f t="shared" si="1165"/>
        <v>0</v>
      </c>
      <c r="I142" s="22">
        <f t="shared" si="1165"/>
        <v>0</v>
      </c>
      <c r="J142" s="22">
        <f t="shared" si="1165"/>
        <v>0</v>
      </c>
      <c r="K142" s="22">
        <f t="shared" si="1165"/>
        <v>0</v>
      </c>
      <c r="L142" s="22">
        <f t="shared" si="1165"/>
        <v>0</v>
      </c>
      <c r="M142" s="22">
        <f t="shared" si="1165"/>
        <v>186.54000000000002</v>
      </c>
      <c r="N142" s="22">
        <f t="shared" si="1165"/>
        <v>235.55300000000003</v>
      </c>
      <c r="O142" s="22">
        <f t="shared" si="1165"/>
        <v>498.93599999999998</v>
      </c>
      <c r="P142" s="22">
        <f t="shared" si="1165"/>
        <v>801.01400000000001</v>
      </c>
      <c r="Q142" s="22">
        <f t="shared" si="1165"/>
        <v>1021.027</v>
      </c>
      <c r="R142" s="22">
        <f t="shared" si="1165"/>
        <v>1220.1959999999999</v>
      </c>
      <c r="S142" s="22">
        <f t="shared" si="1165"/>
        <v>1471.056</v>
      </c>
      <c r="T142" s="22">
        <f t="shared" si="1165"/>
        <v>1619.33</v>
      </c>
      <c r="U142" s="22">
        <f t="shared" si="1165"/>
        <v>1716.6000000000004</v>
      </c>
      <c r="V142" s="22">
        <f t="shared" si="1165"/>
        <v>1924.3199999999997</v>
      </c>
      <c r="W142" s="22">
        <f t="shared" si="1165"/>
        <v>2406.1699999999996</v>
      </c>
      <c r="X142" s="22">
        <f t="shared" ref="X142:Y142" si="1166">+X139-X140-X141</f>
        <v>3162.3199999999997</v>
      </c>
      <c r="Y142" s="22">
        <f t="shared" si="1166"/>
        <v>3643.7099999999996</v>
      </c>
      <c r="Z142" s="22">
        <f t="shared" ref="Z142:AE142" si="1167">+Z139-Z140-Z141</f>
        <v>3876.9199999999996</v>
      </c>
      <c r="AA142" s="22">
        <f t="shared" ref="AA142" si="1168">+AA139-AA140-AA141</f>
        <v>4124.34</v>
      </c>
      <c r="AB142" s="21">
        <f t="shared" si="1167"/>
        <v>4163.710547812786</v>
      </c>
      <c r="AC142" s="21">
        <f t="shared" si="1167"/>
        <v>4401.5920863263054</v>
      </c>
      <c r="AD142" s="21">
        <f t="shared" si="1167"/>
        <v>4609.573240511927</v>
      </c>
      <c r="AE142" s="21">
        <f t="shared" si="1167"/>
        <v>4791.4123221265972</v>
      </c>
      <c r="AJ142" s="22">
        <f t="shared" ref="AJ142:AL142" si="1169">+AJ139-AJ140-AJ141</f>
        <v>0</v>
      </c>
      <c r="AK142" s="22">
        <f t="shared" ref="AK142:CE142" si="1170">+AJ142</f>
        <v>0</v>
      </c>
      <c r="AL142" s="22">
        <f t="shared" si="1169"/>
        <v>0</v>
      </c>
      <c r="AM142" s="22">
        <f t="shared" si="1170"/>
        <v>0</v>
      </c>
      <c r="AN142" s="22">
        <f t="shared" ref="AN142" si="1171">+AN139-AN140-AN141</f>
        <v>0</v>
      </c>
      <c r="AO142" s="22">
        <f t="shared" si="1170"/>
        <v>0</v>
      </c>
      <c r="AP142" s="22">
        <f t="shared" ref="AP142:CD142" si="1172">+AP139-AP140-AP141</f>
        <v>0</v>
      </c>
      <c r="AQ142" s="22">
        <f t="shared" si="1170"/>
        <v>0</v>
      </c>
      <c r="AR142" s="22">
        <f t="shared" si="1172"/>
        <v>0</v>
      </c>
      <c r="AS142" s="22">
        <f t="shared" si="1170"/>
        <v>0</v>
      </c>
      <c r="AT142" s="22">
        <f t="shared" si="1172"/>
        <v>0</v>
      </c>
      <c r="AU142" s="22">
        <f t="shared" si="1170"/>
        <v>0</v>
      </c>
      <c r="AV142" s="22">
        <f t="shared" si="1172"/>
        <v>0</v>
      </c>
      <c r="AW142" s="22">
        <f t="shared" si="1170"/>
        <v>0</v>
      </c>
      <c r="AX142" s="22">
        <f t="shared" si="1172"/>
        <v>1021.027</v>
      </c>
      <c r="AY142" s="22">
        <f t="shared" si="1170"/>
        <v>1021.027</v>
      </c>
      <c r="AZ142" s="22">
        <f t="shared" si="1172"/>
        <v>0</v>
      </c>
      <c r="BA142" s="22">
        <f t="shared" si="1170"/>
        <v>0</v>
      </c>
      <c r="BB142" s="22">
        <f t="shared" si="1172"/>
        <v>1220.1959999999999</v>
      </c>
      <c r="BC142" s="22">
        <f t="shared" si="1170"/>
        <v>1220.1959999999999</v>
      </c>
      <c r="BD142" s="22">
        <f t="shared" si="1172"/>
        <v>1175.701</v>
      </c>
      <c r="BE142" s="22">
        <f t="shared" si="1170"/>
        <v>1175.701</v>
      </c>
      <c r="BF142" s="22">
        <f t="shared" si="1172"/>
        <v>1471.056</v>
      </c>
      <c r="BG142" s="22">
        <f t="shared" si="1170"/>
        <v>1471.056</v>
      </c>
      <c r="BH142" s="22">
        <f t="shared" si="1172"/>
        <v>1586.415</v>
      </c>
      <c r="BI142" s="22">
        <f t="shared" si="1170"/>
        <v>1586.415</v>
      </c>
      <c r="BJ142" s="22">
        <f t="shared" si="1172"/>
        <v>1619.33</v>
      </c>
      <c r="BK142" s="22">
        <f t="shared" si="1170"/>
        <v>1619.33</v>
      </c>
      <c r="BL142" s="22">
        <f t="shared" si="1172"/>
        <v>1618.0129999999999</v>
      </c>
      <c r="BM142" s="22">
        <f t="shared" si="1170"/>
        <v>1618.0129999999999</v>
      </c>
      <c r="BN142" s="22">
        <f t="shared" si="1172"/>
        <v>1673.71</v>
      </c>
      <c r="BO142" s="22">
        <f t="shared" si="1170"/>
        <v>1673.71</v>
      </c>
      <c r="BP142" s="22">
        <f t="shared" si="1172"/>
        <v>1677.67</v>
      </c>
      <c r="BQ142" s="22">
        <f t="shared" si="1170"/>
        <v>1677.67</v>
      </c>
      <c r="BR142" s="22">
        <f t="shared" si="1172"/>
        <v>1869.16</v>
      </c>
      <c r="BS142" s="22">
        <f t="shared" si="1170"/>
        <v>1869.16</v>
      </c>
      <c r="BT142" s="22">
        <f t="shared" si="1172"/>
        <v>2080.6799999999998</v>
      </c>
      <c r="BU142" s="22">
        <f t="shared" si="1170"/>
        <v>2080.6799999999998</v>
      </c>
      <c r="BV142" s="22">
        <f t="shared" si="1172"/>
        <v>2268.12</v>
      </c>
      <c r="BW142" s="22">
        <f t="shared" si="1170"/>
        <v>2268.12</v>
      </c>
      <c r="BX142" s="22">
        <f t="shared" si="1172"/>
        <v>2848.31</v>
      </c>
      <c r="BY142" s="22">
        <f t="shared" si="1170"/>
        <v>2848.31</v>
      </c>
      <c r="BZ142" s="22">
        <f t="shared" si="1172"/>
        <v>3028.89</v>
      </c>
      <c r="CA142" s="22">
        <f t="shared" si="1170"/>
        <v>3028.89</v>
      </c>
      <c r="CB142" s="22">
        <f t="shared" si="1172"/>
        <v>3327.78</v>
      </c>
      <c r="CC142" s="22">
        <f t="shared" si="1170"/>
        <v>3327.78</v>
      </c>
      <c r="CD142" s="22">
        <f t="shared" si="1172"/>
        <v>3465.39</v>
      </c>
      <c r="CE142" s="22">
        <f t="shared" si="1170"/>
        <v>3465.39</v>
      </c>
      <c r="CF142" s="22">
        <f t="shared" ref="CF142:CI142" si="1173">+CF139-CF140-CF141</f>
        <v>3418.21</v>
      </c>
      <c r="CG142" s="22">
        <f t="shared" ref="CG142:CI145" si="1174">+CF142</f>
        <v>3418.21</v>
      </c>
      <c r="CH142" s="22">
        <f t="shared" si="1173"/>
        <v>3876.9199999999996</v>
      </c>
      <c r="CI142" s="22">
        <f t="shared" si="1173"/>
        <v>3760.0799999999995</v>
      </c>
      <c r="CJ142" s="23">
        <f>+'QTR Raw'!BD68</f>
        <v>3817.96</v>
      </c>
      <c r="CK142" s="23">
        <f t="shared" ref="CK142:DB142" si="1175">+CK139-CK140-CK141</f>
        <v>3697.3399999999997</v>
      </c>
      <c r="CL142" s="23">
        <f>+'QTR Raw'!BF68</f>
        <v>3891.63</v>
      </c>
      <c r="CM142" s="21">
        <f t="shared" si="1175"/>
        <v>3963.1138172848591</v>
      </c>
      <c r="CN142" s="21">
        <f t="shared" si="1175"/>
        <v>4032.2369714739571</v>
      </c>
      <c r="CO142" s="21">
        <f t="shared" si="1175"/>
        <v>4099.077420494883</v>
      </c>
      <c r="CP142" s="21">
        <f t="shared" si="1175"/>
        <v>4163.710547812786</v>
      </c>
      <c r="CQ142" s="21">
        <f t="shared" si="1175"/>
        <v>4226.2092474487563</v>
      </c>
      <c r="CR142" s="21">
        <f t="shared" si="1175"/>
        <v>4286.6440061905832</v>
      </c>
      <c r="CS142" s="21">
        <f t="shared" si="1175"/>
        <v>4345.082983088605</v>
      </c>
      <c r="CT142" s="21">
        <f t="shared" si="1175"/>
        <v>4401.5920863263054</v>
      </c>
      <c r="CU142" s="21">
        <f t="shared" si="1175"/>
        <v>4456.2350475523654</v>
      </c>
      <c r="CV142" s="21">
        <f t="shared" si="1175"/>
        <v>4509.0734937579773</v>
      </c>
      <c r="CW142" s="21">
        <f t="shared" si="1175"/>
        <v>4560.167016780515</v>
      </c>
      <c r="CX142" s="21">
        <f t="shared" si="1175"/>
        <v>4609.573240511927</v>
      </c>
      <c r="CY142" s="21">
        <f t="shared" si="1175"/>
        <v>4657.3478858876551</v>
      </c>
      <c r="CZ142" s="21">
        <f t="shared" si="1175"/>
        <v>4703.5448337293783</v>
      </c>
      <c r="DA142" s="21">
        <f t="shared" si="1175"/>
        <v>4748.2161855124559</v>
      </c>
      <c r="DB142" s="21">
        <f t="shared" si="1175"/>
        <v>4791.4123221265972</v>
      </c>
      <c r="DE142" s="126"/>
      <c r="DF142" s="22">
        <v>3891.63</v>
      </c>
    </row>
    <row r="143" spans="1:110" s="23" customFormat="1" outlineLevel="1" x14ac:dyDescent="0.2">
      <c r="A143" s="23" t="s">
        <v>54</v>
      </c>
      <c r="B143" s="23">
        <f>'Annual Raw'!C86</f>
        <v>0</v>
      </c>
      <c r="C143" s="23">
        <f>'Annual Raw'!D86</f>
        <v>0</v>
      </c>
      <c r="D143" s="23">
        <f>'Annual Raw'!E86</f>
        <v>0</v>
      </c>
      <c r="E143" s="23">
        <f>'Annual Raw'!F86</f>
        <v>0</v>
      </c>
      <c r="F143" s="23">
        <f>'Annual Raw'!G86</f>
        <v>0</v>
      </c>
      <c r="G143" s="23">
        <f>'Annual Raw'!H86</f>
        <v>0</v>
      </c>
      <c r="H143" s="23">
        <f>'Annual Raw'!I86</f>
        <v>0</v>
      </c>
      <c r="I143" s="23">
        <f>'Annual Raw'!J86</f>
        <v>0</v>
      </c>
      <c r="J143" s="23">
        <f>'Annual Raw'!K86</f>
        <v>0</v>
      </c>
      <c r="K143" s="23">
        <f>'Annual Raw'!L86</f>
        <v>0</v>
      </c>
      <c r="L143" s="23">
        <f>'Annual Raw'!M86</f>
        <v>0</v>
      </c>
      <c r="M143" s="23">
        <f>'Annual Raw'!N86</f>
        <v>0</v>
      </c>
      <c r="N143" s="23">
        <f>'Annual Raw'!O86</f>
        <v>0</v>
      </c>
      <c r="O143" s="23">
        <f>'Annual Raw'!P86</f>
        <v>0.33900000000000002</v>
      </c>
      <c r="P143" s="23">
        <f>'Annual Raw'!Q86</f>
        <v>0</v>
      </c>
      <c r="Q143" s="23">
        <f>'Annual Raw'!R86</f>
        <v>0</v>
      </c>
      <c r="R143" s="23">
        <f>'Annual Raw'!S86</f>
        <v>9.7390000000000008</v>
      </c>
      <c r="S143" s="23">
        <f>'Annual Raw'!T86</f>
        <v>9.7390000000000008</v>
      </c>
      <c r="T143" s="23">
        <f>'Annual Raw'!U86</f>
        <v>9.7390000000000008</v>
      </c>
      <c r="U143" s="23">
        <f>'Annual Raw'!V86</f>
        <v>9.74</v>
      </c>
      <c r="V143" s="23">
        <f>'Annual Raw'!W86</f>
        <v>246.3</v>
      </c>
      <c r="W143" s="23">
        <f>'Annual Raw'!X86</f>
        <v>246.3</v>
      </c>
      <c r="X143" s="23">
        <f>'Annual Raw'!Y86</f>
        <v>246.3</v>
      </c>
      <c r="Y143" s="23">
        <f>'Annual Raw'!Z86</f>
        <v>246.3</v>
      </c>
      <c r="Z143" s="23">
        <f>'Annual Raw'!AA86</f>
        <v>246.3</v>
      </c>
      <c r="AA143" s="23">
        <f>'Annual Raw'!AB86</f>
        <v>246.3</v>
      </c>
      <c r="AB143" s="24">
        <f t="shared" si="1157"/>
        <v>246.3</v>
      </c>
      <c r="AC143" s="24">
        <f t="shared" si="1158"/>
        <v>246.3</v>
      </c>
      <c r="AD143" s="24">
        <f t="shared" si="1159"/>
        <v>246.3</v>
      </c>
      <c r="AE143" s="24">
        <f t="shared" si="1160"/>
        <v>246.3</v>
      </c>
      <c r="AJ143" s="23">
        <f>+'QTR Raw'!D72</f>
        <v>0</v>
      </c>
      <c r="AK143" s="23">
        <f>+AJ143</f>
        <v>0</v>
      </c>
      <c r="AL143" s="23">
        <f>+'QTR Raw'!F72</f>
        <v>0</v>
      </c>
      <c r="AM143" s="23">
        <f t="shared" ref="AK143:CE145" si="1176">+AL143</f>
        <v>0</v>
      </c>
      <c r="AN143" s="23">
        <f>+'QTR Raw'!H72</f>
        <v>0</v>
      </c>
      <c r="AO143" s="23">
        <f t="shared" si="1176"/>
        <v>0</v>
      </c>
      <c r="AP143" s="23">
        <f>+'QTR Raw'!J72</f>
        <v>0</v>
      </c>
      <c r="AQ143" s="23">
        <f t="shared" si="1176"/>
        <v>0</v>
      </c>
      <c r="AR143" s="23">
        <f>+'QTR Raw'!L72</f>
        <v>0</v>
      </c>
      <c r="AS143" s="23">
        <f t="shared" si="1176"/>
        <v>0</v>
      </c>
      <c r="AT143" s="23">
        <f>+'QTR Raw'!N72</f>
        <v>0</v>
      </c>
      <c r="AU143" s="23">
        <f t="shared" si="1176"/>
        <v>0</v>
      </c>
      <c r="AV143" s="23">
        <f>+'QTR Raw'!P72</f>
        <v>0</v>
      </c>
      <c r="AW143" s="23">
        <f t="shared" si="1176"/>
        <v>0</v>
      </c>
      <c r="AX143" s="23">
        <f>+'QTR Raw'!R72</f>
        <v>0</v>
      </c>
      <c r="AY143" s="23">
        <f t="shared" si="1176"/>
        <v>0</v>
      </c>
      <c r="AZ143" s="23">
        <f>+'QTR Raw'!T72</f>
        <v>0</v>
      </c>
      <c r="BA143" s="23">
        <f t="shared" si="1176"/>
        <v>0</v>
      </c>
      <c r="BB143" s="23">
        <f>+'QTR Raw'!V72</f>
        <v>9.7390000000000008</v>
      </c>
      <c r="BC143" s="23">
        <f t="shared" si="1176"/>
        <v>9.7390000000000008</v>
      </c>
      <c r="BD143" s="23">
        <f>+'QTR Raw'!X72</f>
        <v>9.7390000000000008</v>
      </c>
      <c r="BE143" s="23">
        <f t="shared" si="1176"/>
        <v>9.7390000000000008</v>
      </c>
      <c r="BF143" s="23">
        <f>+'QTR Raw'!Z72</f>
        <v>9.7390000000000008</v>
      </c>
      <c r="BG143" s="23">
        <f t="shared" si="1176"/>
        <v>9.7390000000000008</v>
      </c>
      <c r="BH143" s="23">
        <f>+'QTR Raw'!AB72</f>
        <v>9.7390000000000008</v>
      </c>
      <c r="BI143" s="23">
        <f t="shared" si="1176"/>
        <v>9.7390000000000008</v>
      </c>
      <c r="BJ143" s="23">
        <f>+'QTR Raw'!AD72</f>
        <v>9.7390000000000008</v>
      </c>
      <c r="BK143" s="23">
        <f t="shared" si="1176"/>
        <v>9.7390000000000008</v>
      </c>
      <c r="BL143" s="23">
        <f>+'QTR Raw'!AF72</f>
        <v>9.7390000000000008</v>
      </c>
      <c r="BM143" s="23">
        <f t="shared" si="1176"/>
        <v>9.7390000000000008</v>
      </c>
      <c r="BN143" s="23">
        <f>+'QTR Raw'!AH72</f>
        <v>9.74</v>
      </c>
      <c r="BO143" s="23">
        <f t="shared" si="1176"/>
        <v>9.74</v>
      </c>
      <c r="BP143" s="23">
        <f>+'QTR Raw'!AJ72</f>
        <v>9.74</v>
      </c>
      <c r="BQ143" s="23">
        <f t="shared" si="1176"/>
        <v>9.74</v>
      </c>
      <c r="BR143" s="23">
        <f>+'QTR Raw'!AL72</f>
        <v>246.3</v>
      </c>
      <c r="BS143" s="23">
        <f t="shared" si="1176"/>
        <v>246.3</v>
      </c>
      <c r="BT143" s="23">
        <f>+'QTR Raw'!AN72</f>
        <v>246.3</v>
      </c>
      <c r="BU143" s="23">
        <f t="shared" si="1176"/>
        <v>246.3</v>
      </c>
      <c r="BV143" s="23">
        <f>+'QTR Raw'!AP72</f>
        <v>246.3</v>
      </c>
      <c r="BW143" s="23">
        <f t="shared" si="1176"/>
        <v>246.3</v>
      </c>
      <c r="BX143" s="23">
        <f>+'QTR Raw'!AR72</f>
        <v>246.3</v>
      </c>
      <c r="BY143" s="23">
        <f t="shared" si="1176"/>
        <v>246.3</v>
      </c>
      <c r="BZ143" s="23">
        <f>+'QTR Raw'!AT72</f>
        <v>246.3</v>
      </c>
      <c r="CA143" s="23">
        <f t="shared" si="1176"/>
        <v>246.3</v>
      </c>
      <c r="CB143" s="23">
        <f>+'QTR Raw'!AV72</f>
        <v>246.3</v>
      </c>
      <c r="CC143" s="23">
        <f t="shared" si="1176"/>
        <v>246.3</v>
      </c>
      <c r="CD143" s="23">
        <f>+'QTR Raw'!AX72</f>
        <v>246.3</v>
      </c>
      <c r="CE143" s="23">
        <f t="shared" si="1176"/>
        <v>246.3</v>
      </c>
      <c r="CF143" s="23">
        <f>+'QTR Raw'!AZ72</f>
        <v>246.3</v>
      </c>
      <c r="CG143" s="23">
        <f t="shared" si="1174"/>
        <v>246.3</v>
      </c>
      <c r="CH143" s="23">
        <f t="shared" si="1161"/>
        <v>246.3</v>
      </c>
      <c r="CI143" s="23">
        <f t="shared" si="1174"/>
        <v>246.3</v>
      </c>
      <c r="CJ143" s="23">
        <f>+'QTR Raw'!BD72</f>
        <v>246.3</v>
      </c>
      <c r="CK143" s="23">
        <f t="shared" ref="CK143:CK145" si="1177">+CJ143</f>
        <v>246.3</v>
      </c>
      <c r="CL143" s="23">
        <f>+'QTR Raw'!BF72</f>
        <v>246.3</v>
      </c>
      <c r="CM143" s="24">
        <f t="shared" ref="CM143:CM145" si="1178">+CL143</f>
        <v>246.3</v>
      </c>
      <c r="CN143" s="24">
        <f t="shared" ref="CN143:CN145" si="1179">+CM143</f>
        <v>246.3</v>
      </c>
      <c r="CO143" s="24">
        <f t="shared" ref="CO143:CO145" si="1180">+CN143</f>
        <v>246.3</v>
      </c>
      <c r="CP143" s="24">
        <f t="shared" ref="CP143:CP145" si="1181">+CO143</f>
        <v>246.3</v>
      </c>
      <c r="CQ143" s="24">
        <f t="shared" ref="CQ143:CQ145" si="1182">+CP143</f>
        <v>246.3</v>
      </c>
      <c r="CR143" s="24">
        <f t="shared" ref="CR143:CR145" si="1183">+CQ143</f>
        <v>246.3</v>
      </c>
      <c r="CS143" s="24">
        <f t="shared" ref="CS143:CS145" si="1184">+CR143</f>
        <v>246.3</v>
      </c>
      <c r="CT143" s="24">
        <f t="shared" ref="CT143:CT145" si="1185">+CS143</f>
        <v>246.3</v>
      </c>
      <c r="CU143" s="24">
        <f t="shared" ref="CU143:CU145" si="1186">+CT143</f>
        <v>246.3</v>
      </c>
      <c r="CV143" s="24">
        <f t="shared" ref="CV143:CV145" si="1187">+CU143</f>
        <v>246.3</v>
      </c>
      <c r="CW143" s="24">
        <f t="shared" ref="CW143:CW145" si="1188">+CV143</f>
        <v>246.3</v>
      </c>
      <c r="CX143" s="24">
        <f t="shared" ref="CX143:CX145" si="1189">+CW143</f>
        <v>246.3</v>
      </c>
      <c r="CY143" s="24">
        <f t="shared" ref="CY143:CY145" si="1190">+CX143</f>
        <v>246.3</v>
      </c>
      <c r="CZ143" s="24">
        <f t="shared" ref="CZ143:CZ145" si="1191">+CY143</f>
        <v>246.3</v>
      </c>
      <c r="DA143" s="24">
        <f t="shared" ref="DA143:DA145" si="1192">+CZ143</f>
        <v>246.3</v>
      </c>
      <c r="DB143" s="24">
        <f t="shared" ref="DB143:DB145" si="1193">+DA143</f>
        <v>246.3</v>
      </c>
      <c r="DE143" s="123"/>
      <c r="DF143" s="23">
        <v>246.3</v>
      </c>
    </row>
    <row r="144" spans="1:110" s="23" customFormat="1" outlineLevel="1" x14ac:dyDescent="0.2">
      <c r="A144" s="23" t="s">
        <v>55</v>
      </c>
      <c r="B144" s="23">
        <f>'Annual Raw'!C68</f>
        <v>0</v>
      </c>
      <c r="C144" s="23">
        <f>'Annual Raw'!D68</f>
        <v>0</v>
      </c>
      <c r="D144" s="23">
        <f>'Annual Raw'!E68</f>
        <v>0</v>
      </c>
      <c r="E144" s="23">
        <f>'Annual Raw'!F68</f>
        <v>0</v>
      </c>
      <c r="F144" s="23">
        <f>'Annual Raw'!G68</f>
        <v>0</v>
      </c>
      <c r="G144" s="23">
        <f>'Annual Raw'!H68</f>
        <v>0</v>
      </c>
      <c r="H144" s="23">
        <f>'Annual Raw'!I68</f>
        <v>0</v>
      </c>
      <c r="I144" s="23">
        <f>'Annual Raw'!J68</f>
        <v>0</v>
      </c>
      <c r="J144" s="23">
        <f>'Annual Raw'!K68</f>
        <v>0</v>
      </c>
      <c r="K144" s="23">
        <f>'Annual Raw'!L68</f>
        <v>0</v>
      </c>
      <c r="L144" s="23">
        <f>'Annual Raw'!M68</f>
        <v>0</v>
      </c>
      <c r="M144" s="23">
        <f>'Annual Raw'!N68</f>
        <v>0</v>
      </c>
      <c r="N144" s="23">
        <f>'Annual Raw'!O68</f>
        <v>0</v>
      </c>
      <c r="O144" s="23">
        <f>'Annual Raw'!P68</f>
        <v>0</v>
      </c>
      <c r="P144" s="23">
        <f>'Annual Raw'!Q68</f>
        <v>0</v>
      </c>
      <c r="Q144" s="23">
        <f>'Annual Raw'!R68</f>
        <v>0</v>
      </c>
      <c r="R144" s="23">
        <f>'Annual Raw'!S68</f>
        <v>0</v>
      </c>
      <c r="S144" s="23">
        <f>'Annual Raw'!T68</f>
        <v>0</v>
      </c>
      <c r="T144" s="23">
        <f>'Annual Raw'!U68</f>
        <v>0</v>
      </c>
      <c r="U144" s="23">
        <f>'Annual Raw'!V68</f>
        <v>0</v>
      </c>
      <c r="V144" s="23">
        <f>'Annual Raw'!W68</f>
        <v>0</v>
      </c>
      <c r="W144" s="23">
        <f>'Annual Raw'!X68</f>
        <v>0</v>
      </c>
      <c r="X144" s="23">
        <f>'Annual Raw'!Y68</f>
        <v>0</v>
      </c>
      <c r="Y144" s="23">
        <f>'Annual Raw'!Z68</f>
        <v>0</v>
      </c>
      <c r="Z144" s="23">
        <f>'Annual Raw'!AA68</f>
        <v>0</v>
      </c>
      <c r="AA144" s="23">
        <f>'Annual Raw'!AB68</f>
        <v>0</v>
      </c>
      <c r="AB144" s="24">
        <f t="shared" si="1157"/>
        <v>0</v>
      </c>
      <c r="AC144" s="24">
        <f t="shared" si="1158"/>
        <v>0</v>
      </c>
      <c r="AD144" s="24">
        <f t="shared" si="1159"/>
        <v>0</v>
      </c>
      <c r="AE144" s="24">
        <f t="shared" si="1160"/>
        <v>0</v>
      </c>
      <c r="AK144" s="23">
        <f t="shared" si="1176"/>
        <v>0</v>
      </c>
      <c r="AM144" s="23">
        <f t="shared" si="1176"/>
        <v>0</v>
      </c>
      <c r="AO144" s="23">
        <f t="shared" si="1176"/>
        <v>0</v>
      </c>
      <c r="AQ144" s="23">
        <f t="shared" si="1176"/>
        <v>0</v>
      </c>
      <c r="AS144" s="23">
        <f t="shared" si="1176"/>
        <v>0</v>
      </c>
      <c r="AU144" s="23">
        <f t="shared" si="1176"/>
        <v>0</v>
      </c>
      <c r="AW144" s="23">
        <f t="shared" si="1176"/>
        <v>0</v>
      </c>
      <c r="AY144" s="23">
        <f t="shared" si="1176"/>
        <v>0</v>
      </c>
      <c r="BA144" s="23">
        <f t="shared" si="1176"/>
        <v>0</v>
      </c>
      <c r="BC144" s="23">
        <f t="shared" si="1176"/>
        <v>0</v>
      </c>
      <c r="BE144" s="23">
        <f t="shared" si="1176"/>
        <v>0</v>
      </c>
      <c r="BG144" s="23">
        <f t="shared" si="1176"/>
        <v>0</v>
      </c>
      <c r="BI144" s="23">
        <f t="shared" si="1176"/>
        <v>0</v>
      </c>
      <c r="BK144" s="23">
        <f t="shared" si="1176"/>
        <v>0</v>
      </c>
      <c r="BM144" s="23">
        <f t="shared" si="1176"/>
        <v>0</v>
      </c>
      <c r="BO144" s="23">
        <f t="shared" si="1176"/>
        <v>0</v>
      </c>
      <c r="BQ144" s="23">
        <f t="shared" si="1176"/>
        <v>0</v>
      </c>
      <c r="BS144" s="23">
        <f t="shared" si="1176"/>
        <v>0</v>
      </c>
      <c r="BU144" s="23">
        <f t="shared" si="1176"/>
        <v>0</v>
      </c>
      <c r="BW144" s="23">
        <f t="shared" si="1176"/>
        <v>0</v>
      </c>
      <c r="BY144" s="23">
        <f t="shared" si="1176"/>
        <v>0</v>
      </c>
      <c r="CA144" s="23">
        <f t="shared" si="1176"/>
        <v>0</v>
      </c>
      <c r="CC144" s="23">
        <f t="shared" si="1176"/>
        <v>0</v>
      </c>
      <c r="CE144" s="23">
        <f t="shared" si="1176"/>
        <v>0</v>
      </c>
      <c r="CG144" s="23">
        <f t="shared" si="1174"/>
        <v>0</v>
      </c>
      <c r="CH144" s="23">
        <f t="shared" si="1161"/>
        <v>0</v>
      </c>
      <c r="CI144" s="23">
        <f t="shared" si="1174"/>
        <v>0</v>
      </c>
      <c r="CK144" s="23">
        <f t="shared" si="1177"/>
        <v>0</v>
      </c>
      <c r="CM144" s="24">
        <f t="shared" si="1178"/>
        <v>0</v>
      </c>
      <c r="CN144" s="24">
        <f t="shared" si="1179"/>
        <v>0</v>
      </c>
      <c r="CO144" s="24">
        <f t="shared" si="1180"/>
        <v>0</v>
      </c>
      <c r="CP144" s="24">
        <f t="shared" si="1181"/>
        <v>0</v>
      </c>
      <c r="CQ144" s="24">
        <f t="shared" si="1182"/>
        <v>0</v>
      </c>
      <c r="CR144" s="24">
        <f t="shared" si="1183"/>
        <v>0</v>
      </c>
      <c r="CS144" s="24">
        <f t="shared" si="1184"/>
        <v>0</v>
      </c>
      <c r="CT144" s="24">
        <f t="shared" si="1185"/>
        <v>0</v>
      </c>
      <c r="CU144" s="24">
        <f t="shared" si="1186"/>
        <v>0</v>
      </c>
      <c r="CV144" s="24">
        <f t="shared" si="1187"/>
        <v>0</v>
      </c>
      <c r="CW144" s="24">
        <f t="shared" si="1188"/>
        <v>0</v>
      </c>
      <c r="CX144" s="24">
        <f t="shared" si="1189"/>
        <v>0</v>
      </c>
      <c r="CY144" s="24">
        <f t="shared" si="1190"/>
        <v>0</v>
      </c>
      <c r="CZ144" s="24">
        <f t="shared" si="1191"/>
        <v>0</v>
      </c>
      <c r="DA144" s="24">
        <f t="shared" si="1192"/>
        <v>0</v>
      </c>
      <c r="DB144" s="24">
        <f t="shared" si="1193"/>
        <v>0</v>
      </c>
      <c r="DE144" s="123"/>
      <c r="DF144" s="23">
        <v>0</v>
      </c>
    </row>
    <row r="145" spans="1:110" s="23" customFormat="1" outlineLevel="1" x14ac:dyDescent="0.2">
      <c r="A145" s="23" t="s">
        <v>56</v>
      </c>
      <c r="B145" s="23">
        <f>'Annual Raw'!C67+'Annual Raw'!C66+'Annual Raw'!C69+'Annual Raw'!C70</f>
        <v>0</v>
      </c>
      <c r="C145" s="23">
        <f>'Annual Raw'!D67+'Annual Raw'!D66+'Annual Raw'!D69+'Annual Raw'!D70</f>
        <v>0</v>
      </c>
      <c r="D145" s="23">
        <f>'Annual Raw'!E67+'Annual Raw'!E66+'Annual Raw'!E69+'Annual Raw'!E70</f>
        <v>0</v>
      </c>
      <c r="E145" s="23">
        <f>'Annual Raw'!F67+'Annual Raw'!F66+'Annual Raw'!F69+'Annual Raw'!F70</f>
        <v>0</v>
      </c>
      <c r="F145" s="23">
        <f>'Annual Raw'!G67+'Annual Raw'!G66+'Annual Raw'!G69+'Annual Raw'!G70</f>
        <v>0</v>
      </c>
      <c r="G145" s="23">
        <f>'Annual Raw'!H67+'Annual Raw'!H66+'Annual Raw'!H69+'Annual Raw'!H70</f>
        <v>0</v>
      </c>
      <c r="H145" s="23">
        <f>'Annual Raw'!I67+'Annual Raw'!I66+'Annual Raw'!I69+'Annual Raw'!I70</f>
        <v>0</v>
      </c>
      <c r="I145" s="23">
        <f>'Annual Raw'!J67+'Annual Raw'!J66+'Annual Raw'!J69+'Annual Raw'!J70</f>
        <v>0</v>
      </c>
      <c r="J145" s="23">
        <f>'Annual Raw'!K67+'Annual Raw'!K66+'Annual Raw'!K69+'Annual Raw'!K70</f>
        <v>0</v>
      </c>
      <c r="K145" s="23">
        <f>'Annual Raw'!L67+'Annual Raw'!L66+'Annual Raw'!L69+'Annual Raw'!L70</f>
        <v>0</v>
      </c>
      <c r="L145" s="23">
        <f>'Annual Raw'!M67+'Annual Raw'!M66+'Annual Raw'!M69+'Annual Raw'!M70</f>
        <v>0</v>
      </c>
      <c r="M145" s="23">
        <f>'Annual Raw'!N67+'Annual Raw'!N66+'Annual Raw'!N69+'Annual Raw'!N70</f>
        <v>32.115000000000002</v>
      </c>
      <c r="N145" s="23">
        <f>'Annual Raw'!O67+'Annual Raw'!O66+'Annual Raw'!O69+'Annual Raw'!O70</f>
        <v>72.781000000000006</v>
      </c>
      <c r="O145" s="23">
        <f>'Annual Raw'!P67+'Annual Raw'!P66+'Annual Raw'!P69+'Annual Raw'!P70</f>
        <v>116.099</v>
      </c>
      <c r="P145" s="23">
        <f>'Annual Raw'!Q67+'Annual Raw'!Q66+'Annual Raw'!Q69+'Annual Raw'!Q70</f>
        <v>109.669</v>
      </c>
      <c r="Q145" s="23">
        <f>'Annual Raw'!R67+'Annual Raw'!R66+'Annual Raw'!R69+'Annual Raw'!R70</f>
        <v>69.599999999999994</v>
      </c>
      <c r="R145" s="23">
        <f>'Annual Raw'!S67+'Annual Raw'!S66+'Annual Raw'!S69+'Annual Raw'!S70</f>
        <v>143.256</v>
      </c>
      <c r="S145" s="23">
        <f>'Annual Raw'!T67+'Annual Raw'!T66+'Annual Raw'!T69+'Annual Raw'!T70</f>
        <v>163.18</v>
      </c>
      <c r="T145" s="23">
        <f>'Annual Raw'!U67+'Annual Raw'!U66+'Annual Raw'!U69+'Annual Raw'!U70</f>
        <v>109.63200000000001</v>
      </c>
      <c r="U145" s="23">
        <f>'Annual Raw'!V67+'Annual Raw'!V66+'Annual Raw'!V69+'Annual Raw'!V70</f>
        <v>67.180000000000007</v>
      </c>
      <c r="V145" s="23">
        <f>'Annual Raw'!W67+'Annual Raw'!W66+'Annual Raw'!W69+'Annual Raw'!W70</f>
        <v>362.17</v>
      </c>
      <c r="W145" s="23">
        <f>'Annual Raw'!X67+'Annual Raw'!X66+'Annual Raw'!X69+'Annual Raw'!X70</f>
        <v>813.22</v>
      </c>
      <c r="X145" s="23">
        <f>'Annual Raw'!Y67+'Annual Raw'!Y66+'Annual Raw'!Y69+'Annual Raw'!Y70</f>
        <v>550.78</v>
      </c>
      <c r="Y145" s="23">
        <f>'Annual Raw'!Z67+'Annual Raw'!Z66+'Annual Raw'!Z69+'Annual Raw'!Z70</f>
        <v>422.84</v>
      </c>
      <c r="Z145" s="23">
        <f>'Annual Raw'!AA67+'Annual Raw'!AA66+'Annual Raw'!AA69+'Annual Raw'!AA70</f>
        <v>458.36</v>
      </c>
      <c r="AA145" s="23">
        <f>'Annual Raw'!AB67+'Annual Raw'!AB66+'Annual Raw'!AB69+'Annual Raw'!AB70</f>
        <v>773.28</v>
      </c>
      <c r="AB145" s="24">
        <f t="shared" si="1157"/>
        <v>773.28</v>
      </c>
      <c r="AC145" s="24">
        <f t="shared" si="1158"/>
        <v>773.28</v>
      </c>
      <c r="AD145" s="24">
        <f t="shared" si="1159"/>
        <v>773.28</v>
      </c>
      <c r="AE145" s="24">
        <f t="shared" si="1160"/>
        <v>773.28</v>
      </c>
      <c r="AJ145" s="23">
        <f>+'QTR Raw'!D74+'QTR Raw'!D75</f>
        <v>0</v>
      </c>
      <c r="AK145" s="23">
        <f t="shared" si="1176"/>
        <v>0</v>
      </c>
      <c r="AL145" s="23">
        <f>+'QTR Raw'!F74+'QTR Raw'!F75</f>
        <v>0</v>
      </c>
      <c r="AM145" s="23">
        <f t="shared" si="1176"/>
        <v>0</v>
      </c>
      <c r="AN145" s="23">
        <f>+'QTR Raw'!H74+'QTR Raw'!H75</f>
        <v>0</v>
      </c>
      <c r="AO145" s="23">
        <f t="shared" si="1176"/>
        <v>0</v>
      </c>
      <c r="AP145" s="23">
        <f>+'QTR Raw'!J74+'QTR Raw'!J75</f>
        <v>0</v>
      </c>
      <c r="AQ145" s="23">
        <f t="shared" si="1176"/>
        <v>0</v>
      </c>
      <c r="AR145" s="23">
        <f>+'QTR Raw'!L74+'QTR Raw'!L75</f>
        <v>0</v>
      </c>
      <c r="AS145" s="23">
        <f t="shared" si="1176"/>
        <v>0</v>
      </c>
      <c r="AT145" s="23">
        <f>+'QTR Raw'!N74+'QTR Raw'!N75</f>
        <v>0</v>
      </c>
      <c r="AU145" s="23">
        <f t="shared" si="1176"/>
        <v>0</v>
      </c>
      <c r="AV145" s="23">
        <f>+'QTR Raw'!P74+'QTR Raw'!P75</f>
        <v>0</v>
      </c>
      <c r="AW145" s="23">
        <f t="shared" si="1176"/>
        <v>0</v>
      </c>
      <c r="AX145" s="23">
        <f>+'QTR Raw'!R74+'QTR Raw'!R75</f>
        <v>69.599999999999994</v>
      </c>
      <c r="AY145" s="23">
        <f t="shared" si="1176"/>
        <v>69.599999999999994</v>
      </c>
      <c r="AZ145" s="23">
        <f>+'QTR Raw'!T74+'QTR Raw'!T75</f>
        <v>0</v>
      </c>
      <c r="BA145" s="23">
        <f t="shared" si="1176"/>
        <v>0</v>
      </c>
      <c r="BB145" s="23">
        <f>+'QTR Raw'!V74+'QTR Raw'!V75</f>
        <v>143.256</v>
      </c>
      <c r="BC145" s="23">
        <f t="shared" si="1176"/>
        <v>143.256</v>
      </c>
      <c r="BD145" s="23">
        <f>+'QTR Raw'!X74+'QTR Raw'!X75</f>
        <v>293.22399999999999</v>
      </c>
      <c r="BE145" s="23">
        <f t="shared" si="1176"/>
        <v>293.22399999999999</v>
      </c>
      <c r="BF145" s="23">
        <f>+'QTR Raw'!Z74+'QTR Raw'!Z75</f>
        <v>163.18</v>
      </c>
      <c r="BG145" s="23">
        <f t="shared" si="1176"/>
        <v>163.18</v>
      </c>
      <c r="BH145" s="23">
        <f>+'QTR Raw'!AB74+'QTR Raw'!AB75</f>
        <v>108.996</v>
      </c>
      <c r="BI145" s="23">
        <f t="shared" si="1176"/>
        <v>108.996</v>
      </c>
      <c r="BJ145" s="23">
        <f>+'QTR Raw'!AD74+'QTR Raw'!AD75</f>
        <v>109.63200000000001</v>
      </c>
      <c r="BK145" s="23">
        <f t="shared" si="1176"/>
        <v>109.63200000000001</v>
      </c>
      <c r="BL145" s="23">
        <f>+'QTR Raw'!AF74+'QTR Raw'!AF75</f>
        <v>102.824</v>
      </c>
      <c r="BM145" s="23">
        <f t="shared" si="1176"/>
        <v>102.824</v>
      </c>
      <c r="BN145" s="23">
        <f>+'QTR Raw'!AH74+'QTR Raw'!AH75</f>
        <v>67.180000000000007</v>
      </c>
      <c r="BO145" s="23">
        <f t="shared" si="1176"/>
        <v>67.180000000000007</v>
      </c>
      <c r="BP145" s="23">
        <f>+'QTR Raw'!AJ74+'QTR Raw'!AJ75</f>
        <v>204.58</v>
      </c>
      <c r="BQ145" s="23">
        <f t="shared" si="1176"/>
        <v>204.58</v>
      </c>
      <c r="BR145" s="23">
        <f>+'QTR Raw'!AL74+'QTR Raw'!AL75</f>
        <v>362.17</v>
      </c>
      <c r="BS145" s="23">
        <f t="shared" si="1176"/>
        <v>362.17</v>
      </c>
      <c r="BT145" s="23">
        <f>+'QTR Raw'!AN74+'QTR Raw'!AN75</f>
        <v>598.54999999999995</v>
      </c>
      <c r="BU145" s="23">
        <f t="shared" si="1176"/>
        <v>598.54999999999995</v>
      </c>
      <c r="BV145" s="23">
        <f>+'QTR Raw'!AP74+'QTR Raw'!AP75</f>
        <v>813.22</v>
      </c>
      <c r="BW145" s="23">
        <f t="shared" si="1176"/>
        <v>813.22</v>
      </c>
      <c r="BX145" s="23">
        <f>+'QTR Raw'!AR74+'QTR Raw'!AR75</f>
        <v>471.24</v>
      </c>
      <c r="BY145" s="23">
        <f t="shared" si="1176"/>
        <v>471.24</v>
      </c>
      <c r="BZ145" s="23">
        <f>+'QTR Raw'!AT74+'QTR Raw'!AT75</f>
        <v>550.78</v>
      </c>
      <c r="CA145" s="23">
        <f t="shared" si="1176"/>
        <v>550.78</v>
      </c>
      <c r="CB145" s="23">
        <f>+'QTR Raw'!AV74+'QTR Raw'!AV75</f>
        <v>443.51</v>
      </c>
      <c r="CC145" s="23">
        <f t="shared" si="1176"/>
        <v>443.51</v>
      </c>
      <c r="CD145" s="23">
        <f>+'QTR Raw'!AX74+'QTR Raw'!AX75</f>
        <v>422.84</v>
      </c>
      <c r="CE145" s="23">
        <f t="shared" si="1176"/>
        <v>422.84</v>
      </c>
      <c r="CF145" s="23">
        <f>+'QTR Raw'!AZ74+'QTR Raw'!AZ75</f>
        <v>521.34</v>
      </c>
      <c r="CG145" s="23">
        <f t="shared" si="1174"/>
        <v>521.34</v>
      </c>
      <c r="CH145" s="23">
        <f t="shared" si="1161"/>
        <v>458.36</v>
      </c>
      <c r="CI145" s="23">
        <f t="shared" si="1174"/>
        <v>458.36</v>
      </c>
      <c r="CJ145" s="23">
        <f>+'QTR Raw'!BD74+'QTR Raw'!BD75</f>
        <v>540.80999999999995</v>
      </c>
      <c r="CK145" s="23">
        <f t="shared" si="1177"/>
        <v>540.80999999999995</v>
      </c>
      <c r="CL145" s="23">
        <f>+'QTR Raw'!BF74+'QTR Raw'!BF75</f>
        <v>773.28</v>
      </c>
      <c r="CM145" s="24">
        <f t="shared" si="1178"/>
        <v>773.28</v>
      </c>
      <c r="CN145" s="24">
        <f t="shared" si="1179"/>
        <v>773.28</v>
      </c>
      <c r="CO145" s="24">
        <f t="shared" si="1180"/>
        <v>773.28</v>
      </c>
      <c r="CP145" s="24">
        <f t="shared" si="1181"/>
        <v>773.28</v>
      </c>
      <c r="CQ145" s="24">
        <f t="shared" si="1182"/>
        <v>773.28</v>
      </c>
      <c r="CR145" s="24">
        <f t="shared" si="1183"/>
        <v>773.28</v>
      </c>
      <c r="CS145" s="24">
        <f t="shared" si="1184"/>
        <v>773.28</v>
      </c>
      <c r="CT145" s="24">
        <f t="shared" si="1185"/>
        <v>773.28</v>
      </c>
      <c r="CU145" s="24">
        <f t="shared" si="1186"/>
        <v>773.28</v>
      </c>
      <c r="CV145" s="24">
        <f t="shared" si="1187"/>
        <v>773.28</v>
      </c>
      <c r="CW145" s="24">
        <f t="shared" si="1188"/>
        <v>773.28</v>
      </c>
      <c r="CX145" s="24">
        <f t="shared" si="1189"/>
        <v>773.28</v>
      </c>
      <c r="CY145" s="24">
        <f t="shared" si="1190"/>
        <v>773.28</v>
      </c>
      <c r="CZ145" s="24">
        <f t="shared" si="1191"/>
        <v>773.28</v>
      </c>
      <c r="DA145" s="24">
        <f t="shared" si="1192"/>
        <v>773.28</v>
      </c>
      <c r="DB145" s="24">
        <f t="shared" si="1193"/>
        <v>773.28</v>
      </c>
      <c r="DE145" s="123"/>
      <c r="DF145" s="23">
        <v>773.28</v>
      </c>
    </row>
    <row r="146" spans="1:110" s="22" customFormat="1" x14ac:dyDescent="0.2">
      <c r="A146" s="22" t="s">
        <v>57</v>
      </c>
      <c r="B146" s="22">
        <f>B142+B145+B144</f>
        <v>0</v>
      </c>
      <c r="C146" s="22">
        <f t="shared" ref="C146:D146" si="1194">C142+C145+C144</f>
        <v>0</v>
      </c>
      <c r="D146" s="22">
        <f t="shared" si="1194"/>
        <v>0</v>
      </c>
      <c r="E146" s="22">
        <f t="shared" ref="E146:Y146" si="1195">E142+E145+E144+E143</f>
        <v>0</v>
      </c>
      <c r="F146" s="22">
        <f t="shared" si="1195"/>
        <v>0</v>
      </c>
      <c r="G146" s="22">
        <f t="shared" si="1195"/>
        <v>0</v>
      </c>
      <c r="H146" s="22">
        <f t="shared" si="1195"/>
        <v>0</v>
      </c>
      <c r="I146" s="22">
        <f t="shared" si="1195"/>
        <v>0</v>
      </c>
      <c r="J146" s="22">
        <f t="shared" si="1195"/>
        <v>0</v>
      </c>
      <c r="K146" s="22">
        <f t="shared" si="1195"/>
        <v>0</v>
      </c>
      <c r="L146" s="22">
        <f t="shared" si="1195"/>
        <v>0</v>
      </c>
      <c r="M146" s="22">
        <f t="shared" si="1195"/>
        <v>218.65500000000003</v>
      </c>
      <c r="N146" s="22">
        <f t="shared" si="1195"/>
        <v>308.33400000000006</v>
      </c>
      <c r="O146" s="22">
        <f t="shared" si="1195"/>
        <v>615.37400000000002</v>
      </c>
      <c r="P146" s="22">
        <f t="shared" si="1195"/>
        <v>910.68299999999999</v>
      </c>
      <c r="Q146" s="22">
        <f t="shared" si="1195"/>
        <v>1090.627</v>
      </c>
      <c r="R146" s="22">
        <f t="shared" si="1195"/>
        <v>1373.191</v>
      </c>
      <c r="S146" s="22">
        <f t="shared" si="1195"/>
        <v>1643.9750000000001</v>
      </c>
      <c r="T146" s="22">
        <f t="shared" si="1195"/>
        <v>1738.701</v>
      </c>
      <c r="U146" s="22">
        <f t="shared" si="1195"/>
        <v>1793.5200000000004</v>
      </c>
      <c r="V146" s="22">
        <f t="shared" si="1195"/>
        <v>2532.79</v>
      </c>
      <c r="W146" s="22">
        <f t="shared" si="1195"/>
        <v>3465.6899999999996</v>
      </c>
      <c r="X146" s="22">
        <f t="shared" si="1195"/>
        <v>3959.3999999999996</v>
      </c>
      <c r="Y146" s="22">
        <f t="shared" si="1195"/>
        <v>4312.8499999999995</v>
      </c>
      <c r="Z146" s="22">
        <f>Z142+Z145+Z144+Z143</f>
        <v>4581.58</v>
      </c>
      <c r="AA146" s="22">
        <f>AA142+AA145+AA144+AA143</f>
        <v>5143.92</v>
      </c>
      <c r="AB146" s="161">
        <f t="shared" ref="AB146:AE146" si="1196">AB142+AB145+AB144+AB143</f>
        <v>5183.2905478127859</v>
      </c>
      <c r="AC146" s="161">
        <f t="shared" si="1196"/>
        <v>5421.1720863263054</v>
      </c>
      <c r="AD146" s="161">
        <f t="shared" si="1196"/>
        <v>5629.1532405119269</v>
      </c>
      <c r="AE146" s="161">
        <f t="shared" si="1196"/>
        <v>5810.9923221265972</v>
      </c>
      <c r="AJ146" s="22">
        <f t="shared" ref="AJ146" si="1197">AJ142+AJ145+AJ143+AJ144</f>
        <v>0</v>
      </c>
      <c r="AK146" s="22">
        <f t="shared" ref="AK146" si="1198">AK142+AK145+AK143+AK144</f>
        <v>0</v>
      </c>
      <c r="AL146" s="22">
        <f t="shared" ref="AL146:AM146" si="1199">AL142+AL145+AL143+AL144</f>
        <v>0</v>
      </c>
      <c r="AM146" s="22">
        <f t="shared" si="1199"/>
        <v>0</v>
      </c>
      <c r="AN146" s="22">
        <f t="shared" ref="AN146:AO146" si="1200">AN142+AN145+AN143+AN144</f>
        <v>0</v>
      </c>
      <c r="AO146" s="22">
        <f t="shared" si="1200"/>
        <v>0</v>
      </c>
      <c r="AP146" s="22">
        <f t="shared" ref="AP146:CE146" si="1201">AP142+AP145+AP143+AP144</f>
        <v>0</v>
      </c>
      <c r="AQ146" s="22">
        <f t="shared" si="1201"/>
        <v>0</v>
      </c>
      <c r="AR146" s="22">
        <f t="shared" si="1201"/>
        <v>0</v>
      </c>
      <c r="AS146" s="22">
        <f t="shared" si="1201"/>
        <v>0</v>
      </c>
      <c r="AT146" s="22">
        <f t="shared" si="1201"/>
        <v>0</v>
      </c>
      <c r="AU146" s="22">
        <f t="shared" si="1201"/>
        <v>0</v>
      </c>
      <c r="AV146" s="22">
        <f t="shared" si="1201"/>
        <v>0</v>
      </c>
      <c r="AW146" s="22">
        <f t="shared" si="1201"/>
        <v>0</v>
      </c>
      <c r="AX146" s="22">
        <f t="shared" si="1201"/>
        <v>1090.627</v>
      </c>
      <c r="AY146" s="22">
        <f t="shared" si="1201"/>
        <v>1090.627</v>
      </c>
      <c r="AZ146" s="22">
        <f t="shared" si="1201"/>
        <v>0</v>
      </c>
      <c r="BA146" s="22">
        <f t="shared" si="1201"/>
        <v>0</v>
      </c>
      <c r="BB146" s="22">
        <f t="shared" si="1201"/>
        <v>1373.191</v>
      </c>
      <c r="BC146" s="22">
        <f t="shared" si="1201"/>
        <v>1373.191</v>
      </c>
      <c r="BD146" s="22">
        <f t="shared" si="1201"/>
        <v>1478.664</v>
      </c>
      <c r="BE146" s="22">
        <f t="shared" si="1201"/>
        <v>1478.664</v>
      </c>
      <c r="BF146" s="22">
        <f t="shared" si="1201"/>
        <v>1643.9750000000001</v>
      </c>
      <c r="BG146" s="22">
        <f t="shared" si="1201"/>
        <v>1643.9750000000001</v>
      </c>
      <c r="BH146" s="22">
        <f t="shared" si="1201"/>
        <v>1705.15</v>
      </c>
      <c r="BI146" s="22">
        <f t="shared" si="1201"/>
        <v>1705.15</v>
      </c>
      <c r="BJ146" s="22">
        <f t="shared" si="1201"/>
        <v>1738.701</v>
      </c>
      <c r="BK146" s="22">
        <f t="shared" si="1201"/>
        <v>1738.701</v>
      </c>
      <c r="BL146" s="22">
        <f t="shared" si="1201"/>
        <v>1730.576</v>
      </c>
      <c r="BM146" s="22">
        <f t="shared" si="1201"/>
        <v>1730.576</v>
      </c>
      <c r="BN146" s="22">
        <f t="shared" si="1201"/>
        <v>1750.63</v>
      </c>
      <c r="BO146" s="22">
        <f t="shared" si="1201"/>
        <v>1750.63</v>
      </c>
      <c r="BP146" s="22">
        <f t="shared" si="1201"/>
        <v>1891.99</v>
      </c>
      <c r="BQ146" s="22">
        <f t="shared" si="1201"/>
        <v>1891.99</v>
      </c>
      <c r="BR146" s="22">
        <f t="shared" si="1201"/>
        <v>2477.63</v>
      </c>
      <c r="BS146" s="22">
        <f t="shared" si="1201"/>
        <v>2477.63</v>
      </c>
      <c r="BT146" s="22">
        <f t="shared" si="1201"/>
        <v>2925.5299999999997</v>
      </c>
      <c r="BU146" s="22">
        <f t="shared" si="1201"/>
        <v>2925.5299999999997</v>
      </c>
      <c r="BV146" s="22">
        <f t="shared" si="1201"/>
        <v>3327.6400000000003</v>
      </c>
      <c r="BW146" s="22">
        <f t="shared" si="1201"/>
        <v>3327.6400000000003</v>
      </c>
      <c r="BX146" s="22">
        <f t="shared" si="1201"/>
        <v>3565.8500000000004</v>
      </c>
      <c r="BY146" s="22">
        <f t="shared" si="1201"/>
        <v>3565.8500000000004</v>
      </c>
      <c r="BZ146" s="22">
        <f t="shared" si="1201"/>
        <v>3825.9700000000003</v>
      </c>
      <c r="CA146" s="22">
        <f t="shared" si="1201"/>
        <v>3825.9700000000003</v>
      </c>
      <c r="CB146" s="22">
        <f t="shared" si="1201"/>
        <v>4017.59</v>
      </c>
      <c r="CC146" s="22">
        <f t="shared" si="1201"/>
        <v>4017.59</v>
      </c>
      <c r="CD146" s="22">
        <f t="shared" si="1201"/>
        <v>4134.53</v>
      </c>
      <c r="CE146" s="22">
        <f t="shared" si="1201"/>
        <v>4134.53</v>
      </c>
      <c r="CF146" s="22">
        <f t="shared" ref="CF146:CG146" si="1202">CF142+CF145+CF143+CF144</f>
        <v>4185.8500000000004</v>
      </c>
      <c r="CG146" s="22">
        <f t="shared" si="1202"/>
        <v>4185.8500000000004</v>
      </c>
      <c r="CH146" s="22">
        <f t="shared" ref="CH146:CJ146" si="1203">CH142+CH145+CH143+CH144</f>
        <v>4581.58</v>
      </c>
      <c r="CI146" s="22">
        <f t="shared" si="1203"/>
        <v>4464.74</v>
      </c>
      <c r="CJ146" s="22">
        <f t="shared" si="1203"/>
        <v>4605.0700000000006</v>
      </c>
      <c r="CK146" s="22">
        <f t="shared" ref="CK146:DB146" si="1204">CK142+CK145+CK143+CK144</f>
        <v>4484.45</v>
      </c>
      <c r="CL146" s="22">
        <f t="shared" si="1204"/>
        <v>4911.21</v>
      </c>
      <c r="CM146" s="21">
        <f t="shared" si="1204"/>
        <v>4982.6938172848595</v>
      </c>
      <c r="CN146" s="21">
        <f t="shared" si="1204"/>
        <v>5051.816971473957</v>
      </c>
      <c r="CO146" s="21">
        <f t="shared" si="1204"/>
        <v>5118.6574204948829</v>
      </c>
      <c r="CP146" s="21">
        <f t="shared" si="1204"/>
        <v>5183.2905478127859</v>
      </c>
      <c r="CQ146" s="21">
        <f t="shared" si="1204"/>
        <v>5245.7892474487562</v>
      </c>
      <c r="CR146" s="21">
        <f t="shared" si="1204"/>
        <v>5306.2240061905832</v>
      </c>
      <c r="CS146" s="21">
        <f t="shared" si="1204"/>
        <v>5364.662983088605</v>
      </c>
      <c r="CT146" s="21">
        <f t="shared" si="1204"/>
        <v>5421.1720863263054</v>
      </c>
      <c r="CU146" s="21">
        <f t="shared" si="1204"/>
        <v>5475.8150475523653</v>
      </c>
      <c r="CV146" s="21">
        <f t="shared" si="1204"/>
        <v>5528.6534937579772</v>
      </c>
      <c r="CW146" s="21">
        <f t="shared" si="1204"/>
        <v>5579.747016780515</v>
      </c>
      <c r="CX146" s="21">
        <f t="shared" si="1204"/>
        <v>5629.1532405119269</v>
      </c>
      <c r="CY146" s="21">
        <f t="shared" si="1204"/>
        <v>5676.9278858876551</v>
      </c>
      <c r="CZ146" s="21">
        <f t="shared" si="1204"/>
        <v>5723.1248337293782</v>
      </c>
      <c r="DA146" s="21">
        <f t="shared" si="1204"/>
        <v>5767.7961855124558</v>
      </c>
      <c r="DB146" s="21">
        <f t="shared" si="1204"/>
        <v>5810.9923221265972</v>
      </c>
      <c r="DE146" s="126"/>
      <c r="DF146" s="22">
        <v>4911.21</v>
      </c>
    </row>
    <row r="147" spans="1:110" s="23" customFormat="1" x14ac:dyDescent="0.2">
      <c r="AB147" s="24"/>
      <c r="AC147" s="24"/>
      <c r="AD147" s="24"/>
      <c r="AE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3" customFormat="1" x14ac:dyDescent="0.2">
      <c r="A148" s="23" t="s">
        <v>58</v>
      </c>
      <c r="B148" s="23">
        <f>'Annual Raw'!C71</f>
        <v>0</v>
      </c>
      <c r="C148" s="23">
        <f>'Annual Raw'!D71</f>
        <v>0</v>
      </c>
      <c r="D148" s="23">
        <f>'Annual Raw'!E71</f>
        <v>0</v>
      </c>
      <c r="E148" s="23">
        <f>'Annual Raw'!F71</f>
        <v>0</v>
      </c>
      <c r="F148" s="23">
        <f>'Annual Raw'!G71</f>
        <v>0</v>
      </c>
      <c r="G148" s="23">
        <f>'Annual Raw'!H71</f>
        <v>0</v>
      </c>
      <c r="H148" s="23">
        <f>'Annual Raw'!I71</f>
        <v>0</v>
      </c>
      <c r="I148" s="23">
        <f>'Annual Raw'!J71</f>
        <v>0</v>
      </c>
      <c r="J148" s="23">
        <f>'Annual Raw'!K71</f>
        <v>0</v>
      </c>
      <c r="K148" s="23">
        <f>'Annual Raw'!L71</f>
        <v>0</v>
      </c>
      <c r="L148" s="23">
        <f>'Annual Raw'!M71</f>
        <v>0</v>
      </c>
      <c r="M148" s="23">
        <f>'Annual Raw'!N71</f>
        <v>0</v>
      </c>
      <c r="N148" s="23">
        <f>'Annual Raw'!O71</f>
        <v>0</v>
      </c>
      <c r="O148" s="23">
        <f>'Annual Raw'!P71</f>
        <v>0</v>
      </c>
      <c r="P148" s="23">
        <f>'Annual Raw'!Q71</f>
        <v>7.4470000000000001</v>
      </c>
      <c r="Q148" s="23">
        <f>'Annual Raw'!R71</f>
        <v>7.0449999999999999</v>
      </c>
      <c r="R148" s="23">
        <f>'Annual Raw'!S71</f>
        <v>3.4049999999999998</v>
      </c>
      <c r="S148" s="23">
        <f>'Annual Raw'!T71</f>
        <v>3.4049999999999998</v>
      </c>
      <c r="T148" s="23">
        <f>'Annual Raw'!U71</f>
        <v>3.4049999999999998</v>
      </c>
      <c r="U148" s="23">
        <f>'Annual Raw'!V71</f>
        <v>3.41</v>
      </c>
      <c r="V148" s="23">
        <f>'Annual Raw'!W71</f>
        <v>3.41</v>
      </c>
      <c r="W148" s="23">
        <f>'Annual Raw'!X71</f>
        <v>30.81</v>
      </c>
      <c r="X148" s="23">
        <f>'Annual Raw'!Y71</f>
        <v>49.9</v>
      </c>
      <c r="Y148" s="23">
        <f>'Annual Raw'!Z71</f>
        <v>123.98</v>
      </c>
      <c r="Z148" s="23">
        <f>'Annual Raw'!AA71</f>
        <v>233.26</v>
      </c>
      <c r="AA148" s="23">
        <f>'Annual Raw'!AB71</f>
        <v>309.27</v>
      </c>
      <c r="AB148" s="24">
        <f>+CP148</f>
        <v>309.27</v>
      </c>
      <c r="AC148" s="24">
        <f>+CT148</f>
        <v>309.27</v>
      </c>
      <c r="AD148" s="24">
        <f>+CX148</f>
        <v>309.27</v>
      </c>
      <c r="AE148" s="24">
        <f>+DB148</f>
        <v>309.27</v>
      </c>
      <c r="AJ148" s="23">
        <f>+'QTR Raw'!D77</f>
        <v>0</v>
      </c>
      <c r="AK148" s="23">
        <f t="shared" ref="AK148:CE148" si="1205">+AJ148</f>
        <v>0</v>
      </c>
      <c r="AL148" s="23">
        <f>+'QTR Raw'!F77</f>
        <v>0</v>
      </c>
      <c r="AM148" s="23">
        <f t="shared" si="1205"/>
        <v>0</v>
      </c>
      <c r="AN148" s="23">
        <f>+'QTR Raw'!H77</f>
        <v>0</v>
      </c>
      <c r="AO148" s="23">
        <f t="shared" si="1205"/>
        <v>0</v>
      </c>
      <c r="AP148" s="23">
        <f>+'QTR Raw'!J77</f>
        <v>0</v>
      </c>
      <c r="AQ148" s="23">
        <f t="shared" si="1205"/>
        <v>0</v>
      </c>
      <c r="AR148" s="23">
        <f>+'QTR Raw'!L77</f>
        <v>0</v>
      </c>
      <c r="AS148" s="23">
        <f t="shared" si="1205"/>
        <v>0</v>
      </c>
      <c r="AT148" s="23">
        <f>+'QTR Raw'!N77</f>
        <v>0</v>
      </c>
      <c r="AU148" s="23">
        <f t="shared" si="1205"/>
        <v>0</v>
      </c>
      <c r="AV148" s="23">
        <f>+'QTR Raw'!P77</f>
        <v>0</v>
      </c>
      <c r="AW148" s="23">
        <f t="shared" si="1205"/>
        <v>0</v>
      </c>
      <c r="AX148" s="23">
        <f>+'QTR Raw'!R77</f>
        <v>7.0449999999999999</v>
      </c>
      <c r="AY148" s="23">
        <f t="shared" si="1205"/>
        <v>7.0449999999999999</v>
      </c>
      <c r="AZ148" s="23">
        <f>+'QTR Raw'!T77</f>
        <v>0</v>
      </c>
      <c r="BA148" s="23">
        <f t="shared" si="1205"/>
        <v>0</v>
      </c>
      <c r="BB148" s="23">
        <f>+'QTR Raw'!V77</f>
        <v>3.4049999999999998</v>
      </c>
      <c r="BC148" s="23">
        <f t="shared" si="1205"/>
        <v>3.4049999999999998</v>
      </c>
      <c r="BD148" s="23">
        <f>+'QTR Raw'!X77</f>
        <v>3.4049999999999998</v>
      </c>
      <c r="BE148" s="23">
        <f t="shared" si="1205"/>
        <v>3.4049999999999998</v>
      </c>
      <c r="BF148" s="23">
        <f>+'QTR Raw'!Z77</f>
        <v>3.4049999999999998</v>
      </c>
      <c r="BG148" s="23">
        <f t="shared" si="1205"/>
        <v>3.4049999999999998</v>
      </c>
      <c r="BH148" s="23">
        <f>+'QTR Raw'!AB77</f>
        <v>3.4049999999999998</v>
      </c>
      <c r="BI148" s="23">
        <f t="shared" si="1205"/>
        <v>3.4049999999999998</v>
      </c>
      <c r="BJ148" s="23">
        <f>+'QTR Raw'!AD77</f>
        <v>3.4049999999999998</v>
      </c>
      <c r="BK148" s="23">
        <f t="shared" si="1205"/>
        <v>3.4049999999999998</v>
      </c>
      <c r="BL148" s="23">
        <f>+'QTR Raw'!AF77</f>
        <v>3.4049999999999998</v>
      </c>
      <c r="BM148" s="23">
        <f t="shared" si="1205"/>
        <v>3.4049999999999998</v>
      </c>
      <c r="BN148" s="23">
        <f>+'QTR Raw'!AH77</f>
        <v>3.41</v>
      </c>
      <c r="BO148" s="23">
        <f t="shared" si="1205"/>
        <v>3.41</v>
      </c>
      <c r="BP148" s="23">
        <f>+'QTR Raw'!AJ77</f>
        <v>3.41</v>
      </c>
      <c r="BQ148" s="23">
        <f t="shared" si="1205"/>
        <v>3.41</v>
      </c>
      <c r="BR148" s="23">
        <f>+'QTR Raw'!AL77</f>
        <v>3.41</v>
      </c>
      <c r="BS148" s="23">
        <f t="shared" si="1205"/>
        <v>3.41</v>
      </c>
      <c r="BT148" s="23">
        <f>+'QTR Raw'!AN77</f>
        <v>3.41</v>
      </c>
      <c r="BU148" s="23">
        <f t="shared" si="1205"/>
        <v>3.41</v>
      </c>
      <c r="BV148" s="23">
        <f>+'QTR Raw'!AP77</f>
        <v>30.81</v>
      </c>
      <c r="BW148" s="23">
        <f t="shared" si="1205"/>
        <v>30.81</v>
      </c>
      <c r="BX148" s="23">
        <f>+'QTR Raw'!AR77</f>
        <v>30.09</v>
      </c>
      <c r="BY148" s="23">
        <f t="shared" si="1205"/>
        <v>30.09</v>
      </c>
      <c r="BZ148" s="23">
        <f>+'QTR Raw'!AT77</f>
        <v>49.9</v>
      </c>
      <c r="CA148" s="23">
        <f t="shared" si="1205"/>
        <v>49.9</v>
      </c>
      <c r="CB148" s="23">
        <f>+'QTR Raw'!AV77</f>
        <v>94.1</v>
      </c>
      <c r="CC148" s="23">
        <f t="shared" si="1205"/>
        <v>94.1</v>
      </c>
      <c r="CD148" s="23">
        <f>+'QTR Raw'!AX77</f>
        <v>123.98</v>
      </c>
      <c r="CE148" s="23">
        <f t="shared" si="1205"/>
        <v>123.98</v>
      </c>
      <c r="CF148" s="23">
        <f>+'QTR Raw'!AZ77</f>
        <v>126.68</v>
      </c>
      <c r="CG148" s="23">
        <f t="shared" ref="CG148:CI151" si="1206">+CF148</f>
        <v>126.68</v>
      </c>
      <c r="CH148" s="23">
        <f t="shared" ref="CH148:CH163" si="1207">Z148</f>
        <v>233.26</v>
      </c>
      <c r="CI148" s="23">
        <f t="shared" si="1206"/>
        <v>233.26</v>
      </c>
      <c r="CJ148" s="23">
        <f>+'QTR Raw'!BD77</f>
        <v>261.32</v>
      </c>
      <c r="CK148" s="23">
        <f t="shared" ref="CK148" si="1208">+CJ148</f>
        <v>261.32</v>
      </c>
      <c r="CL148" s="23">
        <f>+'QTR Raw'!BF77</f>
        <v>309.27</v>
      </c>
      <c r="CM148" s="24">
        <f t="shared" ref="CM148" si="1209">+CL148</f>
        <v>309.27</v>
      </c>
      <c r="CN148" s="24">
        <f t="shared" ref="CN148" si="1210">+CM148</f>
        <v>309.27</v>
      </c>
      <c r="CO148" s="24">
        <f t="shared" ref="CO148" si="1211">+CN148</f>
        <v>309.27</v>
      </c>
      <c r="CP148" s="24">
        <f t="shared" ref="CP148" si="1212">+CO148</f>
        <v>309.27</v>
      </c>
      <c r="CQ148" s="24">
        <f t="shared" ref="CQ148" si="1213">+CP148</f>
        <v>309.27</v>
      </c>
      <c r="CR148" s="24">
        <f t="shared" ref="CR148" si="1214">+CQ148</f>
        <v>309.27</v>
      </c>
      <c r="CS148" s="24">
        <f t="shared" ref="CS148" si="1215">+CR148</f>
        <v>309.27</v>
      </c>
      <c r="CT148" s="24">
        <f t="shared" ref="CT148" si="1216">+CS148</f>
        <v>309.27</v>
      </c>
      <c r="CU148" s="24">
        <f t="shared" ref="CU148" si="1217">+CT148</f>
        <v>309.27</v>
      </c>
      <c r="CV148" s="24">
        <f t="shared" ref="CV148" si="1218">+CU148</f>
        <v>309.27</v>
      </c>
      <c r="CW148" s="24">
        <f t="shared" ref="CW148" si="1219">+CV148</f>
        <v>309.27</v>
      </c>
      <c r="CX148" s="24">
        <f t="shared" ref="CX148" si="1220">+CW148</f>
        <v>309.27</v>
      </c>
      <c r="CY148" s="24">
        <f t="shared" ref="CY148" si="1221">+CX148</f>
        <v>309.27</v>
      </c>
      <c r="CZ148" s="24">
        <f t="shared" ref="CZ148" si="1222">+CY148</f>
        <v>309.27</v>
      </c>
      <c r="DA148" s="24">
        <f t="shared" ref="DA148" si="1223">+CZ148</f>
        <v>309.27</v>
      </c>
      <c r="DB148" s="24">
        <f t="shared" ref="DB148" si="1224">+DA148</f>
        <v>309.27</v>
      </c>
      <c r="DE148" s="123"/>
      <c r="DF148" s="23">
        <v>309.27</v>
      </c>
    </row>
    <row r="149" spans="1:110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59</v>
      </c>
      <c r="B150" s="23">
        <f>'Annual Raw'!C72</f>
        <v>0</v>
      </c>
      <c r="C150" s="23">
        <f>'Annual Raw'!D72</f>
        <v>0</v>
      </c>
      <c r="D150" s="23">
        <f>'Annual Raw'!E72</f>
        <v>0</v>
      </c>
      <c r="E150" s="23">
        <f>'Annual Raw'!F72+'Annual Raw'!F61</f>
        <v>0</v>
      </c>
      <c r="F150" s="23">
        <f>'Annual Raw'!G72+'Annual Raw'!G61</f>
        <v>0</v>
      </c>
      <c r="G150" s="23">
        <f>'Annual Raw'!H72+'Annual Raw'!H61</f>
        <v>0</v>
      </c>
      <c r="H150" s="23">
        <f>'Annual Raw'!I72+'Annual Raw'!I61</f>
        <v>0</v>
      </c>
      <c r="I150" s="23">
        <f>'Annual Raw'!J72+'Annual Raw'!J61</f>
        <v>0</v>
      </c>
      <c r="J150" s="23">
        <f>'Annual Raw'!K72+'Annual Raw'!K61</f>
        <v>0</v>
      </c>
      <c r="K150" s="23">
        <f>'Annual Raw'!L72+'Annual Raw'!L61</f>
        <v>0</v>
      </c>
      <c r="L150" s="23">
        <f>'Annual Raw'!M72+'Annual Raw'!M61</f>
        <v>0</v>
      </c>
      <c r="M150" s="23">
        <f>'Annual Raw'!N72+'Annual Raw'!N61</f>
        <v>6.9640000000000004</v>
      </c>
      <c r="N150" s="23">
        <f>'Annual Raw'!O72+'Annual Raw'!O61</f>
        <v>30.346</v>
      </c>
      <c r="O150" s="23">
        <f>'Annual Raw'!P72+'Annual Raw'!P61</f>
        <v>68.504000000000005</v>
      </c>
      <c r="P150" s="23">
        <f>'Annual Raw'!Q72+'Annual Raw'!Q61</f>
        <v>93.944000000000003</v>
      </c>
      <c r="Q150" s="23">
        <f>'Annual Raw'!R72+'Annual Raw'!R61</f>
        <v>29.218</v>
      </c>
      <c r="R150" s="23">
        <f>'Annual Raw'!S72+'Annual Raw'!S61</f>
        <v>26.32</v>
      </c>
      <c r="S150" s="23">
        <f>'Annual Raw'!T72+'Annual Raw'!T61</f>
        <v>29.356000000000002</v>
      </c>
      <c r="T150" s="23">
        <f>'Annual Raw'!U72+'Annual Raw'!U61</f>
        <v>25.579000000000001</v>
      </c>
      <c r="U150" s="23">
        <f>'Annual Raw'!V72+'Annual Raw'!V61</f>
        <v>40.799999999999997</v>
      </c>
      <c r="V150" s="23">
        <f>'Annual Raw'!W72+'Annual Raw'!W61</f>
        <v>108.52</v>
      </c>
      <c r="W150" s="23">
        <f>'Annual Raw'!X72+'Annual Raw'!X61</f>
        <v>84.11</v>
      </c>
      <c r="X150" s="23">
        <f>'Annual Raw'!Y72+'Annual Raw'!Y61</f>
        <v>160.58000000000001</v>
      </c>
      <c r="Y150" s="23">
        <f>'Annual Raw'!Z72+'Annual Raw'!Z61</f>
        <v>83.5</v>
      </c>
      <c r="Z150" s="23">
        <f>'Annual Raw'!AA72+'Annual Raw'!AA61</f>
        <v>163.4</v>
      </c>
      <c r="AA150" s="23">
        <f>'Annual Raw'!AB72+'Annual Raw'!AB61</f>
        <v>201.28</v>
      </c>
      <c r="AB150" s="24">
        <f t="shared" ref="AB150:AB155" si="1225">+CP150</f>
        <v>0</v>
      </c>
      <c r="AC150" s="24">
        <f t="shared" ref="AC150:AC155" si="1226">+CT150</f>
        <v>0</v>
      </c>
      <c r="AD150" s="24">
        <f t="shared" ref="AD150:AD155" si="1227">+CX150</f>
        <v>0</v>
      </c>
      <c r="AE150" s="24">
        <f t="shared" ref="AE150:AE155" si="1228">+DB150</f>
        <v>0</v>
      </c>
      <c r="AJ150" s="23">
        <f>+'QTR Raw'!D78</f>
        <v>0</v>
      </c>
      <c r="AK150" s="23">
        <f t="shared" ref="AK150:CE155" si="1229">+AJ150</f>
        <v>0</v>
      </c>
      <c r="AL150" s="23">
        <f>+'QTR Raw'!F78</f>
        <v>0</v>
      </c>
      <c r="AM150" s="23">
        <f t="shared" si="1229"/>
        <v>0</v>
      </c>
      <c r="AN150" s="23">
        <f>+'QTR Raw'!H78</f>
        <v>0</v>
      </c>
      <c r="AO150" s="23">
        <f t="shared" si="1229"/>
        <v>0</v>
      </c>
      <c r="AP150" s="23">
        <f>+'QTR Raw'!J78</f>
        <v>0</v>
      </c>
      <c r="AQ150" s="23">
        <f t="shared" si="1229"/>
        <v>0</v>
      </c>
      <c r="AR150" s="23">
        <f>+'QTR Raw'!L78</f>
        <v>0</v>
      </c>
      <c r="AS150" s="23">
        <f t="shared" si="1229"/>
        <v>0</v>
      </c>
      <c r="AT150" s="23">
        <f>+'QTR Raw'!N78</f>
        <v>0</v>
      </c>
      <c r="AU150" s="23">
        <f t="shared" si="1229"/>
        <v>0</v>
      </c>
      <c r="AV150" s="23">
        <f>+'QTR Raw'!P78</f>
        <v>0</v>
      </c>
      <c r="AW150" s="23">
        <f t="shared" si="1229"/>
        <v>0</v>
      </c>
      <c r="AX150" s="23">
        <f>+'QTR Raw'!R78</f>
        <v>8.4909999999999997</v>
      </c>
      <c r="AY150" s="23">
        <f t="shared" si="1229"/>
        <v>8.4909999999999997</v>
      </c>
      <c r="AZ150" s="23">
        <f>+'QTR Raw'!T78</f>
        <v>0</v>
      </c>
      <c r="BA150" s="23">
        <f t="shared" si="1229"/>
        <v>0</v>
      </c>
      <c r="BB150" s="23">
        <f>+'QTR Raw'!V78</f>
        <v>0</v>
      </c>
      <c r="BC150" s="23">
        <f t="shared" si="1229"/>
        <v>0</v>
      </c>
      <c r="BD150" s="23">
        <f>+'QTR Raw'!X78</f>
        <v>12.157</v>
      </c>
      <c r="BE150" s="23">
        <f t="shared" si="1229"/>
        <v>12.157</v>
      </c>
      <c r="BF150" s="23">
        <f>+'QTR Raw'!Z78</f>
        <v>0</v>
      </c>
      <c r="BG150" s="23">
        <f t="shared" si="1229"/>
        <v>0</v>
      </c>
      <c r="BH150" s="23">
        <f>+'QTR Raw'!AB78</f>
        <v>0</v>
      </c>
      <c r="BI150" s="23">
        <f t="shared" si="1229"/>
        <v>0</v>
      </c>
      <c r="BJ150" s="23">
        <f>+'QTR Raw'!AD78</f>
        <v>0</v>
      </c>
      <c r="BK150" s="23">
        <f t="shared" si="1229"/>
        <v>0</v>
      </c>
      <c r="BL150" s="23">
        <f>+'QTR Raw'!AF78</f>
        <v>0</v>
      </c>
      <c r="BM150" s="23">
        <f t="shared" si="1229"/>
        <v>0</v>
      </c>
      <c r="BN150" s="23">
        <f>+'QTR Raw'!AH78</f>
        <v>0</v>
      </c>
      <c r="BO150" s="23">
        <f t="shared" si="1229"/>
        <v>0</v>
      </c>
      <c r="BP150" s="23">
        <f>+'QTR Raw'!AJ78</f>
        <v>0</v>
      </c>
      <c r="BQ150" s="23">
        <f t="shared" si="1229"/>
        <v>0</v>
      </c>
      <c r="BR150" s="23">
        <f>+'QTR Raw'!AL78</f>
        <v>0</v>
      </c>
      <c r="BS150" s="23">
        <f t="shared" si="1229"/>
        <v>0</v>
      </c>
      <c r="BT150" s="23">
        <f>+'QTR Raw'!AN78</f>
        <v>0</v>
      </c>
      <c r="BU150" s="23">
        <f t="shared" si="1229"/>
        <v>0</v>
      </c>
      <c r="BV150" s="23">
        <f>+'QTR Raw'!AP78</f>
        <v>0</v>
      </c>
      <c r="BW150" s="23">
        <f t="shared" si="1229"/>
        <v>0</v>
      </c>
      <c r="BX150" s="23">
        <f>+'QTR Raw'!AR78</f>
        <v>0</v>
      </c>
      <c r="BY150" s="23">
        <f t="shared" si="1229"/>
        <v>0</v>
      </c>
      <c r="BZ150" s="23">
        <f>+'QTR Raw'!AT78</f>
        <v>0</v>
      </c>
      <c r="CA150" s="23">
        <f t="shared" si="1229"/>
        <v>0</v>
      </c>
      <c r="CB150" s="23">
        <f>+'QTR Raw'!AV78</f>
        <v>0</v>
      </c>
      <c r="CC150" s="23">
        <f t="shared" si="1229"/>
        <v>0</v>
      </c>
      <c r="CD150" s="23">
        <f>+'QTR Raw'!AX78</f>
        <v>0</v>
      </c>
      <c r="CE150" s="23">
        <f t="shared" si="1229"/>
        <v>0</v>
      </c>
      <c r="CF150" s="23">
        <f>+'QTR Raw'!AZ78</f>
        <v>0</v>
      </c>
      <c r="CG150" s="23">
        <f t="shared" si="1206"/>
        <v>0</v>
      </c>
      <c r="CH150" s="23">
        <f t="shared" si="1207"/>
        <v>163.4</v>
      </c>
      <c r="CJ150" s="23">
        <f>+'QTR Raw'!BD78</f>
        <v>0</v>
      </c>
      <c r="CL150" s="23">
        <f>+'QTR Raw'!BF78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60</v>
      </c>
      <c r="B151" s="23">
        <f>'Annual Raw'!C73+'Annual Raw'!C81</f>
        <v>0</v>
      </c>
      <c r="C151" s="23">
        <f>'Annual Raw'!D73+'Annual Raw'!D81</f>
        <v>0</v>
      </c>
      <c r="D151" s="23">
        <f>'Annual Raw'!E73+'Annual Raw'!E81</f>
        <v>0</v>
      </c>
      <c r="E151" s="23">
        <f>'Annual Raw'!F73+'Annual Raw'!F81</f>
        <v>0</v>
      </c>
      <c r="F151" s="23">
        <f>'Annual Raw'!G73+'Annual Raw'!G81</f>
        <v>0</v>
      </c>
      <c r="G151" s="23">
        <f>'Annual Raw'!H73+'Annual Raw'!H81</f>
        <v>0</v>
      </c>
      <c r="H151" s="23">
        <f>'Annual Raw'!I73+'Annual Raw'!I81</f>
        <v>0</v>
      </c>
      <c r="I151" s="23">
        <f>'Annual Raw'!J73+'Annual Raw'!J81</f>
        <v>0</v>
      </c>
      <c r="J151" s="23">
        <f>'Annual Raw'!K73+'Annual Raw'!K81</f>
        <v>0</v>
      </c>
      <c r="K151" s="23">
        <f>'Annual Raw'!L73+'Annual Raw'!L81</f>
        <v>0</v>
      </c>
      <c r="L151" s="23">
        <f>'Annual Raw'!M73+'Annual Raw'!M81</f>
        <v>0</v>
      </c>
      <c r="M151" s="23">
        <f>'Annual Raw'!N73+'Annual Raw'!N81</f>
        <v>7.7160000000000002</v>
      </c>
      <c r="N151" s="23">
        <f>'Annual Raw'!O73+'Annual Raw'!O81</f>
        <v>6.3559999999999999</v>
      </c>
      <c r="O151" s="23">
        <f>'Annual Raw'!P73+'Annual Raw'!P81</f>
        <v>12.824999999999999</v>
      </c>
      <c r="P151" s="23">
        <f>'Annual Raw'!Q73+'Annual Raw'!Q81</f>
        <v>12.335000000000001</v>
      </c>
      <c r="Q151" s="23">
        <f>'Annual Raw'!R73+'Annual Raw'!R81</f>
        <v>39.029000000000003</v>
      </c>
      <c r="R151" s="23">
        <f>'Annual Raw'!S73+'Annual Raw'!S81</f>
        <v>40.798999999999999</v>
      </c>
      <c r="S151" s="23">
        <f>'Annual Raw'!T73+'Annual Raw'!T81</f>
        <v>39.496000000000002</v>
      </c>
      <c r="T151" s="23">
        <f>'Annual Raw'!U73+'Annual Raw'!U81</f>
        <v>47.158999999999999</v>
      </c>
      <c r="U151" s="23">
        <f>'Annual Raw'!V73+'Annual Raw'!V81</f>
        <v>26.6</v>
      </c>
      <c r="V151" s="23">
        <f>'Annual Raw'!W73+'Annual Raw'!W81</f>
        <v>31.11</v>
      </c>
      <c r="W151" s="23">
        <f>'Annual Raw'!X73+'Annual Raw'!X81</f>
        <v>42.82</v>
      </c>
      <c r="X151" s="23">
        <f>'Annual Raw'!Y73+'Annual Raw'!Y81</f>
        <v>28.84</v>
      </c>
      <c r="Y151" s="23">
        <f>'Annual Raw'!Z73+'Annual Raw'!Z81</f>
        <v>31.73</v>
      </c>
      <c r="Z151" s="23">
        <f>'Annual Raw'!AA73+'Annual Raw'!AA81</f>
        <v>25.01</v>
      </c>
      <c r="AA151" s="23">
        <f>'Annual Raw'!AB73+'Annual Raw'!AB81</f>
        <v>27.51</v>
      </c>
      <c r="AB151" s="24">
        <f t="shared" si="1225"/>
        <v>0</v>
      </c>
      <c r="AC151" s="24">
        <f t="shared" si="1226"/>
        <v>0</v>
      </c>
      <c r="AD151" s="24">
        <f t="shared" si="1227"/>
        <v>0</v>
      </c>
      <c r="AE151" s="24">
        <f t="shared" si="1228"/>
        <v>0</v>
      </c>
      <c r="AJ151" s="23">
        <f>+'QTR Raw'!D79+'QTR Raw'!D76</f>
        <v>0</v>
      </c>
      <c r="AK151" s="23">
        <f t="shared" si="1229"/>
        <v>0</v>
      </c>
      <c r="AL151" s="23">
        <f>+'QTR Raw'!F79+'QTR Raw'!F76</f>
        <v>0</v>
      </c>
      <c r="AM151" s="23">
        <f t="shared" si="1229"/>
        <v>0</v>
      </c>
      <c r="AN151" s="23">
        <f>+'QTR Raw'!H79+'QTR Raw'!H76</f>
        <v>0</v>
      </c>
      <c r="AO151" s="23">
        <f t="shared" si="1229"/>
        <v>0</v>
      </c>
      <c r="AP151" s="23">
        <f>+'QTR Raw'!J79+'QTR Raw'!J76</f>
        <v>0</v>
      </c>
      <c r="AQ151" s="23">
        <f t="shared" si="1229"/>
        <v>0</v>
      </c>
      <c r="AR151" s="23">
        <f>+'QTR Raw'!L79+'QTR Raw'!L76</f>
        <v>0</v>
      </c>
      <c r="AS151" s="23">
        <f t="shared" si="1229"/>
        <v>0</v>
      </c>
      <c r="AT151" s="23">
        <f>+'QTR Raw'!N79+'QTR Raw'!N76</f>
        <v>0</v>
      </c>
      <c r="AU151" s="23">
        <f t="shared" si="1229"/>
        <v>0</v>
      </c>
      <c r="AV151" s="23">
        <f>+'QTR Raw'!P79+'QTR Raw'!P76</f>
        <v>0</v>
      </c>
      <c r="AW151" s="23">
        <f t="shared" si="1229"/>
        <v>0</v>
      </c>
      <c r="AX151" s="23">
        <f>+'QTR Raw'!R79+'QTR Raw'!R76</f>
        <v>59.756</v>
      </c>
      <c r="AY151" s="23">
        <f t="shared" si="1229"/>
        <v>59.756</v>
      </c>
      <c r="AZ151" s="23">
        <f>+'QTR Raw'!T79+'QTR Raw'!T76</f>
        <v>0</v>
      </c>
      <c r="BA151" s="23">
        <f t="shared" si="1229"/>
        <v>0</v>
      </c>
      <c r="BB151" s="23">
        <f>+'QTR Raw'!V79+'QTR Raw'!V76</f>
        <v>67.119</v>
      </c>
      <c r="BC151" s="23">
        <f t="shared" si="1229"/>
        <v>67.119</v>
      </c>
      <c r="BD151" s="23">
        <f>+'QTR Raw'!X79+'QTR Raw'!X76</f>
        <v>61.462000000000003</v>
      </c>
      <c r="BE151" s="23">
        <f t="shared" si="1229"/>
        <v>61.462000000000003</v>
      </c>
      <c r="BF151" s="23">
        <f>+'QTR Raw'!Z79+'QTR Raw'!Z76</f>
        <v>68.852000000000004</v>
      </c>
      <c r="BG151" s="23">
        <f t="shared" si="1229"/>
        <v>68.852000000000004</v>
      </c>
      <c r="BH151" s="23">
        <f>+'QTR Raw'!AB79+'QTR Raw'!AB76</f>
        <v>78.760000000000005</v>
      </c>
      <c r="BI151" s="23">
        <f t="shared" si="1229"/>
        <v>78.760000000000005</v>
      </c>
      <c r="BJ151" s="23">
        <f>+'QTR Raw'!AD79+'QTR Raw'!AD76</f>
        <v>72.738</v>
      </c>
      <c r="BK151" s="23">
        <f t="shared" si="1229"/>
        <v>72.738</v>
      </c>
      <c r="BL151" s="23">
        <f>+'QTR Raw'!AF79+'QTR Raw'!AF76</f>
        <v>107.59399999999999</v>
      </c>
      <c r="BM151" s="23">
        <f t="shared" si="1229"/>
        <v>107.59399999999999</v>
      </c>
      <c r="BN151" s="23">
        <f>+'QTR Raw'!AH79+'QTR Raw'!AH76</f>
        <v>110.29</v>
      </c>
      <c r="BO151" s="23">
        <f t="shared" si="1229"/>
        <v>110.29</v>
      </c>
      <c r="BP151" s="23">
        <f>+'QTR Raw'!AJ79+'QTR Raw'!AJ76</f>
        <v>165.4</v>
      </c>
      <c r="BQ151" s="23">
        <f t="shared" si="1229"/>
        <v>165.4</v>
      </c>
      <c r="BR151" s="23">
        <f>+'QTR Raw'!AL79+'QTR Raw'!AL76</f>
        <v>194.79</v>
      </c>
      <c r="BS151" s="23">
        <f t="shared" si="1229"/>
        <v>194.79</v>
      </c>
      <c r="BT151" s="23">
        <f>+'QTR Raw'!AN79+'QTR Raw'!AN76</f>
        <v>276.82</v>
      </c>
      <c r="BU151" s="23">
        <f t="shared" si="1229"/>
        <v>276.82</v>
      </c>
      <c r="BV151" s="23">
        <f>+'QTR Raw'!AP79+'QTR Raw'!AP76</f>
        <v>264.98</v>
      </c>
      <c r="BW151" s="23">
        <f t="shared" si="1229"/>
        <v>264.98</v>
      </c>
      <c r="BX151" s="23">
        <f>+'QTR Raw'!AR79+'QTR Raw'!AR76</f>
        <v>286.64999999999998</v>
      </c>
      <c r="BY151" s="23">
        <f t="shared" si="1229"/>
        <v>286.64999999999998</v>
      </c>
      <c r="BZ151" s="23">
        <f>+'QTR Raw'!AT79+'QTR Raw'!AT76</f>
        <v>322.85000000000002</v>
      </c>
      <c r="CA151" s="23">
        <f t="shared" si="1229"/>
        <v>322.85000000000002</v>
      </c>
      <c r="CB151" s="23">
        <f>+'QTR Raw'!AV79+'QTR Raw'!AV76</f>
        <v>278.01</v>
      </c>
      <c r="CC151" s="23">
        <f t="shared" si="1229"/>
        <v>278.01</v>
      </c>
      <c r="CD151" s="23">
        <f>+'QTR Raw'!AX79+'QTR Raw'!AX76</f>
        <v>293.55</v>
      </c>
      <c r="CE151" s="23">
        <f t="shared" si="1229"/>
        <v>293.55</v>
      </c>
      <c r="CF151" s="23">
        <f>+'QTR Raw'!AZ79+'QTR Raw'!AZ76</f>
        <v>297.04000000000002</v>
      </c>
      <c r="CG151" s="23">
        <f t="shared" si="1206"/>
        <v>297.04000000000002</v>
      </c>
      <c r="CH151" s="23">
        <f t="shared" si="1207"/>
        <v>25.01</v>
      </c>
      <c r="CJ151" s="23">
        <f>+'QTR Raw'!BD79+'QTR Raw'!BD76</f>
        <v>357.36</v>
      </c>
      <c r="CL151" s="23">
        <f>+'QTR Raw'!BF79+'QTR Raw'!BF76</f>
        <v>461.5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461.5</v>
      </c>
    </row>
    <row r="152" spans="1:110" s="23" customFormat="1" outlineLevel="1" x14ac:dyDescent="0.2">
      <c r="A152" s="23" t="s">
        <v>61</v>
      </c>
      <c r="B152" s="23">
        <f>'Annual Raw'!C76</f>
        <v>0</v>
      </c>
      <c r="C152" s="23">
        <f>'Annual Raw'!D76</f>
        <v>0</v>
      </c>
      <c r="D152" s="23">
        <f>'Annual Raw'!E76</f>
        <v>0</v>
      </c>
      <c r="E152" s="23">
        <f>'Annual Raw'!F76</f>
        <v>0</v>
      </c>
      <c r="F152" s="23">
        <f>'Annual Raw'!G76</f>
        <v>0</v>
      </c>
      <c r="G152" s="23">
        <f>'Annual Raw'!H76</f>
        <v>0</v>
      </c>
      <c r="H152" s="23">
        <f>'Annual Raw'!I76</f>
        <v>0</v>
      </c>
      <c r="I152" s="23">
        <f>'Annual Raw'!J76</f>
        <v>0</v>
      </c>
      <c r="J152" s="23">
        <f>'Annual Raw'!K76</f>
        <v>0</v>
      </c>
      <c r="K152" s="23">
        <f>'Annual Raw'!L76</f>
        <v>0</v>
      </c>
      <c r="L152" s="23">
        <f>'Annual Raw'!M76</f>
        <v>0</v>
      </c>
      <c r="M152" s="23">
        <f>'Annual Raw'!N76</f>
        <v>98.632000000000005</v>
      </c>
      <c r="N152" s="23">
        <f>'Annual Raw'!O76</f>
        <v>156.19</v>
      </c>
      <c r="O152" s="23">
        <f>'Annual Raw'!P76</f>
        <v>328.09699999999998</v>
      </c>
      <c r="P152" s="23">
        <f>'Annual Raw'!Q76</f>
        <v>475.49599999999998</v>
      </c>
      <c r="Q152" s="23">
        <f>'Annual Raw'!R76</f>
        <v>487.09300000000002</v>
      </c>
      <c r="R152" s="23">
        <f>'Annual Raw'!S76</f>
        <v>509.04599999999999</v>
      </c>
      <c r="S152" s="23">
        <f>'Annual Raw'!T76</f>
        <v>584.78200000000004</v>
      </c>
      <c r="T152" s="23">
        <f>'Annual Raw'!U76</f>
        <v>681.93700000000001</v>
      </c>
      <c r="U152" s="23">
        <f>'Annual Raw'!V76</f>
        <v>905.22</v>
      </c>
      <c r="V152" s="23">
        <f>'Annual Raw'!W76</f>
        <v>1575.45</v>
      </c>
      <c r="W152" s="23">
        <f>'Annual Raw'!X76</f>
        <v>1760.3</v>
      </c>
      <c r="X152" s="23">
        <f>'Annual Raw'!Y76</f>
        <v>1684.81</v>
      </c>
      <c r="Y152" s="23">
        <f>'Annual Raw'!Z76</f>
        <v>1845.41</v>
      </c>
      <c r="Z152" s="23">
        <f>'Annual Raw'!AA76</f>
        <v>1936.54</v>
      </c>
      <c r="AA152" s="23">
        <f>'Annual Raw'!AB76</f>
        <v>2342.16</v>
      </c>
      <c r="AB152" s="24">
        <f t="shared" si="1225"/>
        <v>2693.4839999999999</v>
      </c>
      <c r="AC152" s="24">
        <f t="shared" si="1226"/>
        <v>3097.5065999999997</v>
      </c>
      <c r="AD152" s="24">
        <f t="shared" si="1227"/>
        <v>3562.1325899999997</v>
      </c>
      <c r="AE152" s="24">
        <f t="shared" si="1228"/>
        <v>4096.4524784999994</v>
      </c>
      <c r="AJ152" s="23">
        <f>+'QTR Raw'!D81</f>
        <v>0</v>
      </c>
      <c r="AK152" s="23" t="e">
        <f>+AK187*AK18/90</f>
        <v>#DIV/0!</v>
      </c>
      <c r="AL152" s="23">
        <f>+'QTR Raw'!F81</f>
        <v>0</v>
      </c>
      <c r="AM152" s="23" t="e">
        <f>+AM187*AM18/90</f>
        <v>#DIV/0!</v>
      </c>
      <c r="AN152" s="23">
        <f>+'QTR Raw'!H81</f>
        <v>0</v>
      </c>
      <c r="AO152" s="23" t="e">
        <f>+AO187*AO18/90</f>
        <v>#DIV/0!</v>
      </c>
      <c r="AP152" s="23">
        <f>+'QTR Raw'!J81</f>
        <v>0</v>
      </c>
      <c r="AQ152" s="23" t="e">
        <f>+AQ187*AQ18/90</f>
        <v>#DIV/0!</v>
      </c>
      <c r="AR152" s="23">
        <f>+'QTR Raw'!L81</f>
        <v>0</v>
      </c>
      <c r="AS152" s="23" t="e">
        <f>+AS187*AS18/90</f>
        <v>#DIV/0!</v>
      </c>
      <c r="AT152" s="23">
        <f>+'QTR Raw'!N81</f>
        <v>0</v>
      </c>
      <c r="AU152" s="23" t="e">
        <f>+AU187*AU18/90</f>
        <v>#DIV/0!</v>
      </c>
      <c r="AV152" s="23">
        <f>+'QTR Raw'!P81</f>
        <v>0</v>
      </c>
      <c r="AW152" s="23" t="e">
        <f>+AW187*AW18/90</f>
        <v>#DIV/0!</v>
      </c>
      <c r="AX152" s="23">
        <f>+'QTR Raw'!R81</f>
        <v>487.09300000000002</v>
      </c>
      <c r="AY152" s="23">
        <f>+AY187*AY18/90</f>
        <v>406.37033382469116</v>
      </c>
      <c r="AZ152" s="23">
        <f>+'QTR Raw'!T81</f>
        <v>0</v>
      </c>
      <c r="BA152" s="23">
        <f>+BA187*BA18/90</f>
        <v>0</v>
      </c>
      <c r="BB152" s="23">
        <f>+'QTR Raw'!V81</f>
        <v>509.04599999999999</v>
      </c>
      <c r="BC152" s="23">
        <f>+BC187*BC18/90</f>
        <v>507.42419932988554</v>
      </c>
      <c r="BD152" s="23">
        <f>+'QTR Raw'!X81</f>
        <v>570.39599999999996</v>
      </c>
      <c r="BE152" s="23">
        <f>+BE187*BE18/90</f>
        <v>507.19505147694986</v>
      </c>
      <c r="BF152" s="23">
        <f>+'QTR Raw'!Z81</f>
        <v>584.78200000000004</v>
      </c>
      <c r="BG152" s="23">
        <f>+BG187*BG18/90</f>
        <v>562.62930046765678</v>
      </c>
      <c r="BH152" s="23">
        <f>+'QTR Raw'!AB81</f>
        <v>648.08900000000006</v>
      </c>
      <c r="BI152" s="23">
        <f>+BI187*BI18/90</f>
        <v>583.28461682937245</v>
      </c>
      <c r="BJ152" s="23">
        <f>+'QTR Raw'!AD81</f>
        <v>681.93700000000001</v>
      </c>
      <c r="BK152" s="23">
        <f>+BK187*BK18/90</f>
        <v>591.11635331829268</v>
      </c>
      <c r="BL152" s="23">
        <f>+'QTR Raw'!AF81</f>
        <v>897.00300000000004</v>
      </c>
      <c r="BM152" s="23">
        <f>+BM187*BM18/90</f>
        <v>918.62162596502071</v>
      </c>
      <c r="BN152" s="23">
        <f>+'QTR Raw'!AH81</f>
        <v>905.22</v>
      </c>
      <c r="BO152" s="23">
        <f>+BO187*BO18/90</f>
        <v>1051.0450585122865</v>
      </c>
      <c r="BP152" s="23">
        <f>+'QTR Raw'!AJ81</f>
        <v>1148.44</v>
      </c>
      <c r="BQ152" s="23">
        <f>+BQ187*BQ18/90</f>
        <v>1299.2809040778338</v>
      </c>
      <c r="BR152" s="23">
        <f>+'QTR Raw'!AL81</f>
        <v>1575.45</v>
      </c>
      <c r="BS152" s="23">
        <f>+BS187*BS18/90</f>
        <v>1426.5670571487253</v>
      </c>
      <c r="BT152" s="23">
        <f>+'QTR Raw'!AN81</f>
        <v>1895.88</v>
      </c>
      <c r="BU152" s="23">
        <f>+BU187*BU18/90</f>
        <v>1620.6380735865989</v>
      </c>
      <c r="BV152" s="23">
        <f>+'QTR Raw'!AP81</f>
        <v>1760.3</v>
      </c>
      <c r="BW152" s="23">
        <f>+BW187*BW18/90</f>
        <v>1901.276701080129</v>
      </c>
      <c r="BX152" s="23">
        <f>+'QTR Raw'!AR81</f>
        <v>2261.35</v>
      </c>
      <c r="BY152" s="23">
        <f>+BY187*BY18/90</f>
        <v>2216.7655781812177</v>
      </c>
      <c r="BZ152" s="23">
        <f>+'QTR Raw'!AT81</f>
        <v>1684.81</v>
      </c>
      <c r="CA152" s="23">
        <f>+CA187*CA18/90</f>
        <v>1441.8796508798609</v>
      </c>
      <c r="CB152" s="23">
        <f>+'QTR Raw'!AV81</f>
        <v>1865.53</v>
      </c>
      <c r="CC152" s="23">
        <f>+CC187*CC18/90</f>
        <v>1820.5391053942587</v>
      </c>
      <c r="CD152" s="23">
        <f>+'QTR Raw'!AX81</f>
        <v>1845.41</v>
      </c>
      <c r="CE152" s="23">
        <f>+CE187*CE18/90</f>
        <v>1531.6696625615593</v>
      </c>
      <c r="CF152" s="23">
        <f>+'QTR Raw'!AZ81</f>
        <v>2107.13</v>
      </c>
      <c r="CG152" s="23">
        <f>+CG187*CG18/90</f>
        <v>2436.6219714799381</v>
      </c>
      <c r="CH152" s="23">
        <f t="shared" si="1207"/>
        <v>1936.54</v>
      </c>
      <c r="CI152" s="23">
        <f>+CI187*CI18/90</f>
        <v>1766.8633888275301</v>
      </c>
      <c r="CJ152" s="23">
        <f>+'QTR Raw'!BD81</f>
        <v>2020.96</v>
      </c>
      <c r="CK152" s="23">
        <f t="shared" ref="CK152:DB152" si="1230">+CK187*CK18/90</f>
        <v>2173.5217200191114</v>
      </c>
      <c r="CL152" s="23">
        <f>+'QTR Raw'!BF81</f>
        <v>2342.16</v>
      </c>
      <c r="CM152" s="24">
        <f t="shared" si="1230"/>
        <v>2333.6728262667189</v>
      </c>
      <c r="CN152" s="24">
        <f t="shared" si="1230"/>
        <v>2458.417278647803</v>
      </c>
      <c r="CO152" s="24">
        <f t="shared" si="1230"/>
        <v>2644.0025294965139</v>
      </c>
      <c r="CP152" s="24">
        <f t="shared" si="1230"/>
        <v>2693.4839999999999</v>
      </c>
      <c r="CQ152" s="24">
        <f t="shared" si="1230"/>
        <v>2683.7237502067264</v>
      </c>
      <c r="CR152" s="24">
        <f t="shared" si="1230"/>
        <v>2827.1798704449729</v>
      </c>
      <c r="CS152" s="24">
        <f t="shared" si="1230"/>
        <v>3040.602908920991</v>
      </c>
      <c r="CT152" s="24">
        <f t="shared" si="1230"/>
        <v>3097.5065999999997</v>
      </c>
      <c r="CU152" s="24">
        <f t="shared" si="1230"/>
        <v>3086.2823127377351</v>
      </c>
      <c r="CV152" s="24">
        <f t="shared" si="1230"/>
        <v>3251.2568510117189</v>
      </c>
      <c r="CW152" s="24">
        <f t="shared" si="1230"/>
        <v>3496.6933452591397</v>
      </c>
      <c r="CX152" s="24">
        <f t="shared" si="1230"/>
        <v>3562.1325899999997</v>
      </c>
      <c r="CY152" s="24">
        <f t="shared" si="1230"/>
        <v>3549.224659648396</v>
      </c>
      <c r="CZ152" s="24">
        <f t="shared" si="1230"/>
        <v>3738.9453786634763</v>
      </c>
      <c r="DA152" s="24">
        <f t="shared" si="1230"/>
        <v>4021.1973470480102</v>
      </c>
      <c r="DB152" s="24">
        <f t="shared" si="1230"/>
        <v>4096.4524784999994</v>
      </c>
      <c r="DE152" s="123"/>
      <c r="DF152" s="23">
        <v>2342.16</v>
      </c>
    </row>
    <row r="153" spans="1:110" s="23" customFormat="1" outlineLevel="1" x14ac:dyDescent="0.2">
      <c r="A153" s="23" t="s">
        <v>62</v>
      </c>
      <c r="B153" s="23">
        <f>'Annual Raw'!C77</f>
        <v>0</v>
      </c>
      <c r="C153" s="23">
        <f>'Annual Raw'!D77</f>
        <v>0</v>
      </c>
      <c r="D153" s="23">
        <f>'Annual Raw'!E77</f>
        <v>0</v>
      </c>
      <c r="E153" s="23">
        <f>'Annual Raw'!F77</f>
        <v>0</v>
      </c>
      <c r="F153" s="23">
        <f>'Annual Raw'!G77</f>
        <v>0</v>
      </c>
      <c r="G153" s="23">
        <f>'Annual Raw'!H77</f>
        <v>0</v>
      </c>
      <c r="H153" s="23">
        <f>'Annual Raw'!I77</f>
        <v>0</v>
      </c>
      <c r="I153" s="23">
        <f>'Annual Raw'!J77</f>
        <v>0</v>
      </c>
      <c r="J153" s="23">
        <f>'Annual Raw'!K77</f>
        <v>0</v>
      </c>
      <c r="K153" s="23">
        <f>'Annual Raw'!L77</f>
        <v>0</v>
      </c>
      <c r="L153" s="23">
        <f>'Annual Raw'!M77</f>
        <v>0</v>
      </c>
      <c r="M153" s="23">
        <f>'Annual Raw'!N77</f>
        <v>148.31399999999999</v>
      </c>
      <c r="N153" s="23">
        <f>'Annual Raw'!O77</f>
        <v>156.696</v>
      </c>
      <c r="O153" s="23">
        <f>'Annual Raw'!P77</f>
        <v>194.876</v>
      </c>
      <c r="P153" s="23">
        <f>'Annual Raw'!Q77</f>
        <v>285.06599999999997</v>
      </c>
      <c r="Q153" s="23">
        <f>'Annual Raw'!R77</f>
        <v>444.85700000000003</v>
      </c>
      <c r="R153" s="23">
        <f>'Annual Raw'!S77</f>
        <v>567.60500000000002</v>
      </c>
      <c r="S153" s="23">
        <f>'Annual Raw'!T77</f>
        <v>570.58699999999999</v>
      </c>
      <c r="T153" s="23">
        <f>'Annual Raw'!U77</f>
        <v>709.94</v>
      </c>
      <c r="U153" s="23">
        <f>'Annual Raw'!V77</f>
        <v>791.42</v>
      </c>
      <c r="V153" s="23">
        <f>'Annual Raw'!W77</f>
        <v>1306.06</v>
      </c>
      <c r="W153" s="23">
        <f>'Annual Raw'!X77</f>
        <v>1354.18</v>
      </c>
      <c r="X153" s="23">
        <f>'Annual Raw'!Y77</f>
        <v>1580.44</v>
      </c>
      <c r="Y153" s="23">
        <f>'Annual Raw'!Z77</f>
        <v>1662.92</v>
      </c>
      <c r="Z153" s="23">
        <f>'Annual Raw'!AA77</f>
        <v>2007.16</v>
      </c>
      <c r="AA153" s="23">
        <f>'Annual Raw'!AB77</f>
        <v>2155.04</v>
      </c>
      <c r="AB153" s="24">
        <f t="shared" si="1225"/>
        <v>2478.2959999999998</v>
      </c>
      <c r="AC153" s="24">
        <f t="shared" si="1226"/>
        <v>2850.0403999999999</v>
      </c>
      <c r="AD153" s="24">
        <f t="shared" si="1227"/>
        <v>3277.54646</v>
      </c>
      <c r="AE153" s="24">
        <f t="shared" si="1228"/>
        <v>3769.1784289999996</v>
      </c>
      <c r="AJ153" s="23">
        <f>+'QTR Raw'!D82</f>
        <v>0</v>
      </c>
      <c r="AK153" s="23" t="e">
        <f>+AK188*AK18/90</f>
        <v>#DIV/0!</v>
      </c>
      <c r="AL153" s="23">
        <f>+'QTR Raw'!F82</f>
        <v>0</v>
      </c>
      <c r="AM153" s="23" t="e">
        <f>+AM188*AM18/90</f>
        <v>#DIV/0!</v>
      </c>
      <c r="AN153" s="23">
        <f>+'QTR Raw'!H82</f>
        <v>0</v>
      </c>
      <c r="AO153" s="23" t="e">
        <f>+AO188*AO18/90</f>
        <v>#DIV/0!</v>
      </c>
      <c r="AP153" s="23">
        <f>+'QTR Raw'!J82</f>
        <v>0</v>
      </c>
      <c r="AQ153" s="23" t="e">
        <f>+AQ188*AQ18/90</f>
        <v>#DIV/0!</v>
      </c>
      <c r="AR153" s="23">
        <f>+'QTR Raw'!L82</f>
        <v>0</v>
      </c>
      <c r="AS153" s="23" t="e">
        <f>+AS188*AS18/90</f>
        <v>#DIV/0!</v>
      </c>
      <c r="AT153" s="23">
        <f>+'QTR Raw'!N82</f>
        <v>0</v>
      </c>
      <c r="AU153" s="23" t="e">
        <f>+AU188*AU18/90</f>
        <v>#DIV/0!</v>
      </c>
      <c r="AV153" s="23">
        <f>+'QTR Raw'!P82</f>
        <v>0</v>
      </c>
      <c r="AW153" s="23" t="e">
        <f>+AW188*AW18/90</f>
        <v>#DIV/0!</v>
      </c>
      <c r="AX153" s="23">
        <f>+'QTR Raw'!R82</f>
        <v>444.85700000000003</v>
      </c>
      <c r="AY153" s="23">
        <f>+AY188*AY18/90</f>
        <v>371.13382371385063</v>
      </c>
      <c r="AZ153" s="23">
        <f>+'QTR Raw'!T82</f>
        <v>0</v>
      </c>
      <c r="BA153" s="23">
        <f>+BA188*BA18/90</f>
        <v>0</v>
      </c>
      <c r="BB153" s="23">
        <f>+'QTR Raw'!V82</f>
        <v>567.60500000000002</v>
      </c>
      <c r="BC153" s="23">
        <f>+BC188*BC18/90</f>
        <v>565.79663264349324</v>
      </c>
      <c r="BD153" s="23">
        <f>+'QTR Raw'!X82</f>
        <v>676.005</v>
      </c>
      <c r="BE153" s="23">
        <f>+BE188*BE18/90</f>
        <v>601.10237584708784</v>
      </c>
      <c r="BF153" s="23">
        <f>+'QTR Raw'!Z82</f>
        <v>570.58699999999999</v>
      </c>
      <c r="BG153" s="23">
        <f>+BG188*BG18/90</f>
        <v>548.97203516171646</v>
      </c>
      <c r="BH153" s="23">
        <f>+'QTR Raw'!AB82</f>
        <v>689.20899999999995</v>
      </c>
      <c r="BI153" s="23">
        <f>+BI188*BI18/90</f>
        <v>620.29290341350486</v>
      </c>
      <c r="BJ153" s="23">
        <f>+'QTR Raw'!AD82</f>
        <v>709.94</v>
      </c>
      <c r="BK153" s="23">
        <f>+BK188*BK18/90</f>
        <v>615.38990240269811</v>
      </c>
      <c r="BL153" s="23">
        <f>+'QTR Raw'!AF82</f>
        <v>714.69100000000003</v>
      </c>
      <c r="BM153" s="23">
        <f>+BM188*BM18/90</f>
        <v>731.91573326127855</v>
      </c>
      <c r="BN153" s="23">
        <f>+'QTR Raw'!AH82</f>
        <v>791.42</v>
      </c>
      <c r="BO153" s="23">
        <f>+BO188*BO18/90</f>
        <v>918.9126181566844</v>
      </c>
      <c r="BP153" s="23">
        <f>+'QTR Raw'!AJ82</f>
        <v>885.5</v>
      </c>
      <c r="BQ153" s="23">
        <f>+BQ188*BQ18/90</f>
        <v>1001.805266762671</v>
      </c>
      <c r="BR153" s="23">
        <f>+'QTR Raw'!AL82</f>
        <v>1306.06</v>
      </c>
      <c r="BS153" s="23">
        <f>+BS188*BS18/90</f>
        <v>1182.6349110791612</v>
      </c>
      <c r="BT153" s="23">
        <f>+'QTR Raw'!AN82</f>
        <v>1048.23</v>
      </c>
      <c r="BU153" s="23">
        <f>+BU188*BU18/90</f>
        <v>896.04903679329936</v>
      </c>
      <c r="BV153" s="23">
        <f>+'QTR Raw'!AP82</f>
        <v>1354.18</v>
      </c>
      <c r="BW153" s="23">
        <f>+BW188*BW18/90</f>
        <v>1462.6318713109636</v>
      </c>
      <c r="BX153" s="23">
        <f>+'QTR Raw'!AR82</f>
        <v>1732.35</v>
      </c>
      <c r="BY153" s="23">
        <f>+BY188*BY18/90</f>
        <v>1698.1952591868719</v>
      </c>
      <c r="BZ153" s="23">
        <f>+'QTR Raw'!AT82</f>
        <v>1580.44</v>
      </c>
      <c r="CA153" s="23">
        <f>+CA188*CA18/90</f>
        <v>1352.5586122094285</v>
      </c>
      <c r="CB153" s="23">
        <f>+'QTR Raw'!AV82</f>
        <v>1548.75</v>
      </c>
      <c r="CC153" s="23">
        <f>+CC188*CC18/90</f>
        <v>1511.3988729633713</v>
      </c>
      <c r="CD153" s="23">
        <f>+'QTR Raw'!AX82</f>
        <v>1662.92</v>
      </c>
      <c r="CE153" s="23">
        <f>+CE188*CE18/90</f>
        <v>1380.2050033688274</v>
      </c>
      <c r="CF153" s="23">
        <f>+'QTR Raw'!AZ82</f>
        <v>1749.96</v>
      </c>
      <c r="CG153" s="23">
        <f>+CG188*CG18/90</f>
        <v>2023.6012895317481</v>
      </c>
      <c r="CH153" s="23">
        <f t="shared" si="1207"/>
        <v>2007.16</v>
      </c>
      <c r="CI153" s="23">
        <f>+CI188*CI18/90</f>
        <v>1831.2957746904613</v>
      </c>
      <c r="CJ153" s="23">
        <f>+'QTR Raw'!BD82</f>
        <v>1859.44</v>
      </c>
      <c r="CK153" s="23">
        <f t="shared" ref="CK153:DB153" si="1231">+CK188*CK18/90</f>
        <v>1999.8086192068799</v>
      </c>
      <c r="CL153" s="23">
        <f>+'QTR Raw'!BF82</f>
        <v>2155.04</v>
      </c>
      <c r="CM153" s="24">
        <f t="shared" si="1231"/>
        <v>2147.2308841060517</v>
      </c>
      <c r="CN153" s="24">
        <f t="shared" si="1231"/>
        <v>2262.0092445337473</v>
      </c>
      <c r="CO153" s="24">
        <f t="shared" si="1231"/>
        <v>2432.7677063762371</v>
      </c>
      <c r="CP153" s="24">
        <f t="shared" si="1231"/>
        <v>2478.2959999999998</v>
      </c>
      <c r="CQ153" s="24">
        <f t="shared" si="1231"/>
        <v>2469.3155167219593</v>
      </c>
      <c r="CR153" s="24">
        <f t="shared" si="1231"/>
        <v>2601.3106312138088</v>
      </c>
      <c r="CS153" s="24">
        <f t="shared" si="1231"/>
        <v>2797.6828623326728</v>
      </c>
      <c r="CT153" s="24">
        <f t="shared" si="1231"/>
        <v>2850.0403999999999</v>
      </c>
      <c r="CU153" s="24">
        <f t="shared" si="1231"/>
        <v>2839.7128442302533</v>
      </c>
      <c r="CV153" s="24">
        <f t="shared" si="1231"/>
        <v>2991.5072258958799</v>
      </c>
      <c r="CW153" s="24">
        <f t="shared" si="1231"/>
        <v>3217.3352916825738</v>
      </c>
      <c r="CX153" s="24">
        <f t="shared" si="1231"/>
        <v>3277.54646</v>
      </c>
      <c r="CY153" s="24">
        <f t="shared" si="1231"/>
        <v>3265.6697708647912</v>
      </c>
      <c r="CZ153" s="24">
        <f t="shared" si="1231"/>
        <v>3440.2333097802625</v>
      </c>
      <c r="DA153" s="24">
        <f t="shared" si="1231"/>
        <v>3699.9355854349592</v>
      </c>
      <c r="DB153" s="24">
        <f t="shared" si="1231"/>
        <v>3769.1784289999996</v>
      </c>
      <c r="DE153" s="123"/>
      <c r="DF153" s="23">
        <v>2155.04</v>
      </c>
    </row>
    <row r="154" spans="1:110" s="23" customFormat="1" outlineLevel="1" x14ac:dyDescent="0.2">
      <c r="A154" s="23" t="s">
        <v>63</v>
      </c>
      <c r="B154" s="23">
        <f>'Annual Raw'!C79</f>
        <v>0</v>
      </c>
      <c r="C154" s="23">
        <f>'Annual Raw'!D79</f>
        <v>0</v>
      </c>
      <c r="D154" s="23">
        <f>'Annual Raw'!E79</f>
        <v>0</v>
      </c>
      <c r="E154" s="23">
        <f>'Annual Raw'!F79</f>
        <v>0</v>
      </c>
      <c r="F154" s="23">
        <f>'Annual Raw'!G79</f>
        <v>0</v>
      </c>
      <c r="G154" s="23">
        <f>'Annual Raw'!H79</f>
        <v>0</v>
      </c>
      <c r="H154" s="23">
        <f>'Annual Raw'!I79</f>
        <v>0</v>
      </c>
      <c r="I154" s="23">
        <f>'Annual Raw'!J79</f>
        <v>0</v>
      </c>
      <c r="J154" s="23">
        <f>'Annual Raw'!K79</f>
        <v>0</v>
      </c>
      <c r="K154" s="23">
        <f>'Annual Raw'!L79</f>
        <v>0</v>
      </c>
      <c r="L154" s="23">
        <f>'Annual Raw'!M79</f>
        <v>0</v>
      </c>
      <c r="M154" s="23">
        <f>'Annual Raw'!N79</f>
        <v>6.9820000000000002</v>
      </c>
      <c r="N154" s="23">
        <f>'Annual Raw'!O79</f>
        <v>7.117</v>
      </c>
      <c r="O154" s="23">
        <f>'Annual Raw'!P79</f>
        <v>8.8409999999999993</v>
      </c>
      <c r="P154" s="23">
        <f>'Annual Raw'!Q79</f>
        <v>20.07</v>
      </c>
      <c r="Q154" s="23">
        <f>'Annual Raw'!R79</f>
        <v>18.145</v>
      </c>
      <c r="R154" s="23">
        <f>'Annual Raw'!S79</f>
        <v>34.167000000000002</v>
      </c>
      <c r="S154" s="23">
        <f>'Annual Raw'!T79</f>
        <v>30.600999999999999</v>
      </c>
      <c r="T154" s="23">
        <f>'Annual Raw'!U79</f>
        <v>32.838000000000001</v>
      </c>
      <c r="U154" s="23">
        <f>'Annual Raw'!V79</f>
        <v>51.77</v>
      </c>
      <c r="V154" s="23">
        <f>'Annual Raw'!W79</f>
        <v>56.5</v>
      </c>
      <c r="W154" s="23">
        <f>'Annual Raw'!X79</f>
        <v>19.71</v>
      </c>
      <c r="X154" s="23">
        <f>'Annual Raw'!Y79</f>
        <v>39.07</v>
      </c>
      <c r="Y154" s="23">
        <f>'Annual Raw'!Z79</f>
        <v>37.83</v>
      </c>
      <c r="Z154" s="23">
        <f>'Annual Raw'!AA79</f>
        <v>37.35</v>
      </c>
      <c r="AA154" s="23">
        <f>'Annual Raw'!AB79</f>
        <v>34.17</v>
      </c>
      <c r="AB154" s="24">
        <f t="shared" si="1225"/>
        <v>781.78150000000062</v>
      </c>
      <c r="AC154" s="24">
        <f t="shared" si="1226"/>
        <v>899.04872500000079</v>
      </c>
      <c r="AD154" s="24">
        <f t="shared" si="1227"/>
        <v>1033.9060337500007</v>
      </c>
      <c r="AE154" s="24">
        <f t="shared" si="1228"/>
        <v>1188.9919388125008</v>
      </c>
      <c r="AJ154" s="23">
        <f>+'QTR Raw'!D84</f>
        <v>0</v>
      </c>
      <c r="AK154" s="23">
        <f t="shared" si="1229"/>
        <v>0</v>
      </c>
      <c r="AL154" s="23">
        <f>+'QTR Raw'!F84</f>
        <v>0</v>
      </c>
      <c r="AM154" s="23">
        <f t="shared" si="1229"/>
        <v>0</v>
      </c>
      <c r="AN154" s="23">
        <f>+'QTR Raw'!H84</f>
        <v>0</v>
      </c>
      <c r="AO154" s="23">
        <f t="shared" si="1229"/>
        <v>0</v>
      </c>
      <c r="AP154" s="23">
        <f>+'QTR Raw'!J84</f>
        <v>0</v>
      </c>
      <c r="AQ154" s="23">
        <f t="shared" si="1229"/>
        <v>0</v>
      </c>
      <c r="AR154" s="23">
        <f>+'QTR Raw'!L84</f>
        <v>0</v>
      </c>
      <c r="AS154" s="23">
        <f t="shared" si="1229"/>
        <v>0</v>
      </c>
      <c r="AT154" s="23">
        <f>+'QTR Raw'!N84</f>
        <v>0</v>
      </c>
      <c r="AU154" s="23">
        <f t="shared" si="1229"/>
        <v>0</v>
      </c>
      <c r="AV154" s="23">
        <f>+'QTR Raw'!P84</f>
        <v>0</v>
      </c>
      <c r="AW154" s="23">
        <f t="shared" si="1229"/>
        <v>0</v>
      </c>
      <c r="AX154" s="23">
        <f>+'QTR Raw'!R84</f>
        <v>41.426000000000002</v>
      </c>
      <c r="AY154" s="23">
        <f t="shared" si="1229"/>
        <v>41.426000000000002</v>
      </c>
      <c r="AZ154" s="23">
        <f>+'QTR Raw'!T84</f>
        <v>0</v>
      </c>
      <c r="BA154" s="23">
        <f t="shared" si="1229"/>
        <v>0</v>
      </c>
      <c r="BB154" s="23">
        <f>+'QTR Raw'!V84</f>
        <v>58.8</v>
      </c>
      <c r="BC154" s="23">
        <f t="shared" si="1229"/>
        <v>58.8</v>
      </c>
      <c r="BD154" s="23">
        <f>+'QTR Raw'!X84</f>
        <v>87.971000000000004</v>
      </c>
      <c r="BE154" s="23">
        <f t="shared" si="1229"/>
        <v>87.971000000000004</v>
      </c>
      <c r="BF154" s="23">
        <f>+'QTR Raw'!Z84</f>
        <v>88.338999999999999</v>
      </c>
      <c r="BG154" s="23">
        <f t="shared" si="1229"/>
        <v>88.338999999999999</v>
      </c>
      <c r="BH154" s="23">
        <f>+'QTR Raw'!AB84</f>
        <v>86.772000000000006</v>
      </c>
      <c r="BI154" s="23">
        <f t="shared" si="1229"/>
        <v>86.772000000000006</v>
      </c>
      <c r="BJ154" s="23">
        <f>+'QTR Raw'!AD84</f>
        <v>67.643000000000001</v>
      </c>
      <c r="BK154" s="23">
        <f t="shared" si="1229"/>
        <v>67.643000000000001</v>
      </c>
      <c r="BL154" s="23">
        <f>+'QTR Raw'!AF84</f>
        <v>102.63200000000001</v>
      </c>
      <c r="BM154" s="23">
        <f t="shared" si="1229"/>
        <v>102.63200000000001</v>
      </c>
      <c r="BN154" s="23">
        <f>+'QTR Raw'!AH84</f>
        <v>113.19</v>
      </c>
      <c r="BO154" s="23">
        <f t="shared" si="1229"/>
        <v>113.19</v>
      </c>
      <c r="BP154" s="23">
        <f>+'QTR Raw'!AJ84</f>
        <v>114.4</v>
      </c>
      <c r="BQ154" s="23">
        <f t="shared" si="1229"/>
        <v>114.4</v>
      </c>
      <c r="BR154" s="23">
        <f>+'QTR Raw'!AL84</f>
        <v>144.21</v>
      </c>
      <c r="BS154" s="23">
        <f t="shared" si="1229"/>
        <v>144.21</v>
      </c>
      <c r="BT154" s="23">
        <f>+'QTR Raw'!AN84</f>
        <v>173.56</v>
      </c>
      <c r="BU154" s="23">
        <f t="shared" si="1229"/>
        <v>173.56</v>
      </c>
      <c r="BV154" s="23">
        <f>+'QTR Raw'!AP84</f>
        <v>153.55000000000001</v>
      </c>
      <c r="BW154" s="23">
        <f t="shared" si="1229"/>
        <v>153.55000000000001</v>
      </c>
      <c r="BX154" s="23">
        <f>+'QTR Raw'!AR84</f>
        <v>126.43</v>
      </c>
      <c r="BY154" s="23">
        <f t="shared" si="1229"/>
        <v>126.43</v>
      </c>
      <c r="BZ154" s="23">
        <f>+'QTR Raw'!AT84</f>
        <v>147</v>
      </c>
      <c r="CA154" s="23">
        <f t="shared" si="1229"/>
        <v>147</v>
      </c>
      <c r="CB154" s="23">
        <f>+'QTR Raw'!AV84</f>
        <v>185.6</v>
      </c>
      <c r="CC154" s="23">
        <f t="shared" si="1229"/>
        <v>185.6</v>
      </c>
      <c r="CD154" s="23">
        <f>+'QTR Raw'!AX84</f>
        <v>184.04</v>
      </c>
      <c r="CE154" s="23">
        <f t="shared" si="1229"/>
        <v>184.04</v>
      </c>
      <c r="CF154" s="23">
        <f>+'QTR Raw'!AZ84</f>
        <v>216.9</v>
      </c>
      <c r="CG154" s="23">
        <f t="shared" ref="CG154:CG155" si="1232">+CF154</f>
        <v>216.9</v>
      </c>
      <c r="CH154" s="23">
        <f t="shared" si="1207"/>
        <v>37.35</v>
      </c>
      <c r="CI154" s="23">
        <f>CI18/90*CI189</f>
        <v>394.89698738592125</v>
      </c>
      <c r="CJ154" s="23">
        <f>+'QTR Raw'!BD84</f>
        <v>246.19</v>
      </c>
      <c r="CK154" s="23">
        <f t="shared" ref="CK154:DB154" si="1233">CK18/90*CK189</f>
        <v>650.75732441471519</v>
      </c>
      <c r="CL154" s="23">
        <f>+'QTR Raw'!BF84</f>
        <v>217.38</v>
      </c>
      <c r="CM154" s="24">
        <f t="shared" si="1233"/>
        <v>677.34660485380141</v>
      </c>
      <c r="CN154" s="24">
        <f t="shared" si="1233"/>
        <v>713.5535788321738</v>
      </c>
      <c r="CO154" s="24">
        <f t="shared" si="1233"/>
        <v>767.41954417163072</v>
      </c>
      <c r="CP154" s="24">
        <f t="shared" si="1233"/>
        <v>781.78150000000062</v>
      </c>
      <c r="CQ154" s="24">
        <f t="shared" si="1233"/>
        <v>778.94859558187147</v>
      </c>
      <c r="CR154" s="24">
        <f t="shared" si="1233"/>
        <v>820.58661565699981</v>
      </c>
      <c r="CS154" s="24">
        <f t="shared" si="1233"/>
        <v>882.53247579737535</v>
      </c>
      <c r="CT154" s="24">
        <f t="shared" si="1233"/>
        <v>899.04872500000079</v>
      </c>
      <c r="CU154" s="24">
        <f t="shared" si="1233"/>
        <v>895.79088491915218</v>
      </c>
      <c r="CV154" s="24">
        <f t="shared" si="1233"/>
        <v>943.67460800554977</v>
      </c>
      <c r="CW154" s="24">
        <f t="shared" si="1233"/>
        <v>1014.9123471669816</v>
      </c>
      <c r="CX154" s="24">
        <f t="shared" si="1233"/>
        <v>1033.9060337500007</v>
      </c>
      <c r="CY154" s="24">
        <f t="shared" si="1233"/>
        <v>1030.1595176570252</v>
      </c>
      <c r="CZ154" s="24">
        <f t="shared" si="1233"/>
        <v>1085.2257992063821</v>
      </c>
      <c r="DA154" s="24">
        <f t="shared" si="1233"/>
        <v>1167.1491992420285</v>
      </c>
      <c r="DB154" s="24">
        <f t="shared" si="1233"/>
        <v>1188.9919388125008</v>
      </c>
      <c r="DE154" s="123"/>
      <c r="DF154" s="23">
        <v>217.38</v>
      </c>
    </row>
    <row r="155" spans="1:110" s="23" customFormat="1" outlineLevel="1" x14ac:dyDescent="0.2">
      <c r="A155" s="23" t="s">
        <v>64</v>
      </c>
      <c r="B155" s="23">
        <f>'Annual Raw'!C80</f>
        <v>0</v>
      </c>
      <c r="C155" s="23">
        <f>'Annual Raw'!D80</f>
        <v>0</v>
      </c>
      <c r="D155" s="23">
        <f>'Annual Raw'!E80</f>
        <v>0</v>
      </c>
      <c r="E155" s="23">
        <f>'Annual Raw'!F80</f>
        <v>0</v>
      </c>
      <c r="F155" s="23">
        <f>'Annual Raw'!G80</f>
        <v>0</v>
      </c>
      <c r="G155" s="23">
        <f>'Annual Raw'!H80</f>
        <v>0</v>
      </c>
      <c r="H155" s="23">
        <f>'Annual Raw'!I80</f>
        <v>0</v>
      </c>
      <c r="I155" s="23">
        <f>'Annual Raw'!J80</f>
        <v>0</v>
      </c>
      <c r="J155" s="23">
        <f>'Annual Raw'!K80</f>
        <v>0</v>
      </c>
      <c r="K155" s="23">
        <f>'Annual Raw'!L80</f>
        <v>0</v>
      </c>
      <c r="L155" s="23">
        <f>'Annual Raw'!M80</f>
        <v>0</v>
      </c>
      <c r="M155" s="23">
        <f>'Annual Raw'!N80</f>
        <v>6.5910000000000002</v>
      </c>
      <c r="N155" s="23">
        <f>'Annual Raw'!O80</f>
        <v>9.0470000000000006</v>
      </c>
      <c r="O155" s="23">
        <f>'Annual Raw'!P80</f>
        <v>19.803000000000001</v>
      </c>
      <c r="P155" s="23">
        <f>'Annual Raw'!Q80</f>
        <v>22.751000000000001</v>
      </c>
      <c r="Q155" s="23">
        <f>'Annual Raw'!R80</f>
        <v>23.864000000000001</v>
      </c>
      <c r="R155" s="23">
        <f>'Annual Raw'!S80</f>
        <v>24.91</v>
      </c>
      <c r="S155" s="23">
        <f>'Annual Raw'!T80</f>
        <v>58.564</v>
      </c>
      <c r="T155" s="23">
        <f>'Annual Raw'!U80</f>
        <v>35.222000000000001</v>
      </c>
      <c r="U155" s="23">
        <f>'Annual Raw'!V80</f>
        <v>61.91</v>
      </c>
      <c r="V155" s="23">
        <f>'Annual Raw'!W80</f>
        <v>88.39</v>
      </c>
      <c r="W155" s="23">
        <f>'Annual Raw'!X80</f>
        <v>134.47999999999999</v>
      </c>
      <c r="X155" s="23">
        <f>'Annual Raw'!Y80</f>
        <v>108.9</v>
      </c>
      <c r="Y155" s="23">
        <f>'Annual Raw'!Z80</f>
        <v>147.16</v>
      </c>
      <c r="Z155" s="23">
        <f>'Annual Raw'!AA80</f>
        <v>207.06</v>
      </c>
      <c r="AA155" s="23">
        <f>'Annual Raw'!AB80</f>
        <v>184.14</v>
      </c>
      <c r="AB155" s="24">
        <f t="shared" si="1225"/>
        <v>0</v>
      </c>
      <c r="AC155" s="24">
        <f t="shared" si="1226"/>
        <v>0</v>
      </c>
      <c r="AD155" s="24">
        <f t="shared" si="1227"/>
        <v>0</v>
      </c>
      <c r="AE155" s="24">
        <f t="shared" si="1228"/>
        <v>0</v>
      </c>
      <c r="AJ155" s="23">
        <f>+'QTR Raw'!D85</f>
        <v>0</v>
      </c>
      <c r="AK155" s="23">
        <f t="shared" si="1229"/>
        <v>0</v>
      </c>
      <c r="AL155" s="23">
        <f>+'QTR Raw'!F85</f>
        <v>0</v>
      </c>
      <c r="AM155" s="23">
        <f t="shared" si="1229"/>
        <v>0</v>
      </c>
      <c r="AN155" s="23">
        <f>+'QTR Raw'!H85</f>
        <v>0</v>
      </c>
      <c r="AO155" s="23">
        <f t="shared" si="1229"/>
        <v>0</v>
      </c>
      <c r="AP155" s="23">
        <f>+'QTR Raw'!J85</f>
        <v>0</v>
      </c>
      <c r="AQ155" s="23">
        <f t="shared" si="1229"/>
        <v>0</v>
      </c>
      <c r="AR155" s="23">
        <f>+'QTR Raw'!L85</f>
        <v>0</v>
      </c>
      <c r="AS155" s="23">
        <f t="shared" si="1229"/>
        <v>0</v>
      </c>
      <c r="AT155" s="23">
        <f>+'QTR Raw'!N85</f>
        <v>0</v>
      </c>
      <c r="AU155" s="23">
        <f t="shared" si="1229"/>
        <v>0</v>
      </c>
      <c r="AV155" s="23">
        <f>+'QTR Raw'!P85</f>
        <v>0</v>
      </c>
      <c r="AW155" s="23">
        <f t="shared" si="1229"/>
        <v>0</v>
      </c>
      <c r="AX155" s="23">
        <f>+'QTR Raw'!R85</f>
        <v>0.58299999999999996</v>
      </c>
      <c r="AY155" s="23">
        <f t="shared" si="1229"/>
        <v>0.58299999999999996</v>
      </c>
      <c r="AZ155" s="23">
        <f>+'QTR Raw'!T85</f>
        <v>0</v>
      </c>
      <c r="BA155" s="23">
        <f t="shared" si="1229"/>
        <v>0</v>
      </c>
      <c r="BB155" s="23">
        <f>+'QTR Raw'!V85</f>
        <v>0.27700000000000002</v>
      </c>
      <c r="BC155" s="23">
        <f t="shared" si="1229"/>
        <v>0.27700000000000002</v>
      </c>
      <c r="BD155" s="23">
        <f>+'QTR Raw'!X85</f>
        <v>0.30099999999999999</v>
      </c>
      <c r="BE155" s="23">
        <f t="shared" si="1229"/>
        <v>0.30099999999999999</v>
      </c>
      <c r="BF155" s="23">
        <f>+'QTR Raw'!Z85</f>
        <v>0.82599999999999996</v>
      </c>
      <c r="BG155" s="23">
        <f t="shared" si="1229"/>
        <v>0.82599999999999996</v>
      </c>
      <c r="BH155" s="23">
        <f>+'QTR Raw'!AB85</f>
        <v>0.79500000000000004</v>
      </c>
      <c r="BI155" s="23">
        <f t="shared" si="1229"/>
        <v>0.79500000000000004</v>
      </c>
      <c r="BJ155" s="23">
        <f>+'QTR Raw'!AD85</f>
        <v>0.41699999999999998</v>
      </c>
      <c r="BK155" s="23">
        <f t="shared" si="1229"/>
        <v>0.41699999999999998</v>
      </c>
      <c r="BL155" s="23">
        <f>+'QTR Raw'!AF85</f>
        <v>0.56000000000000005</v>
      </c>
      <c r="BM155" s="23">
        <f t="shared" si="1229"/>
        <v>0.56000000000000005</v>
      </c>
      <c r="BN155" s="23">
        <f>+'QTR Raw'!AH85</f>
        <v>0.49</v>
      </c>
      <c r="BO155" s="23">
        <f t="shared" si="1229"/>
        <v>0.49</v>
      </c>
      <c r="BP155" s="23">
        <f>+'QTR Raw'!AJ85</f>
        <v>0.52</v>
      </c>
      <c r="BQ155" s="23">
        <f t="shared" si="1229"/>
        <v>0.52</v>
      </c>
      <c r="BR155" s="23">
        <f>+'QTR Raw'!AL85</f>
        <v>0.68</v>
      </c>
      <c r="BS155" s="23">
        <f t="shared" si="1229"/>
        <v>0.68</v>
      </c>
      <c r="BT155" s="23">
        <f>+'QTR Raw'!AN85</f>
        <v>0.54</v>
      </c>
      <c r="BU155" s="23">
        <f t="shared" si="1229"/>
        <v>0.54</v>
      </c>
      <c r="BV155" s="23">
        <f>+'QTR Raw'!AP85</f>
        <v>0.64</v>
      </c>
      <c r="BW155" s="23">
        <f t="shared" si="1229"/>
        <v>0.64</v>
      </c>
      <c r="BX155" s="23">
        <f>+'QTR Raw'!AR85</f>
        <v>0.89</v>
      </c>
      <c r="BY155" s="23">
        <f t="shared" si="1229"/>
        <v>0.89</v>
      </c>
      <c r="BZ155" s="23">
        <f>+'QTR Raw'!AT85</f>
        <v>0.97</v>
      </c>
      <c r="CA155" s="23">
        <f t="shared" si="1229"/>
        <v>0.97</v>
      </c>
      <c r="CB155" s="23">
        <f>+'QTR Raw'!AV85</f>
        <v>0.89</v>
      </c>
      <c r="CC155" s="23">
        <f t="shared" si="1229"/>
        <v>0.89</v>
      </c>
      <c r="CD155" s="23">
        <f>+'QTR Raw'!AX85</f>
        <v>0.95</v>
      </c>
      <c r="CE155" s="23">
        <f t="shared" si="1229"/>
        <v>0.95</v>
      </c>
      <c r="CF155" s="23">
        <f>+'QTR Raw'!AZ85</f>
        <v>0.8</v>
      </c>
      <c r="CG155" s="23">
        <f t="shared" si="1232"/>
        <v>0.8</v>
      </c>
      <c r="CH155" s="23">
        <f t="shared" si="1207"/>
        <v>207.06</v>
      </c>
      <c r="CJ155" s="23">
        <f>+'QTR Raw'!BD85</f>
        <v>1.53</v>
      </c>
      <c r="CL155" s="23">
        <f>+'QTR Raw'!BF85</f>
        <v>0.93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0.93</v>
      </c>
    </row>
    <row r="156" spans="1:110" s="22" customFormat="1" x14ac:dyDescent="0.2">
      <c r="A156" s="22" t="s">
        <v>65</v>
      </c>
      <c r="B156" s="22">
        <f>SUM(B150:B155)</f>
        <v>0</v>
      </c>
      <c r="C156" s="22">
        <f t="shared" ref="C156:V156" si="1234">SUM(C150:C155)</f>
        <v>0</v>
      </c>
      <c r="D156" s="22">
        <f t="shared" si="1234"/>
        <v>0</v>
      </c>
      <c r="E156" s="22">
        <f t="shared" si="1234"/>
        <v>0</v>
      </c>
      <c r="F156" s="22">
        <f t="shared" si="1234"/>
        <v>0</v>
      </c>
      <c r="G156" s="22">
        <f t="shared" si="1234"/>
        <v>0</v>
      </c>
      <c r="H156" s="22">
        <f t="shared" si="1234"/>
        <v>0</v>
      </c>
      <c r="I156" s="22">
        <f t="shared" si="1234"/>
        <v>0</v>
      </c>
      <c r="J156" s="22">
        <f t="shared" si="1234"/>
        <v>0</v>
      </c>
      <c r="K156" s="22">
        <f t="shared" si="1234"/>
        <v>0</v>
      </c>
      <c r="L156" s="22">
        <f>SUM(L150:L155)</f>
        <v>0</v>
      </c>
      <c r="M156" s="22">
        <f>SUM(M150:M155)</f>
        <v>275.19900000000001</v>
      </c>
      <c r="N156" s="22">
        <f t="shared" si="1234"/>
        <v>365.75200000000001</v>
      </c>
      <c r="O156" s="22">
        <f t="shared" si="1234"/>
        <v>632.94600000000003</v>
      </c>
      <c r="P156" s="22">
        <f t="shared" si="1234"/>
        <v>909.66199999999992</v>
      </c>
      <c r="Q156" s="22">
        <f t="shared" si="1234"/>
        <v>1042.2060000000001</v>
      </c>
      <c r="R156" s="22">
        <f t="shared" si="1234"/>
        <v>1202.847</v>
      </c>
      <c r="S156" s="22">
        <f t="shared" si="1234"/>
        <v>1313.3860000000002</v>
      </c>
      <c r="T156" s="22">
        <f t="shared" si="1234"/>
        <v>1532.675</v>
      </c>
      <c r="U156" s="22">
        <f t="shared" si="1234"/>
        <v>1877.72</v>
      </c>
      <c r="V156" s="22">
        <f t="shared" si="1234"/>
        <v>3166.0299999999997</v>
      </c>
      <c r="W156" s="22">
        <f t="shared" ref="W156" si="1235">SUM(W150:W155)</f>
        <v>3395.6</v>
      </c>
      <c r="X156" s="22">
        <f t="shared" ref="X156:Y156" si="1236">SUM(X150:X155)</f>
        <v>3602.6400000000003</v>
      </c>
      <c r="Y156" s="22">
        <f t="shared" si="1236"/>
        <v>3808.55</v>
      </c>
      <c r="Z156" s="22">
        <f t="shared" ref="Z156:AA156" si="1237">SUM(Z150:Z155)</f>
        <v>4376.5200000000004</v>
      </c>
      <c r="AA156" s="22">
        <f t="shared" ref="AA156" si="1238">SUM(AA150:AA155)</f>
        <v>4944.3</v>
      </c>
      <c r="AB156" s="21">
        <f t="shared" ref="AB156:AD156" si="1239">SUM(AB150:AB155)</f>
        <v>5953.5615000000007</v>
      </c>
      <c r="AC156" s="21">
        <f t="shared" si="1239"/>
        <v>6846.5957250000001</v>
      </c>
      <c r="AD156" s="21">
        <f t="shared" si="1239"/>
        <v>7873.5850837500002</v>
      </c>
      <c r="AE156" s="21">
        <f t="shared" ref="AE156" si="1240">SUM(AE150:AE155)</f>
        <v>9054.6228463125008</v>
      </c>
      <c r="AJ156" s="22">
        <f t="shared" ref="AJ156" si="1241">SUM(AJ150:AJ155)</f>
        <v>0</v>
      </c>
      <c r="AK156" s="22" t="e">
        <f t="shared" ref="AK156" si="1242">SUM(AK150:AK155)</f>
        <v>#DIV/0!</v>
      </c>
      <c r="AL156" s="22">
        <f t="shared" ref="AL156:AM156" si="1243">SUM(AL150:AL155)</f>
        <v>0</v>
      </c>
      <c r="AM156" s="22" t="e">
        <f t="shared" si="1243"/>
        <v>#DIV/0!</v>
      </c>
      <c r="AN156" s="22">
        <f t="shared" ref="AN156:AO156" si="1244">SUM(AN150:AN155)</f>
        <v>0</v>
      </c>
      <c r="AO156" s="22" t="e">
        <f t="shared" si="1244"/>
        <v>#DIV/0!</v>
      </c>
      <c r="AP156" s="22">
        <f t="shared" ref="AP156:CE156" si="1245">SUM(AP150:AP155)</f>
        <v>0</v>
      </c>
      <c r="AQ156" s="22" t="e">
        <f t="shared" si="1245"/>
        <v>#DIV/0!</v>
      </c>
      <c r="AR156" s="22">
        <f t="shared" si="1245"/>
        <v>0</v>
      </c>
      <c r="AS156" s="22" t="e">
        <f t="shared" si="1245"/>
        <v>#DIV/0!</v>
      </c>
      <c r="AT156" s="22">
        <f t="shared" si="1245"/>
        <v>0</v>
      </c>
      <c r="AU156" s="22" t="e">
        <f t="shared" si="1245"/>
        <v>#DIV/0!</v>
      </c>
      <c r="AV156" s="22">
        <f t="shared" si="1245"/>
        <v>0</v>
      </c>
      <c r="AW156" s="22" t="e">
        <f t="shared" si="1245"/>
        <v>#DIV/0!</v>
      </c>
      <c r="AX156" s="22">
        <f t="shared" si="1245"/>
        <v>1042.2060000000001</v>
      </c>
      <c r="AY156" s="22">
        <f t="shared" si="1245"/>
        <v>887.76015753854176</v>
      </c>
      <c r="AZ156" s="22">
        <f t="shared" si="1245"/>
        <v>0</v>
      </c>
      <c r="BA156" s="22">
        <f t="shared" si="1245"/>
        <v>0</v>
      </c>
      <c r="BB156" s="22">
        <f t="shared" si="1245"/>
        <v>1202.847</v>
      </c>
      <c r="BC156" s="22">
        <f t="shared" si="1245"/>
        <v>1199.4168319733787</v>
      </c>
      <c r="BD156" s="22">
        <f t="shared" si="1245"/>
        <v>1408.2919999999999</v>
      </c>
      <c r="BE156" s="22">
        <f t="shared" si="1245"/>
        <v>1270.1884273240375</v>
      </c>
      <c r="BF156" s="22">
        <f t="shared" si="1245"/>
        <v>1313.386</v>
      </c>
      <c r="BG156" s="22">
        <f t="shared" si="1245"/>
        <v>1269.6183356293732</v>
      </c>
      <c r="BH156" s="22">
        <f t="shared" si="1245"/>
        <v>1503.625</v>
      </c>
      <c r="BI156" s="22">
        <f t="shared" si="1245"/>
        <v>1369.9045202428774</v>
      </c>
      <c r="BJ156" s="22">
        <f t="shared" si="1245"/>
        <v>1532.675</v>
      </c>
      <c r="BK156" s="22">
        <f t="shared" si="1245"/>
        <v>1347.3042557209906</v>
      </c>
      <c r="BL156" s="22">
        <f t="shared" si="1245"/>
        <v>1822.48</v>
      </c>
      <c r="BM156" s="22">
        <f t="shared" si="1245"/>
        <v>1861.3233592262993</v>
      </c>
      <c r="BN156" s="22">
        <f t="shared" si="1245"/>
        <v>1920.61</v>
      </c>
      <c r="BO156" s="22">
        <f t="shared" si="1245"/>
        <v>2193.9276766689704</v>
      </c>
      <c r="BP156" s="22">
        <f t="shared" si="1245"/>
        <v>2314.2600000000002</v>
      </c>
      <c r="BQ156" s="22">
        <f t="shared" si="1245"/>
        <v>2581.4061708405052</v>
      </c>
      <c r="BR156" s="22">
        <f t="shared" si="1245"/>
        <v>3221.19</v>
      </c>
      <c r="BS156" s="22">
        <f t="shared" si="1245"/>
        <v>2948.8819682278863</v>
      </c>
      <c r="BT156" s="22">
        <f t="shared" si="1245"/>
        <v>3395.03</v>
      </c>
      <c r="BU156" s="22">
        <f t="shared" si="1245"/>
        <v>2967.6071103798981</v>
      </c>
      <c r="BV156" s="22">
        <f t="shared" si="1245"/>
        <v>3533.65</v>
      </c>
      <c r="BW156" s="22">
        <f t="shared" si="1245"/>
        <v>3783.0785723910926</v>
      </c>
      <c r="BX156" s="22">
        <f t="shared" si="1245"/>
        <v>4407.670000000001</v>
      </c>
      <c r="BY156" s="22">
        <f t="shared" si="1245"/>
        <v>4328.9308373680906</v>
      </c>
      <c r="BZ156" s="22">
        <f t="shared" si="1245"/>
        <v>3736.0699999999997</v>
      </c>
      <c r="CA156" s="22">
        <f t="shared" si="1245"/>
        <v>3265.2582630892889</v>
      </c>
      <c r="CB156" s="22">
        <f t="shared" si="1245"/>
        <v>3878.7799999999997</v>
      </c>
      <c r="CC156" s="22">
        <f t="shared" si="1245"/>
        <v>3796.4379783576296</v>
      </c>
      <c r="CD156" s="22">
        <f t="shared" si="1245"/>
        <v>3986.87</v>
      </c>
      <c r="CE156" s="22">
        <f t="shared" si="1245"/>
        <v>3390.4146659303865</v>
      </c>
      <c r="CF156" s="22">
        <f t="shared" ref="CF156:CG156" si="1246">SUM(CF150:CF155)</f>
        <v>4371.83</v>
      </c>
      <c r="CG156" s="22">
        <f t="shared" si="1246"/>
        <v>4974.963261011686</v>
      </c>
      <c r="CH156" s="22">
        <f t="shared" ref="CH156:CI156" si="1247">SUM(CH150:CH155)</f>
        <v>4376.5200000000004</v>
      </c>
      <c r="CI156" s="22">
        <f t="shared" si="1247"/>
        <v>3993.0561509039126</v>
      </c>
      <c r="CJ156" s="22">
        <f t="shared" ref="CJ156:DB156" si="1248">SUM(CJ150:CJ155)</f>
        <v>4485.4799999999996</v>
      </c>
      <c r="CK156" s="22">
        <f t="shared" si="1248"/>
        <v>4824.0876636407065</v>
      </c>
      <c r="CL156" s="22">
        <f t="shared" ref="CL156" si="1249">SUM(CL150:CL155)</f>
        <v>5177.01</v>
      </c>
      <c r="CM156" s="21">
        <f t="shared" si="1248"/>
        <v>5158.2503152265717</v>
      </c>
      <c r="CN156" s="21">
        <f t="shared" si="1248"/>
        <v>5433.9801020137238</v>
      </c>
      <c r="CO156" s="21">
        <f t="shared" si="1248"/>
        <v>5844.1897800443821</v>
      </c>
      <c r="CP156" s="21">
        <f t="shared" si="1248"/>
        <v>5953.5615000000007</v>
      </c>
      <c r="CQ156" s="21">
        <f t="shared" si="1248"/>
        <v>5931.9878625105575</v>
      </c>
      <c r="CR156" s="21">
        <f t="shared" si="1248"/>
        <v>6249.0771173157818</v>
      </c>
      <c r="CS156" s="21">
        <f t="shared" si="1248"/>
        <v>6720.8182470510401</v>
      </c>
      <c r="CT156" s="21">
        <f t="shared" si="1248"/>
        <v>6846.5957250000001</v>
      </c>
      <c r="CU156" s="21">
        <f t="shared" si="1248"/>
        <v>6821.7860418871405</v>
      </c>
      <c r="CV156" s="21">
        <f t="shared" si="1248"/>
        <v>7186.4386849131488</v>
      </c>
      <c r="CW156" s="21">
        <f t="shared" si="1248"/>
        <v>7728.9409841086954</v>
      </c>
      <c r="CX156" s="21">
        <f t="shared" si="1248"/>
        <v>7873.5850837500002</v>
      </c>
      <c r="CY156" s="21">
        <f t="shared" si="1248"/>
        <v>7845.0539481702126</v>
      </c>
      <c r="CZ156" s="21">
        <f t="shared" si="1248"/>
        <v>8264.4044876501212</v>
      </c>
      <c r="DA156" s="21">
        <f t="shared" si="1248"/>
        <v>8888.2821317249982</v>
      </c>
      <c r="DB156" s="21">
        <f t="shared" si="1248"/>
        <v>9054.6228463125008</v>
      </c>
      <c r="DE156" s="126"/>
      <c r="DF156" s="22">
        <v>5177.01</v>
      </c>
    </row>
    <row r="157" spans="1:110" s="23" customFormat="1" outlineLevel="1" x14ac:dyDescent="0.2">
      <c r="A157" s="23" t="s">
        <v>66</v>
      </c>
      <c r="B157" s="23">
        <f>'Annual Raw'!C50+'Annual Raw'!C58</f>
        <v>0</v>
      </c>
      <c r="C157" s="23">
        <f>'Annual Raw'!D50+'Annual Raw'!D58</f>
        <v>0</v>
      </c>
      <c r="D157" s="23">
        <f>'Annual Raw'!E50+'Annual Raw'!E58</f>
        <v>0</v>
      </c>
      <c r="E157" s="23">
        <f>'Annual Raw'!F50+'Annual Raw'!F58</f>
        <v>0</v>
      </c>
      <c r="F157" s="23">
        <f>'Annual Raw'!G50+'Annual Raw'!G58</f>
        <v>0</v>
      </c>
      <c r="G157" s="23">
        <f>'Annual Raw'!H50+'Annual Raw'!H58</f>
        <v>0</v>
      </c>
      <c r="H157" s="23">
        <f>'Annual Raw'!I50+'Annual Raw'!I58</f>
        <v>0</v>
      </c>
      <c r="I157" s="23">
        <f>'Annual Raw'!J50+'Annual Raw'!J58</f>
        <v>0</v>
      </c>
      <c r="J157" s="23">
        <f>'Annual Raw'!K50+'Annual Raw'!K58</f>
        <v>0</v>
      </c>
      <c r="K157" s="23">
        <f>'Annual Raw'!L50+'Annual Raw'!L58</f>
        <v>0</v>
      </c>
      <c r="L157" s="23">
        <f>'Annual Raw'!M50+'Annual Raw'!M58</f>
        <v>0</v>
      </c>
      <c r="M157" s="23">
        <f>'Annual Raw'!N50+'Annual Raw'!N58</f>
        <v>4.181</v>
      </c>
      <c r="N157" s="23">
        <f>'Annual Raw'!O50+'Annual Raw'!O58</f>
        <v>0</v>
      </c>
      <c r="O157" s="23">
        <f>'Annual Raw'!P50+'Annual Raw'!P58</f>
        <v>0</v>
      </c>
      <c r="P157" s="23">
        <f>'Annual Raw'!Q50+'Annual Raw'!Q58</f>
        <v>44.658000000000001</v>
      </c>
      <c r="Q157" s="23">
        <f>'Annual Raw'!R50+'Annual Raw'!R58</f>
        <v>16.466000000000001</v>
      </c>
      <c r="R157" s="23">
        <f>'Annual Raw'!S50+'Annual Raw'!S58</f>
        <v>63.072000000000003</v>
      </c>
      <c r="S157" s="23">
        <f>'Annual Raw'!T50+'Annual Raw'!T58</f>
        <v>64.697000000000003</v>
      </c>
      <c r="T157" s="23">
        <f>'Annual Raw'!U50+'Annual Raw'!U58</f>
        <v>60.116</v>
      </c>
      <c r="U157" s="23">
        <f>'Annual Raw'!V50+'Annual Raw'!V58</f>
        <v>77.3</v>
      </c>
      <c r="V157" s="23">
        <f>'Annual Raw'!W50+'Annual Raw'!W58</f>
        <v>181.31</v>
      </c>
      <c r="W157" s="23">
        <f>'Annual Raw'!X50+'Annual Raw'!X58</f>
        <v>189.86</v>
      </c>
      <c r="X157" s="23">
        <f>'Annual Raw'!Y50+'Annual Raw'!Y58</f>
        <v>254.14</v>
      </c>
      <c r="Y157" s="23">
        <f>'Annual Raw'!Z50+'Annual Raw'!Z58</f>
        <v>210.44</v>
      </c>
      <c r="Z157" s="23">
        <f>'Annual Raw'!AA50+'Annual Raw'!AA58</f>
        <v>409.79</v>
      </c>
      <c r="AA157" s="23">
        <f>'Annual Raw'!AB50+'Annual Raw'!AB58</f>
        <v>671.59</v>
      </c>
      <c r="AB157" s="24">
        <f t="shared" ref="AB157:AB163" si="1250">+CP157</f>
        <v>0</v>
      </c>
      <c r="AC157" s="24">
        <f t="shared" ref="AC157:AC163" si="1251">+CT157</f>
        <v>0</v>
      </c>
      <c r="AD157" s="24">
        <f t="shared" ref="AD157:AD163" si="1252">+CX157</f>
        <v>0</v>
      </c>
      <c r="AE157" s="24">
        <f t="shared" ref="AE157:AE163" si="1253">+DB157</f>
        <v>0</v>
      </c>
      <c r="AJ157" s="23">
        <f>+'QTR Raw'!D64</f>
        <v>0</v>
      </c>
      <c r="AK157" s="23">
        <f t="shared" ref="AK157:CE163" si="1254">+AJ157</f>
        <v>0</v>
      </c>
      <c r="AL157" s="23">
        <f>+'QTR Raw'!F64</f>
        <v>0</v>
      </c>
      <c r="AM157" s="23">
        <f t="shared" si="1254"/>
        <v>0</v>
      </c>
      <c r="AN157" s="23">
        <f>+'QTR Raw'!H64</f>
        <v>0</v>
      </c>
      <c r="AO157" s="23">
        <f t="shared" si="1254"/>
        <v>0</v>
      </c>
      <c r="AP157" s="23">
        <f>+'QTR Raw'!J64</f>
        <v>0</v>
      </c>
      <c r="AQ157" s="23">
        <f t="shared" si="1254"/>
        <v>0</v>
      </c>
      <c r="AR157" s="23">
        <f>+'QTR Raw'!L64</f>
        <v>0</v>
      </c>
      <c r="AS157" s="23">
        <f t="shared" si="1254"/>
        <v>0</v>
      </c>
      <c r="AT157" s="23">
        <f>+'QTR Raw'!N64</f>
        <v>0</v>
      </c>
      <c r="AU157" s="23">
        <f t="shared" si="1254"/>
        <v>0</v>
      </c>
      <c r="AV157" s="23">
        <f>+'QTR Raw'!P64</f>
        <v>0</v>
      </c>
      <c r="AW157" s="23">
        <f t="shared" si="1254"/>
        <v>0</v>
      </c>
      <c r="AX157" s="23">
        <f>+'QTR Raw'!R64</f>
        <v>16.466000000000001</v>
      </c>
      <c r="AY157" s="23">
        <f t="shared" si="1254"/>
        <v>16.466000000000001</v>
      </c>
      <c r="AZ157" s="23">
        <f>+'QTR Raw'!T64</f>
        <v>0</v>
      </c>
      <c r="BA157" s="23">
        <f t="shared" si="1254"/>
        <v>0</v>
      </c>
      <c r="BB157" s="23">
        <f>+'QTR Raw'!V64</f>
        <v>63.072000000000003</v>
      </c>
      <c r="BC157" s="23">
        <f t="shared" si="1254"/>
        <v>63.072000000000003</v>
      </c>
      <c r="BD157" s="23">
        <f>+'QTR Raw'!X64</f>
        <v>68.150999999999996</v>
      </c>
      <c r="BE157" s="23">
        <f t="shared" si="1254"/>
        <v>68.150999999999996</v>
      </c>
      <c r="BF157" s="23">
        <f>+'QTR Raw'!Z64</f>
        <v>64.697000000000003</v>
      </c>
      <c r="BG157" s="23">
        <f t="shared" si="1254"/>
        <v>64.697000000000003</v>
      </c>
      <c r="BH157" s="23">
        <f>+'QTR Raw'!AB64</f>
        <v>72.263999999999996</v>
      </c>
      <c r="BI157" s="23">
        <f t="shared" si="1254"/>
        <v>72.263999999999996</v>
      </c>
      <c r="BJ157" s="23">
        <f>+'QTR Raw'!AD64</f>
        <v>60.116</v>
      </c>
      <c r="BK157" s="23">
        <f t="shared" si="1254"/>
        <v>60.116</v>
      </c>
      <c r="BL157" s="23">
        <f>+'QTR Raw'!AF64</f>
        <v>83.516999999999996</v>
      </c>
      <c r="BM157" s="23">
        <f t="shared" si="1254"/>
        <v>83.516999999999996</v>
      </c>
      <c r="BN157" s="23">
        <f>+'QTR Raw'!AH64</f>
        <v>77.3</v>
      </c>
      <c r="BO157" s="23">
        <f t="shared" si="1254"/>
        <v>77.3</v>
      </c>
      <c r="BP157" s="23">
        <f>+'QTR Raw'!AJ64</f>
        <v>84.77</v>
      </c>
      <c r="BQ157" s="23">
        <f t="shared" si="1254"/>
        <v>84.77</v>
      </c>
      <c r="BR157" s="23">
        <f>+'QTR Raw'!AL64</f>
        <v>181.31</v>
      </c>
      <c r="BS157" s="23">
        <f t="shared" si="1254"/>
        <v>181.31</v>
      </c>
      <c r="BT157" s="23">
        <f>+'QTR Raw'!AN64</f>
        <v>190.5</v>
      </c>
      <c r="BU157" s="23">
        <f t="shared" si="1254"/>
        <v>190.5</v>
      </c>
      <c r="BV157" s="23">
        <f>+'QTR Raw'!AP64</f>
        <v>189.86</v>
      </c>
      <c r="BW157" s="23">
        <f t="shared" si="1254"/>
        <v>189.86</v>
      </c>
      <c r="BX157" s="23">
        <f>+'QTR Raw'!AR64</f>
        <v>220.41</v>
      </c>
      <c r="BY157" s="23">
        <f t="shared" si="1254"/>
        <v>220.41</v>
      </c>
      <c r="BZ157" s="23">
        <f>+'QTR Raw'!AT64</f>
        <v>254.14</v>
      </c>
      <c r="CA157" s="23">
        <f t="shared" si="1254"/>
        <v>254.14</v>
      </c>
      <c r="CB157" s="23">
        <f>+'QTR Raw'!AV64</f>
        <v>246.37</v>
      </c>
      <c r="CC157" s="23">
        <f t="shared" si="1254"/>
        <v>246.37</v>
      </c>
      <c r="CD157" s="23">
        <f>+'QTR Raw'!AX64</f>
        <v>210.44</v>
      </c>
      <c r="CE157" s="23">
        <f t="shared" si="1254"/>
        <v>210.44</v>
      </c>
      <c r="CF157" s="23">
        <f>+'QTR Raw'!AZ64</f>
        <v>337.24</v>
      </c>
      <c r="CG157" s="23">
        <f t="shared" ref="CG157:CG160" si="1255">+CF157</f>
        <v>337.24</v>
      </c>
      <c r="CH157" s="23">
        <f t="shared" si="1207"/>
        <v>409.79</v>
      </c>
      <c r="CJ157" s="23">
        <f>+'QTR Raw'!BD64</f>
        <v>629.92999999999995</v>
      </c>
      <c r="CL157" s="23">
        <f>+'QTR Raw'!BF64</f>
        <v>671.59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671.59</v>
      </c>
    </row>
    <row r="158" spans="1:110" s="23" customFormat="1" outlineLevel="1" x14ac:dyDescent="0.2">
      <c r="A158" s="23" t="s">
        <v>67</v>
      </c>
      <c r="B158" s="23">
        <f>'Annual Raw'!C51</f>
        <v>0</v>
      </c>
      <c r="C158" s="23">
        <f>'Annual Raw'!D51</f>
        <v>0</v>
      </c>
      <c r="D158" s="23">
        <f>'Annual Raw'!E51</f>
        <v>0</v>
      </c>
      <c r="E158" s="23">
        <f>'Annual Raw'!F51</f>
        <v>0</v>
      </c>
      <c r="F158" s="23">
        <f>'Annual Raw'!G51</f>
        <v>0</v>
      </c>
      <c r="G158" s="23">
        <f>'Annual Raw'!H51</f>
        <v>0</v>
      </c>
      <c r="H158" s="23">
        <f>'Annual Raw'!I51</f>
        <v>0</v>
      </c>
      <c r="I158" s="23">
        <f>'Annual Raw'!J51</f>
        <v>0</v>
      </c>
      <c r="J158" s="23">
        <f>'Annual Raw'!K51</f>
        <v>0</v>
      </c>
      <c r="K158" s="23">
        <f>'Annual Raw'!L51</f>
        <v>0</v>
      </c>
      <c r="L158" s="23">
        <f>'Annual Raw'!M51</f>
        <v>0</v>
      </c>
      <c r="M158" s="23">
        <f>'Annual Raw'!N51</f>
        <v>0</v>
      </c>
      <c r="N158" s="23">
        <f>'Annual Raw'!O51</f>
        <v>0</v>
      </c>
      <c r="O158" s="23">
        <f>'Annual Raw'!P51</f>
        <v>0</v>
      </c>
      <c r="P158" s="23">
        <f>'Annual Raw'!Q51</f>
        <v>0</v>
      </c>
      <c r="Q158" s="23">
        <f>'Annual Raw'!R51</f>
        <v>0</v>
      </c>
      <c r="R158" s="23">
        <f>'Annual Raw'!S51</f>
        <v>0</v>
      </c>
      <c r="S158" s="23">
        <f>'Annual Raw'!T51</f>
        <v>0</v>
      </c>
      <c r="T158" s="23">
        <f>'Annual Raw'!U51</f>
        <v>0</v>
      </c>
      <c r="U158" s="23">
        <f>'Annual Raw'!V51</f>
        <v>0</v>
      </c>
      <c r="V158" s="23">
        <f>'Annual Raw'!W51</f>
        <v>0</v>
      </c>
      <c r="W158" s="23">
        <f>'Annual Raw'!X51</f>
        <v>0</v>
      </c>
      <c r="X158" s="23">
        <f>'Annual Raw'!Y51</f>
        <v>0</v>
      </c>
      <c r="Y158" s="23">
        <f>'Annual Raw'!Z51</f>
        <v>0</v>
      </c>
      <c r="Z158" s="23">
        <f>'Annual Raw'!AA51</f>
        <v>0</v>
      </c>
      <c r="AA158" s="23">
        <f>'Annual Raw'!AB51</f>
        <v>0</v>
      </c>
      <c r="AB158" s="24">
        <f t="shared" si="1250"/>
        <v>0</v>
      </c>
      <c r="AC158" s="24">
        <f t="shared" si="1251"/>
        <v>0</v>
      </c>
      <c r="AD158" s="24">
        <f t="shared" si="1252"/>
        <v>0</v>
      </c>
      <c r="AE158" s="24">
        <f t="shared" si="1253"/>
        <v>0</v>
      </c>
      <c r="AJ158" s="23">
        <f>+'QTR Raw'!D65</f>
        <v>0</v>
      </c>
      <c r="AK158" s="23">
        <f t="shared" si="1254"/>
        <v>0</v>
      </c>
      <c r="AL158" s="23">
        <f>+'QTR Raw'!F65</f>
        <v>0</v>
      </c>
      <c r="AM158" s="23">
        <f t="shared" si="1254"/>
        <v>0</v>
      </c>
      <c r="AN158" s="23">
        <f>+'QTR Raw'!H65</f>
        <v>0</v>
      </c>
      <c r="AO158" s="23">
        <f t="shared" si="1254"/>
        <v>0</v>
      </c>
      <c r="AP158" s="23">
        <f>+'QTR Raw'!J65</f>
        <v>0</v>
      </c>
      <c r="AQ158" s="23">
        <f t="shared" si="1254"/>
        <v>0</v>
      </c>
      <c r="AR158" s="23">
        <f>+'QTR Raw'!L65</f>
        <v>0</v>
      </c>
      <c r="AS158" s="23">
        <f t="shared" si="1254"/>
        <v>0</v>
      </c>
      <c r="AT158" s="23">
        <f>+'QTR Raw'!N65</f>
        <v>0</v>
      </c>
      <c r="AU158" s="23">
        <f t="shared" si="1254"/>
        <v>0</v>
      </c>
      <c r="AV158" s="23">
        <f>+'QTR Raw'!P65</f>
        <v>0</v>
      </c>
      <c r="AW158" s="23">
        <f t="shared" si="1254"/>
        <v>0</v>
      </c>
      <c r="AX158" s="23">
        <f>+'QTR Raw'!R65</f>
        <v>0</v>
      </c>
      <c r="AY158" s="23">
        <f t="shared" si="1254"/>
        <v>0</v>
      </c>
      <c r="AZ158" s="23">
        <f>+'QTR Raw'!T65</f>
        <v>0</v>
      </c>
      <c r="BA158" s="23">
        <f t="shared" si="1254"/>
        <v>0</v>
      </c>
      <c r="BB158" s="23">
        <f>+'QTR Raw'!V65</f>
        <v>0</v>
      </c>
      <c r="BC158" s="23">
        <f t="shared" si="1254"/>
        <v>0</v>
      </c>
      <c r="BD158" s="23">
        <f>+'QTR Raw'!X65</f>
        <v>0</v>
      </c>
      <c r="BE158" s="23">
        <f t="shared" si="1254"/>
        <v>0</v>
      </c>
      <c r="BF158" s="23">
        <f>+'QTR Raw'!Z65</f>
        <v>0</v>
      </c>
      <c r="BG158" s="23">
        <f t="shared" si="1254"/>
        <v>0</v>
      </c>
      <c r="BH158" s="23">
        <f>+'QTR Raw'!AB65</f>
        <v>0</v>
      </c>
      <c r="BI158" s="23">
        <f t="shared" si="1254"/>
        <v>0</v>
      </c>
      <c r="BJ158" s="23">
        <f>+'QTR Raw'!AD65</f>
        <v>0</v>
      </c>
      <c r="BK158" s="23">
        <f t="shared" si="1254"/>
        <v>0</v>
      </c>
      <c r="BL158" s="23">
        <f>+'QTR Raw'!AF65</f>
        <v>0</v>
      </c>
      <c r="BM158" s="23">
        <f t="shared" si="1254"/>
        <v>0</v>
      </c>
      <c r="BN158" s="23">
        <f>+'QTR Raw'!AH65</f>
        <v>0</v>
      </c>
      <c r="BO158" s="23">
        <f t="shared" si="1254"/>
        <v>0</v>
      </c>
      <c r="BP158" s="23">
        <f>+'QTR Raw'!AJ65</f>
        <v>0</v>
      </c>
      <c r="BQ158" s="23">
        <f t="shared" si="1254"/>
        <v>0</v>
      </c>
      <c r="BR158" s="23">
        <f>+'QTR Raw'!AL65</f>
        <v>0</v>
      </c>
      <c r="BS158" s="23">
        <f t="shared" si="1254"/>
        <v>0</v>
      </c>
      <c r="BT158" s="23">
        <f>+'QTR Raw'!AN65</f>
        <v>0</v>
      </c>
      <c r="BU158" s="23">
        <f t="shared" si="1254"/>
        <v>0</v>
      </c>
      <c r="BV158" s="23">
        <f>+'QTR Raw'!AP65</f>
        <v>0</v>
      </c>
      <c r="BW158" s="23">
        <f t="shared" si="1254"/>
        <v>0</v>
      </c>
      <c r="BX158" s="23">
        <f>+'QTR Raw'!AR65</f>
        <v>0</v>
      </c>
      <c r="BY158" s="23">
        <f t="shared" si="1254"/>
        <v>0</v>
      </c>
      <c r="BZ158" s="23">
        <f>+'QTR Raw'!AT65</f>
        <v>0</v>
      </c>
      <c r="CA158" s="23">
        <f t="shared" si="1254"/>
        <v>0</v>
      </c>
      <c r="CB158" s="23">
        <f>+'QTR Raw'!AV65</f>
        <v>0</v>
      </c>
      <c r="CC158" s="23">
        <f t="shared" si="1254"/>
        <v>0</v>
      </c>
      <c r="CD158" s="23">
        <f>+'QTR Raw'!AX65</f>
        <v>0</v>
      </c>
      <c r="CE158" s="23">
        <f t="shared" si="1254"/>
        <v>0</v>
      </c>
      <c r="CF158" s="23">
        <f>+'QTR Raw'!AZ65</f>
        <v>0</v>
      </c>
      <c r="CG158" s="23">
        <f t="shared" si="1255"/>
        <v>0</v>
      </c>
      <c r="CH158" s="23">
        <f t="shared" si="1207"/>
        <v>0</v>
      </c>
      <c r="CJ158" s="23">
        <f>+'QTR Raw'!BD65</f>
        <v>0</v>
      </c>
      <c r="CL158" s="23">
        <f>+'QTR Raw'!BF65</f>
        <v>0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68</v>
      </c>
      <c r="B159" s="23">
        <f>'Annual Raw'!C52</f>
        <v>0</v>
      </c>
      <c r="C159" s="23">
        <f>'Annual Raw'!D52</f>
        <v>0</v>
      </c>
      <c r="D159" s="23">
        <f>'Annual Raw'!E52</f>
        <v>0</v>
      </c>
      <c r="E159" s="23">
        <f>'Annual Raw'!F52</f>
        <v>0</v>
      </c>
      <c r="F159" s="23">
        <f>'Annual Raw'!G52</f>
        <v>0</v>
      </c>
      <c r="G159" s="23">
        <f>'Annual Raw'!H52</f>
        <v>0</v>
      </c>
      <c r="H159" s="23">
        <f>'Annual Raw'!I52</f>
        <v>0</v>
      </c>
      <c r="I159" s="23">
        <f>'Annual Raw'!J52</f>
        <v>0</v>
      </c>
      <c r="J159" s="23">
        <f>'Annual Raw'!K52</f>
        <v>0</v>
      </c>
      <c r="K159" s="23">
        <f>'Annual Raw'!L52</f>
        <v>0</v>
      </c>
      <c r="L159" s="23">
        <f>'Annual Raw'!M52</f>
        <v>0</v>
      </c>
      <c r="M159" s="23">
        <f>'Annual Raw'!N52</f>
        <v>1.7729999999999999</v>
      </c>
      <c r="N159" s="23">
        <f>'Annual Raw'!O52</f>
        <v>2.8010000000000002</v>
      </c>
      <c r="O159" s="23">
        <f>'Annual Raw'!P52</f>
        <v>3.9329999999999998</v>
      </c>
      <c r="P159" s="23">
        <f>'Annual Raw'!Q52</f>
        <v>5.1260000000000003</v>
      </c>
      <c r="Q159" s="23">
        <f>'Annual Raw'!R52</f>
        <v>6.7709999999999999</v>
      </c>
      <c r="R159" s="23">
        <f>'Annual Raw'!S52</f>
        <v>14.587999999999999</v>
      </c>
      <c r="S159" s="23">
        <f>'Annual Raw'!T52</f>
        <v>20.838999999999999</v>
      </c>
      <c r="T159" s="23">
        <f>'Annual Raw'!U52</f>
        <v>30.045000000000002</v>
      </c>
      <c r="U159" s="23">
        <f>'Annual Raw'!V52</f>
        <v>45.85</v>
      </c>
      <c r="V159" s="23">
        <f>'Annual Raw'!W52</f>
        <v>63.19</v>
      </c>
      <c r="W159" s="23">
        <f>'Annual Raw'!X52</f>
        <v>72.67</v>
      </c>
      <c r="X159" s="23">
        <f>'Annual Raw'!Y52</f>
        <v>81.47</v>
      </c>
      <c r="Y159" s="23">
        <f>'Annual Raw'!Z52</f>
        <v>93.47</v>
      </c>
      <c r="Z159" s="23">
        <f>'Annual Raw'!AA52</f>
        <v>106.09</v>
      </c>
      <c r="AA159" s="23">
        <f>'Annual Raw'!AB52</f>
        <v>132.09</v>
      </c>
      <c r="AB159" s="24">
        <f t="shared" si="1250"/>
        <v>0</v>
      </c>
      <c r="AC159" s="24">
        <f t="shared" si="1251"/>
        <v>0</v>
      </c>
      <c r="AD159" s="24">
        <f t="shared" si="1252"/>
        <v>0</v>
      </c>
      <c r="AE159" s="24">
        <f t="shared" si="1253"/>
        <v>0</v>
      </c>
      <c r="AJ159" s="23">
        <f>+'QTR Raw'!D66</f>
        <v>0</v>
      </c>
      <c r="AK159" s="23">
        <f t="shared" si="1254"/>
        <v>0</v>
      </c>
      <c r="AL159" s="23">
        <f>+'QTR Raw'!F66</f>
        <v>0</v>
      </c>
      <c r="AM159" s="23">
        <f t="shared" si="1254"/>
        <v>0</v>
      </c>
      <c r="AN159" s="23">
        <f>+'QTR Raw'!H66</f>
        <v>0</v>
      </c>
      <c r="AO159" s="23">
        <f t="shared" si="1254"/>
        <v>0</v>
      </c>
      <c r="AP159" s="23">
        <f>+'QTR Raw'!J66</f>
        <v>0</v>
      </c>
      <c r="AQ159" s="23">
        <f t="shared" si="1254"/>
        <v>0</v>
      </c>
      <c r="AR159" s="23">
        <f>+'QTR Raw'!L66</f>
        <v>0</v>
      </c>
      <c r="AS159" s="23">
        <f t="shared" si="1254"/>
        <v>0</v>
      </c>
      <c r="AT159" s="23">
        <f>+'QTR Raw'!N66</f>
        <v>0</v>
      </c>
      <c r="AU159" s="23">
        <f t="shared" si="1254"/>
        <v>0</v>
      </c>
      <c r="AV159" s="23">
        <f>+'QTR Raw'!P66</f>
        <v>0</v>
      </c>
      <c r="AW159" s="23">
        <f t="shared" si="1254"/>
        <v>0</v>
      </c>
      <c r="AX159" s="23">
        <f>+'QTR Raw'!R66</f>
        <v>6.7709999999999999</v>
      </c>
      <c r="AY159" s="23">
        <f t="shared" si="1254"/>
        <v>6.7709999999999999</v>
      </c>
      <c r="AZ159" s="23">
        <f>+'QTR Raw'!T66</f>
        <v>0</v>
      </c>
      <c r="BA159" s="23">
        <f t="shared" si="1254"/>
        <v>0</v>
      </c>
      <c r="BB159" s="23">
        <f>+'QTR Raw'!V66</f>
        <v>14.587999999999999</v>
      </c>
      <c r="BC159" s="23">
        <f t="shared" si="1254"/>
        <v>14.587999999999999</v>
      </c>
      <c r="BD159" s="23">
        <f>+'QTR Raw'!X66</f>
        <v>9.8140000000000001</v>
      </c>
      <c r="BE159" s="23">
        <f t="shared" si="1254"/>
        <v>9.8140000000000001</v>
      </c>
      <c r="BF159" s="23">
        <f>+'QTR Raw'!Z66</f>
        <v>20.838999999999999</v>
      </c>
      <c r="BG159" s="23">
        <f t="shared" si="1254"/>
        <v>20.838999999999999</v>
      </c>
      <c r="BH159" s="23">
        <f>+'QTR Raw'!AB66</f>
        <v>26.273</v>
      </c>
      <c r="BI159" s="23">
        <f t="shared" si="1254"/>
        <v>26.273</v>
      </c>
      <c r="BJ159" s="23">
        <f>+'QTR Raw'!AD66</f>
        <v>30.045000000000002</v>
      </c>
      <c r="BK159" s="23">
        <f t="shared" si="1254"/>
        <v>30.045000000000002</v>
      </c>
      <c r="BL159" s="23">
        <f>+'QTR Raw'!AF66</f>
        <v>35.692999999999998</v>
      </c>
      <c r="BM159" s="23">
        <f t="shared" si="1254"/>
        <v>35.692999999999998</v>
      </c>
      <c r="BN159" s="23">
        <f>+'QTR Raw'!AH66</f>
        <v>45.85</v>
      </c>
      <c r="BO159" s="23">
        <f t="shared" si="1254"/>
        <v>45.85</v>
      </c>
      <c r="BP159" s="23">
        <f>+'QTR Raw'!AJ66</f>
        <v>55.03</v>
      </c>
      <c r="BQ159" s="23">
        <f t="shared" si="1254"/>
        <v>55.03</v>
      </c>
      <c r="BR159" s="23">
        <f>+'QTR Raw'!AL66</f>
        <v>63.19</v>
      </c>
      <c r="BS159" s="23">
        <f t="shared" si="1254"/>
        <v>63.19</v>
      </c>
      <c r="BT159" s="23">
        <f>+'QTR Raw'!AN66</f>
        <v>72.239999999999995</v>
      </c>
      <c r="BU159" s="23">
        <f t="shared" si="1254"/>
        <v>72.239999999999995</v>
      </c>
      <c r="BV159" s="23">
        <f>+'QTR Raw'!AP66</f>
        <v>72.67</v>
      </c>
      <c r="BW159" s="23">
        <f t="shared" si="1254"/>
        <v>72.67</v>
      </c>
      <c r="BX159" s="23">
        <f>+'QTR Raw'!AR66</f>
        <v>81.180000000000007</v>
      </c>
      <c r="BY159" s="23">
        <f t="shared" si="1254"/>
        <v>81.180000000000007</v>
      </c>
      <c r="BZ159" s="23">
        <f>+'QTR Raw'!AT66</f>
        <v>81.47</v>
      </c>
      <c r="CA159" s="23">
        <f t="shared" si="1254"/>
        <v>81.47</v>
      </c>
      <c r="CB159" s="23">
        <f>+'QTR Raw'!AV66</f>
        <v>92.54</v>
      </c>
      <c r="CC159" s="23">
        <f t="shared" si="1254"/>
        <v>92.54</v>
      </c>
      <c r="CD159" s="23">
        <f>+'QTR Raw'!AX66</f>
        <v>93.47</v>
      </c>
      <c r="CE159" s="23">
        <f t="shared" si="1254"/>
        <v>93.47</v>
      </c>
      <c r="CF159" s="23">
        <f>+'QTR Raw'!AZ66</f>
        <v>97.68</v>
      </c>
      <c r="CG159" s="23">
        <f t="shared" si="1255"/>
        <v>97.68</v>
      </c>
      <c r="CH159" s="23">
        <f t="shared" si="1207"/>
        <v>106.09</v>
      </c>
      <c r="CJ159" s="23">
        <f>+'QTR Raw'!BD66</f>
        <v>112.82</v>
      </c>
      <c r="CL159" s="23">
        <f>+'QTR Raw'!BF66</f>
        <v>132.09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132.09</v>
      </c>
    </row>
    <row r="160" spans="1:110" s="23" customFormat="1" outlineLevel="1" x14ac:dyDescent="0.2">
      <c r="A160" s="23" t="s">
        <v>69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4">
        <f t="shared" si="1250"/>
        <v>1611.0004999999994</v>
      </c>
      <c r="AC160" s="24">
        <f t="shared" si="1251"/>
        <v>1852.6505749999994</v>
      </c>
      <c r="AD160" s="24">
        <f t="shared" si="1252"/>
        <v>2130.5481612499989</v>
      </c>
      <c r="AE160" s="24">
        <f t="shared" si="1253"/>
        <v>2450.1303854374987</v>
      </c>
      <c r="AJ160" s="23">
        <f>+'QTR Raw'!D87</f>
        <v>0</v>
      </c>
      <c r="AK160" s="23">
        <f t="shared" si="1254"/>
        <v>0</v>
      </c>
      <c r="AL160" s="23">
        <f>+'QTR Raw'!F87</f>
        <v>0</v>
      </c>
      <c r="AM160" s="23">
        <f t="shared" si="1254"/>
        <v>0</v>
      </c>
      <c r="AN160" s="23">
        <f>+'QTR Raw'!H87</f>
        <v>0</v>
      </c>
      <c r="AO160" s="23">
        <f t="shared" si="1254"/>
        <v>0</v>
      </c>
      <c r="AP160" s="23">
        <f>+'QTR Raw'!J87</f>
        <v>0</v>
      </c>
      <c r="AQ160" s="23">
        <f t="shared" si="1254"/>
        <v>0</v>
      </c>
      <c r="AR160" s="23">
        <f>+'QTR Raw'!L87</f>
        <v>0</v>
      </c>
      <c r="AS160" s="23">
        <f t="shared" si="1254"/>
        <v>0</v>
      </c>
      <c r="AT160" s="23">
        <f>+'QTR Raw'!N87</f>
        <v>0</v>
      </c>
      <c r="AU160" s="23">
        <f t="shared" si="1254"/>
        <v>0</v>
      </c>
      <c r="AV160" s="23">
        <f>+'QTR Raw'!P87</f>
        <v>0</v>
      </c>
      <c r="AW160" s="23">
        <f t="shared" si="1254"/>
        <v>0</v>
      </c>
      <c r="AX160" s="23">
        <f>+'QTR Raw'!R87</f>
        <v>0</v>
      </c>
      <c r="AY160" s="23">
        <f t="shared" si="1254"/>
        <v>0</v>
      </c>
      <c r="AZ160" s="23">
        <f>+'QTR Raw'!T87</f>
        <v>0</v>
      </c>
      <c r="BA160" s="23">
        <f t="shared" si="1254"/>
        <v>0</v>
      </c>
      <c r="BB160" s="23">
        <f>+'QTR Raw'!V87</f>
        <v>0</v>
      </c>
      <c r="BC160" s="23">
        <f t="shared" si="1254"/>
        <v>0</v>
      </c>
      <c r="BD160" s="23">
        <f>+'QTR Raw'!X87</f>
        <v>0</v>
      </c>
      <c r="BE160" s="23">
        <f t="shared" si="1254"/>
        <v>0</v>
      </c>
      <c r="BF160" s="23">
        <f>+'QTR Raw'!Z87</f>
        <v>0</v>
      </c>
      <c r="BG160" s="23">
        <f t="shared" si="1254"/>
        <v>0</v>
      </c>
      <c r="BH160" s="23">
        <f>+'QTR Raw'!AB87</f>
        <v>0</v>
      </c>
      <c r="BI160" s="23">
        <f t="shared" si="1254"/>
        <v>0</v>
      </c>
      <c r="BJ160" s="23">
        <f>+'QTR Raw'!AD87</f>
        <v>0</v>
      </c>
      <c r="BK160" s="23">
        <f t="shared" si="1254"/>
        <v>0</v>
      </c>
      <c r="BL160" s="23">
        <f>+'QTR Raw'!AF87</f>
        <v>0</v>
      </c>
      <c r="BM160" s="23">
        <f t="shared" si="1254"/>
        <v>0</v>
      </c>
      <c r="BN160" s="23">
        <f>+'QTR Raw'!AH87</f>
        <v>0</v>
      </c>
      <c r="BO160" s="23">
        <f t="shared" si="1254"/>
        <v>0</v>
      </c>
      <c r="BP160" s="23">
        <f>+'QTR Raw'!AJ87</f>
        <v>0</v>
      </c>
      <c r="BQ160" s="23">
        <f t="shared" si="1254"/>
        <v>0</v>
      </c>
      <c r="BR160" s="23">
        <f>+'QTR Raw'!AL87</f>
        <v>0</v>
      </c>
      <c r="BS160" s="23">
        <f t="shared" si="1254"/>
        <v>0</v>
      </c>
      <c r="BT160" s="23">
        <f>+'QTR Raw'!AN87</f>
        <v>0</v>
      </c>
      <c r="BU160" s="23">
        <f t="shared" si="1254"/>
        <v>0</v>
      </c>
      <c r="BV160" s="23">
        <f>+'QTR Raw'!AP87</f>
        <v>0</v>
      </c>
      <c r="BW160" s="23">
        <f t="shared" si="1254"/>
        <v>0</v>
      </c>
      <c r="BX160" s="23">
        <f>+'QTR Raw'!AR87</f>
        <v>0</v>
      </c>
      <c r="BY160" s="23">
        <f t="shared" si="1254"/>
        <v>0</v>
      </c>
      <c r="BZ160" s="23">
        <f>+'QTR Raw'!AT87</f>
        <v>0</v>
      </c>
      <c r="CA160" s="23">
        <f t="shared" si="1254"/>
        <v>0</v>
      </c>
      <c r="CB160" s="23">
        <f>+'QTR Raw'!AV87</f>
        <v>0</v>
      </c>
      <c r="CC160" s="23">
        <f t="shared" si="1254"/>
        <v>0</v>
      </c>
      <c r="CD160" s="23">
        <f>+'QTR Raw'!AX87</f>
        <v>0</v>
      </c>
      <c r="CE160" s="23">
        <f t="shared" si="1254"/>
        <v>0</v>
      </c>
      <c r="CF160" s="23">
        <f>+'QTR Raw'!AZ87</f>
        <v>0</v>
      </c>
      <c r="CG160" s="23">
        <f t="shared" si="1255"/>
        <v>0</v>
      </c>
      <c r="CH160" s="23">
        <f t="shared" si="1207"/>
        <v>0</v>
      </c>
      <c r="CI160" s="23">
        <f>CI18/90*CI192</f>
        <v>957.63568679881382</v>
      </c>
      <c r="CJ160" s="23">
        <f>+'QTR Raw'!BD87</f>
        <v>0</v>
      </c>
      <c r="CK160" s="23">
        <f t="shared" ref="CK160:DB160" si="1256">CK18/90*CK192</f>
        <v>1390.597462971811</v>
      </c>
      <c r="CL160" s="23">
        <f>+'QTR Raw'!BF87</f>
        <v>0</v>
      </c>
      <c r="CM160" s="24">
        <f t="shared" si="1256"/>
        <v>1395.7937340456062</v>
      </c>
      <c r="CN160" s="24">
        <f t="shared" si="1256"/>
        <v>1470.4046748041749</v>
      </c>
      <c r="CO160" s="24">
        <f t="shared" si="1256"/>
        <v>1581.4051232604861</v>
      </c>
      <c r="CP160" s="24">
        <f t="shared" si="1256"/>
        <v>1611.0004999999994</v>
      </c>
      <c r="CQ160" s="24">
        <f t="shared" si="1256"/>
        <v>1605.1627941524471</v>
      </c>
      <c r="CR160" s="24">
        <f t="shared" si="1256"/>
        <v>1690.9653760248009</v>
      </c>
      <c r="CS160" s="24">
        <f t="shared" si="1256"/>
        <v>1818.6158917495591</v>
      </c>
      <c r="CT160" s="24">
        <f t="shared" si="1256"/>
        <v>1852.6505749999994</v>
      </c>
      <c r="CU160" s="24">
        <f t="shared" si="1256"/>
        <v>1845.9372132753142</v>
      </c>
      <c r="CV160" s="24">
        <f t="shared" si="1256"/>
        <v>1944.6101824285213</v>
      </c>
      <c r="CW160" s="24">
        <f t="shared" si="1256"/>
        <v>2091.408275511993</v>
      </c>
      <c r="CX160" s="24">
        <f t="shared" si="1256"/>
        <v>2130.5481612499989</v>
      </c>
      <c r="CY160" s="24">
        <f t="shared" si="1256"/>
        <v>2122.8277952666117</v>
      </c>
      <c r="CZ160" s="24">
        <f t="shared" si="1256"/>
        <v>2236.3017097927991</v>
      </c>
      <c r="DA160" s="24">
        <f t="shared" si="1256"/>
        <v>2405.1195168387912</v>
      </c>
      <c r="DB160" s="24">
        <f t="shared" si="1256"/>
        <v>2450.1303854374987</v>
      </c>
      <c r="DE160" s="123"/>
      <c r="DF160" s="23">
        <v>0</v>
      </c>
    </row>
    <row r="161" spans="1:110" s="23" customFormat="1" outlineLevel="1" x14ac:dyDescent="0.2">
      <c r="A161" s="23" t="s">
        <v>70</v>
      </c>
      <c r="B161" s="23">
        <f>'Annual Raw'!C54</f>
        <v>0</v>
      </c>
      <c r="C161" s="23">
        <f>'Annual Raw'!D54</f>
        <v>0</v>
      </c>
      <c r="D161" s="23">
        <f>'Annual Raw'!E54</f>
        <v>0</v>
      </c>
      <c r="E161" s="23">
        <f>'Annual Raw'!F54</f>
        <v>0</v>
      </c>
      <c r="F161" s="23">
        <f>'Annual Raw'!G54</f>
        <v>0</v>
      </c>
      <c r="G161" s="23">
        <f>'Annual Raw'!H54</f>
        <v>0</v>
      </c>
      <c r="H161" s="23">
        <f>'Annual Raw'!I54</f>
        <v>0</v>
      </c>
      <c r="I161" s="23">
        <f>'Annual Raw'!J54</f>
        <v>0</v>
      </c>
      <c r="J161" s="23">
        <f>'Annual Raw'!K54</f>
        <v>0</v>
      </c>
      <c r="K161" s="23">
        <f>'Annual Raw'!L54</f>
        <v>0</v>
      </c>
      <c r="L161" s="23">
        <f>'Annual Raw'!M54</f>
        <v>0</v>
      </c>
      <c r="M161" s="23">
        <f>'Annual Raw'!N54</f>
        <v>96.834999999999994</v>
      </c>
      <c r="N161" s="23">
        <f>'Annual Raw'!O54</f>
        <v>132.24100000000001</v>
      </c>
      <c r="O161" s="23">
        <f>'Annual Raw'!P54</f>
        <v>227.47300000000001</v>
      </c>
      <c r="P161" s="23">
        <f>'Annual Raw'!Q54</f>
        <v>230.809</v>
      </c>
      <c r="Q161" s="23">
        <f>'Annual Raw'!R54</f>
        <v>247.61199999999999</v>
      </c>
      <c r="R161" s="23">
        <f>'Annual Raw'!S54</f>
        <v>263.09899999999999</v>
      </c>
      <c r="S161" s="23">
        <f>'Annual Raw'!T54</f>
        <v>312.327</v>
      </c>
      <c r="T161" s="23">
        <f>'Annual Raw'!U54</f>
        <v>488.31200000000001</v>
      </c>
      <c r="U161" s="23">
        <f>'Annual Raw'!V54</f>
        <v>615.63</v>
      </c>
      <c r="V161" s="23">
        <f>'Annual Raw'!W54</f>
        <v>1178.69</v>
      </c>
      <c r="W161" s="23">
        <f>'Annual Raw'!X54</f>
        <v>876.37</v>
      </c>
      <c r="X161" s="23">
        <f>'Annual Raw'!Y54</f>
        <v>710.65</v>
      </c>
      <c r="Y161" s="23">
        <f>'Annual Raw'!Z54</f>
        <v>1051.24</v>
      </c>
      <c r="Z161" s="23">
        <f>'Annual Raw'!AA54</f>
        <v>958.49</v>
      </c>
      <c r="AA161" s="23">
        <f>'Annual Raw'!AB54</f>
        <v>1252.0899999999999</v>
      </c>
      <c r="AB161" s="24">
        <f t="shared" si="1250"/>
        <v>1439.9035000000001</v>
      </c>
      <c r="AC161" s="24">
        <f t="shared" si="1251"/>
        <v>1655.8890249999999</v>
      </c>
      <c r="AD161" s="24">
        <f t="shared" si="1252"/>
        <v>1904.2723787499999</v>
      </c>
      <c r="AE161" s="24">
        <f t="shared" si="1253"/>
        <v>2189.9132355624997</v>
      </c>
      <c r="AJ161" s="23">
        <f>+'QTR Raw'!D89</f>
        <v>0</v>
      </c>
      <c r="AK161" s="23" t="e">
        <f>+AK191*AK18/90</f>
        <v>#DIV/0!</v>
      </c>
      <c r="AL161" s="23">
        <f>+'QTR Raw'!F89</f>
        <v>0</v>
      </c>
      <c r="AM161" s="23" t="e">
        <f>+AM191*AM18/90</f>
        <v>#DIV/0!</v>
      </c>
      <c r="AN161" s="23">
        <f>+'QTR Raw'!H89</f>
        <v>0</v>
      </c>
      <c r="AO161" s="23" t="e">
        <f>+AO191*AO18/90</f>
        <v>#DIV/0!</v>
      </c>
      <c r="AP161" s="23">
        <f>+'QTR Raw'!J89</f>
        <v>0</v>
      </c>
      <c r="AQ161" s="23" t="e">
        <f>+AQ191*AQ18/90</f>
        <v>#DIV/0!</v>
      </c>
      <c r="AR161" s="23">
        <f>+'QTR Raw'!L89</f>
        <v>0</v>
      </c>
      <c r="AS161" s="23" t="e">
        <f>+AS191*AS18/90</f>
        <v>#DIV/0!</v>
      </c>
      <c r="AT161" s="23">
        <f>+'QTR Raw'!N89</f>
        <v>0</v>
      </c>
      <c r="AU161" s="23" t="e">
        <f>+AU191*AU18/90</f>
        <v>#DIV/0!</v>
      </c>
      <c r="AV161" s="23">
        <f>+'QTR Raw'!P89</f>
        <v>0</v>
      </c>
      <c r="AW161" s="23" t="e">
        <f>+AW191*AW18/90</f>
        <v>#DIV/0!</v>
      </c>
      <c r="AX161" s="23">
        <f>+'QTR Raw'!R89</f>
        <v>247.61199999999999</v>
      </c>
      <c r="AY161" s="23">
        <f>+AY191*AY18/90</f>
        <v>206.57691877936952</v>
      </c>
      <c r="AZ161" s="23">
        <f>+'QTR Raw'!T89</f>
        <v>0</v>
      </c>
      <c r="BA161" s="23">
        <f>+BA191*BA18/90</f>
        <v>0</v>
      </c>
      <c r="BB161" s="23">
        <f>+'QTR Raw'!V89</f>
        <v>263.09899999999999</v>
      </c>
      <c r="BC161" s="23">
        <f>+BC191*BC18/90</f>
        <v>262.26077686396422</v>
      </c>
      <c r="BD161" s="23">
        <f>+'QTR Raw'!X89</f>
        <v>363.97699999999998</v>
      </c>
      <c r="BE161" s="23">
        <f>+BE191*BE18/90</f>
        <v>323.64766451978238</v>
      </c>
      <c r="BF161" s="23">
        <f>+'QTR Raw'!Z89</f>
        <v>312.327</v>
      </c>
      <c r="BG161" s="23">
        <f>+BG191*BG18/90</f>
        <v>300.49543509745826</v>
      </c>
      <c r="BH161" s="23">
        <f>+'QTR Raw'!AB89</f>
        <v>446.25900000000001</v>
      </c>
      <c r="BI161" s="23">
        <f>+BI191*BI18/90</f>
        <v>401.63621018356878</v>
      </c>
      <c r="BJ161" s="23">
        <f>+'QTR Raw'!AD89</f>
        <v>488.31200000000001</v>
      </c>
      <c r="BK161" s="23">
        <f>+BK191*BK18/90</f>
        <v>423.27840947413341</v>
      </c>
      <c r="BL161" s="23">
        <f>+'QTR Raw'!AF89</f>
        <v>654.45600000000002</v>
      </c>
      <c r="BM161" s="23">
        <f>+BM191*BM18/90</f>
        <v>670.22901243648414</v>
      </c>
      <c r="BN161" s="23">
        <f>+'QTR Raw'!AH89</f>
        <v>615.63</v>
      </c>
      <c r="BO161" s="23">
        <f>+BO191*BO18/90</f>
        <v>714.80399170579415</v>
      </c>
      <c r="BP161" s="23">
        <f>+'QTR Raw'!AJ89</f>
        <v>735.71</v>
      </c>
      <c r="BQ161" s="23">
        <f>+BQ191*BQ18/90</f>
        <v>832.34122282322369</v>
      </c>
      <c r="BR161" s="23">
        <f>+'QTR Raw'!AL89</f>
        <v>1178.69</v>
      </c>
      <c r="BS161" s="23">
        <f>+BS191*BS18/90</f>
        <v>1067.3016119779311</v>
      </c>
      <c r="BT161" s="23">
        <f>+'QTR Raw'!AN89</f>
        <v>847.44</v>
      </c>
      <c r="BU161" s="23">
        <f>+BU191*BU18/90</f>
        <v>724.40952437930002</v>
      </c>
      <c r="BV161" s="23">
        <f>+'QTR Raw'!AP89</f>
        <v>876.37</v>
      </c>
      <c r="BW161" s="23">
        <f>+BW191*BW18/90</f>
        <v>946.55562263568299</v>
      </c>
      <c r="BX161" s="23">
        <f>+'QTR Raw'!AR89</f>
        <v>1117.32</v>
      </c>
      <c r="BY161" s="23">
        <f>+BY191*BY18/90</f>
        <v>1095.2910941753548</v>
      </c>
      <c r="BZ161" s="23">
        <f>+'QTR Raw'!AT89</f>
        <v>710.65</v>
      </c>
      <c r="CA161" s="23">
        <f>+CA191*CA18/90</f>
        <v>608.18239083206595</v>
      </c>
      <c r="CB161" s="23">
        <f>+'QTR Raw'!AV89</f>
        <v>996.77</v>
      </c>
      <c r="CC161" s="23">
        <f>+CC191*CC18/90</f>
        <v>972.73094728245337</v>
      </c>
      <c r="CD161" s="23">
        <f>+'QTR Raw'!AX89</f>
        <v>1051.24</v>
      </c>
      <c r="CE161" s="23">
        <f>+CE191*CE18/90</f>
        <v>872.5174438586622</v>
      </c>
      <c r="CF161" s="23">
        <f>+'QTR Raw'!AZ89</f>
        <v>1058.23</v>
      </c>
      <c r="CG161" s="23">
        <f>+CG191*CG18/90</f>
        <v>1223.7054519081473</v>
      </c>
      <c r="CH161" s="23">
        <f t="shared" si="1207"/>
        <v>958.49</v>
      </c>
      <c r="CI161" s="23">
        <f>+CI191*CI18/90</f>
        <v>874.50860274370757</v>
      </c>
      <c r="CJ161" s="23">
        <f>+'QTR Raw'!BD89</f>
        <v>1014.36</v>
      </c>
      <c r="CK161" s="23">
        <f t="shared" ref="CK161:DB161" si="1257">+CK191*CK18/90</f>
        <v>1090.9337601528905</v>
      </c>
      <c r="CL161" s="23">
        <f>+'QTR Raw'!BF89</f>
        <v>1252.0899999999999</v>
      </c>
      <c r="CM161" s="24">
        <f t="shared" si="1257"/>
        <v>1247.5528610514637</v>
      </c>
      <c r="CN161" s="24">
        <f t="shared" si="1257"/>
        <v>1314.2397148026298</v>
      </c>
      <c r="CO161" s="24">
        <f t="shared" si="1257"/>
        <v>1413.4513129578211</v>
      </c>
      <c r="CP161" s="24">
        <f t="shared" si="1257"/>
        <v>1439.9035000000001</v>
      </c>
      <c r="CQ161" s="24">
        <f t="shared" si="1257"/>
        <v>1434.6857902091831</v>
      </c>
      <c r="CR161" s="24">
        <f t="shared" si="1257"/>
        <v>1511.3756720230242</v>
      </c>
      <c r="CS161" s="24">
        <f t="shared" si="1257"/>
        <v>1625.4690099014942</v>
      </c>
      <c r="CT161" s="24">
        <f t="shared" si="1257"/>
        <v>1655.8890249999999</v>
      </c>
      <c r="CU161" s="24">
        <f t="shared" si="1257"/>
        <v>1649.8886587405607</v>
      </c>
      <c r="CV161" s="24">
        <f t="shared" si="1257"/>
        <v>1738.0820228264777</v>
      </c>
      <c r="CW161" s="24">
        <f t="shared" si="1257"/>
        <v>1869.2893613867184</v>
      </c>
      <c r="CX161" s="24">
        <f t="shared" si="1257"/>
        <v>1904.2723787499999</v>
      </c>
      <c r="CY161" s="24">
        <f t="shared" si="1257"/>
        <v>1897.3719575516445</v>
      </c>
      <c r="CZ161" s="24">
        <f t="shared" si="1257"/>
        <v>1998.7943262504496</v>
      </c>
      <c r="DA161" s="24">
        <f t="shared" si="1257"/>
        <v>2149.6827655947259</v>
      </c>
      <c r="DB161" s="24">
        <f t="shared" si="1257"/>
        <v>2189.9132355624997</v>
      </c>
      <c r="DE161" s="123"/>
      <c r="DF161" s="23">
        <v>1252.0899999999999</v>
      </c>
    </row>
    <row r="162" spans="1:110" s="23" customFormat="1" outlineLevel="1" x14ac:dyDescent="0.2">
      <c r="A162" s="23" t="s">
        <v>71</v>
      </c>
      <c r="B162" s="23">
        <f>'Annual Raw'!C55-Template!B134</f>
        <v>0</v>
      </c>
      <c r="C162" s="23">
        <f>'Annual Raw'!D55-Template!C134</f>
        <v>0</v>
      </c>
      <c r="D162" s="23">
        <f>'Annual Raw'!E55-Template!D134</f>
        <v>0</v>
      </c>
      <c r="E162" s="23">
        <f>'Annual Raw'!F55-Template!E134</f>
        <v>0</v>
      </c>
      <c r="F162" s="23">
        <f>'Annual Raw'!G55-Template!F134</f>
        <v>0</v>
      </c>
      <c r="G162" s="23">
        <f>'Annual Raw'!H55-Template!G134</f>
        <v>0</v>
      </c>
      <c r="H162" s="23">
        <f>'Annual Raw'!I55-Template!H134</f>
        <v>0</v>
      </c>
      <c r="I162" s="23">
        <f>'Annual Raw'!J55-Template!I134</f>
        <v>0</v>
      </c>
      <c r="J162" s="23">
        <f>'Annual Raw'!K55-Template!J134</f>
        <v>0</v>
      </c>
      <c r="K162" s="23">
        <f>'Annual Raw'!L55-Template!K134</f>
        <v>0</v>
      </c>
      <c r="L162" s="23">
        <f>'Annual Raw'!M55-Template!L134</f>
        <v>0</v>
      </c>
      <c r="M162" s="23">
        <f>'Annual Raw'!N55-Template!M134</f>
        <v>11.899000000000001</v>
      </c>
      <c r="N162" s="23">
        <f>'Annual Raw'!O55-Template!N134</f>
        <v>11.365000000000002</v>
      </c>
      <c r="O162" s="23">
        <f>'Annual Raw'!P55-Template!O134</f>
        <v>121.791</v>
      </c>
      <c r="P162" s="23">
        <f>'Annual Raw'!Q55-Template!P134</f>
        <v>47.548999999999992</v>
      </c>
      <c r="Q162" s="23">
        <f>'Annual Raw'!R55-Template!Q134</f>
        <v>54.503</v>
      </c>
      <c r="R162" s="23">
        <f>'Annual Raw'!S55-Template!R134</f>
        <v>126.09899999999999</v>
      </c>
      <c r="S162" s="23">
        <f>'Annual Raw'!T55-Template!S134</f>
        <v>151.52700000000002</v>
      </c>
      <c r="T162" s="23">
        <f>'Annual Raw'!U55-Template!T134</f>
        <v>151.48400000000001</v>
      </c>
      <c r="U162" s="23">
        <f>'Annual Raw'!V55-Template!U134</f>
        <v>160.13000000000002</v>
      </c>
      <c r="V162" s="23">
        <f>'Annual Raw'!W55-Template!V134</f>
        <v>229.32999999999998</v>
      </c>
      <c r="W162" s="23">
        <f>'Annual Raw'!X55-Template!W134</f>
        <v>614.76</v>
      </c>
      <c r="X162" s="23">
        <f>'Annual Raw'!Y55-Template!X134</f>
        <v>425.97</v>
      </c>
      <c r="Y162" s="23">
        <f>'Annual Raw'!Z55-Template!Y134</f>
        <v>291.20000000000005</v>
      </c>
      <c r="Z162" s="23">
        <f>'Annual Raw'!AA55-Template!Z134</f>
        <v>447.17999999999995</v>
      </c>
      <c r="AA162" s="23">
        <f>'Annual Raw'!AB55-Template!AA134</f>
        <v>505.03</v>
      </c>
      <c r="AB162" s="24">
        <f t="shared" si="1250"/>
        <v>0</v>
      </c>
      <c r="AC162" s="24">
        <f t="shared" si="1251"/>
        <v>0</v>
      </c>
      <c r="AD162" s="24">
        <f t="shared" si="1252"/>
        <v>0</v>
      </c>
      <c r="AE162" s="24">
        <f t="shared" si="1253"/>
        <v>0</v>
      </c>
      <c r="AJ162" s="23">
        <f>+'QTR Raw'!D91</f>
        <v>0</v>
      </c>
      <c r="AK162" s="23">
        <f t="shared" si="1254"/>
        <v>0</v>
      </c>
      <c r="AL162" s="23">
        <f>+'QTR Raw'!F91</f>
        <v>0</v>
      </c>
      <c r="AM162" s="23">
        <f t="shared" si="1254"/>
        <v>0</v>
      </c>
      <c r="AN162" s="23">
        <f>+'QTR Raw'!H91</f>
        <v>0</v>
      </c>
      <c r="AO162" s="23">
        <f t="shared" si="1254"/>
        <v>0</v>
      </c>
      <c r="AP162" s="23">
        <f>+'QTR Raw'!J91</f>
        <v>0</v>
      </c>
      <c r="AQ162" s="23">
        <f t="shared" si="1254"/>
        <v>0</v>
      </c>
      <c r="AR162" s="23">
        <f>+'QTR Raw'!L91</f>
        <v>0</v>
      </c>
      <c r="AS162" s="23">
        <f t="shared" si="1254"/>
        <v>0</v>
      </c>
      <c r="AT162" s="23">
        <f>+'QTR Raw'!N91</f>
        <v>0</v>
      </c>
      <c r="AU162" s="23">
        <f t="shared" si="1254"/>
        <v>0</v>
      </c>
      <c r="AV162" s="23">
        <f>+'QTR Raw'!P91</f>
        <v>0</v>
      </c>
      <c r="AW162" s="23">
        <f t="shared" si="1254"/>
        <v>0</v>
      </c>
      <c r="AX162" s="23">
        <f>+'QTR Raw'!R91</f>
        <v>23.164000000000001</v>
      </c>
      <c r="AY162" s="23">
        <f t="shared" si="1254"/>
        <v>23.164000000000001</v>
      </c>
      <c r="AZ162" s="23">
        <f>+'QTR Raw'!T91</f>
        <v>0</v>
      </c>
      <c r="BA162" s="23">
        <f t="shared" si="1254"/>
        <v>0</v>
      </c>
      <c r="BB162" s="23">
        <f>+'QTR Raw'!V91</f>
        <v>68.126999999999995</v>
      </c>
      <c r="BC162" s="23">
        <f t="shared" si="1254"/>
        <v>68.126999999999995</v>
      </c>
      <c r="BD162" s="23">
        <f>+'QTR Raw'!X91</f>
        <v>192.005</v>
      </c>
      <c r="BE162" s="23">
        <f t="shared" si="1254"/>
        <v>192.005</v>
      </c>
      <c r="BF162" s="23">
        <f>+'QTR Raw'!Z91</f>
        <v>231.56800000000001</v>
      </c>
      <c r="BG162" s="23">
        <f t="shared" si="1254"/>
        <v>231.56800000000001</v>
      </c>
      <c r="BH162" s="23">
        <f>+'QTR Raw'!AB91</f>
        <v>166.483</v>
      </c>
      <c r="BI162" s="23">
        <f t="shared" si="1254"/>
        <v>166.483</v>
      </c>
      <c r="BJ162" s="23">
        <f>+'QTR Raw'!AD91</f>
        <v>244.92099999999999</v>
      </c>
      <c r="BK162" s="23">
        <f t="shared" si="1254"/>
        <v>244.92099999999999</v>
      </c>
      <c r="BL162" s="23">
        <f>+'QTR Raw'!AF91</f>
        <v>97.197000000000003</v>
      </c>
      <c r="BM162" s="23">
        <f t="shared" si="1254"/>
        <v>97.197000000000003</v>
      </c>
      <c r="BN162" s="23">
        <f>+'QTR Raw'!AH91</f>
        <v>275.3</v>
      </c>
      <c r="BO162" s="23">
        <f t="shared" si="1254"/>
        <v>275.3</v>
      </c>
      <c r="BP162" s="23">
        <f>+'QTR Raw'!AJ91</f>
        <v>266.17</v>
      </c>
      <c r="BQ162" s="23">
        <f t="shared" si="1254"/>
        <v>266.17</v>
      </c>
      <c r="BR162" s="23">
        <f>+'QTR Raw'!AL91</f>
        <v>241.96</v>
      </c>
      <c r="BS162" s="23">
        <f t="shared" si="1254"/>
        <v>241.96</v>
      </c>
      <c r="BT162" s="23">
        <f>+'QTR Raw'!AN91</f>
        <v>452.17</v>
      </c>
      <c r="BU162" s="23">
        <f t="shared" si="1254"/>
        <v>452.17</v>
      </c>
      <c r="BV162" s="23">
        <f>+'QTR Raw'!AP91</f>
        <v>652.46</v>
      </c>
      <c r="BW162" s="23">
        <f t="shared" si="1254"/>
        <v>652.46</v>
      </c>
      <c r="BX162" s="23">
        <f>+'QTR Raw'!AR91</f>
        <v>692.76</v>
      </c>
      <c r="BY162" s="23">
        <f t="shared" si="1254"/>
        <v>692.76</v>
      </c>
      <c r="BZ162" s="23">
        <f>+'QTR Raw'!AT91</f>
        <v>490.97</v>
      </c>
      <c r="CA162" s="23">
        <f t="shared" si="1254"/>
        <v>490.97</v>
      </c>
      <c r="CB162" s="23">
        <f>+'QTR Raw'!AV91</f>
        <v>491.59</v>
      </c>
      <c r="CC162" s="23">
        <f t="shared" si="1254"/>
        <v>491.59</v>
      </c>
      <c r="CD162" s="23">
        <f>+'QTR Raw'!AX91</f>
        <v>327.41000000000003</v>
      </c>
      <c r="CE162" s="23">
        <f t="shared" si="1254"/>
        <v>327.41000000000003</v>
      </c>
      <c r="CF162" s="23">
        <f>+'QTR Raw'!AZ91</f>
        <v>313.73</v>
      </c>
      <c r="CG162" s="23">
        <f t="shared" ref="CG162:CG163" si="1258">+CF162</f>
        <v>313.73</v>
      </c>
      <c r="CH162" s="23">
        <f t="shared" si="1207"/>
        <v>447.17999999999995</v>
      </c>
      <c r="CJ162" s="23">
        <f>+'QTR Raw'!BD91</f>
        <v>519.27</v>
      </c>
      <c r="CL162" s="23">
        <f>+'QTR Raw'!BF91</f>
        <v>559.29999999999995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559.29999999999995</v>
      </c>
    </row>
    <row r="163" spans="1:110" s="23" customFormat="1" outlineLevel="1" x14ac:dyDescent="0.2">
      <c r="A163" s="23" t="s">
        <v>72</v>
      </c>
      <c r="B163" s="23">
        <f>'Annual Raw'!C57</f>
        <v>0</v>
      </c>
      <c r="C163" s="23">
        <f>'Annual Raw'!D57</f>
        <v>0</v>
      </c>
      <c r="D163" s="23">
        <f>'Annual Raw'!E57</f>
        <v>0</v>
      </c>
      <c r="E163" s="23">
        <f>'Annual Raw'!F57</f>
        <v>0</v>
      </c>
      <c r="F163" s="23">
        <f>'Annual Raw'!G57</f>
        <v>0</v>
      </c>
      <c r="G163" s="23">
        <f>'Annual Raw'!H57</f>
        <v>0</v>
      </c>
      <c r="H163" s="23">
        <f>'Annual Raw'!I57</f>
        <v>0</v>
      </c>
      <c r="I163" s="23">
        <f>'Annual Raw'!J57</f>
        <v>0</v>
      </c>
      <c r="J163" s="23">
        <f>'Annual Raw'!K57</f>
        <v>0</v>
      </c>
      <c r="K163" s="23">
        <f>'Annual Raw'!L57</f>
        <v>0</v>
      </c>
      <c r="L163" s="23">
        <f>'Annual Raw'!M57</f>
        <v>0</v>
      </c>
      <c r="M163" s="23">
        <f>'Annual Raw'!N57</f>
        <v>3.7029999999999998</v>
      </c>
      <c r="N163" s="23">
        <f>'Annual Raw'!O57</f>
        <v>3.202</v>
      </c>
      <c r="O163" s="23">
        <f>'Annual Raw'!P57</f>
        <v>6.9669999999999996</v>
      </c>
      <c r="P163" s="23">
        <f>'Annual Raw'!Q57</f>
        <v>6.7</v>
      </c>
      <c r="Q163" s="23">
        <f>'Annual Raw'!R57</f>
        <v>13.664</v>
      </c>
      <c r="R163" s="23">
        <f>'Annual Raw'!S57</f>
        <v>14.367000000000001</v>
      </c>
      <c r="S163" s="23">
        <f>'Annual Raw'!T57</f>
        <v>4.7839999999999998</v>
      </c>
      <c r="T163" s="23">
        <f>'Annual Raw'!U57</f>
        <v>6.8920000000000003</v>
      </c>
      <c r="U163" s="23">
        <f>'Annual Raw'!V57</f>
        <v>24.77</v>
      </c>
      <c r="V163" s="23">
        <f>'Annual Raw'!W57</f>
        <v>25.09</v>
      </c>
      <c r="W163" s="23">
        <f>'Annual Raw'!X57</f>
        <v>54.19</v>
      </c>
      <c r="X163" s="23">
        <f>'Annual Raw'!Y57</f>
        <v>85.09</v>
      </c>
      <c r="Y163" s="23">
        <f>'Annual Raw'!Z57</f>
        <v>61.02</v>
      </c>
      <c r="Z163" s="23">
        <f>'Annual Raw'!AA57</f>
        <v>86.54</v>
      </c>
      <c r="AA163" s="23">
        <f>'Annual Raw'!AB57</f>
        <v>92.16</v>
      </c>
      <c r="AB163" s="24">
        <f t="shared" si="1250"/>
        <v>0</v>
      </c>
      <c r="AC163" s="24">
        <f t="shared" si="1251"/>
        <v>0</v>
      </c>
      <c r="AD163" s="24">
        <f t="shared" si="1252"/>
        <v>0</v>
      </c>
      <c r="AE163" s="24">
        <f t="shared" si="1253"/>
        <v>0</v>
      </c>
      <c r="AJ163" s="23">
        <f>+'QTR Raw'!D92</f>
        <v>0</v>
      </c>
      <c r="AK163" s="23">
        <f t="shared" si="1254"/>
        <v>0</v>
      </c>
      <c r="AL163" s="23">
        <f>+'QTR Raw'!F92</f>
        <v>0</v>
      </c>
      <c r="AM163" s="23">
        <f t="shared" si="1254"/>
        <v>0</v>
      </c>
      <c r="AN163" s="23">
        <f>+'QTR Raw'!H92</f>
        <v>0</v>
      </c>
      <c r="AO163" s="23">
        <f t="shared" si="1254"/>
        <v>0</v>
      </c>
      <c r="AP163" s="23">
        <f>+'QTR Raw'!J92</f>
        <v>0</v>
      </c>
      <c r="AQ163" s="23">
        <f t="shared" si="1254"/>
        <v>0</v>
      </c>
      <c r="AR163" s="23">
        <f>+'QTR Raw'!L92</f>
        <v>0</v>
      </c>
      <c r="AS163" s="23">
        <f t="shared" si="1254"/>
        <v>0</v>
      </c>
      <c r="AT163" s="23">
        <f>+'QTR Raw'!N92</f>
        <v>0</v>
      </c>
      <c r="AU163" s="23">
        <f t="shared" si="1254"/>
        <v>0</v>
      </c>
      <c r="AV163" s="23">
        <f>+'QTR Raw'!P92</f>
        <v>0</v>
      </c>
      <c r="AW163" s="23">
        <f t="shared" si="1254"/>
        <v>0</v>
      </c>
      <c r="AX163" s="23">
        <f>+'QTR Raw'!R92</f>
        <v>7.6520000000000001</v>
      </c>
      <c r="AY163" s="23">
        <f t="shared" si="1254"/>
        <v>7.6520000000000001</v>
      </c>
      <c r="AZ163" s="23">
        <f>+'QTR Raw'!T92</f>
        <v>0</v>
      </c>
      <c r="BA163" s="23">
        <f t="shared" si="1254"/>
        <v>0</v>
      </c>
      <c r="BB163" s="23">
        <f>+'QTR Raw'!V92</f>
        <v>4.7060000000000004</v>
      </c>
      <c r="BC163" s="23">
        <f t="shared" si="1254"/>
        <v>4.7060000000000004</v>
      </c>
      <c r="BD163" s="23">
        <f>+'QTR Raw'!X92</f>
        <v>11.257999999999999</v>
      </c>
      <c r="BE163" s="23">
        <f t="shared" si="1254"/>
        <v>11.257999999999999</v>
      </c>
      <c r="BF163" s="23">
        <f>+'QTR Raw'!Z92</f>
        <v>4.4740000000000002</v>
      </c>
      <c r="BG163" s="23">
        <f t="shared" si="1254"/>
        <v>4.4740000000000002</v>
      </c>
      <c r="BH163" s="23">
        <f>+'QTR Raw'!AB92</f>
        <v>5.0670000000000002</v>
      </c>
      <c r="BI163" s="23">
        <f t="shared" si="1254"/>
        <v>5.0670000000000002</v>
      </c>
      <c r="BJ163" s="23">
        <f>+'QTR Raw'!AD92</f>
        <v>6.4660000000000002</v>
      </c>
      <c r="BK163" s="23">
        <f t="shared" si="1254"/>
        <v>6.4660000000000002</v>
      </c>
      <c r="BL163" s="23">
        <f>+'QTR Raw'!AF92</f>
        <v>7.492</v>
      </c>
      <c r="BM163" s="23">
        <f t="shared" si="1254"/>
        <v>7.492</v>
      </c>
      <c r="BN163" s="23">
        <f>+'QTR Raw'!AH92</f>
        <v>10.94</v>
      </c>
      <c r="BO163" s="23">
        <f t="shared" si="1254"/>
        <v>10.94</v>
      </c>
      <c r="BP163" s="23">
        <f>+'QTR Raw'!AJ92</f>
        <v>11.97</v>
      </c>
      <c r="BQ163" s="23">
        <f t="shared" si="1254"/>
        <v>11.97</v>
      </c>
      <c r="BR163" s="23">
        <f>+'QTR Raw'!AL92</f>
        <v>12.46</v>
      </c>
      <c r="BS163" s="23">
        <f t="shared" si="1254"/>
        <v>12.46</v>
      </c>
      <c r="BT163" s="23">
        <f>+'QTR Raw'!AN92</f>
        <v>14.43</v>
      </c>
      <c r="BU163" s="23">
        <f t="shared" si="1254"/>
        <v>14.43</v>
      </c>
      <c r="BV163" s="23">
        <f>+'QTR Raw'!AP92</f>
        <v>16.489999999999998</v>
      </c>
      <c r="BW163" s="23">
        <f t="shared" si="1254"/>
        <v>16.489999999999998</v>
      </c>
      <c r="BX163" s="23">
        <f>+'QTR Raw'!AR92</f>
        <v>17.510000000000002</v>
      </c>
      <c r="BY163" s="23">
        <f t="shared" si="1254"/>
        <v>17.510000000000002</v>
      </c>
      <c r="BZ163" s="23">
        <f>+'QTR Raw'!AT92</f>
        <v>20.09</v>
      </c>
      <c r="CA163" s="23">
        <f t="shared" si="1254"/>
        <v>20.09</v>
      </c>
      <c r="CB163" s="23">
        <f>+'QTR Raw'!AV92</f>
        <v>22.47</v>
      </c>
      <c r="CC163" s="23">
        <f t="shared" si="1254"/>
        <v>22.47</v>
      </c>
      <c r="CD163" s="23">
        <f>+'QTR Raw'!AX92</f>
        <v>24.81</v>
      </c>
      <c r="CE163" s="23">
        <f t="shared" si="1254"/>
        <v>24.81</v>
      </c>
      <c r="CF163" s="23">
        <f>+'QTR Raw'!AZ92</f>
        <v>27.15</v>
      </c>
      <c r="CG163" s="23">
        <f t="shared" si="1258"/>
        <v>27.15</v>
      </c>
      <c r="CH163" s="23">
        <f t="shared" si="1207"/>
        <v>86.54</v>
      </c>
      <c r="CJ163" s="23">
        <f>+'QTR Raw'!BD92</f>
        <v>30.97</v>
      </c>
      <c r="CL163" s="23">
        <f>+'QTR Raw'!BF92</f>
        <v>37.89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37.89</v>
      </c>
    </row>
    <row r="164" spans="1:110" s="22" customFormat="1" x14ac:dyDescent="0.2">
      <c r="A164" s="22" t="s">
        <v>73</v>
      </c>
      <c r="B164" s="22">
        <f>SUM(B157:B163)</f>
        <v>0</v>
      </c>
      <c r="C164" s="22">
        <f t="shared" ref="C164:V164" si="1259">SUM(C157:C163)</f>
        <v>0</v>
      </c>
      <c r="D164" s="22">
        <f t="shared" si="1259"/>
        <v>0</v>
      </c>
      <c r="E164" s="22">
        <f t="shared" si="1259"/>
        <v>0</v>
      </c>
      <c r="F164" s="22">
        <f t="shared" si="1259"/>
        <v>0</v>
      </c>
      <c r="G164" s="22">
        <f t="shared" si="1259"/>
        <v>0</v>
      </c>
      <c r="H164" s="22">
        <f t="shared" si="1259"/>
        <v>0</v>
      </c>
      <c r="I164" s="22">
        <f t="shared" si="1259"/>
        <v>0</v>
      </c>
      <c r="J164" s="22">
        <f t="shared" si="1259"/>
        <v>0</v>
      </c>
      <c r="K164" s="22">
        <f t="shared" si="1259"/>
        <v>0</v>
      </c>
      <c r="L164" s="22">
        <f t="shared" si="1259"/>
        <v>0</v>
      </c>
      <c r="M164" s="22">
        <f t="shared" si="1259"/>
        <v>118.39099999999999</v>
      </c>
      <c r="N164" s="22">
        <f t="shared" si="1259"/>
        <v>149.60900000000001</v>
      </c>
      <c r="O164" s="22">
        <f t="shared" si="1259"/>
        <v>360.16399999999999</v>
      </c>
      <c r="P164" s="22">
        <f t="shared" si="1259"/>
        <v>334.84199999999998</v>
      </c>
      <c r="Q164" s="22">
        <f t="shared" si="1259"/>
        <v>339.01599999999996</v>
      </c>
      <c r="R164" s="22">
        <f t="shared" si="1259"/>
        <v>481.22500000000002</v>
      </c>
      <c r="S164" s="22">
        <f t="shared" si="1259"/>
        <v>554.17399999999998</v>
      </c>
      <c r="T164" s="22">
        <f t="shared" si="1259"/>
        <v>736.84900000000005</v>
      </c>
      <c r="U164" s="22">
        <f t="shared" si="1259"/>
        <v>923.68</v>
      </c>
      <c r="V164" s="22">
        <f t="shared" si="1259"/>
        <v>1677.61</v>
      </c>
      <c r="W164" s="22">
        <f t="shared" ref="W164" si="1260">SUM(W157:W163)</f>
        <v>1807.8500000000001</v>
      </c>
      <c r="X164" s="22">
        <f t="shared" ref="X164:Y164" si="1261">SUM(X157:X163)</f>
        <v>1557.32</v>
      </c>
      <c r="Y164" s="22">
        <f t="shared" si="1261"/>
        <v>1707.3700000000001</v>
      </c>
      <c r="Z164" s="22">
        <f t="shared" ref="Z164:AA164" si="1262">SUM(Z157:Z163)</f>
        <v>2008.0899999999997</v>
      </c>
      <c r="AA164" s="22">
        <f t="shared" ref="AA164" si="1263">SUM(AA157:AA163)</f>
        <v>2652.96</v>
      </c>
      <c r="AB164" s="21">
        <f t="shared" ref="AB164:AD164" si="1264">SUM(AB157:AB163)</f>
        <v>3050.9039999999995</v>
      </c>
      <c r="AC164" s="21">
        <f t="shared" si="1264"/>
        <v>3508.5395999999992</v>
      </c>
      <c r="AD164" s="21">
        <f t="shared" si="1264"/>
        <v>4034.8205399999988</v>
      </c>
      <c r="AE164" s="21">
        <f t="shared" ref="AE164" si="1265">SUM(AE157:AE163)</f>
        <v>4640.0436209999989</v>
      </c>
      <c r="AJ164" s="22">
        <f t="shared" ref="AJ164" si="1266">SUM(AJ157:AJ163)</f>
        <v>0</v>
      </c>
      <c r="AK164" s="22" t="e">
        <f t="shared" ref="AK164" si="1267">SUM(AK157:AK163)</f>
        <v>#DIV/0!</v>
      </c>
      <c r="AL164" s="22">
        <f t="shared" ref="AL164:AM164" si="1268">SUM(AL157:AL163)</f>
        <v>0</v>
      </c>
      <c r="AM164" s="22" t="e">
        <f t="shared" si="1268"/>
        <v>#DIV/0!</v>
      </c>
      <c r="AN164" s="22">
        <f t="shared" ref="AN164:AO164" si="1269">SUM(AN157:AN163)</f>
        <v>0</v>
      </c>
      <c r="AO164" s="22" t="e">
        <f t="shared" si="1269"/>
        <v>#DIV/0!</v>
      </c>
      <c r="AP164" s="22">
        <f t="shared" ref="AP164:CE164" si="1270">SUM(AP157:AP163)</f>
        <v>0</v>
      </c>
      <c r="AQ164" s="22" t="e">
        <f t="shared" si="1270"/>
        <v>#DIV/0!</v>
      </c>
      <c r="AR164" s="22">
        <f t="shared" si="1270"/>
        <v>0</v>
      </c>
      <c r="AS164" s="22" t="e">
        <f t="shared" si="1270"/>
        <v>#DIV/0!</v>
      </c>
      <c r="AT164" s="22">
        <f t="shared" si="1270"/>
        <v>0</v>
      </c>
      <c r="AU164" s="22" t="e">
        <f t="shared" si="1270"/>
        <v>#DIV/0!</v>
      </c>
      <c r="AV164" s="22">
        <f t="shared" si="1270"/>
        <v>0</v>
      </c>
      <c r="AW164" s="22" t="e">
        <f t="shared" si="1270"/>
        <v>#DIV/0!</v>
      </c>
      <c r="AX164" s="22">
        <f t="shared" si="1270"/>
        <v>301.66499999999996</v>
      </c>
      <c r="AY164" s="22">
        <f t="shared" si="1270"/>
        <v>260.62991877936952</v>
      </c>
      <c r="AZ164" s="22">
        <f t="shared" si="1270"/>
        <v>0</v>
      </c>
      <c r="BA164" s="22">
        <f t="shared" si="1270"/>
        <v>0</v>
      </c>
      <c r="BB164" s="22">
        <f t="shared" si="1270"/>
        <v>413.59200000000004</v>
      </c>
      <c r="BC164" s="22">
        <f t="shared" si="1270"/>
        <v>412.75377686396422</v>
      </c>
      <c r="BD164" s="22">
        <f t="shared" si="1270"/>
        <v>645.20500000000004</v>
      </c>
      <c r="BE164" s="22">
        <f t="shared" si="1270"/>
        <v>604.87566451978239</v>
      </c>
      <c r="BF164" s="22">
        <f t="shared" si="1270"/>
        <v>633.90500000000009</v>
      </c>
      <c r="BG164" s="22">
        <f t="shared" si="1270"/>
        <v>622.07343509745829</v>
      </c>
      <c r="BH164" s="22">
        <f t="shared" ref="BH164" si="1271">SUM(BH157:BH163)</f>
        <v>716.346</v>
      </c>
      <c r="BI164" s="22">
        <f t="shared" si="1270"/>
        <v>671.72321018356877</v>
      </c>
      <c r="BJ164" s="22">
        <f t="shared" si="1270"/>
        <v>829.86</v>
      </c>
      <c r="BK164" s="22">
        <f t="shared" si="1270"/>
        <v>764.82640947413336</v>
      </c>
      <c r="BL164" s="22">
        <f t="shared" si="1270"/>
        <v>878.35500000000002</v>
      </c>
      <c r="BM164" s="22">
        <f t="shared" si="1270"/>
        <v>894.12801243648414</v>
      </c>
      <c r="BN164" s="22">
        <f t="shared" si="1270"/>
        <v>1025.02</v>
      </c>
      <c r="BO164" s="22">
        <f t="shared" si="1270"/>
        <v>1124.1939917057941</v>
      </c>
      <c r="BP164" s="22">
        <f t="shared" si="1270"/>
        <v>1153.6500000000001</v>
      </c>
      <c r="BQ164" s="22">
        <f t="shared" si="1270"/>
        <v>1250.2812228232237</v>
      </c>
      <c r="BR164" s="22">
        <f t="shared" si="1270"/>
        <v>1677.6100000000001</v>
      </c>
      <c r="BS164" s="22">
        <f t="shared" si="1270"/>
        <v>1566.2216119779312</v>
      </c>
      <c r="BT164" s="22">
        <f t="shared" si="1270"/>
        <v>1576.7800000000002</v>
      </c>
      <c r="BU164" s="22">
        <f t="shared" si="1270"/>
        <v>1453.7495243793001</v>
      </c>
      <c r="BV164" s="22">
        <f t="shared" si="1270"/>
        <v>1807.8500000000001</v>
      </c>
      <c r="BW164" s="22">
        <f t="shared" si="1270"/>
        <v>1878.035622635683</v>
      </c>
      <c r="BX164" s="22">
        <f t="shared" si="1270"/>
        <v>2129.1800000000003</v>
      </c>
      <c r="BY164" s="22">
        <f t="shared" si="1270"/>
        <v>2107.151094175355</v>
      </c>
      <c r="BZ164" s="22">
        <f t="shared" si="1270"/>
        <v>1557.32</v>
      </c>
      <c r="CA164" s="22">
        <f t="shared" si="1270"/>
        <v>1454.852390832066</v>
      </c>
      <c r="CB164" s="22">
        <f t="shared" si="1270"/>
        <v>1849.74</v>
      </c>
      <c r="CC164" s="22">
        <f t="shared" si="1270"/>
        <v>1825.7009472824534</v>
      </c>
      <c r="CD164" s="22">
        <f t="shared" si="1270"/>
        <v>1707.3700000000001</v>
      </c>
      <c r="CE164" s="22">
        <f t="shared" si="1270"/>
        <v>1528.6474438586622</v>
      </c>
      <c r="CF164" s="22">
        <f t="shared" ref="CF164:CG164" si="1272">SUM(CF157:CF163)</f>
        <v>1834.0300000000002</v>
      </c>
      <c r="CG164" s="22">
        <f t="shared" si="1272"/>
        <v>1999.5054519081475</v>
      </c>
      <c r="CH164" s="22">
        <f t="shared" ref="CH164:CI164" si="1273">SUM(CH157:CH163)</f>
        <v>2008.0899999999997</v>
      </c>
      <c r="CI164" s="22">
        <f t="shared" si="1273"/>
        <v>1832.1442895425214</v>
      </c>
      <c r="CJ164" s="22">
        <f t="shared" ref="CJ164:DB164" si="1274">SUM(CJ157:CJ163)</f>
        <v>2307.35</v>
      </c>
      <c r="CK164" s="22">
        <f t="shared" si="1274"/>
        <v>2481.5312231247017</v>
      </c>
      <c r="CL164" s="22">
        <f t="shared" ref="CL164" si="1275">SUM(CL157:CL163)</f>
        <v>2652.9599999999996</v>
      </c>
      <c r="CM164" s="21">
        <f t="shared" si="1274"/>
        <v>2643.3465950970699</v>
      </c>
      <c r="CN164" s="21">
        <f t="shared" si="1274"/>
        <v>2784.6443896068049</v>
      </c>
      <c r="CO164" s="21">
        <f t="shared" si="1274"/>
        <v>2994.856436218307</v>
      </c>
      <c r="CP164" s="21">
        <f t="shared" si="1274"/>
        <v>3050.9039999999995</v>
      </c>
      <c r="CQ164" s="21">
        <f t="shared" si="1274"/>
        <v>3039.8485843616299</v>
      </c>
      <c r="CR164" s="21">
        <f t="shared" si="1274"/>
        <v>3202.3410480478251</v>
      </c>
      <c r="CS164" s="21">
        <f t="shared" si="1274"/>
        <v>3444.0849016510533</v>
      </c>
      <c r="CT164" s="21">
        <f t="shared" si="1274"/>
        <v>3508.5395999999992</v>
      </c>
      <c r="CU164" s="21">
        <f t="shared" si="1274"/>
        <v>3495.8258720158747</v>
      </c>
      <c r="CV164" s="21">
        <f t="shared" si="1274"/>
        <v>3682.692205254999</v>
      </c>
      <c r="CW164" s="21">
        <f t="shared" si="1274"/>
        <v>3960.6976368987116</v>
      </c>
      <c r="CX164" s="21">
        <f t="shared" si="1274"/>
        <v>4034.8205399999988</v>
      </c>
      <c r="CY164" s="21">
        <f t="shared" si="1274"/>
        <v>4020.1997528182565</v>
      </c>
      <c r="CZ164" s="21">
        <f t="shared" si="1274"/>
        <v>4235.0960360432491</v>
      </c>
      <c r="DA164" s="21">
        <f t="shared" si="1274"/>
        <v>4554.8022824335167</v>
      </c>
      <c r="DB164" s="21">
        <f t="shared" si="1274"/>
        <v>4640.0436209999989</v>
      </c>
      <c r="DE164" s="126"/>
      <c r="DF164" s="22">
        <v>2652.9599999999996</v>
      </c>
    </row>
    <row r="165" spans="1:110" s="22" customFormat="1" x14ac:dyDescent="0.2">
      <c r="A165" s="22" t="s">
        <v>74</v>
      </c>
      <c r="B165" s="22">
        <f>B156-B164</f>
        <v>0</v>
      </c>
      <c r="C165" s="22">
        <f t="shared" ref="C165:V165" si="1276">C156-C164</f>
        <v>0</v>
      </c>
      <c r="D165" s="22">
        <f t="shared" si="1276"/>
        <v>0</v>
      </c>
      <c r="E165" s="22">
        <f t="shared" si="1276"/>
        <v>0</v>
      </c>
      <c r="F165" s="22">
        <f t="shared" si="1276"/>
        <v>0</v>
      </c>
      <c r="G165" s="22">
        <f t="shared" si="1276"/>
        <v>0</v>
      </c>
      <c r="H165" s="22">
        <f t="shared" si="1276"/>
        <v>0</v>
      </c>
      <c r="I165" s="22">
        <f t="shared" si="1276"/>
        <v>0</v>
      </c>
      <c r="J165" s="22">
        <f t="shared" si="1276"/>
        <v>0</v>
      </c>
      <c r="K165" s="22">
        <f t="shared" si="1276"/>
        <v>0</v>
      </c>
      <c r="L165" s="22">
        <f t="shared" si="1276"/>
        <v>0</v>
      </c>
      <c r="M165" s="22">
        <f t="shared" si="1276"/>
        <v>156.80800000000002</v>
      </c>
      <c r="N165" s="22">
        <f t="shared" si="1276"/>
        <v>216.143</v>
      </c>
      <c r="O165" s="22">
        <f t="shared" si="1276"/>
        <v>272.78200000000004</v>
      </c>
      <c r="P165" s="22">
        <f t="shared" si="1276"/>
        <v>574.81999999999994</v>
      </c>
      <c r="Q165" s="22">
        <f t="shared" si="1276"/>
        <v>703.19000000000017</v>
      </c>
      <c r="R165" s="22">
        <f t="shared" si="1276"/>
        <v>721.62199999999996</v>
      </c>
      <c r="S165" s="22">
        <f t="shared" si="1276"/>
        <v>759.21200000000022</v>
      </c>
      <c r="T165" s="22">
        <f t="shared" si="1276"/>
        <v>795.82599999999991</v>
      </c>
      <c r="U165" s="22">
        <f t="shared" si="1276"/>
        <v>954.04000000000008</v>
      </c>
      <c r="V165" s="22">
        <f t="shared" si="1276"/>
        <v>1488.4199999999998</v>
      </c>
      <c r="W165" s="22">
        <f t="shared" ref="W165" si="1277">W156-W164</f>
        <v>1587.7499999999998</v>
      </c>
      <c r="X165" s="22">
        <f t="shared" ref="X165:Y165" si="1278">X156-X164</f>
        <v>2045.3200000000004</v>
      </c>
      <c r="Y165" s="22">
        <f t="shared" si="1278"/>
        <v>2101.1800000000003</v>
      </c>
      <c r="Z165" s="22">
        <f t="shared" ref="Z165:AA165" si="1279">Z156-Z164</f>
        <v>2368.4300000000007</v>
      </c>
      <c r="AA165" s="22">
        <f t="shared" ref="AA165" si="1280">AA156-AA164</f>
        <v>2291.34</v>
      </c>
      <c r="AB165" s="21">
        <f t="shared" ref="AB165:AD165" si="1281">AB156-AB164</f>
        <v>2902.6575000000012</v>
      </c>
      <c r="AC165" s="21">
        <f t="shared" si="1281"/>
        <v>3338.056125000001</v>
      </c>
      <c r="AD165" s="21">
        <f t="shared" si="1281"/>
        <v>3838.7645437500014</v>
      </c>
      <c r="AE165" s="21">
        <f t="shared" ref="AE165" si="1282">AE156-AE164</f>
        <v>4414.5792253125019</v>
      </c>
      <c r="AJ165" s="22">
        <f t="shared" ref="AJ165" si="1283">AJ156-AJ164</f>
        <v>0</v>
      </c>
      <c r="AK165" s="22" t="e">
        <f t="shared" ref="AK165" si="1284">AK156-AK164</f>
        <v>#DIV/0!</v>
      </c>
      <c r="AL165" s="22">
        <f t="shared" ref="AL165:AM165" si="1285">AL156-AL164</f>
        <v>0</v>
      </c>
      <c r="AM165" s="22" t="e">
        <f t="shared" si="1285"/>
        <v>#DIV/0!</v>
      </c>
      <c r="AN165" s="22">
        <f t="shared" ref="AN165:AO165" si="1286">AN156-AN164</f>
        <v>0</v>
      </c>
      <c r="AO165" s="22" t="e">
        <f t="shared" si="1286"/>
        <v>#DIV/0!</v>
      </c>
      <c r="AP165" s="22">
        <f t="shared" ref="AP165:CE165" si="1287">AP156-AP164</f>
        <v>0</v>
      </c>
      <c r="AQ165" s="22" t="e">
        <f t="shared" si="1287"/>
        <v>#DIV/0!</v>
      </c>
      <c r="AR165" s="22">
        <f t="shared" si="1287"/>
        <v>0</v>
      </c>
      <c r="AS165" s="22" t="e">
        <f t="shared" si="1287"/>
        <v>#DIV/0!</v>
      </c>
      <c r="AT165" s="22">
        <f t="shared" si="1287"/>
        <v>0</v>
      </c>
      <c r="AU165" s="22" t="e">
        <f t="shared" si="1287"/>
        <v>#DIV/0!</v>
      </c>
      <c r="AV165" s="22">
        <f t="shared" si="1287"/>
        <v>0</v>
      </c>
      <c r="AW165" s="22" t="e">
        <f t="shared" si="1287"/>
        <v>#DIV/0!</v>
      </c>
      <c r="AX165" s="22">
        <f t="shared" si="1287"/>
        <v>740.54100000000017</v>
      </c>
      <c r="AY165" s="22">
        <f t="shared" si="1287"/>
        <v>627.13023875917224</v>
      </c>
      <c r="AZ165" s="22">
        <f t="shared" si="1287"/>
        <v>0</v>
      </c>
      <c r="BA165" s="22">
        <f t="shared" si="1287"/>
        <v>0</v>
      </c>
      <c r="BB165" s="22">
        <f t="shared" si="1287"/>
        <v>789.25499999999988</v>
      </c>
      <c r="BC165" s="22">
        <f t="shared" si="1287"/>
        <v>786.66305510941447</v>
      </c>
      <c r="BD165" s="22">
        <f t="shared" si="1287"/>
        <v>763.08699999999988</v>
      </c>
      <c r="BE165" s="22">
        <f t="shared" si="1287"/>
        <v>665.31276280425516</v>
      </c>
      <c r="BF165" s="22">
        <f t="shared" si="1287"/>
        <v>679.48099999999988</v>
      </c>
      <c r="BG165" s="22">
        <f t="shared" si="1287"/>
        <v>647.54490053191489</v>
      </c>
      <c r="BH165" s="22">
        <f t="shared" ref="BH165" si="1288">BH156-BH164</f>
        <v>787.279</v>
      </c>
      <c r="BI165" s="22">
        <f t="shared" si="1287"/>
        <v>698.18131005930866</v>
      </c>
      <c r="BJ165" s="22">
        <f t="shared" si="1287"/>
        <v>702.81499999999994</v>
      </c>
      <c r="BK165" s="22">
        <f t="shared" si="1287"/>
        <v>582.47784624685721</v>
      </c>
      <c r="BL165" s="22">
        <f t="shared" si="1287"/>
        <v>944.125</v>
      </c>
      <c r="BM165" s="22">
        <f t="shared" si="1287"/>
        <v>967.19534678981518</v>
      </c>
      <c r="BN165" s="22">
        <f t="shared" si="1287"/>
        <v>895.58999999999992</v>
      </c>
      <c r="BO165" s="22">
        <f t="shared" si="1287"/>
        <v>1069.7336849631763</v>
      </c>
      <c r="BP165" s="22">
        <f t="shared" si="1287"/>
        <v>1160.6100000000001</v>
      </c>
      <c r="BQ165" s="22">
        <f t="shared" si="1287"/>
        <v>1331.1249480172814</v>
      </c>
      <c r="BR165" s="22">
        <f t="shared" si="1287"/>
        <v>1543.58</v>
      </c>
      <c r="BS165" s="22">
        <f t="shared" si="1287"/>
        <v>1382.6603562499552</v>
      </c>
      <c r="BT165" s="22">
        <f t="shared" si="1287"/>
        <v>1818.25</v>
      </c>
      <c r="BU165" s="22">
        <f t="shared" si="1287"/>
        <v>1513.8575860005981</v>
      </c>
      <c r="BV165" s="22">
        <f t="shared" si="1287"/>
        <v>1725.8</v>
      </c>
      <c r="BW165" s="22">
        <f t="shared" si="1287"/>
        <v>1905.0429497554096</v>
      </c>
      <c r="BX165" s="22">
        <f t="shared" si="1287"/>
        <v>2278.4900000000007</v>
      </c>
      <c r="BY165" s="22">
        <f t="shared" si="1287"/>
        <v>2221.7797431927356</v>
      </c>
      <c r="BZ165" s="22">
        <f t="shared" si="1287"/>
        <v>2178.75</v>
      </c>
      <c r="CA165" s="22">
        <f t="shared" si="1287"/>
        <v>1810.4058722572229</v>
      </c>
      <c r="CB165" s="22">
        <f t="shared" si="1287"/>
        <v>2029.0399999999997</v>
      </c>
      <c r="CC165" s="22">
        <f t="shared" si="1287"/>
        <v>1970.7370310751762</v>
      </c>
      <c r="CD165" s="22">
        <f t="shared" si="1287"/>
        <v>2279.5</v>
      </c>
      <c r="CE165" s="22">
        <f t="shared" si="1287"/>
        <v>1861.7672220717243</v>
      </c>
      <c r="CF165" s="22">
        <f t="shared" ref="CF165:CG165" si="1289">CF156-CF164</f>
        <v>2537.7999999999997</v>
      </c>
      <c r="CG165" s="22">
        <f t="shared" si="1289"/>
        <v>2975.4578091035382</v>
      </c>
      <c r="CH165" s="22">
        <f t="shared" ref="CH165:CI165" si="1290">CH156-CH164</f>
        <v>2368.4300000000007</v>
      </c>
      <c r="CI165" s="22">
        <f t="shared" si="1290"/>
        <v>2160.9118613613909</v>
      </c>
      <c r="CJ165" s="22">
        <f t="shared" ref="CJ165:DB165" si="1291">CJ156-CJ164</f>
        <v>2178.1299999999997</v>
      </c>
      <c r="CK165" s="22">
        <f t="shared" si="1291"/>
        <v>2342.5564405160048</v>
      </c>
      <c r="CL165" s="22">
        <f t="shared" ref="CL165" si="1292">CL156-CL164</f>
        <v>2524.0500000000006</v>
      </c>
      <c r="CM165" s="21">
        <f t="shared" si="1291"/>
        <v>2514.9037201295018</v>
      </c>
      <c r="CN165" s="21">
        <f t="shared" si="1291"/>
        <v>2649.3357124069189</v>
      </c>
      <c r="CO165" s="21">
        <f t="shared" si="1291"/>
        <v>2849.3333438260752</v>
      </c>
      <c r="CP165" s="21">
        <f t="shared" si="1291"/>
        <v>2902.6575000000012</v>
      </c>
      <c r="CQ165" s="21">
        <f t="shared" si="1291"/>
        <v>2892.1392781489276</v>
      </c>
      <c r="CR165" s="21">
        <f t="shared" si="1291"/>
        <v>3046.7360692679567</v>
      </c>
      <c r="CS165" s="21">
        <f t="shared" si="1291"/>
        <v>3276.7333453999868</v>
      </c>
      <c r="CT165" s="21">
        <f t="shared" si="1291"/>
        <v>3338.056125000001</v>
      </c>
      <c r="CU165" s="21">
        <f t="shared" si="1291"/>
        <v>3325.9601698712659</v>
      </c>
      <c r="CV165" s="21">
        <f t="shared" si="1291"/>
        <v>3503.7464796581498</v>
      </c>
      <c r="CW165" s="21">
        <f t="shared" si="1291"/>
        <v>3768.2433472099838</v>
      </c>
      <c r="CX165" s="21">
        <f t="shared" si="1291"/>
        <v>3838.7645437500014</v>
      </c>
      <c r="CY165" s="21">
        <f t="shared" si="1291"/>
        <v>3824.8541953519562</v>
      </c>
      <c r="CZ165" s="21">
        <f t="shared" si="1291"/>
        <v>4029.308451606872</v>
      </c>
      <c r="DA165" s="21">
        <f t="shared" si="1291"/>
        <v>4333.4798492914815</v>
      </c>
      <c r="DB165" s="21">
        <f t="shared" si="1291"/>
        <v>4414.5792253125019</v>
      </c>
      <c r="DE165" s="126"/>
      <c r="DF165" s="22">
        <v>2524.0500000000006</v>
      </c>
    </row>
    <row r="166" spans="1:110" s="23" customFormat="1" x14ac:dyDescent="0.2">
      <c r="AB166" s="24"/>
      <c r="AC166" s="24"/>
      <c r="AD166" s="24"/>
      <c r="AE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</row>
    <row r="167" spans="1:110" s="23" customFormat="1" outlineLevel="1" x14ac:dyDescent="0.2">
      <c r="A167" s="23" t="s">
        <v>75</v>
      </c>
      <c r="B167" s="23">
        <f>'Annual Raw'!C75</f>
        <v>0</v>
      </c>
      <c r="C167" s="23">
        <f>'Annual Raw'!D75</f>
        <v>0</v>
      </c>
      <c r="D167" s="23">
        <f>'Annual Raw'!E75</f>
        <v>0</v>
      </c>
      <c r="E167" s="23">
        <f>'Annual Raw'!F75</f>
        <v>0</v>
      </c>
      <c r="F167" s="23">
        <f>'Annual Raw'!G75</f>
        <v>0</v>
      </c>
      <c r="G167" s="23">
        <f>'Annual Raw'!H75</f>
        <v>0</v>
      </c>
      <c r="H167" s="23">
        <f>'Annual Raw'!I75</f>
        <v>0</v>
      </c>
      <c r="I167" s="23">
        <f>'Annual Raw'!J75</f>
        <v>0</v>
      </c>
      <c r="J167" s="23">
        <f>'Annual Raw'!K75</f>
        <v>0</v>
      </c>
      <c r="K167" s="23">
        <f>'Annual Raw'!L75</f>
        <v>0</v>
      </c>
      <c r="L167" s="23">
        <f>'Annual Raw'!M75</f>
        <v>0</v>
      </c>
      <c r="M167" s="23">
        <f>'Annual Raw'!N75</f>
        <v>0</v>
      </c>
      <c r="N167" s="23">
        <f>'Annual Raw'!O75</f>
        <v>0</v>
      </c>
      <c r="O167" s="23">
        <f>'Annual Raw'!P75</f>
        <v>0</v>
      </c>
      <c r="P167" s="23">
        <f>'Annual Raw'!Q75</f>
        <v>0</v>
      </c>
      <c r="Q167" s="23">
        <f>'Annual Raw'!R75</f>
        <v>0</v>
      </c>
      <c r="R167" s="23">
        <f>'Annual Raw'!S75</f>
        <v>0</v>
      </c>
      <c r="S167" s="23">
        <f>'Annual Raw'!T75</f>
        <v>0</v>
      </c>
      <c r="T167" s="23">
        <f>'Annual Raw'!U75</f>
        <v>0</v>
      </c>
      <c r="U167" s="23">
        <f>'Annual Raw'!V75</f>
        <v>0</v>
      </c>
      <c r="V167" s="23">
        <f>'Annual Raw'!W75</f>
        <v>0</v>
      </c>
      <c r="W167" s="23">
        <f>'Annual Raw'!X75</f>
        <v>0</v>
      </c>
      <c r="X167" s="23">
        <f>'Annual Raw'!Y75</f>
        <v>0</v>
      </c>
      <c r="Y167" s="23">
        <f>'Annual Raw'!Z75</f>
        <v>0</v>
      </c>
      <c r="Z167" s="23">
        <f>'Annual Raw'!AA75</f>
        <v>0</v>
      </c>
      <c r="AA167" s="23">
        <f>'Annual Raw'!AB75</f>
        <v>0</v>
      </c>
      <c r="AB167" s="24">
        <f t="shared" ref="AB167:AB168" si="1293">+CP167</f>
        <v>0</v>
      </c>
      <c r="AC167" s="24">
        <f t="shared" ref="AC167:AC168" si="1294">+CT167</f>
        <v>0</v>
      </c>
      <c r="AD167" s="24">
        <f t="shared" ref="AD167:AD168" si="1295">+CX167</f>
        <v>0</v>
      </c>
      <c r="AE167" s="24">
        <f t="shared" ref="AE167:AE168" si="1296">+DB167</f>
        <v>0</v>
      </c>
      <c r="AJ167" s="23">
        <f>+'QTR Raw'!D80</f>
        <v>0</v>
      </c>
      <c r="AL167" s="23">
        <f>+'QTR Raw'!F80</f>
        <v>0</v>
      </c>
      <c r="AN167" s="23">
        <f>+'QTR Raw'!H80</f>
        <v>0</v>
      </c>
      <c r="AP167" s="23">
        <f>+'QTR Raw'!J80</f>
        <v>0</v>
      </c>
      <c r="AR167" s="23">
        <f>+'QTR Raw'!L80</f>
        <v>0</v>
      </c>
      <c r="AT167" s="23">
        <f>+'QTR Raw'!N80</f>
        <v>0</v>
      </c>
      <c r="AV167" s="23">
        <f>+'QTR Raw'!P80</f>
        <v>0</v>
      </c>
      <c r="AX167" s="23">
        <f>+'QTR Raw'!R80</f>
        <v>0</v>
      </c>
      <c r="AZ167" s="23">
        <f>+'QTR Raw'!T80</f>
        <v>0</v>
      </c>
      <c r="BB167" s="23">
        <f>+'QTR Raw'!V80</f>
        <v>0</v>
      </c>
      <c r="BD167" s="23">
        <f>+'QTR Raw'!X80</f>
        <v>0</v>
      </c>
      <c r="BF167" s="23">
        <f>+'QTR Raw'!Z80</f>
        <v>0</v>
      </c>
      <c r="BH167" s="23">
        <f>+'QTR Raw'!AB80</f>
        <v>0</v>
      </c>
      <c r="BJ167" s="23">
        <f>+'QTR Raw'!AD80</f>
        <v>0</v>
      </c>
      <c r="BL167" s="23">
        <f>+'QTR Raw'!AF80</f>
        <v>0</v>
      </c>
      <c r="BN167" s="23">
        <f>+'QTR Raw'!AH80</f>
        <v>0</v>
      </c>
      <c r="BP167" s="23">
        <f>+'QTR Raw'!AJ80</f>
        <v>0</v>
      </c>
      <c r="BR167" s="23">
        <f>+'QTR Raw'!AL80</f>
        <v>0</v>
      </c>
      <c r="BT167" s="23">
        <f>+'QTR Raw'!AN80</f>
        <v>0</v>
      </c>
      <c r="BV167" s="23">
        <f>+'QTR Raw'!AP80</f>
        <v>0</v>
      </c>
      <c r="BX167" s="23">
        <f>+'QTR Raw'!AR80</f>
        <v>0</v>
      </c>
      <c r="BZ167" s="23">
        <f>+'QTR Raw'!AT80</f>
        <v>0</v>
      </c>
      <c r="CB167" s="23">
        <f>+'QTR Raw'!AV80</f>
        <v>0</v>
      </c>
      <c r="CD167" s="23">
        <f>+'QTR Raw'!AX80</f>
        <v>0</v>
      </c>
      <c r="CF167" s="23">
        <f>+'QTR Raw'!AZ80</f>
        <v>0</v>
      </c>
      <c r="CH167" s="23">
        <f t="shared" ref="CH167:CH168" si="1297">Z167</f>
        <v>0</v>
      </c>
      <c r="CJ167" s="23">
        <f>+'QTR Raw'!BD80</f>
        <v>0</v>
      </c>
      <c r="CL167" s="23">
        <f>+'QTR Raw'!BF80</f>
        <v>0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0</v>
      </c>
    </row>
    <row r="168" spans="1:110" s="23" customFormat="1" outlineLevel="1" x14ac:dyDescent="0.2">
      <c r="A168" s="23" t="s">
        <v>76</v>
      </c>
      <c r="B168" s="23">
        <f>'Annual Raw'!C78</f>
        <v>0</v>
      </c>
      <c r="C168" s="23">
        <f>'Annual Raw'!D78</f>
        <v>0</v>
      </c>
      <c r="D168" s="23">
        <f>'Annual Raw'!E78</f>
        <v>0</v>
      </c>
      <c r="E168" s="23">
        <f>'Annual Raw'!F78</f>
        <v>0</v>
      </c>
      <c r="F168" s="23">
        <f>'Annual Raw'!G78</f>
        <v>0</v>
      </c>
      <c r="G168" s="23">
        <f>'Annual Raw'!H78</f>
        <v>0</v>
      </c>
      <c r="H168" s="23">
        <f>'Annual Raw'!I78</f>
        <v>0</v>
      </c>
      <c r="I168" s="23">
        <f>'Annual Raw'!J78</f>
        <v>0</v>
      </c>
      <c r="J168" s="23">
        <f>'Annual Raw'!K78</f>
        <v>0</v>
      </c>
      <c r="K168" s="23">
        <f>'Annual Raw'!L78</f>
        <v>0</v>
      </c>
      <c r="L168" s="23">
        <f>'Annual Raw'!M78</f>
        <v>0</v>
      </c>
      <c r="M168" s="23">
        <f>'Annual Raw'!N78</f>
        <v>9.3239999999999998</v>
      </c>
      <c r="N168" s="23">
        <f>'Annual Raw'!O78</f>
        <v>13.617000000000001</v>
      </c>
      <c r="O168" s="23">
        <f>'Annual Raw'!P78</f>
        <v>23.195</v>
      </c>
      <c r="P168" s="23">
        <f>'Annual Raw'!Q78</f>
        <v>58.884999999999998</v>
      </c>
      <c r="Q168" s="23">
        <f>'Annual Raw'!R78</f>
        <v>28.774000000000001</v>
      </c>
      <c r="R168" s="23">
        <f>'Annual Raw'!S78</f>
        <v>4.0910000000000002</v>
      </c>
      <c r="S168" s="23">
        <f>'Annual Raw'!T78</f>
        <v>3.0569999999999999</v>
      </c>
      <c r="T168" s="23">
        <f>'Annual Raw'!U78</f>
        <v>3.0209999999999999</v>
      </c>
      <c r="U168" s="23">
        <f>'Annual Raw'!V78</f>
        <v>1.74</v>
      </c>
      <c r="V168" s="23">
        <f>'Annual Raw'!W78</f>
        <v>48.46</v>
      </c>
      <c r="W168" s="23">
        <f>'Annual Raw'!X78</f>
        <v>75.94</v>
      </c>
      <c r="X168" s="23">
        <f>'Annual Raw'!Y78</f>
        <v>48.46</v>
      </c>
      <c r="Y168" s="23">
        <f>'Annual Raw'!Z78</f>
        <v>141.65</v>
      </c>
      <c r="Z168" s="23">
        <f>'Annual Raw'!AA78</f>
        <v>144.21</v>
      </c>
      <c r="AA168" s="23">
        <f>'Annual Raw'!AB78</f>
        <v>113.7</v>
      </c>
      <c r="AB168" s="24">
        <f t="shared" si="1293"/>
        <v>393.73740860072684</v>
      </c>
      <c r="AC168" s="24">
        <f t="shared" si="1294"/>
        <v>823.26511990542815</v>
      </c>
      <c r="AD168" s="24">
        <f t="shared" si="1295"/>
        <v>1425.3867307145824</v>
      </c>
      <c r="AE168" s="24">
        <f t="shared" si="1296"/>
        <v>2503.9085459625976</v>
      </c>
      <c r="AJ168" s="23">
        <f>+'QTR Raw'!D83</f>
        <v>0</v>
      </c>
      <c r="AK168" s="23" t="e">
        <f t="shared" ref="AK168:AM168" si="1298">+AK218</f>
        <v>#DIV/0!</v>
      </c>
      <c r="AL168" s="23">
        <f>+'QTR Raw'!F83</f>
        <v>0</v>
      </c>
      <c r="AM168" s="23" t="e">
        <f t="shared" si="1298"/>
        <v>#DIV/0!</v>
      </c>
      <c r="AN168" s="23">
        <f>+'QTR Raw'!H83</f>
        <v>0</v>
      </c>
      <c r="AO168" s="23" t="e">
        <f t="shared" ref="AO168" si="1299">+AO218</f>
        <v>#DIV/0!</v>
      </c>
      <c r="AP168" s="23">
        <f>+'QTR Raw'!J83</f>
        <v>0</v>
      </c>
      <c r="AQ168" s="23" t="e">
        <f t="shared" ref="AQ168" si="1300">+AQ218</f>
        <v>#DIV/0!</v>
      </c>
      <c r="AR168" s="23">
        <f>+'QTR Raw'!L83</f>
        <v>0</v>
      </c>
      <c r="AS168" s="23" t="e">
        <f t="shared" ref="AS168" si="1301">+AS218</f>
        <v>#DIV/0!</v>
      </c>
      <c r="AT168" s="23">
        <f>+'QTR Raw'!N83</f>
        <v>0</v>
      </c>
      <c r="AU168" s="23" t="e">
        <f t="shared" ref="AU168" si="1302">+AU218</f>
        <v>#DIV/0!</v>
      </c>
      <c r="AV168" s="23">
        <f>+'QTR Raw'!P83</f>
        <v>0</v>
      </c>
      <c r="AW168" s="23" t="e">
        <f t="shared" ref="AW168" si="1303">+AW218</f>
        <v>#DIV/0!</v>
      </c>
      <c r="AX168" s="23">
        <f>+'QTR Raw'!R83</f>
        <v>28.774000000000001</v>
      </c>
      <c r="AY168" s="23">
        <f t="shared" ref="AY168" si="1304">+AY218</f>
        <v>167.82776124082787</v>
      </c>
      <c r="AZ168" s="23">
        <f>+'QTR Raw'!T83</f>
        <v>0</v>
      </c>
      <c r="BA168" s="23">
        <f t="shared" ref="BA168" si="1305">+BA218</f>
        <v>45.019000000000027</v>
      </c>
      <c r="BB168" s="23">
        <f>+'QTR Raw'!V83</f>
        <v>4.0910000000000002</v>
      </c>
      <c r="BC168" s="23">
        <f t="shared" ref="BC168" si="1306">+BC218</f>
        <v>45.587944890585256</v>
      </c>
      <c r="BD168" s="23">
        <f>+'QTR Raw'!X83</f>
        <v>5.476</v>
      </c>
      <c r="BE168" s="23">
        <f t="shared" ref="BE168" si="1307">+BE218</f>
        <v>138.12023719574478</v>
      </c>
      <c r="BF168" s="23">
        <f>+'QTR Raw'!Z83</f>
        <v>3.0569999999999999</v>
      </c>
      <c r="BG168" s="23">
        <f t="shared" ref="BG168" si="1308">+BG218</f>
        <v>51.551099468085042</v>
      </c>
      <c r="BH168" s="23">
        <f>+'QTR Raw'!AB83</f>
        <v>9.125</v>
      </c>
      <c r="BI168" s="23">
        <f t="shared" ref="BI168" si="1309">+BI218</f>
        <v>116.0396899406912</v>
      </c>
      <c r="BJ168" s="23">
        <f>+'QTR Raw'!AD83</f>
        <v>3.0209999999999999</v>
      </c>
      <c r="BK168" s="23">
        <f t="shared" ref="BK168" si="1310">+BK218</f>
        <v>138.45815375314294</v>
      </c>
      <c r="BL168" s="23">
        <f>+'QTR Raw'!AF83</f>
        <v>4.8330000000000002</v>
      </c>
      <c r="BM168" s="23">
        <f t="shared" ref="BM168" si="1311">+BM218</f>
        <v>55.232653210184978</v>
      </c>
      <c r="BN168" s="23">
        <f>+'QTR Raw'!AH83</f>
        <v>1.74</v>
      </c>
      <c r="BO168" s="23">
        <f t="shared" ref="BO168" si="1312">+BO218</f>
        <v>-0.62368496317635191</v>
      </c>
      <c r="BP168" s="23">
        <f>+'QTR Raw'!AJ83</f>
        <v>2.19</v>
      </c>
      <c r="BQ168" s="23">
        <f t="shared" ref="BQ168" si="1313">+BQ218</f>
        <v>104.52505198271859</v>
      </c>
      <c r="BR168" s="23">
        <f>+'QTR Raw'!AL83</f>
        <v>48.46</v>
      </c>
      <c r="BS168" s="23">
        <f t="shared" ref="BS168" si="1314">+BS218</f>
        <v>450.76964375004485</v>
      </c>
      <c r="BT168" s="23">
        <f>+'QTR Raw'!AN83</f>
        <v>38.67</v>
      </c>
      <c r="BU168" s="23">
        <f t="shared" ref="BU168" si="1315">+BU218</f>
        <v>496.79241399940196</v>
      </c>
      <c r="BV168" s="23">
        <f>+'QTR Raw'!AP83</f>
        <v>75.94</v>
      </c>
      <c r="BW168" s="23">
        <f t="shared" ref="BW168" si="1316">+BW218</f>
        <v>147.97705024459032</v>
      </c>
      <c r="BX168" s="23">
        <f>+'QTR Raw'!AR83</f>
        <v>52.19</v>
      </c>
      <c r="BY168" s="23">
        <f t="shared" ref="BY168" si="1317">+BY218</f>
        <v>311.94025680726503</v>
      </c>
      <c r="BZ168" s="23">
        <f>+'QTR Raw'!AT83</f>
        <v>48.46</v>
      </c>
      <c r="CA168" s="23">
        <f t="shared" ref="CA168" si="1318">+CA218</f>
        <v>441.65412774277655</v>
      </c>
      <c r="CB168" s="23">
        <f>+'QTR Raw'!AV83</f>
        <v>67.16</v>
      </c>
      <c r="CC168" s="23">
        <f t="shared" ref="CC168" si="1319">+CC218</f>
        <v>148.60296892482373</v>
      </c>
      <c r="CD168" s="23">
        <f>+'QTR Raw'!AX83</f>
        <v>141.65</v>
      </c>
      <c r="CE168" s="23">
        <f t="shared" ref="CE168" si="1320">+CE218</f>
        <v>571.89277792827556</v>
      </c>
      <c r="CF168" s="23">
        <f>+'QTR Raw'!AZ83</f>
        <v>44.92</v>
      </c>
      <c r="CG168" s="23">
        <f t="shared" ref="CG168:CI168" si="1321">+CG218</f>
        <v>-300.43780910353973</v>
      </c>
      <c r="CH168" s="23">
        <f t="shared" si="1297"/>
        <v>144.21</v>
      </c>
      <c r="CI168" s="23">
        <f t="shared" si="1321"/>
        <v>631.58813863860951</v>
      </c>
      <c r="CJ168" s="23">
        <f>+'QTR Raw'!BD83</f>
        <v>63.38</v>
      </c>
      <c r="CK168" s="23">
        <f t="shared" ref="CK168:DB168" si="1322">+CK218</f>
        <v>271.23355948399461</v>
      </c>
      <c r="CL168" s="23">
        <f>+'QTR Raw'!BF83</f>
        <v>113.7</v>
      </c>
      <c r="CM168" s="24">
        <f t="shared" si="1322"/>
        <v>255.7225158463836</v>
      </c>
      <c r="CN168" s="24">
        <f t="shared" si="1322"/>
        <v>272.10191582609127</v>
      </c>
      <c r="CO168" s="24">
        <f t="shared" si="1322"/>
        <v>256.46991301190866</v>
      </c>
      <c r="CP168" s="24">
        <f t="shared" si="1322"/>
        <v>393.73740860072684</v>
      </c>
      <c r="CQ168" s="24">
        <f t="shared" si="1322"/>
        <v>592.33470174378226</v>
      </c>
      <c r="CR168" s="24">
        <f t="shared" si="1322"/>
        <v>638.35401326436988</v>
      </c>
      <c r="CS168" s="24">
        <f t="shared" si="1322"/>
        <v>642.39290276693009</v>
      </c>
      <c r="CT168" s="24">
        <f t="shared" si="1322"/>
        <v>823.26511990542815</v>
      </c>
      <c r="CU168" s="24">
        <f t="shared" si="1322"/>
        <v>1080.0207642401078</v>
      </c>
      <c r="CV168" s="24">
        <f t="shared" si="1322"/>
        <v>1177.6595450750303</v>
      </c>
      <c r="CW168" s="24">
        <f t="shared" si="1322"/>
        <v>1199.173452068811</v>
      </c>
      <c r="CX168" s="24">
        <f t="shared" si="1322"/>
        <v>1425.3867307145824</v>
      </c>
      <c r="CY168" s="24">
        <f t="shared" si="1322"/>
        <v>1744.8315853345662</v>
      </c>
      <c r="CZ168" s="24">
        <f t="shared" si="1322"/>
        <v>1992.7318526825645</v>
      </c>
      <c r="DA168" s="24">
        <f t="shared" si="1322"/>
        <v>2138.6684292409318</v>
      </c>
      <c r="DB168" s="24">
        <f t="shared" si="1322"/>
        <v>2503.9085459625976</v>
      </c>
      <c r="DE168" s="123"/>
      <c r="DF168" s="23">
        <v>113.7</v>
      </c>
    </row>
    <row r="169" spans="1:110" s="22" customFormat="1" x14ac:dyDescent="0.2">
      <c r="A169" s="22" t="s">
        <v>77</v>
      </c>
      <c r="B169" s="22">
        <f>B167+B168</f>
        <v>0</v>
      </c>
      <c r="C169" s="22">
        <f t="shared" ref="C169:V169" si="1323">C167+C168</f>
        <v>0</v>
      </c>
      <c r="D169" s="22">
        <f t="shared" si="1323"/>
        <v>0</v>
      </c>
      <c r="E169" s="22">
        <f t="shared" si="1323"/>
        <v>0</v>
      </c>
      <c r="F169" s="22">
        <f t="shared" si="1323"/>
        <v>0</v>
      </c>
      <c r="G169" s="22">
        <f t="shared" si="1323"/>
        <v>0</v>
      </c>
      <c r="H169" s="22">
        <f t="shared" si="1323"/>
        <v>0</v>
      </c>
      <c r="I169" s="22">
        <f t="shared" si="1323"/>
        <v>0</v>
      </c>
      <c r="J169" s="22">
        <f t="shared" si="1323"/>
        <v>0</v>
      </c>
      <c r="K169" s="22">
        <f t="shared" si="1323"/>
        <v>0</v>
      </c>
      <c r="L169" s="22">
        <f t="shared" si="1323"/>
        <v>0</v>
      </c>
      <c r="M169" s="22">
        <f t="shared" si="1323"/>
        <v>9.3239999999999998</v>
      </c>
      <c r="N169" s="22">
        <f t="shared" si="1323"/>
        <v>13.617000000000001</v>
      </c>
      <c r="O169" s="22">
        <f t="shared" si="1323"/>
        <v>23.195</v>
      </c>
      <c r="P169" s="22">
        <f t="shared" si="1323"/>
        <v>58.884999999999998</v>
      </c>
      <c r="Q169" s="22">
        <f t="shared" si="1323"/>
        <v>28.774000000000001</v>
      </c>
      <c r="R169" s="22">
        <f t="shared" si="1323"/>
        <v>4.0910000000000002</v>
      </c>
      <c r="S169" s="22">
        <f t="shared" si="1323"/>
        <v>3.0569999999999999</v>
      </c>
      <c r="T169" s="22">
        <f t="shared" si="1323"/>
        <v>3.0209999999999999</v>
      </c>
      <c r="U169" s="22">
        <f t="shared" si="1323"/>
        <v>1.74</v>
      </c>
      <c r="V169" s="22">
        <f t="shared" si="1323"/>
        <v>48.46</v>
      </c>
      <c r="W169" s="22">
        <f t="shared" ref="W169" si="1324">W167+W168</f>
        <v>75.94</v>
      </c>
      <c r="X169" s="22">
        <f t="shared" ref="X169:Y169" si="1325">X167+X168</f>
        <v>48.46</v>
      </c>
      <c r="Y169" s="22">
        <f t="shared" si="1325"/>
        <v>141.65</v>
      </c>
      <c r="Z169" s="22">
        <f t="shared" ref="Z169:AA169" si="1326">Z167+Z168</f>
        <v>144.21</v>
      </c>
      <c r="AA169" s="22">
        <f t="shared" ref="AA169" si="1327">AA167+AA168</f>
        <v>113.7</v>
      </c>
      <c r="AB169" s="21">
        <f t="shared" ref="AB169:AD169" si="1328">AB167+AB168</f>
        <v>393.73740860072684</v>
      </c>
      <c r="AC169" s="21">
        <f t="shared" si="1328"/>
        <v>823.26511990542815</v>
      </c>
      <c r="AD169" s="21">
        <f t="shared" si="1328"/>
        <v>1425.3867307145824</v>
      </c>
      <c r="AE169" s="21">
        <f t="shared" ref="AE169" si="1329">AE167+AE168</f>
        <v>2503.9085459625976</v>
      </c>
      <c r="AJ169" s="22">
        <f t="shared" ref="AJ169" si="1330">AJ167+AJ168</f>
        <v>0</v>
      </c>
      <c r="AK169" s="22" t="e">
        <f t="shared" ref="AK169" si="1331">AK167+AK168</f>
        <v>#DIV/0!</v>
      </c>
      <c r="AL169" s="22">
        <f t="shared" ref="AL169:AM169" si="1332">AL167+AL168</f>
        <v>0</v>
      </c>
      <c r="AM169" s="22" t="e">
        <f t="shared" si="1332"/>
        <v>#DIV/0!</v>
      </c>
      <c r="AN169" s="22">
        <f t="shared" ref="AN169:AO169" si="1333">AN167+AN168</f>
        <v>0</v>
      </c>
      <c r="AO169" s="22" t="e">
        <f t="shared" si="1333"/>
        <v>#DIV/0!</v>
      </c>
      <c r="AP169" s="22">
        <f t="shared" ref="AP169:CE169" si="1334">AP167+AP168</f>
        <v>0</v>
      </c>
      <c r="AQ169" s="22" t="e">
        <f t="shared" si="1334"/>
        <v>#DIV/0!</v>
      </c>
      <c r="AR169" s="22">
        <f t="shared" si="1334"/>
        <v>0</v>
      </c>
      <c r="AS169" s="22" t="e">
        <f t="shared" si="1334"/>
        <v>#DIV/0!</v>
      </c>
      <c r="AT169" s="22">
        <f t="shared" si="1334"/>
        <v>0</v>
      </c>
      <c r="AU169" s="22" t="e">
        <f t="shared" si="1334"/>
        <v>#DIV/0!</v>
      </c>
      <c r="AV169" s="22">
        <f t="shared" si="1334"/>
        <v>0</v>
      </c>
      <c r="AW169" s="22" t="e">
        <f t="shared" si="1334"/>
        <v>#DIV/0!</v>
      </c>
      <c r="AX169" s="22">
        <f t="shared" si="1334"/>
        <v>28.774000000000001</v>
      </c>
      <c r="AY169" s="22">
        <f t="shared" si="1334"/>
        <v>167.82776124082787</v>
      </c>
      <c r="AZ169" s="22">
        <f t="shared" si="1334"/>
        <v>0</v>
      </c>
      <c r="BA169" s="22">
        <f t="shared" si="1334"/>
        <v>45.019000000000027</v>
      </c>
      <c r="BB169" s="22">
        <f t="shared" si="1334"/>
        <v>4.0910000000000002</v>
      </c>
      <c r="BC169" s="22">
        <f t="shared" si="1334"/>
        <v>45.587944890585256</v>
      </c>
      <c r="BD169" s="22">
        <f t="shared" si="1334"/>
        <v>5.476</v>
      </c>
      <c r="BE169" s="22">
        <f t="shared" si="1334"/>
        <v>138.12023719574478</v>
      </c>
      <c r="BF169" s="22">
        <f t="shared" si="1334"/>
        <v>3.0569999999999999</v>
      </c>
      <c r="BG169" s="22">
        <f t="shared" si="1334"/>
        <v>51.551099468085042</v>
      </c>
      <c r="BH169" s="22">
        <f t="shared" si="1334"/>
        <v>9.125</v>
      </c>
      <c r="BI169" s="22">
        <f t="shared" si="1334"/>
        <v>116.0396899406912</v>
      </c>
      <c r="BJ169" s="22">
        <f t="shared" si="1334"/>
        <v>3.0209999999999999</v>
      </c>
      <c r="BK169" s="22">
        <f t="shared" si="1334"/>
        <v>138.45815375314294</v>
      </c>
      <c r="BL169" s="22">
        <f t="shared" si="1334"/>
        <v>4.8330000000000002</v>
      </c>
      <c r="BM169" s="22">
        <f t="shared" si="1334"/>
        <v>55.232653210184978</v>
      </c>
      <c r="BN169" s="22">
        <f t="shared" si="1334"/>
        <v>1.74</v>
      </c>
      <c r="BO169" s="22">
        <f t="shared" si="1334"/>
        <v>-0.62368496317635191</v>
      </c>
      <c r="BP169" s="22">
        <f t="shared" si="1334"/>
        <v>2.19</v>
      </c>
      <c r="BQ169" s="22">
        <f t="shared" si="1334"/>
        <v>104.52505198271859</v>
      </c>
      <c r="BR169" s="22">
        <f t="shared" si="1334"/>
        <v>48.46</v>
      </c>
      <c r="BS169" s="22">
        <f t="shared" si="1334"/>
        <v>450.76964375004485</v>
      </c>
      <c r="BT169" s="22">
        <f t="shared" si="1334"/>
        <v>38.67</v>
      </c>
      <c r="BU169" s="22">
        <f t="shared" si="1334"/>
        <v>496.79241399940196</v>
      </c>
      <c r="BV169" s="22">
        <f t="shared" si="1334"/>
        <v>75.94</v>
      </c>
      <c r="BW169" s="22">
        <f t="shared" si="1334"/>
        <v>147.97705024459032</v>
      </c>
      <c r="BX169" s="22">
        <f t="shared" si="1334"/>
        <v>52.19</v>
      </c>
      <c r="BY169" s="22">
        <f t="shared" si="1334"/>
        <v>311.94025680726503</v>
      </c>
      <c r="BZ169" s="22">
        <f t="shared" si="1334"/>
        <v>48.46</v>
      </c>
      <c r="CA169" s="22">
        <f t="shared" si="1334"/>
        <v>441.65412774277655</v>
      </c>
      <c r="CB169" s="22">
        <f t="shared" si="1334"/>
        <v>67.16</v>
      </c>
      <c r="CC169" s="22">
        <f t="shared" si="1334"/>
        <v>148.60296892482373</v>
      </c>
      <c r="CD169" s="22">
        <f t="shared" si="1334"/>
        <v>141.65</v>
      </c>
      <c r="CE169" s="22">
        <f t="shared" si="1334"/>
        <v>571.89277792827556</v>
      </c>
      <c r="CF169" s="22">
        <f t="shared" ref="CF169:CG169" si="1335">CF167+CF168</f>
        <v>44.92</v>
      </c>
      <c r="CG169" s="22">
        <f t="shared" si="1335"/>
        <v>-300.43780910353973</v>
      </c>
      <c r="CH169" s="22">
        <f t="shared" ref="CH169:CI169" si="1336">CH167+CH168</f>
        <v>144.21</v>
      </c>
      <c r="CI169" s="22">
        <f t="shared" si="1336"/>
        <v>631.58813863860951</v>
      </c>
      <c r="CJ169" s="22">
        <f t="shared" ref="CJ169:DB169" si="1337">CJ167+CJ168</f>
        <v>63.38</v>
      </c>
      <c r="CK169" s="22">
        <f t="shared" si="1337"/>
        <v>271.23355948399461</v>
      </c>
      <c r="CL169" s="22">
        <f t="shared" ref="CL169" si="1338">CL167+CL168</f>
        <v>113.7</v>
      </c>
      <c r="CM169" s="21">
        <f t="shared" si="1337"/>
        <v>255.7225158463836</v>
      </c>
      <c r="CN169" s="21">
        <f t="shared" si="1337"/>
        <v>272.10191582609127</v>
      </c>
      <c r="CO169" s="21">
        <f t="shared" si="1337"/>
        <v>256.46991301190866</v>
      </c>
      <c r="CP169" s="21">
        <f t="shared" si="1337"/>
        <v>393.73740860072684</v>
      </c>
      <c r="CQ169" s="21">
        <f t="shared" si="1337"/>
        <v>592.33470174378226</v>
      </c>
      <c r="CR169" s="21">
        <f t="shared" si="1337"/>
        <v>638.35401326436988</v>
      </c>
      <c r="CS169" s="21">
        <f t="shared" si="1337"/>
        <v>642.39290276693009</v>
      </c>
      <c r="CT169" s="21">
        <f t="shared" si="1337"/>
        <v>823.26511990542815</v>
      </c>
      <c r="CU169" s="21">
        <f t="shared" si="1337"/>
        <v>1080.0207642401078</v>
      </c>
      <c r="CV169" s="21">
        <f t="shared" si="1337"/>
        <v>1177.6595450750303</v>
      </c>
      <c r="CW169" s="21">
        <f t="shared" si="1337"/>
        <v>1199.173452068811</v>
      </c>
      <c r="CX169" s="21">
        <f t="shared" si="1337"/>
        <v>1425.3867307145824</v>
      </c>
      <c r="CY169" s="21">
        <f t="shared" si="1337"/>
        <v>1744.8315853345662</v>
      </c>
      <c r="CZ169" s="21">
        <f t="shared" si="1337"/>
        <v>1992.7318526825645</v>
      </c>
      <c r="DA169" s="21">
        <f t="shared" si="1337"/>
        <v>2138.6684292409318</v>
      </c>
      <c r="DB169" s="21">
        <f t="shared" si="1337"/>
        <v>2503.9085459625976</v>
      </c>
      <c r="DE169" s="126"/>
      <c r="DF169" s="22">
        <v>113.7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x14ac:dyDescent="0.2">
      <c r="A171" s="23" t="s">
        <v>78</v>
      </c>
      <c r="B171" s="23">
        <f>-'Annual Raw'!C49</f>
        <v>0</v>
      </c>
      <c r="C171" s="23">
        <f>-'Annual Raw'!D49</f>
        <v>0</v>
      </c>
      <c r="D171" s="23">
        <f>-'Annual Raw'!E49</f>
        <v>0</v>
      </c>
      <c r="E171" s="23">
        <f>-'Annual Raw'!F49</f>
        <v>0</v>
      </c>
      <c r="F171" s="23">
        <f>-'Annual Raw'!G49</f>
        <v>0</v>
      </c>
      <c r="G171" s="23">
        <f>-'Annual Raw'!H49</f>
        <v>0</v>
      </c>
      <c r="H171" s="23">
        <f>-'Annual Raw'!I49</f>
        <v>0</v>
      </c>
      <c r="I171" s="23">
        <f>-'Annual Raw'!J49</f>
        <v>0</v>
      </c>
      <c r="J171" s="23">
        <f>-'Annual Raw'!K49</f>
        <v>0</v>
      </c>
      <c r="K171" s="23">
        <f>-'Annual Raw'!L49</f>
        <v>0</v>
      </c>
      <c r="L171" s="23">
        <f>-'Annual Raw'!M49</f>
        <v>0</v>
      </c>
      <c r="M171" s="23">
        <f>-'Annual Raw'!N49</f>
        <v>9.6999999999999993</v>
      </c>
      <c r="N171" s="23">
        <f>-'Annual Raw'!O49</f>
        <v>11.82</v>
      </c>
      <c r="O171" s="23">
        <f>-'Annual Raw'!P49</f>
        <v>-11.818</v>
      </c>
      <c r="P171" s="23">
        <f>-'Annual Raw'!Q49</f>
        <v>-10.266999999999999</v>
      </c>
      <c r="Q171" s="23">
        <f>-'Annual Raw'!R49</f>
        <v>54.872</v>
      </c>
      <c r="R171" s="23">
        <f>-'Annual Raw'!S49</f>
        <v>69.885999999999996</v>
      </c>
      <c r="S171" s="23">
        <f>-'Annual Raw'!T49</f>
        <v>52.896999999999998</v>
      </c>
      <c r="T171" s="23">
        <f>-'Annual Raw'!U49</f>
        <v>53.383000000000003</v>
      </c>
      <c r="U171" s="23">
        <f>-'Annual Raw'!V49</f>
        <v>73.930000000000007</v>
      </c>
      <c r="V171" s="23">
        <f>-'Annual Raw'!W49</f>
        <v>-19.18</v>
      </c>
      <c r="W171" s="23">
        <f>-'Annual Raw'!X49</f>
        <v>-69.11</v>
      </c>
      <c r="X171" s="23">
        <f>-'Annual Raw'!Y49</f>
        <v>-82.45</v>
      </c>
      <c r="Y171" s="23">
        <f>-'Annual Raw'!Z49</f>
        <v>-57.04</v>
      </c>
      <c r="Z171" s="23">
        <f>-'Annual Raw'!AA49</f>
        <v>-31.87</v>
      </c>
      <c r="AA171" s="23">
        <f>-'Annual Raw'!AB49</f>
        <v>-29.38</v>
      </c>
      <c r="AB171" s="24">
        <f t="shared" ref="AB171:AB172" si="1339">+CP171</f>
        <v>-29.38</v>
      </c>
      <c r="AC171" s="24">
        <f t="shared" ref="AC171:AC172" si="1340">+CT171</f>
        <v>-29.38</v>
      </c>
      <c r="AD171" s="24">
        <f t="shared" ref="AD171:AD172" si="1341">+CX171</f>
        <v>-29.38</v>
      </c>
      <c r="AE171" s="24">
        <f t="shared" ref="AE171:AE172" si="1342">+DB171</f>
        <v>-29.38</v>
      </c>
      <c r="AJ171" s="23">
        <f>+'QTR Raw'!D96</f>
        <v>0</v>
      </c>
      <c r="AK171" s="23">
        <f t="shared" ref="AK171:CE171" si="1343">+AJ171</f>
        <v>0</v>
      </c>
      <c r="AL171" s="23">
        <f>+'QTR Raw'!F96</f>
        <v>0</v>
      </c>
      <c r="AM171" s="23">
        <f t="shared" si="1343"/>
        <v>0</v>
      </c>
      <c r="AN171" s="23">
        <f>+'QTR Raw'!H96</f>
        <v>0</v>
      </c>
      <c r="AO171" s="23">
        <f t="shared" si="1343"/>
        <v>0</v>
      </c>
      <c r="AP171" s="23">
        <f>+'QTR Raw'!J96</f>
        <v>0</v>
      </c>
      <c r="AQ171" s="23">
        <f t="shared" si="1343"/>
        <v>0</v>
      </c>
      <c r="AR171" s="23">
        <f>+'QTR Raw'!L96</f>
        <v>0</v>
      </c>
      <c r="AS171" s="23">
        <f t="shared" si="1343"/>
        <v>0</v>
      </c>
      <c r="AT171" s="23">
        <f>+'QTR Raw'!N96</f>
        <v>0</v>
      </c>
      <c r="AU171" s="23">
        <f t="shared" si="1343"/>
        <v>0</v>
      </c>
      <c r="AV171" s="23">
        <f>+'QTR Raw'!P96</f>
        <v>0</v>
      </c>
      <c r="AW171" s="23">
        <f t="shared" si="1343"/>
        <v>0</v>
      </c>
      <c r="AX171" s="23">
        <f>+'QTR Raw'!R96</f>
        <v>54.872</v>
      </c>
      <c r="AY171" s="23">
        <f t="shared" si="1343"/>
        <v>54.872</v>
      </c>
      <c r="AZ171" s="23">
        <f>+'QTR Raw'!T96</f>
        <v>0</v>
      </c>
      <c r="BA171" s="23">
        <f t="shared" si="1343"/>
        <v>0</v>
      </c>
      <c r="BB171" s="23">
        <f>+'QTR Raw'!V96</f>
        <v>69.885999999999996</v>
      </c>
      <c r="BC171" s="23">
        <f t="shared" si="1343"/>
        <v>69.885999999999996</v>
      </c>
      <c r="BD171" s="23">
        <f>+'QTR Raw'!X96</f>
        <v>61.100999999999999</v>
      </c>
      <c r="BE171" s="23">
        <f t="shared" si="1343"/>
        <v>61.100999999999999</v>
      </c>
      <c r="BF171" s="23">
        <f>+'QTR Raw'!Z96</f>
        <v>52.896999999999998</v>
      </c>
      <c r="BG171" s="23">
        <f t="shared" si="1343"/>
        <v>52.896999999999998</v>
      </c>
      <c r="BH171" s="23">
        <f>+'QTR Raw'!AB96</f>
        <v>52.167000000000002</v>
      </c>
      <c r="BI171" s="23">
        <f t="shared" si="1343"/>
        <v>52.167000000000002</v>
      </c>
      <c r="BJ171" s="23">
        <f>+'QTR Raw'!AD96</f>
        <v>53.383000000000003</v>
      </c>
      <c r="BK171" s="23">
        <f t="shared" si="1343"/>
        <v>53.383000000000003</v>
      </c>
      <c r="BL171" s="23">
        <f>+'QTR Raw'!AF96</f>
        <v>54.802</v>
      </c>
      <c r="BM171" s="23">
        <f t="shared" si="1343"/>
        <v>54.802</v>
      </c>
      <c r="BN171" s="23">
        <f>+'QTR Raw'!AH96</f>
        <v>73.930000000000007</v>
      </c>
      <c r="BO171" s="23">
        <f t="shared" si="1343"/>
        <v>73.930000000000007</v>
      </c>
      <c r="BP171" s="23">
        <f>+'QTR Raw'!AJ96</f>
        <v>39.42</v>
      </c>
      <c r="BQ171" s="23">
        <f t="shared" si="1343"/>
        <v>39.42</v>
      </c>
      <c r="BR171" s="23">
        <f>+'QTR Raw'!AL96</f>
        <v>-19.18</v>
      </c>
      <c r="BS171" s="23">
        <f t="shared" si="1343"/>
        <v>-19.18</v>
      </c>
      <c r="BT171" s="23">
        <f>+'QTR Raw'!AN96</f>
        <v>-48.68</v>
      </c>
      <c r="BU171" s="23">
        <f t="shared" si="1343"/>
        <v>-48.68</v>
      </c>
      <c r="BV171" s="23">
        <f>+'QTR Raw'!AP96</f>
        <v>-69.11</v>
      </c>
      <c r="BW171" s="23">
        <f t="shared" si="1343"/>
        <v>-69.11</v>
      </c>
      <c r="BX171" s="23">
        <f>+'QTR Raw'!AR96</f>
        <v>-101.14</v>
      </c>
      <c r="BY171" s="23">
        <f t="shared" si="1343"/>
        <v>-101.14</v>
      </c>
      <c r="BZ171" s="23">
        <f>+'QTR Raw'!AT96</f>
        <v>-82.45</v>
      </c>
      <c r="CA171" s="23">
        <f t="shared" si="1343"/>
        <v>-82.45</v>
      </c>
      <c r="CB171" s="23">
        <f>+'QTR Raw'!AV96</f>
        <v>-77.23</v>
      </c>
      <c r="CC171" s="23">
        <f t="shared" si="1343"/>
        <v>-77.23</v>
      </c>
      <c r="CD171" s="23">
        <f>+'QTR Raw'!AX96</f>
        <v>-57.04</v>
      </c>
      <c r="CE171" s="23">
        <f t="shared" si="1343"/>
        <v>-57.04</v>
      </c>
      <c r="CF171" s="23">
        <f>+'QTR Raw'!AZ96</f>
        <v>-29.32</v>
      </c>
      <c r="CG171" s="23">
        <f t="shared" ref="CG171:CI172" si="1344">+CF171</f>
        <v>-29.32</v>
      </c>
      <c r="CH171" s="23">
        <f t="shared" ref="CH171:CH172" si="1345">Z171</f>
        <v>-31.87</v>
      </c>
      <c r="CI171" s="23">
        <f t="shared" si="1344"/>
        <v>-31.87</v>
      </c>
      <c r="CJ171" s="23">
        <f>+'QTR Raw'!BD96</f>
        <v>-25.02</v>
      </c>
      <c r="CK171" s="23">
        <f t="shared" ref="CK171:CK172" si="1346">+CJ171</f>
        <v>-25.02</v>
      </c>
      <c r="CL171" s="23">
        <f>+'QTR Raw'!BF96</f>
        <v>-29.38</v>
      </c>
      <c r="CM171" s="24">
        <f t="shared" ref="CM171:CM172" si="1347">+CL171</f>
        <v>-29.38</v>
      </c>
      <c r="CN171" s="24">
        <f t="shared" ref="CN171:CN172" si="1348">+CM171</f>
        <v>-29.38</v>
      </c>
      <c r="CO171" s="24">
        <f t="shared" ref="CO171:CO172" si="1349">+CN171</f>
        <v>-29.38</v>
      </c>
      <c r="CP171" s="24">
        <f t="shared" ref="CP171:CP172" si="1350">+CO171</f>
        <v>-29.38</v>
      </c>
      <c r="CQ171" s="24">
        <f t="shared" ref="CQ171:CQ172" si="1351">+CP171</f>
        <v>-29.38</v>
      </c>
      <c r="CR171" s="24">
        <f t="shared" ref="CR171:CR172" si="1352">+CQ171</f>
        <v>-29.38</v>
      </c>
      <c r="CS171" s="24">
        <f t="shared" ref="CS171:CS172" si="1353">+CR171</f>
        <v>-29.38</v>
      </c>
      <c r="CT171" s="24">
        <f t="shared" ref="CT171:CT172" si="1354">+CS171</f>
        <v>-29.38</v>
      </c>
      <c r="CU171" s="24">
        <f t="shared" ref="CU171:CU172" si="1355">+CT171</f>
        <v>-29.38</v>
      </c>
      <c r="CV171" s="24">
        <f t="shared" ref="CV171:CV172" si="1356">+CU171</f>
        <v>-29.38</v>
      </c>
      <c r="CW171" s="24">
        <f t="shared" ref="CW171:CW172" si="1357">+CV171</f>
        <v>-29.38</v>
      </c>
      <c r="CX171" s="24">
        <f t="shared" ref="CX171:CX172" si="1358">+CW171</f>
        <v>-29.38</v>
      </c>
      <c r="CY171" s="24">
        <f t="shared" ref="CY171:CY172" si="1359">+CX171</f>
        <v>-29.38</v>
      </c>
      <c r="CZ171" s="24">
        <f t="shared" ref="CZ171:CZ172" si="1360">+CY171</f>
        <v>-29.38</v>
      </c>
      <c r="DA171" s="24">
        <f t="shared" ref="DA171:DA172" si="1361">+CZ171</f>
        <v>-29.38</v>
      </c>
      <c r="DB171" s="24">
        <f t="shared" ref="DB171:DB172" si="1362">+DA171</f>
        <v>-29.38</v>
      </c>
      <c r="DE171" s="123"/>
      <c r="DF171" s="23">
        <v>-29.38</v>
      </c>
    </row>
    <row r="172" spans="1:110" s="23" customFormat="1" x14ac:dyDescent="0.2">
      <c r="A172" s="23" t="s">
        <v>79</v>
      </c>
      <c r="B172" s="23">
        <f>'Annual Raw'!C83</f>
        <v>0</v>
      </c>
      <c r="C172" s="23">
        <f>'Annual Raw'!D83</f>
        <v>0</v>
      </c>
      <c r="D172" s="23">
        <f>'Annual Raw'!E83</f>
        <v>0</v>
      </c>
      <c r="E172" s="23">
        <f>'Annual Raw'!F83</f>
        <v>0</v>
      </c>
      <c r="F172" s="23">
        <f>'Annual Raw'!G83</f>
        <v>0</v>
      </c>
      <c r="G172" s="23">
        <f>'Annual Raw'!H83</f>
        <v>0</v>
      </c>
      <c r="H172" s="23">
        <f>'Annual Raw'!I83</f>
        <v>0</v>
      </c>
      <c r="I172" s="23">
        <f>'Annual Raw'!J83</f>
        <v>0</v>
      </c>
      <c r="J172" s="23">
        <f>'Annual Raw'!K83</f>
        <v>0</v>
      </c>
      <c r="K172" s="23">
        <f>'Annual Raw'!L83</f>
        <v>0</v>
      </c>
      <c r="L172" s="23">
        <f>'Annual Raw'!M83</f>
        <v>0</v>
      </c>
      <c r="M172" s="23">
        <f>'Annual Raw'!N83</f>
        <v>0</v>
      </c>
      <c r="N172" s="23">
        <f>'Annual Raw'!O83</f>
        <v>1.466</v>
      </c>
      <c r="O172" s="23">
        <f>'Annual Raw'!P83</f>
        <v>1.6990000000000001</v>
      </c>
      <c r="P172" s="23">
        <f>'Annual Raw'!Q83</f>
        <v>1.6379999999999999</v>
      </c>
      <c r="Q172" s="23">
        <f>'Annual Raw'!R83</f>
        <v>0</v>
      </c>
      <c r="R172" s="23">
        <f>'Annual Raw'!S83</f>
        <v>0</v>
      </c>
      <c r="S172" s="23">
        <f>'Annual Raw'!T83</f>
        <v>0</v>
      </c>
      <c r="T172" s="23">
        <f>'Annual Raw'!U83</f>
        <v>0</v>
      </c>
      <c r="U172" s="23">
        <f>'Annual Raw'!V83</f>
        <v>0</v>
      </c>
      <c r="V172" s="23">
        <f>'Annual Raw'!W83</f>
        <v>0</v>
      </c>
      <c r="W172" s="23">
        <f>'Annual Raw'!X83</f>
        <v>0</v>
      </c>
      <c r="X172" s="23">
        <f>'Annual Raw'!Y83</f>
        <v>0</v>
      </c>
      <c r="Y172" s="23">
        <f>'Annual Raw'!Z83</f>
        <v>0</v>
      </c>
      <c r="Z172" s="23">
        <f>'Annual Raw'!AA83</f>
        <v>0</v>
      </c>
      <c r="AA172" s="23">
        <f>'Annual Raw'!AB83</f>
        <v>0</v>
      </c>
      <c r="AB172" s="24">
        <f t="shared" si="1339"/>
        <v>0</v>
      </c>
      <c r="AC172" s="24">
        <f t="shared" si="1340"/>
        <v>0</v>
      </c>
      <c r="AD172" s="24">
        <f t="shared" si="1341"/>
        <v>0</v>
      </c>
      <c r="AE172" s="24">
        <f t="shared" si="1342"/>
        <v>0</v>
      </c>
      <c r="AJ172" s="23">
        <f>+'QTR Raw'!D95</f>
        <v>0</v>
      </c>
      <c r="AK172" s="23">
        <f t="shared" ref="AK172:CE172" si="1363">+AJ172</f>
        <v>0</v>
      </c>
      <c r="AL172" s="23">
        <f>+'QTR Raw'!F95</f>
        <v>0</v>
      </c>
      <c r="AM172" s="23">
        <f t="shared" si="1363"/>
        <v>0</v>
      </c>
      <c r="AN172" s="23">
        <f>+'QTR Raw'!H95</f>
        <v>0</v>
      </c>
      <c r="AO172" s="23">
        <f t="shared" si="1363"/>
        <v>0</v>
      </c>
      <c r="AP172" s="23">
        <f>+'QTR Raw'!J95</f>
        <v>0</v>
      </c>
      <c r="AQ172" s="23">
        <f t="shared" si="1363"/>
        <v>0</v>
      </c>
      <c r="AR172" s="23">
        <f>+'QTR Raw'!L95</f>
        <v>0</v>
      </c>
      <c r="AS172" s="23">
        <f t="shared" si="1363"/>
        <v>0</v>
      </c>
      <c r="AT172" s="23">
        <f>+'QTR Raw'!N95</f>
        <v>0</v>
      </c>
      <c r="AU172" s="23">
        <f t="shared" si="1363"/>
        <v>0</v>
      </c>
      <c r="AV172" s="23">
        <f>+'QTR Raw'!P95</f>
        <v>0</v>
      </c>
      <c r="AW172" s="23">
        <f t="shared" si="1363"/>
        <v>0</v>
      </c>
      <c r="AX172" s="23">
        <f>+'QTR Raw'!R95</f>
        <v>0</v>
      </c>
      <c r="AY172" s="23">
        <f t="shared" si="1363"/>
        <v>0</v>
      </c>
      <c r="AZ172" s="23">
        <f>+'QTR Raw'!T95</f>
        <v>0</v>
      </c>
      <c r="BA172" s="23">
        <f t="shared" si="1363"/>
        <v>0</v>
      </c>
      <c r="BB172" s="23">
        <f>+'QTR Raw'!V95</f>
        <v>0</v>
      </c>
      <c r="BC172" s="23">
        <f t="shared" si="1363"/>
        <v>0</v>
      </c>
      <c r="BD172" s="23">
        <f>+'QTR Raw'!X95</f>
        <v>0</v>
      </c>
      <c r="BE172" s="23">
        <f t="shared" si="1363"/>
        <v>0</v>
      </c>
      <c r="BF172" s="23">
        <f>+'QTR Raw'!Z95</f>
        <v>0</v>
      </c>
      <c r="BG172" s="23">
        <f t="shared" si="1363"/>
        <v>0</v>
      </c>
      <c r="BH172" s="23">
        <f>+'QTR Raw'!AB95</f>
        <v>0</v>
      </c>
      <c r="BI172" s="23">
        <f t="shared" si="1363"/>
        <v>0</v>
      </c>
      <c r="BJ172" s="23">
        <f>+'QTR Raw'!AD95</f>
        <v>0</v>
      </c>
      <c r="BK172" s="23">
        <f t="shared" si="1363"/>
        <v>0</v>
      </c>
      <c r="BL172" s="23">
        <f>+'QTR Raw'!AF95</f>
        <v>0</v>
      </c>
      <c r="BM172" s="23">
        <f t="shared" si="1363"/>
        <v>0</v>
      </c>
      <c r="BN172" s="23">
        <f>+'QTR Raw'!AH95</f>
        <v>0</v>
      </c>
      <c r="BO172" s="23">
        <f t="shared" si="1363"/>
        <v>0</v>
      </c>
      <c r="BP172" s="23">
        <f>+'QTR Raw'!AJ95</f>
        <v>0</v>
      </c>
      <c r="BQ172" s="23">
        <f t="shared" si="1363"/>
        <v>0</v>
      </c>
      <c r="BR172" s="23">
        <f>+'QTR Raw'!AL95</f>
        <v>0</v>
      </c>
      <c r="BS172" s="23">
        <f t="shared" si="1363"/>
        <v>0</v>
      </c>
      <c r="BT172" s="23">
        <f>+'QTR Raw'!AN95</f>
        <v>0</v>
      </c>
      <c r="BU172" s="23">
        <f t="shared" si="1363"/>
        <v>0</v>
      </c>
      <c r="BV172" s="23">
        <f>+'QTR Raw'!AP95</f>
        <v>0</v>
      </c>
      <c r="BW172" s="23">
        <f t="shared" si="1363"/>
        <v>0</v>
      </c>
      <c r="BX172" s="23">
        <f>+'QTR Raw'!AR95</f>
        <v>0</v>
      </c>
      <c r="BY172" s="23">
        <f t="shared" si="1363"/>
        <v>0</v>
      </c>
      <c r="BZ172" s="23">
        <f>+'QTR Raw'!AT95</f>
        <v>0</v>
      </c>
      <c r="CA172" s="23">
        <f t="shared" si="1363"/>
        <v>0</v>
      </c>
      <c r="CB172" s="23">
        <f>+'QTR Raw'!AV95</f>
        <v>0</v>
      </c>
      <c r="CC172" s="23">
        <f t="shared" si="1363"/>
        <v>0</v>
      </c>
      <c r="CD172" s="23">
        <f>+'QTR Raw'!AX95</f>
        <v>0</v>
      </c>
      <c r="CE172" s="23">
        <f t="shared" si="1363"/>
        <v>0</v>
      </c>
      <c r="CF172" s="23">
        <f>+'QTR Raw'!AZ95</f>
        <v>0</v>
      </c>
      <c r="CG172" s="23">
        <f t="shared" si="1344"/>
        <v>0</v>
      </c>
      <c r="CH172" s="23">
        <f t="shared" si="1345"/>
        <v>0</v>
      </c>
      <c r="CI172" s="23">
        <f t="shared" si="1344"/>
        <v>0</v>
      </c>
      <c r="CJ172" s="23">
        <f>+'QTR Raw'!BD95</f>
        <v>0</v>
      </c>
      <c r="CK172" s="23">
        <f t="shared" si="1346"/>
        <v>0</v>
      </c>
      <c r="CL172" s="23">
        <f>+'QTR Raw'!BF95</f>
        <v>0</v>
      </c>
      <c r="CM172" s="24">
        <f t="shared" si="1347"/>
        <v>0</v>
      </c>
      <c r="CN172" s="24">
        <f t="shared" si="1348"/>
        <v>0</v>
      </c>
      <c r="CO172" s="24">
        <f t="shared" si="1349"/>
        <v>0</v>
      </c>
      <c r="CP172" s="24">
        <f t="shared" si="1350"/>
        <v>0</v>
      </c>
      <c r="CQ172" s="24">
        <f t="shared" si="1351"/>
        <v>0</v>
      </c>
      <c r="CR172" s="24">
        <f t="shared" si="1352"/>
        <v>0</v>
      </c>
      <c r="CS172" s="24">
        <f t="shared" si="1353"/>
        <v>0</v>
      </c>
      <c r="CT172" s="24">
        <f t="shared" si="1354"/>
        <v>0</v>
      </c>
      <c r="CU172" s="24">
        <f t="shared" si="1355"/>
        <v>0</v>
      </c>
      <c r="CV172" s="24">
        <f t="shared" si="1356"/>
        <v>0</v>
      </c>
      <c r="CW172" s="24">
        <f t="shared" si="1357"/>
        <v>0</v>
      </c>
      <c r="CX172" s="24">
        <f t="shared" si="1358"/>
        <v>0</v>
      </c>
      <c r="CY172" s="24">
        <f t="shared" si="1359"/>
        <v>0</v>
      </c>
      <c r="CZ172" s="24">
        <f t="shared" si="1360"/>
        <v>0</v>
      </c>
      <c r="DA172" s="24">
        <f t="shared" si="1361"/>
        <v>0</v>
      </c>
      <c r="DB172" s="24">
        <f t="shared" si="1362"/>
        <v>0</v>
      </c>
      <c r="DE172" s="123"/>
      <c r="DF172" s="23">
        <v>0</v>
      </c>
    </row>
    <row r="173" spans="1:110" s="26" customFormat="1" x14ac:dyDescent="0.2">
      <c r="A173" s="26" t="s">
        <v>438</v>
      </c>
      <c r="B173" s="26">
        <f t="shared" ref="B173:W173" si="1364">B171+B169+B165+B148+B146+B172</f>
        <v>0</v>
      </c>
      <c r="C173" s="26">
        <f t="shared" si="1364"/>
        <v>0</v>
      </c>
      <c r="D173" s="26">
        <f t="shared" si="1364"/>
        <v>0</v>
      </c>
      <c r="E173" s="26">
        <f t="shared" si="1364"/>
        <v>0</v>
      </c>
      <c r="F173" s="26">
        <f t="shared" si="1364"/>
        <v>0</v>
      </c>
      <c r="G173" s="26">
        <f t="shared" si="1364"/>
        <v>0</v>
      </c>
      <c r="H173" s="26">
        <f t="shared" si="1364"/>
        <v>0</v>
      </c>
      <c r="I173" s="26">
        <f t="shared" si="1364"/>
        <v>0</v>
      </c>
      <c r="J173" s="26">
        <f t="shared" si="1364"/>
        <v>0</v>
      </c>
      <c r="K173" s="26">
        <f t="shared" si="1364"/>
        <v>0</v>
      </c>
      <c r="L173" s="26">
        <f t="shared" si="1364"/>
        <v>0</v>
      </c>
      <c r="M173" s="26">
        <f t="shared" si="1364"/>
        <v>394.48700000000008</v>
      </c>
      <c r="N173" s="26">
        <f t="shared" si="1364"/>
        <v>551.38000000000011</v>
      </c>
      <c r="O173" s="26">
        <f t="shared" si="1364"/>
        <v>901.23200000000008</v>
      </c>
      <c r="P173" s="26">
        <f t="shared" si="1364"/>
        <v>1543.2059999999997</v>
      </c>
      <c r="Q173" s="26">
        <f t="shared" si="1364"/>
        <v>1884.508</v>
      </c>
      <c r="R173" s="26">
        <f t="shared" si="1364"/>
        <v>2172.1949999999997</v>
      </c>
      <c r="S173" s="26">
        <f t="shared" si="1364"/>
        <v>2462.5460000000003</v>
      </c>
      <c r="T173" s="26">
        <f t="shared" si="1364"/>
        <v>2594.3359999999998</v>
      </c>
      <c r="U173" s="26">
        <f t="shared" si="1364"/>
        <v>2826.6400000000003</v>
      </c>
      <c r="V173" s="26">
        <f t="shared" si="1364"/>
        <v>4053.8999999999996</v>
      </c>
      <c r="W173" s="26">
        <f t="shared" si="1364"/>
        <v>5091.079999999999</v>
      </c>
      <c r="X173" s="26">
        <f t="shared" ref="X173:Y173" si="1365">X171+X169+X165+X148+X146+X172</f>
        <v>6020.63</v>
      </c>
      <c r="Y173" s="26">
        <f t="shared" si="1365"/>
        <v>6622.62</v>
      </c>
      <c r="Z173" s="26">
        <f t="shared" ref="Z173:AA173" si="1366">Z171+Z169+Z165+Z148+Z146+Z172</f>
        <v>7295.6100000000006</v>
      </c>
      <c r="AA173" s="26">
        <f t="shared" ref="AA173" si="1367">AA171+AA169+AA165+AA148+AA146+AA172</f>
        <v>7828.85</v>
      </c>
      <c r="AB173" s="27">
        <f t="shared" ref="AB173:AD173" si="1368">AB171+AB169+AB165+AB148+AB146+AB172</f>
        <v>8759.5754564135132</v>
      </c>
      <c r="AC173" s="27">
        <f t="shared" si="1368"/>
        <v>9862.3833312317347</v>
      </c>
      <c r="AD173" s="27">
        <f t="shared" si="1368"/>
        <v>11173.194514976511</v>
      </c>
      <c r="AE173" s="27">
        <f t="shared" ref="AE173" si="1369">AE171+AE169+AE165+AE148+AE146+AE172</f>
        <v>13009.370093401696</v>
      </c>
      <c r="AJ173" s="26">
        <f t="shared" ref="AJ173" si="1370">AJ171+AJ169+AJ165+AJ148+AJ146+AJ172</f>
        <v>0</v>
      </c>
      <c r="AK173" s="26" t="e">
        <f t="shared" ref="AK173:AL173" si="1371">AK171+AK169+AK165+AK148+AK146+AK172</f>
        <v>#DIV/0!</v>
      </c>
      <c r="AL173" s="26">
        <f t="shared" si="1371"/>
        <v>0</v>
      </c>
      <c r="AM173" s="26" t="e">
        <f t="shared" ref="AM173:AO173" si="1372">AM171+AM169+AM165+AM148+AM146+AM172</f>
        <v>#DIV/0!</v>
      </c>
      <c r="AN173" s="26">
        <f t="shared" si="1372"/>
        <v>0</v>
      </c>
      <c r="AO173" s="26" t="e">
        <f t="shared" si="1372"/>
        <v>#DIV/0!</v>
      </c>
      <c r="AP173" s="26">
        <f t="shared" ref="AP173:CE173" si="1373">AP171+AP169+AP165+AP148+AP146+AP172</f>
        <v>0</v>
      </c>
      <c r="AQ173" s="26" t="e">
        <f t="shared" si="1373"/>
        <v>#DIV/0!</v>
      </c>
      <c r="AR173" s="26">
        <f t="shared" si="1373"/>
        <v>0</v>
      </c>
      <c r="AS173" s="26" t="e">
        <f t="shared" si="1373"/>
        <v>#DIV/0!</v>
      </c>
      <c r="AT173" s="26">
        <f t="shared" si="1373"/>
        <v>0</v>
      </c>
      <c r="AU173" s="26" t="e">
        <f t="shared" si="1373"/>
        <v>#DIV/0!</v>
      </c>
      <c r="AV173" s="26">
        <f t="shared" si="1373"/>
        <v>0</v>
      </c>
      <c r="AW173" s="26" t="e">
        <f t="shared" si="1373"/>
        <v>#DIV/0!</v>
      </c>
      <c r="AX173" s="26">
        <f t="shared" si="1373"/>
        <v>1921.8589999999999</v>
      </c>
      <c r="AY173" s="26">
        <f t="shared" si="1373"/>
        <v>1947.502</v>
      </c>
      <c r="AZ173" s="26">
        <f t="shared" si="1373"/>
        <v>0</v>
      </c>
      <c r="BA173" s="26">
        <f t="shared" si="1373"/>
        <v>45.019000000000027</v>
      </c>
      <c r="BB173" s="26">
        <f t="shared" si="1373"/>
        <v>2239.828</v>
      </c>
      <c r="BC173" s="26">
        <f t="shared" si="1373"/>
        <v>2278.7329999999997</v>
      </c>
      <c r="BD173" s="26">
        <f t="shared" si="1373"/>
        <v>2311.7329999999997</v>
      </c>
      <c r="BE173" s="26">
        <f t="shared" si="1373"/>
        <v>2346.6030000000001</v>
      </c>
      <c r="BF173" s="26">
        <f t="shared" si="1373"/>
        <v>2382.8150000000001</v>
      </c>
      <c r="BG173" s="26">
        <f t="shared" si="1373"/>
        <v>2399.373</v>
      </c>
      <c r="BH173" s="26">
        <f t="shared" ref="BH173" si="1374">BH171+BH169+BH165+BH148+BH146+BH172</f>
        <v>2557.1260000000002</v>
      </c>
      <c r="BI173" s="26">
        <f t="shared" si="1373"/>
        <v>2574.9430000000002</v>
      </c>
      <c r="BJ173" s="26">
        <f t="shared" si="1373"/>
        <v>2501.3249999999998</v>
      </c>
      <c r="BK173" s="26">
        <f t="shared" si="1373"/>
        <v>2516.4250000000002</v>
      </c>
      <c r="BL173" s="26">
        <f t="shared" si="1373"/>
        <v>2737.741</v>
      </c>
      <c r="BM173" s="26">
        <f t="shared" si="1373"/>
        <v>2811.2110000000002</v>
      </c>
      <c r="BN173" s="26">
        <f t="shared" si="1373"/>
        <v>2725.3</v>
      </c>
      <c r="BO173" s="26">
        <f t="shared" si="1373"/>
        <v>2897.08</v>
      </c>
      <c r="BP173" s="26">
        <f t="shared" si="1373"/>
        <v>3097.62</v>
      </c>
      <c r="BQ173" s="26">
        <f t="shared" si="1373"/>
        <v>3370.4700000000003</v>
      </c>
      <c r="BR173" s="26">
        <f t="shared" si="1373"/>
        <v>4053.9</v>
      </c>
      <c r="BS173" s="26">
        <f t="shared" si="1373"/>
        <v>4295.29</v>
      </c>
      <c r="BT173" s="26">
        <f t="shared" si="1373"/>
        <v>4737.18</v>
      </c>
      <c r="BU173" s="26">
        <f t="shared" si="1373"/>
        <v>4890.91</v>
      </c>
      <c r="BV173" s="26">
        <f t="shared" si="1373"/>
        <v>5091.08</v>
      </c>
      <c r="BW173" s="26">
        <f t="shared" si="1373"/>
        <v>5342.3600000000006</v>
      </c>
      <c r="BX173" s="26">
        <f t="shared" si="1373"/>
        <v>5825.4800000000014</v>
      </c>
      <c r="BY173" s="26">
        <f t="shared" si="1373"/>
        <v>6028.5200000000013</v>
      </c>
      <c r="BZ173" s="26">
        <f t="shared" si="1373"/>
        <v>6020.630000000001</v>
      </c>
      <c r="CA173" s="26">
        <f t="shared" si="1373"/>
        <v>6045.48</v>
      </c>
      <c r="CB173" s="26">
        <f t="shared" si="1373"/>
        <v>6130.66</v>
      </c>
      <c r="CC173" s="26">
        <f t="shared" si="1373"/>
        <v>6153.8</v>
      </c>
      <c r="CD173" s="26">
        <f t="shared" si="1373"/>
        <v>6622.62</v>
      </c>
      <c r="CE173" s="26">
        <f t="shared" si="1373"/>
        <v>6635.1299999999992</v>
      </c>
      <c r="CF173" s="26">
        <f t="shared" ref="CF173:CG173" si="1375">CF171+CF169+CF165+CF148+CF146+CF172</f>
        <v>6865.93</v>
      </c>
      <c r="CG173" s="26">
        <f t="shared" si="1375"/>
        <v>6958.2299999999987</v>
      </c>
      <c r="CH173" s="26">
        <f t="shared" ref="CH173:CI173" si="1376">CH171+CH169+CH165+CH148+CH146+CH172</f>
        <v>7295.6100000000006</v>
      </c>
      <c r="CI173" s="26">
        <f t="shared" si="1376"/>
        <v>7458.63</v>
      </c>
      <c r="CJ173" s="26">
        <f t="shared" ref="CJ173:DB173" si="1377">CJ171+CJ169+CJ165+CJ148+CJ146+CJ172</f>
        <v>7082.880000000001</v>
      </c>
      <c r="CK173" s="26">
        <f t="shared" si="1377"/>
        <v>7334.5399999999991</v>
      </c>
      <c r="CL173" s="26">
        <f t="shared" ref="CL173" si="1378">CL171+CL169+CL165+CL148+CL146+CL172</f>
        <v>7828.85</v>
      </c>
      <c r="CM173" s="27">
        <f t="shared" si="1377"/>
        <v>8033.2100532607456</v>
      </c>
      <c r="CN173" s="27">
        <f t="shared" si="1377"/>
        <v>8253.1445997069677</v>
      </c>
      <c r="CO173" s="27">
        <f t="shared" si="1377"/>
        <v>8504.3506773328663</v>
      </c>
      <c r="CP173" s="27">
        <f t="shared" si="1377"/>
        <v>8759.5754564135132</v>
      </c>
      <c r="CQ173" s="27">
        <f t="shared" si="1377"/>
        <v>9010.1532273414668</v>
      </c>
      <c r="CR173" s="27">
        <f t="shared" si="1377"/>
        <v>9271.2040887229105</v>
      </c>
      <c r="CS173" s="27">
        <f t="shared" si="1377"/>
        <v>9563.6792312555226</v>
      </c>
      <c r="CT173" s="27">
        <f t="shared" si="1377"/>
        <v>9862.3833312317347</v>
      </c>
      <c r="CU173" s="27">
        <f t="shared" si="1377"/>
        <v>10161.685981663739</v>
      </c>
      <c r="CV173" s="27">
        <f t="shared" si="1377"/>
        <v>10489.949518491158</v>
      </c>
      <c r="CW173" s="27">
        <f t="shared" si="1377"/>
        <v>10827.05381605931</v>
      </c>
      <c r="CX173" s="27">
        <f t="shared" si="1377"/>
        <v>11173.194514976511</v>
      </c>
      <c r="CY173" s="27">
        <f t="shared" si="1377"/>
        <v>11526.503666574177</v>
      </c>
      <c r="CZ173" s="27">
        <f t="shared" si="1377"/>
        <v>12025.055138018815</v>
      </c>
      <c r="DA173" s="27">
        <f t="shared" si="1377"/>
        <v>12519.834464044869</v>
      </c>
      <c r="DB173" s="27">
        <f t="shared" si="1377"/>
        <v>13009.370093401696</v>
      </c>
      <c r="DE173" s="121"/>
      <c r="DF173" s="26">
        <v>7828.85</v>
      </c>
    </row>
    <row r="174" spans="1:110" s="23" customFormat="1" x14ac:dyDescent="0.2">
      <c r="A174" s="28" t="s">
        <v>439</v>
      </c>
      <c r="B174" s="23">
        <f t="shared" ref="B174:W174" si="1379">B173-B137</f>
        <v>0</v>
      </c>
      <c r="C174" s="23">
        <f t="shared" si="1379"/>
        <v>0</v>
      </c>
      <c r="D174" s="23">
        <f t="shared" si="1379"/>
        <v>0</v>
      </c>
      <c r="E174" s="23">
        <f t="shared" si="1379"/>
        <v>0</v>
      </c>
      <c r="F174" s="23">
        <f t="shared" si="1379"/>
        <v>0</v>
      </c>
      <c r="G174" s="23">
        <f t="shared" si="1379"/>
        <v>0</v>
      </c>
      <c r="H174" s="23">
        <f t="shared" si="1379"/>
        <v>0</v>
      </c>
      <c r="I174" s="23">
        <f t="shared" si="1379"/>
        <v>0</v>
      </c>
      <c r="J174" s="23">
        <f t="shared" si="1379"/>
        <v>0</v>
      </c>
      <c r="K174" s="23">
        <f t="shared" si="1379"/>
        <v>0</v>
      </c>
      <c r="L174" s="23">
        <f t="shared" si="1379"/>
        <v>0</v>
      </c>
      <c r="M174" s="23">
        <f t="shared" si="1379"/>
        <v>0</v>
      </c>
      <c r="N174" s="23">
        <f t="shared" si="1379"/>
        <v>0</v>
      </c>
      <c r="O174" s="23">
        <f t="shared" si="1379"/>
        <v>0</v>
      </c>
      <c r="P174" s="23">
        <f t="shared" si="1379"/>
        <v>0</v>
      </c>
      <c r="Q174" s="23">
        <f t="shared" si="1379"/>
        <v>0</v>
      </c>
      <c r="R174" s="23">
        <f t="shared" si="1379"/>
        <v>0</v>
      </c>
      <c r="S174" s="23">
        <f t="shared" si="1379"/>
        <v>0</v>
      </c>
      <c r="T174" s="23">
        <f t="shared" si="1379"/>
        <v>0</v>
      </c>
      <c r="U174" s="23">
        <f t="shared" si="1379"/>
        <v>0</v>
      </c>
      <c r="V174" s="23">
        <f t="shared" si="1379"/>
        <v>0</v>
      </c>
      <c r="W174" s="23">
        <f t="shared" si="1379"/>
        <v>0</v>
      </c>
      <c r="X174" s="23">
        <f t="shared" ref="X174:Y174" si="1380">X173-X137</f>
        <v>0</v>
      </c>
      <c r="Y174" s="23">
        <f t="shared" si="1380"/>
        <v>0</v>
      </c>
      <c r="Z174" s="23">
        <f t="shared" ref="Z174:AA174" si="1381">Z173-Z137</f>
        <v>0</v>
      </c>
      <c r="AA174" s="23">
        <f t="shared" ref="AA174" si="1382">AA173-AA137</f>
        <v>0</v>
      </c>
      <c r="AB174" s="24">
        <f t="shared" ref="AB174:AD174" si="1383">AB173-AB137</f>
        <v>0</v>
      </c>
      <c r="AC174" s="24">
        <f t="shared" si="1383"/>
        <v>0</v>
      </c>
      <c r="AD174" s="24">
        <f t="shared" si="1383"/>
        <v>0</v>
      </c>
      <c r="AE174" s="24">
        <f t="shared" ref="AE174" si="1384">AE173-AE137</f>
        <v>0</v>
      </c>
      <c r="AJ174" s="23">
        <f t="shared" ref="AJ174" si="1385">AJ173-AJ137</f>
        <v>0</v>
      </c>
      <c r="AK174" s="23" t="e">
        <f t="shared" ref="AK174" si="1386">AK173-AK137</f>
        <v>#DIV/0!</v>
      </c>
      <c r="AL174" s="23">
        <f t="shared" ref="AL174:AM174" si="1387">AL173-AL137</f>
        <v>0</v>
      </c>
      <c r="AM174" s="23" t="e">
        <f t="shared" si="1387"/>
        <v>#DIV/0!</v>
      </c>
      <c r="AN174" s="23">
        <f t="shared" ref="AN174:AO174" si="1388">AN173-AN137</f>
        <v>0</v>
      </c>
      <c r="AO174" s="23" t="e">
        <f t="shared" si="1388"/>
        <v>#DIV/0!</v>
      </c>
      <c r="AP174" s="23">
        <f t="shared" ref="AP174:CE174" si="1389">AP173-AP137</f>
        <v>0</v>
      </c>
      <c r="AQ174" s="23" t="e">
        <f t="shared" si="1389"/>
        <v>#DIV/0!</v>
      </c>
      <c r="AR174" s="23">
        <f t="shared" si="1389"/>
        <v>0</v>
      </c>
      <c r="AS174" s="23" t="e">
        <f t="shared" si="1389"/>
        <v>#DIV/0!</v>
      </c>
      <c r="AT174" s="23">
        <f t="shared" si="1389"/>
        <v>0</v>
      </c>
      <c r="AU174" s="23" t="e">
        <f t="shared" si="1389"/>
        <v>#DIV/0!</v>
      </c>
      <c r="AV174" s="23">
        <f t="shared" si="1389"/>
        <v>0</v>
      </c>
      <c r="AW174" s="23" t="e">
        <f t="shared" si="1389"/>
        <v>#DIV/0!</v>
      </c>
      <c r="AX174" s="23">
        <f t="shared" si="1389"/>
        <v>0</v>
      </c>
      <c r="AY174" s="23">
        <f t="shared" si="1389"/>
        <v>0</v>
      </c>
      <c r="AZ174" s="23">
        <f t="shared" si="1389"/>
        <v>0</v>
      </c>
      <c r="BA174" s="23">
        <f t="shared" si="1389"/>
        <v>0</v>
      </c>
      <c r="BB174" s="23">
        <f t="shared" si="1389"/>
        <v>0</v>
      </c>
      <c r="BC174" s="23">
        <f t="shared" si="1389"/>
        <v>0</v>
      </c>
      <c r="BD174" s="23">
        <f t="shared" si="1389"/>
        <v>0</v>
      </c>
      <c r="BE174" s="23">
        <f t="shared" si="1389"/>
        <v>0</v>
      </c>
      <c r="BF174" s="23">
        <f t="shared" si="1389"/>
        <v>0</v>
      </c>
      <c r="BG174" s="23">
        <f t="shared" si="1389"/>
        <v>0</v>
      </c>
      <c r="BH174" s="23">
        <f t="shared" ref="BH174" si="1390">BH173-BH137</f>
        <v>0</v>
      </c>
      <c r="BI174" s="23">
        <f t="shared" si="1389"/>
        <v>0</v>
      </c>
      <c r="BJ174" s="23">
        <f t="shared" si="1389"/>
        <v>0</v>
      </c>
      <c r="BK174" s="23">
        <f t="shared" si="1389"/>
        <v>0</v>
      </c>
      <c r="BL174" s="23">
        <f t="shared" si="1389"/>
        <v>0</v>
      </c>
      <c r="BM174" s="23">
        <f t="shared" si="1389"/>
        <v>0</v>
      </c>
      <c r="BN174" s="23">
        <f t="shared" si="1389"/>
        <v>0</v>
      </c>
      <c r="BO174" s="23">
        <f t="shared" si="1389"/>
        <v>0</v>
      </c>
      <c r="BP174" s="23">
        <f t="shared" si="1389"/>
        <v>0</v>
      </c>
      <c r="BQ174" s="23">
        <f t="shared" si="1389"/>
        <v>0</v>
      </c>
      <c r="BR174" s="23">
        <f t="shared" si="1389"/>
        <v>0</v>
      </c>
      <c r="BS174" s="23">
        <f t="shared" si="1389"/>
        <v>0</v>
      </c>
      <c r="BT174" s="23">
        <f t="shared" si="1389"/>
        <v>0</v>
      </c>
      <c r="BU174" s="23">
        <f t="shared" si="1389"/>
        <v>0</v>
      </c>
      <c r="BV174" s="23">
        <f t="shared" si="1389"/>
        <v>0</v>
      </c>
      <c r="BW174" s="23">
        <f t="shared" si="1389"/>
        <v>0</v>
      </c>
      <c r="BX174" s="23">
        <f t="shared" si="1389"/>
        <v>0</v>
      </c>
      <c r="BY174" s="23">
        <f t="shared" si="1389"/>
        <v>0</v>
      </c>
      <c r="BZ174" s="23">
        <f t="shared" si="1389"/>
        <v>0</v>
      </c>
      <c r="CA174" s="23">
        <f t="shared" si="1389"/>
        <v>0</v>
      </c>
      <c r="CB174" s="23">
        <f t="shared" si="1389"/>
        <v>0</v>
      </c>
      <c r="CC174" s="23">
        <f t="shared" si="1389"/>
        <v>0</v>
      </c>
      <c r="CD174" s="23">
        <f t="shared" si="1389"/>
        <v>0</v>
      </c>
      <c r="CE174" s="23">
        <f t="shared" si="1389"/>
        <v>0</v>
      </c>
      <c r="CF174" s="23">
        <f t="shared" ref="CF174:CG174" si="1391">CF173-CF137</f>
        <v>0</v>
      </c>
      <c r="CG174" s="23">
        <f t="shared" si="1391"/>
        <v>0</v>
      </c>
      <c r="CH174" s="23">
        <f t="shared" ref="CH174:CI174" si="1392">CH173-CH137</f>
        <v>0</v>
      </c>
      <c r="CI174" s="23">
        <f t="shared" si="1392"/>
        <v>0</v>
      </c>
      <c r="CJ174" s="23">
        <f t="shared" ref="CJ174:DB174" si="1393">CJ173-CJ137</f>
        <v>0</v>
      </c>
      <c r="CK174" s="23">
        <f t="shared" si="1393"/>
        <v>0</v>
      </c>
      <c r="CL174" s="23">
        <f t="shared" ref="CL174" si="1394">CL173-CL137</f>
        <v>0</v>
      </c>
      <c r="CM174" s="24">
        <f t="shared" si="1393"/>
        <v>0</v>
      </c>
      <c r="CN174" s="24">
        <f t="shared" si="1393"/>
        <v>0</v>
      </c>
      <c r="CO174" s="24">
        <f t="shared" si="1393"/>
        <v>0</v>
      </c>
      <c r="CP174" s="24">
        <f t="shared" si="1393"/>
        <v>0</v>
      </c>
      <c r="CQ174" s="24">
        <f t="shared" si="1393"/>
        <v>0</v>
      </c>
      <c r="CR174" s="24">
        <f t="shared" si="1393"/>
        <v>0</v>
      </c>
      <c r="CS174" s="24">
        <f t="shared" si="1393"/>
        <v>0</v>
      </c>
      <c r="CT174" s="24">
        <f t="shared" si="1393"/>
        <v>0</v>
      </c>
      <c r="CU174" s="24">
        <f t="shared" si="1393"/>
        <v>0</v>
      </c>
      <c r="CV174" s="24">
        <f t="shared" si="1393"/>
        <v>0</v>
      </c>
      <c r="CW174" s="24">
        <f t="shared" si="1393"/>
        <v>0</v>
      </c>
      <c r="CX174" s="24">
        <f t="shared" si="1393"/>
        <v>0</v>
      </c>
      <c r="CY174" s="24">
        <f t="shared" si="1393"/>
        <v>0</v>
      </c>
      <c r="CZ174" s="24">
        <f t="shared" si="1393"/>
        <v>0</v>
      </c>
      <c r="DA174" s="24">
        <f t="shared" si="1393"/>
        <v>0</v>
      </c>
      <c r="DB174" s="24">
        <f t="shared" si="1393"/>
        <v>0</v>
      </c>
      <c r="DE174" s="123"/>
      <c r="DF174" s="23">
        <v>0</v>
      </c>
    </row>
    <row r="175" spans="1:110" s="23" customFormat="1" x14ac:dyDescent="0.2">
      <c r="A175" s="28"/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2" customFormat="1" x14ac:dyDescent="0.2">
      <c r="A176" s="22" t="s">
        <v>80</v>
      </c>
      <c r="B176" s="22">
        <f t="shared" ref="B176:W176" si="1395">B136-B169</f>
        <v>0</v>
      </c>
      <c r="C176" s="22">
        <f t="shared" si="1395"/>
        <v>0</v>
      </c>
      <c r="D176" s="22">
        <f t="shared" si="1395"/>
        <v>0</v>
      </c>
      <c r="E176" s="22">
        <f t="shared" si="1395"/>
        <v>0</v>
      </c>
      <c r="F176" s="22">
        <f t="shared" si="1395"/>
        <v>0</v>
      </c>
      <c r="G176" s="22">
        <f t="shared" si="1395"/>
        <v>0</v>
      </c>
      <c r="H176" s="22">
        <f t="shared" si="1395"/>
        <v>0</v>
      </c>
      <c r="I176" s="22">
        <f t="shared" si="1395"/>
        <v>0</v>
      </c>
      <c r="J176" s="22">
        <f t="shared" si="1395"/>
        <v>0</v>
      </c>
      <c r="K176" s="22">
        <f t="shared" si="1395"/>
        <v>0</v>
      </c>
      <c r="L176" s="22">
        <f t="shared" si="1395"/>
        <v>0</v>
      </c>
      <c r="M176" s="22">
        <f t="shared" si="1395"/>
        <v>215.97699999999998</v>
      </c>
      <c r="N176" s="22">
        <f t="shared" si="1395"/>
        <v>278.464</v>
      </c>
      <c r="O176" s="22">
        <f t="shared" si="1395"/>
        <v>519.62</v>
      </c>
      <c r="P176" s="22">
        <f t="shared" si="1395"/>
        <v>762.221</v>
      </c>
      <c r="Q176" s="22">
        <f t="shared" si="1395"/>
        <v>998.93600000000004</v>
      </c>
      <c r="R176" s="22">
        <f t="shared" si="1395"/>
        <v>837.65600000000006</v>
      </c>
      <c r="S176" s="22">
        <f t="shared" si="1395"/>
        <v>976.85</v>
      </c>
      <c r="T176" s="22">
        <f t="shared" si="1395"/>
        <v>1032.9080000000001</v>
      </c>
      <c r="U176" s="22">
        <f t="shared" si="1395"/>
        <v>1055.1299999999999</v>
      </c>
      <c r="V176" s="22">
        <f t="shared" si="1395"/>
        <v>1404.74</v>
      </c>
      <c r="W176" s="22">
        <f t="shared" si="1395"/>
        <v>1656.0900000000001</v>
      </c>
      <c r="X176" s="22">
        <f t="shared" ref="X176:Y176" si="1396">X136-X169</f>
        <v>1923.5099999999998</v>
      </c>
      <c r="Y176" s="22">
        <f t="shared" si="1396"/>
        <v>2365.4</v>
      </c>
      <c r="Z176" s="22">
        <f t="shared" ref="Z176:AA176" si="1397">Z136-Z169</f>
        <v>2548.88</v>
      </c>
      <c r="AA176" s="22">
        <f t="shared" ref="AA176" si="1398">AA136-AA169</f>
        <v>2283.7900000000004</v>
      </c>
      <c r="AB176" s="21">
        <f t="shared" ref="AB176:AD176" si="1399">AB136-AB169</f>
        <v>2003.7525913992733</v>
      </c>
      <c r="AC176" s="21">
        <f t="shared" si="1399"/>
        <v>1574.2248800945722</v>
      </c>
      <c r="AD176" s="21">
        <f t="shared" si="1399"/>
        <v>972.10326928541781</v>
      </c>
      <c r="AE176" s="21">
        <f t="shared" ref="AE176" si="1400">AE136-AE169</f>
        <v>-106.41854596259736</v>
      </c>
      <c r="AJ176" s="22">
        <f t="shared" ref="AJ176:AM176" si="1401">AJ136-AJ169</f>
        <v>0</v>
      </c>
      <c r="AK176" s="22" t="e">
        <f t="shared" si="1401"/>
        <v>#DIV/0!</v>
      </c>
      <c r="AL176" s="22">
        <f t="shared" si="1401"/>
        <v>0</v>
      </c>
      <c r="AM176" s="22" t="e">
        <f t="shared" si="1401"/>
        <v>#DIV/0!</v>
      </c>
      <c r="AN176" s="22">
        <f t="shared" ref="AN176:AO176" si="1402">AN136-AN169</f>
        <v>0</v>
      </c>
      <c r="AO176" s="22" t="e">
        <f t="shared" si="1402"/>
        <v>#DIV/0!</v>
      </c>
      <c r="AP176" s="22">
        <f t="shared" ref="AP176:CE176" si="1403">AP136-AP169</f>
        <v>0</v>
      </c>
      <c r="AQ176" s="22" t="e">
        <f t="shared" si="1403"/>
        <v>#DIV/0!</v>
      </c>
      <c r="AR176" s="22">
        <f t="shared" si="1403"/>
        <v>0</v>
      </c>
      <c r="AS176" s="22" t="e">
        <f t="shared" si="1403"/>
        <v>#DIV/0!</v>
      </c>
      <c r="AT176" s="22">
        <f t="shared" si="1403"/>
        <v>0</v>
      </c>
      <c r="AU176" s="22" t="e">
        <f t="shared" si="1403"/>
        <v>#DIV/0!</v>
      </c>
      <c r="AV176" s="22">
        <f t="shared" si="1403"/>
        <v>0</v>
      </c>
      <c r="AW176" s="22" t="e">
        <f t="shared" si="1403"/>
        <v>#DIV/0!</v>
      </c>
      <c r="AX176" s="22">
        <f t="shared" si="1403"/>
        <v>1036.2870000000003</v>
      </c>
      <c r="AY176" s="22">
        <f t="shared" si="1403"/>
        <v>897.23323875917231</v>
      </c>
      <c r="AZ176" s="22">
        <f t="shared" si="1403"/>
        <v>0</v>
      </c>
      <c r="BA176" s="22">
        <f t="shared" si="1403"/>
        <v>-45.019000000000027</v>
      </c>
      <c r="BB176" s="22">
        <f t="shared" si="1403"/>
        <v>905.2890000000001</v>
      </c>
      <c r="BC176" s="22">
        <f t="shared" si="1403"/>
        <v>863.79205510941483</v>
      </c>
      <c r="BD176" s="22">
        <f t="shared" si="1403"/>
        <v>904.96499999999992</v>
      </c>
      <c r="BE176" s="22">
        <f t="shared" si="1403"/>
        <v>772.32076280425508</v>
      </c>
      <c r="BF176" s="22">
        <f t="shared" si="1403"/>
        <v>897.11900000000003</v>
      </c>
      <c r="BG176" s="22">
        <f t="shared" si="1403"/>
        <v>848.62490053191505</v>
      </c>
      <c r="BH176" s="22">
        <f t="shared" si="1403"/>
        <v>1055.3899999999999</v>
      </c>
      <c r="BI176" s="22">
        <f t="shared" si="1403"/>
        <v>948.47531005930864</v>
      </c>
      <c r="BJ176" s="22">
        <f t="shared" si="1403"/>
        <v>939.89700000000016</v>
      </c>
      <c r="BK176" s="22">
        <f t="shared" si="1403"/>
        <v>804.45984624685718</v>
      </c>
      <c r="BL176" s="22">
        <f t="shared" si="1403"/>
        <v>1117.17</v>
      </c>
      <c r="BM176" s="22">
        <f t="shared" si="1403"/>
        <v>1066.7703467898152</v>
      </c>
      <c r="BN176" s="22">
        <f t="shared" si="1403"/>
        <v>953.79</v>
      </c>
      <c r="BO176" s="22">
        <f t="shared" si="1403"/>
        <v>956.15368496317637</v>
      </c>
      <c r="BP176" s="22">
        <f t="shared" si="1403"/>
        <v>907.71999999999991</v>
      </c>
      <c r="BQ176" s="22">
        <f t="shared" si="1403"/>
        <v>805.38494801728143</v>
      </c>
      <c r="BR176" s="22">
        <f t="shared" si="1403"/>
        <v>1404.74</v>
      </c>
      <c r="BS176" s="22">
        <f t="shared" si="1403"/>
        <v>1002.4303562499551</v>
      </c>
      <c r="BT176" s="22">
        <f t="shared" si="1403"/>
        <v>1693.5299999999997</v>
      </c>
      <c r="BU176" s="22">
        <f t="shared" si="1403"/>
        <v>1235.4075860005978</v>
      </c>
      <c r="BV176" s="22">
        <f t="shared" si="1403"/>
        <v>1656.0900000000001</v>
      </c>
      <c r="BW176" s="22">
        <f t="shared" si="1403"/>
        <v>1584.0529497554098</v>
      </c>
      <c r="BX176" s="22">
        <f t="shared" si="1403"/>
        <v>2000.4099999999999</v>
      </c>
      <c r="BY176" s="22">
        <f t="shared" si="1403"/>
        <v>1740.6597431927348</v>
      </c>
      <c r="BZ176" s="22">
        <f t="shared" si="1403"/>
        <v>1923.5099999999998</v>
      </c>
      <c r="CA176" s="22">
        <f t="shared" si="1403"/>
        <v>1530.3158722572232</v>
      </c>
      <c r="CB176" s="22">
        <f t="shared" si="1403"/>
        <v>2020.4399999999998</v>
      </c>
      <c r="CC176" s="22">
        <f t="shared" si="1403"/>
        <v>1938.9970310751762</v>
      </c>
      <c r="CD176" s="22">
        <f t="shared" si="1403"/>
        <v>2365.4</v>
      </c>
      <c r="CE176" s="22">
        <f t="shared" si="1403"/>
        <v>1935.1572220717246</v>
      </c>
      <c r="CF176" s="22">
        <f t="shared" ref="CF176:CG176" si="1404">CF136-CF169</f>
        <v>2676.85</v>
      </c>
      <c r="CG176" s="22">
        <f t="shared" si="1404"/>
        <v>3022.2078091035396</v>
      </c>
      <c r="CH176" s="22">
        <f t="shared" ref="CH176:CI176" si="1405">CH136-CH169</f>
        <v>2548.88</v>
      </c>
      <c r="CI176" s="22">
        <f t="shared" si="1405"/>
        <v>2061.5018613613906</v>
      </c>
      <c r="CJ176" s="22">
        <f t="shared" ref="CJ176:DB176" si="1406">CJ136-CJ169</f>
        <v>2085.9699999999998</v>
      </c>
      <c r="CK176" s="22">
        <f t="shared" si="1406"/>
        <v>1878.1164405160052</v>
      </c>
      <c r="CL176" s="22">
        <f t="shared" ref="CL176" si="1407">CL136-CL169</f>
        <v>2283.7900000000004</v>
      </c>
      <c r="CM176" s="21">
        <f t="shared" si="1406"/>
        <v>2141.7674841536168</v>
      </c>
      <c r="CN176" s="21">
        <f t="shared" si="1406"/>
        <v>2125.3880841739092</v>
      </c>
      <c r="CO176" s="21">
        <f t="shared" si="1406"/>
        <v>2141.0200869880914</v>
      </c>
      <c r="CP176" s="21">
        <f t="shared" si="1406"/>
        <v>2003.7525913992733</v>
      </c>
      <c r="CQ176" s="21">
        <f t="shared" si="1406"/>
        <v>1805.155298256218</v>
      </c>
      <c r="CR176" s="21">
        <f t="shared" si="1406"/>
        <v>1759.1359867356305</v>
      </c>
      <c r="CS176" s="21">
        <f t="shared" si="1406"/>
        <v>1755.0970972330701</v>
      </c>
      <c r="CT176" s="21">
        <f t="shared" si="1406"/>
        <v>1574.2248800945722</v>
      </c>
      <c r="CU176" s="21">
        <f t="shared" si="1406"/>
        <v>1317.4692357598924</v>
      </c>
      <c r="CV176" s="21">
        <f t="shared" si="1406"/>
        <v>1219.8304549249699</v>
      </c>
      <c r="CW176" s="21">
        <f t="shared" si="1406"/>
        <v>1198.3165479311892</v>
      </c>
      <c r="CX176" s="21">
        <f t="shared" si="1406"/>
        <v>972.10326928541781</v>
      </c>
      <c r="CY176" s="21">
        <f t="shared" si="1406"/>
        <v>652.65841466543407</v>
      </c>
      <c r="CZ176" s="21">
        <f t="shared" si="1406"/>
        <v>404.75814731743571</v>
      </c>
      <c r="DA176" s="21">
        <f t="shared" si="1406"/>
        <v>258.82157075906844</v>
      </c>
      <c r="DB176" s="21">
        <f t="shared" si="1406"/>
        <v>-106.41854596259736</v>
      </c>
      <c r="DE176" s="126"/>
      <c r="DF176" s="22">
        <v>2283.7900000000004</v>
      </c>
    </row>
    <row r="177" spans="1:110" x14ac:dyDescent="0.2">
      <c r="AA177" s="2"/>
      <c r="CE177" s="111"/>
      <c r="CG177" s="111"/>
      <c r="CL177" s="2"/>
    </row>
    <row r="178" spans="1:110" s="49" customFormat="1" x14ac:dyDescent="0.2">
      <c r="A178" s="49" t="s">
        <v>81</v>
      </c>
      <c r="B178" s="49">
        <f>'Annual Raw'!C85</f>
        <v>0</v>
      </c>
      <c r="C178" s="49">
        <f>'Annual Raw'!D85</f>
        <v>0</v>
      </c>
      <c r="D178" s="49">
        <f>'Annual Raw'!E85</f>
        <v>0</v>
      </c>
      <c r="E178" s="49">
        <f>'Annual Raw'!F85</f>
        <v>0</v>
      </c>
      <c r="F178" s="49">
        <f>'Annual Raw'!G85</f>
        <v>0</v>
      </c>
      <c r="G178" s="49">
        <f>'Annual Raw'!H85</f>
        <v>0</v>
      </c>
      <c r="H178" s="49">
        <f>'Annual Raw'!I85</f>
        <v>0</v>
      </c>
      <c r="I178" s="49">
        <f>'Annual Raw'!J85</f>
        <v>0</v>
      </c>
      <c r="J178" s="49">
        <f>'Annual Raw'!K85</f>
        <v>0</v>
      </c>
      <c r="K178" s="49">
        <f>'Annual Raw'!L85</f>
        <v>0</v>
      </c>
      <c r="L178" s="49">
        <f>'Annual Raw'!M85</f>
        <v>0</v>
      </c>
      <c r="M178" s="49">
        <f>'Annual Raw'!N85</f>
        <v>37.295999999999999</v>
      </c>
      <c r="N178" s="49">
        <f>'Annual Raw'!O85</f>
        <v>89.808999999999997</v>
      </c>
      <c r="O178" s="49">
        <f>'Annual Raw'!P85</f>
        <v>169.149</v>
      </c>
      <c r="P178" s="49">
        <f>'Annual Raw'!Q85</f>
        <v>184.65299999999999</v>
      </c>
      <c r="Q178" s="49">
        <f>'Annual Raw'!R85</f>
        <v>55.896000000000001</v>
      </c>
      <c r="R178" s="49">
        <f>'Annual Raw'!S85</f>
        <v>47.972000000000001</v>
      </c>
      <c r="S178" s="49">
        <f>'Annual Raw'!T85</f>
        <v>92.42</v>
      </c>
      <c r="T178" s="49">
        <f>'Annual Raw'!U85</f>
        <v>102.80200000000001</v>
      </c>
      <c r="U178" s="49">
        <f>'Annual Raw'!V85</f>
        <v>103.76</v>
      </c>
      <c r="V178" s="49">
        <f>'Annual Raw'!W85</f>
        <v>121.64</v>
      </c>
      <c r="W178" s="49">
        <f>'Annual Raw'!X85</f>
        <v>118.8</v>
      </c>
      <c r="X178" s="49">
        <f>'Annual Raw'!Y85</f>
        <v>152.22999999999999</v>
      </c>
      <c r="Y178" s="49">
        <f>'Annual Raw'!Z85</f>
        <v>153.91999999999999</v>
      </c>
      <c r="Z178" s="49">
        <f>'Annual Raw'!AA85</f>
        <v>425.9</v>
      </c>
      <c r="AA178" s="49">
        <f>'Annual Raw'!AB85</f>
        <v>420.55</v>
      </c>
      <c r="AB178" s="50"/>
      <c r="AC178" s="50"/>
      <c r="AD178" s="50"/>
      <c r="AE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E178" s="138"/>
      <c r="DF178" s="49">
        <v>420.55</v>
      </c>
    </row>
    <row r="179" spans="1:110" s="29" customFormat="1" x14ac:dyDescent="0.2">
      <c r="A179" s="29" t="s">
        <v>82</v>
      </c>
      <c r="B179" s="29">
        <f>'Annual Raw'!C95</f>
        <v>0</v>
      </c>
      <c r="C179" s="29">
        <f>'Annual Raw'!D95</f>
        <v>0</v>
      </c>
      <c r="D179" s="29">
        <f>'Annual Raw'!E95</f>
        <v>0</v>
      </c>
      <c r="E179" s="29">
        <f>'Annual Raw'!F95</f>
        <v>0</v>
      </c>
      <c r="F179" s="29">
        <f>'Annual Raw'!G95</f>
        <v>0</v>
      </c>
      <c r="G179" s="29">
        <f>'Annual Raw'!H95</f>
        <v>0</v>
      </c>
      <c r="H179" s="29">
        <f>'Annual Raw'!I95</f>
        <v>0</v>
      </c>
      <c r="I179" s="29">
        <f>'Annual Raw'!J95</f>
        <v>0</v>
      </c>
      <c r="J179" s="29">
        <f>'Annual Raw'!K95</f>
        <v>0</v>
      </c>
      <c r="K179" s="29">
        <f>'Annual Raw'!L95</f>
        <v>0</v>
      </c>
      <c r="L179" s="29">
        <f>'Annual Raw'!M95</f>
        <v>0</v>
      </c>
      <c r="M179" s="29">
        <f>'Annual Raw'!N95</f>
        <v>8.5000000000000006E-2</v>
      </c>
      <c r="N179" s="29">
        <f>'Annual Raw'!O95</f>
        <v>0</v>
      </c>
      <c r="O179" s="29">
        <f>'Annual Raw'!P95</f>
        <v>4.6870000000000003</v>
      </c>
      <c r="P179" s="29">
        <f>'Annual Raw'!Q95</f>
        <v>5.6289999999999996</v>
      </c>
      <c r="Q179" s="29">
        <f>'Annual Raw'!R95</f>
        <v>5.0149999999999997</v>
      </c>
      <c r="R179" s="29">
        <f>'Annual Raw'!S95</f>
        <v>11.134</v>
      </c>
      <c r="S179" s="29">
        <f>'Annual Raw'!T95</f>
        <v>19.286000000000001</v>
      </c>
      <c r="T179" s="29">
        <f>'Annual Raw'!U95</f>
        <v>13.843999999999999</v>
      </c>
      <c r="U179" s="29">
        <f>'Annual Raw'!V95</f>
        <v>44.5</v>
      </c>
      <c r="V179" s="29">
        <f>'Annual Raw'!W95</f>
        <v>51.98</v>
      </c>
      <c r="W179" s="29">
        <f>'Annual Raw'!X95</f>
        <v>44.47</v>
      </c>
      <c r="X179" s="29">
        <f>'Annual Raw'!Y95</f>
        <v>79.89</v>
      </c>
      <c r="Y179" s="29">
        <f>'Annual Raw'!Z95</f>
        <v>70.78</v>
      </c>
      <c r="Z179" s="29">
        <f>'Annual Raw'!AA95</f>
        <v>339.22</v>
      </c>
      <c r="AA179" s="29">
        <f>'Annual Raw'!AB95</f>
        <v>320.10000000000002</v>
      </c>
      <c r="AB179" s="30"/>
      <c r="AC179" s="30"/>
      <c r="AD179" s="30"/>
      <c r="AE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E179" s="139"/>
      <c r="DF179" s="29">
        <v>320.10000000000002</v>
      </c>
    </row>
    <row r="180" spans="1:110" s="29" customFormat="1" x14ac:dyDescent="0.2">
      <c r="A180" s="29" t="s">
        <v>83</v>
      </c>
      <c r="B180" s="29">
        <f>'Annual Raw'!C93</f>
        <v>0</v>
      </c>
      <c r="C180" s="29">
        <f>'Annual Raw'!D93</f>
        <v>0</v>
      </c>
      <c r="D180" s="29">
        <f>'Annual Raw'!E93</f>
        <v>0</v>
      </c>
      <c r="E180" s="29">
        <f>'Annual Raw'!F93</f>
        <v>0</v>
      </c>
      <c r="F180" s="29">
        <f>'Annual Raw'!G93</f>
        <v>0</v>
      </c>
      <c r="G180" s="29">
        <f>'Annual Raw'!H93</f>
        <v>0</v>
      </c>
      <c r="H180" s="29">
        <f>'Annual Raw'!I93</f>
        <v>0</v>
      </c>
      <c r="I180" s="29">
        <f>'Annual Raw'!J93</f>
        <v>0</v>
      </c>
      <c r="J180" s="29">
        <f>'Annual Raw'!K93</f>
        <v>0</v>
      </c>
      <c r="K180" s="29">
        <f>'Annual Raw'!L93</f>
        <v>0</v>
      </c>
      <c r="L180" s="29">
        <f>'Annual Raw'!M93</f>
        <v>0</v>
      </c>
      <c r="M180" s="29">
        <f>'Annual Raw'!N93</f>
        <v>1.175</v>
      </c>
      <c r="N180" s="29">
        <f>'Annual Raw'!O93</f>
        <v>1.175</v>
      </c>
      <c r="O180" s="29">
        <f>'Annual Raw'!P93</f>
        <v>1.01</v>
      </c>
      <c r="P180" s="29">
        <f>'Annual Raw'!Q93</f>
        <v>1.01</v>
      </c>
      <c r="Q180" s="29">
        <f>'Annual Raw'!R93</f>
        <v>1.01</v>
      </c>
      <c r="R180" s="29">
        <f>'Annual Raw'!S93</f>
        <v>11.113</v>
      </c>
      <c r="S180" s="29">
        <f>'Annual Raw'!T93</f>
        <v>27.538</v>
      </c>
      <c r="T180" s="29">
        <f>'Annual Raw'!U93</f>
        <v>44.622999999999998</v>
      </c>
      <c r="U180" s="29">
        <f>'Annual Raw'!V93</f>
        <v>59.26</v>
      </c>
      <c r="V180" s="29">
        <f>'Annual Raw'!W93</f>
        <v>69.66</v>
      </c>
      <c r="W180" s="29">
        <f>'Annual Raw'!X93</f>
        <v>74.33</v>
      </c>
      <c r="X180" s="29">
        <f>'Annual Raw'!Y93</f>
        <v>72.34</v>
      </c>
      <c r="Y180" s="29">
        <f>'Annual Raw'!Z93</f>
        <v>83.14</v>
      </c>
      <c r="Z180" s="29">
        <f>'Annual Raw'!AA93</f>
        <v>86.68</v>
      </c>
      <c r="AA180" s="29">
        <f>'Annual Raw'!AB93</f>
        <v>100.45</v>
      </c>
      <c r="AB180" s="30"/>
      <c r="AC180" s="30"/>
      <c r="AD180" s="30"/>
      <c r="AE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  <c r="DF180" s="29">
        <v>100.45</v>
      </c>
    </row>
    <row r="181" spans="1:110" s="29" customFormat="1" x14ac:dyDescent="0.2">
      <c r="A181" s="29" t="s">
        <v>84</v>
      </c>
      <c r="B181" s="29">
        <f t="shared" ref="B181:V181" si="1408">B178-B179-B180</f>
        <v>0</v>
      </c>
      <c r="C181" s="29">
        <f t="shared" si="1408"/>
        <v>0</v>
      </c>
      <c r="D181" s="29">
        <f t="shared" si="1408"/>
        <v>0</v>
      </c>
      <c r="E181" s="29">
        <f t="shared" si="1408"/>
        <v>0</v>
      </c>
      <c r="F181" s="29">
        <f t="shared" si="1408"/>
        <v>0</v>
      </c>
      <c r="G181" s="29">
        <f t="shared" si="1408"/>
        <v>0</v>
      </c>
      <c r="H181" s="29">
        <f t="shared" si="1408"/>
        <v>0</v>
      </c>
      <c r="I181" s="29">
        <f t="shared" si="1408"/>
        <v>0</v>
      </c>
      <c r="J181" s="29">
        <f t="shared" si="1408"/>
        <v>0</v>
      </c>
      <c r="K181" s="29">
        <f t="shared" si="1408"/>
        <v>0</v>
      </c>
      <c r="L181" s="29">
        <f t="shared" si="1408"/>
        <v>0</v>
      </c>
      <c r="M181" s="29">
        <f t="shared" si="1408"/>
        <v>36.036000000000001</v>
      </c>
      <c r="N181" s="29">
        <f t="shared" si="1408"/>
        <v>88.634</v>
      </c>
      <c r="O181" s="29">
        <f t="shared" si="1408"/>
        <v>163.452</v>
      </c>
      <c r="P181" s="29">
        <f t="shared" si="1408"/>
        <v>178.01400000000001</v>
      </c>
      <c r="Q181" s="29">
        <f t="shared" si="1408"/>
        <v>49.871000000000002</v>
      </c>
      <c r="R181" s="29">
        <f t="shared" si="1408"/>
        <v>25.725000000000001</v>
      </c>
      <c r="S181" s="29">
        <f t="shared" si="1408"/>
        <v>45.596000000000004</v>
      </c>
      <c r="T181" s="29">
        <f t="shared" si="1408"/>
        <v>44.335000000000015</v>
      </c>
      <c r="U181" s="29">
        <f t="shared" si="1408"/>
        <v>0</v>
      </c>
      <c r="V181" s="29">
        <f t="shared" si="1408"/>
        <v>0</v>
      </c>
      <c r="W181" s="29">
        <f t="shared" ref="W181" si="1409">W178-W179-W180</f>
        <v>0</v>
      </c>
      <c r="X181" s="29">
        <f t="shared" ref="X181:Y181" si="1410">X178-X179-X180</f>
        <v>0</v>
      </c>
      <c r="Y181" s="29">
        <f t="shared" si="1410"/>
        <v>0</v>
      </c>
      <c r="Z181" s="29">
        <f t="shared" ref="Z181:AA181" si="1411">Z178-Z179-Z180</f>
        <v>0</v>
      </c>
      <c r="AA181" s="29">
        <f t="shared" ref="AA181" si="1412">AA178-AA179-AA180</f>
        <v>0</v>
      </c>
      <c r="AB181" s="30">
        <f t="shared" ref="AB181:AD181" si="1413">AB178-AB179-AB180</f>
        <v>0</v>
      </c>
      <c r="AC181" s="30">
        <f t="shared" si="1413"/>
        <v>0</v>
      </c>
      <c r="AD181" s="30">
        <f t="shared" si="1413"/>
        <v>0</v>
      </c>
      <c r="AE181" s="30">
        <f t="shared" ref="AE181" si="1414">AE178-AE179-AE180</f>
        <v>0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  <c r="DF181" s="29">
        <v>0</v>
      </c>
    </row>
    <row r="182" spans="1:110" s="5" customFormat="1" x14ac:dyDescent="0.2">
      <c r="AB182" s="63"/>
      <c r="AC182" s="63"/>
      <c r="AD182" s="63"/>
      <c r="AE182" s="63"/>
      <c r="CE182" s="112"/>
      <c r="CG182" s="112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95" customFormat="1" x14ac:dyDescent="0.2">
      <c r="A183" s="95" t="s">
        <v>85</v>
      </c>
      <c r="B183" s="95" t="e">
        <f t="shared" ref="B183:W183" si="1415">B178/B128</f>
        <v>#DIV/0!</v>
      </c>
      <c r="C183" s="95" t="e">
        <f t="shared" si="1415"/>
        <v>#DIV/0!</v>
      </c>
      <c r="D183" s="95" t="e">
        <f t="shared" si="1415"/>
        <v>#DIV/0!</v>
      </c>
      <c r="E183" s="95" t="e">
        <f t="shared" si="1415"/>
        <v>#DIV/0!</v>
      </c>
      <c r="F183" s="95" t="e">
        <f t="shared" si="1415"/>
        <v>#DIV/0!</v>
      </c>
      <c r="G183" s="95" t="e">
        <f t="shared" si="1415"/>
        <v>#DIV/0!</v>
      </c>
      <c r="H183" s="95" t="e">
        <f t="shared" si="1415"/>
        <v>#DIV/0!</v>
      </c>
      <c r="I183" s="95" t="e">
        <f t="shared" si="1415"/>
        <v>#DIV/0!</v>
      </c>
      <c r="J183" s="95" t="e">
        <f t="shared" si="1415"/>
        <v>#DIV/0!</v>
      </c>
      <c r="K183" s="95" t="e">
        <f t="shared" si="1415"/>
        <v>#DIV/0!</v>
      </c>
      <c r="L183" s="95" t="e">
        <f t="shared" si="1415"/>
        <v>#DIV/0!</v>
      </c>
      <c r="M183" s="95">
        <f t="shared" si="1415"/>
        <v>0.22044377194330503</v>
      </c>
      <c r="N183" s="95">
        <f t="shared" si="1415"/>
        <v>0.34635305188219007</v>
      </c>
      <c r="O183" s="95">
        <f t="shared" si="1415"/>
        <v>0.47193352993859111</v>
      </c>
      <c r="P183" s="95">
        <f t="shared" si="1415"/>
        <v>0.25571665974241797</v>
      </c>
      <c r="Q183" s="95">
        <f t="shared" si="1415"/>
        <v>6.523824752158619E-2</v>
      </c>
      <c r="R183" s="95">
        <f t="shared" si="1415"/>
        <v>3.6057027407309421E-2</v>
      </c>
      <c r="S183" s="95">
        <f t="shared" si="1415"/>
        <v>6.2334796265308016E-2</v>
      </c>
      <c r="T183" s="95">
        <f t="shared" si="1415"/>
        <v>6.5966079464478786E-2</v>
      </c>
      <c r="U183" s="95">
        <f t="shared" si="1415"/>
        <v>5.862908739553728E-2</v>
      </c>
      <c r="V183" s="95">
        <f t="shared" si="1415"/>
        <v>4.6828742468864898E-2</v>
      </c>
      <c r="W183" s="95">
        <f t="shared" si="1415"/>
        <v>3.5450093847260222E-2</v>
      </c>
      <c r="X183" s="95">
        <f t="shared" ref="X183:Y183" si="1416">X178/X128</f>
        <v>3.7703744616139075E-2</v>
      </c>
      <c r="Y183" s="95">
        <f t="shared" si="1416"/>
        <v>3.7441467300745566E-2</v>
      </c>
      <c r="Z183" s="95">
        <f t="shared" ref="Z183:AA183" si="1417">Z178/Z128</f>
        <v>9.5225105979573232E-2</v>
      </c>
      <c r="AA183" s="95">
        <f t="shared" ref="AA183" si="1418">AA178/AA128</f>
        <v>7.9348158322735979E-2</v>
      </c>
      <c r="AB183" s="87">
        <f t="shared" ref="AB183:AD183" si="1419">AB178/AB128</f>
        <v>0</v>
      </c>
      <c r="AC183" s="87">
        <f t="shared" si="1419"/>
        <v>0</v>
      </c>
      <c r="AD183" s="87">
        <f t="shared" si="1419"/>
        <v>0</v>
      </c>
      <c r="AE183" s="87">
        <f t="shared" ref="AE183" si="1420">AE178/AE128</f>
        <v>0</v>
      </c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E183" s="140"/>
      <c r="DF183" s="95">
        <v>0</v>
      </c>
    </row>
    <row r="184" spans="1:110" x14ac:dyDescent="0.2">
      <c r="A184" s="152" t="s">
        <v>492</v>
      </c>
      <c r="AA184" s="2"/>
      <c r="CE184" s="111"/>
      <c r="CG184" s="111"/>
      <c r="CL184" s="2"/>
    </row>
    <row r="185" spans="1:110" s="6" customFormat="1" x14ac:dyDescent="0.2">
      <c r="AB185" s="19"/>
      <c r="AC185" s="19"/>
      <c r="AD185" s="19"/>
      <c r="AE185" s="19"/>
      <c r="CE185" s="113"/>
      <c r="CG185" s="113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62" customFormat="1" x14ac:dyDescent="0.2">
      <c r="A186" s="153" t="s">
        <v>493</v>
      </c>
      <c r="AB186" s="63"/>
      <c r="AC186" s="63"/>
      <c r="AD186" s="63"/>
      <c r="AE186" s="63"/>
      <c r="CE186" s="114"/>
      <c r="CG186" s="114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62" customFormat="1" outlineLevel="1" x14ac:dyDescent="0.2">
      <c r="A187" s="68" t="s">
        <v>464</v>
      </c>
      <c r="B187" s="67" t="e">
        <f t="shared" ref="B187:AE187" si="1421">B152/B16*365</f>
        <v>#DIV/0!</v>
      </c>
      <c r="C187" s="67" t="e">
        <f t="shared" si="1421"/>
        <v>#DIV/0!</v>
      </c>
      <c r="D187" s="67" t="e">
        <f t="shared" si="1421"/>
        <v>#DIV/0!</v>
      </c>
      <c r="E187" s="67" t="e">
        <f t="shared" si="1421"/>
        <v>#DIV/0!</v>
      </c>
      <c r="F187" s="67" t="e">
        <f t="shared" si="1421"/>
        <v>#DIV/0!</v>
      </c>
      <c r="G187" s="67" t="e">
        <f t="shared" si="1421"/>
        <v>#DIV/0!</v>
      </c>
      <c r="H187" s="67" t="e">
        <f t="shared" si="1421"/>
        <v>#DIV/0!</v>
      </c>
      <c r="I187" s="67" t="e">
        <f t="shared" si="1421"/>
        <v>#DIV/0!</v>
      </c>
      <c r="J187" s="67" t="e">
        <f t="shared" si="1421"/>
        <v>#DIV/0!</v>
      </c>
      <c r="K187" s="67" t="e">
        <f t="shared" si="1421"/>
        <v>#DIV/0!</v>
      </c>
      <c r="L187" s="67" t="e">
        <f t="shared" si="1421"/>
        <v>#DIV/0!</v>
      </c>
      <c r="M187" s="67">
        <f t="shared" si="1421"/>
        <v>79.280062541979106</v>
      </c>
      <c r="N187" s="67">
        <f t="shared" si="1421"/>
        <v>78.901088102836923</v>
      </c>
      <c r="O187" s="67">
        <f t="shared" si="1421"/>
        <v>102.73384513496772</v>
      </c>
      <c r="P187" s="67">
        <f t="shared" si="1421"/>
        <v>129.72040265366343</v>
      </c>
      <c r="Q187" s="67">
        <f t="shared" si="1421"/>
        <v>98.172456882604294</v>
      </c>
      <c r="R187" s="67">
        <f t="shared" si="1421"/>
        <v>96.193153784863853</v>
      </c>
      <c r="S187" s="67">
        <f t="shared" si="1421"/>
        <v>103.16342218933467</v>
      </c>
      <c r="T187" s="67">
        <f t="shared" si="1421"/>
        <v>108.60214990427224</v>
      </c>
      <c r="U187" s="67">
        <f t="shared" si="1421"/>
        <v>116.68007430113148</v>
      </c>
      <c r="V187" s="67">
        <f t="shared" si="1421"/>
        <v>119.46360348269765</v>
      </c>
      <c r="W187" s="67">
        <f t="shared" si="1421"/>
        <v>130.17939164068184</v>
      </c>
      <c r="X187" s="67">
        <f t="shared" si="1421"/>
        <v>101.8045790532319</v>
      </c>
      <c r="Y187" s="67">
        <f t="shared" si="1421"/>
        <v>133.62375838899547</v>
      </c>
      <c r="Z187" s="67">
        <f t="shared" si="1421"/>
        <v>127.26722914821136</v>
      </c>
      <c r="AA187" s="67">
        <f t="shared" ref="AA187" si="1422">AA152/AA16*365</f>
        <v>125.4808378223664</v>
      </c>
      <c r="AB187" s="18">
        <f t="shared" si="1421"/>
        <v>125.48083782236637</v>
      </c>
      <c r="AC187" s="18">
        <f t="shared" si="1421"/>
        <v>125.48083782236637</v>
      </c>
      <c r="AD187" s="18">
        <f t="shared" si="1421"/>
        <v>125.4808378223664</v>
      </c>
      <c r="AE187" s="18">
        <f t="shared" si="1421"/>
        <v>125.4808378223664</v>
      </c>
      <c r="AI187" s="67" t="e">
        <f>AJ152/AI16*90</f>
        <v>#DIV/0!</v>
      </c>
      <c r="AJ187" s="67" t="e">
        <f>AJ152/AJ16*90</f>
        <v>#DIV/0!</v>
      </c>
      <c r="AK187" s="67" t="e">
        <f t="shared" ref="AK187:CE187" si="1423">+AJ187</f>
        <v>#DIV/0!</v>
      </c>
      <c r="AL187" s="67" t="e">
        <f>AL152/AL16*90</f>
        <v>#DIV/0!</v>
      </c>
      <c r="AM187" s="67" t="e">
        <f t="shared" ref="AM187:AM188" si="1424">+AL187</f>
        <v>#DIV/0!</v>
      </c>
      <c r="AN187" s="67" t="e">
        <f>AN152/AN16*90</f>
        <v>#DIV/0!</v>
      </c>
      <c r="AO187" s="67" t="e">
        <f t="shared" ref="AO187:AO188" si="1425">+AN187</f>
        <v>#DIV/0!</v>
      </c>
      <c r="AP187" s="67" t="e">
        <f>AP152/AP16*90</f>
        <v>#DIV/0!</v>
      </c>
      <c r="AQ187" s="67" t="e">
        <f t="shared" ref="AQ187:AQ188" si="1426">+AP187</f>
        <v>#DIV/0!</v>
      </c>
      <c r="AR187" s="67" t="e">
        <f>AR152/AR16*90</f>
        <v>#DIV/0!</v>
      </c>
      <c r="AS187" s="67" t="e">
        <f t="shared" ref="AS187:AS188" si="1427">+AR187</f>
        <v>#DIV/0!</v>
      </c>
      <c r="AT187" s="67" t="e">
        <f>AT152/AT16*90</f>
        <v>#DIV/0!</v>
      </c>
      <c r="AU187" s="67" t="e">
        <f t="shared" ref="AU187:AU188" si="1428">+AT187</f>
        <v>#DIV/0!</v>
      </c>
      <c r="AV187" s="67" t="e">
        <f>AV152/AV16*90</f>
        <v>#DIV/0!</v>
      </c>
      <c r="AW187" s="67" t="e">
        <f t="shared" ref="AW187:AW188" si="1429">+AV187</f>
        <v>#DIV/0!</v>
      </c>
      <c r="AX187" s="67">
        <f>AX152/AX16*90</f>
        <v>89.255491127055365</v>
      </c>
      <c r="AY187" s="67">
        <f t="shared" ref="AY187:AY188" si="1430">+AX187</f>
        <v>89.255491127055365</v>
      </c>
      <c r="AZ187" s="67">
        <f>AZ152/AZ16*90</f>
        <v>0</v>
      </c>
      <c r="BA187" s="67">
        <f t="shared" ref="BA187:BA188" si="1431">+AZ187</f>
        <v>0</v>
      </c>
      <c r="BB187" s="67">
        <f>BB152/BB16*90</f>
        <v>95.462433165665814</v>
      </c>
      <c r="BC187" s="67">
        <f t="shared" ref="BC187:BC188" si="1432">+BB187</f>
        <v>95.462433165665814</v>
      </c>
      <c r="BD187" s="67">
        <f>BD152/BD16*90</f>
        <v>95.311338445257221</v>
      </c>
      <c r="BE187" s="67">
        <f t="shared" ref="BE187:BE188" si="1433">+BD187</f>
        <v>95.311338445257221</v>
      </c>
      <c r="BF187" s="67">
        <f>BF152/BF16*90</f>
        <v>93.9425603312866</v>
      </c>
      <c r="BG187" s="67">
        <f t="shared" ref="BG187:BG188" si="1434">+BF187</f>
        <v>93.9425603312866</v>
      </c>
      <c r="BH187" s="67">
        <f>BH152/BH16*90</f>
        <v>99.149913051755888</v>
      </c>
      <c r="BI187" s="67">
        <f t="shared" ref="BI187:BI188" si="1435">+BH187</f>
        <v>99.149913051755888</v>
      </c>
      <c r="BJ187" s="67">
        <f>BJ152/BJ16*90</f>
        <v>96.627988809136596</v>
      </c>
      <c r="BK187" s="67">
        <f t="shared" ref="BK187:BK188" si="1436">+BJ187</f>
        <v>96.627988809136596</v>
      </c>
      <c r="BL187" s="67">
        <f>BL152/BL16*90</f>
        <v>113.31836557087112</v>
      </c>
      <c r="BM187" s="67">
        <f t="shared" ref="BM187:BM188" si="1437">+BL187</f>
        <v>113.31836557087112</v>
      </c>
      <c r="BN187" s="67">
        <f>BN152/BN16*90</f>
        <v>97.087256000190678</v>
      </c>
      <c r="BO187" s="67">
        <f t="shared" ref="BO187:BO188" si="1438">+BN187</f>
        <v>97.087256000190678</v>
      </c>
      <c r="BP187" s="67">
        <f>BP152/BP16*90</f>
        <v>90.758666713497959</v>
      </c>
      <c r="BQ187" s="67">
        <f t="shared" ref="BQ187:BQ188" si="1439">+BP187</f>
        <v>90.758666713497959</v>
      </c>
      <c r="BR187" s="67">
        <f>BR152/BR16*90</f>
        <v>100.42317961938622</v>
      </c>
      <c r="BS187" s="67">
        <f t="shared" ref="BS187:BS188" si="1440">+BR187</f>
        <v>100.42317961938622</v>
      </c>
      <c r="BT187" s="67">
        <f>BT152/BT16*90</f>
        <v>141.77983846844151</v>
      </c>
      <c r="BU187" s="67">
        <f t="shared" ref="BU187:BU188" si="1441">+BT187</f>
        <v>141.77983846844151</v>
      </c>
      <c r="BV187" s="67">
        <f>BV152/BV16*90</f>
        <v>111.19010688994477</v>
      </c>
      <c r="BW187" s="67">
        <f t="shared" ref="BW187:BW188" si="1442">+BV187</f>
        <v>111.19010688994477</v>
      </c>
      <c r="BX187" s="67">
        <f>BX152/BX16*90</f>
        <v>129.14702168298547</v>
      </c>
      <c r="BY187" s="67">
        <f t="shared" ref="BY187:BY188" si="1443">+BX187</f>
        <v>129.14702168298547</v>
      </c>
      <c r="BZ187" s="67">
        <f>BZ152/BZ16*90</f>
        <v>109.80729958722571</v>
      </c>
      <c r="CA187" s="67">
        <f t="shared" ref="CA187:CA188" si="1444">+BZ187</f>
        <v>109.80729958722571</v>
      </c>
      <c r="CB187" s="67">
        <f>CB152/CB16*90</f>
        <v>137.12091142962146</v>
      </c>
      <c r="CC187" s="67">
        <f t="shared" ref="CC187:CC188" si="1445">+CB187</f>
        <v>137.12091142962146</v>
      </c>
      <c r="CD187" s="67">
        <f>CD152/CD16*90</f>
        <v>115.36456271228822</v>
      </c>
      <c r="CE187" s="67">
        <f t="shared" si="1423"/>
        <v>115.36456271228822</v>
      </c>
      <c r="CF187" s="67">
        <f>CF152/CF16*90</f>
        <v>154.97401323853887</v>
      </c>
      <c r="CG187" s="67">
        <f t="shared" ref="CG187:CI188" si="1446">+CF187</f>
        <v>154.97401323853887</v>
      </c>
      <c r="CH187" s="67">
        <f>CH152/CH16*90</f>
        <v>101.3129105388595</v>
      </c>
      <c r="CI187" s="67">
        <f t="shared" si="1446"/>
        <v>101.3129105388595</v>
      </c>
      <c r="CJ187" s="67">
        <f>CJ152/CJ16*90</f>
        <v>110.0028425069702</v>
      </c>
      <c r="CK187" s="67">
        <f t="shared" ref="CK187:CK188" si="1447">+CJ187</f>
        <v>110.0028425069702</v>
      </c>
      <c r="CL187" s="67">
        <f>CL152/CL16*90</f>
        <v>116.36006337044662</v>
      </c>
      <c r="CM187" s="30">
        <f t="shared" ref="CM187:CM188" si="1448">+CL187</f>
        <v>116.36006337044662</v>
      </c>
      <c r="CN187" s="30">
        <f t="shared" ref="CN187:CN188" si="1449">+CM187</f>
        <v>116.36006337044662</v>
      </c>
      <c r="CO187" s="30">
        <f t="shared" ref="CO187:CO188" si="1450">+CN187</f>
        <v>116.36006337044662</v>
      </c>
      <c r="CP187" s="30">
        <f t="shared" ref="CP187:CP188" si="1451">+CO187</f>
        <v>116.36006337044662</v>
      </c>
      <c r="CQ187" s="30">
        <f t="shared" ref="CQ187:CQ188" si="1452">+CP187</f>
        <v>116.36006337044662</v>
      </c>
      <c r="CR187" s="30">
        <f t="shared" ref="CR187:CR188" si="1453">+CQ187</f>
        <v>116.36006337044662</v>
      </c>
      <c r="CS187" s="30">
        <f t="shared" ref="CS187:CS188" si="1454">+CR187</f>
        <v>116.36006337044662</v>
      </c>
      <c r="CT187" s="30">
        <f t="shared" ref="CT187:CT188" si="1455">+CS187</f>
        <v>116.36006337044662</v>
      </c>
      <c r="CU187" s="30">
        <f t="shared" ref="CU187:CU188" si="1456">+CT187</f>
        <v>116.36006337044662</v>
      </c>
      <c r="CV187" s="30">
        <f t="shared" ref="CV187:CV188" si="1457">+CU187</f>
        <v>116.36006337044662</v>
      </c>
      <c r="CW187" s="30">
        <f t="shared" ref="CW187:CW188" si="1458">+CV187</f>
        <v>116.36006337044662</v>
      </c>
      <c r="CX187" s="30">
        <f t="shared" ref="CX187:CX188" si="1459">+CW187</f>
        <v>116.36006337044662</v>
      </c>
      <c r="CY187" s="30">
        <f t="shared" ref="CY187:CY188" si="1460">+CX187</f>
        <v>116.36006337044662</v>
      </c>
      <c r="CZ187" s="30">
        <f t="shared" ref="CZ187:CZ188" si="1461">+CY187</f>
        <v>116.36006337044662</v>
      </c>
      <c r="DA187" s="30">
        <f t="shared" ref="DA187:DA188" si="1462">+CZ187</f>
        <v>116.36006337044662</v>
      </c>
      <c r="DB187" s="30">
        <f t="shared" ref="DB187:DB188" si="1463">+DA187</f>
        <v>116.36006337044662</v>
      </c>
      <c r="DE187" s="139"/>
      <c r="DF187" s="62">
        <v>125.4808378223664</v>
      </c>
    </row>
    <row r="188" spans="1:110" s="62" customFormat="1" outlineLevel="1" x14ac:dyDescent="0.2">
      <c r="A188" s="68" t="s">
        <v>465</v>
      </c>
      <c r="B188" s="67" t="e">
        <f t="shared" ref="B188:AE188" si="1464">B153/B16*365</f>
        <v>#DIV/0!</v>
      </c>
      <c r="C188" s="67" t="e">
        <f t="shared" si="1464"/>
        <v>#DIV/0!</v>
      </c>
      <c r="D188" s="67" t="e">
        <f t="shared" si="1464"/>
        <v>#DIV/0!</v>
      </c>
      <c r="E188" s="67" t="e">
        <f t="shared" si="1464"/>
        <v>#DIV/0!</v>
      </c>
      <c r="F188" s="67" t="e">
        <f t="shared" si="1464"/>
        <v>#DIV/0!</v>
      </c>
      <c r="G188" s="67" t="e">
        <f t="shared" si="1464"/>
        <v>#DIV/0!</v>
      </c>
      <c r="H188" s="67" t="e">
        <f t="shared" si="1464"/>
        <v>#DIV/0!</v>
      </c>
      <c r="I188" s="67" t="e">
        <f t="shared" si="1464"/>
        <v>#DIV/0!</v>
      </c>
      <c r="J188" s="67" t="e">
        <f t="shared" si="1464"/>
        <v>#DIV/0!</v>
      </c>
      <c r="K188" s="67" t="e">
        <f t="shared" si="1464"/>
        <v>#DIV/0!</v>
      </c>
      <c r="L188" s="67" t="e">
        <f t="shared" si="1464"/>
        <v>#DIV/0!</v>
      </c>
      <c r="M188" s="67">
        <f t="shared" si="1464"/>
        <v>119.21428335480459</v>
      </c>
      <c r="N188" s="67">
        <f t="shared" si="1464"/>
        <v>79.156699541341538</v>
      </c>
      <c r="O188" s="67">
        <f t="shared" si="1464"/>
        <v>61.019639937341623</v>
      </c>
      <c r="P188" s="67">
        <f t="shared" si="1464"/>
        <v>77.769058631132992</v>
      </c>
      <c r="Q188" s="67">
        <f t="shared" si="1464"/>
        <v>89.659889695447674</v>
      </c>
      <c r="R188" s="67">
        <f t="shared" si="1464"/>
        <v>107.25890205218714</v>
      </c>
      <c r="S188" s="67">
        <f t="shared" si="1464"/>
        <v>100.65923297356262</v>
      </c>
      <c r="T188" s="67">
        <f t="shared" si="1464"/>
        <v>113.06177887845803</v>
      </c>
      <c r="U188" s="67">
        <f t="shared" si="1464"/>
        <v>102.01160425465795</v>
      </c>
      <c r="V188" s="67">
        <f t="shared" si="1464"/>
        <v>99.036233434645396</v>
      </c>
      <c r="W188" s="67">
        <f t="shared" si="1464"/>
        <v>100.14561641309921</v>
      </c>
      <c r="X188" s="67">
        <f t="shared" si="1464"/>
        <v>95.498025842017711</v>
      </c>
      <c r="Y188" s="67">
        <f t="shared" si="1464"/>
        <v>120.40989281527051</v>
      </c>
      <c r="Z188" s="67">
        <f t="shared" si="1464"/>
        <v>131.9082960626292</v>
      </c>
      <c r="AA188" s="67">
        <f t="shared" ref="AA188" si="1465">AA153/AA16*365</f>
        <v>115.45591451511103</v>
      </c>
      <c r="AB188" s="18">
        <f t="shared" si="1464"/>
        <v>115.45591451511102</v>
      </c>
      <c r="AC188" s="18">
        <f t="shared" si="1464"/>
        <v>115.45591451511102</v>
      </c>
      <c r="AD188" s="18">
        <f t="shared" si="1464"/>
        <v>115.45591451511106</v>
      </c>
      <c r="AE188" s="18">
        <f t="shared" si="1464"/>
        <v>115.45591451511103</v>
      </c>
      <c r="AI188" s="67" t="e">
        <f>AJ153/AI16*90</f>
        <v>#DIV/0!</v>
      </c>
      <c r="AJ188" s="67" t="e">
        <f>AJ153/AJ16*90</f>
        <v>#DIV/0!</v>
      </c>
      <c r="AK188" s="67" t="e">
        <f>+AJ188</f>
        <v>#DIV/0!</v>
      </c>
      <c r="AL188" s="67" t="e">
        <f>AL153/AL16*90</f>
        <v>#DIV/0!</v>
      </c>
      <c r="AM188" s="67" t="e">
        <f t="shared" si="1424"/>
        <v>#DIV/0!</v>
      </c>
      <c r="AN188" s="67" t="e">
        <f>AN153/AN16*90</f>
        <v>#DIV/0!</v>
      </c>
      <c r="AO188" s="67" t="e">
        <f t="shared" si="1425"/>
        <v>#DIV/0!</v>
      </c>
      <c r="AP188" s="67" t="e">
        <f>AP153/AP16*90</f>
        <v>#DIV/0!</v>
      </c>
      <c r="AQ188" s="67" t="e">
        <f t="shared" si="1426"/>
        <v>#DIV/0!</v>
      </c>
      <c r="AR188" s="67" t="e">
        <f>AR153/AR16*90</f>
        <v>#DIV/0!</v>
      </c>
      <c r="AS188" s="67" t="e">
        <f t="shared" si="1427"/>
        <v>#DIV/0!</v>
      </c>
      <c r="AT188" s="67" t="e">
        <f>AT153/AT16*90</f>
        <v>#DIV/0!</v>
      </c>
      <c r="AU188" s="67" t="e">
        <f t="shared" si="1428"/>
        <v>#DIV/0!</v>
      </c>
      <c r="AV188" s="67" t="e">
        <f>AV153/AV16*90</f>
        <v>#DIV/0!</v>
      </c>
      <c r="AW188" s="67" t="e">
        <f t="shared" si="1429"/>
        <v>#DIV/0!</v>
      </c>
      <c r="AX188" s="67">
        <f>AX153/AX16*90</f>
        <v>81.51611707889144</v>
      </c>
      <c r="AY188" s="67">
        <f t="shared" si="1430"/>
        <v>81.51611707889144</v>
      </c>
      <c r="AZ188" s="67">
        <f>AZ153/AZ16*90</f>
        <v>0</v>
      </c>
      <c r="BA188" s="67">
        <f t="shared" si="1431"/>
        <v>0</v>
      </c>
      <c r="BB188" s="67">
        <f>BB153/BB16*90</f>
        <v>106.44412170412446</v>
      </c>
      <c r="BC188" s="67">
        <f t="shared" si="1432"/>
        <v>106.44412170412446</v>
      </c>
      <c r="BD188" s="67">
        <f>BD153/BD16*90</f>
        <v>112.9582629360762</v>
      </c>
      <c r="BE188" s="67">
        <f t="shared" si="1433"/>
        <v>112.9582629360762</v>
      </c>
      <c r="BF188" s="67">
        <f>BF153/BF16*90</f>
        <v>91.662198343567042</v>
      </c>
      <c r="BG188" s="67">
        <f t="shared" si="1434"/>
        <v>91.662198343567042</v>
      </c>
      <c r="BH188" s="67">
        <f>BH153/BH16*90</f>
        <v>105.4407842510637</v>
      </c>
      <c r="BI188" s="67">
        <f t="shared" si="1435"/>
        <v>105.4407842510637</v>
      </c>
      <c r="BJ188" s="67">
        <f>BJ153/BJ16*90</f>
        <v>100.59591190265148</v>
      </c>
      <c r="BK188" s="67">
        <f t="shared" si="1436"/>
        <v>100.59591190265148</v>
      </c>
      <c r="BL188" s="67">
        <f>BL153/BL16*90</f>
        <v>90.286895370708294</v>
      </c>
      <c r="BM188" s="67">
        <f t="shared" si="1437"/>
        <v>90.286895370708294</v>
      </c>
      <c r="BN188" s="67">
        <f>BN153/BN16*90</f>
        <v>84.881902900588699</v>
      </c>
      <c r="BO188" s="67">
        <f t="shared" si="1438"/>
        <v>84.881902900588699</v>
      </c>
      <c r="BP188" s="67">
        <f>BP153/BP16*90</f>
        <v>69.97910154191986</v>
      </c>
      <c r="BQ188" s="67">
        <f t="shared" si="1439"/>
        <v>69.97910154191986</v>
      </c>
      <c r="BR188" s="67">
        <f>BR153/BR16*90</f>
        <v>83.251577627786077</v>
      </c>
      <c r="BS188" s="67">
        <f t="shared" si="1440"/>
        <v>83.251577627786077</v>
      </c>
      <c r="BT188" s="67">
        <f>BT153/BT16*90</f>
        <v>78.389919234220756</v>
      </c>
      <c r="BU188" s="67">
        <f t="shared" si="1441"/>
        <v>78.389919234220756</v>
      </c>
      <c r="BV188" s="67">
        <f>BV153/BV16*90</f>
        <v>85.537362351999889</v>
      </c>
      <c r="BW188" s="67">
        <f t="shared" si="1442"/>
        <v>85.537362351999889</v>
      </c>
      <c r="BX188" s="67">
        <f>BX153/BX16*90</f>
        <v>98.935522149388589</v>
      </c>
      <c r="BY188" s="67">
        <f t="shared" si="1443"/>
        <v>98.935522149388589</v>
      </c>
      <c r="BZ188" s="67">
        <f>BZ153/BZ16*90</f>
        <v>103.0049967412557</v>
      </c>
      <c r="CA188" s="67">
        <f t="shared" si="1444"/>
        <v>103.0049967412557</v>
      </c>
      <c r="CB188" s="67">
        <f>CB153/CB16*90</f>
        <v>113.83682469680265</v>
      </c>
      <c r="CC188" s="67">
        <f t="shared" si="1445"/>
        <v>113.83682469680265</v>
      </c>
      <c r="CD188" s="67">
        <f>CD153/CD16*90</f>
        <v>103.9563233240951</v>
      </c>
      <c r="CE188" s="114">
        <f t="shared" ref="CE188" si="1466">+CD188</f>
        <v>103.9563233240951</v>
      </c>
      <c r="CF188" s="67">
        <f>CF153/CF16*90</f>
        <v>128.70507477322874</v>
      </c>
      <c r="CG188" s="67">
        <f t="shared" si="1446"/>
        <v>128.70507477322874</v>
      </c>
      <c r="CH188" s="67">
        <f>CH153/CH16*90</f>
        <v>105.0074986920886</v>
      </c>
      <c r="CI188" s="67">
        <f t="shared" si="1446"/>
        <v>105.0074986920886</v>
      </c>
      <c r="CJ188" s="67">
        <f>CJ153/CJ16*90</f>
        <v>101.21114988478774</v>
      </c>
      <c r="CK188" s="67">
        <f t="shared" si="1447"/>
        <v>101.21114988478774</v>
      </c>
      <c r="CL188" s="67">
        <f>CL153/CL16*90</f>
        <v>107.06381757260277</v>
      </c>
      <c r="CM188" s="30">
        <f t="shared" si="1448"/>
        <v>107.06381757260277</v>
      </c>
      <c r="CN188" s="30">
        <f t="shared" si="1449"/>
        <v>107.06381757260277</v>
      </c>
      <c r="CO188" s="30">
        <f t="shared" si="1450"/>
        <v>107.06381757260277</v>
      </c>
      <c r="CP188" s="30">
        <f t="shared" si="1451"/>
        <v>107.06381757260277</v>
      </c>
      <c r="CQ188" s="30">
        <f t="shared" si="1452"/>
        <v>107.06381757260277</v>
      </c>
      <c r="CR188" s="30">
        <f t="shared" si="1453"/>
        <v>107.06381757260277</v>
      </c>
      <c r="CS188" s="30">
        <f t="shared" si="1454"/>
        <v>107.06381757260277</v>
      </c>
      <c r="CT188" s="30">
        <f t="shared" si="1455"/>
        <v>107.06381757260277</v>
      </c>
      <c r="CU188" s="30">
        <f t="shared" si="1456"/>
        <v>107.06381757260277</v>
      </c>
      <c r="CV188" s="30">
        <f t="shared" si="1457"/>
        <v>107.06381757260277</v>
      </c>
      <c r="CW188" s="30">
        <f t="shared" si="1458"/>
        <v>107.06381757260277</v>
      </c>
      <c r="CX188" s="30">
        <f t="shared" si="1459"/>
        <v>107.06381757260277</v>
      </c>
      <c r="CY188" s="30">
        <f t="shared" si="1460"/>
        <v>107.06381757260277</v>
      </c>
      <c r="CZ188" s="30">
        <f t="shared" si="1461"/>
        <v>107.06381757260277</v>
      </c>
      <c r="DA188" s="30">
        <f t="shared" si="1462"/>
        <v>107.06381757260277</v>
      </c>
      <c r="DB188" s="30">
        <f t="shared" si="1463"/>
        <v>107.06381757260277</v>
      </c>
      <c r="DE188" s="139"/>
      <c r="DF188" s="62">
        <v>115.45591451511103</v>
      </c>
    </row>
    <row r="189" spans="1:110" s="62" customFormat="1" outlineLevel="1" x14ac:dyDescent="0.2">
      <c r="A189" s="68" t="s">
        <v>466</v>
      </c>
      <c r="B189" s="67" t="e">
        <f>B190-B188-B187</f>
        <v>#DIV/0!</v>
      </c>
      <c r="C189" s="67" t="e">
        <f t="shared" ref="C189:U189" si="1467">C190-C188-C187</f>
        <v>#DIV/0!</v>
      </c>
      <c r="D189" s="67" t="e">
        <f t="shared" si="1467"/>
        <v>#DIV/0!</v>
      </c>
      <c r="E189" s="67" t="e">
        <f t="shared" si="1467"/>
        <v>#DIV/0!</v>
      </c>
      <c r="F189" s="67" t="e">
        <f t="shared" si="1467"/>
        <v>#DIV/0!</v>
      </c>
      <c r="G189" s="67" t="e">
        <f t="shared" si="1467"/>
        <v>#DIV/0!</v>
      </c>
      <c r="H189" s="67" t="e">
        <f t="shared" si="1467"/>
        <v>#DIV/0!</v>
      </c>
      <c r="I189" s="67" t="e">
        <f t="shared" si="1467"/>
        <v>#DIV/0!</v>
      </c>
      <c r="J189" s="67" t="e">
        <f t="shared" si="1467"/>
        <v>#DIV/0!</v>
      </c>
      <c r="K189" s="67" t="e">
        <f t="shared" si="1467"/>
        <v>#DIV/0!</v>
      </c>
      <c r="L189" s="67" t="e">
        <f t="shared" si="1467"/>
        <v>#DIV/0!</v>
      </c>
      <c r="M189" s="67">
        <f t="shared" si="1467"/>
        <v>22.709664277298828</v>
      </c>
      <c r="N189" s="67">
        <f t="shared" si="1467"/>
        <v>26.705838553329755</v>
      </c>
      <c r="O189" s="67">
        <f t="shared" si="1467"/>
        <v>34.434783466559637</v>
      </c>
      <c r="P189" s="67">
        <f t="shared" si="1467"/>
        <v>40.676077265973248</v>
      </c>
      <c r="Q189" s="67">
        <f t="shared" si="1467"/>
        <v>22.221839373689235</v>
      </c>
      <c r="R189" s="67">
        <f t="shared" si="1467"/>
        <v>23.846943567054197</v>
      </c>
      <c r="S189" s="67">
        <f t="shared" si="1467"/>
        <v>27.876327390535479</v>
      </c>
      <c r="T189" s="67">
        <f t="shared" si="1467"/>
        <v>22.422841849352181</v>
      </c>
      <c r="U189" s="67">
        <f t="shared" si="1467"/>
        <v>23.34065514952043</v>
      </c>
      <c r="V189" s="67">
        <f>V190-V188-V187</f>
        <v>21.574651345899341</v>
      </c>
      <c r="W189" s="67">
        <f t="shared" ref="W189" si="1468">W190-W188-W187</f>
        <v>20.789655500783056</v>
      </c>
      <c r="X189" s="67">
        <f t="shared" ref="X189:Y189" si="1469">X190-X188-X187</f>
        <v>20.386777694084131</v>
      </c>
      <c r="Y189" s="67">
        <f t="shared" si="1469"/>
        <v>21.738543057393343</v>
      </c>
      <c r="Z189" s="67">
        <f t="shared" ref="Z189:AA189" si="1470">Z190-Z188-Z187</f>
        <v>28.444443244099745</v>
      </c>
      <c r="AA189" s="67">
        <f t="shared" ref="AA189" si="1471">AA190-AA188-AA187</f>
        <v>23.953309163498687</v>
      </c>
      <c r="AB189" s="18">
        <f t="shared" ref="AB189:AD189" si="1472">AB190-AB188-AB187</f>
        <v>36.420709242760097</v>
      </c>
      <c r="AC189" s="18">
        <f t="shared" si="1472"/>
        <v>36.420709242760097</v>
      </c>
      <c r="AD189" s="18">
        <f t="shared" si="1472"/>
        <v>36.42070924276004</v>
      </c>
      <c r="AE189" s="18">
        <f t="shared" ref="AE189" si="1473">AE190-AE188-AE187</f>
        <v>36.420709242760125</v>
      </c>
      <c r="AI189" s="67" t="e">
        <f t="shared" ref="AI189:AK189" si="1474">AI190-AI188-AI187</f>
        <v>#DIV/0!</v>
      </c>
      <c r="AJ189" s="67" t="e">
        <f t="shared" ref="AJ189:AM189" si="1475">AJ190-AJ188-AJ187</f>
        <v>#DIV/0!</v>
      </c>
      <c r="AK189" s="67" t="e">
        <f t="shared" si="1474"/>
        <v>#DIV/0!</v>
      </c>
      <c r="AL189" s="67" t="e">
        <f t="shared" si="1475"/>
        <v>#DIV/0!</v>
      </c>
      <c r="AM189" s="67" t="e">
        <f t="shared" si="1475"/>
        <v>#DIV/0!</v>
      </c>
      <c r="AN189" s="67" t="e">
        <f t="shared" ref="AN189:AY189" si="1476">AN190-AN188-AN187</f>
        <v>#DIV/0!</v>
      </c>
      <c r="AO189" s="67" t="e">
        <f t="shared" si="1476"/>
        <v>#DIV/0!</v>
      </c>
      <c r="AP189" s="67" t="e">
        <f t="shared" si="1476"/>
        <v>#DIV/0!</v>
      </c>
      <c r="AQ189" s="67" t="e">
        <f t="shared" si="1476"/>
        <v>#DIV/0!</v>
      </c>
      <c r="AR189" s="67" t="e">
        <f t="shared" si="1476"/>
        <v>#DIV/0!</v>
      </c>
      <c r="AS189" s="67" t="e">
        <f t="shared" si="1476"/>
        <v>#DIV/0!</v>
      </c>
      <c r="AT189" s="67" t="e">
        <f t="shared" si="1476"/>
        <v>#DIV/0!</v>
      </c>
      <c r="AU189" s="67" t="e">
        <f t="shared" si="1476"/>
        <v>#DIV/0!</v>
      </c>
      <c r="AV189" s="67" t="e">
        <f t="shared" si="1476"/>
        <v>#DIV/0!</v>
      </c>
      <c r="AW189" s="67" t="e">
        <f t="shared" si="1476"/>
        <v>#DIV/0!</v>
      </c>
      <c r="AX189" s="67">
        <f t="shared" si="1476"/>
        <v>20.203438418750849</v>
      </c>
      <c r="AY189" s="67">
        <f t="shared" si="1476"/>
        <v>21.065464332160289</v>
      </c>
      <c r="AZ189" s="67">
        <f t="shared" ref="AZ189:BC189" si="1477">AZ190-AZ188-AZ187</f>
        <v>0</v>
      </c>
      <c r="BA189" s="67">
        <f t="shared" si="1477"/>
        <v>0</v>
      </c>
      <c r="BB189" s="67">
        <f t="shared" si="1477"/>
        <v>23.665792906288132</v>
      </c>
      <c r="BC189" s="67">
        <f t="shared" si="1477"/>
        <v>17.846458793286885</v>
      </c>
      <c r="BD189" s="67">
        <f t="shared" ref="BD189:CE189" si="1478">BD190-BD188-BD187</f>
        <v>27.051465810140911</v>
      </c>
      <c r="BE189" s="67">
        <f t="shared" si="1478"/>
        <v>30.422315531882418</v>
      </c>
      <c r="BF189" s="67">
        <f t="shared" si="1478"/>
        <v>25.384710124232456</v>
      </c>
      <c r="BG189" s="67">
        <f t="shared" si="1478"/>
        <v>26.384195674718981</v>
      </c>
      <c r="BH189" s="67">
        <f t="shared" si="1478"/>
        <v>25.446053841616504</v>
      </c>
      <c r="BI189" s="67">
        <f t="shared" si="1478"/>
        <v>28.273174214336592</v>
      </c>
      <c r="BJ189" s="67">
        <f t="shared" si="1478"/>
        <v>19.950563715341445</v>
      </c>
      <c r="BK189" s="67">
        <f t="shared" si="1478"/>
        <v>23.015819968396357</v>
      </c>
      <c r="BL189" s="67">
        <f t="shared" si="1478"/>
        <v>26.62858987675807</v>
      </c>
      <c r="BM189" s="67">
        <f t="shared" si="1478"/>
        <v>26.001918885949664</v>
      </c>
      <c r="BN189" s="67">
        <f t="shared" si="1478"/>
        <v>24.021379030912584</v>
      </c>
      <c r="BO189" s="67">
        <f t="shared" si="1478"/>
        <v>20.688582806470123</v>
      </c>
      <c r="BP189" s="67">
        <f t="shared" si="1478"/>
        <v>22.153068034140006</v>
      </c>
      <c r="BQ189" s="67">
        <f t="shared" si="1478"/>
        <v>19.581192468294518</v>
      </c>
      <c r="BR189" s="67">
        <f t="shared" si="1478"/>
        <v>21.652064904067487</v>
      </c>
      <c r="BS189" s="67">
        <f t="shared" si="1478"/>
        <v>23.911771607352335</v>
      </c>
      <c r="BT189" s="67">
        <f t="shared" si="1478"/>
        <v>33.72120849536347</v>
      </c>
      <c r="BU189" s="67">
        <f t="shared" si="1478"/>
        <v>39.448267817566801</v>
      </c>
      <c r="BV189" s="67">
        <f t="shared" si="1478"/>
        <v>26.477053402862126</v>
      </c>
      <c r="BW189" s="67">
        <f t="shared" si="1478"/>
        <v>24.513821201606291</v>
      </c>
      <c r="BX189" s="67">
        <f t="shared" si="1478"/>
        <v>23.64206892613069</v>
      </c>
      <c r="BY189" s="67">
        <f t="shared" si="1478"/>
        <v>24.117567095195596</v>
      </c>
      <c r="BZ189" s="67">
        <f t="shared" si="1478"/>
        <v>30.685639800130332</v>
      </c>
      <c r="CA189" s="67">
        <f t="shared" si="1478"/>
        <v>35.855608864519041</v>
      </c>
      <c r="CB189" s="67">
        <f t="shared" si="1478"/>
        <v>34.141859610437336</v>
      </c>
      <c r="CC189" s="67">
        <f t="shared" si="1478"/>
        <v>34.985605730927603</v>
      </c>
      <c r="CD189" s="67">
        <f t="shared" si="1478"/>
        <v>29.915605659630316</v>
      </c>
      <c r="CE189" s="114">
        <f t="shared" si="1478"/>
        <v>36.04338402055383</v>
      </c>
      <c r="CF189" s="67">
        <f t="shared" ref="CF189:CG189" si="1479">CF190-CF188-CF187</f>
        <v>37.857808286344635</v>
      </c>
      <c r="CG189" s="67">
        <f t="shared" si="1479"/>
        <v>32.738489806013916</v>
      </c>
      <c r="CH189" s="67">
        <f t="shared" ref="CH189" si="1480">CH190-CH188-CH187</f>
        <v>22.643608672905899</v>
      </c>
      <c r="CI189" s="67">
        <f>CH189</f>
        <v>22.643608672905899</v>
      </c>
      <c r="CJ189" s="67">
        <f t="shared" ref="CJ189:CL189" si="1481">CJ190-CJ188-CJ187</f>
        <v>32.935100122772084</v>
      </c>
      <c r="CK189" s="67">
        <f t="shared" ref="CK189:DB189" si="1482">CJ189</f>
        <v>32.935100122772084</v>
      </c>
      <c r="CL189" s="67">
        <f t="shared" si="1481"/>
        <v>33.773412012784519</v>
      </c>
      <c r="CM189" s="30">
        <f t="shared" si="1482"/>
        <v>33.773412012784519</v>
      </c>
      <c r="CN189" s="30">
        <f t="shared" si="1482"/>
        <v>33.773412012784519</v>
      </c>
      <c r="CO189" s="30">
        <f t="shared" si="1482"/>
        <v>33.773412012784519</v>
      </c>
      <c r="CP189" s="30">
        <f t="shared" si="1482"/>
        <v>33.773412012784519</v>
      </c>
      <c r="CQ189" s="30">
        <f t="shared" si="1482"/>
        <v>33.773412012784519</v>
      </c>
      <c r="CR189" s="30">
        <f t="shared" si="1482"/>
        <v>33.773412012784519</v>
      </c>
      <c r="CS189" s="30">
        <f t="shared" si="1482"/>
        <v>33.773412012784519</v>
      </c>
      <c r="CT189" s="30">
        <f t="shared" si="1482"/>
        <v>33.773412012784519</v>
      </c>
      <c r="CU189" s="30">
        <f t="shared" si="1482"/>
        <v>33.773412012784519</v>
      </c>
      <c r="CV189" s="30">
        <f t="shared" si="1482"/>
        <v>33.773412012784519</v>
      </c>
      <c r="CW189" s="30">
        <f t="shared" si="1482"/>
        <v>33.773412012784519</v>
      </c>
      <c r="CX189" s="30">
        <f t="shared" si="1482"/>
        <v>33.773412012784519</v>
      </c>
      <c r="CY189" s="30">
        <f t="shared" si="1482"/>
        <v>33.773412012784519</v>
      </c>
      <c r="CZ189" s="30">
        <f t="shared" si="1482"/>
        <v>33.773412012784519</v>
      </c>
      <c r="DA189" s="30">
        <f t="shared" si="1482"/>
        <v>33.773412012784519</v>
      </c>
      <c r="DB189" s="30">
        <f t="shared" si="1482"/>
        <v>33.773412012784519</v>
      </c>
      <c r="DE189" s="139"/>
      <c r="DF189" s="62">
        <v>36.420709242760068</v>
      </c>
    </row>
    <row r="190" spans="1:110" s="7" customFormat="1" outlineLevel="1" x14ac:dyDescent="0.2">
      <c r="A190" s="69" t="s">
        <v>467</v>
      </c>
      <c r="B190" s="70" t="e">
        <f t="shared" ref="B190:AE190" si="1483">B156/B16*365</f>
        <v>#DIV/0!</v>
      </c>
      <c r="C190" s="70" t="e">
        <f t="shared" si="1483"/>
        <v>#DIV/0!</v>
      </c>
      <c r="D190" s="70" t="e">
        <f t="shared" si="1483"/>
        <v>#DIV/0!</v>
      </c>
      <c r="E190" s="70" t="e">
        <f t="shared" si="1483"/>
        <v>#DIV/0!</v>
      </c>
      <c r="F190" s="70" t="e">
        <f t="shared" si="1483"/>
        <v>#DIV/0!</v>
      </c>
      <c r="G190" s="70" t="e">
        <f t="shared" si="1483"/>
        <v>#DIV/0!</v>
      </c>
      <c r="H190" s="70" t="e">
        <f t="shared" si="1483"/>
        <v>#DIV/0!</v>
      </c>
      <c r="I190" s="70" t="e">
        <f t="shared" si="1483"/>
        <v>#DIV/0!</v>
      </c>
      <c r="J190" s="70" t="e">
        <f t="shared" si="1483"/>
        <v>#DIV/0!</v>
      </c>
      <c r="K190" s="70" t="e">
        <f t="shared" si="1483"/>
        <v>#DIV/0!</v>
      </c>
      <c r="L190" s="70" t="e">
        <f t="shared" si="1483"/>
        <v>#DIV/0!</v>
      </c>
      <c r="M190" s="70">
        <f t="shared" si="1483"/>
        <v>221.20401017408253</v>
      </c>
      <c r="N190" s="70">
        <f t="shared" si="1483"/>
        <v>184.76362619750822</v>
      </c>
      <c r="O190" s="70">
        <f t="shared" si="1483"/>
        <v>198.18826853886898</v>
      </c>
      <c r="P190" s="70">
        <f t="shared" si="1483"/>
        <v>248.16553855076967</v>
      </c>
      <c r="Q190" s="70">
        <f t="shared" si="1483"/>
        <v>210.0541859517412</v>
      </c>
      <c r="R190" s="70">
        <f t="shared" si="1483"/>
        <v>227.29899940410519</v>
      </c>
      <c r="S190" s="70">
        <f t="shared" si="1483"/>
        <v>231.69898255343276</v>
      </c>
      <c r="T190" s="70">
        <f t="shared" si="1483"/>
        <v>244.08677063208245</v>
      </c>
      <c r="U190" s="70">
        <f t="shared" si="1483"/>
        <v>242.03233370530987</v>
      </c>
      <c r="V190" s="70">
        <f t="shared" si="1483"/>
        <v>240.07448826324239</v>
      </c>
      <c r="W190" s="70">
        <f t="shared" si="1483"/>
        <v>251.11466355456409</v>
      </c>
      <c r="X190" s="70">
        <f t="shared" si="1483"/>
        <v>217.68938258933375</v>
      </c>
      <c r="Y190" s="70">
        <f t="shared" si="1483"/>
        <v>275.77219426165931</v>
      </c>
      <c r="Z190" s="70">
        <f t="shared" si="1483"/>
        <v>287.61996845494031</v>
      </c>
      <c r="AA190" s="70">
        <f t="shared" ref="AA190" si="1484">AA156/AA16*365</f>
        <v>264.89006150097612</v>
      </c>
      <c r="AB190" s="71">
        <f t="shared" si="1483"/>
        <v>277.3574615802375</v>
      </c>
      <c r="AC190" s="71">
        <f t="shared" si="1483"/>
        <v>277.3574615802375</v>
      </c>
      <c r="AD190" s="71">
        <f t="shared" si="1483"/>
        <v>277.3574615802375</v>
      </c>
      <c r="AE190" s="71">
        <f t="shared" si="1483"/>
        <v>277.35746158023755</v>
      </c>
      <c r="AI190" s="70" t="e">
        <f t="shared" ref="AI190:CD190" si="1485">AI156/AI16*90</f>
        <v>#DIV/0!</v>
      </c>
      <c r="AJ190" s="70" t="e">
        <f t="shared" si="1485"/>
        <v>#DIV/0!</v>
      </c>
      <c r="AK190" s="70" t="e">
        <f t="shared" si="1485"/>
        <v>#DIV/0!</v>
      </c>
      <c r="AL190" s="70" t="e">
        <f t="shared" si="1485"/>
        <v>#DIV/0!</v>
      </c>
      <c r="AM190" s="70" t="e">
        <f t="shared" si="1485"/>
        <v>#DIV/0!</v>
      </c>
      <c r="AN190" s="70" t="e">
        <f t="shared" si="1485"/>
        <v>#DIV/0!</v>
      </c>
      <c r="AO190" s="70" t="e">
        <f t="shared" si="1485"/>
        <v>#DIV/0!</v>
      </c>
      <c r="AP190" s="70" t="e">
        <f t="shared" si="1485"/>
        <v>#DIV/0!</v>
      </c>
      <c r="AQ190" s="70" t="e">
        <f t="shared" si="1485"/>
        <v>#DIV/0!</v>
      </c>
      <c r="AR190" s="70" t="e">
        <f t="shared" si="1485"/>
        <v>#DIV/0!</v>
      </c>
      <c r="AS190" s="70" t="e">
        <f t="shared" si="1485"/>
        <v>#DIV/0!</v>
      </c>
      <c r="AT190" s="70" t="e">
        <f t="shared" si="1485"/>
        <v>#DIV/0!</v>
      </c>
      <c r="AU190" s="70" t="e">
        <f t="shared" si="1485"/>
        <v>#DIV/0!</v>
      </c>
      <c r="AV190" s="70" t="e">
        <f t="shared" si="1485"/>
        <v>#DIV/0!</v>
      </c>
      <c r="AW190" s="70" t="e">
        <f t="shared" si="1485"/>
        <v>#DIV/0!</v>
      </c>
      <c r="AX190" s="70">
        <f t="shared" si="1485"/>
        <v>190.97504662469765</v>
      </c>
      <c r="AY190" s="70">
        <f t="shared" si="1485"/>
        <v>191.83707253810709</v>
      </c>
      <c r="AZ190" s="70">
        <f t="shared" si="1485"/>
        <v>0</v>
      </c>
      <c r="BA190" s="70">
        <f t="shared" si="1485"/>
        <v>0</v>
      </c>
      <c r="BB190" s="70">
        <f t="shared" si="1485"/>
        <v>225.5723477760784</v>
      </c>
      <c r="BC190" s="70">
        <f t="shared" si="1485"/>
        <v>219.75301366307716</v>
      </c>
      <c r="BD190" s="70">
        <f t="shared" si="1485"/>
        <v>235.32106719147433</v>
      </c>
      <c r="BE190" s="70">
        <f t="shared" si="1485"/>
        <v>238.69191691321583</v>
      </c>
      <c r="BF190" s="70">
        <f t="shared" si="1485"/>
        <v>210.9894687990861</v>
      </c>
      <c r="BG190" s="70">
        <f t="shared" si="1485"/>
        <v>211.98895434957262</v>
      </c>
      <c r="BH190" s="70">
        <f t="shared" si="1485"/>
        <v>230.0367511444361</v>
      </c>
      <c r="BI190" s="70">
        <f t="shared" si="1485"/>
        <v>232.86387151715618</v>
      </c>
      <c r="BJ190" s="70">
        <f t="shared" si="1485"/>
        <v>217.17446442712952</v>
      </c>
      <c r="BK190" s="70">
        <f t="shared" si="1485"/>
        <v>220.23972068018443</v>
      </c>
      <c r="BL190" s="70">
        <f t="shared" si="1485"/>
        <v>230.23385081833749</v>
      </c>
      <c r="BM190" s="70">
        <f t="shared" si="1485"/>
        <v>229.60717982752908</v>
      </c>
      <c r="BN190" s="70">
        <f t="shared" si="1485"/>
        <v>205.99053793169196</v>
      </c>
      <c r="BO190" s="70">
        <f t="shared" si="1485"/>
        <v>202.6577417072495</v>
      </c>
      <c r="BP190" s="70">
        <f t="shared" si="1485"/>
        <v>182.89083628955783</v>
      </c>
      <c r="BQ190" s="70">
        <f t="shared" si="1485"/>
        <v>180.31896072371234</v>
      </c>
      <c r="BR190" s="70">
        <f t="shared" si="1485"/>
        <v>205.32682215123978</v>
      </c>
      <c r="BS190" s="70">
        <f t="shared" si="1485"/>
        <v>207.58652885452463</v>
      </c>
      <c r="BT190" s="70">
        <f t="shared" si="1485"/>
        <v>253.89096619802572</v>
      </c>
      <c r="BU190" s="70">
        <f t="shared" si="1485"/>
        <v>259.61802552022908</v>
      </c>
      <c r="BV190" s="70">
        <f t="shared" si="1485"/>
        <v>223.20452264480679</v>
      </c>
      <c r="BW190" s="70">
        <f t="shared" si="1485"/>
        <v>221.24129044355095</v>
      </c>
      <c r="BX190" s="70">
        <f t="shared" si="1485"/>
        <v>251.72461275850475</v>
      </c>
      <c r="BY190" s="70">
        <f t="shared" si="1485"/>
        <v>252.20011092756965</v>
      </c>
      <c r="BZ190" s="70">
        <f t="shared" si="1485"/>
        <v>243.49793612861174</v>
      </c>
      <c r="CA190" s="70">
        <f t="shared" si="1485"/>
        <v>248.66790519300045</v>
      </c>
      <c r="CB190" s="70">
        <f t="shared" si="1485"/>
        <v>285.09959573686143</v>
      </c>
      <c r="CC190" s="70">
        <f t="shared" si="1485"/>
        <v>285.9433418573517</v>
      </c>
      <c r="CD190" s="70">
        <f t="shared" si="1485"/>
        <v>249.23649169601364</v>
      </c>
      <c r="CE190" s="115">
        <f>CE156/CE18*90</f>
        <v>255.36427005693713</v>
      </c>
      <c r="CF190" s="70">
        <f>CF156/CF16*90</f>
        <v>321.53689629811225</v>
      </c>
      <c r="CG190" s="70">
        <f>CG156/CG18*90</f>
        <v>316.41757781778153</v>
      </c>
      <c r="CH190" s="70">
        <f>CH156/CH16*90</f>
        <v>228.964017903854</v>
      </c>
      <c r="CI190" s="70">
        <f>CI187+CI188+CI189</f>
        <v>228.96401790385397</v>
      </c>
      <c r="CJ190" s="70">
        <f>CJ156/CJ16*90</f>
        <v>244.14909251453003</v>
      </c>
      <c r="CK190" s="70">
        <f t="shared" ref="CK190:DB190" si="1486">CK187+CK188+CK189</f>
        <v>244.14909251453003</v>
      </c>
      <c r="CL190" s="70">
        <f>CL156/CL16*90</f>
        <v>257.19729295583392</v>
      </c>
      <c r="CM190" s="50">
        <f t="shared" si="1486"/>
        <v>257.19729295583392</v>
      </c>
      <c r="CN190" s="50">
        <f t="shared" si="1486"/>
        <v>257.19729295583392</v>
      </c>
      <c r="CO190" s="50">
        <f t="shared" si="1486"/>
        <v>257.19729295583392</v>
      </c>
      <c r="CP190" s="50">
        <f t="shared" si="1486"/>
        <v>257.19729295583392</v>
      </c>
      <c r="CQ190" s="50">
        <f t="shared" si="1486"/>
        <v>257.19729295583392</v>
      </c>
      <c r="CR190" s="50">
        <f t="shared" si="1486"/>
        <v>257.19729295583392</v>
      </c>
      <c r="CS190" s="50">
        <f t="shared" si="1486"/>
        <v>257.19729295583392</v>
      </c>
      <c r="CT190" s="50">
        <f t="shared" si="1486"/>
        <v>257.19729295583392</v>
      </c>
      <c r="CU190" s="50">
        <f t="shared" si="1486"/>
        <v>257.19729295583392</v>
      </c>
      <c r="CV190" s="50">
        <f t="shared" si="1486"/>
        <v>257.19729295583392</v>
      </c>
      <c r="CW190" s="50">
        <f t="shared" si="1486"/>
        <v>257.19729295583392</v>
      </c>
      <c r="CX190" s="50">
        <f t="shared" si="1486"/>
        <v>257.19729295583392</v>
      </c>
      <c r="CY190" s="50">
        <f t="shared" si="1486"/>
        <v>257.19729295583392</v>
      </c>
      <c r="CZ190" s="50">
        <f t="shared" si="1486"/>
        <v>257.19729295583392</v>
      </c>
      <c r="DA190" s="50">
        <f t="shared" si="1486"/>
        <v>257.19729295583392</v>
      </c>
      <c r="DB190" s="50">
        <f t="shared" si="1486"/>
        <v>257.19729295583392</v>
      </c>
      <c r="DE190" s="138"/>
      <c r="DF190" s="7">
        <v>277.3574615802375</v>
      </c>
    </row>
    <row r="191" spans="1:110" s="62" customFormat="1" outlineLevel="1" x14ac:dyDescent="0.2">
      <c r="A191" s="68" t="s">
        <v>468</v>
      </c>
      <c r="B191" s="67" t="e">
        <f t="shared" ref="B191:AE191" si="1487">B161/B16*365</f>
        <v>#DIV/0!</v>
      </c>
      <c r="C191" s="67" t="e">
        <f t="shared" si="1487"/>
        <v>#DIV/0!</v>
      </c>
      <c r="D191" s="67" t="e">
        <f t="shared" si="1487"/>
        <v>#DIV/0!</v>
      </c>
      <c r="E191" s="67" t="e">
        <f t="shared" si="1487"/>
        <v>#DIV/0!</v>
      </c>
      <c r="F191" s="67" t="e">
        <f t="shared" si="1487"/>
        <v>#DIV/0!</v>
      </c>
      <c r="G191" s="67" t="e">
        <f t="shared" si="1487"/>
        <v>#DIV/0!</v>
      </c>
      <c r="H191" s="67" t="e">
        <f t="shared" si="1487"/>
        <v>#DIV/0!</v>
      </c>
      <c r="I191" s="67" t="e">
        <f t="shared" si="1487"/>
        <v>#DIV/0!</v>
      </c>
      <c r="J191" s="67" t="e">
        <f t="shared" si="1487"/>
        <v>#DIV/0!</v>
      </c>
      <c r="K191" s="67" t="e">
        <f t="shared" si="1487"/>
        <v>#DIV/0!</v>
      </c>
      <c r="L191" s="67" t="e">
        <f t="shared" si="1487"/>
        <v>#DIV/0!</v>
      </c>
      <c r="M191" s="67">
        <f t="shared" si="1487"/>
        <v>77.835640119358274</v>
      </c>
      <c r="N191" s="67">
        <f t="shared" si="1487"/>
        <v>66.802988615194693</v>
      </c>
      <c r="O191" s="67">
        <f t="shared" si="1487"/>
        <v>71.226423753909714</v>
      </c>
      <c r="P191" s="67">
        <f t="shared" si="1487"/>
        <v>62.967167791294578</v>
      </c>
      <c r="Q191" s="67">
        <f t="shared" si="1487"/>
        <v>49.905620474150545</v>
      </c>
      <c r="R191" s="67">
        <f t="shared" si="1487"/>
        <v>49.717162236112053</v>
      </c>
      <c r="S191" s="67">
        <f t="shared" si="1487"/>
        <v>55.098690045398676</v>
      </c>
      <c r="T191" s="67">
        <f t="shared" si="1487"/>
        <v>77.766323024054984</v>
      </c>
      <c r="U191" s="67">
        <f t="shared" si="1487"/>
        <v>79.352813837526313</v>
      </c>
      <c r="V191" s="67">
        <f t="shared" si="1487"/>
        <v>89.377990281520141</v>
      </c>
      <c r="W191" s="67">
        <f t="shared" si="1487"/>
        <v>64.810153639802493</v>
      </c>
      <c r="X191" s="67">
        <f t="shared" si="1487"/>
        <v>42.940998750113813</v>
      </c>
      <c r="Y191" s="67">
        <f t="shared" si="1487"/>
        <v>76.118932794797686</v>
      </c>
      <c r="Z191" s="67">
        <f t="shared" si="1487"/>
        <v>62.990883981879591</v>
      </c>
      <c r="AA191" s="67">
        <f t="shared" ref="AA191" si="1488">AA161/AA16*365</f>
        <v>67.080516373350548</v>
      </c>
      <c r="AB191" s="18">
        <f t="shared" si="1487"/>
        <v>67.080516373350548</v>
      </c>
      <c r="AC191" s="18">
        <f t="shared" si="1487"/>
        <v>67.080516373350548</v>
      </c>
      <c r="AD191" s="18">
        <f t="shared" si="1487"/>
        <v>67.080516373350562</v>
      </c>
      <c r="AE191" s="18">
        <f t="shared" si="1487"/>
        <v>67.080516373350548</v>
      </c>
      <c r="AI191" s="67" t="e">
        <f>AJ161/AI16*90</f>
        <v>#DIV/0!</v>
      </c>
      <c r="AJ191" s="67" t="e">
        <f>AJ161/AJ16*90</f>
        <v>#DIV/0!</v>
      </c>
      <c r="AK191" s="67" t="e">
        <f t="shared" ref="AK191:CE191" si="1489">+AJ191</f>
        <v>#DIV/0!</v>
      </c>
      <c r="AL191" s="67" t="e">
        <f>AL161/AL16*90</f>
        <v>#DIV/0!</v>
      </c>
      <c r="AM191" s="67" t="e">
        <f t="shared" ref="AM191" si="1490">+AL191</f>
        <v>#DIV/0!</v>
      </c>
      <c r="AN191" s="67" t="e">
        <f>AN161/AN16*90</f>
        <v>#DIV/0!</v>
      </c>
      <c r="AO191" s="67" t="e">
        <f t="shared" ref="AO191" si="1491">+AN191</f>
        <v>#DIV/0!</v>
      </c>
      <c r="AP191" s="67" t="e">
        <f>AP161/AP16*90</f>
        <v>#DIV/0!</v>
      </c>
      <c r="AQ191" s="67" t="e">
        <f t="shared" ref="AQ191" si="1492">+AP191</f>
        <v>#DIV/0!</v>
      </c>
      <c r="AR191" s="67" t="e">
        <f>AR161/AR16*90</f>
        <v>#DIV/0!</v>
      </c>
      <c r="AS191" s="67" t="e">
        <f t="shared" ref="AS191" si="1493">+AR191</f>
        <v>#DIV/0!</v>
      </c>
      <c r="AT191" s="67" t="e">
        <f>AT161/AT16*90</f>
        <v>#DIV/0!</v>
      </c>
      <c r="AU191" s="67" t="e">
        <f t="shared" ref="AU191" si="1494">+AT191</f>
        <v>#DIV/0!</v>
      </c>
      <c r="AV191" s="67" t="e">
        <f>AV161/AV16*90</f>
        <v>#DIV/0!</v>
      </c>
      <c r="AW191" s="67" t="e">
        <f t="shared" ref="AW191" si="1495">+AV191</f>
        <v>#DIV/0!</v>
      </c>
      <c r="AX191" s="67">
        <f>AX161/AX16*90</f>
        <v>45.372712539396858</v>
      </c>
      <c r="AY191" s="67">
        <f t="shared" ref="AY191" si="1496">+AX191</f>
        <v>45.372712539396858</v>
      </c>
      <c r="AZ191" s="67">
        <f>AZ161/AZ16*90</f>
        <v>0</v>
      </c>
      <c r="BA191" s="67">
        <f t="shared" ref="BA191" si="1497">+AZ191</f>
        <v>0</v>
      </c>
      <c r="BB191" s="67">
        <f>BB161/BB16*90</f>
        <v>49.339491329768826</v>
      </c>
      <c r="BC191" s="67">
        <f t="shared" ref="BC191" si="1498">+BB191</f>
        <v>49.339491329768826</v>
      </c>
      <c r="BD191" s="67">
        <f>BD161/BD16*90</f>
        <v>60.819386940457839</v>
      </c>
      <c r="BE191" s="67">
        <f t="shared" ref="BE191" si="1499">+BD191</f>
        <v>60.819386940457839</v>
      </c>
      <c r="BF191" s="67">
        <f>BF161/BF16*90</f>
        <v>50.173907611023843</v>
      </c>
      <c r="BG191" s="67">
        <f t="shared" ref="BG191" si="1500">+BF191</f>
        <v>50.173907611023843</v>
      </c>
      <c r="BH191" s="67">
        <f>BH161/BH16*90</f>
        <v>68.27232224056192</v>
      </c>
      <c r="BI191" s="67">
        <f t="shared" ref="BI191" si="1501">+BH191</f>
        <v>68.27232224056192</v>
      </c>
      <c r="BJ191" s="67">
        <f>BJ161/BJ16*90</f>
        <v>69.192031626626957</v>
      </c>
      <c r="BK191" s="67">
        <f t="shared" ref="BK191" si="1502">+BJ191</f>
        <v>69.192031626626957</v>
      </c>
      <c r="BL191" s="67">
        <f>BL161/BL16*90</f>
        <v>82.677409393335395</v>
      </c>
      <c r="BM191" s="67">
        <f t="shared" ref="BM191" si="1503">+BL191</f>
        <v>82.677409393335395</v>
      </c>
      <c r="BN191" s="67">
        <f>BN161/BN16*90</f>
        <v>66.027957194270329</v>
      </c>
      <c r="BO191" s="67">
        <f t="shared" ref="BO191" si="1504">+BN191</f>
        <v>66.027957194270329</v>
      </c>
      <c r="BP191" s="67">
        <f>BP161/BP16*90</f>
        <v>58.141529977872224</v>
      </c>
      <c r="BQ191" s="67">
        <f t="shared" ref="BQ191" si="1505">+BP191</f>
        <v>58.141529977872224</v>
      </c>
      <c r="BR191" s="67">
        <f>BR161/BR16*90</f>
        <v>75.132690714128898</v>
      </c>
      <c r="BS191" s="67">
        <f t="shared" ref="BS191" si="1506">+BR191</f>
        <v>75.132690714128898</v>
      </c>
      <c r="BT191" s="67">
        <f>BT161/BT16*90</f>
        <v>63.374214777146278</v>
      </c>
      <c r="BU191" s="67">
        <f t="shared" ref="BU191" si="1507">+BT191</f>
        <v>63.374214777146278</v>
      </c>
      <c r="BV191" s="67">
        <f>BV161/BV16*90</f>
        <v>55.356288118582569</v>
      </c>
      <c r="BW191" s="67">
        <f t="shared" ref="BW191" si="1508">+BV191</f>
        <v>55.356288118582569</v>
      </c>
      <c r="BX191" s="67">
        <f>BX161/BX16*90</f>
        <v>63.810798977085959</v>
      </c>
      <c r="BY191" s="67">
        <f t="shared" ref="BY191" si="1509">+BX191</f>
        <v>63.810798977085959</v>
      </c>
      <c r="BZ191" s="67">
        <f>BZ161/BZ16*90</f>
        <v>46.316532696067775</v>
      </c>
      <c r="CA191" s="67">
        <f t="shared" ref="CA191" si="1510">+BZ191</f>
        <v>46.316532696067775</v>
      </c>
      <c r="CB191" s="67">
        <f>CB161/CB16*90</f>
        <v>73.264976111723627</v>
      </c>
      <c r="CC191" s="67">
        <f t="shared" ref="CC191" si="1511">+CB191</f>
        <v>73.264976111723627</v>
      </c>
      <c r="CD191" s="67">
        <f>CD161/CD16*90</f>
        <v>65.717560274229513</v>
      </c>
      <c r="CE191" s="114">
        <f t="shared" si="1489"/>
        <v>65.717560274229513</v>
      </c>
      <c r="CF191" s="67">
        <f>CF161/CF16*90</f>
        <v>77.830105417994602</v>
      </c>
      <c r="CG191" s="67">
        <f t="shared" ref="CG191:CI191" si="1512">+CF191</f>
        <v>77.830105417994602</v>
      </c>
      <c r="CH191" s="67">
        <f>CH161/CH16*90</f>
        <v>50.144800325524621</v>
      </c>
      <c r="CI191" s="67">
        <f t="shared" si="1512"/>
        <v>50.144800325524621</v>
      </c>
      <c r="CJ191" s="67">
        <f>CJ161/CJ16*90</f>
        <v>55.212613473483039</v>
      </c>
      <c r="CK191" s="67">
        <f t="shared" ref="CK191" si="1513">+CJ191</f>
        <v>55.212613473483039</v>
      </c>
      <c r="CL191" s="67">
        <f>CL161/CL16*90</f>
        <v>62.204662254287719</v>
      </c>
      <c r="CM191" s="30">
        <f t="shared" ref="CM191" si="1514">+CL191</f>
        <v>62.204662254287719</v>
      </c>
      <c r="CN191" s="30">
        <f t="shared" ref="CN191" si="1515">+CM191</f>
        <v>62.204662254287719</v>
      </c>
      <c r="CO191" s="30">
        <f t="shared" ref="CO191" si="1516">+CN191</f>
        <v>62.204662254287719</v>
      </c>
      <c r="CP191" s="30">
        <f t="shared" ref="CP191" si="1517">+CO191</f>
        <v>62.204662254287719</v>
      </c>
      <c r="CQ191" s="30">
        <f t="shared" ref="CQ191" si="1518">+CP191</f>
        <v>62.204662254287719</v>
      </c>
      <c r="CR191" s="30">
        <f t="shared" ref="CR191" si="1519">+CQ191</f>
        <v>62.204662254287719</v>
      </c>
      <c r="CS191" s="30">
        <f t="shared" ref="CS191" si="1520">+CR191</f>
        <v>62.204662254287719</v>
      </c>
      <c r="CT191" s="30">
        <f t="shared" ref="CT191" si="1521">+CS191</f>
        <v>62.204662254287719</v>
      </c>
      <c r="CU191" s="30">
        <f t="shared" ref="CU191" si="1522">+CT191</f>
        <v>62.204662254287719</v>
      </c>
      <c r="CV191" s="30">
        <f t="shared" ref="CV191" si="1523">+CU191</f>
        <v>62.204662254287719</v>
      </c>
      <c r="CW191" s="30">
        <f t="shared" ref="CW191" si="1524">+CV191</f>
        <v>62.204662254287719</v>
      </c>
      <c r="CX191" s="30">
        <f t="shared" ref="CX191" si="1525">+CW191</f>
        <v>62.204662254287719</v>
      </c>
      <c r="CY191" s="30">
        <f t="shared" ref="CY191" si="1526">+CX191</f>
        <v>62.204662254287719</v>
      </c>
      <c r="CZ191" s="30">
        <f t="shared" ref="CZ191" si="1527">+CY191</f>
        <v>62.204662254287719</v>
      </c>
      <c r="DA191" s="30">
        <f t="shared" ref="DA191" si="1528">+CZ191</f>
        <v>62.204662254287719</v>
      </c>
      <c r="DB191" s="30">
        <f t="shared" ref="DB191" si="1529">+DA191</f>
        <v>62.204662254287719</v>
      </c>
      <c r="DE191" s="139"/>
      <c r="DF191" s="62">
        <v>67.080516373350548</v>
      </c>
    </row>
    <row r="192" spans="1:110" s="62" customFormat="1" outlineLevel="1" x14ac:dyDescent="0.2">
      <c r="A192" s="68" t="s">
        <v>466</v>
      </c>
      <c r="B192" s="67" t="e">
        <f>B193-B191</f>
        <v>#DIV/0!</v>
      </c>
      <c r="C192" s="67" t="e">
        <f t="shared" ref="C192:V192" si="1530">C193-C191</f>
        <v>#DIV/0!</v>
      </c>
      <c r="D192" s="67" t="e">
        <f t="shared" si="1530"/>
        <v>#DIV/0!</v>
      </c>
      <c r="E192" s="67" t="e">
        <f t="shared" si="1530"/>
        <v>#DIV/0!</v>
      </c>
      <c r="F192" s="67" t="e">
        <f t="shared" si="1530"/>
        <v>#DIV/0!</v>
      </c>
      <c r="G192" s="67" t="e">
        <f t="shared" si="1530"/>
        <v>#DIV/0!</v>
      </c>
      <c r="H192" s="67" t="e">
        <f t="shared" si="1530"/>
        <v>#DIV/0!</v>
      </c>
      <c r="I192" s="67" t="e">
        <f t="shared" si="1530"/>
        <v>#DIV/0!</v>
      </c>
      <c r="J192" s="67" t="e">
        <f t="shared" si="1530"/>
        <v>#DIV/0!</v>
      </c>
      <c r="K192" s="67" t="e">
        <f t="shared" si="1530"/>
        <v>#DIV/0!</v>
      </c>
      <c r="L192" s="67" t="e">
        <f t="shared" si="1530"/>
        <v>#DIV/0!</v>
      </c>
      <c r="M192" s="67">
        <f t="shared" si="1530"/>
        <v>17.32663869895066</v>
      </c>
      <c r="N192" s="67">
        <f t="shared" si="1530"/>
        <v>8.773635304245289</v>
      </c>
      <c r="O192" s="67">
        <f t="shared" si="1530"/>
        <v>41.54825141590446</v>
      </c>
      <c r="P192" s="67">
        <f t="shared" si="1530"/>
        <v>28.381316875995928</v>
      </c>
      <c r="Q192" s="67">
        <f t="shared" si="1530"/>
        <v>18.422262789441767</v>
      </c>
      <c r="R192" s="67">
        <f t="shared" si="1530"/>
        <v>41.21872652467011</v>
      </c>
      <c r="S192" s="67">
        <f t="shared" si="1530"/>
        <v>42.665068634506561</v>
      </c>
      <c r="T192" s="67">
        <f t="shared" si="1530"/>
        <v>39.580859420676859</v>
      </c>
      <c r="U192" s="67">
        <f t="shared" si="1530"/>
        <v>39.706697696099909</v>
      </c>
      <c r="V192" s="67">
        <f t="shared" si="1530"/>
        <v>37.832226379502686</v>
      </c>
      <c r="W192" s="67">
        <f t="shared" ref="W192" si="1531">W193-W191</f>
        <v>68.885701144953899</v>
      </c>
      <c r="X192" s="67">
        <f t="shared" ref="X192:Y192" si="1532">X193-X191</f>
        <v>51.160001986574066</v>
      </c>
      <c r="Y192" s="67">
        <f t="shared" si="1532"/>
        <v>47.509527200877642</v>
      </c>
      <c r="Z192" s="67">
        <f t="shared" ref="Z192:AA192" si="1533">Z193-Z191</f>
        <v>68.978530633998076</v>
      </c>
      <c r="AA192" s="67">
        <f t="shared" ref="AA192" si="1534">AA193-AA191</f>
        <v>75.051380469403625</v>
      </c>
      <c r="AB192" s="18">
        <f t="shared" ref="AB192:AD192" si="1535">AB193-AB191</f>
        <v>75.051380469403597</v>
      </c>
      <c r="AC192" s="18">
        <f t="shared" si="1535"/>
        <v>75.051380469403597</v>
      </c>
      <c r="AD192" s="18">
        <f t="shared" si="1535"/>
        <v>75.051380469403611</v>
      </c>
      <c r="AE192" s="18">
        <f t="shared" ref="AE192" si="1536">AE193-AE191</f>
        <v>75.051380469403625</v>
      </c>
      <c r="AI192" s="67" t="e">
        <f t="shared" ref="AI192:AK192" si="1537">AI193-AI191</f>
        <v>#DIV/0!</v>
      </c>
      <c r="AJ192" s="67" t="e">
        <f t="shared" ref="AJ192:AM192" si="1538">AJ193-AJ191</f>
        <v>#DIV/0!</v>
      </c>
      <c r="AK192" s="67" t="e">
        <f t="shared" si="1537"/>
        <v>#DIV/0!</v>
      </c>
      <c r="AL192" s="67" t="e">
        <f t="shared" si="1538"/>
        <v>#DIV/0!</v>
      </c>
      <c r="AM192" s="67" t="e">
        <f t="shared" si="1538"/>
        <v>#DIV/0!</v>
      </c>
      <c r="AN192" s="67" t="e">
        <f t="shared" ref="AN192:AY192" si="1539">AN193-AN191</f>
        <v>#DIV/0!</v>
      </c>
      <c r="AO192" s="67" t="e">
        <f t="shared" si="1539"/>
        <v>#DIV/0!</v>
      </c>
      <c r="AP192" s="67" t="e">
        <f t="shared" si="1539"/>
        <v>#DIV/0!</v>
      </c>
      <c r="AQ192" s="67" t="e">
        <f t="shared" si="1539"/>
        <v>#DIV/0!</v>
      </c>
      <c r="AR192" s="67" t="e">
        <f t="shared" si="1539"/>
        <v>#DIV/0!</v>
      </c>
      <c r="AS192" s="67" t="e">
        <f t="shared" si="1539"/>
        <v>#DIV/0!</v>
      </c>
      <c r="AT192" s="67" t="e">
        <f t="shared" si="1539"/>
        <v>#DIV/0!</v>
      </c>
      <c r="AU192" s="67" t="e">
        <f t="shared" si="1539"/>
        <v>#DIV/0!</v>
      </c>
      <c r="AV192" s="67" t="e">
        <f t="shared" si="1539"/>
        <v>#DIV/0!</v>
      </c>
      <c r="AW192" s="67" t="e">
        <f t="shared" si="1539"/>
        <v>#DIV/0!</v>
      </c>
      <c r="AX192" s="67">
        <f t="shared" si="1539"/>
        <v>9.9047349518279191</v>
      </c>
      <c r="AY192" s="67">
        <f t="shared" si="1539"/>
        <v>10.947094347530488</v>
      </c>
      <c r="AZ192" s="67">
        <f t="shared" ref="AZ192:BC192" si="1540">AZ193-AZ191</f>
        <v>0</v>
      </c>
      <c r="BA192" s="67">
        <f t="shared" si="1540"/>
        <v>0</v>
      </c>
      <c r="BB192" s="67">
        <f t="shared" si="1540"/>
        <v>28.222258802545447</v>
      </c>
      <c r="BC192" s="67">
        <f t="shared" si="1540"/>
        <v>26.283831562440362</v>
      </c>
      <c r="BD192" s="67">
        <f t="shared" ref="BD192:CE192" si="1541">BD193-BD191</f>
        <v>46.992294981526534</v>
      </c>
      <c r="BE192" s="67">
        <f t="shared" si="1541"/>
        <v>52.847946781477923</v>
      </c>
      <c r="BF192" s="67">
        <f t="shared" si="1541"/>
        <v>51.660038554905064</v>
      </c>
      <c r="BG192" s="67">
        <f t="shared" si="1541"/>
        <v>53.694076439147558</v>
      </c>
      <c r="BH192" s="67">
        <f t="shared" si="1541"/>
        <v>41.320100428196724</v>
      </c>
      <c r="BI192" s="67">
        <f t="shared" si="1541"/>
        <v>45.910867171460566</v>
      </c>
      <c r="BJ192" s="67">
        <f t="shared" si="1541"/>
        <v>48.396107443624544</v>
      </c>
      <c r="BK192" s="67">
        <f t="shared" si="1541"/>
        <v>55.831810668943078</v>
      </c>
      <c r="BL192" s="67">
        <f t="shared" si="1541"/>
        <v>28.285154824401332</v>
      </c>
      <c r="BM192" s="67">
        <f t="shared" si="1541"/>
        <v>27.619498622514001</v>
      </c>
      <c r="BN192" s="67">
        <f t="shared" si="1541"/>
        <v>43.908167886169167</v>
      </c>
      <c r="BO192" s="67">
        <f t="shared" si="1541"/>
        <v>37.8162205435586</v>
      </c>
      <c r="BP192" s="67">
        <f t="shared" si="1541"/>
        <v>33.028871483263686</v>
      </c>
      <c r="BQ192" s="67">
        <f t="shared" si="1541"/>
        <v>29.194362086897129</v>
      </c>
      <c r="BR192" s="67">
        <f t="shared" si="1541"/>
        <v>31.802426465901277</v>
      </c>
      <c r="BS192" s="67">
        <f t="shared" si="1541"/>
        <v>35.121470473210792</v>
      </c>
      <c r="BT192" s="67">
        <f t="shared" si="1541"/>
        <v>54.542327250972207</v>
      </c>
      <c r="BU192" s="67">
        <f t="shared" si="1541"/>
        <v>63.805552315408846</v>
      </c>
      <c r="BV192" s="67">
        <f t="shared" si="1541"/>
        <v>58.837334980313457</v>
      </c>
      <c r="BW192" s="67">
        <f t="shared" si="1541"/>
        <v>54.474638387461511</v>
      </c>
      <c r="BX192" s="67">
        <f t="shared" si="1541"/>
        <v>57.787916669310697</v>
      </c>
      <c r="BY192" s="67">
        <f t="shared" si="1541"/>
        <v>58.950168951722553</v>
      </c>
      <c r="BZ192" s="67">
        <f t="shared" si="1541"/>
        <v>55.181620682163803</v>
      </c>
      <c r="CA192" s="67">
        <f t="shared" si="1541"/>
        <v>64.478714492422512</v>
      </c>
      <c r="CB192" s="67">
        <f t="shared" si="1541"/>
        <v>62.695332598309449</v>
      </c>
      <c r="CC192" s="67">
        <f t="shared" si="1541"/>
        <v>64.244719311753101</v>
      </c>
      <c r="CD192" s="67">
        <f t="shared" si="1541"/>
        <v>41.017524849444655</v>
      </c>
      <c r="CE192" s="114">
        <f t="shared" si="1541"/>
        <v>49.419370496522745</v>
      </c>
      <c r="CF192" s="67">
        <f t="shared" ref="CF192:CG192" si="1542">CF193-CF191</f>
        <v>57.058102476097119</v>
      </c>
      <c r="CG192" s="67">
        <f t="shared" si="1542"/>
        <v>49.342426062683302</v>
      </c>
      <c r="CH192" s="67">
        <f t="shared" ref="CH192" si="1543">CH193-CH191</f>
        <v>54.911352671045726</v>
      </c>
      <c r="CI192" s="67">
        <f>CH192</f>
        <v>54.911352671045726</v>
      </c>
      <c r="CJ192" s="67">
        <f t="shared" ref="CJ192:CL192" si="1544">CJ193-CJ191</f>
        <v>70.378718694624041</v>
      </c>
      <c r="CK192" s="67">
        <f t="shared" ref="CK192:DB192" si="1545">CJ192</f>
        <v>70.378718694624041</v>
      </c>
      <c r="CL192" s="67">
        <f t="shared" si="1544"/>
        <v>69.596151404582741</v>
      </c>
      <c r="CM192" s="30">
        <f t="shared" si="1545"/>
        <v>69.596151404582741</v>
      </c>
      <c r="CN192" s="30">
        <f t="shared" si="1545"/>
        <v>69.596151404582741</v>
      </c>
      <c r="CO192" s="30">
        <f t="shared" si="1545"/>
        <v>69.596151404582741</v>
      </c>
      <c r="CP192" s="30">
        <f t="shared" si="1545"/>
        <v>69.596151404582741</v>
      </c>
      <c r="CQ192" s="30">
        <f t="shared" si="1545"/>
        <v>69.596151404582741</v>
      </c>
      <c r="CR192" s="30">
        <f t="shared" si="1545"/>
        <v>69.596151404582741</v>
      </c>
      <c r="CS192" s="30">
        <f t="shared" si="1545"/>
        <v>69.596151404582741</v>
      </c>
      <c r="CT192" s="30">
        <f t="shared" si="1545"/>
        <v>69.596151404582741</v>
      </c>
      <c r="CU192" s="30">
        <f t="shared" si="1545"/>
        <v>69.596151404582741</v>
      </c>
      <c r="CV192" s="30">
        <f t="shared" si="1545"/>
        <v>69.596151404582741</v>
      </c>
      <c r="CW192" s="30">
        <f t="shared" si="1545"/>
        <v>69.596151404582741</v>
      </c>
      <c r="CX192" s="30">
        <f t="shared" si="1545"/>
        <v>69.596151404582741</v>
      </c>
      <c r="CY192" s="30">
        <f t="shared" si="1545"/>
        <v>69.596151404582741</v>
      </c>
      <c r="CZ192" s="30">
        <f t="shared" si="1545"/>
        <v>69.596151404582741</v>
      </c>
      <c r="DA192" s="30">
        <f t="shared" si="1545"/>
        <v>69.596151404582741</v>
      </c>
      <c r="DB192" s="30">
        <f t="shared" si="1545"/>
        <v>69.596151404582741</v>
      </c>
      <c r="DE192" s="139"/>
      <c r="DF192" s="62">
        <v>75.051380469403625</v>
      </c>
    </row>
    <row r="193" spans="1:110" s="7" customFormat="1" outlineLevel="1" x14ac:dyDescent="0.2">
      <c r="A193" s="69" t="s">
        <v>469</v>
      </c>
      <c r="B193" s="70" t="e">
        <f t="shared" ref="B193:AE193" si="1546">B164/B16*365</f>
        <v>#DIV/0!</v>
      </c>
      <c r="C193" s="70" t="e">
        <f t="shared" si="1546"/>
        <v>#DIV/0!</v>
      </c>
      <c r="D193" s="70" t="e">
        <f t="shared" si="1546"/>
        <v>#DIV/0!</v>
      </c>
      <c r="E193" s="70" t="e">
        <f t="shared" si="1546"/>
        <v>#DIV/0!</v>
      </c>
      <c r="F193" s="70" t="e">
        <f t="shared" si="1546"/>
        <v>#DIV/0!</v>
      </c>
      <c r="G193" s="70" t="e">
        <f t="shared" si="1546"/>
        <v>#DIV/0!</v>
      </c>
      <c r="H193" s="70" t="e">
        <f t="shared" si="1546"/>
        <v>#DIV/0!</v>
      </c>
      <c r="I193" s="70" t="e">
        <f t="shared" si="1546"/>
        <v>#DIV/0!</v>
      </c>
      <c r="J193" s="70" t="e">
        <f t="shared" si="1546"/>
        <v>#DIV/0!</v>
      </c>
      <c r="K193" s="70" t="e">
        <f t="shared" si="1546"/>
        <v>#DIV/0!</v>
      </c>
      <c r="L193" s="70" t="e">
        <f t="shared" si="1546"/>
        <v>#DIV/0!</v>
      </c>
      <c r="M193" s="70">
        <f t="shared" si="1546"/>
        <v>95.162278818308934</v>
      </c>
      <c r="N193" s="70">
        <f t="shared" si="1546"/>
        <v>75.576623919439982</v>
      </c>
      <c r="O193" s="70">
        <f t="shared" si="1546"/>
        <v>112.77467516981417</v>
      </c>
      <c r="P193" s="70">
        <f t="shared" si="1546"/>
        <v>91.348484667290506</v>
      </c>
      <c r="Q193" s="70">
        <f t="shared" si="1546"/>
        <v>68.327883263592312</v>
      </c>
      <c r="R193" s="70">
        <f t="shared" si="1546"/>
        <v>90.935888760782163</v>
      </c>
      <c r="S193" s="70">
        <f t="shared" si="1546"/>
        <v>97.763758679905237</v>
      </c>
      <c r="T193" s="70">
        <f t="shared" si="1546"/>
        <v>117.34718244473184</v>
      </c>
      <c r="U193" s="70">
        <f t="shared" si="1546"/>
        <v>119.05951153362622</v>
      </c>
      <c r="V193" s="70">
        <f t="shared" si="1546"/>
        <v>127.21021666102283</v>
      </c>
      <c r="W193" s="70">
        <f t="shared" si="1546"/>
        <v>133.69585478475639</v>
      </c>
      <c r="X193" s="70">
        <f t="shared" si="1546"/>
        <v>94.10100073668788</v>
      </c>
      <c r="Y193" s="70">
        <f t="shared" si="1546"/>
        <v>123.62845999567533</v>
      </c>
      <c r="Z193" s="70">
        <f t="shared" si="1546"/>
        <v>131.96941461587767</v>
      </c>
      <c r="AA193" s="70">
        <f t="shared" ref="AA193" si="1547">AA164/AA16*365</f>
        <v>142.13189684275417</v>
      </c>
      <c r="AB193" s="71">
        <f t="shared" si="1546"/>
        <v>142.13189684275414</v>
      </c>
      <c r="AC193" s="71">
        <f t="shared" si="1546"/>
        <v>142.13189684275414</v>
      </c>
      <c r="AD193" s="71">
        <f t="shared" si="1546"/>
        <v>142.13189684275417</v>
      </c>
      <c r="AE193" s="71">
        <f t="shared" si="1546"/>
        <v>142.13189684275417</v>
      </c>
      <c r="AI193" s="70" t="e">
        <f t="shared" ref="AI193:CD193" si="1548">AI164/AI16*90</f>
        <v>#DIV/0!</v>
      </c>
      <c r="AJ193" s="70" t="e">
        <f t="shared" si="1548"/>
        <v>#DIV/0!</v>
      </c>
      <c r="AK193" s="70" t="e">
        <f>AK164/AK16*90</f>
        <v>#DIV/0!</v>
      </c>
      <c r="AL193" s="70" t="e">
        <f t="shared" si="1548"/>
        <v>#DIV/0!</v>
      </c>
      <c r="AM193" s="70" t="e">
        <f t="shared" si="1548"/>
        <v>#DIV/0!</v>
      </c>
      <c r="AN193" s="70" t="e">
        <f t="shared" si="1548"/>
        <v>#DIV/0!</v>
      </c>
      <c r="AO193" s="70" t="e">
        <f t="shared" si="1548"/>
        <v>#DIV/0!</v>
      </c>
      <c r="AP193" s="70" t="e">
        <f t="shared" si="1548"/>
        <v>#DIV/0!</v>
      </c>
      <c r="AQ193" s="70" t="e">
        <f t="shared" si="1548"/>
        <v>#DIV/0!</v>
      </c>
      <c r="AR193" s="70" t="e">
        <f t="shared" si="1548"/>
        <v>#DIV/0!</v>
      </c>
      <c r="AS193" s="70" t="e">
        <f t="shared" si="1548"/>
        <v>#DIV/0!</v>
      </c>
      <c r="AT193" s="70" t="e">
        <f t="shared" si="1548"/>
        <v>#DIV/0!</v>
      </c>
      <c r="AU193" s="70" t="e">
        <f t="shared" si="1548"/>
        <v>#DIV/0!</v>
      </c>
      <c r="AV193" s="70" t="e">
        <f t="shared" si="1548"/>
        <v>#DIV/0!</v>
      </c>
      <c r="AW193" s="70" t="e">
        <f t="shared" si="1548"/>
        <v>#DIV/0!</v>
      </c>
      <c r="AX193" s="70">
        <f t="shared" si="1548"/>
        <v>55.277447491224777</v>
      </c>
      <c r="AY193" s="70">
        <f t="shared" si="1548"/>
        <v>56.319806886927346</v>
      </c>
      <c r="AZ193" s="70">
        <f t="shared" si="1548"/>
        <v>0</v>
      </c>
      <c r="BA193" s="70">
        <f t="shared" si="1548"/>
        <v>0</v>
      </c>
      <c r="BB193" s="70">
        <f t="shared" si="1548"/>
        <v>77.561750132314273</v>
      </c>
      <c r="BC193" s="70">
        <f t="shared" si="1548"/>
        <v>75.623322892209188</v>
      </c>
      <c r="BD193" s="70">
        <f t="shared" si="1548"/>
        <v>107.81168192198437</v>
      </c>
      <c r="BE193" s="70">
        <f t="shared" si="1548"/>
        <v>113.66733372193576</v>
      </c>
      <c r="BF193" s="70">
        <f t="shared" si="1548"/>
        <v>101.83394616592891</v>
      </c>
      <c r="BG193" s="70">
        <f t="shared" si="1548"/>
        <v>103.8679840501714</v>
      </c>
      <c r="BH193" s="70">
        <f t="shared" si="1548"/>
        <v>109.59242266875864</v>
      </c>
      <c r="BI193" s="70">
        <f t="shared" si="1548"/>
        <v>114.18318941202249</v>
      </c>
      <c r="BJ193" s="70">
        <f t="shared" si="1548"/>
        <v>117.5881390702515</v>
      </c>
      <c r="BK193" s="70">
        <f t="shared" si="1548"/>
        <v>125.02384229557003</v>
      </c>
      <c r="BL193" s="70">
        <f t="shared" si="1548"/>
        <v>110.96256421773673</v>
      </c>
      <c r="BM193" s="70">
        <f t="shared" si="1548"/>
        <v>110.2969080158494</v>
      </c>
      <c r="BN193" s="70">
        <f t="shared" si="1548"/>
        <v>109.9361250804395</v>
      </c>
      <c r="BO193" s="70">
        <f t="shared" si="1548"/>
        <v>103.84417773782893</v>
      </c>
      <c r="BP193" s="70">
        <f t="shared" si="1548"/>
        <v>91.17040146113591</v>
      </c>
      <c r="BQ193" s="70">
        <f t="shared" si="1548"/>
        <v>87.335892064769354</v>
      </c>
      <c r="BR193" s="70">
        <f t="shared" si="1548"/>
        <v>106.93511718003018</v>
      </c>
      <c r="BS193" s="70">
        <f t="shared" si="1548"/>
        <v>110.25416118733969</v>
      </c>
      <c r="BT193" s="70">
        <f t="shared" si="1548"/>
        <v>117.91654202811849</v>
      </c>
      <c r="BU193" s="70">
        <f t="shared" si="1548"/>
        <v>127.17976709255512</v>
      </c>
      <c r="BV193" s="70">
        <f t="shared" si="1548"/>
        <v>114.19362309889603</v>
      </c>
      <c r="BW193" s="70">
        <f t="shared" si="1548"/>
        <v>109.83092650604408</v>
      </c>
      <c r="BX193" s="70">
        <f t="shared" si="1548"/>
        <v>121.59871564639666</v>
      </c>
      <c r="BY193" s="70">
        <f t="shared" si="1548"/>
        <v>122.76096792880851</v>
      </c>
      <c r="BZ193" s="70">
        <f t="shared" si="1548"/>
        <v>101.49815337823158</v>
      </c>
      <c r="CA193" s="70">
        <f t="shared" si="1548"/>
        <v>110.79524718849029</v>
      </c>
      <c r="CB193" s="70">
        <f t="shared" si="1548"/>
        <v>135.96030871003308</v>
      </c>
      <c r="CC193" s="70">
        <f t="shared" si="1548"/>
        <v>137.50969542347673</v>
      </c>
      <c r="CD193" s="70">
        <f t="shared" si="1548"/>
        <v>106.73508512367417</v>
      </c>
      <c r="CE193" s="115">
        <f>CE164/CE18*90</f>
        <v>115.13693077075226</v>
      </c>
      <c r="CF193" s="70">
        <f>CF164/CF16*90</f>
        <v>134.88820789409172</v>
      </c>
      <c r="CG193" s="70">
        <f>CG164/CG18*90</f>
        <v>127.1725314806779</v>
      </c>
      <c r="CH193" s="70">
        <f>CH164/CH16*90</f>
        <v>105.05615299657035</v>
      </c>
      <c r="CI193" s="70">
        <f>CI191+CI192</f>
        <v>105.05615299657035</v>
      </c>
      <c r="CJ193" s="70">
        <f>CJ164/CJ16*90</f>
        <v>125.59133216810707</v>
      </c>
      <c r="CK193" s="70">
        <f t="shared" ref="CK193:DB193" si="1549">CK191+CK192</f>
        <v>125.59133216810707</v>
      </c>
      <c r="CL193" s="70">
        <f>CL164/CL16*90</f>
        <v>131.80081365887045</v>
      </c>
      <c r="CM193" s="50">
        <f t="shared" si="1549"/>
        <v>131.80081365887045</v>
      </c>
      <c r="CN193" s="50">
        <f t="shared" si="1549"/>
        <v>131.80081365887045</v>
      </c>
      <c r="CO193" s="50">
        <f t="shared" si="1549"/>
        <v>131.80081365887045</v>
      </c>
      <c r="CP193" s="50">
        <f t="shared" si="1549"/>
        <v>131.80081365887045</v>
      </c>
      <c r="CQ193" s="50">
        <f t="shared" si="1549"/>
        <v>131.80081365887045</v>
      </c>
      <c r="CR193" s="50">
        <f t="shared" si="1549"/>
        <v>131.80081365887045</v>
      </c>
      <c r="CS193" s="50">
        <f t="shared" si="1549"/>
        <v>131.80081365887045</v>
      </c>
      <c r="CT193" s="50">
        <f t="shared" si="1549"/>
        <v>131.80081365887045</v>
      </c>
      <c r="CU193" s="50">
        <f t="shared" si="1549"/>
        <v>131.80081365887045</v>
      </c>
      <c r="CV193" s="50">
        <f t="shared" si="1549"/>
        <v>131.80081365887045</v>
      </c>
      <c r="CW193" s="50">
        <f t="shared" si="1549"/>
        <v>131.80081365887045</v>
      </c>
      <c r="CX193" s="50">
        <f t="shared" si="1549"/>
        <v>131.80081365887045</v>
      </c>
      <c r="CY193" s="50">
        <f t="shared" si="1549"/>
        <v>131.80081365887045</v>
      </c>
      <c r="CZ193" s="50">
        <f t="shared" si="1549"/>
        <v>131.80081365887045</v>
      </c>
      <c r="DA193" s="50">
        <f t="shared" si="1549"/>
        <v>131.80081365887045</v>
      </c>
      <c r="DB193" s="50">
        <f t="shared" si="1549"/>
        <v>131.80081365887045</v>
      </c>
      <c r="DE193" s="138"/>
      <c r="DF193" s="7">
        <v>142.13189684275417</v>
      </c>
    </row>
    <row r="194" spans="1:110" s="7" customFormat="1" x14ac:dyDescent="0.2">
      <c r="A194" s="69" t="s">
        <v>470</v>
      </c>
      <c r="B194" s="70" t="e">
        <f>B190-B193</f>
        <v>#DIV/0!</v>
      </c>
      <c r="C194" s="70" t="e">
        <f t="shared" ref="C194:V194" si="1550">C190-C193</f>
        <v>#DIV/0!</v>
      </c>
      <c r="D194" s="70" t="e">
        <f t="shared" si="1550"/>
        <v>#DIV/0!</v>
      </c>
      <c r="E194" s="70" t="e">
        <f t="shared" si="1550"/>
        <v>#DIV/0!</v>
      </c>
      <c r="F194" s="70" t="e">
        <f t="shared" si="1550"/>
        <v>#DIV/0!</v>
      </c>
      <c r="G194" s="70" t="e">
        <f t="shared" si="1550"/>
        <v>#DIV/0!</v>
      </c>
      <c r="H194" s="70" t="e">
        <f t="shared" si="1550"/>
        <v>#DIV/0!</v>
      </c>
      <c r="I194" s="70" t="e">
        <f t="shared" si="1550"/>
        <v>#DIV/0!</v>
      </c>
      <c r="J194" s="70" t="e">
        <f t="shared" si="1550"/>
        <v>#DIV/0!</v>
      </c>
      <c r="K194" s="70" t="e">
        <f t="shared" si="1550"/>
        <v>#DIV/0!</v>
      </c>
      <c r="L194" s="70" t="e">
        <f t="shared" si="1550"/>
        <v>#DIV/0!</v>
      </c>
      <c r="M194" s="70">
        <f t="shared" si="1550"/>
        <v>126.04173135577359</v>
      </c>
      <c r="N194" s="70">
        <f t="shared" si="1550"/>
        <v>109.18700227806823</v>
      </c>
      <c r="O194" s="70">
        <f t="shared" si="1550"/>
        <v>85.413593369054809</v>
      </c>
      <c r="P194" s="70">
        <f t="shared" si="1550"/>
        <v>156.81705388347916</v>
      </c>
      <c r="Q194" s="70">
        <f t="shared" si="1550"/>
        <v>141.72630268814891</v>
      </c>
      <c r="R194" s="70">
        <f t="shared" si="1550"/>
        <v>136.36311064332301</v>
      </c>
      <c r="S194" s="70">
        <f t="shared" si="1550"/>
        <v>133.93522387352752</v>
      </c>
      <c r="T194" s="70">
        <f t="shared" si="1550"/>
        <v>126.73958818735061</v>
      </c>
      <c r="U194" s="70">
        <f t="shared" si="1550"/>
        <v>122.97282217168365</v>
      </c>
      <c r="V194" s="70">
        <f t="shared" si="1550"/>
        <v>112.86427160221956</v>
      </c>
      <c r="W194" s="70">
        <f t="shared" ref="W194" si="1551">W190-W193</f>
        <v>117.4188087698077</v>
      </c>
      <c r="X194" s="70">
        <f t="shared" ref="X194:Y194" si="1552">X190-X193</f>
        <v>123.58838185264587</v>
      </c>
      <c r="Y194" s="70">
        <f t="shared" si="1552"/>
        <v>152.14373426598399</v>
      </c>
      <c r="Z194" s="70">
        <f t="shared" ref="Z194:AA194" si="1553">Z190-Z193</f>
        <v>155.65055383906264</v>
      </c>
      <c r="AA194" s="70">
        <f t="shared" ref="AA194" si="1554">AA190-AA193</f>
        <v>122.75816465822194</v>
      </c>
      <c r="AB194" s="71">
        <f t="shared" ref="AB194:AD194" si="1555">AB190-AB193</f>
        <v>135.22556473748335</v>
      </c>
      <c r="AC194" s="71">
        <f t="shared" si="1555"/>
        <v>135.22556473748335</v>
      </c>
      <c r="AD194" s="71">
        <f t="shared" si="1555"/>
        <v>135.22556473748332</v>
      </c>
      <c r="AE194" s="71">
        <f t="shared" ref="AE194" si="1556">AE190-AE193</f>
        <v>135.22556473748338</v>
      </c>
      <c r="AI194" s="70" t="e">
        <f t="shared" ref="AI194:AK194" si="1557">AI190-AI193</f>
        <v>#DIV/0!</v>
      </c>
      <c r="AJ194" s="70" t="e">
        <f t="shared" ref="AJ194:AM194" si="1558">AJ190-AJ193</f>
        <v>#DIV/0!</v>
      </c>
      <c r="AK194" s="70" t="e">
        <f t="shared" si="1557"/>
        <v>#DIV/0!</v>
      </c>
      <c r="AL194" s="70" t="e">
        <f t="shared" si="1558"/>
        <v>#DIV/0!</v>
      </c>
      <c r="AM194" s="70" t="e">
        <f t="shared" si="1558"/>
        <v>#DIV/0!</v>
      </c>
      <c r="AN194" s="70" t="e">
        <f t="shared" ref="AN194:AY194" si="1559">AN190-AN193</f>
        <v>#DIV/0!</v>
      </c>
      <c r="AO194" s="70" t="e">
        <f t="shared" si="1559"/>
        <v>#DIV/0!</v>
      </c>
      <c r="AP194" s="70" t="e">
        <f t="shared" si="1559"/>
        <v>#DIV/0!</v>
      </c>
      <c r="AQ194" s="70" t="e">
        <f t="shared" si="1559"/>
        <v>#DIV/0!</v>
      </c>
      <c r="AR194" s="70" t="e">
        <f t="shared" si="1559"/>
        <v>#DIV/0!</v>
      </c>
      <c r="AS194" s="70" t="e">
        <f t="shared" si="1559"/>
        <v>#DIV/0!</v>
      </c>
      <c r="AT194" s="70" t="e">
        <f t="shared" si="1559"/>
        <v>#DIV/0!</v>
      </c>
      <c r="AU194" s="70" t="e">
        <f t="shared" si="1559"/>
        <v>#DIV/0!</v>
      </c>
      <c r="AV194" s="70" t="e">
        <f t="shared" si="1559"/>
        <v>#DIV/0!</v>
      </c>
      <c r="AW194" s="70" t="e">
        <f t="shared" si="1559"/>
        <v>#DIV/0!</v>
      </c>
      <c r="AX194" s="70">
        <f t="shared" si="1559"/>
        <v>135.69759913347286</v>
      </c>
      <c r="AY194" s="70">
        <f t="shared" si="1559"/>
        <v>135.51726565117974</v>
      </c>
      <c r="AZ194" s="70">
        <f t="shared" ref="AZ194:BC194" si="1560">AZ190-AZ193</f>
        <v>0</v>
      </c>
      <c r="BA194" s="70">
        <f t="shared" si="1560"/>
        <v>0</v>
      </c>
      <c r="BB194" s="70">
        <f t="shared" si="1560"/>
        <v>148.01059764376413</v>
      </c>
      <c r="BC194" s="70">
        <f t="shared" si="1560"/>
        <v>144.12969077086797</v>
      </c>
      <c r="BD194" s="70">
        <f t="shared" ref="BD194:CE194" si="1561">BD190-BD193</f>
        <v>127.50938526948995</v>
      </c>
      <c r="BE194" s="70">
        <f t="shared" si="1561"/>
        <v>125.02458319128007</v>
      </c>
      <c r="BF194" s="70">
        <f t="shared" si="1561"/>
        <v>109.15552263315719</v>
      </c>
      <c r="BG194" s="70">
        <f t="shared" si="1561"/>
        <v>108.12097029940122</v>
      </c>
      <c r="BH194" s="70">
        <f t="shared" si="1561"/>
        <v>120.44432847567745</v>
      </c>
      <c r="BI194" s="70">
        <f t="shared" si="1561"/>
        <v>118.6806821051337</v>
      </c>
      <c r="BJ194" s="70">
        <f t="shared" si="1561"/>
        <v>99.586325356878021</v>
      </c>
      <c r="BK194" s="70">
        <f t="shared" si="1561"/>
        <v>95.215878384614399</v>
      </c>
      <c r="BL194" s="70">
        <f t="shared" si="1561"/>
        <v>119.27128660060076</v>
      </c>
      <c r="BM194" s="70">
        <f t="shared" si="1561"/>
        <v>119.31027181167968</v>
      </c>
      <c r="BN194" s="70">
        <f t="shared" si="1561"/>
        <v>96.054412851252465</v>
      </c>
      <c r="BO194" s="70">
        <f t="shared" si="1561"/>
        <v>98.813563969420571</v>
      </c>
      <c r="BP194" s="70">
        <f t="shared" si="1561"/>
        <v>91.720434828421915</v>
      </c>
      <c r="BQ194" s="70">
        <f t="shared" si="1561"/>
        <v>92.983068658942983</v>
      </c>
      <c r="BR194" s="70">
        <f t="shared" si="1561"/>
        <v>98.391704971209606</v>
      </c>
      <c r="BS194" s="70">
        <f t="shared" si="1561"/>
        <v>97.33236766718494</v>
      </c>
      <c r="BT194" s="70">
        <f t="shared" si="1561"/>
        <v>135.97442416990725</v>
      </c>
      <c r="BU194" s="70">
        <f t="shared" si="1561"/>
        <v>132.43825842767396</v>
      </c>
      <c r="BV194" s="70">
        <f t="shared" si="1561"/>
        <v>109.01089954591076</v>
      </c>
      <c r="BW194" s="70">
        <f t="shared" si="1561"/>
        <v>111.41036393750687</v>
      </c>
      <c r="BX194" s="70">
        <f t="shared" si="1561"/>
        <v>130.12589711210808</v>
      </c>
      <c r="BY194" s="70">
        <f t="shared" si="1561"/>
        <v>129.43914299876116</v>
      </c>
      <c r="BZ194" s="70">
        <f t="shared" si="1561"/>
        <v>141.99978275038018</v>
      </c>
      <c r="CA194" s="70">
        <f t="shared" si="1561"/>
        <v>137.87265800451016</v>
      </c>
      <c r="CB194" s="70">
        <f t="shared" si="1561"/>
        <v>149.13928702682836</v>
      </c>
      <c r="CC194" s="70">
        <f t="shared" si="1561"/>
        <v>148.43364643387497</v>
      </c>
      <c r="CD194" s="70">
        <f t="shared" si="1561"/>
        <v>142.50140657233948</v>
      </c>
      <c r="CE194" s="115">
        <f t="shared" si="1561"/>
        <v>140.22733928618487</v>
      </c>
      <c r="CF194" s="70">
        <f t="shared" ref="CF194:CG194" si="1562">CF190-CF193</f>
        <v>186.64868840402053</v>
      </c>
      <c r="CG194" s="70">
        <f t="shared" si="1562"/>
        <v>189.24504633710364</v>
      </c>
      <c r="CH194" s="70">
        <f t="shared" ref="CH194:CI194" si="1563">CH190-CH193</f>
        <v>123.90786490728365</v>
      </c>
      <c r="CI194" s="70">
        <f t="shared" si="1563"/>
        <v>123.90786490728362</v>
      </c>
      <c r="CJ194" s="70">
        <f t="shared" ref="CJ194:DB194" si="1564">CJ190-CJ193</f>
        <v>118.55776034642295</v>
      </c>
      <c r="CK194" s="70">
        <f t="shared" si="1564"/>
        <v>118.55776034642295</v>
      </c>
      <c r="CL194" s="70">
        <f t="shared" ref="CL194" si="1565">CL190-CL193</f>
        <v>125.39647929696346</v>
      </c>
      <c r="CM194" s="50">
        <f t="shared" si="1564"/>
        <v>125.39647929696346</v>
      </c>
      <c r="CN194" s="50">
        <f t="shared" si="1564"/>
        <v>125.39647929696346</v>
      </c>
      <c r="CO194" s="50">
        <f t="shared" si="1564"/>
        <v>125.39647929696346</v>
      </c>
      <c r="CP194" s="50">
        <f t="shared" si="1564"/>
        <v>125.39647929696346</v>
      </c>
      <c r="CQ194" s="50">
        <f t="shared" si="1564"/>
        <v>125.39647929696346</v>
      </c>
      <c r="CR194" s="50">
        <f t="shared" si="1564"/>
        <v>125.39647929696346</v>
      </c>
      <c r="CS194" s="50">
        <f t="shared" si="1564"/>
        <v>125.39647929696346</v>
      </c>
      <c r="CT194" s="50">
        <f t="shared" si="1564"/>
        <v>125.39647929696346</v>
      </c>
      <c r="CU194" s="50">
        <f t="shared" si="1564"/>
        <v>125.39647929696346</v>
      </c>
      <c r="CV194" s="50">
        <f t="shared" si="1564"/>
        <v>125.39647929696346</v>
      </c>
      <c r="CW194" s="50">
        <f t="shared" si="1564"/>
        <v>125.39647929696346</v>
      </c>
      <c r="CX194" s="50">
        <f t="shared" si="1564"/>
        <v>125.39647929696346</v>
      </c>
      <c r="CY194" s="50">
        <f t="shared" si="1564"/>
        <v>125.39647929696346</v>
      </c>
      <c r="CZ194" s="50">
        <f t="shared" si="1564"/>
        <v>125.39647929696346</v>
      </c>
      <c r="DA194" s="50">
        <f t="shared" si="1564"/>
        <v>125.39647929696346</v>
      </c>
      <c r="DB194" s="50">
        <f t="shared" si="1564"/>
        <v>125.39647929696346</v>
      </c>
      <c r="DE194" s="138"/>
      <c r="DF194" s="7">
        <v>135.22556473748332</v>
      </c>
    </row>
    <row r="195" spans="1:110" s="7" customFormat="1" x14ac:dyDescent="0.2">
      <c r="A195" s="69" t="s">
        <v>86</v>
      </c>
      <c r="AB195" s="77"/>
      <c r="AC195" s="77"/>
      <c r="AD195" s="77"/>
      <c r="AE195" s="77"/>
      <c r="CE195" s="115"/>
      <c r="CG195" s="115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E195" s="138"/>
    </row>
    <row r="196" spans="1:110" s="86" customFormat="1" x14ac:dyDescent="0.2">
      <c r="A196" s="86" t="s">
        <v>440</v>
      </c>
      <c r="C196" s="86" t="e">
        <f t="shared" ref="C196:Y196" si="1566">C18/B18-1</f>
        <v>#DIV/0!</v>
      </c>
      <c r="D196" s="86" t="e">
        <f t="shared" si="1566"/>
        <v>#DIV/0!</v>
      </c>
      <c r="E196" s="86" t="e">
        <f t="shared" si="1566"/>
        <v>#DIV/0!</v>
      </c>
      <c r="F196" s="86" t="e">
        <f t="shared" si="1566"/>
        <v>#DIV/0!</v>
      </c>
      <c r="G196" s="86" t="e">
        <f t="shared" si="1566"/>
        <v>#DIV/0!</v>
      </c>
      <c r="H196" s="86" t="e">
        <f t="shared" si="1566"/>
        <v>#DIV/0!</v>
      </c>
      <c r="I196" s="86" t="e">
        <f t="shared" si="1566"/>
        <v>#DIV/0!</v>
      </c>
      <c r="J196" s="86" t="e">
        <f t="shared" si="1566"/>
        <v>#DIV/0!</v>
      </c>
      <c r="K196" s="86" t="e">
        <f t="shared" si="1566"/>
        <v>#DIV/0!</v>
      </c>
      <c r="L196" s="86" t="e">
        <f t="shared" si="1566"/>
        <v>#DIV/0!</v>
      </c>
      <c r="M196" s="86" t="e">
        <f t="shared" si="1566"/>
        <v>#DIV/0!</v>
      </c>
      <c r="N196" s="86">
        <f t="shared" si="1566"/>
        <v>0.59414756011519421</v>
      </c>
      <c r="O196" s="86">
        <f t="shared" si="1566"/>
        <v>0.61405601306034252</v>
      </c>
      <c r="P196" s="86">
        <f t="shared" si="1566"/>
        <v>0.14389113895890127</v>
      </c>
      <c r="Q196" s="86">
        <f t="shared" si="1566"/>
        <v>0.3399603494674317</v>
      </c>
      <c r="R196" s="86">
        <f t="shared" si="1566"/>
        <v>7.1484345553331385E-2</v>
      </c>
      <c r="S196" s="86">
        <f t="shared" si="1566"/>
        <v>7.9554374117618787E-2</v>
      </c>
      <c r="T196" s="86">
        <f t="shared" si="1566"/>
        <v>0.11465297130101115</v>
      </c>
      <c r="U196" s="86">
        <f t="shared" si="1566"/>
        <v>0.23552521122065539</v>
      </c>
      <c r="V196" s="86">
        <f t="shared" si="1566"/>
        <v>0.69985379910443135</v>
      </c>
      <c r="W196" s="86">
        <f t="shared" si="1566"/>
        <v>2.5357795039378628E-2</v>
      </c>
      <c r="X196" s="86">
        <f t="shared" si="1566"/>
        <v>0.22388092965959361</v>
      </c>
      <c r="Y196" s="86">
        <f t="shared" si="1566"/>
        <v>-0.16550148579185675</v>
      </c>
      <c r="Z196" s="86">
        <f>Z18/Y18-1</f>
        <v>0.10179474411951994</v>
      </c>
      <c r="AA196" s="86">
        <f>AA18/Z18-1</f>
        <v>0.2266743008592067</v>
      </c>
      <c r="AB196" s="87">
        <f t="shared" ref="AB196:AE196" si="1567">AB18/AA18-1</f>
        <v>0.15000000000000013</v>
      </c>
      <c r="AC196" s="87">
        <f t="shared" si="1567"/>
        <v>0.14999999999999991</v>
      </c>
      <c r="AD196" s="87">
        <f t="shared" si="1567"/>
        <v>0.14999999999999969</v>
      </c>
      <c r="AE196" s="87">
        <f t="shared" si="1567"/>
        <v>0.14999999999999991</v>
      </c>
      <c r="AN196" s="86" t="e">
        <f t="shared" ref="AN196:CI196" si="1568">+(AN18+AM18)/(AJ18+AI18)-1</f>
        <v>#DIV/0!</v>
      </c>
      <c r="AO196" s="86" t="e">
        <f t="shared" si="1568"/>
        <v>#DIV/0!</v>
      </c>
      <c r="AP196" s="86" t="e">
        <f t="shared" si="1568"/>
        <v>#DIV/0!</v>
      </c>
      <c r="AQ196" s="86" t="e">
        <f t="shared" si="1568"/>
        <v>#DIV/0!</v>
      </c>
      <c r="AR196" s="86" t="e">
        <f t="shared" si="1568"/>
        <v>#DIV/0!</v>
      </c>
      <c r="AS196" s="86" t="e">
        <f t="shared" si="1568"/>
        <v>#DIV/0!</v>
      </c>
      <c r="AT196" s="86" t="e">
        <f t="shared" si="1568"/>
        <v>#DIV/0!</v>
      </c>
      <c r="AU196" s="86" t="e">
        <f t="shared" si="1568"/>
        <v>#DIV/0!</v>
      </c>
      <c r="AV196" s="86" t="e">
        <f t="shared" si="1568"/>
        <v>#DIV/0!</v>
      </c>
      <c r="AW196" s="86" t="e">
        <f t="shared" si="1568"/>
        <v>#DIV/0!</v>
      </c>
      <c r="AX196" s="86" t="e">
        <f t="shared" si="1568"/>
        <v>#DIV/0!</v>
      </c>
      <c r="AY196" s="86" t="e">
        <f t="shared" si="1568"/>
        <v>#DIV/0!</v>
      </c>
      <c r="AZ196" s="86" t="e">
        <f t="shared" si="1568"/>
        <v>#DIV/0!</v>
      </c>
      <c r="BA196" s="86">
        <f t="shared" si="1568"/>
        <v>1.2709187776884145</v>
      </c>
      <c r="BB196" s="86">
        <f t="shared" si="1568"/>
        <v>4.8440451913710936E-2</v>
      </c>
      <c r="BC196" s="86">
        <f t="shared" si="1568"/>
        <v>6.5286515413020663E-2</v>
      </c>
      <c r="BD196" s="86">
        <f t="shared" si="1568"/>
        <v>9.7967516539704036E-2</v>
      </c>
      <c r="BE196" s="86">
        <f t="shared" si="1568"/>
        <v>-4.4954878802820897E-3</v>
      </c>
      <c r="BF196" s="86">
        <f t="shared" si="1568"/>
        <v>6.2122403006569016E-2</v>
      </c>
      <c r="BG196" s="86">
        <f t="shared" si="1568"/>
        <v>0.15572576066614818</v>
      </c>
      <c r="BH196" s="86">
        <f t="shared" si="1568"/>
        <v>0.1084553672127504</v>
      </c>
      <c r="BI196" s="86">
        <f t="shared" si="1568"/>
        <v>9.8469742251171999E-2</v>
      </c>
      <c r="BJ196" s="86">
        <f t="shared" si="1568"/>
        <v>0.12071834183209496</v>
      </c>
      <c r="BK196" s="86">
        <f t="shared" si="1568"/>
        <v>7.8665862487116156E-2</v>
      </c>
      <c r="BL196" s="86">
        <f t="shared" si="1568"/>
        <v>0.12036923688323764</v>
      </c>
      <c r="BM196" s="86">
        <f t="shared" si="1568"/>
        <v>0.29011449910444154</v>
      </c>
      <c r="BN196" s="86">
        <f t="shared" si="1568"/>
        <v>0.34699103053533431</v>
      </c>
      <c r="BO196" s="86">
        <f t="shared" si="1568"/>
        <v>0.52940253733772669</v>
      </c>
      <c r="BP196" s="86">
        <f t="shared" si="1568"/>
        <v>0.67314072162091532</v>
      </c>
      <c r="BQ196" s="86">
        <f t="shared" si="1568"/>
        <v>0.68324768898967436</v>
      </c>
      <c r="BR196" s="86">
        <f t="shared" si="1568"/>
        <v>0.7213605910513603</v>
      </c>
      <c r="BS196" s="86">
        <f t="shared" si="1568"/>
        <v>0.48358938162407794</v>
      </c>
      <c r="BT196" s="86">
        <f t="shared" si="1568"/>
        <v>0.1745348198905905</v>
      </c>
      <c r="BU196" s="86">
        <f t="shared" si="1568"/>
        <v>-8.0345739640582559E-2</v>
      </c>
      <c r="BV196" s="86">
        <f t="shared" si="1568"/>
        <v>-9.1380746940211477E-2</v>
      </c>
      <c r="BW196" s="86">
        <f t="shared" si="1568"/>
        <v>0.1015971424642157</v>
      </c>
      <c r="BX196" s="86">
        <f t="shared" si="1568"/>
        <v>0.25497788056309867</v>
      </c>
      <c r="BY196" s="86">
        <f t="shared" si="1568"/>
        <v>0.39801723828978974</v>
      </c>
      <c r="BZ196" s="86">
        <f t="shared" si="1568"/>
        <v>0.19242416214607982</v>
      </c>
      <c r="CA196" s="86">
        <f t="shared" si="1568"/>
        <v>-0.13532764013401843</v>
      </c>
      <c r="CB196" s="86">
        <f t="shared" si="1568"/>
        <v>-0.22748914065936188</v>
      </c>
      <c r="CC196" s="86">
        <f t="shared" si="1568"/>
        <v>-0.22473731939206143</v>
      </c>
      <c r="CD196" s="86">
        <f t="shared" si="1568"/>
        <v>-9.950712986888699E-2</v>
      </c>
      <c r="CE196" s="86">
        <f t="shared" si="1568"/>
        <v>2.805255415208241E-2</v>
      </c>
      <c r="CF196" s="86">
        <f t="shared" si="1568"/>
        <v>5.140800585145433E-3</v>
      </c>
      <c r="CG196" s="86">
        <f t="shared" si="1568"/>
        <v>9.0676498427276542E-2</v>
      </c>
      <c r="CH196" s="86">
        <f t="shared" si="1568"/>
        <v>0.1900713203952038</v>
      </c>
      <c r="CI196" s="86">
        <f t="shared" si="1568"/>
        <v>0.24872655223982565</v>
      </c>
      <c r="CJ196" s="86">
        <f>+(CJ18+CI18)/(CF18+CE18)-1</f>
        <v>0.33260012982663589</v>
      </c>
      <c r="CL196" s="86">
        <f>+(CL18+CK18)/(CH18+CG18)-1</f>
        <v>0.14496308227151666</v>
      </c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E196" s="141"/>
      <c r="DF196" s="86">
        <v>0.2266743008592067</v>
      </c>
    </row>
    <row r="197" spans="1:110" s="86" customFormat="1" x14ac:dyDescent="0.2">
      <c r="A197" s="86" t="s">
        <v>441</v>
      </c>
      <c r="C197" s="86" t="e">
        <f t="shared" ref="C197" si="1569">C194/B194-1</f>
        <v>#DIV/0!</v>
      </c>
      <c r="D197" s="86" t="e">
        <f t="shared" ref="D197" si="1570">D194/C194-1</f>
        <v>#DIV/0!</v>
      </c>
      <c r="E197" s="86" t="e">
        <f>E194/D194-1</f>
        <v>#DIV/0!</v>
      </c>
      <c r="F197" s="86" t="e">
        <f t="shared" ref="F197" si="1571">F194/E194-1</f>
        <v>#DIV/0!</v>
      </c>
      <c r="G197" s="86" t="e">
        <f t="shared" ref="G197" si="1572">G194/F194-1</f>
        <v>#DIV/0!</v>
      </c>
      <c r="H197" s="86" t="e">
        <f t="shared" ref="H197" si="1573">H194/G194-1</f>
        <v>#DIV/0!</v>
      </c>
      <c r="I197" s="86" t="e">
        <f t="shared" ref="I197" si="1574">I194/H194-1</f>
        <v>#DIV/0!</v>
      </c>
      <c r="J197" s="86" t="e">
        <f t="shared" ref="J197" si="1575">J194/I194-1</f>
        <v>#DIV/0!</v>
      </c>
      <c r="K197" s="86" t="e">
        <f>K194/J194-1</f>
        <v>#DIV/0!</v>
      </c>
      <c r="L197" s="86" t="e">
        <f t="shared" ref="L197" si="1576">L194/K194-1</f>
        <v>#DIV/0!</v>
      </c>
      <c r="M197" s="86" t="e">
        <f t="shared" ref="M197" si="1577">M194/L194-1</f>
        <v>#DIV/0!</v>
      </c>
      <c r="N197" s="86">
        <f t="shared" ref="N197" si="1578">N194/M194-1</f>
        <v>-0.13372340173692232</v>
      </c>
      <c r="O197" s="86">
        <f t="shared" ref="O197" si="1579">O194/N194-1</f>
        <v>-0.21773112561941499</v>
      </c>
      <c r="P197" s="86">
        <f t="shared" ref="P197" si="1580">P194/O194-1</f>
        <v>0.83597303073182383</v>
      </c>
      <c r="Q197" s="86">
        <f t="shared" ref="Q197" si="1581">Q194/P194-1</f>
        <v>-9.6231569345405776E-2</v>
      </c>
      <c r="R197" s="86">
        <f t="shared" ref="R197" si="1582">R194/Q194-1</f>
        <v>-3.7841896268379527E-2</v>
      </c>
      <c r="S197" s="86">
        <f t="shared" ref="S197" si="1583">S194/R194-1</f>
        <v>-1.7804571620150034E-2</v>
      </c>
      <c r="T197" s="86">
        <f t="shared" ref="T197" si="1584">T194/S194-1</f>
        <v>-5.3724744530024515E-2</v>
      </c>
      <c r="U197" s="86">
        <f t="shared" ref="U197" si="1585">U194/T194-1</f>
        <v>-2.9720516450620016E-2</v>
      </c>
      <c r="V197" s="86">
        <f t="shared" ref="V197" si="1586">V194/U194-1</f>
        <v>-8.2201501038590696E-2</v>
      </c>
      <c r="W197" s="86">
        <f t="shared" ref="W197:AA197" si="1587">W194/V194-1</f>
        <v>4.0354109435448482E-2</v>
      </c>
      <c r="X197" s="86">
        <f t="shared" si="1587"/>
        <v>5.2543311820964167E-2</v>
      </c>
      <c r="Y197" s="86">
        <f t="shared" si="1587"/>
        <v>0.23105207775423908</v>
      </c>
      <c r="Z197" s="86">
        <f t="shared" si="1587"/>
        <v>2.3049385438035142E-2</v>
      </c>
      <c r="AA197" s="86">
        <f t="shared" si="1587"/>
        <v>-0.2113220182618194</v>
      </c>
      <c r="AB197" s="87">
        <f t="shared" ref="AB197" si="1588">AB194/AA194-1</f>
        <v>0.10156065882845855</v>
      </c>
      <c r="AC197" s="87">
        <f t="shared" ref="AC197" si="1589">AC194/AB194-1</f>
        <v>0</v>
      </c>
      <c r="AD197" s="87">
        <f t="shared" ref="AD197" si="1590">AD194/AC194-1</f>
        <v>0</v>
      </c>
      <c r="AE197" s="87">
        <f t="shared" ref="AE197" si="1591">AE194/AD194-1</f>
        <v>0</v>
      </c>
      <c r="AN197" s="86" t="e">
        <f t="shared" ref="AN197:CI197" si="1592">+AN194/AJ194-1</f>
        <v>#DIV/0!</v>
      </c>
      <c r="AO197" s="86" t="e">
        <f t="shared" si="1592"/>
        <v>#DIV/0!</v>
      </c>
      <c r="AP197" s="86" t="e">
        <f t="shared" si="1592"/>
        <v>#DIV/0!</v>
      </c>
      <c r="AQ197" s="86" t="e">
        <f t="shared" si="1592"/>
        <v>#DIV/0!</v>
      </c>
      <c r="AR197" s="86" t="e">
        <f t="shared" si="1592"/>
        <v>#DIV/0!</v>
      </c>
      <c r="AS197" s="86" t="e">
        <f t="shared" si="1592"/>
        <v>#DIV/0!</v>
      </c>
      <c r="AT197" s="86" t="e">
        <f t="shared" si="1592"/>
        <v>#DIV/0!</v>
      </c>
      <c r="AU197" s="86" t="e">
        <f t="shared" si="1592"/>
        <v>#DIV/0!</v>
      </c>
      <c r="AV197" s="86" t="e">
        <f t="shared" si="1592"/>
        <v>#DIV/0!</v>
      </c>
      <c r="AW197" s="86" t="e">
        <f t="shared" si="1592"/>
        <v>#DIV/0!</v>
      </c>
      <c r="AX197" s="86" t="e">
        <f t="shared" si="1592"/>
        <v>#DIV/0!</v>
      </c>
      <c r="AY197" s="86" t="e">
        <f t="shared" si="1592"/>
        <v>#DIV/0!</v>
      </c>
      <c r="AZ197" s="86" t="e">
        <f t="shared" si="1592"/>
        <v>#DIV/0!</v>
      </c>
      <c r="BA197" s="86" t="e">
        <f t="shared" si="1592"/>
        <v>#DIV/0!</v>
      </c>
      <c r="BB197" s="86">
        <f t="shared" si="1592"/>
        <v>9.0738514085132227E-2</v>
      </c>
      <c r="BC197" s="86">
        <f t="shared" si="1592"/>
        <v>6.3552235047721117E-2</v>
      </c>
      <c r="BD197" s="86" t="e">
        <f t="shared" si="1592"/>
        <v>#DIV/0!</v>
      </c>
      <c r="BE197" s="86" t="e">
        <f t="shared" si="1592"/>
        <v>#DIV/0!</v>
      </c>
      <c r="BF197" s="86">
        <f t="shared" si="1592"/>
        <v>-0.26251549300628041</v>
      </c>
      <c r="BG197" s="86">
        <f t="shared" si="1592"/>
        <v>-0.24983554935056418</v>
      </c>
      <c r="BH197" s="86">
        <f t="shared" si="1592"/>
        <v>-5.540813155737967E-2</v>
      </c>
      <c r="BI197" s="86">
        <f t="shared" si="1592"/>
        <v>-5.0741229638339158E-2</v>
      </c>
      <c r="BJ197" s="86">
        <f t="shared" si="1592"/>
        <v>-8.7665718100573886E-2</v>
      </c>
      <c r="BK197" s="86">
        <f t="shared" si="1592"/>
        <v>-0.11935789957351406</v>
      </c>
      <c r="BL197" s="86">
        <f t="shared" si="1592"/>
        <v>-9.7392869379779867E-3</v>
      </c>
      <c r="BM197" s="86">
        <f t="shared" si="1592"/>
        <v>5.3049046852313708E-3</v>
      </c>
      <c r="BN197" s="86">
        <f t="shared" si="1592"/>
        <v>-3.5465838236008573E-2</v>
      </c>
      <c r="BO197" s="86">
        <f t="shared" si="1592"/>
        <v>3.7784512896827049E-2</v>
      </c>
      <c r="BP197" s="86">
        <f t="shared" si="1592"/>
        <v>-0.23099316321150576</v>
      </c>
      <c r="BQ197" s="86">
        <f t="shared" si="1592"/>
        <v>-0.22066166435603951</v>
      </c>
      <c r="BR197" s="86">
        <f t="shared" si="1592"/>
        <v>2.4333000958286055E-2</v>
      </c>
      <c r="BS197" s="86">
        <f t="shared" si="1592"/>
        <v>-1.498980749944423E-2</v>
      </c>
      <c r="BT197" s="86">
        <f t="shared" si="1592"/>
        <v>0.48248778393026237</v>
      </c>
      <c r="BU197" s="86">
        <f t="shared" si="1592"/>
        <v>0.42432660416328627</v>
      </c>
      <c r="BV197" s="86">
        <f t="shared" si="1592"/>
        <v>0.10792774226047253</v>
      </c>
      <c r="BW197" s="86">
        <f t="shared" si="1592"/>
        <v>0.14463838297306975</v>
      </c>
      <c r="BX197" s="86">
        <f t="shared" si="1592"/>
        <v>-4.301196415063413E-2</v>
      </c>
      <c r="BY197" s="86">
        <f t="shared" si="1592"/>
        <v>-2.2645385589622924E-2</v>
      </c>
      <c r="BZ197" s="86">
        <f t="shared" si="1592"/>
        <v>0.30262004388447328</v>
      </c>
      <c r="CA197" s="86">
        <f t="shared" si="1592"/>
        <v>0.23752093729670176</v>
      </c>
      <c r="CB197" s="86">
        <f t="shared" si="1592"/>
        <v>0.14611534165516304</v>
      </c>
      <c r="CC197" s="86">
        <f t="shared" si="1592"/>
        <v>0.14674466312941825</v>
      </c>
      <c r="CD197" s="86">
        <f t="shared" si="1592"/>
        <v>3.5325675310440285E-3</v>
      </c>
      <c r="CE197" s="86">
        <f t="shared" si="1592"/>
        <v>1.7078667487484545E-2</v>
      </c>
      <c r="CF197" s="86">
        <f t="shared" si="1592"/>
        <v>0.25150583809915017</v>
      </c>
      <c r="CG197" s="86">
        <f t="shared" si="1592"/>
        <v>0.27494709510764159</v>
      </c>
      <c r="CH197" s="86">
        <f t="shared" si="1592"/>
        <v>-0.13047970621691363</v>
      </c>
      <c r="CI197" s="86">
        <f t="shared" si="1592"/>
        <v>-0.1163786923575254</v>
      </c>
      <c r="CJ197" s="86">
        <f>+CJ194/CF194-1</f>
        <v>-0.3648079643089035</v>
      </c>
      <c r="CL197" s="86">
        <f>+CL194/CH194-1</f>
        <v>1.2013881368980739E-2</v>
      </c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E197" s="141"/>
      <c r="DF197" s="86">
        <v>-0.13121969466333705</v>
      </c>
    </row>
    <row r="198" spans="1:110" s="103" customFormat="1" x14ac:dyDescent="0.2">
      <c r="A198" s="147" t="s">
        <v>87</v>
      </c>
      <c r="C198" s="103" t="e">
        <f>IF(C197&gt;C196,"RF",0)</f>
        <v>#DIV/0!</v>
      </c>
      <c r="D198" s="103" t="e">
        <f>IF(D197&gt;D196,"RF",0)</f>
        <v>#DIV/0!</v>
      </c>
      <c r="E198" s="103" t="e">
        <f t="shared" ref="E198:U198" si="1593">IF(E197&gt;E196,"RF",0)</f>
        <v>#DIV/0!</v>
      </c>
      <c r="F198" s="103" t="e">
        <f t="shared" si="1593"/>
        <v>#DIV/0!</v>
      </c>
      <c r="G198" s="103" t="e">
        <f t="shared" si="1593"/>
        <v>#DIV/0!</v>
      </c>
      <c r="H198" s="103" t="e">
        <f t="shared" si="1593"/>
        <v>#DIV/0!</v>
      </c>
      <c r="I198" s="103" t="e">
        <f t="shared" si="1593"/>
        <v>#DIV/0!</v>
      </c>
      <c r="J198" s="103" t="e">
        <f t="shared" si="1593"/>
        <v>#DIV/0!</v>
      </c>
      <c r="K198" s="103" t="e">
        <f t="shared" si="1593"/>
        <v>#DIV/0!</v>
      </c>
      <c r="L198" s="103" t="e">
        <f t="shared" si="1593"/>
        <v>#DIV/0!</v>
      </c>
      <c r="M198" s="103" t="e">
        <f t="shared" si="1593"/>
        <v>#DIV/0!</v>
      </c>
      <c r="N198" s="103">
        <f t="shared" si="1593"/>
        <v>0</v>
      </c>
      <c r="O198" s="103">
        <f t="shared" si="1593"/>
        <v>0</v>
      </c>
      <c r="P198" s="103" t="str">
        <f t="shared" si="1593"/>
        <v>RF</v>
      </c>
      <c r="Q198" s="103">
        <f t="shared" si="1593"/>
        <v>0</v>
      </c>
      <c r="R198" s="103">
        <f t="shared" si="1593"/>
        <v>0</v>
      </c>
      <c r="S198" s="103">
        <f t="shared" si="1593"/>
        <v>0</v>
      </c>
      <c r="T198" s="103">
        <f t="shared" si="1593"/>
        <v>0</v>
      </c>
      <c r="U198" s="103">
        <f t="shared" si="1593"/>
        <v>0</v>
      </c>
      <c r="V198" s="103">
        <f>IF(V197&gt;V196,"RF",0)</f>
        <v>0</v>
      </c>
      <c r="W198" s="103" t="str">
        <f t="shared" ref="W198" si="1594">IF(W197&gt;W196,"RF",0)</f>
        <v>RF</v>
      </c>
      <c r="X198" s="103">
        <f t="shared" ref="X198:Y198" si="1595">IF(X197&gt;X196,"RF",0)</f>
        <v>0</v>
      </c>
      <c r="Y198" s="103" t="str">
        <f t="shared" si="1595"/>
        <v>RF</v>
      </c>
      <c r="Z198" s="103">
        <f t="shared" ref="Z198:AA198" si="1596">IF(Z197&gt;Z196,"RF",0)</f>
        <v>0</v>
      </c>
      <c r="AA198" s="103">
        <f t="shared" ref="AA198" si="1597">IF(AA197&gt;AA196,"RF",0)</f>
        <v>0</v>
      </c>
      <c r="AB198" s="73">
        <f t="shared" ref="AB198:AD198" si="1598">IF(AB197&gt;AB196,"RF",0)</f>
        <v>0</v>
      </c>
      <c r="AC198" s="73">
        <f t="shared" si="1598"/>
        <v>0</v>
      </c>
      <c r="AD198" s="73">
        <f t="shared" si="1598"/>
        <v>0</v>
      </c>
      <c r="AE198" s="73">
        <f t="shared" ref="AE198" si="1599">IF(AE197&gt;AE196,"RF",0)</f>
        <v>0</v>
      </c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E198" s="142"/>
      <c r="DF198" s="103">
        <v>0</v>
      </c>
    </row>
    <row r="199" spans="1:110" x14ac:dyDescent="0.2">
      <c r="A199" s="153" t="s">
        <v>494</v>
      </c>
      <c r="AA199" s="2"/>
      <c r="CL199" s="2"/>
    </row>
    <row r="200" spans="1:110" x14ac:dyDescent="0.2">
      <c r="A200" s="152" t="s">
        <v>495</v>
      </c>
      <c r="AA200" s="2"/>
      <c r="CL200" s="2"/>
    </row>
    <row r="201" spans="1:110" s="23" customFormat="1" x14ac:dyDescent="0.2">
      <c r="A201" s="23" t="s">
        <v>22</v>
      </c>
      <c r="C201" s="23">
        <f t="shared" ref="C201:AE201" si="1600">C56</f>
        <v>0</v>
      </c>
      <c r="D201" s="23">
        <f t="shared" si="1600"/>
        <v>0</v>
      </c>
      <c r="E201" s="23">
        <f t="shared" si="1600"/>
        <v>0</v>
      </c>
      <c r="F201" s="23">
        <f t="shared" si="1600"/>
        <v>0</v>
      </c>
      <c r="G201" s="23">
        <f t="shared" si="1600"/>
        <v>0</v>
      </c>
      <c r="H201" s="23">
        <f t="shared" si="1600"/>
        <v>0</v>
      </c>
      <c r="I201" s="23">
        <f t="shared" si="1600"/>
        <v>0</v>
      </c>
      <c r="J201" s="23">
        <f t="shared" si="1600"/>
        <v>0</v>
      </c>
      <c r="K201" s="23">
        <f t="shared" si="1600"/>
        <v>0</v>
      </c>
      <c r="L201" s="23">
        <f t="shared" si="1600"/>
        <v>0</v>
      </c>
      <c r="M201" s="23">
        <f t="shared" si="1600"/>
        <v>21.577000000000048</v>
      </c>
      <c r="N201" s="23">
        <f t="shared" si="1600"/>
        <v>88.219000000000008</v>
      </c>
      <c r="O201" s="23">
        <f t="shared" si="1600"/>
        <v>97.216999999999771</v>
      </c>
      <c r="P201" s="23">
        <f t="shared" si="1600"/>
        <v>68.368999999999858</v>
      </c>
      <c r="Q201" s="23">
        <f t="shared" si="1600"/>
        <v>133.73500000000016</v>
      </c>
      <c r="R201" s="23">
        <f t="shared" si="1600"/>
        <v>190.2760000000001</v>
      </c>
      <c r="S201" s="23">
        <f t="shared" si="1600"/>
        <v>167.61000000000018</v>
      </c>
      <c r="T201" s="23">
        <f t="shared" si="1600"/>
        <v>93.764000000000181</v>
      </c>
      <c r="U201" s="23">
        <f t="shared" si="1600"/>
        <v>255.27</v>
      </c>
      <c r="V201" s="23">
        <f t="shared" si="1600"/>
        <v>983.58000000000038</v>
      </c>
      <c r="W201" s="23">
        <f t="shared" si="1600"/>
        <v>827.51999999999964</v>
      </c>
      <c r="X201" s="23">
        <f t="shared" si="1600"/>
        <v>784.53000000000031</v>
      </c>
      <c r="Y201" s="23">
        <f t="shared" si="1600"/>
        <v>157.68000000000021</v>
      </c>
      <c r="Z201" s="23">
        <f t="shared" si="1600"/>
        <v>358.32000000000033</v>
      </c>
      <c r="AA201" s="23">
        <f t="shared" ref="AA201" si="1601">AA56</f>
        <v>888.78999999999917</v>
      </c>
      <c r="AB201" s="24">
        <f t="shared" si="1600"/>
        <v>930.72545641351508</v>
      </c>
      <c r="AC201" s="24">
        <f t="shared" si="1600"/>
        <v>1102.8078748182215</v>
      </c>
      <c r="AD201" s="24">
        <f t="shared" si="1600"/>
        <v>1310.8111837447768</v>
      </c>
      <c r="AE201" s="24">
        <f t="shared" si="1600"/>
        <v>1836.1755784251854</v>
      </c>
      <c r="AI201" s="23">
        <f t="shared" ref="AI201:BN201" si="1602">AI56</f>
        <v>0</v>
      </c>
      <c r="AJ201" s="23">
        <f t="shared" si="1602"/>
        <v>0</v>
      </c>
      <c r="AK201" s="23">
        <f t="shared" si="1602"/>
        <v>0</v>
      </c>
      <c r="AL201" s="23">
        <f t="shared" si="1602"/>
        <v>0</v>
      </c>
      <c r="AM201" s="23">
        <f t="shared" si="1602"/>
        <v>0</v>
      </c>
      <c r="AN201" s="23">
        <f t="shared" si="1602"/>
        <v>0</v>
      </c>
      <c r="AO201" s="23">
        <f t="shared" si="1602"/>
        <v>0</v>
      </c>
      <c r="AP201" s="23">
        <f t="shared" si="1602"/>
        <v>0</v>
      </c>
      <c r="AQ201" s="23">
        <f t="shared" si="1602"/>
        <v>0</v>
      </c>
      <c r="AR201" s="23">
        <f t="shared" si="1602"/>
        <v>0</v>
      </c>
      <c r="AS201" s="23">
        <f t="shared" si="1602"/>
        <v>0</v>
      </c>
      <c r="AT201" s="23">
        <f t="shared" si="1602"/>
        <v>0</v>
      </c>
      <c r="AU201" s="23">
        <f t="shared" si="1602"/>
        <v>0</v>
      </c>
      <c r="AV201" s="23">
        <f t="shared" si="1602"/>
        <v>0</v>
      </c>
      <c r="AW201" s="23">
        <f t="shared" si="1602"/>
        <v>40.23100000000003</v>
      </c>
      <c r="AX201" s="23">
        <f t="shared" si="1602"/>
        <v>53.416000000000025</v>
      </c>
      <c r="AY201" s="23">
        <f t="shared" si="1602"/>
        <v>25.643000000000008</v>
      </c>
      <c r="AZ201" s="23">
        <f t="shared" si="1602"/>
        <v>48.281000000000027</v>
      </c>
      <c r="BA201" s="23">
        <f t="shared" si="1602"/>
        <v>45.019000000000027</v>
      </c>
      <c r="BB201" s="23">
        <f t="shared" si="1602"/>
        <v>71.332999999999984</v>
      </c>
      <c r="BC201" s="23">
        <f t="shared" si="1602"/>
        <v>38.904999999999923</v>
      </c>
      <c r="BD201" s="23">
        <f t="shared" si="1602"/>
        <v>48.755000000000024</v>
      </c>
      <c r="BE201" s="23">
        <f t="shared" si="1602"/>
        <v>34.869999999999976</v>
      </c>
      <c r="BF201" s="23">
        <f t="shared" si="1602"/>
        <v>45.080000000000027</v>
      </c>
      <c r="BG201" s="23">
        <f t="shared" si="1602"/>
        <v>16.558000000000032</v>
      </c>
      <c r="BH201" s="23">
        <f t="shared" si="1602"/>
        <v>16.209999999999944</v>
      </c>
      <c r="BI201" s="23">
        <f t="shared" si="1602"/>
        <v>17.816999999999947</v>
      </c>
      <c r="BJ201" s="23">
        <f t="shared" si="1602"/>
        <v>43.179000000000002</v>
      </c>
      <c r="BK201" s="23">
        <f t="shared" si="1602"/>
        <v>15.100000000000101</v>
      </c>
      <c r="BL201" s="23">
        <f t="shared" si="1602"/>
        <v>56.549999999999955</v>
      </c>
      <c r="BM201" s="23">
        <f t="shared" si="1602"/>
        <v>73.470000000000113</v>
      </c>
      <c r="BN201" s="23">
        <f t="shared" si="1602"/>
        <v>110.14999999999992</v>
      </c>
      <c r="BO201" s="23">
        <f t="shared" ref="BO201:CT201" si="1603">BO56</f>
        <v>171.77999999999997</v>
      </c>
      <c r="BP201" s="23">
        <f t="shared" si="1603"/>
        <v>242.26999999999992</v>
      </c>
      <c r="BQ201" s="23">
        <f t="shared" si="1603"/>
        <v>272.85000000000002</v>
      </c>
      <c r="BR201" s="23">
        <f t="shared" si="1603"/>
        <v>296.68</v>
      </c>
      <c r="BS201" s="23">
        <f t="shared" si="1603"/>
        <v>241.39000000000007</v>
      </c>
      <c r="BT201" s="23">
        <f t="shared" si="1603"/>
        <v>201.90000000000003</v>
      </c>
      <c r="BU201" s="23">
        <f t="shared" si="1603"/>
        <v>153.72999999999993</v>
      </c>
      <c r="BV201" s="23">
        <f t="shared" si="1603"/>
        <v>230.4999999999998</v>
      </c>
      <c r="BW201" s="23">
        <f t="shared" si="1603"/>
        <v>251.27999999999994</v>
      </c>
      <c r="BX201" s="23">
        <f t="shared" si="1603"/>
        <v>232.81000000000017</v>
      </c>
      <c r="BY201" s="23">
        <f t="shared" si="1603"/>
        <v>203.04000000000005</v>
      </c>
      <c r="BZ201" s="23">
        <f t="shared" si="1603"/>
        <v>102.98000000000009</v>
      </c>
      <c r="CA201" s="23">
        <f t="shared" si="1603"/>
        <v>24.849999999999856</v>
      </c>
      <c r="CB201" s="23">
        <f t="shared" si="1603"/>
        <v>36.950000000000223</v>
      </c>
      <c r="CC201" s="23">
        <f t="shared" si="1603"/>
        <v>23.140000000000086</v>
      </c>
      <c r="CD201" s="23">
        <f t="shared" si="1603"/>
        <v>75.61000000000007</v>
      </c>
      <c r="CE201" s="23">
        <f t="shared" si="1603"/>
        <v>12.510000000000051</v>
      </c>
      <c r="CF201" s="23">
        <f t="shared" si="1603"/>
        <v>19.840000000000032</v>
      </c>
      <c r="CG201" s="23">
        <f t="shared" si="1603"/>
        <v>92.300000000000068</v>
      </c>
      <c r="CH201" s="23">
        <f t="shared" si="1603"/>
        <v>233.67000000000004</v>
      </c>
      <c r="CI201" s="23">
        <f t="shared" si="1603"/>
        <v>163.01999999999987</v>
      </c>
      <c r="CJ201" s="23">
        <f t="shared" si="1603"/>
        <v>194.96999999999994</v>
      </c>
      <c r="CK201" s="23">
        <f t="shared" si="1603"/>
        <v>251.6599999999998</v>
      </c>
      <c r="CL201" s="23">
        <f t="shared" ref="CL201" si="1604">CL56</f>
        <v>279.14000000000004</v>
      </c>
      <c r="CM201" s="24">
        <f t="shared" si="1603"/>
        <v>204.36005326074459</v>
      </c>
      <c r="CN201" s="24">
        <f t="shared" si="1603"/>
        <v>219.9345464462225</v>
      </c>
      <c r="CO201" s="24">
        <f t="shared" si="1603"/>
        <v>251.20607762589947</v>
      </c>
      <c r="CP201" s="24">
        <f t="shared" si="1603"/>
        <v>255.22477908064701</v>
      </c>
      <c r="CQ201" s="24">
        <f t="shared" si="1603"/>
        <v>250.57777092795226</v>
      </c>
      <c r="CR201" s="24">
        <f t="shared" si="1603"/>
        <v>261.05086138144384</v>
      </c>
      <c r="CS201" s="24">
        <f t="shared" si="1603"/>
        <v>292.47514253261232</v>
      </c>
      <c r="CT201" s="24">
        <f t="shared" si="1603"/>
        <v>298.70409997621232</v>
      </c>
      <c r="CU201" s="24">
        <f t="shared" ref="CU201:DB201" si="1605">CU56</f>
        <v>299.3026504320049</v>
      </c>
      <c r="CV201" s="24">
        <f t="shared" si="1605"/>
        <v>328.26353682741808</v>
      </c>
      <c r="CW201" s="24">
        <f t="shared" si="1605"/>
        <v>337.10429756815358</v>
      </c>
      <c r="CX201" s="24">
        <f t="shared" si="1605"/>
        <v>346.14069891720123</v>
      </c>
      <c r="CY201" s="24">
        <f t="shared" si="1605"/>
        <v>353.30915159766624</v>
      </c>
      <c r="CZ201" s="24">
        <f t="shared" si="1605"/>
        <v>498.55147144463751</v>
      </c>
      <c r="DA201" s="24">
        <f t="shared" si="1605"/>
        <v>494.77932602605426</v>
      </c>
      <c r="DB201" s="24">
        <f t="shared" si="1605"/>
        <v>489.53562935682771</v>
      </c>
      <c r="DE201" s="123"/>
      <c r="DF201" s="23">
        <v>888.78999999999871</v>
      </c>
    </row>
    <row r="202" spans="1:110" s="23" customFormat="1" x14ac:dyDescent="0.2">
      <c r="A202" s="23" t="s">
        <v>88</v>
      </c>
      <c r="C202" s="23">
        <f t="shared" ref="C202:AE202" si="1606">C40</f>
        <v>0</v>
      </c>
      <c r="D202" s="23">
        <f t="shared" si="1606"/>
        <v>0</v>
      </c>
      <c r="E202" s="23">
        <f t="shared" si="1606"/>
        <v>0</v>
      </c>
      <c r="F202" s="23">
        <f t="shared" si="1606"/>
        <v>0</v>
      </c>
      <c r="G202" s="23">
        <f t="shared" si="1606"/>
        <v>0</v>
      </c>
      <c r="H202" s="23">
        <f t="shared" si="1606"/>
        <v>0</v>
      </c>
      <c r="I202" s="23">
        <f t="shared" si="1606"/>
        <v>0</v>
      </c>
      <c r="J202" s="23">
        <f t="shared" si="1606"/>
        <v>0</v>
      </c>
      <c r="K202" s="23">
        <f t="shared" si="1606"/>
        <v>0</v>
      </c>
      <c r="L202" s="23">
        <f t="shared" si="1606"/>
        <v>0</v>
      </c>
      <c r="M202" s="23">
        <f t="shared" si="1606"/>
        <v>18.27</v>
      </c>
      <c r="N202" s="23">
        <f t="shared" si="1606"/>
        <v>22.628</v>
      </c>
      <c r="O202" s="23">
        <f t="shared" si="1606"/>
        <v>32.880000000000003</v>
      </c>
      <c r="P202" s="23">
        <f t="shared" si="1606"/>
        <v>61.526000000000003</v>
      </c>
      <c r="Q202" s="23">
        <f t="shared" si="1606"/>
        <v>86.409000000000006</v>
      </c>
      <c r="R202" s="23">
        <f t="shared" si="1606"/>
        <v>105.982</v>
      </c>
      <c r="S202" s="23">
        <f t="shared" si="1606"/>
        <v>125.453</v>
      </c>
      <c r="T202" s="23">
        <f t="shared" si="1606"/>
        <v>164.19200000000001</v>
      </c>
      <c r="U202" s="23">
        <f t="shared" si="1606"/>
        <v>187.27</v>
      </c>
      <c r="V202" s="23">
        <f t="shared" si="1606"/>
        <v>205.07</v>
      </c>
      <c r="W202" s="23">
        <f t="shared" si="1606"/>
        <v>251.49</v>
      </c>
      <c r="X202" s="23">
        <f t="shared" si="1606"/>
        <v>324.08</v>
      </c>
      <c r="Y202" s="23">
        <f t="shared" si="1606"/>
        <v>384.58</v>
      </c>
      <c r="Z202" s="23">
        <f t="shared" si="1606"/>
        <v>430.09</v>
      </c>
      <c r="AA202" s="23">
        <f t="shared" ref="AA202" si="1607">AA40</f>
        <v>480.05</v>
      </c>
      <c r="AB202" s="24">
        <f t="shared" si="1606"/>
        <v>527.9194521872148</v>
      </c>
      <c r="AC202" s="24">
        <f t="shared" si="1606"/>
        <v>562.11846148648033</v>
      </c>
      <c r="AD202" s="24">
        <f t="shared" si="1606"/>
        <v>592.01884581437889</v>
      </c>
      <c r="AE202" s="24">
        <f t="shared" si="1606"/>
        <v>618.16091838533021</v>
      </c>
      <c r="AI202" s="23">
        <f t="shared" ref="AI202:BN202" si="1608">AI40</f>
        <v>0</v>
      </c>
      <c r="AJ202" s="23">
        <f t="shared" si="1608"/>
        <v>0</v>
      </c>
      <c r="AK202" s="23">
        <f t="shared" si="1608"/>
        <v>0</v>
      </c>
      <c r="AL202" s="23">
        <f t="shared" si="1608"/>
        <v>0</v>
      </c>
      <c r="AM202" s="23">
        <f t="shared" si="1608"/>
        <v>0</v>
      </c>
      <c r="AN202" s="23">
        <f t="shared" si="1608"/>
        <v>0</v>
      </c>
      <c r="AO202" s="23">
        <f t="shared" si="1608"/>
        <v>0</v>
      </c>
      <c r="AP202" s="23">
        <f t="shared" si="1608"/>
        <v>0</v>
      </c>
      <c r="AQ202" s="23">
        <f t="shared" si="1608"/>
        <v>0</v>
      </c>
      <c r="AR202" s="23">
        <f t="shared" si="1608"/>
        <v>0</v>
      </c>
      <c r="AS202" s="23">
        <f t="shared" si="1608"/>
        <v>0</v>
      </c>
      <c r="AT202" s="23">
        <f t="shared" si="1608"/>
        <v>0</v>
      </c>
      <c r="AU202" s="23">
        <f t="shared" si="1608"/>
        <v>0</v>
      </c>
      <c r="AV202" s="23">
        <f t="shared" si="1608"/>
        <v>0</v>
      </c>
      <c r="AW202" s="23">
        <f t="shared" si="1608"/>
        <v>23.632000000000001</v>
      </c>
      <c r="AX202" s="23">
        <f t="shared" si="1608"/>
        <v>24.785</v>
      </c>
      <c r="AY202" s="23">
        <f t="shared" si="1608"/>
        <v>24.757000000000001</v>
      </c>
      <c r="AZ202" s="23">
        <f t="shared" si="1608"/>
        <v>25.594999999999999</v>
      </c>
      <c r="BA202" s="23">
        <f t="shared" si="1608"/>
        <v>27.436</v>
      </c>
      <c r="BB202" s="23">
        <f t="shared" si="1608"/>
        <v>28.193999999999999</v>
      </c>
      <c r="BC202" s="23">
        <f t="shared" si="1608"/>
        <v>29.785</v>
      </c>
      <c r="BD202" s="23">
        <f t="shared" si="1608"/>
        <v>30.08</v>
      </c>
      <c r="BE202" s="23">
        <f t="shared" si="1608"/>
        <v>30.975000000000001</v>
      </c>
      <c r="BF202" s="23">
        <f t="shared" si="1608"/>
        <v>34.613</v>
      </c>
      <c r="BG202" s="23">
        <f t="shared" si="1608"/>
        <v>38.192999999999998</v>
      </c>
      <c r="BH202" s="23">
        <f t="shared" si="1608"/>
        <v>39.817999999999998</v>
      </c>
      <c r="BI202" s="23">
        <f t="shared" si="1608"/>
        <v>42.707999999999998</v>
      </c>
      <c r="BJ202" s="23">
        <f t="shared" si="1608"/>
        <v>43.472999999999999</v>
      </c>
      <c r="BK202" s="23">
        <f t="shared" si="1608"/>
        <v>45.84</v>
      </c>
      <c r="BL202" s="23">
        <f t="shared" si="1608"/>
        <v>47.83</v>
      </c>
      <c r="BM202" s="23">
        <f t="shared" si="1608"/>
        <v>47.55</v>
      </c>
      <c r="BN202" s="23">
        <f t="shared" si="1608"/>
        <v>46.05</v>
      </c>
      <c r="BO202" s="23">
        <f t="shared" ref="BO202:CT202" si="1609">BO40</f>
        <v>48.8</v>
      </c>
      <c r="BP202" s="23">
        <f t="shared" si="1609"/>
        <v>51</v>
      </c>
      <c r="BQ202" s="23">
        <f t="shared" si="1609"/>
        <v>51.64</v>
      </c>
      <c r="BR202" s="23">
        <f t="shared" si="1609"/>
        <v>53.63</v>
      </c>
      <c r="BS202" s="23">
        <f t="shared" si="1609"/>
        <v>58.54</v>
      </c>
      <c r="BT202" s="23">
        <f t="shared" si="1609"/>
        <v>63.19</v>
      </c>
      <c r="BU202" s="23">
        <f t="shared" si="1609"/>
        <v>64.02</v>
      </c>
      <c r="BV202" s="23">
        <f t="shared" si="1609"/>
        <v>65.739999999999995</v>
      </c>
      <c r="BW202" s="23">
        <f t="shared" si="1609"/>
        <v>70.790000000000006</v>
      </c>
      <c r="BX202" s="23">
        <f t="shared" si="1609"/>
        <v>81.84</v>
      </c>
      <c r="BY202" s="23">
        <f t="shared" si="1609"/>
        <v>84.44</v>
      </c>
      <c r="BZ202" s="23">
        <f t="shared" si="1609"/>
        <v>87.01</v>
      </c>
      <c r="CA202" s="23">
        <f t="shared" si="1609"/>
        <v>90.55</v>
      </c>
      <c r="CB202" s="23">
        <f t="shared" si="1609"/>
        <v>93.37</v>
      </c>
      <c r="CC202" s="23">
        <f t="shared" si="1609"/>
        <v>98.41</v>
      </c>
      <c r="CD202" s="23">
        <f t="shared" si="1609"/>
        <v>102.25</v>
      </c>
      <c r="CE202" s="23">
        <f t="shared" si="1609"/>
        <v>106.06</v>
      </c>
      <c r="CF202" s="23">
        <f t="shared" si="1609"/>
        <v>107.51</v>
      </c>
      <c r="CG202" s="23">
        <f t="shared" si="1609"/>
        <v>106.09</v>
      </c>
      <c r="CH202" s="23">
        <f t="shared" si="1609"/>
        <v>110.43</v>
      </c>
      <c r="CI202" s="23">
        <f t="shared" si="1609"/>
        <v>116.84</v>
      </c>
      <c r="CJ202" s="23">
        <f t="shared" si="1609"/>
        <v>120.49</v>
      </c>
      <c r="CK202" s="23">
        <f t="shared" si="1609"/>
        <v>120.62</v>
      </c>
      <c r="CL202" s="23">
        <f t="shared" ref="CL202" si="1610">CL40</f>
        <v>122.1</v>
      </c>
      <c r="CM202" s="24">
        <f t="shared" si="1609"/>
        <v>128.51618271514116</v>
      </c>
      <c r="CN202" s="24">
        <f t="shared" si="1609"/>
        <v>130.87684581090224</v>
      </c>
      <c r="CO202" s="24">
        <f t="shared" si="1609"/>
        <v>133.1595509790742</v>
      </c>
      <c r="CP202" s="24">
        <f t="shared" si="1609"/>
        <v>135.36687268209718</v>
      </c>
      <c r="CQ202" s="24">
        <f t="shared" si="1609"/>
        <v>137.50130036402959</v>
      </c>
      <c r="CR202" s="24">
        <f t="shared" si="1609"/>
        <v>139.56524125817293</v>
      </c>
      <c r="CS202" s="24">
        <f t="shared" si="1609"/>
        <v>141.56102310197878</v>
      </c>
      <c r="CT202" s="24">
        <f t="shared" si="1609"/>
        <v>143.49089676229903</v>
      </c>
      <c r="CU202" s="24">
        <f t="shared" ref="CU202:DB202" si="1611">CU40</f>
        <v>145.3570387739407</v>
      </c>
      <c r="CV202" s="24">
        <f t="shared" si="1611"/>
        <v>147.16155379438834</v>
      </c>
      <c r="CW202" s="24">
        <f t="shared" si="1611"/>
        <v>148.90647697746192</v>
      </c>
      <c r="CX202" s="24">
        <f t="shared" si="1611"/>
        <v>150.59377626858793</v>
      </c>
      <c r="CY202" s="24">
        <f t="shared" si="1611"/>
        <v>152.22535462427211</v>
      </c>
      <c r="CZ202" s="24">
        <f t="shared" si="1611"/>
        <v>153.80305215827667</v>
      </c>
      <c r="DA202" s="24">
        <f t="shared" si="1611"/>
        <v>155.32864821692272</v>
      </c>
      <c r="DB202" s="24">
        <f t="shared" si="1611"/>
        <v>156.8038633858587</v>
      </c>
      <c r="DE202" s="123"/>
      <c r="DF202" s="23">
        <v>480.04999999999995</v>
      </c>
    </row>
    <row r="203" spans="1:110" s="22" customFormat="1" x14ac:dyDescent="0.2">
      <c r="A203" s="22" t="s">
        <v>89</v>
      </c>
      <c r="C203" s="22">
        <f t="shared" ref="C203:W203" si="1612">C201+C202</f>
        <v>0</v>
      </c>
      <c r="D203" s="22">
        <f t="shared" si="1612"/>
        <v>0</v>
      </c>
      <c r="E203" s="22">
        <f t="shared" si="1612"/>
        <v>0</v>
      </c>
      <c r="F203" s="22">
        <f t="shared" si="1612"/>
        <v>0</v>
      </c>
      <c r="G203" s="22">
        <f t="shared" si="1612"/>
        <v>0</v>
      </c>
      <c r="H203" s="22">
        <f t="shared" si="1612"/>
        <v>0</v>
      </c>
      <c r="I203" s="22">
        <f t="shared" si="1612"/>
        <v>0</v>
      </c>
      <c r="J203" s="22">
        <f t="shared" si="1612"/>
        <v>0</v>
      </c>
      <c r="K203" s="22">
        <f t="shared" si="1612"/>
        <v>0</v>
      </c>
      <c r="L203" s="22">
        <f t="shared" si="1612"/>
        <v>0</v>
      </c>
      <c r="M203" s="22">
        <f t="shared" si="1612"/>
        <v>39.847000000000051</v>
      </c>
      <c r="N203" s="22">
        <f t="shared" si="1612"/>
        <v>110.84700000000001</v>
      </c>
      <c r="O203" s="22">
        <f t="shared" si="1612"/>
        <v>130.09699999999978</v>
      </c>
      <c r="P203" s="22">
        <f t="shared" si="1612"/>
        <v>129.89499999999987</v>
      </c>
      <c r="Q203" s="22">
        <f t="shared" si="1612"/>
        <v>220.14400000000018</v>
      </c>
      <c r="R203" s="22">
        <f t="shared" si="1612"/>
        <v>296.2580000000001</v>
      </c>
      <c r="S203" s="22">
        <f t="shared" si="1612"/>
        <v>293.06300000000022</v>
      </c>
      <c r="T203" s="22">
        <f t="shared" si="1612"/>
        <v>257.95600000000019</v>
      </c>
      <c r="U203" s="22">
        <f t="shared" si="1612"/>
        <v>442.54</v>
      </c>
      <c r="V203" s="22">
        <f t="shared" si="1612"/>
        <v>1188.6500000000003</v>
      </c>
      <c r="W203" s="22">
        <f t="shared" si="1612"/>
        <v>1079.0099999999998</v>
      </c>
      <c r="X203" s="22">
        <f t="shared" ref="X203:Y203" si="1613">X201+X202</f>
        <v>1108.6100000000004</v>
      </c>
      <c r="Y203" s="22">
        <f t="shared" si="1613"/>
        <v>542.26000000000022</v>
      </c>
      <c r="Z203" s="22">
        <f t="shared" ref="Z203:AA203" si="1614">Z201+Z202</f>
        <v>788.41000000000031</v>
      </c>
      <c r="AA203" s="22">
        <f t="shared" ref="AA203" si="1615">AA201+AA202</f>
        <v>1368.8399999999992</v>
      </c>
      <c r="AB203" s="21">
        <f t="shared" ref="AB203:AD203" si="1616">AB201+AB202</f>
        <v>1458.6449086007299</v>
      </c>
      <c r="AC203" s="21">
        <f t="shared" si="1616"/>
        <v>1664.9263363047019</v>
      </c>
      <c r="AD203" s="21">
        <f t="shared" si="1616"/>
        <v>1902.8300295591557</v>
      </c>
      <c r="AE203" s="21">
        <f t="shared" ref="AE203" si="1617">AE201+AE202</f>
        <v>2454.3364968105157</v>
      </c>
      <c r="AI203" s="22">
        <f t="shared" ref="AI203" si="1618">AI201+AI202</f>
        <v>0</v>
      </c>
      <c r="AJ203" s="22">
        <f t="shared" ref="AJ203:AL203" si="1619">AJ201+AJ202</f>
        <v>0</v>
      </c>
      <c r="AK203" s="22">
        <f t="shared" si="1619"/>
        <v>0</v>
      </c>
      <c r="AL203" s="22">
        <f t="shared" si="1619"/>
        <v>0</v>
      </c>
      <c r="AM203" s="22">
        <f t="shared" ref="AM203" si="1620">AM201+AM202</f>
        <v>0</v>
      </c>
      <c r="AN203" s="22">
        <f t="shared" ref="AN203:CD203" si="1621">AN201+AN202</f>
        <v>0</v>
      </c>
      <c r="AO203" s="22">
        <f t="shared" si="1621"/>
        <v>0</v>
      </c>
      <c r="AP203" s="22">
        <f t="shared" si="1621"/>
        <v>0</v>
      </c>
      <c r="AQ203" s="22">
        <f t="shared" si="1621"/>
        <v>0</v>
      </c>
      <c r="AR203" s="22">
        <f t="shared" si="1621"/>
        <v>0</v>
      </c>
      <c r="AS203" s="22">
        <f t="shared" si="1621"/>
        <v>0</v>
      </c>
      <c r="AT203" s="22">
        <f t="shared" si="1621"/>
        <v>0</v>
      </c>
      <c r="AU203" s="22">
        <f t="shared" si="1621"/>
        <v>0</v>
      </c>
      <c r="AV203" s="22">
        <f t="shared" si="1621"/>
        <v>0</v>
      </c>
      <c r="AW203" s="22">
        <f t="shared" si="1621"/>
        <v>63.863000000000028</v>
      </c>
      <c r="AX203" s="22">
        <f t="shared" si="1621"/>
        <v>78.201000000000022</v>
      </c>
      <c r="AY203" s="22">
        <f t="shared" si="1621"/>
        <v>50.400000000000006</v>
      </c>
      <c r="AZ203" s="22">
        <f t="shared" si="1621"/>
        <v>73.876000000000033</v>
      </c>
      <c r="BA203" s="22">
        <f t="shared" si="1621"/>
        <v>72.455000000000027</v>
      </c>
      <c r="BB203" s="22">
        <f t="shared" si="1621"/>
        <v>99.526999999999987</v>
      </c>
      <c r="BC203" s="22">
        <f t="shared" si="1621"/>
        <v>68.689999999999927</v>
      </c>
      <c r="BD203" s="22">
        <f t="shared" si="1621"/>
        <v>78.835000000000022</v>
      </c>
      <c r="BE203" s="22">
        <f t="shared" si="1621"/>
        <v>65.84499999999997</v>
      </c>
      <c r="BF203" s="22">
        <f t="shared" si="1621"/>
        <v>79.693000000000026</v>
      </c>
      <c r="BG203" s="22">
        <f t="shared" si="1621"/>
        <v>54.751000000000033</v>
      </c>
      <c r="BH203" s="22">
        <f t="shared" si="1621"/>
        <v>56.027999999999942</v>
      </c>
      <c r="BI203" s="22">
        <f t="shared" si="1621"/>
        <v>60.524999999999949</v>
      </c>
      <c r="BJ203" s="22">
        <f t="shared" si="1621"/>
        <v>86.652000000000001</v>
      </c>
      <c r="BK203" s="22">
        <f t="shared" si="1621"/>
        <v>60.940000000000104</v>
      </c>
      <c r="BL203" s="22">
        <f t="shared" si="1621"/>
        <v>104.37999999999995</v>
      </c>
      <c r="BM203" s="22">
        <f t="shared" si="1621"/>
        <v>121.02000000000011</v>
      </c>
      <c r="BN203" s="22">
        <f t="shared" si="1621"/>
        <v>156.19999999999993</v>
      </c>
      <c r="BO203" s="22">
        <f t="shared" si="1621"/>
        <v>220.57999999999998</v>
      </c>
      <c r="BP203" s="22">
        <f t="shared" si="1621"/>
        <v>293.26999999999992</v>
      </c>
      <c r="BQ203" s="22">
        <f t="shared" si="1621"/>
        <v>324.49</v>
      </c>
      <c r="BR203" s="22">
        <f t="shared" si="1621"/>
        <v>350.31</v>
      </c>
      <c r="BS203" s="22">
        <f t="shared" si="1621"/>
        <v>299.93000000000006</v>
      </c>
      <c r="BT203" s="22">
        <f t="shared" si="1621"/>
        <v>265.09000000000003</v>
      </c>
      <c r="BU203" s="22">
        <f t="shared" si="1621"/>
        <v>217.74999999999994</v>
      </c>
      <c r="BV203" s="22">
        <f t="shared" si="1621"/>
        <v>296.23999999999978</v>
      </c>
      <c r="BW203" s="22">
        <f t="shared" si="1621"/>
        <v>322.06999999999994</v>
      </c>
      <c r="BX203" s="22">
        <f t="shared" si="1621"/>
        <v>314.6500000000002</v>
      </c>
      <c r="BY203" s="22">
        <f t="shared" si="1621"/>
        <v>287.48</v>
      </c>
      <c r="BZ203" s="22">
        <f t="shared" si="1621"/>
        <v>189.99000000000009</v>
      </c>
      <c r="CA203" s="22">
        <f t="shared" si="1621"/>
        <v>115.39999999999985</v>
      </c>
      <c r="CB203" s="22">
        <f t="shared" si="1621"/>
        <v>130.32000000000022</v>
      </c>
      <c r="CC203" s="22">
        <f t="shared" si="1621"/>
        <v>121.55000000000008</v>
      </c>
      <c r="CD203" s="22">
        <f t="shared" si="1621"/>
        <v>177.86000000000007</v>
      </c>
      <c r="CE203" s="22">
        <f t="shared" ref="CE203:CF203" si="1622">CE201+CE202</f>
        <v>118.57000000000005</v>
      </c>
      <c r="CF203" s="22">
        <f t="shared" si="1622"/>
        <v>127.35000000000004</v>
      </c>
      <c r="CG203" s="22">
        <f t="shared" ref="CG203:CH203" si="1623">CG201+CG202</f>
        <v>198.39000000000007</v>
      </c>
      <c r="CH203" s="22">
        <f t="shared" si="1623"/>
        <v>344.1</v>
      </c>
      <c r="CI203" s="22">
        <f t="shared" ref="CI203:CJ203" si="1624">CI201+CI202</f>
        <v>279.8599999999999</v>
      </c>
      <c r="CJ203" s="22">
        <f t="shared" si="1624"/>
        <v>315.45999999999992</v>
      </c>
      <c r="CK203" s="22">
        <f t="shared" ref="CK203:DB203" si="1625">CK201+CK202</f>
        <v>372.2799999999998</v>
      </c>
      <c r="CL203" s="22">
        <f t="shared" si="1625"/>
        <v>401.24</v>
      </c>
      <c r="CM203" s="21">
        <f t="shared" si="1625"/>
        <v>332.87623597588572</v>
      </c>
      <c r="CN203" s="21">
        <f t="shared" si="1625"/>
        <v>350.81139225712474</v>
      </c>
      <c r="CO203" s="21">
        <f t="shared" si="1625"/>
        <v>384.36562860497367</v>
      </c>
      <c r="CP203" s="21">
        <f t="shared" si="1625"/>
        <v>390.59165176274416</v>
      </c>
      <c r="CQ203" s="21">
        <f t="shared" si="1625"/>
        <v>388.07907129198185</v>
      </c>
      <c r="CR203" s="21">
        <f t="shared" si="1625"/>
        <v>400.61610263961677</v>
      </c>
      <c r="CS203" s="21">
        <f t="shared" si="1625"/>
        <v>434.0361656345911</v>
      </c>
      <c r="CT203" s="21">
        <f t="shared" si="1625"/>
        <v>442.19499673851135</v>
      </c>
      <c r="CU203" s="21">
        <f t="shared" si="1625"/>
        <v>444.6596892059456</v>
      </c>
      <c r="CV203" s="21">
        <f t="shared" si="1625"/>
        <v>475.42509062180642</v>
      </c>
      <c r="CW203" s="21">
        <f t="shared" si="1625"/>
        <v>486.0107745456155</v>
      </c>
      <c r="CX203" s="21">
        <f t="shared" si="1625"/>
        <v>496.73447518578917</v>
      </c>
      <c r="CY203" s="21">
        <f t="shared" si="1625"/>
        <v>505.53450622193839</v>
      </c>
      <c r="CZ203" s="21">
        <f t="shared" si="1625"/>
        <v>652.35452360291424</v>
      </c>
      <c r="DA203" s="21">
        <f t="shared" si="1625"/>
        <v>650.10797424297698</v>
      </c>
      <c r="DB203" s="21">
        <f t="shared" si="1625"/>
        <v>646.33949274268639</v>
      </c>
      <c r="DE203" s="126"/>
      <c r="DF203" s="22">
        <v>1368.8399999999988</v>
      </c>
    </row>
    <row r="204" spans="1:110" s="23" customFormat="1" x14ac:dyDescent="0.2">
      <c r="A204" s="23" t="s">
        <v>65</v>
      </c>
      <c r="C204" s="23">
        <f t="shared" ref="C204:AA204" si="1626">B156-C156+B171+B172-C171-C172</f>
        <v>0</v>
      </c>
      <c r="D204" s="23">
        <f t="shared" si="1626"/>
        <v>0</v>
      </c>
      <c r="E204" s="23">
        <f>D156-E156+D171+D172-E171-E172</f>
        <v>0</v>
      </c>
      <c r="F204" s="23">
        <f t="shared" si="1626"/>
        <v>0</v>
      </c>
      <c r="G204" s="23">
        <f t="shared" si="1626"/>
        <v>0</v>
      </c>
      <c r="H204" s="23">
        <f t="shared" si="1626"/>
        <v>0</v>
      </c>
      <c r="I204" s="23">
        <f t="shared" si="1626"/>
        <v>0</v>
      </c>
      <c r="J204" s="23">
        <f>I156-J156+I171+I172-J171-J172</f>
        <v>0</v>
      </c>
      <c r="K204" s="23">
        <f>J156-K156+J171+J172-K171-K172</f>
        <v>0</v>
      </c>
      <c r="L204" s="23">
        <f t="shared" si="1626"/>
        <v>0</v>
      </c>
      <c r="M204" s="23">
        <f t="shared" si="1626"/>
        <v>-284.899</v>
      </c>
      <c r="N204" s="23">
        <f t="shared" si="1626"/>
        <v>-94.138999999999996</v>
      </c>
      <c r="O204" s="23">
        <f t="shared" si="1626"/>
        <v>-243.78900000000002</v>
      </c>
      <c r="P204" s="23">
        <f t="shared" si="1626"/>
        <v>-278.20599999999985</v>
      </c>
      <c r="Q204" s="23">
        <f t="shared" si="1626"/>
        <v>-196.04500000000019</v>
      </c>
      <c r="R204" s="23">
        <f t="shared" si="1626"/>
        <v>-175.65499999999986</v>
      </c>
      <c r="S204" s="23">
        <f t="shared" si="1626"/>
        <v>-93.55000000000021</v>
      </c>
      <c r="T204" s="23">
        <f t="shared" si="1626"/>
        <v>-219.77499999999978</v>
      </c>
      <c r="U204" s="23">
        <f t="shared" si="1626"/>
        <v>-365.5920000000001</v>
      </c>
      <c r="V204" s="23">
        <f t="shared" si="1626"/>
        <v>-1195.1999999999996</v>
      </c>
      <c r="W204" s="23">
        <f t="shared" si="1626"/>
        <v>-179.64000000000016</v>
      </c>
      <c r="X204" s="23">
        <f t="shared" si="1626"/>
        <v>-193.70000000000044</v>
      </c>
      <c r="Y204" s="23">
        <f t="shared" si="1626"/>
        <v>-231.31999999999985</v>
      </c>
      <c r="Z204" s="23">
        <f t="shared" si="1626"/>
        <v>-593.14000000000021</v>
      </c>
      <c r="AA204" s="23">
        <f t="shared" si="1626"/>
        <v>-570.26999999999975</v>
      </c>
      <c r="AB204" s="24">
        <f t="shared" ref="AB204" si="1627">AA156-AB156+AA171+AA172-AB171-AB172</f>
        <v>-1009.2615000000006</v>
      </c>
      <c r="AC204" s="24">
        <f t="shared" ref="AC204" si="1628">AB156-AC156+AB171+AB172-AC171-AC172</f>
        <v>-893.03422499999942</v>
      </c>
      <c r="AD204" s="24">
        <f t="shared" ref="AD204" si="1629">AC156-AD156+AC171+AC172-AD171-AD172</f>
        <v>-1026.9893587500001</v>
      </c>
      <c r="AE204" s="24">
        <f t="shared" ref="AE204" si="1630">AD156-AE156+AD171+AD172-AE171-AE172</f>
        <v>-1181.0377625625006</v>
      </c>
      <c r="AI204" s="23">
        <f>AH156-AI156+AH171+AH172-AI171-AJ172</f>
        <v>0</v>
      </c>
      <c r="AJ204" s="23">
        <f t="shared" ref="AJ204:AL204" si="1631">AI156-AJ156+AI171+AI172-AJ171-AK172</f>
        <v>0</v>
      </c>
      <c r="AK204" s="23" t="e">
        <f t="shared" si="1631"/>
        <v>#DIV/0!</v>
      </c>
      <c r="AL204" s="23" t="e">
        <f t="shared" si="1631"/>
        <v>#DIV/0!</v>
      </c>
      <c r="AM204" s="23" t="e">
        <f t="shared" ref="AM204" si="1632">AL156-AM156+AL171+AL172-AM171-AM172</f>
        <v>#DIV/0!</v>
      </c>
      <c r="AN204" s="23" t="e">
        <f t="shared" ref="AN204" si="1633">AM156-AN156+AM171+AM172-AN171-AN172</f>
        <v>#DIV/0!</v>
      </c>
      <c r="AO204" s="23" t="e">
        <f t="shared" ref="AO204" si="1634">AN156-AO156+AN171+AN172-AO171-AO172</f>
        <v>#DIV/0!</v>
      </c>
      <c r="AP204" s="23" t="e">
        <f t="shared" ref="AP204" si="1635">AO156-AP156+AO171+AO172-AP171-AP172</f>
        <v>#DIV/0!</v>
      </c>
      <c r="AQ204" s="23" t="e">
        <f t="shared" ref="AQ204" si="1636">AP156-AQ156+AP171+AP172-AQ171-AQ172</f>
        <v>#DIV/0!</v>
      </c>
      <c r="AR204" s="23" t="e">
        <f t="shared" ref="AR204" si="1637">AQ156-AR156+AQ171+AQ172-AR171-AR172</f>
        <v>#DIV/0!</v>
      </c>
      <c r="AS204" s="23" t="e">
        <f t="shared" ref="AS204" si="1638">AR156-AS156+AR171+AR172-AS171-AS172</f>
        <v>#DIV/0!</v>
      </c>
      <c r="AT204" s="23" t="e">
        <f t="shared" ref="AT204" si="1639">AS156-AT156+AS171+AS172-AT171-AT172</f>
        <v>#DIV/0!</v>
      </c>
      <c r="AU204" s="23" t="e">
        <f t="shared" ref="AU204" si="1640">AT156-AU156+AT171+AT172-AU171-AU172</f>
        <v>#DIV/0!</v>
      </c>
      <c r="AV204" s="23" t="e">
        <f t="shared" ref="AV204" si="1641">AU156-AV156+AU171+AU172-AV171-AV172</f>
        <v>#DIV/0!</v>
      </c>
      <c r="AW204" s="23" t="e">
        <f t="shared" ref="AW204" si="1642">AV156-AW156+AV171+AV172-AW171-AW172</f>
        <v>#DIV/0!</v>
      </c>
      <c r="AX204" s="23" t="e">
        <f t="shared" ref="AX204" si="1643">AW156-AX156+AW171+AW172-AX171-AX172</f>
        <v>#DIV/0!</v>
      </c>
      <c r="AY204" s="23">
        <f t="shared" ref="AY204" si="1644">AX156-AY156+AX171+AX172-AY171-AY172</f>
        <v>154.44584246145837</v>
      </c>
      <c r="AZ204" s="23">
        <f t="shared" ref="AZ204" si="1645">AY156-AZ156+AY171+AY172-AZ171-AZ172</f>
        <v>942.63215753854172</v>
      </c>
      <c r="BA204" s="23">
        <f t="shared" ref="BA204" si="1646">AZ156-BA156+AZ171+AZ172-BA171-BA172</f>
        <v>0</v>
      </c>
      <c r="BB204" s="23">
        <f t="shared" ref="BB204" si="1647">BA156-BB156+BA171+BA172-BB171-BB172</f>
        <v>-1272.7329999999999</v>
      </c>
      <c r="BC204" s="23">
        <f t="shared" ref="BC204" si="1648">BB156-BC156+BB171+BB172-BC171-BC172</f>
        <v>3.4301680266212315</v>
      </c>
      <c r="BD204" s="23">
        <f t="shared" ref="BD204" si="1649">BC156-BD156+BC171+BC172-BD171-BD172</f>
        <v>-200.09016802662117</v>
      </c>
      <c r="BE204" s="23">
        <f t="shared" ref="BE204" si="1650">BD156-BE156+BD171+BD172-BE171-BE172</f>
        <v>138.10357267596237</v>
      </c>
      <c r="BF204" s="23">
        <f t="shared" ref="BF204" si="1651">BE156-BF156+BE171+BE172-BF171-BF172</f>
        <v>-34.993572675962419</v>
      </c>
      <c r="BG204" s="23">
        <f t="shared" ref="BG204" si="1652">BF156-BG156+BF171+BF172-BG171-BG172</f>
        <v>43.767664370626782</v>
      </c>
      <c r="BH204" s="23">
        <f t="shared" ref="BH204" si="1653">BG156-BH156+BG171+BG172-BH171-BH172</f>
        <v>-233.27666437062683</v>
      </c>
      <c r="BI204" s="23">
        <f t="shared" ref="BI204" si="1654">BH156-BI156+BH171+BH172-BI171-BI172</f>
        <v>133.72047975712258</v>
      </c>
      <c r="BJ204" s="23">
        <f t="shared" ref="BJ204" si="1655">BI156-BJ156+BI171+BI172-BJ171-BJ172</f>
        <v>-163.98647975712254</v>
      </c>
      <c r="BK204" s="23">
        <f t="shared" ref="BK204" si="1656">BJ156-BK156+BJ171+BJ172-BK171-BK172</f>
        <v>185.37074427900939</v>
      </c>
      <c r="BL204" s="23">
        <f t="shared" ref="BL204" si="1657">BK156-BL156+BK171+BK172-BL171-BL172</f>
        <v>-476.59474427900949</v>
      </c>
      <c r="BM204" s="23">
        <f t="shared" ref="BM204" si="1658">BL156-BM156+BL171+BL172-BM171-BM172</f>
        <v>-38.843359226299299</v>
      </c>
      <c r="BN204" s="23">
        <f t="shared" ref="BN204" si="1659">BM156-BN156+BM171+BM172-BN171-BN172</f>
        <v>-78.414640773700597</v>
      </c>
      <c r="BO204" s="23">
        <f t="shared" ref="BO204" si="1660">BN156-BO156+BN171+BN172-BO171-BO172</f>
        <v>-273.31767666897053</v>
      </c>
      <c r="BP204" s="23">
        <f t="shared" ref="BP204" si="1661">BO156-BP156+BO171+BO172-BP171-BP172</f>
        <v>-85.822323331029779</v>
      </c>
      <c r="BQ204" s="23">
        <f t="shared" ref="BQ204" si="1662">BP156-BQ156+BP171+BP172-BQ171-BQ172</f>
        <v>-267.14617084050496</v>
      </c>
      <c r="BR204" s="23">
        <f t="shared" ref="BR204" si="1663">BQ156-BR156+BQ171+BQ172-BR171-BR172</f>
        <v>-581.18382915949496</v>
      </c>
      <c r="BS204" s="23">
        <f t="shared" ref="BS204" si="1664">BR156-BS156+BR171+BR172-BS171-BS172</f>
        <v>272.30803177211374</v>
      </c>
      <c r="BT204" s="23">
        <f t="shared" ref="BT204" si="1665">BS156-BT156+BS171+BS172-BT171-BT172</f>
        <v>-416.64803177211388</v>
      </c>
      <c r="BU204" s="23">
        <f t="shared" ref="BU204" si="1666">BT156-BU156+BT171+BT172-BU171-BU172</f>
        <v>427.42288962010207</v>
      </c>
      <c r="BV204" s="23">
        <f t="shared" ref="BV204" si="1667">BU156-BV156+BU171+BU172-BV171-BV172</f>
        <v>-545.6128896201019</v>
      </c>
      <c r="BW204" s="23">
        <f t="shared" ref="BW204" si="1668">BV156-BW156+BV171+BV172-BW171-BW172</f>
        <v>-249.42857239109253</v>
      </c>
      <c r="BX204" s="23">
        <f t="shared" ref="BX204" si="1669">BW156-BX156+BW171+BW172-BX171-BX172</f>
        <v>-592.56142760890839</v>
      </c>
      <c r="BY204" s="23">
        <f t="shared" ref="BY204" si="1670">BX156-BY156+BX171+BX172-BY171-BY172</f>
        <v>78.739162631910403</v>
      </c>
      <c r="BZ204" s="23">
        <f t="shared" ref="BZ204" si="1671">BY156-BZ156+BY171+BY172-BZ171-BZ172</f>
        <v>574.17083736809093</v>
      </c>
      <c r="CA204" s="23">
        <f t="shared" ref="CA204" si="1672">BZ156-CA156+BZ171+BZ172-CA171-CA172</f>
        <v>470.81173691071081</v>
      </c>
      <c r="CB204" s="23">
        <f t="shared" ref="CB204" si="1673">CA156-CB156+CA171+CA172-CB171-CB172</f>
        <v>-618.74173691071087</v>
      </c>
      <c r="CC204" s="23">
        <f t="shared" ref="CC204" si="1674">CB156-CC156+CB171+CB172-CC171-CC172</f>
        <v>82.342021642370128</v>
      </c>
      <c r="CD204" s="23">
        <f t="shared" ref="CD204" si="1675">CC156-CD156+CC171+CC172-CD171-CD172</f>
        <v>-210.6220216423703</v>
      </c>
      <c r="CE204" s="23">
        <f t="shared" ref="CE204" si="1676">CD156-CE156+CD171+CD172-CE171-CE172</f>
        <v>596.4553340696134</v>
      </c>
      <c r="CF204" s="23">
        <f t="shared" ref="CF204" si="1677">CE156-CF156+CE171+CE172-CF171-CF172</f>
        <v>-1009.1353340696134</v>
      </c>
      <c r="CG204" s="23">
        <f t="shared" ref="CG204" si="1678">CF156-CG156+CF171+CF172-CG171-CG172</f>
        <v>-603.13326101168605</v>
      </c>
      <c r="CH204" s="23">
        <f t="shared" ref="CH204:CL204" si="1679">CG156-CH156+CG171+CG172-CH171-CH172</f>
        <v>600.99326101168549</v>
      </c>
      <c r="CI204" s="23">
        <f t="shared" si="1679"/>
        <v>383.46384909608787</v>
      </c>
      <c r="CJ204" s="23">
        <f t="shared" si="1679"/>
        <v>-499.27384909608702</v>
      </c>
      <c r="CK204" s="23">
        <f t="shared" ref="CK204" si="1680">CJ156-CK156+CJ171+CJ172-CK171-CK172</f>
        <v>-338.60766364070696</v>
      </c>
      <c r="CL204" s="23">
        <f t="shared" si="1679"/>
        <v>-348.56233635929368</v>
      </c>
      <c r="CM204" s="24">
        <f t="shared" ref="CM204" si="1681">CL156-CM156+CL171+CL172-CM171-CM172</f>
        <v>18.759684773428489</v>
      </c>
      <c r="CN204" s="24">
        <f t="shared" ref="CN204" si="1682">CM156-CN156+CM171+CM172-CN171-CN172</f>
        <v>-275.72978678715208</v>
      </c>
      <c r="CO204" s="24">
        <f t="shared" ref="CO204" si="1683">CN156-CO156+CN171+CN172-CO171-CO172</f>
        <v>-410.20967803065832</v>
      </c>
      <c r="CP204" s="24">
        <f t="shared" ref="CP204" si="1684">CO156-CP156+CO171+CO172-CP171-CP172</f>
        <v>-109.37171995561857</v>
      </c>
      <c r="CQ204" s="24">
        <f t="shared" ref="CQ204" si="1685">CP156-CQ156+CP171+CP172-CQ171-CQ172</f>
        <v>21.573637489443172</v>
      </c>
      <c r="CR204" s="24">
        <f t="shared" ref="CR204" si="1686">CQ156-CR156+CQ171+CQ172-CR171-CR172</f>
        <v>-317.0892548052243</v>
      </c>
      <c r="CS204" s="24">
        <f t="shared" ref="CS204" si="1687">CR156-CS156+CR171+CR172-CS171-CS172</f>
        <v>-471.74112973525826</v>
      </c>
      <c r="CT204" s="24">
        <f t="shared" ref="CT204" si="1688">CS156-CT156+CS171+CS172-CT171-CT172</f>
        <v>-125.77747794896004</v>
      </c>
      <c r="CU204" s="24">
        <f t="shared" ref="CU204" si="1689">CT156-CU156+CT171+CT172-CU171-CU172</f>
        <v>24.809683112859602</v>
      </c>
      <c r="CV204" s="24">
        <f t="shared" ref="CV204" si="1690">CU156-CV156+CU171+CU172-CV171-CV172</f>
        <v>-364.65264302600826</v>
      </c>
      <c r="CW204" s="24">
        <f t="shared" ref="CW204" si="1691">CV156-CW156+CV171+CV172-CW171-CW172</f>
        <v>-542.50229919554658</v>
      </c>
      <c r="CX204" s="24">
        <f t="shared" ref="CX204" si="1692">CW156-CX156+CW171+CW172-CX171-CX172</f>
        <v>-144.64409964130482</v>
      </c>
      <c r="CY204" s="24">
        <f t="shared" ref="CY204" si="1693">CX156-CY156+CX171+CX172-CY171-CY172</f>
        <v>28.531135579787588</v>
      </c>
      <c r="CZ204" s="24">
        <f t="shared" ref="CZ204" si="1694">CY156-CZ156+CY171+CY172-CZ171-CZ172</f>
        <v>-419.35053947990855</v>
      </c>
      <c r="DA204" s="24">
        <f t="shared" ref="DA204" si="1695">CZ156-DA156+CZ171+CZ172-DA171-DA172</f>
        <v>-623.87764407487703</v>
      </c>
      <c r="DB204" s="24">
        <f t="shared" ref="DB204" si="1696">DA156-DB156+DA171+DA172-DB171-DB172</f>
        <v>-166.34071458750259</v>
      </c>
      <c r="DE204" s="123"/>
      <c r="DF204" s="23">
        <v>-802.97999999999979</v>
      </c>
    </row>
    <row r="205" spans="1:110" s="23" customFormat="1" x14ac:dyDescent="0.2">
      <c r="A205" s="23" t="s">
        <v>73</v>
      </c>
      <c r="C205" s="23">
        <f t="shared" ref="C205:AA205" si="1697">B164-C164</f>
        <v>0</v>
      </c>
      <c r="D205" s="23">
        <f t="shared" si="1697"/>
        <v>0</v>
      </c>
      <c r="E205" s="23">
        <f>D164-E164</f>
        <v>0</v>
      </c>
      <c r="F205" s="23">
        <f t="shared" si="1697"/>
        <v>0</v>
      </c>
      <c r="G205" s="23">
        <f t="shared" si="1697"/>
        <v>0</v>
      </c>
      <c r="H205" s="23">
        <f t="shared" si="1697"/>
        <v>0</v>
      </c>
      <c r="I205" s="23">
        <f t="shared" si="1697"/>
        <v>0</v>
      </c>
      <c r="J205" s="23">
        <f>I164-J164</f>
        <v>0</v>
      </c>
      <c r="K205" s="23">
        <f>J164-K164</f>
        <v>0</v>
      </c>
      <c r="L205" s="23">
        <f t="shared" si="1697"/>
        <v>0</v>
      </c>
      <c r="M205" s="23">
        <f t="shared" si="1697"/>
        <v>-118.39099999999999</v>
      </c>
      <c r="N205" s="23">
        <f t="shared" si="1697"/>
        <v>-31.218000000000018</v>
      </c>
      <c r="O205" s="23">
        <f t="shared" si="1697"/>
        <v>-210.55499999999998</v>
      </c>
      <c r="P205" s="23">
        <f t="shared" si="1697"/>
        <v>25.322000000000003</v>
      </c>
      <c r="Q205" s="23">
        <f t="shared" si="1697"/>
        <v>-4.1739999999999782</v>
      </c>
      <c r="R205" s="23">
        <f t="shared" si="1697"/>
        <v>-142.20900000000006</v>
      </c>
      <c r="S205" s="23">
        <f t="shared" si="1697"/>
        <v>-72.948999999999955</v>
      </c>
      <c r="T205" s="23">
        <f t="shared" si="1697"/>
        <v>-182.67500000000007</v>
      </c>
      <c r="U205" s="23">
        <f t="shared" si="1697"/>
        <v>-186.8309999999999</v>
      </c>
      <c r="V205" s="23">
        <f t="shared" si="1697"/>
        <v>-753.93</v>
      </c>
      <c r="W205" s="23">
        <f t="shared" si="1697"/>
        <v>-130.24000000000024</v>
      </c>
      <c r="X205" s="23">
        <f t="shared" si="1697"/>
        <v>250.5300000000002</v>
      </c>
      <c r="Y205" s="23">
        <f t="shared" si="1697"/>
        <v>-150.05000000000018</v>
      </c>
      <c r="Z205" s="23">
        <f t="shared" si="1697"/>
        <v>-300.71999999999957</v>
      </c>
      <c r="AA205" s="23">
        <f t="shared" si="1697"/>
        <v>-644.87000000000035</v>
      </c>
      <c r="AB205" s="24">
        <f t="shared" ref="AB205" si="1698">AA164-AB164</f>
        <v>-397.94399999999951</v>
      </c>
      <c r="AC205" s="24">
        <f t="shared" ref="AC205" si="1699">AB164-AC164</f>
        <v>-457.63559999999961</v>
      </c>
      <c r="AD205" s="24">
        <f t="shared" ref="AD205" si="1700">AC164-AD164</f>
        <v>-526.28093999999965</v>
      </c>
      <c r="AE205" s="24">
        <f t="shared" ref="AE205" si="1701">AD164-AE164</f>
        <v>-605.22308100000009</v>
      </c>
      <c r="AI205" s="23">
        <f t="shared" ref="AI205" si="1702">AH164-AI164</f>
        <v>0</v>
      </c>
      <c r="AJ205" s="23">
        <f t="shared" ref="AJ205" si="1703">AI164-AJ164</f>
        <v>0</v>
      </c>
      <c r="AK205" s="23" t="e">
        <f t="shared" ref="AK205" si="1704">AJ164-AK164</f>
        <v>#DIV/0!</v>
      </c>
      <c r="AL205" s="23" t="e">
        <f t="shared" ref="AL205" si="1705">AK164-AL164</f>
        <v>#DIV/0!</v>
      </c>
      <c r="AM205" s="23" t="e">
        <f t="shared" ref="AM205" si="1706">AL164-AM164</f>
        <v>#DIV/0!</v>
      </c>
      <c r="AN205" s="23" t="e">
        <f t="shared" ref="AN205" si="1707">AM164-AN164</f>
        <v>#DIV/0!</v>
      </c>
      <c r="AO205" s="23" t="e">
        <f t="shared" ref="AO205" si="1708">AN164-AO164</f>
        <v>#DIV/0!</v>
      </c>
      <c r="AP205" s="23" t="e">
        <f t="shared" ref="AP205" si="1709">AO164-AP164</f>
        <v>#DIV/0!</v>
      </c>
      <c r="AQ205" s="23" t="e">
        <f t="shared" ref="AQ205" si="1710">AP164-AQ164</f>
        <v>#DIV/0!</v>
      </c>
      <c r="AR205" s="23" t="e">
        <f t="shared" ref="AR205" si="1711">AQ164-AR164</f>
        <v>#DIV/0!</v>
      </c>
      <c r="AS205" s="23" t="e">
        <f t="shared" ref="AS205" si="1712">AR164-AS164</f>
        <v>#DIV/0!</v>
      </c>
      <c r="AT205" s="23" t="e">
        <f t="shared" ref="AT205" si="1713">AS164-AT164</f>
        <v>#DIV/0!</v>
      </c>
      <c r="AU205" s="23" t="e">
        <f t="shared" ref="AU205" si="1714">AT164-AU164</f>
        <v>#DIV/0!</v>
      </c>
      <c r="AV205" s="23" t="e">
        <f t="shared" ref="AV205" si="1715">AU164-AV164</f>
        <v>#DIV/0!</v>
      </c>
      <c r="AW205" s="23" t="e">
        <f t="shared" ref="AW205" si="1716">AV164-AW164</f>
        <v>#DIV/0!</v>
      </c>
      <c r="AX205" s="23" t="e">
        <f t="shared" ref="AX205" si="1717">AW164-AX164</f>
        <v>#DIV/0!</v>
      </c>
      <c r="AY205" s="23">
        <f t="shared" ref="AY205" si="1718">AX164-AY164</f>
        <v>41.035081220630445</v>
      </c>
      <c r="AZ205" s="23">
        <f t="shared" ref="AZ205" si="1719">AY164-AZ164</f>
        <v>260.62991877936952</v>
      </c>
      <c r="BA205" s="23">
        <f t="shared" ref="BA205" si="1720">AZ164-BA164</f>
        <v>0</v>
      </c>
      <c r="BB205" s="23">
        <f t="shared" ref="BB205" si="1721">BA164-BB164</f>
        <v>-413.59200000000004</v>
      </c>
      <c r="BC205" s="23">
        <f t="shared" ref="BC205" si="1722">BB164-BC164</f>
        <v>0.83822313603582188</v>
      </c>
      <c r="BD205" s="23">
        <f t="shared" ref="BD205" si="1723">BC164-BD164</f>
        <v>-232.45122313603582</v>
      </c>
      <c r="BE205" s="23">
        <f t="shared" ref="BE205" si="1724">BD164-BE164</f>
        <v>40.329335480217651</v>
      </c>
      <c r="BF205" s="23">
        <f t="shared" ref="BF205" si="1725">BE164-BF164</f>
        <v>-29.029335480217696</v>
      </c>
      <c r="BG205" s="23">
        <f t="shared" ref="BG205" si="1726">BF164-BG164</f>
        <v>11.8315649025418</v>
      </c>
      <c r="BH205" s="23">
        <f t="shared" ref="BH205" si="1727">BG164-BH164</f>
        <v>-94.272564902541717</v>
      </c>
      <c r="BI205" s="23">
        <f t="shared" ref="BI205" si="1728">BH164-BI164</f>
        <v>44.622789816431236</v>
      </c>
      <c r="BJ205" s="23">
        <f t="shared" ref="BJ205" si="1729">BI164-BJ164</f>
        <v>-158.13678981643125</v>
      </c>
      <c r="BK205" s="23">
        <f t="shared" ref="BK205" si="1730">BJ164-BK164</f>
        <v>65.033590525866657</v>
      </c>
      <c r="BL205" s="23">
        <f t="shared" ref="BL205" si="1731">BK164-BL164</f>
        <v>-113.52859052586666</v>
      </c>
      <c r="BM205" s="23">
        <f t="shared" ref="BM205" si="1732">BL164-BM164</f>
        <v>-15.773012436484123</v>
      </c>
      <c r="BN205" s="23">
        <f t="shared" ref="BN205" si="1733">BM164-BN164</f>
        <v>-130.89198756351584</v>
      </c>
      <c r="BO205" s="23">
        <f t="shared" ref="BO205" si="1734">BN164-BO164</f>
        <v>-99.173991705794151</v>
      </c>
      <c r="BP205" s="23">
        <f t="shared" ref="BP205" si="1735">BO164-BP164</f>
        <v>-29.456008294205958</v>
      </c>
      <c r="BQ205" s="23">
        <f t="shared" ref="BQ205" si="1736">BP164-BQ164</f>
        <v>-96.631222823223652</v>
      </c>
      <c r="BR205" s="23">
        <f t="shared" ref="BR205" si="1737">BQ164-BR164</f>
        <v>-427.32877717677638</v>
      </c>
      <c r="BS205" s="23">
        <f t="shared" ref="BS205" si="1738">BR164-BS164</f>
        <v>111.38838802206897</v>
      </c>
      <c r="BT205" s="23">
        <f t="shared" ref="BT205" si="1739">BS164-BT164</f>
        <v>-10.558388022069039</v>
      </c>
      <c r="BU205" s="23">
        <f t="shared" ref="BU205" si="1740">BT164-BU164</f>
        <v>123.03047562070014</v>
      </c>
      <c r="BV205" s="23">
        <f t="shared" ref="BV205" si="1741">BU164-BV164</f>
        <v>-354.10047562070008</v>
      </c>
      <c r="BW205" s="23">
        <f t="shared" ref="BW205" si="1742">BV164-BW164</f>
        <v>-70.185622635682876</v>
      </c>
      <c r="BX205" s="23">
        <f t="shared" ref="BX205" si="1743">BW164-BX164</f>
        <v>-251.14437736431728</v>
      </c>
      <c r="BY205" s="23">
        <f t="shared" ref="BY205" si="1744">BX164-BY164</f>
        <v>22.028905824645335</v>
      </c>
      <c r="BZ205" s="23">
        <f t="shared" ref="BZ205" si="1745">BY164-BZ164</f>
        <v>549.83109417535502</v>
      </c>
      <c r="CA205" s="23">
        <f t="shared" ref="CA205" si="1746">BZ164-CA164</f>
        <v>102.46760916793392</v>
      </c>
      <c r="CB205" s="23">
        <f t="shared" ref="CB205" si="1747">CA164-CB164</f>
        <v>-394.88760916793399</v>
      </c>
      <c r="CC205" s="23">
        <f t="shared" ref="CC205" si="1748">CB164-CC164</f>
        <v>24.03905271754661</v>
      </c>
      <c r="CD205" s="23">
        <f t="shared" ref="CD205" si="1749">CC164-CD164</f>
        <v>118.33094728245328</v>
      </c>
      <c r="CE205" s="23">
        <f t="shared" ref="CE205" si="1750">CD164-CE164</f>
        <v>178.72255614133792</v>
      </c>
      <c r="CF205" s="23">
        <f t="shared" ref="CF205" si="1751">CE164-CF164</f>
        <v>-305.382556141338</v>
      </c>
      <c r="CG205" s="23">
        <f t="shared" ref="CG205" si="1752">CF164-CG164</f>
        <v>-165.47545190814731</v>
      </c>
      <c r="CH205" s="23">
        <f t="shared" ref="CH205:CL205" si="1753">CG164-CH164</f>
        <v>-8.5845480918521844</v>
      </c>
      <c r="CI205" s="23">
        <f t="shared" si="1753"/>
        <v>175.9457104574783</v>
      </c>
      <c r="CJ205" s="23">
        <f t="shared" si="1753"/>
        <v>-475.20571045747852</v>
      </c>
      <c r="CK205" s="23">
        <f t="shared" ref="CK205" si="1754">CJ164-CK164</f>
        <v>-174.18122312470177</v>
      </c>
      <c r="CL205" s="23">
        <f t="shared" si="1753"/>
        <v>-171.4287768752979</v>
      </c>
      <c r="CM205" s="24">
        <f t="shared" ref="CM205" si="1755">CL164-CM164</f>
        <v>9.6134049029296875</v>
      </c>
      <c r="CN205" s="24">
        <f t="shared" ref="CN205" si="1756">CM164-CN164</f>
        <v>-141.29779450973501</v>
      </c>
      <c r="CO205" s="24">
        <f t="shared" ref="CO205" si="1757">CN164-CO164</f>
        <v>-210.21204661150205</v>
      </c>
      <c r="CP205" s="24">
        <f t="shared" ref="CP205" si="1758">CO164-CP164</f>
        <v>-56.047563781692588</v>
      </c>
      <c r="CQ205" s="24">
        <f t="shared" ref="CQ205" si="1759">CP164-CQ164</f>
        <v>11.055415638369595</v>
      </c>
      <c r="CR205" s="24">
        <f t="shared" ref="CR205" si="1760">CQ164-CR164</f>
        <v>-162.49246368619515</v>
      </c>
      <c r="CS205" s="24">
        <f t="shared" ref="CS205" si="1761">CR164-CS164</f>
        <v>-241.74385360322822</v>
      </c>
      <c r="CT205" s="24">
        <f t="shared" ref="CT205" si="1762">CS164-CT164</f>
        <v>-64.45469834894584</v>
      </c>
      <c r="CU205" s="24">
        <f t="shared" ref="CU205" si="1763">CT164-CU164</f>
        <v>12.713727984124489</v>
      </c>
      <c r="CV205" s="24">
        <f t="shared" ref="CV205" si="1764">CU164-CV164</f>
        <v>-186.86633323912429</v>
      </c>
      <c r="CW205" s="24">
        <f t="shared" ref="CW205" si="1765">CV164-CW164</f>
        <v>-278.00543164371265</v>
      </c>
      <c r="CX205" s="24">
        <f t="shared" ref="CX205" si="1766">CW164-CX164</f>
        <v>-74.122903101287193</v>
      </c>
      <c r="CY205" s="24">
        <f t="shared" ref="CY205" si="1767">CX164-CY164</f>
        <v>14.620787181742344</v>
      </c>
      <c r="CZ205" s="24">
        <f t="shared" ref="CZ205" si="1768">CY164-CZ164</f>
        <v>-214.89628322499266</v>
      </c>
      <c r="DA205" s="24">
        <f t="shared" ref="DA205" si="1769">CZ164-DA164</f>
        <v>-319.70624639026755</v>
      </c>
      <c r="DB205" s="24">
        <f t="shared" ref="DB205" si="1770">DA164-DB164</f>
        <v>-85.241338566482227</v>
      </c>
      <c r="DE205" s="123"/>
      <c r="DF205" s="23">
        <v>-644.85999999999967</v>
      </c>
    </row>
    <row r="206" spans="1:110" s="22" customFormat="1" x14ac:dyDescent="0.2">
      <c r="A206" s="22" t="s">
        <v>90</v>
      </c>
      <c r="C206" s="22">
        <f t="shared" ref="C206:W206" si="1771">C204-C205</f>
        <v>0</v>
      </c>
      <c r="D206" s="22">
        <f t="shared" si="1771"/>
        <v>0</v>
      </c>
      <c r="E206" s="22">
        <f t="shared" si="1771"/>
        <v>0</v>
      </c>
      <c r="F206" s="22">
        <f t="shared" si="1771"/>
        <v>0</v>
      </c>
      <c r="G206" s="22">
        <f t="shared" si="1771"/>
        <v>0</v>
      </c>
      <c r="H206" s="22">
        <f t="shared" si="1771"/>
        <v>0</v>
      </c>
      <c r="I206" s="22">
        <f t="shared" si="1771"/>
        <v>0</v>
      </c>
      <c r="J206" s="22">
        <f>J204-J205</f>
        <v>0</v>
      </c>
      <c r="K206" s="22">
        <f t="shared" si="1771"/>
        <v>0</v>
      </c>
      <c r="L206" s="22">
        <f t="shared" si="1771"/>
        <v>0</v>
      </c>
      <c r="M206" s="22">
        <f t="shared" si="1771"/>
        <v>-166.50800000000001</v>
      </c>
      <c r="N206" s="22">
        <f t="shared" si="1771"/>
        <v>-62.920999999999978</v>
      </c>
      <c r="O206" s="22">
        <f t="shared" si="1771"/>
        <v>-33.234000000000037</v>
      </c>
      <c r="P206" s="22">
        <f t="shared" si="1771"/>
        <v>-303.52799999999985</v>
      </c>
      <c r="Q206" s="22">
        <f t="shared" si="1771"/>
        <v>-191.87100000000021</v>
      </c>
      <c r="R206" s="22">
        <f t="shared" si="1771"/>
        <v>-33.445999999999799</v>
      </c>
      <c r="S206" s="22">
        <f t="shared" si="1771"/>
        <v>-20.601000000000255</v>
      </c>
      <c r="T206" s="22">
        <f t="shared" si="1771"/>
        <v>-37.09999999999971</v>
      </c>
      <c r="U206" s="22">
        <f t="shared" si="1771"/>
        <v>-178.76100000000019</v>
      </c>
      <c r="V206" s="22">
        <f t="shared" si="1771"/>
        <v>-441.26999999999964</v>
      </c>
      <c r="W206" s="22">
        <f t="shared" si="1771"/>
        <v>-49.39999999999992</v>
      </c>
      <c r="X206" s="22">
        <f t="shared" ref="X206:Y206" si="1772">X204-X205</f>
        <v>-444.23000000000064</v>
      </c>
      <c r="Y206" s="22">
        <f t="shared" si="1772"/>
        <v>-81.269999999999669</v>
      </c>
      <c r="Z206" s="22">
        <f t="shared" ref="Z206:AA206" si="1773">Z204-Z205</f>
        <v>-292.42000000000064</v>
      </c>
      <c r="AA206" s="22">
        <f t="shared" ref="AA206" si="1774">AA204-AA205</f>
        <v>74.600000000000591</v>
      </c>
      <c r="AB206" s="21">
        <f t="shared" ref="AB206:AD206" si="1775">AB204-AB205</f>
        <v>-611.31750000000113</v>
      </c>
      <c r="AC206" s="21">
        <f t="shared" si="1775"/>
        <v>-435.39862499999981</v>
      </c>
      <c r="AD206" s="21">
        <f t="shared" si="1775"/>
        <v>-500.70841875000042</v>
      </c>
      <c r="AE206" s="21">
        <f t="shared" ref="AE206" si="1776">AE204-AE205</f>
        <v>-575.81468156250048</v>
      </c>
      <c r="AI206" s="22">
        <f t="shared" ref="AI206" si="1777">AI204-AI205</f>
        <v>0</v>
      </c>
      <c r="AJ206" s="22">
        <f t="shared" ref="AJ206:AL206" si="1778">AJ204-AJ205</f>
        <v>0</v>
      </c>
      <c r="AK206" s="22" t="e">
        <f t="shared" si="1778"/>
        <v>#DIV/0!</v>
      </c>
      <c r="AL206" s="22" t="e">
        <f t="shared" si="1778"/>
        <v>#DIV/0!</v>
      </c>
      <c r="AM206" s="22" t="e">
        <f t="shared" ref="AM206" si="1779">AM204-AM205</f>
        <v>#DIV/0!</v>
      </c>
      <c r="AN206" s="22" t="e">
        <f t="shared" ref="AN206:CD206" si="1780">AN204-AN205</f>
        <v>#DIV/0!</v>
      </c>
      <c r="AO206" s="22" t="e">
        <f t="shared" si="1780"/>
        <v>#DIV/0!</v>
      </c>
      <c r="AP206" s="22" t="e">
        <f t="shared" si="1780"/>
        <v>#DIV/0!</v>
      </c>
      <c r="AQ206" s="22" t="e">
        <f t="shared" si="1780"/>
        <v>#DIV/0!</v>
      </c>
      <c r="AR206" s="22" t="e">
        <f t="shared" si="1780"/>
        <v>#DIV/0!</v>
      </c>
      <c r="AS206" s="22" t="e">
        <f t="shared" si="1780"/>
        <v>#DIV/0!</v>
      </c>
      <c r="AT206" s="22" t="e">
        <f t="shared" si="1780"/>
        <v>#DIV/0!</v>
      </c>
      <c r="AU206" s="22" t="e">
        <f t="shared" si="1780"/>
        <v>#DIV/0!</v>
      </c>
      <c r="AV206" s="22" t="e">
        <f t="shared" si="1780"/>
        <v>#DIV/0!</v>
      </c>
      <c r="AW206" s="22" t="e">
        <f t="shared" si="1780"/>
        <v>#DIV/0!</v>
      </c>
      <c r="AX206" s="22" t="e">
        <f t="shared" si="1780"/>
        <v>#DIV/0!</v>
      </c>
      <c r="AY206" s="22">
        <f t="shared" si="1780"/>
        <v>113.41076124082792</v>
      </c>
      <c r="AZ206" s="22">
        <f t="shared" si="1780"/>
        <v>682.0022387591722</v>
      </c>
      <c r="BA206" s="22">
        <f t="shared" si="1780"/>
        <v>0</v>
      </c>
      <c r="BB206" s="22">
        <f t="shared" si="1780"/>
        <v>-859.14099999999985</v>
      </c>
      <c r="BC206" s="22">
        <f t="shared" si="1780"/>
        <v>2.5919448905854097</v>
      </c>
      <c r="BD206" s="22">
        <f t="shared" si="1780"/>
        <v>32.36105510941465</v>
      </c>
      <c r="BE206" s="22">
        <f t="shared" si="1780"/>
        <v>97.774237195744718</v>
      </c>
      <c r="BF206" s="22">
        <f t="shared" si="1780"/>
        <v>-5.9642371957447224</v>
      </c>
      <c r="BG206" s="22">
        <f t="shared" si="1780"/>
        <v>31.936099468084983</v>
      </c>
      <c r="BH206" s="22">
        <f t="shared" si="1780"/>
        <v>-139.00409946808512</v>
      </c>
      <c r="BI206" s="22">
        <f t="shared" si="1780"/>
        <v>89.097689940691339</v>
      </c>
      <c r="BJ206" s="22">
        <f t="shared" si="1780"/>
        <v>-5.8496899406912917</v>
      </c>
      <c r="BK206" s="22">
        <f t="shared" si="1780"/>
        <v>120.33715375314273</v>
      </c>
      <c r="BL206" s="22">
        <f t="shared" si="1780"/>
        <v>-363.06615375314283</v>
      </c>
      <c r="BM206" s="22">
        <f t="shared" si="1780"/>
        <v>-23.070346789815176</v>
      </c>
      <c r="BN206" s="22">
        <f t="shared" si="1780"/>
        <v>52.477346789815243</v>
      </c>
      <c r="BO206" s="22">
        <f t="shared" si="1780"/>
        <v>-174.14368496317638</v>
      </c>
      <c r="BP206" s="22">
        <f t="shared" si="1780"/>
        <v>-56.366315036823821</v>
      </c>
      <c r="BQ206" s="22">
        <f t="shared" si="1780"/>
        <v>-170.51494801728131</v>
      </c>
      <c r="BR206" s="22">
        <f t="shared" si="1780"/>
        <v>-153.85505198271858</v>
      </c>
      <c r="BS206" s="22">
        <f t="shared" si="1780"/>
        <v>160.91964375004477</v>
      </c>
      <c r="BT206" s="22">
        <f t="shared" si="1780"/>
        <v>-406.08964375004484</v>
      </c>
      <c r="BU206" s="22">
        <f t="shared" si="1780"/>
        <v>304.39241399940192</v>
      </c>
      <c r="BV206" s="22">
        <f t="shared" si="1780"/>
        <v>-191.51241399940182</v>
      </c>
      <c r="BW206" s="22">
        <f t="shared" si="1780"/>
        <v>-179.24294975540965</v>
      </c>
      <c r="BX206" s="22">
        <f t="shared" si="1780"/>
        <v>-341.41705024459111</v>
      </c>
      <c r="BY206" s="22">
        <f t="shared" si="1780"/>
        <v>56.710256807265068</v>
      </c>
      <c r="BZ206" s="22">
        <f t="shared" si="1780"/>
        <v>24.339743192735909</v>
      </c>
      <c r="CA206" s="22">
        <f t="shared" si="1780"/>
        <v>368.34412774277689</v>
      </c>
      <c r="CB206" s="22">
        <f t="shared" si="1780"/>
        <v>-223.85412774277688</v>
      </c>
      <c r="CC206" s="22">
        <f t="shared" si="1780"/>
        <v>58.302968924823517</v>
      </c>
      <c r="CD206" s="22">
        <f t="shared" si="1780"/>
        <v>-328.95296892482361</v>
      </c>
      <c r="CE206" s="22">
        <f t="shared" ref="CE206:CF206" si="1781">CE204-CE205</f>
        <v>417.73277792827548</v>
      </c>
      <c r="CF206" s="22">
        <f t="shared" si="1781"/>
        <v>-703.75277792827535</v>
      </c>
      <c r="CG206" s="22">
        <f t="shared" ref="CG206:CH206" si="1782">CG204-CG205</f>
        <v>-437.65780910353874</v>
      </c>
      <c r="CH206" s="22">
        <f t="shared" si="1782"/>
        <v>609.57780910353767</v>
      </c>
      <c r="CI206" s="22">
        <f t="shared" ref="CI206:CJ206" si="1783">CI204-CI205</f>
        <v>207.51813863860957</v>
      </c>
      <c r="CJ206" s="22">
        <f t="shared" si="1783"/>
        <v>-24.068138638608502</v>
      </c>
      <c r="CK206" s="22">
        <f t="shared" ref="CK206:DB206" si="1784">CK204-CK205</f>
        <v>-164.42644051600519</v>
      </c>
      <c r="CL206" s="22">
        <f t="shared" si="1784"/>
        <v>-177.13355948399578</v>
      </c>
      <c r="CM206" s="21">
        <f t="shared" si="1784"/>
        <v>9.1462798704988018</v>
      </c>
      <c r="CN206" s="21">
        <f t="shared" si="1784"/>
        <v>-134.43199227741707</v>
      </c>
      <c r="CO206" s="21">
        <f t="shared" si="1784"/>
        <v>-199.99763141915628</v>
      </c>
      <c r="CP206" s="21">
        <f t="shared" si="1784"/>
        <v>-53.324156173925985</v>
      </c>
      <c r="CQ206" s="21">
        <f t="shared" si="1784"/>
        <v>10.518221851073577</v>
      </c>
      <c r="CR206" s="21">
        <f t="shared" si="1784"/>
        <v>-154.59679111902915</v>
      </c>
      <c r="CS206" s="21">
        <f t="shared" si="1784"/>
        <v>-229.99727613203004</v>
      </c>
      <c r="CT206" s="21">
        <f t="shared" si="1784"/>
        <v>-61.322779600014201</v>
      </c>
      <c r="CU206" s="21">
        <f t="shared" si="1784"/>
        <v>12.095955128735113</v>
      </c>
      <c r="CV206" s="21">
        <f t="shared" si="1784"/>
        <v>-177.78630978688398</v>
      </c>
      <c r="CW206" s="21">
        <f t="shared" si="1784"/>
        <v>-264.49686755183393</v>
      </c>
      <c r="CX206" s="21">
        <f t="shared" si="1784"/>
        <v>-70.521196540017627</v>
      </c>
      <c r="CY206" s="21">
        <f t="shared" si="1784"/>
        <v>13.910348398045244</v>
      </c>
      <c r="CZ206" s="21">
        <f t="shared" si="1784"/>
        <v>-204.45425625491589</v>
      </c>
      <c r="DA206" s="21">
        <f t="shared" si="1784"/>
        <v>-304.17139768460947</v>
      </c>
      <c r="DB206" s="21">
        <f t="shared" si="1784"/>
        <v>-81.099376021020362</v>
      </c>
      <c r="DE206" s="126"/>
      <c r="DF206" s="22">
        <v>-158.12000000000012</v>
      </c>
    </row>
    <row r="207" spans="1:110" s="22" customFormat="1" x14ac:dyDescent="0.2">
      <c r="A207" s="22" t="s">
        <v>91</v>
      </c>
      <c r="C207" s="22">
        <f t="shared" ref="C207:W207" si="1785">C203+C206</f>
        <v>0</v>
      </c>
      <c r="D207" s="22">
        <f>D203+D206</f>
        <v>0</v>
      </c>
      <c r="E207" s="22">
        <f t="shared" si="1785"/>
        <v>0</v>
      </c>
      <c r="F207" s="22">
        <f t="shared" si="1785"/>
        <v>0</v>
      </c>
      <c r="G207" s="22">
        <f t="shared" si="1785"/>
        <v>0</v>
      </c>
      <c r="H207" s="22">
        <f t="shared" si="1785"/>
        <v>0</v>
      </c>
      <c r="I207" s="22">
        <f t="shared" si="1785"/>
        <v>0</v>
      </c>
      <c r="J207" s="22">
        <f>J203+J206</f>
        <v>0</v>
      </c>
      <c r="K207" s="22">
        <f t="shared" si="1785"/>
        <v>0</v>
      </c>
      <c r="L207" s="22">
        <f t="shared" si="1785"/>
        <v>0</v>
      </c>
      <c r="M207" s="22">
        <f t="shared" si="1785"/>
        <v>-126.66099999999996</v>
      </c>
      <c r="N207" s="22">
        <f t="shared" si="1785"/>
        <v>47.92600000000003</v>
      </c>
      <c r="O207" s="22">
        <f t="shared" si="1785"/>
        <v>96.862999999999744</v>
      </c>
      <c r="P207" s="22">
        <f t="shared" si="1785"/>
        <v>-173.63299999999998</v>
      </c>
      <c r="Q207" s="22">
        <f t="shared" si="1785"/>
        <v>28.272999999999968</v>
      </c>
      <c r="R207" s="22">
        <f t="shared" si="1785"/>
        <v>262.8120000000003</v>
      </c>
      <c r="S207" s="22">
        <f t="shared" si="1785"/>
        <v>272.46199999999999</v>
      </c>
      <c r="T207" s="22">
        <f t="shared" si="1785"/>
        <v>220.85600000000048</v>
      </c>
      <c r="U207" s="22">
        <f t="shared" si="1785"/>
        <v>263.77899999999983</v>
      </c>
      <c r="V207" s="22">
        <f t="shared" si="1785"/>
        <v>747.38000000000068</v>
      </c>
      <c r="W207" s="22">
        <f t="shared" si="1785"/>
        <v>1029.6099999999999</v>
      </c>
      <c r="X207" s="22">
        <f t="shared" ref="X207:Y207" si="1786">X203+X206</f>
        <v>664.37999999999965</v>
      </c>
      <c r="Y207" s="22">
        <f t="shared" si="1786"/>
        <v>460.99000000000058</v>
      </c>
      <c r="Z207" s="22">
        <f t="shared" ref="Z207:AA207" si="1787">Z203+Z206</f>
        <v>495.98999999999967</v>
      </c>
      <c r="AA207" s="22">
        <f t="shared" ref="AA207" si="1788">AA203+AA206</f>
        <v>1443.4399999999998</v>
      </c>
      <c r="AB207" s="21">
        <f t="shared" ref="AB207:AD207" si="1789">AB203+AB206</f>
        <v>847.32740860072875</v>
      </c>
      <c r="AC207" s="21">
        <f t="shared" si="1789"/>
        <v>1229.5277113047021</v>
      </c>
      <c r="AD207" s="21">
        <f t="shared" si="1789"/>
        <v>1402.1216108091553</v>
      </c>
      <c r="AE207" s="21">
        <f t="shared" ref="AE207" si="1790">AE203+AE206</f>
        <v>1878.5218152480152</v>
      </c>
      <c r="AI207" s="22">
        <f t="shared" ref="AI207" si="1791">AI203+AI206</f>
        <v>0</v>
      </c>
      <c r="AJ207" s="22">
        <f t="shared" ref="AJ207:AL207" si="1792">AJ203+AJ206</f>
        <v>0</v>
      </c>
      <c r="AK207" s="22" t="e">
        <f t="shared" si="1792"/>
        <v>#DIV/0!</v>
      </c>
      <c r="AL207" s="22" t="e">
        <f t="shared" si="1792"/>
        <v>#DIV/0!</v>
      </c>
      <c r="AM207" s="22" t="e">
        <f t="shared" ref="AM207" si="1793">AM203+AM206</f>
        <v>#DIV/0!</v>
      </c>
      <c r="AN207" s="22" t="e">
        <f t="shared" ref="AN207:CD207" si="1794">AN203+AN206</f>
        <v>#DIV/0!</v>
      </c>
      <c r="AO207" s="22" t="e">
        <f t="shared" si="1794"/>
        <v>#DIV/0!</v>
      </c>
      <c r="AP207" s="22" t="e">
        <f t="shared" si="1794"/>
        <v>#DIV/0!</v>
      </c>
      <c r="AQ207" s="22" t="e">
        <f t="shared" si="1794"/>
        <v>#DIV/0!</v>
      </c>
      <c r="AR207" s="22" t="e">
        <f t="shared" si="1794"/>
        <v>#DIV/0!</v>
      </c>
      <c r="AS207" s="22" t="e">
        <f t="shared" si="1794"/>
        <v>#DIV/0!</v>
      </c>
      <c r="AT207" s="22" t="e">
        <f t="shared" si="1794"/>
        <v>#DIV/0!</v>
      </c>
      <c r="AU207" s="22" t="e">
        <f t="shared" si="1794"/>
        <v>#DIV/0!</v>
      </c>
      <c r="AV207" s="22" t="e">
        <f t="shared" si="1794"/>
        <v>#DIV/0!</v>
      </c>
      <c r="AW207" s="22" t="e">
        <f t="shared" si="1794"/>
        <v>#DIV/0!</v>
      </c>
      <c r="AX207" s="22" t="e">
        <f t="shared" si="1794"/>
        <v>#DIV/0!</v>
      </c>
      <c r="AY207" s="22">
        <f t="shared" si="1794"/>
        <v>163.81076124082793</v>
      </c>
      <c r="AZ207" s="22">
        <f t="shared" si="1794"/>
        <v>755.87823875917229</v>
      </c>
      <c r="BA207" s="22">
        <f t="shared" si="1794"/>
        <v>72.455000000000027</v>
      </c>
      <c r="BB207" s="22">
        <f t="shared" si="1794"/>
        <v>-759.61399999999981</v>
      </c>
      <c r="BC207" s="22">
        <f t="shared" si="1794"/>
        <v>71.281944890585336</v>
      </c>
      <c r="BD207" s="22">
        <f t="shared" si="1794"/>
        <v>111.19605510941467</v>
      </c>
      <c r="BE207" s="22">
        <f t="shared" si="1794"/>
        <v>163.61923719574469</v>
      </c>
      <c r="BF207" s="22">
        <f t="shared" si="1794"/>
        <v>73.728762804255297</v>
      </c>
      <c r="BG207" s="22">
        <f t="shared" si="1794"/>
        <v>86.687099468085023</v>
      </c>
      <c r="BH207" s="22">
        <f t="shared" si="1794"/>
        <v>-82.976099468085181</v>
      </c>
      <c r="BI207" s="22">
        <f t="shared" si="1794"/>
        <v>149.62268994069129</v>
      </c>
      <c r="BJ207" s="22">
        <f t="shared" si="1794"/>
        <v>80.802310059308709</v>
      </c>
      <c r="BK207" s="22">
        <f t="shared" si="1794"/>
        <v>181.27715375314284</v>
      </c>
      <c r="BL207" s="22">
        <f t="shared" si="1794"/>
        <v>-258.68615375314289</v>
      </c>
      <c r="BM207" s="22">
        <f t="shared" si="1794"/>
        <v>97.949653210184934</v>
      </c>
      <c r="BN207" s="22">
        <f t="shared" si="1794"/>
        <v>208.67734678981518</v>
      </c>
      <c r="BO207" s="22">
        <f t="shared" si="1794"/>
        <v>46.436315036823601</v>
      </c>
      <c r="BP207" s="22">
        <f t="shared" si="1794"/>
        <v>236.90368496317609</v>
      </c>
      <c r="BQ207" s="22">
        <f t="shared" si="1794"/>
        <v>153.9750519827187</v>
      </c>
      <c r="BR207" s="22">
        <f t="shared" si="1794"/>
        <v>196.45494801728142</v>
      </c>
      <c r="BS207" s="22">
        <f t="shared" si="1794"/>
        <v>460.84964375004483</v>
      </c>
      <c r="BT207" s="22">
        <f t="shared" si="1794"/>
        <v>-140.99964375004481</v>
      </c>
      <c r="BU207" s="22">
        <f t="shared" si="1794"/>
        <v>522.14241399940192</v>
      </c>
      <c r="BV207" s="22">
        <f t="shared" si="1794"/>
        <v>104.72758600059797</v>
      </c>
      <c r="BW207" s="22">
        <f t="shared" si="1794"/>
        <v>142.82705024459028</v>
      </c>
      <c r="BX207" s="22">
        <f t="shared" si="1794"/>
        <v>-26.767050244590905</v>
      </c>
      <c r="BY207" s="22">
        <f t="shared" si="1794"/>
        <v>344.19025680726509</v>
      </c>
      <c r="BZ207" s="22">
        <f t="shared" si="1794"/>
        <v>214.329743192736</v>
      </c>
      <c r="CA207" s="22">
        <f t="shared" si="1794"/>
        <v>483.74412774277675</v>
      </c>
      <c r="CB207" s="22">
        <f t="shared" si="1794"/>
        <v>-93.534127742776661</v>
      </c>
      <c r="CC207" s="22">
        <f t="shared" si="1794"/>
        <v>179.85296892482359</v>
      </c>
      <c r="CD207" s="22">
        <f t="shared" si="1794"/>
        <v>-151.09296892482354</v>
      </c>
      <c r="CE207" s="22">
        <f t="shared" ref="CE207:CF207" si="1795">CE203+CE206</f>
        <v>536.30277792827553</v>
      </c>
      <c r="CF207" s="22">
        <f t="shared" si="1795"/>
        <v>-576.40277792827533</v>
      </c>
      <c r="CG207" s="22">
        <f t="shared" ref="CG207:CH207" si="1796">CG203+CG206</f>
        <v>-239.26780910353867</v>
      </c>
      <c r="CH207" s="22">
        <f t="shared" si="1796"/>
        <v>953.6778091035377</v>
      </c>
      <c r="CI207" s="22">
        <f t="shared" ref="CI207:CJ207" si="1797">CI203+CI206</f>
        <v>487.37813863860947</v>
      </c>
      <c r="CJ207" s="22">
        <f t="shared" si="1797"/>
        <v>291.39186136139142</v>
      </c>
      <c r="CK207" s="22">
        <f t="shared" ref="CK207:DB207" si="1798">CK203+CK206</f>
        <v>207.85355948399462</v>
      </c>
      <c r="CL207" s="22">
        <f t="shared" si="1798"/>
        <v>224.10644051600423</v>
      </c>
      <c r="CM207" s="21">
        <f t="shared" si="1798"/>
        <v>342.02251584638452</v>
      </c>
      <c r="CN207" s="21">
        <f t="shared" si="1798"/>
        <v>216.37939997970767</v>
      </c>
      <c r="CO207" s="21">
        <f t="shared" si="1798"/>
        <v>184.36799718581739</v>
      </c>
      <c r="CP207" s="21">
        <f t="shared" si="1798"/>
        <v>337.26749558881818</v>
      </c>
      <c r="CQ207" s="21">
        <f t="shared" si="1798"/>
        <v>398.59729314305542</v>
      </c>
      <c r="CR207" s="21">
        <f t="shared" si="1798"/>
        <v>246.01931152058762</v>
      </c>
      <c r="CS207" s="21">
        <f t="shared" si="1798"/>
        <v>204.03888950256106</v>
      </c>
      <c r="CT207" s="21">
        <f t="shared" si="1798"/>
        <v>380.87221713849715</v>
      </c>
      <c r="CU207" s="21">
        <f t="shared" si="1798"/>
        <v>456.75564433468071</v>
      </c>
      <c r="CV207" s="21">
        <f t="shared" si="1798"/>
        <v>297.63878083492244</v>
      </c>
      <c r="CW207" s="21">
        <f t="shared" si="1798"/>
        <v>221.51390699378157</v>
      </c>
      <c r="CX207" s="21">
        <f t="shared" si="1798"/>
        <v>426.21327864577154</v>
      </c>
      <c r="CY207" s="21">
        <f t="shared" si="1798"/>
        <v>519.44485461998363</v>
      </c>
      <c r="CZ207" s="21">
        <f t="shared" si="1798"/>
        <v>447.90026734799835</v>
      </c>
      <c r="DA207" s="21">
        <f t="shared" si="1798"/>
        <v>345.93657655836751</v>
      </c>
      <c r="DB207" s="21">
        <f t="shared" si="1798"/>
        <v>565.24011672166603</v>
      </c>
      <c r="DE207" s="126"/>
      <c r="DF207" s="22">
        <v>1210.7199999999987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2" customFormat="1" x14ac:dyDescent="0.2">
      <c r="A209" s="22" t="s">
        <v>92</v>
      </c>
      <c r="C209" s="22">
        <f t="shared" ref="C209:W209" si="1799">C210+C211</f>
        <v>0</v>
      </c>
      <c r="D209" s="22">
        <f>D210+D211</f>
        <v>0</v>
      </c>
      <c r="E209" s="22">
        <f t="shared" si="1799"/>
        <v>0</v>
      </c>
      <c r="F209" s="22">
        <f t="shared" si="1799"/>
        <v>0</v>
      </c>
      <c r="G209" s="22">
        <f t="shared" si="1799"/>
        <v>0</v>
      </c>
      <c r="H209" s="22">
        <f t="shared" si="1799"/>
        <v>0</v>
      </c>
      <c r="I209" s="22">
        <f t="shared" si="1799"/>
        <v>0</v>
      </c>
      <c r="J209" s="22">
        <f t="shared" si="1799"/>
        <v>0</v>
      </c>
      <c r="K209" s="22">
        <f t="shared" si="1799"/>
        <v>0</v>
      </c>
      <c r="L209" s="22">
        <f t="shared" si="1799"/>
        <v>0</v>
      </c>
      <c r="M209" s="22">
        <f t="shared" si="1799"/>
        <v>-236.92500000000004</v>
      </c>
      <c r="N209" s="22">
        <f t="shared" si="1799"/>
        <v>-112.30700000000002</v>
      </c>
      <c r="O209" s="22">
        <f t="shared" si="1799"/>
        <v>-339.91999999999996</v>
      </c>
      <c r="P209" s="22">
        <f t="shared" si="1799"/>
        <v>-364.28199999999993</v>
      </c>
      <c r="Q209" s="22">
        <f t="shared" si="1799"/>
        <v>-265.95099999999996</v>
      </c>
      <c r="R209" s="22">
        <f t="shared" si="1799"/>
        <v>-384.90600000000006</v>
      </c>
      <c r="S209" s="22">
        <f t="shared" si="1799"/>
        <v>-396.23700000000008</v>
      </c>
      <c r="T209" s="22">
        <f t="shared" si="1799"/>
        <v>-258.91799999999989</v>
      </c>
      <c r="U209" s="22">
        <f t="shared" si="1799"/>
        <v>-242.09400000000039</v>
      </c>
      <c r="V209" s="22">
        <f t="shared" si="1799"/>
        <v>-944.33999999999946</v>
      </c>
      <c r="W209" s="22">
        <f t="shared" si="1799"/>
        <v>-1211.7899999999995</v>
      </c>
      <c r="X209" s="22">
        <f t="shared" ref="X209:Y209" si="1800">X210+X211</f>
        <v>-836.88</v>
      </c>
      <c r="Y209" s="22">
        <f t="shared" si="1800"/>
        <v>-812.10999999999979</v>
      </c>
      <c r="Z209" s="22">
        <f t="shared" ref="Z209:AA209" si="1801">Z210+Z211</f>
        <v>-808.10000000000059</v>
      </c>
      <c r="AA209" s="22">
        <f t="shared" ref="AA209" si="1802">AA210+AA211</f>
        <v>-1118.4000000000003</v>
      </c>
      <c r="AB209" s="21">
        <f t="shared" ref="AB209:AD209" si="1803">AB210+AB211</f>
        <v>-567.29000000000087</v>
      </c>
      <c r="AC209" s="21">
        <f t="shared" si="1803"/>
        <v>-800</v>
      </c>
      <c r="AD209" s="21">
        <f t="shared" si="1803"/>
        <v>-800</v>
      </c>
      <c r="AE209" s="21">
        <f t="shared" ref="AE209" si="1804">AE210+AE211</f>
        <v>-800.00000000000091</v>
      </c>
      <c r="AI209" s="22">
        <f t="shared" ref="AI209" si="1805">AI210+AI211</f>
        <v>0</v>
      </c>
      <c r="AJ209" s="22">
        <f t="shared" ref="AJ209:AL209" si="1806">AJ210+AJ211</f>
        <v>0</v>
      </c>
      <c r="AK209" s="22">
        <f t="shared" si="1806"/>
        <v>0</v>
      </c>
      <c r="AL209" s="22">
        <f t="shared" si="1806"/>
        <v>0</v>
      </c>
      <c r="AM209" s="22">
        <f t="shared" ref="AM209" si="1807">AM210+AM211</f>
        <v>0</v>
      </c>
      <c r="AN209" s="22">
        <f t="shared" ref="AN209:CD209" si="1808">AN210+AN211</f>
        <v>0</v>
      </c>
      <c r="AO209" s="22">
        <f t="shared" si="1808"/>
        <v>0</v>
      </c>
      <c r="AP209" s="22">
        <f t="shared" si="1808"/>
        <v>0</v>
      </c>
      <c r="AQ209" s="22">
        <f t="shared" si="1808"/>
        <v>0</v>
      </c>
      <c r="AR209" s="22">
        <f t="shared" si="1808"/>
        <v>0</v>
      </c>
      <c r="AS209" s="22">
        <f t="shared" si="1808"/>
        <v>0</v>
      </c>
      <c r="AT209" s="22">
        <f t="shared" si="1808"/>
        <v>0</v>
      </c>
      <c r="AU209" s="22">
        <f t="shared" si="1808"/>
        <v>0</v>
      </c>
      <c r="AV209" s="22">
        <f t="shared" si="1808"/>
        <v>0</v>
      </c>
      <c r="AW209" s="22">
        <f t="shared" si="1808"/>
        <v>-23.632000000000001</v>
      </c>
      <c r="AX209" s="22">
        <f t="shared" si="1808"/>
        <v>-1122.4570000000001</v>
      </c>
      <c r="AY209" s="22">
        <f t="shared" si="1808"/>
        <v>-24.757000000000062</v>
      </c>
      <c r="AZ209" s="22">
        <f t="shared" si="1808"/>
        <v>1072.077</v>
      </c>
      <c r="BA209" s="22">
        <f t="shared" si="1808"/>
        <v>-27.436</v>
      </c>
      <c r="BB209" s="22">
        <f t="shared" si="1808"/>
        <v>-1404.79</v>
      </c>
      <c r="BC209" s="22">
        <f t="shared" si="1808"/>
        <v>-29.785000000000082</v>
      </c>
      <c r="BD209" s="22">
        <f t="shared" si="1808"/>
        <v>-135.55299999999988</v>
      </c>
      <c r="BE209" s="22">
        <f t="shared" si="1808"/>
        <v>-30.974999999999909</v>
      </c>
      <c r="BF209" s="22">
        <f t="shared" si="1808"/>
        <v>-199.92400000000021</v>
      </c>
      <c r="BG209" s="22">
        <f t="shared" si="1808"/>
        <v>-38.192999999999984</v>
      </c>
      <c r="BH209" s="22">
        <f t="shared" si="1808"/>
        <v>-100.99299999999994</v>
      </c>
      <c r="BI209" s="22">
        <f t="shared" si="1808"/>
        <v>-42.708000000000084</v>
      </c>
      <c r="BJ209" s="22">
        <f t="shared" si="1808"/>
        <v>-77.023999999999887</v>
      </c>
      <c r="BK209" s="22">
        <f t="shared" si="1808"/>
        <v>-45.839999999999918</v>
      </c>
      <c r="BL209" s="22">
        <f t="shared" si="1808"/>
        <v>-39.704999999999927</v>
      </c>
      <c r="BM209" s="22">
        <f t="shared" si="1808"/>
        <v>-47.549999999999955</v>
      </c>
      <c r="BN209" s="22">
        <f t="shared" si="1808"/>
        <v>-66.109000000000037</v>
      </c>
      <c r="BO209" s="22">
        <f t="shared" si="1808"/>
        <v>-48.799999999999955</v>
      </c>
      <c r="BP209" s="22">
        <f t="shared" si="1808"/>
        <v>-192.3599999999999</v>
      </c>
      <c r="BQ209" s="22">
        <f t="shared" si="1808"/>
        <v>-51.6400000000001</v>
      </c>
      <c r="BR209" s="22">
        <f t="shared" si="1808"/>
        <v>-639.27000000000021</v>
      </c>
      <c r="BS209" s="22">
        <f t="shared" si="1808"/>
        <v>-58.539999999999964</v>
      </c>
      <c r="BT209" s="22">
        <f t="shared" si="1808"/>
        <v>-511.08999999999969</v>
      </c>
      <c r="BU209" s="22">
        <f t="shared" si="1808"/>
        <v>-64.019999999999982</v>
      </c>
      <c r="BV209" s="22">
        <f t="shared" si="1808"/>
        <v>-495.25000000000034</v>
      </c>
      <c r="BW209" s="22">
        <f t="shared" si="1808"/>
        <v>-70.789999999999964</v>
      </c>
      <c r="BX209" s="22">
        <f t="shared" si="1808"/>
        <v>-319.33000000000015</v>
      </c>
      <c r="BY209" s="22">
        <f t="shared" si="1808"/>
        <v>-84.440000000000055</v>
      </c>
      <c r="BZ209" s="22">
        <f t="shared" si="1808"/>
        <v>-366.94000000000011</v>
      </c>
      <c r="CA209" s="22">
        <f t="shared" si="1808"/>
        <v>-90.550000000000182</v>
      </c>
      <c r="CB209" s="22">
        <f t="shared" si="1808"/>
        <v>-329.18999999999977</v>
      </c>
      <c r="CC209" s="22">
        <f t="shared" si="1808"/>
        <v>-98.409999999999854</v>
      </c>
      <c r="CD209" s="22">
        <f t="shared" si="1808"/>
        <v>-249.0699999999996</v>
      </c>
      <c r="CE209" s="22">
        <f t="shared" ref="CE209:CF209" si="1809">CE210+CE211</f>
        <v>-106.05999999999995</v>
      </c>
      <c r="CF209" s="22">
        <f t="shared" si="1809"/>
        <v>-161.53000000000083</v>
      </c>
      <c r="CG209" s="22">
        <f t="shared" ref="CG209:CH209" si="1810">CG210+CG211</f>
        <v>-106.09000000000015</v>
      </c>
      <c r="CH209" s="22">
        <f t="shared" si="1810"/>
        <v>-612.73999999999933</v>
      </c>
      <c r="CI209" s="22">
        <f t="shared" ref="CI209:CJ209" si="1811">CI210+CI211</f>
        <v>0</v>
      </c>
      <c r="CJ209" s="22">
        <f t="shared" si="1811"/>
        <v>-288.88000000000062</v>
      </c>
      <c r="CK209" s="22">
        <f t="shared" ref="CK209:DB209" si="1812">CK210+CK211</f>
        <v>0</v>
      </c>
      <c r="CL209" s="22">
        <f t="shared" si="1812"/>
        <v>-596.81000000000063</v>
      </c>
      <c r="CM209" s="21">
        <f t="shared" si="1812"/>
        <v>-200.00000000000091</v>
      </c>
      <c r="CN209" s="21">
        <f t="shared" si="1812"/>
        <v>-200</v>
      </c>
      <c r="CO209" s="21">
        <f t="shared" si="1812"/>
        <v>-200</v>
      </c>
      <c r="CP209" s="21">
        <f t="shared" si="1812"/>
        <v>-200</v>
      </c>
      <c r="CQ209" s="21">
        <f t="shared" si="1812"/>
        <v>-200</v>
      </c>
      <c r="CR209" s="21">
        <f t="shared" si="1812"/>
        <v>-200</v>
      </c>
      <c r="CS209" s="21">
        <f t="shared" si="1812"/>
        <v>-200.00000000000091</v>
      </c>
      <c r="CT209" s="21">
        <f t="shared" si="1812"/>
        <v>-199.99999999999909</v>
      </c>
      <c r="CU209" s="21">
        <f t="shared" si="1812"/>
        <v>-200.00000000000091</v>
      </c>
      <c r="CV209" s="21">
        <f t="shared" si="1812"/>
        <v>-200</v>
      </c>
      <c r="CW209" s="21">
        <f t="shared" si="1812"/>
        <v>-200</v>
      </c>
      <c r="CX209" s="21">
        <f t="shared" si="1812"/>
        <v>-200</v>
      </c>
      <c r="CY209" s="21">
        <f t="shared" si="1812"/>
        <v>-200</v>
      </c>
      <c r="CZ209" s="21">
        <f t="shared" si="1812"/>
        <v>-200</v>
      </c>
      <c r="DA209" s="21">
        <f t="shared" si="1812"/>
        <v>-200</v>
      </c>
      <c r="DB209" s="21">
        <f t="shared" si="1812"/>
        <v>-200</v>
      </c>
      <c r="DE209" s="126"/>
      <c r="DF209" s="22">
        <v>-885.69000000000028</v>
      </c>
    </row>
    <row r="210" spans="1:110" s="23" customFormat="1" x14ac:dyDescent="0.2">
      <c r="A210" s="23" t="s">
        <v>93</v>
      </c>
      <c r="C210" s="23">
        <f t="shared" ref="C210:AA210" si="1813">B148-C148</f>
        <v>0</v>
      </c>
      <c r="D210" s="23">
        <f t="shared" si="1813"/>
        <v>0</v>
      </c>
      <c r="E210" s="23">
        <f>D148-E148</f>
        <v>0</v>
      </c>
      <c r="F210" s="23">
        <f t="shared" si="1813"/>
        <v>0</v>
      </c>
      <c r="G210" s="23">
        <f t="shared" si="1813"/>
        <v>0</v>
      </c>
      <c r="H210" s="23">
        <f t="shared" si="1813"/>
        <v>0</v>
      </c>
      <c r="I210" s="23">
        <f t="shared" si="1813"/>
        <v>0</v>
      </c>
      <c r="J210" s="23">
        <f>I148-J148</f>
        <v>0</v>
      </c>
      <c r="K210" s="23">
        <f>J148-K148</f>
        <v>0</v>
      </c>
      <c r="L210" s="23">
        <f t="shared" si="1813"/>
        <v>0</v>
      </c>
      <c r="M210" s="23">
        <f t="shared" si="1813"/>
        <v>0</v>
      </c>
      <c r="N210" s="23">
        <f t="shared" si="1813"/>
        <v>0</v>
      </c>
      <c r="O210" s="23">
        <f t="shared" si="1813"/>
        <v>0</v>
      </c>
      <c r="P210" s="23">
        <f t="shared" si="1813"/>
        <v>-7.4470000000000001</v>
      </c>
      <c r="Q210" s="23">
        <f t="shared" si="1813"/>
        <v>0.40200000000000014</v>
      </c>
      <c r="R210" s="23">
        <f t="shared" si="1813"/>
        <v>3.64</v>
      </c>
      <c r="S210" s="23">
        <f t="shared" si="1813"/>
        <v>0</v>
      </c>
      <c r="T210" s="23">
        <f t="shared" si="1813"/>
        <v>0</v>
      </c>
      <c r="U210" s="23">
        <f t="shared" si="1813"/>
        <v>-5.0000000000003375E-3</v>
      </c>
      <c r="V210" s="23">
        <f t="shared" si="1813"/>
        <v>0</v>
      </c>
      <c r="W210" s="23">
        <f t="shared" si="1813"/>
        <v>-27.4</v>
      </c>
      <c r="X210" s="23">
        <f t="shared" si="1813"/>
        <v>-19.09</v>
      </c>
      <c r="Y210" s="23">
        <f t="shared" si="1813"/>
        <v>-74.080000000000013</v>
      </c>
      <c r="Z210" s="23">
        <f t="shared" si="1813"/>
        <v>-109.27999999999999</v>
      </c>
      <c r="AA210" s="23">
        <f t="shared" si="1813"/>
        <v>-76.009999999999991</v>
      </c>
      <c r="AB210" s="24">
        <f t="shared" ref="AB210" si="1814">AA148-AB148</f>
        <v>0</v>
      </c>
      <c r="AC210" s="24">
        <f t="shared" ref="AC210" si="1815">AB148-AC148</f>
        <v>0</v>
      </c>
      <c r="AD210" s="24">
        <f t="shared" ref="AD210" si="1816">AC148-AD148</f>
        <v>0</v>
      </c>
      <c r="AE210" s="24">
        <f t="shared" ref="AE210" si="1817">AD148-AE148</f>
        <v>0</v>
      </c>
      <c r="AI210" s="23">
        <f t="shared" ref="AI210" si="1818">AH148-AI148</f>
        <v>0</v>
      </c>
      <c r="AJ210" s="23">
        <f t="shared" ref="AJ210" si="1819">AI148-AJ148</f>
        <v>0</v>
      </c>
      <c r="AK210" s="23">
        <f t="shared" ref="AK210" si="1820">AJ148-AK148</f>
        <v>0</v>
      </c>
      <c r="AL210" s="23">
        <f t="shared" ref="AL210" si="1821">AK148-AL148</f>
        <v>0</v>
      </c>
      <c r="AM210" s="23">
        <f t="shared" ref="AM210" si="1822">AL148-AM148</f>
        <v>0</v>
      </c>
      <c r="AN210" s="23">
        <f t="shared" ref="AN210" si="1823">AM148-AN148</f>
        <v>0</v>
      </c>
      <c r="AO210" s="23">
        <f t="shared" ref="AO210" si="1824">AN148-AO148</f>
        <v>0</v>
      </c>
      <c r="AP210" s="23">
        <f t="shared" ref="AP210" si="1825">AO148-AP148</f>
        <v>0</v>
      </c>
      <c r="AQ210" s="23">
        <f t="shared" ref="AQ210" si="1826">AP148-AQ148</f>
        <v>0</v>
      </c>
      <c r="AR210" s="23">
        <f t="shared" ref="AR210" si="1827">AQ148-AR148</f>
        <v>0</v>
      </c>
      <c r="AS210" s="23">
        <f t="shared" ref="AS210" si="1828">AR148-AS148</f>
        <v>0</v>
      </c>
      <c r="AT210" s="23">
        <f t="shared" ref="AT210" si="1829">AS148-AT148</f>
        <v>0</v>
      </c>
      <c r="AU210" s="23">
        <f t="shared" ref="AU210" si="1830">AT148-AU148</f>
        <v>0</v>
      </c>
      <c r="AV210" s="23">
        <f t="shared" ref="AV210" si="1831">AU148-AV148</f>
        <v>0</v>
      </c>
      <c r="AW210" s="23">
        <f t="shared" ref="AW210" si="1832">AV148-AW148</f>
        <v>0</v>
      </c>
      <c r="AX210" s="23">
        <f t="shared" ref="AX210" si="1833">AW148-AX148</f>
        <v>-7.0449999999999999</v>
      </c>
      <c r="AY210" s="23">
        <f t="shared" ref="AY210" si="1834">AX148-AY148</f>
        <v>0</v>
      </c>
      <c r="AZ210" s="23">
        <f t="shared" ref="AZ210" si="1835">AY148-AZ148</f>
        <v>7.0449999999999999</v>
      </c>
      <c r="BA210" s="23">
        <f t="shared" ref="BA210" si="1836">AZ148-BA148</f>
        <v>0</v>
      </c>
      <c r="BB210" s="23">
        <f t="shared" ref="BB210" si="1837">BA148-BB148</f>
        <v>-3.4049999999999998</v>
      </c>
      <c r="BC210" s="23">
        <f t="shared" ref="BC210" si="1838">BB148-BC148</f>
        <v>0</v>
      </c>
      <c r="BD210" s="23">
        <f t="shared" ref="BD210" si="1839">BC148-BD148</f>
        <v>0</v>
      </c>
      <c r="BE210" s="23">
        <f t="shared" ref="BE210" si="1840">BD148-BE148</f>
        <v>0</v>
      </c>
      <c r="BF210" s="23">
        <f t="shared" ref="BF210" si="1841">BE148-BF148</f>
        <v>0</v>
      </c>
      <c r="BG210" s="23">
        <f t="shared" ref="BG210" si="1842">BF148-BG148</f>
        <v>0</v>
      </c>
      <c r="BH210" s="23">
        <f t="shared" ref="BH210" si="1843">BG148-BH148</f>
        <v>0</v>
      </c>
      <c r="BI210" s="23">
        <f t="shared" ref="BI210" si="1844">BH148-BI148</f>
        <v>0</v>
      </c>
      <c r="BJ210" s="23">
        <f t="shared" ref="BJ210" si="1845">BI148-BJ148</f>
        <v>0</v>
      </c>
      <c r="BK210" s="23">
        <f t="shared" ref="BK210" si="1846">BJ148-BK148</f>
        <v>0</v>
      </c>
      <c r="BL210" s="23">
        <f t="shared" ref="BL210" si="1847">BK148-BL148</f>
        <v>0</v>
      </c>
      <c r="BM210" s="23">
        <f t="shared" ref="BM210" si="1848">BL148-BM148</f>
        <v>0</v>
      </c>
      <c r="BN210" s="23">
        <f t="shared" ref="BN210" si="1849">BM148-BN148</f>
        <v>-5.0000000000003375E-3</v>
      </c>
      <c r="BO210" s="23">
        <f t="shared" ref="BO210" si="1850">BN148-BO148</f>
        <v>0</v>
      </c>
      <c r="BP210" s="23">
        <f t="shared" ref="BP210" si="1851">BO148-BP148</f>
        <v>0</v>
      </c>
      <c r="BQ210" s="23">
        <f t="shared" ref="BQ210" si="1852">BP148-BQ148</f>
        <v>0</v>
      </c>
      <c r="BR210" s="23">
        <f t="shared" ref="BR210" si="1853">BQ148-BR148</f>
        <v>0</v>
      </c>
      <c r="BS210" s="23">
        <f t="shared" ref="BS210" si="1854">BR148-BS148</f>
        <v>0</v>
      </c>
      <c r="BT210" s="23">
        <f t="shared" ref="BT210" si="1855">BS148-BT148</f>
        <v>0</v>
      </c>
      <c r="BU210" s="23">
        <f t="shared" ref="BU210" si="1856">BT148-BU148</f>
        <v>0</v>
      </c>
      <c r="BV210" s="23">
        <f t="shared" ref="BV210" si="1857">BU148-BV148</f>
        <v>-27.4</v>
      </c>
      <c r="BW210" s="23">
        <f t="shared" ref="BW210" si="1858">BV148-BW148</f>
        <v>0</v>
      </c>
      <c r="BX210" s="23">
        <f t="shared" ref="BX210" si="1859">BW148-BX148</f>
        <v>0.71999999999999886</v>
      </c>
      <c r="BY210" s="23">
        <f t="shared" ref="BY210" si="1860">BX148-BY148</f>
        <v>0</v>
      </c>
      <c r="BZ210" s="23">
        <f t="shared" ref="BZ210" si="1861">BY148-BZ148</f>
        <v>-19.809999999999999</v>
      </c>
      <c r="CA210" s="23">
        <f t="shared" ref="CA210" si="1862">BZ148-CA148</f>
        <v>0</v>
      </c>
      <c r="CB210" s="23">
        <f t="shared" ref="CB210" si="1863">CA148-CB148</f>
        <v>-44.199999999999996</v>
      </c>
      <c r="CC210" s="23">
        <f t="shared" ref="CC210" si="1864">CB148-CC148</f>
        <v>0</v>
      </c>
      <c r="CD210" s="23">
        <f t="shared" ref="CD210" si="1865">CC148-CD148</f>
        <v>-29.88000000000001</v>
      </c>
      <c r="CE210" s="23">
        <f t="shared" ref="CE210" si="1866">CD148-CE148</f>
        <v>0</v>
      </c>
      <c r="CF210" s="23">
        <f t="shared" ref="CF210" si="1867">CE148-CF148</f>
        <v>-2.7000000000000028</v>
      </c>
      <c r="CG210" s="23">
        <f t="shared" ref="CG210" si="1868">CF148-CG148</f>
        <v>0</v>
      </c>
      <c r="CH210" s="23">
        <f t="shared" ref="CH210:CL210" si="1869">CG148-CH148</f>
        <v>-106.57999999999998</v>
      </c>
      <c r="CI210" s="23">
        <f t="shared" si="1869"/>
        <v>0</v>
      </c>
      <c r="CJ210" s="23">
        <f t="shared" si="1869"/>
        <v>-28.060000000000002</v>
      </c>
      <c r="CK210" s="23">
        <f t="shared" ref="CK210" si="1870">CJ148-CK148</f>
        <v>0</v>
      </c>
      <c r="CL210" s="23">
        <f t="shared" si="1869"/>
        <v>-47.949999999999989</v>
      </c>
      <c r="CM210" s="24">
        <f t="shared" ref="CM210" si="1871">CL148-CM148</f>
        <v>0</v>
      </c>
      <c r="CN210" s="24">
        <f t="shared" ref="CN210" si="1872">CM148-CN148</f>
        <v>0</v>
      </c>
      <c r="CO210" s="24">
        <f t="shared" ref="CO210" si="1873">CN148-CO148</f>
        <v>0</v>
      </c>
      <c r="CP210" s="24">
        <f t="shared" ref="CP210" si="1874">CO148-CP148</f>
        <v>0</v>
      </c>
      <c r="CQ210" s="24">
        <f t="shared" ref="CQ210" si="1875">CP148-CQ148</f>
        <v>0</v>
      </c>
      <c r="CR210" s="24">
        <f t="shared" ref="CR210" si="1876">CQ148-CR148</f>
        <v>0</v>
      </c>
      <c r="CS210" s="24">
        <f t="shared" ref="CS210" si="1877">CR148-CS148</f>
        <v>0</v>
      </c>
      <c r="CT210" s="24">
        <f t="shared" ref="CT210" si="1878">CS148-CT148</f>
        <v>0</v>
      </c>
      <c r="CU210" s="24">
        <f t="shared" ref="CU210" si="1879">CT148-CU148</f>
        <v>0</v>
      </c>
      <c r="CV210" s="24">
        <f t="shared" ref="CV210" si="1880">CU148-CV148</f>
        <v>0</v>
      </c>
      <c r="CW210" s="24">
        <f t="shared" ref="CW210" si="1881">CV148-CW148</f>
        <v>0</v>
      </c>
      <c r="CX210" s="24">
        <f t="shared" ref="CX210" si="1882">CW148-CX148</f>
        <v>0</v>
      </c>
      <c r="CY210" s="24">
        <f t="shared" ref="CY210" si="1883">CX148-CY148</f>
        <v>0</v>
      </c>
      <c r="CZ210" s="24">
        <f t="shared" ref="CZ210" si="1884">CY148-CZ148</f>
        <v>0</v>
      </c>
      <c r="DA210" s="24">
        <f t="shared" ref="DA210" si="1885">CZ148-DA148</f>
        <v>0</v>
      </c>
      <c r="DB210" s="24">
        <f t="shared" ref="DB210" si="1886">DA148-DB148</f>
        <v>0</v>
      </c>
      <c r="DE210" s="123"/>
      <c r="DF210" s="23">
        <v>-76.009999999999991</v>
      </c>
    </row>
    <row r="211" spans="1:110" s="23" customFormat="1" x14ac:dyDescent="0.2">
      <c r="A211" s="23" t="s">
        <v>94</v>
      </c>
      <c r="C211" s="23">
        <f t="shared" ref="C211:AE211" si="1887">B146-C40-C146</f>
        <v>0</v>
      </c>
      <c r="D211" s="23">
        <f t="shared" si="1887"/>
        <v>0</v>
      </c>
      <c r="E211" s="23">
        <f t="shared" si="1887"/>
        <v>0</v>
      </c>
      <c r="F211" s="23">
        <f t="shared" si="1887"/>
        <v>0</v>
      </c>
      <c r="G211" s="23">
        <f t="shared" si="1887"/>
        <v>0</v>
      </c>
      <c r="H211" s="23">
        <f t="shared" si="1887"/>
        <v>0</v>
      </c>
      <c r="I211" s="23">
        <f t="shared" si="1887"/>
        <v>0</v>
      </c>
      <c r="J211" s="23">
        <f t="shared" si="1887"/>
        <v>0</v>
      </c>
      <c r="K211" s="23">
        <f t="shared" si="1887"/>
        <v>0</v>
      </c>
      <c r="L211" s="23">
        <f t="shared" si="1887"/>
        <v>0</v>
      </c>
      <c r="M211" s="23">
        <f t="shared" si="1887"/>
        <v>-236.92500000000004</v>
      </c>
      <c r="N211" s="23">
        <f t="shared" si="1887"/>
        <v>-112.30700000000002</v>
      </c>
      <c r="O211" s="23">
        <f t="shared" si="1887"/>
        <v>-339.91999999999996</v>
      </c>
      <c r="P211" s="23">
        <f t="shared" si="1887"/>
        <v>-356.83499999999992</v>
      </c>
      <c r="Q211" s="23">
        <f t="shared" si="1887"/>
        <v>-266.35299999999995</v>
      </c>
      <c r="R211" s="23">
        <f t="shared" si="1887"/>
        <v>-388.54600000000005</v>
      </c>
      <c r="S211" s="23">
        <f t="shared" si="1887"/>
        <v>-396.23700000000008</v>
      </c>
      <c r="T211" s="23">
        <f t="shared" si="1887"/>
        <v>-258.91799999999989</v>
      </c>
      <c r="U211" s="23">
        <f t="shared" si="1887"/>
        <v>-242.0890000000004</v>
      </c>
      <c r="V211" s="23">
        <f t="shared" si="1887"/>
        <v>-944.33999999999946</v>
      </c>
      <c r="W211" s="23">
        <f t="shared" si="1887"/>
        <v>-1184.3899999999994</v>
      </c>
      <c r="X211" s="23">
        <f t="shared" si="1887"/>
        <v>-817.79</v>
      </c>
      <c r="Y211" s="23">
        <f t="shared" si="1887"/>
        <v>-738.02999999999975</v>
      </c>
      <c r="Z211" s="23">
        <f t="shared" si="1887"/>
        <v>-698.82000000000062</v>
      </c>
      <c r="AA211" s="23">
        <f t="shared" si="1887"/>
        <v>-1042.3900000000003</v>
      </c>
      <c r="AB211" s="24">
        <f t="shared" si="1887"/>
        <v>-567.29000000000087</v>
      </c>
      <c r="AC211" s="24">
        <f t="shared" si="1887"/>
        <v>-800</v>
      </c>
      <c r="AD211" s="24">
        <f t="shared" si="1887"/>
        <v>-800</v>
      </c>
      <c r="AE211" s="24">
        <f t="shared" si="1887"/>
        <v>-800.00000000000091</v>
      </c>
      <c r="AI211" s="23">
        <f t="shared" ref="AI211:BN211" si="1888">AH146-AI40-AI146</f>
        <v>0</v>
      </c>
      <c r="AJ211" s="23">
        <f t="shared" si="1888"/>
        <v>0</v>
      </c>
      <c r="AK211" s="23">
        <f t="shared" si="1888"/>
        <v>0</v>
      </c>
      <c r="AL211" s="23">
        <f t="shared" si="1888"/>
        <v>0</v>
      </c>
      <c r="AM211" s="23">
        <f t="shared" si="1888"/>
        <v>0</v>
      </c>
      <c r="AN211" s="23">
        <f t="shared" si="1888"/>
        <v>0</v>
      </c>
      <c r="AO211" s="23">
        <f t="shared" si="1888"/>
        <v>0</v>
      </c>
      <c r="AP211" s="23">
        <f t="shared" si="1888"/>
        <v>0</v>
      </c>
      <c r="AQ211" s="23">
        <f t="shared" si="1888"/>
        <v>0</v>
      </c>
      <c r="AR211" s="23">
        <f t="shared" si="1888"/>
        <v>0</v>
      </c>
      <c r="AS211" s="23">
        <f t="shared" si="1888"/>
        <v>0</v>
      </c>
      <c r="AT211" s="23">
        <f t="shared" si="1888"/>
        <v>0</v>
      </c>
      <c r="AU211" s="23">
        <f t="shared" si="1888"/>
        <v>0</v>
      </c>
      <c r="AV211" s="23">
        <f t="shared" si="1888"/>
        <v>0</v>
      </c>
      <c r="AW211" s="23">
        <f t="shared" si="1888"/>
        <v>-23.632000000000001</v>
      </c>
      <c r="AX211" s="23">
        <f t="shared" si="1888"/>
        <v>-1115.412</v>
      </c>
      <c r="AY211" s="23">
        <f t="shared" si="1888"/>
        <v>-24.757000000000062</v>
      </c>
      <c r="AZ211" s="23">
        <f t="shared" si="1888"/>
        <v>1065.0319999999999</v>
      </c>
      <c r="BA211" s="23">
        <f t="shared" si="1888"/>
        <v>-27.436</v>
      </c>
      <c r="BB211" s="23">
        <f t="shared" si="1888"/>
        <v>-1401.385</v>
      </c>
      <c r="BC211" s="23">
        <f t="shared" si="1888"/>
        <v>-29.785000000000082</v>
      </c>
      <c r="BD211" s="23">
        <f t="shared" si="1888"/>
        <v>-135.55299999999988</v>
      </c>
      <c r="BE211" s="23">
        <f t="shared" si="1888"/>
        <v>-30.974999999999909</v>
      </c>
      <c r="BF211" s="23">
        <f t="shared" si="1888"/>
        <v>-199.92400000000021</v>
      </c>
      <c r="BG211" s="23">
        <f t="shared" si="1888"/>
        <v>-38.192999999999984</v>
      </c>
      <c r="BH211" s="23">
        <f t="shared" si="1888"/>
        <v>-100.99299999999994</v>
      </c>
      <c r="BI211" s="23">
        <f t="shared" si="1888"/>
        <v>-42.708000000000084</v>
      </c>
      <c r="BJ211" s="23">
        <f t="shared" si="1888"/>
        <v>-77.023999999999887</v>
      </c>
      <c r="BK211" s="23">
        <f t="shared" si="1888"/>
        <v>-45.839999999999918</v>
      </c>
      <c r="BL211" s="23">
        <f t="shared" si="1888"/>
        <v>-39.704999999999927</v>
      </c>
      <c r="BM211" s="23">
        <f t="shared" si="1888"/>
        <v>-47.549999999999955</v>
      </c>
      <c r="BN211" s="23">
        <f t="shared" si="1888"/>
        <v>-66.104000000000042</v>
      </c>
      <c r="BO211" s="23">
        <f t="shared" ref="BO211:CT211" si="1889">BN146-BO40-BO146</f>
        <v>-48.799999999999955</v>
      </c>
      <c r="BP211" s="23">
        <f t="shared" si="1889"/>
        <v>-192.3599999999999</v>
      </c>
      <c r="BQ211" s="23">
        <f t="shared" si="1889"/>
        <v>-51.6400000000001</v>
      </c>
      <c r="BR211" s="23">
        <f t="shared" si="1889"/>
        <v>-639.27000000000021</v>
      </c>
      <c r="BS211" s="23">
        <f t="shared" si="1889"/>
        <v>-58.539999999999964</v>
      </c>
      <c r="BT211" s="23">
        <f t="shared" si="1889"/>
        <v>-511.08999999999969</v>
      </c>
      <c r="BU211" s="23">
        <f t="shared" si="1889"/>
        <v>-64.019999999999982</v>
      </c>
      <c r="BV211" s="23">
        <f t="shared" si="1889"/>
        <v>-467.85000000000036</v>
      </c>
      <c r="BW211" s="23">
        <f t="shared" si="1889"/>
        <v>-70.789999999999964</v>
      </c>
      <c r="BX211" s="23">
        <f t="shared" si="1889"/>
        <v>-320.05000000000018</v>
      </c>
      <c r="BY211" s="23">
        <f t="shared" si="1889"/>
        <v>-84.440000000000055</v>
      </c>
      <c r="BZ211" s="23">
        <f t="shared" si="1889"/>
        <v>-347.13000000000011</v>
      </c>
      <c r="CA211" s="23">
        <f t="shared" si="1889"/>
        <v>-90.550000000000182</v>
      </c>
      <c r="CB211" s="23">
        <f t="shared" si="1889"/>
        <v>-284.98999999999978</v>
      </c>
      <c r="CC211" s="23">
        <f t="shared" si="1889"/>
        <v>-98.409999999999854</v>
      </c>
      <c r="CD211" s="23">
        <f t="shared" si="1889"/>
        <v>-219.1899999999996</v>
      </c>
      <c r="CE211" s="23">
        <f t="shared" si="1889"/>
        <v>-106.05999999999995</v>
      </c>
      <c r="CF211" s="23">
        <f t="shared" si="1889"/>
        <v>-158.83000000000084</v>
      </c>
      <c r="CG211" s="23">
        <f t="shared" si="1889"/>
        <v>-106.09000000000015</v>
      </c>
      <c r="CH211" s="23">
        <f t="shared" si="1889"/>
        <v>-506.1599999999994</v>
      </c>
      <c r="CI211" s="23">
        <f t="shared" si="1889"/>
        <v>0</v>
      </c>
      <c r="CJ211" s="23">
        <f t="shared" si="1889"/>
        <v>-260.82000000000062</v>
      </c>
      <c r="CK211" s="23">
        <f t="shared" si="1889"/>
        <v>0</v>
      </c>
      <c r="CL211" s="23">
        <f t="shared" si="1889"/>
        <v>-548.86000000000058</v>
      </c>
      <c r="CM211" s="24">
        <f t="shared" si="1889"/>
        <v>-200.00000000000091</v>
      </c>
      <c r="CN211" s="24">
        <f t="shared" si="1889"/>
        <v>-200</v>
      </c>
      <c r="CO211" s="24">
        <f t="shared" si="1889"/>
        <v>-200</v>
      </c>
      <c r="CP211" s="24">
        <f t="shared" si="1889"/>
        <v>-200</v>
      </c>
      <c r="CQ211" s="24">
        <f t="shared" si="1889"/>
        <v>-200</v>
      </c>
      <c r="CR211" s="24">
        <f t="shared" si="1889"/>
        <v>-200</v>
      </c>
      <c r="CS211" s="24">
        <f t="shared" si="1889"/>
        <v>-200.00000000000091</v>
      </c>
      <c r="CT211" s="24">
        <f t="shared" si="1889"/>
        <v>-199.99999999999909</v>
      </c>
      <c r="CU211" s="24">
        <f t="shared" ref="CU211:DB211" si="1890">CT146-CU40-CU146</f>
        <v>-200.00000000000091</v>
      </c>
      <c r="CV211" s="24">
        <f t="shared" si="1890"/>
        <v>-200</v>
      </c>
      <c r="CW211" s="24">
        <f t="shared" si="1890"/>
        <v>-200</v>
      </c>
      <c r="CX211" s="24">
        <f t="shared" si="1890"/>
        <v>-200</v>
      </c>
      <c r="CY211" s="24">
        <f t="shared" si="1890"/>
        <v>-200</v>
      </c>
      <c r="CZ211" s="24">
        <f t="shared" si="1890"/>
        <v>-200</v>
      </c>
      <c r="DA211" s="24">
        <f t="shared" si="1890"/>
        <v>-200</v>
      </c>
      <c r="DB211" s="24">
        <f t="shared" si="1890"/>
        <v>-200</v>
      </c>
      <c r="DE211" s="123"/>
      <c r="DF211" s="23">
        <v>-809.68000000000029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95</v>
      </c>
      <c r="C213" s="22">
        <f t="shared" ref="C213:W213" si="1891">C214+C215</f>
        <v>0</v>
      </c>
      <c r="D213" s="22">
        <f t="shared" si="1891"/>
        <v>0</v>
      </c>
      <c r="E213" s="22">
        <f t="shared" si="1891"/>
        <v>0</v>
      </c>
      <c r="F213" s="22">
        <f t="shared" si="1891"/>
        <v>0</v>
      </c>
      <c r="G213" s="22">
        <f t="shared" si="1891"/>
        <v>0</v>
      </c>
      <c r="H213" s="22">
        <f t="shared" si="1891"/>
        <v>0</v>
      </c>
      <c r="I213" s="22">
        <f t="shared" si="1891"/>
        <v>0</v>
      </c>
      <c r="J213" s="22">
        <f t="shared" si="1891"/>
        <v>0</v>
      </c>
      <c r="K213" s="22">
        <f t="shared" si="1891"/>
        <v>0</v>
      </c>
      <c r="L213" s="22">
        <f t="shared" si="1891"/>
        <v>0</v>
      </c>
      <c r="M213" s="22">
        <f t="shared" si="1891"/>
        <v>372.90999999999991</v>
      </c>
      <c r="N213" s="22">
        <f t="shared" si="1891"/>
        <v>68.674000000000035</v>
      </c>
      <c r="O213" s="22">
        <f t="shared" si="1891"/>
        <v>252.63500000000028</v>
      </c>
      <c r="P213" s="22">
        <f t="shared" si="1891"/>
        <v>573.60500000000002</v>
      </c>
      <c r="Q213" s="22">
        <f t="shared" si="1891"/>
        <v>207.56700000000001</v>
      </c>
      <c r="R213" s="22">
        <f t="shared" si="1891"/>
        <v>97.410999999999831</v>
      </c>
      <c r="S213" s="22">
        <f t="shared" si="1891"/>
        <v>122.74099999999987</v>
      </c>
      <c r="T213" s="22">
        <f t="shared" si="1891"/>
        <v>38.026000000000181</v>
      </c>
      <c r="U213" s="22">
        <f t="shared" si="1891"/>
        <v>-22.966000000000349</v>
      </c>
      <c r="V213" s="22">
        <f t="shared" si="1891"/>
        <v>243.67999999999952</v>
      </c>
      <c r="W213" s="22">
        <f t="shared" si="1891"/>
        <v>209.66000000000093</v>
      </c>
      <c r="X213" s="22">
        <f t="shared" ref="X213:Y213" si="1892">X214+X215</f>
        <v>145.01999999999907</v>
      </c>
      <c r="Y213" s="22">
        <f t="shared" si="1892"/>
        <v>444.31000000000017</v>
      </c>
      <c r="Z213" s="22">
        <f t="shared" ref="Z213:AA213" si="1893">Z214+Z215</f>
        <v>314.66999999999905</v>
      </c>
      <c r="AA213" s="22">
        <f t="shared" ref="AA213" si="1894">AA214+AA215</f>
        <v>-355.54999999999893</v>
      </c>
      <c r="AB213" s="21">
        <f t="shared" ref="AB213:AD213" si="1895">AB214+AB215</f>
        <v>-1.8189894035458565E-12</v>
      </c>
      <c r="AC213" s="21">
        <f t="shared" si="1895"/>
        <v>-1.8189894035458565E-12</v>
      </c>
      <c r="AD213" s="21">
        <f t="shared" si="1895"/>
        <v>0</v>
      </c>
      <c r="AE213" s="21">
        <f t="shared" ref="AE213" si="1896">AE214+AE215</f>
        <v>1.8189894035458565E-12</v>
      </c>
      <c r="AI213" s="22">
        <f t="shared" ref="AI213" si="1897">AI214+AI215</f>
        <v>0</v>
      </c>
      <c r="AJ213" s="22">
        <f t="shared" ref="AJ213:AL213" si="1898">AJ214+AJ215</f>
        <v>0</v>
      </c>
      <c r="AK213" s="22">
        <f t="shared" si="1898"/>
        <v>0</v>
      </c>
      <c r="AL213" s="22">
        <f t="shared" si="1898"/>
        <v>0</v>
      </c>
      <c r="AM213" s="22">
        <f t="shared" ref="AM213" si="1899">AM214+AM215</f>
        <v>0</v>
      </c>
      <c r="AN213" s="22">
        <f t="shared" ref="AN213:CD213" si="1900">AN214+AN215</f>
        <v>0</v>
      </c>
      <c r="AO213" s="22">
        <f t="shared" si="1900"/>
        <v>0</v>
      </c>
      <c r="AP213" s="22">
        <f t="shared" si="1900"/>
        <v>0</v>
      </c>
      <c r="AQ213" s="22">
        <f t="shared" si="1900"/>
        <v>0</v>
      </c>
      <c r="AR213" s="22">
        <f t="shared" si="1900"/>
        <v>0</v>
      </c>
      <c r="AS213" s="22">
        <f t="shared" si="1900"/>
        <v>0</v>
      </c>
      <c r="AT213" s="22">
        <f t="shared" si="1900"/>
        <v>0</v>
      </c>
      <c r="AU213" s="22">
        <f t="shared" si="1900"/>
        <v>0</v>
      </c>
      <c r="AV213" s="22">
        <f t="shared" si="1900"/>
        <v>0</v>
      </c>
      <c r="AW213" s="22">
        <f t="shared" si="1900"/>
        <v>0</v>
      </c>
      <c r="AX213" s="22">
        <f t="shared" si="1900"/>
        <v>1828.212</v>
      </c>
      <c r="AY213" s="22">
        <f t="shared" si="1900"/>
        <v>0</v>
      </c>
      <c r="AZ213" s="22">
        <f t="shared" si="1900"/>
        <v>-1995.7830000000004</v>
      </c>
      <c r="BA213" s="22">
        <f t="shared" si="1900"/>
        <v>0</v>
      </c>
      <c r="BB213" s="22">
        <f t="shared" si="1900"/>
        <v>2123.4760000000001</v>
      </c>
      <c r="BC213" s="22">
        <f t="shared" si="1900"/>
        <v>0</v>
      </c>
      <c r="BD213" s="22">
        <f t="shared" si="1900"/>
        <v>-15.75500000000045</v>
      </c>
      <c r="BE213" s="22">
        <f t="shared" si="1900"/>
        <v>0</v>
      </c>
      <c r="BF213" s="22">
        <f t="shared" si="1900"/>
        <v>-8.8679999999997108</v>
      </c>
      <c r="BG213" s="22">
        <f t="shared" si="1900"/>
        <v>0</v>
      </c>
      <c r="BH213" s="22">
        <f t="shared" si="1900"/>
        <v>141.54299999999978</v>
      </c>
      <c r="BI213" s="22">
        <f t="shared" si="1900"/>
        <v>0</v>
      </c>
      <c r="BJ213" s="22">
        <f t="shared" si="1900"/>
        <v>-116.7969999999998</v>
      </c>
      <c r="BK213" s="22">
        <f t="shared" si="1900"/>
        <v>0</v>
      </c>
      <c r="BL213" s="22">
        <f t="shared" si="1900"/>
        <v>164.76600000000008</v>
      </c>
      <c r="BM213" s="22">
        <f t="shared" si="1900"/>
        <v>0</v>
      </c>
      <c r="BN213" s="22">
        <f t="shared" si="1900"/>
        <v>-196.06100000000015</v>
      </c>
      <c r="BO213" s="22">
        <f t="shared" si="1900"/>
        <v>0</v>
      </c>
      <c r="BP213" s="22">
        <f t="shared" si="1900"/>
        <v>-41.729999999999905</v>
      </c>
      <c r="BQ213" s="22">
        <f t="shared" si="1900"/>
        <v>0</v>
      </c>
      <c r="BR213" s="22">
        <f t="shared" si="1900"/>
        <v>386.75000000000045</v>
      </c>
      <c r="BS213" s="22">
        <f t="shared" si="1900"/>
        <v>0</v>
      </c>
      <c r="BT213" s="22">
        <f t="shared" si="1900"/>
        <v>239.98999999999958</v>
      </c>
      <c r="BU213" s="22">
        <f t="shared" si="1900"/>
        <v>0</v>
      </c>
      <c r="BV213" s="22">
        <f t="shared" si="1900"/>
        <v>-30.329999999999984</v>
      </c>
      <c r="BW213" s="22">
        <f t="shared" si="1900"/>
        <v>0</v>
      </c>
      <c r="BX213" s="22">
        <f t="shared" si="1900"/>
        <v>250.30999999999975</v>
      </c>
      <c r="BY213" s="22">
        <f t="shared" si="1900"/>
        <v>0</v>
      </c>
      <c r="BZ213" s="22">
        <f t="shared" si="1900"/>
        <v>-110.86999999999966</v>
      </c>
      <c r="CA213" s="22">
        <f t="shared" si="1900"/>
        <v>0</v>
      </c>
      <c r="CB213" s="22">
        <f t="shared" si="1900"/>
        <v>48.22999999999989</v>
      </c>
      <c r="CC213" s="22">
        <f t="shared" si="1900"/>
        <v>0</v>
      </c>
      <c r="CD213" s="22">
        <f t="shared" si="1900"/>
        <v>393.20999999999992</v>
      </c>
      <c r="CE213" s="22">
        <f t="shared" ref="CE213:CF213" si="1901">CE214+CE215</f>
        <v>0</v>
      </c>
      <c r="CF213" s="22">
        <f t="shared" si="1901"/>
        <v>210.96000000000012</v>
      </c>
      <c r="CG213" s="22">
        <f t="shared" ref="CG213:CH213" si="1902">CG214+CG215</f>
        <v>-9.0949470177292824E-13</v>
      </c>
      <c r="CH213" s="22">
        <f t="shared" si="1902"/>
        <v>103.70999999999981</v>
      </c>
      <c r="CI213" s="22">
        <f t="shared" ref="CI213:CJ213" si="1903">CI214+CI215</f>
        <v>0</v>
      </c>
      <c r="CJ213" s="22">
        <f t="shared" si="1903"/>
        <v>-570.71999999999923</v>
      </c>
      <c r="CK213" s="22">
        <f t="shared" ref="CK213:DB213" si="1904">CK214+CK215</f>
        <v>0</v>
      </c>
      <c r="CL213" s="22">
        <f t="shared" si="1904"/>
        <v>215.17000000000024</v>
      </c>
      <c r="CM213" s="21">
        <f t="shared" si="1904"/>
        <v>0</v>
      </c>
      <c r="CN213" s="21">
        <f t="shared" si="1904"/>
        <v>0</v>
      </c>
      <c r="CO213" s="21">
        <f t="shared" si="1904"/>
        <v>0</v>
      </c>
      <c r="CP213" s="21">
        <f t="shared" si="1904"/>
        <v>0</v>
      </c>
      <c r="CQ213" s="21">
        <f t="shared" si="1904"/>
        <v>0</v>
      </c>
      <c r="CR213" s="21">
        <f t="shared" si="1904"/>
        <v>0</v>
      </c>
      <c r="CS213" s="21">
        <f t="shared" si="1904"/>
        <v>0</v>
      </c>
      <c r="CT213" s="21">
        <f t="shared" si="1904"/>
        <v>0</v>
      </c>
      <c r="CU213" s="21">
        <f t="shared" si="1904"/>
        <v>0</v>
      </c>
      <c r="CV213" s="21">
        <f t="shared" si="1904"/>
        <v>0</v>
      </c>
      <c r="CW213" s="21">
        <f t="shared" si="1904"/>
        <v>-9.0949470177292824E-13</v>
      </c>
      <c r="CX213" s="21">
        <f t="shared" si="1904"/>
        <v>0</v>
      </c>
      <c r="CY213" s="21">
        <f t="shared" si="1904"/>
        <v>0</v>
      </c>
      <c r="CZ213" s="21">
        <f t="shared" si="1904"/>
        <v>0</v>
      </c>
      <c r="DA213" s="21">
        <f t="shared" si="1904"/>
        <v>0</v>
      </c>
      <c r="DB213" s="21">
        <f t="shared" si="1904"/>
        <v>0</v>
      </c>
      <c r="DE213" s="126"/>
      <c r="DF213" s="22">
        <v>-355.5399999999978</v>
      </c>
    </row>
    <row r="214" spans="1:110" s="23" customFormat="1" x14ac:dyDescent="0.2">
      <c r="A214" s="23" t="s">
        <v>49</v>
      </c>
      <c r="C214" s="23">
        <f t="shared" ref="C214:AA214" si="1905">C136-B136</f>
        <v>0</v>
      </c>
      <c r="D214" s="23">
        <f t="shared" si="1905"/>
        <v>0</v>
      </c>
      <c r="E214" s="23">
        <f>E136-D136</f>
        <v>0</v>
      </c>
      <c r="F214" s="23">
        <f t="shared" si="1905"/>
        <v>0</v>
      </c>
      <c r="G214" s="23">
        <f t="shared" si="1905"/>
        <v>0</v>
      </c>
      <c r="H214" s="23">
        <f t="shared" si="1905"/>
        <v>0</v>
      </c>
      <c r="I214" s="23">
        <f t="shared" si="1905"/>
        <v>0</v>
      </c>
      <c r="J214" s="23">
        <f>J136-I136</f>
        <v>0</v>
      </c>
      <c r="K214" s="23">
        <f>K136-J136</f>
        <v>0</v>
      </c>
      <c r="L214" s="23">
        <f t="shared" si="1905"/>
        <v>0</v>
      </c>
      <c r="M214" s="23">
        <f t="shared" si="1905"/>
        <v>225.30099999999999</v>
      </c>
      <c r="N214" s="23">
        <f t="shared" si="1905"/>
        <v>66.78000000000003</v>
      </c>
      <c r="O214" s="23">
        <f t="shared" si="1905"/>
        <v>250.73400000000004</v>
      </c>
      <c r="P214" s="23">
        <f t="shared" si="1905"/>
        <v>278.29099999999994</v>
      </c>
      <c r="Q214" s="23">
        <f t="shared" si="1905"/>
        <v>206.60400000000004</v>
      </c>
      <c r="R214" s="23">
        <f t="shared" si="1905"/>
        <v>-185.96299999999997</v>
      </c>
      <c r="S214" s="23">
        <f t="shared" si="1905"/>
        <v>138.15999999999997</v>
      </c>
      <c r="T214" s="23">
        <f t="shared" si="1905"/>
        <v>56.022000000000048</v>
      </c>
      <c r="U214" s="23">
        <f t="shared" si="1905"/>
        <v>20.940999999999804</v>
      </c>
      <c r="V214" s="23">
        <f t="shared" si="1905"/>
        <v>396.33000000000015</v>
      </c>
      <c r="W214" s="23">
        <f t="shared" si="1905"/>
        <v>278.83000000000015</v>
      </c>
      <c r="X214" s="23">
        <f t="shared" si="1905"/>
        <v>239.9399999999996</v>
      </c>
      <c r="Y214" s="23">
        <f t="shared" si="1905"/>
        <v>535.08000000000038</v>
      </c>
      <c r="Z214" s="23">
        <f t="shared" si="1905"/>
        <v>186.03999999999996</v>
      </c>
      <c r="AA214" s="23">
        <f t="shared" si="1905"/>
        <v>-295.59999999999991</v>
      </c>
      <c r="AB214" s="24">
        <f t="shared" ref="AB214" si="1906">AB136-AA136</f>
        <v>0</v>
      </c>
      <c r="AC214" s="24">
        <f t="shared" ref="AC214" si="1907">AC136-AB136</f>
        <v>0</v>
      </c>
      <c r="AD214" s="24">
        <f t="shared" ref="AD214" si="1908">AD136-AC136</f>
        <v>0</v>
      </c>
      <c r="AE214" s="24">
        <f t="shared" ref="AE214" si="1909">AE136-AD136</f>
        <v>0</v>
      </c>
      <c r="AI214" s="23">
        <f t="shared" ref="AI214" si="1910">AI136-AH136</f>
        <v>0</v>
      </c>
      <c r="AJ214" s="23">
        <f t="shared" ref="AJ214" si="1911">AJ136-AI136</f>
        <v>0</v>
      </c>
      <c r="AK214" s="23">
        <f t="shared" ref="AK214" si="1912">AK136-AJ136</f>
        <v>0</v>
      </c>
      <c r="AL214" s="23">
        <f t="shared" ref="AL214" si="1913">AL136-AK136</f>
        <v>0</v>
      </c>
      <c r="AM214" s="23">
        <f t="shared" ref="AM214" si="1914">AM136-AL136</f>
        <v>0</v>
      </c>
      <c r="AN214" s="23">
        <f t="shared" ref="AN214" si="1915">AN136-AM136</f>
        <v>0</v>
      </c>
      <c r="AO214" s="23">
        <f t="shared" ref="AO214" si="1916">AO136-AN136</f>
        <v>0</v>
      </c>
      <c r="AP214" s="23">
        <f t="shared" ref="AP214" si="1917">AP136-AO136</f>
        <v>0</v>
      </c>
      <c r="AQ214" s="23">
        <f t="shared" ref="AQ214" si="1918">AQ136-AP136</f>
        <v>0</v>
      </c>
      <c r="AR214" s="23">
        <f t="shared" ref="AR214" si="1919">AR136-AQ136</f>
        <v>0</v>
      </c>
      <c r="AS214" s="23">
        <f t="shared" ref="AS214" si="1920">AS136-AR136</f>
        <v>0</v>
      </c>
      <c r="AT214" s="23">
        <f t="shared" ref="AT214" si="1921">AT136-AS136</f>
        <v>0</v>
      </c>
      <c r="AU214" s="23">
        <f t="shared" ref="AU214" si="1922">AU136-AT136</f>
        <v>0</v>
      </c>
      <c r="AV214" s="23">
        <f t="shared" ref="AV214" si="1923">AV136-AU136</f>
        <v>0</v>
      </c>
      <c r="AW214" s="23">
        <f t="shared" ref="AW214" si="1924">AW136-AV136</f>
        <v>0</v>
      </c>
      <c r="AX214" s="23">
        <f t="shared" ref="AX214" si="1925">AX136-AW136</f>
        <v>1065.0610000000001</v>
      </c>
      <c r="AY214" s="23">
        <f t="shared" ref="AY214" si="1926">AY136-AX136</f>
        <v>0</v>
      </c>
      <c r="AZ214" s="23">
        <f t="shared" ref="AZ214" si="1927">AZ136-AY136</f>
        <v>-1065.0610000000001</v>
      </c>
      <c r="BA214" s="23">
        <f t="shared" ref="BA214" si="1928">BA136-AZ136</f>
        <v>0</v>
      </c>
      <c r="BB214" s="23">
        <f t="shared" ref="BB214" si="1929">BB136-BA136</f>
        <v>909.38000000000011</v>
      </c>
      <c r="BC214" s="23">
        <f t="shared" ref="BC214" si="1930">BC136-BB136</f>
        <v>0</v>
      </c>
      <c r="BD214" s="23">
        <f t="shared" ref="BD214" si="1931">BD136-BC136</f>
        <v>1.0609999999998081</v>
      </c>
      <c r="BE214" s="23">
        <f t="shared" ref="BE214" si="1932">BE136-BD136</f>
        <v>0</v>
      </c>
      <c r="BF214" s="23">
        <f t="shared" ref="BF214" si="1933">BF136-BE136</f>
        <v>-10.264999999999873</v>
      </c>
      <c r="BG214" s="23">
        <f t="shared" ref="BG214" si="1934">BG136-BF136</f>
        <v>0</v>
      </c>
      <c r="BH214" s="23">
        <f t="shared" ref="BH214" si="1935">BH136-BG136</f>
        <v>164.33899999999983</v>
      </c>
      <c r="BI214" s="23">
        <f t="shared" ref="BI214" si="1936">BI136-BH136</f>
        <v>0</v>
      </c>
      <c r="BJ214" s="23">
        <f t="shared" ref="BJ214" si="1937">BJ136-BI136</f>
        <v>-121.59699999999975</v>
      </c>
      <c r="BK214" s="23">
        <f t="shared" ref="BK214" si="1938">BK136-BJ136</f>
        <v>0</v>
      </c>
      <c r="BL214" s="23">
        <f t="shared" ref="BL214" si="1939">BL136-BK136</f>
        <v>179.08500000000004</v>
      </c>
      <c r="BM214" s="23">
        <f t="shared" ref="BM214" si="1940">BM136-BL136</f>
        <v>0</v>
      </c>
      <c r="BN214" s="23">
        <f t="shared" ref="BN214" si="1941">BN136-BM136</f>
        <v>-166.47300000000018</v>
      </c>
      <c r="BO214" s="23">
        <f t="shared" ref="BO214" si="1942">BO136-BN136</f>
        <v>0</v>
      </c>
      <c r="BP214" s="23">
        <f t="shared" ref="BP214" si="1943">BP136-BO136</f>
        <v>-45.620000000000005</v>
      </c>
      <c r="BQ214" s="23">
        <f t="shared" ref="BQ214" si="1944">BQ136-BP136</f>
        <v>0</v>
      </c>
      <c r="BR214" s="23">
        <f t="shared" ref="BR214" si="1945">BR136-BQ136</f>
        <v>543.29000000000008</v>
      </c>
      <c r="BS214" s="23">
        <f t="shared" ref="BS214" si="1946">BS136-BR136</f>
        <v>0</v>
      </c>
      <c r="BT214" s="23">
        <f t="shared" ref="BT214" si="1947">BT136-BS136</f>
        <v>278.99999999999977</v>
      </c>
      <c r="BU214" s="23">
        <f t="shared" ref="BU214" si="1948">BU136-BT136</f>
        <v>0</v>
      </c>
      <c r="BV214" s="23">
        <f t="shared" ref="BV214" si="1949">BV136-BU136</f>
        <v>-0.16999999999961801</v>
      </c>
      <c r="BW214" s="23">
        <f t="shared" ref="BW214" si="1950">BW136-BV136</f>
        <v>0</v>
      </c>
      <c r="BX214" s="23">
        <f t="shared" ref="BX214" si="1951">BX136-BW136</f>
        <v>320.56999999999971</v>
      </c>
      <c r="BY214" s="23">
        <f t="shared" ref="BY214" si="1952">BY136-BX136</f>
        <v>0</v>
      </c>
      <c r="BZ214" s="23">
        <f t="shared" ref="BZ214" si="1953">BZ136-BY136</f>
        <v>-80.630000000000109</v>
      </c>
      <c r="CA214" s="23">
        <f t="shared" ref="CA214" si="1954">CA136-BZ136</f>
        <v>0</v>
      </c>
      <c r="CB214" s="23">
        <f t="shared" ref="CB214" si="1955">CB136-CA136</f>
        <v>115.63000000000011</v>
      </c>
      <c r="CC214" s="23">
        <f t="shared" ref="CC214" si="1956">CC136-CB136</f>
        <v>0</v>
      </c>
      <c r="CD214" s="23">
        <f t="shared" ref="CD214" si="1957">CD136-CC136</f>
        <v>419.45000000000027</v>
      </c>
      <c r="CE214" s="23">
        <f t="shared" ref="CE214" si="1958">CE136-CD136</f>
        <v>0</v>
      </c>
      <c r="CF214" s="23">
        <f t="shared" ref="CF214" si="1959">CF136-CE136</f>
        <v>214.7199999999998</v>
      </c>
      <c r="CG214" s="23">
        <f t="shared" ref="CG214" si="1960">CG136-CF136</f>
        <v>0</v>
      </c>
      <c r="CH214" s="23">
        <f t="shared" ref="CH214:CL214" si="1961">CH136-CG136</f>
        <v>-28.679999999999836</v>
      </c>
      <c r="CI214" s="23">
        <f t="shared" si="1961"/>
        <v>0</v>
      </c>
      <c r="CJ214" s="23">
        <f t="shared" si="1961"/>
        <v>-543.74000000000024</v>
      </c>
      <c r="CK214" s="23">
        <f t="shared" ref="CK214" si="1962">CK136-CJ136</f>
        <v>0</v>
      </c>
      <c r="CL214" s="23">
        <f t="shared" si="1961"/>
        <v>248.14000000000033</v>
      </c>
      <c r="CM214" s="24">
        <f t="shared" ref="CM214" si="1963">CM136-CL136</f>
        <v>0</v>
      </c>
      <c r="CN214" s="24">
        <f t="shared" ref="CN214" si="1964">CN136-CM136</f>
        <v>0</v>
      </c>
      <c r="CO214" s="24">
        <f t="shared" ref="CO214" si="1965">CO136-CN136</f>
        <v>0</v>
      </c>
      <c r="CP214" s="24">
        <f t="shared" ref="CP214" si="1966">CP136-CO136</f>
        <v>0</v>
      </c>
      <c r="CQ214" s="24">
        <f t="shared" ref="CQ214" si="1967">CQ136-CP136</f>
        <v>0</v>
      </c>
      <c r="CR214" s="24">
        <f t="shared" ref="CR214" si="1968">CR136-CQ136</f>
        <v>0</v>
      </c>
      <c r="CS214" s="24">
        <f t="shared" ref="CS214" si="1969">CS136-CR136</f>
        <v>0</v>
      </c>
      <c r="CT214" s="24">
        <f t="shared" ref="CT214" si="1970">CT136-CS136</f>
        <v>0</v>
      </c>
      <c r="CU214" s="24">
        <f t="shared" ref="CU214" si="1971">CU136-CT136</f>
        <v>0</v>
      </c>
      <c r="CV214" s="24">
        <f t="shared" ref="CV214" si="1972">CV136-CU136</f>
        <v>0</v>
      </c>
      <c r="CW214" s="24">
        <f t="shared" ref="CW214" si="1973">CW136-CV136</f>
        <v>0</v>
      </c>
      <c r="CX214" s="24">
        <f t="shared" ref="CX214" si="1974">CX136-CW136</f>
        <v>0</v>
      </c>
      <c r="CY214" s="24">
        <f t="shared" ref="CY214" si="1975">CY136-CX136</f>
        <v>0</v>
      </c>
      <c r="CZ214" s="24">
        <f t="shared" ref="CZ214" si="1976">CZ136-CY136</f>
        <v>0</v>
      </c>
      <c r="DA214" s="24">
        <f t="shared" ref="DA214" si="1977">DA136-CZ136</f>
        <v>0</v>
      </c>
      <c r="DB214" s="24">
        <f t="shared" ref="DB214" si="1978">DB136-DA136</f>
        <v>0</v>
      </c>
      <c r="DE214" s="123"/>
      <c r="DF214" s="23">
        <v>-295.58999999999969</v>
      </c>
    </row>
    <row r="215" spans="1:110" s="23" customFormat="1" x14ac:dyDescent="0.2">
      <c r="A215" s="23" t="s">
        <v>27</v>
      </c>
      <c r="C215" s="23">
        <f t="shared" ref="C215:AE215" si="1979">C128-C56-B128+C130-B130</f>
        <v>0</v>
      </c>
      <c r="D215" s="23">
        <f t="shared" si="1979"/>
        <v>0</v>
      </c>
      <c r="E215" s="23">
        <f t="shared" si="1979"/>
        <v>0</v>
      </c>
      <c r="F215" s="23">
        <f t="shared" si="1979"/>
        <v>0</v>
      </c>
      <c r="G215" s="23">
        <f t="shared" si="1979"/>
        <v>0</v>
      </c>
      <c r="H215" s="23">
        <f t="shared" si="1979"/>
        <v>0</v>
      </c>
      <c r="I215" s="23">
        <f t="shared" si="1979"/>
        <v>0</v>
      </c>
      <c r="J215" s="23">
        <f t="shared" si="1979"/>
        <v>0</v>
      </c>
      <c r="K215" s="23">
        <f t="shared" si="1979"/>
        <v>0</v>
      </c>
      <c r="L215" s="23">
        <f t="shared" si="1979"/>
        <v>0</v>
      </c>
      <c r="M215" s="23">
        <f t="shared" si="1979"/>
        <v>147.60899999999992</v>
      </c>
      <c r="N215" s="23">
        <f t="shared" si="1979"/>
        <v>1.8940000000000055</v>
      </c>
      <c r="O215" s="23">
        <f t="shared" si="1979"/>
        <v>1.9010000000002378</v>
      </c>
      <c r="P215" s="23">
        <f t="shared" si="1979"/>
        <v>295.31400000000002</v>
      </c>
      <c r="Q215" s="23">
        <f t="shared" si="1979"/>
        <v>0.96299999999996544</v>
      </c>
      <c r="R215" s="23">
        <f t="shared" si="1979"/>
        <v>283.3739999999998</v>
      </c>
      <c r="S215" s="23">
        <f t="shared" si="1979"/>
        <v>-15.419000000000096</v>
      </c>
      <c r="T215" s="23">
        <f t="shared" si="1979"/>
        <v>-17.995999999999867</v>
      </c>
      <c r="U215" s="23">
        <f t="shared" si="1979"/>
        <v>-43.907000000000153</v>
      </c>
      <c r="V215" s="23">
        <f t="shared" si="1979"/>
        <v>-152.65000000000063</v>
      </c>
      <c r="W215" s="23">
        <f t="shared" si="1979"/>
        <v>-69.169999999999206</v>
      </c>
      <c r="X215" s="23">
        <f t="shared" si="1979"/>
        <v>-94.920000000000513</v>
      </c>
      <c r="Y215" s="23">
        <f t="shared" si="1979"/>
        <v>-90.770000000000209</v>
      </c>
      <c r="Z215" s="23">
        <f t="shared" si="1979"/>
        <v>128.62999999999906</v>
      </c>
      <c r="AA215" s="23">
        <f t="shared" si="1979"/>
        <v>-59.949999999999051</v>
      </c>
      <c r="AB215" s="24">
        <f t="shared" si="1979"/>
        <v>-1.8189894035458565E-12</v>
      </c>
      <c r="AC215" s="24">
        <f t="shared" si="1979"/>
        <v>-1.8189894035458565E-12</v>
      </c>
      <c r="AD215" s="24">
        <f t="shared" si="1979"/>
        <v>0</v>
      </c>
      <c r="AE215" s="24">
        <f t="shared" si="1979"/>
        <v>1.8189894035458565E-12</v>
      </c>
      <c r="AI215" s="23">
        <f t="shared" ref="AI215:BN215" si="1980">AI128-AI56-AH128+AI130-AH130</f>
        <v>0</v>
      </c>
      <c r="AJ215" s="23">
        <f t="shared" si="1980"/>
        <v>0</v>
      </c>
      <c r="AK215" s="23">
        <f t="shared" si="1980"/>
        <v>0</v>
      </c>
      <c r="AL215" s="23">
        <f t="shared" si="1980"/>
        <v>0</v>
      </c>
      <c r="AM215" s="23">
        <f t="shared" si="1980"/>
        <v>0</v>
      </c>
      <c r="AN215" s="23">
        <f t="shared" si="1980"/>
        <v>0</v>
      </c>
      <c r="AO215" s="23">
        <f t="shared" si="1980"/>
        <v>0</v>
      </c>
      <c r="AP215" s="23">
        <f t="shared" si="1980"/>
        <v>0</v>
      </c>
      <c r="AQ215" s="23">
        <f t="shared" si="1980"/>
        <v>0</v>
      </c>
      <c r="AR215" s="23">
        <f t="shared" si="1980"/>
        <v>0</v>
      </c>
      <c r="AS215" s="23">
        <f t="shared" si="1980"/>
        <v>0</v>
      </c>
      <c r="AT215" s="23">
        <f t="shared" si="1980"/>
        <v>0</v>
      </c>
      <c r="AU215" s="23">
        <f t="shared" si="1980"/>
        <v>0</v>
      </c>
      <c r="AV215" s="23">
        <f t="shared" si="1980"/>
        <v>0</v>
      </c>
      <c r="AW215" s="23">
        <f t="shared" si="1980"/>
        <v>0</v>
      </c>
      <c r="AX215" s="23">
        <f t="shared" si="1980"/>
        <v>763.15099999999995</v>
      </c>
      <c r="AY215" s="23">
        <f t="shared" si="1980"/>
        <v>0</v>
      </c>
      <c r="AZ215" s="23">
        <f t="shared" si="1980"/>
        <v>-930.72200000000009</v>
      </c>
      <c r="BA215" s="23">
        <f t="shared" si="1980"/>
        <v>0</v>
      </c>
      <c r="BB215" s="23">
        <f t="shared" si="1980"/>
        <v>1214.096</v>
      </c>
      <c r="BC215" s="23">
        <f t="shared" si="1980"/>
        <v>0</v>
      </c>
      <c r="BD215" s="23">
        <f t="shared" si="1980"/>
        <v>-16.816000000000258</v>
      </c>
      <c r="BE215" s="23">
        <f t="shared" si="1980"/>
        <v>0</v>
      </c>
      <c r="BF215" s="23">
        <f t="shared" si="1980"/>
        <v>1.3970000000001619</v>
      </c>
      <c r="BG215" s="23">
        <f t="shared" si="1980"/>
        <v>0</v>
      </c>
      <c r="BH215" s="23">
        <f t="shared" si="1980"/>
        <v>-22.796000000000049</v>
      </c>
      <c r="BI215" s="23">
        <f t="shared" si="1980"/>
        <v>0</v>
      </c>
      <c r="BJ215" s="23">
        <f t="shared" si="1980"/>
        <v>4.7999999999999545</v>
      </c>
      <c r="BK215" s="23">
        <f t="shared" si="1980"/>
        <v>0</v>
      </c>
      <c r="BL215" s="23">
        <f t="shared" si="1980"/>
        <v>-14.31899999999996</v>
      </c>
      <c r="BM215" s="23">
        <f t="shared" si="1980"/>
        <v>0</v>
      </c>
      <c r="BN215" s="23">
        <f t="shared" si="1980"/>
        <v>-29.587999999999965</v>
      </c>
      <c r="BO215" s="23">
        <f t="shared" ref="BO215:CT215" si="1981">BO128-BO56-BN128+BO130-BN130</f>
        <v>0</v>
      </c>
      <c r="BP215" s="23">
        <f t="shared" si="1981"/>
        <v>3.8900000000001</v>
      </c>
      <c r="BQ215" s="23">
        <f t="shared" si="1981"/>
        <v>0</v>
      </c>
      <c r="BR215" s="23">
        <f t="shared" si="1981"/>
        <v>-156.53999999999959</v>
      </c>
      <c r="BS215" s="23">
        <f t="shared" si="1981"/>
        <v>0</v>
      </c>
      <c r="BT215" s="23">
        <f t="shared" si="1981"/>
        <v>-39.010000000000197</v>
      </c>
      <c r="BU215" s="23">
        <f t="shared" si="1981"/>
        <v>0</v>
      </c>
      <c r="BV215" s="23">
        <f t="shared" si="1981"/>
        <v>-30.160000000000366</v>
      </c>
      <c r="BW215" s="23">
        <f t="shared" si="1981"/>
        <v>0</v>
      </c>
      <c r="BX215" s="23">
        <f t="shared" si="1981"/>
        <v>-70.259999999999962</v>
      </c>
      <c r="BY215" s="23">
        <f t="shared" si="1981"/>
        <v>0</v>
      </c>
      <c r="BZ215" s="23">
        <f t="shared" si="1981"/>
        <v>-30.239999999999561</v>
      </c>
      <c r="CA215" s="23">
        <f t="shared" si="1981"/>
        <v>0</v>
      </c>
      <c r="CB215" s="23">
        <f t="shared" si="1981"/>
        <v>-67.400000000000219</v>
      </c>
      <c r="CC215" s="23">
        <f t="shared" si="1981"/>
        <v>0</v>
      </c>
      <c r="CD215" s="23">
        <f t="shared" si="1981"/>
        <v>-26.240000000000343</v>
      </c>
      <c r="CE215" s="23">
        <f t="shared" si="1981"/>
        <v>0</v>
      </c>
      <c r="CF215" s="23">
        <f t="shared" si="1981"/>
        <v>-3.759999999999672</v>
      </c>
      <c r="CG215" s="23">
        <f t="shared" si="1981"/>
        <v>-9.0949470177292824E-13</v>
      </c>
      <c r="CH215" s="23">
        <f t="shared" si="1981"/>
        <v>132.38999999999965</v>
      </c>
      <c r="CI215" s="23">
        <f t="shared" si="1981"/>
        <v>0</v>
      </c>
      <c r="CJ215" s="23">
        <f t="shared" si="1981"/>
        <v>-26.979999999998967</v>
      </c>
      <c r="CK215" s="23">
        <f t="shared" si="1981"/>
        <v>0</v>
      </c>
      <c r="CL215" s="23">
        <f t="shared" si="1981"/>
        <v>-32.970000000000084</v>
      </c>
      <c r="CM215" s="24">
        <f t="shared" si="1981"/>
        <v>0</v>
      </c>
      <c r="CN215" s="24">
        <f t="shared" si="1981"/>
        <v>0</v>
      </c>
      <c r="CO215" s="24">
        <f t="shared" si="1981"/>
        <v>0</v>
      </c>
      <c r="CP215" s="24">
        <f t="shared" si="1981"/>
        <v>0</v>
      </c>
      <c r="CQ215" s="24">
        <f t="shared" si="1981"/>
        <v>0</v>
      </c>
      <c r="CR215" s="24">
        <f t="shared" si="1981"/>
        <v>0</v>
      </c>
      <c r="CS215" s="24">
        <f t="shared" si="1981"/>
        <v>0</v>
      </c>
      <c r="CT215" s="24">
        <f t="shared" si="1981"/>
        <v>0</v>
      </c>
      <c r="CU215" s="24">
        <f t="shared" ref="CU215:DB215" si="1982">CU128-CU56-CT128+CU130-CT130</f>
        <v>0</v>
      </c>
      <c r="CV215" s="24">
        <f t="shared" si="1982"/>
        <v>0</v>
      </c>
      <c r="CW215" s="24">
        <f t="shared" si="1982"/>
        <v>-9.0949470177292824E-13</v>
      </c>
      <c r="CX215" s="24">
        <f t="shared" si="1982"/>
        <v>0</v>
      </c>
      <c r="CY215" s="24">
        <f t="shared" si="1982"/>
        <v>0</v>
      </c>
      <c r="CZ215" s="24">
        <f t="shared" si="1982"/>
        <v>0</v>
      </c>
      <c r="DA215" s="24">
        <f t="shared" si="1982"/>
        <v>0</v>
      </c>
      <c r="DB215" s="24">
        <f t="shared" si="1982"/>
        <v>0</v>
      </c>
      <c r="DE215" s="123"/>
      <c r="DF215" s="23">
        <v>-59.949999999998141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3" customFormat="1" x14ac:dyDescent="0.2">
      <c r="A217" s="23" t="s">
        <v>442</v>
      </c>
      <c r="C217" s="23">
        <f t="shared" ref="C217" si="1983">B169</f>
        <v>0</v>
      </c>
      <c r="D217" s="23">
        <f t="shared" ref="D217" si="1984">C169</f>
        <v>0</v>
      </c>
      <c r="E217" s="23">
        <f>D169</f>
        <v>0</v>
      </c>
      <c r="F217" s="23">
        <f t="shared" ref="F217" si="1985">E169</f>
        <v>0</v>
      </c>
      <c r="G217" s="23">
        <f t="shared" ref="G217" si="1986">F169</f>
        <v>0</v>
      </c>
      <c r="H217" s="23">
        <f t="shared" ref="H217" si="1987">G169</f>
        <v>0</v>
      </c>
      <c r="I217" s="23">
        <f t="shared" ref="I217" si="1988">H169</f>
        <v>0</v>
      </c>
      <c r="J217" s="23">
        <f>I169</f>
        <v>0</v>
      </c>
      <c r="K217" s="23">
        <f>J169</f>
        <v>0</v>
      </c>
      <c r="L217" s="23">
        <f t="shared" ref="L217" si="1989">K169</f>
        <v>0</v>
      </c>
      <c r="M217" s="23">
        <f t="shared" ref="M217" si="1990">L169</f>
        <v>0</v>
      </c>
      <c r="N217" s="23">
        <f t="shared" ref="N217" si="1991">M169</f>
        <v>9.3239999999999998</v>
      </c>
      <c r="O217" s="23">
        <f t="shared" ref="O217" si="1992">N169</f>
        <v>13.617000000000001</v>
      </c>
      <c r="P217" s="23">
        <f t="shared" ref="P217" si="1993">O169</f>
        <v>23.195</v>
      </c>
      <c r="Q217" s="23">
        <f t="shared" ref="Q217" si="1994">P169</f>
        <v>58.884999999999998</v>
      </c>
      <c r="R217" s="23">
        <f t="shared" ref="R217" si="1995">Q169</f>
        <v>28.774000000000001</v>
      </c>
      <c r="S217" s="23">
        <f t="shared" ref="S217" si="1996">R169</f>
        <v>4.0910000000000002</v>
      </c>
      <c r="T217" s="23">
        <f t="shared" ref="T217" si="1997">S169</f>
        <v>3.0569999999999999</v>
      </c>
      <c r="U217" s="23">
        <f t="shared" ref="U217" si="1998">T169</f>
        <v>3.0209999999999999</v>
      </c>
      <c r="V217" s="23">
        <f t="shared" ref="V217" si="1999">U169</f>
        <v>1.74</v>
      </c>
      <c r="W217" s="23">
        <f t="shared" ref="W217:AA217" si="2000">V169</f>
        <v>48.46</v>
      </c>
      <c r="X217" s="23">
        <f t="shared" si="2000"/>
        <v>75.94</v>
      </c>
      <c r="Y217" s="23">
        <f t="shared" si="2000"/>
        <v>48.46</v>
      </c>
      <c r="Z217" s="23">
        <f t="shared" si="2000"/>
        <v>141.65</v>
      </c>
      <c r="AA217" s="23">
        <f t="shared" si="2000"/>
        <v>144.21</v>
      </c>
      <c r="AB217" s="24">
        <f t="shared" ref="AB217" si="2001">AA169</f>
        <v>113.7</v>
      </c>
      <c r="AC217" s="24">
        <f t="shared" ref="AC217" si="2002">AB169</f>
        <v>393.73740860072684</v>
      </c>
      <c r="AD217" s="24">
        <f t="shared" ref="AD217" si="2003">AC169</f>
        <v>823.26511990542815</v>
      </c>
      <c r="AE217" s="24">
        <f t="shared" ref="AE217" si="2004">AD169</f>
        <v>1425.3867307145824</v>
      </c>
      <c r="AI217" s="23">
        <f t="shared" ref="AI217" si="2005">AH169</f>
        <v>0</v>
      </c>
      <c r="AJ217" s="23">
        <f t="shared" ref="AJ217" si="2006">AI169</f>
        <v>0</v>
      </c>
      <c r="AK217" s="23">
        <f t="shared" ref="AK217" si="2007">AJ169</f>
        <v>0</v>
      </c>
      <c r="AL217" s="23" t="e">
        <f t="shared" ref="AL217" si="2008">AK169</f>
        <v>#DIV/0!</v>
      </c>
      <c r="AM217" s="23">
        <f t="shared" ref="AM217" si="2009">AL169</f>
        <v>0</v>
      </c>
      <c r="AN217" s="23" t="e">
        <f t="shared" ref="AN217" si="2010">AM169</f>
        <v>#DIV/0!</v>
      </c>
      <c r="AO217" s="23">
        <f t="shared" ref="AO217" si="2011">AN169</f>
        <v>0</v>
      </c>
      <c r="AP217" s="23" t="e">
        <f t="shared" ref="AP217" si="2012">AO169</f>
        <v>#DIV/0!</v>
      </c>
      <c r="AQ217" s="23">
        <f t="shared" ref="AQ217" si="2013">AP169</f>
        <v>0</v>
      </c>
      <c r="AR217" s="23" t="e">
        <f t="shared" ref="AR217" si="2014">AQ169</f>
        <v>#DIV/0!</v>
      </c>
      <c r="AS217" s="23">
        <f t="shared" ref="AS217" si="2015">AR169</f>
        <v>0</v>
      </c>
      <c r="AT217" s="23" t="e">
        <f t="shared" ref="AT217" si="2016">AS169</f>
        <v>#DIV/0!</v>
      </c>
      <c r="AU217" s="23">
        <f t="shared" ref="AU217" si="2017">AT169</f>
        <v>0</v>
      </c>
      <c r="AV217" s="23" t="e">
        <f t="shared" ref="AV217" si="2018">AU169</f>
        <v>#DIV/0!</v>
      </c>
      <c r="AW217" s="23">
        <f t="shared" ref="AW217" si="2019">AV169</f>
        <v>0</v>
      </c>
      <c r="AX217" s="23" t="e">
        <f t="shared" ref="AX217" si="2020">AW169</f>
        <v>#DIV/0!</v>
      </c>
      <c r="AY217" s="23">
        <f t="shared" ref="AY217" si="2021">AX169</f>
        <v>28.774000000000001</v>
      </c>
      <c r="AZ217" s="23">
        <f t="shared" ref="AZ217" si="2022">AY169</f>
        <v>167.82776124082787</v>
      </c>
      <c r="BA217" s="23">
        <f t="shared" ref="BA217" si="2023">AZ169</f>
        <v>0</v>
      </c>
      <c r="BB217" s="23">
        <f t="shared" ref="BB217" si="2024">BA169</f>
        <v>45.019000000000027</v>
      </c>
      <c r="BC217" s="23">
        <f t="shared" ref="BC217" si="2025">BB169</f>
        <v>4.0910000000000002</v>
      </c>
      <c r="BD217" s="23">
        <f t="shared" ref="BD217" si="2026">BC169</f>
        <v>45.587944890585256</v>
      </c>
      <c r="BE217" s="23">
        <f t="shared" ref="BE217" si="2027">BD169</f>
        <v>5.476</v>
      </c>
      <c r="BF217" s="23">
        <f t="shared" ref="BF217" si="2028">BE169</f>
        <v>138.12023719574478</v>
      </c>
      <c r="BG217" s="23">
        <f t="shared" ref="BG217" si="2029">BF169</f>
        <v>3.0569999999999999</v>
      </c>
      <c r="BH217" s="23">
        <f t="shared" ref="BH217" si="2030">BG169</f>
        <v>51.551099468085042</v>
      </c>
      <c r="BI217" s="23">
        <f t="shared" ref="BI217" si="2031">BH169</f>
        <v>9.125</v>
      </c>
      <c r="BJ217" s="23">
        <f t="shared" ref="BJ217" si="2032">BI169</f>
        <v>116.0396899406912</v>
      </c>
      <c r="BK217" s="23">
        <f t="shared" ref="BK217" si="2033">BJ169</f>
        <v>3.0209999999999999</v>
      </c>
      <c r="BL217" s="23">
        <f t="shared" ref="BL217" si="2034">BK169</f>
        <v>138.45815375314294</v>
      </c>
      <c r="BM217" s="23">
        <f t="shared" ref="BM217" si="2035">BL169</f>
        <v>4.8330000000000002</v>
      </c>
      <c r="BN217" s="23">
        <f t="shared" ref="BN217" si="2036">BM169</f>
        <v>55.232653210184978</v>
      </c>
      <c r="BO217" s="23">
        <f t="shared" ref="BO217" si="2037">BN169</f>
        <v>1.74</v>
      </c>
      <c r="BP217" s="23">
        <f t="shared" ref="BP217" si="2038">BO169</f>
        <v>-0.62368496317635191</v>
      </c>
      <c r="BQ217" s="23">
        <f t="shared" ref="BQ217" si="2039">BP169</f>
        <v>2.19</v>
      </c>
      <c r="BR217" s="23">
        <f t="shared" ref="BR217" si="2040">BQ169</f>
        <v>104.52505198271859</v>
      </c>
      <c r="BS217" s="23">
        <f t="shared" ref="BS217" si="2041">BR169</f>
        <v>48.46</v>
      </c>
      <c r="BT217" s="23">
        <f t="shared" ref="BT217" si="2042">BS169</f>
        <v>450.76964375004485</v>
      </c>
      <c r="BU217" s="23">
        <f t="shared" ref="BU217" si="2043">BT169</f>
        <v>38.67</v>
      </c>
      <c r="BV217" s="23">
        <f t="shared" ref="BV217" si="2044">BU169</f>
        <v>496.79241399940196</v>
      </c>
      <c r="BW217" s="23">
        <f t="shared" ref="BW217" si="2045">BV169</f>
        <v>75.94</v>
      </c>
      <c r="BX217" s="23">
        <f t="shared" ref="BX217" si="2046">BW169</f>
        <v>147.97705024459032</v>
      </c>
      <c r="BY217" s="23">
        <f t="shared" ref="BY217" si="2047">BX169</f>
        <v>52.19</v>
      </c>
      <c r="BZ217" s="23">
        <f t="shared" ref="BZ217" si="2048">BY169</f>
        <v>311.94025680726503</v>
      </c>
      <c r="CA217" s="23">
        <f t="shared" ref="CA217" si="2049">BZ169</f>
        <v>48.46</v>
      </c>
      <c r="CB217" s="23">
        <f t="shared" ref="CB217" si="2050">CA169</f>
        <v>441.65412774277655</v>
      </c>
      <c r="CC217" s="23">
        <f t="shared" ref="CC217" si="2051">CB169</f>
        <v>67.16</v>
      </c>
      <c r="CD217" s="23">
        <f t="shared" ref="CD217" si="2052">CC169</f>
        <v>148.60296892482373</v>
      </c>
      <c r="CE217" s="23">
        <f t="shared" ref="CE217" si="2053">CD169</f>
        <v>141.65</v>
      </c>
      <c r="CF217" s="23">
        <f t="shared" ref="CF217" si="2054">CE169</f>
        <v>571.89277792827556</v>
      </c>
      <c r="CG217" s="23">
        <f t="shared" ref="CG217" si="2055">CF169</f>
        <v>44.92</v>
      </c>
      <c r="CH217" s="23">
        <f t="shared" ref="CH217:CL217" si="2056">CG169</f>
        <v>-300.43780910353973</v>
      </c>
      <c r="CI217" s="23">
        <f t="shared" si="2056"/>
        <v>144.21</v>
      </c>
      <c r="CJ217" s="23">
        <f t="shared" si="2056"/>
        <v>631.58813863860951</v>
      </c>
      <c r="CK217" s="23">
        <f t="shared" ref="CK217" si="2057">CJ169</f>
        <v>63.38</v>
      </c>
      <c r="CL217" s="23">
        <f t="shared" si="2056"/>
        <v>271.23355948399461</v>
      </c>
      <c r="CM217" s="24">
        <f t="shared" ref="CM217" si="2058">CL169</f>
        <v>113.7</v>
      </c>
      <c r="CN217" s="24">
        <f t="shared" ref="CN217" si="2059">CM169</f>
        <v>255.7225158463836</v>
      </c>
      <c r="CO217" s="24">
        <f t="shared" ref="CO217" si="2060">CN169</f>
        <v>272.10191582609127</v>
      </c>
      <c r="CP217" s="24">
        <f t="shared" ref="CP217" si="2061">CO169</f>
        <v>256.46991301190866</v>
      </c>
      <c r="CQ217" s="24">
        <f t="shared" ref="CQ217" si="2062">CP169</f>
        <v>393.73740860072684</v>
      </c>
      <c r="CR217" s="24">
        <f t="shared" ref="CR217" si="2063">CQ169</f>
        <v>592.33470174378226</v>
      </c>
      <c r="CS217" s="24">
        <f t="shared" ref="CS217" si="2064">CR169</f>
        <v>638.35401326436988</v>
      </c>
      <c r="CT217" s="24">
        <f t="shared" ref="CT217" si="2065">CS169</f>
        <v>642.39290276693009</v>
      </c>
      <c r="CU217" s="24">
        <f t="shared" ref="CU217" si="2066">CT169</f>
        <v>823.26511990542815</v>
      </c>
      <c r="CV217" s="24">
        <f t="shared" ref="CV217" si="2067">CU169</f>
        <v>1080.0207642401078</v>
      </c>
      <c r="CW217" s="24">
        <f t="shared" ref="CW217" si="2068">CV169</f>
        <v>1177.6595450750303</v>
      </c>
      <c r="CX217" s="24">
        <f t="shared" ref="CX217" si="2069">CW169</f>
        <v>1199.173452068811</v>
      </c>
      <c r="CY217" s="24">
        <f t="shared" ref="CY217" si="2070">CX169</f>
        <v>1425.3867307145824</v>
      </c>
      <c r="CZ217" s="24">
        <f t="shared" ref="CZ217" si="2071">CY169</f>
        <v>1744.8315853345662</v>
      </c>
      <c r="DA217" s="24">
        <f t="shared" ref="DA217" si="2072">CZ169</f>
        <v>1992.7318526825645</v>
      </c>
      <c r="DB217" s="24">
        <f t="shared" ref="DB217" si="2073">DA169</f>
        <v>2138.6684292409318</v>
      </c>
      <c r="DE217" s="123"/>
      <c r="DF217" s="23">
        <v>144.21</v>
      </c>
    </row>
    <row r="218" spans="1:110" s="23" customFormat="1" x14ac:dyDescent="0.2">
      <c r="A218" s="23" t="s">
        <v>443</v>
      </c>
      <c r="C218" s="23">
        <f t="shared" ref="C218:W218" si="2074">C217+C213+C209+C207</f>
        <v>0</v>
      </c>
      <c r="D218" s="23">
        <f t="shared" si="2074"/>
        <v>0</v>
      </c>
      <c r="E218" s="23">
        <f t="shared" si="2074"/>
        <v>0</v>
      </c>
      <c r="F218" s="23">
        <f t="shared" si="2074"/>
        <v>0</v>
      </c>
      <c r="G218" s="23">
        <f t="shared" si="2074"/>
        <v>0</v>
      </c>
      <c r="H218" s="23">
        <f t="shared" si="2074"/>
        <v>0</v>
      </c>
      <c r="I218" s="23">
        <f t="shared" si="2074"/>
        <v>0</v>
      </c>
      <c r="J218" s="23">
        <f>J217+J213+J209+J207</f>
        <v>0</v>
      </c>
      <c r="K218" s="23">
        <f>K217+K213+K209+K207</f>
        <v>0</v>
      </c>
      <c r="L218" s="23">
        <f>L217+L213+L209+L207</f>
        <v>0</v>
      </c>
      <c r="M218" s="23">
        <f>M217+M213+M209+M207</f>
        <v>9.3239999999999128</v>
      </c>
      <c r="N218" s="23">
        <f t="shared" si="2074"/>
        <v>13.617000000000047</v>
      </c>
      <c r="O218" s="23">
        <f t="shared" si="2074"/>
        <v>23.195000000000078</v>
      </c>
      <c r="P218" s="23">
        <f t="shared" si="2074"/>
        <v>58.885000000000161</v>
      </c>
      <c r="Q218" s="23">
        <f t="shared" si="2074"/>
        <v>28.774000000000001</v>
      </c>
      <c r="R218" s="23">
        <f t="shared" si="2074"/>
        <v>4.091000000000065</v>
      </c>
      <c r="S218" s="23">
        <f t="shared" si="2074"/>
        <v>3.056999999999789</v>
      </c>
      <c r="T218" s="23">
        <f t="shared" si="2074"/>
        <v>3.0210000000007824</v>
      </c>
      <c r="U218" s="23">
        <f t="shared" si="2074"/>
        <v>1.7399999999990996</v>
      </c>
      <c r="V218" s="23">
        <f t="shared" si="2074"/>
        <v>48.460000000000719</v>
      </c>
      <c r="W218" s="23">
        <f t="shared" si="2074"/>
        <v>75.940000000001305</v>
      </c>
      <c r="X218" s="23">
        <f t="shared" ref="X218:Y218" si="2075">X217+X213+X209+X207</f>
        <v>48.459999999998672</v>
      </c>
      <c r="Y218" s="23">
        <f t="shared" si="2075"/>
        <v>141.65000000000094</v>
      </c>
      <c r="Z218" s="23">
        <f t="shared" ref="Z218:AA218" si="2076">Z217+Z213+Z209+Z207</f>
        <v>144.2099999999981</v>
      </c>
      <c r="AA218" s="23">
        <f t="shared" ref="AA218" si="2077">AA217+AA213+AA209+AA207</f>
        <v>113.7000000000005</v>
      </c>
      <c r="AB218" s="24">
        <f t="shared" ref="AB218:AD218" si="2078">AB217+AB213+AB209+AB207</f>
        <v>393.73740860072604</v>
      </c>
      <c r="AC218" s="24">
        <f t="shared" si="2078"/>
        <v>823.26511990542713</v>
      </c>
      <c r="AD218" s="24">
        <f t="shared" si="2078"/>
        <v>1425.3867307145833</v>
      </c>
      <c r="AE218" s="24">
        <f t="shared" ref="AE218" si="2079">AE217+AE213+AE209+AE207</f>
        <v>2503.9085459625985</v>
      </c>
      <c r="AI218" s="23">
        <f t="shared" ref="AI218" si="2080">AI217+AI213+AI209+AI207</f>
        <v>0</v>
      </c>
      <c r="AJ218" s="23">
        <f t="shared" ref="AJ218:AL218" si="2081">AJ217+AJ213+AJ209+AJ207</f>
        <v>0</v>
      </c>
      <c r="AK218" s="23" t="e">
        <f t="shared" si="2081"/>
        <v>#DIV/0!</v>
      </c>
      <c r="AL218" s="23" t="e">
        <f t="shared" si="2081"/>
        <v>#DIV/0!</v>
      </c>
      <c r="AM218" s="23" t="e">
        <f t="shared" ref="AM218" si="2082">AM217+AM213+AM209+AM207</f>
        <v>#DIV/0!</v>
      </c>
      <c r="AN218" s="23" t="e">
        <f t="shared" ref="AN218:CD218" si="2083">AN217+AN213+AN209+AN207</f>
        <v>#DIV/0!</v>
      </c>
      <c r="AO218" s="23" t="e">
        <f t="shared" si="2083"/>
        <v>#DIV/0!</v>
      </c>
      <c r="AP218" s="23" t="e">
        <f t="shared" si="2083"/>
        <v>#DIV/0!</v>
      </c>
      <c r="AQ218" s="23" t="e">
        <f t="shared" si="2083"/>
        <v>#DIV/0!</v>
      </c>
      <c r="AR218" s="23" t="e">
        <f t="shared" si="2083"/>
        <v>#DIV/0!</v>
      </c>
      <c r="AS218" s="23" t="e">
        <f t="shared" si="2083"/>
        <v>#DIV/0!</v>
      </c>
      <c r="AT218" s="23" t="e">
        <f t="shared" si="2083"/>
        <v>#DIV/0!</v>
      </c>
      <c r="AU218" s="23" t="e">
        <f t="shared" si="2083"/>
        <v>#DIV/0!</v>
      </c>
      <c r="AV218" s="23" t="e">
        <f t="shared" si="2083"/>
        <v>#DIV/0!</v>
      </c>
      <c r="AW218" s="23" t="e">
        <f t="shared" si="2083"/>
        <v>#DIV/0!</v>
      </c>
      <c r="AX218" s="23" t="e">
        <f t="shared" si="2083"/>
        <v>#DIV/0!</v>
      </c>
      <c r="AY218" s="23">
        <f t="shared" si="2083"/>
        <v>167.82776124082787</v>
      </c>
      <c r="AZ218" s="23">
        <f t="shared" si="2083"/>
        <v>0</v>
      </c>
      <c r="BA218" s="23">
        <f t="shared" si="2083"/>
        <v>45.019000000000027</v>
      </c>
      <c r="BB218" s="23">
        <f t="shared" si="2083"/>
        <v>4.0910000000005766</v>
      </c>
      <c r="BC218" s="23">
        <f t="shared" si="2083"/>
        <v>45.587944890585256</v>
      </c>
      <c r="BD218" s="23">
        <f t="shared" si="2083"/>
        <v>5.475999999999587</v>
      </c>
      <c r="BE218" s="23">
        <f t="shared" si="2083"/>
        <v>138.12023719574478</v>
      </c>
      <c r="BF218" s="23">
        <f t="shared" si="2083"/>
        <v>3.0570000000001585</v>
      </c>
      <c r="BG218" s="23">
        <f t="shared" si="2083"/>
        <v>51.551099468085042</v>
      </c>
      <c r="BH218" s="23">
        <f t="shared" si="2083"/>
        <v>9.1249999999997158</v>
      </c>
      <c r="BI218" s="23">
        <f t="shared" si="2083"/>
        <v>116.0396899406912</v>
      </c>
      <c r="BJ218" s="23">
        <f t="shared" si="2083"/>
        <v>3.0210000000002282</v>
      </c>
      <c r="BK218" s="23">
        <f t="shared" si="2083"/>
        <v>138.45815375314294</v>
      </c>
      <c r="BL218" s="23">
        <f t="shared" si="2083"/>
        <v>4.8330000000001974</v>
      </c>
      <c r="BM218" s="23">
        <f t="shared" si="2083"/>
        <v>55.232653210184978</v>
      </c>
      <c r="BN218" s="23">
        <f t="shared" si="2083"/>
        <v>1.7399999999999807</v>
      </c>
      <c r="BO218" s="23">
        <f t="shared" si="2083"/>
        <v>-0.62368496317635191</v>
      </c>
      <c r="BP218" s="23">
        <f t="shared" si="2083"/>
        <v>2.1899999999999409</v>
      </c>
      <c r="BQ218" s="23">
        <f t="shared" si="2083"/>
        <v>104.52505198271859</v>
      </c>
      <c r="BR218" s="23">
        <f t="shared" si="2083"/>
        <v>48.460000000000264</v>
      </c>
      <c r="BS218" s="23">
        <f t="shared" si="2083"/>
        <v>450.76964375004485</v>
      </c>
      <c r="BT218" s="23">
        <f t="shared" si="2083"/>
        <v>38.669999999999959</v>
      </c>
      <c r="BU218" s="23">
        <f t="shared" si="2083"/>
        <v>496.79241399940196</v>
      </c>
      <c r="BV218" s="23">
        <f t="shared" si="2083"/>
        <v>75.9399999999996</v>
      </c>
      <c r="BW218" s="23">
        <f t="shared" si="2083"/>
        <v>147.97705024459032</v>
      </c>
      <c r="BX218" s="23">
        <f t="shared" si="2083"/>
        <v>52.189999999999031</v>
      </c>
      <c r="BY218" s="23">
        <f t="shared" si="2083"/>
        <v>311.94025680726503</v>
      </c>
      <c r="BZ218" s="23">
        <f t="shared" si="2083"/>
        <v>48.460000000001259</v>
      </c>
      <c r="CA218" s="23">
        <f t="shared" si="2083"/>
        <v>441.65412774277655</v>
      </c>
      <c r="CB218" s="23">
        <f t="shared" si="2083"/>
        <v>67.160000000000025</v>
      </c>
      <c r="CC218" s="23">
        <f t="shared" si="2083"/>
        <v>148.60296892482373</v>
      </c>
      <c r="CD218" s="23">
        <f t="shared" si="2083"/>
        <v>141.65000000000049</v>
      </c>
      <c r="CE218" s="23">
        <f t="shared" ref="CE218:CF218" si="2084">CE217+CE213+CE209+CE207</f>
        <v>571.89277792827556</v>
      </c>
      <c r="CF218" s="23">
        <f t="shared" si="2084"/>
        <v>44.919999999999618</v>
      </c>
      <c r="CG218" s="23">
        <f t="shared" ref="CG218:CH218" si="2085">CG217+CG213+CG209+CG207</f>
        <v>-300.43780910353973</v>
      </c>
      <c r="CH218" s="23">
        <f t="shared" si="2085"/>
        <v>144.20999999999844</v>
      </c>
      <c r="CI218" s="23">
        <f t="shared" ref="CI218:CJ218" si="2086">CI217+CI213+CI209+CI207</f>
        <v>631.58813863860951</v>
      </c>
      <c r="CJ218" s="23">
        <f t="shared" si="2086"/>
        <v>63.380000000001075</v>
      </c>
      <c r="CK218" s="23">
        <f t="shared" ref="CK218:DB218" si="2087">CK217+CK213+CK209+CK207</f>
        <v>271.23355948399461</v>
      </c>
      <c r="CL218" s="23">
        <f t="shared" si="2087"/>
        <v>113.69999999999845</v>
      </c>
      <c r="CM218" s="24">
        <f t="shared" si="2087"/>
        <v>255.7225158463836</v>
      </c>
      <c r="CN218" s="24">
        <f t="shared" si="2087"/>
        <v>272.10191582609127</v>
      </c>
      <c r="CO218" s="24">
        <f t="shared" si="2087"/>
        <v>256.46991301190866</v>
      </c>
      <c r="CP218" s="24">
        <f t="shared" si="2087"/>
        <v>393.73740860072684</v>
      </c>
      <c r="CQ218" s="24">
        <f t="shared" si="2087"/>
        <v>592.33470174378226</v>
      </c>
      <c r="CR218" s="24">
        <f t="shared" si="2087"/>
        <v>638.35401326436988</v>
      </c>
      <c r="CS218" s="24">
        <f t="shared" si="2087"/>
        <v>642.39290276693009</v>
      </c>
      <c r="CT218" s="24">
        <f t="shared" si="2087"/>
        <v>823.26511990542815</v>
      </c>
      <c r="CU218" s="24">
        <f t="shared" si="2087"/>
        <v>1080.0207642401078</v>
      </c>
      <c r="CV218" s="24">
        <f t="shared" si="2087"/>
        <v>1177.6595450750303</v>
      </c>
      <c r="CW218" s="24">
        <f t="shared" si="2087"/>
        <v>1199.173452068811</v>
      </c>
      <c r="CX218" s="24">
        <f t="shared" si="2087"/>
        <v>1425.3867307145824</v>
      </c>
      <c r="CY218" s="24">
        <f t="shared" si="2087"/>
        <v>1744.8315853345662</v>
      </c>
      <c r="CZ218" s="24">
        <f t="shared" si="2087"/>
        <v>1992.7318526825645</v>
      </c>
      <c r="DA218" s="24">
        <f t="shared" si="2087"/>
        <v>2138.6684292409318</v>
      </c>
      <c r="DB218" s="24">
        <f t="shared" si="2087"/>
        <v>2503.9085459625976</v>
      </c>
      <c r="DE218" s="123"/>
      <c r="DF218" s="23">
        <v>113.7000000000005</v>
      </c>
    </row>
    <row r="219" spans="1:110" s="28" customFormat="1" x14ac:dyDescent="0.2">
      <c r="A219" s="28" t="s">
        <v>444</v>
      </c>
      <c r="C219" s="28">
        <f t="shared" ref="C219:W219" si="2088">C218-C169</f>
        <v>0</v>
      </c>
      <c r="D219" s="28">
        <f t="shared" si="2088"/>
        <v>0</v>
      </c>
      <c r="E219" s="28">
        <f t="shared" si="2088"/>
        <v>0</v>
      </c>
      <c r="F219" s="28">
        <f t="shared" si="2088"/>
        <v>0</v>
      </c>
      <c r="G219" s="28">
        <f t="shared" si="2088"/>
        <v>0</v>
      </c>
      <c r="H219" s="28">
        <f t="shared" si="2088"/>
        <v>0</v>
      </c>
      <c r="I219" s="28">
        <f t="shared" si="2088"/>
        <v>0</v>
      </c>
      <c r="J219" s="28">
        <f>J218-J169</f>
        <v>0</v>
      </c>
      <c r="K219" s="28">
        <f t="shared" si="2088"/>
        <v>0</v>
      </c>
      <c r="L219" s="28">
        <f t="shared" si="2088"/>
        <v>0</v>
      </c>
      <c r="M219" s="28">
        <f t="shared" si="2088"/>
        <v>-8.7041485130612273E-14</v>
      </c>
      <c r="N219" s="28">
        <f t="shared" si="2088"/>
        <v>4.6185277824406512E-14</v>
      </c>
      <c r="O219" s="28">
        <f t="shared" si="2088"/>
        <v>7.815970093361102E-14</v>
      </c>
      <c r="P219" s="28">
        <f t="shared" si="2088"/>
        <v>1.6342482922482304E-13</v>
      </c>
      <c r="Q219" s="28">
        <f t="shared" si="2088"/>
        <v>0</v>
      </c>
      <c r="R219" s="28">
        <f t="shared" si="2088"/>
        <v>6.4837024638109142E-14</v>
      </c>
      <c r="S219" s="28">
        <f t="shared" si="2088"/>
        <v>-2.1094237467877974E-13</v>
      </c>
      <c r="T219" s="28">
        <f t="shared" si="2088"/>
        <v>7.8248518775581033E-13</v>
      </c>
      <c r="U219" s="28">
        <f t="shared" si="2088"/>
        <v>-9.0039087297100195E-13</v>
      </c>
      <c r="V219" s="28">
        <f t="shared" si="2088"/>
        <v>7.1764816311770119E-13</v>
      </c>
      <c r="W219" s="28">
        <f t="shared" si="2088"/>
        <v>1.3073986337985843E-12</v>
      </c>
      <c r="X219" s="28">
        <f t="shared" ref="X219:Y219" si="2089">X218-X169</f>
        <v>-1.3287149158713873E-12</v>
      </c>
      <c r="Y219" s="28">
        <f t="shared" si="2089"/>
        <v>9.3791641120333225E-13</v>
      </c>
      <c r="Z219" s="28">
        <f t="shared" ref="Z219:AA219" si="2090">Z218-Z169</f>
        <v>-1.9042545318370685E-12</v>
      </c>
      <c r="AA219" s="28">
        <f t="shared" ref="AA219" si="2091">AA218-AA169</f>
        <v>4.9737991503207013E-13</v>
      </c>
      <c r="AB219" s="30">
        <f t="shared" ref="AB219:AD219" si="2092">AB218-AB169</f>
        <v>-7.9580786405131221E-13</v>
      </c>
      <c r="AC219" s="30">
        <f t="shared" si="2092"/>
        <v>-1.0231815394945443E-12</v>
      </c>
      <c r="AD219" s="30">
        <f t="shared" si="2092"/>
        <v>0</v>
      </c>
      <c r="AE219" s="30">
        <f t="shared" ref="AE219" si="2093">AE218-AE169</f>
        <v>0</v>
      </c>
      <c r="AI219" s="28">
        <f t="shared" ref="AI219" si="2094">AI218-AI169</f>
        <v>0</v>
      </c>
      <c r="AJ219" s="28">
        <f t="shared" ref="AJ219:AL219" si="2095">AJ218-AJ169</f>
        <v>0</v>
      </c>
      <c r="AK219" s="28" t="e">
        <f t="shared" si="2095"/>
        <v>#DIV/0!</v>
      </c>
      <c r="AL219" s="28" t="e">
        <f t="shared" si="2095"/>
        <v>#DIV/0!</v>
      </c>
      <c r="AM219" s="28" t="e">
        <f t="shared" ref="AM219" si="2096">AM218-AM169</f>
        <v>#DIV/0!</v>
      </c>
      <c r="AN219" s="28" t="e">
        <f t="shared" ref="AN219:CD219" si="2097">AN218-AN169</f>
        <v>#DIV/0!</v>
      </c>
      <c r="AO219" s="28" t="e">
        <f t="shared" si="2097"/>
        <v>#DIV/0!</v>
      </c>
      <c r="AP219" s="28" t="e">
        <f t="shared" si="2097"/>
        <v>#DIV/0!</v>
      </c>
      <c r="AQ219" s="28" t="e">
        <f t="shared" si="2097"/>
        <v>#DIV/0!</v>
      </c>
      <c r="AR219" s="28" t="e">
        <f t="shared" si="2097"/>
        <v>#DIV/0!</v>
      </c>
      <c r="AS219" s="28" t="e">
        <f t="shared" si="2097"/>
        <v>#DIV/0!</v>
      </c>
      <c r="AT219" s="28" t="e">
        <f t="shared" si="2097"/>
        <v>#DIV/0!</v>
      </c>
      <c r="AU219" s="28" t="e">
        <f t="shared" si="2097"/>
        <v>#DIV/0!</v>
      </c>
      <c r="AV219" s="28" t="e">
        <f t="shared" si="2097"/>
        <v>#DIV/0!</v>
      </c>
      <c r="AW219" s="28" t="e">
        <f t="shared" si="2097"/>
        <v>#DIV/0!</v>
      </c>
      <c r="AX219" s="28" t="e">
        <f t="shared" si="2097"/>
        <v>#DIV/0!</v>
      </c>
      <c r="AY219" s="28">
        <f t="shared" si="2097"/>
        <v>0</v>
      </c>
      <c r="AZ219" s="28">
        <f t="shared" si="2097"/>
        <v>0</v>
      </c>
      <c r="BA219" s="28">
        <f t="shared" si="2097"/>
        <v>0</v>
      </c>
      <c r="BB219" s="28">
        <f t="shared" si="2097"/>
        <v>5.7642779438538128E-13</v>
      </c>
      <c r="BC219" s="28">
        <f t="shared" si="2097"/>
        <v>0</v>
      </c>
      <c r="BD219" s="28">
        <f t="shared" si="2097"/>
        <v>-4.1300296516055823E-13</v>
      </c>
      <c r="BE219" s="28">
        <f t="shared" si="2097"/>
        <v>0</v>
      </c>
      <c r="BF219" s="28">
        <f t="shared" si="2097"/>
        <v>1.5853984791647235E-13</v>
      </c>
      <c r="BG219" s="28">
        <f t="shared" si="2097"/>
        <v>0</v>
      </c>
      <c r="BH219" s="28">
        <f t="shared" si="2097"/>
        <v>-2.8421709430404007E-13</v>
      </c>
      <c r="BI219" s="28">
        <f t="shared" si="2097"/>
        <v>0</v>
      </c>
      <c r="BJ219" s="28">
        <f t="shared" si="2097"/>
        <v>2.2826185386293218E-13</v>
      </c>
      <c r="BK219" s="28">
        <f t="shared" si="2097"/>
        <v>0</v>
      </c>
      <c r="BL219" s="28">
        <f t="shared" si="2097"/>
        <v>1.971756091734278E-13</v>
      </c>
      <c r="BM219" s="28">
        <f t="shared" si="2097"/>
        <v>0</v>
      </c>
      <c r="BN219" s="28">
        <f t="shared" si="2097"/>
        <v>-1.9317880628477724E-14</v>
      </c>
      <c r="BO219" s="28">
        <f t="shared" si="2097"/>
        <v>0</v>
      </c>
      <c r="BP219" s="28">
        <f t="shared" si="2097"/>
        <v>-5.9063864910058328E-14</v>
      </c>
      <c r="BQ219" s="28">
        <f t="shared" si="2097"/>
        <v>0</v>
      </c>
      <c r="BR219" s="28">
        <f t="shared" si="2097"/>
        <v>2.6290081223123707E-13</v>
      </c>
      <c r="BS219" s="28">
        <f t="shared" si="2097"/>
        <v>0</v>
      </c>
      <c r="BT219" s="28">
        <f t="shared" si="2097"/>
        <v>0</v>
      </c>
      <c r="BU219" s="28">
        <f t="shared" si="2097"/>
        <v>0</v>
      </c>
      <c r="BV219" s="28">
        <f t="shared" si="2097"/>
        <v>-3.979039320256561E-13</v>
      </c>
      <c r="BW219" s="28">
        <f t="shared" si="2097"/>
        <v>0</v>
      </c>
      <c r="BX219" s="28">
        <f t="shared" si="2097"/>
        <v>-9.6633812063373625E-13</v>
      </c>
      <c r="BY219" s="28">
        <f t="shared" si="2097"/>
        <v>0</v>
      </c>
      <c r="BZ219" s="28">
        <f t="shared" si="2097"/>
        <v>1.2576606422953773E-12</v>
      </c>
      <c r="CA219" s="28">
        <f t="shared" si="2097"/>
        <v>0</v>
      </c>
      <c r="CB219" s="28">
        <f t="shared" si="2097"/>
        <v>0</v>
      </c>
      <c r="CC219" s="28">
        <f t="shared" si="2097"/>
        <v>0</v>
      </c>
      <c r="CD219" s="28">
        <f t="shared" si="2097"/>
        <v>4.8316906031686813E-13</v>
      </c>
      <c r="CE219" s="28">
        <f t="shared" ref="CE219:CF219" si="2098">CE218-CE169</f>
        <v>0</v>
      </c>
      <c r="CF219" s="28">
        <f t="shared" si="2098"/>
        <v>-3.836930773104541E-13</v>
      </c>
      <c r="CG219" s="28">
        <f t="shared" ref="CG219:CH219" si="2099">CG218-CG169</f>
        <v>0</v>
      </c>
      <c r="CH219" s="28">
        <f t="shared" si="2099"/>
        <v>-1.5631940186722204E-12</v>
      </c>
      <c r="CI219" s="28">
        <f t="shared" ref="CI219:CJ219" si="2100">CI218-CI169</f>
        <v>0</v>
      </c>
      <c r="CJ219" s="28">
        <f t="shared" si="2100"/>
        <v>1.0729195309977513E-12</v>
      </c>
      <c r="CK219" s="28">
        <f t="shared" ref="CK219:DB219" si="2101">CK218-CK169</f>
        <v>0</v>
      </c>
      <c r="CL219" s="28">
        <f t="shared" si="2101"/>
        <v>-1.5489831639570184E-12</v>
      </c>
      <c r="CM219" s="30">
        <f t="shared" si="2101"/>
        <v>0</v>
      </c>
      <c r="CN219" s="30">
        <f t="shared" si="2101"/>
        <v>0</v>
      </c>
      <c r="CO219" s="30">
        <f t="shared" si="2101"/>
        <v>0</v>
      </c>
      <c r="CP219" s="30">
        <f t="shared" si="2101"/>
        <v>0</v>
      </c>
      <c r="CQ219" s="30">
        <f t="shared" si="2101"/>
        <v>0</v>
      </c>
      <c r="CR219" s="30">
        <f t="shared" si="2101"/>
        <v>0</v>
      </c>
      <c r="CS219" s="30">
        <f t="shared" si="2101"/>
        <v>0</v>
      </c>
      <c r="CT219" s="30">
        <f t="shared" si="2101"/>
        <v>0</v>
      </c>
      <c r="CU219" s="30">
        <f t="shared" si="2101"/>
        <v>0</v>
      </c>
      <c r="CV219" s="30">
        <f t="shared" si="2101"/>
        <v>0</v>
      </c>
      <c r="CW219" s="30">
        <f t="shared" si="2101"/>
        <v>0</v>
      </c>
      <c r="CX219" s="30">
        <f t="shared" si="2101"/>
        <v>0</v>
      </c>
      <c r="CY219" s="30">
        <f t="shared" si="2101"/>
        <v>0</v>
      </c>
      <c r="CZ219" s="30">
        <f t="shared" si="2101"/>
        <v>0</v>
      </c>
      <c r="DA219" s="30">
        <f t="shared" si="2101"/>
        <v>0</v>
      </c>
      <c r="DB219" s="30">
        <f t="shared" si="2101"/>
        <v>0</v>
      </c>
      <c r="DE219" s="139"/>
      <c r="DF219" s="28">
        <v>4.9737991503207013E-13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96</v>
      </c>
      <c r="C221" s="22">
        <f t="shared" ref="C221:W221" si="2102">C207+C209</f>
        <v>0</v>
      </c>
      <c r="D221" s="22">
        <f t="shared" si="2102"/>
        <v>0</v>
      </c>
      <c r="E221" s="22">
        <f t="shared" si="2102"/>
        <v>0</v>
      </c>
      <c r="F221" s="22">
        <f t="shared" si="2102"/>
        <v>0</v>
      </c>
      <c r="G221" s="22">
        <f t="shared" si="2102"/>
        <v>0</v>
      </c>
      <c r="H221" s="22">
        <f t="shared" si="2102"/>
        <v>0</v>
      </c>
      <c r="I221" s="22">
        <f t="shared" si="2102"/>
        <v>0</v>
      </c>
      <c r="J221" s="22">
        <f>J207+J209</f>
        <v>0</v>
      </c>
      <c r="K221" s="22">
        <f t="shared" si="2102"/>
        <v>0</v>
      </c>
      <c r="L221" s="22">
        <f t="shared" si="2102"/>
        <v>0</v>
      </c>
      <c r="M221" s="22">
        <f t="shared" si="2102"/>
        <v>-363.58600000000001</v>
      </c>
      <c r="N221" s="22">
        <f t="shared" si="2102"/>
        <v>-64.380999999999986</v>
      </c>
      <c r="O221" s="22">
        <f t="shared" si="2102"/>
        <v>-243.05700000000022</v>
      </c>
      <c r="P221" s="22">
        <f t="shared" si="2102"/>
        <v>-537.91499999999996</v>
      </c>
      <c r="Q221" s="22">
        <f t="shared" si="2102"/>
        <v>-237.678</v>
      </c>
      <c r="R221" s="22">
        <f t="shared" si="2102"/>
        <v>-122.09399999999977</v>
      </c>
      <c r="S221" s="22">
        <f t="shared" si="2102"/>
        <v>-123.77500000000009</v>
      </c>
      <c r="T221" s="22">
        <f t="shared" si="2102"/>
        <v>-38.061999999999415</v>
      </c>
      <c r="U221" s="22">
        <f t="shared" si="2102"/>
        <v>21.684999999999434</v>
      </c>
      <c r="V221" s="22">
        <f t="shared" si="2102"/>
        <v>-196.95999999999879</v>
      </c>
      <c r="W221" s="22">
        <f t="shared" si="2102"/>
        <v>-182.17999999999961</v>
      </c>
      <c r="X221" s="22">
        <f t="shared" ref="X221:Y221" si="2103">X207+X209</f>
        <v>-172.50000000000034</v>
      </c>
      <c r="Y221" s="22">
        <f t="shared" si="2103"/>
        <v>-351.11999999999921</v>
      </c>
      <c r="Z221" s="22">
        <f t="shared" ref="Z221:AA221" si="2104">Z207+Z209</f>
        <v>-312.11000000000092</v>
      </c>
      <c r="AA221" s="22">
        <f t="shared" ref="AA221" si="2105">AA207+AA209</f>
        <v>325.03999999999951</v>
      </c>
      <c r="AB221" s="21">
        <f t="shared" ref="AB221:AD221" si="2106">AB207+AB209</f>
        <v>280.03740860072787</v>
      </c>
      <c r="AC221" s="21">
        <f t="shared" si="2106"/>
        <v>429.52771130470205</v>
      </c>
      <c r="AD221" s="21">
        <f t="shared" si="2106"/>
        <v>602.1216108091553</v>
      </c>
      <c r="AE221" s="21">
        <f t="shared" ref="AE221" si="2107">AE207+AE209</f>
        <v>1078.5218152480143</v>
      </c>
      <c r="AI221" s="22">
        <f t="shared" ref="AI221" si="2108">AI207+AI209</f>
        <v>0</v>
      </c>
      <c r="AJ221" s="22">
        <f t="shared" ref="AJ221:AL221" si="2109">AJ207+AJ209</f>
        <v>0</v>
      </c>
      <c r="AK221" s="22" t="e">
        <f t="shared" si="2109"/>
        <v>#DIV/0!</v>
      </c>
      <c r="AL221" s="22" t="e">
        <f t="shared" si="2109"/>
        <v>#DIV/0!</v>
      </c>
      <c r="AM221" s="22" t="e">
        <f t="shared" ref="AM221" si="2110">AM207+AM209</f>
        <v>#DIV/0!</v>
      </c>
      <c r="AN221" s="22" t="e">
        <f t="shared" ref="AN221:CD221" si="2111">AN207+AN209</f>
        <v>#DIV/0!</v>
      </c>
      <c r="AO221" s="22" t="e">
        <f t="shared" si="2111"/>
        <v>#DIV/0!</v>
      </c>
      <c r="AP221" s="22" t="e">
        <f t="shared" si="2111"/>
        <v>#DIV/0!</v>
      </c>
      <c r="AQ221" s="22" t="e">
        <f t="shared" si="2111"/>
        <v>#DIV/0!</v>
      </c>
      <c r="AR221" s="22" t="e">
        <f t="shared" si="2111"/>
        <v>#DIV/0!</v>
      </c>
      <c r="AS221" s="22" t="e">
        <f t="shared" si="2111"/>
        <v>#DIV/0!</v>
      </c>
      <c r="AT221" s="22" t="e">
        <f t="shared" si="2111"/>
        <v>#DIV/0!</v>
      </c>
      <c r="AU221" s="22" t="e">
        <f t="shared" si="2111"/>
        <v>#DIV/0!</v>
      </c>
      <c r="AV221" s="22" t="e">
        <f t="shared" si="2111"/>
        <v>#DIV/0!</v>
      </c>
      <c r="AW221" s="22" t="e">
        <f t="shared" si="2111"/>
        <v>#DIV/0!</v>
      </c>
      <c r="AX221" s="22" t="e">
        <f t="shared" si="2111"/>
        <v>#DIV/0!</v>
      </c>
      <c r="AY221" s="22">
        <f t="shared" si="2111"/>
        <v>139.05376124082787</v>
      </c>
      <c r="AZ221" s="22">
        <f t="shared" si="2111"/>
        <v>1827.9552387591723</v>
      </c>
      <c r="BA221" s="22">
        <f t="shared" si="2111"/>
        <v>45.019000000000027</v>
      </c>
      <c r="BB221" s="22">
        <f t="shared" si="2111"/>
        <v>-2164.4039999999995</v>
      </c>
      <c r="BC221" s="22">
        <f t="shared" si="2111"/>
        <v>41.496944890585254</v>
      </c>
      <c r="BD221" s="22">
        <f t="shared" si="2111"/>
        <v>-24.356944890585211</v>
      </c>
      <c r="BE221" s="22">
        <f t="shared" si="2111"/>
        <v>132.64423719574478</v>
      </c>
      <c r="BF221" s="22">
        <f t="shared" si="2111"/>
        <v>-126.19523719574491</v>
      </c>
      <c r="BG221" s="22">
        <f t="shared" si="2111"/>
        <v>48.494099468085039</v>
      </c>
      <c r="BH221" s="22">
        <f t="shared" si="2111"/>
        <v>-183.96909946808512</v>
      </c>
      <c r="BI221" s="22">
        <f t="shared" si="2111"/>
        <v>106.9146899406912</v>
      </c>
      <c r="BJ221" s="22">
        <f t="shared" si="2111"/>
        <v>3.7783100593088221</v>
      </c>
      <c r="BK221" s="22">
        <f t="shared" si="2111"/>
        <v>135.43715375314292</v>
      </c>
      <c r="BL221" s="22">
        <f t="shared" si="2111"/>
        <v>-298.39115375314282</v>
      </c>
      <c r="BM221" s="22">
        <f t="shared" si="2111"/>
        <v>50.399653210184979</v>
      </c>
      <c r="BN221" s="22">
        <f t="shared" si="2111"/>
        <v>142.56834678981514</v>
      </c>
      <c r="BO221" s="22">
        <f t="shared" si="2111"/>
        <v>-2.3636849631763539</v>
      </c>
      <c r="BP221" s="22">
        <f t="shared" si="2111"/>
        <v>44.54368496317619</v>
      </c>
      <c r="BQ221" s="22">
        <f t="shared" si="2111"/>
        <v>102.3350519827186</v>
      </c>
      <c r="BR221" s="22">
        <f t="shared" si="2111"/>
        <v>-442.81505198271878</v>
      </c>
      <c r="BS221" s="22">
        <f t="shared" si="2111"/>
        <v>402.30964375004487</v>
      </c>
      <c r="BT221" s="22">
        <f t="shared" si="2111"/>
        <v>-652.0896437500445</v>
      </c>
      <c r="BU221" s="22">
        <f t="shared" si="2111"/>
        <v>458.12241399940194</v>
      </c>
      <c r="BV221" s="22">
        <f t="shared" si="2111"/>
        <v>-390.52241399940237</v>
      </c>
      <c r="BW221" s="22">
        <f t="shared" si="2111"/>
        <v>72.037050244590318</v>
      </c>
      <c r="BX221" s="22">
        <f t="shared" si="2111"/>
        <v>-346.09705024459106</v>
      </c>
      <c r="BY221" s="22">
        <f t="shared" si="2111"/>
        <v>259.75025680726503</v>
      </c>
      <c r="BZ221" s="22">
        <f t="shared" si="2111"/>
        <v>-152.61025680726411</v>
      </c>
      <c r="CA221" s="22">
        <f t="shared" si="2111"/>
        <v>393.19412774277657</v>
      </c>
      <c r="CB221" s="22">
        <f t="shared" si="2111"/>
        <v>-422.72412774277643</v>
      </c>
      <c r="CC221" s="22">
        <f t="shared" si="2111"/>
        <v>81.442968924823731</v>
      </c>
      <c r="CD221" s="22">
        <f t="shared" si="2111"/>
        <v>-400.16296892482313</v>
      </c>
      <c r="CE221" s="22">
        <f t="shared" ref="CE221:CF221" si="2112">CE207+CE209</f>
        <v>430.24277792827559</v>
      </c>
      <c r="CF221" s="22">
        <f t="shared" si="2112"/>
        <v>-737.93277792827621</v>
      </c>
      <c r="CG221" s="22">
        <f t="shared" ref="CG221:CH221" si="2113">CG207+CG209</f>
        <v>-345.35780910353878</v>
      </c>
      <c r="CH221" s="22">
        <f t="shared" si="2113"/>
        <v>340.93780910353837</v>
      </c>
      <c r="CI221" s="22">
        <f t="shared" ref="CI221:CJ221" si="2114">CI207+CI209</f>
        <v>487.37813863860947</v>
      </c>
      <c r="CJ221" s="22">
        <f t="shared" si="2114"/>
        <v>2.5118613613907996</v>
      </c>
      <c r="CK221" s="22">
        <f t="shared" ref="CK221:DB221" si="2115">CK207+CK209</f>
        <v>207.85355948399462</v>
      </c>
      <c r="CL221" s="22">
        <f t="shared" si="2115"/>
        <v>-372.7035594839964</v>
      </c>
      <c r="CM221" s="21">
        <f t="shared" si="2115"/>
        <v>142.02251584638361</v>
      </c>
      <c r="CN221" s="21">
        <f t="shared" si="2115"/>
        <v>16.379399979707671</v>
      </c>
      <c r="CO221" s="21">
        <f t="shared" si="2115"/>
        <v>-15.632002814182613</v>
      </c>
      <c r="CP221" s="21">
        <f t="shared" si="2115"/>
        <v>137.26749558881818</v>
      </c>
      <c r="CQ221" s="21">
        <f t="shared" si="2115"/>
        <v>198.59729314305542</v>
      </c>
      <c r="CR221" s="21">
        <f t="shared" si="2115"/>
        <v>46.019311520587621</v>
      </c>
      <c r="CS221" s="21">
        <f t="shared" si="2115"/>
        <v>4.0388895025601528</v>
      </c>
      <c r="CT221" s="21">
        <f t="shared" si="2115"/>
        <v>180.87221713849806</v>
      </c>
      <c r="CU221" s="21">
        <f t="shared" si="2115"/>
        <v>256.7556443346798</v>
      </c>
      <c r="CV221" s="21">
        <f t="shared" si="2115"/>
        <v>97.638780834922443</v>
      </c>
      <c r="CW221" s="21">
        <f t="shared" si="2115"/>
        <v>21.513906993781575</v>
      </c>
      <c r="CX221" s="21">
        <f t="shared" si="2115"/>
        <v>226.21327864577154</v>
      </c>
      <c r="CY221" s="21">
        <f t="shared" si="2115"/>
        <v>319.44485461998363</v>
      </c>
      <c r="CZ221" s="21">
        <f t="shared" si="2115"/>
        <v>247.90026734799835</v>
      </c>
      <c r="DA221" s="21">
        <f t="shared" si="2115"/>
        <v>145.93657655836751</v>
      </c>
      <c r="DB221" s="21">
        <f t="shared" si="2115"/>
        <v>365.24011672166603</v>
      </c>
      <c r="DE221" s="126"/>
      <c r="DF221" s="22">
        <v>325.02999999999838</v>
      </c>
    </row>
    <row r="222" spans="1:110" x14ac:dyDescent="0.2">
      <c r="A222" s="152" t="s">
        <v>496</v>
      </c>
      <c r="AA222" s="2"/>
      <c r="CL222" s="2"/>
    </row>
    <row r="223" spans="1:110" x14ac:dyDescent="0.2">
      <c r="AA223" s="2"/>
      <c r="CL223" s="2"/>
    </row>
    <row r="224" spans="1:110" s="7" customFormat="1" hidden="1" outlineLevel="1" x14ac:dyDescent="0.2">
      <c r="A224" s="61" t="s">
        <v>97</v>
      </c>
      <c r="AB224" s="77"/>
      <c r="AC224" s="77"/>
      <c r="AD224" s="77"/>
      <c r="AE224" s="77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E224" s="138"/>
    </row>
    <row r="225" spans="1:110" s="62" customFormat="1" hidden="1" outlineLevel="1" x14ac:dyDescent="0.2">
      <c r="A225" s="62" t="s">
        <v>98</v>
      </c>
      <c r="AB225" s="63"/>
      <c r="AC225" s="63"/>
      <c r="AD225" s="63"/>
      <c r="AE225" s="63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10" s="62" customFormat="1" hidden="1" outlineLevel="1" x14ac:dyDescent="0.2">
      <c r="A226" s="62" t="s">
        <v>99</v>
      </c>
      <c r="AB226" s="63"/>
      <c r="AC226" s="63"/>
      <c r="AD226" s="63"/>
      <c r="AE226" s="63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10" s="62" customFormat="1" hidden="1" outlineLevel="1" x14ac:dyDescent="0.2">
      <c r="A227" s="62" t="s">
        <v>100</v>
      </c>
      <c r="AB227" s="63"/>
      <c r="AC227" s="63"/>
      <c r="AD227" s="63"/>
      <c r="AE227" s="63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0" s="62" customFormat="1" hidden="1" outlineLevel="1" x14ac:dyDescent="0.2"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62" customFormat="1" hidden="1" outlineLevel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11" customFormat="1" collapsed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83" customFormat="1" x14ac:dyDescent="0.2">
      <c r="A232" s="82" t="s">
        <v>101</v>
      </c>
      <c r="AB232" s="72"/>
      <c r="AC232" s="72"/>
      <c r="AD232" s="72"/>
      <c r="AE232" s="72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6" customFormat="1" x14ac:dyDescent="0.2">
      <c r="A233" s="66" t="s">
        <v>471</v>
      </c>
      <c r="AB233" s="50"/>
      <c r="AC233" s="50"/>
      <c r="AD233" s="50"/>
      <c r="AE233" s="50"/>
      <c r="AL233" s="66">
        <f t="shared" ref="AL233:BQ233" si="2116">SUM(AI18:AL18)</f>
        <v>0</v>
      </c>
      <c r="AM233" s="66">
        <f t="shared" si="2116"/>
        <v>0</v>
      </c>
      <c r="AN233" s="66">
        <f t="shared" si="2116"/>
        <v>0</v>
      </c>
      <c r="AO233" s="66">
        <f t="shared" si="2116"/>
        <v>0</v>
      </c>
      <c r="AP233" s="66">
        <f t="shared" si="2116"/>
        <v>0</v>
      </c>
      <c r="AQ233" s="66">
        <f t="shared" si="2116"/>
        <v>0</v>
      </c>
      <c r="AR233" s="66">
        <f t="shared" si="2116"/>
        <v>0</v>
      </c>
      <c r="AS233" s="66">
        <f t="shared" si="2116"/>
        <v>0</v>
      </c>
      <c r="AT233" s="66">
        <f t="shared" si="2116"/>
        <v>0</v>
      </c>
      <c r="AU233" s="66">
        <f t="shared" si="2116"/>
        <v>0</v>
      </c>
      <c r="AV233" s="66">
        <f t="shared" si="2116"/>
        <v>0</v>
      </c>
      <c r="AW233" s="66">
        <f t="shared" si="2116"/>
        <v>450.09800000000001</v>
      </c>
      <c r="AX233" s="66">
        <f t="shared" si="2116"/>
        <v>933.18700000000001</v>
      </c>
      <c r="AY233" s="66">
        <f t="shared" si="2116"/>
        <v>1342.9470000000001</v>
      </c>
      <c r="AZ233" s="66">
        <f t="shared" si="2116"/>
        <v>1859.4430000000002</v>
      </c>
      <c r="BA233" s="66">
        <f t="shared" si="2116"/>
        <v>1914.9849999999997</v>
      </c>
      <c r="BB233" s="66">
        <f t="shared" si="2116"/>
        <v>1904.6469999999999</v>
      </c>
      <c r="BC233" s="66">
        <f t="shared" si="2116"/>
        <v>1973.2759999999998</v>
      </c>
      <c r="BD233" s="66">
        <f t="shared" si="2116"/>
        <v>1995.3899999999999</v>
      </c>
      <c r="BE233" s="66">
        <f t="shared" si="2116"/>
        <v>1968.681</v>
      </c>
      <c r="BF233" s="66">
        <f t="shared" si="2116"/>
        <v>2056.17</v>
      </c>
      <c r="BG233" s="66">
        <f t="shared" si="2116"/>
        <v>2116.7979999999998</v>
      </c>
      <c r="BH233" s="66">
        <f t="shared" si="2116"/>
        <v>2166.4690000000001</v>
      </c>
      <c r="BI233" s="66">
        <f t="shared" si="2116"/>
        <v>2216.9949999999999</v>
      </c>
      <c r="BJ233" s="66">
        <f t="shared" si="2116"/>
        <v>2291.9160000000002</v>
      </c>
      <c r="BK233" s="66">
        <f t="shared" si="2116"/>
        <v>2303.4690000000001</v>
      </c>
      <c r="BL233" s="66">
        <f t="shared" si="2116"/>
        <v>2427.6080000000002</v>
      </c>
      <c r="BM233" s="66">
        <f t="shared" si="2116"/>
        <v>2627.741</v>
      </c>
      <c r="BN233" s="66">
        <f t="shared" si="2116"/>
        <v>2831.72</v>
      </c>
      <c r="BO233" s="66">
        <f t="shared" si="2116"/>
        <v>3255.4700000000003</v>
      </c>
      <c r="BP233" s="66">
        <f t="shared" si="2116"/>
        <v>3681.8900000000003</v>
      </c>
      <c r="BQ233" s="66">
        <f t="shared" si="2116"/>
        <v>4240.72</v>
      </c>
      <c r="BR233" s="66">
        <f t="shared" ref="BR233:CW233" si="2117">SUM(BO18:BR18)</f>
        <v>4813.51</v>
      </c>
      <c r="BS233" s="66">
        <f t="shared" si="2117"/>
        <v>5117.6900000000005</v>
      </c>
      <c r="BT233" s="66">
        <f t="shared" si="2117"/>
        <v>5182.33</v>
      </c>
      <c r="BU233" s="66">
        <f t="shared" si="2117"/>
        <v>4922.67</v>
      </c>
      <c r="BV233" s="66">
        <f t="shared" si="2117"/>
        <v>4935.57</v>
      </c>
      <c r="BW233" s="66">
        <f t="shared" si="2117"/>
        <v>5196.01</v>
      </c>
      <c r="BX233" s="66">
        <f t="shared" si="2117"/>
        <v>5568.42</v>
      </c>
      <c r="BY233" s="66">
        <f t="shared" si="2117"/>
        <v>6084.48</v>
      </c>
      <c r="BZ233" s="66">
        <f t="shared" si="2117"/>
        <v>6040.5499999999993</v>
      </c>
      <c r="CA233" s="66">
        <f t="shared" si="2117"/>
        <v>5683.4000000000005</v>
      </c>
      <c r="CB233" s="66">
        <f t="shared" si="2117"/>
        <v>5331.96</v>
      </c>
      <c r="CC233" s="66">
        <f t="shared" si="2117"/>
        <v>4982.0600000000004</v>
      </c>
      <c r="CD233" s="66">
        <f t="shared" si="2117"/>
        <v>5040.83</v>
      </c>
      <c r="CE233" s="66">
        <f t="shared" si="2117"/>
        <v>5053.95</v>
      </c>
      <c r="CF233" s="66">
        <f t="shared" si="2117"/>
        <v>5053.2</v>
      </c>
      <c r="CG233" s="66">
        <f t="shared" si="2117"/>
        <v>5273.33</v>
      </c>
      <c r="CH233" s="66">
        <f t="shared" si="2117"/>
        <v>5553.96</v>
      </c>
      <c r="CI233" s="66">
        <f t="shared" si="2117"/>
        <v>5928.62</v>
      </c>
      <c r="CJ233" s="66">
        <f t="shared" si="2117"/>
        <v>6358.39</v>
      </c>
      <c r="CK233" s="66">
        <f t="shared" si="2117"/>
        <v>6721.63</v>
      </c>
      <c r="CL233" s="66">
        <f t="shared" si="2117"/>
        <v>6812.9</v>
      </c>
      <c r="CM233" s="50">
        <f t="shared" si="2117"/>
        <v>7048.3355000000001</v>
      </c>
      <c r="CN233" s="50">
        <f t="shared" si="2117"/>
        <v>7296.3559999999998</v>
      </c>
      <c r="CO233" s="50">
        <f t="shared" si="2117"/>
        <v>7563.0995000000003</v>
      </c>
      <c r="CP233" s="50">
        <f t="shared" si="2117"/>
        <v>7834.8350000000009</v>
      </c>
      <c r="CQ233" s="50">
        <f t="shared" si="2117"/>
        <v>8105.5858250000001</v>
      </c>
      <c r="CR233" s="50">
        <f t="shared" si="2117"/>
        <v>8390.8094000000001</v>
      </c>
      <c r="CS233" s="50">
        <f t="shared" si="2117"/>
        <v>8697.5644250000005</v>
      </c>
      <c r="CT233" s="50">
        <f t="shared" si="2117"/>
        <v>9010.0602500000005</v>
      </c>
      <c r="CU233" s="50">
        <f t="shared" si="2117"/>
        <v>9321.4236987500008</v>
      </c>
      <c r="CV233" s="50">
        <f t="shared" si="2117"/>
        <v>9649.4308099999998</v>
      </c>
      <c r="CW233" s="50">
        <f t="shared" si="2117"/>
        <v>10002.19908875</v>
      </c>
      <c r="CX233" s="50">
        <f t="shared" ref="CX233:DB233" si="2118">SUM(CU18:CX18)</f>
        <v>10361.569287499999</v>
      </c>
      <c r="CY233" s="50">
        <f t="shared" si="2118"/>
        <v>10719.6372535625</v>
      </c>
      <c r="CZ233" s="50">
        <f t="shared" si="2118"/>
        <v>11096.845431499998</v>
      </c>
      <c r="DA233" s="50">
        <f t="shared" si="2118"/>
        <v>11502.528952062497</v>
      </c>
      <c r="DB233" s="50">
        <f t="shared" si="2118"/>
        <v>11915.804680624999</v>
      </c>
      <c r="DE233" s="138"/>
    </row>
    <row r="234" spans="1:110" s="66" customFormat="1" x14ac:dyDescent="0.2">
      <c r="A234" s="66" t="s">
        <v>472</v>
      </c>
      <c r="AB234" s="50"/>
      <c r="AC234" s="50"/>
      <c r="AD234" s="50"/>
      <c r="AE234" s="50"/>
      <c r="AL234" s="66">
        <f t="shared" ref="AL234:BQ234" si="2119">SUM(AI36:AL36)</f>
        <v>0</v>
      </c>
      <c r="AM234" s="66">
        <f t="shared" si="2119"/>
        <v>0</v>
      </c>
      <c r="AN234" s="66">
        <f t="shared" si="2119"/>
        <v>0</v>
      </c>
      <c r="AO234" s="66">
        <f t="shared" si="2119"/>
        <v>0</v>
      </c>
      <c r="AP234" s="66">
        <f t="shared" si="2119"/>
        <v>0</v>
      </c>
      <c r="AQ234" s="66">
        <f t="shared" si="2119"/>
        <v>0</v>
      </c>
      <c r="AR234" s="66">
        <f t="shared" si="2119"/>
        <v>0</v>
      </c>
      <c r="AS234" s="66">
        <f t="shared" si="2119"/>
        <v>0</v>
      </c>
      <c r="AT234" s="66">
        <f t="shared" si="2119"/>
        <v>0</v>
      </c>
      <c r="AU234" s="66">
        <f t="shared" si="2119"/>
        <v>0</v>
      </c>
      <c r="AV234" s="66">
        <f t="shared" si="2119"/>
        <v>0</v>
      </c>
      <c r="AW234" s="66">
        <f t="shared" si="2119"/>
        <v>100.20100000000004</v>
      </c>
      <c r="AX234" s="66">
        <f t="shared" si="2119"/>
        <v>220.71200000000005</v>
      </c>
      <c r="AY234" s="66">
        <f t="shared" si="2119"/>
        <v>305.70600000000007</v>
      </c>
      <c r="AZ234" s="66">
        <f t="shared" si="2119"/>
        <v>413.9380000000001</v>
      </c>
      <c r="BA234" s="66">
        <f t="shared" si="2119"/>
        <v>413.07900000000012</v>
      </c>
      <c r="BB234" s="66">
        <f t="shared" si="2119"/>
        <v>407.6350000000001</v>
      </c>
      <c r="BC234" s="66">
        <f t="shared" si="2119"/>
        <v>419.154</v>
      </c>
      <c r="BD234" s="66">
        <f t="shared" si="2119"/>
        <v>423.49699999999996</v>
      </c>
      <c r="BE234" s="66">
        <f t="shared" si="2119"/>
        <v>411.50299999999993</v>
      </c>
      <c r="BF234" s="66">
        <f t="shared" si="2119"/>
        <v>413.31999999999994</v>
      </c>
      <c r="BG234" s="66">
        <f t="shared" si="2119"/>
        <v>397.36</v>
      </c>
      <c r="BH234" s="66">
        <f t="shared" si="2119"/>
        <v>360.51099999999997</v>
      </c>
      <c r="BI234" s="66">
        <f t="shared" si="2119"/>
        <v>360.87799999999993</v>
      </c>
      <c r="BJ234" s="66">
        <f t="shared" si="2119"/>
        <v>355.98199999999991</v>
      </c>
      <c r="BK234" s="66">
        <f t="shared" si="2119"/>
        <v>358.68899999999996</v>
      </c>
      <c r="BL234" s="66">
        <f t="shared" si="2119"/>
        <v>420.77300000000002</v>
      </c>
      <c r="BM234" s="66">
        <f t="shared" si="2119"/>
        <v>481.22800000000018</v>
      </c>
      <c r="BN234" s="66">
        <f t="shared" si="2119"/>
        <v>561.01</v>
      </c>
      <c r="BO234" s="66">
        <f t="shared" si="2119"/>
        <v>756.06999999999994</v>
      </c>
      <c r="BP234" s="66">
        <f t="shared" si="2119"/>
        <v>992.12999999999988</v>
      </c>
      <c r="BQ234" s="66">
        <f t="shared" si="2119"/>
        <v>1270.2599999999998</v>
      </c>
      <c r="BR234" s="66">
        <f t="shared" ref="BR234:CW234" si="2120">SUM(BO36:BR36)</f>
        <v>1550.68</v>
      </c>
      <c r="BS234" s="66">
        <f t="shared" si="2120"/>
        <v>1667.7100000000003</v>
      </c>
      <c r="BT234" s="66">
        <f t="shared" si="2120"/>
        <v>1638.92</v>
      </c>
      <c r="BU234" s="66">
        <f t="shared" si="2120"/>
        <v>1497.9100000000003</v>
      </c>
      <c r="BV234" s="66">
        <f t="shared" si="2120"/>
        <v>1422.4299999999998</v>
      </c>
      <c r="BW234" s="66">
        <f t="shared" si="2120"/>
        <v>1481.2499999999995</v>
      </c>
      <c r="BX234" s="66">
        <f t="shared" si="2120"/>
        <v>1585.0799999999997</v>
      </c>
      <c r="BY234" s="66">
        <f t="shared" si="2120"/>
        <v>1703.3600000000001</v>
      </c>
      <c r="BZ234" s="66">
        <f t="shared" si="2120"/>
        <v>1592.19</v>
      </c>
      <c r="CA234" s="66">
        <f t="shared" si="2120"/>
        <v>1304.7400000000002</v>
      </c>
      <c r="CB234" s="66">
        <f t="shared" si="2120"/>
        <v>1043.7000000000003</v>
      </c>
      <c r="CC234" s="66">
        <f t="shared" si="2120"/>
        <v>821.55000000000018</v>
      </c>
      <c r="CD234" s="66">
        <f t="shared" si="2120"/>
        <v>777.50000000000023</v>
      </c>
      <c r="CE234" s="66">
        <f t="shared" si="2120"/>
        <v>781.98000000000047</v>
      </c>
      <c r="CF234" s="66">
        <f t="shared" si="2120"/>
        <v>772.44000000000017</v>
      </c>
      <c r="CG234" s="66">
        <f t="shared" si="2120"/>
        <v>876.1700000000003</v>
      </c>
      <c r="CH234" s="66">
        <f t="shared" si="2120"/>
        <v>1055.2800000000002</v>
      </c>
      <c r="CI234" s="66">
        <f t="shared" si="2120"/>
        <v>1266.21</v>
      </c>
      <c r="CJ234" s="66">
        <f t="shared" si="2120"/>
        <v>1491.14</v>
      </c>
      <c r="CK234" s="66">
        <f t="shared" si="2120"/>
        <v>1686.1999999999996</v>
      </c>
      <c r="CL234" s="66">
        <f t="shared" si="2120"/>
        <v>1777.7099999999996</v>
      </c>
      <c r="CM234" s="50">
        <f t="shared" si="2120"/>
        <v>1835.8429042490836</v>
      </c>
      <c r="CN234" s="50">
        <f t="shared" si="2120"/>
        <v>1901.1233528121079</v>
      </c>
      <c r="CO234" s="50">
        <f t="shared" si="2120"/>
        <v>1928.7338772575017</v>
      </c>
      <c r="CP234" s="50">
        <f t="shared" si="2120"/>
        <v>1933.3762042713624</v>
      </c>
      <c r="CQ234" s="50">
        <f t="shared" si="2120"/>
        <v>2005.1414190414475</v>
      </c>
      <c r="CR234" s="50">
        <f t="shared" si="2120"/>
        <v>2077.5070689386835</v>
      </c>
      <c r="CS234" s="50">
        <f t="shared" si="2120"/>
        <v>2151.9859838145458</v>
      </c>
      <c r="CT234" s="50">
        <f t="shared" si="2120"/>
        <v>2227.9991344317332</v>
      </c>
      <c r="CU234" s="50">
        <f t="shared" si="2120"/>
        <v>2306.2149509785868</v>
      </c>
      <c r="CV234" s="50">
        <f t="shared" si="2120"/>
        <v>2387.4755282087922</v>
      </c>
      <c r="CW234" s="50">
        <f t="shared" si="2120"/>
        <v>2474.3434757863697</v>
      </c>
      <c r="CX234" s="50">
        <f t="shared" ref="CX234:DB234" si="2121">SUM(CU36:CX36)</f>
        <v>2563.1471166394704</v>
      </c>
      <c r="CY234" s="50">
        <f t="shared" si="2121"/>
        <v>2651.9748354997068</v>
      </c>
      <c r="CZ234" s="50">
        <f t="shared" si="2121"/>
        <v>2745.2556718761653</v>
      </c>
      <c r="DA234" s="50">
        <f t="shared" si="2121"/>
        <v>2845.5328601430151</v>
      </c>
      <c r="DB234" s="50">
        <f t="shared" si="2121"/>
        <v>2947.783232239356</v>
      </c>
      <c r="DE234" s="138"/>
    </row>
    <row r="235" spans="1:110" s="66" customFormat="1" x14ac:dyDescent="0.2">
      <c r="A235" s="66" t="s">
        <v>473</v>
      </c>
      <c r="AB235" s="50"/>
      <c r="AC235" s="50"/>
      <c r="AD235" s="50"/>
      <c r="AE235" s="50"/>
      <c r="AL235" s="66">
        <f t="shared" ref="AL235:BQ235" si="2122">SUM(AI49:AL49)</f>
        <v>0</v>
      </c>
      <c r="AM235" s="66">
        <f t="shared" si="2122"/>
        <v>0</v>
      </c>
      <c r="AN235" s="66">
        <f t="shared" si="2122"/>
        <v>0</v>
      </c>
      <c r="AO235" s="66">
        <f t="shared" si="2122"/>
        <v>0</v>
      </c>
      <c r="AP235" s="66">
        <f t="shared" si="2122"/>
        <v>0</v>
      </c>
      <c r="AQ235" s="66">
        <f t="shared" si="2122"/>
        <v>0</v>
      </c>
      <c r="AR235" s="66">
        <f t="shared" si="2122"/>
        <v>0</v>
      </c>
      <c r="AS235" s="66">
        <f t="shared" si="2122"/>
        <v>0</v>
      </c>
      <c r="AT235" s="66">
        <f t="shared" si="2122"/>
        <v>0</v>
      </c>
      <c r="AU235" s="66">
        <f t="shared" si="2122"/>
        <v>0</v>
      </c>
      <c r="AV235" s="66">
        <f t="shared" si="2122"/>
        <v>0</v>
      </c>
      <c r="AW235" s="66">
        <f t="shared" si="2122"/>
        <v>40.23100000000003</v>
      </c>
      <c r="AX235" s="66">
        <f t="shared" si="2122"/>
        <v>93.647000000000048</v>
      </c>
      <c r="AY235" s="66">
        <f t="shared" si="2122"/>
        <v>120.33500000000005</v>
      </c>
      <c r="AZ235" s="66">
        <f t="shared" si="2122"/>
        <v>169.06300000000007</v>
      </c>
      <c r="BA235" s="66">
        <f t="shared" si="2122"/>
        <v>173.41400000000007</v>
      </c>
      <c r="BB235" s="66">
        <f t="shared" si="2122"/>
        <v>191.33100000000007</v>
      </c>
      <c r="BC235" s="66">
        <f t="shared" si="2122"/>
        <v>203.54799999999994</v>
      </c>
      <c r="BD235" s="66">
        <f t="shared" si="2122"/>
        <v>203.57499999999996</v>
      </c>
      <c r="BE235" s="66">
        <f t="shared" si="2122"/>
        <v>193.86299999999991</v>
      </c>
      <c r="BF235" s="66">
        <f t="shared" si="2122"/>
        <v>167.60999999999996</v>
      </c>
      <c r="BG235" s="66">
        <f t="shared" si="2122"/>
        <v>145.26300000000006</v>
      </c>
      <c r="BH235" s="66">
        <f t="shared" si="2122"/>
        <v>112.71799999999999</v>
      </c>
      <c r="BI235" s="66">
        <f t="shared" si="2122"/>
        <v>95.664999999999964</v>
      </c>
      <c r="BJ235" s="66">
        <f t="shared" si="2122"/>
        <v>93.763999999999925</v>
      </c>
      <c r="BK235" s="66">
        <f t="shared" si="2122"/>
        <v>92.305999999999983</v>
      </c>
      <c r="BL235" s="66">
        <f t="shared" si="2122"/>
        <v>132.64600000000002</v>
      </c>
      <c r="BM235" s="66">
        <f t="shared" si="2122"/>
        <v>188.29900000000018</v>
      </c>
      <c r="BN235" s="66">
        <f t="shared" si="2122"/>
        <v>255.2700000000001</v>
      </c>
      <c r="BO235" s="66">
        <f t="shared" si="2122"/>
        <v>411.94999999999993</v>
      </c>
      <c r="BP235" s="66">
        <f t="shared" si="2122"/>
        <v>597.66999999999985</v>
      </c>
      <c r="BQ235" s="66">
        <f t="shared" si="2122"/>
        <v>797.04999999999984</v>
      </c>
      <c r="BR235" s="66">
        <f t="shared" ref="BR235:CW235" si="2123">SUM(BO49:BR49)</f>
        <v>983.81999999999994</v>
      </c>
      <c r="BS235" s="66">
        <f t="shared" si="2123"/>
        <v>1053.6500000000001</v>
      </c>
      <c r="BT235" s="66">
        <f t="shared" si="2123"/>
        <v>1015.3300000000002</v>
      </c>
      <c r="BU235" s="66">
        <f t="shared" si="2123"/>
        <v>897.45</v>
      </c>
      <c r="BV235" s="66">
        <f t="shared" si="2123"/>
        <v>832.42999999999984</v>
      </c>
      <c r="BW235" s="66">
        <f t="shared" si="2123"/>
        <v>843.35999999999967</v>
      </c>
      <c r="BX235" s="66">
        <f t="shared" si="2123"/>
        <v>873.20999999999992</v>
      </c>
      <c r="BY235" s="66">
        <f t="shared" si="2123"/>
        <v>921.3</v>
      </c>
      <c r="BZ235" s="66">
        <f t="shared" si="2123"/>
        <v>796.64000000000033</v>
      </c>
      <c r="CA235" s="66">
        <f t="shared" si="2123"/>
        <v>572.50000000000023</v>
      </c>
      <c r="CB235" s="66">
        <f t="shared" si="2123"/>
        <v>378.02000000000027</v>
      </c>
      <c r="CC235" s="66">
        <f t="shared" si="2123"/>
        <v>200.13000000000025</v>
      </c>
      <c r="CD235" s="66">
        <f t="shared" si="2123"/>
        <v>168.21000000000024</v>
      </c>
      <c r="CE235" s="66">
        <f t="shared" si="2123"/>
        <v>152.02000000000044</v>
      </c>
      <c r="CF235" s="66">
        <f t="shared" si="2123"/>
        <v>130.42000000000024</v>
      </c>
      <c r="CG235" s="66">
        <f t="shared" si="2123"/>
        <v>195.86000000000021</v>
      </c>
      <c r="CH235" s="66">
        <f t="shared" si="2123"/>
        <v>354.4100000000002</v>
      </c>
      <c r="CI235" s="66">
        <f t="shared" si="2123"/>
        <v>503.28000000000003</v>
      </c>
      <c r="CJ235" s="66">
        <f t="shared" si="2123"/>
        <v>679.31</v>
      </c>
      <c r="CK235" s="66">
        <f t="shared" si="2123"/>
        <v>841.8099999999996</v>
      </c>
      <c r="CL235" s="66">
        <f t="shared" si="2123"/>
        <v>889.84999999999968</v>
      </c>
      <c r="CM235" s="50">
        <f t="shared" si="2123"/>
        <v>935.90005326074436</v>
      </c>
      <c r="CN235" s="50">
        <f t="shared" si="2123"/>
        <v>964.85459970696684</v>
      </c>
      <c r="CO235" s="50">
        <f t="shared" si="2123"/>
        <v>965.72067733286644</v>
      </c>
      <c r="CP235" s="50">
        <f t="shared" si="2123"/>
        <v>941.80545641351364</v>
      </c>
      <c r="CQ235" s="50">
        <f t="shared" si="2123"/>
        <v>988.02317408072122</v>
      </c>
      <c r="CR235" s="50">
        <f t="shared" si="2123"/>
        <v>1029.1394890159424</v>
      </c>
      <c r="CS235" s="50">
        <f t="shared" si="2123"/>
        <v>1070.4085539226553</v>
      </c>
      <c r="CT235" s="50">
        <f t="shared" si="2123"/>
        <v>1113.8878748182208</v>
      </c>
      <c r="CU235" s="50">
        <f t="shared" si="2123"/>
        <v>1162.6127543222733</v>
      </c>
      <c r="CV235" s="50">
        <f t="shared" si="2123"/>
        <v>1229.8254297682474</v>
      </c>
      <c r="CW235" s="50">
        <f t="shared" si="2123"/>
        <v>1274.4545848037887</v>
      </c>
      <c r="CX235" s="50">
        <f t="shared" ref="CX235:DB235" si="2124">SUM(CU49:CX49)</f>
        <v>1321.8911837447777</v>
      </c>
      <c r="CY235" s="50">
        <f t="shared" si="2124"/>
        <v>1375.897684910439</v>
      </c>
      <c r="CZ235" s="50">
        <f t="shared" si="2124"/>
        <v>1546.1856195276587</v>
      </c>
      <c r="DA235" s="50">
        <f t="shared" si="2124"/>
        <v>1703.8606479855589</v>
      </c>
      <c r="DB235" s="50">
        <f t="shared" si="2124"/>
        <v>1847.2555784251856</v>
      </c>
      <c r="DE235" s="138"/>
    </row>
    <row r="236" spans="1:110" s="93" customFormat="1" x14ac:dyDescent="0.2"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11" customFormat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1" t="s">
        <v>339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4" customFormat="1" hidden="1" outlineLevel="1" x14ac:dyDescent="0.2">
      <c r="A239" s="64" t="s">
        <v>474</v>
      </c>
      <c r="B239" s="64">
        <f t="shared" ref="B239:Z239" si="2125">B16-B245</f>
        <v>0</v>
      </c>
      <c r="C239" s="64">
        <f t="shared" si="2125"/>
        <v>0</v>
      </c>
      <c r="D239" s="64">
        <f t="shared" si="2125"/>
        <v>0</v>
      </c>
      <c r="E239" s="64">
        <f t="shared" si="2125"/>
        <v>0</v>
      </c>
      <c r="F239" s="64">
        <f t="shared" si="2125"/>
        <v>0</v>
      </c>
      <c r="G239" s="64">
        <f t="shared" si="2125"/>
        <v>0</v>
      </c>
      <c r="H239" s="64">
        <f t="shared" si="2125"/>
        <v>0</v>
      </c>
      <c r="I239" s="64">
        <f t="shared" si="2125"/>
        <v>0</v>
      </c>
      <c r="J239" s="64">
        <f t="shared" si="2125"/>
        <v>0</v>
      </c>
      <c r="K239" s="64">
        <f t="shared" si="2125"/>
        <v>0</v>
      </c>
      <c r="L239" s="64">
        <f t="shared" si="2125"/>
        <v>0</v>
      </c>
      <c r="M239" s="64">
        <f t="shared" si="2125"/>
        <v>454.09500000000003</v>
      </c>
      <c r="N239" s="64">
        <f t="shared" si="2125"/>
        <v>722.54200000000003</v>
      </c>
      <c r="O239" s="64">
        <f t="shared" si="2125"/>
        <v>1165.6859999999999</v>
      </c>
      <c r="P239" s="64">
        <f t="shared" si="2125"/>
        <v>1337.924</v>
      </c>
      <c r="Q239" s="64">
        <f t="shared" si="2125"/>
        <v>1810.9860000000001</v>
      </c>
      <c r="R239" s="64">
        <f t="shared" si="2125"/>
        <v>1931.549</v>
      </c>
      <c r="S239" s="64">
        <f t="shared" si="2125"/>
        <v>2069.0030000000002</v>
      </c>
      <c r="T239" s="64">
        <f t="shared" si="2125"/>
        <v>2291.9160000000002</v>
      </c>
      <c r="U239" s="64">
        <f t="shared" si="2125"/>
        <v>2831.72</v>
      </c>
      <c r="V239" s="64">
        <f t="shared" si="2125"/>
        <v>4813.51</v>
      </c>
      <c r="W239" s="64">
        <f t="shared" si="2125"/>
        <v>4935.57</v>
      </c>
      <c r="X239" s="64">
        <f t="shared" si="2125"/>
        <v>6040.55</v>
      </c>
      <c r="Y239" s="64">
        <f t="shared" si="2125"/>
        <v>5040.83</v>
      </c>
      <c r="Z239" s="64">
        <f t="shared" si="2125"/>
        <v>5553.96</v>
      </c>
      <c r="AA239" s="64">
        <f t="shared" ref="AA239" si="2126">AA16-AA245</f>
        <v>6812.9</v>
      </c>
      <c r="AB239" s="30"/>
      <c r="AC239" s="30"/>
      <c r="AD239" s="30"/>
      <c r="AE239" s="30"/>
      <c r="AI239" s="64">
        <f t="shared" ref="AI239:BN239" si="2127">AI16-AI245</f>
        <v>0</v>
      </c>
      <c r="AJ239" s="64">
        <f t="shared" si="2127"/>
        <v>0</v>
      </c>
      <c r="AK239" s="64">
        <f t="shared" si="2127"/>
        <v>0</v>
      </c>
      <c r="AL239" s="64">
        <f t="shared" si="2127"/>
        <v>0</v>
      </c>
      <c r="AM239" s="64">
        <f t="shared" si="2127"/>
        <v>0</v>
      </c>
      <c r="AN239" s="64">
        <f t="shared" si="2127"/>
        <v>0</v>
      </c>
      <c r="AO239" s="64">
        <f t="shared" si="2127"/>
        <v>0</v>
      </c>
      <c r="AP239" s="64">
        <f t="shared" si="2127"/>
        <v>0</v>
      </c>
      <c r="AQ239" s="64">
        <f t="shared" si="2127"/>
        <v>0</v>
      </c>
      <c r="AR239" s="64">
        <f t="shared" si="2127"/>
        <v>0</v>
      </c>
      <c r="AS239" s="64">
        <f t="shared" si="2127"/>
        <v>0</v>
      </c>
      <c r="AT239" s="64">
        <f t="shared" si="2127"/>
        <v>0</v>
      </c>
      <c r="AU239" s="64">
        <f t="shared" si="2127"/>
        <v>0</v>
      </c>
      <c r="AV239" s="64">
        <f t="shared" si="2127"/>
        <v>0</v>
      </c>
      <c r="AW239" s="64">
        <f t="shared" si="2127"/>
        <v>450.09800000000001</v>
      </c>
      <c r="AX239" s="64">
        <f t="shared" si="2127"/>
        <v>491.15600000000001</v>
      </c>
      <c r="AY239" s="64">
        <f t="shared" si="2127"/>
        <v>416.49099999999999</v>
      </c>
      <c r="AZ239" s="64">
        <f t="shared" si="2127"/>
        <v>525.41099999999994</v>
      </c>
      <c r="BA239" s="64">
        <f t="shared" si="2127"/>
        <v>509.72899999999998</v>
      </c>
      <c r="BB239" s="64">
        <f t="shared" si="2127"/>
        <v>479.91800000000001</v>
      </c>
      <c r="BC239" s="64">
        <f t="shared" si="2127"/>
        <v>491.22199999999998</v>
      </c>
      <c r="BD239" s="64">
        <f t="shared" si="2127"/>
        <v>538.61</v>
      </c>
      <c r="BE239" s="64">
        <f t="shared" si="2127"/>
        <v>478.93099999999998</v>
      </c>
      <c r="BF239" s="64">
        <f t="shared" si="2127"/>
        <v>560.24</v>
      </c>
      <c r="BG239" s="64">
        <f t="shared" si="2127"/>
        <v>539.01700000000005</v>
      </c>
      <c r="BH239" s="64">
        <f t="shared" si="2127"/>
        <v>588.28099999999995</v>
      </c>
      <c r="BI239" s="64">
        <f t="shared" si="2127"/>
        <v>529.45699999999999</v>
      </c>
      <c r="BJ239" s="64">
        <f t="shared" si="2127"/>
        <v>635.16099999999994</v>
      </c>
      <c r="BK239" s="64">
        <f t="shared" si="2127"/>
        <v>550.57000000000005</v>
      </c>
      <c r="BL239" s="64">
        <f t="shared" si="2127"/>
        <v>712.42</v>
      </c>
      <c r="BM239" s="64">
        <f t="shared" si="2127"/>
        <v>729.59</v>
      </c>
      <c r="BN239" s="64">
        <f t="shared" si="2127"/>
        <v>839.14</v>
      </c>
      <c r="BO239" s="64">
        <f t="shared" ref="BO239:CT239" si="2128">BO16-BO245</f>
        <v>974.32</v>
      </c>
      <c r="BP239" s="64">
        <f t="shared" si="2128"/>
        <v>1138.8399999999999</v>
      </c>
      <c r="BQ239" s="64">
        <f t="shared" si="2128"/>
        <v>1288.42</v>
      </c>
      <c r="BR239" s="64">
        <f t="shared" si="2128"/>
        <v>1411.93</v>
      </c>
      <c r="BS239" s="64">
        <f t="shared" si="2128"/>
        <v>1278.5</v>
      </c>
      <c r="BT239" s="64">
        <f t="shared" si="2128"/>
        <v>1203.48</v>
      </c>
      <c r="BU239" s="64">
        <f t="shared" si="2128"/>
        <v>1028.76</v>
      </c>
      <c r="BV239" s="64">
        <f t="shared" si="2128"/>
        <v>1424.83</v>
      </c>
      <c r="BW239" s="64">
        <f t="shared" si="2128"/>
        <v>1538.94</v>
      </c>
      <c r="BX239" s="64">
        <f t="shared" si="2128"/>
        <v>1575.89</v>
      </c>
      <c r="BY239" s="64">
        <f t="shared" si="2128"/>
        <v>1544.82</v>
      </c>
      <c r="BZ239" s="64">
        <f t="shared" si="2128"/>
        <v>1380.9</v>
      </c>
      <c r="CA239" s="64">
        <f t="shared" si="2128"/>
        <v>1181.79</v>
      </c>
      <c r="CB239" s="64">
        <f t="shared" si="2128"/>
        <v>1224.45</v>
      </c>
      <c r="CC239" s="64">
        <f t="shared" si="2128"/>
        <v>1194.92</v>
      </c>
      <c r="CD239" s="64">
        <f t="shared" si="2128"/>
        <v>1439.67</v>
      </c>
      <c r="CE239" s="64">
        <f t="shared" si="2128"/>
        <v>1194.9100000000001</v>
      </c>
      <c r="CF239" s="64">
        <f t="shared" si="2128"/>
        <v>1223.7</v>
      </c>
      <c r="CG239" s="64">
        <f t="shared" si="2128"/>
        <v>1415.05</v>
      </c>
      <c r="CH239" s="64">
        <f t="shared" si="2128"/>
        <v>1720.3</v>
      </c>
      <c r="CI239" s="64">
        <f t="shared" si="2128"/>
        <v>1569.57</v>
      </c>
      <c r="CJ239" s="64">
        <f t="shared" si="2128"/>
        <v>1653.47</v>
      </c>
      <c r="CK239" s="64">
        <f t="shared" si="2128"/>
        <v>1778.29</v>
      </c>
      <c r="CL239" s="64">
        <f t="shared" ref="CL239" si="2129">CL16-CL245</f>
        <v>1811.57</v>
      </c>
      <c r="CM239" s="30">
        <f t="shared" si="2128"/>
        <v>1805.0055</v>
      </c>
      <c r="CN239" s="30">
        <f t="shared" si="2128"/>
        <v>1901.4905000000001</v>
      </c>
      <c r="CO239" s="30">
        <f t="shared" si="2128"/>
        <v>2045.0335</v>
      </c>
      <c r="CP239" s="30">
        <f t="shared" si="2128"/>
        <v>2083.3054999999999</v>
      </c>
      <c r="CQ239" s="30">
        <f t="shared" si="2128"/>
        <v>2075.7563249999998</v>
      </c>
      <c r="CR239" s="30">
        <f t="shared" si="2128"/>
        <v>2186.7140749999999</v>
      </c>
      <c r="CS239" s="30">
        <f t="shared" si="2128"/>
        <v>2351.7885249999999</v>
      </c>
      <c r="CT239" s="30">
        <f t="shared" si="2128"/>
        <v>2395.8013249999999</v>
      </c>
      <c r="CU239" s="30">
        <f t="shared" ref="CU239:DB239" si="2130">CU16-CU245</f>
        <v>2387.1197737499997</v>
      </c>
      <c r="CV239" s="30">
        <f t="shared" si="2130"/>
        <v>2514.7211862499998</v>
      </c>
      <c r="CW239" s="30">
        <f t="shared" si="2130"/>
        <v>2704.5568037499997</v>
      </c>
      <c r="CX239" s="30">
        <f t="shared" si="2130"/>
        <v>2755.1715237499998</v>
      </c>
      <c r="CY239" s="30">
        <f t="shared" si="2130"/>
        <v>2745.1877398124998</v>
      </c>
      <c r="CZ239" s="30">
        <f t="shared" si="2130"/>
        <v>2891.9293641874997</v>
      </c>
      <c r="DA239" s="30">
        <f t="shared" si="2130"/>
        <v>3110.2403243124995</v>
      </c>
      <c r="DB239" s="30">
        <f t="shared" si="2130"/>
        <v>3168.4472523124996</v>
      </c>
      <c r="DE239" s="139"/>
      <c r="DF239" s="64">
        <v>6812.9</v>
      </c>
    </row>
    <row r="240" spans="1:110" s="64" customFormat="1" hidden="1" outlineLevel="1" x14ac:dyDescent="0.2">
      <c r="A240" s="64" t="s">
        <v>475</v>
      </c>
      <c r="B240" s="64">
        <f t="shared" ref="B240:Z240" si="2131">B36-B246</f>
        <v>0</v>
      </c>
      <c r="C240" s="64">
        <f t="shared" si="2131"/>
        <v>0</v>
      </c>
      <c r="D240" s="64">
        <f t="shared" si="2131"/>
        <v>0</v>
      </c>
      <c r="E240" s="64">
        <f t="shared" si="2131"/>
        <v>0</v>
      </c>
      <c r="F240" s="64">
        <f t="shared" si="2131"/>
        <v>0</v>
      </c>
      <c r="G240" s="64">
        <f t="shared" si="2131"/>
        <v>0</v>
      </c>
      <c r="H240" s="64">
        <f t="shared" si="2131"/>
        <v>0</v>
      </c>
      <c r="I240" s="64">
        <f t="shared" si="2131"/>
        <v>0</v>
      </c>
      <c r="J240" s="64">
        <f t="shared" si="2131"/>
        <v>0</v>
      </c>
      <c r="K240" s="64">
        <f t="shared" si="2131"/>
        <v>0</v>
      </c>
      <c r="L240" s="64">
        <f t="shared" si="2131"/>
        <v>0</v>
      </c>
      <c r="M240" s="64">
        <f t="shared" si="2131"/>
        <v>71.360000000000042</v>
      </c>
      <c r="N240" s="64">
        <f t="shared" si="2131"/>
        <v>142.79300000000001</v>
      </c>
      <c r="O240" s="64">
        <f t="shared" si="2131"/>
        <v>203.62999999999977</v>
      </c>
      <c r="P240" s="64">
        <f t="shared" si="2131"/>
        <v>195.13299999999987</v>
      </c>
      <c r="Q240" s="64">
        <f t="shared" si="2131"/>
        <v>362.19800000000009</v>
      </c>
      <c r="R240" s="64">
        <f t="shared" si="2131"/>
        <v>407.6350000000001</v>
      </c>
      <c r="S240" s="64">
        <f t="shared" si="2131"/>
        <v>413.32000000000016</v>
      </c>
      <c r="T240" s="64">
        <f t="shared" si="2131"/>
        <v>355.9820000000002</v>
      </c>
      <c r="U240" s="64">
        <f t="shared" si="2131"/>
        <v>564.54999999999995</v>
      </c>
      <c r="V240" s="64">
        <f t="shared" si="2131"/>
        <v>1550.6800000000003</v>
      </c>
      <c r="W240" s="64">
        <f t="shared" si="2131"/>
        <v>1422.4299999999998</v>
      </c>
      <c r="X240" s="64">
        <f t="shared" si="2131"/>
        <v>1592.1900000000003</v>
      </c>
      <c r="Y240" s="64">
        <f t="shared" si="2131"/>
        <v>777.50000000000023</v>
      </c>
      <c r="Z240" s="64">
        <f t="shared" si="2131"/>
        <v>1055.2800000000002</v>
      </c>
      <c r="AA240" s="64">
        <f t="shared" ref="AA240" si="2132">AA36-AA246</f>
        <v>1777.7099999999991</v>
      </c>
      <c r="AB240" s="30"/>
      <c r="AC240" s="30"/>
      <c r="AD240" s="30"/>
      <c r="AE240" s="30"/>
      <c r="AI240" s="64">
        <f t="shared" ref="AI240:BN240" si="2133">AI36-AI246</f>
        <v>0</v>
      </c>
      <c r="AJ240" s="64">
        <f t="shared" si="2133"/>
        <v>0</v>
      </c>
      <c r="AK240" s="64">
        <f t="shared" si="2133"/>
        <v>0</v>
      </c>
      <c r="AL240" s="64">
        <f t="shared" si="2133"/>
        <v>0</v>
      </c>
      <c r="AM240" s="64">
        <f t="shared" si="2133"/>
        <v>0</v>
      </c>
      <c r="AN240" s="64">
        <f t="shared" si="2133"/>
        <v>0</v>
      </c>
      <c r="AO240" s="64">
        <f t="shared" si="2133"/>
        <v>0</v>
      </c>
      <c r="AP240" s="64">
        <f t="shared" si="2133"/>
        <v>0</v>
      </c>
      <c r="AQ240" s="64">
        <f t="shared" si="2133"/>
        <v>0</v>
      </c>
      <c r="AR240" s="64">
        <f t="shared" si="2133"/>
        <v>0</v>
      </c>
      <c r="AS240" s="64">
        <f t="shared" si="2133"/>
        <v>0</v>
      </c>
      <c r="AT240" s="64">
        <f t="shared" si="2133"/>
        <v>0</v>
      </c>
      <c r="AU240" s="64">
        <f t="shared" si="2133"/>
        <v>0</v>
      </c>
      <c r="AV240" s="64">
        <f t="shared" si="2133"/>
        <v>0</v>
      </c>
      <c r="AW240" s="64">
        <f t="shared" si="2133"/>
        <v>100.20100000000004</v>
      </c>
      <c r="AX240" s="64">
        <f t="shared" si="2133"/>
        <v>120.51100000000002</v>
      </c>
      <c r="AY240" s="64">
        <f t="shared" si="2133"/>
        <v>84.994000000000014</v>
      </c>
      <c r="AZ240" s="64">
        <f t="shared" si="2133"/>
        <v>108.23200000000003</v>
      </c>
      <c r="BA240" s="64">
        <f t="shared" si="2133"/>
        <v>99.342000000000041</v>
      </c>
      <c r="BB240" s="64">
        <f t="shared" si="2133"/>
        <v>115.06699999999998</v>
      </c>
      <c r="BC240" s="64">
        <f t="shared" si="2133"/>
        <v>96.51299999999992</v>
      </c>
      <c r="BD240" s="64">
        <f t="shared" si="2133"/>
        <v>112.57500000000002</v>
      </c>
      <c r="BE240" s="64">
        <f t="shared" si="2133"/>
        <v>87.347999999999985</v>
      </c>
      <c r="BF240" s="64">
        <f t="shared" si="2133"/>
        <v>116.88400000000001</v>
      </c>
      <c r="BG240" s="64">
        <f t="shared" si="2133"/>
        <v>80.553000000000026</v>
      </c>
      <c r="BH240" s="64">
        <f t="shared" si="2133"/>
        <v>75.725999999999942</v>
      </c>
      <c r="BI240" s="64">
        <f t="shared" si="2133"/>
        <v>87.714999999999947</v>
      </c>
      <c r="BJ240" s="64">
        <f t="shared" si="2133"/>
        <v>111.988</v>
      </c>
      <c r="BK240" s="64">
        <f t="shared" si="2133"/>
        <v>83.260000000000105</v>
      </c>
      <c r="BL240" s="64">
        <f t="shared" si="2133"/>
        <v>137.80999999999995</v>
      </c>
      <c r="BM240" s="64">
        <f t="shared" si="2133"/>
        <v>148.1700000000001</v>
      </c>
      <c r="BN240" s="64">
        <f t="shared" si="2133"/>
        <v>191.76999999999992</v>
      </c>
      <c r="BO240" s="64">
        <f t="shared" ref="BO240:CT240" si="2134">BO36-BO246</f>
        <v>278.32</v>
      </c>
      <c r="BP240" s="64">
        <f t="shared" si="2134"/>
        <v>373.86999999999995</v>
      </c>
      <c r="BQ240" s="64">
        <f t="shared" si="2134"/>
        <v>426.3</v>
      </c>
      <c r="BR240" s="64">
        <f t="shared" si="2134"/>
        <v>472.19000000000005</v>
      </c>
      <c r="BS240" s="64">
        <f t="shared" si="2134"/>
        <v>395.35000000000008</v>
      </c>
      <c r="BT240" s="64">
        <f t="shared" si="2134"/>
        <v>345.08000000000004</v>
      </c>
      <c r="BU240" s="64">
        <f t="shared" si="2134"/>
        <v>285.28999999999991</v>
      </c>
      <c r="BV240" s="64">
        <f t="shared" si="2134"/>
        <v>396.70999999999981</v>
      </c>
      <c r="BW240" s="64">
        <f t="shared" si="2134"/>
        <v>454.16999999999996</v>
      </c>
      <c r="BX240" s="64">
        <f t="shared" si="2134"/>
        <v>448.91000000000014</v>
      </c>
      <c r="BY240" s="64">
        <f t="shared" si="2134"/>
        <v>403.57000000000005</v>
      </c>
      <c r="BZ240" s="64">
        <f t="shared" si="2134"/>
        <v>285.54000000000008</v>
      </c>
      <c r="CA240" s="64">
        <f t="shared" si="2134"/>
        <v>166.71999999999986</v>
      </c>
      <c r="CB240" s="64">
        <f t="shared" si="2134"/>
        <v>187.87000000000023</v>
      </c>
      <c r="CC240" s="64">
        <f t="shared" si="2134"/>
        <v>181.42000000000007</v>
      </c>
      <c r="CD240" s="64">
        <f t="shared" si="2134"/>
        <v>241.49000000000007</v>
      </c>
      <c r="CE240" s="64">
        <f t="shared" si="2134"/>
        <v>171.20000000000005</v>
      </c>
      <c r="CF240" s="64">
        <f t="shared" si="2134"/>
        <v>178.33000000000004</v>
      </c>
      <c r="CG240" s="64">
        <f t="shared" si="2134"/>
        <v>285.15000000000009</v>
      </c>
      <c r="CH240" s="64">
        <f t="shared" si="2134"/>
        <v>420.6</v>
      </c>
      <c r="CI240" s="64">
        <f t="shared" si="2134"/>
        <v>382.12999999999988</v>
      </c>
      <c r="CJ240" s="64">
        <f t="shared" si="2134"/>
        <v>403.26</v>
      </c>
      <c r="CK240" s="64">
        <f t="shared" si="2134"/>
        <v>480.20999999999981</v>
      </c>
      <c r="CL240" s="64">
        <f t="shared" ref="CL240" si="2135">CL36-CL246</f>
        <v>512.11</v>
      </c>
      <c r="CM240" s="30">
        <f t="shared" si="2134"/>
        <v>440.2629042490837</v>
      </c>
      <c r="CN240" s="30">
        <f t="shared" si="2134"/>
        <v>468.54044856302426</v>
      </c>
      <c r="CO240" s="30">
        <f t="shared" si="2134"/>
        <v>507.82052444539397</v>
      </c>
      <c r="CP240" s="30">
        <f t="shared" si="2134"/>
        <v>516.75232701386051</v>
      </c>
      <c r="CQ240" s="30">
        <f t="shared" si="2134"/>
        <v>512.02811901916891</v>
      </c>
      <c r="CR240" s="30">
        <f t="shared" si="2134"/>
        <v>540.90609846026007</v>
      </c>
      <c r="CS240" s="30">
        <f t="shared" si="2134"/>
        <v>582.29943932125616</v>
      </c>
      <c r="CT240" s="30">
        <f t="shared" si="2134"/>
        <v>592.76547763104816</v>
      </c>
      <c r="CU240" s="30">
        <f t="shared" ref="CU240:DB240" si="2136">CU36-CU246</f>
        <v>590.2439355660224</v>
      </c>
      <c r="CV240" s="30">
        <f t="shared" si="2136"/>
        <v>622.16667569046547</v>
      </c>
      <c r="CW240" s="30">
        <f t="shared" si="2136"/>
        <v>669.16738689883368</v>
      </c>
      <c r="CX240" s="30">
        <f t="shared" si="2136"/>
        <v>681.56911848414893</v>
      </c>
      <c r="CY240" s="30">
        <f t="shared" si="2136"/>
        <v>679.07165442625865</v>
      </c>
      <c r="CZ240" s="30">
        <f t="shared" si="2136"/>
        <v>715.44751206692376</v>
      </c>
      <c r="DA240" s="30">
        <f t="shared" si="2136"/>
        <v>769.44457516568355</v>
      </c>
      <c r="DB240" s="30">
        <f t="shared" si="2136"/>
        <v>783.81949058049031</v>
      </c>
      <c r="DE240" s="139"/>
      <c r="DF240" s="64">
        <v>1777.7099999999991</v>
      </c>
    </row>
    <row r="241" spans="1:110" s="89" customFormat="1" hidden="1" outlineLevel="1" x14ac:dyDescent="0.2">
      <c r="A241" s="86" t="s">
        <v>476</v>
      </c>
      <c r="B241" s="86" t="e">
        <f>+B240/B239</f>
        <v>#DIV/0!</v>
      </c>
      <c r="C241" s="86" t="e">
        <f t="shared" ref="C241" si="2137">+C240/C239</f>
        <v>#DIV/0!</v>
      </c>
      <c r="D241" s="86" t="e">
        <f t="shared" ref="D241" si="2138">+D240/D239</f>
        <v>#DIV/0!</v>
      </c>
      <c r="E241" s="86" t="e">
        <f t="shared" ref="E241" si="2139">+E240/E239</f>
        <v>#DIV/0!</v>
      </c>
      <c r="F241" s="86" t="e">
        <f t="shared" ref="F241" si="2140">+F240/F239</f>
        <v>#DIV/0!</v>
      </c>
      <c r="G241" s="86" t="e">
        <f t="shared" ref="G241" si="2141">+G240/G239</f>
        <v>#DIV/0!</v>
      </c>
      <c r="H241" s="86" t="e">
        <f t="shared" ref="H241" si="2142">+H240/H239</f>
        <v>#DIV/0!</v>
      </c>
      <c r="I241" s="86" t="e">
        <f t="shared" ref="I241" si="2143">+I240/I239</f>
        <v>#DIV/0!</v>
      </c>
      <c r="J241" s="86" t="e">
        <f t="shared" ref="J241" si="2144">+J240/J239</f>
        <v>#DIV/0!</v>
      </c>
      <c r="K241" s="86" t="e">
        <f t="shared" ref="K241" si="2145">+K240/K239</f>
        <v>#DIV/0!</v>
      </c>
      <c r="L241" s="86" t="e">
        <f t="shared" ref="L241" si="2146">+L240/L239</f>
        <v>#DIV/0!</v>
      </c>
      <c r="M241" s="86">
        <f t="shared" ref="M241" si="2147">+M240/M239</f>
        <v>0.15714773340380325</v>
      </c>
      <c r="N241" s="86">
        <f t="shared" ref="N241" si="2148">+N240/N239</f>
        <v>0.19762588195565103</v>
      </c>
      <c r="O241" s="86">
        <f t="shared" ref="O241" si="2149">+O240/O239</f>
        <v>0.1746868367639311</v>
      </c>
      <c r="P241" s="86">
        <f t="shared" ref="P241" si="2150">+P240/P239</f>
        <v>0.14584759672447753</v>
      </c>
      <c r="Q241" s="86">
        <f t="shared" ref="Q241" si="2151">+Q240/Q239</f>
        <v>0.20000044174830731</v>
      </c>
      <c r="R241" s="86">
        <f t="shared" ref="R241" si="2152">+R240/R239</f>
        <v>0.21104046545026822</v>
      </c>
      <c r="S241" s="86">
        <f t="shared" ref="S241" si="2153">+S240/S239</f>
        <v>0.19976771420824432</v>
      </c>
      <c r="T241" s="86">
        <f t="shared" ref="T241" si="2154">+T240/T239</f>
        <v>0.15532070110771956</v>
      </c>
      <c r="U241" s="86">
        <f t="shared" ref="U241" si="2155">+U240/U239</f>
        <v>0.19936646278586867</v>
      </c>
      <c r="V241" s="86">
        <f t="shared" ref="V241" si="2156">+V240/V239</f>
        <v>0.32215161077882881</v>
      </c>
      <c r="W241" s="86">
        <f t="shared" ref="W241" si="2157">+W240/W239</f>
        <v>0.28819974187378561</v>
      </c>
      <c r="X241" s="86">
        <f t="shared" ref="X241:Y241" si="2158">+X240/X239</f>
        <v>0.26358361407487735</v>
      </c>
      <c r="Y241" s="86">
        <f t="shared" si="2158"/>
        <v>0.15424047230317234</v>
      </c>
      <c r="Z241" s="86">
        <f t="shared" ref="Z241:AA241" si="2159">+Z240/Z239</f>
        <v>0.19000496942721953</v>
      </c>
      <c r="AA241" s="86">
        <f t="shared" ref="AA241" si="2160">+AA240/AA239</f>
        <v>0.26093293604779155</v>
      </c>
      <c r="AB241" s="87"/>
      <c r="AC241" s="87"/>
      <c r="AD241" s="87"/>
      <c r="AE241" s="87"/>
      <c r="AF241" s="86"/>
      <c r="AG241" s="86"/>
      <c r="AH241" s="86"/>
      <c r="AI241" s="86" t="e">
        <f t="shared" ref="AI241" si="2161">+AI240/AI239</f>
        <v>#DIV/0!</v>
      </c>
      <c r="AJ241" s="86" t="e">
        <f t="shared" ref="AJ241" si="2162">+AJ240/AJ239</f>
        <v>#DIV/0!</v>
      </c>
      <c r="AK241" s="86" t="e">
        <f t="shared" ref="AK241" si="2163">+AK240/AK239</f>
        <v>#DIV/0!</v>
      </c>
      <c r="AL241" s="86" t="e">
        <f t="shared" ref="AL241" si="2164">+AL240/AL239</f>
        <v>#DIV/0!</v>
      </c>
      <c r="AM241" s="86" t="e">
        <f t="shared" ref="AM241" si="2165">+AM240/AM239</f>
        <v>#DIV/0!</v>
      </c>
      <c r="AN241" s="86" t="e">
        <f t="shared" ref="AN241" si="2166">+AN240/AN239</f>
        <v>#DIV/0!</v>
      </c>
      <c r="AO241" s="86" t="e">
        <f t="shared" ref="AO241" si="2167">+AO240/AO239</f>
        <v>#DIV/0!</v>
      </c>
      <c r="AP241" s="86" t="e">
        <f t="shared" ref="AP241" si="2168">+AP240/AP239</f>
        <v>#DIV/0!</v>
      </c>
      <c r="AQ241" s="86" t="e">
        <f t="shared" ref="AQ241" si="2169">+AQ240/AQ239</f>
        <v>#DIV/0!</v>
      </c>
      <c r="AR241" s="86" t="e">
        <f t="shared" ref="AR241" si="2170">+AR240/AR239</f>
        <v>#DIV/0!</v>
      </c>
      <c r="AS241" s="86" t="e">
        <f t="shared" ref="AS241" si="2171">+AS240/AS239</f>
        <v>#DIV/0!</v>
      </c>
      <c r="AT241" s="86" t="e">
        <f t="shared" ref="AT241" si="2172">+AT240/AT239</f>
        <v>#DIV/0!</v>
      </c>
      <c r="AU241" s="86" t="e">
        <f t="shared" ref="AU241" si="2173">+AU240/AU239</f>
        <v>#DIV/0!</v>
      </c>
      <c r="AV241" s="86" t="e">
        <f t="shared" ref="AV241" si="2174">+AV240/AV239</f>
        <v>#DIV/0!</v>
      </c>
      <c r="AW241" s="86">
        <f t="shared" ref="AW241" si="2175">+AW240/AW239</f>
        <v>0.22262040711134026</v>
      </c>
      <c r="AX241" s="86">
        <f t="shared" ref="AX241" si="2176">+AX240/AX239</f>
        <v>0.24536196239076796</v>
      </c>
      <c r="AY241" s="86">
        <f t="shared" ref="AY241" si="2177">+AY240/AY239</f>
        <v>0.20407163660199143</v>
      </c>
      <c r="AZ241" s="86">
        <f t="shared" ref="AZ241" si="2178">+AZ240/AZ239</f>
        <v>0.20599492587707535</v>
      </c>
      <c r="BA241" s="86">
        <f t="shared" ref="BA241" si="2179">+BA240/BA239</f>
        <v>0.19489179544424595</v>
      </c>
      <c r="BB241" s="86">
        <f t="shared" ref="BB241" si="2180">+BB240/BB239</f>
        <v>0.2397638763288728</v>
      </c>
      <c r="BC241" s="86">
        <f t="shared" ref="BC241" si="2181">+BC240/BC239</f>
        <v>0.19647532073074889</v>
      </c>
      <c r="BD241" s="86">
        <f t="shared" ref="BD241" si="2182">+BD240/BD239</f>
        <v>0.20901023003657565</v>
      </c>
      <c r="BE241" s="86">
        <f t="shared" ref="BE241" si="2183">+BE240/BE239</f>
        <v>0.18238117808202015</v>
      </c>
      <c r="BF241" s="86">
        <f t="shared" ref="BF241" si="2184">+BF240/BF239</f>
        <v>0.20863201485077826</v>
      </c>
      <c r="BG241" s="86">
        <f t="shared" ref="BG241" si="2185">+BG240/BG239</f>
        <v>0.14944426613631856</v>
      </c>
      <c r="BH241" s="86">
        <f t="shared" ref="BH241" si="2186">+BH240/BH239</f>
        <v>0.12872419812980523</v>
      </c>
      <c r="BI241" s="86">
        <f t="shared" ref="BI241" si="2187">+BI240/BI239</f>
        <v>0.16566973333056309</v>
      </c>
      <c r="BJ241" s="86">
        <f t="shared" ref="BJ241" si="2188">+BJ240/BJ239</f>
        <v>0.17631435179426949</v>
      </c>
      <c r="BK241" s="86">
        <f t="shared" ref="BK241" si="2189">+BK240/BK239</f>
        <v>0.15122509399349782</v>
      </c>
      <c r="BL241" s="86">
        <f t="shared" ref="BL241" si="2190">+BL240/BL239</f>
        <v>0.19343926335588552</v>
      </c>
      <c r="BM241" s="86">
        <f t="shared" ref="BM241" si="2191">+BM240/BM239</f>
        <v>0.20308666511328294</v>
      </c>
      <c r="BN241" s="86">
        <f t="shared" ref="BN241" si="2192">+BN240/BN239</f>
        <v>0.22853159186786462</v>
      </c>
      <c r="BO241" s="86">
        <f t="shared" ref="BO241" si="2193">+BO240/BO239</f>
        <v>0.28565563675178585</v>
      </c>
      <c r="BP241" s="86">
        <f t="shared" ref="BP241" si="2194">+BP240/BP239</f>
        <v>0.32829019001791293</v>
      </c>
      <c r="BQ241" s="86">
        <f t="shared" ref="BQ241" si="2195">+BQ240/BQ239</f>
        <v>0.3308703683581441</v>
      </c>
      <c r="BR241" s="86">
        <f t="shared" ref="BR241" si="2196">+BR240/BR239</f>
        <v>0.33442876063260929</v>
      </c>
      <c r="BS241" s="86">
        <f t="shared" ref="BS241" si="2197">+BS240/BS239</f>
        <v>0.30922956589753625</v>
      </c>
      <c r="BT241" s="86">
        <f t="shared" ref="BT241" si="2198">+BT240/BT239</f>
        <v>0.2867351347758168</v>
      </c>
      <c r="BU241" s="86">
        <f t="shared" ref="BU241" si="2199">+BU240/BU239</f>
        <v>0.27731443679769813</v>
      </c>
      <c r="BV241" s="86">
        <f t="shared" ref="BV241" si="2200">+BV240/BV239</f>
        <v>0.27842619821312004</v>
      </c>
      <c r="BW241" s="86">
        <f t="shared" ref="BW241" si="2201">+BW240/BW239</f>
        <v>0.29511871807867751</v>
      </c>
      <c r="BX241" s="86">
        <f t="shared" ref="BX241" si="2202">+BX240/BX239</f>
        <v>0.28486125300623782</v>
      </c>
      <c r="BY241" s="86">
        <f t="shared" ref="BY241" si="2203">+BY240/BY239</f>
        <v>0.26124079180745979</v>
      </c>
      <c r="BZ241" s="86">
        <f t="shared" ref="BZ241" si="2204">+BZ240/BZ239</f>
        <v>0.20677818813817081</v>
      </c>
      <c r="CA241" s="86">
        <f t="shared" ref="CA241" si="2205">+CA240/CA239</f>
        <v>0.14107413330625565</v>
      </c>
      <c r="CB241" s="86">
        <f t="shared" ref="CB241:CC241" si="2206">+CB240/CB239</f>
        <v>0.15343215321164622</v>
      </c>
      <c r="CC241" s="86">
        <f t="shared" si="2206"/>
        <v>0.15182606366953441</v>
      </c>
      <c r="CD241" s="86">
        <f t="shared" ref="CD241" si="2207">+CD240/CD239</f>
        <v>0.16773982926642914</v>
      </c>
      <c r="CE241" s="86">
        <f t="shared" ref="CE241:CF241" si="2208">+CE240/CE239</f>
        <v>0.14327438886610711</v>
      </c>
      <c r="CF241" s="86">
        <f t="shared" si="2208"/>
        <v>0.14573016262155761</v>
      </c>
      <c r="CG241" s="86">
        <f t="shared" ref="CG241:CH241" si="2209">+CG240/CG239</f>
        <v>0.20151231405250705</v>
      </c>
      <c r="CH241" s="86">
        <f t="shared" si="2209"/>
        <v>0.24449223972562928</v>
      </c>
      <c r="CI241" s="86">
        <f t="shared" ref="CI241:CJ241" si="2210">+CI240/CI239</f>
        <v>0.24346158502010098</v>
      </c>
      <c r="CJ241" s="86">
        <f t="shared" si="2210"/>
        <v>0.24388709804229891</v>
      </c>
      <c r="CK241" s="86">
        <f t="shared" ref="CK241:DB241" si="2211">+CK240/CK239</f>
        <v>0.27004031963290565</v>
      </c>
      <c r="CL241" s="86">
        <f t="shared" si="2211"/>
        <v>0.2826884967183162</v>
      </c>
      <c r="CM241" s="47">
        <f t="shared" si="2211"/>
        <v>0.24391222312014213</v>
      </c>
      <c r="CN241" s="47">
        <f t="shared" si="2211"/>
        <v>0.24640693632864547</v>
      </c>
      <c r="CO241" s="47">
        <f t="shared" si="2211"/>
        <v>0.24831892702265951</v>
      </c>
      <c r="CP241" s="47">
        <f t="shared" si="2211"/>
        <v>0.24804443084024907</v>
      </c>
      <c r="CQ241" s="47">
        <f t="shared" si="2211"/>
        <v>0.24667062932792411</v>
      </c>
      <c r="CR241" s="47">
        <f t="shared" si="2211"/>
        <v>0.24736023087986941</v>
      </c>
      <c r="CS241" s="47">
        <f t="shared" si="2211"/>
        <v>0.24759855451767551</v>
      </c>
      <c r="CT241" s="47">
        <f t="shared" si="2211"/>
        <v>0.24741846139142951</v>
      </c>
      <c r="CU241" s="47">
        <f t="shared" si="2211"/>
        <v>0.24726196902922473</v>
      </c>
      <c r="CV241" s="47">
        <f t="shared" si="2211"/>
        <v>0.24740980395454984</v>
      </c>
      <c r="CW241" s="47">
        <f t="shared" si="2211"/>
        <v>0.2474221972232199</v>
      </c>
      <c r="CX241" s="47">
        <f t="shared" si="2211"/>
        <v>0.24737810789960585</v>
      </c>
      <c r="CY241" s="47">
        <f t="shared" si="2211"/>
        <v>0.24736801952665</v>
      </c>
      <c r="CZ241" s="47">
        <f t="shared" si="2211"/>
        <v>0.24739453215100635</v>
      </c>
      <c r="DA241" s="47">
        <f t="shared" si="2211"/>
        <v>0.24739071420012046</v>
      </c>
      <c r="DB241" s="47">
        <f t="shared" si="2211"/>
        <v>0.24738284344434569</v>
      </c>
      <c r="DE241" s="130"/>
      <c r="DF241" s="89">
        <v>0.26093293604779155</v>
      </c>
    </row>
    <row r="242" spans="1:110" s="64" customFormat="1" hidden="1" outlineLevel="1" x14ac:dyDescent="0.2">
      <c r="A242" s="64" t="s">
        <v>477</v>
      </c>
      <c r="B242" s="64">
        <f t="shared" ref="B242:Z242" si="2212">B49-B248</f>
        <v>0</v>
      </c>
      <c r="C242" s="64">
        <f t="shared" si="2212"/>
        <v>0</v>
      </c>
      <c r="D242" s="64">
        <f t="shared" si="2212"/>
        <v>0</v>
      </c>
      <c r="E242" s="64">
        <f t="shared" si="2212"/>
        <v>0</v>
      </c>
      <c r="F242" s="64">
        <f t="shared" si="2212"/>
        <v>0</v>
      </c>
      <c r="G242" s="64">
        <f t="shared" si="2212"/>
        <v>0</v>
      </c>
      <c r="H242" s="64">
        <f t="shared" si="2212"/>
        <v>0</v>
      </c>
      <c r="I242" s="64">
        <f t="shared" si="2212"/>
        <v>0</v>
      </c>
      <c r="J242" s="64">
        <f t="shared" si="2212"/>
        <v>0</v>
      </c>
      <c r="K242" s="64">
        <f t="shared" si="2212"/>
        <v>0</v>
      </c>
      <c r="L242" s="64">
        <f t="shared" si="2212"/>
        <v>0</v>
      </c>
      <c r="M242" s="64">
        <f t="shared" si="2212"/>
        <v>21.577000000000048</v>
      </c>
      <c r="N242" s="64">
        <f t="shared" si="2212"/>
        <v>88.219000000000008</v>
      </c>
      <c r="O242" s="64">
        <f t="shared" si="2212"/>
        <v>97.216999999999771</v>
      </c>
      <c r="P242" s="64">
        <f t="shared" si="2212"/>
        <v>68.119999999999862</v>
      </c>
      <c r="Q242" s="64">
        <f t="shared" si="2212"/>
        <v>134.13700000000014</v>
      </c>
      <c r="R242" s="64">
        <f t="shared" si="2212"/>
        <v>191.3310000000001</v>
      </c>
      <c r="S242" s="64">
        <f t="shared" si="2212"/>
        <v>167.61000000000018</v>
      </c>
      <c r="T242" s="64">
        <f t="shared" si="2212"/>
        <v>93.764000000000181</v>
      </c>
      <c r="U242" s="64">
        <f t="shared" si="2212"/>
        <v>255.27</v>
      </c>
      <c r="V242" s="64">
        <f t="shared" si="2212"/>
        <v>983.82000000000039</v>
      </c>
      <c r="W242" s="64">
        <f t="shared" si="2212"/>
        <v>832.42999999999972</v>
      </c>
      <c r="X242" s="64">
        <f t="shared" si="2212"/>
        <v>796.64000000000033</v>
      </c>
      <c r="Y242" s="64">
        <f t="shared" si="2212"/>
        <v>168.21000000000021</v>
      </c>
      <c r="Z242" s="64">
        <f t="shared" si="2212"/>
        <v>354.41000000000031</v>
      </c>
      <c r="AA242" s="64">
        <f t="shared" ref="AA242" si="2213">AA49-AA248</f>
        <v>889.84999999999923</v>
      </c>
      <c r="AB242" s="30"/>
      <c r="AC242" s="30"/>
      <c r="AD242" s="30"/>
      <c r="AE242" s="30"/>
      <c r="AI242" s="64">
        <f t="shared" ref="AI242:BN242" si="2214">AI49-AI248</f>
        <v>0</v>
      </c>
      <c r="AJ242" s="64">
        <f t="shared" si="2214"/>
        <v>0</v>
      </c>
      <c r="AK242" s="64">
        <f t="shared" si="2214"/>
        <v>0</v>
      </c>
      <c r="AL242" s="64">
        <f t="shared" si="2214"/>
        <v>0</v>
      </c>
      <c r="AM242" s="64">
        <f t="shared" si="2214"/>
        <v>0</v>
      </c>
      <c r="AN242" s="64">
        <f t="shared" si="2214"/>
        <v>0</v>
      </c>
      <c r="AO242" s="64">
        <f t="shared" si="2214"/>
        <v>0</v>
      </c>
      <c r="AP242" s="64">
        <f t="shared" si="2214"/>
        <v>0</v>
      </c>
      <c r="AQ242" s="64">
        <f t="shared" si="2214"/>
        <v>0</v>
      </c>
      <c r="AR242" s="64">
        <f t="shared" si="2214"/>
        <v>0</v>
      </c>
      <c r="AS242" s="64">
        <f t="shared" si="2214"/>
        <v>0</v>
      </c>
      <c r="AT242" s="64">
        <f t="shared" si="2214"/>
        <v>0</v>
      </c>
      <c r="AU242" s="64">
        <f t="shared" si="2214"/>
        <v>0</v>
      </c>
      <c r="AV242" s="64">
        <f t="shared" si="2214"/>
        <v>0</v>
      </c>
      <c r="AW242" s="64">
        <f t="shared" si="2214"/>
        <v>40.23100000000003</v>
      </c>
      <c r="AX242" s="64">
        <f t="shared" si="2214"/>
        <v>53.416000000000025</v>
      </c>
      <c r="AY242" s="64">
        <f t="shared" si="2214"/>
        <v>26.688000000000006</v>
      </c>
      <c r="AZ242" s="64">
        <f t="shared" si="2214"/>
        <v>48.72800000000003</v>
      </c>
      <c r="BA242" s="64">
        <f t="shared" si="2214"/>
        <v>44.582000000000029</v>
      </c>
      <c r="BB242" s="64">
        <f t="shared" si="2214"/>
        <v>71.332999999999984</v>
      </c>
      <c r="BC242" s="64">
        <f t="shared" si="2214"/>
        <v>38.904999999999923</v>
      </c>
      <c r="BD242" s="64">
        <f t="shared" si="2214"/>
        <v>48.755000000000024</v>
      </c>
      <c r="BE242" s="64">
        <f t="shared" si="2214"/>
        <v>34.869999999999976</v>
      </c>
      <c r="BF242" s="64">
        <f t="shared" si="2214"/>
        <v>45.080000000000027</v>
      </c>
      <c r="BG242" s="64">
        <f t="shared" si="2214"/>
        <v>16.558000000000032</v>
      </c>
      <c r="BH242" s="64">
        <f t="shared" si="2214"/>
        <v>16.209999999999944</v>
      </c>
      <c r="BI242" s="64">
        <f t="shared" si="2214"/>
        <v>17.816999999999947</v>
      </c>
      <c r="BJ242" s="64">
        <f t="shared" si="2214"/>
        <v>43.179000000000002</v>
      </c>
      <c r="BK242" s="64">
        <f t="shared" si="2214"/>
        <v>15.100000000000101</v>
      </c>
      <c r="BL242" s="64">
        <f t="shared" si="2214"/>
        <v>56.549999999999955</v>
      </c>
      <c r="BM242" s="64">
        <f t="shared" si="2214"/>
        <v>73.470000000000113</v>
      </c>
      <c r="BN242" s="64">
        <f t="shared" si="2214"/>
        <v>110.14999999999992</v>
      </c>
      <c r="BO242" s="64">
        <f t="shared" ref="BO242:CT242" si="2215">BO49-BO248</f>
        <v>171.77999999999997</v>
      </c>
      <c r="BP242" s="64">
        <f t="shared" si="2215"/>
        <v>242.26999999999992</v>
      </c>
      <c r="BQ242" s="64">
        <f t="shared" si="2215"/>
        <v>272.85000000000002</v>
      </c>
      <c r="BR242" s="64">
        <f t="shared" si="2215"/>
        <v>296.92</v>
      </c>
      <c r="BS242" s="64">
        <f t="shared" si="2215"/>
        <v>241.61000000000007</v>
      </c>
      <c r="BT242" s="64">
        <f t="shared" si="2215"/>
        <v>203.95000000000005</v>
      </c>
      <c r="BU242" s="64">
        <f t="shared" si="2215"/>
        <v>154.96999999999994</v>
      </c>
      <c r="BV242" s="64">
        <f t="shared" si="2215"/>
        <v>231.89999999999981</v>
      </c>
      <c r="BW242" s="64">
        <f t="shared" si="2215"/>
        <v>252.53999999999994</v>
      </c>
      <c r="BX242" s="64">
        <f t="shared" si="2215"/>
        <v>233.80000000000018</v>
      </c>
      <c r="BY242" s="64">
        <f t="shared" si="2215"/>
        <v>203.06000000000006</v>
      </c>
      <c r="BZ242" s="64">
        <f t="shared" si="2215"/>
        <v>107.24000000000009</v>
      </c>
      <c r="CA242" s="64">
        <f t="shared" si="2215"/>
        <v>28.399999999999856</v>
      </c>
      <c r="CB242" s="64">
        <f t="shared" si="2215"/>
        <v>39.320000000000228</v>
      </c>
      <c r="CC242" s="64">
        <f t="shared" si="2215"/>
        <v>25.170000000000083</v>
      </c>
      <c r="CD242" s="64">
        <f t="shared" si="2215"/>
        <v>75.320000000000064</v>
      </c>
      <c r="CE242" s="64">
        <f t="shared" si="2215"/>
        <v>12.210000000000051</v>
      </c>
      <c r="CF242" s="64">
        <f t="shared" si="2215"/>
        <v>17.720000000000031</v>
      </c>
      <c r="CG242" s="64">
        <f t="shared" si="2215"/>
        <v>90.61000000000007</v>
      </c>
      <c r="CH242" s="64">
        <f t="shared" si="2215"/>
        <v>233.87000000000003</v>
      </c>
      <c r="CI242" s="64">
        <f t="shared" si="2215"/>
        <v>161.07999999999987</v>
      </c>
      <c r="CJ242" s="64">
        <f t="shared" si="2215"/>
        <v>193.74999999999994</v>
      </c>
      <c r="CK242" s="64">
        <f t="shared" si="2215"/>
        <v>253.10999999999979</v>
      </c>
      <c r="CL242" s="64">
        <f t="shared" ref="CL242" si="2216">CL49-CL248</f>
        <v>281.91000000000003</v>
      </c>
      <c r="CM242" s="30">
        <f t="shared" si="2215"/>
        <v>207.13005326074457</v>
      </c>
      <c r="CN242" s="30">
        <f t="shared" si="2215"/>
        <v>222.70454644622248</v>
      </c>
      <c r="CO242" s="30">
        <f t="shared" si="2215"/>
        <v>253.97607762589945</v>
      </c>
      <c r="CP242" s="30">
        <f t="shared" si="2215"/>
        <v>257.99477908064699</v>
      </c>
      <c r="CQ242" s="30">
        <f t="shared" si="2215"/>
        <v>253.34777092795224</v>
      </c>
      <c r="CR242" s="30">
        <f t="shared" si="2215"/>
        <v>263.82086138144382</v>
      </c>
      <c r="CS242" s="30">
        <f t="shared" si="2215"/>
        <v>295.24514253261231</v>
      </c>
      <c r="CT242" s="30">
        <f t="shared" si="2215"/>
        <v>301.4740999762123</v>
      </c>
      <c r="CU242" s="30">
        <f t="shared" ref="CU242:DB242" si="2217">CU49-CU248</f>
        <v>302.07265043200488</v>
      </c>
      <c r="CV242" s="30">
        <f t="shared" si="2217"/>
        <v>331.03353682741806</v>
      </c>
      <c r="CW242" s="30">
        <f t="shared" si="2217"/>
        <v>339.87429756815357</v>
      </c>
      <c r="CX242" s="30">
        <f t="shared" si="2217"/>
        <v>348.91069891720122</v>
      </c>
      <c r="CY242" s="30">
        <f t="shared" si="2217"/>
        <v>356.07915159766623</v>
      </c>
      <c r="CZ242" s="30">
        <f t="shared" si="2217"/>
        <v>501.3214714446375</v>
      </c>
      <c r="DA242" s="30">
        <f t="shared" si="2217"/>
        <v>497.54932602605425</v>
      </c>
      <c r="DB242" s="30">
        <f t="shared" si="2217"/>
        <v>492.30562935682769</v>
      </c>
      <c r="DE242" s="139"/>
      <c r="DF242" s="64">
        <v>889.84999999999923</v>
      </c>
    </row>
    <row r="243" spans="1:110" s="64" customFormat="1" hidden="1" outlineLevel="1" x14ac:dyDescent="0.2">
      <c r="AB243" s="30"/>
      <c r="AC243" s="30"/>
      <c r="AD243" s="30"/>
      <c r="AE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4" customFormat="1" hidden="1" outlineLevel="1" x14ac:dyDescent="0.2">
      <c r="A244" s="65" t="s">
        <v>352</v>
      </c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4" t="s">
        <v>478</v>
      </c>
      <c r="AB245" s="30"/>
      <c r="AC245" s="30"/>
      <c r="AD245" s="30"/>
      <c r="AE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479</v>
      </c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89" customFormat="1" hidden="1" outlineLevel="1" x14ac:dyDescent="0.2">
      <c r="A247" s="86" t="s">
        <v>480</v>
      </c>
      <c r="B247" s="86" t="e">
        <f>+B246/B245</f>
        <v>#DIV/0!</v>
      </c>
      <c r="C247" s="86" t="e">
        <f t="shared" ref="C247:X247" si="2218">+C246/C245</f>
        <v>#DIV/0!</v>
      </c>
      <c r="D247" s="86" t="e">
        <f t="shared" si="2218"/>
        <v>#DIV/0!</v>
      </c>
      <c r="E247" s="86" t="e">
        <f t="shared" si="2218"/>
        <v>#DIV/0!</v>
      </c>
      <c r="F247" s="86" t="e">
        <f t="shared" si="2218"/>
        <v>#DIV/0!</v>
      </c>
      <c r="G247" s="86" t="e">
        <f t="shared" si="2218"/>
        <v>#DIV/0!</v>
      </c>
      <c r="H247" s="86" t="e">
        <f t="shared" si="2218"/>
        <v>#DIV/0!</v>
      </c>
      <c r="I247" s="86" t="e">
        <f t="shared" si="2218"/>
        <v>#DIV/0!</v>
      </c>
      <c r="J247" s="86" t="e">
        <f t="shared" si="2218"/>
        <v>#DIV/0!</v>
      </c>
      <c r="K247" s="86" t="e">
        <f t="shared" si="2218"/>
        <v>#DIV/0!</v>
      </c>
      <c r="L247" s="86" t="e">
        <f t="shared" si="2218"/>
        <v>#DIV/0!</v>
      </c>
      <c r="M247" s="86" t="e">
        <f t="shared" si="2218"/>
        <v>#DIV/0!</v>
      </c>
      <c r="N247" s="86" t="e">
        <f t="shared" si="2218"/>
        <v>#DIV/0!</v>
      </c>
      <c r="O247" s="86" t="e">
        <f t="shared" si="2218"/>
        <v>#DIV/0!</v>
      </c>
      <c r="P247" s="86" t="e">
        <f t="shared" si="2218"/>
        <v>#DIV/0!</v>
      </c>
      <c r="Q247" s="86" t="e">
        <f t="shared" si="2218"/>
        <v>#DIV/0!</v>
      </c>
      <c r="R247" s="86" t="e">
        <f t="shared" si="2218"/>
        <v>#DIV/0!</v>
      </c>
      <c r="S247" s="86" t="e">
        <f t="shared" si="2218"/>
        <v>#DIV/0!</v>
      </c>
      <c r="T247" s="86" t="e">
        <f t="shared" si="2218"/>
        <v>#DIV/0!</v>
      </c>
      <c r="U247" s="86" t="e">
        <f t="shared" si="2218"/>
        <v>#DIV/0!</v>
      </c>
      <c r="V247" s="86" t="e">
        <f t="shared" si="2218"/>
        <v>#DIV/0!</v>
      </c>
      <c r="W247" s="86" t="e">
        <f t="shared" si="2218"/>
        <v>#DIV/0!</v>
      </c>
      <c r="X247" s="86" t="e">
        <f t="shared" si="2218"/>
        <v>#DIV/0!</v>
      </c>
      <c r="Y247" s="86" t="e">
        <f t="shared" ref="Y247:Z247" si="2219">+Y246/Y245</f>
        <v>#DIV/0!</v>
      </c>
      <c r="Z247" s="86" t="e">
        <f t="shared" si="2219"/>
        <v>#DIV/0!</v>
      </c>
      <c r="AA247" s="86" t="e">
        <f t="shared" ref="AA247" si="2220">+AA246/AA245</f>
        <v>#DIV/0!</v>
      </c>
      <c r="AB247" s="87"/>
      <c r="AC247" s="87"/>
      <c r="AD247" s="87"/>
      <c r="AE247" s="87"/>
      <c r="AF247" s="86"/>
      <c r="AG247" s="86"/>
      <c r="AH247" s="86"/>
      <c r="AI247" s="86" t="e">
        <f t="shared" ref="AI247" si="2221">+AI246/AI245</f>
        <v>#DIV/0!</v>
      </c>
      <c r="AJ247" s="86" t="e">
        <f t="shared" ref="AJ247" si="2222">+AJ246/AJ245</f>
        <v>#DIV/0!</v>
      </c>
      <c r="AK247" s="86" t="e">
        <f t="shared" ref="AK247" si="2223">+AK246/AK245</f>
        <v>#DIV/0!</v>
      </c>
      <c r="AL247" s="86" t="e">
        <f t="shared" ref="AL247" si="2224">+AL246/AL245</f>
        <v>#DIV/0!</v>
      </c>
      <c r="AM247" s="86" t="e">
        <f t="shared" ref="AM247" si="2225">+AM246/AM245</f>
        <v>#DIV/0!</v>
      </c>
      <c r="AN247" s="86" t="e">
        <f t="shared" ref="AN247" si="2226">+AN246/AN245</f>
        <v>#DIV/0!</v>
      </c>
      <c r="AO247" s="86" t="e">
        <f t="shared" ref="AO247" si="2227">+AO246/AO245</f>
        <v>#DIV/0!</v>
      </c>
      <c r="AP247" s="86" t="e">
        <f t="shared" ref="AP247" si="2228">+AP246/AP245</f>
        <v>#DIV/0!</v>
      </c>
      <c r="AQ247" s="86" t="e">
        <f t="shared" ref="AQ247" si="2229">+AQ246/AQ245</f>
        <v>#DIV/0!</v>
      </c>
      <c r="AR247" s="86" t="e">
        <f t="shared" ref="AR247" si="2230">+AR246/AR245</f>
        <v>#DIV/0!</v>
      </c>
      <c r="AS247" s="86" t="e">
        <f t="shared" ref="AS247" si="2231">+AS246/AS245</f>
        <v>#DIV/0!</v>
      </c>
      <c r="AT247" s="86" t="e">
        <f t="shared" ref="AT247" si="2232">+AT246/AT245</f>
        <v>#DIV/0!</v>
      </c>
      <c r="AU247" s="86" t="e">
        <f t="shared" ref="AU247" si="2233">+AU246/AU245</f>
        <v>#DIV/0!</v>
      </c>
      <c r="AV247" s="86" t="e">
        <f t="shared" ref="AV247" si="2234">+AV246/AV245</f>
        <v>#DIV/0!</v>
      </c>
      <c r="AW247" s="86" t="e">
        <f t="shared" ref="AW247" si="2235">+AW246/AW245</f>
        <v>#DIV/0!</v>
      </c>
      <c r="AX247" s="86" t="e">
        <f t="shared" ref="AX247" si="2236">+AX246/AX245</f>
        <v>#DIV/0!</v>
      </c>
      <c r="AY247" s="86" t="e">
        <f t="shared" ref="AY247" si="2237">+AY246/AY245</f>
        <v>#DIV/0!</v>
      </c>
      <c r="AZ247" s="86" t="e">
        <f t="shared" ref="AZ247" si="2238">+AZ246/AZ245</f>
        <v>#DIV/0!</v>
      </c>
      <c r="BA247" s="86" t="e">
        <f t="shared" ref="BA247" si="2239">+BA246/BA245</f>
        <v>#DIV/0!</v>
      </c>
      <c r="BB247" s="86" t="e">
        <f t="shared" ref="BB247" si="2240">+BB246/BB245</f>
        <v>#DIV/0!</v>
      </c>
      <c r="BC247" s="86" t="e">
        <f t="shared" ref="BC247" si="2241">+BC246/BC245</f>
        <v>#DIV/0!</v>
      </c>
      <c r="BD247" s="86" t="e">
        <f t="shared" ref="BD247" si="2242">+BD246/BD245</f>
        <v>#DIV/0!</v>
      </c>
      <c r="BE247" s="86" t="e">
        <f t="shared" ref="BE247" si="2243">+BE246/BE245</f>
        <v>#DIV/0!</v>
      </c>
      <c r="BF247" s="86" t="e">
        <f t="shared" ref="BF247" si="2244">+BF246/BF245</f>
        <v>#DIV/0!</v>
      </c>
      <c r="BG247" s="86" t="e">
        <f t="shared" ref="BG247" si="2245">+BG246/BG245</f>
        <v>#DIV/0!</v>
      </c>
      <c r="BH247" s="86" t="e">
        <f t="shared" ref="BH247" si="2246">+BH246/BH245</f>
        <v>#DIV/0!</v>
      </c>
      <c r="BI247" s="86" t="e">
        <f t="shared" ref="BI247" si="2247">+BI246/BI245</f>
        <v>#DIV/0!</v>
      </c>
      <c r="BJ247" s="86" t="e">
        <f t="shared" ref="BJ247" si="2248">+BJ246/BJ245</f>
        <v>#DIV/0!</v>
      </c>
      <c r="BK247" s="86" t="e">
        <f t="shared" ref="BK247" si="2249">+BK246/BK245</f>
        <v>#DIV/0!</v>
      </c>
      <c r="BL247" s="86" t="e">
        <f t="shared" ref="BL247" si="2250">+BL246/BL245</f>
        <v>#DIV/0!</v>
      </c>
      <c r="BM247" s="86" t="e">
        <f t="shared" ref="BM247" si="2251">+BM246/BM245</f>
        <v>#DIV/0!</v>
      </c>
      <c r="BN247" s="86" t="e">
        <f t="shared" ref="BN247" si="2252">+BN246/BN245</f>
        <v>#DIV/0!</v>
      </c>
      <c r="BO247" s="86" t="e">
        <f t="shared" ref="BO247" si="2253">+BO246/BO245</f>
        <v>#DIV/0!</v>
      </c>
      <c r="BP247" s="86" t="e">
        <f t="shared" ref="BP247" si="2254">+BP246/BP245</f>
        <v>#DIV/0!</v>
      </c>
      <c r="BQ247" s="86" t="e">
        <f t="shared" ref="BQ247" si="2255">+BQ246/BQ245</f>
        <v>#DIV/0!</v>
      </c>
      <c r="BR247" s="86" t="e">
        <f t="shared" ref="BR247" si="2256">+BR246/BR245</f>
        <v>#DIV/0!</v>
      </c>
      <c r="BS247" s="86" t="e">
        <f t="shared" ref="BS247" si="2257">+BS246/BS245</f>
        <v>#DIV/0!</v>
      </c>
      <c r="BT247" s="86" t="e">
        <f t="shared" ref="BT247" si="2258">+BT246/BT245</f>
        <v>#DIV/0!</v>
      </c>
      <c r="BU247" s="86" t="e">
        <f t="shared" ref="BU247" si="2259">+BU246/BU245</f>
        <v>#DIV/0!</v>
      </c>
      <c r="BV247" s="86" t="e">
        <f t="shared" ref="BV247" si="2260">+BV246/BV245</f>
        <v>#DIV/0!</v>
      </c>
      <c r="BW247" s="86" t="e">
        <f t="shared" ref="BW247" si="2261">+BW246/BW245</f>
        <v>#DIV/0!</v>
      </c>
      <c r="BX247" s="86" t="e">
        <f t="shared" ref="BX247" si="2262">+BX246/BX245</f>
        <v>#DIV/0!</v>
      </c>
      <c r="BY247" s="86" t="e">
        <f t="shared" ref="BY247" si="2263">+BY246/BY245</f>
        <v>#DIV/0!</v>
      </c>
      <c r="BZ247" s="86" t="e">
        <f t="shared" ref="BZ247" si="2264">+BZ246/BZ245</f>
        <v>#DIV/0!</v>
      </c>
      <c r="CA247" s="86" t="e">
        <f t="shared" ref="CA247" si="2265">+CA246/CA245</f>
        <v>#DIV/0!</v>
      </c>
      <c r="CB247" s="86" t="e">
        <f t="shared" ref="CB247:CC247" si="2266">+CB246/CB245</f>
        <v>#DIV/0!</v>
      </c>
      <c r="CC247" s="86" t="e">
        <f t="shared" si="2266"/>
        <v>#DIV/0!</v>
      </c>
      <c r="CD247" s="86" t="e">
        <f t="shared" ref="CD247" si="2267">+CD246/CD245</f>
        <v>#DIV/0!</v>
      </c>
      <c r="CE247" s="86" t="e">
        <f t="shared" ref="CE247:CF247" si="2268">+CE246/CE245</f>
        <v>#DIV/0!</v>
      </c>
      <c r="CF247" s="86" t="e">
        <f t="shared" si="2268"/>
        <v>#DIV/0!</v>
      </c>
      <c r="CG247" s="86" t="e">
        <f t="shared" ref="CG247:CH247" si="2269">+CG246/CG245</f>
        <v>#DIV/0!</v>
      </c>
      <c r="CH247" s="86" t="e">
        <f t="shared" si="2269"/>
        <v>#DIV/0!</v>
      </c>
      <c r="CI247" s="86" t="e">
        <f t="shared" ref="CI247:CJ247" si="2270">+CI246/CI245</f>
        <v>#DIV/0!</v>
      </c>
      <c r="CJ247" s="86" t="e">
        <f t="shared" si="2270"/>
        <v>#DIV/0!</v>
      </c>
      <c r="CK247" s="86" t="e">
        <f t="shared" ref="CK247:DB247" si="2271">+CK246/CK245</f>
        <v>#DIV/0!</v>
      </c>
      <c r="CL247" s="86" t="e">
        <f t="shared" si="2271"/>
        <v>#DIV/0!</v>
      </c>
      <c r="CM247" s="47" t="e">
        <f t="shared" si="2271"/>
        <v>#DIV/0!</v>
      </c>
      <c r="CN247" s="47" t="e">
        <f t="shared" si="2271"/>
        <v>#DIV/0!</v>
      </c>
      <c r="CO247" s="47" t="e">
        <f t="shared" si="2271"/>
        <v>#DIV/0!</v>
      </c>
      <c r="CP247" s="47" t="e">
        <f t="shared" si="2271"/>
        <v>#DIV/0!</v>
      </c>
      <c r="CQ247" s="47" t="e">
        <f t="shared" si="2271"/>
        <v>#DIV/0!</v>
      </c>
      <c r="CR247" s="47" t="e">
        <f t="shared" si="2271"/>
        <v>#DIV/0!</v>
      </c>
      <c r="CS247" s="47" t="e">
        <f t="shared" si="2271"/>
        <v>#DIV/0!</v>
      </c>
      <c r="CT247" s="47" t="e">
        <f t="shared" si="2271"/>
        <v>#DIV/0!</v>
      </c>
      <c r="CU247" s="47" t="e">
        <f t="shared" si="2271"/>
        <v>#DIV/0!</v>
      </c>
      <c r="CV247" s="47" t="e">
        <f t="shared" si="2271"/>
        <v>#DIV/0!</v>
      </c>
      <c r="CW247" s="47" t="e">
        <f t="shared" si="2271"/>
        <v>#DIV/0!</v>
      </c>
      <c r="CX247" s="47" t="e">
        <f t="shared" si="2271"/>
        <v>#DIV/0!</v>
      </c>
      <c r="CY247" s="47" t="e">
        <f t="shared" si="2271"/>
        <v>#DIV/0!</v>
      </c>
      <c r="CZ247" s="47" t="e">
        <f t="shared" si="2271"/>
        <v>#DIV/0!</v>
      </c>
      <c r="DA247" s="47" t="e">
        <f t="shared" si="2271"/>
        <v>#DIV/0!</v>
      </c>
      <c r="DB247" s="47" t="e">
        <f t="shared" si="2271"/>
        <v>#DIV/0!</v>
      </c>
      <c r="DE247" s="130"/>
    </row>
    <row r="248" spans="1:110" s="64" customFormat="1" hidden="1" outlineLevel="1" x14ac:dyDescent="0.2">
      <c r="A248" s="64" t="s">
        <v>481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11" customFormat="1" collapsed="1" x14ac:dyDescent="0.2"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x14ac:dyDescent="0.2">
      <c r="A251" s="154" t="s">
        <v>497</v>
      </c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63"/>
      <c r="AC251" s="63"/>
      <c r="AD251" s="63"/>
      <c r="AE251" s="63"/>
      <c r="AL251" s="180"/>
      <c r="CF251" s="180"/>
      <c r="CG251" s="180"/>
      <c r="CH251" s="180"/>
      <c r="CI251" s="180"/>
      <c r="CJ251" s="180"/>
      <c r="CK251" s="180"/>
      <c r="CL251" s="18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84" customFormat="1" x14ac:dyDescent="0.2">
      <c r="A252" s="84" t="s">
        <v>512</v>
      </c>
      <c r="B252" s="84" t="e">
        <f>B16/B173</f>
        <v>#DIV/0!</v>
      </c>
      <c r="C252" s="84" t="e">
        <f>C16/C173</f>
        <v>#DIV/0!</v>
      </c>
      <c r="D252" s="84" t="e">
        <f>D16/D173</f>
        <v>#DIV/0!</v>
      </c>
      <c r="E252" s="84" t="e">
        <f t="shared" ref="E252:Y252" si="2272">E18/(E169+E156+E146)</f>
        <v>#DIV/0!</v>
      </c>
      <c r="F252" s="84" t="e">
        <f t="shared" si="2272"/>
        <v>#DIV/0!</v>
      </c>
      <c r="G252" s="84" t="e">
        <f t="shared" si="2272"/>
        <v>#DIV/0!</v>
      </c>
      <c r="H252" s="84" t="e">
        <f t="shared" si="2272"/>
        <v>#DIV/0!</v>
      </c>
      <c r="I252" s="84" t="e">
        <f t="shared" si="2272"/>
        <v>#DIV/0!</v>
      </c>
      <c r="J252" s="84" t="e">
        <f t="shared" si="2272"/>
        <v>#DIV/0!</v>
      </c>
      <c r="K252" s="84" t="e">
        <f t="shared" si="2272"/>
        <v>#DIV/0!</v>
      </c>
      <c r="L252" s="84" t="e">
        <f t="shared" si="2272"/>
        <v>#DIV/0!</v>
      </c>
      <c r="M252" s="84">
        <f t="shared" si="2272"/>
        <v>0.89574265965523125</v>
      </c>
      <c r="N252" s="84">
        <f t="shared" si="2272"/>
        <v>1.044798408615347</v>
      </c>
      <c r="O252" s="84">
        <f t="shared" si="2272"/>
        <v>0.91207496569053437</v>
      </c>
      <c r="P252" s="84">
        <f t="shared" si="2272"/>
        <v>0.70592210639464026</v>
      </c>
      <c r="Q252" s="84">
        <f t="shared" si="2272"/>
        <v>0.82234097132364958</v>
      </c>
      <c r="R252" s="84">
        <f t="shared" si="2272"/>
        <v>0.73819836139975947</v>
      </c>
      <c r="S252" s="84">
        <f t="shared" si="2272"/>
        <v>0.69455394474699172</v>
      </c>
      <c r="T252" s="84">
        <f t="shared" si="2272"/>
        <v>0.69995055578172105</v>
      </c>
      <c r="U252" s="84">
        <f t="shared" si="2272"/>
        <v>0.77095982009158759</v>
      </c>
      <c r="V252" s="84">
        <f t="shared" si="2272"/>
        <v>0.83752836124218766</v>
      </c>
      <c r="W252" s="84">
        <f t="shared" si="2272"/>
        <v>0.71146120281437986</v>
      </c>
      <c r="X252" s="84">
        <f t="shared" si="2272"/>
        <v>0.79371263386111301</v>
      </c>
      <c r="Y252" s="84">
        <f t="shared" si="2272"/>
        <v>0.6100447171443959</v>
      </c>
      <c r="Z252" s="84">
        <f>Z18/(Z169+Z156+Z146)</f>
        <v>0.61017038531977041</v>
      </c>
      <c r="AA252" s="84">
        <f>AA18/(AA169+AA156+AA146)</f>
        <v>0.66780566795269902</v>
      </c>
      <c r="AB252" s="50">
        <f t="shared" ref="AB252:AE252" si="2273">AB18/(AB169+AB156+AB146)</f>
        <v>0.67948260837975905</v>
      </c>
      <c r="AC252" s="50">
        <f t="shared" si="2273"/>
        <v>0.68826198034414732</v>
      </c>
      <c r="AD252" s="50">
        <f t="shared" si="2273"/>
        <v>0.69409716554094758</v>
      </c>
      <c r="AE252" s="50">
        <f t="shared" si="2273"/>
        <v>0.68601792867499178</v>
      </c>
      <c r="AL252" s="84" t="e">
        <f>SUM(AI18:AL18)/(AL169+AL156+AL146)</f>
        <v>#DIV/0!</v>
      </c>
      <c r="AM252" s="84" t="e">
        <f t="shared" ref="AM252:CL252" si="2274">SUM(AJ18:AM18)/(AM169+AM156+AM146)</f>
        <v>#DIV/0!</v>
      </c>
      <c r="AN252" s="84" t="e">
        <f t="shared" si="2274"/>
        <v>#DIV/0!</v>
      </c>
      <c r="AO252" s="84" t="e">
        <f t="shared" si="2274"/>
        <v>#DIV/0!</v>
      </c>
      <c r="AP252" s="84" t="e">
        <f t="shared" si="2274"/>
        <v>#DIV/0!</v>
      </c>
      <c r="AQ252" s="84" t="e">
        <f t="shared" si="2274"/>
        <v>#DIV/0!</v>
      </c>
      <c r="AR252" s="84" t="e">
        <f t="shared" si="2274"/>
        <v>#DIV/0!</v>
      </c>
      <c r="AS252" s="84" t="e">
        <f t="shared" si="2274"/>
        <v>#DIV/0!</v>
      </c>
      <c r="AT252" s="84" t="e">
        <f t="shared" si="2274"/>
        <v>#DIV/0!</v>
      </c>
      <c r="AU252" s="84" t="e">
        <f t="shared" si="2274"/>
        <v>#DIV/0!</v>
      </c>
      <c r="AV252" s="84" t="e">
        <f t="shared" si="2274"/>
        <v>#DIV/0!</v>
      </c>
      <c r="AW252" s="84" t="e">
        <f t="shared" si="2274"/>
        <v>#DIV/0!</v>
      </c>
      <c r="AX252" s="84">
        <f t="shared" si="2274"/>
        <v>0.43170983439635419</v>
      </c>
      <c r="AY252" s="84">
        <f t="shared" si="2274"/>
        <v>0.62572810777206922</v>
      </c>
      <c r="AZ252" s="84" t="e">
        <f t="shared" si="2274"/>
        <v>#DIV/0!</v>
      </c>
      <c r="BA252" s="84">
        <f t="shared" si="2274"/>
        <v>42.537262044914335</v>
      </c>
      <c r="BB252" s="84">
        <f t="shared" si="2274"/>
        <v>0.73819836139975947</v>
      </c>
      <c r="BC252" s="84">
        <f t="shared" si="2274"/>
        <v>0.75367778736682578</v>
      </c>
      <c r="BD252" s="84">
        <f t="shared" si="2274"/>
        <v>0.68986582917074624</v>
      </c>
      <c r="BE252" s="84">
        <f t="shared" si="2274"/>
        <v>0.68191882250726799</v>
      </c>
      <c r="BF252" s="84">
        <f t="shared" si="2274"/>
        <v>0.69455394474699184</v>
      </c>
      <c r="BG252" s="84">
        <f t="shared" si="2274"/>
        <v>0.71389372299849696</v>
      </c>
      <c r="BH252" s="84">
        <f t="shared" si="2274"/>
        <v>0.6732555393268902</v>
      </c>
      <c r="BI252" s="84">
        <f t="shared" si="2274"/>
        <v>0.69474445252196626</v>
      </c>
      <c r="BJ252" s="84">
        <f t="shared" si="2274"/>
        <v>0.69995055578172105</v>
      </c>
      <c r="BK252" s="84">
        <f t="shared" si="2274"/>
        <v>0.71437281416558696</v>
      </c>
      <c r="BL252" s="84">
        <f t="shared" si="2274"/>
        <v>0.68231695817379356</v>
      </c>
      <c r="BM252" s="84">
        <f t="shared" si="2274"/>
        <v>0.7204951701884037</v>
      </c>
      <c r="BN252" s="84">
        <f t="shared" si="2274"/>
        <v>0.7709598200915877</v>
      </c>
      <c r="BO252" s="84">
        <f t="shared" si="2274"/>
        <v>0.82543724282565245</v>
      </c>
      <c r="BP252" s="84">
        <f t="shared" si="2274"/>
        <v>0.87488237921890288</v>
      </c>
      <c r="BQ252" s="84">
        <f t="shared" si="2274"/>
        <v>0.92634184678799036</v>
      </c>
      <c r="BR252" s="84">
        <f t="shared" si="2274"/>
        <v>0.83752836124218755</v>
      </c>
      <c r="BS252" s="84">
        <f t="shared" si="2274"/>
        <v>0.87075800308260221</v>
      </c>
      <c r="BT252" s="84">
        <f t="shared" si="2274"/>
        <v>0.81493042396642368</v>
      </c>
      <c r="BU252" s="84">
        <f t="shared" si="2274"/>
        <v>0.77037938857051391</v>
      </c>
      <c r="BV252" s="84">
        <f t="shared" si="2274"/>
        <v>0.71146120281437975</v>
      </c>
      <c r="BW252" s="84">
        <f t="shared" si="2274"/>
        <v>0.71583246772280174</v>
      </c>
      <c r="BX252" s="84">
        <f t="shared" si="2274"/>
        <v>0.69382272721042737</v>
      </c>
      <c r="BY252" s="84">
        <f t="shared" si="2274"/>
        <v>0.74140206913067919</v>
      </c>
      <c r="BZ252" s="84">
        <f t="shared" si="2274"/>
        <v>0.79371263386111279</v>
      </c>
      <c r="CA252" s="84">
        <f t="shared" si="2274"/>
        <v>0.7544787911353843</v>
      </c>
      <c r="CB252" s="84">
        <f t="shared" si="2274"/>
        <v>0.66954729874816821</v>
      </c>
      <c r="CC252" s="84">
        <f t="shared" si="2274"/>
        <v>0.6256801342400925</v>
      </c>
      <c r="CD252" s="84">
        <f t="shared" si="2274"/>
        <v>0.6100447171443959</v>
      </c>
      <c r="CE252" s="84">
        <f t="shared" si="2274"/>
        <v>0.6241881518608664</v>
      </c>
      <c r="CF252" s="84">
        <f t="shared" si="2274"/>
        <v>0.58740380815102411</v>
      </c>
      <c r="CG252" s="84">
        <f t="shared" si="2274"/>
        <v>0.59515875242784999</v>
      </c>
      <c r="CH252" s="84">
        <f t="shared" si="2274"/>
        <v>0.61017038531977041</v>
      </c>
      <c r="CI252" s="84">
        <f t="shared" si="2274"/>
        <v>0.65225760196111071</v>
      </c>
      <c r="CJ252" s="84">
        <f t="shared" si="2274"/>
        <v>0.69460767124065836</v>
      </c>
      <c r="CK252" s="84">
        <f t="shared" ref="CK252" si="2275">SUM(CH18:CK18)/(CK169+CK156+CK146)</f>
        <v>0.70164827984353051</v>
      </c>
      <c r="CL252" s="84">
        <f t="shared" si="2274"/>
        <v>0.66780566795269902</v>
      </c>
      <c r="CM252" s="50">
        <f t="shared" ref="CM252:DB252" si="2276">SUM(CJ18:CM18)/(CM169+CM156+CM146)</f>
        <v>0.67794185755809588</v>
      </c>
      <c r="CN252" s="50">
        <f t="shared" si="2276"/>
        <v>0.67823243248962883</v>
      </c>
      <c r="CO252" s="50">
        <f t="shared" si="2276"/>
        <v>0.67411406803583118</v>
      </c>
      <c r="CP252" s="50">
        <f t="shared" si="2276"/>
        <v>0.67948260837975905</v>
      </c>
      <c r="CQ252" s="50">
        <f t="shared" si="2276"/>
        <v>0.68865835386037411</v>
      </c>
      <c r="CR252" s="50">
        <f t="shared" si="2276"/>
        <v>0.68812913813652032</v>
      </c>
      <c r="CS252" s="50">
        <f t="shared" si="2276"/>
        <v>0.68334777152716852</v>
      </c>
      <c r="CT252" s="50">
        <f t="shared" si="2276"/>
        <v>0.68826198034414732</v>
      </c>
      <c r="CU252" s="50">
        <f t="shared" si="2276"/>
        <v>0.69679228495953294</v>
      </c>
      <c r="CV252" s="50">
        <f t="shared" si="2276"/>
        <v>0.69456584281332323</v>
      </c>
      <c r="CW252" s="50">
        <f t="shared" si="2276"/>
        <v>0.689433044365794</v>
      </c>
      <c r="CX252" s="50">
        <f t="shared" si="2276"/>
        <v>0.69409716554094758</v>
      </c>
      <c r="CY252" s="50">
        <f t="shared" si="2276"/>
        <v>0.70215289589810836</v>
      </c>
      <c r="CZ252" s="50">
        <f t="shared" si="2276"/>
        <v>0.69440951625443692</v>
      </c>
      <c r="DA252" s="50">
        <f t="shared" si="2276"/>
        <v>0.68488850267863743</v>
      </c>
      <c r="DB252" s="50">
        <f t="shared" si="2276"/>
        <v>0.68601792867499178</v>
      </c>
      <c r="DE252" s="138"/>
      <c r="DF252" s="84">
        <v>0.66780566795269902</v>
      </c>
    </row>
    <row r="253" spans="1:110" s="84" customFormat="1" x14ac:dyDescent="0.2">
      <c r="A253" s="84" t="s">
        <v>513</v>
      </c>
      <c r="E253" s="181" t="e">
        <f>+E50</f>
        <v>#DIV/0!</v>
      </c>
      <c r="F253" s="181" t="e">
        <f t="shared" ref="F253:AE253" si="2277">+F50</f>
        <v>#DIV/0!</v>
      </c>
      <c r="G253" s="181" t="e">
        <f t="shared" si="2277"/>
        <v>#DIV/0!</v>
      </c>
      <c r="H253" s="181" t="e">
        <f t="shared" si="2277"/>
        <v>#DIV/0!</v>
      </c>
      <c r="I253" s="181" t="e">
        <f t="shared" si="2277"/>
        <v>#DIV/0!</v>
      </c>
      <c r="J253" s="181" t="e">
        <f t="shared" si="2277"/>
        <v>#DIV/0!</v>
      </c>
      <c r="K253" s="181" t="e">
        <f t="shared" si="2277"/>
        <v>#DIV/0!</v>
      </c>
      <c r="L253" s="181" t="e">
        <f t="shared" si="2277"/>
        <v>#DIV/0!</v>
      </c>
      <c r="M253" s="181">
        <f t="shared" si="2277"/>
        <v>4.7872505646546284E-2</v>
      </c>
      <c r="N253" s="181">
        <f t="shared" si="2277"/>
        <v>0.122780305381546</v>
      </c>
      <c r="O253" s="181">
        <f t="shared" si="2277"/>
        <v>8.3828209813255977E-2</v>
      </c>
      <c r="P253" s="181">
        <f t="shared" si="2277"/>
        <v>5.1349701113380823E-2</v>
      </c>
      <c r="Q253" s="181">
        <f t="shared" si="2277"/>
        <v>7.5460542378449846E-2</v>
      </c>
      <c r="R253" s="181">
        <f t="shared" si="2277"/>
        <v>0.10045483493791768</v>
      </c>
      <c r="S253" s="181">
        <f t="shared" si="2277"/>
        <v>8.151563343497871E-2</v>
      </c>
      <c r="T253" s="181">
        <f t="shared" si="2277"/>
        <v>4.0910748910518609E-2</v>
      </c>
      <c r="U253" s="181">
        <f t="shared" si="2277"/>
        <v>9.0146624666280581E-2</v>
      </c>
      <c r="V253" s="181">
        <f t="shared" si="2277"/>
        <v>0.20438723509455686</v>
      </c>
      <c r="W253" s="181">
        <f t="shared" si="2277"/>
        <v>0.16865934431078877</v>
      </c>
      <c r="X253" s="181">
        <f t="shared" si="2277"/>
        <v>0.1318820306097955</v>
      </c>
      <c r="Y253" s="181">
        <f t="shared" si="2277"/>
        <v>3.336950462523041E-2</v>
      </c>
      <c r="Z253" s="181">
        <f t="shared" si="2277"/>
        <v>6.3812126842829317E-2</v>
      </c>
      <c r="AA253" s="181">
        <f t="shared" ref="AA253" si="2278">+AA50</f>
        <v>0.13061251449456168</v>
      </c>
      <c r="AB253" s="182">
        <f t="shared" si="2277"/>
        <v>0.12020743977550451</v>
      </c>
      <c r="AC253" s="182">
        <f t="shared" si="2277"/>
        <v>0.1236271283333784</v>
      </c>
      <c r="AD253" s="182">
        <f t="shared" si="2277"/>
        <v>0.12757634939907039</v>
      </c>
      <c r="AE253" s="182">
        <f t="shared" si="2277"/>
        <v>0.15502566783666805</v>
      </c>
      <c r="AL253" s="181" t="e">
        <f t="shared" ref="AL253:CW253" si="2279">+AL50</f>
        <v>#DIV/0!</v>
      </c>
      <c r="AM253" s="181" t="e">
        <f t="shared" si="2279"/>
        <v>#DIV/0!</v>
      </c>
      <c r="AN253" s="181" t="e">
        <f t="shared" si="2279"/>
        <v>#DIV/0!</v>
      </c>
      <c r="AO253" s="181" t="e">
        <f t="shared" si="2279"/>
        <v>#DIV/0!</v>
      </c>
      <c r="AP253" s="181" t="e">
        <f t="shared" si="2279"/>
        <v>#DIV/0!</v>
      </c>
      <c r="AQ253" s="181" t="e">
        <f t="shared" si="2279"/>
        <v>#DIV/0!</v>
      </c>
      <c r="AR253" s="181" t="e">
        <f t="shared" si="2279"/>
        <v>#DIV/0!</v>
      </c>
      <c r="AS253" s="181" t="e">
        <f t="shared" si="2279"/>
        <v>#DIV/0!</v>
      </c>
      <c r="AT253" s="181" t="e">
        <f t="shared" si="2279"/>
        <v>#DIV/0!</v>
      </c>
      <c r="AU253" s="181" t="e">
        <f t="shared" si="2279"/>
        <v>#DIV/0!</v>
      </c>
      <c r="AV253" s="181" t="e">
        <f t="shared" si="2279"/>
        <v>#DIV/0!</v>
      </c>
      <c r="AW253" s="181">
        <f t="shared" si="2279"/>
        <v>8.9382756644108677E-2</v>
      </c>
      <c r="AX253" s="181">
        <f t="shared" si="2279"/>
        <v>0.1105717579990437</v>
      </c>
      <c r="AY253" s="181">
        <f t="shared" si="2279"/>
        <v>6.5130808278016414E-2</v>
      </c>
      <c r="AZ253" s="181">
        <f t="shared" si="2279"/>
        <v>9.4343421827081012E-2</v>
      </c>
      <c r="BA253" s="181">
        <f t="shared" si="2279"/>
        <v>8.8169448619571295E-2</v>
      </c>
      <c r="BB253" s="181">
        <f t="shared" si="2279"/>
        <v>0.15088915729422039</v>
      </c>
      <c r="BC253" s="181">
        <f t="shared" si="2279"/>
        <v>8.1325030466837506E-2</v>
      </c>
      <c r="BD253" s="181">
        <f t="shared" si="2279"/>
        <v>9.0520042331185865E-2</v>
      </c>
      <c r="BE253" s="181">
        <f t="shared" si="2279"/>
        <v>7.2807982778312491E-2</v>
      </c>
      <c r="BF253" s="181">
        <f t="shared" si="2279"/>
        <v>8.0465514779380312E-2</v>
      </c>
      <c r="BG253" s="181">
        <f t="shared" si="2279"/>
        <v>3.0718882706853457E-2</v>
      </c>
      <c r="BH253" s="181">
        <f t="shared" si="2279"/>
        <v>2.7554858987456583E-2</v>
      </c>
      <c r="BI253" s="181">
        <f t="shared" si="2279"/>
        <v>3.3651458003199401E-2</v>
      </c>
      <c r="BJ253" s="181">
        <f t="shared" si="2279"/>
        <v>6.798118902136624E-2</v>
      </c>
      <c r="BK253" s="181">
        <f t="shared" si="2279"/>
        <v>2.7426122018998675E-2</v>
      </c>
      <c r="BL253" s="181">
        <f t="shared" si="2279"/>
        <v>7.9377333595350999E-2</v>
      </c>
      <c r="BM253" s="181">
        <f t="shared" si="2279"/>
        <v>0.10070039337161983</v>
      </c>
      <c r="BN253" s="181">
        <f t="shared" si="2279"/>
        <v>0.13126534308935328</v>
      </c>
      <c r="BO253" s="181">
        <f t="shared" si="2279"/>
        <v>0.1763075786189342</v>
      </c>
      <c r="BP253" s="181">
        <f t="shared" si="2279"/>
        <v>0.2127340100453092</v>
      </c>
      <c r="BQ253" s="181">
        <f t="shared" si="2279"/>
        <v>0.2117710063488614</v>
      </c>
      <c r="BR253" s="181">
        <f t="shared" si="2279"/>
        <v>0.21029371144461836</v>
      </c>
      <c r="BS253" s="181">
        <f t="shared" si="2279"/>
        <v>0.18897927258506067</v>
      </c>
      <c r="BT253" s="181">
        <f t="shared" si="2279"/>
        <v>0.16946687938312233</v>
      </c>
      <c r="BU253" s="181">
        <f t="shared" si="2279"/>
        <v>0.15063766087328428</v>
      </c>
      <c r="BV253" s="181">
        <f t="shared" si="2279"/>
        <v>0.16275625864138166</v>
      </c>
      <c r="BW253" s="181">
        <f t="shared" si="2279"/>
        <v>0.16409996491091267</v>
      </c>
      <c r="BX253" s="181">
        <f t="shared" si="2279"/>
        <v>0.14836060892575001</v>
      </c>
      <c r="BY253" s="181">
        <f t="shared" si="2279"/>
        <v>0.1314457347781619</v>
      </c>
      <c r="BZ253" s="181">
        <f t="shared" si="2279"/>
        <v>7.7659497429212895E-2</v>
      </c>
      <c r="CA253" s="181">
        <f t="shared" si="2279"/>
        <v>2.4031342285854389E-2</v>
      </c>
      <c r="CB253" s="181">
        <f t="shared" si="2279"/>
        <v>3.2112376985585549E-2</v>
      </c>
      <c r="CC253" s="181">
        <f t="shared" si="2279"/>
        <v>2.1064171660027518E-2</v>
      </c>
      <c r="CD253" s="181">
        <f t="shared" si="2279"/>
        <v>5.2317544992949813E-2</v>
      </c>
      <c r="CE253" s="181">
        <f t="shared" si="2279"/>
        <v>1.0218342804060598E-2</v>
      </c>
      <c r="CF253" s="181">
        <f t="shared" si="2279"/>
        <v>1.4480673367655496E-2</v>
      </c>
      <c r="CG253" s="181">
        <f t="shared" si="2279"/>
        <v>6.4033073036288524E-2</v>
      </c>
      <c r="CH253" s="181">
        <f t="shared" si="2279"/>
        <v>0.13594721850839972</v>
      </c>
      <c r="CI253" s="181">
        <f t="shared" si="2279"/>
        <v>0.10262683410105945</v>
      </c>
      <c r="CJ253" s="181">
        <f t="shared" si="2279"/>
        <v>0.11717781393070327</v>
      </c>
      <c r="CK253" s="181">
        <f t="shared" si="2279"/>
        <v>0.14233336519915188</v>
      </c>
      <c r="CL253" s="181">
        <f t="shared" ref="CL253" si="2280">+CL50</f>
        <v>0.15561639903509114</v>
      </c>
      <c r="CM253" s="182">
        <f t="shared" si="2279"/>
        <v>0.1147531424479009</v>
      </c>
      <c r="CN253" s="182">
        <f t="shared" si="2279"/>
        <v>0.11712104080784125</v>
      </c>
      <c r="CO253" s="182">
        <f t="shared" si="2279"/>
        <v>0.12419164655537401</v>
      </c>
      <c r="CP253" s="182">
        <f t="shared" si="2279"/>
        <v>0.12383914844973384</v>
      </c>
      <c r="CQ253" s="182">
        <f t="shared" si="2279"/>
        <v>0.12205082450029497</v>
      </c>
      <c r="CR253" s="182">
        <f t="shared" si="2279"/>
        <v>0.12064716846048738</v>
      </c>
      <c r="CS253" s="182">
        <f t="shared" si="2279"/>
        <v>0.12554068505484026</v>
      </c>
      <c r="CT253" s="182">
        <f t="shared" si="2279"/>
        <v>0.12583434896306034</v>
      </c>
      <c r="CU253" s="182">
        <f t="shared" si="2279"/>
        <v>0.1265427289211675</v>
      </c>
      <c r="CV253" s="182">
        <f t="shared" si="2279"/>
        <v>0.13163826615747473</v>
      </c>
      <c r="CW253" s="182">
        <f t="shared" si="2279"/>
        <v>0.12566728016098655</v>
      </c>
      <c r="CX253" s="182">
        <f t="shared" ref="CX253:DB253" si="2281">+CX50</f>
        <v>0.1266384673003251</v>
      </c>
      <c r="CY253" s="182">
        <f t="shared" si="2281"/>
        <v>0.12971030958414048</v>
      </c>
      <c r="CZ253" s="182">
        <f t="shared" si="2281"/>
        <v>0.17335190743342585</v>
      </c>
      <c r="DA253" s="182">
        <f t="shared" si="2281"/>
        <v>0.15997134438028823</v>
      </c>
      <c r="DB253" s="182">
        <f t="shared" si="2281"/>
        <v>0.15537756830179739</v>
      </c>
      <c r="DE253" s="138"/>
      <c r="DF253" s="84">
        <v>0.13061251449456163</v>
      </c>
    </row>
    <row r="254" spans="1:110" s="84" customFormat="1" x14ac:dyDescent="0.2">
      <c r="A254" s="84" t="s">
        <v>514</v>
      </c>
      <c r="E254" s="84" t="e">
        <f>(E169+E156+E146+E148)/E128</f>
        <v>#DIV/0!</v>
      </c>
      <c r="F254" s="84" t="e">
        <f t="shared" ref="F254:AE254" si="2282">(F169+F156+F146+F148)/F128</f>
        <v>#DIV/0!</v>
      </c>
      <c r="G254" s="84" t="e">
        <f t="shared" si="2282"/>
        <v>#DIV/0!</v>
      </c>
      <c r="H254" s="84" t="e">
        <f t="shared" si="2282"/>
        <v>#DIV/0!</v>
      </c>
      <c r="I254" s="84" t="e">
        <f t="shared" si="2282"/>
        <v>#DIV/0!</v>
      </c>
      <c r="J254" s="84" t="e">
        <f t="shared" si="2282"/>
        <v>#DIV/0!</v>
      </c>
      <c r="K254" s="84" t="e">
        <f t="shared" si="2282"/>
        <v>#DIV/0!</v>
      </c>
      <c r="L254" s="84" t="e">
        <f t="shared" si="2282"/>
        <v>#DIV/0!</v>
      </c>
      <c r="M254" s="84">
        <f t="shared" si="2282"/>
        <v>2.9741113330890268</v>
      </c>
      <c r="N254" s="84">
        <f t="shared" si="2282"/>
        <v>2.6521621757122094</v>
      </c>
      <c r="O254" s="84">
        <f t="shared" si="2282"/>
        <v>3.5475856334939477</v>
      </c>
      <c r="P254" s="84">
        <f t="shared" si="2282"/>
        <v>2.6127641600886307</v>
      </c>
      <c r="Q254" s="84">
        <f t="shared" si="2282"/>
        <v>2.5311123508691664</v>
      </c>
      <c r="R254" s="84">
        <f t="shared" si="2282"/>
        <v>1.9418526691760973</v>
      </c>
      <c r="S254" s="84">
        <f t="shared" si="2282"/>
        <v>1.9990186417597278</v>
      </c>
      <c r="T254" s="84">
        <f t="shared" si="2282"/>
        <v>2.1033029240756744</v>
      </c>
      <c r="U254" s="84">
        <f t="shared" si="2282"/>
        <v>2.0773264322482583</v>
      </c>
      <c r="V254" s="84">
        <f t="shared" si="2282"/>
        <v>2.2138900117418339</v>
      </c>
      <c r="W254" s="84">
        <f t="shared" si="2282"/>
        <v>2.0792733327564239</v>
      </c>
      <c r="X254" s="84">
        <f t="shared" si="2282"/>
        <v>1.8972985959237454</v>
      </c>
      <c r="Y254" s="84">
        <f t="shared" si="2282"/>
        <v>2.0401683309210763</v>
      </c>
      <c r="Z254" s="84">
        <f t="shared" si="2282"/>
        <v>2.087298996547839</v>
      </c>
      <c r="AA254" s="84">
        <f t="shared" ref="AA254" si="2283">(AA169+AA156+AA146+AA148)/AA128</f>
        <v>1.9832209446685511</v>
      </c>
      <c r="AB254" s="50">
        <f t="shared" si="2282"/>
        <v>1.9002194088108797</v>
      </c>
      <c r="AC254" s="50">
        <f t="shared" si="2282"/>
        <v>1.8272492523090385</v>
      </c>
      <c r="AD254" s="50">
        <f t="shared" si="2282"/>
        <v>1.7626888039051833</v>
      </c>
      <c r="AE254" s="50">
        <f t="shared" si="2282"/>
        <v>1.6868144279086046</v>
      </c>
      <c r="AL254" s="84" t="e">
        <f t="shared" ref="AL254:CW254" si="2284">(AL169+AL156+AL146+AL148)/AL128</f>
        <v>#DIV/0!</v>
      </c>
      <c r="AM254" s="84" t="e">
        <f t="shared" si="2284"/>
        <v>#DIV/0!</v>
      </c>
      <c r="AN254" s="84" t="e">
        <f t="shared" si="2284"/>
        <v>#DIV/0!</v>
      </c>
      <c r="AO254" s="84" t="e">
        <f t="shared" si="2284"/>
        <v>#DIV/0!</v>
      </c>
      <c r="AP254" s="84" t="e">
        <f t="shared" si="2284"/>
        <v>#DIV/0!</v>
      </c>
      <c r="AQ254" s="84" t="e">
        <f t="shared" si="2284"/>
        <v>#DIV/0!</v>
      </c>
      <c r="AR254" s="84" t="e">
        <f t="shared" si="2284"/>
        <v>#DIV/0!</v>
      </c>
      <c r="AS254" s="84" t="e">
        <f t="shared" si="2284"/>
        <v>#DIV/0!</v>
      </c>
      <c r="AT254" s="84" t="e">
        <f t="shared" si="2284"/>
        <v>#DIV/0!</v>
      </c>
      <c r="AU254" s="84" t="e">
        <f t="shared" si="2284"/>
        <v>#DIV/0!</v>
      </c>
      <c r="AV254" s="84" t="e">
        <f t="shared" si="2284"/>
        <v>#DIV/0!</v>
      </c>
      <c r="AW254" s="84" t="e">
        <f t="shared" si="2284"/>
        <v>#DIV/0!</v>
      </c>
      <c r="AX254" s="84">
        <f t="shared" si="2284"/>
        <v>2.5311123508691664</v>
      </c>
      <c r="AY254" s="84">
        <f t="shared" si="2284"/>
        <v>2.4401177175350752</v>
      </c>
      <c r="AZ254" s="84" t="e">
        <f t="shared" si="2284"/>
        <v>#DIV/0!</v>
      </c>
      <c r="BA254" s="84">
        <f t="shared" si="2284"/>
        <v>1</v>
      </c>
      <c r="BB254" s="84">
        <f t="shared" si="2284"/>
        <v>1.9418526691760971</v>
      </c>
      <c r="BC254" s="84">
        <f t="shared" si="2284"/>
        <v>1.9144813476612417</v>
      </c>
      <c r="BD254" s="84">
        <f t="shared" si="2284"/>
        <v>2.0665478715356973</v>
      </c>
      <c r="BE254" s="84">
        <f t="shared" si="2284"/>
        <v>2.0125707716258909</v>
      </c>
      <c r="BF254" s="84">
        <f t="shared" si="2284"/>
        <v>1.9990186417597275</v>
      </c>
      <c r="BG254" s="84">
        <f t="shared" si="2284"/>
        <v>1.9800929664997053</v>
      </c>
      <c r="BH254" s="84">
        <f t="shared" si="2284"/>
        <v>2.1581678012556522</v>
      </c>
      <c r="BI254" s="84">
        <f t="shared" si="2284"/>
        <v>2.1149629179170204</v>
      </c>
      <c r="BJ254" s="84">
        <f t="shared" si="2284"/>
        <v>2.1033029240756749</v>
      </c>
      <c r="BK254" s="84">
        <f t="shared" si="2284"/>
        <v>2.0513848425676744</v>
      </c>
      <c r="BL254" s="84">
        <f t="shared" si="2284"/>
        <v>2.2041283921031751</v>
      </c>
      <c r="BM254" s="84">
        <f t="shared" si="2284"/>
        <v>2.1610938454213362</v>
      </c>
      <c r="BN254" s="84">
        <f t="shared" si="2284"/>
        <v>2.0773264322482583</v>
      </c>
      <c r="BO254" s="84">
        <f t="shared" si="2284"/>
        <v>2.0330890225365272</v>
      </c>
      <c r="BP254" s="84">
        <f t="shared" si="2284"/>
        <v>1.9252323205543698</v>
      </c>
      <c r="BQ254" s="84">
        <f t="shared" si="2284"/>
        <v>1.8619059168738918</v>
      </c>
      <c r="BR254" s="84">
        <f t="shared" si="2284"/>
        <v>2.2138900117418339</v>
      </c>
      <c r="BS254" s="84">
        <f t="shared" si="2284"/>
        <v>2.0714392033568623</v>
      </c>
      <c r="BT254" s="84">
        <f t="shared" si="2284"/>
        <v>2.1211911080291777</v>
      </c>
      <c r="BU254" s="84">
        <f t="shared" si="2284"/>
        <v>2.0275139693397373</v>
      </c>
      <c r="BV254" s="84">
        <f t="shared" si="2284"/>
        <v>2.0792733327564243</v>
      </c>
      <c r="BW254" s="84">
        <f t="shared" si="2284"/>
        <v>2.023474344723394</v>
      </c>
      <c r="BX254" s="84">
        <f t="shared" si="2284"/>
        <v>2.1405131938705835</v>
      </c>
      <c r="BY254" s="84">
        <f t="shared" si="2284"/>
        <v>2.0765785445150686</v>
      </c>
      <c r="BZ254" s="84">
        <f t="shared" si="2284"/>
        <v>1.8972985959237452</v>
      </c>
      <c r="CA254" s="84">
        <f t="shared" si="2284"/>
        <v>1.8665861861352373</v>
      </c>
      <c r="CB254" s="84">
        <f t="shared" si="2284"/>
        <v>1.9995012184167034</v>
      </c>
      <c r="CC254" s="84">
        <f t="shared" si="2284"/>
        <v>1.9878634250726517</v>
      </c>
      <c r="CD254" s="84">
        <f t="shared" si="2284"/>
        <v>2.0401683309210763</v>
      </c>
      <c r="CE254" s="84">
        <f t="shared" si="2284"/>
        <v>1.9936697443066409</v>
      </c>
      <c r="CF254" s="84">
        <f t="shared" si="2284"/>
        <v>2.111612650401312</v>
      </c>
      <c r="CG254" s="84">
        <f t="shared" si="2284"/>
        <v>2.1264896106014204</v>
      </c>
      <c r="CH254" s="84">
        <f t="shared" si="2284"/>
        <v>2.087298996547839</v>
      </c>
      <c r="CI254" s="84">
        <f t="shared" si="2284"/>
        <v>2.0111063317950557</v>
      </c>
      <c r="CJ254" s="84">
        <f t="shared" si="2284"/>
        <v>1.9593102745042545</v>
      </c>
      <c r="CK254" s="84">
        <f t="shared" si="2284"/>
        <v>1.94601422234795</v>
      </c>
      <c r="CL254" s="84">
        <f t="shared" ref="CL254" si="2285">(CL169+CL156+CL146+CL148)/CL128</f>
        <v>1.9832209446685509</v>
      </c>
      <c r="CM254" s="50">
        <f t="shared" si="2284"/>
        <v>1.9449708679147337</v>
      </c>
      <c r="CN254" s="50">
        <f t="shared" si="2284"/>
        <v>1.9333479078812323</v>
      </c>
      <c r="CO254" s="50">
        <f t="shared" si="2284"/>
        <v>1.9292896074643906</v>
      </c>
      <c r="CP254" s="50">
        <f t="shared" si="2284"/>
        <v>1.9002194088108797</v>
      </c>
      <c r="CQ254" s="50">
        <f t="shared" si="2284"/>
        <v>1.8637100541976315</v>
      </c>
      <c r="CR254" s="50">
        <f t="shared" si="2284"/>
        <v>1.8543692173523765</v>
      </c>
      <c r="CS254" s="50">
        <f t="shared" si="2284"/>
        <v>1.853212425148566</v>
      </c>
      <c r="CT254" s="50">
        <f t="shared" si="2284"/>
        <v>1.8272492523090385</v>
      </c>
      <c r="CU254" s="50">
        <f t="shared" si="2284"/>
        <v>1.7931453391424692</v>
      </c>
      <c r="CV254" s="50">
        <f t="shared" si="2284"/>
        <v>1.7839137239694207</v>
      </c>
      <c r="CW254" s="50">
        <f t="shared" si="2284"/>
        <v>1.7855700639792869</v>
      </c>
      <c r="CX254" s="50">
        <f t="shared" ref="CX254:DB254" si="2286">(CX169+CX156+CX146+CX148)/CX128</f>
        <v>1.7626888039051833</v>
      </c>
      <c r="CY254" s="50">
        <f t="shared" si="2286"/>
        <v>1.7311157030097994</v>
      </c>
      <c r="CZ254" s="50">
        <f t="shared" si="2286"/>
        <v>1.7153618751487929</v>
      </c>
      <c r="DA254" s="50">
        <f t="shared" si="2286"/>
        <v>1.7119348040168596</v>
      </c>
      <c r="DB254" s="50">
        <f t="shared" si="2286"/>
        <v>1.6868144279086046</v>
      </c>
      <c r="DE254" s="138"/>
      <c r="DF254" s="84">
        <v>1.9832209446685509</v>
      </c>
    </row>
    <row r="255" spans="1:110" s="84" customFormat="1" x14ac:dyDescent="0.2">
      <c r="A255" s="154" t="s">
        <v>498</v>
      </c>
      <c r="AB255" s="50"/>
      <c r="AC255" s="50"/>
      <c r="AD255" s="50"/>
      <c r="AE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E255" s="138"/>
    </row>
    <row r="256" spans="1:110" s="88" customFormat="1" x14ac:dyDescent="0.2">
      <c r="A256" s="88" t="s">
        <v>102</v>
      </c>
      <c r="B256" s="88" t="e">
        <f t="shared" ref="B256:AE256" si="2287">B169/B128</f>
        <v>#DIV/0!</v>
      </c>
      <c r="C256" s="88" t="e">
        <f t="shared" si="2287"/>
        <v>#DIV/0!</v>
      </c>
      <c r="D256" s="88" t="e">
        <f t="shared" si="2287"/>
        <v>#DIV/0!</v>
      </c>
      <c r="F256" s="88" t="e">
        <f t="shared" si="2287"/>
        <v>#DIV/0!</v>
      </c>
      <c r="G256" s="88" t="e">
        <f t="shared" si="2287"/>
        <v>#DIV/0!</v>
      </c>
      <c r="H256" s="88" t="e">
        <f t="shared" si="2287"/>
        <v>#DIV/0!</v>
      </c>
      <c r="I256" s="88" t="e">
        <f t="shared" si="2287"/>
        <v>#DIV/0!</v>
      </c>
      <c r="J256" s="88" t="e">
        <f t="shared" si="2287"/>
        <v>#DIV/0!</v>
      </c>
      <c r="K256" s="88" t="e">
        <f t="shared" si="2287"/>
        <v>#DIV/0!</v>
      </c>
      <c r="L256" s="88" t="e">
        <f t="shared" si="2287"/>
        <v>#DIV/0!</v>
      </c>
      <c r="M256" s="88">
        <f t="shared" si="2287"/>
        <v>5.5110942985826257E-2</v>
      </c>
      <c r="N256" s="88">
        <f t="shared" si="2287"/>
        <v>5.2514664537850135E-2</v>
      </c>
      <c r="O256" s="88">
        <f t="shared" si="2287"/>
        <v>6.4715122329577005E-2</v>
      </c>
      <c r="P256" s="88">
        <f t="shared" si="2287"/>
        <v>8.1546877163827733E-2</v>
      </c>
      <c r="Q256" s="88">
        <f t="shared" si="2287"/>
        <v>3.3583178298735528E-2</v>
      </c>
      <c r="R256" s="88">
        <f t="shared" si="2287"/>
        <v>3.0749040924560756E-3</v>
      </c>
      <c r="S256" s="88">
        <f t="shared" si="2287"/>
        <v>2.0618640140991841E-3</v>
      </c>
      <c r="T256" s="88">
        <f t="shared" si="2287"/>
        <v>1.9385179866363534E-3</v>
      </c>
      <c r="U256" s="88">
        <f t="shared" si="2287"/>
        <v>9.8317860512948008E-4</v>
      </c>
      <c r="V256" s="88">
        <f t="shared" si="2287"/>
        <v>1.865604126965795E-2</v>
      </c>
      <c r="W256" s="88">
        <f t="shared" si="2287"/>
        <v>2.2660607127617353E-2</v>
      </c>
      <c r="X256" s="88">
        <f t="shared" si="2287"/>
        <v>1.2002387598358403E-2</v>
      </c>
      <c r="Y256" s="88">
        <f t="shared" si="2287"/>
        <v>3.4456755737724859E-2</v>
      </c>
      <c r="Z256" s="88">
        <f t="shared" si="2287"/>
        <v>3.2243279016938853E-2</v>
      </c>
      <c r="AA256" s="88">
        <f t="shared" ref="AA256" si="2288">AA169/AA128</f>
        <v>2.1452587329200048E-2</v>
      </c>
      <c r="AB256" s="42">
        <f t="shared" si="2287"/>
        <v>6.3192259042628804E-2</v>
      </c>
      <c r="AC256" s="42">
        <f t="shared" si="2287"/>
        <v>0.11225944536621238</v>
      </c>
      <c r="AD256" s="42">
        <f t="shared" si="2287"/>
        <v>0.16489125748859704</v>
      </c>
      <c r="AE256" s="42">
        <f t="shared" si="2287"/>
        <v>0.23890934696820779</v>
      </c>
      <c r="AL256" s="88" t="e">
        <f t="shared" ref="AL256:CW256" si="2289">AL169/AL128</f>
        <v>#DIV/0!</v>
      </c>
      <c r="AM256" s="88" t="e">
        <f t="shared" si="2289"/>
        <v>#DIV/0!</v>
      </c>
      <c r="AN256" s="88" t="e">
        <f t="shared" si="2289"/>
        <v>#DIV/0!</v>
      </c>
      <c r="AO256" s="88" t="e">
        <f t="shared" si="2289"/>
        <v>#DIV/0!</v>
      </c>
      <c r="AP256" s="88" t="e">
        <f t="shared" si="2289"/>
        <v>#DIV/0!</v>
      </c>
      <c r="AQ256" s="88" t="e">
        <f t="shared" si="2289"/>
        <v>#DIV/0!</v>
      </c>
      <c r="AR256" s="88" t="e">
        <f t="shared" si="2289"/>
        <v>#DIV/0!</v>
      </c>
      <c r="AS256" s="88" t="e">
        <f t="shared" si="2289"/>
        <v>#DIV/0!</v>
      </c>
      <c r="AT256" s="88" t="e">
        <f t="shared" si="2289"/>
        <v>#DIV/0!</v>
      </c>
      <c r="AU256" s="88" t="e">
        <f t="shared" si="2289"/>
        <v>#DIV/0!</v>
      </c>
      <c r="AV256" s="88" t="e">
        <f t="shared" si="2289"/>
        <v>#DIV/0!</v>
      </c>
      <c r="AW256" s="88" t="e">
        <f t="shared" si="2289"/>
        <v>#DIV/0!</v>
      </c>
      <c r="AX256" s="88">
        <f t="shared" si="2289"/>
        <v>3.3583178298735528E-2</v>
      </c>
      <c r="AY256" s="88">
        <f t="shared" si="2289"/>
        <v>0.19018581552854849</v>
      </c>
      <c r="AZ256" s="88" t="e">
        <f t="shared" si="2289"/>
        <v>#DIV/0!</v>
      </c>
      <c r="BA256" s="88">
        <f t="shared" si="2289"/>
        <v>1</v>
      </c>
      <c r="BB256" s="88">
        <f t="shared" si="2289"/>
        <v>3.0749040924560747E-3</v>
      </c>
      <c r="BC256" s="88">
        <f t="shared" si="2289"/>
        <v>3.3291594563699248E-2</v>
      </c>
      <c r="BD256" s="88">
        <f t="shared" si="2289"/>
        <v>3.907822209789252E-3</v>
      </c>
      <c r="BE256" s="88">
        <f t="shared" si="2289"/>
        <v>9.617315957095704E-2</v>
      </c>
      <c r="BF256" s="88">
        <f t="shared" si="2289"/>
        <v>2.0618640140991841E-3</v>
      </c>
      <c r="BG256" s="88">
        <f t="shared" si="2289"/>
        <v>3.4385807514346042E-2</v>
      </c>
      <c r="BH256" s="88">
        <f t="shared" si="2289"/>
        <v>6.1134481790634E-3</v>
      </c>
      <c r="BI256" s="88">
        <f t="shared" si="2289"/>
        <v>7.6825701020301007E-2</v>
      </c>
      <c r="BJ256" s="88">
        <f t="shared" si="2289"/>
        <v>1.9385179866363536E-3</v>
      </c>
      <c r="BK256" s="88">
        <f t="shared" si="2289"/>
        <v>8.7993351000753686E-2</v>
      </c>
      <c r="BL256" s="88">
        <f t="shared" si="2289"/>
        <v>2.9912027816391025E-3</v>
      </c>
      <c r="BM256" s="88">
        <f t="shared" si="2289"/>
        <v>3.2697366582555239E-2</v>
      </c>
      <c r="BN256" s="88">
        <f t="shared" si="2289"/>
        <v>9.8317860512948008E-4</v>
      </c>
      <c r="BO256" s="88">
        <f t="shared" si="2289"/>
        <v>-3.2123044123321672E-4</v>
      </c>
      <c r="BP256" s="88">
        <f t="shared" si="2289"/>
        <v>1.0010467566542182E-3</v>
      </c>
      <c r="BQ256" s="88">
        <f t="shared" si="2289"/>
        <v>4.2480188242805944E-2</v>
      </c>
      <c r="BR256" s="88">
        <f t="shared" si="2289"/>
        <v>1.8656041269657947E-2</v>
      </c>
      <c r="BS256" s="88">
        <f t="shared" si="2289"/>
        <v>0.15878096886515561</v>
      </c>
      <c r="BT256" s="88">
        <f t="shared" si="2289"/>
        <v>1.2891890810652229E-2</v>
      </c>
      <c r="BU256" s="88">
        <f t="shared" si="2289"/>
        <v>0.15754732802863103</v>
      </c>
      <c r="BV256" s="88">
        <f t="shared" si="2289"/>
        <v>2.2660607127617357E-2</v>
      </c>
      <c r="BW256" s="88">
        <f t="shared" si="2289"/>
        <v>4.1076553099565115E-2</v>
      </c>
      <c r="BX256" s="88">
        <f t="shared" si="2289"/>
        <v>1.3867447502185472E-2</v>
      </c>
      <c r="BY256" s="88">
        <f t="shared" si="2289"/>
        <v>7.864311042832528E-2</v>
      </c>
      <c r="BZ256" s="88">
        <f t="shared" si="2289"/>
        <v>1.2002387598358403E-2</v>
      </c>
      <c r="CA256" s="88">
        <f t="shared" si="2289"/>
        <v>0.10871807357824145</v>
      </c>
      <c r="CB256" s="88">
        <f t="shared" si="2289"/>
        <v>1.6665756783181381E-2</v>
      </c>
      <c r="CC256" s="88">
        <f t="shared" si="2289"/>
        <v>3.6665293742061046E-2</v>
      </c>
      <c r="CD256" s="88">
        <f t="shared" si="2289"/>
        <v>3.4456755737724859E-2</v>
      </c>
      <c r="CE256" s="88">
        <f t="shared" si="2289"/>
        <v>0.13869245195255334</v>
      </c>
      <c r="CF256" s="88">
        <f t="shared" si="2289"/>
        <v>1.0866147065511351E-2</v>
      </c>
      <c r="CG256" s="88">
        <f t="shared" si="2289"/>
        <v>-7.1088676720569524E-2</v>
      </c>
      <c r="CH256" s="88">
        <f t="shared" si="2289"/>
        <v>3.2243279016938853E-2</v>
      </c>
      <c r="CI256" s="88">
        <f t="shared" si="2289"/>
        <v>0.13624792121775692</v>
      </c>
      <c r="CJ256" s="88">
        <f t="shared" si="2289"/>
        <v>1.3189356118858199E-2</v>
      </c>
      <c r="CK256" s="88">
        <f t="shared" si="2289"/>
        <v>5.3634739518888405E-2</v>
      </c>
      <c r="CL256" s="88">
        <f t="shared" ref="CL256" si="2290">CL169/CL128</f>
        <v>2.1452587329200044E-2</v>
      </c>
      <c r="CM256" s="42">
        <f t="shared" si="2289"/>
        <v>4.6457667360414658E-2</v>
      </c>
      <c r="CN256" s="42">
        <f t="shared" si="2289"/>
        <v>4.7534077612875404E-2</v>
      </c>
      <c r="CO256" s="42">
        <f t="shared" si="2289"/>
        <v>4.2919807338711771E-2</v>
      </c>
      <c r="CP256" s="42">
        <f t="shared" si="2289"/>
        <v>6.3192259042628804E-2</v>
      </c>
      <c r="CQ256" s="42">
        <f t="shared" si="2289"/>
        <v>9.1390449966610957E-2</v>
      </c>
      <c r="CR256" s="42">
        <f t="shared" si="2289"/>
        <v>9.4677367017854216E-2</v>
      </c>
      <c r="CS256" s="42">
        <f t="shared" si="2289"/>
        <v>9.1315283247506346E-2</v>
      </c>
      <c r="CT256" s="42">
        <f t="shared" si="2289"/>
        <v>0.11225944536621238</v>
      </c>
      <c r="CU256" s="42">
        <f t="shared" si="2289"/>
        <v>0.14149554334745387</v>
      </c>
      <c r="CV256" s="42">
        <f t="shared" si="2289"/>
        <v>0.14792563097620573</v>
      </c>
      <c r="CW256" s="42">
        <f t="shared" si="2289"/>
        <v>0.1445089573734806</v>
      </c>
      <c r="CX256" s="42">
        <f t="shared" ref="CX256:DB256" si="2291">CX169/CX128</f>
        <v>0.16489125748859704</v>
      </c>
      <c r="CY256" s="42">
        <f t="shared" si="2291"/>
        <v>0.19391943886995239</v>
      </c>
      <c r="CZ256" s="42">
        <f t="shared" si="2291"/>
        <v>0.20984374632765401</v>
      </c>
      <c r="DA256" s="42">
        <f t="shared" si="2291"/>
        <v>0.21405854382266384</v>
      </c>
      <c r="DB256" s="42">
        <f t="shared" si="2291"/>
        <v>0.23890934696820779</v>
      </c>
      <c r="DE256" s="125"/>
      <c r="DF256" s="88">
        <v>2.1452587329200044E-2</v>
      </c>
    </row>
    <row r="257" spans="1:110" s="89" customFormat="1" x14ac:dyDescent="0.2">
      <c r="A257" s="89" t="s">
        <v>103</v>
      </c>
      <c r="C257" s="89" t="e">
        <f t="shared" ref="C257:AE257" si="2292">C136/B136-1</f>
        <v>#DIV/0!</v>
      </c>
      <c r="D257" s="89" t="e">
        <f t="shared" si="2292"/>
        <v>#DIV/0!</v>
      </c>
      <c r="F257" s="89" t="e">
        <f t="shared" si="2292"/>
        <v>#DIV/0!</v>
      </c>
      <c r="G257" s="89" t="e">
        <f t="shared" si="2292"/>
        <v>#DIV/0!</v>
      </c>
      <c r="H257" s="89" t="e">
        <f t="shared" si="2292"/>
        <v>#DIV/0!</v>
      </c>
      <c r="I257" s="89" t="e">
        <f t="shared" si="2292"/>
        <v>#DIV/0!</v>
      </c>
      <c r="J257" s="89" t="e">
        <f t="shared" si="2292"/>
        <v>#DIV/0!</v>
      </c>
      <c r="K257" s="89" t="e">
        <f>K136/J136-1</f>
        <v>#DIV/0!</v>
      </c>
      <c r="L257" s="89" t="e">
        <f t="shared" si="2292"/>
        <v>#DIV/0!</v>
      </c>
      <c r="M257" s="89" t="e">
        <f t="shared" si="2292"/>
        <v>#DIV/0!</v>
      </c>
      <c r="N257" s="89">
        <f t="shared" si="2292"/>
        <v>0.29640347801385714</v>
      </c>
      <c r="O257" s="89">
        <f t="shared" si="2292"/>
        <v>0.8584399533006255</v>
      </c>
      <c r="P257" s="89">
        <f t="shared" si="2292"/>
        <v>0.51268111603400768</v>
      </c>
      <c r="Q257" s="89">
        <f t="shared" si="2292"/>
        <v>0.25161672183615758</v>
      </c>
      <c r="R257" s="89">
        <f t="shared" si="2292"/>
        <v>-0.18094890581973511</v>
      </c>
      <c r="S257" s="89">
        <f t="shared" si="2292"/>
        <v>0.16413482911136001</v>
      </c>
      <c r="T257" s="89">
        <f t="shared" si="2292"/>
        <v>5.7170731508194184E-2</v>
      </c>
      <c r="U257" s="89">
        <f t="shared" si="2292"/>
        <v>2.021470583408691E-2</v>
      </c>
      <c r="V257" s="89">
        <f t="shared" si="2292"/>
        <v>0.37500354821311999</v>
      </c>
      <c r="W257" s="89">
        <f t="shared" si="2292"/>
        <v>0.19187310762455279</v>
      </c>
      <c r="X257" s="89">
        <f t="shared" si="2292"/>
        <v>0.13853108779871004</v>
      </c>
      <c r="Y257" s="89">
        <f t="shared" si="2292"/>
        <v>0.27134287032764215</v>
      </c>
      <c r="Z257" s="89">
        <f t="shared" si="2292"/>
        <v>7.4206737001655254E-2</v>
      </c>
      <c r="AA257" s="89">
        <f t="shared" si="2292"/>
        <v>-0.10976239189926806</v>
      </c>
      <c r="AB257" s="47">
        <f t="shared" si="2292"/>
        <v>0</v>
      </c>
      <c r="AC257" s="47">
        <f t="shared" si="2292"/>
        <v>0</v>
      </c>
      <c r="AD257" s="47">
        <f t="shared" si="2292"/>
        <v>0</v>
      </c>
      <c r="AE257" s="47">
        <f t="shared" si="2292"/>
        <v>0</v>
      </c>
      <c r="AL257" s="89" t="e">
        <f t="shared" ref="AL257:CW257" si="2293">AL136/AK136-1</f>
        <v>#DIV/0!</v>
      </c>
      <c r="AM257" s="89" t="e">
        <f t="shared" si="2293"/>
        <v>#DIV/0!</v>
      </c>
      <c r="AN257" s="89" t="e">
        <f t="shared" si="2293"/>
        <v>#DIV/0!</v>
      </c>
      <c r="AO257" s="89" t="e">
        <f t="shared" si="2293"/>
        <v>#DIV/0!</v>
      </c>
      <c r="AP257" s="89" t="e">
        <f t="shared" si="2293"/>
        <v>#DIV/0!</v>
      </c>
      <c r="AQ257" s="89" t="e">
        <f t="shared" si="2293"/>
        <v>#DIV/0!</v>
      </c>
      <c r="AR257" s="89" t="e">
        <f t="shared" si="2293"/>
        <v>#DIV/0!</v>
      </c>
      <c r="AS257" s="89" t="e">
        <f t="shared" si="2293"/>
        <v>#DIV/0!</v>
      </c>
      <c r="AT257" s="89" t="e">
        <f t="shared" si="2293"/>
        <v>#DIV/0!</v>
      </c>
      <c r="AU257" s="89" t="e">
        <f t="shared" si="2293"/>
        <v>#DIV/0!</v>
      </c>
      <c r="AV257" s="89" t="e">
        <f t="shared" si="2293"/>
        <v>#DIV/0!</v>
      </c>
      <c r="AW257" s="89" t="e">
        <f t="shared" si="2293"/>
        <v>#DIV/0!</v>
      </c>
      <c r="AX257" s="89" t="e">
        <f t="shared" si="2293"/>
        <v>#DIV/0!</v>
      </c>
      <c r="AY257" s="89">
        <f t="shared" si="2293"/>
        <v>0</v>
      </c>
      <c r="AZ257" s="89">
        <f t="shared" si="2293"/>
        <v>-1</v>
      </c>
      <c r="BA257" s="89" t="e">
        <f t="shared" si="2293"/>
        <v>#DIV/0!</v>
      </c>
      <c r="BB257" s="89" t="e">
        <f t="shared" si="2293"/>
        <v>#DIV/0!</v>
      </c>
      <c r="BC257" s="89">
        <f t="shared" si="2293"/>
        <v>0</v>
      </c>
      <c r="BD257" s="89">
        <f t="shared" si="2293"/>
        <v>1.1667289801839953E-3</v>
      </c>
      <c r="BE257" s="89">
        <f t="shared" si="2293"/>
        <v>0</v>
      </c>
      <c r="BF257" s="89">
        <f t="shared" si="2293"/>
        <v>-1.1274755860072094E-2</v>
      </c>
      <c r="BG257" s="89">
        <f t="shared" si="2293"/>
        <v>0</v>
      </c>
      <c r="BH257" s="89">
        <f t="shared" si="2293"/>
        <v>0.18256318764330515</v>
      </c>
      <c r="BI257" s="89">
        <f t="shared" si="2293"/>
        <v>0</v>
      </c>
      <c r="BJ257" s="89">
        <f t="shared" si="2293"/>
        <v>-0.11422760599897586</v>
      </c>
      <c r="BK257" s="89">
        <f t="shared" si="2293"/>
        <v>0</v>
      </c>
      <c r="BL257" s="89">
        <f t="shared" si="2293"/>
        <v>0.18992637747927188</v>
      </c>
      <c r="BM257" s="89">
        <f t="shared" si="2293"/>
        <v>0</v>
      </c>
      <c r="BN257" s="89">
        <f t="shared" si="2293"/>
        <v>-0.14837126103940912</v>
      </c>
      <c r="BO257" s="89">
        <f t="shared" si="2293"/>
        <v>0</v>
      </c>
      <c r="BP257" s="89">
        <f t="shared" si="2293"/>
        <v>-4.7743137316463069E-2</v>
      </c>
      <c r="BQ257" s="89">
        <f t="shared" si="2293"/>
        <v>0</v>
      </c>
      <c r="BR257" s="89">
        <f t="shared" si="2293"/>
        <v>0.59708102999197732</v>
      </c>
      <c r="BS257" s="89">
        <f t="shared" si="2293"/>
        <v>0</v>
      </c>
      <c r="BT257" s="89">
        <f t="shared" si="2293"/>
        <v>0.1919900908340213</v>
      </c>
      <c r="BU257" s="89">
        <f t="shared" si="2293"/>
        <v>0</v>
      </c>
      <c r="BV257" s="89">
        <f t="shared" si="2293"/>
        <v>-9.8141092252368445E-5</v>
      </c>
      <c r="BW257" s="89">
        <f t="shared" si="2293"/>
        <v>0</v>
      </c>
      <c r="BX257" s="89">
        <f t="shared" si="2293"/>
        <v>0.18508339924828077</v>
      </c>
      <c r="BY257" s="89">
        <f t="shared" si="2293"/>
        <v>0</v>
      </c>
      <c r="BZ257" s="89">
        <f t="shared" si="2293"/>
        <v>-3.928188638799579E-2</v>
      </c>
      <c r="CA257" s="89">
        <f t="shared" si="2293"/>
        <v>0</v>
      </c>
      <c r="CB257" s="89">
        <f t="shared" si="2293"/>
        <v>5.8636794677403792E-2</v>
      </c>
      <c r="CC257" s="89">
        <f t="shared" si="2293"/>
        <v>0</v>
      </c>
      <c r="CD257" s="89">
        <f t="shared" si="2293"/>
        <v>0.20092450661046191</v>
      </c>
      <c r="CE257" s="89">
        <f t="shared" si="2293"/>
        <v>0</v>
      </c>
      <c r="CF257" s="89">
        <f t="shared" si="2293"/>
        <v>8.5646476935043125E-2</v>
      </c>
      <c r="CG257" s="89">
        <f t="shared" si="2293"/>
        <v>0</v>
      </c>
      <c r="CH257" s="89">
        <f t="shared" si="2293"/>
        <v>-1.0537260679631233E-2</v>
      </c>
      <c r="CI257" s="89">
        <f t="shared" si="2293"/>
        <v>0</v>
      </c>
      <c r="CJ257" s="89">
        <f t="shared" si="2293"/>
        <v>-0.20190190450374856</v>
      </c>
      <c r="CK257" s="89">
        <f t="shared" si="2293"/>
        <v>0</v>
      </c>
      <c r="CL257" s="89">
        <f t="shared" si="2293"/>
        <v>0.11544885663107474</v>
      </c>
      <c r="CM257" s="47">
        <f t="shared" si="2293"/>
        <v>0</v>
      </c>
      <c r="CN257" s="47">
        <f t="shared" si="2293"/>
        <v>0</v>
      </c>
      <c r="CO257" s="47">
        <f t="shared" si="2293"/>
        <v>0</v>
      </c>
      <c r="CP257" s="47">
        <f t="shared" si="2293"/>
        <v>0</v>
      </c>
      <c r="CQ257" s="47">
        <f t="shared" si="2293"/>
        <v>0</v>
      </c>
      <c r="CR257" s="47">
        <f t="shared" si="2293"/>
        <v>0</v>
      </c>
      <c r="CS257" s="47">
        <f t="shared" si="2293"/>
        <v>0</v>
      </c>
      <c r="CT257" s="47">
        <f t="shared" si="2293"/>
        <v>0</v>
      </c>
      <c r="CU257" s="47">
        <f t="shared" si="2293"/>
        <v>0</v>
      </c>
      <c r="CV257" s="47">
        <f t="shared" si="2293"/>
        <v>0</v>
      </c>
      <c r="CW257" s="47">
        <f t="shared" si="2293"/>
        <v>0</v>
      </c>
      <c r="CX257" s="47">
        <f t="shared" ref="CX257:DB257" si="2294">CX136/CW136-1</f>
        <v>0</v>
      </c>
      <c r="CY257" s="47">
        <f t="shared" si="2294"/>
        <v>0</v>
      </c>
      <c r="CZ257" s="47">
        <f t="shared" si="2294"/>
        <v>0</v>
      </c>
      <c r="DA257" s="47">
        <f t="shared" si="2294"/>
        <v>0</v>
      </c>
      <c r="DB257" s="47">
        <f t="shared" si="2294"/>
        <v>0</v>
      </c>
      <c r="DE257" s="130"/>
      <c r="DF257" s="89">
        <v>-0.10975908625068687</v>
      </c>
    </row>
    <row r="258" spans="1:110" s="89" customFormat="1" x14ac:dyDescent="0.2">
      <c r="A258" s="89" t="s">
        <v>104</v>
      </c>
      <c r="C258" s="89" t="e">
        <f>C36/B36-1</f>
        <v>#DIV/0!</v>
      </c>
      <c r="D258" s="89" t="e">
        <f>D36/C36-1</f>
        <v>#DIV/0!</v>
      </c>
      <c r="F258" s="89" t="e">
        <f t="shared" ref="F258:AE258" si="2295">F36/E36-1</f>
        <v>#DIV/0!</v>
      </c>
      <c r="G258" s="89" t="e">
        <f t="shared" si="2295"/>
        <v>#DIV/0!</v>
      </c>
      <c r="H258" s="89" t="e">
        <f t="shared" si="2295"/>
        <v>#DIV/0!</v>
      </c>
      <c r="I258" s="89" t="e">
        <f t="shared" si="2295"/>
        <v>#DIV/0!</v>
      </c>
      <c r="J258" s="89" t="e">
        <f t="shared" si="2295"/>
        <v>#DIV/0!</v>
      </c>
      <c r="K258" s="89" t="e">
        <f t="shared" si="2295"/>
        <v>#DIV/0!</v>
      </c>
      <c r="L258" s="89" t="e">
        <f t="shared" si="2295"/>
        <v>#DIV/0!</v>
      </c>
      <c r="M258" s="89" t="e">
        <f t="shared" si="2295"/>
        <v>#DIV/0!</v>
      </c>
      <c r="N258" s="89">
        <f t="shared" si="2295"/>
        <v>1.0010229820627794</v>
      </c>
      <c r="O258" s="89">
        <f t="shared" si="2295"/>
        <v>0.42605029658316407</v>
      </c>
      <c r="P258" s="89">
        <f t="shared" si="2295"/>
        <v>-4.1727643274566129E-2</v>
      </c>
      <c r="Q258" s="89">
        <f t="shared" si="2295"/>
        <v>0.85615964496010588</v>
      </c>
      <c r="R258" s="89">
        <f t="shared" si="2295"/>
        <v>0.12544795940342013</v>
      </c>
      <c r="S258" s="89">
        <f t="shared" si="2295"/>
        <v>1.3946299998773615E-2</v>
      </c>
      <c r="T258" s="89">
        <f t="shared" si="2295"/>
        <v>-0.13872544275621779</v>
      </c>
      <c r="U258" s="89">
        <f t="shared" si="2295"/>
        <v>0.58589479243332421</v>
      </c>
      <c r="V258" s="89">
        <f t="shared" si="2295"/>
        <v>1.7467540518997438</v>
      </c>
      <c r="W258" s="89">
        <f t="shared" si="2295"/>
        <v>-8.2705651714086947E-2</v>
      </c>
      <c r="X258" s="89">
        <f t="shared" si="2295"/>
        <v>0.11934506443199355</v>
      </c>
      <c r="Y258" s="89">
        <f t="shared" si="2295"/>
        <v>-0.51167888254542482</v>
      </c>
      <c r="Z258" s="89">
        <f t="shared" si="2295"/>
        <v>0.35727331189710587</v>
      </c>
      <c r="AA258" s="89">
        <f t="shared" si="2295"/>
        <v>0.68458608141914823</v>
      </c>
      <c r="AB258" s="47">
        <f t="shared" si="2295"/>
        <v>8.7565578340316863E-2</v>
      </c>
      <c r="AC258" s="47">
        <f t="shared" si="2295"/>
        <v>0.15238779163075789</v>
      </c>
      <c r="AD258" s="47">
        <f t="shared" si="2295"/>
        <v>0.150425544170248</v>
      </c>
      <c r="AE258" s="47">
        <f t="shared" si="2295"/>
        <v>0.15006400260948793</v>
      </c>
      <c r="AL258" s="89" t="e">
        <f t="shared" ref="AL258:CW258" si="2296">AL36/AK36-1</f>
        <v>#DIV/0!</v>
      </c>
      <c r="AM258" s="89" t="e">
        <f t="shared" si="2296"/>
        <v>#DIV/0!</v>
      </c>
      <c r="AN258" s="89" t="e">
        <f t="shared" si="2296"/>
        <v>#DIV/0!</v>
      </c>
      <c r="AO258" s="89" t="e">
        <f t="shared" si="2296"/>
        <v>#DIV/0!</v>
      </c>
      <c r="AP258" s="89" t="e">
        <f t="shared" si="2296"/>
        <v>#DIV/0!</v>
      </c>
      <c r="AQ258" s="89" t="e">
        <f t="shared" si="2296"/>
        <v>#DIV/0!</v>
      </c>
      <c r="AR258" s="89" t="e">
        <f t="shared" si="2296"/>
        <v>#DIV/0!</v>
      </c>
      <c r="AS258" s="89" t="e">
        <f t="shared" si="2296"/>
        <v>#DIV/0!</v>
      </c>
      <c r="AT258" s="89" t="e">
        <f t="shared" si="2296"/>
        <v>#DIV/0!</v>
      </c>
      <c r="AU258" s="89" t="e">
        <f t="shared" si="2296"/>
        <v>#DIV/0!</v>
      </c>
      <c r="AV258" s="89" t="e">
        <f t="shared" si="2296"/>
        <v>#DIV/0!</v>
      </c>
      <c r="AW258" s="89" t="e">
        <f t="shared" si="2296"/>
        <v>#DIV/0!</v>
      </c>
      <c r="AX258" s="89">
        <f t="shared" si="2296"/>
        <v>0.20269258789832412</v>
      </c>
      <c r="AY258" s="89">
        <f t="shared" si="2296"/>
        <v>-0.2947199840678445</v>
      </c>
      <c r="AZ258" s="89">
        <f t="shared" si="2296"/>
        <v>0.27340753464950485</v>
      </c>
      <c r="BA258" s="89">
        <f t="shared" si="2296"/>
        <v>-8.2138369428634617E-2</v>
      </c>
      <c r="BB258" s="89">
        <f t="shared" si="2296"/>
        <v>0.15829155845463072</v>
      </c>
      <c r="BC258" s="89">
        <f t="shared" si="2296"/>
        <v>-0.1612451875863633</v>
      </c>
      <c r="BD258" s="89">
        <f t="shared" si="2296"/>
        <v>0.16642317615243662</v>
      </c>
      <c r="BE258" s="89">
        <f t="shared" si="2296"/>
        <v>-0.22409060626249189</v>
      </c>
      <c r="BF258" s="89">
        <f t="shared" si="2296"/>
        <v>0.33814168612904738</v>
      </c>
      <c r="BG258" s="89">
        <f t="shared" si="2296"/>
        <v>-0.31082954039902799</v>
      </c>
      <c r="BH258" s="89">
        <f t="shared" si="2296"/>
        <v>-5.9923280324756134E-2</v>
      </c>
      <c r="BI258" s="89">
        <f t="shared" si="2296"/>
        <v>0.15832078810448214</v>
      </c>
      <c r="BJ258" s="89">
        <f t="shared" si="2296"/>
        <v>0.27672575956221923</v>
      </c>
      <c r="BK258" s="89">
        <f t="shared" si="2296"/>
        <v>-0.25652748508768708</v>
      </c>
      <c r="BL258" s="89">
        <f t="shared" si="2296"/>
        <v>0.65517655536872166</v>
      </c>
      <c r="BM258" s="89">
        <f t="shared" si="2296"/>
        <v>7.5175966910965508E-2</v>
      </c>
      <c r="BN258" s="89">
        <f t="shared" si="2296"/>
        <v>0.29425659715191865</v>
      </c>
      <c r="BO258" s="89">
        <f t="shared" si="2296"/>
        <v>0.45132189602127593</v>
      </c>
      <c r="BP258" s="89">
        <f t="shared" si="2296"/>
        <v>0.34330985915492951</v>
      </c>
      <c r="BQ258" s="89">
        <f t="shared" si="2296"/>
        <v>0.14023591087811282</v>
      </c>
      <c r="BR258" s="89">
        <f t="shared" si="2296"/>
        <v>0.10764719680975854</v>
      </c>
      <c r="BS258" s="89">
        <f t="shared" si="2296"/>
        <v>-0.16273110400474378</v>
      </c>
      <c r="BT258" s="89">
        <f t="shared" si="2296"/>
        <v>-0.12715315543189587</v>
      </c>
      <c r="BU258" s="89">
        <f t="shared" si="2296"/>
        <v>-0.17326417062710131</v>
      </c>
      <c r="BV258" s="89">
        <f t="shared" si="2296"/>
        <v>0.39054996670055009</v>
      </c>
      <c r="BW258" s="89">
        <f t="shared" si="2296"/>
        <v>0.1448413198558145</v>
      </c>
      <c r="BX258" s="89">
        <f t="shared" si="2296"/>
        <v>-1.1581566373824348E-2</v>
      </c>
      <c r="BY258" s="89">
        <f t="shared" si="2296"/>
        <v>-0.10100020048562086</v>
      </c>
      <c r="BZ258" s="89">
        <f t="shared" si="2296"/>
        <v>-0.29246475208761791</v>
      </c>
      <c r="CA258" s="89">
        <f t="shared" si="2296"/>
        <v>-0.41612383553967991</v>
      </c>
      <c r="CB258" s="89">
        <f t="shared" si="2296"/>
        <v>0.12685940499040549</v>
      </c>
      <c r="CC258" s="89">
        <f t="shared" si="2296"/>
        <v>-3.4332251024645544E-2</v>
      </c>
      <c r="CD258" s="89">
        <f t="shared" si="2296"/>
        <v>0.33111013118729993</v>
      </c>
      <c r="CE258" s="89">
        <f t="shared" si="2296"/>
        <v>-0.29106795312435296</v>
      </c>
      <c r="CF258" s="89">
        <f t="shared" si="2296"/>
        <v>4.1647196261682229E-2</v>
      </c>
      <c r="CG258" s="89">
        <f t="shared" si="2296"/>
        <v>0.5990018505018786</v>
      </c>
      <c r="CH258" s="89">
        <f t="shared" si="2296"/>
        <v>0.47501315097317165</v>
      </c>
      <c r="CI258" s="89">
        <f t="shared" si="2296"/>
        <v>-9.1464574417499112E-2</v>
      </c>
      <c r="CJ258" s="89">
        <f t="shared" si="2296"/>
        <v>5.5295318347159617E-2</v>
      </c>
      <c r="CK258" s="89">
        <f t="shared" si="2296"/>
        <v>0.19081981847939256</v>
      </c>
      <c r="CL258" s="89">
        <f t="shared" si="2296"/>
        <v>6.6429270527478046E-2</v>
      </c>
      <c r="CM258" s="47">
        <f t="shared" si="2296"/>
        <v>-0.14029621712311091</v>
      </c>
      <c r="CN258" s="47">
        <f t="shared" si="2296"/>
        <v>6.4228768858396013E-2</v>
      </c>
      <c r="CO258" s="47">
        <f t="shared" si="2296"/>
        <v>8.383497305907861E-2</v>
      </c>
      <c r="CP258" s="47">
        <f t="shared" si="2296"/>
        <v>1.758850250926991E-2</v>
      </c>
      <c r="CQ258" s="47">
        <f t="shared" si="2296"/>
        <v>-9.1421126673801867E-3</v>
      </c>
      <c r="CR258" s="47">
        <f t="shared" si="2296"/>
        <v>5.6399206153773918E-2</v>
      </c>
      <c r="CS258" s="47">
        <f t="shared" si="2296"/>
        <v>7.6525927473966693E-2</v>
      </c>
      <c r="CT258" s="47">
        <f t="shared" si="2296"/>
        <v>1.7973636248029834E-2</v>
      </c>
      <c r="CU258" s="47">
        <f t="shared" si="2296"/>
        <v>-4.2538611983662378E-3</v>
      </c>
      <c r="CV258" s="47">
        <f t="shared" si="2296"/>
        <v>5.4083978167146052E-2</v>
      </c>
      <c r="CW258" s="47">
        <f t="shared" si="2296"/>
        <v>7.5543601167979535E-2</v>
      </c>
      <c r="CX258" s="47">
        <f t="shared" ref="CX258:DB258" si="2297">CX36/CW36-1</f>
        <v>1.8533078312123585E-2</v>
      </c>
      <c r="CY258" s="47">
        <f t="shared" si="2297"/>
        <v>-3.6642858224633645E-3</v>
      </c>
      <c r="CZ258" s="47">
        <f t="shared" si="2297"/>
        <v>5.3567038770597319E-2</v>
      </c>
      <c r="DA258" s="47">
        <f t="shared" si="2297"/>
        <v>7.5473130017270629E-2</v>
      </c>
      <c r="DB258" s="47">
        <f t="shared" si="2297"/>
        <v>1.8682197365172737E-2</v>
      </c>
      <c r="DE258" s="130"/>
      <c r="DF258" s="89">
        <v>0.68458608141914778</v>
      </c>
    </row>
    <row r="259" spans="1:110" s="103" customFormat="1" x14ac:dyDescent="0.2">
      <c r="A259" s="147" t="s">
        <v>105</v>
      </c>
      <c r="C259" s="103" t="e">
        <f>IF(C257&gt;C258,"RF",0)</f>
        <v>#DIV/0!</v>
      </c>
      <c r="D259" s="103" t="e">
        <f t="shared" ref="D259:U259" si="2298">IF(D257&gt;D258,"RF",0)</f>
        <v>#DIV/0!</v>
      </c>
      <c r="F259" s="103" t="e">
        <f t="shared" si="2298"/>
        <v>#DIV/0!</v>
      </c>
      <c r="G259" s="103" t="e">
        <f t="shared" si="2298"/>
        <v>#DIV/0!</v>
      </c>
      <c r="H259" s="103" t="e">
        <f t="shared" si="2298"/>
        <v>#DIV/0!</v>
      </c>
      <c r="I259" s="103" t="e">
        <f t="shared" si="2298"/>
        <v>#DIV/0!</v>
      </c>
      <c r="J259" s="103" t="e">
        <f t="shared" si="2298"/>
        <v>#DIV/0!</v>
      </c>
      <c r="K259" s="103" t="e">
        <f t="shared" si="2298"/>
        <v>#DIV/0!</v>
      </c>
      <c r="L259" s="103" t="e">
        <f t="shared" si="2298"/>
        <v>#DIV/0!</v>
      </c>
      <c r="M259" s="103" t="e">
        <f t="shared" si="2298"/>
        <v>#DIV/0!</v>
      </c>
      <c r="N259" s="103">
        <f t="shared" si="2298"/>
        <v>0</v>
      </c>
      <c r="O259" s="103" t="str">
        <f t="shared" si="2298"/>
        <v>RF</v>
      </c>
      <c r="P259" s="103" t="str">
        <f t="shared" si="2298"/>
        <v>RF</v>
      </c>
      <c r="Q259" s="103">
        <f t="shared" si="2298"/>
        <v>0</v>
      </c>
      <c r="R259" s="103">
        <f t="shared" si="2298"/>
        <v>0</v>
      </c>
      <c r="S259" s="103" t="str">
        <f t="shared" si="2298"/>
        <v>RF</v>
      </c>
      <c r="T259" s="103" t="str">
        <f t="shared" si="2298"/>
        <v>RF</v>
      </c>
      <c r="U259" s="103">
        <f t="shared" si="2298"/>
        <v>0</v>
      </c>
      <c r="V259" s="103">
        <f>IF(V257&gt;V258,"RF",0)</f>
        <v>0</v>
      </c>
      <c r="W259" s="103" t="str">
        <f t="shared" ref="W259:AE259" si="2299">IF(W257&gt;W258,"RF",0)</f>
        <v>RF</v>
      </c>
      <c r="X259" s="103" t="str">
        <f t="shared" si="2299"/>
        <v>RF</v>
      </c>
      <c r="Y259" s="103" t="str">
        <f t="shared" si="2299"/>
        <v>RF</v>
      </c>
      <c r="Z259" s="103">
        <f t="shared" si="2299"/>
        <v>0</v>
      </c>
      <c r="AA259" s="103">
        <f t="shared" ref="AA259" si="2300">IF(AA257&gt;AA258,"RF",0)</f>
        <v>0</v>
      </c>
      <c r="AB259" s="73">
        <f t="shared" si="2299"/>
        <v>0</v>
      </c>
      <c r="AC259" s="73">
        <f t="shared" si="2299"/>
        <v>0</v>
      </c>
      <c r="AD259" s="73">
        <f t="shared" si="2299"/>
        <v>0</v>
      </c>
      <c r="AE259" s="73">
        <f t="shared" si="2299"/>
        <v>0</v>
      </c>
      <c r="AL259" s="103" t="e">
        <f t="shared" ref="AL259:CW259" si="2301">IF(AL257&gt;AL258,"RF",0)</f>
        <v>#DIV/0!</v>
      </c>
      <c r="AM259" s="103" t="e">
        <f t="shared" si="2301"/>
        <v>#DIV/0!</v>
      </c>
      <c r="AN259" s="103" t="e">
        <f t="shared" si="2301"/>
        <v>#DIV/0!</v>
      </c>
      <c r="AO259" s="103" t="e">
        <f t="shared" si="2301"/>
        <v>#DIV/0!</v>
      </c>
      <c r="AP259" s="103" t="e">
        <f t="shared" si="2301"/>
        <v>#DIV/0!</v>
      </c>
      <c r="AQ259" s="103" t="e">
        <f t="shared" si="2301"/>
        <v>#DIV/0!</v>
      </c>
      <c r="AR259" s="103" t="e">
        <f t="shared" si="2301"/>
        <v>#DIV/0!</v>
      </c>
      <c r="AS259" s="103" t="e">
        <f t="shared" si="2301"/>
        <v>#DIV/0!</v>
      </c>
      <c r="AT259" s="103" t="e">
        <f t="shared" si="2301"/>
        <v>#DIV/0!</v>
      </c>
      <c r="AU259" s="103" t="e">
        <f t="shared" si="2301"/>
        <v>#DIV/0!</v>
      </c>
      <c r="AV259" s="103" t="e">
        <f t="shared" si="2301"/>
        <v>#DIV/0!</v>
      </c>
      <c r="AW259" s="103" t="e">
        <f t="shared" si="2301"/>
        <v>#DIV/0!</v>
      </c>
      <c r="AX259" s="103" t="e">
        <f t="shared" si="2301"/>
        <v>#DIV/0!</v>
      </c>
      <c r="AY259" s="103" t="str">
        <f t="shared" si="2301"/>
        <v>RF</v>
      </c>
      <c r="AZ259" s="103">
        <f t="shared" si="2301"/>
        <v>0</v>
      </c>
      <c r="BA259" s="103" t="e">
        <f t="shared" si="2301"/>
        <v>#DIV/0!</v>
      </c>
      <c r="BB259" s="103" t="e">
        <f t="shared" si="2301"/>
        <v>#DIV/0!</v>
      </c>
      <c r="BC259" s="103" t="str">
        <f t="shared" si="2301"/>
        <v>RF</v>
      </c>
      <c r="BD259" s="103">
        <f t="shared" si="2301"/>
        <v>0</v>
      </c>
      <c r="BE259" s="103" t="str">
        <f t="shared" si="2301"/>
        <v>RF</v>
      </c>
      <c r="BF259" s="103">
        <f t="shared" si="2301"/>
        <v>0</v>
      </c>
      <c r="BG259" s="103" t="str">
        <f t="shared" si="2301"/>
        <v>RF</v>
      </c>
      <c r="BH259" s="103" t="str">
        <f t="shared" si="2301"/>
        <v>RF</v>
      </c>
      <c r="BI259" s="103">
        <f t="shared" si="2301"/>
        <v>0</v>
      </c>
      <c r="BJ259" s="103">
        <f t="shared" si="2301"/>
        <v>0</v>
      </c>
      <c r="BK259" s="103" t="str">
        <f t="shared" si="2301"/>
        <v>RF</v>
      </c>
      <c r="BL259" s="103">
        <f t="shared" si="2301"/>
        <v>0</v>
      </c>
      <c r="BM259" s="103">
        <f t="shared" si="2301"/>
        <v>0</v>
      </c>
      <c r="BN259" s="103">
        <f t="shared" si="2301"/>
        <v>0</v>
      </c>
      <c r="BO259" s="103">
        <f t="shared" si="2301"/>
        <v>0</v>
      </c>
      <c r="BP259" s="103">
        <f t="shared" si="2301"/>
        <v>0</v>
      </c>
      <c r="BQ259" s="103">
        <f t="shared" si="2301"/>
        <v>0</v>
      </c>
      <c r="BR259" s="103" t="str">
        <f t="shared" si="2301"/>
        <v>RF</v>
      </c>
      <c r="BS259" s="103" t="str">
        <f t="shared" si="2301"/>
        <v>RF</v>
      </c>
      <c r="BT259" s="103" t="str">
        <f t="shared" si="2301"/>
        <v>RF</v>
      </c>
      <c r="BU259" s="103" t="str">
        <f t="shared" si="2301"/>
        <v>RF</v>
      </c>
      <c r="BV259" s="103">
        <f t="shared" si="2301"/>
        <v>0</v>
      </c>
      <c r="BW259" s="103">
        <f t="shared" si="2301"/>
        <v>0</v>
      </c>
      <c r="BX259" s="103" t="str">
        <f t="shared" si="2301"/>
        <v>RF</v>
      </c>
      <c r="BY259" s="103" t="str">
        <f t="shared" si="2301"/>
        <v>RF</v>
      </c>
      <c r="BZ259" s="103" t="str">
        <f t="shared" si="2301"/>
        <v>RF</v>
      </c>
      <c r="CA259" s="103" t="str">
        <f t="shared" si="2301"/>
        <v>RF</v>
      </c>
      <c r="CB259" s="103">
        <f t="shared" si="2301"/>
        <v>0</v>
      </c>
      <c r="CC259" s="103" t="str">
        <f t="shared" si="2301"/>
        <v>RF</v>
      </c>
      <c r="CD259" s="103">
        <f t="shared" si="2301"/>
        <v>0</v>
      </c>
      <c r="CE259" s="103" t="str">
        <f t="shared" si="2301"/>
        <v>RF</v>
      </c>
      <c r="CF259" s="103" t="str">
        <f t="shared" si="2301"/>
        <v>RF</v>
      </c>
      <c r="CG259" s="103">
        <f t="shared" si="2301"/>
        <v>0</v>
      </c>
      <c r="CH259" s="103">
        <f t="shared" si="2301"/>
        <v>0</v>
      </c>
      <c r="CI259" s="103" t="str">
        <f t="shared" si="2301"/>
        <v>RF</v>
      </c>
      <c r="CJ259" s="103">
        <f t="shared" si="2301"/>
        <v>0</v>
      </c>
      <c r="CK259" s="103">
        <f t="shared" si="2301"/>
        <v>0</v>
      </c>
      <c r="CL259" s="103" t="str">
        <f t="shared" ref="CL259" si="2302">IF(CL257&gt;CL258,"RF",0)</f>
        <v>RF</v>
      </c>
      <c r="CM259" s="73" t="str">
        <f t="shared" si="2301"/>
        <v>RF</v>
      </c>
      <c r="CN259" s="73">
        <f t="shared" si="2301"/>
        <v>0</v>
      </c>
      <c r="CO259" s="73">
        <f t="shared" si="2301"/>
        <v>0</v>
      </c>
      <c r="CP259" s="73">
        <f t="shared" si="2301"/>
        <v>0</v>
      </c>
      <c r="CQ259" s="73" t="str">
        <f t="shared" si="2301"/>
        <v>RF</v>
      </c>
      <c r="CR259" s="73">
        <f t="shared" si="2301"/>
        <v>0</v>
      </c>
      <c r="CS259" s="73">
        <f t="shared" si="2301"/>
        <v>0</v>
      </c>
      <c r="CT259" s="73">
        <f t="shared" si="2301"/>
        <v>0</v>
      </c>
      <c r="CU259" s="73" t="str">
        <f t="shared" si="2301"/>
        <v>RF</v>
      </c>
      <c r="CV259" s="73">
        <f t="shared" si="2301"/>
        <v>0</v>
      </c>
      <c r="CW259" s="73">
        <f t="shared" si="2301"/>
        <v>0</v>
      </c>
      <c r="CX259" s="73">
        <f t="shared" ref="CX259:DB259" si="2303">IF(CX257&gt;CX258,"RF",0)</f>
        <v>0</v>
      </c>
      <c r="CY259" s="73" t="str">
        <f t="shared" si="2303"/>
        <v>RF</v>
      </c>
      <c r="CZ259" s="73">
        <f t="shared" si="2303"/>
        <v>0</v>
      </c>
      <c r="DA259" s="73">
        <f t="shared" si="2303"/>
        <v>0</v>
      </c>
      <c r="DB259" s="73">
        <f t="shared" si="2303"/>
        <v>0</v>
      </c>
      <c r="DE259" s="142"/>
      <c r="DF259" s="103">
        <v>0</v>
      </c>
    </row>
    <row r="260" spans="1:110" s="86" customFormat="1" x14ac:dyDescent="0.2">
      <c r="A260" s="86" t="s">
        <v>432</v>
      </c>
      <c r="B260" s="86" t="e">
        <f>B44/B16</f>
        <v>#DIV/0!</v>
      </c>
      <c r="C260" s="86" t="e">
        <f>C44/C16</f>
        <v>#DIV/0!</v>
      </c>
      <c r="D260" s="86" t="e">
        <f>D44/D16</f>
        <v>#DIV/0!</v>
      </c>
      <c r="F260" s="86" t="e">
        <f t="shared" ref="F260:AE260" si="2304">F44/F16</f>
        <v>#DIV/0!</v>
      </c>
      <c r="G260" s="86" t="e">
        <f t="shared" si="2304"/>
        <v>#DIV/0!</v>
      </c>
      <c r="H260" s="86" t="e">
        <f t="shared" si="2304"/>
        <v>#DIV/0!</v>
      </c>
      <c r="I260" s="86" t="e">
        <f t="shared" si="2304"/>
        <v>#DIV/0!</v>
      </c>
      <c r="J260" s="86" t="e">
        <f t="shared" si="2304"/>
        <v>#DIV/0!</v>
      </c>
      <c r="K260" s="86" t="e">
        <f t="shared" si="2304"/>
        <v>#DIV/0!</v>
      </c>
      <c r="L260" s="86" t="e">
        <f t="shared" si="2304"/>
        <v>#DIV/0!</v>
      </c>
      <c r="M260" s="86">
        <f t="shared" si="2304"/>
        <v>7.2896640570805651E-2</v>
      </c>
      <c r="N260" s="86">
        <f t="shared" si="2304"/>
        <v>5.4144949359345197E-2</v>
      </c>
      <c r="O260" s="86">
        <f t="shared" si="2304"/>
        <v>5.0366908412728652E-2</v>
      </c>
      <c r="P260" s="86">
        <f t="shared" si="2304"/>
        <v>7.5571557128805519E-2</v>
      </c>
      <c r="Q260" s="86">
        <f t="shared" si="2304"/>
        <v>6.1352765841370387E-2</v>
      </c>
      <c r="R260" s="86">
        <f t="shared" si="2304"/>
        <v>5.1718077045935673E-2</v>
      </c>
      <c r="S260" s="86">
        <f t="shared" si="2304"/>
        <v>3.8493902618797558E-2</v>
      </c>
      <c r="T260" s="86">
        <f t="shared" si="2304"/>
        <v>3.8478722605889568E-2</v>
      </c>
      <c r="U260" s="86">
        <f t="shared" si="2304"/>
        <v>3.1638015057985962E-2</v>
      </c>
      <c r="V260" s="86">
        <f t="shared" si="2304"/>
        <v>1.4160145091627522E-2</v>
      </c>
      <c r="W260" s="86">
        <f t="shared" si="2304"/>
        <v>2.0745324248263121E-2</v>
      </c>
      <c r="X260" s="86">
        <f t="shared" si="2304"/>
        <v>2.7343536598488545E-2</v>
      </c>
      <c r="Y260" s="86">
        <f t="shared" si="2304"/>
        <v>3.6283707246624067E-2</v>
      </c>
      <c r="Z260" s="86">
        <f t="shared" si="2304"/>
        <v>3.8891169543893003E-2</v>
      </c>
      <c r="AA260" s="86">
        <f t="shared" ref="AA260" si="2305">AA44/AA16</f>
        <v>2.50598130018054E-2</v>
      </c>
      <c r="AB260" s="87">
        <f t="shared" si="2304"/>
        <v>2.0803215298485056E-2</v>
      </c>
      <c r="AC260" s="87">
        <f t="shared" si="2304"/>
        <v>2.2159308345882929E-2</v>
      </c>
      <c r="AD260" s="87">
        <f t="shared" si="2304"/>
        <v>2.2374954721066282E-2</v>
      </c>
      <c r="AE260" s="87">
        <f t="shared" si="2304"/>
        <v>-8.4555016749296372E-3</v>
      </c>
      <c r="AL260" s="86" t="e">
        <f t="shared" ref="AL260:CW260" si="2306">AL44/AL16</f>
        <v>#DIV/0!</v>
      </c>
      <c r="AM260" s="86" t="e">
        <f t="shared" si="2306"/>
        <v>#DIV/0!</v>
      </c>
      <c r="AN260" s="86" t="e">
        <f t="shared" si="2306"/>
        <v>#DIV/0!</v>
      </c>
      <c r="AO260" s="86" t="e">
        <f t="shared" si="2306"/>
        <v>#DIV/0!</v>
      </c>
      <c r="AP260" s="86" t="e">
        <f t="shared" si="2306"/>
        <v>#DIV/0!</v>
      </c>
      <c r="AQ260" s="86" t="e">
        <f t="shared" si="2306"/>
        <v>#DIV/0!</v>
      </c>
      <c r="AR260" s="86" t="e">
        <f t="shared" si="2306"/>
        <v>#DIV/0!</v>
      </c>
      <c r="AS260" s="86" t="e">
        <f t="shared" si="2306"/>
        <v>#DIV/0!</v>
      </c>
      <c r="AT260" s="86" t="e">
        <f t="shared" si="2306"/>
        <v>#DIV/0!</v>
      </c>
      <c r="AU260" s="86" t="e">
        <f t="shared" si="2306"/>
        <v>#DIV/0!</v>
      </c>
      <c r="AV260" s="86" t="e">
        <f t="shared" si="2306"/>
        <v>#DIV/0!</v>
      </c>
      <c r="AW260" s="86">
        <f t="shared" si="2306"/>
        <v>6.5385760434394286E-2</v>
      </c>
      <c r="AX260" s="86">
        <f t="shared" si="2306"/>
        <v>5.9048448965298192E-2</v>
      </c>
      <c r="AY260" s="86">
        <f t="shared" si="2306"/>
        <v>6.7000247304263488E-2</v>
      </c>
      <c r="AZ260" s="86">
        <f t="shared" si="2306"/>
        <v>4.7050785004501244E-2</v>
      </c>
      <c r="BA260" s="86">
        <f t="shared" si="2306"/>
        <v>6.045957754022236E-2</v>
      </c>
      <c r="BB260" s="86">
        <f t="shared" si="2306"/>
        <v>3.4280856312953467E-2</v>
      </c>
      <c r="BC260" s="86">
        <f t="shared" si="2306"/>
        <v>3.8874480377507521E-2</v>
      </c>
      <c r="BD260" s="86">
        <f t="shared" si="2306"/>
        <v>3.6243292920666158E-2</v>
      </c>
      <c r="BE260" s="86">
        <f t="shared" si="2306"/>
        <v>3.7088849959597527E-2</v>
      </c>
      <c r="BF260" s="86">
        <f t="shared" si="2306"/>
        <v>4.1525060688276452E-2</v>
      </c>
      <c r="BG260" s="86">
        <f t="shared" si="2306"/>
        <v>4.1414278213859672E-2</v>
      </c>
      <c r="BH260" s="86">
        <f t="shared" si="2306"/>
        <v>4.1893244894871673E-2</v>
      </c>
      <c r="BI260" s="86">
        <f t="shared" si="2306"/>
        <v>4.467596046515581E-2</v>
      </c>
      <c r="BJ260" s="86">
        <f t="shared" si="2306"/>
        <v>2.7659128945259553E-2</v>
      </c>
      <c r="BK260" s="86">
        <f t="shared" si="2306"/>
        <v>4.0921227091922911E-2</v>
      </c>
      <c r="BL260" s="86">
        <f t="shared" si="2306"/>
        <v>3.5891749249038492E-2</v>
      </c>
      <c r="BM260" s="86">
        <f t="shared" si="2306"/>
        <v>2.8550281665044749E-2</v>
      </c>
      <c r="BN260" s="86">
        <f t="shared" si="2306"/>
        <v>2.4620444741044405E-2</v>
      </c>
      <c r="BO260" s="86">
        <f t="shared" si="2306"/>
        <v>1.5539042614336153E-2</v>
      </c>
      <c r="BP260" s="86">
        <f t="shared" si="2306"/>
        <v>1.2012222963717468E-2</v>
      </c>
      <c r="BQ260" s="86">
        <f t="shared" si="2306"/>
        <v>1.35281973269586E-2</v>
      </c>
      <c r="BR260" s="86">
        <f t="shared" si="2306"/>
        <v>1.5517766461510131E-2</v>
      </c>
      <c r="BS260" s="86">
        <f t="shared" si="2306"/>
        <v>2.081345326554556E-2</v>
      </c>
      <c r="BT260" s="86">
        <f t="shared" si="2306"/>
        <v>1.8388340479276764E-2</v>
      </c>
      <c r="BU260" s="86">
        <f t="shared" si="2306"/>
        <v>2.2454216726933398E-2</v>
      </c>
      <c r="BV260" s="86">
        <f t="shared" si="2306"/>
        <v>2.1441154383329941E-2</v>
      </c>
      <c r="BW260" s="86">
        <f t="shared" si="2306"/>
        <v>1.900658895083629E-2</v>
      </c>
      <c r="BX260" s="86">
        <f t="shared" si="2306"/>
        <v>2.5452284106124157E-2</v>
      </c>
      <c r="BY260" s="86">
        <f t="shared" si="2306"/>
        <v>2.7647233981952592E-2</v>
      </c>
      <c r="BZ260" s="86">
        <f t="shared" si="2306"/>
        <v>3.845318270693026E-2</v>
      </c>
      <c r="CA260" s="86">
        <f t="shared" si="2306"/>
        <v>3.3161560006430925E-2</v>
      </c>
      <c r="CB260" s="86">
        <f t="shared" si="2306"/>
        <v>3.4619625137816981E-2</v>
      </c>
      <c r="CC260" s="86">
        <f t="shared" si="2306"/>
        <v>4.2530043852308103E-2</v>
      </c>
      <c r="CD260" s="86">
        <f t="shared" si="2306"/>
        <v>3.5077483034306474E-2</v>
      </c>
      <c r="CE260" s="86">
        <f t="shared" si="2306"/>
        <v>4.1166280305629709E-2</v>
      </c>
      <c r="CF260" s="86">
        <f t="shared" si="2306"/>
        <v>4.2992563536814576E-2</v>
      </c>
      <c r="CG260" s="86">
        <f t="shared" si="2306"/>
        <v>4.0846613193880076E-2</v>
      </c>
      <c r="CH260" s="86">
        <f t="shared" si="2306"/>
        <v>3.2784979364064409E-2</v>
      </c>
      <c r="CI260" s="86">
        <f t="shared" si="2306"/>
        <v>3.2811534369285855E-2</v>
      </c>
      <c r="CJ260" s="86">
        <f t="shared" si="2306"/>
        <v>2.419154868246778E-2</v>
      </c>
      <c r="CK260" s="86">
        <f t="shared" si="2306"/>
        <v>2.1813090103413955E-2</v>
      </c>
      <c r="CL260" s="86">
        <f t="shared" ref="CL260" si="2307">CL44/CL16</f>
        <v>2.2323178237661254E-2</v>
      </c>
      <c r="CM260" s="87">
        <f t="shared" si="2306"/>
        <v>1.929426044784564E-2</v>
      </c>
      <c r="CN260" s="87">
        <f t="shared" si="2306"/>
        <v>2.2527248851925547E-2</v>
      </c>
      <c r="CO260" s="87">
        <f t="shared" si="2306"/>
        <v>2.0785851030547024E-2</v>
      </c>
      <c r="CP260" s="87">
        <f t="shared" si="2306"/>
        <v>2.0554067437426642E-2</v>
      </c>
      <c r="CQ260" s="87">
        <f t="shared" si="2306"/>
        <v>1.9306240980855722E-2</v>
      </c>
      <c r="CR260" s="87">
        <f t="shared" si="2306"/>
        <v>2.4765313200669156E-2</v>
      </c>
      <c r="CS260" s="87">
        <f t="shared" si="2306"/>
        <v>2.2439976656518857E-2</v>
      </c>
      <c r="CT260" s="87">
        <f t="shared" si="2306"/>
        <v>2.197716161501501E-2</v>
      </c>
      <c r="CU260" s="87">
        <f t="shared" si="2306"/>
        <v>1.9783986929422993E-2</v>
      </c>
      <c r="CV260" s="87">
        <f t="shared" si="2306"/>
        <v>1.5717081197274132E-2</v>
      </c>
      <c r="CW260" s="87">
        <f t="shared" si="2306"/>
        <v>2.7061671322272444E-2</v>
      </c>
      <c r="CX260" s="87">
        <f t="shared" ref="CX260:DB260" si="2308">CX44/CX16</f>
        <v>2.6096013353829713E-2</v>
      </c>
      <c r="CY260" s="87">
        <f t="shared" si="2308"/>
        <v>2.1246705757584663E-2</v>
      </c>
      <c r="CZ260" s="87">
        <f t="shared" si="2308"/>
        <v>-3.3852404354046246E-2</v>
      </c>
      <c r="DA260" s="87">
        <f t="shared" si="2308"/>
        <v>-1.301372579326021E-2</v>
      </c>
      <c r="DB260" s="87">
        <f t="shared" si="2308"/>
        <v>-6.5349756558558281E-3</v>
      </c>
      <c r="DE260" s="141"/>
      <c r="DF260" s="86">
        <v>2.50598130018054E-2</v>
      </c>
    </row>
    <row r="261" spans="1:110" s="86" customFormat="1" x14ac:dyDescent="0.2">
      <c r="A261" s="86" t="s">
        <v>433</v>
      </c>
      <c r="B261" s="86" t="e">
        <f>B40/B16</f>
        <v>#DIV/0!</v>
      </c>
      <c r="C261" s="86" t="e">
        <f>C40/C16</f>
        <v>#DIV/0!</v>
      </c>
      <c r="D261" s="86" t="e">
        <f>D40/D16</f>
        <v>#DIV/0!</v>
      </c>
      <c r="F261" s="86" t="e">
        <f t="shared" ref="F261:AE261" si="2309">F40/F16</f>
        <v>#DIV/0!</v>
      </c>
      <c r="G261" s="86" t="e">
        <f t="shared" si="2309"/>
        <v>#DIV/0!</v>
      </c>
      <c r="H261" s="86" t="e">
        <f t="shared" si="2309"/>
        <v>#DIV/0!</v>
      </c>
      <c r="I261" s="86" t="e">
        <f t="shared" si="2309"/>
        <v>#DIV/0!</v>
      </c>
      <c r="J261" s="86" t="e">
        <f t="shared" si="2309"/>
        <v>#DIV/0!</v>
      </c>
      <c r="K261" s="86" t="e">
        <f t="shared" si="2309"/>
        <v>#DIV/0!</v>
      </c>
      <c r="L261" s="86" t="e">
        <f t="shared" si="2309"/>
        <v>#DIV/0!</v>
      </c>
      <c r="M261" s="86">
        <f t="shared" si="2309"/>
        <v>4.0233871766921017E-2</v>
      </c>
      <c r="N261" s="86">
        <f t="shared" si="2309"/>
        <v>3.1317210625818291E-2</v>
      </c>
      <c r="O261" s="86">
        <f t="shared" si="2309"/>
        <v>2.8206566776987976E-2</v>
      </c>
      <c r="P261" s="86">
        <f t="shared" si="2309"/>
        <v>4.598616961800521E-2</v>
      </c>
      <c r="Q261" s="86">
        <f t="shared" si="2309"/>
        <v>4.7713786854232998E-2</v>
      </c>
      <c r="R261" s="86">
        <f t="shared" si="2309"/>
        <v>5.4868916087554599E-2</v>
      </c>
      <c r="S261" s="86">
        <f t="shared" si="2309"/>
        <v>6.0634518171312463E-2</v>
      </c>
      <c r="T261" s="86">
        <f t="shared" si="2309"/>
        <v>7.1639623790749743E-2</v>
      </c>
      <c r="U261" s="86">
        <f t="shared" si="2309"/>
        <v>6.6132950997980028E-2</v>
      </c>
      <c r="V261" s="86">
        <f t="shared" si="2309"/>
        <v>4.2603006953345894E-2</v>
      </c>
      <c r="W261" s="86">
        <f t="shared" si="2309"/>
        <v>5.0954600988335701E-2</v>
      </c>
      <c r="X261" s="86">
        <f t="shared" si="2309"/>
        <v>5.3650743723667543E-2</v>
      </c>
      <c r="Y261" s="86">
        <f t="shared" si="2309"/>
        <v>7.6292991431966564E-2</v>
      </c>
      <c r="Z261" s="86">
        <f t="shared" si="2309"/>
        <v>7.743844032005992E-2</v>
      </c>
      <c r="AA261" s="86">
        <f t="shared" ref="AA261" si="2310">AA40/AA16</f>
        <v>7.0461917832347468E-2</v>
      </c>
      <c r="AB261" s="87">
        <f t="shared" si="2309"/>
        <v>6.7381055527935788E-2</v>
      </c>
      <c r="AC261" s="87">
        <f t="shared" si="2309"/>
        <v>6.2387869324900494E-2</v>
      </c>
      <c r="AD261" s="87">
        <f t="shared" si="2309"/>
        <v>5.7136021522201201E-2</v>
      </c>
      <c r="AE261" s="87">
        <f t="shared" si="2309"/>
        <v>5.1877396026006939E-2</v>
      </c>
      <c r="AL261" s="86" t="e">
        <f t="shared" ref="AL261:CW261" si="2311">AL40/AL16</f>
        <v>#DIV/0!</v>
      </c>
      <c r="AM261" s="86" t="e">
        <f t="shared" si="2311"/>
        <v>#DIV/0!</v>
      </c>
      <c r="AN261" s="86" t="e">
        <f t="shared" si="2311"/>
        <v>#DIV/0!</v>
      </c>
      <c r="AO261" s="86" t="e">
        <f t="shared" si="2311"/>
        <v>#DIV/0!</v>
      </c>
      <c r="AP261" s="86" t="e">
        <f t="shared" si="2311"/>
        <v>#DIV/0!</v>
      </c>
      <c r="AQ261" s="86" t="e">
        <f t="shared" si="2311"/>
        <v>#DIV/0!</v>
      </c>
      <c r="AR261" s="86" t="e">
        <f t="shared" si="2311"/>
        <v>#DIV/0!</v>
      </c>
      <c r="AS261" s="86" t="e">
        <f t="shared" si="2311"/>
        <v>#DIV/0!</v>
      </c>
      <c r="AT261" s="86" t="e">
        <f t="shared" si="2311"/>
        <v>#DIV/0!</v>
      </c>
      <c r="AU261" s="86" t="e">
        <f t="shared" si="2311"/>
        <v>#DIV/0!</v>
      </c>
      <c r="AV261" s="86" t="e">
        <f t="shared" si="2311"/>
        <v>#DIV/0!</v>
      </c>
      <c r="AW261" s="86">
        <f t="shared" si="2311"/>
        <v>5.250412132468929E-2</v>
      </c>
      <c r="AX261" s="86">
        <f t="shared" si="2311"/>
        <v>5.0462582153124463E-2</v>
      </c>
      <c r="AY261" s="86">
        <f t="shared" si="2311"/>
        <v>5.9441860688466262E-2</v>
      </c>
      <c r="AZ261" s="86">
        <f t="shared" si="2311"/>
        <v>4.8714244657991554E-2</v>
      </c>
      <c r="BA261" s="86">
        <f t="shared" si="2311"/>
        <v>5.3824679388459362E-2</v>
      </c>
      <c r="BB261" s="86">
        <f t="shared" si="2311"/>
        <v>5.8747536037406387E-2</v>
      </c>
      <c r="BC261" s="86">
        <f t="shared" si="2311"/>
        <v>6.0634499269169542E-2</v>
      </c>
      <c r="BD261" s="86">
        <f t="shared" si="2311"/>
        <v>5.5847459200534702E-2</v>
      </c>
      <c r="BE261" s="86">
        <f t="shared" si="2311"/>
        <v>6.4675287254322658E-2</v>
      </c>
      <c r="BF261" s="86">
        <f t="shared" si="2311"/>
        <v>6.1782450378409251E-2</v>
      </c>
      <c r="BG261" s="86">
        <f t="shared" si="2311"/>
        <v>7.0856763330284567E-2</v>
      </c>
      <c r="BH261" s="86">
        <f t="shared" si="2311"/>
        <v>6.7685340849016035E-2</v>
      </c>
      <c r="BI261" s="86">
        <f t="shared" si="2311"/>
        <v>8.0663774395276666E-2</v>
      </c>
      <c r="BJ261" s="86">
        <f t="shared" si="2311"/>
        <v>6.8444063788551252E-2</v>
      </c>
      <c r="BK261" s="86">
        <f t="shared" si="2311"/>
        <v>8.3259167771582182E-2</v>
      </c>
      <c r="BL261" s="86">
        <f t="shared" si="2311"/>
        <v>6.7137362791611685E-2</v>
      </c>
      <c r="BM261" s="86">
        <f t="shared" si="2311"/>
        <v>6.5173590646801616E-2</v>
      </c>
      <c r="BN261" s="86">
        <f t="shared" si="2311"/>
        <v>5.4877612794051046E-2</v>
      </c>
      <c r="BO261" s="86">
        <f t="shared" si="2311"/>
        <v>5.0086213974874776E-2</v>
      </c>
      <c r="BP261" s="86">
        <f t="shared" si="2311"/>
        <v>4.4782410171753717E-2</v>
      </c>
      <c r="BQ261" s="86">
        <f t="shared" si="2311"/>
        <v>4.0080098104655314E-2</v>
      </c>
      <c r="BR261" s="86">
        <f t="shared" si="2311"/>
        <v>3.7983469435453596E-2</v>
      </c>
      <c r="BS261" s="86">
        <f t="shared" si="2311"/>
        <v>4.5788032850997265E-2</v>
      </c>
      <c r="BT261" s="86">
        <f t="shared" si="2311"/>
        <v>5.2506065742679561E-2</v>
      </c>
      <c r="BU261" s="86">
        <f t="shared" si="2311"/>
        <v>6.2230257786072551E-2</v>
      </c>
      <c r="BV261" s="86">
        <f t="shared" si="2311"/>
        <v>4.6138837615715557E-2</v>
      </c>
      <c r="BW261" s="86">
        <f t="shared" si="2311"/>
        <v>4.5999194250588071E-2</v>
      </c>
      <c r="BX261" s="86">
        <f t="shared" si="2311"/>
        <v>5.1932558744582427E-2</v>
      </c>
      <c r="BY261" s="86">
        <f t="shared" si="2311"/>
        <v>5.4660089848655509E-2</v>
      </c>
      <c r="BZ261" s="86">
        <f t="shared" si="2311"/>
        <v>6.3009631399811722E-2</v>
      </c>
      <c r="CA261" s="86">
        <f t="shared" si="2311"/>
        <v>7.6621057886764987E-2</v>
      </c>
      <c r="CB261" s="86">
        <f t="shared" si="2311"/>
        <v>7.6254644942627306E-2</v>
      </c>
      <c r="CC261" s="86">
        <f t="shared" si="2311"/>
        <v>8.2356977872995674E-2</v>
      </c>
      <c r="CD261" s="86">
        <f t="shared" si="2311"/>
        <v>7.1023220599165077E-2</v>
      </c>
      <c r="CE261" s="86">
        <f t="shared" si="2311"/>
        <v>8.8759822915533387E-2</v>
      </c>
      <c r="CF261" s="86">
        <f t="shared" si="2311"/>
        <v>8.7856500776334071E-2</v>
      </c>
      <c r="CG261" s="86">
        <f t="shared" si="2311"/>
        <v>7.497261580862867E-2</v>
      </c>
      <c r="CH261" s="86">
        <f t="shared" si="2311"/>
        <v>6.4192292042085694E-2</v>
      </c>
      <c r="CI261" s="86">
        <f t="shared" si="2311"/>
        <v>7.4440770402084647E-2</v>
      </c>
      <c r="CJ261" s="86">
        <f t="shared" si="2311"/>
        <v>7.2870992518763569E-2</v>
      </c>
      <c r="CK261" s="86">
        <f t="shared" si="2311"/>
        <v>6.7829206709816736E-2</v>
      </c>
      <c r="CL261" s="86">
        <f t="shared" ref="CL261" si="2312">CL40/CL16</f>
        <v>6.7400100465342214E-2</v>
      </c>
      <c r="CM261" s="87">
        <f t="shared" si="2311"/>
        <v>7.1199884274669056E-2</v>
      </c>
      <c r="CN261" s="87">
        <f t="shared" si="2311"/>
        <v>6.8828556235701541E-2</v>
      </c>
      <c r="CO261" s="87">
        <f t="shared" si="2311"/>
        <v>6.5113628201725893E-2</v>
      </c>
      <c r="CP261" s="87">
        <f t="shared" si="2311"/>
        <v>6.4976966979685497E-2</v>
      </c>
      <c r="CQ261" s="87">
        <f t="shared" si="2311"/>
        <v>6.6241542279308535E-2</v>
      </c>
      <c r="CR261" s="87">
        <f t="shared" si="2311"/>
        <v>6.3824183899384712E-2</v>
      </c>
      <c r="CS261" s="87">
        <f t="shared" si="2311"/>
        <v>6.0192921938837497E-2</v>
      </c>
      <c r="CT261" s="87">
        <f t="shared" si="2311"/>
        <v>5.9892652727495686E-2</v>
      </c>
      <c r="CU261" s="87">
        <f t="shared" si="2311"/>
        <v>6.0892226846914713E-2</v>
      </c>
      <c r="CV261" s="87">
        <f t="shared" si="2311"/>
        <v>5.8520027826161697E-2</v>
      </c>
      <c r="CW261" s="87">
        <f t="shared" si="2311"/>
        <v>5.5057625992915304E-2</v>
      </c>
      <c r="CX261" s="87">
        <f t="shared" ref="CX261:DB261" si="2313">CX40/CX16</f>
        <v>5.4658584763397328E-2</v>
      </c>
      <c r="CY261" s="87">
        <f t="shared" si="2313"/>
        <v>5.5451710065800207E-2</v>
      </c>
      <c r="CZ261" s="87">
        <f t="shared" si="2313"/>
        <v>5.318354385238877E-2</v>
      </c>
      <c r="DA261" s="87">
        <f t="shared" si="2313"/>
        <v>4.9941043784536877E-2</v>
      </c>
      <c r="DB261" s="87">
        <f t="shared" si="2313"/>
        <v>4.9489182207914297E-2</v>
      </c>
      <c r="DE261" s="141"/>
      <c r="DF261" s="86">
        <v>7.0461917832347454E-2</v>
      </c>
    </row>
    <row r="262" spans="1:110" s="85" customFormat="1" x14ac:dyDescent="0.2">
      <c r="AB262" s="58"/>
      <c r="AC262" s="58"/>
      <c r="AD262" s="58"/>
      <c r="AE262" s="58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E262" s="143"/>
    </row>
  </sheetData>
  <sortState xmlns:xlrd2="http://schemas.microsoft.com/office/spreadsheetml/2017/richdata2" ref="A28:DE33">
    <sortCondition ref="A28:A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271867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Laurus Labs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445.05500000000001</v>
      </c>
      <c r="R6">
        <f>_xll.EQNXTDZ($A$1,$B6,R$1,$B$1)</f>
        <v>491.15600000000001</v>
      </c>
      <c r="S6">
        <f>_xll.EQNXTDZ($A$1,$B6,S$1,$B$1)</f>
        <v>416.49099999999999</v>
      </c>
      <c r="T6">
        <f>_xll.EQNXTDZ($A$1,$B6,T$1,$B$1)</f>
        <v>525.41099999999994</v>
      </c>
      <c r="U6">
        <f>_xll.EQNXTDZ($A$1,$B6,U$1,$B$1)</f>
        <v>509.72899999999998</v>
      </c>
      <c r="V6">
        <f>_xll.EQNXTDZ($A$1,$B6,V$1,$B$1)</f>
        <v>479.91800000000001</v>
      </c>
      <c r="W6">
        <f>_xll.EQNXTDZ($A$1,$B6,W$1,$B$1)</f>
        <v>491.22199999999998</v>
      </c>
      <c r="X6">
        <f>_xll.EQNXTDZ($A$1,$B6,X$1,$B$1)</f>
        <v>538.61</v>
      </c>
      <c r="Y6">
        <f>_xll.EQNXTDZ($A$1,$B6,Y$1,$B$1)</f>
        <v>478.93099999999998</v>
      </c>
      <c r="Z6">
        <f>_xll.EQNXTDZ($A$1,$B6,Z$1,$B$1)</f>
        <v>560.24</v>
      </c>
      <c r="AA6">
        <f>_xll.EQNXTDZ($A$1,$B6,AA$1,$B$1)</f>
        <v>539.01700000000005</v>
      </c>
      <c r="AB6">
        <f>_xll.EQNXTDZ($A$1,$B6,AB$1,$B$1)</f>
        <v>588.28099999999995</v>
      </c>
      <c r="AC6">
        <f>_xll.EQNXTDZ($A$1,$B6,AC$1,$B$1)</f>
        <v>529.45699999999999</v>
      </c>
      <c r="AD6">
        <f>_xll.EQNXTDZ($A$1,$B6,AD$1,$B$1)</f>
        <v>635.16099999999994</v>
      </c>
      <c r="AE6">
        <f>_xll.EQNXTDZ($A$1,$B6,AE$1,$B$1)</f>
        <v>550.57000000000005</v>
      </c>
      <c r="AF6">
        <f>_xll.EQNXTDZ($A$1,$B6,AF$1,$B$1)</f>
        <v>712.42</v>
      </c>
      <c r="AG6">
        <f>_xll.EQNXTDZ($A$1,$B6,AG$1,$B$1)</f>
        <v>729.59</v>
      </c>
      <c r="AH6">
        <f>_xll.EQNXTDZ($A$1,$B6,AH$1,$B$1)</f>
        <v>839.14</v>
      </c>
      <c r="AI6">
        <f>_xll.EQNXTDZ($A$1,$B6,AI$1,$B$1)</f>
        <v>974.32</v>
      </c>
      <c r="AJ6">
        <f>_xll.EQNXTDZ($A$1,$B6,AJ$1,$B$1)</f>
        <v>1138.8399999999999</v>
      </c>
      <c r="AK6">
        <f>_xll.EQNXTDZ($A$1,$B6,AK$1,$B$1)</f>
        <v>1288.42</v>
      </c>
      <c r="AL6">
        <f>_xll.EQNXTDZ($A$1,$B6,AL$1,$B$1)</f>
        <v>1411.93</v>
      </c>
      <c r="AM6">
        <f>_xll.EQNXTDZ($A$1,$B6,AM$1,$B$1)</f>
        <v>1278.5</v>
      </c>
      <c r="AN6">
        <f>_xll.EQNXTDZ($A$1,$B6,AN$1,$B$1)</f>
        <v>1203.48</v>
      </c>
      <c r="AO6">
        <f>_xll.EQNXTDZ($A$1,$B6,AO$1,$B$1)</f>
        <v>1028.76</v>
      </c>
      <c r="AP6">
        <f>_xll.EQNXTDZ($A$1,$B6,AP$1,$B$1)</f>
        <v>1424.83</v>
      </c>
      <c r="AQ6">
        <f>_xll.EQNXTDZ($A$1,$B6,AQ$1,$B$1)</f>
        <v>1538.94</v>
      </c>
      <c r="AR6">
        <f>_xll.EQNXTDZ($A$1,$B6,AR$1,$B$1)</f>
        <v>1575.89</v>
      </c>
      <c r="AS6">
        <f>_xll.EQNXTDZ($A$1,$B6,AS$1,$B$1)</f>
        <v>1544.82</v>
      </c>
      <c r="AT6">
        <f>_xll.EQNXTDZ($A$1,$B6,AT$1,$B$1)</f>
        <v>1380.9</v>
      </c>
      <c r="AU6">
        <f>_xll.EQNXTDZ($A$1,$B6,AU$1,$B$1)</f>
        <v>1181.79</v>
      </c>
      <c r="AV6">
        <f>_xll.EQNXTDZ($A$1,$B6,AV$1,$B$1)</f>
        <v>1224.45</v>
      </c>
      <c r="AW6">
        <f>_xll.EQNXTDZ($A$1,$B6,AW$1,$B$1)</f>
        <v>1194.92</v>
      </c>
      <c r="AX6">
        <f>_xll.EQNXTDZ($A$1,$B6,AX$1,$B$1)</f>
        <v>1439.67</v>
      </c>
      <c r="AY6">
        <f>_xll.EQNXTDZ($A$1,$B6,AY$1,$B$1)</f>
        <v>1194.9100000000001</v>
      </c>
      <c r="AZ6">
        <f>_xll.EQNXTDZ($A$1,$B6,AZ$1,$B$1)</f>
        <v>1223.7</v>
      </c>
      <c r="BA6">
        <f>_xll.EQNXTDZ($A$1,$B6,BA$1,$B$1)</f>
        <v>1415.05</v>
      </c>
      <c r="BB6">
        <f>_xll.EQNXTDZ($A$1,$B6,BB$1,$B$1)</f>
        <v>1720.3</v>
      </c>
      <c r="BC6">
        <f>_xll.EQNXTDZ($A$1,$B6,BC$1,$B$1)</f>
        <v>1569.57</v>
      </c>
      <c r="BD6">
        <f>_xll.EQNXTDZ($A$1,$B6,BD$1,$B$1)</f>
        <v>1653.47</v>
      </c>
      <c r="BE6">
        <f>_xll.EQNXTDZ($A$1,$B6,BE$1,$B$1)</f>
        <v>1778.29</v>
      </c>
      <c r="BF6">
        <f>_xll.EQNXTDZ($A$1,$B6,BF$1,$B$1)</f>
        <v>1811.57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5.0430000000000001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450.09800000000001</v>
      </c>
      <c r="R9">
        <f>_xll.EQNXTDZ($A$1,$B9,R$1,$B$1)</f>
        <v>491.15600000000001</v>
      </c>
      <c r="S9">
        <f>_xll.EQNXTDZ($A$1,$B9,S$1,$B$1)</f>
        <v>416.49099999999999</v>
      </c>
      <c r="T9">
        <f>_xll.EQNXTDZ($A$1,$B9,T$1,$B$1)</f>
        <v>525.41099999999994</v>
      </c>
      <c r="U9">
        <f>_xll.EQNXTDZ($A$1,$B9,U$1,$B$1)</f>
        <v>509.72899999999998</v>
      </c>
      <c r="V9">
        <f>_xll.EQNXTDZ($A$1,$B9,V$1,$B$1)</f>
        <v>479.91800000000001</v>
      </c>
      <c r="W9">
        <f>_xll.EQNXTDZ($A$1,$B9,W$1,$B$1)</f>
        <v>491.22199999999998</v>
      </c>
      <c r="X9">
        <f>_xll.EQNXTDZ($A$1,$B9,X$1,$B$1)</f>
        <v>538.61</v>
      </c>
      <c r="Y9">
        <f>_xll.EQNXTDZ($A$1,$B9,Y$1,$B$1)</f>
        <v>478.93099999999998</v>
      </c>
      <c r="Z9">
        <f>_xll.EQNXTDZ($A$1,$B9,Z$1,$B$1)</f>
        <v>560.24</v>
      </c>
      <c r="AA9">
        <f>_xll.EQNXTDZ($A$1,$B9,AA$1,$B$1)</f>
        <v>539.01700000000005</v>
      </c>
      <c r="AB9">
        <f>_xll.EQNXTDZ($A$1,$B9,AB$1,$B$1)</f>
        <v>588.28099999999995</v>
      </c>
      <c r="AC9">
        <f>_xll.EQNXTDZ($A$1,$B9,AC$1,$B$1)</f>
        <v>529.45699999999999</v>
      </c>
      <c r="AD9">
        <f>_xll.EQNXTDZ($A$1,$B9,AD$1,$B$1)</f>
        <v>635.16099999999994</v>
      </c>
      <c r="AE9">
        <f>_xll.EQNXTDZ($A$1,$B9,AE$1,$B$1)</f>
        <v>550.57000000000005</v>
      </c>
      <c r="AF9">
        <f>_xll.EQNXTDZ($A$1,$B9,AF$1,$B$1)</f>
        <v>712.42</v>
      </c>
      <c r="AG9">
        <f>_xll.EQNXTDZ($A$1,$B9,AG$1,$B$1)</f>
        <v>729.59</v>
      </c>
      <c r="AH9">
        <f>_xll.EQNXTDZ($A$1,$B9,AH$1,$B$1)</f>
        <v>839.14</v>
      </c>
      <c r="AI9">
        <f>_xll.EQNXTDZ($A$1,$B9,AI$1,$B$1)</f>
        <v>974.32</v>
      </c>
      <c r="AJ9">
        <f>_xll.EQNXTDZ($A$1,$B9,AJ$1,$B$1)</f>
        <v>1138.8399999999999</v>
      </c>
      <c r="AK9">
        <f>_xll.EQNXTDZ($A$1,$B9,AK$1,$B$1)</f>
        <v>1288.42</v>
      </c>
      <c r="AL9">
        <f>_xll.EQNXTDZ($A$1,$B9,AL$1,$B$1)</f>
        <v>1411.93</v>
      </c>
      <c r="AM9">
        <f>_xll.EQNXTDZ($A$1,$B9,AM$1,$B$1)</f>
        <v>1278.5</v>
      </c>
      <c r="AN9">
        <f>_xll.EQNXTDZ($A$1,$B9,AN$1,$B$1)</f>
        <v>1203.48</v>
      </c>
      <c r="AO9">
        <f>_xll.EQNXTDZ($A$1,$B9,AO$1,$B$1)</f>
        <v>1028.76</v>
      </c>
      <c r="AP9">
        <f>_xll.EQNXTDZ($A$1,$B9,AP$1,$B$1)</f>
        <v>1424.83</v>
      </c>
      <c r="AQ9">
        <f>_xll.EQNXTDZ($A$1,$B9,AQ$1,$B$1)</f>
        <v>1538.94</v>
      </c>
      <c r="AR9">
        <f>_xll.EQNXTDZ($A$1,$B9,AR$1,$B$1)</f>
        <v>1575.89</v>
      </c>
      <c r="AS9">
        <f>_xll.EQNXTDZ($A$1,$B9,AS$1,$B$1)</f>
        <v>1544.82</v>
      </c>
      <c r="AT9">
        <f>_xll.EQNXTDZ($A$1,$B9,AT$1,$B$1)</f>
        <v>1380.9</v>
      </c>
      <c r="AU9">
        <f>_xll.EQNXTDZ($A$1,$B9,AU$1,$B$1)</f>
        <v>1181.79</v>
      </c>
      <c r="AV9">
        <f>_xll.EQNXTDZ($A$1,$B9,AV$1,$B$1)</f>
        <v>1224.45</v>
      </c>
      <c r="AW9">
        <f>_xll.EQNXTDZ($A$1,$B9,AW$1,$B$1)</f>
        <v>1194.92</v>
      </c>
      <c r="AX9">
        <f>_xll.EQNXTDZ($A$1,$B9,AX$1,$B$1)</f>
        <v>1439.67</v>
      </c>
      <c r="AY9">
        <f>_xll.EQNXTDZ($A$1,$B9,AY$1,$B$1)</f>
        <v>1194.9100000000001</v>
      </c>
      <c r="AZ9">
        <f>_xll.EQNXTDZ($A$1,$B9,AZ$1,$B$1)</f>
        <v>1223.7</v>
      </c>
      <c r="BA9">
        <f>_xll.EQNXTDZ($A$1,$B9,BA$1,$B$1)</f>
        <v>1415.05</v>
      </c>
      <c r="BB9">
        <f>_xll.EQNXTDZ($A$1,$B9,BB$1,$B$1)</f>
        <v>1720.3</v>
      </c>
      <c r="BC9">
        <f>_xll.EQNXTDZ($A$1,$B9,BC$1,$B$1)</f>
        <v>1569.57</v>
      </c>
      <c r="BD9">
        <f>_xll.EQNXTDZ($A$1,$B9,BD$1,$B$1)</f>
        <v>1653.47</v>
      </c>
      <c r="BE9">
        <f>_xll.EQNXTDZ($A$1,$B9,BE$1,$B$1)</f>
        <v>1778.29</v>
      </c>
      <c r="BF9">
        <f>_xll.EQNXTDZ($A$1,$B9,BF$1,$B$1)</f>
        <v>1811.57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-43.695</v>
      </c>
      <c r="R10">
        <f>_xll.EQNXTDZ($A$1,$B10,R$1,$B$1)</f>
        <v>45.404000000000003</v>
      </c>
      <c r="S10">
        <f>_xll.EQNXTDZ($A$1,$B10,S$1,$B$1)</f>
        <v>-9.3550000000000004</v>
      </c>
      <c r="T10">
        <f>_xll.EQNXTDZ($A$1,$B10,T$1,$B$1)</f>
        <v>-26.85</v>
      </c>
      <c r="U10">
        <f>_xll.EQNXTDZ($A$1,$B10,U$1,$B$1)</f>
        <v>4.7050000000000001</v>
      </c>
      <c r="V10">
        <f>_xll.EQNXTDZ($A$1,$B10,V$1,$B$1)</f>
        <v>-3.4</v>
      </c>
      <c r="W10">
        <f>_xll.EQNXTDZ($A$1,$B10,W$1,$B$1)</f>
        <v>10.811999999999999</v>
      </c>
      <c r="X10">
        <f>_xll.EQNXTDZ($A$1,$B10,X$1,$B$1)</f>
        <v>-36.328000000000003</v>
      </c>
      <c r="Y10">
        <f>_xll.EQNXTDZ($A$1,$B10,Y$1,$B$1)</f>
        <v>-27.324000000000002</v>
      </c>
      <c r="Z10">
        <f>_xll.EQNXTDZ($A$1,$B10,Z$1,$B$1)</f>
        <v>28.135999999999999</v>
      </c>
      <c r="AA10">
        <f>_xll.EQNXTDZ($A$1,$B10,AA$1,$B$1)</f>
        <v>4.2300000000000004</v>
      </c>
      <c r="AB10">
        <f>_xll.EQNXTDZ($A$1,$B10,AB$1,$B$1)</f>
        <v>-17.783999999999999</v>
      </c>
      <c r="AC10">
        <f>_xll.EQNXTDZ($A$1,$B10,AC$1,$B$1)</f>
        <v>-18.358000000000001</v>
      </c>
      <c r="AD10">
        <f>_xll.EQNXTDZ($A$1,$B10,AD$1,$B$1)</f>
        <v>-7.4999999999999997E-2</v>
      </c>
      <c r="AE10">
        <f>_xll.EQNXTDZ($A$1,$B10,AE$1,$B$1)</f>
        <v>-77.22</v>
      </c>
      <c r="AF10">
        <f>_xll.EQNXTDZ($A$1,$B10,AF$1,$B$1)</f>
        <v>-124.8</v>
      </c>
      <c r="AG10">
        <f>_xll.EQNXTDZ($A$1,$B10,AG$1,$B$1)</f>
        <v>-12.85</v>
      </c>
      <c r="AH10">
        <f>_xll.EQNXTDZ($A$1,$B10,AH$1,$B$1)</f>
        <v>-1.28</v>
      </c>
      <c r="AI10">
        <f>_xll.EQNXTDZ($A$1,$B10,AI$1,$B$1)</f>
        <v>-15.41</v>
      </c>
      <c r="AJ10">
        <f>_xll.EQNXTDZ($A$1,$B10,AJ$1,$B$1)</f>
        <v>-66.77</v>
      </c>
      <c r="AK10">
        <f>_xll.EQNXTDZ($A$1,$B10,AK$1,$B$1)</f>
        <v>-103.29</v>
      </c>
      <c r="AL10">
        <f>_xll.EQNXTDZ($A$1,$B10,AL$1,$B$1)</f>
        <v>-111.54</v>
      </c>
      <c r="AM10">
        <f>_xll.EQNXTDZ($A$1,$B10,AM$1,$B$1)</f>
        <v>-206.23</v>
      </c>
      <c r="AN10">
        <f>_xll.EQNXTDZ($A$1,$B10,AN$1,$B$1)</f>
        <v>-87.55</v>
      </c>
      <c r="AO10">
        <f>_xll.EQNXTDZ($A$1,$B10,AO$1,$B$1)</f>
        <v>-32.270000000000003</v>
      </c>
      <c r="AP10">
        <f>_xll.EQNXTDZ($A$1,$B10,AP$1,$B$1)</f>
        <v>104.88</v>
      </c>
      <c r="AQ10">
        <f>_xll.EQNXTDZ($A$1,$B10,AQ$1,$B$1)</f>
        <v>-161.19</v>
      </c>
      <c r="AR10">
        <f>_xll.EQNXTDZ($A$1,$B10,AR$1,$B$1)</f>
        <v>-116</v>
      </c>
      <c r="AS10">
        <f>_xll.EQNXTDZ($A$1,$B10,AS$1,$B$1)</f>
        <v>86.02</v>
      </c>
      <c r="AT10">
        <f>_xll.EQNXTDZ($A$1,$B10,AT$1,$B$1)</f>
        <v>213.21</v>
      </c>
      <c r="AU10">
        <f>_xll.EQNXTDZ($A$1,$B10,AU$1,$B$1)</f>
        <v>34.18</v>
      </c>
      <c r="AV10">
        <f>_xll.EQNXTDZ($A$1,$B10,AV$1,$B$1)</f>
        <v>-118.62</v>
      </c>
      <c r="AW10">
        <f>_xll.EQNXTDZ($A$1,$B10,AW$1,$B$1)</f>
        <v>-106.25</v>
      </c>
      <c r="AX10">
        <f>_xll.EQNXTDZ($A$1,$B10,AX$1,$B$1)</f>
        <v>89.81</v>
      </c>
      <c r="AY10">
        <f>_xll.EQNXTDZ($A$1,$B10,AY$1,$B$1)</f>
        <v>-57.87</v>
      </c>
      <c r="AZ10">
        <f>_xll.EQNXTDZ($A$1,$B10,AZ$1,$B$1)</f>
        <v>-54.46</v>
      </c>
      <c r="BA10">
        <f>_xll.EQNXTDZ($A$1,$B10,BA$1,$B$1)</f>
        <v>-77.64</v>
      </c>
      <c r="BB10">
        <f>_xll.EQNXTDZ($A$1,$B10,BB$1,$B$1)</f>
        <v>134.04</v>
      </c>
      <c r="BC10">
        <f>_xll.EQNXTDZ($A$1,$B10,BC$1,$B$1)</f>
        <v>-0.56000000000000005</v>
      </c>
      <c r="BD10">
        <f>_xll.EQNXTDZ($A$1,$B10,BD$1,$B$1)</f>
        <v>-44.01</v>
      </c>
      <c r="BE10">
        <f>_xll.EQNXTDZ($A$1,$B10,BE$1,$B$1)</f>
        <v>-85.87</v>
      </c>
      <c r="BF10">
        <f>_xll.EQNXTDZ($A$1,$B10,BF$1,$B$1)</f>
        <v>-141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278.83999999999997</v>
      </c>
      <c r="R11">
        <f>_xll.EQNXTDZ($A$1,$B11,R$1,$B$1)</f>
        <v>205.33699999999999</v>
      </c>
      <c r="S11">
        <f>_xll.EQNXTDZ($A$1,$B11,S$1,$B$1)</f>
        <v>220.91200000000001</v>
      </c>
      <c r="T11">
        <f>_xll.EQNXTDZ($A$1,$B11,T$1,$B$1)</f>
        <v>303.12799999999999</v>
      </c>
      <c r="U11">
        <f>_xll.EQNXTDZ($A$1,$B11,U$1,$B$1)</f>
        <v>273.50799999999998</v>
      </c>
      <c r="V11">
        <f>_xll.EQNXTDZ($A$1,$B11,V$1,$B$1)</f>
        <v>221.15700000000001</v>
      </c>
      <c r="W11">
        <f>_xll.EQNXTDZ($A$1,$B11,W$1,$B$1)</f>
        <v>230.09700000000001</v>
      </c>
      <c r="X11">
        <f>_xll.EQNXTDZ($A$1,$B11,X$1,$B$1)</f>
        <v>309.87599999999998</v>
      </c>
      <c r="Y11">
        <f>_xll.EQNXTDZ($A$1,$B11,Y$1,$B$1)</f>
        <v>265.55200000000002</v>
      </c>
      <c r="Z11">
        <f>_xll.EQNXTDZ($A$1,$B11,Z$1,$B$1)</f>
        <v>255.869</v>
      </c>
      <c r="AA11">
        <f>_xll.EQNXTDZ($A$1,$B11,AA$1,$B$1)</f>
        <v>288.21899999999999</v>
      </c>
      <c r="AB11">
        <f>_xll.EQNXTDZ($A$1,$B11,AB$1,$B$1)</f>
        <v>326.59199999999998</v>
      </c>
      <c r="AC11">
        <f>_xll.EQNXTDZ($A$1,$B11,AC$1,$B$1)</f>
        <v>297.13</v>
      </c>
      <c r="AD11">
        <f>_xll.EQNXTDZ($A$1,$B11,AD$1,$B$1)</f>
        <v>333.30599999999998</v>
      </c>
      <c r="AE11">
        <f>_xll.EQNXTDZ($A$1,$B11,AE$1,$B$1)</f>
        <v>348.63</v>
      </c>
      <c r="AF11">
        <f>_xll.EQNXTDZ($A$1,$B11,AF$1,$B$1)</f>
        <v>475.25</v>
      </c>
      <c r="AG11">
        <f>_xll.EQNXTDZ($A$1,$B11,AG$1,$B$1)</f>
        <v>371.46</v>
      </c>
      <c r="AH11">
        <f>_xll.EQNXTDZ($A$1,$B11,AH$1,$B$1)</f>
        <v>418.35</v>
      </c>
      <c r="AI11">
        <f>_xll.EQNXTDZ($A$1,$B11,AI$1,$B$1)</f>
        <v>438.18</v>
      </c>
      <c r="AJ11">
        <f>_xll.EQNXTDZ($A$1,$B11,AJ$1,$B$1)</f>
        <v>554.04999999999995</v>
      </c>
      <c r="AK11">
        <f>_xll.EQNXTDZ($A$1,$B11,AK$1,$B$1)</f>
        <v>664.7</v>
      </c>
      <c r="AL11">
        <f>_xll.EQNXTDZ($A$1,$B11,AL$1,$B$1)</f>
        <v>702.04</v>
      </c>
      <c r="AM11">
        <f>_xll.EQNXTDZ($A$1,$B11,AM$1,$B$1)</f>
        <v>744.4</v>
      </c>
      <c r="AN11">
        <f>_xll.EQNXTDZ($A$1,$B11,AN$1,$B$1)</f>
        <v>579.79</v>
      </c>
      <c r="AO11">
        <f>_xll.EQNXTDZ($A$1,$B11,AO$1,$B$1)</f>
        <v>422.97</v>
      </c>
      <c r="AP11">
        <f>_xll.EQNXTDZ($A$1,$B11,AP$1,$B$1)</f>
        <v>521.97</v>
      </c>
      <c r="AQ11">
        <f>_xll.EQNXTDZ($A$1,$B11,AQ$1,$B$1)</f>
        <v>759.2</v>
      </c>
      <c r="AR11">
        <f>_xll.EQNXTDZ($A$1,$B11,AR$1,$B$1)</f>
        <v>779.31</v>
      </c>
      <c r="AS11">
        <f>_xll.EQNXTDZ($A$1,$B11,AS$1,$B$1)</f>
        <v>581.55999999999995</v>
      </c>
      <c r="AT11">
        <f>_xll.EQNXTDZ($A$1,$B11,AT$1,$B$1)</f>
        <v>476.5</v>
      </c>
      <c r="AU11">
        <f>_xll.EQNXTDZ($A$1,$B11,AU$1,$B$1)</f>
        <v>523.41</v>
      </c>
      <c r="AV11">
        <f>_xll.EQNXTDZ($A$1,$B11,AV$1,$B$1)</f>
        <v>673.41</v>
      </c>
      <c r="AW11">
        <f>_xll.EQNXTDZ($A$1,$B11,AW$1,$B$1)</f>
        <v>634.12</v>
      </c>
      <c r="AX11">
        <f>_xll.EQNXTDZ($A$1,$B11,AX$1,$B$1)</f>
        <v>591.44000000000005</v>
      </c>
      <c r="AY11">
        <f>_xll.EQNXTDZ($A$1,$B11,AY$1,$B$1)</f>
        <v>572.04999999999995</v>
      </c>
      <c r="AZ11">
        <f>_xll.EQNXTDZ($A$1,$B11,AZ$1,$B$1)</f>
        <v>577.16999999999996</v>
      </c>
      <c r="BA11">
        <f>_xll.EQNXTDZ($A$1,$B11,BA$1,$B$1)</f>
        <v>653</v>
      </c>
      <c r="BB11">
        <f>_xll.EQNXTDZ($A$1,$B11,BB$1,$B$1)</f>
        <v>626.33000000000004</v>
      </c>
      <c r="BC11">
        <f>_xll.EQNXTDZ($A$1,$B11,BC$1,$B$1)</f>
        <v>599.41</v>
      </c>
      <c r="BD11">
        <f>_xll.EQNXTDZ($A$1,$B11,BD$1,$B$1)</f>
        <v>676.75</v>
      </c>
      <c r="BE11">
        <f>_xll.EQNXTDZ($A$1,$B11,BE$1,$B$1)</f>
        <v>725.32</v>
      </c>
      <c r="BF11">
        <f>_xll.EQNXTDZ($A$1,$B11,BF$1,$B$1)</f>
        <v>792.86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5.35</v>
      </c>
      <c r="R12">
        <f>_xll.EQNXTDZ($A$1,$B12,R$1,$B$1)</f>
        <v>3.492</v>
      </c>
      <c r="S12">
        <f>_xll.EQNXTDZ($A$1,$B12,S$1,$B$1)</f>
        <v>1.117</v>
      </c>
      <c r="T12">
        <f>_xll.EQNXTDZ($A$1,$B12,T$1,$B$1)</f>
        <v>6.4139999999999997</v>
      </c>
      <c r="U12">
        <f>_xll.EQNXTDZ($A$1,$B12,U$1,$B$1)</f>
        <v>2.605</v>
      </c>
      <c r="V12">
        <f>_xll.EQNXTDZ($A$1,$B12,V$1,$B$1)</f>
        <v>2.8239999999999998</v>
      </c>
      <c r="W12">
        <f>_xll.EQNXTDZ($A$1,$B12,W$1,$B$1)</f>
        <v>4.7809999999999997</v>
      </c>
      <c r="X12">
        <f>_xll.EQNXTDZ($A$1,$B12,X$1,$B$1)</f>
        <v>7.798</v>
      </c>
      <c r="Y12">
        <f>_xll.EQNXTDZ($A$1,$B12,Y$1,$B$1)</f>
        <v>7.5250000000000004</v>
      </c>
      <c r="Z12">
        <f>_xll.EQNXTDZ($A$1,$B12,Z$1,$B$1)</f>
        <v>6.9109999999999996</v>
      </c>
      <c r="AA12">
        <f>_xll.EQNXTDZ($A$1,$B12,AA$1,$B$1)</f>
        <v>2.6989999999999998</v>
      </c>
      <c r="AB12">
        <f>_xll.EQNXTDZ($A$1,$B12,AB$1,$B$1)</f>
        <v>5.8310000000000004</v>
      </c>
      <c r="AC12">
        <f>_xll.EQNXTDZ($A$1,$B12,AC$1,$B$1)</f>
        <v>5.17</v>
      </c>
      <c r="AD12">
        <f>_xll.EQNXTDZ($A$1,$B12,AD$1,$B$1)</f>
        <v>8.68</v>
      </c>
      <c r="AE12">
        <f>_xll.EQNXTDZ($A$1,$B12,AE$1,$B$1)</f>
        <v>3.15</v>
      </c>
      <c r="AF12">
        <f>_xll.EQNXTDZ($A$1,$B12,AF$1,$B$1)</f>
        <v>9.5299999999999994</v>
      </c>
      <c r="AG12">
        <f>_xll.EQNXTDZ($A$1,$B12,AG$1,$B$1)</f>
        <v>1.95</v>
      </c>
      <c r="AH12">
        <f>_xll.EQNXTDZ($A$1,$B12,AH$1,$B$1)</f>
        <v>1.24</v>
      </c>
      <c r="AI12">
        <f>_xll.EQNXTDZ($A$1,$B12,AI$1,$B$1)</f>
        <v>23.29</v>
      </c>
      <c r="AJ12">
        <f>_xll.EQNXTDZ($A$1,$B12,AJ$1,$B$1)</f>
        <v>14.01</v>
      </c>
      <c r="AK12">
        <f>_xll.EQNXTDZ($A$1,$B12,AK$1,$B$1)</f>
        <v>21.67</v>
      </c>
      <c r="AL12">
        <f>_xll.EQNXTDZ($A$1,$B12,AL$1,$B$1)</f>
        <v>37.26</v>
      </c>
      <c r="AM12">
        <f>_xll.EQNXTDZ($A$1,$B12,AM$1,$B$1)</f>
        <v>15.65</v>
      </c>
      <c r="AN12">
        <f>_xll.EQNXTDZ($A$1,$B12,AN$1,$B$1)</f>
        <v>40.43</v>
      </c>
      <c r="AO12">
        <f>_xll.EQNXTDZ($A$1,$B12,AO$1,$B$1)</f>
        <v>33.32</v>
      </c>
      <c r="AP12">
        <f>_xll.EQNXTDZ($A$1,$B12,AP$1,$B$1)</f>
        <v>56.41</v>
      </c>
      <c r="AQ12">
        <f>_xll.EQNXTDZ($A$1,$B12,AQ$1,$B$1)</f>
        <v>54.94</v>
      </c>
      <c r="AR12">
        <f>_xll.EQNXTDZ($A$1,$B12,AR$1,$B$1)</f>
        <v>44.1</v>
      </c>
      <c r="AS12">
        <f>_xll.EQNXTDZ($A$1,$B12,AS$1,$B$1)</f>
        <v>51.8</v>
      </c>
      <c r="AT12">
        <f>_xll.EQNXTDZ($A$1,$B12,AT$1,$B$1)</f>
        <v>4.87</v>
      </c>
      <c r="AU12">
        <f>_xll.EQNXTDZ($A$1,$B12,AU$1,$B$1)</f>
        <v>26.33</v>
      </c>
      <c r="AV12">
        <f>_xll.EQNXTDZ($A$1,$B12,AV$1,$B$1)</f>
        <v>26.29</v>
      </c>
      <c r="AW12">
        <f>_xll.EQNXTDZ($A$1,$B12,AW$1,$B$1)</f>
        <v>17.54</v>
      </c>
      <c r="AX12">
        <f>_xll.EQNXTDZ($A$1,$B12,AX$1,$B$1)</f>
        <v>40.76</v>
      </c>
      <c r="AY12">
        <f>_xll.EQNXTDZ($A$1,$B12,AY$1,$B$1)</f>
        <v>22.67</v>
      </c>
      <c r="AZ12">
        <f>_xll.EQNXTDZ($A$1,$B12,AZ$1,$B$1)</f>
        <v>25.59</v>
      </c>
      <c r="BA12">
        <f>_xll.EQNXTDZ($A$1,$B12,BA$1,$B$1)</f>
        <v>34.79</v>
      </c>
      <c r="BB12">
        <f>_xll.EQNXTDZ($A$1,$B12,BB$1,$B$1)</f>
        <v>22.31</v>
      </c>
      <c r="BC12">
        <f>_xll.EQNXTDZ($A$1,$B12,BC$1,$B$1)</f>
        <v>38.5</v>
      </c>
      <c r="BD12">
        <f>_xll.EQNXTDZ($A$1,$B12,BD$1,$B$1)</f>
        <v>30.7</v>
      </c>
      <c r="BE12">
        <f>_xll.EQNXTDZ($A$1,$B12,BE$1,$B$1)</f>
        <v>55.12</v>
      </c>
      <c r="BF12">
        <f>_xll.EQNXTDZ($A$1,$B12,BF$1,$B$1)</f>
        <v>48.24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8.0670000000000002</v>
      </c>
      <c r="S13">
        <f>_xll.EQNXTDZ($A$1,$B13,S$1,$B$1)</f>
        <v>6.7309999999999999</v>
      </c>
      <c r="T13">
        <f>_xll.EQNXTDZ($A$1,$B13,T$1,$B$1)</f>
        <v>8.9149999999999991</v>
      </c>
      <c r="U13">
        <f>_xll.EQNXTDZ($A$1,$B13,U$1,$B$1)</f>
        <v>4.0890000000000004</v>
      </c>
      <c r="V13">
        <f>_xll.EQNXTDZ($A$1,$B13,V$1,$B$1)</f>
        <v>7.1669999999999998</v>
      </c>
      <c r="W13">
        <f>_xll.EQNXTDZ($A$1,$B13,W$1,$B$1)</f>
        <v>12.833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67.566000000000003</v>
      </c>
      <c r="R14">
        <f>_xll.EQNXTDZ($A$1,$B14,R$1,$B$1)</f>
        <v>61.558</v>
      </c>
      <c r="S14">
        <f>_xll.EQNXTDZ($A$1,$B14,S$1,$B$1)</f>
        <v>58.960999999999999</v>
      </c>
      <c r="T14">
        <f>_xll.EQNXTDZ($A$1,$B14,T$1,$B$1)</f>
        <v>72.040000000000006</v>
      </c>
      <c r="U14">
        <f>_xll.EQNXTDZ($A$1,$B14,U$1,$B$1)</f>
        <v>70.575999999999993</v>
      </c>
      <c r="V14">
        <f>_xll.EQNXTDZ($A$1,$B14,V$1,$B$1)</f>
        <v>75.28</v>
      </c>
      <c r="W14">
        <f>_xll.EQNXTDZ($A$1,$B14,W$1,$B$1)</f>
        <v>73.466999999999999</v>
      </c>
      <c r="X14">
        <f>_xll.EQNXTDZ($A$1,$B14,X$1,$B$1)</f>
        <v>81.316999999999993</v>
      </c>
      <c r="Y14">
        <f>_xll.EQNXTDZ($A$1,$B14,Y$1,$B$1)</f>
        <v>81.105000000000004</v>
      </c>
      <c r="Z14">
        <f>_xll.EQNXTDZ($A$1,$B14,Z$1,$B$1)</f>
        <v>85.209000000000003</v>
      </c>
      <c r="AA14">
        <f>_xll.EQNXTDZ($A$1,$B14,AA$1,$B$1)</f>
        <v>90.504000000000005</v>
      </c>
      <c r="AB14">
        <f>_xll.EQNXTDZ($A$1,$B14,AB$1,$B$1)</f>
        <v>124.441</v>
      </c>
      <c r="AC14">
        <f>_xll.EQNXTDZ($A$1,$B14,AC$1,$B$1)</f>
        <v>88.9</v>
      </c>
      <c r="AD14">
        <f>_xll.EQNXTDZ($A$1,$B14,AD$1,$B$1)</f>
        <v>107.245</v>
      </c>
      <c r="AE14">
        <f>_xll.EQNXTDZ($A$1,$B14,AE$1,$B$1)</f>
        <v>112.41</v>
      </c>
      <c r="AF14">
        <f>_xll.EQNXTDZ($A$1,$B14,AF$1,$B$1)</f>
        <v>126.68</v>
      </c>
      <c r="AG14">
        <f>_xll.EQNXTDZ($A$1,$B14,AG$1,$B$1)</f>
        <v>132.41999999999999</v>
      </c>
      <c r="AH14">
        <f>_xll.EQNXTDZ($A$1,$B14,AH$1,$B$1)</f>
        <v>140.93</v>
      </c>
      <c r="AI14">
        <f>_xll.EQNXTDZ($A$1,$B14,AI$1,$B$1)</f>
        <v>138.38</v>
      </c>
      <c r="AJ14">
        <f>_xll.EQNXTDZ($A$1,$B14,AJ$1,$B$1)</f>
        <v>155.57</v>
      </c>
      <c r="AK14">
        <f>_xll.EQNXTDZ($A$1,$B14,AK$1,$B$1)</f>
        <v>178.43</v>
      </c>
      <c r="AL14">
        <f>_xll.EQNXTDZ($A$1,$B14,AL$1,$B$1)</f>
        <v>198.17</v>
      </c>
      <c r="AM14">
        <f>_xll.EQNXTDZ($A$1,$B14,AM$1,$B$1)</f>
        <v>202.04</v>
      </c>
      <c r="AN14">
        <f>_xll.EQNXTDZ($A$1,$B14,AN$1,$B$1)</f>
        <v>202.86</v>
      </c>
      <c r="AO14">
        <f>_xll.EQNXTDZ($A$1,$B14,AO$1,$B$1)</f>
        <v>197.46</v>
      </c>
      <c r="AP14">
        <f>_xll.EQNXTDZ($A$1,$B14,AP$1,$B$1)</f>
        <v>215.48</v>
      </c>
      <c r="AQ14">
        <f>_xll.EQNXTDZ($A$1,$B14,AQ$1,$B$1)</f>
        <v>279.79000000000002</v>
      </c>
      <c r="AR14">
        <f>_xll.EQNXTDZ($A$1,$B14,AR$1,$B$1)</f>
        <v>272.58</v>
      </c>
      <c r="AS14">
        <f>_xll.EQNXTDZ($A$1,$B14,AS$1,$B$1)</f>
        <v>274.52</v>
      </c>
      <c r="AT14">
        <f>_xll.EQNXTDZ($A$1,$B14,AT$1,$B$1)</f>
        <v>266.51</v>
      </c>
      <c r="AU14">
        <f>_xll.EQNXTDZ($A$1,$B14,AU$1,$B$1)</f>
        <v>271.22000000000003</v>
      </c>
      <c r="AV14">
        <f>_xll.EQNXTDZ($A$1,$B14,AV$1,$B$1)</f>
        <v>291.57</v>
      </c>
      <c r="AW14">
        <f>_xll.EQNXTDZ($A$1,$B14,AW$1,$B$1)</f>
        <v>313.13</v>
      </c>
      <c r="AX14">
        <f>_xll.EQNXTDZ($A$1,$B14,AX$1,$B$1)</f>
        <v>315.06</v>
      </c>
      <c r="AY14">
        <f>_xll.EQNXTDZ($A$1,$B14,AY$1,$B$1)</f>
        <v>312.88</v>
      </c>
      <c r="AZ14">
        <f>_xll.EQNXTDZ($A$1,$B14,AZ$1,$B$1)</f>
        <v>318.35000000000002</v>
      </c>
      <c r="BA14">
        <f>_xll.EQNXTDZ($A$1,$B14,BA$1,$B$1)</f>
        <v>330.63</v>
      </c>
      <c r="BB14">
        <f>_xll.EQNXTDZ($A$1,$B14,BB$1,$B$1)</f>
        <v>339.32</v>
      </c>
      <c r="BC14">
        <f>_xll.EQNXTDZ($A$1,$B14,BC$1,$B$1)</f>
        <v>335.29</v>
      </c>
      <c r="BD14">
        <f>_xll.EQNXTDZ($A$1,$B14,BD$1,$B$1)</f>
        <v>371.21</v>
      </c>
      <c r="BE14">
        <f>_xll.EQNXTDZ($A$1,$B14,BE$1,$B$1)</f>
        <v>374.27</v>
      </c>
      <c r="BF14">
        <f>_xll.EQNXTDZ($A$1,$B14,BF$1,$B$1)</f>
        <v>363.51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41.835999999999999</v>
      </c>
      <c r="R16">
        <f>_xll.EQNXTDZ($A$1,$B16,R$1,$B$1)</f>
        <v>46.786999999999999</v>
      </c>
      <c r="S16">
        <f>_xll.EQNXTDZ($A$1,$B16,S$1,$B$1)</f>
        <v>53.131</v>
      </c>
      <c r="T16">
        <f>_xll.EQNXTDZ($A$1,$B16,T$1,$B$1)</f>
        <v>53.531999999999996</v>
      </c>
      <c r="U16">
        <f>_xll.EQNXTDZ($A$1,$B16,U$1,$B$1)</f>
        <v>54.904000000000003</v>
      </c>
      <c r="V16">
        <f>_xll.EQNXTDZ($A$1,$B16,V$1,$B$1)</f>
        <v>61.823</v>
      </c>
      <c r="W16">
        <f>_xll.EQNXTDZ($A$1,$B16,W$1,$B$1)</f>
        <v>62.719000000000001</v>
      </c>
      <c r="X16">
        <f>_xll.EQNXTDZ($A$1,$B16,X$1,$B$1)</f>
        <v>63.372</v>
      </c>
      <c r="Y16">
        <f>_xll.EQNXTDZ($A$1,$B16,Y$1,$B$1)</f>
        <v>64.724999999999994</v>
      </c>
      <c r="Z16">
        <f>_xll.EQNXTDZ($A$1,$B16,Z$1,$B$1)</f>
        <v>67.230999999999995</v>
      </c>
      <c r="AA16">
        <f>_xll.EQNXTDZ($A$1,$B16,AA$1,$B$1)</f>
        <v>72.811999999999998</v>
      </c>
      <c r="AB16">
        <f>_xll.EQNXTDZ($A$1,$B16,AB$1,$B$1)</f>
        <v>73.474999999999994</v>
      </c>
      <c r="AC16">
        <f>_xll.EQNXTDZ($A$1,$B16,AC$1,$B$1)</f>
        <v>68.900000000000006</v>
      </c>
      <c r="AD16">
        <f>_xll.EQNXTDZ($A$1,$B16,AD$1,$B$1)</f>
        <v>74.016999999999996</v>
      </c>
      <c r="AE16">
        <f>_xll.EQNXTDZ($A$1,$B16,AE$1,$B$1)</f>
        <v>80.34</v>
      </c>
      <c r="AF16">
        <f>_xll.EQNXTDZ($A$1,$B16,AF$1,$B$1)</f>
        <v>87.95</v>
      </c>
      <c r="AG16">
        <f>_xll.EQNXTDZ($A$1,$B16,AG$1,$B$1)</f>
        <v>88.44</v>
      </c>
      <c r="AH16">
        <f>_xll.EQNXTDZ($A$1,$B16,AH$1,$B$1)</f>
        <v>88.13</v>
      </c>
      <c r="AI16">
        <f>_xll.EQNXTDZ($A$1,$B16,AI$1,$B$1)</f>
        <v>111.56</v>
      </c>
      <c r="AJ16">
        <f>_xll.EQNXTDZ($A$1,$B16,AJ$1,$B$1)</f>
        <v>108.11</v>
      </c>
      <c r="AK16">
        <f>_xll.EQNXTDZ($A$1,$B16,AK$1,$B$1)</f>
        <v>100.61</v>
      </c>
      <c r="AL16">
        <f>_xll.EQNXTDZ($A$1,$B16,AL$1,$B$1)</f>
        <v>113.81</v>
      </c>
      <c r="AM16">
        <f>_xll.EQNXTDZ($A$1,$B16,AM$1,$B$1)</f>
        <v>127.29</v>
      </c>
      <c r="AN16">
        <f>_xll.EQNXTDZ($A$1,$B16,AN$1,$B$1)</f>
        <v>122.87</v>
      </c>
      <c r="AO16">
        <f>_xll.EQNXTDZ($A$1,$B16,AO$1,$B$1)</f>
        <v>121.99</v>
      </c>
      <c r="AP16">
        <f>_xll.EQNXTDZ($A$1,$B16,AP$1,$B$1)</f>
        <v>129.38</v>
      </c>
      <c r="AQ16">
        <f>_xll.EQNXTDZ($A$1,$B16,AQ$1,$B$1)</f>
        <v>152.03</v>
      </c>
      <c r="AR16">
        <f>_xll.EQNXTDZ($A$1,$B16,AR$1,$B$1)</f>
        <v>146.99</v>
      </c>
      <c r="AS16">
        <f>_xll.EQNXTDZ($A$1,$B16,AS$1,$B$1)</f>
        <v>147.35</v>
      </c>
      <c r="AT16">
        <f>_xll.EQNXTDZ($A$1,$B16,AT$1,$B$1)</f>
        <v>134.27000000000001</v>
      </c>
      <c r="AU16">
        <f>_xll.EQNXTDZ($A$1,$B16,AU$1,$B$1)</f>
        <v>159.93</v>
      </c>
      <c r="AV16">
        <f>_xll.EQNXTDZ($A$1,$B16,AV$1,$B$1)</f>
        <v>163.93</v>
      </c>
      <c r="AW16">
        <f>_xll.EQNXTDZ($A$1,$B16,AW$1,$B$1)</f>
        <v>154.96</v>
      </c>
      <c r="AX16">
        <f>_xll.EQNXTDZ($A$1,$B16,AX$1,$B$1)</f>
        <v>161.11000000000001</v>
      </c>
      <c r="AY16">
        <f>_xll.EQNXTDZ($A$1,$B16,AY$1,$B$1)</f>
        <v>173.98</v>
      </c>
      <c r="AZ16">
        <f>_xll.EQNXTDZ($A$1,$B16,AZ$1,$B$1)</f>
        <v>178.72</v>
      </c>
      <c r="BA16">
        <f>_xll.EQNXTDZ($A$1,$B16,BA$1,$B$1)</f>
        <v>189.12</v>
      </c>
      <c r="BB16">
        <f>_xll.EQNXTDZ($A$1,$B16,BB$1,$B$1)</f>
        <v>177.7</v>
      </c>
      <c r="BC16">
        <f>_xll.EQNXTDZ($A$1,$B16,BC$1,$B$1)</f>
        <v>214.8</v>
      </c>
      <c r="BD16">
        <f>_xll.EQNXTDZ($A$1,$B16,BD$1,$B$1)</f>
        <v>215.56</v>
      </c>
      <c r="BE16">
        <f>_xll.EQNXTDZ($A$1,$B16,BE$1,$B$1)</f>
        <v>229.24</v>
      </c>
      <c r="BF16">
        <f>_xll.EQNXTDZ($A$1,$B16,BF$1,$B$1)</f>
        <v>235.85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100.197</v>
      </c>
      <c r="R22">
        <f>_xll.EQNXTDZ($A$1,$B22,R$1,$B$1)</f>
        <v>120.511</v>
      </c>
      <c r="S22">
        <f>_xll.EQNXTDZ($A$1,$B22,S$1,$B$1)</f>
        <v>84.994</v>
      </c>
      <c r="T22">
        <f>_xll.EQNXTDZ($A$1,$B22,T$1,$B$1)</f>
        <v>108.232</v>
      </c>
      <c r="U22">
        <f>_xll.EQNXTDZ($A$1,$B22,U$1,$B$1)</f>
        <v>99.341999999999999</v>
      </c>
      <c r="V22">
        <f>_xll.EQNXTDZ($A$1,$B22,V$1,$B$1)</f>
        <v>115.06699999999999</v>
      </c>
      <c r="W22">
        <f>_xll.EQNXTDZ($A$1,$B22,W$1,$B$1)</f>
        <v>96.513000000000005</v>
      </c>
      <c r="X22">
        <f>_xll.EQNXTDZ($A$1,$B22,X$1,$B$1)</f>
        <v>112.575</v>
      </c>
      <c r="Y22">
        <f>_xll.EQNXTDZ($A$1,$B22,Y$1,$B$1)</f>
        <v>87.347999999999999</v>
      </c>
      <c r="Z22">
        <f>_xll.EQNXTDZ($A$1,$B22,Z$1,$B$1)</f>
        <v>116.884</v>
      </c>
      <c r="AA22">
        <f>_xll.EQNXTDZ($A$1,$B22,AA$1,$B$1)</f>
        <v>80.552999999999997</v>
      </c>
      <c r="AB22">
        <f>_xll.EQNXTDZ($A$1,$B22,AB$1,$B$1)</f>
        <v>75.725999999999999</v>
      </c>
      <c r="AC22">
        <f>_xll.EQNXTDZ($A$1,$B22,AC$1,$B$1)</f>
        <v>87.715000000000003</v>
      </c>
      <c r="AD22">
        <f>_xll.EQNXTDZ($A$1,$B22,AD$1,$B$1)</f>
        <v>111.988</v>
      </c>
      <c r="AE22">
        <f>_xll.EQNXTDZ($A$1,$B22,AE$1,$B$1)</f>
        <v>83.259999999999906</v>
      </c>
      <c r="AF22">
        <f>_xll.EQNXTDZ($A$1,$B22,AF$1,$B$1)</f>
        <v>137.81</v>
      </c>
      <c r="AG22">
        <f>_xll.EQNXTDZ($A$1,$B22,AG$1,$B$1)</f>
        <v>148.16999999999999</v>
      </c>
      <c r="AH22">
        <f>_xll.EQNXTDZ($A$1,$B22,AH$1,$B$1)</f>
        <v>191.77</v>
      </c>
      <c r="AI22">
        <f>_xll.EQNXTDZ($A$1,$B22,AI$1,$B$1)</f>
        <v>278.32</v>
      </c>
      <c r="AJ22">
        <f>_xll.EQNXTDZ($A$1,$B22,AJ$1,$B$1)</f>
        <v>373.87</v>
      </c>
      <c r="AK22">
        <f>_xll.EQNXTDZ($A$1,$B22,AK$1,$B$1)</f>
        <v>426.3</v>
      </c>
      <c r="AL22">
        <f>_xll.EQNXTDZ($A$1,$B22,AL$1,$B$1)</f>
        <v>472.19</v>
      </c>
      <c r="AM22">
        <f>_xll.EQNXTDZ($A$1,$B22,AM$1,$B$1)</f>
        <v>395.35</v>
      </c>
      <c r="AN22">
        <f>_xll.EQNXTDZ($A$1,$B22,AN$1,$B$1)</f>
        <v>345.08</v>
      </c>
      <c r="AO22">
        <f>_xll.EQNXTDZ($A$1,$B22,AO$1,$B$1)</f>
        <v>285.29000000000002</v>
      </c>
      <c r="AP22">
        <f>_xll.EQNXTDZ($A$1,$B22,AP$1,$B$1)</f>
        <v>396.71</v>
      </c>
      <c r="AQ22">
        <f>_xll.EQNXTDZ($A$1,$B22,AQ$1,$B$1)</f>
        <v>454.17</v>
      </c>
      <c r="AR22">
        <f>_xll.EQNXTDZ($A$1,$B22,AR$1,$B$1)</f>
        <v>448.91</v>
      </c>
      <c r="AS22">
        <f>_xll.EQNXTDZ($A$1,$B22,AS$1,$B$1)</f>
        <v>403.57</v>
      </c>
      <c r="AT22">
        <f>_xll.EQNXTDZ($A$1,$B22,AT$1,$B$1)</f>
        <v>285.54000000000002</v>
      </c>
      <c r="AU22">
        <f>_xll.EQNXTDZ($A$1,$B22,AU$1,$B$1)</f>
        <v>166.72</v>
      </c>
      <c r="AV22">
        <f>_xll.EQNXTDZ($A$1,$B22,AV$1,$B$1)</f>
        <v>187.87</v>
      </c>
      <c r="AW22">
        <f>_xll.EQNXTDZ($A$1,$B22,AW$1,$B$1)</f>
        <v>181.42</v>
      </c>
      <c r="AX22">
        <f>_xll.EQNXTDZ($A$1,$B22,AX$1,$B$1)</f>
        <v>241.49</v>
      </c>
      <c r="AY22">
        <f>_xll.EQNXTDZ($A$1,$B22,AY$1,$B$1)</f>
        <v>171.2</v>
      </c>
      <c r="AZ22">
        <f>_xll.EQNXTDZ($A$1,$B22,AZ$1,$B$1)</f>
        <v>178.33</v>
      </c>
      <c r="BA22">
        <f>_xll.EQNXTDZ($A$1,$B22,BA$1,$B$1)</f>
        <v>285.14999999999998</v>
      </c>
      <c r="BB22">
        <f>_xll.EQNXTDZ($A$1,$B22,BB$1,$B$1)</f>
        <v>420.6</v>
      </c>
      <c r="BC22">
        <f>_xll.EQNXTDZ($A$1,$B22,BC$1,$B$1)</f>
        <v>382.13</v>
      </c>
      <c r="BD22">
        <f>_xll.EQNXTDZ($A$1,$B22,BD$1,$B$1)</f>
        <v>403.26</v>
      </c>
      <c r="BE22">
        <f>_xll.EQNXTDZ($A$1,$B22,BE$1,$B$1)</f>
        <v>480.21</v>
      </c>
      <c r="BF22">
        <f>_xll.EQNXTDZ($A$1,$B22,BF$1,$B$1)</f>
        <v>512.11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1.72</v>
      </c>
      <c r="R23">
        <f>_xll.EQNXTDZ($A$1,$B23,R$1,$B$1)</f>
        <v>1.3680000000000001</v>
      </c>
      <c r="S23">
        <f>_xll.EQNXTDZ($A$1,$B23,S$1,$B$1)</f>
        <v>2.3149999999999999</v>
      </c>
      <c r="T23">
        <f>_xll.EQNXTDZ($A$1,$B23,T$1,$B$1)</f>
        <v>7.9560000000000004</v>
      </c>
      <c r="U23">
        <f>_xll.EQNXTDZ($A$1,$B23,U$1,$B$1)</f>
        <v>12.965999999999999</v>
      </c>
      <c r="V23">
        <f>_xll.EQNXTDZ($A$1,$B23,V$1,$B$1)</f>
        <v>10.201000000000001</v>
      </c>
      <c r="W23">
        <f>_xll.EQNXTDZ($A$1,$B23,W$1,$B$1)</f>
        <v>7.5419999999999998</v>
      </c>
      <c r="X23">
        <f>_xll.EQNXTDZ($A$1,$B23,X$1,$B$1)</f>
        <v>6.6260000000000003</v>
      </c>
      <c r="Y23">
        <f>_xll.EQNXTDZ($A$1,$B23,Y$1,$B$1)</f>
        <v>9.9440000000000008</v>
      </c>
      <c r="Z23">
        <f>_xll.EQNXTDZ($A$1,$B23,Z$1,$B$1)</f>
        <v>5.0810000000000004</v>
      </c>
      <c r="AA23">
        <f>_xll.EQNXTDZ($A$1,$B23,AA$1,$B$1)</f>
        <v>2.5870000000000002</v>
      </c>
      <c r="AB23">
        <f>_xll.EQNXTDZ($A$1,$B23,AB$1,$B$1)</f>
        <v>10.528</v>
      </c>
      <c r="AC23">
        <f>_xll.EQNXTDZ($A$1,$B23,AC$1,$B$1)</f>
        <v>1.415</v>
      </c>
      <c r="AD23">
        <f>_xll.EQNXTDZ($A$1,$B23,AD$1,$B$1)</f>
        <v>1.6220000000000001</v>
      </c>
      <c r="AE23">
        <f>_xll.EQNXTDZ($A$1,$B23,AE$1,$B$1)</f>
        <v>4.5</v>
      </c>
      <c r="AF23">
        <f>_xll.EQNXTDZ($A$1,$B23,AF$1,$B$1)</f>
        <v>1.36</v>
      </c>
      <c r="AG23">
        <f>_xll.EQNXTDZ($A$1,$B23,AG$1,$B$1)</f>
        <v>1.92</v>
      </c>
      <c r="AH23">
        <f>_xll.EQNXTDZ($A$1,$B23,AH$1,$B$1)</f>
        <v>1.68</v>
      </c>
      <c r="AI23">
        <f>_xll.EQNXTDZ($A$1,$B23,AI$1,$B$1)</f>
        <v>7.09</v>
      </c>
      <c r="AJ23">
        <f>_xll.EQNXTDZ($A$1,$B23,AJ$1,$B$1)</f>
        <v>5.12</v>
      </c>
      <c r="AK23">
        <f>_xll.EQNXTDZ($A$1,$B23,AK$1,$B$1)</f>
        <v>6.93</v>
      </c>
      <c r="AL23">
        <f>_xll.EQNXTDZ($A$1,$B23,AL$1,$B$1)</f>
        <v>4.5199999999999996</v>
      </c>
      <c r="AM23">
        <f>_xll.EQNXTDZ($A$1,$B23,AM$1,$B$1)</f>
        <v>5.85</v>
      </c>
      <c r="AN23">
        <f>_xll.EQNXTDZ($A$1,$B23,AN$1,$B$1)</f>
        <v>2.83</v>
      </c>
      <c r="AO23">
        <f>_xll.EQNXTDZ($A$1,$B23,AO$1,$B$1)</f>
        <v>5.33</v>
      </c>
      <c r="AP23">
        <f>_xll.EQNXTDZ($A$1,$B23,AP$1,$B$1)</f>
        <v>1.29</v>
      </c>
      <c r="AQ23">
        <f>_xll.EQNXTDZ($A$1,$B23,AQ$1,$B$1)</f>
        <v>1.75</v>
      </c>
      <c r="AR23">
        <f>_xll.EQNXTDZ($A$1,$B23,AR$1,$B$1)</f>
        <v>1.1100000000000001</v>
      </c>
      <c r="AS23">
        <f>_xll.EQNXTDZ($A$1,$B23,AS$1,$B$1)</f>
        <v>1.43</v>
      </c>
      <c r="AT23">
        <f>_xll.EQNXTDZ($A$1,$B23,AT$1,$B$1)</f>
        <v>1.71</v>
      </c>
      <c r="AU23">
        <f>_xll.EQNXTDZ($A$1,$B23,AU$1,$B$1)</f>
        <v>3.6</v>
      </c>
      <c r="AV23">
        <f>_xll.EQNXTDZ($A$1,$B23,AV$1,$B$1)</f>
        <v>1.78</v>
      </c>
      <c r="AW23">
        <f>_xll.EQNXTDZ($A$1,$B23,AW$1,$B$1)</f>
        <v>2.4300000000000002</v>
      </c>
      <c r="AX23">
        <f>_xll.EQNXTDZ($A$1,$B23,AX$1,$B$1)</f>
        <v>18.53</v>
      </c>
      <c r="AY23">
        <f>_xll.EQNXTDZ($A$1,$B23,AY$1,$B$1)</f>
        <v>2.5099999999999998</v>
      </c>
      <c r="AZ23">
        <f>_xll.EQNXTDZ($A$1,$B23,AZ$1,$B$1)</f>
        <v>4.5999999999999996</v>
      </c>
      <c r="BA23">
        <f>_xll.EQNXTDZ($A$1,$B23,BA$1,$B$1)</f>
        <v>9.42</v>
      </c>
      <c r="BB23">
        <f>_xll.EQNXTDZ($A$1,$B23,BB$1,$B$1)</f>
        <v>58.57</v>
      </c>
      <c r="BC23">
        <f>_xll.EQNXTDZ($A$1,$B23,BC$1,$B$1)</f>
        <v>10.43</v>
      </c>
      <c r="BD23">
        <f>_xll.EQNXTDZ($A$1,$B23,BD$1,$B$1)</f>
        <v>26.96</v>
      </c>
      <c r="BE23">
        <f>_xll.EQNXTDZ($A$1,$B23,BE$1,$B$1)</f>
        <v>5.76</v>
      </c>
      <c r="BF23">
        <f>_xll.EQNXTDZ($A$1,$B23,BF$1,$B$1)</f>
        <v>11.8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101.917</v>
      </c>
      <c r="R24">
        <f>_xll.EQNXTDZ($A$1,$B24,R$1,$B$1)</f>
        <v>121.879</v>
      </c>
      <c r="S24">
        <f>_xll.EQNXTDZ($A$1,$B24,S$1,$B$1)</f>
        <v>87.308999999999997</v>
      </c>
      <c r="T24">
        <f>_xll.EQNXTDZ($A$1,$B24,T$1,$B$1)</f>
        <v>116.188</v>
      </c>
      <c r="U24">
        <f>_xll.EQNXTDZ($A$1,$B24,U$1,$B$1)</f>
        <v>112.30800000000001</v>
      </c>
      <c r="V24">
        <f>_xll.EQNXTDZ($A$1,$B24,V$1,$B$1)</f>
        <v>125.268</v>
      </c>
      <c r="W24">
        <f>_xll.EQNXTDZ($A$1,$B24,W$1,$B$1)</f>
        <v>104.05500000000001</v>
      </c>
      <c r="X24">
        <f>_xll.EQNXTDZ($A$1,$B24,X$1,$B$1)</f>
        <v>119.20099999999999</v>
      </c>
      <c r="Y24">
        <f>_xll.EQNXTDZ($A$1,$B24,Y$1,$B$1)</f>
        <v>97.292000000000002</v>
      </c>
      <c r="Z24">
        <f>_xll.EQNXTDZ($A$1,$B24,Z$1,$B$1)</f>
        <v>121.965</v>
      </c>
      <c r="AA24">
        <f>_xll.EQNXTDZ($A$1,$B24,AA$1,$B$1)</f>
        <v>83.14</v>
      </c>
      <c r="AB24">
        <f>_xll.EQNXTDZ($A$1,$B24,AB$1,$B$1)</f>
        <v>86.254000000000005</v>
      </c>
      <c r="AC24">
        <f>_xll.EQNXTDZ($A$1,$B24,AC$1,$B$1)</f>
        <v>89.13</v>
      </c>
      <c r="AD24">
        <f>_xll.EQNXTDZ($A$1,$B24,AD$1,$B$1)</f>
        <v>113.61</v>
      </c>
      <c r="AE24">
        <f>_xll.EQNXTDZ($A$1,$B24,AE$1,$B$1)</f>
        <v>87.759999999999906</v>
      </c>
      <c r="AF24">
        <f>_xll.EQNXTDZ($A$1,$B24,AF$1,$B$1)</f>
        <v>139.16999999999999</v>
      </c>
      <c r="AG24">
        <f>_xll.EQNXTDZ($A$1,$B24,AG$1,$B$1)</f>
        <v>150.09</v>
      </c>
      <c r="AH24">
        <f>_xll.EQNXTDZ($A$1,$B24,AH$1,$B$1)</f>
        <v>193.45</v>
      </c>
      <c r="AI24">
        <f>_xll.EQNXTDZ($A$1,$B24,AI$1,$B$1)</f>
        <v>285.41000000000003</v>
      </c>
      <c r="AJ24">
        <f>_xll.EQNXTDZ($A$1,$B24,AJ$1,$B$1)</f>
        <v>378.99</v>
      </c>
      <c r="AK24">
        <f>_xll.EQNXTDZ($A$1,$B24,AK$1,$B$1)</f>
        <v>433.23</v>
      </c>
      <c r="AL24">
        <f>_xll.EQNXTDZ($A$1,$B24,AL$1,$B$1)</f>
        <v>476.71</v>
      </c>
      <c r="AM24">
        <f>_xll.EQNXTDZ($A$1,$B24,AM$1,$B$1)</f>
        <v>401.2</v>
      </c>
      <c r="AN24">
        <f>_xll.EQNXTDZ($A$1,$B24,AN$1,$B$1)</f>
        <v>347.91</v>
      </c>
      <c r="AO24">
        <f>_xll.EQNXTDZ($A$1,$B24,AO$1,$B$1)</f>
        <v>290.62</v>
      </c>
      <c r="AP24">
        <f>_xll.EQNXTDZ($A$1,$B24,AP$1,$B$1)</f>
        <v>398</v>
      </c>
      <c r="AQ24">
        <f>_xll.EQNXTDZ($A$1,$B24,AQ$1,$B$1)</f>
        <v>455.92</v>
      </c>
      <c r="AR24">
        <f>_xll.EQNXTDZ($A$1,$B24,AR$1,$B$1)</f>
        <v>450.02</v>
      </c>
      <c r="AS24">
        <f>_xll.EQNXTDZ($A$1,$B24,AS$1,$B$1)</f>
        <v>405</v>
      </c>
      <c r="AT24">
        <f>_xll.EQNXTDZ($A$1,$B24,AT$1,$B$1)</f>
        <v>287.25</v>
      </c>
      <c r="AU24">
        <f>_xll.EQNXTDZ($A$1,$B24,AU$1,$B$1)</f>
        <v>170.32</v>
      </c>
      <c r="AV24">
        <f>_xll.EQNXTDZ($A$1,$B24,AV$1,$B$1)</f>
        <v>189.65</v>
      </c>
      <c r="AW24">
        <f>_xll.EQNXTDZ($A$1,$B24,AW$1,$B$1)</f>
        <v>183.85</v>
      </c>
      <c r="AX24">
        <f>_xll.EQNXTDZ($A$1,$B24,AX$1,$B$1)</f>
        <v>260.02</v>
      </c>
      <c r="AY24">
        <f>_xll.EQNXTDZ($A$1,$B24,AY$1,$B$1)</f>
        <v>173.71</v>
      </c>
      <c r="AZ24">
        <f>_xll.EQNXTDZ($A$1,$B24,AZ$1,$B$1)</f>
        <v>182.93</v>
      </c>
      <c r="BA24">
        <f>_xll.EQNXTDZ($A$1,$B24,BA$1,$B$1)</f>
        <v>294.57</v>
      </c>
      <c r="BB24">
        <f>_xll.EQNXTDZ($A$1,$B24,BB$1,$B$1)</f>
        <v>479.17</v>
      </c>
      <c r="BC24">
        <f>_xll.EQNXTDZ($A$1,$B24,BC$1,$B$1)</f>
        <v>392.56</v>
      </c>
      <c r="BD24">
        <f>_xll.EQNXTDZ($A$1,$B24,BD$1,$B$1)</f>
        <v>430.22</v>
      </c>
      <c r="BE24">
        <f>_xll.EQNXTDZ($A$1,$B24,BE$1,$B$1)</f>
        <v>485.97</v>
      </c>
      <c r="BF24">
        <f>_xll.EQNXTDZ($A$1,$B24,BF$1,$B$1)</f>
        <v>523.91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29.43</v>
      </c>
      <c r="R25">
        <f>_xll.EQNXTDZ($A$1,$B25,R$1,$B$1)</f>
        <v>29.001999999999999</v>
      </c>
      <c r="S25">
        <f>_xll.EQNXTDZ($A$1,$B25,S$1,$B$1)</f>
        <v>27.905000000000001</v>
      </c>
      <c r="T25">
        <f>_xll.EQNXTDZ($A$1,$B25,T$1,$B$1)</f>
        <v>24.721</v>
      </c>
      <c r="U25">
        <f>_xll.EQNXTDZ($A$1,$B25,U$1,$B$1)</f>
        <v>30.818000000000001</v>
      </c>
      <c r="V25">
        <f>_xll.EQNXTDZ($A$1,$B25,V$1,$B$1)</f>
        <v>16.452000000000002</v>
      </c>
      <c r="W25">
        <f>_xll.EQNXTDZ($A$1,$B25,W$1,$B$1)</f>
        <v>19.096</v>
      </c>
      <c r="X25">
        <f>_xll.EQNXTDZ($A$1,$B25,X$1,$B$1)</f>
        <v>19.521000000000001</v>
      </c>
      <c r="Y25">
        <f>_xll.EQNXTDZ($A$1,$B25,Y$1,$B$1)</f>
        <v>17.763000000000002</v>
      </c>
      <c r="Z25">
        <f>_xll.EQNXTDZ($A$1,$B25,Z$1,$B$1)</f>
        <v>23.263999999999999</v>
      </c>
      <c r="AA25">
        <f>_xll.EQNXTDZ($A$1,$B25,AA$1,$B$1)</f>
        <v>22.323</v>
      </c>
      <c r="AB25">
        <f>_xll.EQNXTDZ($A$1,$B25,AB$1,$B$1)</f>
        <v>24.645</v>
      </c>
      <c r="AC25">
        <f>_xll.EQNXTDZ($A$1,$B25,AC$1,$B$1)</f>
        <v>23.654</v>
      </c>
      <c r="AD25">
        <f>_xll.EQNXTDZ($A$1,$B25,AD$1,$B$1)</f>
        <v>17.568000000000001</v>
      </c>
      <c r="AE25">
        <f>_xll.EQNXTDZ($A$1,$B25,AE$1,$B$1)</f>
        <v>22.53</v>
      </c>
      <c r="AF25">
        <f>_xll.EQNXTDZ($A$1,$B25,AF$1,$B$1)</f>
        <v>25.57</v>
      </c>
      <c r="AG25">
        <f>_xll.EQNXTDZ($A$1,$B25,AG$1,$B$1)</f>
        <v>20.83</v>
      </c>
      <c r="AH25">
        <f>_xll.EQNXTDZ($A$1,$B25,AH$1,$B$1)</f>
        <v>20.66</v>
      </c>
      <c r="AI25">
        <f>_xll.EQNXTDZ($A$1,$B25,AI$1,$B$1)</f>
        <v>15.14</v>
      </c>
      <c r="AJ25">
        <f>_xll.EQNXTDZ($A$1,$B25,AJ$1,$B$1)</f>
        <v>13.68</v>
      </c>
      <c r="AK25">
        <f>_xll.EQNXTDZ($A$1,$B25,AK$1,$B$1)</f>
        <v>17.43</v>
      </c>
      <c r="AL25">
        <f>_xll.EQNXTDZ($A$1,$B25,AL$1,$B$1)</f>
        <v>21.91</v>
      </c>
      <c r="AM25">
        <f>_xll.EQNXTDZ($A$1,$B25,AM$1,$B$1)</f>
        <v>26.61</v>
      </c>
      <c r="AN25">
        <f>_xll.EQNXTDZ($A$1,$B25,AN$1,$B$1)</f>
        <v>22.13</v>
      </c>
      <c r="AO25">
        <f>_xll.EQNXTDZ($A$1,$B25,AO$1,$B$1)</f>
        <v>23.1</v>
      </c>
      <c r="AP25">
        <f>_xll.EQNXTDZ($A$1,$B25,AP$1,$B$1)</f>
        <v>30.55</v>
      </c>
      <c r="AQ25">
        <f>_xll.EQNXTDZ($A$1,$B25,AQ$1,$B$1)</f>
        <v>29.25</v>
      </c>
      <c r="AR25">
        <f>_xll.EQNXTDZ($A$1,$B25,AR$1,$B$1)</f>
        <v>40.11</v>
      </c>
      <c r="AS25">
        <f>_xll.EQNXTDZ($A$1,$B25,AS$1,$B$1)</f>
        <v>42.71</v>
      </c>
      <c r="AT25">
        <f>_xll.EQNXTDZ($A$1,$B25,AT$1,$B$1)</f>
        <v>53.1</v>
      </c>
      <c r="AU25">
        <f>_xll.EQNXTDZ($A$1,$B25,AU$1,$B$1)</f>
        <v>39.19</v>
      </c>
      <c r="AV25">
        <f>_xll.EQNXTDZ($A$1,$B25,AV$1,$B$1)</f>
        <v>42.39</v>
      </c>
      <c r="AW25">
        <f>_xll.EQNXTDZ($A$1,$B25,AW$1,$B$1)</f>
        <v>50.82</v>
      </c>
      <c r="AX25">
        <f>_xll.EQNXTDZ($A$1,$B25,AX$1,$B$1)</f>
        <v>50.5</v>
      </c>
      <c r="AY25">
        <f>_xll.EQNXTDZ($A$1,$B25,AY$1,$B$1)</f>
        <v>49.19</v>
      </c>
      <c r="AZ25">
        <f>_xll.EQNXTDZ($A$1,$B25,AZ$1,$B$1)</f>
        <v>52.61</v>
      </c>
      <c r="BA25">
        <f>_xll.EQNXTDZ($A$1,$B25,BA$1,$B$1)</f>
        <v>57.8</v>
      </c>
      <c r="BB25">
        <f>_xll.EQNXTDZ($A$1,$B25,BB$1,$B$1)</f>
        <v>56.4</v>
      </c>
      <c r="BC25">
        <f>_xll.EQNXTDZ($A$1,$B25,BC$1,$B$1)</f>
        <v>51.5</v>
      </c>
      <c r="BD25">
        <f>_xll.EQNXTDZ($A$1,$B25,BD$1,$B$1)</f>
        <v>40</v>
      </c>
      <c r="BE25">
        <f>_xll.EQNXTDZ($A$1,$B25,BE$1,$B$1)</f>
        <v>38.79</v>
      </c>
      <c r="BF25">
        <f>_xll.EQNXTDZ($A$1,$B25,BF$1,$B$1)</f>
        <v>40.44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72.486999999999995</v>
      </c>
      <c r="R27">
        <f>_xll.EQNXTDZ($A$1,$B27,R$1,$B$1)</f>
        <v>92.876999999999995</v>
      </c>
      <c r="S27">
        <f>_xll.EQNXTDZ($A$1,$B27,S$1,$B$1)</f>
        <v>59.404000000000003</v>
      </c>
      <c r="T27">
        <f>_xll.EQNXTDZ($A$1,$B27,T$1,$B$1)</f>
        <v>91.466999999999999</v>
      </c>
      <c r="U27">
        <f>_xll.EQNXTDZ($A$1,$B27,U$1,$B$1)</f>
        <v>81.489999999999995</v>
      </c>
      <c r="V27">
        <f>_xll.EQNXTDZ($A$1,$B27,V$1,$B$1)</f>
        <v>108.816</v>
      </c>
      <c r="W27">
        <f>_xll.EQNXTDZ($A$1,$B27,W$1,$B$1)</f>
        <v>84.959000000000003</v>
      </c>
      <c r="X27">
        <f>_xll.EQNXTDZ($A$1,$B27,X$1,$B$1)</f>
        <v>99.68</v>
      </c>
      <c r="Y27">
        <f>_xll.EQNXTDZ($A$1,$B27,Y$1,$B$1)</f>
        <v>79.528999999999996</v>
      </c>
      <c r="Z27">
        <f>_xll.EQNXTDZ($A$1,$B27,Z$1,$B$1)</f>
        <v>98.700999999999993</v>
      </c>
      <c r="AA27">
        <f>_xll.EQNXTDZ($A$1,$B27,AA$1,$B$1)</f>
        <v>60.817</v>
      </c>
      <c r="AB27">
        <f>_xll.EQNXTDZ($A$1,$B27,AB$1,$B$1)</f>
        <v>61.609000000000002</v>
      </c>
      <c r="AC27">
        <f>_xll.EQNXTDZ($A$1,$B27,AC$1,$B$1)</f>
        <v>65.475999999999999</v>
      </c>
      <c r="AD27">
        <f>_xll.EQNXTDZ($A$1,$B27,AD$1,$B$1)</f>
        <v>96.041999999999902</v>
      </c>
      <c r="AE27">
        <f>_xll.EQNXTDZ($A$1,$B27,AE$1,$B$1)</f>
        <v>65.23</v>
      </c>
      <c r="AF27">
        <f>_xll.EQNXTDZ($A$1,$B27,AF$1,$B$1)</f>
        <v>113.6</v>
      </c>
      <c r="AG27">
        <f>_xll.EQNXTDZ($A$1,$B27,AG$1,$B$1)</f>
        <v>129.26</v>
      </c>
      <c r="AH27">
        <f>_xll.EQNXTDZ($A$1,$B27,AH$1,$B$1)</f>
        <v>172.79</v>
      </c>
      <c r="AI27">
        <f>_xll.EQNXTDZ($A$1,$B27,AI$1,$B$1)</f>
        <v>270.27</v>
      </c>
      <c r="AJ27">
        <f>_xll.EQNXTDZ($A$1,$B27,AJ$1,$B$1)</f>
        <v>365.31</v>
      </c>
      <c r="AK27">
        <f>_xll.EQNXTDZ($A$1,$B27,AK$1,$B$1)</f>
        <v>415.8</v>
      </c>
      <c r="AL27">
        <f>_xll.EQNXTDZ($A$1,$B27,AL$1,$B$1)</f>
        <v>454.8</v>
      </c>
      <c r="AM27">
        <f>_xll.EQNXTDZ($A$1,$B27,AM$1,$B$1)</f>
        <v>374.59</v>
      </c>
      <c r="AN27">
        <f>_xll.EQNXTDZ($A$1,$B27,AN$1,$B$1)</f>
        <v>325.77999999999997</v>
      </c>
      <c r="AO27">
        <f>_xll.EQNXTDZ($A$1,$B27,AO$1,$B$1)</f>
        <v>267.52</v>
      </c>
      <c r="AP27">
        <f>_xll.EQNXTDZ($A$1,$B27,AP$1,$B$1)</f>
        <v>367.45</v>
      </c>
      <c r="AQ27">
        <f>_xll.EQNXTDZ($A$1,$B27,AQ$1,$B$1)</f>
        <v>426.67</v>
      </c>
      <c r="AR27">
        <f>_xll.EQNXTDZ($A$1,$B27,AR$1,$B$1)</f>
        <v>409.91</v>
      </c>
      <c r="AS27">
        <f>_xll.EQNXTDZ($A$1,$B27,AS$1,$B$1)</f>
        <v>362.29</v>
      </c>
      <c r="AT27">
        <f>_xll.EQNXTDZ($A$1,$B27,AT$1,$B$1)</f>
        <v>234.15</v>
      </c>
      <c r="AU27">
        <f>_xll.EQNXTDZ($A$1,$B27,AU$1,$B$1)</f>
        <v>131.13</v>
      </c>
      <c r="AV27">
        <f>_xll.EQNXTDZ($A$1,$B27,AV$1,$B$1)</f>
        <v>147.26</v>
      </c>
      <c r="AW27">
        <f>_xll.EQNXTDZ($A$1,$B27,AW$1,$B$1)</f>
        <v>133.03</v>
      </c>
      <c r="AX27">
        <f>_xll.EQNXTDZ($A$1,$B27,AX$1,$B$1)</f>
        <v>209.52</v>
      </c>
      <c r="AY27">
        <f>_xll.EQNXTDZ($A$1,$B27,AY$1,$B$1)</f>
        <v>124.52</v>
      </c>
      <c r="AZ27">
        <f>_xll.EQNXTDZ($A$1,$B27,AZ$1,$B$1)</f>
        <v>130.32</v>
      </c>
      <c r="BA27">
        <f>_xll.EQNXTDZ($A$1,$B27,BA$1,$B$1)</f>
        <v>236.77</v>
      </c>
      <c r="BB27">
        <f>_xll.EQNXTDZ($A$1,$B27,BB$1,$B$1)</f>
        <v>422.77</v>
      </c>
      <c r="BC27">
        <f>_xll.EQNXTDZ($A$1,$B27,BC$1,$B$1)</f>
        <v>341.06</v>
      </c>
      <c r="BD27">
        <f>_xll.EQNXTDZ($A$1,$B27,BD$1,$B$1)</f>
        <v>390.22</v>
      </c>
      <c r="BE27">
        <f>_xll.EQNXTDZ($A$1,$B27,BE$1,$B$1)</f>
        <v>447.18</v>
      </c>
      <c r="BF27">
        <f>_xll.EQNXTDZ($A$1,$B27,BF$1,$B$1)</f>
        <v>483.47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23.632000000000001</v>
      </c>
      <c r="R28">
        <f>_xll.EQNXTDZ($A$1,$B28,R$1,$B$1)</f>
        <v>24.785</v>
      </c>
      <c r="S28">
        <f>_xll.EQNXTDZ($A$1,$B28,S$1,$B$1)</f>
        <v>24.757000000000001</v>
      </c>
      <c r="T28">
        <f>_xll.EQNXTDZ($A$1,$B28,T$1,$B$1)</f>
        <v>25.594999999999999</v>
      </c>
      <c r="U28">
        <f>_xll.EQNXTDZ($A$1,$B28,U$1,$B$1)</f>
        <v>27.436</v>
      </c>
      <c r="V28">
        <f>_xll.EQNXTDZ($A$1,$B28,V$1,$B$1)</f>
        <v>28.193999999999999</v>
      </c>
      <c r="W28">
        <f>_xll.EQNXTDZ($A$1,$B28,W$1,$B$1)</f>
        <v>29.785</v>
      </c>
      <c r="X28">
        <f>_xll.EQNXTDZ($A$1,$B28,X$1,$B$1)</f>
        <v>30.08</v>
      </c>
      <c r="Y28">
        <f>_xll.EQNXTDZ($A$1,$B28,Y$1,$B$1)</f>
        <v>30.975000000000001</v>
      </c>
      <c r="Z28">
        <f>_xll.EQNXTDZ($A$1,$B28,Z$1,$B$1)</f>
        <v>34.613</v>
      </c>
      <c r="AA28">
        <f>_xll.EQNXTDZ($A$1,$B28,AA$1,$B$1)</f>
        <v>38.192999999999998</v>
      </c>
      <c r="AB28">
        <f>_xll.EQNXTDZ($A$1,$B28,AB$1,$B$1)</f>
        <v>39.817999999999998</v>
      </c>
      <c r="AC28">
        <f>_xll.EQNXTDZ($A$1,$B28,AC$1,$B$1)</f>
        <v>42.707999999999998</v>
      </c>
      <c r="AD28">
        <f>_xll.EQNXTDZ($A$1,$B28,AD$1,$B$1)</f>
        <v>43.472999999999999</v>
      </c>
      <c r="AE28">
        <f>_xll.EQNXTDZ($A$1,$B28,AE$1,$B$1)</f>
        <v>45.84</v>
      </c>
      <c r="AF28">
        <f>_xll.EQNXTDZ($A$1,$B28,AF$1,$B$1)</f>
        <v>47.83</v>
      </c>
      <c r="AG28">
        <f>_xll.EQNXTDZ($A$1,$B28,AG$1,$B$1)</f>
        <v>47.55</v>
      </c>
      <c r="AH28">
        <f>_xll.EQNXTDZ($A$1,$B28,AH$1,$B$1)</f>
        <v>46.05</v>
      </c>
      <c r="AI28">
        <f>_xll.EQNXTDZ($A$1,$B28,AI$1,$B$1)</f>
        <v>48.8</v>
      </c>
      <c r="AJ28">
        <f>_xll.EQNXTDZ($A$1,$B28,AJ$1,$B$1)</f>
        <v>51</v>
      </c>
      <c r="AK28">
        <f>_xll.EQNXTDZ($A$1,$B28,AK$1,$B$1)</f>
        <v>51.64</v>
      </c>
      <c r="AL28">
        <f>_xll.EQNXTDZ($A$1,$B28,AL$1,$B$1)</f>
        <v>53.63</v>
      </c>
      <c r="AM28">
        <f>_xll.EQNXTDZ($A$1,$B28,AM$1,$B$1)</f>
        <v>58.54</v>
      </c>
      <c r="AN28">
        <f>_xll.EQNXTDZ($A$1,$B28,AN$1,$B$1)</f>
        <v>63.19</v>
      </c>
      <c r="AO28">
        <f>_xll.EQNXTDZ($A$1,$B28,AO$1,$B$1)</f>
        <v>64.02</v>
      </c>
      <c r="AP28">
        <f>_xll.EQNXTDZ($A$1,$B28,AP$1,$B$1)</f>
        <v>65.739999999999995</v>
      </c>
      <c r="AQ28">
        <f>_xll.EQNXTDZ($A$1,$B28,AQ$1,$B$1)</f>
        <v>70.790000000000006</v>
      </c>
      <c r="AR28">
        <f>_xll.EQNXTDZ($A$1,$B28,AR$1,$B$1)</f>
        <v>81.84</v>
      </c>
      <c r="AS28">
        <f>_xll.EQNXTDZ($A$1,$B28,AS$1,$B$1)</f>
        <v>84.44</v>
      </c>
      <c r="AT28">
        <f>_xll.EQNXTDZ($A$1,$B28,AT$1,$B$1)</f>
        <v>87.01</v>
      </c>
      <c r="AU28">
        <f>_xll.EQNXTDZ($A$1,$B28,AU$1,$B$1)</f>
        <v>90.55</v>
      </c>
      <c r="AV28">
        <f>_xll.EQNXTDZ($A$1,$B28,AV$1,$B$1)</f>
        <v>93.37</v>
      </c>
      <c r="AW28">
        <f>_xll.EQNXTDZ($A$1,$B28,AW$1,$B$1)</f>
        <v>98.41</v>
      </c>
      <c r="AX28">
        <f>_xll.EQNXTDZ($A$1,$B28,AX$1,$B$1)</f>
        <v>102.25</v>
      </c>
      <c r="AY28">
        <f>_xll.EQNXTDZ($A$1,$B28,AY$1,$B$1)</f>
        <v>106.06</v>
      </c>
      <c r="AZ28">
        <f>_xll.EQNXTDZ($A$1,$B28,AZ$1,$B$1)</f>
        <v>107.51</v>
      </c>
      <c r="BA28">
        <f>_xll.EQNXTDZ($A$1,$B28,BA$1,$B$1)</f>
        <v>106.09</v>
      </c>
      <c r="BB28">
        <f>_xll.EQNXTDZ($A$1,$B28,BB$1,$B$1)</f>
        <v>110.43</v>
      </c>
      <c r="BC28">
        <f>_xll.EQNXTDZ($A$1,$B28,BC$1,$B$1)</f>
        <v>116.84</v>
      </c>
      <c r="BD28">
        <f>_xll.EQNXTDZ($A$1,$B28,BD$1,$B$1)</f>
        <v>120.49</v>
      </c>
      <c r="BE28">
        <f>_xll.EQNXTDZ($A$1,$B28,BE$1,$B$1)</f>
        <v>120.62</v>
      </c>
      <c r="BF28">
        <f>_xll.EQNXTDZ($A$1,$B28,BF$1,$B$1)</f>
        <v>122.1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8.6280000000000001</v>
      </c>
      <c r="R29">
        <f>_xll.EQNXTDZ($A$1,$B29,R$1,$B$1)</f>
        <v>14.676</v>
      </c>
      <c r="S29">
        <f>_xll.EQNXTDZ($A$1,$B29,S$1,$B$1)</f>
        <v>7.9589999999999996</v>
      </c>
      <c r="T29">
        <f>_xll.EQNXTDZ($A$1,$B29,T$1,$B$1)</f>
        <v>17.143999999999998</v>
      </c>
      <c r="U29">
        <f>_xll.EQNXTDZ($A$1,$B29,U$1,$B$1)</f>
        <v>9.4719999999999995</v>
      </c>
      <c r="V29">
        <f>_xll.EQNXTDZ($A$1,$B29,V$1,$B$1)</f>
        <v>9.2889999999999997</v>
      </c>
      <c r="W29">
        <f>_xll.EQNXTDZ($A$1,$B29,W$1,$B$1)</f>
        <v>16.268999999999998</v>
      </c>
      <c r="X29">
        <f>_xll.EQNXTDZ($A$1,$B29,X$1,$B$1)</f>
        <v>20.844999999999999</v>
      </c>
      <c r="Y29">
        <f>_xll.EQNXTDZ($A$1,$B29,Y$1,$B$1)</f>
        <v>13.683999999999999</v>
      </c>
      <c r="Z29">
        <f>_xll.EQNXTDZ($A$1,$B29,Z$1,$B$1)</f>
        <v>19.007999999999999</v>
      </c>
      <c r="AA29">
        <f>_xll.EQNXTDZ($A$1,$B29,AA$1,$B$1)</f>
        <v>6.0659999999999998</v>
      </c>
      <c r="AB29">
        <f>_xll.EQNXTDZ($A$1,$B29,AB$1,$B$1)</f>
        <v>5.5810000000000004</v>
      </c>
      <c r="AC29">
        <f>_xll.EQNXTDZ($A$1,$B29,AC$1,$B$1)</f>
        <v>4.9509999999999996</v>
      </c>
      <c r="AD29">
        <f>_xll.EQNXTDZ($A$1,$B29,AD$1,$B$1)</f>
        <v>9.39</v>
      </c>
      <c r="AE29">
        <f>_xll.EQNXTDZ($A$1,$B29,AE$1,$B$1)</f>
        <v>4.29</v>
      </c>
      <c r="AF29">
        <f>_xll.EQNXTDZ($A$1,$B29,AF$1,$B$1)</f>
        <v>9.2200000000000006</v>
      </c>
      <c r="AG29">
        <f>_xll.EQNXTDZ($A$1,$B29,AG$1,$B$1)</f>
        <v>8.24</v>
      </c>
      <c r="AH29">
        <f>_xll.EQNXTDZ($A$1,$B29,AH$1,$B$1)</f>
        <v>16.59</v>
      </c>
      <c r="AI29">
        <f>_xll.EQNXTDZ($A$1,$B29,AI$1,$B$1)</f>
        <v>49.69</v>
      </c>
      <c r="AJ29">
        <f>_xll.EQNXTDZ($A$1,$B29,AJ$1,$B$1)</f>
        <v>72.040000000000006</v>
      </c>
      <c r="AK29">
        <f>_xll.EQNXTDZ($A$1,$B29,AK$1,$B$1)</f>
        <v>91.31</v>
      </c>
      <c r="AL29">
        <f>_xll.EQNXTDZ($A$1,$B29,AL$1,$B$1)</f>
        <v>104.25</v>
      </c>
      <c r="AM29">
        <f>_xll.EQNXTDZ($A$1,$B29,AM$1,$B$1)</f>
        <v>74.44</v>
      </c>
      <c r="AN29">
        <f>_xll.EQNXTDZ($A$1,$B29,AN$1,$B$1)</f>
        <v>58.64</v>
      </c>
      <c r="AO29">
        <f>_xll.EQNXTDZ($A$1,$B29,AO$1,$B$1)</f>
        <v>48.53</v>
      </c>
      <c r="AP29">
        <f>_xll.EQNXTDZ($A$1,$B29,AP$1,$B$1)</f>
        <v>69.81</v>
      </c>
      <c r="AQ29">
        <f>_xll.EQNXTDZ($A$1,$B29,AQ$1,$B$1)</f>
        <v>103.34</v>
      </c>
      <c r="AR29">
        <f>_xll.EQNXTDZ($A$1,$B29,AR$1,$B$1)</f>
        <v>94.27</v>
      </c>
      <c r="AS29">
        <f>_xll.EQNXTDZ($A$1,$B29,AS$1,$B$1)</f>
        <v>74.790000000000006</v>
      </c>
      <c r="AT29">
        <f>_xll.EQNXTDZ($A$1,$B29,AT$1,$B$1)</f>
        <v>39.9</v>
      </c>
      <c r="AU29">
        <f>_xll.EQNXTDZ($A$1,$B29,AU$1,$B$1)</f>
        <v>12.18</v>
      </c>
      <c r="AV29">
        <f>_xll.EQNXTDZ($A$1,$B29,AV$1,$B$1)</f>
        <v>14.57</v>
      </c>
      <c r="AW29">
        <f>_xll.EQNXTDZ($A$1,$B29,AW$1,$B$1)</f>
        <v>9.4499999999999993</v>
      </c>
      <c r="AX29">
        <f>_xll.EQNXTDZ($A$1,$B29,AX$1,$B$1)</f>
        <v>31.95</v>
      </c>
      <c r="AY29">
        <f>_xll.EQNXTDZ($A$1,$B29,AY$1,$B$1)</f>
        <v>6.25</v>
      </c>
      <c r="AZ29">
        <f>_xll.EQNXTDZ($A$1,$B29,AZ$1,$B$1)</f>
        <v>5.09</v>
      </c>
      <c r="BA29">
        <f>_xll.EQNXTDZ($A$1,$B29,BA$1,$B$1)</f>
        <v>40.07</v>
      </c>
      <c r="BB29">
        <f>_xll.EQNXTDZ($A$1,$B29,BB$1,$B$1)</f>
        <v>78.47</v>
      </c>
      <c r="BC29">
        <f>_xll.EQNXTDZ($A$1,$B29,BC$1,$B$1)</f>
        <v>63.14</v>
      </c>
      <c r="BD29">
        <f>_xll.EQNXTDZ($A$1,$B29,BD$1,$B$1)</f>
        <v>75.98</v>
      </c>
      <c r="BE29">
        <f>_xll.EQNXTDZ($A$1,$B29,BE$1,$B$1)</f>
        <v>73.45</v>
      </c>
      <c r="BF29">
        <f>_xll.EQNXTDZ($A$1,$B29,BF$1,$B$1)</f>
        <v>79.459999999999994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40.226999999999997</v>
      </c>
      <c r="R30">
        <f>_xll.EQNXTDZ($A$1,$B30,R$1,$B$1)</f>
        <v>53.415999999999997</v>
      </c>
      <c r="S30">
        <f>_xll.EQNXTDZ($A$1,$B30,S$1,$B$1)</f>
        <v>26.687999999999999</v>
      </c>
      <c r="T30">
        <f>_xll.EQNXTDZ($A$1,$B30,T$1,$B$1)</f>
        <v>48.728000000000002</v>
      </c>
      <c r="U30">
        <f>_xll.EQNXTDZ($A$1,$B30,U$1,$B$1)</f>
        <v>44.582000000000001</v>
      </c>
      <c r="V30">
        <f>_xll.EQNXTDZ($A$1,$B30,V$1,$B$1)</f>
        <v>71.332999999999998</v>
      </c>
      <c r="W30">
        <f>_xll.EQNXTDZ($A$1,$B30,W$1,$B$1)</f>
        <v>38.905000000000001</v>
      </c>
      <c r="X30">
        <f>_xll.EQNXTDZ($A$1,$B30,X$1,$B$1)</f>
        <v>48.755000000000003</v>
      </c>
      <c r="Y30">
        <f>_xll.EQNXTDZ($A$1,$B30,Y$1,$B$1)</f>
        <v>34.869999999999997</v>
      </c>
      <c r="Z30">
        <f>_xll.EQNXTDZ($A$1,$B30,Z$1,$B$1)</f>
        <v>45.08</v>
      </c>
      <c r="AA30">
        <f>_xll.EQNXTDZ($A$1,$B30,AA$1,$B$1)</f>
        <v>16.558</v>
      </c>
      <c r="AB30">
        <f>_xll.EQNXTDZ($A$1,$B30,AB$1,$B$1)</f>
        <v>16.21</v>
      </c>
      <c r="AC30">
        <f>_xll.EQNXTDZ($A$1,$B30,AC$1,$B$1)</f>
        <v>17.817</v>
      </c>
      <c r="AD30">
        <f>_xll.EQNXTDZ($A$1,$B30,AD$1,$B$1)</f>
        <v>43.178999999999903</v>
      </c>
      <c r="AE30">
        <f>_xll.EQNXTDZ($A$1,$B30,AE$1,$B$1)</f>
        <v>15.1</v>
      </c>
      <c r="AF30">
        <f>_xll.EQNXTDZ($A$1,$B30,AF$1,$B$1)</f>
        <v>56.55</v>
      </c>
      <c r="AG30">
        <f>_xll.EQNXTDZ($A$1,$B30,AG$1,$B$1)</f>
        <v>73.470000000000098</v>
      </c>
      <c r="AH30">
        <f>_xll.EQNXTDZ($A$1,$B30,AH$1,$B$1)</f>
        <v>110.15</v>
      </c>
      <c r="AI30">
        <f>_xll.EQNXTDZ($A$1,$B30,AI$1,$B$1)</f>
        <v>171.78</v>
      </c>
      <c r="AJ30">
        <f>_xll.EQNXTDZ($A$1,$B30,AJ$1,$B$1)</f>
        <v>242.27</v>
      </c>
      <c r="AK30">
        <f>_xll.EQNXTDZ($A$1,$B30,AK$1,$B$1)</f>
        <v>272.85000000000002</v>
      </c>
      <c r="AL30">
        <f>_xll.EQNXTDZ($A$1,$B30,AL$1,$B$1)</f>
        <v>296.92</v>
      </c>
      <c r="AM30">
        <f>_xll.EQNXTDZ($A$1,$B30,AM$1,$B$1)</f>
        <v>241.61</v>
      </c>
      <c r="AN30">
        <f>_xll.EQNXTDZ($A$1,$B30,AN$1,$B$1)</f>
        <v>203.95</v>
      </c>
      <c r="AO30">
        <f>_xll.EQNXTDZ($A$1,$B30,AO$1,$B$1)</f>
        <v>154.97</v>
      </c>
      <c r="AP30">
        <f>_xll.EQNXTDZ($A$1,$B30,AP$1,$B$1)</f>
        <v>231.9</v>
      </c>
      <c r="AQ30">
        <f>_xll.EQNXTDZ($A$1,$B30,AQ$1,$B$1)</f>
        <v>252.54</v>
      </c>
      <c r="AR30">
        <f>_xll.EQNXTDZ($A$1,$B30,AR$1,$B$1)</f>
        <v>233.8</v>
      </c>
      <c r="AS30">
        <f>_xll.EQNXTDZ($A$1,$B30,AS$1,$B$1)</f>
        <v>203.06</v>
      </c>
      <c r="AT30">
        <f>_xll.EQNXTDZ($A$1,$B30,AT$1,$B$1)</f>
        <v>107.24</v>
      </c>
      <c r="AU30">
        <f>_xll.EQNXTDZ($A$1,$B30,AU$1,$B$1)</f>
        <v>28.400000000000102</v>
      </c>
      <c r="AV30">
        <f>_xll.EQNXTDZ($A$1,$B30,AV$1,$B$1)</f>
        <v>39.32</v>
      </c>
      <c r="AW30">
        <f>_xll.EQNXTDZ($A$1,$B30,AW$1,$B$1)</f>
        <v>25.17</v>
      </c>
      <c r="AX30">
        <f>_xll.EQNXTDZ($A$1,$B30,AX$1,$B$1)</f>
        <v>75.319999999999894</v>
      </c>
      <c r="AY30">
        <f>_xll.EQNXTDZ($A$1,$B30,AY$1,$B$1)</f>
        <v>12.21</v>
      </c>
      <c r="AZ30">
        <f>_xll.EQNXTDZ($A$1,$B30,AZ$1,$B$1)</f>
        <v>17.720000000000098</v>
      </c>
      <c r="BA30">
        <f>_xll.EQNXTDZ($A$1,$B30,BA$1,$B$1)</f>
        <v>90.6099999999999</v>
      </c>
      <c r="BB30">
        <f>_xll.EQNXTDZ($A$1,$B30,BB$1,$B$1)</f>
        <v>233.87</v>
      </c>
      <c r="BC30">
        <f>_xll.EQNXTDZ($A$1,$B30,BC$1,$B$1)</f>
        <v>161.08000000000001</v>
      </c>
      <c r="BD30">
        <f>_xll.EQNXTDZ($A$1,$B30,BD$1,$B$1)</f>
        <v>193.75</v>
      </c>
      <c r="BE30">
        <f>_xll.EQNXTDZ($A$1,$B30,BE$1,$B$1)</f>
        <v>253.11</v>
      </c>
      <c r="BF30">
        <f>_xll.EQNXTDZ($A$1,$B30,BF$1,$B$1)</f>
        <v>281.91000000000003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-0.24</v>
      </c>
      <c r="AM34">
        <f>_xll.EQNXTDZ($A$1,$B34,AM$1,$B$1)</f>
        <v>-0.22</v>
      </c>
      <c r="AN34">
        <f>_xll.EQNXTDZ($A$1,$B34,AN$1,$B$1)</f>
        <v>-2.0499999999999998</v>
      </c>
      <c r="AO34">
        <f>_xll.EQNXTDZ($A$1,$B34,AO$1,$B$1)</f>
        <v>-1.22</v>
      </c>
      <c r="AP34">
        <f>_xll.EQNXTDZ($A$1,$B34,AP$1,$B$1)</f>
        <v>-1.22</v>
      </c>
      <c r="AQ34">
        <f>_xll.EQNXTDZ($A$1,$B34,AQ$1,$B$1)</f>
        <v>-0.95</v>
      </c>
      <c r="AR34">
        <f>_xll.EQNXTDZ($A$1,$B34,AR$1,$B$1)</f>
        <v>-0.57999999999999996</v>
      </c>
      <c r="AS34">
        <f>_xll.EQNXTDZ($A$1,$B34,AS$1,$B$1)</f>
        <v>0.5</v>
      </c>
      <c r="AT34">
        <f>_xll.EQNXTDZ($A$1,$B34,AT$1,$B$1)</f>
        <v>-2.29</v>
      </c>
      <c r="AU34">
        <f>_xll.EQNXTDZ($A$1,$B34,AU$1,$B$1)</f>
        <v>-1.94</v>
      </c>
      <c r="AV34">
        <f>_xll.EQNXTDZ($A$1,$B34,AV$1,$B$1)</f>
        <v>-0.17</v>
      </c>
      <c r="AW34">
        <f>_xll.EQNXTDZ($A$1,$B34,AW$1,$B$1)</f>
        <v>-0.2</v>
      </c>
      <c r="AX34">
        <f>_xll.EQNXTDZ($A$1,$B34,AX$1,$B$1)</f>
        <v>0.59</v>
      </c>
      <c r="AY34">
        <f>_xll.EQNXTDZ($A$1,$B34,AY$1,$B$1)</f>
        <v>-0.17</v>
      </c>
      <c r="AZ34">
        <f>_xll.EQNXTDZ($A$1,$B34,AZ$1,$B$1)</f>
        <v>-0.11</v>
      </c>
      <c r="BA34">
        <f>_xll.EQNXTDZ($A$1,$B34,BA$1,$B$1)</f>
        <v>-0.64</v>
      </c>
      <c r="BB34">
        <f>_xll.EQNXTDZ($A$1,$B34,BB$1,$B$1)</f>
        <v>0.9</v>
      </c>
      <c r="BC34">
        <f>_xll.EQNXTDZ($A$1,$B34,BC$1,$B$1)</f>
        <v>1.34</v>
      </c>
      <c r="BD34">
        <f>_xll.EQNXTDZ($A$1,$B34,BD$1,$B$1)</f>
        <v>0.48</v>
      </c>
      <c r="BE34">
        <f>_xll.EQNXTDZ($A$1,$B34,BE$1,$B$1)</f>
        <v>-0.22</v>
      </c>
      <c r="BF34">
        <f>_xll.EQNXTDZ($A$1,$B34,BF$1,$B$1)</f>
        <v>-2.95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-1.0449999999999999</v>
      </c>
      <c r="T35">
        <f>_xll.EQNXTDZ($A$1,$B35,T$1,$B$1)</f>
        <v>-0.44700000000000001</v>
      </c>
      <c r="U35">
        <f>_xll.EQNXTDZ($A$1,$B35,U$1,$B$1)</f>
        <v>0.437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-0.02</v>
      </c>
      <c r="AP35">
        <f>_xll.EQNXTDZ($A$1,$B35,AP$1,$B$1)</f>
        <v>-0.18</v>
      </c>
      <c r="AQ35">
        <f>_xll.EQNXTDZ($A$1,$B35,AQ$1,$B$1)</f>
        <v>-0.31</v>
      </c>
      <c r="AR35">
        <f>_xll.EQNXTDZ($A$1,$B35,AR$1,$B$1)</f>
        <v>-0.41</v>
      </c>
      <c r="AS35">
        <f>_xll.EQNXTDZ($A$1,$B35,AS$1,$B$1)</f>
        <v>-0.52</v>
      </c>
      <c r="AT35">
        <f>_xll.EQNXTDZ($A$1,$B35,AT$1,$B$1)</f>
        <v>-1.97</v>
      </c>
      <c r="AU35">
        <f>_xll.EQNXTDZ($A$1,$B35,AU$1,$B$1)</f>
        <v>-1.61</v>
      </c>
      <c r="AV35">
        <f>_xll.EQNXTDZ($A$1,$B35,AV$1,$B$1)</f>
        <v>-2.2000000000000002</v>
      </c>
      <c r="AW35">
        <f>_xll.EQNXTDZ($A$1,$B35,AW$1,$B$1)</f>
        <v>-1.83</v>
      </c>
      <c r="AX35">
        <f>_xll.EQNXTDZ($A$1,$B35,AX$1,$B$1)</f>
        <v>-0.3</v>
      </c>
      <c r="AY35">
        <f>_xll.EQNXTDZ($A$1,$B35,AY$1,$B$1)</f>
        <v>0.47</v>
      </c>
      <c r="AZ35">
        <f>_xll.EQNXTDZ($A$1,$B35,AZ$1,$B$1)</f>
        <v>2.23</v>
      </c>
      <c r="BA35">
        <f>_xll.EQNXTDZ($A$1,$B35,BA$1,$B$1)</f>
        <v>2.33</v>
      </c>
      <c r="BB35">
        <f>_xll.EQNXTDZ($A$1,$B35,BB$1,$B$1)</f>
        <v>-1.1000000000000001</v>
      </c>
      <c r="BC35">
        <f>_xll.EQNXTDZ($A$1,$B35,BC$1,$B$1)</f>
        <v>0.6</v>
      </c>
      <c r="BD35">
        <f>_xll.EQNXTDZ($A$1,$B35,BD$1,$B$1)</f>
        <v>0.74</v>
      </c>
      <c r="BE35">
        <f>_xll.EQNXTDZ($A$1,$B35,BE$1,$B$1)</f>
        <v>-1.23</v>
      </c>
      <c r="BF35">
        <f>_xll.EQNXTDZ($A$1,$B35,BF$1,$B$1)</f>
        <v>0.18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40.226999999999997</v>
      </c>
      <c r="R38">
        <f>_xll.EQNXTDZ($A$1,$B38,R$1,$B$1)</f>
        <v>53.415999999999997</v>
      </c>
      <c r="S38">
        <f>_xll.EQNXTDZ($A$1,$B38,S$1,$B$1)</f>
        <v>25.643000000000001</v>
      </c>
      <c r="T38">
        <f>_xll.EQNXTDZ($A$1,$B38,T$1,$B$1)</f>
        <v>48.280999999999999</v>
      </c>
      <c r="U38">
        <f>_xll.EQNXTDZ($A$1,$B38,U$1,$B$1)</f>
        <v>45.018999999999998</v>
      </c>
      <c r="V38">
        <f>_xll.EQNXTDZ($A$1,$B38,V$1,$B$1)</f>
        <v>71.332999999999998</v>
      </c>
      <c r="W38">
        <f>_xll.EQNXTDZ($A$1,$B38,W$1,$B$1)</f>
        <v>38.905000000000001</v>
      </c>
      <c r="X38">
        <f>_xll.EQNXTDZ($A$1,$B38,X$1,$B$1)</f>
        <v>48.755000000000003</v>
      </c>
      <c r="Y38">
        <f>_xll.EQNXTDZ($A$1,$B38,Y$1,$B$1)</f>
        <v>34.869999999999997</v>
      </c>
      <c r="Z38">
        <f>_xll.EQNXTDZ($A$1,$B38,Z$1,$B$1)</f>
        <v>45.08</v>
      </c>
      <c r="AA38">
        <f>_xll.EQNXTDZ($A$1,$B38,AA$1,$B$1)</f>
        <v>16.558</v>
      </c>
      <c r="AB38">
        <f>_xll.EQNXTDZ($A$1,$B38,AB$1,$B$1)</f>
        <v>16.21</v>
      </c>
      <c r="AC38">
        <f>_xll.EQNXTDZ($A$1,$B38,AC$1,$B$1)</f>
        <v>17.817</v>
      </c>
      <c r="AD38">
        <f>_xll.EQNXTDZ($A$1,$B38,AD$1,$B$1)</f>
        <v>43.179000000000002</v>
      </c>
      <c r="AE38">
        <f>_xll.EQNXTDZ($A$1,$B38,AE$1,$B$1)</f>
        <v>15.1</v>
      </c>
      <c r="AF38">
        <f>_xll.EQNXTDZ($A$1,$B38,AF$1,$B$1)</f>
        <v>56.55</v>
      </c>
      <c r="AG38">
        <f>_xll.EQNXTDZ($A$1,$B38,AG$1,$B$1)</f>
        <v>73.47</v>
      </c>
      <c r="AH38">
        <f>_xll.EQNXTDZ($A$1,$B38,AH$1,$B$1)</f>
        <v>110.15</v>
      </c>
      <c r="AI38">
        <f>_xll.EQNXTDZ($A$1,$B38,AI$1,$B$1)</f>
        <v>171.78</v>
      </c>
      <c r="AJ38">
        <f>_xll.EQNXTDZ($A$1,$B38,AJ$1,$B$1)</f>
        <v>242.27</v>
      </c>
      <c r="AK38">
        <f>_xll.EQNXTDZ($A$1,$B38,AK$1,$B$1)</f>
        <v>272.85000000000002</v>
      </c>
      <c r="AL38">
        <f>_xll.EQNXTDZ($A$1,$B38,AL$1,$B$1)</f>
        <v>296.68</v>
      </c>
      <c r="AM38">
        <f>_xll.EQNXTDZ($A$1,$B38,AM$1,$B$1)</f>
        <v>241.39</v>
      </c>
      <c r="AN38">
        <f>_xll.EQNXTDZ($A$1,$B38,AN$1,$B$1)</f>
        <v>201.9</v>
      </c>
      <c r="AO38">
        <f>_xll.EQNXTDZ($A$1,$B38,AO$1,$B$1)</f>
        <v>153.72999999999999</v>
      </c>
      <c r="AP38">
        <f>_xll.EQNXTDZ($A$1,$B38,AP$1,$B$1)</f>
        <v>230.5</v>
      </c>
      <c r="AQ38">
        <f>_xll.EQNXTDZ($A$1,$B38,AQ$1,$B$1)</f>
        <v>251.28</v>
      </c>
      <c r="AR38">
        <f>_xll.EQNXTDZ($A$1,$B38,AR$1,$B$1)</f>
        <v>232.81</v>
      </c>
      <c r="AS38">
        <f>_xll.EQNXTDZ($A$1,$B38,AS$1,$B$1)</f>
        <v>203.04</v>
      </c>
      <c r="AT38">
        <f>_xll.EQNXTDZ($A$1,$B38,AT$1,$B$1)</f>
        <v>102.98</v>
      </c>
      <c r="AU38">
        <f>_xll.EQNXTDZ($A$1,$B38,AU$1,$B$1)</f>
        <v>24.85</v>
      </c>
      <c r="AV38">
        <f>_xll.EQNXTDZ($A$1,$B38,AV$1,$B$1)</f>
        <v>36.950000000000003</v>
      </c>
      <c r="AW38">
        <f>_xll.EQNXTDZ($A$1,$B38,AW$1,$B$1)</f>
        <v>23.14</v>
      </c>
      <c r="AX38">
        <f>_xll.EQNXTDZ($A$1,$B38,AX$1,$B$1)</f>
        <v>75.61</v>
      </c>
      <c r="AY38">
        <f>_xll.EQNXTDZ($A$1,$B38,AY$1,$B$1)</f>
        <v>12.51</v>
      </c>
      <c r="AZ38">
        <f>_xll.EQNXTDZ($A$1,$B38,AZ$1,$B$1)</f>
        <v>19.84</v>
      </c>
      <c r="BA38">
        <f>_xll.EQNXTDZ($A$1,$B38,BA$1,$B$1)</f>
        <v>92.3</v>
      </c>
      <c r="BB38">
        <f>_xll.EQNXTDZ($A$1,$B38,BB$1,$B$1)</f>
        <v>233.67</v>
      </c>
      <c r="BC38">
        <f>_xll.EQNXTDZ($A$1,$B38,BC$1,$B$1)</f>
        <v>163.02000000000001</v>
      </c>
      <c r="BD38">
        <f>_xll.EQNXTDZ($A$1,$B38,BD$1,$B$1)</f>
        <v>194.97</v>
      </c>
      <c r="BE38">
        <f>_xll.EQNXTDZ($A$1,$B38,BE$1,$B$1)</f>
        <v>251.66</v>
      </c>
      <c r="BF38">
        <f>_xll.EQNXTDZ($A$1,$B38,BF$1,$B$1)</f>
        <v>279.14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-0.04</v>
      </c>
      <c r="R40">
        <f>_xll.EQNXTDZ($A$1,$B40,R$1,$B$1)</f>
        <v>-0.51200000000000001</v>
      </c>
      <c r="S40">
        <f>_xll.EQNXTDZ($A$1,$B40,S$1,$B$1)</f>
        <v>-0.32900000000000001</v>
      </c>
      <c r="T40">
        <f>_xll.EQNXTDZ($A$1,$B40,T$1,$B$1)</f>
        <v>4.2999999999999997E-2</v>
      </c>
      <c r="U40">
        <f>_xll.EQNXTDZ($A$1,$B40,U$1,$B$1)</f>
        <v>-0.223</v>
      </c>
      <c r="V40">
        <f>_xll.EQNXTDZ($A$1,$B40,V$1,$B$1)</f>
        <v>-0.01</v>
      </c>
      <c r="W40">
        <f>_xll.EQNXTDZ($A$1,$B40,W$1,$B$1)</f>
        <v>-0.29699999999999999</v>
      </c>
      <c r="X40">
        <f>_xll.EQNXTDZ($A$1,$B40,X$1,$B$1)</f>
        <v>9.0999999999999998E-2</v>
      </c>
      <c r="Y40">
        <f>_xll.EQNXTDZ($A$1,$B40,Y$1,$B$1)</f>
        <v>-9.8000000000000004E-2</v>
      </c>
      <c r="Z40">
        <f>_xll.EQNXTDZ($A$1,$B40,Z$1,$B$1)</f>
        <v>0.32400000000000001</v>
      </c>
      <c r="AA40">
        <f>_xll.EQNXTDZ($A$1,$B40,AA$1,$B$1)</f>
        <v>-1.375</v>
      </c>
      <c r="AB40">
        <f>_xll.EQNXTDZ($A$1,$B40,AB$1,$B$1)</f>
        <v>-5.6719999999999997</v>
      </c>
      <c r="AC40">
        <f>_xll.EQNXTDZ($A$1,$B40,AC$1,$B$1)</f>
        <v>2.444</v>
      </c>
      <c r="AD40">
        <f>_xll.EQNXTDZ($A$1,$B40,AD$1,$B$1)</f>
        <v>0.92900000000000005</v>
      </c>
      <c r="AE40">
        <f>_xll.EQNXTDZ($A$1,$B40,AE$1,$B$1)</f>
        <v>0.63</v>
      </c>
      <c r="AF40">
        <f>_xll.EQNXTDZ($A$1,$B40,AF$1,$B$1)</f>
        <v>-0.11</v>
      </c>
      <c r="AG40">
        <f>_xll.EQNXTDZ($A$1,$B40,AG$1,$B$1)</f>
        <v>0.1</v>
      </c>
      <c r="AH40">
        <f>_xll.EQNXTDZ($A$1,$B40,AH$1,$B$1)</f>
        <v>-12</v>
      </c>
      <c r="AI40">
        <f>_xll.EQNXTDZ($A$1,$B40,AI$1,$B$1)</f>
        <v>0.73</v>
      </c>
      <c r="AJ40">
        <f>_xll.EQNXTDZ($A$1,$B40,AJ$1,$B$1)</f>
        <v>8.41</v>
      </c>
      <c r="AK40">
        <f>_xll.EQNXTDZ($A$1,$B40,AK$1,$B$1)</f>
        <v>0.49</v>
      </c>
      <c r="AL40">
        <f>_xll.EQNXTDZ($A$1,$B40,AL$1,$B$1)</f>
        <v>-4.62</v>
      </c>
      <c r="AM40">
        <f>_xll.EQNXTDZ($A$1,$B40,AM$1,$B$1)</f>
        <v>-0.87</v>
      </c>
      <c r="AN40">
        <f>_xll.EQNXTDZ($A$1,$B40,AN$1,$B$1)</f>
        <v>-0.99</v>
      </c>
      <c r="AO40">
        <f>_xll.EQNXTDZ($A$1,$B40,AO$1,$B$1)</f>
        <v>-0.93</v>
      </c>
      <c r="AP40">
        <f>_xll.EQNXTDZ($A$1,$B40,AP$1,$B$1)</f>
        <v>3.82</v>
      </c>
      <c r="AQ40">
        <f>_xll.EQNXTDZ($A$1,$B40,AQ$1,$B$1)</f>
        <v>-1</v>
      </c>
      <c r="AR40">
        <f>_xll.EQNXTDZ($A$1,$B40,AR$1,$B$1)</f>
        <v>-4.6100000000000003</v>
      </c>
      <c r="AS40">
        <f>_xll.EQNXTDZ($A$1,$B40,AS$1,$B$1)</f>
        <v>-0.11</v>
      </c>
      <c r="AT40">
        <f>_xll.EQNXTDZ($A$1,$B40,AT$1,$B$1)</f>
        <v>0.09</v>
      </c>
      <c r="AU40">
        <f>_xll.EQNXTDZ($A$1,$B40,AU$1,$B$1)</f>
        <v>-2.4300000000000002</v>
      </c>
      <c r="AV40">
        <f>_xll.EQNXTDZ($A$1,$B40,AV$1,$B$1)</f>
        <v>-1.65</v>
      </c>
      <c r="AW40">
        <f>_xll.EQNXTDZ($A$1,$B40,AW$1,$B$1)</f>
        <v>-1.05</v>
      </c>
      <c r="AX40">
        <f>_xll.EQNXTDZ($A$1,$B40,AX$1,$B$1)</f>
        <v>2.2599999999999998</v>
      </c>
      <c r="AY40">
        <f>_xll.EQNXTDZ($A$1,$B40,AY$1,$B$1)</f>
        <v>0.31</v>
      </c>
      <c r="AZ40">
        <f>_xll.EQNXTDZ($A$1,$B40,AZ$1,$B$1)</f>
        <v>-0.42</v>
      </c>
      <c r="BA40">
        <f>_xll.EQNXTDZ($A$1,$B40,BA$1,$B$1)</f>
        <v>-1.47</v>
      </c>
      <c r="BB40">
        <f>_xll.EQNXTDZ($A$1,$B40,BB$1,$B$1)</f>
        <v>-2.0699999999999998</v>
      </c>
      <c r="BC40">
        <f>_xll.EQNXTDZ($A$1,$B40,BC$1,$B$1)</f>
        <v>-0.71</v>
      </c>
      <c r="BD40">
        <f>_xll.EQNXTDZ($A$1,$B40,BD$1,$B$1)</f>
        <v>-5.67</v>
      </c>
      <c r="BE40">
        <f>_xll.EQNXTDZ($A$1,$B40,BE$1,$B$1)</f>
        <v>-1.6</v>
      </c>
      <c r="BF40">
        <f>_xll.EQNXTDZ($A$1,$B40,BF$1,$B$1)</f>
        <v>2.08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40.186999999999998</v>
      </c>
      <c r="R41">
        <f>_xll.EQNXTDZ($A$1,$B41,R$1,$B$1)</f>
        <v>52.904000000000003</v>
      </c>
      <c r="S41">
        <f>_xll.EQNXTDZ($A$1,$B41,S$1,$B$1)</f>
        <v>25.314</v>
      </c>
      <c r="T41">
        <f>_xll.EQNXTDZ($A$1,$B41,T$1,$B$1)</f>
        <v>48.323999999999998</v>
      </c>
      <c r="U41">
        <f>_xll.EQNXTDZ($A$1,$B41,U$1,$B$1)</f>
        <v>44.795999999999999</v>
      </c>
      <c r="V41">
        <f>_xll.EQNXTDZ($A$1,$B41,V$1,$B$1)</f>
        <v>71.322999999999993</v>
      </c>
      <c r="W41">
        <f>_xll.EQNXTDZ($A$1,$B41,W$1,$B$1)</f>
        <v>38.607999999999997</v>
      </c>
      <c r="X41">
        <f>_xll.EQNXTDZ($A$1,$B41,X$1,$B$1)</f>
        <v>48.845999999999997</v>
      </c>
      <c r="Y41">
        <f>_xll.EQNXTDZ($A$1,$B41,Y$1,$B$1)</f>
        <v>34.771999999999998</v>
      </c>
      <c r="Z41">
        <f>_xll.EQNXTDZ($A$1,$B41,Z$1,$B$1)</f>
        <v>45.404000000000003</v>
      </c>
      <c r="AA41">
        <f>_xll.EQNXTDZ($A$1,$B41,AA$1,$B$1)</f>
        <v>15.183</v>
      </c>
      <c r="AB41">
        <f>_xll.EQNXTDZ($A$1,$B41,AB$1,$B$1)</f>
        <v>10.538</v>
      </c>
      <c r="AC41">
        <f>_xll.EQNXTDZ($A$1,$B41,AC$1,$B$1)</f>
        <v>20.260999999999999</v>
      </c>
      <c r="AD41">
        <f>_xll.EQNXTDZ($A$1,$B41,AD$1,$B$1)</f>
        <v>44.107999999999997</v>
      </c>
      <c r="AE41">
        <f>_xll.EQNXTDZ($A$1,$B41,AE$1,$B$1)</f>
        <v>15.73</v>
      </c>
      <c r="AF41">
        <f>_xll.EQNXTDZ($A$1,$B41,AF$1,$B$1)</f>
        <v>56.44</v>
      </c>
      <c r="AG41">
        <f>_xll.EQNXTDZ($A$1,$B41,AG$1,$B$1)</f>
        <v>73.569999999999993</v>
      </c>
      <c r="AH41">
        <f>_xll.EQNXTDZ($A$1,$B41,AH$1,$B$1)</f>
        <v>98.15</v>
      </c>
      <c r="AI41">
        <f>_xll.EQNXTDZ($A$1,$B41,AI$1,$B$1)</f>
        <v>172.51</v>
      </c>
      <c r="AJ41">
        <f>_xll.EQNXTDZ($A$1,$B41,AJ$1,$B$1)</f>
        <v>250.68</v>
      </c>
      <c r="AK41">
        <f>_xll.EQNXTDZ($A$1,$B41,AK$1,$B$1)</f>
        <v>273.33999999999997</v>
      </c>
      <c r="AL41">
        <f>_xll.EQNXTDZ($A$1,$B41,AL$1,$B$1)</f>
        <v>292.06</v>
      </c>
      <c r="AM41">
        <f>_xll.EQNXTDZ($A$1,$B41,AM$1,$B$1)</f>
        <v>240.52</v>
      </c>
      <c r="AN41">
        <f>_xll.EQNXTDZ($A$1,$B41,AN$1,$B$1)</f>
        <v>200.91</v>
      </c>
      <c r="AO41">
        <f>_xll.EQNXTDZ($A$1,$B41,AO$1,$B$1)</f>
        <v>152.80000000000001</v>
      </c>
      <c r="AP41">
        <f>_xll.EQNXTDZ($A$1,$B41,AP$1,$B$1)</f>
        <v>234.32</v>
      </c>
      <c r="AQ41">
        <f>_xll.EQNXTDZ($A$1,$B41,AQ$1,$B$1)</f>
        <v>250.28</v>
      </c>
      <c r="AR41">
        <f>_xll.EQNXTDZ($A$1,$B41,AR$1,$B$1)</f>
        <v>228.2</v>
      </c>
      <c r="AS41">
        <f>_xll.EQNXTDZ($A$1,$B41,AS$1,$B$1)</f>
        <v>202.93</v>
      </c>
      <c r="AT41">
        <f>_xll.EQNXTDZ($A$1,$B41,AT$1,$B$1)</f>
        <v>103.12</v>
      </c>
      <c r="AU41">
        <f>_xll.EQNXTDZ($A$1,$B41,AU$1,$B$1)</f>
        <v>22.42</v>
      </c>
      <c r="AV41">
        <f>_xll.EQNXTDZ($A$1,$B41,AV$1,$B$1)</f>
        <v>35.299999999999997</v>
      </c>
      <c r="AW41">
        <f>_xll.EQNXTDZ($A$1,$B41,AW$1,$B$1)</f>
        <v>22.09</v>
      </c>
      <c r="AX41">
        <f>_xll.EQNXTDZ($A$1,$B41,AX$1,$B$1)</f>
        <v>77.87</v>
      </c>
      <c r="AY41">
        <f>_xll.EQNXTDZ($A$1,$B41,AY$1,$B$1)</f>
        <v>12.82</v>
      </c>
      <c r="AZ41">
        <f>_xll.EQNXTDZ($A$1,$B41,AZ$1,$B$1)</f>
        <v>19.420000000000002</v>
      </c>
      <c r="BA41">
        <f>_xll.EQNXTDZ($A$1,$B41,BA$1,$B$1)</f>
        <v>90.83</v>
      </c>
      <c r="BB41">
        <f>_xll.EQNXTDZ($A$1,$B41,BB$1,$B$1)</f>
        <v>231.6</v>
      </c>
      <c r="BC41">
        <f>_xll.EQNXTDZ($A$1,$B41,BC$1,$B$1)</f>
        <v>162.31</v>
      </c>
      <c r="BD41">
        <f>_xll.EQNXTDZ($A$1,$B41,BD$1,$B$1)</f>
        <v>189.3</v>
      </c>
      <c r="BE41">
        <f>_xll.EQNXTDZ($A$1,$B41,BE$1,$B$1)</f>
        <v>250.06</v>
      </c>
      <c r="BF41">
        <f>_xll.EQNXTDZ($A$1,$B41,BF$1,$B$1)</f>
        <v>281.23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40.226999999999997</v>
      </c>
      <c r="R42">
        <f>_xll.EQNXTDZ($A$1,$B42,R$1,$B$1)</f>
        <v>53.415999999999997</v>
      </c>
      <c r="S42">
        <f>_xll.EQNXTDZ($A$1,$B42,S$1,$B$1)</f>
        <v>25.643000000000001</v>
      </c>
      <c r="T42">
        <f>_xll.EQNXTDZ($A$1,$B42,T$1,$B$1)</f>
        <v>48.280999999999999</v>
      </c>
      <c r="U42">
        <f>_xll.EQNXTDZ($A$1,$B42,U$1,$B$1)</f>
        <v>45.018999999999998</v>
      </c>
      <c r="V42">
        <f>_xll.EQNXTDZ($A$1,$B42,V$1,$B$1)</f>
        <v>71.332999999999998</v>
      </c>
      <c r="W42">
        <f>_xll.EQNXTDZ($A$1,$B42,W$1,$B$1)</f>
        <v>38.905000000000001</v>
      </c>
      <c r="X42">
        <f>_xll.EQNXTDZ($A$1,$B42,X$1,$B$1)</f>
        <v>48.755000000000003</v>
      </c>
      <c r="Y42">
        <f>_xll.EQNXTDZ($A$1,$B42,Y$1,$B$1)</f>
        <v>34.869999999999997</v>
      </c>
      <c r="Z42">
        <f>_xll.EQNXTDZ($A$1,$B42,Z$1,$B$1)</f>
        <v>45.08</v>
      </c>
      <c r="AA42">
        <f>_xll.EQNXTDZ($A$1,$B42,AA$1,$B$1)</f>
        <v>16.558</v>
      </c>
      <c r="AB42">
        <f>_xll.EQNXTDZ($A$1,$B42,AB$1,$B$1)</f>
        <v>16.21</v>
      </c>
      <c r="AC42">
        <f>_xll.EQNXTDZ($A$1,$B42,AC$1,$B$1)</f>
        <v>17.817</v>
      </c>
      <c r="AD42">
        <f>_xll.EQNXTDZ($A$1,$B42,AD$1,$B$1)</f>
        <v>43.179000000000002</v>
      </c>
      <c r="AE42">
        <f>_xll.EQNXTDZ($A$1,$B42,AE$1,$B$1)</f>
        <v>15.1</v>
      </c>
      <c r="AF42">
        <f>_xll.EQNXTDZ($A$1,$B42,AF$1,$B$1)</f>
        <v>56.55</v>
      </c>
      <c r="AG42">
        <f>_xll.EQNXTDZ($A$1,$B42,AG$1,$B$1)</f>
        <v>73.47</v>
      </c>
      <c r="AH42">
        <f>_xll.EQNXTDZ($A$1,$B42,AH$1,$B$1)</f>
        <v>110.15</v>
      </c>
      <c r="AI42">
        <f>_xll.EQNXTDZ($A$1,$B42,AI$1,$B$1)</f>
        <v>171.78</v>
      </c>
      <c r="AJ42">
        <f>_xll.EQNXTDZ($A$1,$B42,AJ$1,$B$1)</f>
        <v>242.27</v>
      </c>
      <c r="AK42">
        <f>_xll.EQNXTDZ($A$1,$B42,AK$1,$B$1)</f>
        <v>272.85000000000002</v>
      </c>
      <c r="AL42">
        <f>_xll.EQNXTDZ($A$1,$B42,AL$1,$B$1)</f>
        <v>296.68</v>
      </c>
      <c r="AM42">
        <f>_xll.EQNXTDZ($A$1,$B42,AM$1,$B$1)</f>
        <v>241.39</v>
      </c>
      <c r="AN42">
        <f>_xll.EQNXTDZ($A$1,$B42,AN$1,$B$1)</f>
        <v>201.9</v>
      </c>
      <c r="AO42">
        <f>_xll.EQNXTDZ($A$1,$B42,AO$1,$B$1)</f>
        <v>153.72999999999999</v>
      </c>
      <c r="AP42">
        <f>_xll.EQNXTDZ($A$1,$B42,AP$1,$B$1)</f>
        <v>230.5</v>
      </c>
      <c r="AQ42">
        <f>_xll.EQNXTDZ($A$1,$B42,AQ$1,$B$1)</f>
        <v>251.28</v>
      </c>
      <c r="AR42">
        <f>_xll.EQNXTDZ($A$1,$B42,AR$1,$B$1)</f>
        <v>232.81</v>
      </c>
      <c r="AS42">
        <f>_xll.EQNXTDZ($A$1,$B42,AS$1,$B$1)</f>
        <v>203.04</v>
      </c>
      <c r="AT42">
        <f>_xll.EQNXTDZ($A$1,$B42,AT$1,$B$1)</f>
        <v>102.98</v>
      </c>
      <c r="AU42">
        <f>_xll.EQNXTDZ($A$1,$B42,AU$1,$B$1)</f>
        <v>24.85</v>
      </c>
      <c r="AV42">
        <f>_xll.EQNXTDZ($A$1,$B42,AV$1,$B$1)</f>
        <v>36.950000000000003</v>
      </c>
      <c r="AW42">
        <f>_xll.EQNXTDZ($A$1,$B42,AW$1,$B$1)</f>
        <v>23.14</v>
      </c>
      <c r="AX42">
        <f>_xll.EQNXTDZ($A$1,$B42,AX$1,$B$1)</f>
        <v>75.61</v>
      </c>
      <c r="AY42">
        <f>_xll.EQNXTDZ($A$1,$B42,AY$1,$B$1)</f>
        <v>12.51</v>
      </c>
      <c r="AZ42">
        <f>_xll.EQNXTDZ($A$1,$B42,AZ$1,$B$1)</f>
        <v>19.84</v>
      </c>
      <c r="BA42">
        <f>_xll.EQNXTDZ($A$1,$B42,BA$1,$B$1)</f>
        <v>92.3</v>
      </c>
      <c r="BB42">
        <f>_xll.EQNXTDZ($A$1,$B42,BB$1,$B$1)</f>
        <v>233.67</v>
      </c>
      <c r="BC42">
        <f>_xll.EQNXTDZ($A$1,$B42,BC$1,$B$1)</f>
        <v>163.02000000000001</v>
      </c>
      <c r="BD42">
        <f>_xll.EQNXTDZ($A$1,$B42,BD$1,$B$1)</f>
        <v>194.97</v>
      </c>
      <c r="BE42">
        <f>_xll.EQNXTDZ($A$1,$B42,BE$1,$B$1)</f>
        <v>251.66</v>
      </c>
      <c r="BF42">
        <f>_xll.EQNXTDZ($A$1,$B42,BF$1,$B$1)</f>
        <v>279.14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15.766999999999999</v>
      </c>
      <c r="R45">
        <f>_xll.EQNXTDZ($A$1,$B45,R$1,$B$1)</f>
        <v>15.766999999999999</v>
      </c>
      <c r="S45">
        <f>_xll.EQNXTDZ($A$1,$B45,S$1,$B$1)</f>
        <v>15.766999999999999</v>
      </c>
      <c r="T45">
        <f>_xll.EQNXTDZ($A$1,$B45,T$1,$B$1)</f>
        <v>105.756</v>
      </c>
      <c r="U45">
        <f>_xll.EQNXTDZ($A$1,$B45,U$1,$B$1)</f>
        <v>105.756</v>
      </c>
      <c r="V45">
        <f>_xll.EQNXTDZ($A$1,$B45,V$1,$B$1)</f>
        <v>105.756</v>
      </c>
      <c r="W45">
        <f>_xll.EQNXTDZ($A$1,$B45,W$1,$B$1)</f>
        <v>105.756</v>
      </c>
      <c r="X45">
        <f>_xll.EQNXTDZ($A$1,$B45,X$1,$B$1)</f>
        <v>106.03</v>
      </c>
      <c r="Y45">
        <f>_xll.EQNXTDZ($A$1,$B45,Y$1,$B$1)</f>
        <v>106.437</v>
      </c>
      <c r="Z45">
        <f>_xll.EQNXTDZ($A$1,$B45,Z$1,$B$1)</f>
        <v>106.03</v>
      </c>
      <c r="AA45">
        <f>_xll.EQNXTDZ($A$1,$B45,AA$1,$B$1)</f>
        <v>106.03</v>
      </c>
      <c r="AB45">
        <f>_xll.EQNXTDZ($A$1,$B45,AB$1,$B$1)</f>
        <v>106.437</v>
      </c>
      <c r="AC45">
        <f>_xll.EQNXTDZ($A$1,$B45,AC$1,$B$1)</f>
        <v>106.437</v>
      </c>
      <c r="AD45">
        <f>_xll.EQNXTDZ($A$1,$B45,AD$1,$B$1)</f>
        <v>106.437</v>
      </c>
      <c r="AE45">
        <f>_xll.EQNXTDZ($A$1,$B45,AE$1,$B$1)</f>
        <v>106.44</v>
      </c>
      <c r="AF45">
        <f>_xll.EQNXTDZ($A$1,$B45,AF$1,$B$1)</f>
        <v>106.91</v>
      </c>
      <c r="AG45">
        <f>_xll.EQNXTDZ($A$1,$B45,AG$1,$B$1)</f>
        <v>106.91</v>
      </c>
      <c r="AH45">
        <f>_xll.EQNXTDZ($A$1,$B45,AH$1,$B$1)</f>
        <v>106.91</v>
      </c>
      <c r="AI45">
        <f>_xll.EQNXTDZ($A$1,$B45,AI$1,$B$1)</f>
        <v>106.91</v>
      </c>
      <c r="AJ45">
        <f>_xll.EQNXTDZ($A$1,$B45,AJ$1,$B$1)</f>
        <v>107.2</v>
      </c>
      <c r="AK45">
        <f>_xll.EQNXTDZ($A$1,$B45,AK$1,$B$1)</f>
        <v>107.32</v>
      </c>
      <c r="AL45">
        <f>_xll.EQNXTDZ($A$1,$B45,AL$1,$B$1)</f>
        <v>107.32</v>
      </c>
      <c r="AM45">
        <f>_xll.EQNXTDZ($A$1,$B45,AM$1,$B$1)</f>
        <v>107.32</v>
      </c>
      <c r="AN45">
        <f>_xll.EQNXTDZ($A$1,$B45,AN$1,$B$1)</f>
        <v>107.32</v>
      </c>
      <c r="AO45">
        <f>_xll.EQNXTDZ($A$1,$B45,AO$1,$B$1)</f>
        <v>107.47</v>
      </c>
      <c r="AP45">
        <f>_xll.EQNXTDZ($A$1,$B45,AP$1,$B$1)</f>
        <v>107.47</v>
      </c>
      <c r="AQ45">
        <f>_xll.EQNXTDZ($A$1,$B45,AQ$1,$B$1)</f>
        <v>107.47</v>
      </c>
      <c r="AR45">
        <f>_xll.EQNXTDZ($A$1,$B45,AR$1,$B$1)</f>
        <v>107.47</v>
      </c>
      <c r="AS45">
        <f>_xll.EQNXTDZ($A$1,$B45,AS$1,$B$1)</f>
        <v>107.73</v>
      </c>
      <c r="AT45">
        <f>_xll.EQNXTDZ($A$1,$B45,AT$1,$B$1)</f>
        <v>107.73</v>
      </c>
      <c r="AU45">
        <f>_xll.EQNXTDZ($A$1,$B45,AU$1,$B$1)</f>
        <v>107.73</v>
      </c>
      <c r="AV45">
        <f>_xll.EQNXTDZ($A$1,$B45,AV$1,$B$1)</f>
        <v>107.73</v>
      </c>
      <c r="AW45">
        <f>_xll.EQNXTDZ($A$1,$B45,AW$1,$B$1)</f>
        <v>107.79</v>
      </c>
      <c r="AX45">
        <f>_xll.EQNXTDZ($A$1,$B45,AX$1,$B$1)</f>
        <v>107.79</v>
      </c>
      <c r="AY45">
        <f>_xll.EQNXTDZ($A$1,$B45,AY$1,$B$1)</f>
        <v>107.83</v>
      </c>
      <c r="AZ45">
        <f>_xll.EQNXTDZ($A$1,$B45,AZ$1,$B$1)</f>
        <v>107.83</v>
      </c>
      <c r="BA45">
        <f>_xll.EQNXTDZ($A$1,$B45,BA$1,$B$1)</f>
        <v>107.85</v>
      </c>
      <c r="BB45">
        <f>_xll.EQNXTDZ($A$1,$B45,BB$1,$B$1)</f>
        <v>107.85</v>
      </c>
      <c r="BC45">
        <f>_xll.EQNXTDZ($A$1,$B45,BC$1,$B$1)</f>
        <v>107.96</v>
      </c>
      <c r="BD45">
        <f>_xll.EQNXTDZ($A$1,$B45,BD$1,$B$1)</f>
        <v>107.96</v>
      </c>
      <c r="BE45">
        <f>_xll.EQNXTDZ($A$1,$B45,BE$1,$B$1)</f>
        <v>107.97</v>
      </c>
      <c r="BF45">
        <f>_xll.EQNXTDZ($A$1,$B45,BF$1,$B$1)</f>
        <v>107.97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95.94</v>
      </c>
      <c r="V48" s="55">
        <f>_xll.EQNXTDZ($A$1,$B48,V$5)</f>
        <v>103.06</v>
      </c>
      <c r="W48" s="55">
        <f>_xll.EQNXTDZ($A$1,$B48,W$5)</f>
        <v>122.88</v>
      </c>
      <c r="X48" s="55">
        <f>_xll.EQNXTDZ($A$1,$B48,X$5)</f>
        <v>101.18</v>
      </c>
      <c r="Y48" s="55">
        <f>_xll.EQNXTDZ($A$1,$B48,Y$5)</f>
        <v>108.58</v>
      </c>
      <c r="Z48" s="55">
        <f>_xll.EQNXTDZ($A$1,$B48,Z$5)</f>
        <v>100.62</v>
      </c>
      <c r="AA48" s="55">
        <f>_xll.EQNXTDZ($A$1,$B48,AA$5)</f>
        <v>92.15</v>
      </c>
      <c r="AB48" s="55">
        <f>_xll.EQNXTDZ($A$1,$B48,AB$5)</f>
        <v>86.03</v>
      </c>
      <c r="AC48" s="55">
        <f>_xll.EQNXTDZ($A$1,$B48,AC$5)</f>
        <v>75.94</v>
      </c>
      <c r="AD48" s="55">
        <f>_xll.EQNXTDZ($A$1,$B48,AD$5)</f>
        <v>79.95</v>
      </c>
      <c r="AE48" s="55">
        <f>_xll.EQNXTDZ($A$1,$B48,AE$5)</f>
        <v>67.349999999999994</v>
      </c>
      <c r="AF48" s="55">
        <f>_xll.EQNXTDZ($A$1,$B48,AF$5)</f>
        <v>74.72</v>
      </c>
      <c r="AG48" s="55">
        <f>_xll.EQNXTDZ($A$1,$B48,AG$5)</f>
        <v>71.91</v>
      </c>
      <c r="AH48" s="55">
        <f>_xll.EQNXTDZ($A$1,$B48,AH$5)</f>
        <v>64.52</v>
      </c>
      <c r="AI48" s="55">
        <f>_xll.EQNXTDZ($A$1,$B48,AI$5)</f>
        <v>103.95</v>
      </c>
      <c r="AJ48" s="55">
        <f>_xll.EQNXTDZ($A$1,$B48,AJ$5)</f>
        <v>287.05</v>
      </c>
      <c r="AK48" s="55">
        <f>_xll.EQNXTDZ($A$1,$B48,AK$5)</f>
        <v>353.15</v>
      </c>
      <c r="AL48" s="55">
        <f>_xll.EQNXTDZ($A$1,$B48,AL$5)</f>
        <v>362.05</v>
      </c>
      <c r="AM48" s="55">
        <f>_xll.EQNXTDZ($A$1,$B48,AM$5)</f>
        <v>679.6</v>
      </c>
      <c r="AN48" s="55">
        <f>_xll.EQNXTDZ($A$1,$B48,AN$5)</f>
        <v>617.04999999999995</v>
      </c>
      <c r="AO48" s="55">
        <f>_xll.EQNXTDZ($A$1,$B48,AO$5)</f>
        <v>539.20000000000005</v>
      </c>
      <c r="AP48" s="55">
        <f>_xll.EQNXTDZ($A$1,$B48,AP$5)</f>
        <v>590.04999999999995</v>
      </c>
      <c r="AQ48" s="55">
        <f>_xll.EQNXTDZ($A$1,$B48,AQ$5)</f>
        <v>464.5</v>
      </c>
      <c r="AR48" s="55">
        <f>_xll.EQNXTDZ($A$1,$B48,AR$5)</f>
        <v>512.5</v>
      </c>
      <c r="AS48" s="55">
        <f>_xll.EQNXTDZ($A$1,$B48,AS$5)</f>
        <v>375.15</v>
      </c>
      <c r="AT48" s="55">
        <f>_xll.EQNXTDZ($A$1,$B48,AT$5)</f>
        <v>293</v>
      </c>
      <c r="AU48" s="55">
        <f>_xll.EQNXTDZ($A$1,$B48,AU$5)</f>
        <v>366.5</v>
      </c>
      <c r="AV48" s="55">
        <f>_xll.EQNXTDZ($A$1,$B48,AV$5)</f>
        <v>395.2</v>
      </c>
      <c r="AW48" s="55">
        <f>_xll.EQNXTDZ($A$1,$B48,AW$5)</f>
        <v>430.15</v>
      </c>
      <c r="AX48" s="55">
        <f>_xll.EQNXTDZ($A$1,$B48,AX$5)</f>
        <v>391.75</v>
      </c>
      <c r="AY48" s="55">
        <f>_xll.EQNXTDZ($A$1,$B48,AY$5)</f>
        <v>424.25</v>
      </c>
      <c r="AZ48" s="55">
        <f>_xll.EQNXTDZ($A$1,$B48,AZ$5)</f>
        <v>462.75</v>
      </c>
      <c r="BA48" s="55">
        <f>_xll.EQNXTDZ($A$1,$B48,BA$5)</f>
        <v>602.35</v>
      </c>
      <c r="BB48" s="55">
        <f>_xll.EQNXTDZ($A$1,$B48,BB$5)</f>
        <v>613.79999999999995</v>
      </c>
      <c r="BC48" s="55">
        <f>_xll.EQNXTDZ($A$1,$B48,BC$5)</f>
        <v>724.9</v>
      </c>
      <c r="BD48" s="55">
        <f>_xll.EQNXTDZ($A$1,$B48,BD$5)</f>
        <v>841.95</v>
      </c>
      <c r="BE48" s="55">
        <f>_xll.EQNXTDZ($A$1,$B48,BE$5)</f>
        <v>1108.2</v>
      </c>
      <c r="BF48" s="55">
        <f>_xll.EQNXTDZ($A$1,$B48,BF$5)</f>
        <v>991.85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30.64</v>
      </c>
      <c r="V49" s="55">
        <f>_xll.EQNXTDZ($A$1,$B49,V$5)</f>
        <v>30.64</v>
      </c>
      <c r="W49" s="55">
        <f>_xll.EQNXTDZ($A$1,$B49,W$5)</f>
        <v>30.64</v>
      </c>
      <c r="X49" s="55">
        <f>_xll.EQNXTDZ($A$1,$B49,X$5)</f>
        <v>30.56</v>
      </c>
      <c r="Y49" s="55">
        <f>_xll.EQNXTDZ($A$1,$B49,Y$5)</f>
        <v>30.57</v>
      </c>
      <c r="Z49" s="55">
        <f>_xll.EQNXTDZ($A$1,$B49,Z$5)</f>
        <v>30.57</v>
      </c>
      <c r="AA49" s="55">
        <f>_xll.EQNXTDZ($A$1,$B49,AA$5)</f>
        <v>32.06</v>
      </c>
      <c r="AB49" s="55">
        <f>_xll.EQNXTDZ($A$1,$B49,AB$5)</f>
        <v>33.4</v>
      </c>
      <c r="AC49" s="55">
        <f>_xll.EQNXTDZ($A$1,$B49,AC$5)</f>
        <v>33.5</v>
      </c>
      <c r="AD49" s="55">
        <f>_xll.EQNXTDZ($A$1,$B49,AD$5)</f>
        <v>32.770000000000003</v>
      </c>
      <c r="AE49" s="55">
        <f>_xll.EQNXTDZ($A$1,$B49,AE$5)</f>
        <v>32.82</v>
      </c>
      <c r="AF49" s="55">
        <f>_xll.EQNXTDZ($A$1,$B49,AF$5)</f>
        <v>32.729999999999997</v>
      </c>
      <c r="AG49" s="55">
        <f>_xll.EQNXTDZ($A$1,$B49,AG$5)</f>
        <v>32.58</v>
      </c>
      <c r="AH49" s="55">
        <f>_xll.EQNXTDZ($A$1,$B49,AH$5)</f>
        <v>32.04</v>
      </c>
      <c r="AI49" s="55">
        <f>_xll.EQNXTDZ($A$1,$B49,AI$5)</f>
        <v>32.130000000000003</v>
      </c>
      <c r="AJ49" s="55">
        <f>_xll.EQNXTDZ($A$1,$B49,AJ$5)</f>
        <v>32.119999999999997</v>
      </c>
      <c r="AK49" s="55">
        <f>_xll.EQNXTDZ($A$1,$B49,AK$5)</f>
        <v>28.76</v>
      </c>
      <c r="AL49" s="55">
        <f>_xll.EQNXTDZ($A$1,$B49,AL$5)</f>
        <v>27.45</v>
      </c>
      <c r="AM49" s="55">
        <f>_xll.EQNXTDZ($A$1,$B49,AM$5)</f>
        <v>27.3</v>
      </c>
      <c r="AN49" s="55">
        <f>_xll.EQNXTDZ($A$1,$B49,AN$5)</f>
        <v>27.3</v>
      </c>
      <c r="AO49" s="55">
        <f>_xll.EQNXTDZ($A$1,$B49,AO$5)</f>
        <v>27.27</v>
      </c>
      <c r="AP49" s="55">
        <f>_xll.EQNXTDZ($A$1,$B49,AP$5)</f>
        <v>27.27</v>
      </c>
      <c r="AQ49" s="55">
        <f>_xll.EQNXTDZ($A$1,$B49,AQ$5)</f>
        <v>27.27</v>
      </c>
      <c r="AR49" s="55">
        <f>_xll.EQNXTDZ($A$1,$B49,AR$5)</f>
        <v>27.27</v>
      </c>
      <c r="AS49" s="55">
        <f>_xll.EQNXTDZ($A$1,$B49,AS$5)</f>
        <v>27.2</v>
      </c>
      <c r="AT49" s="55">
        <f>_xll.EQNXTDZ($A$1,$B49,AT$5)</f>
        <v>27.2</v>
      </c>
      <c r="AU49" s="55">
        <f>_xll.EQNXTDZ($A$1,$B49,AU$5)</f>
        <v>27.2</v>
      </c>
      <c r="AV49" s="55">
        <f>_xll.EQNXTDZ($A$1,$B49,AV$5)</f>
        <v>27.2</v>
      </c>
      <c r="AW49" s="55">
        <f>_xll.EQNXTDZ($A$1,$B49,AW$5)</f>
        <v>27.19</v>
      </c>
      <c r="AX49" s="55">
        <f>_xll.EQNXTDZ($A$1,$B49,AX$5)</f>
        <v>27.19</v>
      </c>
      <c r="AY49" s="55">
        <f>_xll.EQNXTDZ($A$1,$B49,AY$5)</f>
        <v>27.18</v>
      </c>
      <c r="AZ49" s="55">
        <f>_xll.EQNXTDZ($A$1,$B49,AZ$5)</f>
        <v>27.18</v>
      </c>
      <c r="BA49" s="55">
        <f>_xll.EQNXTDZ($A$1,$B49,BA$5)</f>
        <v>27.62</v>
      </c>
      <c r="BB49" s="55">
        <f>_xll.EQNXTDZ($A$1,$B49,BB$5)</f>
        <v>27.62</v>
      </c>
      <c r="BC49" s="55">
        <f>_xll.EQNXTDZ($A$1,$B49,BC$5)</f>
        <v>27.59</v>
      </c>
      <c r="BD49" s="55">
        <f>_xll.EQNXTDZ($A$1,$B49,BD$5)</f>
        <v>27.59</v>
      </c>
      <c r="BE49" s="55">
        <f>_xll.EQNXTDZ($A$1,$B49,BE$5)</f>
        <v>27.49</v>
      </c>
      <c r="BF49" s="55">
        <f>_xll.EQNXTDZ($A$1,$B49,BF$5)</f>
        <v>27.49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18.350000000000001</v>
      </c>
      <c r="AB50" s="55">
        <f>_xll.EQNXTDZ($A$1,$B50,AB$5)</f>
        <v>23.46</v>
      </c>
      <c r="AC50" s="55">
        <f>_xll.EQNXTDZ($A$1,$B50,AC$5)</f>
        <v>31.25</v>
      </c>
      <c r="AD50" s="55">
        <f>_xll.EQNXTDZ($A$1,$B50,AD$5)</f>
        <v>30.22</v>
      </c>
      <c r="AE50" s="55">
        <f>_xll.EQNXTDZ($A$1,$B50,AE$5)</f>
        <v>31.46</v>
      </c>
      <c r="AF50" s="55">
        <f>_xll.EQNXTDZ($A$1,$B50,AF$5)</f>
        <v>31.69</v>
      </c>
      <c r="AG50" s="55">
        <f>_xll.EQNXTDZ($A$1,$B50,AG$5)</f>
        <v>32.270000000000003</v>
      </c>
      <c r="AH50" s="55">
        <f>_xll.EQNXTDZ($A$1,$B50,AH$5)</f>
        <v>45.22</v>
      </c>
      <c r="AI50" s="55">
        <f>_xll.EQNXTDZ($A$1,$B50,AI$5)</f>
        <v>31.56</v>
      </c>
      <c r="AJ50" s="55">
        <f>_xll.EQNXTDZ($A$1,$B50,AJ$5)</f>
        <v>16.420000000000002</v>
      </c>
      <c r="AK50" s="55">
        <f>_xll.EQNXTDZ($A$1,$B50,AK$5)</f>
        <v>15.76</v>
      </c>
      <c r="AL50" s="55">
        <f>_xll.EQNXTDZ($A$1,$B50,AL$5)</f>
        <v>1.1499999999999999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0.04</v>
      </c>
      <c r="AS50" s="55">
        <f>_xll.EQNXTDZ($A$1,$B50,AS$5)</f>
        <v>0.04</v>
      </c>
      <c r="AT50" s="55">
        <f>_xll.EQNXTDZ($A$1,$B50,AT$5)</f>
        <v>0.04</v>
      </c>
      <c r="AU50" s="55">
        <f>_xll.EQNXTDZ($A$1,$B50,AU$5)</f>
        <v>0.04</v>
      </c>
      <c r="AV50" s="55">
        <f>_xll.EQNXTDZ($A$1,$B50,AV$5)</f>
        <v>0.04</v>
      </c>
      <c r="AW50" s="55">
        <f>_xll.EQNXTDZ($A$1,$B50,AW$5)</f>
        <v>0.04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2.69</v>
      </c>
      <c r="BB50" s="55">
        <f>_xll.EQNXTDZ($A$1,$B50,BB$5)</f>
        <v>2.69</v>
      </c>
      <c r="BC50" s="55">
        <f>_xll.EQNXTDZ($A$1,$B50,BC$5)</f>
        <v>2.69</v>
      </c>
      <c r="BD50" s="55">
        <f>_xll.EQNXTDZ($A$1,$B50,BD$5)</f>
        <v>2.69</v>
      </c>
      <c r="BE50" s="55">
        <f>_xll.EQNXTDZ($A$1,$B50,BE$5)</f>
        <v>2.69</v>
      </c>
      <c r="BF50" s="55">
        <f>_xll.EQNXTDZ($A$1,$B50,BF$5)</f>
        <v>2.69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82.38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105.756</v>
      </c>
      <c r="W56" s="55">
        <f>_xll.EQNXTDZ($A$1,$B56,W$5,$B$1)</f>
        <v>0</v>
      </c>
      <c r="X56" s="55">
        <f>_xll.EQNXTDZ($A$1,$B56,X$5,$B$1)</f>
        <v>106.03</v>
      </c>
      <c r="Y56" s="55">
        <f>_xll.EQNXTDZ($A$1,$B56,Y$5,$B$1)</f>
        <v>0</v>
      </c>
      <c r="Z56" s="55">
        <f>_xll.EQNXTDZ($A$1,$B56,Z$5,$B$1)</f>
        <v>106.03</v>
      </c>
      <c r="AA56" s="55">
        <f>_xll.EQNXTDZ($A$1,$B56,AA$5,$B$1)</f>
        <v>0</v>
      </c>
      <c r="AB56" s="55">
        <f>_xll.EQNXTDZ($A$1,$B56,AB$5,$B$1)</f>
        <v>106.437</v>
      </c>
      <c r="AC56" s="55">
        <f>_xll.EQNXTDZ($A$1,$B56,AC$5,$B$1)</f>
        <v>0</v>
      </c>
      <c r="AD56" s="55">
        <f>_xll.EQNXTDZ($A$1,$B56,AD$5,$B$1)</f>
        <v>106.437</v>
      </c>
      <c r="AE56" s="55">
        <f>_xll.EQNXTDZ($A$1,$B56,AE$5,$B$1)</f>
        <v>0</v>
      </c>
      <c r="AF56" s="55">
        <f>_xll.EQNXTDZ($A$1,$B56,AF$5,$B$1)</f>
        <v>106.914</v>
      </c>
      <c r="AG56" s="55">
        <f>_xll.EQNXTDZ($A$1,$B56,AG$5,$B$1)</f>
        <v>0</v>
      </c>
      <c r="AH56" s="55">
        <f>_xll.EQNXTDZ($A$1,$B56,AH$5,$B$1)</f>
        <v>106.91</v>
      </c>
      <c r="AI56" s="55">
        <f>_xll.EQNXTDZ($A$1,$B56,AI$5,$B$1)</f>
        <v>0</v>
      </c>
      <c r="AJ56" s="55">
        <f>_xll.EQNXTDZ($A$1,$B56,AJ$5,$B$1)</f>
        <v>107.2</v>
      </c>
      <c r="AK56" s="55">
        <f>_xll.EQNXTDZ($A$1,$B56,AK$5,$B$1)</f>
        <v>0</v>
      </c>
      <c r="AL56" s="55">
        <f>_xll.EQNXTDZ($A$1,$B56,AL$5,$B$1)</f>
        <v>107.32</v>
      </c>
      <c r="AM56" s="55">
        <f>_xll.EQNXTDZ($A$1,$B56,AM$5,$B$1)</f>
        <v>0</v>
      </c>
      <c r="AN56" s="55">
        <f>_xll.EQNXTDZ($A$1,$B56,AN$5,$B$1)</f>
        <v>107.32</v>
      </c>
      <c r="AO56" s="55">
        <f>_xll.EQNXTDZ($A$1,$B56,AO$5,$B$1)</f>
        <v>0</v>
      </c>
      <c r="AP56" s="55">
        <f>_xll.EQNXTDZ($A$1,$B56,AP$5,$B$1)</f>
        <v>107.47</v>
      </c>
      <c r="AQ56" s="55">
        <f>_xll.EQNXTDZ($A$1,$B56,AQ$5,$B$1)</f>
        <v>0</v>
      </c>
      <c r="AR56" s="55">
        <f>_xll.EQNXTDZ($A$1,$B56,AR$5,$B$1)</f>
        <v>107.47</v>
      </c>
      <c r="AS56" s="55">
        <f>_xll.EQNXTDZ($A$1,$B56,AS$5,$B$1)</f>
        <v>0</v>
      </c>
      <c r="AT56" s="55">
        <f>_xll.EQNXTDZ($A$1,$B56,AT$5,$B$1)</f>
        <v>107.73</v>
      </c>
      <c r="AU56" s="55">
        <f>_xll.EQNXTDZ($A$1,$B56,AU$5,$B$1)</f>
        <v>0</v>
      </c>
      <c r="AV56" s="55">
        <f>_xll.EQNXTDZ($A$1,$B56,AV$5,$B$1)</f>
        <v>107.73</v>
      </c>
      <c r="AW56" s="55">
        <f>_xll.EQNXTDZ($A$1,$B56,AW$5,$B$1)</f>
        <v>0</v>
      </c>
      <c r="AX56" s="55">
        <f>_xll.EQNXTDZ($A$1,$B56,AX$5,$B$1)</f>
        <v>107.79</v>
      </c>
      <c r="AY56" s="55">
        <f>_xll.EQNXTDZ($A$1,$B56,AY$5,$B$1)</f>
        <v>0</v>
      </c>
      <c r="AZ56" s="55">
        <f>_xll.EQNXTDZ($A$1,$B56,AZ$5,$B$1)</f>
        <v>107.83</v>
      </c>
      <c r="BA56" s="55">
        <f>_xll.EQNXTDZ($A$1,$B56,BA$5,$B$1)</f>
        <v>0</v>
      </c>
      <c r="BB56" s="55">
        <f>_xll.EQNXTDZ($A$1,$B56,BB$5,$B$1)</f>
        <v>107.85</v>
      </c>
      <c r="BC56" s="55">
        <f>_xll.EQNXTDZ($A$1,$B56,BC$5,$B$1)</f>
        <v>0</v>
      </c>
      <c r="BD56" s="55">
        <f>_xll.EQNXTDZ($A$1,$B56,BD$5,$B$1)</f>
        <v>107.96</v>
      </c>
      <c r="BE56" s="55">
        <f>_xll.EQNXTDZ($A$1,$B56,BE$5,$B$1)</f>
        <v>0</v>
      </c>
      <c r="BF56" s="55">
        <f>_xll.EQNXTDZ($A$1,$B56,BF$5,$B$1)</f>
        <v>107.97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774.41800000000001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1224.692</v>
      </c>
      <c r="W58" s="55">
        <f>_xll.EQNXTDZ($A$1,$B58,W$5,$B$1)</f>
        <v>0</v>
      </c>
      <c r="X58" s="55">
        <f>_xll.EQNXTDZ($A$1,$B58,X$5,$B$1)</f>
        <v>1295.2619999999999</v>
      </c>
      <c r="Y58" s="55">
        <f>_xll.EQNXTDZ($A$1,$B58,Y$5,$B$1)</f>
        <v>0</v>
      </c>
      <c r="Z58" s="55">
        <f>_xll.EQNXTDZ($A$1,$B58,Z$5,$B$1)</f>
        <v>1376.6089999999999</v>
      </c>
      <c r="AA58" s="55">
        <f>_xll.EQNXTDZ($A$1,$B58,AA$5,$B$1)</f>
        <v>0</v>
      </c>
      <c r="AB58" s="55">
        <f>_xll.EQNXTDZ($A$1,$B58,AB$5,$B$1)</f>
        <v>1386.174</v>
      </c>
      <c r="AC58" s="55">
        <f>_xll.EQNXTDZ($A$1,$B58,AC$5,$B$1)</f>
        <v>0</v>
      </c>
      <c r="AD58" s="55">
        <f>_xll.EQNXTDZ($A$1,$B58,AD$5,$B$1)</f>
        <v>1451.97</v>
      </c>
      <c r="AE58" s="55">
        <f>_xll.EQNXTDZ($A$1,$B58,AE$5,$B$1)</f>
        <v>0</v>
      </c>
      <c r="AF58" s="55">
        <f>_xll.EQNXTDZ($A$1,$B58,AF$5,$B$1)</f>
        <v>1508.8240000000001</v>
      </c>
      <c r="AG58" s="55">
        <f>_xll.EQNXTDZ($A$1,$B58,AG$5,$B$1)</f>
        <v>0</v>
      </c>
      <c r="AH58" s="55">
        <f>_xll.EQNXTDZ($A$1,$B58,AH$5,$B$1)</f>
        <v>1662.86</v>
      </c>
      <c r="AI58" s="55">
        <f>_xll.EQNXTDZ($A$1,$B58,AI$5,$B$1)</f>
        <v>0</v>
      </c>
      <c r="AJ58" s="55">
        <f>_xll.EQNXTDZ($A$1,$B58,AJ$5,$B$1)</f>
        <v>2080.5100000000002</v>
      </c>
      <c r="AK58" s="55">
        <f>_xll.EQNXTDZ($A$1,$B58,AK$5,$B$1)</f>
        <v>0</v>
      </c>
      <c r="AL58" s="55">
        <f>_xll.EQNXTDZ($A$1,$B58,AL$5,$B$1)</f>
        <v>2490.23</v>
      </c>
      <c r="AM58" s="55">
        <f>_xll.EQNXTDZ($A$1,$B58,AM$5,$B$1)</f>
        <v>0</v>
      </c>
      <c r="AN58" s="55">
        <f>_xll.EQNXTDZ($A$1,$B58,AN$5,$B$1)</f>
        <v>2892.24</v>
      </c>
      <c r="AO58" s="55">
        <f>_xll.EQNXTDZ($A$1,$B58,AO$5,$B$1)</f>
        <v>0</v>
      </c>
      <c r="AP58" s="55">
        <f>_xll.EQNXTDZ($A$1,$B58,AP$5,$B$1)</f>
        <v>3243.72</v>
      </c>
      <c r="AQ58" s="55">
        <f>_xll.EQNXTDZ($A$1,$B58,AQ$5,$B$1)</f>
        <v>0</v>
      </c>
      <c r="AR58" s="55">
        <f>_xll.EQNXTDZ($A$1,$B58,AR$5,$B$1)</f>
        <v>3656.02</v>
      </c>
      <c r="AS58" s="55">
        <f>_xll.EQNXTDZ($A$1,$B58,AS$5,$B$1)</f>
        <v>0</v>
      </c>
      <c r="AT58" s="55">
        <f>_xll.EQNXTDZ($A$1,$B58,AT$5,$B$1)</f>
        <v>3929.8</v>
      </c>
      <c r="AU58" s="55">
        <f>_xll.EQNXTDZ($A$1,$B58,AU$5,$B$1)</f>
        <v>0</v>
      </c>
      <c r="AV58" s="55">
        <f>_xll.EQNXTDZ($A$1,$B58,AV$5,$B$1)</f>
        <v>3922.09</v>
      </c>
      <c r="AW58" s="55">
        <f>_xll.EQNXTDZ($A$1,$B58,AW$5,$B$1)</f>
        <v>0</v>
      </c>
      <c r="AX58" s="55">
        <f>_xll.EQNXTDZ($A$1,$B58,AX$5,$B$1)</f>
        <v>4003.16</v>
      </c>
      <c r="AY58" s="55">
        <f>_xll.EQNXTDZ($A$1,$B58,AY$5,$B$1)</f>
        <v>0</v>
      </c>
      <c r="AZ58" s="55">
        <f>_xll.EQNXTDZ($A$1,$B58,AZ$5,$B$1)</f>
        <v>4026.11</v>
      </c>
      <c r="BA58" s="55">
        <f>_xll.EQNXTDZ($A$1,$B58,BA$5,$B$1)</f>
        <v>0</v>
      </c>
      <c r="BB58" s="55">
        <f>_xll.EQNXTDZ($A$1,$B58,BB$5,$B$1)</f>
        <v>4364.71</v>
      </c>
      <c r="BC58" s="55">
        <f>_xll.EQNXTDZ($A$1,$B58,BC$5,$B$1)</f>
        <v>0</v>
      </c>
      <c r="BD58" s="55">
        <f>_xll.EQNXTDZ($A$1,$B58,BD$5,$B$1)</f>
        <v>4697.43</v>
      </c>
      <c r="BE58" s="55">
        <f>_xll.EQNXTDZ($A$1,$B58,BE$5,$B$1)</f>
        <v>0</v>
      </c>
      <c r="BF58" s="55">
        <f>_xll.EQNXTDZ($A$1,$B58,BF$5,$B$1)</f>
        <v>5192.09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856.798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1330.4480000000001</v>
      </c>
      <c r="W59" s="55">
        <f>_xll.EQNXTDZ($A$1,$B59,W$5,$B$1)</f>
        <v>0</v>
      </c>
      <c r="X59" s="55">
        <f>_xll.EQNXTDZ($A$1,$B59,X$5,$B$1)</f>
        <v>1401.2919999999999</v>
      </c>
      <c r="Y59" s="55">
        <f>_xll.EQNXTDZ($A$1,$B59,Y$5,$B$1)</f>
        <v>0</v>
      </c>
      <c r="Z59" s="55">
        <f>_xll.EQNXTDZ($A$1,$B59,Z$5,$B$1)</f>
        <v>1482.6389999999999</v>
      </c>
      <c r="AA59" s="55">
        <f>_xll.EQNXTDZ($A$1,$B59,AA$5,$B$1)</f>
        <v>0</v>
      </c>
      <c r="AB59" s="55">
        <f>_xll.EQNXTDZ($A$1,$B59,AB$5,$B$1)</f>
        <v>1492.6110000000001</v>
      </c>
      <c r="AC59" s="55">
        <f>_xll.EQNXTDZ($A$1,$B59,AC$5,$B$1)</f>
        <v>0</v>
      </c>
      <c r="AD59" s="55">
        <f>_xll.EQNXTDZ($A$1,$B59,AD$5,$B$1)</f>
        <v>1558.4069999999999</v>
      </c>
      <c r="AE59" s="55">
        <f>_xll.EQNXTDZ($A$1,$B59,AE$5,$B$1)</f>
        <v>0</v>
      </c>
      <c r="AF59" s="55">
        <f>_xll.EQNXTDZ($A$1,$B59,AF$5,$B$1)</f>
        <v>1615.7380000000001</v>
      </c>
      <c r="AG59" s="55">
        <f>_xll.EQNXTDZ($A$1,$B59,AG$5,$B$1)</f>
        <v>0</v>
      </c>
      <c r="AH59" s="55">
        <f>_xll.EQNXTDZ($A$1,$B59,AH$5,$B$1)</f>
        <v>1769.77</v>
      </c>
      <c r="AI59" s="55">
        <f>_xll.EQNXTDZ($A$1,$B59,AI$5,$B$1)</f>
        <v>0</v>
      </c>
      <c r="AJ59" s="55">
        <f>_xll.EQNXTDZ($A$1,$B59,AJ$5,$B$1)</f>
        <v>2187.71</v>
      </c>
      <c r="AK59" s="55">
        <f>_xll.EQNXTDZ($A$1,$B59,AK$5,$B$1)</f>
        <v>0</v>
      </c>
      <c r="AL59" s="55">
        <f>_xll.EQNXTDZ($A$1,$B59,AL$5,$B$1)</f>
        <v>2597.5500000000002</v>
      </c>
      <c r="AM59" s="55">
        <f>_xll.EQNXTDZ($A$1,$B59,AM$5,$B$1)</f>
        <v>0</v>
      </c>
      <c r="AN59" s="55">
        <f>_xll.EQNXTDZ($A$1,$B59,AN$5,$B$1)</f>
        <v>2999.56</v>
      </c>
      <c r="AO59" s="55">
        <f>_xll.EQNXTDZ($A$1,$B59,AO$5,$B$1)</f>
        <v>0</v>
      </c>
      <c r="AP59" s="55">
        <f>_xll.EQNXTDZ($A$1,$B59,AP$5,$B$1)</f>
        <v>3351.19</v>
      </c>
      <c r="AQ59" s="55">
        <f>_xll.EQNXTDZ($A$1,$B59,AQ$5,$B$1)</f>
        <v>0</v>
      </c>
      <c r="AR59" s="55">
        <f>_xll.EQNXTDZ($A$1,$B59,AR$5,$B$1)</f>
        <v>3763.49</v>
      </c>
      <c r="AS59" s="55">
        <f>_xll.EQNXTDZ($A$1,$B59,AS$5,$B$1)</f>
        <v>0</v>
      </c>
      <c r="AT59" s="55">
        <f>_xll.EQNXTDZ($A$1,$B59,AT$5,$B$1)</f>
        <v>4037.53</v>
      </c>
      <c r="AU59" s="55">
        <f>_xll.EQNXTDZ($A$1,$B59,AU$5,$B$1)</f>
        <v>0</v>
      </c>
      <c r="AV59" s="55">
        <f>_xll.EQNXTDZ($A$1,$B59,AV$5,$B$1)</f>
        <v>4029.82</v>
      </c>
      <c r="AW59" s="55">
        <f>_xll.EQNXTDZ($A$1,$B59,AW$5,$B$1)</f>
        <v>0</v>
      </c>
      <c r="AX59" s="55">
        <f>_xll.EQNXTDZ($A$1,$B59,AX$5,$B$1)</f>
        <v>4110.95</v>
      </c>
      <c r="AY59" s="55">
        <f>_xll.EQNXTDZ($A$1,$B59,AY$5,$B$1)</f>
        <v>0</v>
      </c>
      <c r="AZ59" s="55">
        <f>_xll.EQNXTDZ($A$1,$B59,AZ$5,$B$1)</f>
        <v>4133.9399999999996</v>
      </c>
      <c r="BA59" s="55">
        <f>_xll.EQNXTDZ($A$1,$B59,BA$5,$B$1)</f>
        <v>0</v>
      </c>
      <c r="BB59" s="55">
        <f>_xll.EQNXTDZ($A$1,$B59,BB$5,$B$1)</f>
        <v>4472.5600000000004</v>
      </c>
      <c r="BC59" s="55">
        <f>_xll.EQNXTDZ($A$1,$B59,BC$5,$B$1)</f>
        <v>0</v>
      </c>
      <c r="BD59" s="55">
        <f>_xll.EQNXTDZ($A$1,$B59,BD$5,$B$1)</f>
        <v>4805.3900000000003</v>
      </c>
      <c r="BE59" s="55">
        <f>_xll.EQNXTDZ($A$1,$B59,BE$5,$B$1)</f>
        <v>0</v>
      </c>
      <c r="BF59" s="55">
        <f>_xll.EQNXTDZ($A$1,$B59,BF$5,$B$1)</f>
        <v>5300.06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3.15</v>
      </c>
      <c r="AM60" s="55">
        <f>_xll.EQNXTDZ($A$1,$B60,AM$5,$B$1)</f>
        <v>0</v>
      </c>
      <c r="AN60" s="55">
        <f>_xll.EQNXTDZ($A$1,$B60,AN$5,$B$1)</f>
        <v>5.42</v>
      </c>
      <c r="AO60" s="55">
        <f>_xll.EQNXTDZ($A$1,$B60,AO$5,$B$1)</f>
        <v>0</v>
      </c>
      <c r="AP60" s="55">
        <f>_xll.EQNXTDZ($A$1,$B60,AP$5,$B$1)</f>
        <v>7.86</v>
      </c>
      <c r="AQ60" s="55">
        <f>_xll.EQNXTDZ($A$1,$B60,AQ$5,$B$1)</f>
        <v>0</v>
      </c>
      <c r="AR60" s="55">
        <f>_xll.EQNXTDZ($A$1,$B60,AR$5,$B$1)</f>
        <v>9.39</v>
      </c>
      <c r="AS60" s="55">
        <f>_xll.EQNXTDZ($A$1,$B60,AS$5,$B$1)</f>
        <v>0</v>
      </c>
      <c r="AT60" s="55">
        <f>_xll.EQNXTDZ($A$1,$B60,AT$5,$B$1)</f>
        <v>11.13</v>
      </c>
      <c r="AU60" s="55">
        <f>_xll.EQNXTDZ($A$1,$B60,AU$5,$B$1)</f>
        <v>0</v>
      </c>
      <c r="AV60" s="55">
        <f>_xll.EQNXTDZ($A$1,$B60,AV$5,$B$1)</f>
        <v>13.24</v>
      </c>
      <c r="AW60" s="55">
        <f>_xll.EQNXTDZ($A$1,$B60,AW$5,$B$1)</f>
        <v>0</v>
      </c>
      <c r="AX60" s="55">
        <f>_xll.EQNXTDZ($A$1,$B60,AX$5,$B$1)</f>
        <v>4.62</v>
      </c>
      <c r="AY60" s="55">
        <f>_xll.EQNXTDZ($A$1,$B60,AY$5,$B$1)</f>
        <v>0</v>
      </c>
      <c r="AZ60" s="55">
        <f>_xll.EQNXTDZ($A$1,$B60,AZ$5,$B$1)</f>
        <v>10.220000000000001</v>
      </c>
      <c r="BA60" s="55">
        <f>_xll.EQNXTDZ($A$1,$B60,BA$5,$B$1)</f>
        <v>0</v>
      </c>
      <c r="BB60" s="55">
        <f>_xll.EQNXTDZ($A$1,$B60,BB$5,$B$1)</f>
        <v>129.96</v>
      </c>
      <c r="BC60" s="55">
        <f>_xll.EQNXTDZ($A$1,$B60,BC$5,$B$1)</f>
        <v>0</v>
      </c>
      <c r="BD60" s="55">
        <f>_xll.EQNXTDZ($A$1,$B60,BD$5,$B$1)</f>
        <v>128.13999999999999</v>
      </c>
      <c r="BE60" s="55">
        <f>_xll.EQNXTDZ($A$1,$B60,BE$5,$B$1)</f>
        <v>0</v>
      </c>
      <c r="BF60" s="55">
        <f>_xll.EQNXTDZ($A$1,$B60,BF$5,$B$1)</f>
        <v>131.30000000000001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459.74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124.562</v>
      </c>
      <c r="W61" s="55">
        <f>_xll.EQNXTDZ($A$1,$B61,W$5,$B$1)</f>
        <v>0</v>
      </c>
      <c r="X61" s="55">
        <f>_xll.EQNXTDZ($A$1,$B61,X$5,$B$1)</f>
        <v>140.405</v>
      </c>
      <c r="Y61" s="55">
        <f>_xll.EQNXTDZ($A$1,$B61,Y$5,$B$1)</f>
        <v>0</v>
      </c>
      <c r="Z61" s="55">
        <f>_xll.EQNXTDZ($A$1,$B61,Z$5,$B$1)</f>
        <v>141.65899999999999</v>
      </c>
      <c r="AA61" s="55">
        <f>_xll.EQNXTDZ($A$1,$B61,AA$5,$B$1)</f>
        <v>0</v>
      </c>
      <c r="AB61" s="55">
        <f>_xll.EQNXTDZ($A$1,$B61,AB$5,$B$1)</f>
        <v>291.221</v>
      </c>
      <c r="AC61" s="55">
        <f>_xll.EQNXTDZ($A$1,$B61,AC$5,$B$1)</f>
        <v>0</v>
      </c>
      <c r="AD61" s="55">
        <f>_xll.EQNXTDZ($A$1,$B61,AD$5,$B$1)</f>
        <v>258.71300000000002</v>
      </c>
      <c r="AE61" s="55">
        <f>_xll.EQNXTDZ($A$1,$B61,AE$5,$B$1)</f>
        <v>0</v>
      </c>
      <c r="AF61" s="55">
        <f>_xll.EQNXTDZ($A$1,$B61,AF$5,$B$1)</f>
        <v>210.155</v>
      </c>
      <c r="AG61" s="55">
        <f>_xll.EQNXTDZ($A$1,$B61,AG$5,$B$1)</f>
        <v>0</v>
      </c>
      <c r="AH61" s="55">
        <f>_xll.EQNXTDZ($A$1,$B61,AH$5,$B$1)</f>
        <v>165.02</v>
      </c>
      <c r="AI61" s="55">
        <f>_xll.EQNXTDZ($A$1,$B61,AI$5,$B$1)</f>
        <v>0</v>
      </c>
      <c r="AJ61" s="55">
        <f>_xll.EQNXTDZ($A$1,$B61,AJ$5,$B$1)</f>
        <v>157.1</v>
      </c>
      <c r="AK61" s="55">
        <f>_xll.EQNXTDZ($A$1,$B61,AK$5,$B$1)</f>
        <v>0</v>
      </c>
      <c r="AL61" s="55">
        <f>_xll.EQNXTDZ($A$1,$B61,AL$5,$B$1)</f>
        <v>429.16</v>
      </c>
      <c r="AM61" s="55">
        <f>_xll.EQNXTDZ($A$1,$B61,AM$5,$B$1)</f>
        <v>0</v>
      </c>
      <c r="AN61" s="55">
        <f>_xll.EQNXTDZ($A$1,$B61,AN$5,$B$1)</f>
        <v>525.11</v>
      </c>
      <c r="AO61" s="55">
        <f>_xll.EQNXTDZ($A$1,$B61,AO$5,$B$1)</f>
        <v>0</v>
      </c>
      <c r="AP61" s="55">
        <f>_xll.EQNXTDZ($A$1,$B61,AP$5,$B$1)</f>
        <v>596.34</v>
      </c>
      <c r="AQ61" s="55">
        <f>_xll.EQNXTDZ($A$1,$B61,AQ$5,$B$1)</f>
        <v>0</v>
      </c>
      <c r="AR61" s="55">
        <f>_xll.EQNXTDZ($A$1,$B61,AR$5,$B$1)</f>
        <v>540.41999999999996</v>
      </c>
      <c r="AS61" s="55">
        <f>_xll.EQNXTDZ($A$1,$B61,AS$5,$B$1)</f>
        <v>0</v>
      </c>
      <c r="AT61" s="55">
        <f>_xll.EQNXTDZ($A$1,$B61,AT$5,$B$1)</f>
        <v>761.42</v>
      </c>
      <c r="AU61" s="55">
        <f>_xll.EQNXTDZ($A$1,$B61,AU$5,$B$1)</f>
        <v>0</v>
      </c>
      <c r="AV61" s="55">
        <f>_xll.EQNXTDZ($A$1,$B61,AV$5,$B$1)</f>
        <v>653</v>
      </c>
      <c r="AW61" s="55">
        <f>_xll.EQNXTDZ($A$1,$B61,AW$5,$B$1)</f>
        <v>0</v>
      </c>
      <c r="AX61" s="55">
        <f>_xll.EQNXTDZ($A$1,$B61,AX$5,$B$1)</f>
        <v>798.23</v>
      </c>
      <c r="AY61" s="55">
        <f>_xll.EQNXTDZ($A$1,$B61,AY$5,$B$1)</f>
        <v>0</v>
      </c>
      <c r="AZ61" s="55">
        <f>_xll.EQNXTDZ($A$1,$B61,AZ$5,$B$1)</f>
        <v>661.42</v>
      </c>
      <c r="BA61" s="55">
        <f>_xll.EQNXTDZ($A$1,$B61,BA$5,$B$1)</f>
        <v>0</v>
      </c>
      <c r="BB61" s="55">
        <f>_xll.EQNXTDZ($A$1,$B61,BB$5,$B$1)</f>
        <v>645.58000000000004</v>
      </c>
      <c r="BC61" s="55">
        <f>_xll.EQNXTDZ($A$1,$B61,BC$5,$B$1)</f>
        <v>0</v>
      </c>
      <c r="BD61" s="55">
        <f>_xll.EQNXTDZ($A$1,$B61,BD$5,$B$1)</f>
        <v>538.77</v>
      </c>
      <c r="BE61" s="55">
        <f>_xll.EQNXTDZ($A$1,$B61,BE$5,$B$1)</f>
        <v>0</v>
      </c>
      <c r="BF61" s="55">
        <f>_xll.EQNXTDZ($A$1,$B61,BF$5,$B$1)</f>
        <v>611.34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459.74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124.562</v>
      </c>
      <c r="W63" s="55">
        <f>_xll.EQNXTDZ($A$1,$B63,W$5,$B$1)</f>
        <v>0</v>
      </c>
      <c r="X63" s="55">
        <f>_xll.EQNXTDZ($A$1,$B63,X$5,$B$1)</f>
        <v>140.405</v>
      </c>
      <c r="Y63" s="55">
        <f>_xll.EQNXTDZ($A$1,$B63,Y$5,$B$1)</f>
        <v>0</v>
      </c>
      <c r="Z63" s="55">
        <f>_xll.EQNXTDZ($A$1,$B63,Z$5,$B$1)</f>
        <v>141.65899999999999</v>
      </c>
      <c r="AA63" s="55">
        <f>_xll.EQNXTDZ($A$1,$B63,AA$5,$B$1)</f>
        <v>0</v>
      </c>
      <c r="AB63" s="55">
        <f>_xll.EQNXTDZ($A$1,$B63,AB$5,$B$1)</f>
        <v>291.221</v>
      </c>
      <c r="AC63" s="55">
        <f>_xll.EQNXTDZ($A$1,$B63,AC$5,$B$1)</f>
        <v>0</v>
      </c>
      <c r="AD63" s="55">
        <f>_xll.EQNXTDZ($A$1,$B63,AD$5,$B$1)</f>
        <v>258.71300000000002</v>
      </c>
      <c r="AE63" s="55">
        <f>_xll.EQNXTDZ($A$1,$B63,AE$5,$B$1)</f>
        <v>0</v>
      </c>
      <c r="AF63" s="55">
        <f>_xll.EQNXTDZ($A$1,$B63,AF$5,$B$1)</f>
        <v>210.155</v>
      </c>
      <c r="AG63" s="55">
        <f>_xll.EQNXTDZ($A$1,$B63,AG$5,$B$1)</f>
        <v>0</v>
      </c>
      <c r="AH63" s="55">
        <f>_xll.EQNXTDZ($A$1,$B63,AH$5,$B$1)</f>
        <v>165.02</v>
      </c>
      <c r="AI63" s="55">
        <f>_xll.EQNXTDZ($A$1,$B63,AI$5,$B$1)</f>
        <v>0</v>
      </c>
      <c r="AJ63" s="55">
        <f>_xll.EQNXTDZ($A$1,$B63,AJ$5,$B$1)</f>
        <v>157.1</v>
      </c>
      <c r="AK63" s="55">
        <f>_xll.EQNXTDZ($A$1,$B63,AK$5,$B$1)</f>
        <v>0</v>
      </c>
      <c r="AL63" s="55">
        <f>_xll.EQNXTDZ($A$1,$B63,AL$5,$B$1)</f>
        <v>429.16</v>
      </c>
      <c r="AM63" s="55">
        <f>_xll.EQNXTDZ($A$1,$B63,AM$5,$B$1)</f>
        <v>0</v>
      </c>
      <c r="AN63" s="55">
        <f>_xll.EQNXTDZ($A$1,$B63,AN$5,$B$1)</f>
        <v>525.11</v>
      </c>
      <c r="AO63" s="55">
        <f>_xll.EQNXTDZ($A$1,$B63,AO$5,$B$1)</f>
        <v>0</v>
      </c>
      <c r="AP63" s="55">
        <f>_xll.EQNXTDZ($A$1,$B63,AP$5,$B$1)</f>
        <v>596.34</v>
      </c>
      <c r="AQ63" s="55">
        <f>_xll.EQNXTDZ($A$1,$B63,AQ$5,$B$1)</f>
        <v>0</v>
      </c>
      <c r="AR63" s="55">
        <f>_xll.EQNXTDZ($A$1,$B63,AR$5,$B$1)</f>
        <v>540.41999999999996</v>
      </c>
      <c r="AS63" s="55">
        <f>_xll.EQNXTDZ($A$1,$B63,AS$5,$B$1)</f>
        <v>0</v>
      </c>
      <c r="AT63" s="55">
        <f>_xll.EQNXTDZ($A$1,$B63,AT$5,$B$1)</f>
        <v>761.42</v>
      </c>
      <c r="AU63" s="55">
        <f>_xll.EQNXTDZ($A$1,$B63,AU$5,$B$1)</f>
        <v>0</v>
      </c>
      <c r="AV63" s="55">
        <f>_xll.EQNXTDZ($A$1,$B63,AV$5,$B$1)</f>
        <v>653</v>
      </c>
      <c r="AW63" s="55">
        <f>_xll.EQNXTDZ($A$1,$B63,AW$5,$B$1)</f>
        <v>0</v>
      </c>
      <c r="AX63" s="55">
        <f>_xll.EQNXTDZ($A$1,$B63,AX$5,$B$1)</f>
        <v>798.23</v>
      </c>
      <c r="AY63" s="55">
        <f>_xll.EQNXTDZ($A$1,$B63,AY$5,$B$1)</f>
        <v>0</v>
      </c>
      <c r="AZ63" s="55">
        <f>_xll.EQNXTDZ($A$1,$B63,AZ$5,$B$1)</f>
        <v>661.42</v>
      </c>
      <c r="BA63" s="55">
        <f>_xll.EQNXTDZ($A$1,$B63,BA$5,$B$1)</f>
        <v>0</v>
      </c>
      <c r="BB63" s="55">
        <f>_xll.EQNXTDZ($A$1,$B63,BB$5,$B$1)</f>
        <v>645.58000000000004</v>
      </c>
      <c r="BC63" s="55">
        <f>_xll.EQNXTDZ($A$1,$B63,BC$5,$B$1)</f>
        <v>0</v>
      </c>
      <c r="BD63" s="55">
        <f>_xll.EQNXTDZ($A$1,$B63,BD$5,$B$1)</f>
        <v>538.77</v>
      </c>
      <c r="BE63" s="55">
        <f>_xll.EQNXTDZ($A$1,$B63,BE$5,$B$1)</f>
        <v>0</v>
      </c>
      <c r="BF63" s="55">
        <f>_xll.EQNXTDZ($A$1,$B63,BF$5,$B$1)</f>
        <v>611.34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16.466000000000001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63.072000000000003</v>
      </c>
      <c r="W64" s="55">
        <f>_xll.EQNXTDZ($A$1,$B64,W$5,$B$1)</f>
        <v>0</v>
      </c>
      <c r="X64" s="55">
        <f>_xll.EQNXTDZ($A$1,$B64,X$5,$B$1)</f>
        <v>68.150999999999996</v>
      </c>
      <c r="Y64" s="55">
        <f>_xll.EQNXTDZ($A$1,$B64,Y$5,$B$1)</f>
        <v>0</v>
      </c>
      <c r="Z64" s="55">
        <f>_xll.EQNXTDZ($A$1,$B64,Z$5,$B$1)</f>
        <v>64.697000000000003</v>
      </c>
      <c r="AA64" s="55">
        <f>_xll.EQNXTDZ($A$1,$B64,AA$5,$B$1)</f>
        <v>0</v>
      </c>
      <c r="AB64" s="55">
        <f>_xll.EQNXTDZ($A$1,$B64,AB$5,$B$1)</f>
        <v>72.263999999999996</v>
      </c>
      <c r="AC64" s="55">
        <f>_xll.EQNXTDZ($A$1,$B64,AC$5,$B$1)</f>
        <v>0</v>
      </c>
      <c r="AD64" s="55">
        <f>_xll.EQNXTDZ($A$1,$B64,AD$5,$B$1)</f>
        <v>60.116</v>
      </c>
      <c r="AE64" s="55">
        <f>_xll.EQNXTDZ($A$1,$B64,AE$5,$B$1)</f>
        <v>0</v>
      </c>
      <c r="AF64" s="55">
        <f>_xll.EQNXTDZ($A$1,$B64,AF$5,$B$1)</f>
        <v>83.516999999999996</v>
      </c>
      <c r="AG64" s="55">
        <f>_xll.EQNXTDZ($A$1,$B64,AG$5,$B$1)</f>
        <v>0</v>
      </c>
      <c r="AH64" s="55">
        <f>_xll.EQNXTDZ($A$1,$B64,AH$5,$B$1)</f>
        <v>77.3</v>
      </c>
      <c r="AI64" s="55">
        <f>_xll.EQNXTDZ($A$1,$B64,AI$5,$B$1)</f>
        <v>0</v>
      </c>
      <c r="AJ64" s="55">
        <f>_xll.EQNXTDZ($A$1,$B64,AJ$5,$B$1)</f>
        <v>84.77</v>
      </c>
      <c r="AK64" s="55">
        <f>_xll.EQNXTDZ($A$1,$B64,AK$5,$B$1)</f>
        <v>0</v>
      </c>
      <c r="AL64" s="55">
        <f>_xll.EQNXTDZ($A$1,$B64,AL$5,$B$1)</f>
        <v>181.31</v>
      </c>
      <c r="AM64" s="55">
        <f>_xll.EQNXTDZ($A$1,$B64,AM$5,$B$1)</f>
        <v>0</v>
      </c>
      <c r="AN64" s="55">
        <f>_xll.EQNXTDZ($A$1,$B64,AN$5,$B$1)</f>
        <v>190.5</v>
      </c>
      <c r="AO64" s="55">
        <f>_xll.EQNXTDZ($A$1,$B64,AO$5,$B$1)</f>
        <v>0</v>
      </c>
      <c r="AP64" s="55">
        <f>_xll.EQNXTDZ($A$1,$B64,AP$5,$B$1)</f>
        <v>189.86</v>
      </c>
      <c r="AQ64" s="55">
        <f>_xll.EQNXTDZ($A$1,$B64,AQ$5,$B$1)</f>
        <v>0</v>
      </c>
      <c r="AR64" s="55">
        <f>_xll.EQNXTDZ($A$1,$B64,AR$5,$B$1)</f>
        <v>220.41</v>
      </c>
      <c r="AS64" s="55">
        <f>_xll.EQNXTDZ($A$1,$B64,AS$5,$B$1)</f>
        <v>0</v>
      </c>
      <c r="AT64" s="55">
        <f>_xll.EQNXTDZ($A$1,$B64,AT$5,$B$1)</f>
        <v>254.14</v>
      </c>
      <c r="AU64" s="55">
        <f>_xll.EQNXTDZ($A$1,$B64,AU$5,$B$1)</f>
        <v>0</v>
      </c>
      <c r="AV64" s="55">
        <f>_xll.EQNXTDZ($A$1,$B64,AV$5,$B$1)</f>
        <v>246.37</v>
      </c>
      <c r="AW64" s="55">
        <f>_xll.EQNXTDZ($A$1,$B64,AW$5,$B$1)</f>
        <v>0</v>
      </c>
      <c r="AX64" s="55">
        <f>_xll.EQNXTDZ($A$1,$B64,AX$5,$B$1)</f>
        <v>210.44</v>
      </c>
      <c r="AY64" s="55">
        <f>_xll.EQNXTDZ($A$1,$B64,AY$5,$B$1)</f>
        <v>0</v>
      </c>
      <c r="AZ64" s="55">
        <f>_xll.EQNXTDZ($A$1,$B64,AZ$5,$B$1)</f>
        <v>337.24</v>
      </c>
      <c r="BA64" s="55">
        <f>_xll.EQNXTDZ($A$1,$B64,BA$5,$B$1)</f>
        <v>0</v>
      </c>
      <c r="BB64" s="55">
        <f>_xll.EQNXTDZ($A$1,$B64,BB$5,$B$1)</f>
        <v>409.79</v>
      </c>
      <c r="BC64" s="55">
        <f>_xll.EQNXTDZ($A$1,$B64,BC$5,$B$1)</f>
        <v>0</v>
      </c>
      <c r="BD64" s="55">
        <f>_xll.EQNXTDZ($A$1,$B64,BD$5,$B$1)</f>
        <v>629.92999999999995</v>
      </c>
      <c r="BE64" s="55">
        <f>_xll.EQNXTDZ($A$1,$B64,BE$5,$B$1)</f>
        <v>0</v>
      </c>
      <c r="BF64" s="55">
        <f>_xll.EQNXTDZ($A$1,$B64,BF$5,$B$1)</f>
        <v>671.59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6.7709999999999999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14.587999999999999</v>
      </c>
      <c r="W66" s="55">
        <f>_xll.EQNXTDZ($A$1,$B66,W$5,$B$1)</f>
        <v>0</v>
      </c>
      <c r="X66" s="55">
        <f>_xll.EQNXTDZ($A$1,$B66,X$5,$B$1)</f>
        <v>9.8140000000000001</v>
      </c>
      <c r="Y66" s="55">
        <f>_xll.EQNXTDZ($A$1,$B66,Y$5,$B$1)</f>
        <v>0</v>
      </c>
      <c r="Z66" s="55">
        <f>_xll.EQNXTDZ($A$1,$B66,Z$5,$B$1)</f>
        <v>20.838999999999999</v>
      </c>
      <c r="AA66" s="55">
        <f>_xll.EQNXTDZ($A$1,$B66,AA$5,$B$1)</f>
        <v>0</v>
      </c>
      <c r="AB66" s="55">
        <f>_xll.EQNXTDZ($A$1,$B66,AB$5,$B$1)</f>
        <v>26.273</v>
      </c>
      <c r="AC66" s="55">
        <f>_xll.EQNXTDZ($A$1,$B66,AC$5,$B$1)</f>
        <v>0</v>
      </c>
      <c r="AD66" s="55">
        <f>_xll.EQNXTDZ($A$1,$B66,AD$5,$B$1)</f>
        <v>30.045000000000002</v>
      </c>
      <c r="AE66" s="55">
        <f>_xll.EQNXTDZ($A$1,$B66,AE$5,$B$1)</f>
        <v>0</v>
      </c>
      <c r="AF66" s="55">
        <f>_xll.EQNXTDZ($A$1,$B66,AF$5,$B$1)</f>
        <v>35.692999999999998</v>
      </c>
      <c r="AG66" s="55">
        <f>_xll.EQNXTDZ($A$1,$B66,AG$5,$B$1)</f>
        <v>0</v>
      </c>
      <c r="AH66" s="55">
        <f>_xll.EQNXTDZ($A$1,$B66,AH$5,$B$1)</f>
        <v>45.85</v>
      </c>
      <c r="AI66" s="55">
        <f>_xll.EQNXTDZ($A$1,$B66,AI$5,$B$1)</f>
        <v>0</v>
      </c>
      <c r="AJ66" s="55">
        <f>_xll.EQNXTDZ($A$1,$B66,AJ$5,$B$1)</f>
        <v>55.03</v>
      </c>
      <c r="AK66" s="55">
        <f>_xll.EQNXTDZ($A$1,$B66,AK$5,$B$1)</f>
        <v>0</v>
      </c>
      <c r="AL66" s="55">
        <f>_xll.EQNXTDZ($A$1,$B66,AL$5,$B$1)</f>
        <v>63.19</v>
      </c>
      <c r="AM66" s="55">
        <f>_xll.EQNXTDZ($A$1,$B66,AM$5,$B$1)</f>
        <v>0</v>
      </c>
      <c r="AN66" s="55">
        <f>_xll.EQNXTDZ($A$1,$B66,AN$5,$B$1)</f>
        <v>72.239999999999995</v>
      </c>
      <c r="AO66" s="55">
        <f>_xll.EQNXTDZ($A$1,$B66,AO$5,$B$1)</f>
        <v>0</v>
      </c>
      <c r="AP66" s="55">
        <f>_xll.EQNXTDZ($A$1,$B66,AP$5,$B$1)</f>
        <v>72.67</v>
      </c>
      <c r="AQ66" s="55">
        <f>_xll.EQNXTDZ($A$1,$B66,AQ$5,$B$1)</f>
        <v>0</v>
      </c>
      <c r="AR66" s="55">
        <f>_xll.EQNXTDZ($A$1,$B66,AR$5,$B$1)</f>
        <v>81.180000000000007</v>
      </c>
      <c r="AS66" s="55">
        <f>_xll.EQNXTDZ($A$1,$B66,AS$5,$B$1)</f>
        <v>0</v>
      </c>
      <c r="AT66" s="55">
        <f>_xll.EQNXTDZ($A$1,$B66,AT$5,$B$1)</f>
        <v>81.47</v>
      </c>
      <c r="AU66" s="55">
        <f>_xll.EQNXTDZ($A$1,$B66,AU$5,$B$1)</f>
        <v>0</v>
      </c>
      <c r="AV66" s="55">
        <f>_xll.EQNXTDZ($A$1,$B66,AV$5,$B$1)</f>
        <v>92.54</v>
      </c>
      <c r="AW66" s="55">
        <f>_xll.EQNXTDZ($A$1,$B66,AW$5,$B$1)</f>
        <v>0</v>
      </c>
      <c r="AX66" s="55">
        <f>_xll.EQNXTDZ($A$1,$B66,AX$5,$B$1)</f>
        <v>93.47</v>
      </c>
      <c r="AY66" s="55">
        <f>_xll.EQNXTDZ($A$1,$B66,AY$5,$B$1)</f>
        <v>0</v>
      </c>
      <c r="AZ66" s="55">
        <f>_xll.EQNXTDZ($A$1,$B66,AZ$5,$B$1)</f>
        <v>97.68</v>
      </c>
      <c r="BA66" s="55">
        <f>_xll.EQNXTDZ($A$1,$B66,BA$5,$B$1)</f>
        <v>0</v>
      </c>
      <c r="BB66" s="55">
        <f>_xll.EQNXTDZ($A$1,$B66,BB$5,$B$1)</f>
        <v>106.09</v>
      </c>
      <c r="BC66" s="55">
        <f>_xll.EQNXTDZ($A$1,$B66,BC$5,$B$1)</f>
        <v>0</v>
      </c>
      <c r="BD66" s="55">
        <f>_xll.EQNXTDZ($A$1,$B66,BD$5,$B$1)</f>
        <v>112.82</v>
      </c>
      <c r="BE66" s="55">
        <f>_xll.EQNXTDZ($A$1,$B66,BE$5,$B$1)</f>
        <v>0</v>
      </c>
      <c r="BF66" s="55">
        <f>_xll.EQNXTDZ($A$1,$B66,BF$5,$B$1)</f>
        <v>132.09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1339.7750000000001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1532.67</v>
      </c>
      <c r="W67" s="55">
        <f>_xll.EQNXTDZ($A$1,$B67,W$5,$B$1)</f>
        <v>0</v>
      </c>
      <c r="X67" s="55">
        <f>_xll.EQNXTDZ($A$1,$B67,X$5,$B$1)</f>
        <v>1619.662</v>
      </c>
      <c r="Y67" s="55">
        <f>_xll.EQNXTDZ($A$1,$B67,Y$5,$B$1)</f>
        <v>0</v>
      </c>
      <c r="Z67" s="55">
        <f>_xll.EQNXTDZ($A$1,$B67,Z$5,$B$1)</f>
        <v>1709.8340000000001</v>
      </c>
      <c r="AA67" s="55">
        <f>_xll.EQNXTDZ($A$1,$B67,AA$5,$B$1)</f>
        <v>0</v>
      </c>
      <c r="AB67" s="55">
        <f>_xll.EQNXTDZ($A$1,$B67,AB$5,$B$1)</f>
        <v>1882.3689999999999</v>
      </c>
      <c r="AC67" s="55">
        <f>_xll.EQNXTDZ($A$1,$B67,AC$5,$B$1)</f>
        <v>0</v>
      </c>
      <c r="AD67" s="55">
        <f>_xll.EQNXTDZ($A$1,$B67,AD$5,$B$1)</f>
        <v>1907.2809999999999</v>
      </c>
      <c r="AE67" s="55">
        <f>_xll.EQNXTDZ($A$1,$B67,AE$5,$B$1)</f>
        <v>0</v>
      </c>
      <c r="AF67" s="55">
        <f>_xll.EQNXTDZ($A$1,$B67,AF$5,$B$1)</f>
        <v>1945.1030000000001</v>
      </c>
      <c r="AG67" s="55">
        <f>_xll.EQNXTDZ($A$1,$B67,AG$5,$B$1)</f>
        <v>0</v>
      </c>
      <c r="AH67" s="55">
        <f>_xll.EQNXTDZ($A$1,$B67,AH$5,$B$1)</f>
        <v>2057.94</v>
      </c>
      <c r="AI67" s="55">
        <f>_xll.EQNXTDZ($A$1,$B67,AI$5,$B$1)</f>
        <v>0</v>
      </c>
      <c r="AJ67" s="55">
        <f>_xll.EQNXTDZ($A$1,$B67,AJ$5,$B$1)</f>
        <v>2484.61</v>
      </c>
      <c r="AK67" s="55">
        <f>_xll.EQNXTDZ($A$1,$B67,AK$5,$B$1)</f>
        <v>0</v>
      </c>
      <c r="AL67" s="55">
        <f>_xll.EQNXTDZ($A$1,$B67,AL$5,$B$1)</f>
        <v>3274.36</v>
      </c>
      <c r="AM67" s="55">
        <f>_xll.EQNXTDZ($A$1,$B67,AM$5,$B$1)</f>
        <v>0</v>
      </c>
      <c r="AN67" s="55">
        <f>_xll.EQNXTDZ($A$1,$B67,AN$5,$B$1)</f>
        <v>3792.83</v>
      </c>
      <c r="AO67" s="55">
        <f>_xll.EQNXTDZ($A$1,$B67,AO$5,$B$1)</f>
        <v>0</v>
      </c>
      <c r="AP67" s="55">
        <f>_xll.EQNXTDZ($A$1,$B67,AP$5,$B$1)</f>
        <v>4217.92</v>
      </c>
      <c r="AQ67" s="55">
        <f>_xll.EQNXTDZ($A$1,$B67,AQ$5,$B$1)</f>
        <v>0</v>
      </c>
      <c r="AR67" s="55">
        <f>_xll.EQNXTDZ($A$1,$B67,AR$5,$B$1)</f>
        <v>4614.8900000000003</v>
      </c>
      <c r="AS67" s="55">
        <f>_xll.EQNXTDZ($A$1,$B67,AS$5,$B$1)</f>
        <v>0</v>
      </c>
      <c r="AT67" s="55">
        <f>_xll.EQNXTDZ($A$1,$B67,AT$5,$B$1)</f>
        <v>5145.6899999999996</v>
      </c>
      <c r="AU67" s="55">
        <f>_xll.EQNXTDZ($A$1,$B67,AU$5,$B$1)</f>
        <v>0</v>
      </c>
      <c r="AV67" s="55">
        <f>_xll.EQNXTDZ($A$1,$B67,AV$5,$B$1)</f>
        <v>5034.97</v>
      </c>
      <c r="AW67" s="55">
        <f>_xll.EQNXTDZ($A$1,$B67,AW$5,$B$1)</f>
        <v>0</v>
      </c>
      <c r="AX67" s="55">
        <f>_xll.EQNXTDZ($A$1,$B67,AX$5,$B$1)</f>
        <v>5217.71</v>
      </c>
      <c r="AY67" s="55">
        <f>_xll.EQNXTDZ($A$1,$B67,AY$5,$B$1)</f>
        <v>0</v>
      </c>
      <c r="AZ67" s="55">
        <f>_xll.EQNXTDZ($A$1,$B67,AZ$5,$B$1)</f>
        <v>5240.5</v>
      </c>
      <c r="BA67" s="55">
        <f>_xll.EQNXTDZ($A$1,$B67,BA$5,$B$1)</f>
        <v>0</v>
      </c>
      <c r="BB67" s="55">
        <f>_xll.EQNXTDZ($A$1,$B67,BB$5,$B$1)</f>
        <v>5763.98</v>
      </c>
      <c r="BC67" s="55">
        <f>_xll.EQNXTDZ($A$1,$B67,BC$5,$B$1)</f>
        <v>0</v>
      </c>
      <c r="BD67" s="55">
        <f>_xll.EQNXTDZ($A$1,$B67,BD$5,$B$1)</f>
        <v>6215.05</v>
      </c>
      <c r="BE67" s="55">
        <f>_xll.EQNXTDZ($A$1,$B67,BE$5,$B$1)</f>
        <v>0</v>
      </c>
      <c r="BF67" s="55">
        <f>_xll.EQNXTDZ($A$1,$B67,BF$5,$B$1)</f>
        <v>6846.38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1021.027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1220.1959999999999</v>
      </c>
      <c r="W68" s="55">
        <f>_xll.EQNXTDZ($A$1,$B68,W$5,$B$1)</f>
        <v>0</v>
      </c>
      <c r="X68" s="55">
        <f>_xll.EQNXTDZ($A$1,$B68,X$5,$B$1)</f>
        <v>1175.701</v>
      </c>
      <c r="Y68" s="55">
        <f>_xll.EQNXTDZ($A$1,$B68,Y$5,$B$1)</f>
        <v>0</v>
      </c>
      <c r="Z68" s="55">
        <f>_xll.EQNXTDZ($A$1,$B68,Z$5,$B$1)</f>
        <v>1471.056</v>
      </c>
      <c r="AA68" s="55">
        <f>_xll.EQNXTDZ($A$1,$B68,AA$5,$B$1)</f>
        <v>0</v>
      </c>
      <c r="AB68" s="55">
        <f>_xll.EQNXTDZ($A$1,$B68,AB$5,$B$1)</f>
        <v>1586.415</v>
      </c>
      <c r="AC68" s="55">
        <f>_xll.EQNXTDZ($A$1,$B68,AC$5,$B$1)</f>
        <v>0</v>
      </c>
      <c r="AD68" s="55">
        <f>_xll.EQNXTDZ($A$1,$B68,AD$5,$B$1)</f>
        <v>1619.33</v>
      </c>
      <c r="AE68" s="55">
        <f>_xll.EQNXTDZ($A$1,$B68,AE$5,$B$1)</f>
        <v>0</v>
      </c>
      <c r="AF68" s="55">
        <f>_xll.EQNXTDZ($A$1,$B68,AF$5,$B$1)</f>
        <v>1618.0129999999999</v>
      </c>
      <c r="AG68" s="55">
        <f>_xll.EQNXTDZ($A$1,$B68,AG$5,$B$1)</f>
        <v>0</v>
      </c>
      <c r="AH68" s="55">
        <f>_xll.EQNXTDZ($A$1,$B68,AH$5,$B$1)</f>
        <v>1673.71</v>
      </c>
      <c r="AI68" s="55">
        <f>_xll.EQNXTDZ($A$1,$B68,AI$5,$B$1)</f>
        <v>0</v>
      </c>
      <c r="AJ68" s="55">
        <f>_xll.EQNXTDZ($A$1,$B68,AJ$5,$B$1)</f>
        <v>1677.67</v>
      </c>
      <c r="AK68" s="55">
        <f>_xll.EQNXTDZ($A$1,$B68,AK$5,$B$1)</f>
        <v>0</v>
      </c>
      <c r="AL68" s="55">
        <f>_xll.EQNXTDZ($A$1,$B68,AL$5,$B$1)</f>
        <v>1869.16</v>
      </c>
      <c r="AM68" s="55">
        <f>_xll.EQNXTDZ($A$1,$B68,AM$5,$B$1)</f>
        <v>0</v>
      </c>
      <c r="AN68" s="55">
        <f>_xll.EQNXTDZ($A$1,$B68,AN$5,$B$1)</f>
        <v>2080.6799999999998</v>
      </c>
      <c r="AO68" s="55">
        <f>_xll.EQNXTDZ($A$1,$B68,AO$5,$B$1)</f>
        <v>0</v>
      </c>
      <c r="AP68" s="55">
        <f>_xll.EQNXTDZ($A$1,$B68,AP$5,$B$1)</f>
        <v>2268.12</v>
      </c>
      <c r="AQ68" s="55">
        <f>_xll.EQNXTDZ($A$1,$B68,AQ$5,$B$1)</f>
        <v>0</v>
      </c>
      <c r="AR68" s="55">
        <f>_xll.EQNXTDZ($A$1,$B68,AR$5,$B$1)</f>
        <v>2848.31</v>
      </c>
      <c r="AS68" s="55">
        <f>_xll.EQNXTDZ($A$1,$B68,AS$5,$B$1)</f>
        <v>0</v>
      </c>
      <c r="AT68" s="55">
        <f>_xll.EQNXTDZ($A$1,$B68,AT$5,$B$1)</f>
        <v>3028.89</v>
      </c>
      <c r="AU68" s="55">
        <f>_xll.EQNXTDZ($A$1,$B68,AU$5,$B$1)</f>
        <v>0</v>
      </c>
      <c r="AV68" s="55">
        <f>_xll.EQNXTDZ($A$1,$B68,AV$5,$B$1)</f>
        <v>3327.78</v>
      </c>
      <c r="AW68" s="55">
        <f>_xll.EQNXTDZ($A$1,$B68,AW$5,$B$1)</f>
        <v>0</v>
      </c>
      <c r="AX68" s="55">
        <f>_xll.EQNXTDZ($A$1,$B68,AX$5,$B$1)</f>
        <v>3465.39</v>
      </c>
      <c r="AY68" s="55">
        <f>_xll.EQNXTDZ($A$1,$B68,AY$5,$B$1)</f>
        <v>0</v>
      </c>
      <c r="AZ68" s="55">
        <f>_xll.EQNXTDZ($A$1,$B68,AZ$5,$B$1)</f>
        <v>3418.21</v>
      </c>
      <c r="BA68" s="55">
        <f>_xll.EQNXTDZ($A$1,$B68,BA$5,$B$1)</f>
        <v>0</v>
      </c>
      <c r="BB68" s="55">
        <f>_xll.EQNXTDZ($A$1,$B68,BB$5,$B$1)</f>
        <v>3687.78</v>
      </c>
      <c r="BC68" s="55">
        <f>_xll.EQNXTDZ($A$1,$B68,BC$5,$B$1)</f>
        <v>0</v>
      </c>
      <c r="BD68" s="55">
        <f>_xll.EQNXTDZ($A$1,$B68,BD$5,$B$1)</f>
        <v>3817.96</v>
      </c>
      <c r="BE68" s="55">
        <f>_xll.EQNXTDZ($A$1,$B68,BE$5,$B$1)</f>
        <v>0</v>
      </c>
      <c r="BF68" s="55">
        <f>_xll.EQNXTDZ($A$1,$B68,BF$5,$B$1)</f>
        <v>3891.63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1021.027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1220.1959999999999</v>
      </c>
      <c r="W71" s="55">
        <f>_xll.EQNXTDZ($A$1,$B71,W$5,$B$1)</f>
        <v>0</v>
      </c>
      <c r="X71" s="55">
        <f>_xll.EQNXTDZ($A$1,$B71,X$5,$B$1)</f>
        <v>1175.701</v>
      </c>
      <c r="Y71" s="55">
        <f>_xll.EQNXTDZ($A$1,$B71,Y$5,$B$1)</f>
        <v>0</v>
      </c>
      <c r="Z71" s="55">
        <f>_xll.EQNXTDZ($A$1,$B71,Z$5,$B$1)</f>
        <v>1471.056</v>
      </c>
      <c r="AA71" s="55">
        <f>_xll.EQNXTDZ($A$1,$B71,AA$5,$B$1)</f>
        <v>0</v>
      </c>
      <c r="AB71" s="55">
        <f>_xll.EQNXTDZ($A$1,$B71,AB$5,$B$1)</f>
        <v>1586.415</v>
      </c>
      <c r="AC71" s="55">
        <f>_xll.EQNXTDZ($A$1,$B71,AC$5,$B$1)</f>
        <v>0</v>
      </c>
      <c r="AD71" s="55">
        <f>_xll.EQNXTDZ($A$1,$B71,AD$5,$B$1)</f>
        <v>1619.33</v>
      </c>
      <c r="AE71" s="55">
        <f>_xll.EQNXTDZ($A$1,$B71,AE$5,$B$1)</f>
        <v>0</v>
      </c>
      <c r="AF71" s="55">
        <f>_xll.EQNXTDZ($A$1,$B71,AF$5,$B$1)</f>
        <v>1618.0129999999999</v>
      </c>
      <c r="AG71" s="55">
        <f>_xll.EQNXTDZ($A$1,$B71,AG$5,$B$1)</f>
        <v>0</v>
      </c>
      <c r="AH71" s="55">
        <f>_xll.EQNXTDZ($A$1,$B71,AH$5,$B$1)</f>
        <v>1673.71</v>
      </c>
      <c r="AI71" s="55">
        <f>_xll.EQNXTDZ($A$1,$B71,AI$5,$B$1)</f>
        <v>0</v>
      </c>
      <c r="AJ71" s="55">
        <f>_xll.EQNXTDZ($A$1,$B71,AJ$5,$B$1)</f>
        <v>1677.67</v>
      </c>
      <c r="AK71" s="55">
        <f>_xll.EQNXTDZ($A$1,$B71,AK$5,$B$1)</f>
        <v>0</v>
      </c>
      <c r="AL71" s="55">
        <f>_xll.EQNXTDZ($A$1,$B71,AL$5,$B$1)</f>
        <v>1869.16</v>
      </c>
      <c r="AM71" s="55">
        <f>_xll.EQNXTDZ($A$1,$B71,AM$5,$B$1)</f>
        <v>0</v>
      </c>
      <c r="AN71" s="55">
        <f>_xll.EQNXTDZ($A$1,$B71,AN$5,$B$1)</f>
        <v>2080.6799999999998</v>
      </c>
      <c r="AO71" s="55">
        <f>_xll.EQNXTDZ($A$1,$B71,AO$5,$B$1)</f>
        <v>0</v>
      </c>
      <c r="AP71" s="55">
        <f>_xll.EQNXTDZ($A$1,$B71,AP$5,$B$1)</f>
        <v>2268.12</v>
      </c>
      <c r="AQ71" s="55">
        <f>_xll.EQNXTDZ($A$1,$B71,AQ$5,$B$1)</f>
        <v>0</v>
      </c>
      <c r="AR71" s="55">
        <f>_xll.EQNXTDZ($A$1,$B71,AR$5,$B$1)</f>
        <v>2848.31</v>
      </c>
      <c r="AS71" s="55">
        <f>_xll.EQNXTDZ($A$1,$B71,AS$5,$B$1)</f>
        <v>0</v>
      </c>
      <c r="AT71" s="55">
        <f>_xll.EQNXTDZ($A$1,$B71,AT$5,$B$1)</f>
        <v>3028.89</v>
      </c>
      <c r="AU71" s="55">
        <f>_xll.EQNXTDZ($A$1,$B71,AU$5,$B$1)</f>
        <v>0</v>
      </c>
      <c r="AV71" s="55">
        <f>_xll.EQNXTDZ($A$1,$B71,AV$5,$B$1)</f>
        <v>3327.78</v>
      </c>
      <c r="AW71" s="55">
        <f>_xll.EQNXTDZ($A$1,$B71,AW$5,$B$1)</f>
        <v>0</v>
      </c>
      <c r="AX71" s="55">
        <f>_xll.EQNXTDZ($A$1,$B71,AX$5,$B$1)</f>
        <v>3465.39</v>
      </c>
      <c r="AY71" s="55">
        <f>_xll.EQNXTDZ($A$1,$B71,AY$5,$B$1)</f>
        <v>0</v>
      </c>
      <c r="AZ71" s="55">
        <f>_xll.EQNXTDZ($A$1,$B71,AZ$5,$B$1)</f>
        <v>3418.21</v>
      </c>
      <c r="BA71" s="55">
        <f>_xll.EQNXTDZ($A$1,$B71,BA$5,$B$1)</f>
        <v>0</v>
      </c>
      <c r="BB71" s="55">
        <f>_xll.EQNXTDZ($A$1,$B71,BB$5,$B$1)</f>
        <v>3687.78</v>
      </c>
      <c r="BC71" s="55">
        <f>_xll.EQNXTDZ($A$1,$B71,BC$5,$B$1)</f>
        <v>0</v>
      </c>
      <c r="BD71" s="55">
        <f>_xll.EQNXTDZ($A$1,$B71,BD$5,$B$1)</f>
        <v>3817.96</v>
      </c>
      <c r="BE71" s="55">
        <f>_xll.EQNXTDZ($A$1,$B71,BE$5,$B$1)</f>
        <v>0</v>
      </c>
      <c r="BF71" s="55">
        <f>_xll.EQNXTDZ($A$1,$B71,BF$5,$B$1)</f>
        <v>3891.63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9.7390000000000008</v>
      </c>
      <c r="W72" s="55">
        <f>_xll.EQNXTDZ($A$1,$B72,W$5,$B$1)</f>
        <v>0</v>
      </c>
      <c r="X72" s="55">
        <f>_xll.EQNXTDZ($A$1,$B72,X$5,$B$1)</f>
        <v>9.7390000000000008</v>
      </c>
      <c r="Y72" s="55">
        <f>_xll.EQNXTDZ($A$1,$B72,Y$5,$B$1)</f>
        <v>0</v>
      </c>
      <c r="Z72" s="55">
        <f>_xll.EQNXTDZ($A$1,$B72,Z$5,$B$1)</f>
        <v>9.7390000000000008</v>
      </c>
      <c r="AA72" s="55">
        <f>_xll.EQNXTDZ($A$1,$B72,AA$5,$B$1)</f>
        <v>0</v>
      </c>
      <c r="AB72" s="55">
        <f>_xll.EQNXTDZ($A$1,$B72,AB$5,$B$1)</f>
        <v>9.7390000000000008</v>
      </c>
      <c r="AC72" s="55">
        <f>_xll.EQNXTDZ($A$1,$B72,AC$5,$B$1)</f>
        <v>0</v>
      </c>
      <c r="AD72" s="55">
        <f>_xll.EQNXTDZ($A$1,$B72,AD$5,$B$1)</f>
        <v>9.7390000000000008</v>
      </c>
      <c r="AE72" s="55">
        <f>_xll.EQNXTDZ($A$1,$B72,AE$5,$B$1)</f>
        <v>0</v>
      </c>
      <c r="AF72" s="55">
        <f>_xll.EQNXTDZ($A$1,$B72,AF$5,$B$1)</f>
        <v>9.7390000000000008</v>
      </c>
      <c r="AG72" s="55">
        <f>_xll.EQNXTDZ($A$1,$B72,AG$5,$B$1)</f>
        <v>0</v>
      </c>
      <c r="AH72" s="55">
        <f>_xll.EQNXTDZ($A$1,$B72,AH$5,$B$1)</f>
        <v>9.74</v>
      </c>
      <c r="AI72" s="55">
        <f>_xll.EQNXTDZ($A$1,$B72,AI$5,$B$1)</f>
        <v>0</v>
      </c>
      <c r="AJ72" s="55">
        <f>_xll.EQNXTDZ($A$1,$B72,AJ$5,$B$1)</f>
        <v>9.74</v>
      </c>
      <c r="AK72" s="55">
        <f>_xll.EQNXTDZ($A$1,$B72,AK$5,$B$1)</f>
        <v>0</v>
      </c>
      <c r="AL72" s="55">
        <f>_xll.EQNXTDZ($A$1,$B72,AL$5,$B$1)</f>
        <v>246.3</v>
      </c>
      <c r="AM72" s="55">
        <f>_xll.EQNXTDZ($A$1,$B72,AM$5,$B$1)</f>
        <v>0</v>
      </c>
      <c r="AN72" s="55">
        <f>_xll.EQNXTDZ($A$1,$B72,AN$5,$B$1)</f>
        <v>246.3</v>
      </c>
      <c r="AO72" s="55">
        <f>_xll.EQNXTDZ($A$1,$B72,AO$5,$B$1)</f>
        <v>0</v>
      </c>
      <c r="AP72" s="55">
        <f>_xll.EQNXTDZ($A$1,$B72,AP$5,$B$1)</f>
        <v>246.3</v>
      </c>
      <c r="AQ72" s="55">
        <f>_xll.EQNXTDZ($A$1,$B72,AQ$5,$B$1)</f>
        <v>0</v>
      </c>
      <c r="AR72" s="55">
        <f>_xll.EQNXTDZ($A$1,$B72,AR$5,$B$1)</f>
        <v>246.3</v>
      </c>
      <c r="AS72" s="55">
        <f>_xll.EQNXTDZ($A$1,$B72,AS$5,$B$1)</f>
        <v>0</v>
      </c>
      <c r="AT72" s="55">
        <f>_xll.EQNXTDZ($A$1,$B72,AT$5,$B$1)</f>
        <v>246.3</v>
      </c>
      <c r="AU72" s="55">
        <f>_xll.EQNXTDZ($A$1,$B72,AU$5,$B$1)</f>
        <v>0</v>
      </c>
      <c r="AV72" s="55">
        <f>_xll.EQNXTDZ($A$1,$B72,AV$5,$B$1)</f>
        <v>246.3</v>
      </c>
      <c r="AW72" s="55">
        <f>_xll.EQNXTDZ($A$1,$B72,AW$5,$B$1)</f>
        <v>0</v>
      </c>
      <c r="AX72" s="55">
        <f>_xll.EQNXTDZ($A$1,$B72,AX$5,$B$1)</f>
        <v>246.3</v>
      </c>
      <c r="AY72" s="55">
        <f>_xll.EQNXTDZ($A$1,$B72,AY$5,$B$1)</f>
        <v>0</v>
      </c>
      <c r="AZ72" s="55">
        <f>_xll.EQNXTDZ($A$1,$B72,AZ$5,$B$1)</f>
        <v>246.3</v>
      </c>
      <c r="BA72" s="55">
        <f>_xll.EQNXTDZ($A$1,$B72,BA$5,$B$1)</f>
        <v>0</v>
      </c>
      <c r="BB72" s="55">
        <f>_xll.EQNXTDZ($A$1,$B72,BB$5,$B$1)</f>
        <v>246.3</v>
      </c>
      <c r="BC72" s="55">
        <f>_xll.EQNXTDZ($A$1,$B72,BC$5,$B$1)</f>
        <v>0</v>
      </c>
      <c r="BD72" s="55">
        <f>_xll.EQNXTDZ($A$1,$B72,BD$5,$B$1)</f>
        <v>246.3</v>
      </c>
      <c r="BE72" s="55">
        <f>_xll.EQNXTDZ($A$1,$B72,BE$5,$B$1)</f>
        <v>0</v>
      </c>
      <c r="BF72" s="55">
        <f>_xll.EQNXTDZ($A$1,$B72,BF$5,$B$1)</f>
        <v>246.3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69.599999999999994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143.256</v>
      </c>
      <c r="W74" s="55">
        <f>_xll.EQNXTDZ($A$1,$B74,W$5,$B$1)</f>
        <v>0</v>
      </c>
      <c r="X74" s="55">
        <f>_xll.EQNXTDZ($A$1,$B74,X$5,$B$1)</f>
        <v>293.22399999999999</v>
      </c>
      <c r="Y74" s="55">
        <f>_xll.EQNXTDZ($A$1,$B74,Y$5,$B$1)</f>
        <v>0</v>
      </c>
      <c r="Z74" s="55">
        <f>_xll.EQNXTDZ($A$1,$B74,Z$5,$B$1)</f>
        <v>163.18</v>
      </c>
      <c r="AA74" s="55">
        <f>_xll.EQNXTDZ($A$1,$B74,AA$5,$B$1)</f>
        <v>0</v>
      </c>
      <c r="AB74" s="55">
        <f>_xll.EQNXTDZ($A$1,$B74,AB$5,$B$1)</f>
        <v>108.996</v>
      </c>
      <c r="AC74" s="55">
        <f>_xll.EQNXTDZ($A$1,$B74,AC$5,$B$1)</f>
        <v>0</v>
      </c>
      <c r="AD74" s="55">
        <f>_xll.EQNXTDZ($A$1,$B74,AD$5,$B$1)</f>
        <v>109.63200000000001</v>
      </c>
      <c r="AE74" s="55">
        <f>_xll.EQNXTDZ($A$1,$B74,AE$5,$B$1)</f>
        <v>0</v>
      </c>
      <c r="AF74" s="55">
        <f>_xll.EQNXTDZ($A$1,$B74,AF$5,$B$1)</f>
        <v>102.824</v>
      </c>
      <c r="AG74" s="55">
        <f>_xll.EQNXTDZ($A$1,$B74,AG$5,$B$1)</f>
        <v>0</v>
      </c>
      <c r="AH74" s="55">
        <f>_xll.EQNXTDZ($A$1,$B74,AH$5,$B$1)</f>
        <v>67.180000000000007</v>
      </c>
      <c r="AI74" s="55">
        <f>_xll.EQNXTDZ($A$1,$B74,AI$5,$B$1)</f>
        <v>0</v>
      </c>
      <c r="AJ74" s="55">
        <f>_xll.EQNXTDZ($A$1,$B74,AJ$5,$B$1)</f>
        <v>204.58</v>
      </c>
      <c r="AK74" s="55">
        <f>_xll.EQNXTDZ($A$1,$B74,AK$5,$B$1)</f>
        <v>0</v>
      </c>
      <c r="AL74" s="55">
        <f>_xll.EQNXTDZ($A$1,$B74,AL$5,$B$1)</f>
        <v>362.17</v>
      </c>
      <c r="AM74" s="55">
        <f>_xll.EQNXTDZ($A$1,$B74,AM$5,$B$1)</f>
        <v>0</v>
      </c>
      <c r="AN74" s="55">
        <f>_xll.EQNXTDZ($A$1,$B74,AN$5,$B$1)</f>
        <v>598.54999999999995</v>
      </c>
      <c r="AO74" s="55">
        <f>_xll.EQNXTDZ($A$1,$B74,AO$5,$B$1)</f>
        <v>0</v>
      </c>
      <c r="AP74" s="55">
        <f>_xll.EQNXTDZ($A$1,$B74,AP$5,$B$1)</f>
        <v>813.22</v>
      </c>
      <c r="AQ74" s="55">
        <f>_xll.EQNXTDZ($A$1,$B74,AQ$5,$B$1)</f>
        <v>0</v>
      </c>
      <c r="AR74" s="55">
        <f>_xll.EQNXTDZ($A$1,$B74,AR$5,$B$1)</f>
        <v>471.24</v>
      </c>
      <c r="AS74" s="55">
        <f>_xll.EQNXTDZ($A$1,$B74,AS$5,$B$1)</f>
        <v>0</v>
      </c>
      <c r="AT74" s="55">
        <f>_xll.EQNXTDZ($A$1,$B74,AT$5,$B$1)</f>
        <v>550.78</v>
      </c>
      <c r="AU74" s="55">
        <f>_xll.EQNXTDZ($A$1,$B74,AU$5,$B$1)</f>
        <v>0</v>
      </c>
      <c r="AV74" s="55">
        <f>_xll.EQNXTDZ($A$1,$B74,AV$5,$B$1)</f>
        <v>443.51</v>
      </c>
      <c r="AW74" s="55">
        <f>_xll.EQNXTDZ($A$1,$B74,AW$5,$B$1)</f>
        <v>0</v>
      </c>
      <c r="AX74" s="55">
        <f>_xll.EQNXTDZ($A$1,$B74,AX$5,$B$1)</f>
        <v>422.84</v>
      </c>
      <c r="AY74" s="55">
        <f>_xll.EQNXTDZ($A$1,$B74,AY$5,$B$1)</f>
        <v>0</v>
      </c>
      <c r="AZ74" s="55">
        <f>_xll.EQNXTDZ($A$1,$B74,AZ$5,$B$1)</f>
        <v>521.34</v>
      </c>
      <c r="BA74" s="55">
        <f>_xll.EQNXTDZ($A$1,$B74,BA$5,$B$1)</f>
        <v>0</v>
      </c>
      <c r="BB74" s="55">
        <f>_xll.EQNXTDZ($A$1,$B74,BB$5,$B$1)</f>
        <v>458.36</v>
      </c>
      <c r="BC74" s="55">
        <f>_xll.EQNXTDZ($A$1,$B74,BC$5,$B$1)</f>
        <v>0</v>
      </c>
      <c r="BD74" s="55">
        <f>_xll.EQNXTDZ($A$1,$B74,BD$5,$B$1)</f>
        <v>540.80999999999995</v>
      </c>
      <c r="BE74" s="55">
        <f>_xll.EQNXTDZ($A$1,$B74,BE$5,$B$1)</f>
        <v>0</v>
      </c>
      <c r="BF74" s="55">
        <f>_xll.EQNXTDZ($A$1,$B74,BF$5,$B$1)</f>
        <v>773.28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7.0449999999999999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3.4049999999999998</v>
      </c>
      <c r="W77" s="55">
        <f>_xll.EQNXTDZ($A$1,$B77,W$5,$B$1)</f>
        <v>0</v>
      </c>
      <c r="X77" s="55">
        <f>_xll.EQNXTDZ($A$1,$B77,X$5,$B$1)</f>
        <v>3.4049999999999998</v>
      </c>
      <c r="Y77" s="55">
        <f>_xll.EQNXTDZ($A$1,$B77,Y$5,$B$1)</f>
        <v>0</v>
      </c>
      <c r="Z77" s="55">
        <f>_xll.EQNXTDZ($A$1,$B77,Z$5,$B$1)</f>
        <v>3.4049999999999998</v>
      </c>
      <c r="AA77" s="55">
        <f>_xll.EQNXTDZ($A$1,$B77,AA$5,$B$1)</f>
        <v>0</v>
      </c>
      <c r="AB77" s="55">
        <f>_xll.EQNXTDZ($A$1,$B77,AB$5,$B$1)</f>
        <v>3.4049999999999998</v>
      </c>
      <c r="AC77" s="55">
        <f>_xll.EQNXTDZ($A$1,$B77,AC$5,$B$1)</f>
        <v>0</v>
      </c>
      <c r="AD77" s="55">
        <f>_xll.EQNXTDZ($A$1,$B77,AD$5,$B$1)</f>
        <v>3.4049999999999998</v>
      </c>
      <c r="AE77" s="55">
        <f>_xll.EQNXTDZ($A$1,$B77,AE$5,$B$1)</f>
        <v>0</v>
      </c>
      <c r="AF77" s="55">
        <f>_xll.EQNXTDZ($A$1,$B77,AF$5,$B$1)</f>
        <v>3.4049999999999998</v>
      </c>
      <c r="AG77" s="55">
        <f>_xll.EQNXTDZ($A$1,$B77,AG$5,$B$1)</f>
        <v>0</v>
      </c>
      <c r="AH77" s="55">
        <f>_xll.EQNXTDZ($A$1,$B77,AH$5,$B$1)</f>
        <v>3.41</v>
      </c>
      <c r="AI77" s="55">
        <f>_xll.EQNXTDZ($A$1,$B77,AI$5,$B$1)</f>
        <v>0</v>
      </c>
      <c r="AJ77" s="55">
        <f>_xll.EQNXTDZ($A$1,$B77,AJ$5,$B$1)</f>
        <v>3.41</v>
      </c>
      <c r="AK77" s="55">
        <f>_xll.EQNXTDZ($A$1,$B77,AK$5,$B$1)</f>
        <v>0</v>
      </c>
      <c r="AL77" s="55">
        <f>_xll.EQNXTDZ($A$1,$B77,AL$5,$B$1)</f>
        <v>3.41</v>
      </c>
      <c r="AM77" s="55">
        <f>_xll.EQNXTDZ($A$1,$B77,AM$5,$B$1)</f>
        <v>0</v>
      </c>
      <c r="AN77" s="55">
        <f>_xll.EQNXTDZ($A$1,$B77,AN$5,$B$1)</f>
        <v>3.41</v>
      </c>
      <c r="AO77" s="55">
        <f>_xll.EQNXTDZ($A$1,$B77,AO$5,$B$1)</f>
        <v>0</v>
      </c>
      <c r="AP77" s="55">
        <f>_xll.EQNXTDZ($A$1,$B77,AP$5,$B$1)</f>
        <v>30.81</v>
      </c>
      <c r="AQ77" s="55">
        <f>_xll.EQNXTDZ($A$1,$B77,AQ$5,$B$1)</f>
        <v>0</v>
      </c>
      <c r="AR77" s="55">
        <f>_xll.EQNXTDZ($A$1,$B77,AR$5,$B$1)</f>
        <v>30.09</v>
      </c>
      <c r="AS77" s="55">
        <f>_xll.EQNXTDZ($A$1,$B77,AS$5,$B$1)</f>
        <v>0</v>
      </c>
      <c r="AT77" s="55">
        <f>_xll.EQNXTDZ($A$1,$B77,AT$5,$B$1)</f>
        <v>49.9</v>
      </c>
      <c r="AU77" s="55">
        <f>_xll.EQNXTDZ($A$1,$B77,AU$5,$B$1)</f>
        <v>0</v>
      </c>
      <c r="AV77" s="55">
        <f>_xll.EQNXTDZ($A$1,$B77,AV$5,$B$1)</f>
        <v>94.1</v>
      </c>
      <c r="AW77" s="55">
        <f>_xll.EQNXTDZ($A$1,$B77,AW$5,$B$1)</f>
        <v>0</v>
      </c>
      <c r="AX77" s="55">
        <f>_xll.EQNXTDZ($A$1,$B77,AX$5,$B$1)</f>
        <v>123.98</v>
      </c>
      <c r="AY77" s="55">
        <f>_xll.EQNXTDZ($A$1,$B77,AY$5,$B$1)</f>
        <v>0</v>
      </c>
      <c r="AZ77" s="55">
        <f>_xll.EQNXTDZ($A$1,$B77,AZ$5,$B$1)</f>
        <v>126.68</v>
      </c>
      <c r="BA77" s="55">
        <f>_xll.EQNXTDZ($A$1,$B77,BA$5,$B$1)</f>
        <v>0</v>
      </c>
      <c r="BB77" s="55">
        <f>_xll.EQNXTDZ($A$1,$B77,BB$5,$B$1)</f>
        <v>233.26</v>
      </c>
      <c r="BC77" s="55">
        <f>_xll.EQNXTDZ($A$1,$B77,BC$5,$B$1)</f>
        <v>0</v>
      </c>
      <c r="BD77" s="55">
        <f>_xll.EQNXTDZ($A$1,$B77,BD$5,$B$1)</f>
        <v>261.32</v>
      </c>
      <c r="BE77" s="55">
        <f>_xll.EQNXTDZ($A$1,$B77,BE$5,$B$1)</f>
        <v>0</v>
      </c>
      <c r="BF77" s="55">
        <f>_xll.EQNXTDZ($A$1,$B77,BF$5,$B$1)</f>
        <v>309.27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8.4909999999999997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12.157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59.756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67.119</v>
      </c>
      <c r="W79" s="55">
        <f>_xll.EQNXTDZ($A$1,$B79,W$5,$B$1)</f>
        <v>0</v>
      </c>
      <c r="X79" s="55">
        <f>_xll.EQNXTDZ($A$1,$B79,X$5,$B$1)</f>
        <v>61.462000000000003</v>
      </c>
      <c r="Y79" s="55">
        <f>_xll.EQNXTDZ($A$1,$B79,Y$5,$B$1)</f>
        <v>0</v>
      </c>
      <c r="Z79" s="55">
        <f>_xll.EQNXTDZ($A$1,$B79,Z$5,$B$1)</f>
        <v>68.852000000000004</v>
      </c>
      <c r="AA79" s="55">
        <f>_xll.EQNXTDZ($A$1,$B79,AA$5,$B$1)</f>
        <v>0</v>
      </c>
      <c r="AB79" s="55">
        <f>_xll.EQNXTDZ($A$1,$B79,AB$5,$B$1)</f>
        <v>78.760000000000005</v>
      </c>
      <c r="AC79" s="55">
        <f>_xll.EQNXTDZ($A$1,$B79,AC$5,$B$1)</f>
        <v>0</v>
      </c>
      <c r="AD79" s="55">
        <f>_xll.EQNXTDZ($A$1,$B79,AD$5,$B$1)</f>
        <v>72.738</v>
      </c>
      <c r="AE79" s="55">
        <f>_xll.EQNXTDZ($A$1,$B79,AE$5,$B$1)</f>
        <v>0</v>
      </c>
      <c r="AF79" s="55">
        <f>_xll.EQNXTDZ($A$1,$B79,AF$5,$B$1)</f>
        <v>107.59399999999999</v>
      </c>
      <c r="AG79" s="55">
        <f>_xll.EQNXTDZ($A$1,$B79,AG$5,$B$1)</f>
        <v>0</v>
      </c>
      <c r="AH79" s="55">
        <f>_xll.EQNXTDZ($A$1,$B79,AH$5,$B$1)</f>
        <v>110.29</v>
      </c>
      <c r="AI79" s="55">
        <f>_xll.EQNXTDZ($A$1,$B79,AI$5,$B$1)</f>
        <v>0</v>
      </c>
      <c r="AJ79" s="55">
        <f>_xll.EQNXTDZ($A$1,$B79,AJ$5,$B$1)</f>
        <v>165.4</v>
      </c>
      <c r="AK79" s="55">
        <f>_xll.EQNXTDZ($A$1,$B79,AK$5,$B$1)</f>
        <v>0</v>
      </c>
      <c r="AL79" s="55">
        <f>_xll.EQNXTDZ($A$1,$B79,AL$5,$B$1)</f>
        <v>194.79</v>
      </c>
      <c r="AM79" s="55">
        <f>_xll.EQNXTDZ($A$1,$B79,AM$5,$B$1)</f>
        <v>0</v>
      </c>
      <c r="AN79" s="55">
        <f>_xll.EQNXTDZ($A$1,$B79,AN$5,$B$1)</f>
        <v>276.82</v>
      </c>
      <c r="AO79" s="55">
        <f>_xll.EQNXTDZ($A$1,$B79,AO$5,$B$1)</f>
        <v>0</v>
      </c>
      <c r="AP79" s="55">
        <f>_xll.EQNXTDZ($A$1,$B79,AP$5,$B$1)</f>
        <v>264.98</v>
      </c>
      <c r="AQ79" s="55">
        <f>_xll.EQNXTDZ($A$1,$B79,AQ$5,$B$1)</f>
        <v>0</v>
      </c>
      <c r="AR79" s="55">
        <f>_xll.EQNXTDZ($A$1,$B79,AR$5,$B$1)</f>
        <v>286.64999999999998</v>
      </c>
      <c r="AS79" s="55">
        <f>_xll.EQNXTDZ($A$1,$B79,AS$5,$B$1)</f>
        <v>0</v>
      </c>
      <c r="AT79" s="55">
        <f>_xll.EQNXTDZ($A$1,$B79,AT$5,$B$1)</f>
        <v>322.85000000000002</v>
      </c>
      <c r="AU79" s="55">
        <f>_xll.EQNXTDZ($A$1,$B79,AU$5,$B$1)</f>
        <v>0</v>
      </c>
      <c r="AV79" s="55">
        <f>_xll.EQNXTDZ($A$1,$B79,AV$5,$B$1)</f>
        <v>278.01</v>
      </c>
      <c r="AW79" s="55">
        <f>_xll.EQNXTDZ($A$1,$B79,AW$5,$B$1)</f>
        <v>0</v>
      </c>
      <c r="AX79" s="55">
        <f>_xll.EQNXTDZ($A$1,$B79,AX$5,$B$1)</f>
        <v>293.55</v>
      </c>
      <c r="AY79" s="55">
        <f>_xll.EQNXTDZ($A$1,$B79,AY$5,$B$1)</f>
        <v>0</v>
      </c>
      <c r="AZ79" s="55">
        <f>_xll.EQNXTDZ($A$1,$B79,AZ$5,$B$1)</f>
        <v>297.04000000000002</v>
      </c>
      <c r="BA79" s="55">
        <f>_xll.EQNXTDZ($A$1,$B79,BA$5,$B$1)</f>
        <v>0</v>
      </c>
      <c r="BB79" s="55">
        <f>_xll.EQNXTDZ($A$1,$B79,BB$5,$B$1)</f>
        <v>377.55</v>
      </c>
      <c r="BC79" s="55">
        <f>_xll.EQNXTDZ($A$1,$B79,BC$5,$B$1)</f>
        <v>0</v>
      </c>
      <c r="BD79" s="55">
        <f>_xll.EQNXTDZ($A$1,$B79,BD$5,$B$1)</f>
        <v>357.36</v>
      </c>
      <c r="BE79" s="55">
        <f>_xll.EQNXTDZ($A$1,$B79,BE$5,$B$1)</f>
        <v>0</v>
      </c>
      <c r="BF79" s="55">
        <f>_xll.EQNXTDZ($A$1,$B79,BF$5,$B$1)</f>
        <v>461.5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487.09300000000002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509.04599999999999</v>
      </c>
      <c r="W81" s="55">
        <f>_xll.EQNXTDZ($A$1,$B81,W$5,$B$1)</f>
        <v>0</v>
      </c>
      <c r="X81" s="55">
        <f>_xll.EQNXTDZ($A$1,$B81,X$5,$B$1)</f>
        <v>570.39599999999996</v>
      </c>
      <c r="Y81" s="55">
        <f>_xll.EQNXTDZ($A$1,$B81,Y$5,$B$1)</f>
        <v>0</v>
      </c>
      <c r="Z81" s="55">
        <f>_xll.EQNXTDZ($A$1,$B81,Z$5,$B$1)</f>
        <v>584.78200000000004</v>
      </c>
      <c r="AA81" s="55">
        <f>_xll.EQNXTDZ($A$1,$B81,AA$5,$B$1)</f>
        <v>0</v>
      </c>
      <c r="AB81" s="55">
        <f>_xll.EQNXTDZ($A$1,$B81,AB$5,$B$1)</f>
        <v>648.08900000000006</v>
      </c>
      <c r="AC81" s="55">
        <f>_xll.EQNXTDZ($A$1,$B81,AC$5,$B$1)</f>
        <v>0</v>
      </c>
      <c r="AD81" s="55">
        <f>_xll.EQNXTDZ($A$1,$B81,AD$5,$B$1)</f>
        <v>681.93700000000001</v>
      </c>
      <c r="AE81" s="55">
        <f>_xll.EQNXTDZ($A$1,$B81,AE$5,$B$1)</f>
        <v>0</v>
      </c>
      <c r="AF81" s="55">
        <f>_xll.EQNXTDZ($A$1,$B81,AF$5,$B$1)</f>
        <v>897.00300000000004</v>
      </c>
      <c r="AG81" s="55">
        <f>_xll.EQNXTDZ($A$1,$B81,AG$5,$B$1)</f>
        <v>0</v>
      </c>
      <c r="AH81" s="55">
        <f>_xll.EQNXTDZ($A$1,$B81,AH$5,$B$1)</f>
        <v>905.22</v>
      </c>
      <c r="AI81" s="55">
        <f>_xll.EQNXTDZ($A$1,$B81,AI$5,$B$1)</f>
        <v>0</v>
      </c>
      <c r="AJ81" s="55">
        <f>_xll.EQNXTDZ($A$1,$B81,AJ$5,$B$1)</f>
        <v>1148.44</v>
      </c>
      <c r="AK81" s="55">
        <f>_xll.EQNXTDZ($A$1,$B81,AK$5,$B$1)</f>
        <v>0</v>
      </c>
      <c r="AL81" s="55">
        <f>_xll.EQNXTDZ($A$1,$B81,AL$5,$B$1)</f>
        <v>1575.45</v>
      </c>
      <c r="AM81" s="55">
        <f>_xll.EQNXTDZ($A$1,$B81,AM$5,$B$1)</f>
        <v>0</v>
      </c>
      <c r="AN81" s="55">
        <f>_xll.EQNXTDZ($A$1,$B81,AN$5,$B$1)</f>
        <v>1895.88</v>
      </c>
      <c r="AO81" s="55">
        <f>_xll.EQNXTDZ($A$1,$B81,AO$5,$B$1)</f>
        <v>0</v>
      </c>
      <c r="AP81" s="55">
        <f>_xll.EQNXTDZ($A$1,$B81,AP$5,$B$1)</f>
        <v>1760.3</v>
      </c>
      <c r="AQ81" s="55">
        <f>_xll.EQNXTDZ($A$1,$B81,AQ$5,$B$1)</f>
        <v>0</v>
      </c>
      <c r="AR81" s="55">
        <f>_xll.EQNXTDZ($A$1,$B81,AR$5,$B$1)</f>
        <v>2261.35</v>
      </c>
      <c r="AS81" s="55">
        <f>_xll.EQNXTDZ($A$1,$B81,AS$5,$B$1)</f>
        <v>0</v>
      </c>
      <c r="AT81" s="55">
        <f>_xll.EQNXTDZ($A$1,$B81,AT$5,$B$1)</f>
        <v>1684.81</v>
      </c>
      <c r="AU81" s="55">
        <f>_xll.EQNXTDZ($A$1,$B81,AU$5,$B$1)</f>
        <v>0</v>
      </c>
      <c r="AV81" s="55">
        <f>_xll.EQNXTDZ($A$1,$B81,AV$5,$B$1)</f>
        <v>1865.53</v>
      </c>
      <c r="AW81" s="55">
        <f>_xll.EQNXTDZ($A$1,$B81,AW$5,$B$1)</f>
        <v>0</v>
      </c>
      <c r="AX81" s="55">
        <f>_xll.EQNXTDZ($A$1,$B81,AX$5,$B$1)</f>
        <v>1845.41</v>
      </c>
      <c r="AY81" s="55">
        <f>_xll.EQNXTDZ($A$1,$B81,AY$5,$B$1)</f>
        <v>0</v>
      </c>
      <c r="AZ81" s="55">
        <f>_xll.EQNXTDZ($A$1,$B81,AZ$5,$B$1)</f>
        <v>2107.13</v>
      </c>
      <c r="BA81" s="55">
        <f>_xll.EQNXTDZ($A$1,$B81,BA$5,$B$1)</f>
        <v>0</v>
      </c>
      <c r="BB81" s="55">
        <f>_xll.EQNXTDZ($A$1,$B81,BB$5,$B$1)</f>
        <v>1936.54</v>
      </c>
      <c r="BC81" s="55">
        <f>_xll.EQNXTDZ($A$1,$B81,BC$5,$B$1)</f>
        <v>0</v>
      </c>
      <c r="BD81" s="55">
        <f>_xll.EQNXTDZ($A$1,$B81,BD$5,$B$1)</f>
        <v>2020.96</v>
      </c>
      <c r="BE81" s="55">
        <f>_xll.EQNXTDZ($A$1,$B81,BE$5,$B$1)</f>
        <v>0</v>
      </c>
      <c r="BF81" s="55">
        <f>_xll.EQNXTDZ($A$1,$B81,BF$5,$B$1)</f>
        <v>2342.16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444.85700000000003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567.60500000000002</v>
      </c>
      <c r="W82" s="55">
        <f>_xll.EQNXTDZ($A$1,$B82,W$5,$B$1)</f>
        <v>0</v>
      </c>
      <c r="X82" s="55">
        <f>_xll.EQNXTDZ($A$1,$B82,X$5,$B$1)</f>
        <v>676.005</v>
      </c>
      <c r="Y82" s="55">
        <f>_xll.EQNXTDZ($A$1,$B82,Y$5,$B$1)</f>
        <v>0</v>
      </c>
      <c r="Z82" s="55">
        <f>_xll.EQNXTDZ($A$1,$B82,Z$5,$B$1)</f>
        <v>570.58699999999999</v>
      </c>
      <c r="AA82" s="55">
        <f>_xll.EQNXTDZ($A$1,$B82,AA$5,$B$1)</f>
        <v>0</v>
      </c>
      <c r="AB82" s="55">
        <f>_xll.EQNXTDZ($A$1,$B82,AB$5,$B$1)</f>
        <v>689.20899999999995</v>
      </c>
      <c r="AC82" s="55">
        <f>_xll.EQNXTDZ($A$1,$B82,AC$5,$B$1)</f>
        <v>0</v>
      </c>
      <c r="AD82" s="55">
        <f>_xll.EQNXTDZ($A$1,$B82,AD$5,$B$1)</f>
        <v>709.94</v>
      </c>
      <c r="AE82" s="55">
        <f>_xll.EQNXTDZ($A$1,$B82,AE$5,$B$1)</f>
        <v>0</v>
      </c>
      <c r="AF82" s="55">
        <f>_xll.EQNXTDZ($A$1,$B82,AF$5,$B$1)</f>
        <v>714.69100000000003</v>
      </c>
      <c r="AG82" s="55">
        <f>_xll.EQNXTDZ($A$1,$B82,AG$5,$B$1)</f>
        <v>0</v>
      </c>
      <c r="AH82" s="55">
        <f>_xll.EQNXTDZ($A$1,$B82,AH$5,$B$1)</f>
        <v>791.42</v>
      </c>
      <c r="AI82" s="55">
        <f>_xll.EQNXTDZ($A$1,$B82,AI$5,$B$1)</f>
        <v>0</v>
      </c>
      <c r="AJ82" s="55">
        <f>_xll.EQNXTDZ($A$1,$B82,AJ$5,$B$1)</f>
        <v>885.5</v>
      </c>
      <c r="AK82" s="55">
        <f>_xll.EQNXTDZ($A$1,$B82,AK$5,$B$1)</f>
        <v>0</v>
      </c>
      <c r="AL82" s="55">
        <f>_xll.EQNXTDZ($A$1,$B82,AL$5,$B$1)</f>
        <v>1306.06</v>
      </c>
      <c r="AM82" s="55">
        <f>_xll.EQNXTDZ($A$1,$B82,AM$5,$B$1)</f>
        <v>0</v>
      </c>
      <c r="AN82" s="55">
        <f>_xll.EQNXTDZ($A$1,$B82,AN$5,$B$1)</f>
        <v>1048.23</v>
      </c>
      <c r="AO82" s="55">
        <f>_xll.EQNXTDZ($A$1,$B82,AO$5,$B$1)</f>
        <v>0</v>
      </c>
      <c r="AP82" s="55">
        <f>_xll.EQNXTDZ($A$1,$B82,AP$5,$B$1)</f>
        <v>1354.18</v>
      </c>
      <c r="AQ82" s="55">
        <f>_xll.EQNXTDZ($A$1,$B82,AQ$5,$B$1)</f>
        <v>0</v>
      </c>
      <c r="AR82" s="55">
        <f>_xll.EQNXTDZ($A$1,$B82,AR$5,$B$1)</f>
        <v>1732.35</v>
      </c>
      <c r="AS82" s="55">
        <f>_xll.EQNXTDZ($A$1,$B82,AS$5,$B$1)</f>
        <v>0</v>
      </c>
      <c r="AT82" s="55">
        <f>_xll.EQNXTDZ($A$1,$B82,AT$5,$B$1)</f>
        <v>1580.44</v>
      </c>
      <c r="AU82" s="55">
        <f>_xll.EQNXTDZ($A$1,$B82,AU$5,$B$1)</f>
        <v>0</v>
      </c>
      <c r="AV82" s="55">
        <f>_xll.EQNXTDZ($A$1,$B82,AV$5,$B$1)</f>
        <v>1548.75</v>
      </c>
      <c r="AW82" s="55">
        <f>_xll.EQNXTDZ($A$1,$B82,AW$5,$B$1)</f>
        <v>0</v>
      </c>
      <c r="AX82" s="55">
        <f>_xll.EQNXTDZ($A$1,$B82,AX$5,$B$1)</f>
        <v>1662.92</v>
      </c>
      <c r="AY82" s="55">
        <f>_xll.EQNXTDZ($A$1,$B82,AY$5,$B$1)</f>
        <v>0</v>
      </c>
      <c r="AZ82" s="55">
        <f>_xll.EQNXTDZ($A$1,$B82,AZ$5,$B$1)</f>
        <v>1749.96</v>
      </c>
      <c r="BA82" s="55">
        <f>_xll.EQNXTDZ($A$1,$B82,BA$5,$B$1)</f>
        <v>0</v>
      </c>
      <c r="BB82" s="55">
        <f>_xll.EQNXTDZ($A$1,$B82,BB$5,$B$1)</f>
        <v>2007.16</v>
      </c>
      <c r="BC82" s="55">
        <f>_xll.EQNXTDZ($A$1,$B82,BC$5,$B$1)</f>
        <v>0</v>
      </c>
      <c r="BD82" s="55">
        <f>_xll.EQNXTDZ($A$1,$B82,BD$5,$B$1)</f>
        <v>1859.44</v>
      </c>
      <c r="BE82" s="55">
        <f>_xll.EQNXTDZ($A$1,$B82,BE$5,$B$1)</f>
        <v>0</v>
      </c>
      <c r="BF82" s="55">
        <f>_xll.EQNXTDZ($A$1,$B82,BF$5,$B$1)</f>
        <v>2155.04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28.774000000000001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4.0910000000000002</v>
      </c>
      <c r="W83" s="55">
        <f>_xll.EQNXTDZ($A$1,$B83,W$5,$B$1)</f>
        <v>0</v>
      </c>
      <c r="X83" s="55">
        <f>_xll.EQNXTDZ($A$1,$B83,X$5,$B$1)</f>
        <v>5.476</v>
      </c>
      <c r="Y83" s="55">
        <f>_xll.EQNXTDZ($A$1,$B83,Y$5,$B$1)</f>
        <v>0</v>
      </c>
      <c r="Z83" s="55">
        <f>_xll.EQNXTDZ($A$1,$B83,Z$5,$B$1)</f>
        <v>3.0569999999999999</v>
      </c>
      <c r="AA83" s="55">
        <f>_xll.EQNXTDZ($A$1,$B83,AA$5,$B$1)</f>
        <v>0</v>
      </c>
      <c r="AB83" s="55">
        <f>_xll.EQNXTDZ($A$1,$B83,AB$5,$B$1)</f>
        <v>9.125</v>
      </c>
      <c r="AC83" s="55">
        <f>_xll.EQNXTDZ($A$1,$B83,AC$5,$B$1)</f>
        <v>0</v>
      </c>
      <c r="AD83" s="55">
        <f>_xll.EQNXTDZ($A$1,$B83,AD$5,$B$1)</f>
        <v>3.0209999999999999</v>
      </c>
      <c r="AE83" s="55">
        <f>_xll.EQNXTDZ($A$1,$B83,AE$5,$B$1)</f>
        <v>0</v>
      </c>
      <c r="AF83" s="55">
        <f>_xll.EQNXTDZ($A$1,$B83,AF$5,$B$1)</f>
        <v>4.8330000000000002</v>
      </c>
      <c r="AG83" s="55">
        <f>_xll.EQNXTDZ($A$1,$B83,AG$5,$B$1)</f>
        <v>0</v>
      </c>
      <c r="AH83" s="55">
        <f>_xll.EQNXTDZ($A$1,$B83,AH$5,$B$1)</f>
        <v>1.74</v>
      </c>
      <c r="AI83" s="55">
        <f>_xll.EQNXTDZ($A$1,$B83,AI$5,$B$1)</f>
        <v>0</v>
      </c>
      <c r="AJ83" s="55">
        <f>_xll.EQNXTDZ($A$1,$B83,AJ$5,$B$1)</f>
        <v>2.19</v>
      </c>
      <c r="AK83" s="55">
        <f>_xll.EQNXTDZ($A$1,$B83,AK$5,$B$1)</f>
        <v>0</v>
      </c>
      <c r="AL83" s="55">
        <f>_xll.EQNXTDZ($A$1,$B83,AL$5,$B$1)</f>
        <v>48.46</v>
      </c>
      <c r="AM83" s="55">
        <f>_xll.EQNXTDZ($A$1,$B83,AM$5,$B$1)</f>
        <v>0</v>
      </c>
      <c r="AN83" s="55">
        <f>_xll.EQNXTDZ($A$1,$B83,AN$5,$B$1)</f>
        <v>38.67</v>
      </c>
      <c r="AO83" s="55">
        <f>_xll.EQNXTDZ($A$1,$B83,AO$5,$B$1)</f>
        <v>0</v>
      </c>
      <c r="AP83" s="55">
        <f>_xll.EQNXTDZ($A$1,$B83,AP$5,$B$1)</f>
        <v>75.94</v>
      </c>
      <c r="AQ83" s="55">
        <f>_xll.EQNXTDZ($A$1,$B83,AQ$5,$B$1)</f>
        <v>0</v>
      </c>
      <c r="AR83" s="55">
        <f>_xll.EQNXTDZ($A$1,$B83,AR$5,$B$1)</f>
        <v>52.19</v>
      </c>
      <c r="AS83" s="55">
        <f>_xll.EQNXTDZ($A$1,$B83,AS$5,$B$1)</f>
        <v>0</v>
      </c>
      <c r="AT83" s="55">
        <f>_xll.EQNXTDZ($A$1,$B83,AT$5,$B$1)</f>
        <v>48.46</v>
      </c>
      <c r="AU83" s="55">
        <f>_xll.EQNXTDZ($A$1,$B83,AU$5,$B$1)</f>
        <v>0</v>
      </c>
      <c r="AV83" s="55">
        <f>_xll.EQNXTDZ($A$1,$B83,AV$5,$B$1)</f>
        <v>67.16</v>
      </c>
      <c r="AW83" s="55">
        <f>_xll.EQNXTDZ($A$1,$B83,AW$5,$B$1)</f>
        <v>0</v>
      </c>
      <c r="AX83" s="55">
        <f>_xll.EQNXTDZ($A$1,$B83,AX$5,$B$1)</f>
        <v>141.65</v>
      </c>
      <c r="AY83" s="55">
        <f>_xll.EQNXTDZ($A$1,$B83,AY$5,$B$1)</f>
        <v>0</v>
      </c>
      <c r="AZ83" s="55">
        <f>_xll.EQNXTDZ($A$1,$B83,AZ$5,$B$1)</f>
        <v>44.92</v>
      </c>
      <c r="BA83" s="55">
        <f>_xll.EQNXTDZ($A$1,$B83,BA$5,$B$1)</f>
        <v>0</v>
      </c>
      <c r="BB83" s="55">
        <f>_xll.EQNXTDZ($A$1,$B83,BB$5,$B$1)</f>
        <v>144.21</v>
      </c>
      <c r="BC83" s="55">
        <f>_xll.EQNXTDZ($A$1,$B83,BC$5,$B$1)</f>
        <v>0</v>
      </c>
      <c r="BD83" s="55">
        <f>_xll.EQNXTDZ($A$1,$B83,BD$5,$B$1)</f>
        <v>63.38</v>
      </c>
      <c r="BE83" s="55">
        <f>_xll.EQNXTDZ($A$1,$B83,BE$5,$B$1)</f>
        <v>0</v>
      </c>
      <c r="BF83" s="55">
        <f>_xll.EQNXTDZ($A$1,$B83,BF$5,$B$1)</f>
        <v>113.7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41.426000000000002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58.8</v>
      </c>
      <c r="W84" s="55">
        <f>_xll.EQNXTDZ($A$1,$B84,W$5,$B$1)</f>
        <v>0</v>
      </c>
      <c r="X84" s="55">
        <f>_xll.EQNXTDZ($A$1,$B84,X$5,$B$1)</f>
        <v>87.971000000000004</v>
      </c>
      <c r="Y84" s="55">
        <f>_xll.EQNXTDZ($A$1,$B84,Y$5,$B$1)</f>
        <v>0</v>
      </c>
      <c r="Z84" s="55">
        <f>_xll.EQNXTDZ($A$1,$B84,Z$5,$B$1)</f>
        <v>88.338999999999999</v>
      </c>
      <c r="AA84" s="55">
        <f>_xll.EQNXTDZ($A$1,$B84,AA$5,$B$1)</f>
        <v>0</v>
      </c>
      <c r="AB84" s="55">
        <f>_xll.EQNXTDZ($A$1,$B84,AB$5,$B$1)</f>
        <v>86.772000000000006</v>
      </c>
      <c r="AC84" s="55">
        <f>_xll.EQNXTDZ($A$1,$B84,AC$5,$B$1)</f>
        <v>0</v>
      </c>
      <c r="AD84" s="55">
        <f>_xll.EQNXTDZ($A$1,$B84,AD$5,$B$1)</f>
        <v>67.643000000000001</v>
      </c>
      <c r="AE84" s="55">
        <f>_xll.EQNXTDZ($A$1,$B84,AE$5,$B$1)</f>
        <v>0</v>
      </c>
      <c r="AF84" s="55">
        <f>_xll.EQNXTDZ($A$1,$B84,AF$5,$B$1)</f>
        <v>102.63200000000001</v>
      </c>
      <c r="AG84" s="55">
        <f>_xll.EQNXTDZ($A$1,$B84,AG$5,$B$1)</f>
        <v>0</v>
      </c>
      <c r="AH84" s="55">
        <f>_xll.EQNXTDZ($A$1,$B84,AH$5,$B$1)</f>
        <v>113.19</v>
      </c>
      <c r="AI84" s="55">
        <f>_xll.EQNXTDZ($A$1,$B84,AI$5,$B$1)</f>
        <v>0</v>
      </c>
      <c r="AJ84" s="55">
        <f>_xll.EQNXTDZ($A$1,$B84,AJ$5,$B$1)</f>
        <v>114.4</v>
      </c>
      <c r="AK84" s="55">
        <f>_xll.EQNXTDZ($A$1,$B84,AK$5,$B$1)</f>
        <v>0</v>
      </c>
      <c r="AL84" s="55">
        <f>_xll.EQNXTDZ($A$1,$B84,AL$5,$B$1)</f>
        <v>144.21</v>
      </c>
      <c r="AM84" s="55">
        <f>_xll.EQNXTDZ($A$1,$B84,AM$5,$B$1)</f>
        <v>0</v>
      </c>
      <c r="AN84" s="55">
        <f>_xll.EQNXTDZ($A$1,$B84,AN$5,$B$1)</f>
        <v>173.56</v>
      </c>
      <c r="AO84" s="55">
        <f>_xll.EQNXTDZ($A$1,$B84,AO$5,$B$1)</f>
        <v>0</v>
      </c>
      <c r="AP84" s="55">
        <f>_xll.EQNXTDZ($A$1,$B84,AP$5,$B$1)</f>
        <v>153.55000000000001</v>
      </c>
      <c r="AQ84" s="55">
        <f>_xll.EQNXTDZ($A$1,$B84,AQ$5,$B$1)</f>
        <v>0</v>
      </c>
      <c r="AR84" s="55">
        <f>_xll.EQNXTDZ($A$1,$B84,AR$5,$B$1)</f>
        <v>126.43</v>
      </c>
      <c r="AS84" s="55">
        <f>_xll.EQNXTDZ($A$1,$B84,AS$5,$B$1)</f>
        <v>0</v>
      </c>
      <c r="AT84" s="55">
        <f>_xll.EQNXTDZ($A$1,$B84,AT$5,$B$1)</f>
        <v>147</v>
      </c>
      <c r="AU84" s="55">
        <f>_xll.EQNXTDZ($A$1,$B84,AU$5,$B$1)</f>
        <v>0</v>
      </c>
      <c r="AV84" s="55">
        <f>_xll.EQNXTDZ($A$1,$B84,AV$5,$B$1)</f>
        <v>185.6</v>
      </c>
      <c r="AW84" s="55">
        <f>_xll.EQNXTDZ($A$1,$B84,AW$5,$B$1)</f>
        <v>0</v>
      </c>
      <c r="AX84" s="55">
        <f>_xll.EQNXTDZ($A$1,$B84,AX$5,$B$1)</f>
        <v>184.04</v>
      </c>
      <c r="AY84" s="55">
        <f>_xll.EQNXTDZ($A$1,$B84,AY$5,$B$1)</f>
        <v>0</v>
      </c>
      <c r="AZ84" s="55">
        <f>_xll.EQNXTDZ($A$1,$B84,AZ$5,$B$1)</f>
        <v>216.9</v>
      </c>
      <c r="BA84" s="55">
        <f>_xll.EQNXTDZ($A$1,$B84,BA$5,$B$1)</f>
        <v>0</v>
      </c>
      <c r="BB84" s="55">
        <f>_xll.EQNXTDZ($A$1,$B84,BB$5,$B$1)</f>
        <v>243.48</v>
      </c>
      <c r="BC84" s="55">
        <f>_xll.EQNXTDZ($A$1,$B84,BC$5,$B$1)</f>
        <v>0</v>
      </c>
      <c r="BD84" s="55">
        <f>_xll.EQNXTDZ($A$1,$B84,BD$5,$B$1)</f>
        <v>246.19</v>
      </c>
      <c r="BE84" s="55">
        <f>_xll.EQNXTDZ($A$1,$B84,BE$5,$B$1)</f>
        <v>0</v>
      </c>
      <c r="BF84" s="55">
        <f>_xll.EQNXTDZ($A$1,$B84,BF$5,$B$1)</f>
        <v>217.38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0.58299999999999996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0.27700000000000002</v>
      </c>
      <c r="W85" s="55">
        <f>_xll.EQNXTDZ($A$1,$B85,W$5,$B$1)</f>
        <v>0</v>
      </c>
      <c r="X85" s="55">
        <f>_xll.EQNXTDZ($A$1,$B85,X$5,$B$1)</f>
        <v>0.30099999999999999</v>
      </c>
      <c r="Y85" s="55">
        <f>_xll.EQNXTDZ($A$1,$B85,Y$5,$B$1)</f>
        <v>0</v>
      </c>
      <c r="Z85" s="55">
        <f>_xll.EQNXTDZ($A$1,$B85,Z$5,$B$1)</f>
        <v>0.82599999999999996</v>
      </c>
      <c r="AA85" s="55">
        <f>_xll.EQNXTDZ($A$1,$B85,AA$5,$B$1)</f>
        <v>0</v>
      </c>
      <c r="AB85" s="55">
        <f>_xll.EQNXTDZ($A$1,$B85,AB$5,$B$1)</f>
        <v>0.79500000000000004</v>
      </c>
      <c r="AC85" s="55">
        <f>_xll.EQNXTDZ($A$1,$B85,AC$5,$B$1)</f>
        <v>0</v>
      </c>
      <c r="AD85" s="55">
        <f>_xll.EQNXTDZ($A$1,$B85,AD$5,$B$1)</f>
        <v>0.41699999999999998</v>
      </c>
      <c r="AE85" s="55">
        <f>_xll.EQNXTDZ($A$1,$B85,AE$5,$B$1)</f>
        <v>0</v>
      </c>
      <c r="AF85" s="55">
        <f>_xll.EQNXTDZ($A$1,$B85,AF$5,$B$1)</f>
        <v>0.56000000000000005</v>
      </c>
      <c r="AG85" s="55">
        <f>_xll.EQNXTDZ($A$1,$B85,AG$5,$B$1)</f>
        <v>0</v>
      </c>
      <c r="AH85" s="55">
        <f>_xll.EQNXTDZ($A$1,$B85,AH$5,$B$1)</f>
        <v>0.49</v>
      </c>
      <c r="AI85" s="55">
        <f>_xll.EQNXTDZ($A$1,$B85,AI$5,$B$1)</f>
        <v>0</v>
      </c>
      <c r="AJ85" s="55">
        <f>_xll.EQNXTDZ($A$1,$B85,AJ$5,$B$1)</f>
        <v>0.52</v>
      </c>
      <c r="AK85" s="55">
        <f>_xll.EQNXTDZ($A$1,$B85,AK$5,$B$1)</f>
        <v>0</v>
      </c>
      <c r="AL85" s="55">
        <f>_xll.EQNXTDZ($A$1,$B85,AL$5,$B$1)</f>
        <v>0.68</v>
      </c>
      <c r="AM85" s="55">
        <f>_xll.EQNXTDZ($A$1,$B85,AM$5,$B$1)</f>
        <v>0</v>
      </c>
      <c r="AN85" s="55">
        <f>_xll.EQNXTDZ($A$1,$B85,AN$5,$B$1)</f>
        <v>0.54</v>
      </c>
      <c r="AO85" s="55">
        <f>_xll.EQNXTDZ($A$1,$B85,AO$5,$B$1)</f>
        <v>0</v>
      </c>
      <c r="AP85" s="55">
        <f>_xll.EQNXTDZ($A$1,$B85,AP$5,$B$1)</f>
        <v>0.64</v>
      </c>
      <c r="AQ85" s="55">
        <f>_xll.EQNXTDZ($A$1,$B85,AQ$5,$B$1)</f>
        <v>0</v>
      </c>
      <c r="AR85" s="55">
        <f>_xll.EQNXTDZ($A$1,$B85,AR$5,$B$1)</f>
        <v>0.89</v>
      </c>
      <c r="AS85" s="55">
        <f>_xll.EQNXTDZ($A$1,$B85,AS$5,$B$1)</f>
        <v>0</v>
      </c>
      <c r="AT85" s="55">
        <f>_xll.EQNXTDZ($A$1,$B85,AT$5,$B$1)</f>
        <v>0.97</v>
      </c>
      <c r="AU85" s="55">
        <f>_xll.EQNXTDZ($A$1,$B85,AU$5,$B$1)</f>
        <v>0</v>
      </c>
      <c r="AV85" s="55">
        <f>_xll.EQNXTDZ($A$1,$B85,AV$5,$B$1)</f>
        <v>0.89</v>
      </c>
      <c r="AW85" s="55">
        <f>_xll.EQNXTDZ($A$1,$B85,AW$5,$B$1)</f>
        <v>0</v>
      </c>
      <c r="AX85" s="55">
        <f>_xll.EQNXTDZ($A$1,$B85,AX$5,$B$1)</f>
        <v>0.95</v>
      </c>
      <c r="AY85" s="55">
        <f>_xll.EQNXTDZ($A$1,$B85,AY$5,$B$1)</f>
        <v>0</v>
      </c>
      <c r="AZ85" s="55">
        <f>_xll.EQNXTDZ($A$1,$B85,AZ$5,$B$1)</f>
        <v>0.8</v>
      </c>
      <c r="BA85" s="55">
        <f>_xll.EQNXTDZ($A$1,$B85,BA$5,$B$1)</f>
        <v>0</v>
      </c>
      <c r="BB85" s="55">
        <f>_xll.EQNXTDZ($A$1,$B85,BB$5,$B$1)</f>
        <v>0.93</v>
      </c>
      <c r="BC85" s="55">
        <f>_xll.EQNXTDZ($A$1,$B85,BC$5,$B$1)</f>
        <v>0</v>
      </c>
      <c r="BD85" s="55">
        <f>_xll.EQNXTDZ($A$1,$B85,BD$5,$B$1)</f>
        <v>1.53</v>
      </c>
      <c r="BE85" s="55">
        <f>_xll.EQNXTDZ($A$1,$B85,BE$5,$B$1)</f>
        <v>0</v>
      </c>
      <c r="BF85" s="55">
        <f>_xll.EQNXTDZ($A$1,$B85,BF$5,$B$1)</f>
        <v>0.93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1002.7329999999999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1139.819</v>
      </c>
      <c r="W86" s="55">
        <f>_xll.EQNXTDZ($A$1,$B86,W$5,$B$1)</f>
        <v>0</v>
      </c>
      <c r="X86" s="55">
        <f>_xll.EQNXTDZ($A$1,$B86,X$5,$B$1)</f>
        <v>1340.1489999999999</v>
      </c>
      <c r="Y86" s="55">
        <f>_xll.EQNXTDZ($A$1,$B86,Y$5,$B$1)</f>
        <v>0</v>
      </c>
      <c r="Z86" s="55">
        <f>_xll.EQNXTDZ($A$1,$B86,Z$5,$B$1)</f>
        <v>1247.5909999999999</v>
      </c>
      <c r="AA86" s="55">
        <f>_xll.EQNXTDZ($A$1,$B86,AA$5,$B$1)</f>
        <v>0</v>
      </c>
      <c r="AB86" s="55">
        <f>_xll.EQNXTDZ($A$1,$B86,AB$5,$B$1)</f>
        <v>1433.99</v>
      </c>
      <c r="AC86" s="55">
        <f>_xll.EQNXTDZ($A$1,$B86,AC$5,$B$1)</f>
        <v>0</v>
      </c>
      <c r="AD86" s="55">
        <f>_xll.EQNXTDZ($A$1,$B86,AD$5,$B$1)</f>
        <v>1462.9580000000001</v>
      </c>
      <c r="AE86" s="55">
        <f>_xll.EQNXTDZ($A$1,$B86,AE$5,$B$1)</f>
        <v>0</v>
      </c>
      <c r="AF86" s="55">
        <f>_xll.EQNXTDZ($A$1,$B86,AF$5,$B$1)</f>
        <v>1719.7190000000001</v>
      </c>
      <c r="AG86" s="55">
        <f>_xll.EQNXTDZ($A$1,$B86,AG$5,$B$1)</f>
        <v>0</v>
      </c>
      <c r="AH86" s="55">
        <f>_xll.EQNXTDZ($A$1,$B86,AH$5,$B$1)</f>
        <v>1812.06</v>
      </c>
      <c r="AI86" s="55">
        <f>_xll.EQNXTDZ($A$1,$B86,AI$5,$B$1)</f>
        <v>0</v>
      </c>
      <c r="AJ86" s="55">
        <f>_xll.EQNXTDZ($A$1,$B86,AJ$5,$B$1)</f>
        <v>2151.0500000000002</v>
      </c>
      <c r="AK86" s="55">
        <f>_xll.EQNXTDZ($A$1,$B86,AK$5,$B$1)</f>
        <v>0</v>
      </c>
      <c r="AL86" s="55">
        <f>_xll.EQNXTDZ($A$1,$B86,AL$5,$B$1)</f>
        <v>3074.86</v>
      </c>
      <c r="AM86" s="55">
        <f>_xll.EQNXTDZ($A$1,$B86,AM$5,$B$1)</f>
        <v>0</v>
      </c>
      <c r="AN86" s="55">
        <f>_xll.EQNXTDZ($A$1,$B86,AN$5,$B$1)</f>
        <v>3156.88</v>
      </c>
      <c r="AO86" s="55">
        <f>_xll.EQNXTDZ($A$1,$B86,AO$5,$B$1)</f>
        <v>0</v>
      </c>
      <c r="AP86" s="55">
        <f>_xll.EQNXTDZ($A$1,$B86,AP$5,$B$1)</f>
        <v>3344.61</v>
      </c>
      <c r="AQ86" s="55">
        <f>_xll.EQNXTDZ($A$1,$B86,AQ$5,$B$1)</f>
        <v>0</v>
      </c>
      <c r="AR86" s="55">
        <f>_xll.EQNXTDZ($A$1,$B86,AR$5,$B$1)</f>
        <v>4173.21</v>
      </c>
      <c r="AS86" s="55">
        <f>_xll.EQNXTDZ($A$1,$B86,AS$5,$B$1)</f>
        <v>0</v>
      </c>
      <c r="AT86" s="55">
        <f>_xll.EQNXTDZ($A$1,$B86,AT$5,$B$1)</f>
        <v>3461.68</v>
      </c>
      <c r="AU86" s="55">
        <f>_xll.EQNXTDZ($A$1,$B86,AU$5,$B$1)</f>
        <v>0</v>
      </c>
      <c r="AV86" s="55">
        <f>_xll.EQNXTDZ($A$1,$B86,AV$5,$B$1)</f>
        <v>3667.93</v>
      </c>
      <c r="AW86" s="55">
        <f>_xll.EQNXTDZ($A$1,$B86,AW$5,$B$1)</f>
        <v>0</v>
      </c>
      <c r="AX86" s="55">
        <f>_xll.EQNXTDZ($A$1,$B86,AX$5,$B$1)</f>
        <v>3834.97</v>
      </c>
      <c r="AY86" s="55">
        <f>_xll.EQNXTDZ($A$1,$B86,AY$5,$B$1)</f>
        <v>0</v>
      </c>
      <c r="AZ86" s="55">
        <f>_xll.EQNXTDZ($A$1,$B86,AZ$5,$B$1)</f>
        <v>4119.71</v>
      </c>
      <c r="BA86" s="55">
        <f>_xll.EQNXTDZ($A$1,$B86,BA$5,$B$1)</f>
        <v>0</v>
      </c>
      <c r="BB86" s="55">
        <f>_xll.EQNXTDZ($A$1,$B86,BB$5,$B$1)</f>
        <v>4332.32</v>
      </c>
      <c r="BC86" s="55">
        <f>_xll.EQNXTDZ($A$1,$B86,BC$5,$B$1)</f>
        <v>0</v>
      </c>
      <c r="BD86" s="55">
        <f>_xll.EQNXTDZ($A$1,$B86,BD$5,$B$1)</f>
        <v>4191.5</v>
      </c>
      <c r="BE86" s="55">
        <f>_xll.EQNXTDZ($A$1,$B86,BE$5,$B$1)</f>
        <v>0</v>
      </c>
      <c r="BF86" s="55">
        <f>_xll.EQNXTDZ($A$1,$B86,BF$5,$B$1)</f>
        <v>4829.21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481.41899999999998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644.17100000000005</v>
      </c>
      <c r="W88" s="55">
        <f>_xll.EQNXTDZ($A$1,$B88,W$5,$B$1)</f>
        <v>0</v>
      </c>
      <c r="X88" s="55">
        <f>_xll.EQNXTDZ($A$1,$B88,X$5,$B$1)</f>
        <v>770.03599999999994</v>
      </c>
      <c r="Y88" s="55">
        <f>_xll.EQNXTDZ($A$1,$B88,Y$5,$B$1)</f>
        <v>0</v>
      </c>
      <c r="Z88" s="55">
        <f>_xll.EQNXTDZ($A$1,$B88,Z$5,$B$1)</f>
        <v>758.51700000000005</v>
      </c>
      <c r="AA88" s="55">
        <f>_xll.EQNXTDZ($A$1,$B88,AA$5,$B$1)</f>
        <v>0</v>
      </c>
      <c r="AB88" s="55">
        <f>_xll.EQNXTDZ($A$1,$B88,AB$5,$B$1)</f>
        <v>773.29399999999998</v>
      </c>
      <c r="AC88" s="55">
        <f>_xll.EQNXTDZ($A$1,$B88,AC$5,$B$1)</f>
        <v>0</v>
      </c>
      <c r="AD88" s="55">
        <f>_xll.EQNXTDZ($A$1,$B88,AD$5,$B$1)</f>
        <v>684.20500000000004</v>
      </c>
      <c r="AE88" s="55">
        <f>_xll.EQNXTDZ($A$1,$B88,AE$5,$B$1)</f>
        <v>0</v>
      </c>
      <c r="AF88" s="55">
        <f>_xll.EQNXTDZ($A$1,$B88,AF$5,$B$1)</f>
        <v>750.40700000000004</v>
      </c>
      <c r="AG88" s="55">
        <f>_xll.EQNXTDZ($A$1,$B88,AG$5,$B$1)</f>
        <v>0</v>
      </c>
      <c r="AH88" s="55">
        <f>_xll.EQNXTDZ($A$1,$B88,AH$5,$B$1)</f>
        <v>790.51</v>
      </c>
      <c r="AI88" s="55">
        <f>_xll.EQNXTDZ($A$1,$B88,AI$5,$B$1)</f>
        <v>0</v>
      </c>
      <c r="AJ88" s="55">
        <f>_xll.EQNXTDZ($A$1,$B88,AJ$5,$B$1)</f>
        <v>752.81</v>
      </c>
      <c r="AK88" s="55">
        <f>_xll.EQNXTDZ($A$1,$B88,AK$5,$B$1)</f>
        <v>0</v>
      </c>
      <c r="AL88" s="55">
        <f>_xll.EQNXTDZ($A$1,$B88,AL$5,$B$1)</f>
        <v>1024.04</v>
      </c>
      <c r="AM88" s="55">
        <f>_xll.EQNXTDZ($A$1,$B88,AM$5,$B$1)</f>
        <v>0</v>
      </c>
      <c r="AN88" s="55">
        <f>_xll.EQNXTDZ($A$1,$B88,AN$5,$B$1)</f>
        <v>1207.0899999999999</v>
      </c>
      <c r="AO88" s="55">
        <f>_xll.EQNXTDZ($A$1,$B88,AO$5,$B$1)</f>
        <v>0</v>
      </c>
      <c r="AP88" s="55">
        <f>_xll.EQNXTDZ($A$1,$B88,AP$5,$B$1)</f>
        <v>1135.69</v>
      </c>
      <c r="AQ88" s="55">
        <f>_xll.EQNXTDZ($A$1,$B88,AQ$5,$B$1)</f>
        <v>0</v>
      </c>
      <c r="AR88" s="55">
        <f>_xll.EQNXTDZ($A$1,$B88,AR$5,$B$1)</f>
        <v>1512.18</v>
      </c>
      <c r="AS88" s="55">
        <f>_xll.EQNXTDZ($A$1,$B88,AS$5,$B$1)</f>
        <v>0</v>
      </c>
      <c r="AT88" s="55">
        <f>_xll.EQNXTDZ($A$1,$B88,AT$5,$B$1)</f>
        <v>1210.55</v>
      </c>
      <c r="AU88" s="55">
        <f>_xll.EQNXTDZ($A$1,$B88,AU$5,$B$1)</f>
        <v>0</v>
      </c>
      <c r="AV88" s="55">
        <f>_xll.EQNXTDZ($A$1,$B88,AV$5,$B$1)</f>
        <v>1434.6</v>
      </c>
      <c r="AW88" s="55">
        <f>_xll.EQNXTDZ($A$1,$B88,AW$5,$B$1)</f>
        <v>0</v>
      </c>
      <c r="AX88" s="55">
        <f>_xll.EQNXTDZ($A$1,$B88,AX$5,$B$1)</f>
        <v>1708.82</v>
      </c>
      <c r="AY88" s="55">
        <f>_xll.EQNXTDZ($A$1,$B88,AY$5,$B$1)</f>
        <v>0</v>
      </c>
      <c r="AZ88" s="55">
        <f>_xll.EQNXTDZ($A$1,$B88,AZ$5,$B$1)</f>
        <v>2060.35</v>
      </c>
      <c r="BA88" s="55">
        <f>_xll.EQNXTDZ($A$1,$B88,BA$5,$B$1)</f>
        <v>0</v>
      </c>
      <c r="BB88" s="55">
        <f>_xll.EQNXTDZ($A$1,$B88,BB$5,$B$1)</f>
        <v>2047.5</v>
      </c>
      <c r="BC88" s="55">
        <f>_xll.EQNXTDZ($A$1,$B88,BC$5,$B$1)</f>
        <v>0</v>
      </c>
      <c r="BD88" s="55">
        <f>_xll.EQNXTDZ($A$1,$B88,BD$5,$B$1)</f>
        <v>1610.58</v>
      </c>
      <c r="BE88" s="55">
        <f>_xll.EQNXTDZ($A$1,$B88,BE$5,$B$1)</f>
        <v>0</v>
      </c>
      <c r="BF88" s="55">
        <f>_xll.EQNXTDZ($A$1,$B88,BF$5,$B$1)</f>
        <v>1786.15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247.61199999999999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263.09899999999999</v>
      </c>
      <c r="W89" s="55">
        <f>_xll.EQNXTDZ($A$1,$B89,W$5,$B$1)</f>
        <v>0</v>
      </c>
      <c r="X89" s="55">
        <f>_xll.EQNXTDZ($A$1,$B89,X$5,$B$1)</f>
        <v>363.97699999999998</v>
      </c>
      <c r="Y89" s="55">
        <f>_xll.EQNXTDZ($A$1,$B89,Y$5,$B$1)</f>
        <v>0</v>
      </c>
      <c r="Z89" s="55">
        <f>_xll.EQNXTDZ($A$1,$B89,Z$5,$B$1)</f>
        <v>312.327</v>
      </c>
      <c r="AA89" s="55">
        <f>_xll.EQNXTDZ($A$1,$B89,AA$5,$B$1)</f>
        <v>0</v>
      </c>
      <c r="AB89" s="55">
        <f>_xll.EQNXTDZ($A$1,$B89,AB$5,$B$1)</f>
        <v>446.25900000000001</v>
      </c>
      <c r="AC89" s="55">
        <f>_xll.EQNXTDZ($A$1,$B89,AC$5,$B$1)</f>
        <v>0</v>
      </c>
      <c r="AD89" s="55">
        <f>_xll.EQNXTDZ($A$1,$B89,AD$5,$B$1)</f>
        <v>488.31200000000001</v>
      </c>
      <c r="AE89" s="55">
        <f>_xll.EQNXTDZ($A$1,$B89,AE$5,$B$1)</f>
        <v>0</v>
      </c>
      <c r="AF89" s="55">
        <f>_xll.EQNXTDZ($A$1,$B89,AF$5,$B$1)</f>
        <v>654.45600000000002</v>
      </c>
      <c r="AG89" s="55">
        <f>_xll.EQNXTDZ($A$1,$B89,AG$5,$B$1)</f>
        <v>0</v>
      </c>
      <c r="AH89" s="55">
        <f>_xll.EQNXTDZ($A$1,$B89,AH$5,$B$1)</f>
        <v>615.63</v>
      </c>
      <c r="AI89" s="55">
        <f>_xll.EQNXTDZ($A$1,$B89,AI$5,$B$1)</f>
        <v>0</v>
      </c>
      <c r="AJ89" s="55">
        <f>_xll.EQNXTDZ($A$1,$B89,AJ$5,$B$1)</f>
        <v>735.71</v>
      </c>
      <c r="AK89" s="55">
        <f>_xll.EQNXTDZ($A$1,$B89,AK$5,$B$1)</f>
        <v>0</v>
      </c>
      <c r="AL89" s="55">
        <f>_xll.EQNXTDZ($A$1,$B89,AL$5,$B$1)</f>
        <v>1178.69</v>
      </c>
      <c r="AM89" s="55">
        <f>_xll.EQNXTDZ($A$1,$B89,AM$5,$B$1)</f>
        <v>0</v>
      </c>
      <c r="AN89" s="55">
        <f>_xll.EQNXTDZ($A$1,$B89,AN$5,$B$1)</f>
        <v>847.44</v>
      </c>
      <c r="AO89" s="55">
        <f>_xll.EQNXTDZ($A$1,$B89,AO$5,$B$1)</f>
        <v>0</v>
      </c>
      <c r="AP89" s="55">
        <f>_xll.EQNXTDZ($A$1,$B89,AP$5,$B$1)</f>
        <v>876.37</v>
      </c>
      <c r="AQ89" s="55">
        <f>_xll.EQNXTDZ($A$1,$B89,AQ$5,$B$1)</f>
        <v>0</v>
      </c>
      <c r="AR89" s="55">
        <f>_xll.EQNXTDZ($A$1,$B89,AR$5,$B$1)</f>
        <v>1117.32</v>
      </c>
      <c r="AS89" s="55">
        <f>_xll.EQNXTDZ($A$1,$B89,AS$5,$B$1)</f>
        <v>0</v>
      </c>
      <c r="AT89" s="55">
        <f>_xll.EQNXTDZ($A$1,$B89,AT$5,$B$1)</f>
        <v>710.65</v>
      </c>
      <c r="AU89" s="55">
        <f>_xll.EQNXTDZ($A$1,$B89,AU$5,$B$1)</f>
        <v>0</v>
      </c>
      <c r="AV89" s="55">
        <f>_xll.EQNXTDZ($A$1,$B89,AV$5,$B$1)</f>
        <v>996.77</v>
      </c>
      <c r="AW89" s="55">
        <f>_xll.EQNXTDZ($A$1,$B89,AW$5,$B$1)</f>
        <v>0</v>
      </c>
      <c r="AX89" s="55">
        <f>_xll.EQNXTDZ($A$1,$B89,AX$5,$B$1)</f>
        <v>1051.24</v>
      </c>
      <c r="AY89" s="55">
        <f>_xll.EQNXTDZ($A$1,$B89,AY$5,$B$1)</f>
        <v>0</v>
      </c>
      <c r="AZ89" s="55">
        <f>_xll.EQNXTDZ($A$1,$B89,AZ$5,$B$1)</f>
        <v>1058.23</v>
      </c>
      <c r="BA89" s="55">
        <f>_xll.EQNXTDZ($A$1,$B89,BA$5,$B$1)</f>
        <v>0</v>
      </c>
      <c r="BB89" s="55">
        <f>_xll.EQNXTDZ($A$1,$B89,BB$5,$B$1)</f>
        <v>958.49</v>
      </c>
      <c r="BC89" s="55">
        <f>_xll.EQNXTDZ($A$1,$B89,BC$5,$B$1)</f>
        <v>0</v>
      </c>
      <c r="BD89" s="55">
        <f>_xll.EQNXTDZ($A$1,$B89,BD$5,$B$1)</f>
        <v>1014.36</v>
      </c>
      <c r="BE89" s="55">
        <f>_xll.EQNXTDZ($A$1,$B89,BE$5,$B$1)</f>
        <v>0</v>
      </c>
      <c r="BF89" s="55">
        <f>_xll.EQNXTDZ($A$1,$B89,BF$5,$B$1)</f>
        <v>1252.0899999999999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123.902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140.64699999999999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161.441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23.164000000000001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68.126999999999995</v>
      </c>
      <c r="W91" s="55">
        <f>_xll.EQNXTDZ($A$1,$B91,W$5,$B$1)</f>
        <v>0</v>
      </c>
      <c r="X91" s="55">
        <f>_xll.EQNXTDZ($A$1,$B91,X$5,$B$1)</f>
        <v>192.005</v>
      </c>
      <c r="Y91" s="55">
        <f>_xll.EQNXTDZ($A$1,$B91,Y$5,$B$1)</f>
        <v>0</v>
      </c>
      <c r="Z91" s="55">
        <f>_xll.EQNXTDZ($A$1,$B91,Z$5,$B$1)</f>
        <v>231.56800000000001</v>
      </c>
      <c r="AA91" s="55">
        <f>_xll.EQNXTDZ($A$1,$B91,AA$5,$B$1)</f>
        <v>0</v>
      </c>
      <c r="AB91" s="55">
        <f>_xll.EQNXTDZ($A$1,$B91,AB$5,$B$1)</f>
        <v>166.483</v>
      </c>
      <c r="AC91" s="55">
        <f>_xll.EQNXTDZ($A$1,$B91,AC$5,$B$1)</f>
        <v>0</v>
      </c>
      <c r="AD91" s="55">
        <f>_xll.EQNXTDZ($A$1,$B91,AD$5,$B$1)</f>
        <v>244.92099999999999</v>
      </c>
      <c r="AE91" s="55">
        <f>_xll.EQNXTDZ($A$1,$B91,AE$5,$B$1)</f>
        <v>0</v>
      </c>
      <c r="AF91" s="55">
        <f>_xll.EQNXTDZ($A$1,$B91,AF$5,$B$1)</f>
        <v>97.197000000000003</v>
      </c>
      <c r="AG91" s="55">
        <f>_xll.EQNXTDZ($A$1,$B91,AG$5,$B$1)</f>
        <v>0</v>
      </c>
      <c r="AH91" s="55">
        <f>_xll.EQNXTDZ($A$1,$B91,AH$5,$B$1)</f>
        <v>275.3</v>
      </c>
      <c r="AI91" s="55">
        <f>_xll.EQNXTDZ($A$1,$B91,AI$5,$B$1)</f>
        <v>0</v>
      </c>
      <c r="AJ91" s="55">
        <f>_xll.EQNXTDZ($A$1,$B91,AJ$5,$B$1)</f>
        <v>266.17</v>
      </c>
      <c r="AK91" s="55">
        <f>_xll.EQNXTDZ($A$1,$B91,AK$5,$B$1)</f>
        <v>0</v>
      </c>
      <c r="AL91" s="55">
        <f>_xll.EQNXTDZ($A$1,$B91,AL$5,$B$1)</f>
        <v>241.96</v>
      </c>
      <c r="AM91" s="55">
        <f>_xll.EQNXTDZ($A$1,$B91,AM$5,$B$1)</f>
        <v>0</v>
      </c>
      <c r="AN91" s="55">
        <f>_xll.EQNXTDZ($A$1,$B91,AN$5,$B$1)</f>
        <v>452.17</v>
      </c>
      <c r="AO91" s="55">
        <f>_xll.EQNXTDZ($A$1,$B91,AO$5,$B$1)</f>
        <v>0</v>
      </c>
      <c r="AP91" s="55">
        <f>_xll.EQNXTDZ($A$1,$B91,AP$5,$B$1)</f>
        <v>652.46</v>
      </c>
      <c r="AQ91" s="55">
        <f>_xll.EQNXTDZ($A$1,$B91,AQ$5,$B$1)</f>
        <v>0</v>
      </c>
      <c r="AR91" s="55">
        <f>_xll.EQNXTDZ($A$1,$B91,AR$5,$B$1)</f>
        <v>692.76</v>
      </c>
      <c r="AS91" s="55">
        <f>_xll.EQNXTDZ($A$1,$B91,AS$5,$B$1)</f>
        <v>0</v>
      </c>
      <c r="AT91" s="55">
        <f>_xll.EQNXTDZ($A$1,$B91,AT$5,$B$1)</f>
        <v>490.97</v>
      </c>
      <c r="AU91" s="55">
        <f>_xll.EQNXTDZ($A$1,$B91,AU$5,$B$1)</f>
        <v>0</v>
      </c>
      <c r="AV91" s="55">
        <f>_xll.EQNXTDZ($A$1,$B91,AV$5,$B$1)</f>
        <v>491.59</v>
      </c>
      <c r="AW91" s="55">
        <f>_xll.EQNXTDZ($A$1,$B91,AW$5,$B$1)</f>
        <v>0</v>
      </c>
      <c r="AX91" s="55">
        <f>_xll.EQNXTDZ($A$1,$B91,AX$5,$B$1)</f>
        <v>327.41000000000003</v>
      </c>
      <c r="AY91" s="55">
        <f>_xll.EQNXTDZ($A$1,$B91,AY$5,$B$1)</f>
        <v>0</v>
      </c>
      <c r="AZ91" s="55">
        <f>_xll.EQNXTDZ($A$1,$B91,AZ$5,$B$1)</f>
        <v>313.73</v>
      </c>
      <c r="BA91" s="55">
        <f>_xll.EQNXTDZ($A$1,$B91,BA$5,$B$1)</f>
        <v>0</v>
      </c>
      <c r="BB91" s="55">
        <f>_xll.EQNXTDZ($A$1,$B91,BB$5,$B$1)</f>
        <v>504.39</v>
      </c>
      <c r="BC91" s="55">
        <f>_xll.EQNXTDZ($A$1,$B91,BC$5,$B$1)</f>
        <v>0</v>
      </c>
      <c r="BD91" s="55">
        <f>_xll.EQNXTDZ($A$1,$B91,BD$5,$B$1)</f>
        <v>519.27</v>
      </c>
      <c r="BE91" s="55">
        <f>_xll.EQNXTDZ($A$1,$B91,BE$5,$B$1)</f>
        <v>0</v>
      </c>
      <c r="BF91" s="55">
        <f>_xll.EQNXTDZ($A$1,$B91,BF$5,$B$1)</f>
        <v>559.29999999999995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7.6520000000000001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4.7060000000000004</v>
      </c>
      <c r="W92" s="55">
        <f>_xll.EQNXTDZ($A$1,$B92,W$5,$B$1)</f>
        <v>0</v>
      </c>
      <c r="X92" s="55">
        <f>_xll.EQNXTDZ($A$1,$B92,X$5,$B$1)</f>
        <v>11.257999999999999</v>
      </c>
      <c r="Y92" s="55">
        <f>_xll.EQNXTDZ($A$1,$B92,Y$5,$B$1)</f>
        <v>0</v>
      </c>
      <c r="Z92" s="55">
        <f>_xll.EQNXTDZ($A$1,$B92,Z$5,$B$1)</f>
        <v>4.4740000000000002</v>
      </c>
      <c r="AA92" s="55">
        <f>_xll.EQNXTDZ($A$1,$B92,AA$5,$B$1)</f>
        <v>0</v>
      </c>
      <c r="AB92" s="55">
        <f>_xll.EQNXTDZ($A$1,$B92,AB$5,$B$1)</f>
        <v>5.0670000000000002</v>
      </c>
      <c r="AC92" s="55">
        <f>_xll.EQNXTDZ($A$1,$B92,AC$5,$B$1)</f>
        <v>0</v>
      </c>
      <c r="AD92" s="55">
        <f>_xll.EQNXTDZ($A$1,$B92,AD$5,$B$1)</f>
        <v>6.4660000000000002</v>
      </c>
      <c r="AE92" s="55">
        <f>_xll.EQNXTDZ($A$1,$B92,AE$5,$B$1)</f>
        <v>0</v>
      </c>
      <c r="AF92" s="55">
        <f>_xll.EQNXTDZ($A$1,$B92,AF$5,$B$1)</f>
        <v>7.492</v>
      </c>
      <c r="AG92" s="55">
        <f>_xll.EQNXTDZ($A$1,$B92,AG$5,$B$1)</f>
        <v>0</v>
      </c>
      <c r="AH92" s="55">
        <f>_xll.EQNXTDZ($A$1,$B92,AH$5,$B$1)</f>
        <v>10.94</v>
      </c>
      <c r="AI92" s="55">
        <f>_xll.EQNXTDZ($A$1,$B92,AI$5,$B$1)</f>
        <v>0</v>
      </c>
      <c r="AJ92" s="55">
        <f>_xll.EQNXTDZ($A$1,$B92,AJ$5,$B$1)</f>
        <v>11.97</v>
      </c>
      <c r="AK92" s="55">
        <f>_xll.EQNXTDZ($A$1,$B92,AK$5,$B$1)</f>
        <v>0</v>
      </c>
      <c r="AL92" s="55">
        <f>_xll.EQNXTDZ($A$1,$B92,AL$5,$B$1)</f>
        <v>12.46</v>
      </c>
      <c r="AM92" s="55">
        <f>_xll.EQNXTDZ($A$1,$B92,AM$5,$B$1)</f>
        <v>0</v>
      </c>
      <c r="AN92" s="55">
        <f>_xll.EQNXTDZ($A$1,$B92,AN$5,$B$1)</f>
        <v>14.43</v>
      </c>
      <c r="AO92" s="55">
        <f>_xll.EQNXTDZ($A$1,$B92,AO$5,$B$1)</f>
        <v>0</v>
      </c>
      <c r="AP92" s="55">
        <f>_xll.EQNXTDZ($A$1,$B92,AP$5,$B$1)</f>
        <v>16.489999999999998</v>
      </c>
      <c r="AQ92" s="55">
        <f>_xll.EQNXTDZ($A$1,$B92,AQ$5,$B$1)</f>
        <v>0</v>
      </c>
      <c r="AR92" s="55">
        <f>_xll.EQNXTDZ($A$1,$B92,AR$5,$B$1)</f>
        <v>17.510000000000002</v>
      </c>
      <c r="AS92" s="55">
        <f>_xll.EQNXTDZ($A$1,$B92,AS$5,$B$1)</f>
        <v>0</v>
      </c>
      <c r="AT92" s="55">
        <f>_xll.EQNXTDZ($A$1,$B92,AT$5,$B$1)</f>
        <v>20.09</v>
      </c>
      <c r="AU92" s="55">
        <f>_xll.EQNXTDZ($A$1,$B92,AU$5,$B$1)</f>
        <v>0</v>
      </c>
      <c r="AV92" s="55">
        <f>_xll.EQNXTDZ($A$1,$B92,AV$5,$B$1)</f>
        <v>22.47</v>
      </c>
      <c r="AW92" s="55">
        <f>_xll.EQNXTDZ($A$1,$B92,AW$5,$B$1)</f>
        <v>0</v>
      </c>
      <c r="AX92" s="55">
        <f>_xll.EQNXTDZ($A$1,$B92,AX$5,$B$1)</f>
        <v>24.81</v>
      </c>
      <c r="AY92" s="55">
        <f>_xll.EQNXTDZ($A$1,$B92,AY$5,$B$1)</f>
        <v>0</v>
      </c>
      <c r="AZ92" s="55">
        <f>_xll.EQNXTDZ($A$1,$B92,AZ$5,$B$1)</f>
        <v>27.15</v>
      </c>
      <c r="BA92" s="55">
        <f>_xll.EQNXTDZ($A$1,$B92,BA$5,$B$1)</f>
        <v>0</v>
      </c>
      <c r="BB92" s="55">
        <f>_xll.EQNXTDZ($A$1,$B92,BB$5,$B$1)</f>
        <v>29.34</v>
      </c>
      <c r="BC92" s="55">
        <f>_xll.EQNXTDZ($A$1,$B92,BC$5,$B$1)</f>
        <v>0</v>
      </c>
      <c r="BD92" s="55">
        <f>_xll.EQNXTDZ($A$1,$B92,BD$5,$B$1)</f>
        <v>30.97</v>
      </c>
      <c r="BE92" s="55">
        <f>_xll.EQNXTDZ($A$1,$B92,BE$5,$B$1)</f>
        <v>0</v>
      </c>
      <c r="BF92" s="55">
        <f>_xll.EQNXTDZ($A$1,$B92,BF$5,$B$1)</f>
        <v>37.89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883.74900000000002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1120.75</v>
      </c>
      <c r="W93" s="55">
        <f>_xll.EQNXTDZ($A$1,$B93,W$5,$B$1)</f>
        <v>0</v>
      </c>
      <c r="X93" s="55">
        <f>_xll.EQNXTDZ($A$1,$B93,X$5,$B$1)</f>
        <v>1337.2760000000001</v>
      </c>
      <c r="Y93" s="55">
        <f>_xll.EQNXTDZ($A$1,$B93,Y$5,$B$1)</f>
        <v>0</v>
      </c>
      <c r="Z93" s="55">
        <f>_xll.EQNXTDZ($A$1,$B93,Z$5,$B$1)</f>
        <v>1306.886</v>
      </c>
      <c r="AA93" s="55">
        <f>_xll.EQNXTDZ($A$1,$B93,AA$5,$B$1)</f>
        <v>0</v>
      </c>
      <c r="AB93" s="55">
        <f>_xll.EQNXTDZ($A$1,$B93,AB$5,$B$1)</f>
        <v>1391.1030000000001</v>
      </c>
      <c r="AC93" s="55">
        <f>_xll.EQNXTDZ($A$1,$B93,AC$5,$B$1)</f>
        <v>0</v>
      </c>
      <c r="AD93" s="55">
        <f>_xll.EQNXTDZ($A$1,$B93,AD$5,$B$1)</f>
        <v>1423.904</v>
      </c>
      <c r="AE93" s="55">
        <f>_xll.EQNXTDZ($A$1,$B93,AE$5,$B$1)</f>
        <v>0</v>
      </c>
      <c r="AF93" s="55">
        <f>_xll.EQNXTDZ($A$1,$B93,AF$5,$B$1)</f>
        <v>1670.9929999999999</v>
      </c>
      <c r="AG93" s="55">
        <f>_xll.EQNXTDZ($A$1,$B93,AG$5,$B$1)</f>
        <v>0</v>
      </c>
      <c r="AH93" s="55">
        <f>_xll.EQNXTDZ($A$1,$B93,AH$5,$B$1)</f>
        <v>1692.38</v>
      </c>
      <c r="AI93" s="55">
        <f>_xll.EQNXTDZ($A$1,$B93,AI$5,$B$1)</f>
        <v>0</v>
      </c>
      <c r="AJ93" s="55">
        <f>_xll.EQNXTDZ($A$1,$B93,AJ$5,$B$1)</f>
        <v>1766.66</v>
      </c>
      <c r="AK93" s="55">
        <f>_xll.EQNXTDZ($A$1,$B93,AK$5,$B$1)</f>
        <v>0</v>
      </c>
      <c r="AL93" s="55">
        <f>_xll.EQNXTDZ($A$1,$B93,AL$5,$B$1)</f>
        <v>2457.15</v>
      </c>
      <c r="AM93" s="55">
        <f>_xll.EQNXTDZ($A$1,$B93,AM$5,$B$1)</f>
        <v>0</v>
      </c>
      <c r="AN93" s="55">
        <f>_xll.EQNXTDZ($A$1,$B93,AN$5,$B$1)</f>
        <v>2521.13</v>
      </c>
      <c r="AO93" s="55">
        <f>_xll.EQNXTDZ($A$1,$B93,AO$5,$B$1)</f>
        <v>0</v>
      </c>
      <c r="AP93" s="55">
        <f>_xll.EQNXTDZ($A$1,$B93,AP$5,$B$1)</f>
        <v>2681.01</v>
      </c>
      <c r="AQ93" s="55">
        <f>_xll.EQNXTDZ($A$1,$B93,AQ$5,$B$1)</f>
        <v>0</v>
      </c>
      <c r="AR93" s="55">
        <f>_xll.EQNXTDZ($A$1,$B93,AR$5,$B$1)</f>
        <v>3339.77</v>
      </c>
      <c r="AS93" s="55">
        <f>_xll.EQNXTDZ($A$1,$B93,AS$5,$B$1)</f>
        <v>0</v>
      </c>
      <c r="AT93" s="55">
        <f>_xll.EQNXTDZ($A$1,$B93,AT$5,$B$1)</f>
        <v>2432.2600000000002</v>
      </c>
      <c r="AU93" s="55">
        <f>_xll.EQNXTDZ($A$1,$B93,AU$5,$B$1)</f>
        <v>0</v>
      </c>
      <c r="AV93" s="55">
        <f>_xll.EQNXTDZ($A$1,$B93,AV$5,$B$1)</f>
        <v>2945.43</v>
      </c>
      <c r="AW93" s="55">
        <f>_xll.EQNXTDZ($A$1,$B93,AW$5,$B$1)</f>
        <v>0</v>
      </c>
      <c r="AX93" s="55">
        <f>_xll.EQNXTDZ($A$1,$B93,AX$5,$B$1)</f>
        <v>3112.28</v>
      </c>
      <c r="AY93" s="55">
        <f>_xll.EQNXTDZ($A$1,$B93,AY$5,$B$1)</f>
        <v>0</v>
      </c>
      <c r="AZ93" s="55">
        <f>_xll.EQNXTDZ($A$1,$B93,AZ$5,$B$1)</f>
        <v>3459.46</v>
      </c>
      <c r="BA93" s="55">
        <f>_xll.EQNXTDZ($A$1,$B93,BA$5,$B$1)</f>
        <v>0</v>
      </c>
      <c r="BB93" s="55">
        <f>_xll.EQNXTDZ($A$1,$B93,BB$5,$B$1)</f>
        <v>3539.72</v>
      </c>
      <c r="BC93" s="55">
        <f>_xll.EQNXTDZ($A$1,$B93,BC$5,$B$1)</f>
        <v>0</v>
      </c>
      <c r="BD93" s="55">
        <f>_xll.EQNXTDZ($A$1,$B93,BD$5,$B$1)</f>
        <v>3175.18</v>
      </c>
      <c r="BE93" s="55">
        <f>_xll.EQNXTDZ($A$1,$B93,BE$5,$B$1)</f>
        <v>0</v>
      </c>
      <c r="BF93" s="55">
        <f>_xll.EQNXTDZ($A$1,$B93,BF$5,$B$1)</f>
        <v>3635.43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118.98399999999999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19.069000000000099</v>
      </c>
      <c r="W94" s="55">
        <f>_xll.EQNXTDZ($A$1,$B94,W$5,$B$1)</f>
        <v>0</v>
      </c>
      <c r="X94" s="55">
        <f>_xll.EQNXTDZ($A$1,$B94,X$5,$B$1)</f>
        <v>2.87300000000032</v>
      </c>
      <c r="Y94" s="55">
        <f>_xll.EQNXTDZ($A$1,$B94,Y$5,$B$1)</f>
        <v>0</v>
      </c>
      <c r="Z94" s="55">
        <f>_xll.EQNXTDZ($A$1,$B94,Z$5,$B$1)</f>
        <v>-59.2950000000003</v>
      </c>
      <c r="AA94" s="55">
        <f>_xll.EQNXTDZ($A$1,$B94,AA$5,$B$1)</f>
        <v>0</v>
      </c>
      <c r="AB94" s="55">
        <f>_xll.EQNXTDZ($A$1,$B94,AB$5,$B$1)</f>
        <v>42.886999999999901</v>
      </c>
      <c r="AC94" s="55">
        <f>_xll.EQNXTDZ($A$1,$B94,AC$5,$B$1)</f>
        <v>0</v>
      </c>
      <c r="AD94" s="55">
        <f>_xll.EQNXTDZ($A$1,$B94,AD$5,$B$1)</f>
        <v>39.053999999999903</v>
      </c>
      <c r="AE94" s="55">
        <f>_xll.EQNXTDZ($A$1,$B94,AE$5,$B$1)</f>
        <v>0</v>
      </c>
      <c r="AF94" s="55">
        <f>_xll.EQNXTDZ($A$1,$B94,AF$5,$B$1)</f>
        <v>48.726000000000198</v>
      </c>
      <c r="AG94" s="55">
        <f>_xll.EQNXTDZ($A$1,$B94,AG$5,$B$1)</f>
        <v>0</v>
      </c>
      <c r="AH94" s="55">
        <f>_xll.EQNXTDZ($A$1,$B94,AH$5,$B$1)</f>
        <v>119.680000000001</v>
      </c>
      <c r="AI94" s="55">
        <f>_xll.EQNXTDZ($A$1,$B94,AI$5,$B$1)</f>
        <v>0</v>
      </c>
      <c r="AJ94" s="55">
        <f>_xll.EQNXTDZ($A$1,$B94,AJ$5,$B$1)</f>
        <v>384.39</v>
      </c>
      <c r="AK94" s="55">
        <f>_xll.EQNXTDZ($A$1,$B94,AK$5,$B$1)</f>
        <v>0</v>
      </c>
      <c r="AL94" s="55">
        <f>_xll.EQNXTDZ($A$1,$B94,AL$5,$B$1)</f>
        <v>617.70999999999901</v>
      </c>
      <c r="AM94" s="55">
        <f>_xll.EQNXTDZ($A$1,$B94,AM$5,$B$1)</f>
        <v>0</v>
      </c>
      <c r="AN94" s="55">
        <f>_xll.EQNXTDZ($A$1,$B94,AN$5,$B$1)</f>
        <v>635.75</v>
      </c>
      <c r="AO94" s="55">
        <f>_xll.EQNXTDZ($A$1,$B94,AO$5,$B$1)</f>
        <v>0</v>
      </c>
      <c r="AP94" s="55">
        <f>_xll.EQNXTDZ($A$1,$B94,AP$5,$B$1)</f>
        <v>663.60000000000105</v>
      </c>
      <c r="AQ94" s="55">
        <f>_xll.EQNXTDZ($A$1,$B94,AQ$5,$B$1)</f>
        <v>0</v>
      </c>
      <c r="AR94" s="55">
        <f>_xll.EQNXTDZ($A$1,$B94,AR$5,$B$1)</f>
        <v>833.44000000000096</v>
      </c>
      <c r="AS94" s="55">
        <f>_xll.EQNXTDZ($A$1,$B94,AS$5,$B$1)</f>
        <v>0</v>
      </c>
      <c r="AT94" s="55">
        <f>_xll.EQNXTDZ($A$1,$B94,AT$5,$B$1)</f>
        <v>1029.42</v>
      </c>
      <c r="AU94" s="55">
        <f>_xll.EQNXTDZ($A$1,$B94,AU$5,$B$1)</f>
        <v>0</v>
      </c>
      <c r="AV94" s="55">
        <f>_xll.EQNXTDZ($A$1,$B94,AV$5,$B$1)</f>
        <v>722.5</v>
      </c>
      <c r="AW94" s="55">
        <f>_xll.EQNXTDZ($A$1,$B94,AW$5,$B$1)</f>
        <v>0</v>
      </c>
      <c r="AX94" s="55">
        <f>_xll.EQNXTDZ($A$1,$B94,AX$5,$B$1)</f>
        <v>722.69000000000096</v>
      </c>
      <c r="AY94" s="55">
        <f>_xll.EQNXTDZ($A$1,$B94,AY$5,$B$1)</f>
        <v>0</v>
      </c>
      <c r="AZ94" s="55">
        <f>_xll.EQNXTDZ($A$1,$B94,AZ$5,$B$1)</f>
        <v>660.24999999999898</v>
      </c>
      <c r="BA94" s="55">
        <f>_xll.EQNXTDZ($A$1,$B94,BA$5,$B$1)</f>
        <v>0</v>
      </c>
      <c r="BB94" s="55">
        <f>_xll.EQNXTDZ($A$1,$B94,BB$5,$B$1)</f>
        <v>792.6</v>
      </c>
      <c r="BC94" s="55">
        <f>_xll.EQNXTDZ($A$1,$B94,BC$5,$B$1)</f>
        <v>0</v>
      </c>
      <c r="BD94" s="55">
        <f>_xll.EQNXTDZ($A$1,$B94,BD$5,$B$1)</f>
        <v>1016.32</v>
      </c>
      <c r="BE94" s="55">
        <f>_xll.EQNXTDZ($A$1,$B94,BE$5,$B$1)</f>
        <v>0</v>
      </c>
      <c r="BF94" s="55">
        <f>_xll.EQNXTDZ($A$1,$B94,BF$5,$B$1)</f>
        <v>1193.78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54.872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69.885999999999996</v>
      </c>
      <c r="W96" s="55">
        <f>_xll.EQNXTDZ($A$1,$B96,W$5,$B$1)</f>
        <v>0</v>
      </c>
      <c r="X96" s="55">
        <f>_xll.EQNXTDZ($A$1,$B96,X$5,$B$1)</f>
        <v>61.100999999999999</v>
      </c>
      <c r="Y96" s="55">
        <f>_xll.EQNXTDZ($A$1,$B96,Y$5,$B$1)</f>
        <v>0</v>
      </c>
      <c r="Z96" s="55">
        <f>_xll.EQNXTDZ($A$1,$B96,Z$5,$B$1)</f>
        <v>52.896999999999998</v>
      </c>
      <c r="AA96" s="55">
        <f>_xll.EQNXTDZ($A$1,$B96,AA$5,$B$1)</f>
        <v>0</v>
      </c>
      <c r="AB96" s="55">
        <f>_xll.EQNXTDZ($A$1,$B96,AB$5,$B$1)</f>
        <v>52.167000000000002</v>
      </c>
      <c r="AC96" s="55">
        <f>_xll.EQNXTDZ($A$1,$B96,AC$5,$B$1)</f>
        <v>0</v>
      </c>
      <c r="AD96" s="55">
        <f>_xll.EQNXTDZ($A$1,$B96,AD$5,$B$1)</f>
        <v>53.383000000000003</v>
      </c>
      <c r="AE96" s="55">
        <f>_xll.EQNXTDZ($A$1,$B96,AE$5,$B$1)</f>
        <v>0</v>
      </c>
      <c r="AF96" s="55">
        <f>_xll.EQNXTDZ($A$1,$B96,AF$5,$B$1)</f>
        <v>54.802</v>
      </c>
      <c r="AG96" s="55">
        <f>_xll.EQNXTDZ($A$1,$B96,AG$5,$B$1)</f>
        <v>0</v>
      </c>
      <c r="AH96" s="55">
        <f>_xll.EQNXTDZ($A$1,$B96,AH$5,$B$1)</f>
        <v>73.930000000000007</v>
      </c>
      <c r="AI96" s="55">
        <f>_xll.EQNXTDZ($A$1,$B96,AI$5,$B$1)</f>
        <v>0</v>
      </c>
      <c r="AJ96" s="55">
        <f>_xll.EQNXTDZ($A$1,$B96,AJ$5,$B$1)</f>
        <v>39.42</v>
      </c>
      <c r="AK96" s="55">
        <f>_xll.EQNXTDZ($A$1,$B96,AK$5,$B$1)</f>
        <v>0</v>
      </c>
      <c r="AL96" s="55">
        <f>_xll.EQNXTDZ($A$1,$B96,AL$5,$B$1)</f>
        <v>-19.18</v>
      </c>
      <c r="AM96" s="55">
        <f>_xll.EQNXTDZ($A$1,$B96,AM$5,$B$1)</f>
        <v>0</v>
      </c>
      <c r="AN96" s="55">
        <f>_xll.EQNXTDZ($A$1,$B96,AN$5,$B$1)</f>
        <v>-48.68</v>
      </c>
      <c r="AO96" s="55">
        <f>_xll.EQNXTDZ($A$1,$B96,AO$5,$B$1)</f>
        <v>0</v>
      </c>
      <c r="AP96" s="55">
        <f>_xll.EQNXTDZ($A$1,$B96,AP$5,$B$1)</f>
        <v>-69.11</v>
      </c>
      <c r="AQ96" s="55">
        <f>_xll.EQNXTDZ($A$1,$B96,AQ$5,$B$1)</f>
        <v>0</v>
      </c>
      <c r="AR96" s="55">
        <f>_xll.EQNXTDZ($A$1,$B96,AR$5,$B$1)</f>
        <v>-101.14</v>
      </c>
      <c r="AS96" s="55">
        <f>_xll.EQNXTDZ($A$1,$B96,AS$5,$B$1)</f>
        <v>0</v>
      </c>
      <c r="AT96" s="55">
        <f>_xll.EQNXTDZ($A$1,$B96,AT$5,$B$1)</f>
        <v>-82.45</v>
      </c>
      <c r="AU96" s="55">
        <f>_xll.EQNXTDZ($A$1,$B96,AU$5,$B$1)</f>
        <v>0</v>
      </c>
      <c r="AV96" s="55">
        <f>_xll.EQNXTDZ($A$1,$B96,AV$5,$B$1)</f>
        <v>-77.23</v>
      </c>
      <c r="AW96" s="55">
        <f>_xll.EQNXTDZ($A$1,$B96,AW$5,$B$1)</f>
        <v>0</v>
      </c>
      <c r="AX96" s="55">
        <f>_xll.EQNXTDZ($A$1,$B96,AX$5,$B$1)</f>
        <v>-57.04</v>
      </c>
      <c r="AY96" s="55">
        <f>_xll.EQNXTDZ($A$1,$B96,AY$5,$B$1)</f>
        <v>0</v>
      </c>
      <c r="AZ96" s="55">
        <f>_xll.EQNXTDZ($A$1,$B96,AZ$5,$B$1)</f>
        <v>-29.32</v>
      </c>
      <c r="BA96" s="55">
        <f>_xll.EQNXTDZ($A$1,$B96,BA$5,$B$1)</f>
        <v>0</v>
      </c>
      <c r="BB96" s="55">
        <f>_xll.EQNXTDZ($A$1,$B96,BB$5,$B$1)</f>
        <v>-31.87</v>
      </c>
      <c r="BC96" s="55">
        <f>_xll.EQNXTDZ($A$1,$B96,BC$5,$B$1)</f>
        <v>0</v>
      </c>
      <c r="BD96" s="55">
        <f>_xll.EQNXTDZ($A$1,$B96,BD$5,$B$1)</f>
        <v>-25.02</v>
      </c>
      <c r="BE96" s="55">
        <f>_xll.EQNXTDZ($A$1,$B96,BE$5,$B$1)</f>
        <v>0</v>
      </c>
      <c r="BF96" s="55">
        <f>_xll.EQNXTDZ($A$1,$B96,BF$5,$B$1)</f>
        <v>-29.38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1339.7750000000001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1532.67</v>
      </c>
      <c r="W97" s="55">
        <f>_xll.EQNXTDZ($A$1,$B97,W$5,$B$1)</f>
        <v>0</v>
      </c>
      <c r="X97" s="55">
        <f>_xll.EQNXTDZ($A$1,$B97,X$5,$B$1)</f>
        <v>1619.662</v>
      </c>
      <c r="Y97" s="55">
        <f>_xll.EQNXTDZ($A$1,$B97,Y$5,$B$1)</f>
        <v>0</v>
      </c>
      <c r="Z97" s="55">
        <f>_xll.EQNXTDZ($A$1,$B97,Z$5,$B$1)</f>
        <v>1709.8340000000001</v>
      </c>
      <c r="AA97" s="55">
        <f>_xll.EQNXTDZ($A$1,$B97,AA$5,$B$1)</f>
        <v>0</v>
      </c>
      <c r="AB97" s="55">
        <f>_xll.EQNXTDZ($A$1,$B97,AB$5,$B$1)</f>
        <v>1882.3689999999999</v>
      </c>
      <c r="AC97" s="55">
        <f>_xll.EQNXTDZ($A$1,$B97,AC$5,$B$1)</f>
        <v>0</v>
      </c>
      <c r="AD97" s="55">
        <f>_xll.EQNXTDZ($A$1,$B97,AD$5,$B$1)</f>
        <v>1907.2809999999999</v>
      </c>
      <c r="AE97" s="55">
        <f>_xll.EQNXTDZ($A$1,$B97,AE$5,$B$1)</f>
        <v>0</v>
      </c>
      <c r="AF97" s="55">
        <f>_xll.EQNXTDZ($A$1,$B97,AF$5,$B$1)</f>
        <v>1945.1030000000001</v>
      </c>
      <c r="AG97" s="55">
        <f>_xll.EQNXTDZ($A$1,$B97,AG$5,$B$1)</f>
        <v>0</v>
      </c>
      <c r="AH97" s="55">
        <f>_xll.EQNXTDZ($A$1,$B97,AH$5,$B$1)</f>
        <v>2057.94</v>
      </c>
      <c r="AI97" s="55">
        <f>_xll.EQNXTDZ($A$1,$B97,AI$5,$B$1)</f>
        <v>0</v>
      </c>
      <c r="AJ97" s="55">
        <f>_xll.EQNXTDZ($A$1,$B97,AJ$5,$B$1)</f>
        <v>2484.61</v>
      </c>
      <c r="AK97" s="55">
        <f>_xll.EQNXTDZ($A$1,$B97,AK$5,$B$1)</f>
        <v>0</v>
      </c>
      <c r="AL97" s="55">
        <f>_xll.EQNXTDZ($A$1,$B97,AL$5,$B$1)</f>
        <v>3274.36</v>
      </c>
      <c r="AM97" s="55">
        <f>_xll.EQNXTDZ($A$1,$B97,AM$5,$B$1)</f>
        <v>0</v>
      </c>
      <c r="AN97" s="55">
        <f>_xll.EQNXTDZ($A$1,$B97,AN$5,$B$1)</f>
        <v>3792.83</v>
      </c>
      <c r="AO97" s="55">
        <f>_xll.EQNXTDZ($A$1,$B97,AO$5,$B$1)</f>
        <v>0</v>
      </c>
      <c r="AP97" s="55">
        <f>_xll.EQNXTDZ($A$1,$B97,AP$5,$B$1)</f>
        <v>4217.92</v>
      </c>
      <c r="AQ97" s="55">
        <f>_xll.EQNXTDZ($A$1,$B97,AQ$5,$B$1)</f>
        <v>0</v>
      </c>
      <c r="AR97" s="55">
        <f>_xll.EQNXTDZ($A$1,$B97,AR$5,$B$1)</f>
        <v>4614.8900000000003</v>
      </c>
      <c r="AS97" s="55">
        <f>_xll.EQNXTDZ($A$1,$B97,AS$5,$B$1)</f>
        <v>0</v>
      </c>
      <c r="AT97" s="55">
        <f>_xll.EQNXTDZ($A$1,$B97,AT$5,$B$1)</f>
        <v>5145.6899999999996</v>
      </c>
      <c r="AU97" s="55">
        <f>_xll.EQNXTDZ($A$1,$B97,AU$5,$B$1)</f>
        <v>0</v>
      </c>
      <c r="AV97" s="55">
        <f>_xll.EQNXTDZ($A$1,$B97,AV$5,$B$1)</f>
        <v>5034.97</v>
      </c>
      <c r="AW97" s="55">
        <f>_xll.EQNXTDZ($A$1,$B97,AW$5,$B$1)</f>
        <v>0</v>
      </c>
      <c r="AX97" s="55">
        <f>_xll.EQNXTDZ($A$1,$B97,AX$5,$B$1)</f>
        <v>5217.71</v>
      </c>
      <c r="AY97" s="55">
        <f>_xll.EQNXTDZ($A$1,$B97,AY$5,$B$1)</f>
        <v>0</v>
      </c>
      <c r="AZ97" s="55">
        <f>_xll.EQNXTDZ($A$1,$B97,AZ$5,$B$1)</f>
        <v>5240.5</v>
      </c>
      <c r="BA97" s="55">
        <f>_xll.EQNXTDZ($A$1,$B97,BA$5,$B$1)</f>
        <v>0</v>
      </c>
      <c r="BB97" s="55">
        <f>_xll.EQNXTDZ($A$1,$B97,BB$5,$B$1)</f>
        <v>5763.98</v>
      </c>
      <c r="BC97" s="55">
        <f>_xll.EQNXTDZ($A$1,$B97,BC$5,$B$1)</f>
        <v>0</v>
      </c>
      <c r="BD97" s="55">
        <f>_xll.EQNXTDZ($A$1,$B97,BD$5,$B$1)</f>
        <v>6215.05</v>
      </c>
      <c r="BE97" s="55">
        <f>_xll.EQNXTDZ($A$1,$B97,BE$5,$B$1)</f>
        <v>0</v>
      </c>
      <c r="BF97" s="55">
        <f>_xll.EQNXTDZ($A$1,$B97,BF$5,$B$1)</f>
        <v>6846.38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271867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Laurus Labs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454.09500000000003</v>
      </c>
      <c r="O6" s="100">
        <f>_xll.EQNXTDZ($A$1,$B6,O$1,$B$1)</f>
        <v>722.54200000000003</v>
      </c>
      <c r="P6" s="100">
        <f>_xll.EQNXTDZ($A$1,$B6,P$1,$B$1)</f>
        <v>1165.6859999999999</v>
      </c>
      <c r="Q6" s="100">
        <f>_xll.EQNXTDZ($A$1,$B6,Q$1,$B$1)</f>
        <v>1337.924</v>
      </c>
      <c r="R6" s="100">
        <f>_xll.EQNXTDZ($A$1,$B6,R$1,$B$1)</f>
        <v>1810.9860000000001</v>
      </c>
      <c r="S6" s="100">
        <f>_xll.EQNXTDZ($A$1,$B6,S$1,$B$1)</f>
        <v>1931.549</v>
      </c>
      <c r="T6" s="100">
        <f>_xll.EQNXTDZ($A$1,$B6,T$1,$B$1)</f>
        <v>2069.0030000000002</v>
      </c>
      <c r="U6" s="100">
        <f>_xll.EQNXTDZ($A$1,$B6,U$1,$B$1)</f>
        <v>2291.9160000000002</v>
      </c>
      <c r="V6" s="100">
        <f>_xll.EQNXTDZ($A$1,$B6,V$1,$B$1)</f>
        <v>2831.72</v>
      </c>
      <c r="W6" s="100">
        <f>_xll.EQNXTDZ($A$1,$B6,W$1,$B$1)</f>
        <v>4813.51</v>
      </c>
      <c r="X6" s="100">
        <f>_xll.EQNXTDZ($A$1,$B6,X$1,$B$1)</f>
        <v>4935.57</v>
      </c>
      <c r="Y6" s="100">
        <f>_xll.EQNXTDZ($A$1,$B6,Y$1,$B$1)</f>
        <v>6040.55</v>
      </c>
      <c r="Z6" s="100">
        <f>_xll.EQNXTDZ($A$1,$B6,Z$1,$B$1)</f>
        <v>5040.83</v>
      </c>
      <c r="AA6" s="100">
        <f>_xll.EQNXTDZ($A$1,$B6,AA$1,$B$1)</f>
        <v>5553.96</v>
      </c>
      <c r="AB6" s="100">
        <f>_xll.EQNXTDZ($A$1,$B6,AB$1,$B$1)</f>
        <v>6812.9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3.3769999999999998</v>
      </c>
      <c r="O9" s="100">
        <f>_xll.EQNXTDZ($A$1,$B9,O$1,$B$1)</f>
        <v>4.0309999999999997</v>
      </c>
      <c r="P9" s="100">
        <f>_xll.EQNXTDZ($A$1,$B9,P$1,$B$1)</f>
        <v>5.9690000000000003</v>
      </c>
      <c r="Q9" s="100">
        <f>_xll.EQNXTDZ($A$1,$B9,Q$1,$B$1)</f>
        <v>11.334</v>
      </c>
      <c r="R9" s="100">
        <f>_xll.EQNXTDZ($A$1,$B9,R$1,$B$1)</f>
        <v>33.408000000000001</v>
      </c>
      <c r="S9" s="100">
        <f>_xll.EQNXTDZ($A$1,$B9,S$1,$B$1)</f>
        <v>26.902000000000001</v>
      </c>
      <c r="T9" s="100">
        <f>_xll.EQNXTDZ($A$1,$B9,T$1,$B$1)</f>
        <v>12.833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450.71800000000002</v>
      </c>
      <c r="O10" s="100">
        <f>_xll.EQNXTDZ($A$1,$B10,O$1,$B$1)</f>
        <v>718.51099999999997</v>
      </c>
      <c r="P10" s="100">
        <f>_xll.EQNXTDZ($A$1,$B10,P$1,$B$1)</f>
        <v>1159.7170000000001</v>
      </c>
      <c r="Q10" s="100">
        <f>_xll.EQNXTDZ($A$1,$B10,Q$1,$B$1)</f>
        <v>1326.59</v>
      </c>
      <c r="R10" s="100">
        <f>_xll.EQNXTDZ($A$1,$B10,R$1,$B$1)</f>
        <v>1777.578</v>
      </c>
      <c r="S10" s="100">
        <f>_xll.EQNXTDZ($A$1,$B10,S$1,$B$1)</f>
        <v>1904.6469999999999</v>
      </c>
      <c r="T10" s="100">
        <f>_xll.EQNXTDZ($A$1,$B10,T$1,$B$1)</f>
        <v>2056.17</v>
      </c>
      <c r="U10" s="100">
        <f>_xll.EQNXTDZ($A$1,$B10,U$1,$B$1)</f>
        <v>2291.9160000000002</v>
      </c>
      <c r="V10" s="100">
        <f>_xll.EQNXTDZ($A$1,$B10,V$1,$B$1)</f>
        <v>2831.72</v>
      </c>
      <c r="W10" s="100">
        <f>_xll.EQNXTDZ($A$1,$B10,W$1,$B$1)</f>
        <v>4813.51</v>
      </c>
      <c r="X10" s="100">
        <f>_xll.EQNXTDZ($A$1,$B10,X$1,$B$1)</f>
        <v>4935.57</v>
      </c>
      <c r="Y10" s="100">
        <f>_xll.EQNXTDZ($A$1,$B10,Y$1,$B$1)</f>
        <v>6040.55</v>
      </c>
      <c r="Z10" s="100">
        <f>_xll.EQNXTDZ($A$1,$B10,Z$1,$B$1)</f>
        <v>5040.83</v>
      </c>
      <c r="AA10" s="100">
        <f>_xll.EQNXTDZ($A$1,$B10,AA$1,$B$1)</f>
        <v>5553.96</v>
      </c>
      <c r="AB10" s="100">
        <f>_xll.EQNXTDZ($A$1,$B10,AB$1,$B$1)</f>
        <v>6812.9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-10.132</v>
      </c>
      <c r="O11" s="100">
        <f>_xll.EQNXTDZ($A$1,$B11,O$1,$B$1)</f>
        <v>-33.194000000000003</v>
      </c>
      <c r="P11" s="100">
        <f>_xll.EQNXTDZ($A$1,$B11,P$1,$B$1)</f>
        <v>-70.293000000000006</v>
      </c>
      <c r="Q11" s="100">
        <f>_xll.EQNXTDZ($A$1,$B11,Q$1,$B$1)</f>
        <v>-84.453000000000003</v>
      </c>
      <c r="R11" s="100">
        <f>_xll.EQNXTDZ($A$1,$B11,R$1,$B$1)</f>
        <v>-25.077999999999999</v>
      </c>
      <c r="S11" s="100">
        <f>_xll.EQNXTDZ($A$1,$B11,S$1,$B$1)</f>
        <v>-34.9</v>
      </c>
      <c r="T11" s="100">
        <f>_xll.EQNXTDZ($A$1,$B11,T$1,$B$1)</f>
        <v>-24.704999999999998</v>
      </c>
      <c r="U11" s="100">
        <f>_xll.EQNXTDZ($A$1,$B11,U$1,$B$1)</f>
        <v>-31.986999999999998</v>
      </c>
      <c r="V11" s="100">
        <f>_xll.EQNXTDZ($A$1,$B11,V$1,$B$1)</f>
        <v>-216.15</v>
      </c>
      <c r="W11" s="100">
        <f>_xll.EQNXTDZ($A$1,$B11,W$1,$B$1)</f>
        <v>-297.01</v>
      </c>
      <c r="X11" s="100">
        <f>_xll.EQNXTDZ($A$1,$B11,X$1,$B$1)</f>
        <v>-221.17</v>
      </c>
      <c r="Y11" s="100">
        <f>_xll.EQNXTDZ($A$1,$B11,Y$1,$B$1)</f>
        <v>22.04</v>
      </c>
      <c r="Z11" s="100">
        <f>_xll.EQNXTDZ($A$1,$B11,Z$1,$B$1)</f>
        <v>-100.88</v>
      </c>
      <c r="AA11" s="100">
        <f>_xll.EQNXTDZ($A$1,$B11,AA$1,$B$1)</f>
        <v>-55.93</v>
      </c>
      <c r="AB11" s="100">
        <f>_xll.EQNXTDZ($A$1,$B11,AB$1,$B$1)</f>
        <v>-271.44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273.95</v>
      </c>
      <c r="O12" s="100">
        <f>_xll.EQNXTDZ($A$1,$B12,O$1,$B$1)</f>
        <v>442.90800000000002</v>
      </c>
      <c r="P12" s="100">
        <f>_xll.EQNXTDZ($A$1,$B12,P$1,$B$1)</f>
        <v>790.71699999999998</v>
      </c>
      <c r="Q12" s="100">
        <f>_xll.EQNXTDZ($A$1,$B12,Q$1,$B$1)</f>
        <v>905.721</v>
      </c>
      <c r="R12" s="100">
        <f>_xll.EQNXTDZ($A$1,$B12,R$1,$B$1)</f>
        <v>1025.2270000000001</v>
      </c>
      <c r="S12" s="100">
        <f>_xll.EQNXTDZ($A$1,$B12,S$1,$B$1)</f>
        <v>1024.1869999999999</v>
      </c>
      <c r="T12" s="100">
        <f>_xll.EQNXTDZ($A$1,$B12,T$1,$B$1)</f>
        <v>1080.7239999999999</v>
      </c>
      <c r="U12" s="100">
        <f>_xll.EQNXTDZ($A$1,$B12,U$1,$B$1)</f>
        <v>1256.787</v>
      </c>
      <c r="V12" s="100">
        <f>_xll.EQNXTDZ($A$1,$B12,V$1,$B$1)</f>
        <v>1599.03</v>
      </c>
      <c r="W12" s="100">
        <f>_xll.EQNXTDZ($A$1,$B12,W$1,$B$1)</f>
        <v>2404.63</v>
      </c>
      <c r="X12" s="100">
        <f>_xll.EQNXTDZ($A$1,$B12,X$1,$B$1)</f>
        <v>2355.06</v>
      </c>
      <c r="Y12" s="100">
        <f>_xll.EQNXTDZ($A$1,$B12,Y$1,$B$1)</f>
        <v>2707.63</v>
      </c>
      <c r="Z12" s="100">
        <f>_xll.EQNXTDZ($A$1,$B12,Z$1,$B$1)</f>
        <v>2475.23</v>
      </c>
      <c r="AA12" s="100">
        <f>_xll.EQNXTDZ($A$1,$B12,AA$1,$B$1)</f>
        <v>2451.0100000000002</v>
      </c>
      <c r="AB12" s="100">
        <f>_xll.EQNXTDZ($A$1,$B12,AB$1,$B$1)</f>
        <v>2871.96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10.551</v>
      </c>
      <c r="O13" s="100">
        <f>_xll.EQNXTDZ($A$1,$B13,O$1,$B$1)</f>
        <v>27.626999999999999</v>
      </c>
      <c r="P13" s="100">
        <f>_xll.EQNXTDZ($A$1,$B13,P$1,$B$1)</f>
        <v>35.03</v>
      </c>
      <c r="Q13" s="100">
        <f>_xll.EQNXTDZ($A$1,$B13,Q$1,$B$1)</f>
        <v>49.862000000000002</v>
      </c>
      <c r="R13" s="100">
        <f>_xll.EQNXTDZ($A$1,$B13,R$1,$B$1)</f>
        <v>57.954999999999998</v>
      </c>
      <c r="S13" s="100">
        <f>_xll.EQNXTDZ($A$1,$B13,S$1,$B$1)</f>
        <v>66.274000000000001</v>
      </c>
      <c r="T13" s="100">
        <f>_xll.EQNXTDZ($A$1,$B13,T$1,$B$1)</f>
        <v>94.212999999999994</v>
      </c>
      <c r="U13" s="100">
        <f>_xll.EQNXTDZ($A$1,$B13,U$1,$B$1)</f>
        <v>109.373</v>
      </c>
      <c r="V13" s="100">
        <f>_xll.EQNXTDZ($A$1,$B13,V$1,$B$1)</f>
        <v>136.77000000000001</v>
      </c>
      <c r="W13" s="100">
        <f>_xll.EQNXTDZ($A$1,$B13,W$1,$B$1)</f>
        <v>157.75</v>
      </c>
      <c r="X13" s="100">
        <f>_xll.EQNXTDZ($A$1,$B13,X$1,$B$1)</f>
        <v>204.47</v>
      </c>
      <c r="Y13" s="100">
        <f>_xll.EQNXTDZ($A$1,$B13,Y$1,$B$1)</f>
        <v>324.10000000000002</v>
      </c>
      <c r="Z13" s="100">
        <f>_xll.EQNXTDZ($A$1,$B13,Z$1,$B$1)</f>
        <v>338.15</v>
      </c>
      <c r="AA13" s="100">
        <f>_xll.EQNXTDZ($A$1,$B13,AA$1,$B$1)</f>
        <v>323.39999999999998</v>
      </c>
      <c r="AB13" s="100">
        <f>_xll.EQNXTDZ($A$1,$B13,AB$1,$B$1)</f>
        <v>371.19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55.402999999999999</v>
      </c>
      <c r="O14" s="100">
        <f>_xll.EQNXTDZ($A$1,$B14,O$1,$B$1)</f>
        <v>69.632000000000005</v>
      </c>
      <c r="P14" s="100">
        <f>_xll.EQNXTDZ($A$1,$B14,P$1,$B$1)</f>
        <v>103.252</v>
      </c>
      <c r="Q14" s="100">
        <f>_xll.EQNXTDZ($A$1,$B14,Q$1,$B$1)</f>
        <v>131.376</v>
      </c>
      <c r="R14" s="100">
        <f>_xll.EQNXTDZ($A$1,$B14,R$1,$B$1)</f>
        <v>175.459</v>
      </c>
      <c r="S14" s="100">
        <f>_xll.EQNXTDZ($A$1,$B14,S$1,$B$1)</f>
        <v>204.73400000000001</v>
      </c>
      <c r="T14" s="100">
        <f>_xll.EQNXTDZ($A$1,$B14,T$1,$B$1)</f>
        <v>238.14400000000001</v>
      </c>
      <c r="U14" s="100">
        <f>_xll.EQNXTDZ($A$1,$B14,U$1,$B$1)</f>
        <v>276.33199999999999</v>
      </c>
      <c r="V14" s="100">
        <f>_xll.EQNXTDZ($A$1,$B14,V$1,$B$1)</f>
        <v>320.77</v>
      </c>
      <c r="W14" s="100">
        <f>_xll.EQNXTDZ($A$1,$B14,W$1,$B$1)</f>
        <v>397.04</v>
      </c>
      <c r="X14" s="100">
        <f>_xll.EQNXTDZ($A$1,$B14,X$1,$B$1)</f>
        <v>469.55</v>
      </c>
      <c r="Y14" s="100">
        <f>_xll.EQNXTDZ($A$1,$B14,Y$1,$B$1)</f>
        <v>557.42999999999995</v>
      </c>
      <c r="Z14" s="100">
        <f>_xll.EQNXTDZ($A$1,$B14,Z$1,$B$1)</f>
        <v>614.85</v>
      </c>
      <c r="AA14" s="100">
        <f>_xll.EQNXTDZ($A$1,$B14,AA$1,$B$1)</f>
        <v>676.44</v>
      </c>
      <c r="AB14" s="100">
        <f>_xll.EQNXTDZ($A$1,$B14,AB$1,$B$1)</f>
        <v>815.39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17.594000000000001</v>
      </c>
      <c r="O15" s="100">
        <f>_xll.EQNXTDZ($A$1,$B15,O$1,$B$1)</f>
        <v>28.585999999999999</v>
      </c>
      <c r="P15" s="100">
        <f>_xll.EQNXTDZ($A$1,$B15,P$1,$B$1)</f>
        <v>47.963999999999999</v>
      </c>
      <c r="Q15" s="100">
        <f>_xll.EQNXTDZ($A$1,$B15,Q$1,$B$1)</f>
        <v>80.606999999999999</v>
      </c>
      <c r="R15" s="100">
        <f>_xll.EQNXTDZ($A$1,$B15,R$1,$B$1)</f>
        <v>106.971</v>
      </c>
      <c r="S15" s="100">
        <f>_xll.EQNXTDZ($A$1,$B15,S$1,$B$1)</f>
        <v>139.465</v>
      </c>
      <c r="T15" s="100">
        <f>_xll.EQNXTDZ($A$1,$B15,T$1,$B$1)</f>
        <v>150.77500000000001</v>
      </c>
      <c r="U15" s="100">
        <f>_xll.EQNXTDZ($A$1,$B15,U$1,$B$1)</f>
        <v>178.95699999999999</v>
      </c>
      <c r="V15" s="100">
        <f>_xll.EQNXTDZ($A$1,$B15,V$1,$B$1)</f>
        <v>239.5</v>
      </c>
      <c r="W15" s="100">
        <f>_xll.EQNXTDZ($A$1,$B15,W$1,$B$1)</f>
        <v>364.78</v>
      </c>
      <c r="X15" s="100">
        <f>_xll.EQNXTDZ($A$1,$B15,X$1,$B$1)</f>
        <v>441.18</v>
      </c>
      <c r="Y15" s="100">
        <f>_xll.EQNXTDZ($A$1,$B15,Y$1,$B$1)</f>
        <v>522.9</v>
      </c>
      <c r="Z15" s="100">
        <f>_xll.EQNXTDZ($A$1,$B15,Z$1,$B$1)</f>
        <v>611.79999999999995</v>
      </c>
      <c r="AA15" s="100">
        <f>_xll.EQNXTDZ($A$1,$B15,AA$1,$B$1)</f>
        <v>648.97</v>
      </c>
      <c r="AB15" s="100">
        <f>_xll.EQNXTDZ($A$1,$B15,AB$1,$B$1)</f>
        <v>733.32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15.907999999999999</v>
      </c>
      <c r="O17" s="100">
        <f>_xll.EQNXTDZ($A$1,$B17,O$1,$B$1)</f>
        <v>24.286999999999999</v>
      </c>
      <c r="P17" s="100">
        <f>_xll.EQNXTDZ($A$1,$B17,P$1,$B$1)</f>
        <v>27.295000000000002</v>
      </c>
      <c r="Q17" s="100">
        <f>_xll.EQNXTDZ($A$1,$B17,Q$1,$B$1)</f>
        <v>28.39</v>
      </c>
      <c r="R17" s="100">
        <f>_xll.EQNXTDZ($A$1,$B17,R$1,$B$1)</f>
        <v>49.088999999999999</v>
      </c>
      <c r="S17" s="100">
        <f>_xll.EQNXTDZ($A$1,$B17,S$1,$B$1)</f>
        <v>65.421999999999997</v>
      </c>
      <c r="T17" s="100">
        <f>_xll.EQNXTDZ($A$1,$B17,T$1,$B$1)</f>
        <v>73.168999999999997</v>
      </c>
      <c r="U17" s="100">
        <f>_xll.EQNXTDZ($A$1,$B17,U$1,$B$1)</f>
        <v>97.480999999999995</v>
      </c>
      <c r="V17" s="100">
        <f>_xll.EQNXTDZ($A$1,$B17,V$1,$B$1)</f>
        <v>114.23</v>
      </c>
      <c r="W17" s="100">
        <f>_xll.EQNXTDZ($A$1,$B17,W$1,$B$1)</f>
        <v>133.28</v>
      </c>
      <c r="X17" s="100">
        <f>_xll.EQNXTDZ($A$1,$B17,X$1,$B$1)</f>
        <v>146.49</v>
      </c>
      <c r="Y17" s="100">
        <f>_xll.EQNXTDZ($A$1,$B17,Y$1,$B$1)</f>
        <v>151.15</v>
      </c>
      <c r="Z17" s="100">
        <f>_xll.EQNXTDZ($A$1,$B17,Z$1,$B$1)</f>
        <v>157.88999999999999</v>
      </c>
      <c r="AA17" s="100">
        <f>_xll.EQNXTDZ($A$1,$B17,AA$1,$B$1)</f>
        <v>201.69</v>
      </c>
      <c r="AB17" s="100">
        <f>_xll.EQNXTDZ($A$1,$B17,AB$1,$B$1)</f>
        <v>267.73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7.2469999999999999</v>
      </c>
      <c r="O18" s="100">
        <f>_xll.EQNXTDZ($A$1,$B18,O$1,$B$1)</f>
        <v>9.7409999999999997</v>
      </c>
      <c r="P18" s="100">
        <f>_xll.EQNXTDZ($A$1,$B18,P$1,$B$1)</f>
        <v>12.544</v>
      </c>
      <c r="Q18" s="100">
        <f>_xll.EQNXTDZ($A$1,$B18,Q$1,$B$1)</f>
        <v>12.461</v>
      </c>
      <c r="R18" s="100">
        <f>_xll.EQNXTDZ($A$1,$B18,R$1,$B$1)</f>
        <v>16.486000000000001</v>
      </c>
      <c r="S18" s="100">
        <f>_xll.EQNXTDZ($A$1,$B18,S$1,$B$1)</f>
        <v>22.648</v>
      </c>
      <c r="T18" s="100">
        <f>_xll.EQNXTDZ($A$1,$B18,T$1,$B$1)</f>
        <v>24.088000000000001</v>
      </c>
      <c r="U18" s="100">
        <f>_xll.EQNXTDZ($A$1,$B18,U$1,$B$1)</f>
        <v>31.96</v>
      </c>
      <c r="V18" s="100">
        <f>_xll.EQNXTDZ($A$1,$B18,V$1,$B$1)</f>
        <v>61.53</v>
      </c>
      <c r="W18" s="100">
        <f>_xll.EQNXTDZ($A$1,$B18,W$1,$B$1)</f>
        <v>91.65</v>
      </c>
      <c r="X18" s="100">
        <f>_xll.EQNXTDZ($A$1,$B18,X$1,$B$1)</f>
        <v>101.98</v>
      </c>
      <c r="Y18" s="100">
        <f>_xll.EQNXTDZ($A$1,$B18,Y$1,$B$1)</f>
        <v>116.14</v>
      </c>
      <c r="Z18" s="100">
        <f>_xll.EQNXTDZ($A$1,$B18,Z$1,$B$1)</f>
        <v>134.49</v>
      </c>
      <c r="AA18" s="100">
        <f>_xll.EQNXTDZ($A$1,$B18,AA$1,$B$1)</f>
        <v>170.95</v>
      </c>
      <c r="AB18" s="100">
        <f>_xll.EQNXTDZ($A$1,$B18,AB$1,$B$1)</f>
        <v>141.32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8.8369999999999997</v>
      </c>
      <c r="O19" s="100">
        <f>_xll.EQNXTDZ($A$1,$B19,O$1,$B$1)</f>
        <v>6.1310000000000002</v>
      </c>
      <c r="P19" s="100">
        <f>_xll.EQNXTDZ($A$1,$B19,P$1,$B$1)</f>
        <v>9.5779999999999994</v>
      </c>
      <c r="Q19" s="100">
        <f>_xll.EQNXTDZ($A$1,$B19,Q$1,$B$1)</f>
        <v>7.4930000000000003</v>
      </c>
      <c r="R19" s="100">
        <f>_xll.EQNXTDZ($A$1,$B19,R$1,$B$1)</f>
        <v>9.2710000000000008</v>
      </c>
      <c r="S19" s="100">
        <f>_xll.EQNXTDZ($A$1,$B19,S$1,$B$1)</f>
        <v>9.1820000000000004</v>
      </c>
      <c r="T19" s="100">
        <f>_xll.EQNXTDZ($A$1,$B19,T$1,$B$1)</f>
        <v>6.4420000000000002</v>
      </c>
      <c r="U19" s="100">
        <f>_xll.EQNXTDZ($A$1,$B19,U$1,$B$1)</f>
        <v>17.030999999999999</v>
      </c>
      <c r="V19" s="100">
        <f>_xll.EQNXTDZ($A$1,$B19,V$1,$B$1)</f>
        <v>11.49</v>
      </c>
      <c r="W19" s="100">
        <f>_xll.EQNXTDZ($A$1,$B19,W$1,$B$1)</f>
        <v>10.71</v>
      </c>
      <c r="X19" s="100">
        <f>_xll.EQNXTDZ($A$1,$B19,X$1,$B$1)</f>
        <v>15.58</v>
      </c>
      <c r="Y19" s="100">
        <f>_xll.EQNXTDZ($A$1,$B19,Y$1,$B$1)</f>
        <v>46.97</v>
      </c>
      <c r="Z19" s="100">
        <f>_xll.EQNXTDZ($A$1,$B19,Z$1,$B$1)</f>
        <v>31.8</v>
      </c>
      <c r="AA19" s="100">
        <f>_xll.EQNXTDZ($A$1,$B19,AA$1,$B$1)</f>
        <v>82.15</v>
      </c>
      <c r="AB19" s="100">
        <f>_xll.EQNXTDZ($A$1,$B19,AB$1,$B$1)</f>
        <v>105.72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379.358</v>
      </c>
      <c r="O21" s="100">
        <f>_xll.EQNXTDZ($A$1,$B21,O$1,$B$1)</f>
        <v>575.71799999999996</v>
      </c>
      <c r="P21" s="100">
        <f>_xll.EQNXTDZ($A$1,$B21,P$1,$B$1)</f>
        <v>956.08699999999999</v>
      </c>
      <c r="Q21" s="100">
        <f>_xll.EQNXTDZ($A$1,$B21,Q$1,$B$1)</f>
        <v>1131.4570000000001</v>
      </c>
      <c r="R21" s="100">
        <f>_xll.EQNXTDZ($A$1,$B21,R$1,$B$1)</f>
        <v>1415.38</v>
      </c>
      <c r="S21" s="100">
        <f>_xll.EQNXTDZ($A$1,$B21,S$1,$B$1)</f>
        <v>1497.0119999999999</v>
      </c>
      <c r="T21" s="100">
        <f>_xll.EQNXTDZ($A$1,$B21,T$1,$B$1)</f>
        <v>1642.85</v>
      </c>
      <c r="U21" s="100">
        <f>_xll.EQNXTDZ($A$1,$B21,U$1,$B$1)</f>
        <v>1935.934</v>
      </c>
      <c r="V21" s="100">
        <f>_xll.EQNXTDZ($A$1,$B21,V$1,$B$1)</f>
        <v>2267.17</v>
      </c>
      <c r="W21" s="100">
        <f>_xll.EQNXTDZ($A$1,$B21,W$1,$B$1)</f>
        <v>3262.83</v>
      </c>
      <c r="X21" s="100">
        <f>_xll.EQNXTDZ($A$1,$B21,X$1,$B$1)</f>
        <v>3513.14</v>
      </c>
      <c r="Y21" s="100">
        <f>_xll.EQNXTDZ($A$1,$B21,Y$1,$B$1)</f>
        <v>4448.3599999999997</v>
      </c>
      <c r="Z21" s="100">
        <f>_xll.EQNXTDZ($A$1,$B21,Z$1,$B$1)</f>
        <v>4263.33</v>
      </c>
      <c r="AA21" s="100">
        <f>_xll.EQNXTDZ($A$1,$B21,AA$1,$B$1)</f>
        <v>4498.68</v>
      </c>
      <c r="AB21" s="100">
        <f>_xll.EQNXTDZ($A$1,$B21,AB$1,$B$1)</f>
        <v>5035.1899999999996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71.36</v>
      </c>
      <c r="O22" s="100">
        <f>_xll.EQNXTDZ($A$1,$B22,O$1,$B$1)</f>
        <v>142.79300000000001</v>
      </c>
      <c r="P22" s="100">
        <f>_xll.EQNXTDZ($A$1,$B22,P$1,$B$1)</f>
        <v>203.63</v>
      </c>
      <c r="Q22" s="100">
        <f>_xll.EQNXTDZ($A$1,$B22,Q$1,$B$1)</f>
        <v>195.13300000000001</v>
      </c>
      <c r="R22" s="100">
        <f>_xll.EQNXTDZ($A$1,$B22,R$1,$B$1)</f>
        <v>362.19799999999998</v>
      </c>
      <c r="S22" s="100">
        <f>_xll.EQNXTDZ($A$1,$B22,S$1,$B$1)</f>
        <v>407.63499999999999</v>
      </c>
      <c r="T22" s="100">
        <f>_xll.EQNXTDZ($A$1,$B22,T$1,$B$1)</f>
        <v>413.32</v>
      </c>
      <c r="U22" s="100">
        <f>_xll.EQNXTDZ($A$1,$B22,U$1,$B$1)</f>
        <v>355.98200000000003</v>
      </c>
      <c r="V22" s="100">
        <f>_xll.EQNXTDZ($A$1,$B22,V$1,$B$1)</f>
        <v>564.54999999999995</v>
      </c>
      <c r="W22" s="100">
        <f>_xll.EQNXTDZ($A$1,$B22,W$1,$B$1)</f>
        <v>1550.68</v>
      </c>
      <c r="X22" s="100">
        <f>_xll.EQNXTDZ($A$1,$B22,X$1,$B$1)</f>
        <v>1422.43</v>
      </c>
      <c r="Y22" s="100">
        <f>_xll.EQNXTDZ($A$1,$B22,Y$1,$B$1)</f>
        <v>1592.19</v>
      </c>
      <c r="Z22" s="100">
        <f>_xll.EQNXTDZ($A$1,$B22,Z$1,$B$1)</f>
        <v>777.5</v>
      </c>
      <c r="AA22" s="100">
        <f>_xll.EQNXTDZ($A$1,$B22,AA$1,$B$1)</f>
        <v>1055.28</v>
      </c>
      <c r="AB22" s="100">
        <f>_xll.EQNXTDZ($A$1,$B22,AB$1,$B$1)</f>
        <v>1777.71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1.589</v>
      </c>
      <c r="O23" s="100">
        <f>_xll.EQNXTDZ($A$1,$B23,O$1,$B$1)</f>
        <v>5.056</v>
      </c>
      <c r="P23" s="100">
        <f>_xll.EQNXTDZ($A$1,$B23,P$1,$B$1)</f>
        <v>8.8170000000000002</v>
      </c>
      <c r="Q23" s="100">
        <f>_xll.EQNXTDZ($A$1,$B23,Q$1,$B$1)</f>
        <v>34.070999999999998</v>
      </c>
      <c r="R23" s="100">
        <f>_xll.EQNXTDZ($A$1,$B23,R$1,$B$1)</f>
        <v>4.3600000000000003</v>
      </c>
      <c r="S23" s="100">
        <f>_xll.EQNXTDZ($A$1,$B23,S$1,$B$1)</f>
        <v>33.438000000000002</v>
      </c>
      <c r="T23" s="100">
        <f>_xll.EQNXTDZ($A$1,$B23,T$1,$B$1)</f>
        <v>29.193000000000001</v>
      </c>
      <c r="U23" s="100">
        <f>_xll.EQNXTDZ($A$1,$B23,U$1,$B$1)</f>
        <v>16.152000000000001</v>
      </c>
      <c r="V23" s="100">
        <f>_xll.EQNXTDZ($A$1,$B23,V$1,$B$1)</f>
        <v>5.92</v>
      </c>
      <c r="W23" s="100">
        <f>_xll.EQNXTDZ($A$1,$B23,W$1,$B$1)</f>
        <v>23.66</v>
      </c>
      <c r="X23" s="100">
        <f>_xll.EQNXTDZ($A$1,$B23,X$1,$B$1)</f>
        <v>15.3</v>
      </c>
      <c r="Y23" s="100">
        <f>_xll.EQNXTDZ($A$1,$B23,Y$1,$B$1)</f>
        <v>6</v>
      </c>
      <c r="Z23" s="100">
        <f>_xll.EQNXTDZ($A$1,$B23,Z$1,$B$1)</f>
        <v>26.34</v>
      </c>
      <c r="AA23" s="100">
        <f>_xll.EQNXTDZ($A$1,$B23,AA$1,$B$1)</f>
        <v>75.099999999999994</v>
      </c>
      <c r="AB23" s="100">
        <f>_xll.EQNXTDZ($A$1,$B23,AB$1,$B$1)</f>
        <v>54.95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72.948999999999998</v>
      </c>
      <c r="O24" s="100">
        <f>_xll.EQNXTDZ($A$1,$B24,O$1,$B$1)</f>
        <v>147.84899999999999</v>
      </c>
      <c r="P24" s="100">
        <f>_xll.EQNXTDZ($A$1,$B24,P$1,$B$1)</f>
        <v>212.447</v>
      </c>
      <c r="Q24" s="100">
        <f>_xll.EQNXTDZ($A$1,$B24,Q$1,$B$1)</f>
        <v>229.20400000000001</v>
      </c>
      <c r="R24" s="100">
        <f>_xll.EQNXTDZ($A$1,$B24,R$1,$B$1)</f>
        <v>366.55799999999999</v>
      </c>
      <c r="S24" s="100">
        <f>_xll.EQNXTDZ($A$1,$B24,S$1,$B$1)</f>
        <v>441.07299999999998</v>
      </c>
      <c r="T24" s="100">
        <f>_xll.EQNXTDZ($A$1,$B24,T$1,$B$1)</f>
        <v>442.51299999999998</v>
      </c>
      <c r="U24" s="100">
        <f>_xll.EQNXTDZ($A$1,$B24,U$1,$B$1)</f>
        <v>372.13400000000001</v>
      </c>
      <c r="V24" s="100">
        <f>_xll.EQNXTDZ($A$1,$B24,V$1,$B$1)</f>
        <v>570.47</v>
      </c>
      <c r="W24" s="100">
        <f>_xll.EQNXTDZ($A$1,$B24,W$1,$B$1)</f>
        <v>1574.34</v>
      </c>
      <c r="X24" s="100">
        <f>_xll.EQNXTDZ($A$1,$B24,X$1,$B$1)</f>
        <v>1437.73</v>
      </c>
      <c r="Y24" s="100">
        <f>_xll.EQNXTDZ($A$1,$B24,Y$1,$B$1)</f>
        <v>1598.19</v>
      </c>
      <c r="Z24" s="100">
        <f>_xll.EQNXTDZ($A$1,$B24,Z$1,$B$1)</f>
        <v>803.84</v>
      </c>
      <c r="AA24" s="100">
        <f>_xll.EQNXTDZ($A$1,$B24,AA$1,$B$1)</f>
        <v>1130.3800000000001</v>
      </c>
      <c r="AB24" s="100">
        <f>_xll.EQNXTDZ($A$1,$B24,AB$1,$B$1)</f>
        <v>1832.66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33.101999999999997</v>
      </c>
      <c r="O25" s="100">
        <f>_xll.EQNXTDZ($A$1,$B25,O$1,$B$1)</f>
        <v>39.122</v>
      </c>
      <c r="P25" s="100">
        <f>_xll.EQNXTDZ($A$1,$B25,P$1,$B$1)</f>
        <v>58.712000000000003</v>
      </c>
      <c r="Q25" s="100">
        <f>_xll.EQNXTDZ($A$1,$B25,Q$1,$B$1)</f>
        <v>101.10899999999999</v>
      </c>
      <c r="R25" s="100">
        <f>_xll.EQNXTDZ($A$1,$B25,R$1,$B$1)</f>
        <v>111.10899999999999</v>
      </c>
      <c r="S25" s="100">
        <f>_xll.EQNXTDZ($A$1,$B25,S$1,$B$1)</f>
        <v>99.896000000000001</v>
      </c>
      <c r="T25" s="100">
        <f>_xll.EQNXTDZ($A$1,$B25,T$1,$B$1)</f>
        <v>79.644000000000005</v>
      </c>
      <c r="U25" s="100">
        <f>_xll.EQNXTDZ($A$1,$B25,U$1,$B$1)</f>
        <v>88.19</v>
      </c>
      <c r="V25" s="100">
        <f>_xll.EQNXTDZ($A$1,$B25,V$1,$B$1)</f>
        <v>89.59</v>
      </c>
      <c r="W25" s="100">
        <f>_xll.EQNXTDZ($A$1,$B25,W$1,$B$1)</f>
        <v>68.16</v>
      </c>
      <c r="X25" s="100">
        <f>_xll.EQNXTDZ($A$1,$B25,X$1,$B$1)</f>
        <v>102.39</v>
      </c>
      <c r="Y25" s="100">
        <f>_xll.EQNXTDZ($A$1,$B25,Y$1,$B$1)</f>
        <v>165.17</v>
      </c>
      <c r="Z25" s="100">
        <f>_xll.EQNXTDZ($A$1,$B25,Z$1,$B$1)</f>
        <v>182.9</v>
      </c>
      <c r="AA25" s="100">
        <f>_xll.EQNXTDZ($A$1,$B25,AA$1,$B$1)</f>
        <v>216</v>
      </c>
      <c r="AB25" s="100">
        <f>_xll.EQNXTDZ($A$1,$B25,AB$1,$B$1)</f>
        <v>170.73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39.847000000000001</v>
      </c>
      <c r="O26" s="100">
        <f>_xll.EQNXTDZ($A$1,$B26,O$1,$B$1)</f>
        <v>108.727</v>
      </c>
      <c r="P26" s="100">
        <f>_xll.EQNXTDZ($A$1,$B26,P$1,$B$1)</f>
        <v>153.73500000000001</v>
      </c>
      <c r="Q26" s="100">
        <f>_xll.EQNXTDZ($A$1,$B26,Q$1,$B$1)</f>
        <v>128.095</v>
      </c>
      <c r="R26" s="100">
        <f>_xll.EQNXTDZ($A$1,$B26,R$1,$B$1)</f>
        <v>255.44900000000001</v>
      </c>
      <c r="S26" s="100">
        <f>_xll.EQNXTDZ($A$1,$B26,S$1,$B$1)</f>
        <v>341.17700000000002</v>
      </c>
      <c r="T26" s="100">
        <f>_xll.EQNXTDZ($A$1,$B26,T$1,$B$1)</f>
        <v>362.86900000000003</v>
      </c>
      <c r="U26" s="100">
        <f>_xll.EQNXTDZ($A$1,$B26,U$1,$B$1)</f>
        <v>283.94400000000002</v>
      </c>
      <c r="V26" s="100">
        <f>_xll.EQNXTDZ($A$1,$B26,V$1,$B$1)</f>
        <v>480.88</v>
      </c>
      <c r="W26" s="100">
        <f>_xll.EQNXTDZ($A$1,$B26,W$1,$B$1)</f>
        <v>1506.18</v>
      </c>
      <c r="X26" s="100">
        <f>_xll.EQNXTDZ($A$1,$B26,X$1,$B$1)</f>
        <v>1335.34</v>
      </c>
      <c r="Y26" s="100">
        <f>_xll.EQNXTDZ($A$1,$B26,Y$1,$B$1)</f>
        <v>1433.02</v>
      </c>
      <c r="Z26" s="100">
        <f>_xll.EQNXTDZ($A$1,$B26,Z$1,$B$1)</f>
        <v>620.94000000000005</v>
      </c>
      <c r="AA26" s="100">
        <f>_xll.EQNXTDZ($A$1,$B26,AA$1,$B$1)</f>
        <v>914.38</v>
      </c>
      <c r="AB26" s="100">
        <f>_xll.EQNXTDZ($A$1,$B26,AB$1,$B$1)</f>
        <v>1661.93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18.27</v>
      </c>
      <c r="O27" s="100">
        <f>_xll.EQNXTDZ($A$1,$B27,O$1,$B$1)</f>
        <v>22.628</v>
      </c>
      <c r="P27" s="100">
        <f>_xll.EQNXTDZ($A$1,$B27,P$1,$B$1)</f>
        <v>32.880000000000003</v>
      </c>
      <c r="Q27" s="100">
        <f>_xll.EQNXTDZ($A$1,$B27,Q$1,$B$1)</f>
        <v>61.526000000000003</v>
      </c>
      <c r="R27" s="100">
        <f>_xll.EQNXTDZ($A$1,$B27,R$1,$B$1)</f>
        <v>86.409000000000006</v>
      </c>
      <c r="S27" s="100">
        <f>_xll.EQNXTDZ($A$1,$B27,S$1,$B$1)</f>
        <v>105.982</v>
      </c>
      <c r="T27" s="100">
        <f>_xll.EQNXTDZ($A$1,$B27,T$1,$B$1)</f>
        <v>125.453</v>
      </c>
      <c r="U27" s="100">
        <f>_xll.EQNXTDZ($A$1,$B27,U$1,$B$1)</f>
        <v>164.19200000000001</v>
      </c>
      <c r="V27" s="100">
        <f>_xll.EQNXTDZ($A$1,$B27,V$1,$B$1)</f>
        <v>187.27</v>
      </c>
      <c r="W27" s="100">
        <f>_xll.EQNXTDZ($A$1,$B27,W$1,$B$1)</f>
        <v>205.07</v>
      </c>
      <c r="X27" s="100">
        <f>_xll.EQNXTDZ($A$1,$B27,X$1,$B$1)</f>
        <v>251.49</v>
      </c>
      <c r="Y27" s="100">
        <f>_xll.EQNXTDZ($A$1,$B27,Y$1,$B$1)</f>
        <v>324.08</v>
      </c>
      <c r="Z27" s="100">
        <f>_xll.EQNXTDZ($A$1,$B27,Z$1,$B$1)</f>
        <v>384.58</v>
      </c>
      <c r="AA27" s="100">
        <f>_xll.EQNXTDZ($A$1,$B27,AA$1,$B$1)</f>
        <v>430.09</v>
      </c>
      <c r="AB27" s="100">
        <f>_xll.EQNXTDZ($A$1,$B27,AB$1,$B$1)</f>
        <v>480.05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-2.12</v>
      </c>
      <c r="P30" s="100">
        <f>_xll.EQNXTDZ($A$1,$B30,P$1,$B$1)</f>
        <v>23.638000000000002</v>
      </c>
      <c r="Q30" s="100">
        <f>_xll.EQNXTDZ($A$1,$B30,Q$1,$B$1)</f>
        <v>-1.5509999999999999</v>
      </c>
      <c r="R30" s="100">
        <f>_xll.EQNXTDZ($A$1,$B30,R$1,$B$1)</f>
        <v>34.902999999999999</v>
      </c>
      <c r="S30" s="100">
        <f>_xll.EQNXTDZ($A$1,$B30,S$1,$B$1)</f>
        <v>43.863999999999997</v>
      </c>
      <c r="T30" s="100">
        <f>_xll.EQNXTDZ($A$1,$B30,T$1,$B$1)</f>
        <v>69.805999999999997</v>
      </c>
      <c r="U30" s="100">
        <f>_xll.EQNXTDZ($A$1,$B30,U$1,$B$1)</f>
        <v>25.988</v>
      </c>
      <c r="V30" s="100">
        <f>_xll.EQNXTDZ($A$1,$B30,V$1,$B$1)</f>
        <v>38.340000000000003</v>
      </c>
      <c r="W30" s="100">
        <f>_xll.EQNXTDZ($A$1,$B30,W$1,$B$1)</f>
        <v>317.29000000000002</v>
      </c>
      <c r="X30" s="100">
        <f>_xll.EQNXTDZ($A$1,$B30,X$1,$B$1)</f>
        <v>251.42</v>
      </c>
      <c r="Y30" s="100">
        <f>_xll.EQNXTDZ($A$1,$B30,Y$1,$B$1)</f>
        <v>312.3</v>
      </c>
      <c r="Z30" s="100">
        <f>_xll.EQNXTDZ($A$1,$B30,Z$1,$B$1)</f>
        <v>68.150000000000006</v>
      </c>
      <c r="AA30" s="100">
        <f>_xll.EQNXTDZ($A$1,$B30,AA$1,$B$1)</f>
        <v>129.88</v>
      </c>
      <c r="AB30" s="100">
        <f>_xll.EQNXTDZ($A$1,$B30,AB$1,$B$1)</f>
        <v>292.02999999999997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-0.24</v>
      </c>
      <c r="X32" s="100">
        <f>_xll.EQNXTDZ($A$1,$B32,X$1,$B$1)</f>
        <v>-4.71</v>
      </c>
      <c r="Y32" s="100">
        <f>_xll.EQNXTDZ($A$1,$B32,Y$1,$B$1)</f>
        <v>-3.27</v>
      </c>
      <c r="Z32" s="100">
        <f>_xll.EQNXTDZ($A$1,$B32,Z$1,$B$1)</f>
        <v>-1.72</v>
      </c>
      <c r="AA32" s="100">
        <f>_xll.EQNXTDZ($A$1,$B32,AA$1,$B$1)</f>
        <v>-0.02</v>
      </c>
      <c r="AB32" s="100">
        <f>_xll.EQNXTDZ($A$1,$B32,AB$1,$B$1)</f>
        <v>-1.35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0.249</v>
      </c>
      <c r="R33" s="100">
        <f>_xll.EQNXTDZ($A$1,$B33,R$1,$B$1)</f>
        <v>-0.40200000000000002</v>
      </c>
      <c r="S33" s="100">
        <f>_xll.EQNXTDZ($A$1,$B33,S$1,$B$1)</f>
        <v>-1.0549999999999999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-0.2</v>
      </c>
      <c r="Y33" s="100">
        <f>_xll.EQNXTDZ($A$1,$B33,Y$1,$B$1)</f>
        <v>-3.21</v>
      </c>
      <c r="Z33" s="100">
        <f>_xll.EQNXTDZ($A$1,$B33,Z$1,$B$1)</f>
        <v>-5.94</v>
      </c>
      <c r="AA33" s="100">
        <f>_xll.EQNXTDZ($A$1,$B33,AA$1,$B$1)</f>
        <v>3.93</v>
      </c>
      <c r="AB33" s="100">
        <f>_xll.EQNXTDZ($A$1,$B33,AB$1,$B$1)</f>
        <v>0.28999999999999998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-5.63</v>
      </c>
      <c r="Z34" s="100">
        <f>_xll.EQNXTDZ($A$1,$B34,Z$1,$B$1)</f>
        <v>-2.87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21.577000000000002</v>
      </c>
      <c r="O35" s="100">
        <f>_xll.EQNXTDZ($A$1,$B35,O$1,$B$1)</f>
        <v>88.218999999999994</v>
      </c>
      <c r="P35" s="100">
        <f>_xll.EQNXTDZ($A$1,$B35,P$1,$B$1)</f>
        <v>97.216999999999999</v>
      </c>
      <c r="Q35" s="100">
        <f>_xll.EQNXTDZ($A$1,$B35,Q$1,$B$1)</f>
        <v>68.369</v>
      </c>
      <c r="R35" s="100">
        <f>_xll.EQNXTDZ($A$1,$B35,R$1,$B$1)</f>
        <v>133.73500000000001</v>
      </c>
      <c r="S35" s="100">
        <f>_xll.EQNXTDZ($A$1,$B35,S$1,$B$1)</f>
        <v>190.27600000000001</v>
      </c>
      <c r="T35" s="100">
        <f>_xll.EQNXTDZ($A$1,$B35,T$1,$B$1)</f>
        <v>167.61</v>
      </c>
      <c r="U35" s="100">
        <f>_xll.EQNXTDZ($A$1,$B35,U$1,$B$1)</f>
        <v>93.763999999999996</v>
      </c>
      <c r="V35" s="100">
        <f>_xll.EQNXTDZ($A$1,$B35,V$1,$B$1)</f>
        <v>255.27</v>
      </c>
      <c r="W35" s="100">
        <f>_xll.EQNXTDZ($A$1,$B35,W$1,$B$1)</f>
        <v>983.58</v>
      </c>
      <c r="X35" s="100">
        <f>_xll.EQNXTDZ($A$1,$B35,X$1,$B$1)</f>
        <v>827.52</v>
      </c>
      <c r="Y35" s="100">
        <f>_xll.EQNXTDZ($A$1,$B35,Y$1,$B$1)</f>
        <v>784.53</v>
      </c>
      <c r="Z35" s="100">
        <f>_xll.EQNXTDZ($A$1,$B35,Z$1,$B$1)</f>
        <v>157.68</v>
      </c>
      <c r="AA35" s="100">
        <f>_xll.EQNXTDZ($A$1,$B35,AA$1,$B$1)</f>
        <v>358.32</v>
      </c>
      <c r="AB35" s="100">
        <f>_xll.EQNXTDZ($A$1,$B35,AB$1,$B$1)</f>
        <v>888.79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77.700999999999993</v>
      </c>
      <c r="O41" s="55">
        <f>_xll.EQNXTDZ($A$1,$B41,O$1,$B$1)</f>
        <v>77.700999999999993</v>
      </c>
      <c r="P41" s="55">
        <f>_xll.EQNXTDZ($A$1,$B41,P$1,$B$1)</f>
        <v>77.84</v>
      </c>
      <c r="Q41" s="55">
        <f>_xll.EQNXTDZ($A$1,$B41,Q$1,$B$1)</f>
        <v>82.125</v>
      </c>
      <c r="R41" s="55">
        <f>_xll.EQNXTDZ($A$1,$B41,R$1,$B$1)</f>
        <v>82.38</v>
      </c>
      <c r="S41" s="55">
        <f>_xll.EQNXTDZ($A$1,$B41,S$1,$B$1)</f>
        <v>105.756</v>
      </c>
      <c r="T41" s="55">
        <f>_xll.EQNXTDZ($A$1,$B41,T$1,$B$1)</f>
        <v>106.03</v>
      </c>
      <c r="U41" s="55">
        <f>_xll.EQNXTDZ($A$1,$B41,U$1,$B$1)</f>
        <v>106.437</v>
      </c>
      <c r="V41" s="55">
        <f>_xll.EQNXTDZ($A$1,$B41,V$1,$B$1)</f>
        <v>106.91</v>
      </c>
      <c r="W41" s="55">
        <f>_xll.EQNXTDZ($A$1,$B41,W$1,$B$1)</f>
        <v>107.32</v>
      </c>
      <c r="X41" s="55">
        <f>_xll.EQNXTDZ($A$1,$B41,X$1,$B$1)</f>
        <v>107.47</v>
      </c>
      <c r="Y41" s="55">
        <f>_xll.EQNXTDZ($A$1,$B41,Y$1,$B$1)</f>
        <v>107.73</v>
      </c>
      <c r="Z41" s="55">
        <f>_xll.EQNXTDZ($A$1,$B41,Z$1,$B$1)</f>
        <v>107.79</v>
      </c>
      <c r="AA41" s="55">
        <f>_xll.EQNXTDZ($A$1,$B41,AA$1,$B$1)</f>
        <v>107.85</v>
      </c>
      <c r="AB41" s="55">
        <f>_xll.EQNXTDZ($A$1,$B41,AB$1,$B$1)</f>
        <v>107.97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1.0349999999999999</v>
      </c>
      <c r="O42" s="55">
        <f>_xll.EQNXTDZ($A$1,$B42,O$1,$B$1)</f>
        <v>2.9289999999999998</v>
      </c>
      <c r="P42" s="55">
        <f>_xll.EQNXTDZ($A$1,$B42,P$1,$B$1)</f>
        <v>3.36</v>
      </c>
      <c r="Q42" s="55">
        <f>_xll.EQNXTDZ($A$1,$B42,Q$1,$B$1)</f>
        <v>2.9449999999999998</v>
      </c>
      <c r="R42" s="55">
        <f>_xll.EQNXTDZ($A$1,$B42,R$1,$B$1)</f>
        <v>2.9449999999999998</v>
      </c>
      <c r="S42" s="55">
        <f>_xll.EQNXTDZ($A$1,$B42,S$1,$B$1)</f>
        <v>5.8529999999999998</v>
      </c>
      <c r="T42" s="55">
        <f>_xll.EQNXTDZ($A$1,$B42,T$1,$B$1)</f>
        <v>5.8550000000000004</v>
      </c>
      <c r="U42" s="55">
        <f>_xll.EQNXTDZ($A$1,$B42,U$1,$B$1)</f>
        <v>5.367</v>
      </c>
      <c r="V42" s="55">
        <f>_xll.EQNXTDZ($A$1,$B42,V$1,$B$1)</f>
        <v>4.63</v>
      </c>
      <c r="W42" s="55">
        <f>_xll.EQNXTDZ($A$1,$B42,W$1,$B$1)</f>
        <v>4.92</v>
      </c>
      <c r="X42" s="55">
        <f>_xll.EQNXTDZ($A$1,$B42,X$1,$B$1)</f>
        <v>9.17</v>
      </c>
      <c r="Y42" s="55">
        <f>_xll.EQNXTDZ($A$1,$B42,Y$1,$B$1)</f>
        <v>12.08</v>
      </c>
      <c r="Z42" s="55">
        <f>_xll.EQNXTDZ($A$1,$B42,Z$1,$B$1)</f>
        <v>21.47</v>
      </c>
      <c r="AA42" s="55">
        <f>_xll.EQNXTDZ($A$1,$B42,AA$1,$B$1)</f>
        <v>26.05</v>
      </c>
      <c r="AB42" s="55">
        <f>_xll.EQNXTDZ($A$1,$B42,AB$1,$B$1)</f>
        <v>24.98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90.45</v>
      </c>
      <c r="O43" s="55">
        <f>_xll.EQNXTDZ($A$1,$B43,O$1,$B$1)</f>
        <v>178.66900000000001</v>
      </c>
      <c r="P43" s="55">
        <f>_xll.EQNXTDZ($A$1,$B43,P$1,$B$1)</f>
        <v>277.21699999999998</v>
      </c>
      <c r="Q43" s="55">
        <f>_xll.EQNXTDZ($A$1,$B43,Q$1,$B$1)</f>
        <v>637.03</v>
      </c>
      <c r="R43" s="55">
        <f>_xll.EQNXTDZ($A$1,$B43,R$1,$B$1)</f>
        <v>771.47299999999996</v>
      </c>
      <c r="S43" s="55">
        <f>_xll.EQNXTDZ($A$1,$B43,S$1,$B$1)</f>
        <v>1218.8389999999999</v>
      </c>
      <c r="T43" s="55">
        <f>_xll.EQNXTDZ($A$1,$B43,T$1,$B$1)</f>
        <v>1370.7539999999999</v>
      </c>
      <c r="U43" s="55">
        <f>_xll.EQNXTDZ($A$1,$B43,U$1,$B$1)</f>
        <v>1446.6030000000001</v>
      </c>
      <c r="V43" s="55">
        <f>_xll.EQNXTDZ($A$1,$B43,V$1,$B$1)</f>
        <v>1658.23</v>
      </c>
      <c r="W43" s="55">
        <f>_xll.EQNXTDZ($A$1,$B43,W$1,$B$1)</f>
        <v>2485.31</v>
      </c>
      <c r="X43" s="55">
        <f>_xll.EQNXTDZ($A$1,$B43,X$1,$B$1)</f>
        <v>3234.55</v>
      </c>
      <c r="Y43" s="55">
        <f>_xll.EQNXTDZ($A$1,$B43,Y$1,$B$1)</f>
        <v>3917.72</v>
      </c>
      <c r="Z43" s="55">
        <f>_xll.EQNXTDZ($A$1,$B43,Z$1,$B$1)</f>
        <v>3981.69</v>
      </c>
      <c r="AA43" s="55">
        <f>_xll.EQNXTDZ($A$1,$B43,AA$1,$B$1)</f>
        <v>4338.66</v>
      </c>
      <c r="AB43" s="55">
        <f>_xll.EQNXTDZ($A$1,$B43,AB$1,$B$1)</f>
        <v>5167.1099999999997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169.18600000000001</v>
      </c>
      <c r="O44" s="55">
        <f>_xll.EQNXTDZ($A$1,$B44,O$1,$B$1)</f>
        <v>259.29899999999998</v>
      </c>
      <c r="P44" s="55">
        <f>_xll.EQNXTDZ($A$1,$B44,P$1,$B$1)</f>
        <v>358.41699999999997</v>
      </c>
      <c r="Q44" s="55">
        <f>_xll.EQNXTDZ($A$1,$B44,Q$1,$B$1)</f>
        <v>722.1</v>
      </c>
      <c r="R44" s="55">
        <f>_xll.EQNXTDZ($A$1,$B44,R$1,$B$1)</f>
        <v>856.798</v>
      </c>
      <c r="S44" s="55">
        <f>_xll.EQNXTDZ($A$1,$B44,S$1,$B$1)</f>
        <v>1330.4480000000001</v>
      </c>
      <c r="T44" s="55">
        <f>_xll.EQNXTDZ($A$1,$B44,T$1,$B$1)</f>
        <v>1482.6389999999999</v>
      </c>
      <c r="U44" s="55">
        <f>_xll.EQNXTDZ($A$1,$B44,U$1,$B$1)</f>
        <v>1558.4069999999999</v>
      </c>
      <c r="V44" s="55">
        <f>_xll.EQNXTDZ($A$1,$B44,V$1,$B$1)</f>
        <v>1769.77</v>
      </c>
      <c r="W44" s="55">
        <f>_xll.EQNXTDZ($A$1,$B44,W$1,$B$1)</f>
        <v>2597.5500000000002</v>
      </c>
      <c r="X44" s="55">
        <f>_xll.EQNXTDZ($A$1,$B44,X$1,$B$1)</f>
        <v>3351.19</v>
      </c>
      <c r="Y44" s="55">
        <f>_xll.EQNXTDZ($A$1,$B44,Y$1,$B$1)</f>
        <v>4037.53</v>
      </c>
      <c r="Z44" s="55">
        <f>_xll.EQNXTDZ($A$1,$B44,Z$1,$B$1)</f>
        <v>4110.95</v>
      </c>
      <c r="AA44" s="55">
        <f>_xll.EQNXTDZ($A$1,$B44,AA$1,$B$1)</f>
        <v>4472.5600000000004</v>
      </c>
      <c r="AB44" s="55">
        <f>_xll.EQNXTDZ($A$1,$B44,AB$1,$B$1)</f>
        <v>5300.06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3.15</v>
      </c>
      <c r="X45" s="55">
        <f>_xll.EQNXTDZ($A$1,$B45,X$1,$B$1)</f>
        <v>7.86</v>
      </c>
      <c r="Y45" s="55">
        <f>_xll.EQNXTDZ($A$1,$B45,Y$1,$B$1)</f>
        <v>11.13</v>
      </c>
      <c r="Z45" s="55">
        <f>_xll.EQNXTDZ($A$1,$B45,Z$1,$B$1)</f>
        <v>4.62</v>
      </c>
      <c r="AA45" s="55">
        <f>_xll.EQNXTDZ($A$1,$B45,AA$1,$B$1)</f>
        <v>129.96</v>
      </c>
      <c r="AB45" s="55">
        <f>_xll.EQNXTDZ($A$1,$B45,AB$1,$B$1)</f>
        <v>131.30000000000001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36.337000000000003</v>
      </c>
      <c r="O47" s="55">
        <f>_xll.EQNXTDZ($A$1,$B47,O$1,$B$1)</f>
        <v>68.703000000000003</v>
      </c>
      <c r="P47" s="55">
        <f>_xll.EQNXTDZ($A$1,$B47,P$1,$B$1)</f>
        <v>188.172</v>
      </c>
      <c r="Q47" s="55">
        <f>_xll.EQNXTDZ($A$1,$B47,Q$1,$B$1)</f>
        <v>303.67700000000002</v>
      </c>
      <c r="R47" s="55">
        <f>_xll.EQNXTDZ($A$1,$B47,R$1,$B$1)</f>
        <v>353.60700000000003</v>
      </c>
      <c r="S47" s="55">
        <f>_xll.EQNXTDZ($A$1,$B47,S$1,$B$1)</f>
        <v>124.562</v>
      </c>
      <c r="T47" s="55">
        <f>_xll.EQNXTDZ($A$1,$B47,T$1,$B$1)</f>
        <v>141.65899999999999</v>
      </c>
      <c r="U47" s="55">
        <f>_xll.EQNXTDZ($A$1,$B47,U$1,$B$1)</f>
        <v>258.71300000000002</v>
      </c>
      <c r="V47" s="55">
        <f>_xll.EQNXTDZ($A$1,$B47,V$1,$B$1)</f>
        <v>165.02</v>
      </c>
      <c r="W47" s="55">
        <f>_xll.EQNXTDZ($A$1,$B47,W$1,$B$1)</f>
        <v>429.16</v>
      </c>
      <c r="X47" s="55">
        <f>_xll.EQNXTDZ($A$1,$B47,X$1,$B$1)</f>
        <v>596.34</v>
      </c>
      <c r="Y47" s="55">
        <f>_xll.EQNXTDZ($A$1,$B47,Y$1,$B$1)</f>
        <v>761.42</v>
      </c>
      <c r="Z47" s="55">
        <f>_xll.EQNXTDZ($A$1,$B47,Z$1,$B$1)</f>
        <v>798.23</v>
      </c>
      <c r="AA47" s="55">
        <f>_xll.EQNXTDZ($A$1,$B47,AA$1,$B$1)</f>
        <v>645.58000000000004</v>
      </c>
      <c r="AB47" s="55">
        <f>_xll.EQNXTDZ($A$1,$B47,AB$1,$B$1)</f>
        <v>611.34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106.133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-9.6999999999999993</v>
      </c>
      <c r="O49" s="55">
        <f>_xll.EQNXTDZ($A$1,$B49,O$1,$B$1)</f>
        <v>-11.82</v>
      </c>
      <c r="P49" s="55">
        <f>_xll.EQNXTDZ($A$1,$B49,P$1,$B$1)</f>
        <v>11.818</v>
      </c>
      <c r="Q49" s="55">
        <f>_xll.EQNXTDZ($A$1,$B49,Q$1,$B$1)</f>
        <v>10.266999999999999</v>
      </c>
      <c r="R49" s="55">
        <f>_xll.EQNXTDZ($A$1,$B49,R$1,$B$1)</f>
        <v>-54.872</v>
      </c>
      <c r="S49" s="55">
        <f>_xll.EQNXTDZ($A$1,$B49,S$1,$B$1)</f>
        <v>-69.885999999999996</v>
      </c>
      <c r="T49" s="55">
        <f>_xll.EQNXTDZ($A$1,$B49,T$1,$B$1)</f>
        <v>-52.896999999999998</v>
      </c>
      <c r="U49" s="55">
        <f>_xll.EQNXTDZ($A$1,$B49,U$1,$B$1)</f>
        <v>-53.383000000000003</v>
      </c>
      <c r="V49" s="55">
        <f>_xll.EQNXTDZ($A$1,$B49,V$1,$B$1)</f>
        <v>-73.930000000000007</v>
      </c>
      <c r="W49" s="55">
        <f>_xll.EQNXTDZ($A$1,$B49,W$1,$B$1)</f>
        <v>19.18</v>
      </c>
      <c r="X49" s="55">
        <f>_xll.EQNXTDZ($A$1,$B49,X$1,$B$1)</f>
        <v>69.11</v>
      </c>
      <c r="Y49" s="55">
        <f>_xll.EQNXTDZ($A$1,$B49,Y$1,$B$1)</f>
        <v>82.45</v>
      </c>
      <c r="Z49" s="55">
        <f>_xll.EQNXTDZ($A$1,$B49,Z$1,$B$1)</f>
        <v>57.04</v>
      </c>
      <c r="AA49" s="55">
        <f>_xll.EQNXTDZ($A$1,$B49,AA$1,$B$1)</f>
        <v>31.87</v>
      </c>
      <c r="AB49" s="55">
        <f>_xll.EQNXTDZ($A$1,$B49,AB$1,$B$1)</f>
        <v>29.38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4.181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44.658000000000001</v>
      </c>
      <c r="R50" s="55">
        <f>_xll.EQNXTDZ($A$1,$B50,R$1,$B$1)</f>
        <v>16.466000000000001</v>
      </c>
      <c r="S50" s="55">
        <f>_xll.EQNXTDZ($A$1,$B50,S$1,$B$1)</f>
        <v>63.072000000000003</v>
      </c>
      <c r="T50" s="55">
        <f>_xll.EQNXTDZ($A$1,$B50,T$1,$B$1)</f>
        <v>64.697000000000003</v>
      </c>
      <c r="U50" s="55">
        <f>_xll.EQNXTDZ($A$1,$B50,U$1,$B$1)</f>
        <v>60.116</v>
      </c>
      <c r="V50" s="55">
        <f>_xll.EQNXTDZ($A$1,$B50,V$1,$B$1)</f>
        <v>77.3</v>
      </c>
      <c r="W50" s="55">
        <f>_xll.EQNXTDZ($A$1,$B50,W$1,$B$1)</f>
        <v>181.31</v>
      </c>
      <c r="X50" s="55">
        <f>_xll.EQNXTDZ($A$1,$B50,X$1,$B$1)</f>
        <v>189.86</v>
      </c>
      <c r="Y50" s="55">
        <f>_xll.EQNXTDZ($A$1,$B50,Y$1,$B$1)</f>
        <v>254.14</v>
      </c>
      <c r="Z50" s="55">
        <f>_xll.EQNXTDZ($A$1,$B50,Z$1,$B$1)</f>
        <v>210.44</v>
      </c>
      <c r="AA50" s="55">
        <f>_xll.EQNXTDZ($A$1,$B50,AA$1,$B$1)</f>
        <v>409.79</v>
      </c>
      <c r="AB50" s="55">
        <f>_xll.EQNXTDZ($A$1,$B50,AB$1,$B$1)</f>
        <v>671.59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1.7729999999999999</v>
      </c>
      <c r="O52" s="55">
        <f>_xll.EQNXTDZ($A$1,$B52,O$1,$B$1)</f>
        <v>2.8010000000000002</v>
      </c>
      <c r="P52" s="55">
        <f>_xll.EQNXTDZ($A$1,$B52,P$1,$B$1)</f>
        <v>3.9329999999999998</v>
      </c>
      <c r="Q52" s="55">
        <f>_xll.EQNXTDZ($A$1,$B52,Q$1,$B$1)</f>
        <v>5.1260000000000003</v>
      </c>
      <c r="R52" s="55">
        <f>_xll.EQNXTDZ($A$1,$B52,R$1,$B$1)</f>
        <v>6.7709999999999999</v>
      </c>
      <c r="S52" s="55">
        <f>_xll.EQNXTDZ($A$1,$B52,S$1,$B$1)</f>
        <v>14.587999999999999</v>
      </c>
      <c r="T52" s="55">
        <f>_xll.EQNXTDZ($A$1,$B52,T$1,$B$1)</f>
        <v>20.838999999999999</v>
      </c>
      <c r="U52" s="55">
        <f>_xll.EQNXTDZ($A$1,$B52,U$1,$B$1)</f>
        <v>30.045000000000002</v>
      </c>
      <c r="V52" s="55">
        <f>_xll.EQNXTDZ($A$1,$B52,V$1,$B$1)</f>
        <v>45.85</v>
      </c>
      <c r="W52" s="55">
        <f>_xll.EQNXTDZ($A$1,$B52,W$1,$B$1)</f>
        <v>63.19</v>
      </c>
      <c r="X52" s="55">
        <f>_xll.EQNXTDZ($A$1,$B52,X$1,$B$1)</f>
        <v>72.67</v>
      </c>
      <c r="Y52" s="55">
        <f>_xll.EQNXTDZ($A$1,$B52,Y$1,$B$1)</f>
        <v>81.47</v>
      </c>
      <c r="Z52" s="55">
        <f>_xll.EQNXTDZ($A$1,$B52,Z$1,$B$1)</f>
        <v>93.47</v>
      </c>
      <c r="AA52" s="55">
        <f>_xll.EQNXTDZ($A$1,$B52,AA$1,$B$1)</f>
        <v>106.09</v>
      </c>
      <c r="AB52" s="55">
        <f>_xll.EQNXTDZ($A$1,$B52,AB$1,$B$1)</f>
        <v>132.09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32.591000000000001</v>
      </c>
      <c r="O53" s="55">
        <f>_xll.EQNXTDZ($A$1,$B53,O$1,$B$1)</f>
        <v>59.683999999999997</v>
      </c>
      <c r="P53" s="55">
        <f>_xll.EQNXTDZ($A$1,$B53,P$1,$B$1)</f>
        <v>203.923</v>
      </c>
      <c r="Q53" s="55">
        <f>_xll.EQNXTDZ($A$1,$B53,Q$1,$B$1)</f>
        <v>363.72800000000001</v>
      </c>
      <c r="R53" s="55">
        <f>_xll.EQNXTDZ($A$1,$B53,R$1,$B$1)</f>
        <v>428.10500000000002</v>
      </c>
      <c r="S53" s="55">
        <f>_xll.EQNXTDZ($A$1,$B53,S$1,$B$1)</f>
        <v>132.33600000000001</v>
      </c>
      <c r="T53" s="55">
        <f>_xll.EQNXTDZ($A$1,$B53,T$1,$B$1)</f>
        <v>174.298</v>
      </c>
      <c r="U53" s="55">
        <f>_xll.EQNXTDZ($A$1,$B53,U$1,$B$1)</f>
        <v>295.49099999999999</v>
      </c>
      <c r="V53" s="55">
        <f>_xll.EQNXTDZ($A$1,$B53,V$1,$B$1)</f>
        <v>214.24</v>
      </c>
      <c r="W53" s="55">
        <f>_xll.EQNXTDZ($A$1,$B53,W$1,$B$1)</f>
        <v>692.84</v>
      </c>
      <c r="X53" s="55">
        <f>_xll.EQNXTDZ($A$1,$B53,X$1,$B$1)</f>
        <v>927.98</v>
      </c>
      <c r="Y53" s="55">
        <f>_xll.EQNXTDZ($A$1,$B53,Y$1,$B$1)</f>
        <v>1179.48</v>
      </c>
      <c r="Z53" s="55">
        <f>_xll.EQNXTDZ($A$1,$B53,Z$1,$B$1)</f>
        <v>1159.18</v>
      </c>
      <c r="AA53" s="55">
        <f>_xll.EQNXTDZ($A$1,$B53,AA$1,$B$1)</f>
        <v>1193.33</v>
      </c>
      <c r="AB53" s="55">
        <f>_xll.EQNXTDZ($A$1,$B53,AB$1,$B$1)</f>
        <v>1444.4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96.834999999999994</v>
      </c>
      <c r="O54" s="55">
        <f>_xll.EQNXTDZ($A$1,$B54,O$1,$B$1)</f>
        <v>132.24100000000001</v>
      </c>
      <c r="P54" s="55">
        <f>_xll.EQNXTDZ($A$1,$B54,P$1,$B$1)</f>
        <v>227.47300000000001</v>
      </c>
      <c r="Q54" s="55">
        <f>_xll.EQNXTDZ($A$1,$B54,Q$1,$B$1)</f>
        <v>230.809</v>
      </c>
      <c r="R54" s="55">
        <f>_xll.EQNXTDZ($A$1,$B54,R$1,$B$1)</f>
        <v>247.61199999999999</v>
      </c>
      <c r="S54" s="55">
        <f>_xll.EQNXTDZ($A$1,$B54,S$1,$B$1)</f>
        <v>263.09899999999999</v>
      </c>
      <c r="T54" s="55">
        <f>_xll.EQNXTDZ($A$1,$B54,T$1,$B$1)</f>
        <v>312.327</v>
      </c>
      <c r="U54" s="55">
        <f>_xll.EQNXTDZ($A$1,$B54,U$1,$B$1)</f>
        <v>488.31200000000001</v>
      </c>
      <c r="V54" s="55">
        <f>_xll.EQNXTDZ($A$1,$B54,V$1,$B$1)</f>
        <v>615.63</v>
      </c>
      <c r="W54" s="55">
        <f>_xll.EQNXTDZ($A$1,$B54,W$1,$B$1)</f>
        <v>1178.69</v>
      </c>
      <c r="X54" s="55">
        <f>_xll.EQNXTDZ($A$1,$B54,X$1,$B$1)</f>
        <v>876.37</v>
      </c>
      <c r="Y54" s="55">
        <f>_xll.EQNXTDZ($A$1,$B54,Y$1,$B$1)</f>
        <v>710.65</v>
      </c>
      <c r="Z54" s="55">
        <f>_xll.EQNXTDZ($A$1,$B54,Z$1,$B$1)</f>
        <v>1051.24</v>
      </c>
      <c r="AA54" s="55">
        <f>_xll.EQNXTDZ($A$1,$B54,AA$1,$B$1)</f>
        <v>958.49</v>
      </c>
      <c r="AB54" s="55">
        <f>_xll.EQNXTDZ($A$1,$B54,AB$1,$B$1)</f>
        <v>1252.0899999999999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71.875</v>
      </c>
      <c r="O55" s="55">
        <f>_xll.EQNXTDZ($A$1,$B55,O$1,$B$1)</f>
        <v>56.901000000000003</v>
      </c>
      <c r="P55" s="55">
        <f>_xll.EQNXTDZ($A$1,$B55,P$1,$B$1)</f>
        <v>164.25</v>
      </c>
      <c r="Q55" s="55">
        <f>_xll.EQNXTDZ($A$1,$B55,Q$1,$B$1)</f>
        <v>133.34299999999999</v>
      </c>
      <c r="R55" s="55">
        <f>_xll.EQNXTDZ($A$1,$B55,R$1,$B$1)</f>
        <v>141.054</v>
      </c>
      <c r="S55" s="55">
        <f>_xll.EQNXTDZ($A$1,$B55,S$1,$B$1)</f>
        <v>199.113</v>
      </c>
      <c r="T55" s="55">
        <f>_xll.EQNXTDZ($A$1,$B55,T$1,$B$1)</f>
        <v>231.25800000000001</v>
      </c>
      <c r="U55" s="55">
        <f>_xll.EQNXTDZ($A$1,$B55,U$1,$B$1)</f>
        <v>244.495</v>
      </c>
      <c r="V55" s="55">
        <f>_xll.EQNXTDZ($A$1,$B55,V$1,$B$1)</f>
        <v>261.47000000000003</v>
      </c>
      <c r="W55" s="55">
        <f>_xll.EQNXTDZ($A$1,$B55,W$1,$B$1)</f>
        <v>367.25</v>
      </c>
      <c r="X55" s="55">
        <f>_xll.EQNXTDZ($A$1,$B55,X$1,$B$1)</f>
        <v>839.73</v>
      </c>
      <c r="Y55" s="55">
        <f>_xll.EQNXTDZ($A$1,$B55,Y$1,$B$1)</f>
        <v>640.75</v>
      </c>
      <c r="Z55" s="55">
        <f>_xll.EQNXTDZ($A$1,$B55,Z$1,$B$1)</f>
        <v>610.73</v>
      </c>
      <c r="AA55" s="55">
        <f>_xll.EQNXTDZ($A$1,$B55,AA$1,$B$1)</f>
        <v>779.68</v>
      </c>
      <c r="AB55" s="55">
        <f>_xll.EQNXTDZ($A$1,$B55,AB$1,$B$1)</f>
        <v>798.54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128.988</v>
      </c>
      <c r="O56" s="55">
        <f>_xll.EQNXTDZ($A$1,$B56,O$1,$B$1)</f>
        <v>177.84200000000001</v>
      </c>
      <c r="P56" s="55">
        <f>_xll.EQNXTDZ($A$1,$B56,P$1,$B$1)</f>
        <v>312.18400000000003</v>
      </c>
      <c r="Q56" s="55">
        <f>_xll.EQNXTDZ($A$1,$B56,Q$1,$B$1)</f>
        <v>431.63499999999999</v>
      </c>
      <c r="R56" s="55">
        <f>_xll.EQNXTDZ($A$1,$B56,R$1,$B$1)</f>
        <v>481.41899999999998</v>
      </c>
      <c r="S56" s="55">
        <f>_xll.EQNXTDZ($A$1,$B56,S$1,$B$1)</f>
        <v>644.17100000000005</v>
      </c>
      <c r="T56" s="55">
        <f>_xll.EQNXTDZ($A$1,$B56,T$1,$B$1)</f>
        <v>758.51700000000005</v>
      </c>
      <c r="U56" s="55">
        <f>_xll.EQNXTDZ($A$1,$B56,U$1,$B$1)</f>
        <v>684.20500000000004</v>
      </c>
      <c r="V56" s="55">
        <f>_xll.EQNXTDZ($A$1,$B56,V$1,$B$1)</f>
        <v>790.51</v>
      </c>
      <c r="W56" s="55">
        <f>_xll.EQNXTDZ($A$1,$B56,W$1,$B$1)</f>
        <v>886.12</v>
      </c>
      <c r="X56" s="55">
        <f>_xll.EQNXTDZ($A$1,$B56,X$1,$B$1)</f>
        <v>910.72</v>
      </c>
      <c r="Y56" s="55">
        <f>_xll.EQNXTDZ($A$1,$B56,Y$1,$B$1)</f>
        <v>995.77</v>
      </c>
      <c r="Z56" s="55">
        <f>_xll.EQNXTDZ($A$1,$B56,Z$1,$B$1)</f>
        <v>1389.29</v>
      </c>
      <c r="AA56" s="55">
        <f>_xll.EQNXTDZ($A$1,$B56,AA$1,$B$1)</f>
        <v>1715.01</v>
      </c>
      <c r="AB56" s="55">
        <f>_xll.EQNXTDZ($A$1,$B56,AB$1,$B$1)</f>
        <v>1492.64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3.7029999999999998</v>
      </c>
      <c r="O57" s="55">
        <f>_xll.EQNXTDZ($A$1,$B57,O$1,$B$1)</f>
        <v>3.202</v>
      </c>
      <c r="P57" s="55">
        <f>_xll.EQNXTDZ($A$1,$B57,P$1,$B$1)</f>
        <v>6.9669999999999996</v>
      </c>
      <c r="Q57" s="55">
        <f>_xll.EQNXTDZ($A$1,$B57,Q$1,$B$1)</f>
        <v>6.7</v>
      </c>
      <c r="R57" s="55">
        <f>_xll.EQNXTDZ($A$1,$B57,R$1,$B$1)</f>
        <v>13.664</v>
      </c>
      <c r="S57" s="55">
        <f>_xll.EQNXTDZ($A$1,$B57,S$1,$B$1)</f>
        <v>14.367000000000001</v>
      </c>
      <c r="T57" s="55">
        <f>_xll.EQNXTDZ($A$1,$B57,T$1,$B$1)</f>
        <v>4.7839999999999998</v>
      </c>
      <c r="U57" s="55">
        <f>_xll.EQNXTDZ($A$1,$B57,U$1,$B$1)</f>
        <v>6.8920000000000003</v>
      </c>
      <c r="V57" s="55">
        <f>_xll.EQNXTDZ($A$1,$B57,V$1,$B$1)</f>
        <v>24.77</v>
      </c>
      <c r="W57" s="55">
        <f>_xll.EQNXTDZ($A$1,$B57,W$1,$B$1)</f>
        <v>25.09</v>
      </c>
      <c r="X57" s="55">
        <f>_xll.EQNXTDZ($A$1,$B57,X$1,$B$1)</f>
        <v>54.19</v>
      </c>
      <c r="Y57" s="55">
        <f>_xll.EQNXTDZ($A$1,$B57,Y$1,$B$1)</f>
        <v>85.09</v>
      </c>
      <c r="Z57" s="55">
        <f>_xll.EQNXTDZ($A$1,$B57,Z$1,$B$1)</f>
        <v>61.02</v>
      </c>
      <c r="AA57" s="55">
        <f>_xll.EQNXTDZ($A$1,$B57,AA$1,$B$1)</f>
        <v>86.54</v>
      </c>
      <c r="AB57" s="55">
        <f>_xll.EQNXTDZ($A$1,$B57,AB$1,$B$1)</f>
        <v>92.16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301.40100000000001</v>
      </c>
      <c r="O59" s="55">
        <f>_xll.EQNXTDZ($A$1,$B59,O$1,$B$1)</f>
        <v>370.18599999999998</v>
      </c>
      <c r="P59" s="55">
        <f>_xll.EQNXTDZ($A$1,$B59,P$1,$B$1)</f>
        <v>710.87400000000002</v>
      </c>
      <c r="Q59" s="55">
        <f>_xll.EQNXTDZ($A$1,$B59,Q$1,$B$1)</f>
        <v>802.48699999999997</v>
      </c>
      <c r="R59" s="55">
        <f>_xll.EQNXTDZ($A$1,$B59,R$1,$B$1)</f>
        <v>883.74900000000002</v>
      </c>
      <c r="S59" s="55">
        <f>_xll.EQNXTDZ($A$1,$B59,S$1,$B$1)</f>
        <v>1120.75</v>
      </c>
      <c r="T59" s="55">
        <f>_xll.EQNXTDZ($A$1,$B59,T$1,$B$1)</f>
        <v>1306.886</v>
      </c>
      <c r="U59" s="55">
        <f>_xll.EQNXTDZ($A$1,$B59,U$1,$B$1)</f>
        <v>1423.904</v>
      </c>
      <c r="V59" s="55">
        <f>_xll.EQNXTDZ($A$1,$B59,V$1,$B$1)</f>
        <v>1692.38</v>
      </c>
      <c r="W59" s="55">
        <f>_xll.EQNXTDZ($A$1,$B59,W$1,$B$1)</f>
        <v>2457.15</v>
      </c>
      <c r="X59" s="55">
        <f>_xll.EQNXTDZ($A$1,$B59,X$1,$B$1)</f>
        <v>2681.01</v>
      </c>
      <c r="Y59" s="55">
        <f>_xll.EQNXTDZ($A$1,$B59,Y$1,$B$1)</f>
        <v>2432.2600000000002</v>
      </c>
      <c r="Z59" s="55">
        <f>_xll.EQNXTDZ($A$1,$B59,Z$1,$B$1)</f>
        <v>3112.28</v>
      </c>
      <c r="AA59" s="55">
        <f>_xll.EQNXTDZ($A$1,$B59,AA$1,$B$1)</f>
        <v>3539.72</v>
      </c>
      <c r="AB59" s="55">
        <f>_xll.EQNXTDZ($A$1,$B59,AB$1,$B$1)</f>
        <v>3635.43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503.178</v>
      </c>
      <c r="O60" s="55">
        <f>_xll.EQNXTDZ($A$1,$B60,O$1,$B$1)</f>
        <v>689.16899999999998</v>
      </c>
      <c r="P60" s="55">
        <f>_xll.EQNXTDZ($A$1,$B60,P$1,$B$1)</f>
        <v>1273.2139999999999</v>
      </c>
      <c r="Q60" s="55">
        <f>_xll.EQNXTDZ($A$1,$B60,Q$1,$B$1)</f>
        <v>1888.3150000000001</v>
      </c>
      <c r="R60" s="55">
        <f>_xll.EQNXTDZ($A$1,$B60,R$1,$B$1)</f>
        <v>2168.652</v>
      </c>
      <c r="S60" s="55">
        <f>_xll.EQNXTDZ($A$1,$B60,S$1,$B$1)</f>
        <v>2583.5340000000001</v>
      </c>
      <c r="T60" s="55">
        <f>_xll.EQNXTDZ($A$1,$B60,T$1,$B$1)</f>
        <v>2963.8229999999999</v>
      </c>
      <c r="U60" s="55">
        <f>_xll.EQNXTDZ($A$1,$B60,U$1,$B$1)</f>
        <v>3277.8020000000001</v>
      </c>
      <c r="V60" s="55">
        <f>_xll.EQNXTDZ($A$1,$B60,V$1,$B$1)</f>
        <v>3676.39</v>
      </c>
      <c r="W60" s="55">
        <f>_xll.EQNXTDZ($A$1,$B60,W$1,$B$1)</f>
        <v>5750.69</v>
      </c>
      <c r="X60" s="55">
        <f>_xll.EQNXTDZ($A$1,$B60,X$1,$B$1)</f>
        <v>6968.04</v>
      </c>
      <c r="Y60" s="55">
        <f>_xll.EQNXTDZ($A$1,$B60,Y$1,$B$1)</f>
        <v>7660.4</v>
      </c>
      <c r="Z60" s="55">
        <f>_xll.EQNXTDZ($A$1,$B60,Z$1,$B$1)</f>
        <v>8387.0300000000007</v>
      </c>
      <c r="AA60" s="55">
        <f>_xll.EQNXTDZ($A$1,$B60,AA$1,$B$1)</f>
        <v>9335.57</v>
      </c>
      <c r="AB60" s="55">
        <f>_xll.EQNXTDZ($A$1,$B60,AB$1,$B$1)</f>
        <v>10511.19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259.91500000000002</v>
      </c>
      <c r="O62" s="55">
        <f>_xll.EQNXTDZ($A$1,$B62,O$1,$B$1)</f>
        <v>330.30900000000003</v>
      </c>
      <c r="P62" s="55">
        <f>_xll.EQNXTDZ($A$1,$B62,P$1,$B$1)</f>
        <v>623.31500000000005</v>
      </c>
      <c r="Q62" s="55">
        <f>_xll.EQNXTDZ($A$1,$B62,Q$1,$B$1)</f>
        <v>986.17399999999998</v>
      </c>
      <c r="R62" s="55">
        <f>_xll.EQNXTDZ($A$1,$B62,R$1,$B$1)</f>
        <v>1106.326</v>
      </c>
      <c r="S62" s="55">
        <f>_xll.EQNXTDZ($A$1,$B62,S$1,$B$1)</f>
        <v>1418.5840000000001</v>
      </c>
      <c r="T62" s="55">
        <f>_xll.EQNXTDZ($A$1,$B62,T$1,$B$1)</f>
        <v>1793.75</v>
      </c>
      <c r="U62" s="55">
        <f>_xll.EQNXTDZ($A$1,$B62,U$1,$B$1)</f>
        <v>2105.4169999999999</v>
      </c>
      <c r="V62" s="55">
        <f>_xll.EQNXTDZ($A$1,$B62,V$1,$B$1)</f>
        <v>2387.71</v>
      </c>
      <c r="W62" s="55">
        <f>_xll.EQNXTDZ($A$1,$B62,W$1,$B$1)</f>
        <v>3027.97</v>
      </c>
      <c r="X62" s="55">
        <f>_xll.EQNXTDZ($A$1,$B62,X$1,$B$1)</f>
        <v>3750.2</v>
      </c>
      <c r="Y62" s="55">
        <f>_xll.EQNXTDZ($A$1,$B62,Y$1,$B$1)</f>
        <v>4794.82</v>
      </c>
      <c r="Z62" s="55">
        <f>_xll.EQNXTDZ($A$1,$B62,Z$1,$B$1)</f>
        <v>5652.2</v>
      </c>
      <c r="AA62" s="55">
        <f>_xll.EQNXTDZ($A$1,$B62,AA$1,$B$1)</f>
        <v>6284.33</v>
      </c>
      <c r="AB62" s="55">
        <f>_xll.EQNXTDZ($A$1,$B62,AB$1,$B$1)</f>
        <v>6970.29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73.375</v>
      </c>
      <c r="O63" s="55">
        <f>_xll.EQNXTDZ($A$1,$B63,O$1,$B$1)</f>
        <v>94.756</v>
      </c>
      <c r="P63" s="55">
        <f>_xll.EQNXTDZ($A$1,$B63,P$1,$B$1)</f>
        <v>124.04</v>
      </c>
      <c r="Q63" s="55">
        <f>_xll.EQNXTDZ($A$1,$B63,Q$1,$B$1)</f>
        <v>185.16</v>
      </c>
      <c r="R63" s="55">
        <f>_xll.EQNXTDZ($A$1,$B63,R$1,$B$1)</f>
        <v>85.299000000000007</v>
      </c>
      <c r="S63" s="55">
        <f>_xll.EQNXTDZ($A$1,$B63,S$1,$B$1)</f>
        <v>188.649</v>
      </c>
      <c r="T63" s="55">
        <f>_xll.EQNXTDZ($A$1,$B63,T$1,$B$1)</f>
        <v>312.95499999999998</v>
      </c>
      <c r="U63" s="55">
        <f>_xll.EQNXTDZ($A$1,$B63,U$1,$B$1)</f>
        <v>476.34800000000001</v>
      </c>
      <c r="V63" s="55">
        <f>_xll.EQNXTDZ($A$1,$B63,V$1,$B$1)</f>
        <v>661.37</v>
      </c>
      <c r="W63" s="55">
        <f>_xll.EQNXTDZ($A$1,$B63,W$1,$B$1)</f>
        <v>857.35</v>
      </c>
      <c r="X63" s="55">
        <f>_xll.EQNXTDZ($A$1,$B63,X$1,$B$1)</f>
        <v>1097.73</v>
      </c>
      <c r="Y63" s="55">
        <f>_xll.EQNXTDZ($A$1,$B63,Y$1,$B$1)</f>
        <v>1386.2</v>
      </c>
      <c r="Z63" s="55">
        <f>_xll.EQNXTDZ($A$1,$B63,Z$1,$B$1)</f>
        <v>1762.19</v>
      </c>
      <c r="AA63" s="55">
        <f>_xll.EQNXTDZ($A$1,$B63,AA$1,$B$1)</f>
        <v>2161.11</v>
      </c>
      <c r="AB63" s="55">
        <f>_xll.EQNXTDZ($A$1,$B63,AB$1,$B$1)</f>
        <v>2599.65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186.54</v>
      </c>
      <c r="O65" s="55">
        <f>_xll.EQNXTDZ($A$1,$B65,O$1,$B$1)</f>
        <v>235.553</v>
      </c>
      <c r="P65" s="55">
        <f>_xll.EQNXTDZ($A$1,$B65,P$1,$B$1)</f>
        <v>499.27499999999998</v>
      </c>
      <c r="Q65" s="55">
        <f>_xll.EQNXTDZ($A$1,$B65,Q$1,$B$1)</f>
        <v>801.01400000000001</v>
      </c>
      <c r="R65" s="55">
        <f>_xll.EQNXTDZ($A$1,$B65,R$1,$B$1)</f>
        <v>1021.027</v>
      </c>
      <c r="S65" s="55">
        <f>_xll.EQNXTDZ($A$1,$B65,S$1,$B$1)</f>
        <v>1229.9349999999999</v>
      </c>
      <c r="T65" s="55">
        <f>_xll.EQNXTDZ($A$1,$B65,T$1,$B$1)</f>
        <v>1480.7950000000001</v>
      </c>
      <c r="U65" s="55">
        <f>_xll.EQNXTDZ($A$1,$B65,U$1,$B$1)</f>
        <v>1629.069</v>
      </c>
      <c r="V65" s="55">
        <f>_xll.EQNXTDZ($A$1,$B65,V$1,$B$1)</f>
        <v>1726.34</v>
      </c>
      <c r="W65" s="55">
        <f>_xll.EQNXTDZ($A$1,$B65,W$1,$B$1)</f>
        <v>2170.62</v>
      </c>
      <c r="X65" s="55">
        <f>_xll.EQNXTDZ($A$1,$B65,X$1,$B$1)</f>
        <v>2652.47</v>
      </c>
      <c r="Y65" s="55">
        <f>_xll.EQNXTDZ($A$1,$B65,Y$1,$B$1)</f>
        <v>3408.62</v>
      </c>
      <c r="Z65" s="55">
        <f>_xll.EQNXTDZ($A$1,$B65,Z$1,$B$1)</f>
        <v>3890.01</v>
      </c>
      <c r="AA65" s="55">
        <f>_xll.EQNXTDZ($A$1,$B65,AA$1,$B$1)</f>
        <v>4123.22</v>
      </c>
      <c r="AB65" s="55">
        <f>_xll.EQNXTDZ($A$1,$B65,AB$1,$B$1)</f>
        <v>4370.6400000000003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32.115000000000002</v>
      </c>
      <c r="O67" s="55">
        <f>_xll.EQNXTDZ($A$1,$B67,O$1,$B$1)</f>
        <v>72.781000000000006</v>
      </c>
      <c r="P67" s="55">
        <f>_xll.EQNXTDZ($A$1,$B67,P$1,$B$1)</f>
        <v>116.099</v>
      </c>
      <c r="Q67" s="55">
        <f>_xll.EQNXTDZ($A$1,$B67,Q$1,$B$1)</f>
        <v>109.669</v>
      </c>
      <c r="R67" s="55">
        <f>_xll.EQNXTDZ($A$1,$B67,R$1,$B$1)</f>
        <v>69.599999999999994</v>
      </c>
      <c r="S67" s="55">
        <f>_xll.EQNXTDZ($A$1,$B67,S$1,$B$1)</f>
        <v>143.256</v>
      </c>
      <c r="T67" s="55">
        <f>_xll.EQNXTDZ($A$1,$B67,T$1,$B$1)</f>
        <v>163.18</v>
      </c>
      <c r="U67" s="55">
        <f>_xll.EQNXTDZ($A$1,$B67,U$1,$B$1)</f>
        <v>109.63200000000001</v>
      </c>
      <c r="V67" s="55">
        <f>_xll.EQNXTDZ($A$1,$B67,V$1,$B$1)</f>
        <v>67.180000000000007</v>
      </c>
      <c r="W67" s="55">
        <f>_xll.EQNXTDZ($A$1,$B67,W$1,$B$1)</f>
        <v>362.17</v>
      </c>
      <c r="X67" s="55">
        <f>_xll.EQNXTDZ($A$1,$B67,X$1,$B$1)</f>
        <v>813.22</v>
      </c>
      <c r="Y67" s="55">
        <f>_xll.EQNXTDZ($A$1,$B67,Y$1,$B$1)</f>
        <v>550.78</v>
      </c>
      <c r="Z67" s="55">
        <f>_xll.EQNXTDZ($A$1,$B67,Z$1,$B$1)</f>
        <v>422.84</v>
      </c>
      <c r="AA67" s="55">
        <f>_xll.EQNXTDZ($A$1,$B67,AA$1,$B$1)</f>
        <v>458.36</v>
      </c>
      <c r="AB67" s="55">
        <f>_xll.EQNXTDZ($A$1,$B67,AB$1,$B$1)</f>
        <v>773.28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7.4470000000000001</v>
      </c>
      <c r="R71" s="55">
        <f>_xll.EQNXTDZ($A$1,$B71,R$1,$B$1)</f>
        <v>7.0449999999999999</v>
      </c>
      <c r="S71" s="55">
        <f>_xll.EQNXTDZ($A$1,$B71,S$1,$B$1)</f>
        <v>3.4049999999999998</v>
      </c>
      <c r="T71" s="55">
        <f>_xll.EQNXTDZ($A$1,$B71,T$1,$B$1)</f>
        <v>3.4049999999999998</v>
      </c>
      <c r="U71" s="55">
        <f>_xll.EQNXTDZ($A$1,$B71,U$1,$B$1)</f>
        <v>3.4049999999999998</v>
      </c>
      <c r="V71" s="55">
        <f>_xll.EQNXTDZ($A$1,$B71,V$1,$B$1)</f>
        <v>3.41</v>
      </c>
      <c r="W71" s="55">
        <f>_xll.EQNXTDZ($A$1,$B71,W$1,$B$1)</f>
        <v>3.41</v>
      </c>
      <c r="X71" s="55">
        <f>_xll.EQNXTDZ($A$1,$B71,X$1,$B$1)</f>
        <v>30.81</v>
      </c>
      <c r="Y71" s="55">
        <f>_xll.EQNXTDZ($A$1,$B71,Y$1,$B$1)</f>
        <v>49.9</v>
      </c>
      <c r="Z71" s="55">
        <f>_xll.EQNXTDZ($A$1,$B71,Z$1,$B$1)</f>
        <v>123.98</v>
      </c>
      <c r="AA71" s="55">
        <f>_xll.EQNXTDZ($A$1,$B71,AA$1,$B$1)</f>
        <v>233.26</v>
      </c>
      <c r="AB71" s="55">
        <f>_xll.EQNXTDZ($A$1,$B71,AB$1,$B$1)</f>
        <v>309.27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6.9640000000000004</v>
      </c>
      <c r="O72" s="55">
        <f>_xll.EQNXTDZ($A$1,$B72,O$1,$B$1)</f>
        <v>30.346</v>
      </c>
      <c r="P72" s="55">
        <f>_xll.EQNXTDZ($A$1,$B72,P$1,$B$1)</f>
        <v>68.504000000000005</v>
      </c>
      <c r="Q72" s="55">
        <f>_xll.EQNXTDZ($A$1,$B72,Q$1,$B$1)</f>
        <v>93.944000000000003</v>
      </c>
      <c r="R72" s="55">
        <f>_xll.EQNXTDZ($A$1,$B72,R$1,$B$1)</f>
        <v>29.218</v>
      </c>
      <c r="S72" s="55">
        <f>_xll.EQNXTDZ($A$1,$B72,S$1,$B$1)</f>
        <v>26.32</v>
      </c>
      <c r="T72" s="55">
        <f>_xll.EQNXTDZ($A$1,$B72,T$1,$B$1)</f>
        <v>29.356000000000002</v>
      </c>
      <c r="U72" s="55">
        <f>_xll.EQNXTDZ($A$1,$B72,U$1,$B$1)</f>
        <v>25.579000000000001</v>
      </c>
      <c r="V72" s="55">
        <f>_xll.EQNXTDZ($A$1,$B72,V$1,$B$1)</f>
        <v>40.799999999999997</v>
      </c>
      <c r="W72" s="55">
        <f>_xll.EQNXTDZ($A$1,$B72,W$1,$B$1)</f>
        <v>108.52</v>
      </c>
      <c r="X72" s="55">
        <f>_xll.EQNXTDZ($A$1,$B72,X$1,$B$1)</f>
        <v>84.11</v>
      </c>
      <c r="Y72" s="55">
        <f>_xll.EQNXTDZ($A$1,$B72,Y$1,$B$1)</f>
        <v>160.58000000000001</v>
      </c>
      <c r="Z72" s="55">
        <f>_xll.EQNXTDZ($A$1,$B72,Z$1,$B$1)</f>
        <v>83.5</v>
      </c>
      <c r="AA72" s="55">
        <f>_xll.EQNXTDZ($A$1,$B72,AA$1,$B$1)</f>
        <v>163.4</v>
      </c>
      <c r="AB72" s="55">
        <f>_xll.EQNXTDZ($A$1,$B72,AB$1,$B$1)</f>
        <v>201.28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7.7160000000000002</v>
      </c>
      <c r="O73" s="55">
        <f>_xll.EQNXTDZ($A$1,$B73,O$1,$B$1)</f>
        <v>6.3559999999999999</v>
      </c>
      <c r="P73" s="55">
        <f>_xll.EQNXTDZ($A$1,$B73,P$1,$B$1)</f>
        <v>12.824999999999999</v>
      </c>
      <c r="Q73" s="55">
        <f>_xll.EQNXTDZ($A$1,$B73,Q$1,$B$1)</f>
        <v>12.335000000000001</v>
      </c>
      <c r="R73" s="55">
        <f>_xll.EQNXTDZ($A$1,$B73,R$1,$B$1)</f>
        <v>39.029000000000003</v>
      </c>
      <c r="S73" s="55">
        <f>_xll.EQNXTDZ($A$1,$B73,S$1,$B$1)</f>
        <v>40.798999999999999</v>
      </c>
      <c r="T73" s="55">
        <f>_xll.EQNXTDZ($A$1,$B73,T$1,$B$1)</f>
        <v>39.496000000000002</v>
      </c>
      <c r="U73" s="55">
        <f>_xll.EQNXTDZ($A$1,$B73,U$1,$B$1)</f>
        <v>47.158999999999999</v>
      </c>
      <c r="V73" s="55">
        <f>_xll.EQNXTDZ($A$1,$B73,V$1,$B$1)</f>
        <v>26.6</v>
      </c>
      <c r="W73" s="55">
        <f>_xll.EQNXTDZ($A$1,$B73,W$1,$B$1)</f>
        <v>31.11</v>
      </c>
      <c r="X73" s="55">
        <f>_xll.EQNXTDZ($A$1,$B73,X$1,$B$1)</f>
        <v>42.82</v>
      </c>
      <c r="Y73" s="55">
        <f>_xll.EQNXTDZ($A$1,$B73,Y$1,$B$1)</f>
        <v>28.84</v>
      </c>
      <c r="Z73" s="55">
        <f>_xll.EQNXTDZ($A$1,$B73,Z$1,$B$1)</f>
        <v>31.73</v>
      </c>
      <c r="AA73" s="55">
        <f>_xll.EQNXTDZ($A$1,$B73,AA$1,$B$1)</f>
        <v>25.01</v>
      </c>
      <c r="AB73" s="55">
        <f>_xll.EQNXTDZ($A$1,$B73,AB$1,$B$1)</f>
        <v>27.51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233.33500000000001</v>
      </c>
      <c r="O74" s="55">
        <f>_xll.EQNXTDZ($A$1,$B74,O$1,$B$1)</f>
        <v>345.036</v>
      </c>
      <c r="P74" s="55">
        <f>_xll.EQNXTDZ($A$1,$B74,P$1,$B$1)</f>
        <v>696.70299999999997</v>
      </c>
      <c r="Q74" s="55">
        <f>_xll.EQNXTDZ($A$1,$B74,Q$1,$B$1)</f>
        <v>1024.4090000000001</v>
      </c>
      <c r="R74" s="55">
        <f>_xll.EQNXTDZ($A$1,$B74,R$1,$B$1)</f>
        <v>1165.9190000000001</v>
      </c>
      <c r="S74" s="55">
        <f>_xll.EQNXTDZ($A$1,$B74,S$1,$B$1)</f>
        <v>1443.7149999999999</v>
      </c>
      <c r="T74" s="55">
        <f>_xll.EQNXTDZ($A$1,$B74,T$1,$B$1)</f>
        <v>1716.232</v>
      </c>
      <c r="U74" s="55">
        <f>_xll.EQNXTDZ($A$1,$B74,U$1,$B$1)</f>
        <v>1814.8440000000001</v>
      </c>
      <c r="V74" s="55">
        <f>_xll.EQNXTDZ($A$1,$B74,V$1,$B$1)</f>
        <v>1864.33</v>
      </c>
      <c r="W74" s="55">
        <f>_xll.EQNXTDZ($A$1,$B74,W$1,$B$1)</f>
        <v>2675.83</v>
      </c>
      <c r="X74" s="55">
        <f>_xll.EQNXTDZ($A$1,$B74,X$1,$B$1)</f>
        <v>3623.43</v>
      </c>
      <c r="Y74" s="55">
        <f>_xll.EQNXTDZ($A$1,$B74,Y$1,$B$1)</f>
        <v>4198.72</v>
      </c>
      <c r="Z74" s="55">
        <f>_xll.EQNXTDZ($A$1,$B74,Z$1,$B$1)</f>
        <v>4552.0600000000004</v>
      </c>
      <c r="AA74" s="55">
        <f>_xll.EQNXTDZ($A$1,$B74,AA$1,$B$1)</f>
        <v>5003.25</v>
      </c>
      <c r="AB74" s="55">
        <f>_xll.EQNXTDZ($A$1,$B74,AB$1,$B$1)</f>
        <v>5681.98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98.632000000000005</v>
      </c>
      <c r="O76" s="55">
        <f>_xll.EQNXTDZ($A$1,$B76,O$1,$B$1)</f>
        <v>156.19</v>
      </c>
      <c r="P76" s="55">
        <f>_xll.EQNXTDZ($A$1,$B76,P$1,$B$1)</f>
        <v>328.09699999999998</v>
      </c>
      <c r="Q76" s="55">
        <f>_xll.EQNXTDZ($A$1,$B76,Q$1,$B$1)</f>
        <v>475.49599999999998</v>
      </c>
      <c r="R76" s="55">
        <f>_xll.EQNXTDZ($A$1,$B76,R$1,$B$1)</f>
        <v>487.09300000000002</v>
      </c>
      <c r="S76" s="55">
        <f>_xll.EQNXTDZ($A$1,$B76,S$1,$B$1)</f>
        <v>509.04599999999999</v>
      </c>
      <c r="T76" s="55">
        <f>_xll.EQNXTDZ($A$1,$B76,T$1,$B$1)</f>
        <v>584.78200000000004</v>
      </c>
      <c r="U76" s="55">
        <f>_xll.EQNXTDZ($A$1,$B76,U$1,$B$1)</f>
        <v>681.93700000000001</v>
      </c>
      <c r="V76" s="55">
        <f>_xll.EQNXTDZ($A$1,$B76,V$1,$B$1)</f>
        <v>905.22</v>
      </c>
      <c r="W76" s="55">
        <f>_xll.EQNXTDZ($A$1,$B76,W$1,$B$1)</f>
        <v>1575.45</v>
      </c>
      <c r="X76" s="55">
        <f>_xll.EQNXTDZ($A$1,$B76,X$1,$B$1)</f>
        <v>1760.3</v>
      </c>
      <c r="Y76" s="55">
        <f>_xll.EQNXTDZ($A$1,$B76,Y$1,$B$1)</f>
        <v>1684.81</v>
      </c>
      <c r="Z76" s="55">
        <f>_xll.EQNXTDZ($A$1,$B76,Z$1,$B$1)</f>
        <v>1845.41</v>
      </c>
      <c r="AA76" s="55">
        <f>_xll.EQNXTDZ($A$1,$B76,AA$1,$B$1)</f>
        <v>1936.54</v>
      </c>
      <c r="AB76" s="55">
        <f>_xll.EQNXTDZ($A$1,$B76,AB$1,$B$1)</f>
        <v>2342.16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148.31399999999999</v>
      </c>
      <c r="O77" s="55">
        <f>_xll.EQNXTDZ($A$1,$B77,O$1,$B$1)</f>
        <v>156.696</v>
      </c>
      <c r="P77" s="55">
        <f>_xll.EQNXTDZ($A$1,$B77,P$1,$B$1)</f>
        <v>194.876</v>
      </c>
      <c r="Q77" s="55">
        <f>_xll.EQNXTDZ($A$1,$B77,Q$1,$B$1)</f>
        <v>285.06599999999997</v>
      </c>
      <c r="R77" s="55">
        <f>_xll.EQNXTDZ($A$1,$B77,R$1,$B$1)</f>
        <v>444.85700000000003</v>
      </c>
      <c r="S77" s="55">
        <f>_xll.EQNXTDZ($A$1,$B77,S$1,$B$1)</f>
        <v>567.60500000000002</v>
      </c>
      <c r="T77" s="55">
        <f>_xll.EQNXTDZ($A$1,$B77,T$1,$B$1)</f>
        <v>570.58699999999999</v>
      </c>
      <c r="U77" s="55">
        <f>_xll.EQNXTDZ($A$1,$B77,U$1,$B$1)</f>
        <v>709.94</v>
      </c>
      <c r="V77" s="55">
        <f>_xll.EQNXTDZ($A$1,$B77,V$1,$B$1)</f>
        <v>791.42</v>
      </c>
      <c r="W77" s="55">
        <f>_xll.EQNXTDZ($A$1,$B77,W$1,$B$1)</f>
        <v>1306.06</v>
      </c>
      <c r="X77" s="55">
        <f>_xll.EQNXTDZ($A$1,$B77,X$1,$B$1)</f>
        <v>1354.18</v>
      </c>
      <c r="Y77" s="55">
        <f>_xll.EQNXTDZ($A$1,$B77,Y$1,$B$1)</f>
        <v>1580.44</v>
      </c>
      <c r="Z77" s="55">
        <f>_xll.EQNXTDZ($A$1,$B77,Z$1,$B$1)</f>
        <v>1662.92</v>
      </c>
      <c r="AA77" s="55">
        <f>_xll.EQNXTDZ($A$1,$B77,AA$1,$B$1)</f>
        <v>2007.16</v>
      </c>
      <c r="AB77" s="55">
        <f>_xll.EQNXTDZ($A$1,$B77,AB$1,$B$1)</f>
        <v>2155.04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9.3239999999999998</v>
      </c>
      <c r="O78" s="55">
        <f>_xll.EQNXTDZ($A$1,$B78,O$1,$B$1)</f>
        <v>13.617000000000001</v>
      </c>
      <c r="P78" s="55">
        <f>_xll.EQNXTDZ($A$1,$B78,P$1,$B$1)</f>
        <v>23.195</v>
      </c>
      <c r="Q78" s="55">
        <f>_xll.EQNXTDZ($A$1,$B78,Q$1,$B$1)</f>
        <v>58.884999999999998</v>
      </c>
      <c r="R78" s="55">
        <f>_xll.EQNXTDZ($A$1,$B78,R$1,$B$1)</f>
        <v>28.774000000000001</v>
      </c>
      <c r="S78" s="55">
        <f>_xll.EQNXTDZ($A$1,$B78,S$1,$B$1)</f>
        <v>4.0910000000000002</v>
      </c>
      <c r="T78" s="55">
        <f>_xll.EQNXTDZ($A$1,$B78,T$1,$B$1)</f>
        <v>3.0569999999999999</v>
      </c>
      <c r="U78" s="55">
        <f>_xll.EQNXTDZ($A$1,$B78,U$1,$B$1)</f>
        <v>3.0209999999999999</v>
      </c>
      <c r="V78" s="55">
        <f>_xll.EQNXTDZ($A$1,$B78,V$1,$B$1)</f>
        <v>1.74</v>
      </c>
      <c r="W78" s="55">
        <f>_xll.EQNXTDZ($A$1,$B78,W$1,$B$1)</f>
        <v>48.46</v>
      </c>
      <c r="X78" s="55">
        <f>_xll.EQNXTDZ($A$1,$B78,X$1,$B$1)</f>
        <v>75.94</v>
      </c>
      <c r="Y78" s="55">
        <f>_xll.EQNXTDZ($A$1,$B78,Y$1,$B$1)</f>
        <v>48.46</v>
      </c>
      <c r="Z78" s="55">
        <f>_xll.EQNXTDZ($A$1,$B78,Z$1,$B$1)</f>
        <v>141.65</v>
      </c>
      <c r="AA78" s="55">
        <f>_xll.EQNXTDZ($A$1,$B78,AA$1,$B$1)</f>
        <v>144.21</v>
      </c>
      <c r="AB78" s="55">
        <f>_xll.EQNXTDZ($A$1,$B78,AB$1,$B$1)</f>
        <v>113.7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6.9820000000000002</v>
      </c>
      <c r="O79" s="55">
        <f>_xll.EQNXTDZ($A$1,$B79,O$1,$B$1)</f>
        <v>7.117</v>
      </c>
      <c r="P79" s="55">
        <f>_xll.EQNXTDZ($A$1,$B79,P$1,$B$1)</f>
        <v>8.8409999999999993</v>
      </c>
      <c r="Q79" s="55">
        <f>_xll.EQNXTDZ($A$1,$B79,Q$1,$B$1)</f>
        <v>20.07</v>
      </c>
      <c r="R79" s="55">
        <f>_xll.EQNXTDZ($A$1,$B79,R$1,$B$1)</f>
        <v>18.145</v>
      </c>
      <c r="S79" s="55">
        <f>_xll.EQNXTDZ($A$1,$B79,S$1,$B$1)</f>
        <v>34.167000000000002</v>
      </c>
      <c r="T79" s="55">
        <f>_xll.EQNXTDZ($A$1,$B79,T$1,$B$1)</f>
        <v>30.600999999999999</v>
      </c>
      <c r="U79" s="55">
        <f>_xll.EQNXTDZ($A$1,$B79,U$1,$B$1)</f>
        <v>32.838000000000001</v>
      </c>
      <c r="V79" s="55">
        <f>_xll.EQNXTDZ($A$1,$B79,V$1,$B$1)</f>
        <v>51.77</v>
      </c>
      <c r="W79" s="55">
        <f>_xll.EQNXTDZ($A$1,$B79,W$1,$B$1)</f>
        <v>56.5</v>
      </c>
      <c r="X79" s="55">
        <f>_xll.EQNXTDZ($A$1,$B79,X$1,$B$1)</f>
        <v>19.71</v>
      </c>
      <c r="Y79" s="55">
        <f>_xll.EQNXTDZ($A$1,$B79,Y$1,$B$1)</f>
        <v>39.07</v>
      </c>
      <c r="Z79" s="55">
        <f>_xll.EQNXTDZ($A$1,$B79,Z$1,$B$1)</f>
        <v>37.83</v>
      </c>
      <c r="AA79" s="55">
        <f>_xll.EQNXTDZ($A$1,$B79,AA$1,$B$1)</f>
        <v>37.35</v>
      </c>
      <c r="AB79" s="55">
        <f>_xll.EQNXTDZ($A$1,$B79,AB$1,$B$1)</f>
        <v>34.17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6.5910000000000002</v>
      </c>
      <c r="O80" s="55">
        <f>_xll.EQNXTDZ($A$1,$B80,O$1,$B$1)</f>
        <v>9.0470000000000006</v>
      </c>
      <c r="P80" s="55">
        <f>_xll.EQNXTDZ($A$1,$B80,P$1,$B$1)</f>
        <v>19.803000000000001</v>
      </c>
      <c r="Q80" s="55">
        <f>_xll.EQNXTDZ($A$1,$B80,Q$1,$B$1)</f>
        <v>22.751000000000001</v>
      </c>
      <c r="R80" s="55">
        <f>_xll.EQNXTDZ($A$1,$B80,R$1,$B$1)</f>
        <v>23.864000000000001</v>
      </c>
      <c r="S80" s="55">
        <f>_xll.EQNXTDZ($A$1,$B80,S$1,$B$1)</f>
        <v>24.91</v>
      </c>
      <c r="T80" s="55">
        <f>_xll.EQNXTDZ($A$1,$B80,T$1,$B$1)</f>
        <v>58.564</v>
      </c>
      <c r="U80" s="55">
        <f>_xll.EQNXTDZ($A$1,$B80,U$1,$B$1)</f>
        <v>35.222000000000001</v>
      </c>
      <c r="V80" s="55">
        <f>_xll.EQNXTDZ($A$1,$B80,V$1,$B$1)</f>
        <v>61.91</v>
      </c>
      <c r="W80" s="55">
        <f>_xll.EQNXTDZ($A$1,$B80,W$1,$B$1)</f>
        <v>88.39</v>
      </c>
      <c r="X80" s="55">
        <f>_xll.EQNXTDZ($A$1,$B80,X$1,$B$1)</f>
        <v>134.47999999999999</v>
      </c>
      <c r="Y80" s="55">
        <f>_xll.EQNXTDZ($A$1,$B80,Y$1,$B$1)</f>
        <v>108.9</v>
      </c>
      <c r="Z80" s="55">
        <f>_xll.EQNXTDZ($A$1,$B80,Z$1,$B$1)</f>
        <v>147.16</v>
      </c>
      <c r="AA80" s="55">
        <f>_xll.EQNXTDZ($A$1,$B80,AA$1,$B$1)</f>
        <v>207.06</v>
      </c>
      <c r="AB80" s="55">
        <f>_xll.EQNXTDZ($A$1,$B80,AB$1,$B$1)</f>
        <v>184.14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269.84300000000002</v>
      </c>
      <c r="O82" s="55">
        <f>_xll.EQNXTDZ($A$1,$B82,O$1,$B$1)</f>
        <v>342.66699999999997</v>
      </c>
      <c r="P82" s="55">
        <f>_xll.EQNXTDZ($A$1,$B82,P$1,$B$1)</f>
        <v>574.81200000000001</v>
      </c>
      <c r="Q82" s="55">
        <f>_xll.EQNXTDZ($A$1,$B82,Q$1,$B$1)</f>
        <v>862.26800000000003</v>
      </c>
      <c r="R82" s="55">
        <f>_xll.EQNXTDZ($A$1,$B82,R$1,$B$1)</f>
        <v>1002.7329999999999</v>
      </c>
      <c r="S82" s="55">
        <f>_xll.EQNXTDZ($A$1,$B82,S$1,$B$1)</f>
        <v>1139.819</v>
      </c>
      <c r="T82" s="55">
        <f>_xll.EQNXTDZ($A$1,$B82,T$1,$B$1)</f>
        <v>1247.5909999999999</v>
      </c>
      <c r="U82" s="55">
        <f>_xll.EQNXTDZ($A$1,$B82,U$1,$B$1)</f>
        <v>1462.9580000000001</v>
      </c>
      <c r="V82" s="55">
        <f>_xll.EQNXTDZ($A$1,$B82,V$1,$B$1)</f>
        <v>1812.06</v>
      </c>
      <c r="W82" s="55">
        <f>_xll.EQNXTDZ($A$1,$B82,W$1,$B$1)</f>
        <v>3074.86</v>
      </c>
      <c r="X82" s="55">
        <f>_xll.EQNXTDZ($A$1,$B82,X$1,$B$1)</f>
        <v>3344.61</v>
      </c>
      <c r="Y82" s="55">
        <f>_xll.EQNXTDZ($A$1,$B82,Y$1,$B$1)</f>
        <v>3461.68</v>
      </c>
      <c r="Z82" s="55">
        <f>_xll.EQNXTDZ($A$1,$B82,Z$1,$B$1)</f>
        <v>3834.97</v>
      </c>
      <c r="AA82" s="55">
        <f>_xll.EQNXTDZ($A$1,$B82,AA$1,$B$1)</f>
        <v>4332.32</v>
      </c>
      <c r="AB82" s="55">
        <f>_xll.EQNXTDZ($A$1,$B82,AB$1,$B$1)</f>
        <v>4829.21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1.466</v>
      </c>
      <c r="P83" s="55">
        <f>_xll.EQNXTDZ($A$1,$B83,P$1,$B$1)</f>
        <v>1.6990000000000001</v>
      </c>
      <c r="Q83" s="55">
        <f>_xll.EQNXTDZ($A$1,$B83,Q$1,$B$1)</f>
        <v>1.6379999999999999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503.178</v>
      </c>
      <c r="O84" s="55">
        <f>_xll.EQNXTDZ($A$1,$B84,O$1,$B$1)</f>
        <v>689.16899999999998</v>
      </c>
      <c r="P84" s="55">
        <f>_xll.EQNXTDZ($A$1,$B84,P$1,$B$1)</f>
        <v>1273.2139999999999</v>
      </c>
      <c r="Q84" s="55">
        <f>_xll.EQNXTDZ($A$1,$B84,Q$1,$B$1)</f>
        <v>1888.3150000000001</v>
      </c>
      <c r="R84" s="55">
        <f>_xll.EQNXTDZ($A$1,$B84,R$1,$B$1)</f>
        <v>2168.652</v>
      </c>
      <c r="S84" s="55">
        <f>_xll.EQNXTDZ($A$1,$B84,S$1,$B$1)</f>
        <v>2583.5340000000001</v>
      </c>
      <c r="T84" s="55">
        <f>_xll.EQNXTDZ($A$1,$B84,T$1,$B$1)</f>
        <v>2963.8229999999999</v>
      </c>
      <c r="U84" s="55">
        <f>_xll.EQNXTDZ($A$1,$B84,U$1,$B$1)</f>
        <v>3277.8020000000001</v>
      </c>
      <c r="V84" s="55">
        <f>_xll.EQNXTDZ($A$1,$B84,V$1,$B$1)</f>
        <v>3676.39</v>
      </c>
      <c r="W84" s="55">
        <f>_xll.EQNXTDZ($A$1,$B84,W$1,$B$1)</f>
        <v>5750.69</v>
      </c>
      <c r="X84" s="55">
        <f>_xll.EQNXTDZ($A$1,$B84,X$1,$B$1)</f>
        <v>6968.04</v>
      </c>
      <c r="Y84" s="55">
        <f>_xll.EQNXTDZ($A$1,$B84,Y$1,$B$1)</f>
        <v>7660.4</v>
      </c>
      <c r="Z84" s="55">
        <f>_xll.EQNXTDZ($A$1,$B84,Z$1,$B$1)</f>
        <v>8387.0300000000007</v>
      </c>
      <c r="AA84" s="55">
        <f>_xll.EQNXTDZ($A$1,$B84,AA$1,$B$1)</f>
        <v>9335.57</v>
      </c>
      <c r="AB84" s="55">
        <f>_xll.EQNXTDZ($A$1,$B84,AB$1,$B$1)</f>
        <v>10511.19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37.295999999999999</v>
      </c>
      <c r="O85" s="55">
        <f>_xll.EQNXTDZ($A$1,$B85,O$1,$B$1)</f>
        <v>89.808999999999997</v>
      </c>
      <c r="P85" s="55">
        <f>_xll.EQNXTDZ($A$1,$B85,P$1,$B$1)</f>
        <v>169.149</v>
      </c>
      <c r="Q85" s="55">
        <f>_xll.EQNXTDZ($A$1,$B85,Q$1,$B$1)</f>
        <v>184.65299999999999</v>
      </c>
      <c r="R85" s="55">
        <f>_xll.EQNXTDZ($A$1,$B85,R$1,$B$1)</f>
        <v>55.896000000000001</v>
      </c>
      <c r="S85" s="55">
        <f>_xll.EQNXTDZ($A$1,$B85,S$1,$B$1)</f>
        <v>47.972000000000001</v>
      </c>
      <c r="T85" s="55">
        <f>_xll.EQNXTDZ($A$1,$B85,T$1,$B$1)</f>
        <v>92.42</v>
      </c>
      <c r="U85" s="55">
        <f>_xll.EQNXTDZ($A$1,$B85,U$1,$B$1)</f>
        <v>102.80200000000001</v>
      </c>
      <c r="V85" s="55">
        <f>_xll.EQNXTDZ($A$1,$B85,V$1,$B$1)</f>
        <v>103.76</v>
      </c>
      <c r="W85" s="55">
        <f>_xll.EQNXTDZ($A$1,$B85,W$1,$B$1)</f>
        <v>121.64</v>
      </c>
      <c r="X85" s="55">
        <f>_xll.EQNXTDZ($A$1,$B85,X$1,$B$1)</f>
        <v>118.8</v>
      </c>
      <c r="Y85" s="55">
        <f>_xll.EQNXTDZ($A$1,$B85,Y$1,$B$1)</f>
        <v>152.22999999999999</v>
      </c>
      <c r="Z85" s="55">
        <f>_xll.EQNXTDZ($A$1,$B85,Z$1,$B$1)</f>
        <v>153.91999999999999</v>
      </c>
      <c r="AA85" s="55">
        <f>_xll.EQNXTDZ($A$1,$B85,AA$1,$B$1)</f>
        <v>425.9</v>
      </c>
      <c r="AB85" s="55">
        <f>_xll.EQNXTDZ($A$1,$B85,AB$1,$B$1)</f>
        <v>420.55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0.33900000000000002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9.7390000000000008</v>
      </c>
      <c r="T86" s="55">
        <f>_xll.EQNXTDZ($A$1,$B86,T$1,$B$1)</f>
        <v>9.7390000000000008</v>
      </c>
      <c r="U86" s="55">
        <f>_xll.EQNXTDZ($A$1,$B86,U$1,$B$1)</f>
        <v>9.7390000000000008</v>
      </c>
      <c r="V86" s="55">
        <f>_xll.EQNXTDZ($A$1,$B86,V$1,$B$1)</f>
        <v>9.74</v>
      </c>
      <c r="W86" s="55">
        <f>_xll.EQNXTDZ($A$1,$B86,W$1,$B$1)</f>
        <v>246.3</v>
      </c>
      <c r="X86" s="55">
        <f>_xll.EQNXTDZ($A$1,$B86,X$1,$B$1)</f>
        <v>246.3</v>
      </c>
      <c r="Y86" s="55">
        <f>_xll.EQNXTDZ($A$1,$B86,Y$1,$B$1)</f>
        <v>246.3</v>
      </c>
      <c r="Z86" s="55">
        <f>_xll.EQNXTDZ($A$1,$B86,Z$1,$B$1)</f>
        <v>246.3</v>
      </c>
      <c r="AA86" s="55">
        <f>_xll.EQNXTDZ($A$1,$B86,AA$1,$B$1)</f>
        <v>246.3</v>
      </c>
      <c r="AB86" s="55">
        <f>_xll.EQNXTDZ($A$1,$B86,AB$1,$B$1)</f>
        <v>246.3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59.975999999999999</v>
      </c>
      <c r="O88" s="55">
        <f>_xll.EQNXTDZ($A$1,$B88,O$1,$B$1)</f>
        <v>45.536000000000001</v>
      </c>
      <c r="P88" s="55">
        <f>_xll.EQNXTDZ($A$1,$B88,P$1,$B$1)</f>
        <v>34.334000000000003</v>
      </c>
      <c r="Q88" s="55">
        <f>_xll.EQNXTDZ($A$1,$B88,Q$1,$B$1)</f>
        <v>71.331999999999994</v>
      </c>
      <c r="R88" s="55">
        <f>_xll.EQNXTDZ($A$1,$B88,R$1,$B$1)</f>
        <v>77.731999999999999</v>
      </c>
      <c r="S88" s="55">
        <f>_xll.EQNXTDZ($A$1,$B88,S$1,$B$1)</f>
        <v>68.745000000000005</v>
      </c>
      <c r="T88" s="55">
        <f>_xll.EQNXTDZ($A$1,$B88,T$1,$B$1)</f>
        <v>61.295999999999999</v>
      </c>
      <c r="U88" s="55">
        <f>_xll.EQNXTDZ($A$1,$B88,U$1,$B$1)</f>
        <v>51.268000000000001</v>
      </c>
      <c r="V88" s="55">
        <f>_xll.EQNXTDZ($A$1,$B88,V$1,$B$1)</f>
        <v>34.9</v>
      </c>
      <c r="W88" s="55">
        <f>_xll.EQNXTDZ($A$1,$B88,W$1,$B$1)</f>
        <v>80.25</v>
      </c>
      <c r="X88" s="55">
        <f>_xll.EQNXTDZ($A$1,$B88,X$1,$B$1)</f>
        <v>111.08</v>
      </c>
      <c r="Y88" s="55">
        <f>_xll.EQNXTDZ($A$1,$B88,Y$1,$B$1)</f>
        <v>109.25</v>
      </c>
      <c r="Z88" s="55">
        <f>_xll.EQNXTDZ($A$1,$B88,Z$1,$B$1)</f>
        <v>226.16</v>
      </c>
      <c r="AA88" s="55">
        <f>_xll.EQNXTDZ($A$1,$B88,AA$1,$B$1)</f>
        <v>282.19</v>
      </c>
      <c r="AB88" s="55">
        <f>_xll.EQNXTDZ($A$1,$B88,AB$1,$B$1)</f>
        <v>251.78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8.125</v>
      </c>
      <c r="Q89" s="55">
        <f>_xll.EQNXTDZ($A$1,$B89,Q$1,$B$1)</f>
        <v>14.462</v>
      </c>
      <c r="R89" s="55">
        <f>_xll.EQNXTDZ($A$1,$B89,R$1,$B$1)</f>
        <v>8.8190000000000008</v>
      </c>
      <c r="S89" s="55">
        <f>_xll.EQNXTDZ($A$1,$B89,S$1,$B$1)</f>
        <v>4.2690000000000001</v>
      </c>
      <c r="T89" s="55">
        <f>_xll.EQNXTDZ($A$1,$B89,T$1,$B$1)</f>
        <v>18.434999999999999</v>
      </c>
      <c r="U89" s="55">
        <f>_xll.EQNXTDZ($A$1,$B89,U$1,$B$1)</f>
        <v>41.743000000000002</v>
      </c>
      <c r="V89" s="55">
        <f>_xll.EQNXTDZ($A$1,$B89,V$1,$B$1)</f>
        <v>66.44</v>
      </c>
      <c r="W89" s="55">
        <f>_xll.EQNXTDZ($A$1,$B89,W$1,$B$1)</f>
        <v>57.67</v>
      </c>
      <c r="X89" s="55">
        <f>_xll.EQNXTDZ($A$1,$B89,X$1,$B$1)</f>
        <v>113.89</v>
      </c>
      <c r="Y89" s="55">
        <f>_xll.EQNXTDZ($A$1,$B89,Y$1,$B$1)</f>
        <v>105.53</v>
      </c>
      <c r="Z89" s="55">
        <f>_xll.EQNXTDZ($A$1,$B89,Z$1,$B$1)</f>
        <v>93.37</v>
      </c>
      <c r="AA89" s="55">
        <f>_xll.EQNXTDZ($A$1,$B89,AA$1,$B$1)</f>
        <v>50.31</v>
      </c>
      <c r="AB89" s="55">
        <f>_xll.EQNXTDZ($A$1,$B89,AB$1,$B$1)</f>
        <v>41.73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1.454</v>
      </c>
      <c r="O91" s="55">
        <f>_xll.EQNXTDZ($A$1,$B91,O$1,$B$1)</f>
        <v>1.454</v>
      </c>
      <c r="P91" s="55">
        <f>_xll.EQNXTDZ($A$1,$B91,P$1,$B$1)</f>
        <v>0.33900000000000002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9.7390000000000008</v>
      </c>
      <c r="T91" s="55">
        <f>_xll.EQNXTDZ($A$1,$B91,T$1,$B$1)</f>
        <v>9.7390000000000008</v>
      </c>
      <c r="U91" s="55">
        <f>_xll.EQNXTDZ($A$1,$B91,U$1,$B$1)</f>
        <v>9.7390000000000008</v>
      </c>
      <c r="V91" s="55">
        <f>_xll.EQNXTDZ($A$1,$B91,V$1,$B$1)</f>
        <v>9.74</v>
      </c>
      <c r="W91" s="55">
        <f>_xll.EQNXTDZ($A$1,$B91,W$1,$B$1)</f>
        <v>246.3</v>
      </c>
      <c r="X91" s="55">
        <f>_xll.EQNXTDZ($A$1,$B91,X$1,$B$1)</f>
        <v>246.3</v>
      </c>
      <c r="Y91" s="55">
        <f>_xll.EQNXTDZ($A$1,$B91,Y$1,$B$1)</f>
        <v>246.3</v>
      </c>
      <c r="Z91" s="55">
        <f>_xll.EQNXTDZ($A$1,$B91,Z$1,$B$1)</f>
        <v>246.3</v>
      </c>
      <c r="AA91" s="55">
        <f>_xll.EQNXTDZ($A$1,$B91,AA$1,$B$1)</f>
        <v>246.3</v>
      </c>
      <c r="AB91" s="55">
        <f>_xll.EQNXTDZ($A$1,$B91,AB$1,$B$1)</f>
        <v>246.3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1.454</v>
      </c>
      <c r="O92" s="55">
        <f>_xll.EQNXTDZ($A$1,$B92,O$1,$B$1)</f>
        <v>1.454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1.175</v>
      </c>
      <c r="O93" s="55">
        <f>_xll.EQNXTDZ($A$1,$B93,O$1,$B$1)</f>
        <v>1.175</v>
      </c>
      <c r="P93" s="55">
        <f>_xll.EQNXTDZ($A$1,$B93,P$1,$B$1)</f>
        <v>1.01</v>
      </c>
      <c r="Q93" s="55">
        <f>_xll.EQNXTDZ($A$1,$B93,Q$1,$B$1)</f>
        <v>1.01</v>
      </c>
      <c r="R93" s="55">
        <f>_xll.EQNXTDZ($A$1,$B93,R$1,$B$1)</f>
        <v>1.01</v>
      </c>
      <c r="S93" s="55">
        <f>_xll.EQNXTDZ($A$1,$B93,S$1,$B$1)</f>
        <v>11.113</v>
      </c>
      <c r="T93" s="55">
        <f>_xll.EQNXTDZ($A$1,$B93,T$1,$B$1)</f>
        <v>27.538</v>
      </c>
      <c r="U93" s="55">
        <f>_xll.EQNXTDZ($A$1,$B93,U$1,$B$1)</f>
        <v>44.622999999999998</v>
      </c>
      <c r="V93" s="55">
        <f>_xll.EQNXTDZ($A$1,$B93,V$1,$B$1)</f>
        <v>59.26</v>
      </c>
      <c r="W93" s="55">
        <f>_xll.EQNXTDZ($A$1,$B93,W$1,$B$1)</f>
        <v>69.66</v>
      </c>
      <c r="X93" s="55">
        <f>_xll.EQNXTDZ($A$1,$B93,X$1,$B$1)</f>
        <v>74.33</v>
      </c>
      <c r="Y93" s="55">
        <f>_xll.EQNXTDZ($A$1,$B93,Y$1,$B$1)</f>
        <v>72.34</v>
      </c>
      <c r="Z93" s="55">
        <f>_xll.EQNXTDZ($A$1,$B93,Z$1,$B$1)</f>
        <v>83.14</v>
      </c>
      <c r="AA93" s="55">
        <f>_xll.EQNXTDZ($A$1,$B93,AA$1,$B$1)</f>
        <v>86.68</v>
      </c>
      <c r="AB93" s="55">
        <f>_xll.EQNXTDZ($A$1,$B93,AB$1,$B$1)</f>
        <v>100.45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8.5000000000000006E-2</v>
      </c>
      <c r="O95" s="55">
        <f>_xll.EQNXTDZ($A$1,$B95,O$1,$B$1)</f>
        <v>0</v>
      </c>
      <c r="P95" s="55">
        <f>_xll.EQNXTDZ($A$1,$B95,P$1,$B$1)</f>
        <v>4.6870000000000003</v>
      </c>
      <c r="Q95" s="55">
        <f>_xll.EQNXTDZ($A$1,$B95,Q$1,$B$1)</f>
        <v>5.6289999999999996</v>
      </c>
      <c r="R95" s="55">
        <f>_xll.EQNXTDZ($A$1,$B95,R$1,$B$1)</f>
        <v>5.0149999999999997</v>
      </c>
      <c r="S95" s="55">
        <f>_xll.EQNXTDZ($A$1,$B95,S$1,$B$1)</f>
        <v>11.134</v>
      </c>
      <c r="T95" s="55">
        <f>_xll.EQNXTDZ($A$1,$B95,T$1,$B$1)</f>
        <v>19.286000000000001</v>
      </c>
      <c r="U95" s="55">
        <f>_xll.EQNXTDZ($A$1,$B95,U$1,$B$1)</f>
        <v>13.843999999999999</v>
      </c>
      <c r="V95" s="55">
        <f>_xll.EQNXTDZ($A$1,$B95,V$1,$B$1)</f>
        <v>44.5</v>
      </c>
      <c r="W95" s="55">
        <f>_xll.EQNXTDZ($A$1,$B95,W$1,$B$1)</f>
        <v>51.98</v>
      </c>
      <c r="X95" s="55">
        <f>_xll.EQNXTDZ($A$1,$B95,X$1,$B$1)</f>
        <v>44.47</v>
      </c>
      <c r="Y95" s="55">
        <f>_xll.EQNXTDZ($A$1,$B95,Y$1,$B$1)</f>
        <v>79.89</v>
      </c>
      <c r="Z95" s="55">
        <f>_xll.EQNXTDZ($A$1,$B95,Z$1,$B$1)</f>
        <v>70.78</v>
      </c>
      <c r="AA95" s="55">
        <f>_xll.EQNXTDZ($A$1,$B95,AA$1,$B$1)</f>
        <v>339.22</v>
      </c>
      <c r="AB95" s="55">
        <f>_xll.EQNXTDZ($A$1,$B95,AB$1,$B$1)</f>
        <v>320.10000000000002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1E-3</v>
      </c>
      <c r="P96" s="55">
        <f>_xll.EQNXTDZ($A$1,$B96,P$1,$B$1)</f>
        <v>2E-3</v>
      </c>
      <c r="Q96" s="55">
        <f>_xll.EQNXTDZ($A$1,$B96,Q$1,$B$1)</f>
        <v>2E-3</v>
      </c>
      <c r="R96" s="55">
        <f>_xll.EQNXTDZ($A$1,$B96,R$1,$B$1)</f>
        <v>2.1440000000000001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36.036000000000001</v>
      </c>
      <c r="O97" s="55">
        <f>_xll.EQNXTDZ($A$1,$B97,O$1,$B$1)</f>
        <v>88.632999999999996</v>
      </c>
      <c r="P97" s="55">
        <f>_xll.EQNXTDZ($A$1,$B97,P$1,$B$1)</f>
        <v>163.44999999999999</v>
      </c>
      <c r="Q97" s="55">
        <f>_xll.EQNXTDZ($A$1,$B97,Q$1,$B$1)</f>
        <v>178.012</v>
      </c>
      <c r="R97" s="55">
        <f>_xll.EQNXTDZ($A$1,$B97,R$1,$B$1)</f>
        <v>47.726999999999997</v>
      </c>
      <c r="S97" s="55">
        <f>_xll.EQNXTDZ($A$1,$B97,S$1,$B$1)</f>
        <v>25.725000000000001</v>
      </c>
      <c r="T97" s="55">
        <f>_xll.EQNXTDZ($A$1,$B97,T$1,$B$1)</f>
        <v>45.595999999999997</v>
      </c>
      <c r="U97" s="55">
        <f>_xll.EQNXTDZ($A$1,$B97,U$1,$B$1)</f>
        <v>44.335000000000001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15.241</v>
      </c>
      <c r="O104" s="55">
        <f>_xll.EQNXTDZ($A$1,$B104,O$1,$B$1)</f>
        <v>15.241</v>
      </c>
      <c r="P104" s="55">
        <f>_xll.EQNXTDZ($A$1,$B104,P$1,$B$1)</f>
        <v>15.38</v>
      </c>
      <c r="Q104" s="55">
        <f>_xll.EQNXTDZ($A$1,$B104,Q$1,$B$1)</f>
        <v>15.512</v>
      </c>
      <c r="R104" s="55">
        <f>_xll.EQNXTDZ($A$1,$B104,R$1,$B$1)</f>
        <v>15.766999999999999</v>
      </c>
      <c r="S104" s="55">
        <f>_xll.EQNXTDZ($A$1,$B104,S$1,$B$1)</f>
        <v>105.756</v>
      </c>
      <c r="T104" s="55">
        <f>_xll.EQNXTDZ($A$1,$B104,T$1,$B$1)</f>
        <v>106.03</v>
      </c>
      <c r="U104" s="55">
        <f>_xll.EQNXTDZ($A$1,$B104,U$1,$B$1)</f>
        <v>106.437</v>
      </c>
      <c r="V104" s="55">
        <f>_xll.EQNXTDZ($A$1,$B104,V$1,$B$1)</f>
        <v>106.91</v>
      </c>
      <c r="W104" s="55">
        <f>_xll.EQNXTDZ($A$1,$B104,W$1,$B$1)</f>
        <v>107.32</v>
      </c>
      <c r="X104" s="55">
        <f>_xll.EQNXTDZ($A$1,$B104,X$1,$B$1)</f>
        <v>107.47</v>
      </c>
      <c r="Y104" s="55">
        <f>_xll.EQNXTDZ($A$1,$B104,Y$1,$B$1)</f>
        <v>107.73</v>
      </c>
      <c r="Z104" s="55">
        <f>_xll.EQNXTDZ($A$1,$B104,Z$1,$B$1)</f>
        <v>107.79</v>
      </c>
      <c r="AA104" s="55">
        <f>_xll.EQNXTDZ($A$1,$B104,AA$1,$B$1)</f>
        <v>107.85</v>
      </c>
      <c r="AB104" s="55">
        <f>_xll.EQNXTDZ($A$1,$B104,AB$1,$B$1)</f>
        <v>107.97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103.06</v>
      </c>
      <c r="T106" s="55">
        <f>_xll.EQNXTDZ($A$1,$B106,T$1,$B$1)</f>
        <v>100.62</v>
      </c>
      <c r="U106" s="55">
        <f>_xll.EQNXTDZ($A$1,$B106,U$1,$B$1)</f>
        <v>79.95</v>
      </c>
      <c r="V106" s="55">
        <f>_xll.EQNXTDZ($A$1,$B106,V$1,$B$1)</f>
        <v>64.52</v>
      </c>
      <c r="W106" s="55">
        <f>_xll.EQNXTDZ($A$1,$B106,W$1,$B$1)</f>
        <v>362.05</v>
      </c>
      <c r="X106" s="55">
        <f>_xll.EQNXTDZ($A$1,$B106,X$1,$B$1)</f>
        <v>590.04999999999995</v>
      </c>
      <c r="Y106" s="55">
        <f>_xll.EQNXTDZ($A$1,$B106,Y$1,$B$1)</f>
        <v>293</v>
      </c>
      <c r="Z106" s="55">
        <f>_xll.EQNXTDZ($A$1,$B106,Z$1,$B$1)</f>
        <v>391.75</v>
      </c>
      <c r="AA106" s="55">
        <f>_xll.EQNXTDZ($A$1,$B106,AA$1,$B$1)</f>
        <v>613.79999999999995</v>
      </c>
      <c r="AB106" s="55">
        <f>_xll.EQNXTDZ($A$1,$B106,AB$1,$B$1)</f>
        <v>991.85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117</v>
      </c>
      <c r="T107" s="55">
        <f>_xll.EQNXTDZ($A$1,$B107,T$1,$B$1)</f>
        <v>126.8</v>
      </c>
      <c r="U107" s="55">
        <f>_xll.EQNXTDZ($A$1,$B107,U$1,$B$1)</f>
        <v>104</v>
      </c>
      <c r="V107" s="55">
        <f>_xll.EQNXTDZ($A$1,$B107,V$1,$B$1)</f>
        <v>92</v>
      </c>
      <c r="W107" s="55">
        <f>_xll.EQNXTDZ($A$1,$B107,W$1,$B$1)</f>
        <v>385.8</v>
      </c>
      <c r="X107" s="55">
        <f>_xll.EQNXTDZ($A$1,$B107,X$1,$B$1)</f>
        <v>723.55</v>
      </c>
      <c r="Y107" s="55">
        <f>_xll.EQNXTDZ($A$1,$B107,Y$1,$B$1)</f>
        <v>626</v>
      </c>
      <c r="Z107" s="55">
        <f>_xll.EQNXTDZ($A$1,$B107,Z$1,$B$1)</f>
        <v>444.5</v>
      </c>
      <c r="AA107" s="55">
        <f>_xll.EQNXTDZ($A$1,$B107,AA$1,$B$1)</f>
        <v>646.25</v>
      </c>
      <c r="AB107" s="55">
        <f>_xll.EQNXTDZ($A$1,$B107,AB$1,$B$1)</f>
        <v>1140.9000000000001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90.6</v>
      </c>
      <c r="T108" s="55">
        <f>_xll.EQNXTDZ($A$1,$B108,T$1,$B$1)</f>
        <v>97</v>
      </c>
      <c r="U108" s="55">
        <f>_xll.EQNXTDZ($A$1,$B108,U$1,$B$1)</f>
        <v>64.8</v>
      </c>
      <c r="V108" s="55">
        <f>_xll.EQNXTDZ($A$1,$B108,V$1,$B$1)</f>
        <v>59.6</v>
      </c>
      <c r="W108" s="55">
        <f>_xll.EQNXTDZ($A$1,$B108,W$1,$B$1)</f>
        <v>63.64</v>
      </c>
      <c r="X108" s="55">
        <f>_xll.EQNXTDZ($A$1,$B108,X$1,$B$1)</f>
        <v>360.6</v>
      </c>
      <c r="Y108" s="55">
        <f>_xll.EQNXTDZ($A$1,$B108,Y$1,$B$1)</f>
        <v>286.8</v>
      </c>
      <c r="Z108" s="55">
        <f>_xll.EQNXTDZ($A$1,$B108,Z$1,$B$1)</f>
        <v>279.64999999999998</v>
      </c>
      <c r="AA108" s="55">
        <f>_xll.EQNXTDZ($A$1,$B108,AA$1,$B$1)</f>
        <v>386.85</v>
      </c>
      <c r="AB108" s="55">
        <f>_xll.EQNXTDZ($A$1,$B108,AB$1,$B$1)</f>
        <v>517.04999999999995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5449.6066799999999</v>
      </c>
      <c r="T109" s="55">
        <f>_xll.EQNXTDZ($A$1,$B109,T$1,$B$1)</f>
        <v>5334.3693000000003</v>
      </c>
      <c r="U109" s="55">
        <f>_xll.EQNXTDZ($A$1,$B109,U$1,$B$1)</f>
        <v>4254.8190750000003</v>
      </c>
      <c r="V109" s="55">
        <f>_xll.EQNXTDZ($A$1,$B109,V$1,$B$1)</f>
        <v>3448.9166</v>
      </c>
      <c r="W109" s="55">
        <f>_xll.EQNXTDZ($A$1,$B109,W$1,$B$1)</f>
        <v>19427.602999999999</v>
      </c>
      <c r="X109" s="55">
        <f>_xll.EQNXTDZ($A$1,$B109,X$1,$B$1)</f>
        <v>31706.336749999999</v>
      </c>
      <c r="Y109" s="55">
        <f>_xll.EQNXTDZ($A$1,$B109,Y$1,$B$1)</f>
        <v>15782.445</v>
      </c>
      <c r="Z109" s="55">
        <f>_xll.EQNXTDZ($A$1,$B109,Z$1,$B$1)</f>
        <v>21113.366249999999</v>
      </c>
      <c r="AA109" s="55">
        <f>_xll.EQNXTDZ($A$1,$B109,AA$1,$B$1)</f>
        <v>33099.165000000001</v>
      </c>
      <c r="AB109" s="55">
        <f>_xll.EQNXTDZ($A$1,$B109,AB$1,$B$1)</f>
        <v>53545.022250000002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0.1</v>
      </c>
      <c r="S110" s="55">
        <f>_xll.EQNXTDZ($A$1,$B110,S$1,$B$1)</f>
        <v>0.3</v>
      </c>
      <c r="T110" s="55">
        <f>_xll.EQNXTDZ($A$1,$B110,T$1,$B$1)</f>
        <v>0.3</v>
      </c>
      <c r="U110" s="55">
        <f>_xll.EQNXTDZ($A$1,$B110,U$1,$B$1)</f>
        <v>0.3</v>
      </c>
      <c r="V110" s="55">
        <f>_xll.EQNXTDZ($A$1,$B110,V$1,$B$1)</f>
        <v>0.5</v>
      </c>
      <c r="W110" s="55">
        <f>_xll.EQNXTDZ($A$1,$B110,W$1,$B$1)</f>
        <v>2</v>
      </c>
      <c r="X110" s="55">
        <f>_xll.EQNXTDZ($A$1,$B110,X$1,$B$1)</f>
        <v>2</v>
      </c>
      <c r="Y110" s="55">
        <f>_xll.EQNXTDZ($A$1,$B110,Y$1,$B$1)</f>
        <v>2</v>
      </c>
      <c r="Z110" s="55">
        <f>_xll.EQNXTDZ($A$1,$B110,Z$1,$B$1)</f>
        <v>0.8</v>
      </c>
      <c r="AA110" s="55">
        <f>_xll.EQNXTDZ($A$1,$B110,AA$1,$B$1)</f>
        <v>1.2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30.64</v>
      </c>
      <c r="T112" s="56">
        <f>_xll.EQNXTDZ($A$1,$B112,T$5)</f>
        <v>30.57</v>
      </c>
      <c r="U112" s="56">
        <f>_xll.EQNXTDZ($A$1,$B112,U$5)</f>
        <v>32.770000000000003</v>
      </c>
      <c r="V112" s="56">
        <f>_xll.EQNXTDZ($A$1,$B112,V$5)</f>
        <v>32.04</v>
      </c>
      <c r="W112" s="56">
        <f>_xll.EQNXTDZ($A$1,$B112,W$5)</f>
        <v>27.45</v>
      </c>
      <c r="X112" s="56">
        <f>_xll.EQNXTDZ($A$1,$B112,X$5)</f>
        <v>27.27</v>
      </c>
      <c r="Y112" s="56">
        <f>_xll.EQNXTDZ($A$1,$B112,Y$5)</f>
        <v>27.2</v>
      </c>
      <c r="Z112" s="56">
        <f>_xll.EQNXTDZ($A$1,$B112,Z$5)</f>
        <v>27.19</v>
      </c>
      <c r="AA112" s="56">
        <f>_xll.EQNXTDZ($A$1,$B112,AA$5)</f>
        <v>27.62</v>
      </c>
      <c r="AB112" s="56">
        <f>_xll.EQNXTDZ($A$1,$B112,AB$5)</f>
        <v>27.49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30.22</v>
      </c>
      <c r="V113" s="56">
        <f>_xll.EQNXTDZ($A$1,$B113,V$5)</f>
        <v>45.22</v>
      </c>
      <c r="W113" s="56">
        <f>_xll.EQNXTDZ($A$1,$B113,W$5)</f>
        <v>1.1499999999999999</v>
      </c>
      <c r="X113" s="56">
        <f>_xll.EQNXTDZ($A$1,$B113,X$5)</f>
        <v>0</v>
      </c>
      <c r="Y113" s="56">
        <f>_xll.EQNXTDZ($A$1,$B113,Y$5)</f>
        <v>0.04</v>
      </c>
      <c r="Z113" s="56">
        <f>_xll.EQNXTDZ($A$1,$B113,Z$5)</f>
        <v>0</v>
      </c>
      <c r="AA113" s="56">
        <f>_xll.EQNXTDZ($A$1,$B113,AA$5)</f>
        <v>2.69</v>
      </c>
      <c r="AB113" s="56">
        <f>_xll.EQNXTDZ($A$1,$B113,AB$5)</f>
        <v>2.69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271867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97.98</v>
      </c>
      <c r="BF6" cm="1">
        <f t="array" ref="BF6">_xll.EQNXTDZ($A$1,$B6,BF$1)</f>
        <v>96.4</v>
      </c>
      <c r="BG6" cm="1">
        <f t="array" ref="BG6">_xll.EQNXTDZ($A$1,$B6,BG$1)</f>
        <v>94.1</v>
      </c>
      <c r="BH6" cm="1">
        <f t="array" ref="BH6">_xll.EQNXTDZ($A$1,$B6,BH$1)</f>
        <v>102.57</v>
      </c>
      <c r="BI6" cm="1">
        <f t="array" ref="BI6">_xll.EQNXTDZ($A$1,$B6,BI$1)</f>
        <v>103.4</v>
      </c>
      <c r="BJ6" cm="1">
        <f t="array" ref="BJ6">_xll.EQNXTDZ($A$1,$B6,BJ$1)</f>
        <v>102.61</v>
      </c>
      <c r="BK6" cm="1">
        <f t="array" ref="BK6">_xll.EQNXTDZ($A$1,$B6,BK$1)</f>
        <v>115</v>
      </c>
      <c r="BL6" cm="1">
        <f t="array" ref="BL6">_xll.EQNXTDZ($A$1,$B6,BL$1)</f>
        <v>123.4</v>
      </c>
      <c r="BM6" cm="1">
        <f t="array" ref="BM6">_xll.EQNXTDZ($A$1,$B6,BM$1)</f>
        <v>115.48</v>
      </c>
      <c r="BN6" cm="1">
        <f t="array" ref="BN6">_xll.EQNXTDZ($A$1,$B6,BN$1)</f>
        <v>105.2</v>
      </c>
      <c r="BO6" cm="1">
        <f t="array" ref="BO6">_xll.EQNXTDZ($A$1,$B6,BO$1)</f>
        <v>104.4</v>
      </c>
      <c r="BP6" cm="1">
        <f t="array" ref="BP6">_xll.EQNXTDZ($A$1,$B6,BP$1)</f>
        <v>107.02</v>
      </c>
      <c r="BQ6" cm="1">
        <f t="array" ref="BQ6">_xll.EQNXTDZ($A$1,$B6,BQ$1)</f>
        <v>109.8</v>
      </c>
      <c r="BR6" cm="1">
        <f t="array" ref="BR6">_xll.EQNXTDZ($A$1,$B6,BR$1)</f>
        <v>109.6</v>
      </c>
      <c r="BS6" cm="1">
        <f t="array" ref="BS6">_xll.EQNXTDZ($A$1,$B6,BS$1)</f>
        <v>103.41</v>
      </c>
      <c r="BT6" cm="1">
        <f t="array" ref="BT6">_xll.EQNXTDZ($A$1,$B6,BT$1)</f>
        <v>108.71</v>
      </c>
      <c r="BU6" cm="1">
        <f t="array" ref="BU6">_xll.EQNXTDZ($A$1,$B6,BU$1)</f>
        <v>101.04</v>
      </c>
      <c r="BV6" cm="1">
        <f t="array" ref="BV6">_xll.EQNXTDZ($A$1,$B6,BV$1)</f>
        <v>103.05</v>
      </c>
      <c r="BW6" cm="1">
        <f t="array" ref="BW6">_xll.EQNXTDZ($A$1,$B6,BW$1)</f>
        <v>94.01</v>
      </c>
      <c r="BX6" cm="1">
        <f t="array" ref="BX6">_xll.EQNXTDZ($A$1,$B6,BX$1)</f>
        <v>92.48</v>
      </c>
      <c r="BY6" cm="1">
        <f t="array" ref="BY6">_xll.EQNXTDZ($A$1,$B6,BY$1)</f>
        <v>90.78</v>
      </c>
      <c r="BZ6" cm="1">
        <f t="array" ref="BZ6">_xll.EQNXTDZ($A$1,$B6,BZ$1)</f>
        <v>87.9</v>
      </c>
      <c r="CA6" cm="1">
        <f t="array" ref="CA6">_xll.EQNXTDZ($A$1,$B6,CA$1)</f>
        <v>85.8</v>
      </c>
      <c r="CB6" cm="1">
        <f t="array" ref="CB6">_xll.EQNXTDZ($A$1,$B6,CB$1)</f>
        <v>68.72</v>
      </c>
      <c r="CC6" cm="1">
        <f t="array" ref="CC6">_xll.EQNXTDZ($A$1,$B6,CC$1)</f>
        <v>77.34</v>
      </c>
      <c r="CD6" cm="1">
        <f t="array" ref="CD6">_xll.EQNXTDZ($A$1,$B6,CD$1)</f>
        <v>75.81</v>
      </c>
      <c r="CE6" cm="1">
        <f t="array" ref="CE6">_xll.EQNXTDZ($A$1,$B6,CE$1)</f>
        <v>72.2</v>
      </c>
      <c r="CF6" cm="1">
        <f t="array" ref="CF6">_xll.EQNXTDZ($A$1,$B6,CF$1)</f>
        <v>66.599999999999994</v>
      </c>
      <c r="CG6" cm="1">
        <f t="array" ref="CG6">_xll.EQNXTDZ($A$1,$B6,CG$1)</f>
        <v>80.739999999999995</v>
      </c>
      <c r="CH6" cm="1">
        <f t="array" ref="CH6">_xll.EQNXTDZ($A$1,$B6,CH$1)</f>
        <v>76.099999999999994</v>
      </c>
      <c r="CI6" cm="1">
        <f t="array" ref="CI6">_xll.EQNXTDZ($A$1,$B6,CI$1)</f>
        <v>72.010000000000005</v>
      </c>
      <c r="CJ6" cm="1">
        <f t="array" ref="CJ6">_xll.EQNXTDZ($A$1,$B6,CJ$1)</f>
        <v>67.510000000000005</v>
      </c>
      <c r="CK6" cm="1">
        <f t="array" ref="CK6">_xll.EQNXTDZ($A$1,$B6,CK$1)</f>
        <v>68.599999999999994</v>
      </c>
      <c r="CL6" cm="1">
        <f t="array" ref="CL6">_xll.EQNXTDZ($A$1,$B6,CL$1)</f>
        <v>66.53</v>
      </c>
      <c r="CM6" cm="1">
        <f t="array" ref="CM6">_xll.EQNXTDZ($A$1,$B6,CM$1)</f>
        <v>74.2</v>
      </c>
      <c r="CN6" cm="1">
        <f t="array" ref="CN6">_xll.EQNXTDZ($A$1,$B6,CN$1)</f>
        <v>81.400000000000006</v>
      </c>
      <c r="CO6" cm="1">
        <f t="array" ref="CO6">_xll.EQNXTDZ($A$1,$B6,CO$1)</f>
        <v>70.19</v>
      </c>
      <c r="CP6" cm="1">
        <f t="array" ref="CP6">_xll.EQNXTDZ($A$1,$B6,CP$1)</f>
        <v>71.599999999999994</v>
      </c>
      <c r="CQ6" cm="1">
        <f t="array" ref="CQ6">_xll.EQNXTDZ($A$1,$B6,CQ$1)</f>
        <v>85.16</v>
      </c>
      <c r="CR6" cm="1">
        <f t="array" ref="CR6">_xll.EQNXTDZ($A$1,$B6,CR$1)</f>
        <v>83.23</v>
      </c>
      <c r="CS6" cm="1">
        <f t="array" ref="CS6">_xll.EQNXTDZ($A$1,$B6,CS$1)</f>
        <v>65.599999999999994</v>
      </c>
      <c r="CT6" cm="1">
        <f t="array" ref="CT6">_xll.EQNXTDZ($A$1,$B6,CT$1)</f>
        <v>102.4</v>
      </c>
      <c r="CU6" cm="1">
        <f t="array" ref="CU6">_xll.EQNXTDZ($A$1,$B6,CU$1)</f>
        <v>94.19</v>
      </c>
      <c r="CV6" cm="1">
        <f t="array" ref="CV6">_xll.EQNXTDZ($A$1,$B6,CV$1)</f>
        <v>104.88</v>
      </c>
      <c r="CW6" cm="1">
        <f t="array" ref="CW6">_xll.EQNXTDZ($A$1,$B6,CW$1)</f>
        <v>191.05</v>
      </c>
      <c r="CX6" cm="1">
        <f t="array" ref="CX6">_xll.EQNXTDZ($A$1,$B6,CX$1)</f>
        <v>225</v>
      </c>
      <c r="CY6" cm="1">
        <f t="array" ref="CY6">_xll.EQNXTDZ($A$1,$B6,CY$1)</f>
        <v>292</v>
      </c>
      <c r="CZ6" cm="1">
        <f t="array" ref="CZ6">_xll.EQNXTDZ($A$1,$B6,CZ$1)</f>
        <v>319.5</v>
      </c>
      <c r="DA6" cm="1">
        <f t="array" ref="DA6">_xll.EQNXTDZ($A$1,$B6,DA$1)</f>
        <v>320.05</v>
      </c>
      <c r="DB6" cm="1">
        <f t="array" ref="DB6">_xll.EQNXTDZ($A$1,$B6,DB$1)</f>
        <v>354.8</v>
      </c>
      <c r="DC6" cm="1">
        <f t="array" ref="DC6">_xll.EQNXTDZ($A$1,$B6,DC$1)</f>
        <v>345.25</v>
      </c>
      <c r="DD6" cm="1">
        <f t="array" ref="DD6">_xll.EQNXTDZ($A$1,$B6,DD$1)</f>
        <v>352.35</v>
      </c>
      <c r="DE6" cm="1">
        <f t="array" ref="DE6">_xll.EQNXTDZ($A$1,$B6,DE$1)</f>
        <v>362</v>
      </c>
      <c r="DF6" cm="1">
        <f t="array" ref="DF6">_xll.EQNXTDZ($A$1,$B6,DF$1)</f>
        <v>457.8</v>
      </c>
      <c r="DG6" cm="1">
        <f t="array" ref="DG6">_xll.EQNXTDZ($A$1,$B6,DG$1)</f>
        <v>525.79999999999995</v>
      </c>
      <c r="DH6" cm="1">
        <f t="array" ref="DH6">_xll.EQNXTDZ($A$1,$B6,DH$1)</f>
        <v>691</v>
      </c>
      <c r="DI6" cm="1">
        <f t="array" ref="DI6">_xll.EQNXTDZ($A$1,$B6,DI$1)</f>
        <v>649</v>
      </c>
      <c r="DJ6" cm="1">
        <f t="array" ref="DJ6">_xll.EQNXTDZ($A$1,$B6,DJ$1)</f>
        <v>669.6</v>
      </c>
      <c r="DK6" cm="1">
        <f t="array" ref="DK6">_xll.EQNXTDZ($A$1,$B6,DK$1)</f>
        <v>618.79999999999995</v>
      </c>
      <c r="DL6" cm="1">
        <f t="array" ref="DL6">_xll.EQNXTDZ($A$1,$B6,DL$1)</f>
        <v>520</v>
      </c>
      <c r="DM6" cm="1">
        <f t="array" ref="DM6">_xll.EQNXTDZ($A$1,$B6,DM$1)</f>
        <v>510.8</v>
      </c>
      <c r="DN6" cm="1">
        <f t="array" ref="DN6">_xll.EQNXTDZ($A$1,$B6,DN$1)</f>
        <v>543.5</v>
      </c>
      <c r="DO6" cm="1">
        <f t="array" ref="DO6">_xll.EQNXTDZ($A$1,$B6,DO$1)</f>
        <v>506</v>
      </c>
      <c r="DP6" cm="1">
        <f t="array" ref="DP6">_xll.EQNXTDZ($A$1,$B6,DP$1)</f>
        <v>535.54999999999995</v>
      </c>
      <c r="DQ6" cm="1">
        <f t="array" ref="DQ6">_xll.EQNXTDZ($A$1,$B6,DQ$1)</f>
        <v>590</v>
      </c>
      <c r="DR6" cm="1">
        <f t="array" ref="DR6">_xll.EQNXTDZ($A$1,$B6,DR$1)</f>
        <v>582</v>
      </c>
      <c r="DS6" cm="1">
        <f t="array" ref="DS6">_xll.EQNXTDZ($A$1,$B6,DS$1)</f>
        <v>565</v>
      </c>
      <c r="DT6" cm="1">
        <f t="array" ref="DT6">_xll.EQNXTDZ($A$1,$B6,DT$1)</f>
        <v>464</v>
      </c>
      <c r="DU6" cm="1">
        <f t="array" ref="DU6">_xll.EQNXTDZ($A$1,$B6,DU$1)</f>
        <v>525.1</v>
      </c>
      <c r="DV6" cm="1">
        <f t="array" ref="DV6">_xll.EQNXTDZ($A$1,$B6,DV$1)</f>
        <v>575.65</v>
      </c>
      <c r="DW6" cm="1">
        <f t="array" ref="DW6">_xll.EQNXTDZ($A$1,$B6,DW$1)</f>
        <v>510</v>
      </c>
      <c r="DX6" cm="1">
        <f t="array" ref="DX6">_xll.EQNXTDZ($A$1,$B6,DX$1)</f>
        <v>457</v>
      </c>
      <c r="DY6" cm="1">
        <f t="array" ref="DY6">_xll.EQNXTDZ($A$1,$B6,DY$1)</f>
        <v>419.95</v>
      </c>
      <c r="DZ6" cm="1">
        <f t="array" ref="DZ6">_xll.EQNXTDZ($A$1,$B6,DZ$1)</f>
        <v>376.95</v>
      </c>
      <c r="EA6" cm="1">
        <f t="array" ref="EA6">_xll.EQNXTDZ($A$1,$B6,EA$1)</f>
        <v>330.4</v>
      </c>
      <c r="EB6" cm="1">
        <f t="array" ref="EB6">_xll.EQNXTDZ($A$1,$B6,EB$1)</f>
        <v>314.35000000000002</v>
      </c>
      <c r="EC6" cm="1">
        <f t="array" ref="EC6">_xll.EQNXTDZ($A$1,$B6,EC$1)</f>
        <v>295.05</v>
      </c>
      <c r="ED6" cm="1">
        <f t="array" ref="ED6">_xll.EQNXTDZ($A$1,$B6,ED$1)</f>
        <v>308</v>
      </c>
      <c r="EE6" cm="1">
        <f t="array" ref="EE6">_xll.EQNXTDZ($A$1,$B6,EE$1)</f>
        <v>334.65</v>
      </c>
      <c r="EF6" cm="1">
        <f t="array" ref="EF6">_xll.EQNXTDZ($A$1,$B6,EF$1)</f>
        <v>368</v>
      </c>
      <c r="EG6" cm="1">
        <f t="array" ref="EG6">_xll.EQNXTDZ($A$1,$B6,EG$1)</f>
        <v>353.75</v>
      </c>
      <c r="EH6" cm="1">
        <f t="array" ref="EH6">_xll.EQNXTDZ($A$1,$B6,EH$1)</f>
        <v>402</v>
      </c>
      <c r="EI6" cm="1">
        <f t="array" ref="EI6">_xll.EQNXTDZ($A$1,$B6,EI$1)</f>
        <v>395.4</v>
      </c>
      <c r="EJ6" cm="1">
        <f t="array" ref="EJ6">_xll.EQNXTDZ($A$1,$B6,EJ$1)</f>
        <v>362</v>
      </c>
      <c r="EK6" cm="1">
        <f t="array" ref="EK6">_xll.EQNXTDZ($A$1,$B6,EK$1)</f>
        <v>383</v>
      </c>
      <c r="EL6" cm="1">
        <f t="array" ref="EL6">_xll.EQNXTDZ($A$1,$B6,EL$1)</f>
        <v>431</v>
      </c>
      <c r="EM6" cm="1">
        <f t="array" ref="EM6">_xll.EQNXTDZ($A$1,$B6,EM$1)</f>
        <v>381.35</v>
      </c>
      <c r="EN6" cm="1">
        <f t="array" ref="EN6">_xll.EQNXTDZ($A$1,$B6,EN$1)</f>
        <v>408.25</v>
      </c>
      <c r="EO6" cm="1">
        <f t="array" ref="EO6">_xll.EQNXTDZ($A$1,$B6,EO$1)</f>
        <v>394.5</v>
      </c>
      <c r="EP6" cm="1">
        <f t="array" ref="EP6">_xll.EQNXTDZ($A$1,$B6,EP$1)</f>
        <v>454.7</v>
      </c>
      <c r="EQ6" cm="1">
        <f t="array" ref="EQ6">_xll.EQNXTDZ($A$1,$B6,EQ$1)</f>
        <v>425.1</v>
      </c>
      <c r="ER6" cm="1">
        <f t="array" ref="ER6">_xll.EQNXTDZ($A$1,$B6,ER$1)</f>
        <v>428.9</v>
      </c>
      <c r="ES6" cm="1">
        <f t="array" ref="ES6">_xll.EQNXTDZ($A$1,$B6,ES$1)</f>
        <v>465</v>
      </c>
      <c r="ET6" cm="1">
        <f t="array" ref="ET6">_xll.EQNXTDZ($A$1,$B6,ET$1)</f>
        <v>470.4</v>
      </c>
      <c r="EU6" cm="1">
        <f t="array" ref="EU6">_xll.EQNXTDZ($A$1,$B6,EU$1)</f>
        <v>462.95</v>
      </c>
      <c r="EV6" cm="1">
        <f t="array" ref="EV6">_xll.EQNXTDZ($A$1,$B6,EV$1)</f>
        <v>493.2</v>
      </c>
      <c r="EW6" cm="1">
        <f t="array" ref="EW6">_xll.EQNXTDZ($A$1,$B6,EW$1)</f>
        <v>564</v>
      </c>
      <c r="EX6" cm="1">
        <f t="array" ref="EX6">_xll.EQNXTDZ($A$1,$B6,EX$1)</f>
        <v>605.04999999999995</v>
      </c>
      <c r="EY6" cm="1">
        <f t="array" ref="EY6">_xll.EQNXTDZ($A$1,$B6,EY$1)</f>
        <v>582</v>
      </c>
      <c r="EZ6" cm="1">
        <f t="array" ref="EZ6">_xll.EQNXTDZ($A$1,$B6,EZ$1)</f>
        <v>527.95000000000005</v>
      </c>
      <c r="FA6" cm="1">
        <f t="array" ref="FA6">_xll.EQNXTDZ($A$1,$B6,FA$1)</f>
        <v>611</v>
      </c>
      <c r="FB6" cm="1">
        <f t="array" ref="FB6">_xll.EQNXTDZ($A$1,$B6,FB$1)</f>
        <v>605.95000000000005</v>
      </c>
      <c r="FC6" cm="1">
        <f t="array" ref="FC6">_xll.EQNXTDZ($A$1,$B6,FC$1)</f>
        <v>610</v>
      </c>
      <c r="FD6" cm="1">
        <f t="array" ref="FD6">_xll.EQNXTDZ($A$1,$B6,FD$1)</f>
        <v>730</v>
      </c>
      <c r="FE6" cm="1">
        <f t="array" ref="FE6">_xll.EQNXTDZ($A$1,$B6,FE$1)</f>
        <v>874.3</v>
      </c>
      <c r="FF6" cm="1">
        <f t="array" ref="FF6">_xll.EQNXTDZ($A$1,$B6,FF$1)</f>
        <v>856.75</v>
      </c>
      <c r="FG6" cm="1">
        <f t="array" ref="FG6">_xll.EQNXTDZ($A$1,$B6,FG$1)</f>
        <v>845</v>
      </c>
      <c r="FH6" cm="1">
        <f t="array" ref="FH6">_xll.EQNXTDZ($A$1,$B6,FH$1)</f>
        <v>957.95</v>
      </c>
      <c r="FI6" cm="1">
        <f t="array" ref="FI6">_xll.EQNXTDZ($A$1,$B6,FI$1)</f>
        <v>1035</v>
      </c>
      <c r="FJ6" cm="1">
        <f t="array" ref="FJ6">_xll.EQNXTDZ($A$1,$B6,FJ$1)</f>
        <v>1108</v>
      </c>
      <c r="FK6" cm="1">
        <f t="array" ref="FK6">_xll.EQNXTDZ($A$1,$B6,FK$1)</f>
        <v>970</v>
      </c>
      <c r="FL6" cm="1">
        <f t="array" ref="FL6">_xll.EQNXTDZ($A$1,$B6,FL$1)</f>
        <v>1030</v>
      </c>
      <c r="FM6" cm="1">
        <f t="array" ref="FM6">_xll.EQNXTDZ($A$1,$B6,FM$1)</f>
        <v>1020.1</v>
      </c>
      <c r="FN6" cm="1">
        <f t="array" ref="FN6">_xll.EQNXTDZ($A$1,$B6,FN$1)</f>
        <v>1102.2</v>
      </c>
      <c r="FO6" cm="1">
        <f t="array" ref="FO6">_xll.EQNXTDZ($A$1,$B6,FO$1)</f>
        <v>1372.4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99.78</v>
      </c>
      <c r="BF7" s="116" cm="1">
        <f t="array" ref="BF7">_xll.EQNXTDZ($A$1,$B7,BF$1)</f>
        <v>99.94</v>
      </c>
      <c r="BG7" s="116" cm="1">
        <f t="array" ref="BG7">_xll.EQNXTDZ($A$1,$B7,BG$1)</f>
        <v>117</v>
      </c>
      <c r="BH7" s="116" cm="1">
        <f t="array" ref="BH7">_xll.EQNXTDZ($A$1,$B7,BH$1)</f>
        <v>107.96</v>
      </c>
      <c r="BI7" s="116" cm="1">
        <f t="array" ref="BI7">_xll.EQNXTDZ($A$1,$B7,BI$1)</f>
        <v>106.77</v>
      </c>
      <c r="BJ7" s="116" cm="1">
        <f t="array" ref="BJ7">_xll.EQNXTDZ($A$1,$B7,BJ$1)</f>
        <v>118.78</v>
      </c>
      <c r="BK7" s="116" cm="1">
        <f t="array" ref="BK7">_xll.EQNXTDZ($A$1,$B7,BK$1)</f>
        <v>126.9</v>
      </c>
      <c r="BL7" s="116" cm="1">
        <f t="array" ref="BL7">_xll.EQNXTDZ($A$1,$B7,BL$1)</f>
        <v>128</v>
      </c>
      <c r="BM7" s="116" cm="1">
        <f t="array" ref="BM7">_xll.EQNXTDZ($A$1,$B7,BM$1)</f>
        <v>119</v>
      </c>
      <c r="BN7" s="116" cm="1">
        <f t="array" ref="BN7">_xll.EQNXTDZ($A$1,$B7,BN$1)</f>
        <v>113.6</v>
      </c>
      <c r="BO7" s="116" cm="1">
        <f t="array" ref="BO7">_xll.EQNXTDZ($A$1,$B7,BO$1)</f>
        <v>111.39</v>
      </c>
      <c r="BP7" s="116" cm="1">
        <f t="array" ref="BP7">_xll.EQNXTDZ($A$1,$B7,BP$1)</f>
        <v>111.57</v>
      </c>
      <c r="BQ7" s="116" cm="1">
        <f t="array" ref="BQ7">_xll.EQNXTDZ($A$1,$B7,BQ$1)</f>
        <v>115.98</v>
      </c>
      <c r="BR7" s="116" cm="1">
        <f t="array" ref="BR7">_xll.EQNXTDZ($A$1,$B7,BR$1)</f>
        <v>113</v>
      </c>
      <c r="BS7" s="116" cm="1">
        <f t="array" ref="BS7">_xll.EQNXTDZ($A$1,$B7,BS$1)</f>
        <v>109.98</v>
      </c>
      <c r="BT7" s="116" cm="1">
        <f t="array" ref="BT7">_xll.EQNXTDZ($A$1,$B7,BT$1)</f>
        <v>109.53</v>
      </c>
      <c r="BU7" s="116" cm="1">
        <f t="array" ref="BU7">_xll.EQNXTDZ($A$1,$B7,BU$1)</f>
        <v>104</v>
      </c>
      <c r="BV7" s="116" cm="1">
        <f t="array" ref="BV7">_xll.EQNXTDZ($A$1,$B7,BV$1)</f>
        <v>103.96</v>
      </c>
      <c r="BW7" s="116" cm="1">
        <f t="array" ref="BW7">_xll.EQNXTDZ($A$1,$B7,BW$1)</f>
        <v>101.98</v>
      </c>
      <c r="BX7" s="116" cm="1">
        <f t="array" ref="BX7">_xll.EQNXTDZ($A$1,$B7,BX$1)</f>
        <v>100.62</v>
      </c>
      <c r="BY7" s="116" cm="1">
        <f t="array" ref="BY7">_xll.EQNXTDZ($A$1,$B7,BY$1)</f>
        <v>94.4</v>
      </c>
      <c r="BZ7" s="116" cm="1">
        <f t="array" ref="BZ7">_xll.EQNXTDZ($A$1,$B7,BZ$1)</f>
        <v>89.36</v>
      </c>
      <c r="CA7" s="116" cm="1">
        <f t="array" ref="CA7">_xll.EQNXTDZ($A$1,$B7,CA$1)</f>
        <v>87</v>
      </c>
      <c r="CB7" s="116" cm="1">
        <f t="array" ref="CB7">_xll.EQNXTDZ($A$1,$B7,CB$1)</f>
        <v>80.87</v>
      </c>
      <c r="CC7" s="116" cm="1">
        <f t="array" ref="CC7">_xll.EQNXTDZ($A$1,$B7,CC$1)</f>
        <v>80</v>
      </c>
      <c r="CD7" s="116" cm="1">
        <f t="array" ref="CD7">_xll.EQNXTDZ($A$1,$B7,CD$1)</f>
        <v>77.400000000000006</v>
      </c>
      <c r="CE7" s="116" cm="1">
        <f t="array" ref="CE7">_xll.EQNXTDZ($A$1,$B7,CE$1)</f>
        <v>74.510000000000005</v>
      </c>
      <c r="CF7" s="116" cm="1">
        <f t="array" ref="CF7">_xll.EQNXTDZ($A$1,$B7,CF$1)</f>
        <v>82.41</v>
      </c>
      <c r="CG7" s="116" cm="1">
        <f t="array" ref="CG7">_xll.EQNXTDZ($A$1,$B7,CG$1)</f>
        <v>81.7</v>
      </c>
      <c r="CH7" s="116" cm="1">
        <f t="array" ref="CH7">_xll.EQNXTDZ($A$1,$B7,CH$1)</f>
        <v>81.5</v>
      </c>
      <c r="CI7" s="116" cm="1">
        <f t="array" ref="CI7">_xll.EQNXTDZ($A$1,$B7,CI$1)</f>
        <v>73.19</v>
      </c>
      <c r="CJ7" s="116" cm="1">
        <f t="array" ref="CJ7">_xll.EQNXTDZ($A$1,$B7,CJ$1)</f>
        <v>73.78</v>
      </c>
      <c r="CK7" s="116" cm="1">
        <f t="array" ref="CK7">_xll.EQNXTDZ($A$1,$B7,CK$1)</f>
        <v>69.59</v>
      </c>
      <c r="CL7" s="116" cm="1">
        <f t="array" ref="CL7">_xll.EQNXTDZ($A$1,$B7,CL$1)</f>
        <v>75.38</v>
      </c>
      <c r="CM7" s="116" cm="1">
        <f t="array" ref="CM7">_xll.EQNXTDZ($A$1,$B7,CM$1)</f>
        <v>75.25</v>
      </c>
      <c r="CN7" s="116" cm="1">
        <f t="array" ref="CN7">_xll.EQNXTDZ($A$1,$B7,CN$1)</f>
        <v>83.76</v>
      </c>
      <c r="CO7" s="116" cm="1">
        <f t="array" ref="CO7">_xll.EQNXTDZ($A$1,$B7,CO$1)</f>
        <v>77.31</v>
      </c>
      <c r="CP7" s="116" cm="1">
        <f t="array" ref="CP7">_xll.EQNXTDZ($A$1,$B7,CP$1)</f>
        <v>91.99</v>
      </c>
      <c r="CQ7" s="116" cm="1">
        <f t="array" ref="CQ7">_xll.EQNXTDZ($A$1,$B7,CQ$1)</f>
        <v>90.66</v>
      </c>
      <c r="CR7" s="116" cm="1">
        <f t="array" ref="CR7">_xll.EQNXTDZ($A$1,$B7,CR$1)</f>
        <v>87.56</v>
      </c>
      <c r="CS7" s="116" cm="1">
        <f t="array" ref="CS7">_xll.EQNXTDZ($A$1,$B7,CS$1)</f>
        <v>107.2</v>
      </c>
      <c r="CT7" s="116" cm="1">
        <f t="array" ref="CT7">_xll.EQNXTDZ($A$1,$B7,CT$1)</f>
        <v>105</v>
      </c>
      <c r="CU7" s="116" cm="1">
        <f t="array" ref="CU7">_xll.EQNXTDZ($A$1,$B7,CU$1)</f>
        <v>117.56</v>
      </c>
      <c r="CV7" s="116" cm="1">
        <f t="array" ref="CV7">_xll.EQNXTDZ($A$1,$B7,CV$1)</f>
        <v>189</v>
      </c>
      <c r="CW7" s="116" cm="1">
        <f t="array" ref="CW7">_xll.EQNXTDZ($A$1,$B7,CW$1)</f>
        <v>249.2</v>
      </c>
      <c r="CX7" s="116" cm="1">
        <f t="array" ref="CX7">_xll.EQNXTDZ($A$1,$B7,CX$1)</f>
        <v>310</v>
      </c>
      <c r="CY7" s="116" cm="1">
        <f t="array" ref="CY7">_xll.EQNXTDZ($A$1,$B7,CY$1)</f>
        <v>344.9</v>
      </c>
      <c r="CZ7" s="116" cm="1">
        <f t="array" ref="CZ7">_xll.EQNXTDZ($A$1,$B7,CZ$1)</f>
        <v>321</v>
      </c>
      <c r="DA7" s="116" cm="1">
        <f t="array" ref="DA7">_xll.EQNXTDZ($A$1,$B7,DA$1)</f>
        <v>365.75</v>
      </c>
      <c r="DB7" s="116" cm="1">
        <f t="array" ref="DB7">_xll.EQNXTDZ($A$1,$B7,DB$1)</f>
        <v>385.85</v>
      </c>
      <c r="DC7" s="116" cm="1">
        <f t="array" ref="DC7">_xll.EQNXTDZ($A$1,$B7,DC$1)</f>
        <v>380</v>
      </c>
      <c r="DD7" s="116" cm="1">
        <f t="array" ref="DD7">_xll.EQNXTDZ($A$1,$B7,DD$1)</f>
        <v>382.65</v>
      </c>
      <c r="DE7" s="116" cm="1">
        <f t="array" ref="DE7">_xll.EQNXTDZ($A$1,$B7,DE$1)</f>
        <v>483</v>
      </c>
      <c r="DF7" s="116" cm="1">
        <f t="array" ref="DF7">_xll.EQNXTDZ($A$1,$B7,DF$1)</f>
        <v>527.95000000000005</v>
      </c>
      <c r="DG7" s="116" cm="1">
        <f t="array" ref="DG7">_xll.EQNXTDZ($A$1,$B7,DG$1)</f>
        <v>697.8</v>
      </c>
      <c r="DH7" s="116" cm="1">
        <f t="array" ref="DH7">_xll.EQNXTDZ($A$1,$B7,DH$1)</f>
        <v>693.25</v>
      </c>
      <c r="DI7" s="116" cm="1">
        <f t="array" ref="DI7">_xll.EQNXTDZ($A$1,$B7,DI$1)</f>
        <v>723.75</v>
      </c>
      <c r="DJ7" s="116" cm="1">
        <f t="array" ref="DJ7">_xll.EQNXTDZ($A$1,$B7,DJ$1)</f>
        <v>671</v>
      </c>
      <c r="DK7" s="116" cm="1">
        <f t="array" ref="DK7">_xll.EQNXTDZ($A$1,$B7,DK$1)</f>
        <v>663</v>
      </c>
      <c r="DL7" s="116" cm="1">
        <f t="array" ref="DL7">_xll.EQNXTDZ($A$1,$B7,DL$1)</f>
        <v>555.20000000000005</v>
      </c>
      <c r="DM7" s="116" cm="1">
        <f t="array" ref="DM7">_xll.EQNXTDZ($A$1,$B7,DM$1)</f>
        <v>555</v>
      </c>
      <c r="DN7" s="116" cm="1">
        <f t="array" ref="DN7">_xll.EQNXTDZ($A$1,$B7,DN$1)</f>
        <v>546.65</v>
      </c>
      <c r="DO7" s="116" cm="1">
        <f t="array" ref="DO7">_xll.EQNXTDZ($A$1,$B7,DO$1)</f>
        <v>568</v>
      </c>
      <c r="DP7" s="116" cm="1">
        <f t="array" ref="DP7">_xll.EQNXTDZ($A$1,$B7,DP$1)</f>
        <v>613.9</v>
      </c>
      <c r="DQ7" s="116" cm="1">
        <f t="array" ref="DQ7">_xll.EQNXTDZ($A$1,$B7,DQ$1)</f>
        <v>626.29999999999995</v>
      </c>
      <c r="DR7" s="116" cm="1">
        <f t="array" ref="DR7">_xll.EQNXTDZ($A$1,$B7,DR$1)</f>
        <v>601.95000000000005</v>
      </c>
      <c r="DS7" s="116" cm="1">
        <f t="array" ref="DS7">_xll.EQNXTDZ($A$1,$B7,DS$1)</f>
        <v>572.45000000000005</v>
      </c>
      <c r="DT7" s="116" cm="1">
        <f t="array" ref="DT7">_xll.EQNXTDZ($A$1,$B7,DT$1)</f>
        <v>539</v>
      </c>
      <c r="DU7" s="116" cm="1">
        <f t="array" ref="DU7">_xll.EQNXTDZ($A$1,$B7,DU$1)</f>
        <v>605.5</v>
      </c>
      <c r="DV7" s="116" cm="1">
        <f t="array" ref="DV7">_xll.EQNXTDZ($A$1,$B7,DV$1)</f>
        <v>581.85</v>
      </c>
      <c r="DW7" s="116" cm="1">
        <f t="array" ref="DW7">_xll.EQNXTDZ($A$1,$B7,DW$1)</f>
        <v>533.5</v>
      </c>
      <c r="DX7" s="116" cm="1">
        <f t="array" ref="DX7">_xll.EQNXTDZ($A$1,$B7,DX$1)</f>
        <v>480</v>
      </c>
      <c r="DY7" s="116" cm="1">
        <f t="array" ref="DY7">_xll.EQNXTDZ($A$1,$B7,DY$1)</f>
        <v>426.7</v>
      </c>
      <c r="DZ7" s="116" cm="1">
        <f t="array" ref="DZ7">_xll.EQNXTDZ($A$1,$B7,DZ$1)</f>
        <v>386</v>
      </c>
      <c r="EA7" s="116" cm="1">
        <f t="array" ref="EA7">_xll.EQNXTDZ($A$1,$B7,EA$1)</f>
        <v>347.8</v>
      </c>
      <c r="EB7" s="116" cm="1">
        <f t="array" ref="EB7">_xll.EQNXTDZ($A$1,$B7,EB$1)</f>
        <v>322.75</v>
      </c>
      <c r="EC7" s="116" cm="1">
        <f t="array" ref="EC7">_xll.EQNXTDZ($A$1,$B7,EC$1)</f>
        <v>328.9</v>
      </c>
      <c r="ED7" s="116" cm="1">
        <f t="array" ref="ED7">_xll.EQNXTDZ($A$1,$B7,ED$1)</f>
        <v>341.05</v>
      </c>
      <c r="EE7" s="116" cm="1">
        <f t="array" ref="EE7">_xll.EQNXTDZ($A$1,$B7,EE$1)</f>
        <v>374.95</v>
      </c>
      <c r="EF7" s="116" cm="1">
        <f t="array" ref="EF7">_xll.EQNXTDZ($A$1,$B7,EF$1)</f>
        <v>376.9</v>
      </c>
      <c r="EG7" s="116" cm="1">
        <f t="array" ref="EG7">_xll.EQNXTDZ($A$1,$B7,EG$1)</f>
        <v>418</v>
      </c>
      <c r="EH7" s="116" cm="1">
        <f t="array" ref="EH7">_xll.EQNXTDZ($A$1,$B7,EH$1)</f>
        <v>415.5</v>
      </c>
      <c r="EI7" s="116" cm="1">
        <f t="array" ref="EI7">_xll.EQNXTDZ($A$1,$B7,EI$1)</f>
        <v>411.4</v>
      </c>
      <c r="EJ7" s="116" cm="1">
        <f t="array" ref="EJ7">_xll.EQNXTDZ($A$1,$B7,EJ$1)</f>
        <v>382.9</v>
      </c>
      <c r="EK7" s="116" cm="1">
        <f t="array" ref="EK7">_xll.EQNXTDZ($A$1,$B7,EK$1)</f>
        <v>438.75</v>
      </c>
      <c r="EL7" s="116" cm="1">
        <f t="array" ref="EL7">_xll.EQNXTDZ($A$1,$B7,EL$1)</f>
        <v>444.7</v>
      </c>
      <c r="EM7" s="116" cm="1">
        <f t="array" ref="EM7">_xll.EQNXTDZ($A$1,$B7,EM$1)</f>
        <v>413.3</v>
      </c>
      <c r="EN7" s="116" cm="1">
        <f t="array" ref="EN7">_xll.EQNXTDZ($A$1,$B7,EN$1)</f>
        <v>425.85</v>
      </c>
      <c r="EO7" s="116" cm="1">
        <f t="array" ref="EO7">_xll.EQNXTDZ($A$1,$B7,EO$1)</f>
        <v>471</v>
      </c>
      <c r="EP7" s="116" cm="1">
        <f t="array" ref="EP7">_xll.EQNXTDZ($A$1,$B7,EP$1)</f>
        <v>460.45</v>
      </c>
      <c r="EQ7" s="116" cm="1">
        <f t="array" ref="EQ7">_xll.EQNXTDZ($A$1,$B7,EQ$1)</f>
        <v>447.35</v>
      </c>
      <c r="ER7" s="116" cm="1">
        <f t="array" ref="ER7">_xll.EQNXTDZ($A$1,$B7,ER$1)</f>
        <v>484.3</v>
      </c>
      <c r="ES7" s="116" cm="1">
        <f t="array" ref="ES7">_xll.EQNXTDZ($A$1,$B7,ES$1)</f>
        <v>472</v>
      </c>
      <c r="ET7" s="116" cm="1">
        <f t="array" ref="ET7">_xll.EQNXTDZ($A$1,$B7,ET$1)</f>
        <v>518</v>
      </c>
      <c r="EU7" s="116" cm="1">
        <f t="array" ref="EU7">_xll.EQNXTDZ($A$1,$B7,EU$1)</f>
        <v>495.95</v>
      </c>
      <c r="EV7" s="116" cm="1">
        <f t="array" ref="EV7">_xll.EQNXTDZ($A$1,$B7,EV$1)</f>
        <v>570</v>
      </c>
      <c r="EW7" s="116" cm="1">
        <f t="array" ref="EW7">_xll.EQNXTDZ($A$1,$B7,EW$1)</f>
        <v>604.70000000000005</v>
      </c>
      <c r="EX7" s="116" cm="1">
        <f t="array" ref="EX7">_xll.EQNXTDZ($A$1,$B7,EX$1)</f>
        <v>619.4</v>
      </c>
      <c r="EY7" s="116" cm="1">
        <f t="array" ref="EY7">_xll.EQNXTDZ($A$1,$B7,EY$1)</f>
        <v>646.20000000000005</v>
      </c>
      <c r="EZ7" s="116" cm="1">
        <f t="array" ref="EZ7">_xll.EQNXTDZ($A$1,$B7,EZ$1)</f>
        <v>628</v>
      </c>
      <c r="FA7" s="116" cm="1">
        <f t="array" ref="FA7">_xll.EQNXTDZ($A$1,$B7,FA$1)</f>
        <v>660.9</v>
      </c>
      <c r="FB7" s="116" cm="1">
        <f t="array" ref="FB7">_xll.EQNXTDZ($A$1,$B7,FB$1)</f>
        <v>630</v>
      </c>
      <c r="FC7" s="116" cm="1">
        <f t="array" ref="FC7">_xll.EQNXTDZ($A$1,$B7,FC$1)</f>
        <v>727</v>
      </c>
      <c r="FD7" s="116" cm="1">
        <f t="array" ref="FD7">_xll.EQNXTDZ($A$1,$B7,FD$1)</f>
        <v>922.5</v>
      </c>
      <c r="FE7" s="116" cm="1">
        <f t="array" ref="FE7">_xll.EQNXTDZ($A$1,$B7,FE$1)</f>
        <v>895.05</v>
      </c>
      <c r="FF7" s="116" cm="1">
        <f t="array" ref="FF7">_xll.EQNXTDZ($A$1,$B7,FF$1)</f>
        <v>944</v>
      </c>
      <c r="FG7" s="116" cm="1">
        <f t="array" ref="FG7">_xll.EQNXTDZ($A$1,$B7,FG$1)</f>
        <v>972.55</v>
      </c>
      <c r="FH7" s="116" cm="1">
        <f t="array" ref="FH7">_xll.EQNXTDZ($A$1,$B7,FH$1)</f>
        <v>1033.5</v>
      </c>
      <c r="FI7" s="116" cm="1">
        <f t="array" ref="FI7">_xll.EQNXTDZ($A$1,$B7,FI$1)</f>
        <v>1119</v>
      </c>
      <c r="FJ7" s="116" cm="1">
        <f t="array" ref="FJ7">_xll.EQNXTDZ($A$1,$B7,FJ$1)</f>
        <v>1141</v>
      </c>
      <c r="FK7" s="116" cm="1">
        <f t="array" ref="FK7">_xll.EQNXTDZ($A$1,$B7,FK$1)</f>
        <v>1103.55</v>
      </c>
      <c r="FL7" s="116" cm="1">
        <f t="array" ref="FL7">_xll.EQNXTDZ($A$1,$B7,FL$1)</f>
        <v>1073.9000000000001</v>
      </c>
      <c r="FM7" s="116" cm="1">
        <f t="array" ref="FM7">_xll.EQNXTDZ($A$1,$B7,FM$1)</f>
        <v>1144.8499999999999</v>
      </c>
      <c r="FN7" s="116" cm="1">
        <f t="array" ref="FN7">_xll.EQNXTDZ($A$1,$B7,FN$1)</f>
        <v>1393.4</v>
      </c>
      <c r="FO7" s="116" cm="1">
        <f t="array" ref="FO7">_xll.EQNXTDZ($A$1,$B7,FO$1)</f>
        <v>1457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99.78</v>
      </c>
      <c r="IH7" s="116">
        <f>+MAX(BF7:BH7)</f>
        <v>117</v>
      </c>
      <c r="II7" s="116">
        <f>+MAX(BI7:BK7)</f>
        <v>126.9</v>
      </c>
      <c r="IJ7" s="116">
        <f>+MAX(BL7:BN7)</f>
        <v>128</v>
      </c>
      <c r="IK7" s="116">
        <f>+MAX(BO7:BQ7)</f>
        <v>115.98</v>
      </c>
      <c r="IL7" s="116">
        <f>+MAX(BR7:BT7)</f>
        <v>113</v>
      </c>
      <c r="IM7" s="116">
        <f>+MAX(BU7:BW7)</f>
        <v>104</v>
      </c>
      <c r="IN7" s="116">
        <f>+MAX(BX7:BZ7)</f>
        <v>100.62</v>
      </c>
      <c r="IO7" s="116">
        <f>+MAX(CA7:CC7)</f>
        <v>87</v>
      </c>
      <c r="IP7" s="116">
        <f>+MAX(CD7:CF7)</f>
        <v>82.41</v>
      </c>
      <c r="IQ7" s="116">
        <f>+MAX(CG7:CI7)</f>
        <v>81.7</v>
      </c>
      <c r="IR7" s="116">
        <f>+MAX(CJ7:CL7)</f>
        <v>75.38</v>
      </c>
      <c r="IS7" s="116">
        <f>+MAX(CM7:CO7)</f>
        <v>83.76</v>
      </c>
      <c r="IT7" s="116">
        <f>+MAX(CP7:CR7)</f>
        <v>91.99</v>
      </c>
      <c r="IU7" s="116">
        <f>+MAX(CS7:CU7)</f>
        <v>117.56</v>
      </c>
      <c r="IV7" s="116">
        <f>+MAX(CV7:CX7)</f>
        <v>310</v>
      </c>
      <c r="IW7" s="116">
        <f>+MAX(CY7:DA7)</f>
        <v>365.75</v>
      </c>
      <c r="IX7" s="116">
        <f>+MAX(DB7:DD7)</f>
        <v>385.85</v>
      </c>
      <c r="IY7" s="116">
        <f>+MAX(DE7:DG7)</f>
        <v>697.8</v>
      </c>
      <c r="IZ7" s="116">
        <f>+MAX(DH7:DJ7)</f>
        <v>723.75</v>
      </c>
      <c r="JA7" s="116">
        <f>+MAX(DK7:DM7)</f>
        <v>663</v>
      </c>
      <c r="JB7" s="116">
        <f>+MAX(DN7:DP7)</f>
        <v>613.9</v>
      </c>
      <c r="JC7" s="116">
        <f>+MAX(DQ7:DS7)</f>
        <v>626.29999999999995</v>
      </c>
      <c r="JD7" s="116">
        <f>+MAX(DT7:DV7)</f>
        <v>605.5</v>
      </c>
      <c r="JE7" s="116">
        <f>+MAX(DW7:DY7)</f>
        <v>533.5</v>
      </c>
      <c r="JF7" s="116">
        <f>+MAX(DZ7:EB7)</f>
        <v>386</v>
      </c>
      <c r="JG7" s="116">
        <f>+MAX(EC7:EE7)</f>
        <v>374.95</v>
      </c>
      <c r="JH7" s="116">
        <f>+MAX(EF7:EH7)</f>
        <v>418</v>
      </c>
      <c r="JI7" s="116">
        <f>+MAX(EI7:EK7)</f>
        <v>438.75</v>
      </c>
      <c r="JJ7" s="116">
        <f>+MAX(EL7:EN7)</f>
        <v>444.7</v>
      </c>
      <c r="JK7" s="116">
        <f>MAX(EO7:EQ7)</f>
        <v>471</v>
      </c>
      <c r="JL7" s="116">
        <f>MAX(ER7:ET7)</f>
        <v>518</v>
      </c>
      <c r="JM7" s="116">
        <f>MAX(EU7:EW7)</f>
        <v>604.70000000000005</v>
      </c>
      <c r="JN7" s="116">
        <f>MAX(EX7:EZ7)</f>
        <v>646.20000000000005</v>
      </c>
      <c r="JO7" s="116">
        <f>MAX(FA7:FC7)</f>
        <v>727</v>
      </c>
      <c r="JP7" s="116">
        <f>MAX(FD7:FF7)</f>
        <v>944</v>
      </c>
      <c r="JQ7" s="116">
        <f>MAX(FG7:FI7)</f>
        <v>1119</v>
      </c>
      <c r="JR7" s="116">
        <f>MAX(FJ7:FL7)</f>
        <v>1141</v>
      </c>
      <c r="JS7" s="116">
        <f>MAX(FM7:FO7)</f>
        <v>1457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90.44</v>
      </c>
      <c r="BF8" s="116" cm="1">
        <f t="array" ref="BF8">_xll.EQNXTDZ($A$1,$B8,BF$1)</f>
        <v>92.56</v>
      </c>
      <c r="BG8" s="116" cm="1">
        <f t="array" ref="BG8">_xll.EQNXTDZ($A$1,$B8,BG$1)</f>
        <v>93.4</v>
      </c>
      <c r="BH8" s="116" cm="1">
        <f t="array" ref="BH8">_xll.EQNXTDZ($A$1,$B8,BH$1)</f>
        <v>99.26</v>
      </c>
      <c r="BI8" s="116" cm="1">
        <f t="array" ref="BI8">_xll.EQNXTDZ($A$1,$B8,BI$1)</f>
        <v>100.5</v>
      </c>
      <c r="BJ8" s="116" cm="1">
        <f t="array" ref="BJ8">_xll.EQNXTDZ($A$1,$B8,BJ$1)</f>
        <v>102.61</v>
      </c>
      <c r="BK8" s="116" cm="1">
        <f t="array" ref="BK8">_xll.EQNXTDZ($A$1,$B8,BK$1)</f>
        <v>113.84</v>
      </c>
      <c r="BL8" s="116" cm="1">
        <f t="array" ref="BL8">_xll.EQNXTDZ($A$1,$B8,BL$1)</f>
        <v>114.31</v>
      </c>
      <c r="BM8" s="116" cm="1">
        <f t="array" ref="BM8">_xll.EQNXTDZ($A$1,$B8,BM$1)</f>
        <v>83.78</v>
      </c>
      <c r="BN8" s="116" cm="1">
        <f t="array" ref="BN8">_xll.EQNXTDZ($A$1,$B8,BN$1)</f>
        <v>100.98</v>
      </c>
      <c r="BO8" s="116" cm="1">
        <f t="array" ref="BO8">_xll.EQNXTDZ($A$1,$B8,BO$1)</f>
        <v>100.45</v>
      </c>
      <c r="BP8" s="116" cm="1">
        <f t="array" ref="BP8">_xll.EQNXTDZ($A$1,$B8,BP$1)</f>
        <v>102.94</v>
      </c>
      <c r="BQ8" s="116" cm="1">
        <f t="array" ref="BQ8">_xll.EQNXTDZ($A$1,$B8,BQ$1)</f>
        <v>99.8</v>
      </c>
      <c r="BR8" s="116" cm="1">
        <f t="array" ref="BR8">_xll.EQNXTDZ($A$1,$B8,BR$1)</f>
        <v>101.6</v>
      </c>
      <c r="BS8" s="116" cm="1">
        <f t="array" ref="BS8">_xll.EQNXTDZ($A$1,$B8,BS$1)</f>
        <v>98.24</v>
      </c>
      <c r="BT8" s="116" cm="1">
        <f t="array" ref="BT8">_xll.EQNXTDZ($A$1,$B8,BT$1)</f>
        <v>99</v>
      </c>
      <c r="BU8" s="116" cm="1">
        <f t="array" ref="BU8">_xll.EQNXTDZ($A$1,$B8,BU$1)</f>
        <v>99.38</v>
      </c>
      <c r="BV8" s="116" cm="1">
        <f t="array" ref="BV8">_xll.EQNXTDZ($A$1,$B8,BV$1)</f>
        <v>87.41</v>
      </c>
      <c r="BW8" s="116" cm="1">
        <f t="array" ref="BW8">_xll.EQNXTDZ($A$1,$B8,BW$1)</f>
        <v>89.72</v>
      </c>
      <c r="BX8" s="116" cm="1">
        <f t="array" ref="BX8">_xll.EQNXTDZ($A$1,$B8,BX$1)</f>
        <v>88.04</v>
      </c>
      <c r="BY8" s="116" cm="1">
        <f t="array" ref="BY8">_xll.EQNXTDZ($A$1,$B8,BY$1)</f>
        <v>85.4</v>
      </c>
      <c r="BZ8" s="116" cm="1">
        <f t="array" ref="BZ8">_xll.EQNXTDZ($A$1,$B8,BZ$1)</f>
        <v>82.96</v>
      </c>
      <c r="CA8" s="116" cm="1">
        <f t="array" ref="CA8">_xll.EQNXTDZ($A$1,$B8,CA$1)</f>
        <v>66.06</v>
      </c>
      <c r="CB8" s="116" cm="1">
        <f t="array" ref="CB8">_xll.EQNXTDZ($A$1,$B8,CB$1)</f>
        <v>68.62</v>
      </c>
      <c r="CC8" s="116" cm="1">
        <f t="array" ref="CC8">_xll.EQNXTDZ($A$1,$B8,CC$1)</f>
        <v>73</v>
      </c>
      <c r="CD8" s="116" cm="1">
        <f t="array" ref="CD8">_xll.EQNXTDZ($A$1,$B8,CD$1)</f>
        <v>70.040000000000006</v>
      </c>
      <c r="CE8" s="116" cm="1">
        <f t="array" ref="CE8">_xll.EQNXTDZ($A$1,$B8,CE$1)</f>
        <v>64.27</v>
      </c>
      <c r="CF8" s="116" cm="1">
        <f t="array" ref="CF8">_xll.EQNXTDZ($A$1,$B8,CF$1)</f>
        <v>66.459999999999994</v>
      </c>
      <c r="CG8" s="116" cm="1">
        <f t="array" ref="CG8">_xll.EQNXTDZ($A$1,$B8,CG$1)</f>
        <v>75.45</v>
      </c>
      <c r="CH8" s="116" cm="1">
        <f t="array" ref="CH8">_xll.EQNXTDZ($A$1,$B8,CH$1)</f>
        <v>70.48</v>
      </c>
      <c r="CI8" s="116" cm="1">
        <f t="array" ref="CI8">_xll.EQNXTDZ($A$1,$B8,CI$1)</f>
        <v>64.400000000000006</v>
      </c>
      <c r="CJ8" s="116" cm="1">
        <f t="array" ref="CJ8">_xll.EQNXTDZ($A$1,$B8,CJ$1)</f>
        <v>66.2</v>
      </c>
      <c r="CK8" s="116" cm="1">
        <f t="array" ref="CK8">_xll.EQNXTDZ($A$1,$B8,CK$1)</f>
        <v>62.81</v>
      </c>
      <c r="CL8" s="116" cm="1">
        <f t="array" ref="CL8">_xll.EQNXTDZ($A$1,$B8,CL$1)</f>
        <v>64.2</v>
      </c>
      <c r="CM8" s="116" cm="1">
        <f t="array" ref="CM8">_xll.EQNXTDZ($A$1,$B8,CM$1)</f>
        <v>60.66</v>
      </c>
      <c r="CN8" s="116" cm="1">
        <f t="array" ref="CN8">_xll.EQNXTDZ($A$1,$B8,CN$1)</f>
        <v>65.319999999999993</v>
      </c>
      <c r="CO8" s="116" cm="1">
        <f t="array" ref="CO8">_xll.EQNXTDZ($A$1,$B8,CO$1)</f>
        <v>65.8</v>
      </c>
      <c r="CP8" s="116" cm="1">
        <f t="array" ref="CP8">_xll.EQNXTDZ($A$1,$B8,CP$1)</f>
        <v>71.599999999999994</v>
      </c>
      <c r="CQ8" s="116" cm="1">
        <f t="array" ref="CQ8">_xll.EQNXTDZ($A$1,$B8,CQ$1)</f>
        <v>72</v>
      </c>
      <c r="CR8" s="116" cm="1">
        <f t="array" ref="CR8">_xll.EQNXTDZ($A$1,$B8,CR$1)</f>
        <v>59</v>
      </c>
      <c r="CS8" s="116" cm="1">
        <f t="array" ref="CS8">_xll.EQNXTDZ($A$1,$B8,CS$1)</f>
        <v>63.21</v>
      </c>
      <c r="CT8" s="116" cm="1">
        <f t="array" ref="CT8">_xll.EQNXTDZ($A$1,$B8,CT$1)</f>
        <v>84.33</v>
      </c>
      <c r="CU8" s="116" cm="1">
        <f t="array" ref="CU8">_xll.EQNXTDZ($A$1,$B8,CU$1)</f>
        <v>92.22</v>
      </c>
      <c r="CV8" s="116" cm="1">
        <f t="array" ref="CV8">_xll.EQNXTDZ($A$1,$B8,CV$1)</f>
        <v>103.27</v>
      </c>
      <c r="CW8" s="116" cm="1">
        <f t="array" ref="CW8">_xll.EQNXTDZ($A$1,$B8,CW$1)</f>
        <v>190.4</v>
      </c>
      <c r="CX8" s="116" cm="1">
        <f t="array" ref="CX8">_xll.EQNXTDZ($A$1,$B8,CX$1)</f>
        <v>210.66</v>
      </c>
      <c r="CY8" s="116" cm="1">
        <f t="array" ref="CY8">_xll.EQNXTDZ($A$1,$B8,CY$1)</f>
        <v>268.39999999999998</v>
      </c>
      <c r="CZ8" s="116" cm="1">
        <f t="array" ref="CZ8">_xll.EQNXTDZ($A$1,$B8,CZ$1)</f>
        <v>252</v>
      </c>
      <c r="DA8" s="116" cm="1">
        <f t="array" ref="DA8">_xll.EQNXTDZ($A$1,$B8,DA$1)</f>
        <v>311</v>
      </c>
      <c r="DB8" s="116" cm="1">
        <f t="array" ref="DB8">_xll.EQNXTDZ($A$1,$B8,DB$1)</f>
        <v>340</v>
      </c>
      <c r="DC8" s="116" cm="1">
        <f t="array" ref="DC8">_xll.EQNXTDZ($A$1,$B8,DC$1)</f>
        <v>333.05</v>
      </c>
      <c r="DD8" s="116" cm="1">
        <f t="array" ref="DD8">_xll.EQNXTDZ($A$1,$B8,DD$1)</f>
        <v>334</v>
      </c>
      <c r="DE8" s="116" cm="1">
        <f t="array" ref="DE8">_xll.EQNXTDZ($A$1,$B8,DE$1)</f>
        <v>361.5</v>
      </c>
      <c r="DF8" s="116" cm="1">
        <f t="array" ref="DF8">_xll.EQNXTDZ($A$1,$B8,DF$1)</f>
        <v>456.1</v>
      </c>
      <c r="DG8" s="116" cm="1">
        <f t="array" ref="DG8">_xll.EQNXTDZ($A$1,$B8,DG$1)</f>
        <v>517.1</v>
      </c>
      <c r="DH8" s="116" cm="1">
        <f t="array" ref="DH8">_xll.EQNXTDZ($A$1,$B8,DH$1)</f>
        <v>588</v>
      </c>
      <c r="DI8" s="116" cm="1">
        <f t="array" ref="DI8">_xll.EQNXTDZ($A$1,$B8,DI$1)</f>
        <v>628.1</v>
      </c>
      <c r="DJ8" s="116" cm="1">
        <f t="array" ref="DJ8">_xll.EQNXTDZ($A$1,$B8,DJ$1)</f>
        <v>587.25</v>
      </c>
      <c r="DK8" s="116" cm="1">
        <f t="array" ref="DK8">_xll.EQNXTDZ($A$1,$B8,DK$1)</f>
        <v>488.1</v>
      </c>
      <c r="DL8" s="116" cm="1">
        <f t="array" ref="DL8">_xll.EQNXTDZ($A$1,$B8,DL$1)</f>
        <v>451</v>
      </c>
      <c r="DM8" s="116" cm="1">
        <f t="array" ref="DM8">_xll.EQNXTDZ($A$1,$B8,DM$1)</f>
        <v>468</v>
      </c>
      <c r="DN8" s="116" cm="1">
        <f t="array" ref="DN8">_xll.EQNXTDZ($A$1,$B8,DN$1)</f>
        <v>440</v>
      </c>
      <c r="DO8" s="116" cm="1">
        <f t="array" ref="DO8">_xll.EQNXTDZ($A$1,$B8,DO$1)</f>
        <v>496</v>
      </c>
      <c r="DP8" s="116" cm="1">
        <f t="array" ref="DP8">_xll.EQNXTDZ($A$1,$B8,DP$1)</f>
        <v>521.4</v>
      </c>
      <c r="DQ8" s="116" cm="1">
        <f t="array" ref="DQ8">_xll.EQNXTDZ($A$1,$B8,DQ$1)</f>
        <v>555.29999999999995</v>
      </c>
      <c r="DR8" s="116" cm="1">
        <f t="array" ref="DR8">_xll.EQNXTDZ($A$1,$B8,DR$1)</f>
        <v>513.25</v>
      </c>
      <c r="DS8" s="116" cm="1">
        <f t="array" ref="DS8">_xll.EQNXTDZ($A$1,$B8,DS$1)</f>
        <v>436.8</v>
      </c>
      <c r="DT8" s="116" cm="1">
        <f t="array" ref="DT8">_xll.EQNXTDZ($A$1,$B8,DT$1)</f>
        <v>459.5</v>
      </c>
      <c r="DU8" s="116" cm="1">
        <f t="array" ref="DU8">_xll.EQNXTDZ($A$1,$B8,DU$1)</f>
        <v>517.20000000000005</v>
      </c>
      <c r="DV8" s="116" cm="1">
        <f t="array" ref="DV8">_xll.EQNXTDZ($A$1,$B8,DV$1)</f>
        <v>489.95</v>
      </c>
      <c r="DW8" s="116" cm="1">
        <f t="array" ref="DW8">_xll.EQNXTDZ($A$1,$B8,DW$1)</f>
        <v>443</v>
      </c>
      <c r="DX8" s="116" cm="1">
        <f t="array" ref="DX8">_xll.EQNXTDZ($A$1,$B8,DX$1)</f>
        <v>405.2</v>
      </c>
      <c r="DY8" s="116" cm="1">
        <f t="array" ref="DY8">_xll.EQNXTDZ($A$1,$B8,DY$1)</f>
        <v>368.65</v>
      </c>
      <c r="DZ8" s="116" cm="1">
        <f t="array" ref="DZ8">_xll.EQNXTDZ($A$1,$B8,DZ$1)</f>
        <v>324.05</v>
      </c>
      <c r="EA8" s="116" cm="1">
        <f t="array" ref="EA8">_xll.EQNXTDZ($A$1,$B8,EA$1)</f>
        <v>309.60000000000002</v>
      </c>
      <c r="EB8" s="116" cm="1">
        <f t="array" ref="EB8">_xll.EQNXTDZ($A$1,$B8,EB$1)</f>
        <v>286</v>
      </c>
      <c r="EC8" s="116" cm="1">
        <f t="array" ref="EC8">_xll.EQNXTDZ($A$1,$B8,EC$1)</f>
        <v>278.85000000000002</v>
      </c>
      <c r="ED8" s="116" cm="1">
        <f t="array" ref="ED8">_xll.EQNXTDZ($A$1,$B8,ED$1)</f>
        <v>299.3</v>
      </c>
      <c r="EE8" s="116" cm="1">
        <f t="array" ref="EE8">_xll.EQNXTDZ($A$1,$B8,EE$1)</f>
        <v>325.3</v>
      </c>
      <c r="EF8" s="116" cm="1">
        <f t="array" ref="EF8">_xll.EQNXTDZ($A$1,$B8,EF$1)</f>
        <v>328.15</v>
      </c>
      <c r="EG8" s="116" cm="1">
        <f t="array" ref="EG8">_xll.EQNXTDZ($A$1,$B8,EG$1)</f>
        <v>352</v>
      </c>
      <c r="EH8" s="116" cm="1">
        <f t="array" ref="EH8">_xll.EQNXTDZ($A$1,$B8,EH$1)</f>
        <v>377.25</v>
      </c>
      <c r="EI8" s="116" cm="1">
        <f t="array" ref="EI8">_xll.EQNXTDZ($A$1,$B8,EI$1)</f>
        <v>349.4</v>
      </c>
      <c r="EJ8" s="116" cm="1">
        <f t="array" ref="EJ8">_xll.EQNXTDZ($A$1,$B8,EJ$1)</f>
        <v>356.65</v>
      </c>
      <c r="EK8" s="116" cm="1">
        <f t="array" ref="EK8">_xll.EQNXTDZ($A$1,$B8,EK$1)</f>
        <v>373.1</v>
      </c>
      <c r="EL8" s="116" cm="1">
        <f t="array" ref="EL8">_xll.EQNXTDZ($A$1,$B8,EL$1)</f>
        <v>360.85</v>
      </c>
      <c r="EM8" s="116" cm="1">
        <f t="array" ref="EM8">_xll.EQNXTDZ($A$1,$B8,EM$1)</f>
        <v>379.7</v>
      </c>
      <c r="EN8" s="116" cm="1">
        <f t="array" ref="EN8">_xll.EQNXTDZ($A$1,$B8,EN$1)</f>
        <v>373.1</v>
      </c>
      <c r="EO8" s="116" cm="1">
        <f t="array" ref="EO8">_xll.EQNXTDZ($A$1,$B8,EO$1)</f>
        <v>393.1</v>
      </c>
      <c r="EP8" s="116" cm="1">
        <f t="array" ref="EP8">_xll.EQNXTDZ($A$1,$B8,EP$1)</f>
        <v>416.3</v>
      </c>
      <c r="EQ8" s="116" cm="1">
        <f t="array" ref="EQ8">_xll.EQNXTDZ($A$1,$B8,EQ$1)</f>
        <v>385.45</v>
      </c>
      <c r="ER8" s="116" cm="1">
        <f t="array" ref="ER8">_xll.EQNXTDZ($A$1,$B8,ER$1)</f>
        <v>414</v>
      </c>
      <c r="ES8" s="116" cm="1">
        <f t="array" ref="ES8">_xll.EQNXTDZ($A$1,$B8,ES$1)</f>
        <v>417.7</v>
      </c>
      <c r="ET8" s="116" cm="1">
        <f t="array" ref="ET8">_xll.EQNXTDZ($A$1,$B8,ET$1)</f>
        <v>455.4</v>
      </c>
      <c r="EU8" s="116" cm="1">
        <f t="array" ref="EU8">_xll.EQNXTDZ($A$1,$B8,EU$1)</f>
        <v>427.05</v>
      </c>
      <c r="EV8" s="116" cm="1">
        <f t="array" ref="EV8">_xll.EQNXTDZ($A$1,$B8,EV$1)</f>
        <v>474.05</v>
      </c>
      <c r="EW8" s="116" cm="1">
        <f t="array" ref="EW8">_xll.EQNXTDZ($A$1,$B8,EW$1)</f>
        <v>554.1</v>
      </c>
      <c r="EX8" s="116" cm="1">
        <f t="array" ref="EX8">_xll.EQNXTDZ($A$1,$B8,EX$1)</f>
        <v>501.15</v>
      </c>
      <c r="EY8" s="116" cm="1">
        <f t="array" ref="EY8">_xll.EQNXTDZ($A$1,$B8,EY$1)</f>
        <v>512.35</v>
      </c>
      <c r="EZ8" s="116" cm="1">
        <f t="array" ref="EZ8">_xll.EQNXTDZ($A$1,$B8,EZ$1)</f>
        <v>518.20000000000005</v>
      </c>
      <c r="FA8" s="116" cm="1">
        <f t="array" ref="FA8">_xll.EQNXTDZ($A$1,$B8,FA$1)</f>
        <v>517.65</v>
      </c>
      <c r="FB8" s="116" cm="1">
        <f t="array" ref="FB8">_xll.EQNXTDZ($A$1,$B8,FB$1)</f>
        <v>572.25</v>
      </c>
      <c r="FC8" s="116" cm="1">
        <f t="array" ref="FC8">_xll.EQNXTDZ($A$1,$B8,FC$1)</f>
        <v>606.20000000000005</v>
      </c>
      <c r="FD8" s="116" cm="1">
        <f t="array" ref="FD8">_xll.EQNXTDZ($A$1,$B8,FD$1)</f>
        <v>721.05</v>
      </c>
      <c r="FE8" s="116" cm="1">
        <f t="array" ref="FE8">_xll.EQNXTDZ($A$1,$B8,FE$1)</f>
        <v>810.05</v>
      </c>
      <c r="FF8" s="116" cm="1">
        <f t="array" ref="FF8">_xll.EQNXTDZ($A$1,$B8,FF$1)</f>
        <v>823.1</v>
      </c>
      <c r="FG8" s="116" cm="1">
        <f t="array" ref="FG8">_xll.EQNXTDZ($A$1,$B8,FG$1)</f>
        <v>843</v>
      </c>
      <c r="FH8" s="116" cm="1">
        <f t="array" ref="FH8">_xll.EQNXTDZ($A$1,$B8,FH$1)</f>
        <v>955.7</v>
      </c>
      <c r="FI8" s="116" cm="1">
        <f t="array" ref="FI8">_xll.EQNXTDZ($A$1,$B8,FI$1)</f>
        <v>985.9</v>
      </c>
      <c r="FJ8" s="116" cm="1">
        <f t="array" ref="FJ8">_xll.EQNXTDZ($A$1,$B8,FJ$1)</f>
        <v>951.8</v>
      </c>
      <c r="FK8" s="116" cm="1">
        <f t="array" ref="FK8">_xll.EQNXTDZ($A$1,$B8,FK$1)</f>
        <v>917.95</v>
      </c>
      <c r="FL8" s="116" cm="1">
        <f t="array" ref="FL8">_xll.EQNXTDZ($A$1,$B8,FL$1)</f>
        <v>936.3</v>
      </c>
      <c r="FM8" s="116" cm="1">
        <f t="array" ref="FM8">_xll.EQNXTDZ($A$1,$B8,FM$1)</f>
        <v>994.25</v>
      </c>
      <c r="FN8" s="116" cm="1">
        <f t="array" ref="FN8">_xll.EQNXTDZ($A$1,$B8,FN$1)</f>
        <v>1102</v>
      </c>
      <c r="FO8" s="116" cm="1">
        <f t="array" ref="FO8">_xll.EQNXTDZ($A$1,$B8,FO$1)</f>
        <v>1342.9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92.56</v>
      </c>
      <c r="II8" s="116">
        <f>+MIN(BI8:BK8)</f>
        <v>100.5</v>
      </c>
      <c r="IJ8" s="116">
        <f>+MIN(BL8:BN8)</f>
        <v>83.78</v>
      </c>
      <c r="IK8" s="116">
        <f>+MIN(BO8:BQ8)</f>
        <v>99.8</v>
      </c>
      <c r="IL8" s="116">
        <f>+MIN(BR8:BT8)</f>
        <v>98.24</v>
      </c>
      <c r="IM8" s="116">
        <f>+MIN(BU8:BW8)</f>
        <v>87.41</v>
      </c>
      <c r="IN8" s="116">
        <f>+MIN(BX8:BZ8)</f>
        <v>82.96</v>
      </c>
      <c r="IO8" s="116">
        <f>+MIN(CA8:CC8)</f>
        <v>66.06</v>
      </c>
      <c r="IP8" s="116">
        <f>+MIN(CD8:CF8)</f>
        <v>64.27</v>
      </c>
      <c r="IQ8" s="116">
        <f>+MIN(CG8:CI8)</f>
        <v>64.400000000000006</v>
      </c>
      <c r="IR8" s="116">
        <f>+MIN(CJ8:CL8)</f>
        <v>62.81</v>
      </c>
      <c r="IS8" s="116">
        <f>+MIN(CM8:CO8)</f>
        <v>60.66</v>
      </c>
      <c r="IT8" s="116">
        <f>+MIN(CP8:CR8)</f>
        <v>59</v>
      </c>
      <c r="IU8" s="116">
        <f>+MIN(CS8:CU8)</f>
        <v>63.21</v>
      </c>
      <c r="IV8" s="116">
        <f>+MIN(CV8:CX8)</f>
        <v>103.27</v>
      </c>
      <c r="IW8" s="116">
        <f>+MIN(CY8:DA8)</f>
        <v>252</v>
      </c>
      <c r="IX8" s="116">
        <f>+MIN(DB8:DD8)</f>
        <v>333.05</v>
      </c>
      <c r="IY8" s="116">
        <f>+MIN(DE8:DG8)</f>
        <v>361.5</v>
      </c>
      <c r="IZ8" s="116">
        <f>+MIN(DH8:DJ8)</f>
        <v>587.25</v>
      </c>
      <c r="JA8" s="116">
        <f>+MIN(DK8:DM8)</f>
        <v>451</v>
      </c>
      <c r="JB8" s="116">
        <f>+MIN(DN8:DP8)</f>
        <v>440</v>
      </c>
      <c r="JC8" s="116">
        <f>+MIN(DQ8:DS8)</f>
        <v>436.8</v>
      </c>
      <c r="JD8" s="116">
        <f>+MIN(DT8:DV8)</f>
        <v>459.5</v>
      </c>
      <c r="JE8" s="116">
        <f>+MIN(DW8:DY8)</f>
        <v>368.65</v>
      </c>
      <c r="JF8" s="116">
        <f>+MIN(DZ8:EB8)</f>
        <v>286</v>
      </c>
      <c r="JG8" s="116">
        <f>+MIN(EC8:EE8)</f>
        <v>278.85000000000002</v>
      </c>
      <c r="JH8" s="116">
        <f>+MIN(EF8:EH8)</f>
        <v>328.15</v>
      </c>
      <c r="JI8" s="116">
        <f>+MIN(EI8:EK8)</f>
        <v>349.4</v>
      </c>
      <c r="JJ8" s="116">
        <f>+MIN(EL8:EN8)</f>
        <v>360.85</v>
      </c>
      <c r="JK8" s="116">
        <f>MIN(EO8:EQ8)</f>
        <v>385.45</v>
      </c>
      <c r="JL8" s="116">
        <f>MIN(ER8:ET8)</f>
        <v>414</v>
      </c>
      <c r="JM8" s="116">
        <f>MIN(EU8:EW8)</f>
        <v>427.05</v>
      </c>
      <c r="JN8" s="116">
        <f>MIN(EX8:EZ8)</f>
        <v>501.15</v>
      </c>
      <c r="JO8" s="116">
        <f>MIN(FA8:FC8)</f>
        <v>517.65</v>
      </c>
      <c r="JP8" s="116">
        <f>MIN(FD8:FF8)</f>
        <v>721.05</v>
      </c>
      <c r="JQ8" s="116">
        <f>MIN(FG8:FI8)</f>
        <v>843</v>
      </c>
      <c r="JR8" s="116">
        <f>MIN(FJ8:FL8)</f>
        <v>917.95</v>
      </c>
      <c r="JS8" s="116">
        <f>MIN(FM8:FO8)</f>
        <v>994.25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96.17</v>
      </c>
      <c r="BF9" s="116" cm="1">
        <f t="array" ref="BF9">_xll.EQNXTDZ($A$1,$B9,BF$1)</f>
        <v>94.95</v>
      </c>
      <c r="BG9" s="116" cm="1">
        <f t="array" ref="BG9">_xll.EQNXTDZ($A$1,$B9,BG$1)</f>
        <v>101.99</v>
      </c>
      <c r="BH9" s="116" cm="1">
        <f t="array" ref="BH9">_xll.EQNXTDZ($A$1,$B9,BH$1)</f>
        <v>103.24</v>
      </c>
      <c r="BI9" s="116" cm="1">
        <f t="array" ref="BI9">_xll.EQNXTDZ($A$1,$B9,BI$1)</f>
        <v>103.98</v>
      </c>
      <c r="BJ9" s="116" cm="1">
        <f t="array" ref="BJ9">_xll.EQNXTDZ($A$1,$B9,BJ$1)</f>
        <v>114.5</v>
      </c>
      <c r="BK9" s="116" cm="1">
        <f t="array" ref="BK9">_xll.EQNXTDZ($A$1,$B9,BK$1)</f>
        <v>123.03</v>
      </c>
      <c r="BL9" s="116" cm="1">
        <f t="array" ref="BL9">_xll.EQNXTDZ($A$1,$B9,BL$1)</f>
        <v>116.14</v>
      </c>
      <c r="BM9" s="116" cm="1">
        <f t="array" ref="BM9">_xll.EQNXTDZ($A$1,$B9,BM$1)</f>
        <v>105.47</v>
      </c>
      <c r="BN9" s="116" cm="1">
        <f t="array" ref="BN9">_xll.EQNXTDZ($A$1,$B9,BN$1)</f>
        <v>101.43</v>
      </c>
      <c r="BO9" s="116" cm="1">
        <f t="array" ref="BO9">_xll.EQNXTDZ($A$1,$B9,BO$1)</f>
        <v>107.68</v>
      </c>
      <c r="BP9" s="116" cm="1">
        <f t="array" ref="BP9">_xll.EQNXTDZ($A$1,$B9,BP$1)</f>
        <v>105.08</v>
      </c>
      <c r="BQ9" s="116" cm="1">
        <f t="array" ref="BQ9">_xll.EQNXTDZ($A$1,$B9,BQ$1)</f>
        <v>108.58</v>
      </c>
      <c r="BR9" s="116" cm="1">
        <f t="array" ref="BR9">_xll.EQNXTDZ($A$1,$B9,BR$1)</f>
        <v>103.32</v>
      </c>
      <c r="BS9" s="116" cm="1">
        <f t="array" ref="BS9">_xll.EQNXTDZ($A$1,$B9,BS$1)</f>
        <v>108.71</v>
      </c>
      <c r="BT9" s="116" cm="1">
        <f t="array" ref="BT9">_xll.EQNXTDZ($A$1,$B9,BT$1)</f>
        <v>100.57</v>
      </c>
      <c r="BU9" s="116" cm="1">
        <f t="array" ref="BU9">_xll.EQNXTDZ($A$1,$B9,BU$1)</f>
        <v>102.26</v>
      </c>
      <c r="BV9" s="116" cm="1">
        <f t="array" ref="BV9">_xll.EQNXTDZ($A$1,$B9,BV$1)</f>
        <v>94.39</v>
      </c>
      <c r="BW9" s="116" cm="1">
        <f t="array" ref="BW9">_xll.EQNXTDZ($A$1,$B9,BW$1)</f>
        <v>92.38</v>
      </c>
      <c r="BX9" s="116" cm="1">
        <f t="array" ref="BX9">_xll.EQNXTDZ($A$1,$B9,BX$1)</f>
        <v>90.94</v>
      </c>
      <c r="BY9" s="116" cm="1">
        <f t="array" ref="BY9">_xll.EQNXTDZ($A$1,$B9,BY$1)</f>
        <v>87.69</v>
      </c>
      <c r="BZ9" s="116" cm="1">
        <f t="array" ref="BZ9">_xll.EQNXTDZ($A$1,$B9,BZ$1)</f>
        <v>86.54</v>
      </c>
      <c r="CA9" s="116" cm="1">
        <f t="array" ref="CA9">_xll.EQNXTDZ($A$1,$B9,CA$1)</f>
        <v>68.17</v>
      </c>
      <c r="CB9" s="116" cm="1">
        <f t="array" ref="CB9">_xll.EQNXTDZ($A$1,$B9,CB$1)</f>
        <v>76.8</v>
      </c>
      <c r="CC9" s="116" cm="1">
        <f t="array" ref="CC9">_xll.EQNXTDZ($A$1,$B9,CC$1)</f>
        <v>75.91</v>
      </c>
      <c r="CD9" s="116" cm="1">
        <f t="array" ref="CD9">_xll.EQNXTDZ($A$1,$B9,CD$1)</f>
        <v>74.06</v>
      </c>
      <c r="CE9" s="116" cm="1">
        <f t="array" ref="CE9">_xll.EQNXTDZ($A$1,$B9,CE$1)</f>
        <v>66.69</v>
      </c>
      <c r="CF9" s="116" cm="1">
        <f t="array" ref="CF9">_xll.EQNXTDZ($A$1,$B9,CF$1)</f>
        <v>79.91</v>
      </c>
      <c r="CG9" s="116" cm="1">
        <f t="array" ref="CG9">_xll.EQNXTDZ($A$1,$B9,CG$1)</f>
        <v>76.459999999999994</v>
      </c>
      <c r="CH9" s="116" cm="1">
        <f t="array" ref="CH9">_xll.EQNXTDZ($A$1,$B9,CH$1)</f>
        <v>72.11</v>
      </c>
      <c r="CI9" s="116" cm="1">
        <f t="array" ref="CI9">_xll.EQNXTDZ($A$1,$B9,CI$1)</f>
        <v>67.34</v>
      </c>
      <c r="CJ9" s="116" cm="1">
        <f t="array" ref="CJ9">_xll.EQNXTDZ($A$1,$B9,CJ$1)</f>
        <v>67.180000000000007</v>
      </c>
      <c r="CK9" s="116" cm="1">
        <f t="array" ref="CK9">_xll.EQNXTDZ($A$1,$B9,CK$1)</f>
        <v>65.75</v>
      </c>
      <c r="CL9" s="116" cm="1">
        <f t="array" ref="CL9">_xll.EQNXTDZ($A$1,$B9,CL$1)</f>
        <v>74.87</v>
      </c>
      <c r="CM9" s="116" cm="1">
        <f t="array" ref="CM9">_xll.EQNXTDZ($A$1,$B9,CM$1)</f>
        <v>73.959999999999994</v>
      </c>
      <c r="CN9" s="116" cm="1">
        <f t="array" ref="CN9">_xll.EQNXTDZ($A$1,$B9,CN$1)</f>
        <v>70.05</v>
      </c>
      <c r="CO9" s="116" cm="1">
        <f t="array" ref="CO9">_xll.EQNXTDZ($A$1,$B9,CO$1)</f>
        <v>71.95</v>
      </c>
      <c r="CP9" s="116" cm="1">
        <f t="array" ref="CP9">_xll.EQNXTDZ($A$1,$B9,CP$1)</f>
        <v>86.07</v>
      </c>
      <c r="CQ9" s="116" cm="1">
        <f t="array" ref="CQ9">_xll.EQNXTDZ($A$1,$B9,CQ$1)</f>
        <v>82.71</v>
      </c>
      <c r="CR9" s="116" cm="1">
        <f t="array" ref="CR9">_xll.EQNXTDZ($A$1,$B9,CR$1)</f>
        <v>64.959999999999994</v>
      </c>
      <c r="CS9" s="116" cm="1">
        <f t="array" ref="CS9">_xll.EQNXTDZ($A$1,$B9,CS$1)</f>
        <v>102.5</v>
      </c>
      <c r="CT9" s="116" cm="1">
        <f t="array" ref="CT9">_xll.EQNXTDZ($A$1,$B9,CT$1)</f>
        <v>93.69</v>
      </c>
      <c r="CU9" s="116" cm="1">
        <f t="array" ref="CU9">_xll.EQNXTDZ($A$1,$B9,CU$1)</f>
        <v>103.89</v>
      </c>
      <c r="CV9" s="116" cm="1">
        <f t="array" ref="CV9">_xll.EQNXTDZ($A$1,$B9,CV$1)</f>
        <v>186.65</v>
      </c>
      <c r="CW9" s="116" cm="1">
        <f t="array" ref="CW9">_xll.EQNXTDZ($A$1,$B9,CW$1)</f>
        <v>226.66</v>
      </c>
      <c r="CX9" s="116" cm="1">
        <f t="array" ref="CX9">_xll.EQNXTDZ($A$1,$B9,CX$1)</f>
        <v>287.14999999999998</v>
      </c>
      <c r="CY9" s="116" cm="1">
        <f t="array" ref="CY9">_xll.EQNXTDZ($A$1,$B9,CY$1)</f>
        <v>319.39999999999998</v>
      </c>
      <c r="CZ9" s="116" cm="1">
        <f t="array" ref="CZ9">_xll.EQNXTDZ($A$1,$B9,CZ$1)</f>
        <v>316.85000000000002</v>
      </c>
      <c r="DA9" s="116" cm="1">
        <f t="array" ref="DA9">_xll.EQNXTDZ($A$1,$B9,DA$1)</f>
        <v>353.15</v>
      </c>
      <c r="DB9" s="116" cm="1">
        <f t="array" ref="DB9">_xll.EQNXTDZ($A$1,$B9,DB$1)</f>
        <v>345.35</v>
      </c>
      <c r="DC9" s="116" cm="1">
        <f t="array" ref="DC9">_xll.EQNXTDZ($A$1,$B9,DC$1)</f>
        <v>350.15</v>
      </c>
      <c r="DD9" s="116" cm="1">
        <f t="array" ref="DD9">_xll.EQNXTDZ($A$1,$B9,DD$1)</f>
        <v>362</v>
      </c>
      <c r="DE9" s="116" cm="1">
        <f t="array" ref="DE9">_xll.EQNXTDZ($A$1,$B9,DE$1)</f>
        <v>452.75</v>
      </c>
      <c r="DF9" s="116" cm="1">
        <f t="array" ref="DF9">_xll.EQNXTDZ($A$1,$B9,DF$1)</f>
        <v>523.75</v>
      </c>
      <c r="DG9" s="116" cm="1">
        <f t="array" ref="DG9">_xll.EQNXTDZ($A$1,$B9,DG$1)</f>
        <v>688.65</v>
      </c>
      <c r="DH9" s="116" cm="1">
        <f t="array" ref="DH9">_xll.EQNXTDZ($A$1,$B9,DH$1)</f>
        <v>641.5</v>
      </c>
      <c r="DI9" s="116" cm="1">
        <f t="array" ref="DI9">_xll.EQNXTDZ($A$1,$B9,DI$1)</f>
        <v>666.6</v>
      </c>
      <c r="DJ9" s="116" cm="1">
        <f t="array" ref="DJ9">_xll.EQNXTDZ($A$1,$B9,DJ$1)</f>
        <v>616.45000000000005</v>
      </c>
      <c r="DK9" s="116" cm="1">
        <f t="array" ref="DK9">_xll.EQNXTDZ($A$1,$B9,DK$1)</f>
        <v>515.79999999999995</v>
      </c>
      <c r="DL9" s="116" cm="1">
        <f t="array" ref="DL9">_xll.EQNXTDZ($A$1,$B9,DL$1)</f>
        <v>508.65</v>
      </c>
      <c r="DM9" s="116" cm="1">
        <f t="array" ref="DM9">_xll.EQNXTDZ($A$1,$B9,DM$1)</f>
        <v>538.9</v>
      </c>
      <c r="DN9" s="116" cm="1">
        <f t="array" ref="DN9">_xll.EQNXTDZ($A$1,$B9,DN$1)</f>
        <v>502.7</v>
      </c>
      <c r="DO9" s="116" cm="1">
        <f t="array" ref="DO9">_xll.EQNXTDZ($A$1,$B9,DO$1)</f>
        <v>541.54999999999995</v>
      </c>
      <c r="DP9" s="116" cm="1">
        <f t="array" ref="DP9">_xll.EQNXTDZ($A$1,$B9,DP$1)</f>
        <v>590.1</v>
      </c>
      <c r="DQ9" s="116" cm="1">
        <f t="array" ref="DQ9">_xll.EQNXTDZ($A$1,$B9,DQ$1)</f>
        <v>583.35</v>
      </c>
      <c r="DR9" s="116" cm="1">
        <f t="array" ref="DR9">_xll.EQNXTDZ($A$1,$B9,DR$1)</f>
        <v>567.45000000000005</v>
      </c>
      <c r="DS9" s="116" cm="1">
        <f t="array" ref="DS9">_xll.EQNXTDZ($A$1,$B9,DS$1)</f>
        <v>464.7</v>
      </c>
      <c r="DT9" s="116" cm="1">
        <f t="array" ref="DT9">_xll.EQNXTDZ($A$1,$B9,DT$1)</f>
        <v>522.70000000000005</v>
      </c>
      <c r="DU9" s="116" cm="1">
        <f t="array" ref="DU9">_xll.EQNXTDZ($A$1,$B9,DU$1)</f>
        <v>579.04999999999995</v>
      </c>
      <c r="DV9" s="116" cm="1">
        <f t="array" ref="DV9">_xll.EQNXTDZ($A$1,$B9,DV$1)</f>
        <v>513</v>
      </c>
      <c r="DW9" s="116" cm="1">
        <f t="array" ref="DW9">_xll.EQNXTDZ($A$1,$B9,DW$1)</f>
        <v>454.55</v>
      </c>
      <c r="DX9" s="116" cm="1">
        <f t="array" ref="DX9">_xll.EQNXTDZ($A$1,$B9,DX$1)</f>
        <v>417.45</v>
      </c>
      <c r="DY9" s="116" cm="1">
        <f t="array" ref="DY9">_xll.EQNXTDZ($A$1,$B9,DY$1)</f>
        <v>375.25</v>
      </c>
      <c r="DZ9" s="116" cm="1">
        <f t="array" ref="DZ9">_xll.EQNXTDZ($A$1,$B9,DZ$1)</f>
        <v>330.3</v>
      </c>
      <c r="EA9" s="116" cm="1">
        <f t="array" ref="EA9">_xll.EQNXTDZ($A$1,$B9,EA$1)</f>
        <v>314.35000000000002</v>
      </c>
      <c r="EB9" s="116" cm="1">
        <f t="array" ref="EB9">_xll.EQNXTDZ($A$1,$B9,EB$1)</f>
        <v>292.95</v>
      </c>
      <c r="EC9" s="116" cm="1">
        <f t="array" ref="EC9">_xll.EQNXTDZ($A$1,$B9,EC$1)</f>
        <v>307.60000000000002</v>
      </c>
      <c r="ED9" s="116" cm="1">
        <f t="array" ref="ED9">_xll.EQNXTDZ($A$1,$B9,ED$1)</f>
        <v>330.7</v>
      </c>
      <c r="EE9" s="116" cm="1">
        <f t="array" ref="EE9">_xll.EQNXTDZ($A$1,$B9,EE$1)</f>
        <v>366.65</v>
      </c>
      <c r="EF9" s="116" cm="1">
        <f t="array" ref="EF9">_xll.EQNXTDZ($A$1,$B9,EF$1)</f>
        <v>352</v>
      </c>
      <c r="EG9" s="116" cm="1">
        <f t="array" ref="EG9">_xll.EQNXTDZ($A$1,$B9,EG$1)</f>
        <v>399.6</v>
      </c>
      <c r="EH9" s="116" cm="1">
        <f t="array" ref="EH9">_xll.EQNXTDZ($A$1,$B9,EH$1)</f>
        <v>395.4</v>
      </c>
      <c r="EI9" s="116" cm="1">
        <f t="array" ref="EI9">_xll.EQNXTDZ($A$1,$B9,EI$1)</f>
        <v>361.75</v>
      </c>
      <c r="EJ9" s="116" cm="1">
        <f t="array" ref="EJ9">_xll.EQNXTDZ($A$1,$B9,EJ$1)</f>
        <v>380.85</v>
      </c>
      <c r="EK9" s="116" cm="1">
        <f t="array" ref="EK9">_xll.EQNXTDZ($A$1,$B9,EK$1)</f>
        <v>430.2</v>
      </c>
      <c r="EL9" s="116" cm="1">
        <f t="array" ref="EL9">_xll.EQNXTDZ($A$1,$B9,EL$1)</f>
        <v>381.35</v>
      </c>
      <c r="EM9" s="116" cm="1">
        <f t="array" ref="EM9">_xll.EQNXTDZ($A$1,$B9,EM$1)</f>
        <v>406.05</v>
      </c>
      <c r="EN9" s="116" cm="1">
        <f t="array" ref="EN9">_xll.EQNXTDZ($A$1,$B9,EN$1)</f>
        <v>392.35</v>
      </c>
      <c r="EO9" s="116" cm="1">
        <f t="array" ref="EO9">_xll.EQNXTDZ($A$1,$B9,EO$1)</f>
        <v>450</v>
      </c>
      <c r="EP9" s="116" cm="1">
        <f t="array" ref="EP9">_xll.EQNXTDZ($A$1,$B9,EP$1)</f>
        <v>418.95</v>
      </c>
      <c r="EQ9" s="116" cm="1">
        <f t="array" ref="EQ9">_xll.EQNXTDZ($A$1,$B9,EQ$1)</f>
        <v>424.55</v>
      </c>
      <c r="ER9" s="116" cm="1">
        <f t="array" ref="ER9">_xll.EQNXTDZ($A$1,$B9,ER$1)</f>
        <v>463.9</v>
      </c>
      <c r="ES9" s="116" cm="1">
        <f t="array" ref="ES9">_xll.EQNXTDZ($A$1,$B9,ES$1)</f>
        <v>470.15</v>
      </c>
      <c r="ET9" s="116" cm="1">
        <f t="array" ref="ET9">_xll.EQNXTDZ($A$1,$B9,ET$1)</f>
        <v>463.6</v>
      </c>
      <c r="EU9" s="116" cm="1">
        <f t="array" ref="EU9">_xll.EQNXTDZ($A$1,$B9,EU$1)</f>
        <v>491.25</v>
      </c>
      <c r="EV9" s="116" cm="1">
        <f t="array" ref="EV9">_xll.EQNXTDZ($A$1,$B9,EV$1)</f>
        <v>567.15</v>
      </c>
      <c r="EW9" s="116" cm="1">
        <f t="array" ref="EW9">_xll.EQNXTDZ($A$1,$B9,EW$1)</f>
        <v>602.70000000000005</v>
      </c>
      <c r="EX9" s="116" cm="1">
        <f t="array" ref="EX9">_xll.EQNXTDZ($A$1,$B9,EX$1)</f>
        <v>584.04999999999995</v>
      </c>
      <c r="EY9" s="116" cm="1">
        <f t="array" ref="EY9">_xll.EQNXTDZ($A$1,$B9,EY$1)</f>
        <v>527.20000000000005</v>
      </c>
      <c r="EZ9" s="116" cm="1">
        <f t="array" ref="EZ9">_xll.EQNXTDZ($A$1,$B9,EZ$1)</f>
        <v>613.4</v>
      </c>
      <c r="FA9" s="116" cm="1">
        <f t="array" ref="FA9">_xll.EQNXTDZ($A$1,$B9,FA$1)</f>
        <v>603.85</v>
      </c>
      <c r="FB9" s="116" cm="1">
        <f t="array" ref="FB9">_xll.EQNXTDZ($A$1,$B9,FB$1)</f>
        <v>609.6</v>
      </c>
      <c r="FC9" s="116" cm="1">
        <f t="array" ref="FC9">_xll.EQNXTDZ($A$1,$B9,FC$1)</f>
        <v>724.85</v>
      </c>
      <c r="FD9" s="116" cm="1">
        <f t="array" ref="FD9">_xll.EQNXTDZ($A$1,$B9,FD$1)</f>
        <v>874.35</v>
      </c>
      <c r="FE9" s="116" cm="1">
        <f t="array" ref="FE9">_xll.EQNXTDZ($A$1,$B9,FE$1)</f>
        <v>856.9</v>
      </c>
      <c r="FF9" s="116" cm="1">
        <f t="array" ref="FF9">_xll.EQNXTDZ($A$1,$B9,FF$1)</f>
        <v>841.8</v>
      </c>
      <c r="FG9" s="116" cm="1">
        <f t="array" ref="FG9">_xll.EQNXTDZ($A$1,$B9,FG$1)</f>
        <v>953.65</v>
      </c>
      <c r="FH9" s="116" cm="1">
        <f t="array" ref="FH9">_xll.EQNXTDZ($A$1,$B9,FH$1)</f>
        <v>1031.3499999999999</v>
      </c>
      <c r="FI9" s="116" cm="1">
        <f t="array" ref="FI9">_xll.EQNXTDZ($A$1,$B9,FI$1)</f>
        <v>1108</v>
      </c>
      <c r="FJ9" s="116" cm="1">
        <f t="array" ref="FJ9">_xll.EQNXTDZ($A$1,$B9,FJ$1)</f>
        <v>965</v>
      </c>
      <c r="FK9" s="116" cm="1">
        <f t="array" ref="FK9">_xll.EQNXTDZ($A$1,$B9,FK$1)</f>
        <v>1075.8</v>
      </c>
      <c r="FL9" s="116" cm="1">
        <f t="array" ref="FL9">_xll.EQNXTDZ($A$1,$B9,FL$1)</f>
        <v>992.7</v>
      </c>
      <c r="FM9" s="116" cm="1">
        <f t="array" ref="FM9">_xll.EQNXTDZ($A$1,$B9,FM$1)</f>
        <v>1100.95</v>
      </c>
      <c r="FN9" s="116" cm="1">
        <f t="array" ref="FN9">_xll.EQNXTDZ($A$1,$B9,FN$1)</f>
        <v>1362</v>
      </c>
      <c r="FO9" s="116" cm="1">
        <f t="array" ref="FO9">_xll.EQNXTDZ($A$1,$B9,FO$1)</f>
        <v>1376.4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96.17</v>
      </c>
      <c r="IH9" s="116">
        <f>+BH9</f>
        <v>103.24</v>
      </c>
      <c r="II9" s="116">
        <f>+BK9</f>
        <v>123.03</v>
      </c>
      <c r="IJ9" s="116">
        <f>+BN9</f>
        <v>101.43</v>
      </c>
      <c r="IK9" s="116">
        <f>+BQ9</f>
        <v>108.58</v>
      </c>
      <c r="IL9" s="116">
        <f>+BT9</f>
        <v>100.57</v>
      </c>
      <c r="IM9" s="116">
        <f>+BW9</f>
        <v>92.38</v>
      </c>
      <c r="IN9" s="116">
        <f>+BZ9</f>
        <v>86.54</v>
      </c>
      <c r="IO9" s="116">
        <f>+CC9</f>
        <v>75.91</v>
      </c>
      <c r="IP9" s="116">
        <f>+CF9</f>
        <v>79.91</v>
      </c>
      <c r="IQ9" s="116">
        <f>+CI9</f>
        <v>67.34</v>
      </c>
      <c r="IR9" s="116">
        <f>+CL9</f>
        <v>74.87</v>
      </c>
      <c r="IS9" s="116">
        <f>+CO9</f>
        <v>71.95</v>
      </c>
      <c r="IT9" s="116">
        <f>+CR9</f>
        <v>64.959999999999994</v>
      </c>
      <c r="IU9" s="116">
        <f>+CU9</f>
        <v>103.89</v>
      </c>
      <c r="IV9" s="116">
        <f>+CX9</f>
        <v>287.14999999999998</v>
      </c>
      <c r="IW9" s="116">
        <f>+DA9</f>
        <v>353.15</v>
      </c>
      <c r="IX9" s="116">
        <f>+DD9</f>
        <v>362</v>
      </c>
      <c r="IY9" s="116">
        <f>+DG9</f>
        <v>688.65</v>
      </c>
      <c r="IZ9" s="116">
        <f>+DJ9</f>
        <v>616.45000000000005</v>
      </c>
      <c r="JA9" s="116">
        <f>+DM9</f>
        <v>538.9</v>
      </c>
      <c r="JB9" s="116">
        <f>+DP9</f>
        <v>590.1</v>
      </c>
      <c r="JC9" s="116">
        <f>+DS9</f>
        <v>464.7</v>
      </c>
      <c r="JD9" s="116">
        <f>+DV9</f>
        <v>513</v>
      </c>
      <c r="JE9" s="116">
        <f>+DY9</f>
        <v>375.25</v>
      </c>
      <c r="JF9" s="116">
        <f>+EB9</f>
        <v>292.95</v>
      </c>
      <c r="JG9" s="116">
        <f>+EE9</f>
        <v>366.65</v>
      </c>
      <c r="JH9" s="116">
        <f>+EH9</f>
        <v>395.4</v>
      </c>
      <c r="JI9" s="116">
        <f>+EK9</f>
        <v>430.2</v>
      </c>
      <c r="JJ9" s="116">
        <f>+EN9</f>
        <v>392.35</v>
      </c>
      <c r="JK9" s="116">
        <f>EQ9</f>
        <v>424.55</v>
      </c>
      <c r="JL9" s="116">
        <f>ET9</f>
        <v>463.6</v>
      </c>
      <c r="JM9" s="116">
        <f>EW9</f>
        <v>602.70000000000005</v>
      </c>
      <c r="JN9" s="116">
        <f>EZ9</f>
        <v>613.4</v>
      </c>
      <c r="JO9" s="116">
        <f>FC9</f>
        <v>724.85</v>
      </c>
      <c r="JP9" s="116">
        <f>FF9</f>
        <v>841.8</v>
      </c>
      <c r="JQ9" s="116">
        <f>FI9</f>
        <v>1108</v>
      </c>
      <c r="JR9" s="116">
        <f>FL9</f>
        <v>992.7</v>
      </c>
      <c r="JS9" s="116">
        <f>FO9</f>
        <v>1376.4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98</v>
      </c>
      <c r="BF13" cm="1">
        <f t="array" ref="BF13">_xll.EQNXTDZ($A$1,$B13,BF$1)</f>
        <v>96.2</v>
      </c>
      <c r="BG13" cm="1">
        <f t="array" ref="BG13">_xll.EQNXTDZ($A$1,$B13,BG$1)</f>
        <v>95.01</v>
      </c>
      <c r="BH13" cm="1">
        <f t="array" ref="BH13">_xll.EQNXTDZ($A$1,$B13,BH$1)</f>
        <v>102.65</v>
      </c>
      <c r="BI13" cm="1">
        <f t="array" ref="BI13">_xll.EQNXTDZ($A$1,$B13,BI$1)</f>
        <v>103.07</v>
      </c>
      <c r="BJ13" cm="1">
        <f t="array" ref="BJ13">_xll.EQNXTDZ($A$1,$B13,BJ$1)</f>
        <v>103.8</v>
      </c>
      <c r="BK13" cm="1">
        <f t="array" ref="BK13">_xll.EQNXTDZ($A$1,$B13,BK$1)</f>
        <v>115.6</v>
      </c>
      <c r="BL13" cm="1">
        <f t="array" ref="BL13">_xll.EQNXTDZ($A$1,$B13,BL$1)</f>
        <v>123.78</v>
      </c>
      <c r="BM13" cm="1">
        <f t="array" ref="BM13">_xll.EQNXTDZ($A$1,$B13,BM$1)</f>
        <v>117</v>
      </c>
      <c r="BN13" cm="1">
        <f t="array" ref="BN13">_xll.EQNXTDZ($A$1,$B13,BN$1)</f>
        <v>105.69</v>
      </c>
      <c r="BO13" cm="1">
        <f t="array" ref="BO13">_xll.EQNXTDZ($A$1,$B13,BO$1)</f>
        <v>103.27</v>
      </c>
      <c r="BP13" cm="1">
        <f t="array" ref="BP13">_xll.EQNXTDZ($A$1,$B13,BP$1)</f>
        <v>107.81</v>
      </c>
      <c r="BQ13" cm="1">
        <f t="array" ref="BQ13">_xll.EQNXTDZ($A$1,$B13,BQ$1)</f>
        <v>110</v>
      </c>
      <c r="BR13" cm="1">
        <f t="array" ref="BR13">_xll.EQNXTDZ($A$1,$B13,BR$1)</f>
        <v>110</v>
      </c>
      <c r="BS13" cm="1">
        <f t="array" ref="BS13">_xll.EQNXTDZ($A$1,$B13,BS$1)</f>
        <v>103.03</v>
      </c>
      <c r="BT13" cm="1">
        <f t="array" ref="BT13">_xll.EQNXTDZ($A$1,$B13,BT$1)</f>
        <v>108.29</v>
      </c>
      <c r="BU13" cm="1">
        <f t="array" ref="BU13">_xll.EQNXTDZ($A$1,$B13,BU$1)</f>
        <v>100.98</v>
      </c>
      <c r="BV13" cm="1">
        <f t="array" ref="BV13">_xll.EQNXTDZ($A$1,$B13,BV$1)</f>
        <v>102.8</v>
      </c>
      <c r="BW13" cm="1">
        <f t="array" ref="BW13">_xll.EQNXTDZ($A$1,$B13,BW$1)</f>
        <v>94.6</v>
      </c>
      <c r="BX13" cm="1">
        <f t="array" ref="BX13">_xll.EQNXTDZ($A$1,$B13,BX$1)</f>
        <v>92.5</v>
      </c>
      <c r="BY13" cm="1">
        <f t="array" ref="BY13">_xll.EQNXTDZ($A$1,$B13,BY$1)</f>
        <v>92</v>
      </c>
      <c r="BZ13" cm="1">
        <f t="array" ref="BZ13">_xll.EQNXTDZ($A$1,$B13,BZ$1)</f>
        <v>88.4</v>
      </c>
      <c r="CA13" cm="1">
        <f t="array" ref="CA13">_xll.EQNXTDZ($A$1,$B13,CA$1)</f>
        <v>86.04</v>
      </c>
      <c r="CB13" cm="1">
        <f t="array" ref="CB13">_xll.EQNXTDZ($A$1,$B13,CB$1)</f>
        <v>69.11</v>
      </c>
      <c r="CC13" cm="1">
        <f t="array" ref="CC13">_xll.EQNXTDZ($A$1,$B13,CC$1)</f>
        <v>78.25</v>
      </c>
      <c r="CD13" cm="1">
        <f t="array" ref="CD13">_xll.EQNXTDZ($A$1,$B13,CD$1)</f>
        <v>75.89</v>
      </c>
      <c r="CE13" cm="1">
        <f t="array" ref="CE13">_xll.EQNXTDZ($A$1,$B13,CE$1)</f>
        <v>72.05</v>
      </c>
      <c r="CF13" cm="1">
        <f t="array" ref="CF13">_xll.EQNXTDZ($A$1,$B13,CF$1)</f>
        <v>67.2</v>
      </c>
      <c r="CG13" cm="1">
        <f t="array" ref="CG13">_xll.EQNXTDZ($A$1,$B13,CG$1)</f>
        <v>81.8</v>
      </c>
      <c r="CH13" cm="1">
        <f t="array" ref="CH13">_xll.EQNXTDZ($A$1,$B13,CH$1)</f>
        <v>77.989999999999995</v>
      </c>
      <c r="CI13" cm="1">
        <f t="array" ref="CI13">_xll.EQNXTDZ($A$1,$B13,CI$1)</f>
        <v>72</v>
      </c>
      <c r="CJ13" cm="1">
        <f t="array" ref="CJ13">_xll.EQNXTDZ($A$1,$B13,CJ$1)</f>
        <v>67.680000000000007</v>
      </c>
      <c r="CK13" cm="1">
        <f t="array" ref="CK13">_xll.EQNXTDZ($A$1,$B13,CK$1)</f>
        <v>67.92</v>
      </c>
      <c r="CL13" cm="1">
        <f t="array" ref="CL13">_xll.EQNXTDZ($A$1,$B13,CL$1)</f>
        <v>65.44</v>
      </c>
      <c r="CM13" cm="1">
        <f t="array" ref="CM13">_xll.EQNXTDZ($A$1,$B13,CM$1)</f>
        <v>74.400000000000006</v>
      </c>
      <c r="CN13" cm="1">
        <f t="array" ref="CN13">_xll.EQNXTDZ($A$1,$B13,CN$1)</f>
        <v>81.8</v>
      </c>
      <c r="CO13" cm="1">
        <f t="array" ref="CO13">_xll.EQNXTDZ($A$1,$B13,CO$1)</f>
        <v>70.2</v>
      </c>
      <c r="CP13" cm="1">
        <f t="array" ref="CP13">_xll.EQNXTDZ($A$1,$B13,CP$1)</f>
        <v>72.3</v>
      </c>
      <c r="CQ13" cm="1">
        <f t="array" ref="CQ13">_xll.EQNXTDZ($A$1,$B13,CQ$1)</f>
        <v>84.8</v>
      </c>
      <c r="CR13" cm="1">
        <f t="array" ref="CR13">_xll.EQNXTDZ($A$1,$B13,CR$1)</f>
        <v>84</v>
      </c>
      <c r="CS13" cm="1">
        <f t="array" ref="CS13">_xll.EQNXTDZ($A$1,$B13,CS$1)</f>
        <v>65.900000000000006</v>
      </c>
      <c r="CT13" cm="1">
        <f t="array" ref="CT13">_xll.EQNXTDZ($A$1,$B13,CT$1)</f>
        <v>103.97</v>
      </c>
      <c r="CU13" cm="1">
        <f t="array" ref="CU13">_xll.EQNXTDZ($A$1,$B13,CU$1)</f>
        <v>94.2</v>
      </c>
      <c r="CV13" cm="1">
        <f t="array" ref="CV13">_xll.EQNXTDZ($A$1,$B13,CV$1)</f>
        <v>105.78</v>
      </c>
      <c r="CW13" cm="1">
        <f t="array" ref="CW13">_xll.EQNXTDZ($A$1,$B13,CW$1)</f>
        <v>191</v>
      </c>
      <c r="CX13" cm="1">
        <f t="array" ref="CX13">_xll.EQNXTDZ($A$1,$B13,CX$1)</f>
        <v>223.02</v>
      </c>
      <c r="CY13" cm="1">
        <f t="array" ref="CY13">_xll.EQNXTDZ($A$1,$B13,CY$1)</f>
        <v>290.5</v>
      </c>
      <c r="CZ13" cm="1">
        <f t="array" ref="CZ13">_xll.EQNXTDZ($A$1,$B13,CZ$1)</f>
        <v>321</v>
      </c>
      <c r="DA13" cm="1">
        <f t="array" ref="DA13">_xll.EQNXTDZ($A$1,$B13,DA$1)</f>
        <v>319.89999999999998</v>
      </c>
      <c r="DB13" cm="1">
        <f t="array" ref="DB13">_xll.EQNXTDZ($A$1,$B13,DB$1)</f>
        <v>357.9</v>
      </c>
      <c r="DC13" cm="1">
        <f t="array" ref="DC13">_xll.EQNXTDZ($A$1,$B13,DC$1)</f>
        <v>347</v>
      </c>
      <c r="DD13" cm="1">
        <f t="array" ref="DD13">_xll.EQNXTDZ($A$1,$B13,DD$1)</f>
        <v>354.7</v>
      </c>
      <c r="DE13" cm="1">
        <f t="array" ref="DE13">_xll.EQNXTDZ($A$1,$B13,DE$1)</f>
        <v>360.6</v>
      </c>
      <c r="DF13" cm="1">
        <f t="array" ref="DF13">_xll.EQNXTDZ($A$1,$B13,DF$1)</f>
        <v>456.5</v>
      </c>
      <c r="DG13" cm="1">
        <f t="array" ref="DG13">_xll.EQNXTDZ($A$1,$B13,DG$1)</f>
        <v>526.95000000000005</v>
      </c>
      <c r="DH13" cm="1">
        <f t="array" ref="DH13">_xll.EQNXTDZ($A$1,$B13,DH$1)</f>
        <v>691.5</v>
      </c>
      <c r="DI13" cm="1">
        <f t="array" ref="DI13">_xll.EQNXTDZ($A$1,$B13,DI$1)</f>
        <v>650</v>
      </c>
      <c r="DJ13" cm="1">
        <f t="array" ref="DJ13">_xll.EQNXTDZ($A$1,$B13,DJ$1)</f>
        <v>669.9</v>
      </c>
      <c r="DK13" cm="1">
        <f t="array" ref="DK13">_xll.EQNXTDZ($A$1,$B13,DK$1)</f>
        <v>617.04999999999995</v>
      </c>
      <c r="DL13" cm="1">
        <f t="array" ref="DL13">_xll.EQNXTDZ($A$1,$B13,DL$1)</f>
        <v>521.79999999999995</v>
      </c>
      <c r="DM13" cm="1">
        <f t="array" ref="DM13">_xll.EQNXTDZ($A$1,$B13,DM$1)</f>
        <v>514</v>
      </c>
      <c r="DN13" cm="1">
        <f t="array" ref="DN13">_xll.EQNXTDZ($A$1,$B13,DN$1)</f>
        <v>543</v>
      </c>
      <c r="DO13" cm="1">
        <f t="array" ref="DO13">_xll.EQNXTDZ($A$1,$B13,DO$1)</f>
        <v>502.9</v>
      </c>
      <c r="DP13" cm="1">
        <f t="array" ref="DP13">_xll.EQNXTDZ($A$1,$B13,DP$1)</f>
        <v>530.75</v>
      </c>
      <c r="DQ13" cm="1">
        <f t="array" ref="DQ13">_xll.EQNXTDZ($A$1,$B13,DQ$1)</f>
        <v>590</v>
      </c>
      <c r="DR13" cm="1">
        <f t="array" ref="DR13">_xll.EQNXTDZ($A$1,$B13,DR$1)</f>
        <v>582.9</v>
      </c>
      <c r="DS13" cm="1">
        <f t="array" ref="DS13">_xll.EQNXTDZ($A$1,$B13,DS$1)</f>
        <v>569.29999999999995</v>
      </c>
      <c r="DT13" cm="1">
        <f t="array" ref="DT13">_xll.EQNXTDZ($A$1,$B13,DT$1)</f>
        <v>469.9</v>
      </c>
      <c r="DU13" cm="1">
        <f t="array" ref="DU13">_xll.EQNXTDZ($A$1,$B13,DU$1)</f>
        <v>525</v>
      </c>
      <c r="DV13" cm="1">
        <f t="array" ref="DV13">_xll.EQNXTDZ($A$1,$B13,DV$1)</f>
        <v>572.20000000000005</v>
      </c>
      <c r="DW13" cm="1">
        <f t="array" ref="DW13">_xll.EQNXTDZ($A$1,$B13,DW$1)</f>
        <v>508.1</v>
      </c>
      <c r="DX13" cm="1">
        <f t="array" ref="DX13">_xll.EQNXTDZ($A$1,$B13,DX$1)</f>
        <v>458.6</v>
      </c>
      <c r="DY13" cm="1">
        <f t="array" ref="DY13">_xll.EQNXTDZ($A$1,$B13,DY$1)</f>
        <v>418.1</v>
      </c>
      <c r="DZ13" cm="1">
        <f t="array" ref="DZ13">_xll.EQNXTDZ($A$1,$B13,DZ$1)</f>
        <v>376.05</v>
      </c>
      <c r="EA13" cm="1">
        <f t="array" ref="EA13">_xll.EQNXTDZ($A$1,$B13,EA$1)</f>
        <v>330.4</v>
      </c>
      <c r="EB13" cm="1">
        <f t="array" ref="EB13">_xll.EQNXTDZ($A$1,$B13,EB$1)</f>
        <v>313.05</v>
      </c>
      <c r="EC13" cm="1">
        <f t="array" ref="EC13">_xll.EQNXTDZ($A$1,$B13,EC$1)</f>
        <v>296.35000000000002</v>
      </c>
      <c r="ED13" cm="1">
        <f t="array" ref="ED13">_xll.EQNXTDZ($A$1,$B13,ED$1)</f>
        <v>309.60000000000002</v>
      </c>
      <c r="EE13" cm="1">
        <f t="array" ref="EE13">_xll.EQNXTDZ($A$1,$B13,EE$1)</f>
        <v>333</v>
      </c>
      <c r="EF13" cm="1">
        <f t="array" ref="EF13">_xll.EQNXTDZ($A$1,$B13,EF$1)</f>
        <v>368.4</v>
      </c>
      <c r="EG13" cm="1">
        <f t="array" ref="EG13">_xll.EQNXTDZ($A$1,$B13,EG$1)</f>
        <v>352.55</v>
      </c>
      <c r="EH13" cm="1">
        <f t="array" ref="EH13">_xll.EQNXTDZ($A$1,$B13,EH$1)</f>
        <v>400</v>
      </c>
      <c r="EI13" cm="1">
        <f t="array" ref="EI13">_xll.EQNXTDZ($A$1,$B13,EI$1)</f>
        <v>390.05</v>
      </c>
      <c r="EJ13" cm="1">
        <f t="array" ref="EJ13">_xll.EQNXTDZ($A$1,$B13,EJ$1)</f>
        <v>361.55</v>
      </c>
      <c r="EK13" cm="1">
        <f t="array" ref="EK13">_xll.EQNXTDZ($A$1,$B13,EK$1)</f>
        <v>380.95</v>
      </c>
      <c r="EL13" cm="1">
        <f t="array" ref="EL13">_xll.EQNXTDZ($A$1,$B13,EL$1)</f>
        <v>430.5</v>
      </c>
      <c r="EM13" cm="1">
        <f t="array" ref="EM13">_xll.EQNXTDZ($A$1,$B13,EM$1)</f>
        <v>381.75</v>
      </c>
      <c r="EN13" cm="1">
        <f t="array" ref="EN13">_xll.EQNXTDZ($A$1,$B13,EN$1)</f>
        <v>406.15</v>
      </c>
      <c r="EO13" cm="1">
        <f t="array" ref="EO13">_xll.EQNXTDZ($A$1,$B13,EO$1)</f>
        <v>392.75</v>
      </c>
      <c r="EP13" cm="1">
        <f t="array" ref="EP13">_xll.EQNXTDZ($A$1,$B13,EP$1)</f>
        <v>455</v>
      </c>
      <c r="EQ13" cm="1">
        <f t="array" ref="EQ13">_xll.EQNXTDZ($A$1,$B13,EQ$1)</f>
        <v>422.6</v>
      </c>
      <c r="ER13" cm="1">
        <f t="array" ref="ER13">_xll.EQNXTDZ($A$1,$B13,ER$1)</f>
        <v>429.95</v>
      </c>
      <c r="ES13" cm="1">
        <f t="array" ref="ES13">_xll.EQNXTDZ($A$1,$B13,ES$1)</f>
        <v>465.55</v>
      </c>
      <c r="ET13" cm="1">
        <f t="array" ref="ET13">_xll.EQNXTDZ($A$1,$B13,ET$1)</f>
        <v>473.35</v>
      </c>
      <c r="EU13" cm="1">
        <f t="array" ref="EU13">_xll.EQNXTDZ($A$1,$B13,EU$1)</f>
        <v>462.75</v>
      </c>
      <c r="EV13" cm="1">
        <f t="array" ref="EV13">_xll.EQNXTDZ($A$1,$B13,EV$1)</f>
        <v>493</v>
      </c>
      <c r="EW13" cm="1">
        <f t="array" ref="EW13">_xll.EQNXTDZ($A$1,$B13,EW$1)</f>
        <v>564.95000000000005</v>
      </c>
      <c r="EX13" cm="1">
        <f t="array" ref="EX13">_xll.EQNXTDZ($A$1,$B13,EX$1)</f>
        <v>604.20000000000005</v>
      </c>
      <c r="EY13" cm="1">
        <f t="array" ref="EY13">_xll.EQNXTDZ($A$1,$B13,EY$1)</f>
        <v>580.6</v>
      </c>
      <c r="EZ13" cm="1">
        <f t="array" ref="EZ13">_xll.EQNXTDZ($A$1,$B13,EZ$1)</f>
        <v>529.54999999999995</v>
      </c>
      <c r="FA13" cm="1">
        <f t="array" ref="FA13">_xll.EQNXTDZ($A$1,$B13,FA$1)</f>
        <v>608.20000000000005</v>
      </c>
      <c r="FB13" cm="1">
        <f t="array" ref="FB13">_xll.EQNXTDZ($A$1,$B13,FB$1)</f>
        <v>604.5</v>
      </c>
      <c r="FC13" cm="1">
        <f t="array" ref="FC13">_xll.EQNXTDZ($A$1,$B13,FC$1)</f>
        <v>610</v>
      </c>
      <c r="FD13" cm="1">
        <f t="array" ref="FD13">_xll.EQNXTDZ($A$1,$B13,FD$1)</f>
        <v>729.8</v>
      </c>
      <c r="FE13" cm="1">
        <f t="array" ref="FE13">_xll.EQNXTDZ($A$1,$B13,FE$1)</f>
        <v>870.2</v>
      </c>
      <c r="FF13" cm="1">
        <f t="array" ref="FF13">_xll.EQNXTDZ($A$1,$B13,FF$1)</f>
        <v>857.65</v>
      </c>
      <c r="FG13" cm="1">
        <f t="array" ref="FG13">_xll.EQNXTDZ($A$1,$B13,FG$1)</f>
        <v>838.4</v>
      </c>
      <c r="FH13" cm="1">
        <f t="array" ref="FH13">_xll.EQNXTDZ($A$1,$B13,FH$1)</f>
        <v>959.1</v>
      </c>
      <c r="FI13" cm="1">
        <f t="array" ref="FI13">_xll.EQNXTDZ($A$1,$B13,FI$1)</f>
        <v>1031.6500000000001</v>
      </c>
      <c r="FJ13" cm="1">
        <f t="array" ref="FJ13">_xll.EQNXTDZ($A$1,$B13,FJ$1)</f>
        <v>1108.3</v>
      </c>
      <c r="FK13" cm="1">
        <f t="array" ref="FK13">_xll.EQNXTDZ($A$1,$B13,FK$1)</f>
        <v>969.95</v>
      </c>
      <c r="FL13" cm="1">
        <f t="array" ref="FL13">_xll.EQNXTDZ($A$1,$B13,FL$1)</f>
        <v>981.25</v>
      </c>
      <c r="FM13" cm="1">
        <f t="array" ref="FM13">_xll.EQNXTDZ($A$1,$B13,FM$1)</f>
        <v>1024.7</v>
      </c>
      <c r="FN13" cm="1">
        <f t="array" ref="FN13">_xll.EQNXTDZ($A$1,$B13,FN$1)</f>
        <v>1105.2</v>
      </c>
      <c r="FO13" cm="1">
        <f t="array" ref="FO13">_xll.EQNXTDZ($A$1,$B13,FO$1)</f>
        <v>1365.8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99.72</v>
      </c>
      <c r="BF14" s="116" cm="1">
        <f t="array" ref="BF14">_xll.EQNXTDZ($A$1,$B14,BF$1)</f>
        <v>99.81</v>
      </c>
      <c r="BG14" s="116" cm="1">
        <f t="array" ref="BG14">_xll.EQNXTDZ($A$1,$B14,BG$1)</f>
        <v>117</v>
      </c>
      <c r="BH14" s="116" cm="1">
        <f t="array" ref="BH14">_xll.EQNXTDZ($A$1,$B14,BH$1)</f>
        <v>107.8</v>
      </c>
      <c r="BI14" s="116" cm="1">
        <f t="array" ref="BI14">_xll.EQNXTDZ($A$1,$B14,BI$1)</f>
        <v>106.6</v>
      </c>
      <c r="BJ14" s="116" cm="1">
        <f t="array" ref="BJ14">_xll.EQNXTDZ($A$1,$B14,BJ$1)</f>
        <v>118.8</v>
      </c>
      <c r="BK14" s="116" cm="1">
        <f t="array" ref="BK14">_xll.EQNXTDZ($A$1,$B14,BK$1)</f>
        <v>126.8</v>
      </c>
      <c r="BL14" s="116" cm="1">
        <f t="array" ref="BL14">_xll.EQNXTDZ($A$1,$B14,BL$1)</f>
        <v>126</v>
      </c>
      <c r="BM14" s="116" cm="1">
        <f t="array" ref="BM14">_xll.EQNXTDZ($A$1,$B14,BM$1)</f>
        <v>118.4</v>
      </c>
      <c r="BN14" s="116" cm="1">
        <f t="array" ref="BN14">_xll.EQNXTDZ($A$1,$B14,BN$1)</f>
        <v>114.8</v>
      </c>
      <c r="BO14" s="116" cm="1">
        <f t="array" ref="BO14">_xll.EQNXTDZ($A$1,$B14,BO$1)</f>
        <v>110.81</v>
      </c>
      <c r="BP14" s="116" cm="1">
        <f t="array" ref="BP14">_xll.EQNXTDZ($A$1,$B14,BP$1)</f>
        <v>111.2</v>
      </c>
      <c r="BQ14" s="116" cm="1">
        <f t="array" ref="BQ14">_xll.EQNXTDZ($A$1,$B14,BQ$1)</f>
        <v>115.85</v>
      </c>
      <c r="BR14" s="116" cm="1">
        <f t="array" ref="BR14">_xll.EQNXTDZ($A$1,$B14,BR$1)</f>
        <v>113.2</v>
      </c>
      <c r="BS14" s="116" cm="1">
        <f t="array" ref="BS14">_xll.EQNXTDZ($A$1,$B14,BS$1)</f>
        <v>109.71</v>
      </c>
      <c r="BT14" s="116" cm="1">
        <f t="array" ref="BT14">_xll.EQNXTDZ($A$1,$B14,BT$1)</f>
        <v>109.5</v>
      </c>
      <c r="BU14" s="116" cm="1">
        <f t="array" ref="BU14">_xll.EQNXTDZ($A$1,$B14,BU$1)</f>
        <v>104</v>
      </c>
      <c r="BV14" s="116" cm="1">
        <f t="array" ref="BV14">_xll.EQNXTDZ($A$1,$B14,BV$1)</f>
        <v>103.25</v>
      </c>
      <c r="BW14" s="116" cm="1">
        <f t="array" ref="BW14">_xll.EQNXTDZ($A$1,$B14,BW$1)</f>
        <v>103</v>
      </c>
      <c r="BX14" s="116" cm="1">
        <f t="array" ref="BX14">_xll.EQNXTDZ($A$1,$B14,BX$1)</f>
        <v>100.6</v>
      </c>
      <c r="BY14" s="116" cm="1">
        <f t="array" ref="BY14">_xll.EQNXTDZ($A$1,$B14,BY$1)</f>
        <v>94.59</v>
      </c>
      <c r="BZ14" s="116" cm="1">
        <f t="array" ref="BZ14">_xll.EQNXTDZ($A$1,$B14,BZ$1)</f>
        <v>89.6</v>
      </c>
      <c r="CA14" s="116" cm="1">
        <f t="array" ref="CA14">_xll.EQNXTDZ($A$1,$B14,CA$1)</f>
        <v>87</v>
      </c>
      <c r="CB14" s="116" cm="1">
        <f t="array" ref="CB14">_xll.EQNXTDZ($A$1,$B14,CB$1)</f>
        <v>80.78</v>
      </c>
      <c r="CC14" s="116" cm="1">
        <f t="array" ref="CC14">_xll.EQNXTDZ($A$1,$B14,CC$1)</f>
        <v>79.680000000000007</v>
      </c>
      <c r="CD14" s="116" cm="1">
        <f t="array" ref="CD14">_xll.EQNXTDZ($A$1,$B14,CD$1)</f>
        <v>79.98</v>
      </c>
      <c r="CE14" s="116" cm="1">
        <f t="array" ref="CE14">_xll.EQNXTDZ($A$1,$B14,CE$1)</f>
        <v>74.2</v>
      </c>
      <c r="CF14" s="116" cm="1">
        <f t="array" ref="CF14">_xll.EQNXTDZ($A$1,$B14,CF$1)</f>
        <v>82.4</v>
      </c>
      <c r="CG14" s="116" cm="1">
        <f t="array" ref="CG14">_xll.EQNXTDZ($A$1,$B14,CG$1)</f>
        <v>81.8</v>
      </c>
      <c r="CH14" s="116" cm="1">
        <f t="array" ref="CH14">_xll.EQNXTDZ($A$1,$B14,CH$1)</f>
        <v>81.38</v>
      </c>
      <c r="CI14" s="116" cm="1">
        <f t="array" ref="CI14">_xll.EQNXTDZ($A$1,$B14,CI$1)</f>
        <v>72.180000000000007</v>
      </c>
      <c r="CJ14" s="116" cm="1">
        <f t="array" ref="CJ14">_xll.EQNXTDZ($A$1,$B14,CJ$1)</f>
        <v>73.400000000000006</v>
      </c>
      <c r="CK14" s="116" cm="1">
        <f t="array" ref="CK14">_xll.EQNXTDZ($A$1,$B14,CK$1)</f>
        <v>68.72</v>
      </c>
      <c r="CL14" s="116" cm="1">
        <f t="array" ref="CL14">_xll.EQNXTDZ($A$1,$B14,CL$1)</f>
        <v>75.040000000000006</v>
      </c>
      <c r="CM14" s="116" cm="1">
        <f t="array" ref="CM14">_xll.EQNXTDZ($A$1,$B14,CM$1)</f>
        <v>74.8</v>
      </c>
      <c r="CN14" s="116" cm="1">
        <f t="array" ref="CN14">_xll.EQNXTDZ($A$1,$B14,CN$1)</f>
        <v>83.64</v>
      </c>
      <c r="CO14" s="116" cm="1">
        <f t="array" ref="CO14">_xll.EQNXTDZ($A$1,$B14,CO$1)</f>
        <v>77.400000000000006</v>
      </c>
      <c r="CP14" s="116" cm="1">
        <f t="array" ref="CP14">_xll.EQNXTDZ($A$1,$B14,CP$1)</f>
        <v>92</v>
      </c>
      <c r="CQ14" s="116" cm="1">
        <f t="array" ref="CQ14">_xll.EQNXTDZ($A$1,$B14,CQ$1)</f>
        <v>90.6</v>
      </c>
      <c r="CR14" s="116" cm="1">
        <f t="array" ref="CR14">_xll.EQNXTDZ($A$1,$B14,CR$1)</f>
        <v>87.55</v>
      </c>
      <c r="CS14" s="116" cm="1">
        <f t="array" ref="CS14">_xll.EQNXTDZ($A$1,$B14,CS$1)</f>
        <v>107.1</v>
      </c>
      <c r="CT14" s="116" cm="1">
        <f t="array" ref="CT14">_xll.EQNXTDZ($A$1,$B14,CT$1)</f>
        <v>105</v>
      </c>
      <c r="CU14" s="116" cm="1">
        <f t="array" ref="CU14">_xll.EQNXTDZ($A$1,$B14,CU$1)</f>
        <v>117.46</v>
      </c>
      <c r="CV14" s="116" cm="1">
        <f t="array" ref="CV14">_xll.EQNXTDZ($A$1,$B14,CV$1)</f>
        <v>188.72</v>
      </c>
      <c r="CW14" s="116" cm="1">
        <f t="array" ref="CW14">_xll.EQNXTDZ($A$1,$B14,CW$1)</f>
        <v>249</v>
      </c>
      <c r="CX14" s="116" cm="1">
        <f t="array" ref="CX14">_xll.EQNXTDZ($A$1,$B14,CX$1)</f>
        <v>309.95999999999998</v>
      </c>
      <c r="CY14" s="116" cm="1">
        <f t="array" ref="CY14">_xll.EQNXTDZ($A$1,$B14,CY$1)</f>
        <v>345</v>
      </c>
      <c r="CZ14" s="116" cm="1">
        <f t="array" ref="CZ14">_xll.EQNXTDZ($A$1,$B14,CZ$1)</f>
        <v>321</v>
      </c>
      <c r="DA14" s="116" cm="1">
        <f t="array" ref="DA14">_xll.EQNXTDZ($A$1,$B14,DA$1)</f>
        <v>365.65</v>
      </c>
      <c r="DB14" s="116" cm="1">
        <f t="array" ref="DB14">_xll.EQNXTDZ($A$1,$B14,DB$1)</f>
        <v>385.8</v>
      </c>
      <c r="DC14" s="116" cm="1">
        <f t="array" ref="DC14">_xll.EQNXTDZ($A$1,$B14,DC$1)</f>
        <v>380</v>
      </c>
      <c r="DD14" s="116" cm="1">
        <f t="array" ref="DD14">_xll.EQNXTDZ($A$1,$B14,DD$1)</f>
        <v>382.5</v>
      </c>
      <c r="DE14" s="116" cm="1">
        <f t="array" ref="DE14">_xll.EQNXTDZ($A$1,$B14,DE$1)</f>
        <v>482.65</v>
      </c>
      <c r="DF14" s="116" cm="1">
        <f t="array" ref="DF14">_xll.EQNXTDZ($A$1,$B14,DF$1)</f>
        <v>527.70000000000005</v>
      </c>
      <c r="DG14" s="116" cm="1">
        <f t="array" ref="DG14">_xll.EQNXTDZ($A$1,$B14,DG$1)</f>
        <v>697.75</v>
      </c>
      <c r="DH14" s="116" cm="1">
        <f t="array" ref="DH14">_xll.EQNXTDZ($A$1,$B14,DH$1)</f>
        <v>693.2</v>
      </c>
      <c r="DI14" s="116" cm="1">
        <f t="array" ref="DI14">_xll.EQNXTDZ($A$1,$B14,DI$1)</f>
        <v>723.55</v>
      </c>
      <c r="DJ14" s="116" cm="1">
        <f t="array" ref="DJ14">_xll.EQNXTDZ($A$1,$B14,DJ$1)</f>
        <v>671</v>
      </c>
      <c r="DK14" s="116" cm="1">
        <f t="array" ref="DK14">_xll.EQNXTDZ($A$1,$B14,DK$1)</f>
        <v>663</v>
      </c>
      <c r="DL14" s="116" cm="1">
        <f t="array" ref="DL14">_xll.EQNXTDZ($A$1,$B14,DL$1)</f>
        <v>555.29999999999995</v>
      </c>
      <c r="DM14" s="116" cm="1">
        <f t="array" ref="DM14">_xll.EQNXTDZ($A$1,$B14,DM$1)</f>
        <v>554.9</v>
      </c>
      <c r="DN14" s="116" cm="1">
        <f t="array" ref="DN14">_xll.EQNXTDZ($A$1,$B14,DN$1)</f>
        <v>546.79999999999995</v>
      </c>
      <c r="DO14" s="116" cm="1">
        <f t="array" ref="DO14">_xll.EQNXTDZ($A$1,$B14,DO$1)</f>
        <v>568</v>
      </c>
      <c r="DP14" s="116" cm="1">
        <f t="array" ref="DP14">_xll.EQNXTDZ($A$1,$B14,DP$1)</f>
        <v>613.35</v>
      </c>
      <c r="DQ14" s="116" cm="1">
        <f t="array" ref="DQ14">_xll.EQNXTDZ($A$1,$B14,DQ$1)</f>
        <v>626</v>
      </c>
      <c r="DR14" s="116" cm="1">
        <f t="array" ref="DR14">_xll.EQNXTDZ($A$1,$B14,DR$1)</f>
        <v>601.5</v>
      </c>
      <c r="DS14" s="116" cm="1">
        <f t="array" ref="DS14">_xll.EQNXTDZ($A$1,$B14,DS$1)</f>
        <v>572.65</v>
      </c>
      <c r="DT14" s="116" cm="1">
        <f t="array" ref="DT14">_xll.EQNXTDZ($A$1,$B14,DT$1)</f>
        <v>539.15</v>
      </c>
      <c r="DU14" s="116" cm="1">
        <f t="array" ref="DU14">_xll.EQNXTDZ($A$1,$B14,DU$1)</f>
        <v>605.5</v>
      </c>
      <c r="DV14" s="116" cm="1">
        <f t="array" ref="DV14">_xll.EQNXTDZ($A$1,$B14,DV$1)</f>
        <v>581.70000000000005</v>
      </c>
      <c r="DW14" s="116" cm="1">
        <f t="array" ref="DW14">_xll.EQNXTDZ($A$1,$B14,DW$1)</f>
        <v>533.20000000000005</v>
      </c>
      <c r="DX14" s="116" cm="1">
        <f t="array" ref="DX14">_xll.EQNXTDZ($A$1,$B14,DX$1)</f>
        <v>479.6</v>
      </c>
      <c r="DY14" s="116" cm="1">
        <f t="array" ref="DY14">_xll.EQNXTDZ($A$1,$B14,DY$1)</f>
        <v>426.7</v>
      </c>
      <c r="DZ14" s="116" cm="1">
        <f t="array" ref="DZ14">_xll.EQNXTDZ($A$1,$B14,DZ$1)</f>
        <v>385.95</v>
      </c>
      <c r="EA14" s="116" cm="1">
        <f t="array" ref="EA14">_xll.EQNXTDZ($A$1,$B14,EA$1)</f>
        <v>347.5</v>
      </c>
      <c r="EB14" s="116" cm="1">
        <f t="array" ref="EB14">_xll.EQNXTDZ($A$1,$B14,EB$1)</f>
        <v>322.60000000000002</v>
      </c>
      <c r="EC14" s="116" cm="1">
        <f t="array" ref="EC14">_xll.EQNXTDZ($A$1,$B14,EC$1)</f>
        <v>328.9</v>
      </c>
      <c r="ED14" s="116" cm="1">
        <f t="array" ref="ED14">_xll.EQNXTDZ($A$1,$B14,ED$1)</f>
        <v>340.8</v>
      </c>
      <c r="EE14" s="116" cm="1">
        <f t="array" ref="EE14">_xll.EQNXTDZ($A$1,$B14,EE$1)</f>
        <v>375</v>
      </c>
      <c r="EF14" s="116" cm="1">
        <f t="array" ref="EF14">_xll.EQNXTDZ($A$1,$B14,EF$1)</f>
        <v>376.85</v>
      </c>
      <c r="EG14" s="116" cm="1">
        <f t="array" ref="EG14">_xll.EQNXTDZ($A$1,$B14,EG$1)</f>
        <v>417.85</v>
      </c>
      <c r="EH14" s="116" cm="1">
        <f t="array" ref="EH14">_xll.EQNXTDZ($A$1,$B14,EH$1)</f>
        <v>415.05</v>
      </c>
      <c r="EI14" s="116" cm="1">
        <f t="array" ref="EI14">_xll.EQNXTDZ($A$1,$B14,EI$1)</f>
        <v>411.85</v>
      </c>
      <c r="EJ14" s="116" cm="1">
        <f t="array" ref="EJ14">_xll.EQNXTDZ($A$1,$B14,EJ$1)</f>
        <v>382.8</v>
      </c>
      <c r="EK14" s="116" cm="1">
        <f t="array" ref="EK14">_xll.EQNXTDZ($A$1,$B14,EK$1)</f>
        <v>439</v>
      </c>
      <c r="EL14" s="116" cm="1">
        <f t="array" ref="EL14">_xll.EQNXTDZ($A$1,$B14,EL$1)</f>
        <v>444.5</v>
      </c>
      <c r="EM14" s="116" cm="1">
        <f t="array" ref="EM14">_xll.EQNXTDZ($A$1,$B14,EM$1)</f>
        <v>413.35</v>
      </c>
      <c r="EN14" s="116" cm="1">
        <f t="array" ref="EN14">_xll.EQNXTDZ($A$1,$B14,EN$1)</f>
        <v>426.3</v>
      </c>
      <c r="EO14" s="116" cm="1">
        <f t="array" ref="EO14">_xll.EQNXTDZ($A$1,$B14,EO$1)</f>
        <v>470.9</v>
      </c>
      <c r="EP14" s="116" cm="1">
        <f t="array" ref="EP14">_xll.EQNXTDZ($A$1,$B14,EP$1)</f>
        <v>460.5</v>
      </c>
      <c r="EQ14" s="116" cm="1">
        <f t="array" ref="EQ14">_xll.EQNXTDZ($A$1,$B14,EQ$1)</f>
        <v>447.5</v>
      </c>
      <c r="ER14" s="116" cm="1">
        <f t="array" ref="ER14">_xll.EQNXTDZ($A$1,$B14,ER$1)</f>
        <v>484.95</v>
      </c>
      <c r="ES14" s="116" cm="1">
        <f t="array" ref="ES14">_xll.EQNXTDZ($A$1,$B14,ES$1)</f>
        <v>471.8</v>
      </c>
      <c r="ET14" s="116" cm="1">
        <f t="array" ref="ET14">_xll.EQNXTDZ($A$1,$B14,ET$1)</f>
        <v>517.9</v>
      </c>
      <c r="EU14" s="116" cm="1">
        <f t="array" ref="EU14">_xll.EQNXTDZ($A$1,$B14,EU$1)</f>
        <v>496</v>
      </c>
      <c r="EV14" s="116" cm="1">
        <f t="array" ref="EV14">_xll.EQNXTDZ($A$1,$B14,EV$1)</f>
        <v>570.45000000000005</v>
      </c>
      <c r="EW14" s="116" cm="1">
        <f t="array" ref="EW14">_xll.EQNXTDZ($A$1,$B14,EW$1)</f>
        <v>604.6</v>
      </c>
      <c r="EX14" s="116" cm="1">
        <f t="array" ref="EX14">_xll.EQNXTDZ($A$1,$B14,EX$1)</f>
        <v>619.5</v>
      </c>
      <c r="EY14" s="116" cm="1">
        <f t="array" ref="EY14">_xll.EQNXTDZ($A$1,$B14,EY$1)</f>
        <v>646.25</v>
      </c>
      <c r="EZ14" s="116" cm="1">
        <f t="array" ref="EZ14">_xll.EQNXTDZ($A$1,$B14,EZ$1)</f>
        <v>627.9</v>
      </c>
      <c r="FA14" s="116" cm="1">
        <f t="array" ref="FA14">_xll.EQNXTDZ($A$1,$B14,FA$1)</f>
        <v>660.9</v>
      </c>
      <c r="FB14" s="116" cm="1">
        <f t="array" ref="FB14">_xll.EQNXTDZ($A$1,$B14,FB$1)</f>
        <v>629.95000000000005</v>
      </c>
      <c r="FC14" s="116" cm="1">
        <f t="array" ref="FC14">_xll.EQNXTDZ($A$1,$B14,FC$1)</f>
        <v>726.9</v>
      </c>
      <c r="FD14" s="116" cm="1">
        <f t="array" ref="FD14">_xll.EQNXTDZ($A$1,$B14,FD$1)</f>
        <v>922.55</v>
      </c>
      <c r="FE14" s="116" cm="1">
        <f t="array" ref="FE14">_xll.EQNXTDZ($A$1,$B14,FE$1)</f>
        <v>895.2</v>
      </c>
      <c r="FF14" s="116" cm="1">
        <f t="array" ref="FF14">_xll.EQNXTDZ($A$1,$B14,FF$1)</f>
        <v>944</v>
      </c>
      <c r="FG14" s="116" cm="1">
        <f t="array" ref="FG14">_xll.EQNXTDZ($A$1,$B14,FG$1)</f>
        <v>972.6</v>
      </c>
      <c r="FH14" s="116" cm="1">
        <f t="array" ref="FH14">_xll.EQNXTDZ($A$1,$B14,FH$1)</f>
        <v>1033.55</v>
      </c>
      <c r="FI14" s="116" cm="1">
        <f t="array" ref="FI14">_xll.EQNXTDZ($A$1,$B14,FI$1)</f>
        <v>1118.95</v>
      </c>
      <c r="FJ14" s="116" cm="1">
        <f t="array" ref="FJ14">_xll.EQNXTDZ($A$1,$B14,FJ$1)</f>
        <v>1140.9000000000001</v>
      </c>
      <c r="FK14" s="116" cm="1">
        <f t="array" ref="FK14">_xll.EQNXTDZ($A$1,$B14,FK$1)</f>
        <v>1103.3499999999999</v>
      </c>
      <c r="FL14" s="116" cm="1">
        <f t="array" ref="FL14">_xll.EQNXTDZ($A$1,$B14,FL$1)</f>
        <v>1074.25</v>
      </c>
      <c r="FM14" s="116" cm="1">
        <f t="array" ref="FM14">_xll.EQNXTDZ($A$1,$B14,FM$1)</f>
        <v>1144.5</v>
      </c>
      <c r="FN14" s="116" cm="1">
        <f t="array" ref="FN14">_xll.EQNXTDZ($A$1,$B14,FN$1)</f>
        <v>1394</v>
      </c>
      <c r="FO14" s="116" cm="1">
        <f t="array" ref="FO14">_xll.EQNXTDZ($A$1,$B14,FO$1)</f>
        <v>1457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99.72</v>
      </c>
      <c r="IH14" s="116">
        <f>+MAX(BF14:BH14)</f>
        <v>117</v>
      </c>
      <c r="II14" s="116">
        <f>+MAX(BI14:BK14)</f>
        <v>126.8</v>
      </c>
      <c r="IJ14" s="116">
        <f>+MAX(BL14:BN14)</f>
        <v>126</v>
      </c>
      <c r="IK14" s="116">
        <f>+MAX(BO14:BQ14)</f>
        <v>115.85</v>
      </c>
      <c r="IL14" s="116">
        <f>+MAX(BR14:BT14)</f>
        <v>113.2</v>
      </c>
      <c r="IM14" s="116">
        <f>+MAX(BU14:BW14)</f>
        <v>104</v>
      </c>
      <c r="IN14" s="116">
        <f>+MAX(BX14:BZ14)</f>
        <v>100.6</v>
      </c>
      <c r="IO14" s="116">
        <f>+MAX(CA14:CC14)</f>
        <v>87</v>
      </c>
      <c r="IP14" s="116">
        <f>+MAX(CD14:CF14)</f>
        <v>82.4</v>
      </c>
      <c r="IQ14" s="116">
        <f>+MAX(CG14:CI14)</f>
        <v>81.8</v>
      </c>
      <c r="IR14" s="116">
        <f>+MAX(CJ14:CL14)</f>
        <v>75.040000000000006</v>
      </c>
      <c r="IS14" s="116">
        <f>+MAX(CM14:CO14)</f>
        <v>83.64</v>
      </c>
      <c r="IT14" s="116">
        <f>+MAX(CP14:CR14)</f>
        <v>92</v>
      </c>
      <c r="IU14" s="116">
        <f>+MAX(CS14:CU14)</f>
        <v>117.46</v>
      </c>
      <c r="IV14" s="116">
        <f>+MAX(CV14:CX14)</f>
        <v>309.95999999999998</v>
      </c>
      <c r="IW14" s="116">
        <f>+MAX(CY14:DA14)</f>
        <v>365.65</v>
      </c>
      <c r="IX14" s="116">
        <f>+MAX(DB14:DD14)</f>
        <v>385.8</v>
      </c>
      <c r="IY14" s="116">
        <f>+MAX(DE14:DG14)</f>
        <v>697.75</v>
      </c>
      <c r="IZ14" s="116">
        <f>+MAX(DH14:DJ14)</f>
        <v>723.55</v>
      </c>
      <c r="JA14" s="116">
        <f>+MAX(DK14:DM14)</f>
        <v>663</v>
      </c>
      <c r="JB14" s="116">
        <f>+MAX(DN14:DP14)</f>
        <v>613.35</v>
      </c>
      <c r="JC14" s="116">
        <f>+MAX(DQ14:DS14)</f>
        <v>626</v>
      </c>
      <c r="JD14" s="116">
        <f>+MAX(DT14:DV14)</f>
        <v>605.5</v>
      </c>
      <c r="JE14" s="116">
        <f>+MAX(DW14:DY14)</f>
        <v>533.20000000000005</v>
      </c>
      <c r="JF14" s="116">
        <f>+MAX(DZ14:EB14)</f>
        <v>385.95</v>
      </c>
      <c r="JG14" s="116">
        <f>+MAX(EC14:EE14)</f>
        <v>375</v>
      </c>
      <c r="JH14" s="116">
        <f>+MAX(EF14:EH14)</f>
        <v>417.85</v>
      </c>
      <c r="JI14" s="116">
        <f>+MAX(EI14:EK14)</f>
        <v>439</v>
      </c>
      <c r="JJ14" s="116">
        <f>+MAX(EL14:EN14)</f>
        <v>444.5</v>
      </c>
      <c r="JK14" s="116">
        <f>MAX(EO14:EQ14)</f>
        <v>470.9</v>
      </c>
      <c r="JL14" s="116">
        <f>MAX(ER14:ET14)</f>
        <v>517.9</v>
      </c>
      <c r="JM14" s="116">
        <f>MAX(EU14:EW14)</f>
        <v>604.6</v>
      </c>
      <c r="JN14" s="116">
        <f>MAX(EX14:EZ14)</f>
        <v>646.25</v>
      </c>
      <c r="JO14" s="116">
        <f>MAX(FA14:FC14)</f>
        <v>726.9</v>
      </c>
      <c r="JP14" s="116">
        <f>MAX(FD14:FF14)</f>
        <v>944</v>
      </c>
      <c r="JQ14" s="116">
        <f>MAX(FG14:FI14)</f>
        <v>1118.95</v>
      </c>
      <c r="JR14" s="116">
        <f>MAX(FJ14:FL14)</f>
        <v>1140.9000000000001</v>
      </c>
      <c r="JS14" s="116">
        <f>MAX(FM14:FO14)</f>
        <v>1457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90.6</v>
      </c>
      <c r="BF15" s="116" cm="1">
        <f t="array" ref="BF15">_xll.EQNXTDZ($A$1,$B15,BF$1)</f>
        <v>92.65</v>
      </c>
      <c r="BG15" s="116" cm="1">
        <f t="array" ref="BG15">_xll.EQNXTDZ($A$1,$B15,BG$1)</f>
        <v>93.6</v>
      </c>
      <c r="BH15" s="116" cm="1">
        <f t="array" ref="BH15">_xll.EQNXTDZ($A$1,$B15,BH$1)</f>
        <v>100.31</v>
      </c>
      <c r="BI15" s="116" cm="1">
        <f t="array" ref="BI15">_xll.EQNXTDZ($A$1,$B15,BI$1)</f>
        <v>100.5</v>
      </c>
      <c r="BJ15" s="116" cm="1">
        <f t="array" ref="BJ15">_xll.EQNXTDZ($A$1,$B15,BJ$1)</f>
        <v>103.3</v>
      </c>
      <c r="BK15" s="116" cm="1">
        <f t="array" ref="BK15">_xll.EQNXTDZ($A$1,$B15,BK$1)</f>
        <v>115.36</v>
      </c>
      <c r="BL15" s="116" cm="1">
        <f t="array" ref="BL15">_xll.EQNXTDZ($A$1,$B15,BL$1)</f>
        <v>115.36</v>
      </c>
      <c r="BM15" s="116" cm="1">
        <f t="array" ref="BM15">_xll.EQNXTDZ($A$1,$B15,BM$1)</f>
        <v>99.44</v>
      </c>
      <c r="BN15" s="116" cm="1">
        <f t="array" ref="BN15">_xll.EQNXTDZ($A$1,$B15,BN$1)</f>
        <v>100.74</v>
      </c>
      <c r="BO15" s="116" cm="1">
        <f t="array" ref="BO15">_xll.EQNXTDZ($A$1,$B15,BO$1)</f>
        <v>101</v>
      </c>
      <c r="BP15" s="116" cm="1">
        <f t="array" ref="BP15">_xll.EQNXTDZ($A$1,$B15,BP$1)</f>
        <v>102.84</v>
      </c>
      <c r="BQ15" s="116" cm="1">
        <f t="array" ref="BQ15">_xll.EQNXTDZ($A$1,$B15,BQ$1)</f>
        <v>99.8</v>
      </c>
      <c r="BR15" s="116" cm="1">
        <f t="array" ref="BR15">_xll.EQNXTDZ($A$1,$B15,BR$1)</f>
        <v>101.8</v>
      </c>
      <c r="BS15" s="116" cm="1">
        <f t="array" ref="BS15">_xll.EQNXTDZ($A$1,$B15,BS$1)</f>
        <v>97</v>
      </c>
      <c r="BT15" s="116" cm="1">
        <f t="array" ref="BT15">_xll.EQNXTDZ($A$1,$B15,BT$1)</f>
        <v>99.32</v>
      </c>
      <c r="BU15" s="116" cm="1">
        <f t="array" ref="BU15">_xll.EQNXTDZ($A$1,$B15,BU$1)</f>
        <v>99.22</v>
      </c>
      <c r="BV15" s="116" cm="1">
        <f t="array" ref="BV15">_xll.EQNXTDZ($A$1,$B15,BV$1)</f>
        <v>87.85</v>
      </c>
      <c r="BW15" s="116" cm="1">
        <f t="array" ref="BW15">_xll.EQNXTDZ($A$1,$B15,BW$1)</f>
        <v>89.02</v>
      </c>
      <c r="BX15" s="116" cm="1">
        <f t="array" ref="BX15">_xll.EQNXTDZ($A$1,$B15,BX$1)</f>
        <v>88</v>
      </c>
      <c r="BY15" s="116" cm="1">
        <f t="array" ref="BY15">_xll.EQNXTDZ($A$1,$B15,BY$1)</f>
        <v>85</v>
      </c>
      <c r="BZ15" s="116" cm="1">
        <f t="array" ref="BZ15">_xll.EQNXTDZ($A$1,$B15,BZ$1)</f>
        <v>83.18</v>
      </c>
      <c r="CA15" s="116" cm="1">
        <f t="array" ref="CA15">_xll.EQNXTDZ($A$1,$B15,CA$1)</f>
        <v>66.06</v>
      </c>
      <c r="CB15" s="116" cm="1">
        <f t="array" ref="CB15">_xll.EQNXTDZ($A$1,$B15,CB$1)</f>
        <v>68.8</v>
      </c>
      <c r="CC15" s="116" cm="1">
        <f t="array" ref="CC15">_xll.EQNXTDZ($A$1,$B15,CC$1)</f>
        <v>73.930000000000007</v>
      </c>
      <c r="CD15" s="116" cm="1">
        <f t="array" ref="CD15">_xll.EQNXTDZ($A$1,$B15,CD$1)</f>
        <v>70.8</v>
      </c>
      <c r="CE15" s="116" cm="1">
        <f t="array" ref="CE15">_xll.EQNXTDZ($A$1,$B15,CE$1)</f>
        <v>64.8</v>
      </c>
      <c r="CF15" s="116" cm="1">
        <f t="array" ref="CF15">_xll.EQNXTDZ($A$1,$B15,CF$1)</f>
        <v>67.2</v>
      </c>
      <c r="CG15" s="116" cm="1">
        <f t="array" ref="CG15">_xll.EQNXTDZ($A$1,$B15,CG$1)</f>
        <v>75.83</v>
      </c>
      <c r="CH15" s="116" cm="1">
        <f t="array" ref="CH15">_xll.EQNXTDZ($A$1,$B15,CH$1)</f>
        <v>70.650000000000006</v>
      </c>
      <c r="CI15" s="116" cm="1">
        <f t="array" ref="CI15">_xll.EQNXTDZ($A$1,$B15,CI$1)</f>
        <v>64.41</v>
      </c>
      <c r="CJ15" s="116" cm="1">
        <f t="array" ref="CJ15">_xll.EQNXTDZ($A$1,$B15,CJ$1)</f>
        <v>66.349999999999994</v>
      </c>
      <c r="CK15" s="116" cm="1">
        <f t="array" ref="CK15">_xll.EQNXTDZ($A$1,$B15,CK$1)</f>
        <v>59.6</v>
      </c>
      <c r="CL15" s="116" cm="1">
        <f t="array" ref="CL15">_xll.EQNXTDZ($A$1,$B15,CL$1)</f>
        <v>64.8</v>
      </c>
      <c r="CM15" s="116" cm="1">
        <f t="array" ref="CM15">_xll.EQNXTDZ($A$1,$B15,CM$1)</f>
        <v>60.74</v>
      </c>
      <c r="CN15" s="116" cm="1">
        <f t="array" ref="CN15">_xll.EQNXTDZ($A$1,$B15,CN$1)</f>
        <v>65.319999999999993</v>
      </c>
      <c r="CO15" s="116" cm="1">
        <f t="array" ref="CO15">_xll.EQNXTDZ($A$1,$B15,CO$1)</f>
        <v>66</v>
      </c>
      <c r="CP15" s="116" cm="1">
        <f t="array" ref="CP15">_xll.EQNXTDZ($A$1,$B15,CP$1)</f>
        <v>72.3</v>
      </c>
      <c r="CQ15" s="116" cm="1">
        <f t="array" ref="CQ15">_xll.EQNXTDZ($A$1,$B15,CQ$1)</f>
        <v>80.400000000000006</v>
      </c>
      <c r="CR15" s="116" cm="1">
        <f t="array" ref="CR15">_xll.EQNXTDZ($A$1,$B15,CR$1)</f>
        <v>61.9</v>
      </c>
      <c r="CS15" s="116" cm="1">
        <f t="array" ref="CS15">_xll.EQNXTDZ($A$1,$B15,CS$1)</f>
        <v>63.64</v>
      </c>
      <c r="CT15" s="116" cm="1">
        <f t="array" ref="CT15">_xll.EQNXTDZ($A$1,$B15,CT$1)</f>
        <v>84.4</v>
      </c>
      <c r="CU15" s="116" cm="1">
        <f t="array" ref="CU15">_xll.EQNXTDZ($A$1,$B15,CU$1)</f>
        <v>92.29</v>
      </c>
      <c r="CV15" s="116" cm="1">
        <f t="array" ref="CV15">_xll.EQNXTDZ($A$1,$B15,CV$1)</f>
        <v>103.28</v>
      </c>
      <c r="CW15" s="116" cm="1">
        <f t="array" ref="CW15">_xll.EQNXTDZ($A$1,$B15,CW$1)</f>
        <v>190.57</v>
      </c>
      <c r="CX15" s="116" cm="1">
        <f t="array" ref="CX15">_xll.EQNXTDZ($A$1,$B15,CX$1)</f>
        <v>210.73</v>
      </c>
      <c r="CY15" s="116" cm="1">
        <f t="array" ref="CY15">_xll.EQNXTDZ($A$1,$B15,CY$1)</f>
        <v>265</v>
      </c>
      <c r="CZ15" s="116" cm="1">
        <f t="array" ref="CZ15">_xll.EQNXTDZ($A$1,$B15,CZ$1)</f>
        <v>251</v>
      </c>
      <c r="DA15" s="116" cm="1">
        <f t="array" ref="DA15">_xll.EQNXTDZ($A$1,$B15,DA$1)</f>
        <v>310</v>
      </c>
      <c r="DB15" s="116" cm="1">
        <f t="array" ref="DB15">_xll.EQNXTDZ($A$1,$B15,DB$1)</f>
        <v>340</v>
      </c>
      <c r="DC15" s="116" cm="1">
        <f t="array" ref="DC15">_xll.EQNXTDZ($A$1,$B15,DC$1)</f>
        <v>333.25</v>
      </c>
      <c r="DD15" s="116" cm="1">
        <f t="array" ref="DD15">_xll.EQNXTDZ($A$1,$B15,DD$1)</f>
        <v>334</v>
      </c>
      <c r="DE15" s="116" cm="1">
        <f t="array" ref="DE15">_xll.EQNXTDZ($A$1,$B15,DE$1)</f>
        <v>360.6</v>
      </c>
      <c r="DF15" s="116" cm="1">
        <f t="array" ref="DF15">_xll.EQNXTDZ($A$1,$B15,DF$1)</f>
        <v>456.5</v>
      </c>
      <c r="DG15" s="116" cm="1">
        <f t="array" ref="DG15">_xll.EQNXTDZ($A$1,$B15,DG$1)</f>
        <v>517.15</v>
      </c>
      <c r="DH15" s="116" cm="1">
        <f t="array" ref="DH15">_xll.EQNXTDZ($A$1,$B15,DH$1)</f>
        <v>588.20000000000005</v>
      </c>
      <c r="DI15" s="116" cm="1">
        <f t="array" ref="DI15">_xll.EQNXTDZ($A$1,$B15,DI$1)</f>
        <v>626</v>
      </c>
      <c r="DJ15" s="116" cm="1">
        <f t="array" ref="DJ15">_xll.EQNXTDZ($A$1,$B15,DJ$1)</f>
        <v>587.04999999999995</v>
      </c>
      <c r="DK15" s="116" cm="1">
        <f t="array" ref="DK15">_xll.EQNXTDZ($A$1,$B15,DK$1)</f>
        <v>488.65</v>
      </c>
      <c r="DL15" s="116" cm="1">
        <f t="array" ref="DL15">_xll.EQNXTDZ($A$1,$B15,DL$1)</f>
        <v>444.9</v>
      </c>
      <c r="DM15" s="116" cm="1">
        <f t="array" ref="DM15">_xll.EQNXTDZ($A$1,$B15,DM$1)</f>
        <v>468</v>
      </c>
      <c r="DN15" s="116" cm="1">
        <f t="array" ref="DN15">_xll.EQNXTDZ($A$1,$B15,DN$1)</f>
        <v>433.2</v>
      </c>
      <c r="DO15" s="116" cm="1">
        <f t="array" ref="DO15">_xll.EQNXTDZ($A$1,$B15,DO$1)</f>
        <v>497.55</v>
      </c>
      <c r="DP15" s="116" cm="1">
        <f t="array" ref="DP15">_xll.EQNXTDZ($A$1,$B15,DP$1)</f>
        <v>521.54999999999995</v>
      </c>
      <c r="DQ15" s="116" cm="1">
        <f t="array" ref="DQ15">_xll.EQNXTDZ($A$1,$B15,DQ$1)</f>
        <v>555.25</v>
      </c>
      <c r="DR15" s="116" cm="1">
        <f t="array" ref="DR15">_xll.EQNXTDZ($A$1,$B15,DR$1)</f>
        <v>514</v>
      </c>
      <c r="DS15" s="116" cm="1">
        <f t="array" ref="DS15">_xll.EQNXTDZ($A$1,$B15,DS$1)</f>
        <v>437</v>
      </c>
      <c r="DT15" s="116" cm="1">
        <f t="array" ref="DT15">_xll.EQNXTDZ($A$1,$B15,DT$1)</f>
        <v>458.45</v>
      </c>
      <c r="DU15" s="116" cm="1">
        <f t="array" ref="DU15">_xll.EQNXTDZ($A$1,$B15,DU$1)</f>
        <v>517.04999999999995</v>
      </c>
      <c r="DV15" s="116" cm="1">
        <f t="array" ref="DV15">_xll.EQNXTDZ($A$1,$B15,DV$1)</f>
        <v>490</v>
      </c>
      <c r="DW15" s="116" cm="1">
        <f t="array" ref="DW15">_xll.EQNXTDZ($A$1,$B15,DW$1)</f>
        <v>442.95</v>
      </c>
      <c r="DX15" s="116" cm="1">
        <f t="array" ref="DX15">_xll.EQNXTDZ($A$1,$B15,DX$1)</f>
        <v>401.45</v>
      </c>
      <c r="DY15" s="116" cm="1">
        <f t="array" ref="DY15">_xll.EQNXTDZ($A$1,$B15,DY$1)</f>
        <v>368.75</v>
      </c>
      <c r="DZ15" s="116" cm="1">
        <f t="array" ref="DZ15">_xll.EQNXTDZ($A$1,$B15,DZ$1)</f>
        <v>324.25</v>
      </c>
      <c r="EA15" s="116" cm="1">
        <f t="array" ref="EA15">_xll.EQNXTDZ($A$1,$B15,EA$1)</f>
        <v>309.85000000000002</v>
      </c>
      <c r="EB15" s="116" cm="1">
        <f t="array" ref="EB15">_xll.EQNXTDZ($A$1,$B15,EB$1)</f>
        <v>286.8</v>
      </c>
      <c r="EC15" s="116" cm="1">
        <f t="array" ref="EC15">_xll.EQNXTDZ($A$1,$B15,EC$1)</f>
        <v>279.64999999999998</v>
      </c>
      <c r="ED15" s="116" cm="1">
        <f t="array" ref="ED15">_xll.EQNXTDZ($A$1,$B15,ED$1)</f>
        <v>299.3</v>
      </c>
      <c r="EE15" s="116" cm="1">
        <f t="array" ref="EE15">_xll.EQNXTDZ($A$1,$B15,EE$1)</f>
        <v>324.95</v>
      </c>
      <c r="EF15" s="116" cm="1">
        <f t="array" ref="EF15">_xll.EQNXTDZ($A$1,$B15,EF$1)</f>
        <v>328.15</v>
      </c>
      <c r="EG15" s="116" cm="1">
        <f t="array" ref="EG15">_xll.EQNXTDZ($A$1,$B15,EG$1)</f>
        <v>351.95</v>
      </c>
      <c r="EH15" s="116" cm="1">
        <f t="array" ref="EH15">_xll.EQNXTDZ($A$1,$B15,EH$1)</f>
        <v>377.75</v>
      </c>
      <c r="EI15" s="116" cm="1">
        <f t="array" ref="EI15">_xll.EQNXTDZ($A$1,$B15,EI$1)</f>
        <v>349.8</v>
      </c>
      <c r="EJ15" s="116" cm="1">
        <f t="array" ref="EJ15">_xll.EQNXTDZ($A$1,$B15,EJ$1)</f>
        <v>357.15</v>
      </c>
      <c r="EK15" s="116" cm="1">
        <f t="array" ref="EK15">_xll.EQNXTDZ($A$1,$B15,EK$1)</f>
        <v>373.15</v>
      </c>
      <c r="EL15" s="116" cm="1">
        <f t="array" ref="EL15">_xll.EQNXTDZ($A$1,$B15,EL$1)</f>
        <v>358.7</v>
      </c>
      <c r="EM15" s="116" cm="1">
        <f t="array" ref="EM15">_xll.EQNXTDZ($A$1,$B15,EM$1)</f>
        <v>380</v>
      </c>
      <c r="EN15" s="116" cm="1">
        <f t="array" ref="EN15">_xll.EQNXTDZ($A$1,$B15,EN$1)</f>
        <v>372.2</v>
      </c>
      <c r="EO15" s="116" cm="1">
        <f t="array" ref="EO15">_xll.EQNXTDZ($A$1,$B15,EO$1)</f>
        <v>392.75</v>
      </c>
      <c r="EP15" s="116" cm="1">
        <f t="array" ref="EP15">_xll.EQNXTDZ($A$1,$B15,EP$1)</f>
        <v>400</v>
      </c>
      <c r="EQ15" s="116" cm="1">
        <f t="array" ref="EQ15">_xll.EQNXTDZ($A$1,$B15,EQ$1)</f>
        <v>386.85</v>
      </c>
      <c r="ER15" s="116" cm="1">
        <f t="array" ref="ER15">_xll.EQNXTDZ($A$1,$B15,ER$1)</f>
        <v>410.05</v>
      </c>
      <c r="ES15" s="116" cm="1">
        <f t="array" ref="ES15">_xll.EQNXTDZ($A$1,$B15,ES$1)</f>
        <v>390.3</v>
      </c>
      <c r="ET15" s="116" cm="1">
        <f t="array" ref="ET15">_xll.EQNXTDZ($A$1,$B15,ET$1)</f>
        <v>455.45</v>
      </c>
      <c r="EU15" s="116" cm="1">
        <f t="array" ref="EU15">_xll.EQNXTDZ($A$1,$B15,EU$1)</f>
        <v>422.7</v>
      </c>
      <c r="EV15" s="116" cm="1">
        <f t="array" ref="EV15">_xll.EQNXTDZ($A$1,$B15,EV$1)</f>
        <v>474.25</v>
      </c>
      <c r="EW15" s="116" cm="1">
        <f t="array" ref="EW15">_xll.EQNXTDZ($A$1,$B15,EW$1)</f>
        <v>554.25</v>
      </c>
      <c r="EX15" s="116" cm="1">
        <f t="array" ref="EX15">_xll.EQNXTDZ($A$1,$B15,EX$1)</f>
        <v>504.3</v>
      </c>
      <c r="EY15" s="116" cm="1">
        <f t="array" ref="EY15">_xll.EQNXTDZ($A$1,$B15,EY$1)</f>
        <v>512.04999999999995</v>
      </c>
      <c r="EZ15" s="116" cm="1">
        <f t="array" ref="EZ15">_xll.EQNXTDZ($A$1,$B15,EZ$1)</f>
        <v>518.35</v>
      </c>
      <c r="FA15" s="116" cm="1">
        <f t="array" ref="FA15">_xll.EQNXTDZ($A$1,$B15,FA$1)</f>
        <v>517.04999999999995</v>
      </c>
      <c r="FB15" s="116" cm="1">
        <f t="array" ref="FB15">_xll.EQNXTDZ($A$1,$B15,FB$1)</f>
        <v>573.20000000000005</v>
      </c>
      <c r="FC15" s="116" cm="1">
        <f t="array" ref="FC15">_xll.EQNXTDZ($A$1,$B15,FC$1)</f>
        <v>606.6</v>
      </c>
      <c r="FD15" s="116" cm="1">
        <f t="array" ref="FD15">_xll.EQNXTDZ($A$1,$B15,FD$1)</f>
        <v>722</v>
      </c>
      <c r="FE15" s="116" cm="1">
        <f t="array" ref="FE15">_xll.EQNXTDZ($A$1,$B15,FE$1)</f>
        <v>810.75</v>
      </c>
      <c r="FF15" s="116" cm="1">
        <f t="array" ref="FF15">_xll.EQNXTDZ($A$1,$B15,FF$1)</f>
        <v>822.85</v>
      </c>
      <c r="FG15" s="116" cm="1">
        <f t="array" ref="FG15">_xll.EQNXTDZ($A$1,$B15,FG$1)</f>
        <v>838.4</v>
      </c>
      <c r="FH15" s="116" cm="1">
        <f t="array" ref="FH15">_xll.EQNXTDZ($A$1,$B15,FH$1)</f>
        <v>956</v>
      </c>
      <c r="FI15" s="116" cm="1">
        <f t="array" ref="FI15">_xll.EQNXTDZ($A$1,$B15,FI$1)</f>
        <v>985.85</v>
      </c>
      <c r="FJ15" s="116" cm="1">
        <f t="array" ref="FJ15">_xll.EQNXTDZ($A$1,$B15,FJ$1)</f>
        <v>955</v>
      </c>
      <c r="FK15" s="116" cm="1">
        <f t="array" ref="FK15">_xll.EQNXTDZ($A$1,$B15,FK$1)</f>
        <v>913.35</v>
      </c>
      <c r="FL15" s="116" cm="1">
        <f t="array" ref="FL15">_xll.EQNXTDZ($A$1,$B15,FL$1)</f>
        <v>937</v>
      </c>
      <c r="FM15" s="116" cm="1">
        <f t="array" ref="FM15">_xll.EQNXTDZ($A$1,$B15,FM$1)</f>
        <v>994.25</v>
      </c>
      <c r="FN15" s="116" cm="1">
        <f t="array" ref="FN15">_xll.EQNXTDZ($A$1,$B15,FN$1)</f>
        <v>1103.1500000000001</v>
      </c>
      <c r="FO15" s="116" cm="1">
        <f t="array" ref="FO15">_xll.EQNXTDZ($A$1,$B15,FO$1)</f>
        <v>1343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92.65</v>
      </c>
      <c r="II15" s="116">
        <f>+MIN(BI15:BK15)</f>
        <v>100.5</v>
      </c>
      <c r="IJ15" s="116">
        <f>+MIN(BL15:BN15)</f>
        <v>99.44</v>
      </c>
      <c r="IK15" s="116">
        <f>+MIN(BO15:BQ15)</f>
        <v>99.8</v>
      </c>
      <c r="IL15" s="116">
        <f>+MIN(BR15:BT15)</f>
        <v>97</v>
      </c>
      <c r="IM15" s="116">
        <f>+MIN(BU15:BW15)</f>
        <v>87.85</v>
      </c>
      <c r="IN15" s="116">
        <f>+MIN(BX15:BZ15)</f>
        <v>83.18</v>
      </c>
      <c r="IO15" s="116">
        <f>+MIN(CA15:CC15)</f>
        <v>66.06</v>
      </c>
      <c r="IP15" s="116">
        <f>+MIN(CD15:CF15)</f>
        <v>64.8</v>
      </c>
      <c r="IQ15" s="116">
        <f>+MIN(CG15:CI15)</f>
        <v>64.41</v>
      </c>
      <c r="IR15" s="116">
        <f>+MIN(CJ15:CL15)</f>
        <v>59.6</v>
      </c>
      <c r="IS15" s="116">
        <f>+MIN(CM15:CO15)</f>
        <v>60.74</v>
      </c>
      <c r="IT15" s="116">
        <f>+MIN(CP15:CR15)</f>
        <v>61.9</v>
      </c>
      <c r="IU15" s="116">
        <f>+MIN(CS15:CU15)</f>
        <v>63.64</v>
      </c>
      <c r="IV15" s="116">
        <f>+MIN(CV15:CX15)</f>
        <v>103.28</v>
      </c>
      <c r="IW15" s="116">
        <f>+MIN(CY15:DA15)</f>
        <v>251</v>
      </c>
      <c r="IX15" s="116">
        <f>+MIN(DB15:DD15)</f>
        <v>333.25</v>
      </c>
      <c r="IY15" s="116">
        <f>+MIN(DE15:DG15)</f>
        <v>360.6</v>
      </c>
      <c r="IZ15" s="116">
        <f>+MIN(DH15:DJ15)</f>
        <v>587.04999999999995</v>
      </c>
      <c r="JA15" s="116">
        <f>+MIN(DK15:DM15)</f>
        <v>444.9</v>
      </c>
      <c r="JB15" s="116">
        <f>+MIN(DN15:DP15)</f>
        <v>433.2</v>
      </c>
      <c r="JC15" s="116">
        <f>+MIN(DQ15:DS15)</f>
        <v>437</v>
      </c>
      <c r="JD15" s="116">
        <f>+MIN(DT15:DV15)</f>
        <v>458.45</v>
      </c>
      <c r="JE15" s="116">
        <f>+MIN(DW15:DY15)</f>
        <v>368.75</v>
      </c>
      <c r="JF15" s="116">
        <f>+MIN(DZ15:EB15)</f>
        <v>286.8</v>
      </c>
      <c r="JG15" s="116">
        <f>+MIN(EC15:EE15)</f>
        <v>279.64999999999998</v>
      </c>
      <c r="JH15" s="116">
        <f>+MIN(EF15:EH15)</f>
        <v>328.15</v>
      </c>
      <c r="JI15" s="116">
        <f>+MIN(EI15:EK15)</f>
        <v>349.8</v>
      </c>
      <c r="JJ15" s="116">
        <f>+MIN(EL15:EN15)</f>
        <v>358.7</v>
      </c>
      <c r="JK15" s="116">
        <f>MIN(EO15:EQ15)</f>
        <v>386.85</v>
      </c>
      <c r="JL15" s="116">
        <f>MIN(ER15:ET15)</f>
        <v>390.3</v>
      </c>
      <c r="JM15" s="116">
        <f>MIN(EU15:EW15)</f>
        <v>422.7</v>
      </c>
      <c r="JN15" s="116">
        <f>MIN(EX15:EZ15)</f>
        <v>504.3</v>
      </c>
      <c r="JO15" s="116">
        <f>MIN(FA15:FC15)</f>
        <v>517.04999999999995</v>
      </c>
      <c r="JP15" s="116">
        <f>MIN(FD15:FF15)</f>
        <v>722</v>
      </c>
      <c r="JQ15" s="116">
        <f>MIN(FG15:FI15)</f>
        <v>838.4</v>
      </c>
      <c r="JR15" s="116">
        <f>MIN(FJ15:FL15)</f>
        <v>913.35</v>
      </c>
      <c r="JS15" s="116">
        <f>MIN(FM15:FO15)</f>
        <v>994.25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95.94</v>
      </c>
      <c r="BF16" s="116" cm="1">
        <f t="array" ref="BF16">_xll.EQNXTDZ($A$1,$B16,BF$1)</f>
        <v>94.99</v>
      </c>
      <c r="BG16" s="116" cm="1">
        <f t="array" ref="BG16">_xll.EQNXTDZ($A$1,$B16,BG$1)</f>
        <v>102.01</v>
      </c>
      <c r="BH16" s="116" cm="1">
        <f t="array" ref="BH16">_xll.EQNXTDZ($A$1,$B16,BH$1)</f>
        <v>103.06</v>
      </c>
      <c r="BI16" s="116" cm="1">
        <f t="array" ref="BI16">_xll.EQNXTDZ($A$1,$B16,BI$1)</f>
        <v>103.69</v>
      </c>
      <c r="BJ16" s="116" cm="1">
        <f t="array" ref="BJ16">_xll.EQNXTDZ($A$1,$B16,BJ$1)</f>
        <v>113.83</v>
      </c>
      <c r="BK16" s="116" cm="1">
        <f t="array" ref="BK16">_xll.EQNXTDZ($A$1,$B16,BK$1)</f>
        <v>122.88</v>
      </c>
      <c r="BL16" s="116" cm="1">
        <f t="array" ref="BL16">_xll.EQNXTDZ($A$1,$B16,BL$1)</f>
        <v>116.15</v>
      </c>
      <c r="BM16" s="116" cm="1">
        <f t="array" ref="BM16">_xll.EQNXTDZ($A$1,$B16,BM$1)</f>
        <v>105.38</v>
      </c>
      <c r="BN16" s="116" cm="1">
        <f t="array" ref="BN16">_xll.EQNXTDZ($A$1,$B16,BN$1)</f>
        <v>101.18</v>
      </c>
      <c r="BO16" s="116" cm="1">
        <f t="array" ref="BO16">_xll.EQNXTDZ($A$1,$B16,BO$1)</f>
        <v>107.31</v>
      </c>
      <c r="BP16" s="116" cm="1">
        <f t="array" ref="BP16">_xll.EQNXTDZ($A$1,$B16,BP$1)</f>
        <v>104.78</v>
      </c>
      <c r="BQ16" s="116" cm="1">
        <f t="array" ref="BQ16">_xll.EQNXTDZ($A$1,$B16,BQ$1)</f>
        <v>108.58</v>
      </c>
      <c r="BR16" s="116" cm="1">
        <f t="array" ref="BR16">_xll.EQNXTDZ($A$1,$B16,BR$1)</f>
        <v>103.8</v>
      </c>
      <c r="BS16" s="116" cm="1">
        <f t="array" ref="BS16">_xll.EQNXTDZ($A$1,$B16,BS$1)</f>
        <v>107.67</v>
      </c>
      <c r="BT16" s="116" cm="1">
        <f t="array" ref="BT16">_xll.EQNXTDZ($A$1,$B16,BT$1)</f>
        <v>100.62</v>
      </c>
      <c r="BU16" s="116" cm="1">
        <f t="array" ref="BU16">_xll.EQNXTDZ($A$1,$B16,BU$1)</f>
        <v>102.46</v>
      </c>
      <c r="BV16" s="116" cm="1">
        <f t="array" ref="BV16">_xll.EQNXTDZ($A$1,$B16,BV$1)</f>
        <v>93.7</v>
      </c>
      <c r="BW16" s="116" cm="1">
        <f t="array" ref="BW16">_xll.EQNXTDZ($A$1,$B16,BW$1)</f>
        <v>92.15</v>
      </c>
      <c r="BX16" s="116" cm="1">
        <f t="array" ref="BX16">_xll.EQNXTDZ($A$1,$B16,BX$1)</f>
        <v>91.22</v>
      </c>
      <c r="BY16" s="116" cm="1">
        <f t="array" ref="BY16">_xll.EQNXTDZ($A$1,$B16,BY$1)</f>
        <v>87.58</v>
      </c>
      <c r="BZ16" s="116" cm="1">
        <f t="array" ref="BZ16">_xll.EQNXTDZ($A$1,$B16,BZ$1)</f>
        <v>86.03</v>
      </c>
      <c r="CA16" s="116" cm="1">
        <f t="array" ref="CA16">_xll.EQNXTDZ($A$1,$B16,CA$1)</f>
        <v>68.36</v>
      </c>
      <c r="CB16" s="116" cm="1">
        <f t="array" ref="CB16">_xll.EQNXTDZ($A$1,$B16,CB$1)</f>
        <v>76.7</v>
      </c>
      <c r="CC16" s="116" cm="1">
        <f t="array" ref="CC16">_xll.EQNXTDZ($A$1,$B16,CC$1)</f>
        <v>75.94</v>
      </c>
      <c r="CD16" s="116" cm="1">
        <f t="array" ref="CD16">_xll.EQNXTDZ($A$1,$B16,CD$1)</f>
        <v>73.97</v>
      </c>
      <c r="CE16" s="116" cm="1">
        <f t="array" ref="CE16">_xll.EQNXTDZ($A$1,$B16,CE$1)</f>
        <v>66.39</v>
      </c>
      <c r="CF16" s="116" cm="1">
        <f t="array" ref="CF16">_xll.EQNXTDZ($A$1,$B16,CF$1)</f>
        <v>79.95</v>
      </c>
      <c r="CG16" s="116" cm="1">
        <f t="array" ref="CG16">_xll.EQNXTDZ($A$1,$B16,CG$1)</f>
        <v>76.39</v>
      </c>
      <c r="CH16" s="116" cm="1">
        <f t="array" ref="CH16">_xll.EQNXTDZ($A$1,$B16,CH$1)</f>
        <v>71.95</v>
      </c>
      <c r="CI16" s="116" cm="1">
        <f t="array" ref="CI16">_xll.EQNXTDZ($A$1,$B16,CI$1)</f>
        <v>67.349999999999994</v>
      </c>
      <c r="CJ16" s="116" cm="1">
        <f t="array" ref="CJ16">_xll.EQNXTDZ($A$1,$B16,CJ$1)</f>
        <v>67.319999999999993</v>
      </c>
      <c r="CK16" s="116" cm="1">
        <f t="array" ref="CK16">_xll.EQNXTDZ($A$1,$B16,CK$1)</f>
        <v>65.61</v>
      </c>
      <c r="CL16" s="116" cm="1">
        <f t="array" ref="CL16">_xll.EQNXTDZ($A$1,$B16,CL$1)</f>
        <v>74.72</v>
      </c>
      <c r="CM16" s="116" cm="1">
        <f t="array" ref="CM16">_xll.EQNXTDZ($A$1,$B16,CM$1)</f>
        <v>73.75</v>
      </c>
      <c r="CN16" s="116" cm="1">
        <f t="array" ref="CN16">_xll.EQNXTDZ($A$1,$B16,CN$1)</f>
        <v>70.069999999999993</v>
      </c>
      <c r="CO16" s="116" cm="1">
        <f t="array" ref="CO16">_xll.EQNXTDZ($A$1,$B16,CO$1)</f>
        <v>71.91</v>
      </c>
      <c r="CP16" s="116" cm="1">
        <f t="array" ref="CP16">_xll.EQNXTDZ($A$1,$B16,CP$1)</f>
        <v>86.04</v>
      </c>
      <c r="CQ16" s="116" cm="1">
        <f t="array" ref="CQ16">_xll.EQNXTDZ($A$1,$B16,CQ$1)</f>
        <v>82.25</v>
      </c>
      <c r="CR16" s="116" cm="1">
        <f t="array" ref="CR16">_xll.EQNXTDZ($A$1,$B16,CR$1)</f>
        <v>64.52</v>
      </c>
      <c r="CS16" s="116" cm="1">
        <f t="array" ref="CS16">_xll.EQNXTDZ($A$1,$B16,CS$1)</f>
        <v>102.47</v>
      </c>
      <c r="CT16" s="116" cm="1">
        <f t="array" ref="CT16">_xll.EQNXTDZ($A$1,$B16,CT$1)</f>
        <v>93.25</v>
      </c>
      <c r="CU16" s="116" cm="1">
        <f t="array" ref="CU16">_xll.EQNXTDZ($A$1,$B16,CU$1)</f>
        <v>103.95</v>
      </c>
      <c r="CV16" s="116" cm="1">
        <f t="array" ref="CV16">_xll.EQNXTDZ($A$1,$B16,CV$1)</f>
        <v>186.72</v>
      </c>
      <c r="CW16" s="116" cm="1">
        <f t="array" ref="CW16">_xll.EQNXTDZ($A$1,$B16,CW$1)</f>
        <v>225.81</v>
      </c>
      <c r="CX16" s="116" cm="1">
        <f t="array" ref="CX16">_xll.EQNXTDZ($A$1,$B16,CX$1)</f>
        <v>287.05</v>
      </c>
      <c r="CY16" s="116" cm="1">
        <f t="array" ref="CY16">_xll.EQNXTDZ($A$1,$B16,CY$1)</f>
        <v>319.2</v>
      </c>
      <c r="CZ16" s="116" cm="1">
        <f t="array" ref="CZ16">_xll.EQNXTDZ($A$1,$B16,CZ$1)</f>
        <v>317.14999999999998</v>
      </c>
      <c r="DA16" s="116" cm="1">
        <f t="array" ref="DA16">_xll.EQNXTDZ($A$1,$B16,DA$1)</f>
        <v>353.15</v>
      </c>
      <c r="DB16" s="116" cm="1">
        <f t="array" ref="DB16">_xll.EQNXTDZ($A$1,$B16,DB$1)</f>
        <v>345.2</v>
      </c>
      <c r="DC16" s="116" cm="1">
        <f t="array" ref="DC16">_xll.EQNXTDZ($A$1,$B16,DC$1)</f>
        <v>350.4</v>
      </c>
      <c r="DD16" s="116" cm="1">
        <f t="array" ref="DD16">_xll.EQNXTDZ($A$1,$B16,DD$1)</f>
        <v>362.05</v>
      </c>
      <c r="DE16" s="116" cm="1">
        <f t="array" ref="DE16">_xll.EQNXTDZ($A$1,$B16,DE$1)</f>
        <v>453.1</v>
      </c>
      <c r="DF16" s="116" cm="1">
        <f t="array" ref="DF16">_xll.EQNXTDZ($A$1,$B16,DF$1)</f>
        <v>523.75</v>
      </c>
      <c r="DG16" s="116" cm="1">
        <f t="array" ref="DG16">_xll.EQNXTDZ($A$1,$B16,DG$1)</f>
        <v>679.6</v>
      </c>
      <c r="DH16" s="116" cm="1">
        <f t="array" ref="DH16">_xll.EQNXTDZ($A$1,$B16,DH$1)</f>
        <v>640.65</v>
      </c>
      <c r="DI16" s="116" cm="1">
        <f t="array" ref="DI16">_xll.EQNXTDZ($A$1,$B16,DI$1)</f>
        <v>666.6</v>
      </c>
      <c r="DJ16" s="116" cm="1">
        <f t="array" ref="DJ16">_xll.EQNXTDZ($A$1,$B16,DJ$1)</f>
        <v>617.04999999999995</v>
      </c>
      <c r="DK16" s="116" cm="1">
        <f t="array" ref="DK16">_xll.EQNXTDZ($A$1,$B16,DK$1)</f>
        <v>515.70000000000005</v>
      </c>
      <c r="DL16" s="116" cm="1">
        <f t="array" ref="DL16">_xll.EQNXTDZ($A$1,$B16,DL$1)</f>
        <v>508.25</v>
      </c>
      <c r="DM16" s="116" cm="1">
        <f t="array" ref="DM16">_xll.EQNXTDZ($A$1,$B16,DM$1)</f>
        <v>539.20000000000005</v>
      </c>
      <c r="DN16" s="116" cm="1">
        <f t="array" ref="DN16">_xll.EQNXTDZ($A$1,$B16,DN$1)</f>
        <v>502.9</v>
      </c>
      <c r="DO16" s="116" cm="1">
        <f t="array" ref="DO16">_xll.EQNXTDZ($A$1,$B16,DO$1)</f>
        <v>541.54999999999995</v>
      </c>
      <c r="DP16" s="116" cm="1">
        <f t="array" ref="DP16">_xll.EQNXTDZ($A$1,$B16,DP$1)</f>
        <v>590.04999999999995</v>
      </c>
      <c r="DQ16" s="116" cm="1">
        <f t="array" ref="DQ16">_xll.EQNXTDZ($A$1,$B16,DQ$1)</f>
        <v>583.65</v>
      </c>
      <c r="DR16" s="116" cm="1">
        <f t="array" ref="DR16">_xll.EQNXTDZ($A$1,$B16,DR$1)</f>
        <v>567.6</v>
      </c>
      <c r="DS16" s="116" cm="1">
        <f t="array" ref="DS16">_xll.EQNXTDZ($A$1,$B16,DS$1)</f>
        <v>464.5</v>
      </c>
      <c r="DT16" s="116" cm="1">
        <f t="array" ref="DT16">_xll.EQNXTDZ($A$1,$B16,DT$1)</f>
        <v>522.75</v>
      </c>
      <c r="DU16" s="116" cm="1">
        <f t="array" ref="DU16">_xll.EQNXTDZ($A$1,$B16,DU$1)</f>
        <v>578.75</v>
      </c>
      <c r="DV16" s="116" cm="1">
        <f t="array" ref="DV16">_xll.EQNXTDZ($A$1,$B16,DV$1)</f>
        <v>512.5</v>
      </c>
      <c r="DW16" s="116" cm="1">
        <f t="array" ref="DW16">_xll.EQNXTDZ($A$1,$B16,DW$1)</f>
        <v>454.6</v>
      </c>
      <c r="DX16" s="116" cm="1">
        <f t="array" ref="DX16">_xll.EQNXTDZ($A$1,$B16,DX$1)</f>
        <v>417.45</v>
      </c>
      <c r="DY16" s="116" cm="1">
        <f t="array" ref="DY16">_xll.EQNXTDZ($A$1,$B16,DY$1)</f>
        <v>375.15</v>
      </c>
      <c r="DZ16" s="116" cm="1">
        <f t="array" ref="DZ16">_xll.EQNXTDZ($A$1,$B16,DZ$1)</f>
        <v>330.4</v>
      </c>
      <c r="EA16" s="116" cm="1">
        <f t="array" ref="EA16">_xll.EQNXTDZ($A$1,$B16,EA$1)</f>
        <v>314.14999999999998</v>
      </c>
      <c r="EB16" s="116" cm="1">
        <f t="array" ref="EB16">_xll.EQNXTDZ($A$1,$B16,EB$1)</f>
        <v>293</v>
      </c>
      <c r="EC16" s="116" cm="1">
        <f t="array" ref="EC16">_xll.EQNXTDZ($A$1,$B16,EC$1)</f>
        <v>307.64999999999998</v>
      </c>
      <c r="ED16" s="116" cm="1">
        <f t="array" ref="ED16">_xll.EQNXTDZ($A$1,$B16,ED$1)</f>
        <v>330.55</v>
      </c>
      <c r="EE16" s="116" cm="1">
        <f t="array" ref="EE16">_xll.EQNXTDZ($A$1,$B16,EE$1)</f>
        <v>366.5</v>
      </c>
      <c r="EF16" s="116" cm="1">
        <f t="array" ref="EF16">_xll.EQNXTDZ($A$1,$B16,EF$1)</f>
        <v>352.1</v>
      </c>
      <c r="EG16" s="116" cm="1">
        <f t="array" ref="EG16">_xll.EQNXTDZ($A$1,$B16,EG$1)</f>
        <v>399.7</v>
      </c>
      <c r="EH16" s="116" cm="1">
        <f t="array" ref="EH16">_xll.EQNXTDZ($A$1,$B16,EH$1)</f>
        <v>395.2</v>
      </c>
      <c r="EI16" s="116" cm="1">
        <f t="array" ref="EI16">_xll.EQNXTDZ($A$1,$B16,EI$1)</f>
        <v>361.5</v>
      </c>
      <c r="EJ16" s="116" cm="1">
        <f t="array" ref="EJ16">_xll.EQNXTDZ($A$1,$B16,EJ$1)</f>
        <v>380.9</v>
      </c>
      <c r="EK16" s="116" cm="1">
        <f t="array" ref="EK16">_xll.EQNXTDZ($A$1,$B16,EK$1)</f>
        <v>430.15</v>
      </c>
      <c r="EL16" s="116" cm="1">
        <f t="array" ref="EL16">_xll.EQNXTDZ($A$1,$B16,EL$1)</f>
        <v>381.1</v>
      </c>
      <c r="EM16" s="116" cm="1">
        <f t="array" ref="EM16">_xll.EQNXTDZ($A$1,$B16,EM$1)</f>
        <v>406.15</v>
      </c>
      <c r="EN16" s="116" cm="1">
        <f t="array" ref="EN16">_xll.EQNXTDZ($A$1,$B16,EN$1)</f>
        <v>391.75</v>
      </c>
      <c r="EO16" s="116" cm="1">
        <f t="array" ref="EO16">_xll.EQNXTDZ($A$1,$B16,EO$1)</f>
        <v>450.25</v>
      </c>
      <c r="EP16" s="116" cm="1">
        <f t="array" ref="EP16">_xll.EQNXTDZ($A$1,$B16,EP$1)</f>
        <v>419.05</v>
      </c>
      <c r="EQ16" s="116" cm="1">
        <f t="array" ref="EQ16">_xll.EQNXTDZ($A$1,$B16,EQ$1)</f>
        <v>424.25</v>
      </c>
      <c r="ER16" s="116" cm="1">
        <f t="array" ref="ER16">_xll.EQNXTDZ($A$1,$B16,ER$1)</f>
        <v>463.5</v>
      </c>
      <c r="ES16" s="116" cm="1">
        <f t="array" ref="ES16">_xll.EQNXTDZ($A$1,$B16,ES$1)</f>
        <v>469.9</v>
      </c>
      <c r="ET16" s="116" cm="1">
        <f t="array" ref="ET16">_xll.EQNXTDZ($A$1,$B16,ET$1)</f>
        <v>462.75</v>
      </c>
      <c r="EU16" s="116" cm="1">
        <f t="array" ref="EU16">_xll.EQNXTDZ($A$1,$B16,EU$1)</f>
        <v>491.9</v>
      </c>
      <c r="EV16" s="116" cm="1">
        <f t="array" ref="EV16">_xll.EQNXTDZ($A$1,$B16,EV$1)</f>
        <v>566.70000000000005</v>
      </c>
      <c r="EW16" s="116" cm="1">
        <f t="array" ref="EW16">_xll.EQNXTDZ($A$1,$B16,EW$1)</f>
        <v>602.35</v>
      </c>
      <c r="EX16" s="116" cm="1">
        <f t="array" ref="EX16">_xll.EQNXTDZ($A$1,$B16,EX$1)</f>
        <v>583.85</v>
      </c>
      <c r="EY16" s="116" cm="1">
        <f t="array" ref="EY16">_xll.EQNXTDZ($A$1,$B16,EY$1)</f>
        <v>527.85</v>
      </c>
      <c r="EZ16" s="116" cm="1">
        <f t="array" ref="EZ16">_xll.EQNXTDZ($A$1,$B16,EZ$1)</f>
        <v>613.79999999999995</v>
      </c>
      <c r="FA16" s="116" cm="1">
        <f t="array" ref="FA16">_xll.EQNXTDZ($A$1,$B16,FA$1)</f>
        <v>603.79999999999995</v>
      </c>
      <c r="FB16" s="116" cm="1">
        <f t="array" ref="FB16">_xll.EQNXTDZ($A$1,$B16,FB$1)</f>
        <v>609.1</v>
      </c>
      <c r="FC16" s="116" cm="1">
        <f t="array" ref="FC16">_xll.EQNXTDZ($A$1,$B16,FC$1)</f>
        <v>724.9</v>
      </c>
      <c r="FD16" s="116" cm="1">
        <f t="array" ref="FD16">_xll.EQNXTDZ($A$1,$B16,FD$1)</f>
        <v>874.25</v>
      </c>
      <c r="FE16" s="116" cm="1">
        <f t="array" ref="FE16">_xll.EQNXTDZ($A$1,$B16,FE$1)</f>
        <v>856.35</v>
      </c>
      <c r="FF16" s="116" cm="1">
        <f t="array" ref="FF16">_xll.EQNXTDZ($A$1,$B16,FF$1)</f>
        <v>841.95</v>
      </c>
      <c r="FG16" s="116" cm="1">
        <f t="array" ref="FG16">_xll.EQNXTDZ($A$1,$B16,FG$1)</f>
        <v>954.5</v>
      </c>
      <c r="FH16" s="116" cm="1">
        <f t="array" ref="FH16">_xll.EQNXTDZ($A$1,$B16,FH$1)</f>
        <v>1031.3499999999999</v>
      </c>
      <c r="FI16" s="116" cm="1">
        <f t="array" ref="FI16">_xll.EQNXTDZ($A$1,$B16,FI$1)</f>
        <v>1108.2</v>
      </c>
      <c r="FJ16" s="116" cm="1">
        <f t="array" ref="FJ16">_xll.EQNXTDZ($A$1,$B16,FJ$1)</f>
        <v>965.1</v>
      </c>
      <c r="FK16" s="116" cm="1">
        <f t="array" ref="FK16">_xll.EQNXTDZ($A$1,$B16,FK$1)</f>
        <v>1074.75</v>
      </c>
      <c r="FL16" s="116" cm="1">
        <f t="array" ref="FL16">_xll.EQNXTDZ($A$1,$B16,FL$1)</f>
        <v>991.85</v>
      </c>
      <c r="FM16" s="116" cm="1">
        <f t="array" ref="FM16">_xll.EQNXTDZ($A$1,$B16,FM$1)</f>
        <v>1099.0999999999999</v>
      </c>
      <c r="FN16" s="116" cm="1">
        <f t="array" ref="FN16">_xll.EQNXTDZ($A$1,$B16,FN$1)</f>
        <v>1361.6</v>
      </c>
      <c r="FO16" s="116" cm="1">
        <f t="array" ref="FO16">_xll.EQNXTDZ($A$1,$B16,FO$1)</f>
        <v>1375.95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95.94</v>
      </c>
      <c r="IH16" s="116">
        <f>+BH16</f>
        <v>103.06</v>
      </c>
      <c r="II16" s="116">
        <f>+BK16</f>
        <v>122.88</v>
      </c>
      <c r="IJ16" s="116">
        <f>+BN16</f>
        <v>101.18</v>
      </c>
      <c r="IK16" s="116">
        <f>+BQ16</f>
        <v>108.58</v>
      </c>
      <c r="IL16" s="116">
        <f>+BT16</f>
        <v>100.62</v>
      </c>
      <c r="IM16" s="116">
        <f>+BW16</f>
        <v>92.15</v>
      </c>
      <c r="IN16" s="116">
        <f>+BZ16</f>
        <v>86.03</v>
      </c>
      <c r="IO16" s="116">
        <f>+CC16</f>
        <v>75.94</v>
      </c>
      <c r="IP16" s="116">
        <f>+CF16</f>
        <v>79.95</v>
      </c>
      <c r="IQ16" s="116">
        <f>+CI16</f>
        <v>67.349999999999994</v>
      </c>
      <c r="IR16" s="116">
        <f>+CL16</f>
        <v>74.72</v>
      </c>
      <c r="IS16" s="116">
        <f>+CO16</f>
        <v>71.91</v>
      </c>
      <c r="IT16" s="116">
        <f>+CR16</f>
        <v>64.52</v>
      </c>
      <c r="IU16" s="116">
        <f>+CU16</f>
        <v>103.95</v>
      </c>
      <c r="IV16" s="116">
        <f>+CX16</f>
        <v>287.05</v>
      </c>
      <c r="IW16" s="116">
        <f>+DA16</f>
        <v>353.15</v>
      </c>
      <c r="IX16" s="116">
        <f>+DD16</f>
        <v>362.05</v>
      </c>
      <c r="IY16" s="116">
        <f>+DG16</f>
        <v>679.6</v>
      </c>
      <c r="IZ16" s="116">
        <f>+DJ16</f>
        <v>617.04999999999995</v>
      </c>
      <c r="JA16" s="116">
        <f>+DM16</f>
        <v>539.20000000000005</v>
      </c>
      <c r="JB16" s="116">
        <f>+DP16</f>
        <v>590.04999999999995</v>
      </c>
      <c r="JC16" s="116">
        <f>+DS16</f>
        <v>464.5</v>
      </c>
      <c r="JD16" s="116">
        <f>+DV16</f>
        <v>512.5</v>
      </c>
      <c r="JE16" s="116">
        <f>+DY16</f>
        <v>375.15</v>
      </c>
      <c r="JF16" s="116">
        <f>+EB16</f>
        <v>293</v>
      </c>
      <c r="JG16" s="116">
        <f>+EE16</f>
        <v>366.5</v>
      </c>
      <c r="JH16" s="116">
        <f>+EH16</f>
        <v>395.2</v>
      </c>
      <c r="JI16" s="116">
        <f>+EK16</f>
        <v>430.15</v>
      </c>
      <c r="JJ16" s="116">
        <f>+EN16</f>
        <v>391.75</v>
      </c>
      <c r="JK16" s="116">
        <f>EQ16</f>
        <v>424.25</v>
      </c>
      <c r="JL16" s="116">
        <f>ET16</f>
        <v>462.75</v>
      </c>
      <c r="JM16" s="116">
        <f>EW16</f>
        <v>602.35</v>
      </c>
      <c r="JN16" s="116">
        <f>EZ16</f>
        <v>613.79999999999995</v>
      </c>
      <c r="JO16" s="116">
        <f>FC16</f>
        <v>724.9</v>
      </c>
      <c r="JP16" s="116">
        <f>FF16</f>
        <v>841.95</v>
      </c>
      <c r="JQ16" s="116">
        <f>FI16</f>
        <v>1108.2</v>
      </c>
      <c r="JR16" s="116">
        <f>FL16</f>
        <v>991.85</v>
      </c>
      <c r="JS16" s="116">
        <f>FO16</f>
        <v>1375.95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99.72</v>
      </c>
      <c r="IH19" s="116">
        <f t="shared" si="1"/>
        <v>117</v>
      </c>
      <c r="II19" s="116">
        <f t="shared" si="1"/>
        <v>126.8</v>
      </c>
      <c r="IJ19" s="116">
        <f t="shared" si="1"/>
        <v>126</v>
      </c>
      <c r="IK19" s="116">
        <f t="shared" si="1"/>
        <v>115.85</v>
      </c>
      <c r="IL19" s="116">
        <f t="shared" si="1"/>
        <v>113.2</v>
      </c>
      <c r="IM19" s="116">
        <f t="shared" si="1"/>
        <v>104</v>
      </c>
      <c r="IN19" s="116">
        <f t="shared" si="1"/>
        <v>100.6</v>
      </c>
      <c r="IO19" s="116">
        <f t="shared" si="1"/>
        <v>87</v>
      </c>
      <c r="IP19" s="116">
        <f t="shared" si="1"/>
        <v>82.4</v>
      </c>
      <c r="IQ19" s="116">
        <f t="shared" si="1"/>
        <v>81.8</v>
      </c>
      <c r="IR19" s="116">
        <f t="shared" si="1"/>
        <v>75.040000000000006</v>
      </c>
      <c r="IS19" s="116">
        <f t="shared" si="1"/>
        <v>83.64</v>
      </c>
      <c r="IT19" s="116">
        <f t="shared" si="1"/>
        <v>92</v>
      </c>
      <c r="IU19" s="116">
        <f t="shared" si="1"/>
        <v>117.46</v>
      </c>
      <c r="IV19" s="116">
        <f t="shared" si="1"/>
        <v>309.95999999999998</v>
      </c>
      <c r="IW19" s="116">
        <f t="shared" si="1"/>
        <v>365.65</v>
      </c>
      <c r="IX19" s="116">
        <f t="shared" si="1"/>
        <v>385.8</v>
      </c>
      <c r="IY19" s="116">
        <f t="shared" si="1"/>
        <v>697.75</v>
      </c>
      <c r="IZ19" s="116">
        <f t="shared" si="1"/>
        <v>723.55</v>
      </c>
      <c r="JA19" s="116">
        <f t="shared" si="1"/>
        <v>663</v>
      </c>
      <c r="JB19" s="116">
        <f t="shared" si="1"/>
        <v>613.35</v>
      </c>
      <c r="JC19" s="116">
        <f t="shared" si="1"/>
        <v>626</v>
      </c>
      <c r="JD19" s="116">
        <f t="shared" si="1"/>
        <v>605.5</v>
      </c>
      <c r="JE19" s="116">
        <f t="shared" si="1"/>
        <v>533.20000000000005</v>
      </c>
      <c r="JF19" s="116">
        <f t="shared" si="1"/>
        <v>385.95</v>
      </c>
      <c r="JG19" s="116">
        <f t="shared" si="1"/>
        <v>375</v>
      </c>
      <c r="JH19" s="116">
        <f t="shared" si="1"/>
        <v>417.85</v>
      </c>
      <c r="JI19" s="116">
        <f t="shared" si="1"/>
        <v>439</v>
      </c>
      <c r="JJ19" s="116">
        <f t="shared" ref="JJ19:JJ21" si="2">+IF(JJ14=0,JJ7,JJ14)</f>
        <v>444.5</v>
      </c>
      <c r="JK19" s="116">
        <f t="shared" ref="JK19" si="3">+IF(JK14=0,JK7,JK14)</f>
        <v>470.9</v>
      </c>
      <c r="JL19" s="116">
        <f t="shared" ref="JL19:JM19" si="4">+IF(JL14=0,JL7,JL14)</f>
        <v>517.9</v>
      </c>
      <c r="JM19" s="116">
        <f t="shared" si="4"/>
        <v>604.6</v>
      </c>
      <c r="JN19" s="116">
        <f t="shared" ref="JN19:JO19" si="5">+IF(JN14=0,JN7,JN14)</f>
        <v>646.25</v>
      </c>
      <c r="JO19" s="116">
        <f t="shared" si="5"/>
        <v>726.9</v>
      </c>
      <c r="JP19" s="116">
        <f t="shared" ref="JP19" si="6">+IF(JP14=0,JP7,JP14)</f>
        <v>944</v>
      </c>
      <c r="JQ19" s="116">
        <f t="shared" ref="JQ19:KH19" si="7">+IF(JQ14=0,JQ7,JQ14)</f>
        <v>1118.95</v>
      </c>
      <c r="JR19" s="116">
        <f t="shared" si="7"/>
        <v>1140.9000000000001</v>
      </c>
      <c r="JS19" s="116">
        <f t="shared" si="7"/>
        <v>1457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92.65</v>
      </c>
      <c r="II20" s="116">
        <f t="shared" si="1"/>
        <v>100.5</v>
      </c>
      <c r="IJ20" s="116">
        <f t="shared" si="1"/>
        <v>99.44</v>
      </c>
      <c r="IK20" s="116">
        <f t="shared" si="1"/>
        <v>99.8</v>
      </c>
      <c r="IL20" s="116">
        <f t="shared" si="1"/>
        <v>97</v>
      </c>
      <c r="IM20" s="116">
        <f t="shared" si="1"/>
        <v>87.85</v>
      </c>
      <c r="IN20" s="116">
        <f t="shared" si="1"/>
        <v>83.18</v>
      </c>
      <c r="IO20" s="116">
        <f t="shared" si="1"/>
        <v>66.06</v>
      </c>
      <c r="IP20" s="116">
        <f t="shared" si="1"/>
        <v>64.8</v>
      </c>
      <c r="IQ20" s="116">
        <f t="shared" si="1"/>
        <v>64.41</v>
      </c>
      <c r="IR20" s="116">
        <f t="shared" si="1"/>
        <v>59.6</v>
      </c>
      <c r="IS20" s="116">
        <f t="shared" si="1"/>
        <v>60.74</v>
      </c>
      <c r="IT20" s="116">
        <f t="shared" si="1"/>
        <v>61.9</v>
      </c>
      <c r="IU20" s="116">
        <f t="shared" si="1"/>
        <v>63.64</v>
      </c>
      <c r="IV20" s="116">
        <f t="shared" si="1"/>
        <v>103.28</v>
      </c>
      <c r="IW20" s="116">
        <f t="shared" si="1"/>
        <v>251</v>
      </c>
      <c r="IX20" s="116">
        <f t="shared" si="1"/>
        <v>333.25</v>
      </c>
      <c r="IY20" s="116">
        <f t="shared" si="1"/>
        <v>360.6</v>
      </c>
      <c r="IZ20" s="116">
        <f t="shared" si="1"/>
        <v>587.04999999999995</v>
      </c>
      <c r="JA20" s="116">
        <f t="shared" si="1"/>
        <v>444.9</v>
      </c>
      <c r="JB20" s="116">
        <f t="shared" si="1"/>
        <v>433.2</v>
      </c>
      <c r="JC20" s="116">
        <f t="shared" si="1"/>
        <v>437</v>
      </c>
      <c r="JD20" s="116">
        <f t="shared" si="1"/>
        <v>458.45</v>
      </c>
      <c r="JE20" s="116">
        <f t="shared" si="1"/>
        <v>368.75</v>
      </c>
      <c r="JF20" s="116">
        <f t="shared" si="1"/>
        <v>286.8</v>
      </c>
      <c r="JG20" s="116">
        <f t="shared" si="1"/>
        <v>279.64999999999998</v>
      </c>
      <c r="JH20" s="116">
        <f t="shared" si="1"/>
        <v>328.15</v>
      </c>
      <c r="JI20" s="116">
        <f t="shared" si="1"/>
        <v>349.8</v>
      </c>
      <c r="JJ20" s="116">
        <f t="shared" si="2"/>
        <v>358.7</v>
      </c>
      <c r="JK20" s="116">
        <f t="shared" ref="JK20" si="9">+IF(JK15=0,JK8,JK15)</f>
        <v>386.85</v>
      </c>
      <c r="JL20" s="116">
        <f t="shared" ref="JL20:JM20" si="10">+IF(JL15=0,JL8,JL15)</f>
        <v>390.3</v>
      </c>
      <c r="JM20" s="116">
        <f t="shared" si="10"/>
        <v>422.7</v>
      </c>
      <c r="JN20" s="116">
        <f t="shared" ref="JN20:JO20" si="11">+IF(JN15=0,JN8,JN15)</f>
        <v>504.3</v>
      </c>
      <c r="JO20" s="116">
        <f t="shared" si="11"/>
        <v>517.04999999999995</v>
      </c>
      <c r="JP20" s="116">
        <f t="shared" ref="JP20" si="12">+IF(JP15=0,JP8,JP15)</f>
        <v>722</v>
      </c>
      <c r="JQ20" s="116">
        <f t="shared" ref="JQ20:KH20" si="13">+IF(JQ15=0,JQ8,JQ15)</f>
        <v>838.4</v>
      </c>
      <c r="JR20" s="116">
        <f t="shared" si="13"/>
        <v>913.35</v>
      </c>
      <c r="JS20" s="116">
        <f t="shared" si="13"/>
        <v>994.25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95.94</v>
      </c>
      <c r="IH21" s="116">
        <f t="shared" si="1"/>
        <v>103.06</v>
      </c>
      <c r="II21" s="116">
        <f t="shared" si="1"/>
        <v>122.88</v>
      </c>
      <c r="IJ21" s="116">
        <f t="shared" si="1"/>
        <v>101.18</v>
      </c>
      <c r="IK21" s="116">
        <f t="shared" si="1"/>
        <v>108.58</v>
      </c>
      <c r="IL21" s="116">
        <f t="shared" si="1"/>
        <v>100.62</v>
      </c>
      <c r="IM21" s="116">
        <f t="shared" si="1"/>
        <v>92.15</v>
      </c>
      <c r="IN21" s="116">
        <f t="shared" si="1"/>
        <v>86.03</v>
      </c>
      <c r="IO21" s="116">
        <f t="shared" si="1"/>
        <v>75.94</v>
      </c>
      <c r="IP21" s="116">
        <f t="shared" si="1"/>
        <v>79.95</v>
      </c>
      <c r="IQ21" s="116">
        <f t="shared" si="1"/>
        <v>67.349999999999994</v>
      </c>
      <c r="IR21" s="116">
        <f t="shared" si="1"/>
        <v>74.72</v>
      </c>
      <c r="IS21" s="116">
        <f t="shared" si="1"/>
        <v>71.91</v>
      </c>
      <c r="IT21" s="116">
        <f t="shared" si="1"/>
        <v>64.52</v>
      </c>
      <c r="IU21" s="116">
        <f t="shared" si="1"/>
        <v>103.95</v>
      </c>
      <c r="IV21" s="116">
        <f t="shared" si="1"/>
        <v>287.05</v>
      </c>
      <c r="IW21" s="116">
        <f t="shared" si="1"/>
        <v>353.15</v>
      </c>
      <c r="IX21" s="116">
        <f t="shared" si="1"/>
        <v>362.05</v>
      </c>
      <c r="IY21" s="116">
        <f t="shared" si="1"/>
        <v>679.6</v>
      </c>
      <c r="IZ21" s="116">
        <f t="shared" si="1"/>
        <v>617.04999999999995</v>
      </c>
      <c r="JA21" s="116">
        <f t="shared" si="1"/>
        <v>539.20000000000005</v>
      </c>
      <c r="JB21" s="116">
        <f t="shared" si="1"/>
        <v>590.04999999999995</v>
      </c>
      <c r="JC21" s="116">
        <f t="shared" si="1"/>
        <v>464.5</v>
      </c>
      <c r="JD21" s="116">
        <f t="shared" si="1"/>
        <v>512.5</v>
      </c>
      <c r="JE21" s="116">
        <f t="shared" si="1"/>
        <v>375.15</v>
      </c>
      <c r="JF21" s="116">
        <f t="shared" si="1"/>
        <v>293</v>
      </c>
      <c r="JG21" s="116">
        <f t="shared" si="1"/>
        <v>366.5</v>
      </c>
      <c r="JH21" s="116">
        <f t="shared" si="1"/>
        <v>395.2</v>
      </c>
      <c r="JI21" s="116">
        <f t="shared" si="1"/>
        <v>430.15</v>
      </c>
      <c r="JJ21" s="116">
        <f t="shared" si="2"/>
        <v>391.75</v>
      </c>
      <c r="JK21" s="116">
        <f t="shared" ref="JK21" si="14">+IF(JK16=0,JK9,JK16)</f>
        <v>424.25</v>
      </c>
      <c r="JL21" s="116">
        <f t="shared" ref="JL21:JM21" si="15">+IF(JL16=0,JL9,JL16)</f>
        <v>462.75</v>
      </c>
      <c r="JM21" s="116">
        <f t="shared" si="15"/>
        <v>602.35</v>
      </c>
      <c r="JN21" s="116">
        <f t="shared" ref="JN21:JO21" si="16">+IF(JN16=0,JN9,JN16)</f>
        <v>613.79999999999995</v>
      </c>
      <c r="JO21" s="116">
        <f t="shared" si="16"/>
        <v>724.9</v>
      </c>
      <c r="JP21" s="116">
        <f t="shared" ref="JP21" si="17">+IF(JP16=0,JP9,JP16)</f>
        <v>841.95</v>
      </c>
      <c r="JQ21" s="116">
        <f t="shared" ref="JQ21:KH21" si="18">+IF(JQ16=0,JQ9,JQ16)</f>
        <v>1108.2</v>
      </c>
      <c r="JR21" s="116">
        <f t="shared" si="18"/>
        <v>991.85</v>
      </c>
      <c r="JS21" s="116">
        <f t="shared" si="18"/>
        <v>1375.95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271867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105756249</v>
      </c>
      <c r="V6" cm="1">
        <f t="array" ref="V6">_xll.EQNXTDZ($A$1,$B6,V$1)</f>
        <v>105756249</v>
      </c>
      <c r="W6" cm="1">
        <f t="array" ref="W6">_xll.EQNXTDZ($A$1,$B6,W$1)</f>
        <v>105756249</v>
      </c>
      <c r="X6" cm="1">
        <f t="array" ref="X6">_xll.EQNXTDZ($A$1,$B6,X$1)</f>
        <v>106029749</v>
      </c>
      <c r="Y6" cm="1">
        <f t="array" ref="Y6">_xll.EQNXTDZ($A$1,$B6,Y$1)</f>
        <v>106029749</v>
      </c>
      <c r="Z6" cm="1">
        <f t="array" ref="Z6">_xll.EQNXTDZ($A$1,$B6,Z$1)</f>
        <v>106029749</v>
      </c>
      <c r="AA6" cm="1">
        <f t="array" ref="AA6">_xll.EQNXTDZ($A$1,$B6,AA$1)</f>
        <v>106029749</v>
      </c>
      <c r="AB6" cm="1">
        <f t="array" ref="AB6">_xll.EQNXTDZ($A$1,$B6,AB$1)</f>
        <v>106436749</v>
      </c>
      <c r="AC6" cm="1">
        <f t="array" ref="AC6">_xll.EQNXTDZ($A$1,$B6,AC$1)</f>
        <v>106436749</v>
      </c>
      <c r="AD6" cm="1">
        <f t="array" ref="AD6">_xll.EQNXTDZ($A$1,$B6,AD$1)</f>
        <v>106436749</v>
      </c>
      <c r="AE6" cm="1">
        <f t="array" ref="AE6">_xll.EQNXTDZ($A$1,$B6,AE$1)</f>
        <v>106436749</v>
      </c>
      <c r="AF6" cm="1">
        <f t="array" ref="AF6">_xll.EQNXTDZ($A$1,$B6,AF$1)</f>
        <v>106914499</v>
      </c>
      <c r="AG6" cm="1">
        <f t="array" ref="AG6">_xll.EQNXTDZ($A$1,$B6,AG$1)</f>
        <v>106914499</v>
      </c>
      <c r="AH6" cm="1">
        <f t="array" ref="AH6">_xll.EQNXTDZ($A$1,$B6,AH$1)</f>
        <v>106914499</v>
      </c>
      <c r="AI6" cm="1">
        <f t="array" ref="AI6">_xll.EQNXTDZ($A$1,$B6,AI$1)</f>
        <v>106914499</v>
      </c>
      <c r="AJ6" cm="1">
        <f t="array" ref="AJ6">_xll.EQNXTDZ($A$1,$B6,AJ$1)</f>
        <v>535994995</v>
      </c>
      <c r="AK6" cm="1">
        <f t="array" ref="AK6">_xll.EQNXTDZ($A$1,$B6,AK$1)</f>
        <v>536602385</v>
      </c>
      <c r="AL6" cm="1">
        <f t="array" ref="AL6">_xll.EQNXTDZ($A$1,$B6,AL$1)</f>
        <v>536602385</v>
      </c>
      <c r="AM6" cm="1">
        <f t="array" ref="AM6">_xll.EQNXTDZ($A$1,$B6,AM$1)</f>
        <v>536602385</v>
      </c>
      <c r="AN6" cm="1">
        <f t="array" ref="AN6">_xll.EQNXTDZ($A$1,$B6,AN$1)</f>
        <v>536602385</v>
      </c>
      <c r="AO6" cm="1">
        <f t="array" ref="AO6">_xll.EQNXTDZ($A$1,$B6,AO$1)</f>
        <v>537359335</v>
      </c>
      <c r="AP6" cm="1">
        <f t="array" ref="AP6">_xll.EQNXTDZ($A$1,$B6,AP$1)</f>
        <v>537359335</v>
      </c>
      <c r="AQ6" cm="1">
        <f t="array" ref="AQ6">_xll.EQNXTDZ($A$1,$B6,AQ$1)</f>
        <v>537359335</v>
      </c>
      <c r="AR6" cm="1">
        <f t="array" ref="AR6">_xll.EQNXTDZ($A$1,$B6,AR$1)</f>
        <v>537359335</v>
      </c>
      <c r="AS6" cm="1">
        <f t="array" ref="AS6">_xll.EQNXTDZ($A$1,$B6,AS$1)</f>
        <v>538650925</v>
      </c>
      <c r="AT6" cm="1">
        <f t="array" ref="AT6">_xll.EQNXTDZ($A$1,$B6,AT$1)</f>
        <v>538650925</v>
      </c>
      <c r="AU6" cm="1">
        <f t="array" ref="AU6">_xll.EQNXTDZ($A$1,$B6,AU$1)</f>
        <v>538650925</v>
      </c>
      <c r="AV6" cm="1">
        <f t="array" ref="AV6">_xll.EQNXTDZ($A$1,$B6,AV$1)</f>
        <v>538650925</v>
      </c>
      <c r="AW6" cm="1">
        <f t="array" ref="AW6">_xll.EQNXTDZ($A$1,$B6,AW$1)</f>
        <v>538965858</v>
      </c>
      <c r="AX6" cm="1">
        <f t="array" ref="AX6">_xll.EQNXTDZ($A$1,$B6,AX$1)</f>
        <v>538965858</v>
      </c>
      <c r="AY6" cm="1">
        <f t="array" ref="AY6">_xll.EQNXTDZ($A$1,$B6,AY$1)</f>
        <v>539159314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10.575624899999999</v>
      </c>
      <c r="V7" s="100">
        <f t="shared" si="0"/>
        <v>10.575624899999999</v>
      </c>
      <c r="W7" s="100">
        <f t="shared" si="0"/>
        <v>10.575624899999999</v>
      </c>
      <c r="X7" s="100">
        <f t="shared" si="0"/>
        <v>10.6029749</v>
      </c>
      <c r="Y7" s="100">
        <f t="shared" ref="Y7:AS7" si="1">+Y6/10^7</f>
        <v>10.6029749</v>
      </c>
      <c r="Z7" s="100">
        <f t="shared" si="1"/>
        <v>10.6029749</v>
      </c>
      <c r="AA7" s="100">
        <f t="shared" si="1"/>
        <v>10.6029749</v>
      </c>
      <c r="AB7" s="100">
        <f t="shared" si="1"/>
        <v>10.643674900000001</v>
      </c>
      <c r="AC7" s="100">
        <f t="shared" si="1"/>
        <v>10.643674900000001</v>
      </c>
      <c r="AD7" s="100">
        <f t="shared" si="1"/>
        <v>10.643674900000001</v>
      </c>
      <c r="AE7" s="100">
        <f t="shared" si="1"/>
        <v>10.643674900000001</v>
      </c>
      <c r="AF7" s="100">
        <f t="shared" si="1"/>
        <v>10.6914499</v>
      </c>
      <c r="AG7" s="100">
        <f t="shared" si="1"/>
        <v>10.6914499</v>
      </c>
      <c r="AH7" s="100">
        <f t="shared" si="1"/>
        <v>10.6914499</v>
      </c>
      <c r="AI7" s="100">
        <f t="shared" si="1"/>
        <v>10.6914499</v>
      </c>
      <c r="AJ7" s="100">
        <f t="shared" si="1"/>
        <v>53.5994995</v>
      </c>
      <c r="AK7" s="100">
        <f t="shared" si="1"/>
        <v>53.660238499999998</v>
      </c>
      <c r="AL7" s="100">
        <f t="shared" si="1"/>
        <v>53.660238499999998</v>
      </c>
      <c r="AM7" s="100">
        <f t="shared" si="1"/>
        <v>53.660238499999998</v>
      </c>
      <c r="AN7" s="100">
        <f t="shared" si="1"/>
        <v>53.660238499999998</v>
      </c>
      <c r="AO7" s="100">
        <f t="shared" si="1"/>
        <v>53.735933500000002</v>
      </c>
      <c r="AP7" s="100">
        <f t="shared" si="1"/>
        <v>53.735933500000002</v>
      </c>
      <c r="AQ7" s="100">
        <f t="shared" si="1"/>
        <v>53.735933500000002</v>
      </c>
      <c r="AR7" s="100">
        <f t="shared" si="1"/>
        <v>53.735933500000002</v>
      </c>
      <c r="AS7" s="100">
        <f t="shared" si="1"/>
        <v>53.865092500000003</v>
      </c>
      <c r="AT7" s="100">
        <f t="shared" ref="AT7:AX7" si="2">+AT6/10^7</f>
        <v>53.865092500000003</v>
      </c>
      <c r="AU7" s="100">
        <f t="shared" si="2"/>
        <v>53.865092500000003</v>
      </c>
      <c r="AV7" s="100">
        <f t="shared" si="2"/>
        <v>53.865092500000003</v>
      </c>
      <c r="AW7" s="100">
        <f t="shared" si="2"/>
        <v>53.896585799999997</v>
      </c>
      <c r="AX7" s="100">
        <f t="shared" si="2"/>
        <v>53.896585799999997</v>
      </c>
      <c r="AY7" s="100">
        <f t="shared" ref="AY7" si="3">+AY6/10^7</f>
        <v>53.915931399999998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271867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42723</v>
      </c>
      <c r="B4" s="116">
        <v>99.6</v>
      </c>
      <c r="C4" s="116">
        <v>96.1</v>
      </c>
      <c r="D4" s="116">
        <v>95</v>
      </c>
      <c r="E4" s="116">
        <v>98</v>
      </c>
      <c r="F4" s="116">
        <v>480.5</v>
      </c>
      <c r="G4">
        <v>3952346</v>
      </c>
      <c r="H4" s="116"/>
      <c r="I4" s="116"/>
      <c r="L4" s="170">
        <v>42723</v>
      </c>
      <c r="M4" s="116">
        <v>96.08</v>
      </c>
      <c r="N4" s="116">
        <v>99.6</v>
      </c>
      <c r="O4" s="116">
        <v>95</v>
      </c>
      <c r="P4" s="116">
        <v>97.98</v>
      </c>
      <c r="Q4" s="116">
        <v>480.4</v>
      </c>
      <c r="R4">
        <v>17548335</v>
      </c>
    </row>
    <row r="5" spans="1:18" x14ac:dyDescent="0.25">
      <c r="A5" s="170">
        <v>42724</v>
      </c>
      <c r="B5" s="116">
        <v>97.8</v>
      </c>
      <c r="C5" s="116">
        <v>94.74</v>
      </c>
      <c r="D5" s="116">
        <v>92.4</v>
      </c>
      <c r="E5" s="116">
        <v>96.44</v>
      </c>
      <c r="F5" s="116">
        <v>473.7</v>
      </c>
      <c r="G5">
        <v>688270</v>
      </c>
      <c r="H5" s="116"/>
      <c r="I5" s="116"/>
      <c r="L5" s="170">
        <v>42724</v>
      </c>
      <c r="M5" s="116">
        <v>94.74</v>
      </c>
      <c r="N5" s="116">
        <v>97.89</v>
      </c>
      <c r="O5" s="116">
        <v>93.14</v>
      </c>
      <c r="P5" s="116">
        <v>96.56</v>
      </c>
      <c r="Q5" s="116">
        <v>473.7</v>
      </c>
      <c r="R5">
        <v>2555044</v>
      </c>
    </row>
    <row r="6" spans="1:18" x14ac:dyDescent="0.25">
      <c r="A6" s="170">
        <v>42725</v>
      </c>
      <c r="B6" s="116">
        <v>96</v>
      </c>
      <c r="C6" s="116">
        <v>94.71</v>
      </c>
      <c r="D6" s="116">
        <v>94</v>
      </c>
      <c r="E6" s="116">
        <v>94.61</v>
      </c>
      <c r="F6" s="116">
        <v>473.55</v>
      </c>
      <c r="G6">
        <v>298436</v>
      </c>
      <c r="H6" s="116"/>
      <c r="I6" s="116"/>
      <c r="L6" s="170">
        <v>42725</v>
      </c>
      <c r="M6" s="116">
        <v>94.68</v>
      </c>
      <c r="N6" s="116">
        <v>96</v>
      </c>
      <c r="O6" s="116">
        <v>94</v>
      </c>
      <c r="P6" s="116">
        <v>94.8</v>
      </c>
      <c r="Q6" s="116">
        <v>473.4</v>
      </c>
      <c r="R6">
        <v>924077</v>
      </c>
    </row>
    <row r="7" spans="1:18" x14ac:dyDescent="0.25">
      <c r="A7" s="170">
        <v>42726</v>
      </c>
      <c r="B7" s="116">
        <v>95.58</v>
      </c>
      <c r="C7" s="116">
        <v>94.53</v>
      </c>
      <c r="D7" s="116">
        <v>94</v>
      </c>
      <c r="E7" s="116">
        <v>94.42</v>
      </c>
      <c r="F7" s="116">
        <v>472.65</v>
      </c>
      <c r="G7">
        <v>169489</v>
      </c>
      <c r="H7" s="116"/>
      <c r="I7" s="116"/>
      <c r="L7" s="170">
        <v>42726</v>
      </c>
      <c r="M7" s="116">
        <v>94.91</v>
      </c>
      <c r="N7" s="116">
        <v>95.58</v>
      </c>
      <c r="O7" s="116">
        <v>94</v>
      </c>
      <c r="P7" s="116">
        <v>94.4</v>
      </c>
      <c r="Q7" s="116">
        <v>474.55</v>
      </c>
      <c r="R7">
        <v>1126022</v>
      </c>
    </row>
    <row r="8" spans="1:18" x14ac:dyDescent="0.25">
      <c r="A8" s="170">
        <v>42727</v>
      </c>
      <c r="B8" s="116">
        <v>95.29</v>
      </c>
      <c r="C8" s="116">
        <v>94.78</v>
      </c>
      <c r="D8" s="116">
        <v>94.21</v>
      </c>
      <c r="E8" s="116">
        <v>94.8</v>
      </c>
      <c r="F8" s="116">
        <v>473.9</v>
      </c>
      <c r="G8">
        <v>112636</v>
      </c>
      <c r="H8" s="116"/>
      <c r="I8" s="116"/>
      <c r="L8" s="170">
        <v>42727</v>
      </c>
      <c r="M8" s="116">
        <v>95.13</v>
      </c>
      <c r="N8" s="116">
        <v>95.6</v>
      </c>
      <c r="O8" s="116">
        <v>94.22</v>
      </c>
      <c r="P8" s="116">
        <v>94.99</v>
      </c>
      <c r="Q8" s="116">
        <v>475.65</v>
      </c>
      <c r="R8">
        <v>418933</v>
      </c>
    </row>
    <row r="9" spans="1:18" x14ac:dyDescent="0.25">
      <c r="A9" s="170">
        <v>42730</v>
      </c>
      <c r="B9" s="116">
        <v>95.36</v>
      </c>
      <c r="C9" s="116">
        <v>90.9</v>
      </c>
      <c r="D9" s="116">
        <v>90.6</v>
      </c>
      <c r="E9" s="116">
        <v>94.8</v>
      </c>
      <c r="F9" s="116">
        <v>454.5</v>
      </c>
      <c r="G9">
        <v>141358</v>
      </c>
      <c r="H9" s="116"/>
      <c r="I9" s="116"/>
      <c r="L9" s="170">
        <v>42730</v>
      </c>
      <c r="M9" s="116">
        <v>91.04</v>
      </c>
      <c r="N9" s="116">
        <v>95.4</v>
      </c>
      <c r="O9" s="116">
        <v>90.44</v>
      </c>
      <c r="P9" s="116">
        <v>95</v>
      </c>
      <c r="Q9" s="116">
        <v>455.2</v>
      </c>
      <c r="R9">
        <v>447513</v>
      </c>
    </row>
    <row r="10" spans="1:18" x14ac:dyDescent="0.25">
      <c r="A10" s="170">
        <v>42731</v>
      </c>
      <c r="B10" s="116">
        <v>97.63</v>
      </c>
      <c r="C10" s="116">
        <v>95.51</v>
      </c>
      <c r="D10" s="116">
        <v>90.91</v>
      </c>
      <c r="E10" s="116">
        <v>91.2</v>
      </c>
      <c r="F10" s="116">
        <v>477.55</v>
      </c>
      <c r="G10">
        <v>428391</v>
      </c>
      <c r="H10" s="116"/>
      <c r="I10" s="116"/>
      <c r="L10" s="170">
        <v>42731</v>
      </c>
      <c r="M10" s="116">
        <v>96.25</v>
      </c>
      <c r="N10" s="116">
        <v>98.28</v>
      </c>
      <c r="O10" s="116">
        <v>90.66</v>
      </c>
      <c r="P10" s="116">
        <v>91.5</v>
      </c>
      <c r="Q10" s="116">
        <v>481.25</v>
      </c>
      <c r="R10">
        <v>1592573</v>
      </c>
    </row>
    <row r="11" spans="1:18" x14ac:dyDescent="0.25">
      <c r="A11" s="170">
        <v>42732</v>
      </c>
      <c r="B11" s="116">
        <v>97.99</v>
      </c>
      <c r="C11" s="116">
        <v>97.17</v>
      </c>
      <c r="D11" s="116">
        <v>94.7</v>
      </c>
      <c r="E11" s="116">
        <v>95.76</v>
      </c>
      <c r="F11" s="116">
        <v>485.85</v>
      </c>
      <c r="G11">
        <v>256864</v>
      </c>
      <c r="H11" s="116"/>
      <c r="I11" s="116"/>
      <c r="L11" s="170">
        <v>42732</v>
      </c>
      <c r="M11" s="116">
        <v>97.25</v>
      </c>
      <c r="N11" s="116">
        <v>98</v>
      </c>
      <c r="O11" s="116">
        <v>94.86</v>
      </c>
      <c r="P11" s="116">
        <v>96.6</v>
      </c>
      <c r="Q11" s="116">
        <v>486.25</v>
      </c>
      <c r="R11">
        <v>863731</v>
      </c>
    </row>
    <row r="12" spans="1:18" x14ac:dyDescent="0.25">
      <c r="A12" s="170">
        <v>42733</v>
      </c>
      <c r="B12" s="116">
        <v>99.72</v>
      </c>
      <c r="C12" s="116">
        <v>96</v>
      </c>
      <c r="D12" s="116">
        <v>95.5</v>
      </c>
      <c r="E12" s="116">
        <v>98</v>
      </c>
      <c r="F12" s="116">
        <v>480</v>
      </c>
      <c r="G12">
        <v>139652</v>
      </c>
      <c r="H12" s="116"/>
      <c r="I12" s="116"/>
      <c r="L12" s="170">
        <v>42733</v>
      </c>
      <c r="M12" s="116">
        <v>96.05</v>
      </c>
      <c r="N12" s="116">
        <v>99.78</v>
      </c>
      <c r="O12" s="116">
        <v>95.34</v>
      </c>
      <c r="P12" s="116">
        <v>97.76</v>
      </c>
      <c r="Q12" s="116">
        <v>480.25</v>
      </c>
      <c r="R12">
        <v>374148</v>
      </c>
    </row>
    <row r="13" spans="1:18" x14ac:dyDescent="0.25">
      <c r="A13" s="170">
        <v>42734</v>
      </c>
      <c r="B13" s="116">
        <v>97.16</v>
      </c>
      <c r="C13" s="116">
        <v>95.94</v>
      </c>
      <c r="D13" s="116">
        <v>95.7</v>
      </c>
      <c r="E13" s="116">
        <v>97.16</v>
      </c>
      <c r="F13" s="116">
        <v>479.7</v>
      </c>
      <c r="G13">
        <v>51627</v>
      </c>
      <c r="H13" s="116"/>
      <c r="I13" s="116"/>
      <c r="L13" s="170">
        <v>42734</v>
      </c>
      <c r="M13" s="116">
        <v>96.17</v>
      </c>
      <c r="N13" s="116">
        <v>96.9</v>
      </c>
      <c r="O13" s="116">
        <v>95.8</v>
      </c>
      <c r="P13" s="116">
        <v>96.75</v>
      </c>
      <c r="Q13" s="116">
        <v>480.85</v>
      </c>
      <c r="R13">
        <v>162852</v>
      </c>
    </row>
    <row r="14" spans="1:18" x14ac:dyDescent="0.25">
      <c r="A14" s="170">
        <v>42737</v>
      </c>
      <c r="B14" s="116">
        <v>97.48</v>
      </c>
      <c r="C14" s="116">
        <v>97.09</v>
      </c>
      <c r="D14" s="116">
        <v>95.2</v>
      </c>
      <c r="E14" s="116">
        <v>96.2</v>
      </c>
      <c r="F14" s="116">
        <v>485.45</v>
      </c>
      <c r="G14">
        <v>45445</v>
      </c>
      <c r="H14" s="116"/>
      <c r="I14" s="116"/>
      <c r="L14" s="170">
        <v>42737</v>
      </c>
      <c r="M14" s="116">
        <v>97.28</v>
      </c>
      <c r="N14" s="116">
        <v>97.58</v>
      </c>
      <c r="O14" s="116">
        <v>95.19</v>
      </c>
      <c r="P14" s="116">
        <v>96.4</v>
      </c>
      <c r="Q14" s="116">
        <v>486.4</v>
      </c>
      <c r="R14">
        <v>180715</v>
      </c>
    </row>
    <row r="15" spans="1:18" x14ac:dyDescent="0.25">
      <c r="A15" s="170">
        <v>42738</v>
      </c>
      <c r="B15" s="116">
        <v>97.47</v>
      </c>
      <c r="C15" s="116">
        <v>95.3</v>
      </c>
      <c r="D15" s="116">
        <v>95</v>
      </c>
      <c r="E15" s="116">
        <v>97.02</v>
      </c>
      <c r="F15" s="116">
        <v>476.5</v>
      </c>
      <c r="G15">
        <v>33553</v>
      </c>
      <c r="H15" s="116"/>
      <c r="I15" s="116"/>
      <c r="L15" s="170">
        <v>42738</v>
      </c>
      <c r="M15" s="116">
        <v>95.27</v>
      </c>
      <c r="N15" s="116">
        <v>97.6</v>
      </c>
      <c r="O15" s="116">
        <v>95.11</v>
      </c>
      <c r="P15" s="116">
        <v>97.2</v>
      </c>
      <c r="Q15" s="116">
        <v>476.35</v>
      </c>
      <c r="R15">
        <v>112271</v>
      </c>
    </row>
    <row r="16" spans="1:18" x14ac:dyDescent="0.25">
      <c r="A16" s="170">
        <v>42739</v>
      </c>
      <c r="B16" s="116">
        <v>96.8</v>
      </c>
      <c r="C16" s="116">
        <v>94.94</v>
      </c>
      <c r="D16" s="116">
        <v>94.67</v>
      </c>
      <c r="E16" s="116">
        <v>96</v>
      </c>
      <c r="F16" s="116">
        <v>474.7</v>
      </c>
      <c r="G16">
        <v>33039</v>
      </c>
      <c r="H16" s="116"/>
      <c r="I16" s="116"/>
      <c r="L16" s="170">
        <v>42739</v>
      </c>
      <c r="M16" s="116">
        <v>95.1</v>
      </c>
      <c r="N16" s="116">
        <v>96.75</v>
      </c>
      <c r="O16" s="116">
        <v>94.76</v>
      </c>
      <c r="P16" s="116">
        <v>95.98</v>
      </c>
      <c r="Q16" s="116">
        <v>475.5</v>
      </c>
      <c r="R16">
        <v>98207</v>
      </c>
    </row>
    <row r="17" spans="1:18" x14ac:dyDescent="0.25">
      <c r="A17" s="170">
        <v>42740</v>
      </c>
      <c r="B17" s="116">
        <v>96.6</v>
      </c>
      <c r="C17" s="116">
        <v>95.12</v>
      </c>
      <c r="D17" s="116">
        <v>94.85</v>
      </c>
      <c r="E17" s="116">
        <v>95.79</v>
      </c>
      <c r="F17" s="116">
        <v>475.6</v>
      </c>
      <c r="G17">
        <v>44839</v>
      </c>
      <c r="H17" s="116"/>
      <c r="I17" s="116"/>
      <c r="L17" s="170">
        <v>42740</v>
      </c>
      <c r="M17" s="116">
        <v>95.27</v>
      </c>
      <c r="N17" s="116">
        <v>96.58</v>
      </c>
      <c r="O17" s="116">
        <v>95.1</v>
      </c>
      <c r="P17" s="116">
        <v>95.77</v>
      </c>
      <c r="Q17" s="116">
        <v>476.35</v>
      </c>
      <c r="R17">
        <v>91011</v>
      </c>
    </row>
    <row r="18" spans="1:18" x14ac:dyDescent="0.25">
      <c r="A18" s="170">
        <v>42741</v>
      </c>
      <c r="B18" s="116">
        <v>95.97</v>
      </c>
      <c r="C18" s="116">
        <v>94.38</v>
      </c>
      <c r="D18" s="116">
        <v>94.07</v>
      </c>
      <c r="E18" s="116">
        <v>95.81</v>
      </c>
      <c r="F18" s="116">
        <v>471.9</v>
      </c>
      <c r="G18">
        <v>31906</v>
      </c>
      <c r="H18" s="116"/>
      <c r="I18" s="116"/>
      <c r="L18" s="170">
        <v>42741</v>
      </c>
      <c r="M18" s="116">
        <v>94.55</v>
      </c>
      <c r="N18" s="116">
        <v>95.98</v>
      </c>
      <c r="O18" s="116">
        <v>94.31</v>
      </c>
      <c r="P18" s="116">
        <v>95.78</v>
      </c>
      <c r="Q18" s="116">
        <v>472.75</v>
      </c>
      <c r="R18">
        <v>68114</v>
      </c>
    </row>
    <row r="19" spans="1:18" x14ac:dyDescent="0.25">
      <c r="A19" s="170">
        <v>42744</v>
      </c>
      <c r="B19" s="116">
        <v>96</v>
      </c>
      <c r="C19" s="116">
        <v>94.79</v>
      </c>
      <c r="D19" s="116">
        <v>92.65</v>
      </c>
      <c r="E19" s="116">
        <v>95.5</v>
      </c>
      <c r="F19" s="116">
        <v>473.95</v>
      </c>
      <c r="G19">
        <v>42580</v>
      </c>
      <c r="H19" s="116"/>
      <c r="I19" s="116"/>
      <c r="L19" s="170">
        <v>42744</v>
      </c>
      <c r="M19" s="116">
        <v>95.06</v>
      </c>
      <c r="N19" s="116">
        <v>96</v>
      </c>
      <c r="O19" s="116">
        <v>92.56</v>
      </c>
      <c r="P19" s="116">
        <v>95.59</v>
      </c>
      <c r="Q19" s="116">
        <v>475.3</v>
      </c>
      <c r="R19">
        <v>189603</v>
      </c>
    </row>
    <row r="20" spans="1:18" x14ac:dyDescent="0.25">
      <c r="A20" s="170">
        <v>42745</v>
      </c>
      <c r="B20" s="116">
        <v>95.4</v>
      </c>
      <c r="C20" s="116">
        <v>94.47</v>
      </c>
      <c r="D20" s="116">
        <v>93.65</v>
      </c>
      <c r="E20" s="116">
        <v>95.06</v>
      </c>
      <c r="F20" s="116">
        <v>472.35</v>
      </c>
      <c r="G20">
        <v>15980</v>
      </c>
      <c r="H20" s="116"/>
      <c r="I20" s="116"/>
      <c r="L20" s="170">
        <v>42745</v>
      </c>
      <c r="M20" s="116">
        <v>94.62</v>
      </c>
      <c r="N20" s="116">
        <v>95.4</v>
      </c>
      <c r="O20" s="116">
        <v>93.7</v>
      </c>
      <c r="P20" s="116">
        <v>95.07</v>
      </c>
      <c r="Q20" s="116">
        <v>473.1</v>
      </c>
      <c r="R20">
        <v>74058</v>
      </c>
    </row>
    <row r="21" spans="1:18" x14ac:dyDescent="0.25">
      <c r="A21" s="170">
        <v>42746</v>
      </c>
      <c r="B21" s="116">
        <v>95.48</v>
      </c>
      <c r="C21" s="116">
        <v>94.99</v>
      </c>
      <c r="D21" s="116">
        <v>94.64</v>
      </c>
      <c r="E21" s="116">
        <v>95.09</v>
      </c>
      <c r="F21" s="116">
        <v>474.95</v>
      </c>
      <c r="G21">
        <v>15668</v>
      </c>
      <c r="H21" s="116"/>
      <c r="I21" s="116"/>
      <c r="L21" s="170">
        <v>42746</v>
      </c>
      <c r="M21" s="116">
        <v>95.01</v>
      </c>
      <c r="N21" s="116">
        <v>95.6</v>
      </c>
      <c r="O21" s="116">
        <v>94.61</v>
      </c>
      <c r="P21" s="116">
        <v>94.8</v>
      </c>
      <c r="Q21" s="116">
        <v>475.05</v>
      </c>
      <c r="R21">
        <v>75403</v>
      </c>
    </row>
    <row r="22" spans="1:18" x14ac:dyDescent="0.25">
      <c r="A22" s="170">
        <v>42747</v>
      </c>
      <c r="B22" s="116">
        <v>95.96</v>
      </c>
      <c r="C22" s="116">
        <v>95.13</v>
      </c>
      <c r="D22" s="116">
        <v>94.04</v>
      </c>
      <c r="E22" s="116">
        <v>94.39</v>
      </c>
      <c r="F22" s="116">
        <v>475.65</v>
      </c>
      <c r="G22">
        <v>21244</v>
      </c>
      <c r="H22" s="116"/>
      <c r="I22" s="116"/>
      <c r="L22" s="170">
        <v>42747</v>
      </c>
      <c r="M22" s="116">
        <v>95.05</v>
      </c>
      <c r="N22" s="116">
        <v>96.11</v>
      </c>
      <c r="O22" s="116">
        <v>93.93</v>
      </c>
      <c r="P22" s="116">
        <v>94.4</v>
      </c>
      <c r="Q22" s="116">
        <v>475.25</v>
      </c>
      <c r="R22">
        <v>87298</v>
      </c>
    </row>
    <row r="23" spans="1:18" x14ac:dyDescent="0.25">
      <c r="A23" s="170">
        <v>42748</v>
      </c>
      <c r="B23" s="116">
        <v>99.3</v>
      </c>
      <c r="C23" s="116">
        <v>98.54</v>
      </c>
      <c r="D23" s="116">
        <v>94.7</v>
      </c>
      <c r="E23" s="116">
        <v>95</v>
      </c>
      <c r="F23" s="116">
        <v>492.7</v>
      </c>
      <c r="G23">
        <v>139378</v>
      </c>
      <c r="H23" s="116"/>
      <c r="I23" s="116"/>
      <c r="L23" s="170">
        <v>42748</v>
      </c>
      <c r="M23" s="116">
        <v>98.92</v>
      </c>
      <c r="N23" s="116">
        <v>99.94</v>
      </c>
      <c r="O23" s="116">
        <v>94.65</v>
      </c>
      <c r="P23" s="116">
        <v>95</v>
      </c>
      <c r="Q23" s="116">
        <v>494.6</v>
      </c>
      <c r="R23">
        <v>530944</v>
      </c>
    </row>
    <row r="24" spans="1:18" x14ac:dyDescent="0.25">
      <c r="A24" s="170">
        <v>42751</v>
      </c>
      <c r="B24" s="116">
        <v>99.81</v>
      </c>
      <c r="C24" s="116">
        <v>97.16</v>
      </c>
      <c r="D24" s="116">
        <v>96.88</v>
      </c>
      <c r="E24" s="116">
        <v>98.6</v>
      </c>
      <c r="F24" s="116">
        <v>485.8</v>
      </c>
      <c r="G24">
        <v>269089</v>
      </c>
      <c r="H24" s="116"/>
      <c r="I24" s="116"/>
      <c r="L24" s="170">
        <v>42751</v>
      </c>
      <c r="M24" s="116">
        <v>97.05</v>
      </c>
      <c r="N24" s="116">
        <v>99.76</v>
      </c>
      <c r="O24" s="116">
        <v>96.8</v>
      </c>
      <c r="P24" s="116">
        <v>99.2</v>
      </c>
      <c r="Q24" s="116">
        <v>485.25</v>
      </c>
      <c r="R24">
        <v>563681</v>
      </c>
    </row>
    <row r="25" spans="1:18" x14ac:dyDescent="0.25">
      <c r="A25" s="170">
        <v>42752</v>
      </c>
      <c r="B25" s="116">
        <v>98</v>
      </c>
      <c r="C25" s="116">
        <v>95.44</v>
      </c>
      <c r="D25" s="116">
        <v>95.14</v>
      </c>
      <c r="E25" s="116">
        <v>97.02</v>
      </c>
      <c r="F25" s="116">
        <v>477.2</v>
      </c>
      <c r="G25">
        <v>26704</v>
      </c>
      <c r="H25" s="116"/>
      <c r="I25" s="116"/>
      <c r="L25" s="170">
        <v>42752</v>
      </c>
      <c r="M25" s="116">
        <v>95.39</v>
      </c>
      <c r="N25" s="116">
        <v>97.9</v>
      </c>
      <c r="O25" s="116">
        <v>95</v>
      </c>
      <c r="P25" s="116">
        <v>97.18</v>
      </c>
      <c r="Q25" s="116">
        <v>476.95</v>
      </c>
      <c r="R25">
        <v>460810</v>
      </c>
    </row>
    <row r="26" spans="1:18" x14ac:dyDescent="0.25">
      <c r="A26" s="170">
        <v>42753</v>
      </c>
      <c r="B26" s="116">
        <v>96.6</v>
      </c>
      <c r="C26" s="116">
        <v>95.59</v>
      </c>
      <c r="D26" s="116">
        <v>95.2</v>
      </c>
      <c r="E26" s="116">
        <v>95.7</v>
      </c>
      <c r="F26" s="116">
        <v>477.95</v>
      </c>
      <c r="G26">
        <v>182603</v>
      </c>
      <c r="H26" s="116"/>
      <c r="I26" s="116"/>
      <c r="L26" s="170">
        <v>42753</v>
      </c>
      <c r="M26" s="116">
        <v>95.62</v>
      </c>
      <c r="N26" s="116">
        <v>97</v>
      </c>
      <c r="O26" s="116">
        <v>95.4</v>
      </c>
      <c r="P26" s="116">
        <v>95.79</v>
      </c>
      <c r="Q26" s="116">
        <v>478.1</v>
      </c>
      <c r="R26">
        <v>63404</v>
      </c>
    </row>
    <row r="27" spans="1:18" x14ac:dyDescent="0.25">
      <c r="A27" s="170">
        <v>42754</v>
      </c>
      <c r="B27" s="116">
        <v>96.82</v>
      </c>
      <c r="C27" s="116">
        <v>96.01</v>
      </c>
      <c r="D27" s="116">
        <v>95.79</v>
      </c>
      <c r="E27" s="116">
        <v>96.31</v>
      </c>
      <c r="F27" s="116">
        <v>480.05</v>
      </c>
      <c r="G27">
        <v>19283</v>
      </c>
      <c r="H27" s="116"/>
      <c r="I27" s="116"/>
      <c r="L27" s="170">
        <v>42754</v>
      </c>
      <c r="M27" s="116">
        <v>96.17</v>
      </c>
      <c r="N27" s="116">
        <v>97</v>
      </c>
      <c r="O27" s="116">
        <v>95.73</v>
      </c>
      <c r="P27" s="116">
        <v>95.73</v>
      </c>
      <c r="Q27" s="116">
        <v>480.85</v>
      </c>
      <c r="R27">
        <v>69362</v>
      </c>
    </row>
    <row r="28" spans="1:18" x14ac:dyDescent="0.25">
      <c r="A28" s="170">
        <v>42755</v>
      </c>
      <c r="B28" s="116">
        <v>96.54</v>
      </c>
      <c r="C28" s="116">
        <v>95.47</v>
      </c>
      <c r="D28" s="116">
        <v>95</v>
      </c>
      <c r="E28" s="116">
        <v>96.2</v>
      </c>
      <c r="F28" s="116">
        <v>477.35</v>
      </c>
      <c r="G28">
        <v>20006</v>
      </c>
      <c r="H28" s="116"/>
      <c r="I28" s="116"/>
      <c r="L28" s="170">
        <v>42755</v>
      </c>
      <c r="M28" s="116">
        <v>95.76</v>
      </c>
      <c r="N28" s="116">
        <v>96.4</v>
      </c>
      <c r="O28" s="116">
        <v>95.1</v>
      </c>
      <c r="P28" s="116">
        <v>96</v>
      </c>
      <c r="Q28" s="116">
        <v>478.8</v>
      </c>
      <c r="R28">
        <v>116019</v>
      </c>
    </row>
    <row r="29" spans="1:18" x14ac:dyDescent="0.25">
      <c r="A29" s="170">
        <v>42758</v>
      </c>
      <c r="B29" s="116">
        <v>96</v>
      </c>
      <c r="C29" s="116">
        <v>95.44</v>
      </c>
      <c r="D29" s="116">
        <v>95.04</v>
      </c>
      <c r="E29" s="116">
        <v>95.61</v>
      </c>
      <c r="F29" s="116">
        <v>477.2</v>
      </c>
      <c r="G29">
        <v>10629</v>
      </c>
      <c r="H29" s="116"/>
      <c r="I29" s="116"/>
      <c r="L29" s="170">
        <v>42758</v>
      </c>
      <c r="M29" s="116">
        <v>95.49</v>
      </c>
      <c r="N29" s="116">
        <v>96.34</v>
      </c>
      <c r="O29" s="116">
        <v>95.07</v>
      </c>
      <c r="P29" s="116">
        <v>95.8</v>
      </c>
      <c r="Q29" s="116">
        <v>477.45</v>
      </c>
      <c r="R29">
        <v>147543</v>
      </c>
    </row>
    <row r="30" spans="1:18" x14ac:dyDescent="0.25">
      <c r="A30" s="170">
        <v>42759</v>
      </c>
      <c r="B30" s="116">
        <v>96.18</v>
      </c>
      <c r="C30" s="116">
        <v>95.66</v>
      </c>
      <c r="D30" s="116">
        <v>95</v>
      </c>
      <c r="E30" s="116">
        <v>95.5</v>
      </c>
      <c r="F30" s="116">
        <v>478.3</v>
      </c>
      <c r="G30">
        <v>16775</v>
      </c>
      <c r="H30" s="116"/>
      <c r="I30" s="116"/>
      <c r="L30" s="170">
        <v>42759</v>
      </c>
      <c r="M30" s="116">
        <v>95.5</v>
      </c>
      <c r="N30" s="116">
        <v>96.2</v>
      </c>
      <c r="O30" s="116">
        <v>94.88</v>
      </c>
      <c r="P30" s="116">
        <v>95.6</v>
      </c>
      <c r="Q30" s="116">
        <v>477.5</v>
      </c>
      <c r="R30">
        <v>294418</v>
      </c>
    </row>
    <row r="31" spans="1:18" x14ac:dyDescent="0.25">
      <c r="A31" s="170">
        <v>42760</v>
      </c>
      <c r="B31" s="116">
        <v>96</v>
      </c>
      <c r="C31" s="116">
        <v>95.54</v>
      </c>
      <c r="D31" s="116">
        <v>95.02</v>
      </c>
      <c r="E31" s="116">
        <v>95.89</v>
      </c>
      <c r="F31" s="116">
        <v>477.7</v>
      </c>
      <c r="G31">
        <v>11697</v>
      </c>
      <c r="H31" s="116"/>
      <c r="I31" s="116"/>
      <c r="L31" s="170">
        <v>42760</v>
      </c>
      <c r="M31" s="116">
        <v>95.52</v>
      </c>
      <c r="N31" s="116">
        <v>96</v>
      </c>
      <c r="O31" s="116">
        <v>95.2</v>
      </c>
      <c r="P31" s="116">
        <v>95.93</v>
      </c>
      <c r="Q31" s="116">
        <v>477.6</v>
      </c>
      <c r="R31">
        <v>159465</v>
      </c>
    </row>
    <row r="32" spans="1:18" x14ac:dyDescent="0.25">
      <c r="A32" s="170">
        <v>42762</v>
      </c>
      <c r="B32" s="116">
        <v>95.99</v>
      </c>
      <c r="C32" s="116">
        <v>94.73</v>
      </c>
      <c r="D32" s="116">
        <v>94.58</v>
      </c>
      <c r="E32" s="116">
        <v>95</v>
      </c>
      <c r="F32" s="116">
        <v>473.65</v>
      </c>
      <c r="G32">
        <v>11840</v>
      </c>
      <c r="H32" s="116"/>
      <c r="I32" s="116"/>
      <c r="L32" s="170">
        <v>42762</v>
      </c>
      <c r="M32" s="116">
        <v>94.71</v>
      </c>
      <c r="N32" s="116">
        <v>96</v>
      </c>
      <c r="O32" s="116">
        <v>94.41</v>
      </c>
      <c r="P32" s="116">
        <v>94.41</v>
      </c>
      <c r="Q32" s="116">
        <v>473.55</v>
      </c>
      <c r="R32">
        <v>36344</v>
      </c>
    </row>
    <row r="33" spans="1:18" x14ac:dyDescent="0.25">
      <c r="A33" s="170">
        <v>42765</v>
      </c>
      <c r="B33" s="116">
        <v>96.08</v>
      </c>
      <c r="C33" s="116">
        <v>95.57</v>
      </c>
      <c r="D33" s="116">
        <v>94.2</v>
      </c>
      <c r="E33" s="116">
        <v>94.61</v>
      </c>
      <c r="F33" s="116">
        <v>477.85</v>
      </c>
      <c r="G33">
        <v>16212</v>
      </c>
      <c r="H33" s="116"/>
      <c r="I33" s="116"/>
      <c r="L33" s="170">
        <v>42765</v>
      </c>
      <c r="M33" s="116">
        <v>95.63</v>
      </c>
      <c r="N33" s="116">
        <v>96</v>
      </c>
      <c r="O33" s="116">
        <v>94.44</v>
      </c>
      <c r="P33" s="116">
        <v>94.8</v>
      </c>
      <c r="Q33" s="116">
        <v>478.15</v>
      </c>
      <c r="R33">
        <v>108444</v>
      </c>
    </row>
    <row r="34" spans="1:18" x14ac:dyDescent="0.25">
      <c r="A34" s="170">
        <v>42766</v>
      </c>
      <c r="B34" s="116">
        <v>96</v>
      </c>
      <c r="C34" s="116">
        <v>94.99</v>
      </c>
      <c r="D34" s="116">
        <v>94.82</v>
      </c>
      <c r="E34" s="116">
        <v>96</v>
      </c>
      <c r="F34" s="116">
        <v>474.95</v>
      </c>
      <c r="G34">
        <v>83788</v>
      </c>
      <c r="H34" s="116"/>
      <c r="I34" s="116"/>
      <c r="L34" s="170">
        <v>42766</v>
      </c>
      <c r="M34" s="116">
        <v>94.95</v>
      </c>
      <c r="N34" s="116">
        <v>96.2</v>
      </c>
      <c r="O34" s="116">
        <v>94.8</v>
      </c>
      <c r="P34" s="116">
        <v>95.8</v>
      </c>
      <c r="Q34" s="116">
        <v>474.75</v>
      </c>
      <c r="R34">
        <v>77920</v>
      </c>
    </row>
    <row r="35" spans="1:18" x14ac:dyDescent="0.25">
      <c r="A35" s="170">
        <v>42767</v>
      </c>
      <c r="B35" s="116">
        <v>96</v>
      </c>
      <c r="C35" s="116">
        <v>95.15</v>
      </c>
      <c r="D35" s="116">
        <v>94.24</v>
      </c>
      <c r="E35" s="116">
        <v>95.01</v>
      </c>
      <c r="F35" s="116">
        <v>475.75</v>
      </c>
      <c r="G35">
        <v>13291</v>
      </c>
      <c r="H35" s="116"/>
      <c r="I35" s="116"/>
      <c r="L35" s="170">
        <v>42767</v>
      </c>
      <c r="M35" s="116">
        <v>95.12</v>
      </c>
      <c r="N35" s="116">
        <v>96.09</v>
      </c>
      <c r="O35" s="116">
        <v>94.1</v>
      </c>
      <c r="P35" s="116">
        <v>94.1</v>
      </c>
      <c r="Q35" s="116">
        <v>475.6</v>
      </c>
      <c r="R35">
        <v>661974</v>
      </c>
    </row>
    <row r="36" spans="1:18" x14ac:dyDescent="0.25">
      <c r="A36" s="170">
        <v>42768</v>
      </c>
      <c r="B36" s="116">
        <v>96</v>
      </c>
      <c r="C36" s="116">
        <v>95</v>
      </c>
      <c r="D36" s="116">
        <v>94.6</v>
      </c>
      <c r="E36" s="116">
        <v>95.4</v>
      </c>
      <c r="F36" s="116">
        <v>475</v>
      </c>
      <c r="G36">
        <v>16652</v>
      </c>
      <c r="H36" s="116"/>
      <c r="I36" s="116"/>
      <c r="L36" s="170">
        <v>42768</v>
      </c>
      <c r="M36" s="116">
        <v>94.8</v>
      </c>
      <c r="N36" s="116">
        <v>96</v>
      </c>
      <c r="O36" s="116">
        <v>94.5</v>
      </c>
      <c r="P36" s="116">
        <v>95.2</v>
      </c>
      <c r="Q36" s="116">
        <v>474</v>
      </c>
      <c r="R36">
        <v>130918</v>
      </c>
    </row>
    <row r="37" spans="1:18" x14ac:dyDescent="0.25">
      <c r="A37" s="170">
        <v>42769</v>
      </c>
      <c r="B37" s="116">
        <v>101.46</v>
      </c>
      <c r="C37" s="116">
        <v>100.49</v>
      </c>
      <c r="D37" s="116">
        <v>93.6</v>
      </c>
      <c r="E37" s="116">
        <v>94.7</v>
      </c>
      <c r="F37" s="116">
        <v>502.45</v>
      </c>
      <c r="G37">
        <v>150064</v>
      </c>
      <c r="H37" s="116"/>
      <c r="I37" s="116"/>
      <c r="L37" s="170">
        <v>42769</v>
      </c>
      <c r="M37" s="116">
        <v>100.56</v>
      </c>
      <c r="N37" s="116">
        <v>101.58</v>
      </c>
      <c r="O37" s="116">
        <v>93.4</v>
      </c>
      <c r="P37" s="116">
        <v>95.76</v>
      </c>
      <c r="Q37" s="116">
        <v>502.8</v>
      </c>
      <c r="R37">
        <v>656304</v>
      </c>
    </row>
    <row r="38" spans="1:18" x14ac:dyDescent="0.25">
      <c r="A38" s="170">
        <v>42772</v>
      </c>
      <c r="B38" s="116">
        <v>116</v>
      </c>
      <c r="C38" s="116">
        <v>111.32</v>
      </c>
      <c r="D38" s="116">
        <v>101.22</v>
      </c>
      <c r="E38" s="116">
        <v>102</v>
      </c>
      <c r="F38" s="116">
        <v>556.6</v>
      </c>
      <c r="G38">
        <v>625879</v>
      </c>
      <c r="H38" s="116"/>
      <c r="I38" s="116"/>
      <c r="L38" s="170">
        <v>42772</v>
      </c>
      <c r="M38" s="116">
        <v>111.41</v>
      </c>
      <c r="N38" s="116">
        <v>116.28</v>
      </c>
      <c r="O38" s="116">
        <v>101.4</v>
      </c>
      <c r="P38" s="116">
        <v>102</v>
      </c>
      <c r="Q38" s="116">
        <v>557.04999999999995</v>
      </c>
      <c r="R38">
        <v>2674046</v>
      </c>
    </row>
    <row r="39" spans="1:18" x14ac:dyDescent="0.25">
      <c r="A39" s="170">
        <v>42773</v>
      </c>
      <c r="B39" s="116">
        <v>117</v>
      </c>
      <c r="C39" s="116">
        <v>111.92</v>
      </c>
      <c r="D39" s="116">
        <v>108.62</v>
      </c>
      <c r="E39" s="116">
        <v>111.96</v>
      </c>
      <c r="F39" s="116">
        <v>559.6</v>
      </c>
      <c r="G39">
        <v>356608</v>
      </c>
      <c r="H39" s="116"/>
      <c r="I39" s="116"/>
      <c r="L39" s="170">
        <v>42773</v>
      </c>
      <c r="M39" s="116">
        <v>111.97</v>
      </c>
      <c r="N39" s="116">
        <v>117</v>
      </c>
      <c r="O39" s="116">
        <v>108.5</v>
      </c>
      <c r="P39" s="116">
        <v>111.6</v>
      </c>
      <c r="Q39" s="116">
        <v>559.85</v>
      </c>
      <c r="R39">
        <v>1451372</v>
      </c>
    </row>
    <row r="40" spans="1:18" x14ac:dyDescent="0.25">
      <c r="A40" s="170">
        <v>42774</v>
      </c>
      <c r="B40" s="116">
        <v>114</v>
      </c>
      <c r="C40" s="116">
        <v>110.19</v>
      </c>
      <c r="D40" s="116">
        <v>109.4</v>
      </c>
      <c r="E40" s="116">
        <v>113.2</v>
      </c>
      <c r="F40" s="116">
        <v>550.95000000000005</v>
      </c>
      <c r="G40">
        <v>101576</v>
      </c>
      <c r="H40" s="116"/>
      <c r="I40" s="116"/>
      <c r="L40" s="170">
        <v>42774</v>
      </c>
      <c r="M40" s="116">
        <v>110</v>
      </c>
      <c r="N40" s="116">
        <v>113.94</v>
      </c>
      <c r="O40" s="116">
        <v>109.24</v>
      </c>
      <c r="P40" s="116">
        <v>112.48</v>
      </c>
      <c r="Q40" s="116">
        <v>550</v>
      </c>
      <c r="R40">
        <v>403719</v>
      </c>
    </row>
    <row r="41" spans="1:18" x14ac:dyDescent="0.25">
      <c r="A41" s="170">
        <v>42775</v>
      </c>
      <c r="B41" s="116">
        <v>113.1</v>
      </c>
      <c r="C41" s="116">
        <v>111.94</v>
      </c>
      <c r="D41" s="116">
        <v>110.64</v>
      </c>
      <c r="E41" s="116">
        <v>110.99</v>
      </c>
      <c r="F41" s="116">
        <v>559.70000000000005</v>
      </c>
      <c r="G41">
        <v>72723</v>
      </c>
      <c r="H41" s="116"/>
      <c r="I41" s="116"/>
      <c r="L41" s="170">
        <v>42775</v>
      </c>
      <c r="M41" s="116">
        <v>111.94</v>
      </c>
      <c r="N41" s="116">
        <v>113</v>
      </c>
      <c r="O41" s="116">
        <v>110.6</v>
      </c>
      <c r="P41" s="116">
        <v>110.6</v>
      </c>
      <c r="Q41" s="116">
        <v>559.70000000000005</v>
      </c>
      <c r="R41">
        <v>340189</v>
      </c>
    </row>
    <row r="42" spans="1:18" x14ac:dyDescent="0.25">
      <c r="A42" s="170">
        <v>42776</v>
      </c>
      <c r="B42" s="116">
        <v>112.6</v>
      </c>
      <c r="C42" s="116">
        <v>107.05</v>
      </c>
      <c r="D42" s="116">
        <v>106.1</v>
      </c>
      <c r="E42" s="116">
        <v>112.6</v>
      </c>
      <c r="F42" s="116">
        <v>535.25</v>
      </c>
      <c r="G42">
        <v>119111</v>
      </c>
      <c r="H42" s="116"/>
      <c r="I42" s="116"/>
      <c r="L42" s="170">
        <v>42776</v>
      </c>
      <c r="M42" s="116">
        <v>107.16</v>
      </c>
      <c r="N42" s="116">
        <v>111.7</v>
      </c>
      <c r="O42" s="116">
        <v>105.45</v>
      </c>
      <c r="P42" s="116">
        <v>111.7</v>
      </c>
      <c r="Q42" s="116">
        <v>535.79999999999995</v>
      </c>
      <c r="R42">
        <v>461865</v>
      </c>
    </row>
    <row r="43" spans="1:18" x14ac:dyDescent="0.25">
      <c r="A43" s="170">
        <v>42779</v>
      </c>
      <c r="B43" s="116">
        <v>108.2</v>
      </c>
      <c r="C43" s="116">
        <v>103.68</v>
      </c>
      <c r="D43" s="116">
        <v>103.23</v>
      </c>
      <c r="E43" s="116">
        <v>108</v>
      </c>
      <c r="F43" s="116">
        <v>518.4</v>
      </c>
      <c r="G43">
        <v>55831</v>
      </c>
      <c r="H43" s="116"/>
      <c r="I43" s="116"/>
      <c r="L43" s="170">
        <v>42779</v>
      </c>
      <c r="M43" s="116">
        <v>103.7</v>
      </c>
      <c r="N43" s="116">
        <v>108</v>
      </c>
      <c r="O43" s="116">
        <v>103.02</v>
      </c>
      <c r="P43" s="116">
        <v>107.2</v>
      </c>
      <c r="Q43" s="116">
        <v>518.5</v>
      </c>
      <c r="R43">
        <v>332256</v>
      </c>
    </row>
    <row r="44" spans="1:18" x14ac:dyDescent="0.25">
      <c r="A44" s="170">
        <v>42780</v>
      </c>
      <c r="B44" s="116">
        <v>104.7</v>
      </c>
      <c r="C44" s="116">
        <v>102.13</v>
      </c>
      <c r="D44" s="116">
        <v>101.35</v>
      </c>
      <c r="E44" s="116">
        <v>104.7</v>
      </c>
      <c r="F44" s="116">
        <v>510.65</v>
      </c>
      <c r="G44">
        <v>42044</v>
      </c>
      <c r="H44" s="116"/>
      <c r="I44" s="116"/>
      <c r="L44" s="170">
        <v>42780</v>
      </c>
      <c r="M44" s="116">
        <v>102.03</v>
      </c>
      <c r="N44" s="116">
        <v>104.6</v>
      </c>
      <c r="O44" s="116">
        <v>101.31</v>
      </c>
      <c r="P44" s="116">
        <v>104.6</v>
      </c>
      <c r="Q44" s="116">
        <v>510.15</v>
      </c>
      <c r="R44">
        <v>277506</v>
      </c>
    </row>
    <row r="45" spans="1:18" x14ac:dyDescent="0.25">
      <c r="A45" s="170">
        <v>42781</v>
      </c>
      <c r="B45" s="116">
        <v>104.9</v>
      </c>
      <c r="C45" s="116">
        <v>101.81</v>
      </c>
      <c r="D45" s="116">
        <v>101</v>
      </c>
      <c r="E45" s="116">
        <v>102.2</v>
      </c>
      <c r="F45" s="116">
        <v>509.05</v>
      </c>
      <c r="G45">
        <v>60798</v>
      </c>
      <c r="H45" s="116"/>
      <c r="I45" s="116"/>
      <c r="L45" s="170">
        <v>42781</v>
      </c>
      <c r="M45" s="116">
        <v>101.71</v>
      </c>
      <c r="N45" s="116">
        <v>104.8</v>
      </c>
      <c r="O45" s="116">
        <v>100.72</v>
      </c>
      <c r="P45" s="116">
        <v>102</v>
      </c>
      <c r="Q45" s="116">
        <v>508.55</v>
      </c>
      <c r="R45">
        <v>299656</v>
      </c>
    </row>
    <row r="46" spans="1:18" x14ac:dyDescent="0.25">
      <c r="A46" s="170">
        <v>42782</v>
      </c>
      <c r="B46" s="116">
        <v>102.96</v>
      </c>
      <c r="C46" s="116">
        <v>100.65</v>
      </c>
      <c r="D46" s="116">
        <v>100.2</v>
      </c>
      <c r="E46" s="116">
        <v>102.96</v>
      </c>
      <c r="F46" s="116">
        <v>503.25</v>
      </c>
      <c r="G46">
        <v>31039</v>
      </c>
      <c r="H46" s="116"/>
      <c r="I46" s="116"/>
      <c r="L46" s="170">
        <v>42782</v>
      </c>
      <c r="M46" s="116">
        <v>100.75</v>
      </c>
      <c r="N46" s="116">
        <v>102.02</v>
      </c>
      <c r="O46" s="116">
        <v>100.15</v>
      </c>
      <c r="P46" s="116">
        <v>101.96</v>
      </c>
      <c r="Q46" s="116">
        <v>503.75</v>
      </c>
      <c r="R46">
        <v>229236</v>
      </c>
    </row>
    <row r="47" spans="1:18" x14ac:dyDescent="0.25">
      <c r="A47" s="170">
        <v>42783</v>
      </c>
      <c r="B47" s="116">
        <v>101.7</v>
      </c>
      <c r="C47" s="116">
        <v>100.16</v>
      </c>
      <c r="D47" s="116">
        <v>99.4</v>
      </c>
      <c r="E47" s="116">
        <v>101.7</v>
      </c>
      <c r="F47" s="116">
        <v>500.8</v>
      </c>
      <c r="G47">
        <v>40793</v>
      </c>
      <c r="H47" s="116"/>
      <c r="I47" s="116"/>
      <c r="L47" s="170">
        <v>42783</v>
      </c>
      <c r="M47" s="116">
        <v>100.16</v>
      </c>
      <c r="N47" s="116">
        <v>101.75</v>
      </c>
      <c r="O47" s="116">
        <v>99.4</v>
      </c>
      <c r="P47" s="116">
        <v>101.6</v>
      </c>
      <c r="Q47" s="116">
        <v>500.8</v>
      </c>
      <c r="R47">
        <v>159237</v>
      </c>
    </row>
    <row r="48" spans="1:18" x14ac:dyDescent="0.25">
      <c r="A48" s="170">
        <v>42786</v>
      </c>
      <c r="B48" s="116">
        <v>101.56</v>
      </c>
      <c r="C48" s="116">
        <v>101.07</v>
      </c>
      <c r="D48" s="116">
        <v>99.96</v>
      </c>
      <c r="E48" s="116">
        <v>101.1</v>
      </c>
      <c r="F48" s="116">
        <v>505.35</v>
      </c>
      <c r="G48">
        <v>13766</v>
      </c>
      <c r="H48" s="116"/>
      <c r="I48" s="116"/>
      <c r="L48" s="170">
        <v>42786</v>
      </c>
      <c r="M48" s="116">
        <v>101.06</v>
      </c>
      <c r="N48" s="116">
        <v>101.54</v>
      </c>
      <c r="O48" s="116">
        <v>99.61</v>
      </c>
      <c r="P48" s="116">
        <v>101.18</v>
      </c>
      <c r="Q48" s="116">
        <v>505.3</v>
      </c>
      <c r="R48">
        <v>559326</v>
      </c>
    </row>
    <row r="49" spans="1:18" x14ac:dyDescent="0.25">
      <c r="A49" s="170">
        <v>42787</v>
      </c>
      <c r="B49" s="116">
        <v>104.88</v>
      </c>
      <c r="C49" s="116">
        <v>103.3</v>
      </c>
      <c r="D49" s="116">
        <v>99.74</v>
      </c>
      <c r="E49" s="116">
        <v>101</v>
      </c>
      <c r="F49" s="116">
        <v>516.5</v>
      </c>
      <c r="G49">
        <v>85000</v>
      </c>
      <c r="H49" s="116"/>
      <c r="I49" s="116"/>
      <c r="L49" s="170">
        <v>42787</v>
      </c>
      <c r="M49" s="116">
        <v>103.26</v>
      </c>
      <c r="N49" s="116">
        <v>104.89</v>
      </c>
      <c r="O49" s="116">
        <v>99.6</v>
      </c>
      <c r="P49" s="116">
        <v>101</v>
      </c>
      <c r="Q49" s="116">
        <v>516.29999999999995</v>
      </c>
      <c r="R49">
        <v>285360</v>
      </c>
    </row>
    <row r="50" spans="1:18" x14ac:dyDescent="0.25">
      <c r="A50" s="170">
        <v>42788</v>
      </c>
      <c r="B50" s="116">
        <v>106.78</v>
      </c>
      <c r="C50" s="116">
        <v>104.2</v>
      </c>
      <c r="D50" s="116">
        <v>103.18</v>
      </c>
      <c r="E50" s="116">
        <v>103.6</v>
      </c>
      <c r="F50" s="116">
        <v>521</v>
      </c>
      <c r="G50">
        <v>90772</v>
      </c>
      <c r="H50" s="116"/>
      <c r="I50" s="116"/>
      <c r="L50" s="170">
        <v>42788</v>
      </c>
      <c r="M50" s="116">
        <v>104.34</v>
      </c>
      <c r="N50" s="116">
        <v>106.82</v>
      </c>
      <c r="O50" s="116">
        <v>103.17</v>
      </c>
      <c r="P50" s="116">
        <v>104</v>
      </c>
      <c r="Q50" s="116">
        <v>521.70000000000005</v>
      </c>
      <c r="R50">
        <v>293748</v>
      </c>
    </row>
    <row r="51" spans="1:18" x14ac:dyDescent="0.25">
      <c r="A51" s="170">
        <v>42789</v>
      </c>
      <c r="B51" s="116">
        <v>106.26</v>
      </c>
      <c r="C51" s="116">
        <v>104.07</v>
      </c>
      <c r="D51" s="116">
        <v>103.42</v>
      </c>
      <c r="E51" s="116">
        <v>103.42</v>
      </c>
      <c r="F51" s="116">
        <v>520.35</v>
      </c>
      <c r="G51">
        <v>26758</v>
      </c>
      <c r="H51" s="116"/>
      <c r="I51" s="116"/>
      <c r="L51" s="170">
        <v>42789</v>
      </c>
      <c r="M51" s="116">
        <v>104.24</v>
      </c>
      <c r="N51" s="116">
        <v>106.38</v>
      </c>
      <c r="O51" s="116">
        <v>103.8</v>
      </c>
      <c r="P51" s="116">
        <v>103.8</v>
      </c>
      <c r="Q51" s="116">
        <v>521.20000000000005</v>
      </c>
      <c r="R51">
        <v>114821</v>
      </c>
    </row>
    <row r="52" spans="1:18" x14ac:dyDescent="0.25">
      <c r="A52" s="170">
        <v>42793</v>
      </c>
      <c r="B52" s="116">
        <v>105.03</v>
      </c>
      <c r="C52" s="116">
        <v>102.01</v>
      </c>
      <c r="D52" s="116">
        <v>101.65</v>
      </c>
      <c r="E52" s="116">
        <v>104.15</v>
      </c>
      <c r="F52" s="116">
        <v>510.05</v>
      </c>
      <c r="G52">
        <v>20610</v>
      </c>
      <c r="H52" s="116"/>
      <c r="I52" s="116"/>
      <c r="L52" s="170">
        <v>42793</v>
      </c>
      <c r="M52" s="116">
        <v>102.09</v>
      </c>
      <c r="N52" s="116">
        <v>104.91</v>
      </c>
      <c r="O52" s="116">
        <v>101.46</v>
      </c>
      <c r="P52" s="116">
        <v>104.91</v>
      </c>
      <c r="Q52" s="116">
        <v>510.45</v>
      </c>
      <c r="R52">
        <v>106887</v>
      </c>
    </row>
    <row r="53" spans="1:18" x14ac:dyDescent="0.25">
      <c r="A53" s="170">
        <v>42794</v>
      </c>
      <c r="B53" s="116">
        <v>104.2</v>
      </c>
      <c r="C53" s="116">
        <v>102.01</v>
      </c>
      <c r="D53" s="116">
        <v>101.63</v>
      </c>
      <c r="E53" s="116">
        <v>102.96</v>
      </c>
      <c r="F53" s="116">
        <v>510.05</v>
      </c>
      <c r="G53">
        <v>14339</v>
      </c>
      <c r="H53" s="116"/>
      <c r="I53" s="116"/>
      <c r="L53" s="170">
        <v>42794</v>
      </c>
      <c r="M53" s="116">
        <v>101.99</v>
      </c>
      <c r="N53" s="116">
        <v>104.09</v>
      </c>
      <c r="O53" s="116">
        <v>101.43</v>
      </c>
      <c r="P53" s="116">
        <v>102.02</v>
      </c>
      <c r="Q53" s="116">
        <v>509.95</v>
      </c>
      <c r="R53">
        <v>110441</v>
      </c>
    </row>
    <row r="54" spans="1:18" x14ac:dyDescent="0.25">
      <c r="A54" s="170">
        <v>42795</v>
      </c>
      <c r="B54" s="116">
        <v>104.98</v>
      </c>
      <c r="C54" s="116">
        <v>102.5</v>
      </c>
      <c r="D54" s="116">
        <v>102.02</v>
      </c>
      <c r="E54" s="116">
        <v>102.65</v>
      </c>
      <c r="F54" s="116">
        <v>512.5</v>
      </c>
      <c r="G54">
        <v>44244</v>
      </c>
      <c r="H54" s="116"/>
      <c r="I54" s="116"/>
      <c r="L54" s="170">
        <v>42795</v>
      </c>
      <c r="M54" s="116">
        <v>102.02</v>
      </c>
      <c r="N54" s="116">
        <v>104.98</v>
      </c>
      <c r="O54" s="116">
        <v>101.69</v>
      </c>
      <c r="P54" s="116">
        <v>102.57</v>
      </c>
      <c r="Q54" s="116">
        <v>510.1</v>
      </c>
      <c r="R54">
        <v>250431</v>
      </c>
    </row>
    <row r="55" spans="1:18" x14ac:dyDescent="0.25">
      <c r="A55" s="170">
        <v>42796</v>
      </c>
      <c r="B55" s="116">
        <v>103.25</v>
      </c>
      <c r="C55" s="116">
        <v>101.79</v>
      </c>
      <c r="D55" s="116">
        <v>100.31</v>
      </c>
      <c r="E55" s="116">
        <v>102.89</v>
      </c>
      <c r="F55" s="116">
        <v>508.95</v>
      </c>
      <c r="G55">
        <v>25881</v>
      </c>
      <c r="H55" s="116"/>
      <c r="I55" s="116"/>
      <c r="L55" s="170">
        <v>42796</v>
      </c>
      <c r="M55" s="116">
        <v>101.62</v>
      </c>
      <c r="N55" s="116">
        <v>103.2</v>
      </c>
      <c r="O55" s="116">
        <v>100.12</v>
      </c>
      <c r="P55" s="116">
        <v>102.95</v>
      </c>
      <c r="Q55" s="116">
        <v>508.1</v>
      </c>
      <c r="R55">
        <v>126700</v>
      </c>
    </row>
    <row r="56" spans="1:18" x14ac:dyDescent="0.25">
      <c r="A56" s="170">
        <v>42797</v>
      </c>
      <c r="B56" s="116">
        <v>101.68</v>
      </c>
      <c r="C56" s="116">
        <v>101.12</v>
      </c>
      <c r="D56" s="116">
        <v>100.42</v>
      </c>
      <c r="E56" s="116">
        <v>101.38</v>
      </c>
      <c r="F56" s="116">
        <v>505.6</v>
      </c>
      <c r="G56">
        <v>21208</v>
      </c>
      <c r="H56" s="116"/>
      <c r="I56" s="116"/>
      <c r="L56" s="170">
        <v>42797</v>
      </c>
      <c r="M56" s="116">
        <v>101.38</v>
      </c>
      <c r="N56" s="116">
        <v>102.08</v>
      </c>
      <c r="O56" s="116">
        <v>100.2</v>
      </c>
      <c r="P56" s="116">
        <v>101.62</v>
      </c>
      <c r="Q56" s="116">
        <v>506.9</v>
      </c>
      <c r="R56">
        <v>114596</v>
      </c>
    </row>
    <row r="57" spans="1:18" x14ac:dyDescent="0.25">
      <c r="A57" s="170">
        <v>42800</v>
      </c>
      <c r="B57" s="116">
        <v>103.4</v>
      </c>
      <c r="C57" s="116">
        <v>102.12</v>
      </c>
      <c r="D57" s="116">
        <v>101</v>
      </c>
      <c r="E57" s="116">
        <v>102.98</v>
      </c>
      <c r="F57" s="116">
        <v>510.6</v>
      </c>
      <c r="G57">
        <v>18151</v>
      </c>
      <c r="H57" s="116"/>
      <c r="I57" s="116"/>
      <c r="L57" s="170">
        <v>42800</v>
      </c>
      <c r="M57" s="116">
        <v>102.37</v>
      </c>
      <c r="N57" s="116">
        <v>103.24</v>
      </c>
      <c r="O57" s="116">
        <v>101.1</v>
      </c>
      <c r="P57" s="116">
        <v>101.99</v>
      </c>
      <c r="Q57" s="116">
        <v>511.85</v>
      </c>
      <c r="R57">
        <v>98381</v>
      </c>
    </row>
    <row r="58" spans="1:18" x14ac:dyDescent="0.25">
      <c r="A58" s="170">
        <v>42801</v>
      </c>
      <c r="B58" s="116">
        <v>106</v>
      </c>
      <c r="C58" s="116">
        <v>104.08</v>
      </c>
      <c r="D58" s="116">
        <v>101.8</v>
      </c>
      <c r="E58" s="116">
        <v>102.78</v>
      </c>
      <c r="F58" s="116">
        <v>520.4</v>
      </c>
      <c r="G58">
        <v>56149</v>
      </c>
      <c r="H58" s="116"/>
      <c r="I58" s="116"/>
      <c r="L58" s="170">
        <v>42801</v>
      </c>
      <c r="M58" s="116">
        <v>104.3</v>
      </c>
      <c r="N58" s="116">
        <v>106.2</v>
      </c>
      <c r="O58" s="116">
        <v>101.35</v>
      </c>
      <c r="P58" s="116">
        <v>102.8</v>
      </c>
      <c r="Q58" s="116">
        <v>521.5</v>
      </c>
      <c r="R58">
        <v>249155</v>
      </c>
    </row>
    <row r="59" spans="1:18" x14ac:dyDescent="0.25">
      <c r="A59" s="170">
        <v>42802</v>
      </c>
      <c r="B59" s="116">
        <v>104.35</v>
      </c>
      <c r="C59" s="116">
        <v>103.43</v>
      </c>
      <c r="D59" s="116">
        <v>103.2</v>
      </c>
      <c r="E59" s="116">
        <v>104.31</v>
      </c>
      <c r="F59" s="116">
        <v>517.15</v>
      </c>
      <c r="G59">
        <v>10842</v>
      </c>
      <c r="H59" s="116"/>
      <c r="I59" s="116"/>
      <c r="L59" s="170">
        <v>42802</v>
      </c>
      <c r="M59" s="116">
        <v>103.58</v>
      </c>
      <c r="N59" s="116">
        <v>104.35</v>
      </c>
      <c r="O59" s="116">
        <v>103.09</v>
      </c>
      <c r="P59" s="116">
        <v>104.18</v>
      </c>
      <c r="Q59" s="116">
        <v>517.9</v>
      </c>
      <c r="R59">
        <v>140143</v>
      </c>
    </row>
    <row r="60" spans="1:18" x14ac:dyDescent="0.25">
      <c r="A60" s="170">
        <v>42803</v>
      </c>
      <c r="B60" s="116">
        <v>104.6</v>
      </c>
      <c r="C60" s="116">
        <v>103.15</v>
      </c>
      <c r="D60" s="116">
        <v>102.67</v>
      </c>
      <c r="E60" s="116">
        <v>103</v>
      </c>
      <c r="F60" s="116">
        <v>515.75</v>
      </c>
      <c r="G60">
        <v>13745</v>
      </c>
      <c r="H60" s="116"/>
      <c r="I60" s="116"/>
      <c r="L60" s="170">
        <v>42803</v>
      </c>
      <c r="M60" s="116">
        <v>102.99</v>
      </c>
      <c r="N60" s="116">
        <v>104.79</v>
      </c>
      <c r="O60" s="116">
        <v>102.61</v>
      </c>
      <c r="P60" s="116">
        <v>103.2</v>
      </c>
      <c r="Q60" s="116">
        <v>514.95000000000005</v>
      </c>
      <c r="R60">
        <v>101095</v>
      </c>
    </row>
    <row r="61" spans="1:18" x14ac:dyDescent="0.25">
      <c r="A61" s="170">
        <v>42804</v>
      </c>
      <c r="B61" s="116">
        <v>103.85</v>
      </c>
      <c r="C61" s="116">
        <v>102.18</v>
      </c>
      <c r="D61" s="116">
        <v>102</v>
      </c>
      <c r="E61" s="116">
        <v>103.68</v>
      </c>
      <c r="F61" s="116">
        <v>510.9</v>
      </c>
      <c r="G61">
        <v>6680</v>
      </c>
      <c r="H61" s="116"/>
      <c r="I61" s="116"/>
      <c r="L61" s="170">
        <v>42804</v>
      </c>
      <c r="M61" s="116">
        <v>102.21</v>
      </c>
      <c r="N61" s="116">
        <v>103.79</v>
      </c>
      <c r="O61" s="116">
        <v>102</v>
      </c>
      <c r="P61" s="116">
        <v>103.35</v>
      </c>
      <c r="Q61" s="116">
        <v>511.05</v>
      </c>
      <c r="R61">
        <v>42601</v>
      </c>
    </row>
    <row r="62" spans="1:18" x14ac:dyDescent="0.25">
      <c r="A62" s="170">
        <v>42808</v>
      </c>
      <c r="B62" s="116">
        <v>104.2</v>
      </c>
      <c r="C62" s="116">
        <v>102.55</v>
      </c>
      <c r="D62" s="116">
        <v>102.39</v>
      </c>
      <c r="E62" s="116">
        <v>103.54</v>
      </c>
      <c r="F62" s="116">
        <v>512.75</v>
      </c>
      <c r="G62">
        <v>9573</v>
      </c>
      <c r="H62" s="116"/>
      <c r="I62" s="116"/>
      <c r="L62" s="170">
        <v>42808</v>
      </c>
      <c r="M62" s="116">
        <v>102.93</v>
      </c>
      <c r="N62" s="116">
        <v>104.2</v>
      </c>
      <c r="O62" s="116">
        <v>102.21</v>
      </c>
      <c r="P62" s="116">
        <v>103.34</v>
      </c>
      <c r="Q62" s="116">
        <v>514.65</v>
      </c>
      <c r="R62">
        <v>44937</v>
      </c>
    </row>
    <row r="63" spans="1:18" x14ac:dyDescent="0.25">
      <c r="A63" s="170">
        <v>42809</v>
      </c>
      <c r="B63" s="116">
        <v>106.6</v>
      </c>
      <c r="C63" s="116">
        <v>105.13</v>
      </c>
      <c r="D63" s="116">
        <v>103.1</v>
      </c>
      <c r="E63" s="116">
        <v>103.14</v>
      </c>
      <c r="F63" s="116">
        <v>525.65</v>
      </c>
      <c r="G63">
        <v>47515</v>
      </c>
      <c r="H63" s="116"/>
      <c r="I63" s="116"/>
      <c r="L63" s="170">
        <v>42809</v>
      </c>
      <c r="M63" s="116">
        <v>105.46</v>
      </c>
      <c r="N63" s="116">
        <v>106.6</v>
      </c>
      <c r="O63" s="116">
        <v>103</v>
      </c>
      <c r="P63" s="116">
        <v>103</v>
      </c>
      <c r="Q63" s="116">
        <v>527.29999999999995</v>
      </c>
      <c r="R63">
        <v>248723</v>
      </c>
    </row>
    <row r="64" spans="1:18" x14ac:dyDescent="0.25">
      <c r="A64" s="170">
        <v>42810</v>
      </c>
      <c r="B64" s="116">
        <v>107.35</v>
      </c>
      <c r="C64" s="116">
        <v>105.96</v>
      </c>
      <c r="D64" s="116">
        <v>105.4</v>
      </c>
      <c r="E64" s="116">
        <v>105.8</v>
      </c>
      <c r="F64" s="116">
        <v>529.79999999999995</v>
      </c>
      <c r="G64">
        <v>24500</v>
      </c>
      <c r="H64" s="116"/>
      <c r="I64" s="116"/>
      <c r="L64" s="170">
        <v>42810</v>
      </c>
      <c r="M64" s="116">
        <v>106.12</v>
      </c>
      <c r="N64" s="116">
        <v>107</v>
      </c>
      <c r="O64" s="116">
        <v>105.33</v>
      </c>
      <c r="P64" s="116">
        <v>106.19</v>
      </c>
      <c r="Q64" s="116">
        <v>530.6</v>
      </c>
      <c r="R64">
        <v>123360</v>
      </c>
    </row>
    <row r="65" spans="1:18" x14ac:dyDescent="0.25">
      <c r="A65" s="170">
        <v>42811</v>
      </c>
      <c r="B65" s="116">
        <v>106.8</v>
      </c>
      <c r="C65" s="116">
        <v>105.76</v>
      </c>
      <c r="D65" s="116">
        <v>104.56</v>
      </c>
      <c r="E65" s="116">
        <v>106.39</v>
      </c>
      <c r="F65" s="116">
        <v>528.79999999999995</v>
      </c>
      <c r="G65">
        <v>13513</v>
      </c>
      <c r="H65" s="116"/>
      <c r="I65" s="116"/>
      <c r="L65" s="170">
        <v>42811</v>
      </c>
      <c r="M65" s="116">
        <v>106.12</v>
      </c>
      <c r="N65" s="116">
        <v>107</v>
      </c>
      <c r="O65" s="116">
        <v>104.64</v>
      </c>
      <c r="P65" s="116">
        <v>106.1</v>
      </c>
      <c r="Q65" s="116">
        <v>530.6</v>
      </c>
      <c r="R65">
        <v>120772</v>
      </c>
    </row>
    <row r="66" spans="1:18" x14ac:dyDescent="0.25">
      <c r="A66" s="170">
        <v>42814</v>
      </c>
      <c r="B66" s="116">
        <v>107.8</v>
      </c>
      <c r="C66" s="116">
        <v>105.6</v>
      </c>
      <c r="D66" s="116">
        <v>105.02</v>
      </c>
      <c r="E66" s="116">
        <v>105.8</v>
      </c>
      <c r="F66" s="116">
        <v>528</v>
      </c>
      <c r="G66">
        <v>20750</v>
      </c>
      <c r="H66" s="116"/>
      <c r="I66" s="116"/>
      <c r="L66" s="170">
        <v>42814</v>
      </c>
      <c r="M66" s="116">
        <v>105.54</v>
      </c>
      <c r="N66" s="116">
        <v>107.96</v>
      </c>
      <c r="O66" s="116">
        <v>105</v>
      </c>
      <c r="P66" s="116">
        <v>106.2</v>
      </c>
      <c r="Q66" s="116">
        <v>527.70000000000005</v>
      </c>
      <c r="R66">
        <v>143374</v>
      </c>
    </row>
    <row r="67" spans="1:18" x14ac:dyDescent="0.25">
      <c r="A67" s="170">
        <v>42815</v>
      </c>
      <c r="B67" s="116">
        <v>106.8</v>
      </c>
      <c r="C67" s="116">
        <v>103.72</v>
      </c>
      <c r="D67" s="116">
        <v>103.35</v>
      </c>
      <c r="E67" s="116">
        <v>106</v>
      </c>
      <c r="F67" s="116">
        <v>518.6</v>
      </c>
      <c r="G67">
        <v>32403</v>
      </c>
      <c r="H67" s="116"/>
      <c r="I67" s="116"/>
      <c r="L67" s="170">
        <v>42815</v>
      </c>
      <c r="M67" s="116">
        <v>103.59</v>
      </c>
      <c r="N67" s="116">
        <v>107.01</v>
      </c>
      <c r="O67" s="116">
        <v>103.01</v>
      </c>
      <c r="P67" s="116">
        <v>107</v>
      </c>
      <c r="Q67" s="116">
        <v>517.95000000000005</v>
      </c>
      <c r="R67">
        <v>116716</v>
      </c>
    </row>
    <row r="68" spans="1:18" x14ac:dyDescent="0.25">
      <c r="A68" s="170">
        <v>42816</v>
      </c>
      <c r="B68" s="116">
        <v>103.56</v>
      </c>
      <c r="C68" s="116">
        <v>102.44</v>
      </c>
      <c r="D68" s="116">
        <v>101.41</v>
      </c>
      <c r="E68" s="116">
        <v>103</v>
      </c>
      <c r="F68" s="116">
        <v>512.20000000000005</v>
      </c>
      <c r="G68">
        <v>16264</v>
      </c>
      <c r="H68" s="116"/>
      <c r="I68" s="116"/>
      <c r="L68" s="170">
        <v>42816</v>
      </c>
      <c r="M68" s="116">
        <v>102.44</v>
      </c>
      <c r="N68" s="116">
        <v>103.59</v>
      </c>
      <c r="O68" s="116">
        <v>99.26</v>
      </c>
      <c r="P68" s="116">
        <v>103.02</v>
      </c>
      <c r="Q68" s="116">
        <v>512.20000000000005</v>
      </c>
      <c r="R68">
        <v>63328</v>
      </c>
    </row>
    <row r="69" spans="1:18" x14ac:dyDescent="0.25">
      <c r="A69" s="170">
        <v>42817</v>
      </c>
      <c r="B69" s="116">
        <v>104.2</v>
      </c>
      <c r="C69" s="116">
        <v>102.42</v>
      </c>
      <c r="D69" s="116">
        <v>101.9</v>
      </c>
      <c r="E69" s="116">
        <v>102.9</v>
      </c>
      <c r="F69" s="116">
        <v>512.1</v>
      </c>
      <c r="G69">
        <v>17299</v>
      </c>
      <c r="H69" s="116"/>
      <c r="I69" s="116"/>
      <c r="L69" s="170">
        <v>42817</v>
      </c>
      <c r="M69" s="116">
        <v>102.37</v>
      </c>
      <c r="N69" s="116">
        <v>104.29</v>
      </c>
      <c r="O69" s="116">
        <v>101.99</v>
      </c>
      <c r="P69" s="116">
        <v>102.6</v>
      </c>
      <c r="Q69" s="116">
        <v>511.85</v>
      </c>
      <c r="R69">
        <v>93191</v>
      </c>
    </row>
    <row r="70" spans="1:18" x14ac:dyDescent="0.25">
      <c r="A70" s="170">
        <v>42818</v>
      </c>
      <c r="B70" s="116">
        <v>103.58</v>
      </c>
      <c r="C70" s="116">
        <v>102.03</v>
      </c>
      <c r="D70" s="116">
        <v>101.95</v>
      </c>
      <c r="E70" s="116">
        <v>103.03</v>
      </c>
      <c r="F70" s="116">
        <v>510.15</v>
      </c>
      <c r="G70">
        <v>17065</v>
      </c>
      <c r="H70" s="116"/>
      <c r="I70" s="116"/>
      <c r="L70" s="170">
        <v>42818</v>
      </c>
      <c r="M70" s="116">
        <v>102.01</v>
      </c>
      <c r="N70" s="116">
        <v>103.6</v>
      </c>
      <c r="O70" s="116">
        <v>101.99</v>
      </c>
      <c r="P70" s="116">
        <v>103.38</v>
      </c>
      <c r="Q70" s="116">
        <v>510.05</v>
      </c>
      <c r="R70">
        <v>87971</v>
      </c>
    </row>
    <row r="71" spans="1:18" x14ac:dyDescent="0.25">
      <c r="A71" s="170">
        <v>42821</v>
      </c>
      <c r="B71" s="116">
        <v>103.6</v>
      </c>
      <c r="C71" s="116">
        <v>102.33</v>
      </c>
      <c r="D71" s="116">
        <v>101.66</v>
      </c>
      <c r="E71" s="116">
        <v>101.66</v>
      </c>
      <c r="F71" s="116">
        <v>511.65</v>
      </c>
      <c r="G71">
        <v>11412</v>
      </c>
      <c r="H71" s="116"/>
      <c r="I71" s="116"/>
      <c r="L71" s="170">
        <v>42821</v>
      </c>
      <c r="M71" s="116">
        <v>102.58</v>
      </c>
      <c r="N71" s="116">
        <v>103.6</v>
      </c>
      <c r="O71" s="116">
        <v>102.21</v>
      </c>
      <c r="P71" s="116">
        <v>102.23</v>
      </c>
      <c r="Q71" s="116">
        <v>512.9</v>
      </c>
      <c r="R71">
        <v>77726</v>
      </c>
    </row>
    <row r="72" spans="1:18" x14ac:dyDescent="0.25">
      <c r="A72" s="170">
        <v>42822</v>
      </c>
      <c r="B72" s="116">
        <v>103.19</v>
      </c>
      <c r="C72" s="116">
        <v>101.77</v>
      </c>
      <c r="D72" s="116">
        <v>101.4</v>
      </c>
      <c r="E72" s="116">
        <v>102.78</v>
      </c>
      <c r="F72" s="116">
        <v>508.85</v>
      </c>
      <c r="G72">
        <v>14980</v>
      </c>
      <c r="H72" s="116"/>
      <c r="I72" s="116"/>
      <c r="L72" s="170">
        <v>42822</v>
      </c>
      <c r="M72" s="116">
        <v>102.07</v>
      </c>
      <c r="N72" s="116">
        <v>103.4</v>
      </c>
      <c r="O72" s="116">
        <v>101.51</v>
      </c>
      <c r="P72" s="116">
        <v>103.4</v>
      </c>
      <c r="Q72" s="116">
        <v>510.35</v>
      </c>
      <c r="R72">
        <v>74908</v>
      </c>
    </row>
    <row r="73" spans="1:18" x14ac:dyDescent="0.25">
      <c r="A73" s="170">
        <v>42823</v>
      </c>
      <c r="B73" s="116">
        <v>103.4</v>
      </c>
      <c r="C73" s="116">
        <v>103.01</v>
      </c>
      <c r="D73" s="116">
        <v>101.86</v>
      </c>
      <c r="E73" s="116">
        <v>102.18</v>
      </c>
      <c r="F73" s="116">
        <v>515.04999999999995</v>
      </c>
      <c r="G73">
        <v>55895</v>
      </c>
      <c r="H73" s="116"/>
      <c r="I73" s="116"/>
      <c r="L73" s="170">
        <v>42823</v>
      </c>
      <c r="M73" s="116">
        <v>102.98</v>
      </c>
      <c r="N73" s="116">
        <v>103.43</v>
      </c>
      <c r="O73" s="116">
        <v>102.18</v>
      </c>
      <c r="P73" s="116">
        <v>102.3</v>
      </c>
      <c r="Q73" s="116">
        <v>514.9</v>
      </c>
      <c r="R73">
        <v>311091</v>
      </c>
    </row>
    <row r="74" spans="1:18" x14ac:dyDescent="0.25">
      <c r="A74" s="170">
        <v>42824</v>
      </c>
      <c r="B74" s="116">
        <v>105.98</v>
      </c>
      <c r="C74" s="116">
        <v>103.73</v>
      </c>
      <c r="D74" s="116">
        <v>103.22</v>
      </c>
      <c r="E74" s="116">
        <v>103.58</v>
      </c>
      <c r="F74" s="116">
        <v>518.65</v>
      </c>
      <c r="G74">
        <v>14423</v>
      </c>
      <c r="H74" s="116"/>
      <c r="I74" s="116"/>
      <c r="L74" s="170">
        <v>42824</v>
      </c>
      <c r="M74" s="116">
        <v>103.69</v>
      </c>
      <c r="N74" s="116">
        <v>105.98</v>
      </c>
      <c r="O74" s="116">
        <v>102.2</v>
      </c>
      <c r="P74" s="116">
        <v>103.2</v>
      </c>
      <c r="Q74" s="116">
        <v>518.45000000000005</v>
      </c>
      <c r="R74">
        <v>107929</v>
      </c>
    </row>
    <row r="75" spans="1:18" x14ac:dyDescent="0.25">
      <c r="A75" s="170">
        <v>42825</v>
      </c>
      <c r="B75" s="116">
        <v>104.58</v>
      </c>
      <c r="C75" s="116">
        <v>103.06</v>
      </c>
      <c r="D75" s="116">
        <v>102.6</v>
      </c>
      <c r="E75" s="116">
        <v>104.29</v>
      </c>
      <c r="F75" s="116">
        <v>515.29999999999995</v>
      </c>
      <c r="G75">
        <v>7067</v>
      </c>
      <c r="H75" s="116"/>
      <c r="I75" s="116"/>
      <c r="L75" s="170">
        <v>42825</v>
      </c>
      <c r="M75" s="116">
        <v>103.24</v>
      </c>
      <c r="N75" s="116">
        <v>104.51</v>
      </c>
      <c r="O75" s="116">
        <v>102.63</v>
      </c>
      <c r="P75" s="116">
        <v>104</v>
      </c>
      <c r="Q75" s="116">
        <v>516.20000000000005</v>
      </c>
      <c r="R75">
        <v>72812</v>
      </c>
    </row>
    <row r="76" spans="1:18" x14ac:dyDescent="0.25">
      <c r="A76" s="170">
        <v>42828</v>
      </c>
      <c r="B76" s="116">
        <v>105.8</v>
      </c>
      <c r="C76" s="116">
        <v>104.16</v>
      </c>
      <c r="D76" s="116">
        <v>103.06</v>
      </c>
      <c r="E76" s="116">
        <v>103.07</v>
      </c>
      <c r="F76" s="116">
        <v>520.79999999999995</v>
      </c>
      <c r="G76">
        <v>12469</v>
      </c>
      <c r="H76" s="116"/>
      <c r="I76" s="116"/>
      <c r="L76" s="170">
        <v>42828</v>
      </c>
      <c r="M76" s="116">
        <v>104.12</v>
      </c>
      <c r="N76" s="116">
        <v>105.6</v>
      </c>
      <c r="O76" s="116">
        <v>103</v>
      </c>
      <c r="P76" s="116">
        <v>103.4</v>
      </c>
      <c r="Q76" s="116">
        <v>520.6</v>
      </c>
      <c r="R76">
        <v>65937</v>
      </c>
    </row>
    <row r="77" spans="1:18" x14ac:dyDescent="0.25">
      <c r="A77" s="170">
        <v>42830</v>
      </c>
      <c r="B77" s="116">
        <v>105.62</v>
      </c>
      <c r="C77" s="116">
        <v>104.26</v>
      </c>
      <c r="D77" s="116">
        <v>103.62</v>
      </c>
      <c r="E77" s="116">
        <v>104.65</v>
      </c>
      <c r="F77" s="116">
        <v>521.29999999999995</v>
      </c>
      <c r="G77">
        <v>19224</v>
      </c>
      <c r="H77" s="116"/>
      <c r="I77" s="116"/>
      <c r="L77" s="170">
        <v>42830</v>
      </c>
      <c r="M77" s="116">
        <v>103.97</v>
      </c>
      <c r="N77" s="116">
        <v>105.8</v>
      </c>
      <c r="O77" s="116">
        <v>103.05</v>
      </c>
      <c r="P77" s="116">
        <v>104.59</v>
      </c>
      <c r="Q77" s="116">
        <v>519.85</v>
      </c>
      <c r="R77">
        <v>155555</v>
      </c>
    </row>
    <row r="78" spans="1:18" x14ac:dyDescent="0.25">
      <c r="A78" s="170">
        <v>42831</v>
      </c>
      <c r="B78" s="116">
        <v>105.28</v>
      </c>
      <c r="C78" s="116">
        <v>103.59</v>
      </c>
      <c r="D78" s="116">
        <v>103.2</v>
      </c>
      <c r="E78" s="116">
        <v>104.4</v>
      </c>
      <c r="F78" s="116">
        <v>517.95000000000005</v>
      </c>
      <c r="G78">
        <v>15302</v>
      </c>
      <c r="H78" s="116"/>
      <c r="I78" s="116"/>
      <c r="L78" s="170">
        <v>42831</v>
      </c>
      <c r="M78" s="116">
        <v>103.43</v>
      </c>
      <c r="N78" s="116">
        <v>105.38</v>
      </c>
      <c r="O78" s="116">
        <v>103.1</v>
      </c>
      <c r="P78" s="116">
        <v>103.8</v>
      </c>
      <c r="Q78" s="116">
        <v>517.15</v>
      </c>
      <c r="R78">
        <v>43042</v>
      </c>
    </row>
    <row r="79" spans="1:18" x14ac:dyDescent="0.25">
      <c r="A79" s="170">
        <v>42832</v>
      </c>
      <c r="B79" s="116">
        <v>104.2</v>
      </c>
      <c r="C79" s="116">
        <v>102</v>
      </c>
      <c r="D79" s="116">
        <v>100.5</v>
      </c>
      <c r="E79" s="116">
        <v>103.3</v>
      </c>
      <c r="F79" s="116">
        <v>510</v>
      </c>
      <c r="G79">
        <v>596963</v>
      </c>
      <c r="H79" s="116"/>
      <c r="I79" s="116"/>
      <c r="L79" s="170">
        <v>42832</v>
      </c>
      <c r="M79" s="116">
        <v>102.12</v>
      </c>
      <c r="N79" s="116">
        <v>104.98</v>
      </c>
      <c r="O79" s="116">
        <v>100.5</v>
      </c>
      <c r="P79" s="116">
        <v>103.05</v>
      </c>
      <c r="Q79" s="116">
        <v>510.6</v>
      </c>
      <c r="R79">
        <v>633570</v>
      </c>
    </row>
    <row r="80" spans="1:18" x14ac:dyDescent="0.25">
      <c r="A80" s="170">
        <v>42835</v>
      </c>
      <c r="B80" s="116">
        <v>104.8</v>
      </c>
      <c r="C80" s="116">
        <v>102.81</v>
      </c>
      <c r="D80" s="116">
        <v>102</v>
      </c>
      <c r="E80" s="116">
        <v>102</v>
      </c>
      <c r="F80" s="116">
        <v>514.04999999999995</v>
      </c>
      <c r="G80">
        <v>16487</v>
      </c>
      <c r="H80" s="116"/>
      <c r="I80" s="116"/>
      <c r="L80" s="170">
        <v>42835</v>
      </c>
      <c r="M80" s="116">
        <v>102.86</v>
      </c>
      <c r="N80" s="116">
        <v>104.8</v>
      </c>
      <c r="O80" s="116">
        <v>102</v>
      </c>
      <c r="P80" s="116">
        <v>102</v>
      </c>
      <c r="Q80" s="116">
        <v>514.29999999999995</v>
      </c>
      <c r="R80">
        <v>82182</v>
      </c>
    </row>
    <row r="81" spans="1:18" x14ac:dyDescent="0.25">
      <c r="A81" s="170">
        <v>42836</v>
      </c>
      <c r="B81" s="116">
        <v>104</v>
      </c>
      <c r="C81" s="116">
        <v>102.98</v>
      </c>
      <c r="D81" s="116">
        <v>102.6</v>
      </c>
      <c r="E81" s="116">
        <v>103.56</v>
      </c>
      <c r="F81" s="116">
        <v>514.9</v>
      </c>
      <c r="G81">
        <v>100040</v>
      </c>
      <c r="H81" s="116"/>
      <c r="I81" s="116"/>
      <c r="L81" s="170">
        <v>42836</v>
      </c>
      <c r="M81" s="116">
        <v>102.61</v>
      </c>
      <c r="N81" s="116">
        <v>104</v>
      </c>
      <c r="O81" s="116">
        <v>102.36</v>
      </c>
      <c r="P81" s="116">
        <v>102.82</v>
      </c>
      <c r="Q81" s="116">
        <v>513.04999999999995</v>
      </c>
      <c r="R81">
        <v>41064</v>
      </c>
    </row>
    <row r="82" spans="1:18" x14ac:dyDescent="0.25">
      <c r="A82" s="170">
        <v>42837</v>
      </c>
      <c r="B82" s="116">
        <v>103.16</v>
      </c>
      <c r="C82" s="116">
        <v>102.32</v>
      </c>
      <c r="D82" s="116">
        <v>101.6</v>
      </c>
      <c r="E82" s="116">
        <v>102.99</v>
      </c>
      <c r="F82" s="116">
        <v>511.6</v>
      </c>
      <c r="G82">
        <v>11240</v>
      </c>
      <c r="H82" s="116"/>
      <c r="I82" s="116"/>
      <c r="L82" s="170">
        <v>42837</v>
      </c>
      <c r="M82" s="116">
        <v>102.15</v>
      </c>
      <c r="N82" s="116">
        <v>103.1</v>
      </c>
      <c r="O82" s="116">
        <v>101.55</v>
      </c>
      <c r="P82" s="116">
        <v>102.98</v>
      </c>
      <c r="Q82" s="116">
        <v>510.75</v>
      </c>
      <c r="R82">
        <v>99984</v>
      </c>
    </row>
    <row r="83" spans="1:18" x14ac:dyDescent="0.25">
      <c r="A83" s="170">
        <v>42838</v>
      </c>
      <c r="B83" s="116">
        <v>103.51</v>
      </c>
      <c r="C83" s="116">
        <v>101.39</v>
      </c>
      <c r="D83" s="116">
        <v>101</v>
      </c>
      <c r="E83" s="116">
        <v>101.8</v>
      </c>
      <c r="F83" s="116">
        <v>506.95</v>
      </c>
      <c r="G83">
        <v>12787</v>
      </c>
      <c r="H83" s="116"/>
      <c r="I83" s="116"/>
      <c r="L83" s="170">
        <v>42838</v>
      </c>
      <c r="M83" s="116">
        <v>101.18</v>
      </c>
      <c r="N83" s="116">
        <v>103.58</v>
      </c>
      <c r="O83" s="116">
        <v>101</v>
      </c>
      <c r="P83" s="116">
        <v>102.3</v>
      </c>
      <c r="Q83" s="116">
        <v>505.9</v>
      </c>
      <c r="R83">
        <v>93634</v>
      </c>
    </row>
    <row r="84" spans="1:18" x14ac:dyDescent="0.25">
      <c r="A84" s="170">
        <v>42842</v>
      </c>
      <c r="B84" s="116">
        <v>104.78</v>
      </c>
      <c r="C84" s="116">
        <v>102.68</v>
      </c>
      <c r="D84" s="116">
        <v>101.3</v>
      </c>
      <c r="E84" s="116">
        <v>101.3</v>
      </c>
      <c r="F84" s="116">
        <v>513.4</v>
      </c>
      <c r="G84">
        <v>27675</v>
      </c>
      <c r="H84" s="116"/>
      <c r="I84" s="116"/>
      <c r="L84" s="170">
        <v>42842</v>
      </c>
      <c r="M84" s="116">
        <v>102.79</v>
      </c>
      <c r="N84" s="116">
        <v>104.77</v>
      </c>
      <c r="O84" s="116">
        <v>101.7</v>
      </c>
      <c r="P84" s="116">
        <v>101.7</v>
      </c>
      <c r="Q84" s="116">
        <v>513.95000000000005</v>
      </c>
      <c r="R84">
        <v>199213</v>
      </c>
    </row>
    <row r="85" spans="1:18" x14ac:dyDescent="0.25">
      <c r="A85" s="170">
        <v>42843</v>
      </c>
      <c r="B85" s="116">
        <v>105</v>
      </c>
      <c r="C85" s="116">
        <v>102.63</v>
      </c>
      <c r="D85" s="116">
        <v>102.4</v>
      </c>
      <c r="E85" s="116">
        <v>102.67</v>
      </c>
      <c r="F85" s="116">
        <v>513.15</v>
      </c>
      <c r="G85">
        <v>25679</v>
      </c>
      <c r="H85" s="116"/>
      <c r="I85" s="116"/>
      <c r="L85" s="170">
        <v>42843</v>
      </c>
      <c r="M85" s="116">
        <v>102.88</v>
      </c>
      <c r="N85" s="116">
        <v>104.97</v>
      </c>
      <c r="O85" s="116">
        <v>102.4</v>
      </c>
      <c r="P85" s="116">
        <v>103</v>
      </c>
      <c r="Q85" s="116">
        <v>514.4</v>
      </c>
      <c r="R85">
        <v>194880</v>
      </c>
    </row>
    <row r="86" spans="1:18" x14ac:dyDescent="0.25">
      <c r="A86" s="170">
        <v>42844</v>
      </c>
      <c r="B86" s="116">
        <v>103.8</v>
      </c>
      <c r="C86" s="116">
        <v>103.23</v>
      </c>
      <c r="D86" s="116">
        <v>102.65</v>
      </c>
      <c r="E86" s="116">
        <v>103.7</v>
      </c>
      <c r="F86" s="116">
        <v>516.15</v>
      </c>
      <c r="G86">
        <v>11154</v>
      </c>
      <c r="H86" s="116"/>
      <c r="I86" s="116"/>
      <c r="L86" s="170">
        <v>42844</v>
      </c>
      <c r="M86" s="116">
        <v>103.42</v>
      </c>
      <c r="N86" s="116">
        <v>103.97</v>
      </c>
      <c r="O86" s="116">
        <v>102.71</v>
      </c>
      <c r="P86" s="116">
        <v>103.97</v>
      </c>
      <c r="Q86" s="116">
        <v>517.1</v>
      </c>
      <c r="R86">
        <v>78780</v>
      </c>
    </row>
    <row r="87" spans="1:18" x14ac:dyDescent="0.25">
      <c r="A87" s="170">
        <v>42845</v>
      </c>
      <c r="B87" s="116">
        <v>105.81</v>
      </c>
      <c r="C87" s="116">
        <v>104.93</v>
      </c>
      <c r="D87" s="116">
        <v>103.45</v>
      </c>
      <c r="E87" s="116">
        <v>103.79</v>
      </c>
      <c r="F87" s="116">
        <v>524.65</v>
      </c>
      <c r="G87">
        <v>45196</v>
      </c>
      <c r="H87" s="116"/>
      <c r="I87" s="116"/>
      <c r="L87" s="170">
        <v>42845</v>
      </c>
      <c r="M87" s="116">
        <v>105.01</v>
      </c>
      <c r="N87" s="116">
        <v>105.6</v>
      </c>
      <c r="O87" s="116">
        <v>103.6</v>
      </c>
      <c r="P87" s="116">
        <v>103.8</v>
      </c>
      <c r="Q87" s="116">
        <v>525.04999999999995</v>
      </c>
      <c r="R87">
        <v>143439</v>
      </c>
    </row>
    <row r="88" spans="1:18" x14ac:dyDescent="0.25">
      <c r="A88" s="170">
        <v>42846</v>
      </c>
      <c r="B88" s="116">
        <v>105.8</v>
      </c>
      <c r="C88" s="116">
        <v>103.66</v>
      </c>
      <c r="D88" s="116">
        <v>103.5</v>
      </c>
      <c r="E88" s="116">
        <v>105.59</v>
      </c>
      <c r="F88" s="116">
        <v>518.29999999999995</v>
      </c>
      <c r="G88">
        <v>32669</v>
      </c>
      <c r="H88" s="116"/>
      <c r="I88" s="116"/>
      <c r="L88" s="170">
        <v>42846</v>
      </c>
      <c r="M88" s="116">
        <v>103.83</v>
      </c>
      <c r="N88" s="116">
        <v>105.6</v>
      </c>
      <c r="O88" s="116">
        <v>103.5</v>
      </c>
      <c r="P88" s="116">
        <v>105.2</v>
      </c>
      <c r="Q88" s="116">
        <v>519.15</v>
      </c>
      <c r="R88">
        <v>117216</v>
      </c>
    </row>
    <row r="89" spans="1:18" x14ac:dyDescent="0.25">
      <c r="A89" s="170">
        <v>42849</v>
      </c>
      <c r="B89" s="116">
        <v>104.8</v>
      </c>
      <c r="C89" s="116">
        <v>103.77</v>
      </c>
      <c r="D89" s="116">
        <v>103.6</v>
      </c>
      <c r="E89" s="116">
        <v>103.8</v>
      </c>
      <c r="F89" s="116">
        <v>518.85</v>
      </c>
      <c r="G89">
        <v>23199</v>
      </c>
      <c r="H89" s="116"/>
      <c r="I89" s="116"/>
      <c r="L89" s="170">
        <v>42849</v>
      </c>
      <c r="M89" s="116">
        <v>103.83</v>
      </c>
      <c r="N89" s="116">
        <v>104.78</v>
      </c>
      <c r="O89" s="116">
        <v>103.6</v>
      </c>
      <c r="P89" s="116">
        <v>104.58</v>
      </c>
      <c r="Q89" s="116">
        <v>519.15</v>
      </c>
      <c r="R89">
        <v>62984</v>
      </c>
    </row>
    <row r="90" spans="1:18" x14ac:dyDescent="0.25">
      <c r="A90" s="170">
        <v>42850</v>
      </c>
      <c r="B90" s="116">
        <v>105</v>
      </c>
      <c r="C90" s="116">
        <v>104.25</v>
      </c>
      <c r="D90" s="116">
        <v>103.66</v>
      </c>
      <c r="E90" s="116">
        <v>103.67</v>
      </c>
      <c r="F90" s="116">
        <v>521.25</v>
      </c>
      <c r="G90">
        <v>24146</v>
      </c>
      <c r="H90" s="116"/>
      <c r="I90" s="116"/>
      <c r="L90" s="170">
        <v>42850</v>
      </c>
      <c r="M90" s="116">
        <v>104.13</v>
      </c>
      <c r="N90" s="116">
        <v>105</v>
      </c>
      <c r="O90" s="116">
        <v>102</v>
      </c>
      <c r="P90" s="116">
        <v>102</v>
      </c>
      <c r="Q90" s="116">
        <v>520.65</v>
      </c>
      <c r="R90">
        <v>122230</v>
      </c>
    </row>
    <row r="91" spans="1:18" x14ac:dyDescent="0.25">
      <c r="A91" s="170">
        <v>42851</v>
      </c>
      <c r="B91" s="116">
        <v>106.6</v>
      </c>
      <c r="C91" s="116">
        <v>103.29</v>
      </c>
      <c r="D91" s="116">
        <v>102.31</v>
      </c>
      <c r="E91" s="116">
        <v>104.76</v>
      </c>
      <c r="F91" s="116">
        <v>516.45000000000005</v>
      </c>
      <c r="G91">
        <v>43620</v>
      </c>
      <c r="H91" s="116"/>
      <c r="I91" s="116"/>
      <c r="L91" s="170">
        <v>42851</v>
      </c>
      <c r="M91" s="116">
        <v>103.7</v>
      </c>
      <c r="N91" s="116">
        <v>106.77</v>
      </c>
      <c r="O91" s="116">
        <v>102.6</v>
      </c>
      <c r="P91" s="116">
        <v>104.05</v>
      </c>
      <c r="Q91" s="116">
        <v>518.5</v>
      </c>
      <c r="R91">
        <v>147361</v>
      </c>
    </row>
    <row r="92" spans="1:18" x14ac:dyDescent="0.25">
      <c r="A92" s="170">
        <v>42852</v>
      </c>
      <c r="B92" s="116">
        <v>104.42</v>
      </c>
      <c r="C92" s="116">
        <v>103.41</v>
      </c>
      <c r="D92" s="116">
        <v>103.16</v>
      </c>
      <c r="E92" s="116">
        <v>104.17</v>
      </c>
      <c r="F92" s="116">
        <v>517.04999999999995</v>
      </c>
      <c r="G92">
        <v>11991</v>
      </c>
      <c r="H92" s="116"/>
      <c r="I92" s="116"/>
      <c r="L92" s="170">
        <v>42852</v>
      </c>
      <c r="M92" s="116">
        <v>103.72</v>
      </c>
      <c r="N92" s="116">
        <v>104.58</v>
      </c>
      <c r="O92" s="116">
        <v>103.22</v>
      </c>
      <c r="P92" s="116">
        <v>103.7</v>
      </c>
      <c r="Q92" s="116">
        <v>518.6</v>
      </c>
      <c r="R92">
        <v>65359</v>
      </c>
    </row>
    <row r="93" spans="1:18" x14ac:dyDescent="0.25">
      <c r="A93" s="170">
        <v>42853</v>
      </c>
      <c r="B93" s="116">
        <v>105</v>
      </c>
      <c r="C93" s="116">
        <v>103.69</v>
      </c>
      <c r="D93" s="116">
        <v>103.4</v>
      </c>
      <c r="E93" s="116">
        <v>105</v>
      </c>
      <c r="F93" s="116">
        <v>518.45000000000005</v>
      </c>
      <c r="G93">
        <v>9154</v>
      </c>
      <c r="H93" s="116"/>
      <c r="I93" s="116"/>
      <c r="L93" s="170">
        <v>42853</v>
      </c>
      <c r="M93" s="116">
        <v>103.98</v>
      </c>
      <c r="N93" s="116">
        <v>104.59</v>
      </c>
      <c r="O93" s="116">
        <v>103.42</v>
      </c>
      <c r="P93" s="116">
        <v>103.6</v>
      </c>
      <c r="Q93" s="116">
        <v>519.9</v>
      </c>
      <c r="R93">
        <v>30711</v>
      </c>
    </row>
    <row r="94" spans="1:18" x14ac:dyDescent="0.25">
      <c r="A94" s="170">
        <v>42857</v>
      </c>
      <c r="B94" s="116">
        <v>107.45</v>
      </c>
      <c r="C94" s="116">
        <v>105.67</v>
      </c>
      <c r="D94" s="116">
        <v>103.3</v>
      </c>
      <c r="E94" s="116">
        <v>103.8</v>
      </c>
      <c r="F94" s="116">
        <v>528.35</v>
      </c>
      <c r="G94">
        <v>26603</v>
      </c>
      <c r="H94" s="116"/>
      <c r="I94" s="116"/>
      <c r="L94" s="170">
        <v>42857</v>
      </c>
      <c r="M94" s="116">
        <v>106.02</v>
      </c>
      <c r="N94" s="116">
        <v>107.7</v>
      </c>
      <c r="O94" s="116">
        <v>102.61</v>
      </c>
      <c r="P94" s="116">
        <v>102.61</v>
      </c>
      <c r="Q94" s="116">
        <v>530.1</v>
      </c>
      <c r="R94">
        <v>115085</v>
      </c>
    </row>
    <row r="95" spans="1:18" x14ac:dyDescent="0.25">
      <c r="A95" s="170">
        <v>42858</v>
      </c>
      <c r="B95" s="116">
        <v>109.8</v>
      </c>
      <c r="C95" s="116">
        <v>108.41</v>
      </c>
      <c r="D95" s="116">
        <v>105.9</v>
      </c>
      <c r="E95" s="116">
        <v>106.27</v>
      </c>
      <c r="F95" s="116">
        <v>542.04999999999995</v>
      </c>
      <c r="G95">
        <v>54439</v>
      </c>
      <c r="H95" s="116"/>
      <c r="I95" s="116"/>
      <c r="L95" s="170">
        <v>42858</v>
      </c>
      <c r="M95" s="116">
        <v>108.46</v>
      </c>
      <c r="N95" s="116">
        <v>109.81</v>
      </c>
      <c r="O95" s="116">
        <v>105.79</v>
      </c>
      <c r="P95" s="116">
        <v>107.06</v>
      </c>
      <c r="Q95" s="116">
        <v>542.29999999999995</v>
      </c>
      <c r="R95">
        <v>358608</v>
      </c>
    </row>
    <row r="96" spans="1:18" x14ac:dyDescent="0.25">
      <c r="A96" s="170">
        <v>42859</v>
      </c>
      <c r="B96" s="116">
        <v>117.16</v>
      </c>
      <c r="C96" s="116">
        <v>112.55</v>
      </c>
      <c r="D96" s="116">
        <v>108.2</v>
      </c>
      <c r="E96" s="116">
        <v>108.4</v>
      </c>
      <c r="F96" s="116">
        <v>562.75</v>
      </c>
      <c r="G96">
        <v>110820</v>
      </c>
      <c r="H96" s="116"/>
      <c r="I96" s="116"/>
      <c r="L96" s="170">
        <v>42859</v>
      </c>
      <c r="M96" s="116">
        <v>112.29</v>
      </c>
      <c r="N96" s="116">
        <v>117.4</v>
      </c>
      <c r="O96" s="116">
        <v>108.24</v>
      </c>
      <c r="P96" s="116">
        <v>109.4</v>
      </c>
      <c r="Q96" s="116">
        <v>561.45000000000005</v>
      </c>
      <c r="R96">
        <v>490842</v>
      </c>
    </row>
    <row r="97" spans="1:18" x14ac:dyDescent="0.25">
      <c r="A97" s="170">
        <v>42860</v>
      </c>
      <c r="B97" s="116">
        <v>113.59</v>
      </c>
      <c r="C97" s="116">
        <v>111.37</v>
      </c>
      <c r="D97" s="116">
        <v>110</v>
      </c>
      <c r="E97" s="116">
        <v>113.59</v>
      </c>
      <c r="F97" s="116">
        <v>556.85</v>
      </c>
      <c r="G97">
        <v>37753</v>
      </c>
      <c r="H97" s="116"/>
      <c r="I97" s="116"/>
      <c r="L97" s="170">
        <v>42860</v>
      </c>
      <c r="M97" s="116">
        <v>111.67</v>
      </c>
      <c r="N97" s="116">
        <v>113.78</v>
      </c>
      <c r="O97" s="116">
        <v>110</v>
      </c>
      <c r="P97" s="116">
        <v>112.96</v>
      </c>
      <c r="Q97" s="116">
        <v>558.35</v>
      </c>
      <c r="R97">
        <v>142483</v>
      </c>
    </row>
    <row r="98" spans="1:18" x14ac:dyDescent="0.25">
      <c r="A98" s="170">
        <v>42863</v>
      </c>
      <c r="B98" s="116">
        <v>113.2</v>
      </c>
      <c r="C98" s="116">
        <v>112.08</v>
      </c>
      <c r="D98" s="116">
        <v>111.2</v>
      </c>
      <c r="E98" s="116">
        <v>111.37</v>
      </c>
      <c r="F98" s="116">
        <v>560.4</v>
      </c>
      <c r="G98">
        <v>16938</v>
      </c>
      <c r="H98" s="116"/>
      <c r="I98" s="116"/>
      <c r="L98" s="170">
        <v>42863</v>
      </c>
      <c r="M98" s="116">
        <v>112</v>
      </c>
      <c r="N98" s="116">
        <v>113.36</v>
      </c>
      <c r="O98" s="116">
        <v>110.6</v>
      </c>
      <c r="P98" s="116">
        <v>110.6</v>
      </c>
      <c r="Q98" s="116">
        <v>560</v>
      </c>
      <c r="R98">
        <v>126816</v>
      </c>
    </row>
    <row r="99" spans="1:18" x14ac:dyDescent="0.25">
      <c r="A99" s="170">
        <v>42864</v>
      </c>
      <c r="B99" s="116">
        <v>112.94</v>
      </c>
      <c r="C99" s="116">
        <v>111.23</v>
      </c>
      <c r="D99" s="116">
        <v>110.6</v>
      </c>
      <c r="E99" s="116">
        <v>112</v>
      </c>
      <c r="F99" s="116">
        <v>556.15</v>
      </c>
      <c r="G99">
        <v>9327</v>
      </c>
      <c r="H99" s="116"/>
      <c r="I99" s="116"/>
      <c r="L99" s="170">
        <v>42864</v>
      </c>
      <c r="M99" s="116">
        <v>111.55</v>
      </c>
      <c r="N99" s="116">
        <v>113</v>
      </c>
      <c r="O99" s="116">
        <v>110.44</v>
      </c>
      <c r="P99" s="116">
        <v>113</v>
      </c>
      <c r="Q99" s="116">
        <v>557.75</v>
      </c>
      <c r="R99">
        <v>70905</v>
      </c>
    </row>
    <row r="100" spans="1:18" x14ac:dyDescent="0.25">
      <c r="A100" s="170">
        <v>42865</v>
      </c>
      <c r="B100" s="116">
        <v>112.68</v>
      </c>
      <c r="C100" s="116">
        <v>111.18</v>
      </c>
      <c r="D100" s="116">
        <v>110.57</v>
      </c>
      <c r="E100" s="116">
        <v>111.98</v>
      </c>
      <c r="F100" s="116">
        <v>555.9</v>
      </c>
      <c r="G100">
        <v>9563</v>
      </c>
      <c r="H100" s="116"/>
      <c r="I100" s="116"/>
      <c r="L100" s="170">
        <v>42865</v>
      </c>
      <c r="M100" s="116">
        <v>110.96</v>
      </c>
      <c r="N100" s="116">
        <v>113</v>
      </c>
      <c r="O100" s="116">
        <v>110.39</v>
      </c>
      <c r="P100" s="116">
        <v>111.2</v>
      </c>
      <c r="Q100" s="116">
        <v>554.79999999999995</v>
      </c>
      <c r="R100">
        <v>61046</v>
      </c>
    </row>
    <row r="101" spans="1:18" x14ac:dyDescent="0.25">
      <c r="A101" s="170">
        <v>42866</v>
      </c>
      <c r="B101" s="116">
        <v>112.16</v>
      </c>
      <c r="C101" s="116">
        <v>110.45</v>
      </c>
      <c r="D101" s="116">
        <v>110.2</v>
      </c>
      <c r="E101" s="116">
        <v>111.59</v>
      </c>
      <c r="F101" s="116">
        <v>552.25</v>
      </c>
      <c r="G101">
        <v>9565</v>
      </c>
      <c r="H101" s="116"/>
      <c r="I101" s="116"/>
      <c r="L101" s="170">
        <v>42866</v>
      </c>
      <c r="M101" s="116">
        <v>110.67</v>
      </c>
      <c r="N101" s="116">
        <v>112.48</v>
      </c>
      <c r="O101" s="116">
        <v>110.2</v>
      </c>
      <c r="P101" s="116">
        <v>111</v>
      </c>
      <c r="Q101" s="116">
        <v>553.35</v>
      </c>
      <c r="R101">
        <v>34774</v>
      </c>
    </row>
    <row r="102" spans="1:18" x14ac:dyDescent="0.25">
      <c r="A102" s="170">
        <v>42867</v>
      </c>
      <c r="B102" s="116">
        <v>113</v>
      </c>
      <c r="C102" s="116">
        <v>111.32</v>
      </c>
      <c r="D102" s="116">
        <v>110.16</v>
      </c>
      <c r="E102" s="116">
        <v>113</v>
      </c>
      <c r="F102" s="116">
        <v>556.6</v>
      </c>
      <c r="G102">
        <v>10387</v>
      </c>
      <c r="H102" s="116"/>
      <c r="I102" s="116"/>
      <c r="L102" s="170">
        <v>42867</v>
      </c>
      <c r="M102" s="116">
        <v>111.42</v>
      </c>
      <c r="N102" s="116">
        <v>112</v>
      </c>
      <c r="O102" s="116">
        <v>110.02</v>
      </c>
      <c r="P102" s="116">
        <v>110.67</v>
      </c>
      <c r="Q102" s="116">
        <v>557.1</v>
      </c>
      <c r="R102">
        <v>55107</v>
      </c>
    </row>
    <row r="103" spans="1:18" x14ac:dyDescent="0.25">
      <c r="A103" s="170">
        <v>42870</v>
      </c>
      <c r="B103" s="116">
        <v>112.58</v>
      </c>
      <c r="C103" s="116">
        <v>110.29</v>
      </c>
      <c r="D103" s="116">
        <v>110</v>
      </c>
      <c r="E103" s="116">
        <v>112.58</v>
      </c>
      <c r="F103" s="116">
        <v>551.45000000000005</v>
      </c>
      <c r="G103">
        <v>12245</v>
      </c>
      <c r="H103" s="116"/>
      <c r="I103" s="116"/>
      <c r="L103" s="170">
        <v>42870</v>
      </c>
      <c r="M103" s="116">
        <v>110.5</v>
      </c>
      <c r="N103" s="116">
        <v>112.6</v>
      </c>
      <c r="O103" s="116">
        <v>110</v>
      </c>
      <c r="P103" s="116">
        <v>112</v>
      </c>
      <c r="Q103" s="116">
        <v>552.5</v>
      </c>
      <c r="R103">
        <v>83271</v>
      </c>
    </row>
    <row r="104" spans="1:18" x14ac:dyDescent="0.25">
      <c r="A104" s="170">
        <v>42871</v>
      </c>
      <c r="B104" s="116">
        <v>116.1</v>
      </c>
      <c r="C104" s="116">
        <v>115.41</v>
      </c>
      <c r="D104" s="116">
        <v>111.6</v>
      </c>
      <c r="E104" s="116">
        <v>111.6</v>
      </c>
      <c r="F104" s="116">
        <v>577.04999999999995</v>
      </c>
      <c r="G104">
        <v>43279</v>
      </c>
      <c r="H104" s="116"/>
      <c r="I104" s="116"/>
      <c r="L104" s="170">
        <v>42871</v>
      </c>
      <c r="M104" s="116">
        <v>115.43</v>
      </c>
      <c r="N104" s="116">
        <v>116.18</v>
      </c>
      <c r="O104" s="116">
        <v>111.83</v>
      </c>
      <c r="P104" s="116">
        <v>112.2</v>
      </c>
      <c r="Q104" s="116">
        <v>577.15</v>
      </c>
      <c r="R104">
        <v>229966</v>
      </c>
    </row>
    <row r="105" spans="1:18" x14ac:dyDescent="0.25">
      <c r="A105" s="170">
        <v>42872</v>
      </c>
      <c r="B105" s="116">
        <v>116.78</v>
      </c>
      <c r="C105" s="116">
        <v>115.09</v>
      </c>
      <c r="D105" s="116">
        <v>114.42</v>
      </c>
      <c r="E105" s="116">
        <v>116.78</v>
      </c>
      <c r="F105" s="116">
        <v>575.45000000000005</v>
      </c>
      <c r="G105">
        <v>13970</v>
      </c>
      <c r="H105" s="116"/>
      <c r="I105" s="116"/>
      <c r="L105" s="170">
        <v>42872</v>
      </c>
      <c r="M105" s="116">
        <v>115.4</v>
      </c>
      <c r="N105" s="116">
        <v>116.66</v>
      </c>
      <c r="O105" s="116">
        <v>114.37</v>
      </c>
      <c r="P105" s="116">
        <v>116.35</v>
      </c>
      <c r="Q105" s="116">
        <v>577</v>
      </c>
      <c r="R105">
        <v>109747</v>
      </c>
    </row>
    <row r="106" spans="1:18" x14ac:dyDescent="0.25">
      <c r="A106" s="170">
        <v>42873</v>
      </c>
      <c r="B106" s="116">
        <v>118.8</v>
      </c>
      <c r="C106" s="116">
        <v>112.56</v>
      </c>
      <c r="D106" s="116">
        <v>111.85</v>
      </c>
      <c r="E106" s="116">
        <v>115</v>
      </c>
      <c r="F106" s="116">
        <v>562.79999999999995</v>
      </c>
      <c r="G106">
        <v>44178</v>
      </c>
      <c r="H106" s="116"/>
      <c r="I106" s="116"/>
      <c r="L106" s="170">
        <v>42873</v>
      </c>
      <c r="M106" s="116">
        <v>111.93</v>
      </c>
      <c r="N106" s="116">
        <v>118.78</v>
      </c>
      <c r="O106" s="116">
        <v>110.2</v>
      </c>
      <c r="P106" s="116">
        <v>114.98</v>
      </c>
      <c r="Q106" s="116">
        <v>559.65</v>
      </c>
      <c r="R106">
        <v>257416</v>
      </c>
    </row>
    <row r="107" spans="1:18" x14ac:dyDescent="0.25">
      <c r="A107" s="170">
        <v>42874</v>
      </c>
      <c r="B107" s="116">
        <v>115.2</v>
      </c>
      <c r="C107" s="116">
        <v>109.93</v>
      </c>
      <c r="D107" s="116">
        <v>108</v>
      </c>
      <c r="E107" s="116">
        <v>114.38</v>
      </c>
      <c r="F107" s="116">
        <v>549.65</v>
      </c>
      <c r="G107">
        <v>34351</v>
      </c>
      <c r="H107" s="116"/>
      <c r="I107" s="116"/>
      <c r="L107" s="170">
        <v>42874</v>
      </c>
      <c r="M107" s="116">
        <v>109.88</v>
      </c>
      <c r="N107" s="116">
        <v>116</v>
      </c>
      <c r="O107" s="116">
        <v>108</v>
      </c>
      <c r="P107" s="116">
        <v>115.4</v>
      </c>
      <c r="Q107" s="116">
        <v>549.4</v>
      </c>
      <c r="R107">
        <v>225346</v>
      </c>
    </row>
    <row r="108" spans="1:18" x14ac:dyDescent="0.25">
      <c r="A108" s="170">
        <v>42877</v>
      </c>
      <c r="B108" s="116">
        <v>113.81</v>
      </c>
      <c r="C108" s="116">
        <v>109.31</v>
      </c>
      <c r="D108" s="116">
        <v>109</v>
      </c>
      <c r="E108" s="116">
        <v>110</v>
      </c>
      <c r="F108" s="116">
        <v>546.54999999999995</v>
      </c>
      <c r="G108">
        <v>33936</v>
      </c>
      <c r="H108" s="116"/>
      <c r="I108" s="116"/>
      <c r="L108" s="170">
        <v>42877</v>
      </c>
      <c r="M108" s="116">
        <v>109.72</v>
      </c>
      <c r="N108" s="116">
        <v>114</v>
      </c>
      <c r="O108" s="116">
        <v>109.51</v>
      </c>
      <c r="P108" s="116">
        <v>112</v>
      </c>
      <c r="Q108" s="116">
        <v>548.6</v>
      </c>
      <c r="R108">
        <v>195302</v>
      </c>
    </row>
    <row r="109" spans="1:18" x14ac:dyDescent="0.25">
      <c r="A109" s="170">
        <v>42878</v>
      </c>
      <c r="B109" s="116">
        <v>111.8</v>
      </c>
      <c r="C109" s="116">
        <v>109.84</v>
      </c>
      <c r="D109" s="116">
        <v>107</v>
      </c>
      <c r="E109" s="116">
        <v>109.95</v>
      </c>
      <c r="F109" s="116">
        <v>549.20000000000005</v>
      </c>
      <c r="G109">
        <v>25314</v>
      </c>
      <c r="H109" s="116"/>
      <c r="I109" s="116"/>
      <c r="L109" s="170">
        <v>42878</v>
      </c>
      <c r="M109" s="116">
        <v>109.98</v>
      </c>
      <c r="N109" s="116">
        <v>112.1</v>
      </c>
      <c r="O109" s="116">
        <v>107</v>
      </c>
      <c r="P109" s="116">
        <v>110.02</v>
      </c>
      <c r="Q109" s="116">
        <v>549.9</v>
      </c>
      <c r="R109">
        <v>189518</v>
      </c>
    </row>
    <row r="110" spans="1:18" x14ac:dyDescent="0.25">
      <c r="A110" s="170">
        <v>42879</v>
      </c>
      <c r="B110" s="116">
        <v>111.2</v>
      </c>
      <c r="C110" s="116">
        <v>105.65</v>
      </c>
      <c r="D110" s="116">
        <v>104.83</v>
      </c>
      <c r="E110" s="116">
        <v>110.6</v>
      </c>
      <c r="F110" s="116">
        <v>528.25</v>
      </c>
      <c r="G110">
        <v>23859</v>
      </c>
      <c r="H110" s="116"/>
      <c r="I110" s="116"/>
      <c r="L110" s="170">
        <v>42879</v>
      </c>
      <c r="M110" s="116">
        <v>105.44</v>
      </c>
      <c r="N110" s="116">
        <v>111.09</v>
      </c>
      <c r="O110" s="116">
        <v>105</v>
      </c>
      <c r="P110" s="116">
        <v>110</v>
      </c>
      <c r="Q110" s="116">
        <v>527.20000000000005</v>
      </c>
      <c r="R110">
        <v>135315</v>
      </c>
    </row>
    <row r="111" spans="1:18" x14ac:dyDescent="0.25">
      <c r="A111" s="170">
        <v>42880</v>
      </c>
      <c r="B111" s="116">
        <v>110</v>
      </c>
      <c r="C111" s="116">
        <v>109.67</v>
      </c>
      <c r="D111" s="116">
        <v>106.39</v>
      </c>
      <c r="E111" s="116">
        <v>106.39</v>
      </c>
      <c r="F111" s="116">
        <v>548.35</v>
      </c>
      <c r="G111">
        <v>14312</v>
      </c>
      <c r="H111" s="116"/>
      <c r="I111" s="116"/>
      <c r="L111" s="170">
        <v>42880</v>
      </c>
      <c r="M111" s="116">
        <v>109.81</v>
      </c>
      <c r="N111" s="116">
        <v>110.4</v>
      </c>
      <c r="O111" s="116">
        <v>105.71</v>
      </c>
      <c r="P111" s="116">
        <v>106.2</v>
      </c>
      <c r="Q111" s="116">
        <v>549.04999999999995</v>
      </c>
      <c r="R111">
        <v>72260</v>
      </c>
    </row>
    <row r="112" spans="1:18" x14ac:dyDescent="0.25">
      <c r="A112" s="170">
        <v>42881</v>
      </c>
      <c r="B112" s="116">
        <v>111.48</v>
      </c>
      <c r="C112" s="116">
        <v>110.99</v>
      </c>
      <c r="D112" s="116">
        <v>109.42</v>
      </c>
      <c r="E112" s="116">
        <v>110</v>
      </c>
      <c r="F112" s="116">
        <v>554.95000000000005</v>
      </c>
      <c r="G112">
        <v>9577</v>
      </c>
      <c r="H112" s="116"/>
      <c r="I112" s="116"/>
      <c r="L112" s="170">
        <v>42881</v>
      </c>
      <c r="M112" s="116">
        <v>111.18</v>
      </c>
      <c r="N112" s="116">
        <v>111.71</v>
      </c>
      <c r="O112" s="116">
        <v>108.81</v>
      </c>
      <c r="P112" s="116">
        <v>110.39</v>
      </c>
      <c r="Q112" s="116">
        <v>555.9</v>
      </c>
      <c r="R112">
        <v>59700</v>
      </c>
    </row>
    <row r="113" spans="1:18" x14ac:dyDescent="0.25">
      <c r="A113" s="170">
        <v>42884</v>
      </c>
      <c r="B113" s="116">
        <v>112</v>
      </c>
      <c r="C113" s="116">
        <v>108.33</v>
      </c>
      <c r="D113" s="116">
        <v>107.8</v>
      </c>
      <c r="E113" s="116">
        <v>111.01</v>
      </c>
      <c r="F113" s="116">
        <v>541.65</v>
      </c>
      <c r="G113">
        <v>12066</v>
      </c>
      <c r="H113" s="116"/>
      <c r="I113" s="116"/>
      <c r="L113" s="170">
        <v>42884</v>
      </c>
      <c r="M113" s="116">
        <v>108.14</v>
      </c>
      <c r="N113" s="116">
        <v>112.29</v>
      </c>
      <c r="O113" s="116">
        <v>107.66</v>
      </c>
      <c r="P113" s="116">
        <v>111.6</v>
      </c>
      <c r="Q113" s="116">
        <v>540.70000000000005</v>
      </c>
      <c r="R113">
        <v>93737</v>
      </c>
    </row>
    <row r="114" spans="1:18" x14ac:dyDescent="0.25">
      <c r="A114" s="170">
        <v>42885</v>
      </c>
      <c r="B114" s="116">
        <v>109.98</v>
      </c>
      <c r="C114" s="116">
        <v>109.36</v>
      </c>
      <c r="D114" s="116">
        <v>106.26</v>
      </c>
      <c r="E114" s="116">
        <v>109.97</v>
      </c>
      <c r="F114" s="116">
        <v>546.79999999999995</v>
      </c>
      <c r="G114">
        <v>3358</v>
      </c>
      <c r="H114" s="116"/>
      <c r="I114" s="116"/>
      <c r="L114" s="170">
        <v>42885</v>
      </c>
      <c r="M114" s="116">
        <v>109.61</v>
      </c>
      <c r="N114" s="116">
        <v>110.19</v>
      </c>
      <c r="O114" s="116">
        <v>105.72</v>
      </c>
      <c r="P114" s="116">
        <v>108</v>
      </c>
      <c r="Q114" s="116">
        <v>548.04999999999995</v>
      </c>
      <c r="R114">
        <v>38490</v>
      </c>
    </row>
    <row r="115" spans="1:18" x14ac:dyDescent="0.25">
      <c r="A115" s="170">
        <v>42886</v>
      </c>
      <c r="B115" s="116">
        <v>115.12</v>
      </c>
      <c r="C115" s="116">
        <v>113.83</v>
      </c>
      <c r="D115" s="116">
        <v>109.51</v>
      </c>
      <c r="E115" s="116">
        <v>110.18</v>
      </c>
      <c r="F115" s="116">
        <v>569.15</v>
      </c>
      <c r="G115">
        <v>17473</v>
      </c>
      <c r="H115" s="116"/>
      <c r="I115" s="116"/>
      <c r="L115" s="170">
        <v>42886</v>
      </c>
      <c r="M115" s="116">
        <v>114.5</v>
      </c>
      <c r="N115" s="116">
        <v>115.6</v>
      </c>
      <c r="O115" s="116">
        <v>109.08</v>
      </c>
      <c r="P115" s="116">
        <v>109.6</v>
      </c>
      <c r="Q115" s="116">
        <v>572.5</v>
      </c>
      <c r="R115">
        <v>396648</v>
      </c>
    </row>
    <row r="116" spans="1:18" x14ac:dyDescent="0.25">
      <c r="A116" s="170">
        <v>42887</v>
      </c>
      <c r="B116" s="116">
        <v>119.6</v>
      </c>
      <c r="C116" s="116">
        <v>117.42</v>
      </c>
      <c r="D116" s="116">
        <v>115.36</v>
      </c>
      <c r="E116" s="116">
        <v>115.6</v>
      </c>
      <c r="F116" s="116">
        <v>587.1</v>
      </c>
      <c r="G116">
        <v>36312</v>
      </c>
      <c r="H116" s="116"/>
      <c r="I116" s="116"/>
      <c r="L116" s="170">
        <v>42887</v>
      </c>
      <c r="M116" s="116">
        <v>117.84</v>
      </c>
      <c r="N116" s="116">
        <v>119.8</v>
      </c>
      <c r="O116" s="116">
        <v>114.84</v>
      </c>
      <c r="P116" s="116">
        <v>115</v>
      </c>
      <c r="Q116" s="116">
        <v>589.20000000000005</v>
      </c>
      <c r="R116">
        <v>264788</v>
      </c>
    </row>
    <row r="117" spans="1:18" x14ac:dyDescent="0.25">
      <c r="A117" s="170">
        <v>42888</v>
      </c>
      <c r="B117" s="116">
        <v>123.57</v>
      </c>
      <c r="C117" s="116">
        <v>119.93</v>
      </c>
      <c r="D117" s="116">
        <v>117</v>
      </c>
      <c r="E117" s="116">
        <v>119.4</v>
      </c>
      <c r="F117" s="116">
        <v>599.65</v>
      </c>
      <c r="G117">
        <v>61540</v>
      </c>
      <c r="H117" s="116"/>
      <c r="I117" s="116"/>
      <c r="L117" s="170">
        <v>42888</v>
      </c>
      <c r="M117" s="116">
        <v>120.15</v>
      </c>
      <c r="N117" s="116">
        <v>123.66</v>
      </c>
      <c r="O117" s="116">
        <v>117.2</v>
      </c>
      <c r="P117" s="116">
        <v>118.99</v>
      </c>
      <c r="Q117" s="116">
        <v>600.75</v>
      </c>
      <c r="R117">
        <v>404768</v>
      </c>
    </row>
    <row r="118" spans="1:18" x14ac:dyDescent="0.25">
      <c r="A118" s="170">
        <v>42891</v>
      </c>
      <c r="B118" s="116">
        <v>123.02</v>
      </c>
      <c r="C118" s="116">
        <v>120.49</v>
      </c>
      <c r="D118" s="116">
        <v>119.25</v>
      </c>
      <c r="E118" s="116">
        <v>120.8</v>
      </c>
      <c r="F118" s="116">
        <v>602.45000000000005</v>
      </c>
      <c r="G118">
        <v>17256</v>
      </c>
      <c r="H118" s="116"/>
      <c r="I118" s="116"/>
      <c r="L118" s="170">
        <v>42891</v>
      </c>
      <c r="M118" s="116">
        <v>120.69</v>
      </c>
      <c r="N118" s="116">
        <v>123.23</v>
      </c>
      <c r="O118" s="116">
        <v>119.28</v>
      </c>
      <c r="P118" s="116">
        <v>120.74</v>
      </c>
      <c r="Q118" s="116">
        <v>603.45000000000005</v>
      </c>
      <c r="R118">
        <v>193515</v>
      </c>
    </row>
    <row r="119" spans="1:18" x14ac:dyDescent="0.25">
      <c r="A119" s="170">
        <v>42892</v>
      </c>
      <c r="B119" s="116">
        <v>122.25</v>
      </c>
      <c r="C119" s="116">
        <v>120.04</v>
      </c>
      <c r="D119" s="116">
        <v>119.42</v>
      </c>
      <c r="E119" s="116">
        <v>121.2</v>
      </c>
      <c r="F119" s="116">
        <v>600.20000000000005</v>
      </c>
      <c r="G119">
        <v>19307</v>
      </c>
      <c r="H119" s="116"/>
      <c r="I119" s="116"/>
      <c r="L119" s="170">
        <v>42892</v>
      </c>
      <c r="M119" s="116">
        <v>120.46</v>
      </c>
      <c r="N119" s="116">
        <v>122.4</v>
      </c>
      <c r="O119" s="116">
        <v>119.4</v>
      </c>
      <c r="P119" s="116">
        <v>121.76</v>
      </c>
      <c r="Q119" s="116">
        <v>602.29999999999995</v>
      </c>
      <c r="R119">
        <v>118457</v>
      </c>
    </row>
    <row r="120" spans="1:18" x14ac:dyDescent="0.25">
      <c r="A120" s="170">
        <v>42893</v>
      </c>
      <c r="B120" s="116">
        <v>123.6</v>
      </c>
      <c r="C120" s="116">
        <v>122.01</v>
      </c>
      <c r="D120" s="116">
        <v>120.41</v>
      </c>
      <c r="E120" s="116">
        <v>120.79</v>
      </c>
      <c r="F120" s="116">
        <v>610.04999999999995</v>
      </c>
      <c r="G120">
        <v>19640</v>
      </c>
      <c r="H120" s="116"/>
      <c r="I120" s="116"/>
      <c r="L120" s="170">
        <v>42893</v>
      </c>
      <c r="M120" s="116">
        <v>122.28</v>
      </c>
      <c r="N120" s="116">
        <v>123.94</v>
      </c>
      <c r="O120" s="116">
        <v>120.4</v>
      </c>
      <c r="P120" s="116">
        <v>120.63</v>
      </c>
      <c r="Q120" s="116">
        <v>611.4</v>
      </c>
      <c r="R120">
        <v>203841</v>
      </c>
    </row>
    <row r="121" spans="1:18" x14ac:dyDescent="0.25">
      <c r="A121" s="170">
        <v>42894</v>
      </c>
      <c r="B121" s="116">
        <v>125.8</v>
      </c>
      <c r="C121" s="116">
        <v>124</v>
      </c>
      <c r="D121" s="116">
        <v>122.22</v>
      </c>
      <c r="E121" s="116">
        <v>122.8</v>
      </c>
      <c r="F121" s="116">
        <v>620</v>
      </c>
      <c r="G121">
        <v>52863</v>
      </c>
      <c r="H121" s="116"/>
      <c r="I121" s="116"/>
      <c r="L121" s="170">
        <v>42894</v>
      </c>
      <c r="M121" s="116">
        <v>122.74</v>
      </c>
      <c r="N121" s="116">
        <v>125.81</v>
      </c>
      <c r="O121" s="116">
        <v>113.84</v>
      </c>
      <c r="P121" s="116">
        <v>123.09</v>
      </c>
      <c r="Q121" s="116">
        <v>613.70000000000005</v>
      </c>
      <c r="R121">
        <v>272605</v>
      </c>
    </row>
    <row r="122" spans="1:18" x14ac:dyDescent="0.25">
      <c r="A122" s="170">
        <v>42895</v>
      </c>
      <c r="B122" s="116">
        <v>126.4</v>
      </c>
      <c r="C122" s="116">
        <v>124.68</v>
      </c>
      <c r="D122" s="116">
        <v>123</v>
      </c>
      <c r="E122" s="116">
        <v>124</v>
      </c>
      <c r="F122" s="116">
        <v>623.4</v>
      </c>
      <c r="G122">
        <v>29651</v>
      </c>
      <c r="H122" s="116"/>
      <c r="I122" s="116"/>
      <c r="L122" s="170">
        <v>42895</v>
      </c>
      <c r="M122" s="116">
        <v>124.91</v>
      </c>
      <c r="N122" s="116">
        <v>126.56</v>
      </c>
      <c r="O122" s="116">
        <v>122.97</v>
      </c>
      <c r="P122" s="116">
        <v>123.2</v>
      </c>
      <c r="Q122" s="116">
        <v>624.54999999999995</v>
      </c>
      <c r="R122">
        <v>192480</v>
      </c>
    </row>
    <row r="123" spans="1:18" x14ac:dyDescent="0.25">
      <c r="A123" s="170">
        <v>42898</v>
      </c>
      <c r="B123" s="116">
        <v>126.8</v>
      </c>
      <c r="C123" s="116">
        <v>123.91</v>
      </c>
      <c r="D123" s="116">
        <v>123.42</v>
      </c>
      <c r="E123" s="116">
        <v>124.79</v>
      </c>
      <c r="F123" s="116">
        <v>619.54999999999995</v>
      </c>
      <c r="G123">
        <v>22662</v>
      </c>
      <c r="H123" s="116"/>
      <c r="I123" s="116"/>
      <c r="L123" s="170">
        <v>42898</v>
      </c>
      <c r="M123" s="116">
        <v>124.09</v>
      </c>
      <c r="N123" s="116">
        <v>126.9</v>
      </c>
      <c r="O123" s="116">
        <v>123.65</v>
      </c>
      <c r="P123" s="116">
        <v>124.98</v>
      </c>
      <c r="Q123" s="116">
        <v>620.45000000000005</v>
      </c>
      <c r="R123">
        <v>152072</v>
      </c>
    </row>
    <row r="124" spans="1:18" x14ac:dyDescent="0.25">
      <c r="A124" s="170">
        <v>42899</v>
      </c>
      <c r="B124" s="116">
        <v>125</v>
      </c>
      <c r="C124" s="116">
        <v>123.68</v>
      </c>
      <c r="D124" s="116">
        <v>123.46</v>
      </c>
      <c r="E124" s="116">
        <v>124.95</v>
      </c>
      <c r="F124" s="116">
        <v>618.4</v>
      </c>
      <c r="G124">
        <v>5729</v>
      </c>
      <c r="H124" s="116"/>
      <c r="I124" s="116"/>
      <c r="L124" s="170">
        <v>42899</v>
      </c>
      <c r="M124" s="116">
        <v>124.03</v>
      </c>
      <c r="N124" s="116">
        <v>125.5</v>
      </c>
      <c r="O124" s="116">
        <v>123.25</v>
      </c>
      <c r="P124" s="116">
        <v>125.5</v>
      </c>
      <c r="Q124" s="116">
        <v>620.15</v>
      </c>
      <c r="R124">
        <v>126095</v>
      </c>
    </row>
    <row r="125" spans="1:18" x14ac:dyDescent="0.25">
      <c r="A125" s="170">
        <v>42900</v>
      </c>
      <c r="B125" s="116">
        <v>123.6</v>
      </c>
      <c r="C125" s="116">
        <v>121.52</v>
      </c>
      <c r="D125" s="116">
        <v>121</v>
      </c>
      <c r="E125" s="116">
        <v>123.6</v>
      </c>
      <c r="F125" s="116">
        <v>607.6</v>
      </c>
      <c r="G125">
        <v>7113</v>
      </c>
      <c r="H125" s="116"/>
      <c r="I125" s="116"/>
      <c r="L125" s="170">
        <v>42900</v>
      </c>
      <c r="M125" s="116">
        <v>121.64</v>
      </c>
      <c r="N125" s="116">
        <v>124.2</v>
      </c>
      <c r="O125" s="116">
        <v>121.09</v>
      </c>
      <c r="P125" s="116">
        <v>124</v>
      </c>
      <c r="Q125" s="116">
        <v>608.20000000000005</v>
      </c>
      <c r="R125">
        <v>94803</v>
      </c>
    </row>
    <row r="126" spans="1:18" x14ac:dyDescent="0.25">
      <c r="A126" s="170">
        <v>42901</v>
      </c>
      <c r="B126" s="116">
        <v>122.2</v>
      </c>
      <c r="C126" s="116">
        <v>119.44</v>
      </c>
      <c r="D126" s="116">
        <v>119</v>
      </c>
      <c r="E126" s="116">
        <v>121.6</v>
      </c>
      <c r="F126" s="116">
        <v>597.20000000000005</v>
      </c>
      <c r="G126">
        <v>12011</v>
      </c>
      <c r="H126" s="116"/>
      <c r="I126" s="116"/>
      <c r="L126" s="170">
        <v>42901</v>
      </c>
      <c r="M126" s="116">
        <v>119.2</v>
      </c>
      <c r="N126" s="116">
        <v>122.4</v>
      </c>
      <c r="O126" s="116">
        <v>118.7</v>
      </c>
      <c r="P126" s="116">
        <v>122.4</v>
      </c>
      <c r="Q126" s="116">
        <v>596</v>
      </c>
      <c r="R126">
        <v>116043</v>
      </c>
    </row>
    <row r="127" spans="1:18" x14ac:dyDescent="0.25">
      <c r="A127" s="170">
        <v>42902</v>
      </c>
      <c r="B127" s="116">
        <v>123.78</v>
      </c>
      <c r="C127" s="116">
        <v>120.68</v>
      </c>
      <c r="D127" s="116">
        <v>118.75</v>
      </c>
      <c r="E127" s="116">
        <v>120.4</v>
      </c>
      <c r="F127" s="116">
        <v>603.4</v>
      </c>
      <c r="G127">
        <v>20304</v>
      </c>
      <c r="H127" s="116"/>
      <c r="I127" s="116"/>
      <c r="L127" s="170">
        <v>42902</v>
      </c>
      <c r="M127" s="116">
        <v>121.06</v>
      </c>
      <c r="N127" s="116">
        <v>123.81</v>
      </c>
      <c r="O127" s="116">
        <v>118.51</v>
      </c>
      <c r="P127" s="116">
        <v>120</v>
      </c>
      <c r="Q127" s="116">
        <v>605.29999999999995</v>
      </c>
      <c r="R127">
        <v>656500</v>
      </c>
    </row>
    <row r="128" spans="1:18" x14ac:dyDescent="0.25">
      <c r="A128" s="170">
        <v>42905</v>
      </c>
      <c r="B128" s="116">
        <v>122.4</v>
      </c>
      <c r="C128" s="116">
        <v>121.46</v>
      </c>
      <c r="D128" s="116">
        <v>119.62</v>
      </c>
      <c r="E128" s="116">
        <v>121.8</v>
      </c>
      <c r="F128" s="116">
        <v>607.29999999999995</v>
      </c>
      <c r="G128">
        <v>10150</v>
      </c>
      <c r="H128" s="116"/>
      <c r="I128" s="116"/>
      <c r="L128" s="170">
        <v>42905</v>
      </c>
      <c r="M128" s="116">
        <v>121.15</v>
      </c>
      <c r="N128" s="116">
        <v>122.66</v>
      </c>
      <c r="O128" s="116">
        <v>119.42</v>
      </c>
      <c r="P128" s="116">
        <v>122.66</v>
      </c>
      <c r="Q128" s="116">
        <v>605.75</v>
      </c>
      <c r="R128">
        <v>48620</v>
      </c>
    </row>
    <row r="129" spans="1:18" x14ac:dyDescent="0.25">
      <c r="A129" s="170">
        <v>42906</v>
      </c>
      <c r="B129" s="116">
        <v>122.28</v>
      </c>
      <c r="C129" s="116">
        <v>120.83</v>
      </c>
      <c r="D129" s="116">
        <v>120.42</v>
      </c>
      <c r="E129" s="116">
        <v>120.6</v>
      </c>
      <c r="F129" s="116">
        <v>604.15</v>
      </c>
      <c r="G129">
        <v>4432</v>
      </c>
      <c r="H129" s="116"/>
      <c r="I129" s="116"/>
      <c r="L129" s="170">
        <v>42906</v>
      </c>
      <c r="M129" s="116">
        <v>121.07</v>
      </c>
      <c r="N129" s="116">
        <v>122.4</v>
      </c>
      <c r="O129" s="116">
        <v>120.2</v>
      </c>
      <c r="P129" s="116">
        <v>120.3</v>
      </c>
      <c r="Q129" s="116">
        <v>605.35</v>
      </c>
      <c r="R129">
        <v>51827</v>
      </c>
    </row>
    <row r="130" spans="1:18" x14ac:dyDescent="0.25">
      <c r="A130" s="170">
        <v>42907</v>
      </c>
      <c r="B130" s="116">
        <v>123.5</v>
      </c>
      <c r="C130" s="116">
        <v>122.54</v>
      </c>
      <c r="D130" s="116">
        <v>120.24</v>
      </c>
      <c r="E130" s="116">
        <v>121.29</v>
      </c>
      <c r="F130" s="116">
        <v>612.70000000000005</v>
      </c>
      <c r="G130">
        <v>12784</v>
      </c>
      <c r="H130" s="116"/>
      <c r="I130" s="116"/>
      <c r="L130" s="170">
        <v>42907</v>
      </c>
      <c r="M130" s="116">
        <v>122.88</v>
      </c>
      <c r="N130" s="116">
        <v>123.55</v>
      </c>
      <c r="O130" s="116">
        <v>120.39</v>
      </c>
      <c r="P130" s="116">
        <v>122.3</v>
      </c>
      <c r="Q130" s="116">
        <v>614.4</v>
      </c>
      <c r="R130">
        <v>87983</v>
      </c>
    </row>
    <row r="131" spans="1:18" x14ac:dyDescent="0.25">
      <c r="A131" s="170">
        <v>42908</v>
      </c>
      <c r="B131" s="116">
        <v>123.8</v>
      </c>
      <c r="C131" s="116">
        <v>120.85</v>
      </c>
      <c r="D131" s="116">
        <v>120.55</v>
      </c>
      <c r="E131" s="116">
        <v>123.38</v>
      </c>
      <c r="F131" s="116">
        <v>604.25</v>
      </c>
      <c r="G131">
        <v>5857</v>
      </c>
      <c r="H131" s="116"/>
      <c r="I131" s="116"/>
      <c r="L131" s="170">
        <v>42908</v>
      </c>
      <c r="M131" s="116">
        <v>121.22</v>
      </c>
      <c r="N131" s="116">
        <v>123.89</v>
      </c>
      <c r="O131" s="116">
        <v>120.9</v>
      </c>
      <c r="P131" s="116">
        <v>123.07</v>
      </c>
      <c r="Q131" s="116">
        <v>606.1</v>
      </c>
      <c r="R131">
        <v>60615</v>
      </c>
    </row>
    <row r="132" spans="1:18" x14ac:dyDescent="0.25">
      <c r="A132" s="170">
        <v>42909</v>
      </c>
      <c r="B132" s="116">
        <v>122.88</v>
      </c>
      <c r="C132" s="116">
        <v>121.41</v>
      </c>
      <c r="D132" s="116">
        <v>121</v>
      </c>
      <c r="E132" s="116">
        <v>121.8</v>
      </c>
      <c r="F132" s="116">
        <v>607.04999999999995</v>
      </c>
      <c r="G132">
        <v>571791</v>
      </c>
      <c r="H132" s="116"/>
      <c r="I132" s="116"/>
      <c r="L132" s="170">
        <v>42909</v>
      </c>
      <c r="M132" s="116">
        <v>121.66</v>
      </c>
      <c r="N132" s="116">
        <v>123.04</v>
      </c>
      <c r="O132" s="116">
        <v>120.81</v>
      </c>
      <c r="P132" s="116">
        <v>121.16</v>
      </c>
      <c r="Q132" s="116">
        <v>608.29999999999995</v>
      </c>
      <c r="R132">
        <v>579750</v>
      </c>
    </row>
    <row r="133" spans="1:18" x14ac:dyDescent="0.25">
      <c r="A133" s="170">
        <v>42913</v>
      </c>
      <c r="B133" s="116">
        <v>123.03</v>
      </c>
      <c r="C133" s="116">
        <v>122.42</v>
      </c>
      <c r="D133" s="116">
        <v>121.03</v>
      </c>
      <c r="E133" s="116">
        <v>122.39</v>
      </c>
      <c r="F133" s="116">
        <v>612.1</v>
      </c>
      <c r="G133">
        <v>7587</v>
      </c>
      <c r="H133" s="116"/>
      <c r="I133" s="116"/>
      <c r="L133" s="170">
        <v>42913</v>
      </c>
      <c r="M133" s="116">
        <v>122.59</v>
      </c>
      <c r="N133" s="116">
        <v>123</v>
      </c>
      <c r="O133" s="116">
        <v>121.02</v>
      </c>
      <c r="P133" s="116">
        <v>123</v>
      </c>
      <c r="Q133" s="116">
        <v>612.95000000000005</v>
      </c>
      <c r="R133">
        <v>53663</v>
      </c>
    </row>
    <row r="134" spans="1:18" x14ac:dyDescent="0.25">
      <c r="A134" s="170">
        <v>42914</v>
      </c>
      <c r="B134" s="116">
        <v>123</v>
      </c>
      <c r="C134" s="116">
        <v>121.83</v>
      </c>
      <c r="D134" s="116">
        <v>121.21</v>
      </c>
      <c r="E134" s="116">
        <v>122.4</v>
      </c>
      <c r="F134" s="116">
        <v>609.15</v>
      </c>
      <c r="G134">
        <v>7116</v>
      </c>
      <c r="H134" s="116"/>
      <c r="I134" s="116"/>
      <c r="L134" s="170">
        <v>42914</v>
      </c>
      <c r="M134" s="116">
        <v>122.06</v>
      </c>
      <c r="N134" s="116">
        <v>123.08</v>
      </c>
      <c r="O134" s="116">
        <v>121.21</v>
      </c>
      <c r="P134" s="116">
        <v>122.59</v>
      </c>
      <c r="Q134" s="116">
        <v>610.29999999999995</v>
      </c>
      <c r="R134">
        <v>147507</v>
      </c>
    </row>
    <row r="135" spans="1:18" x14ac:dyDescent="0.25">
      <c r="A135" s="170">
        <v>42915</v>
      </c>
      <c r="B135" s="116">
        <v>123</v>
      </c>
      <c r="C135" s="116">
        <v>122.64</v>
      </c>
      <c r="D135" s="116">
        <v>122.01</v>
      </c>
      <c r="E135" s="116">
        <v>122.57</v>
      </c>
      <c r="F135" s="116">
        <v>613.20000000000005</v>
      </c>
      <c r="G135">
        <v>5905</v>
      </c>
      <c r="H135" s="116"/>
      <c r="I135" s="116"/>
      <c r="L135" s="170">
        <v>42915</v>
      </c>
      <c r="M135" s="116">
        <v>122.42</v>
      </c>
      <c r="N135" s="116">
        <v>123.06</v>
      </c>
      <c r="O135" s="116">
        <v>122.06</v>
      </c>
      <c r="P135" s="116">
        <v>122.06</v>
      </c>
      <c r="Q135" s="116">
        <v>612.1</v>
      </c>
      <c r="R135">
        <v>97684</v>
      </c>
    </row>
    <row r="136" spans="1:18" x14ac:dyDescent="0.25">
      <c r="A136" s="170">
        <v>42916</v>
      </c>
      <c r="B136" s="116">
        <v>123</v>
      </c>
      <c r="C136" s="116">
        <v>122.88</v>
      </c>
      <c r="D136" s="116">
        <v>121.32</v>
      </c>
      <c r="E136" s="116">
        <v>122</v>
      </c>
      <c r="F136" s="116">
        <v>614.4</v>
      </c>
      <c r="G136">
        <v>10421</v>
      </c>
      <c r="H136" s="116"/>
      <c r="I136" s="116"/>
      <c r="L136" s="170">
        <v>42916</v>
      </c>
      <c r="M136" s="116">
        <v>123.03</v>
      </c>
      <c r="N136" s="116">
        <v>123.4</v>
      </c>
      <c r="O136" s="116">
        <v>121.22</v>
      </c>
      <c r="P136" s="116">
        <v>122.02</v>
      </c>
      <c r="Q136" s="116">
        <v>615.15</v>
      </c>
      <c r="R136">
        <v>67412</v>
      </c>
    </row>
    <row r="137" spans="1:18" x14ac:dyDescent="0.25">
      <c r="A137" s="170">
        <v>42919</v>
      </c>
      <c r="B137" s="116">
        <v>125.95</v>
      </c>
      <c r="C137" s="116">
        <v>125.4</v>
      </c>
      <c r="D137" s="116">
        <v>123.78</v>
      </c>
      <c r="E137" s="116">
        <v>123.78</v>
      </c>
      <c r="F137" s="116">
        <v>627</v>
      </c>
      <c r="G137">
        <v>25443</v>
      </c>
      <c r="H137" s="116"/>
      <c r="I137" s="116"/>
      <c r="L137" s="170">
        <v>42919</v>
      </c>
      <c r="M137" s="116">
        <v>125.68</v>
      </c>
      <c r="N137" s="116">
        <v>126.4</v>
      </c>
      <c r="O137" s="116">
        <v>123.4</v>
      </c>
      <c r="P137" s="116">
        <v>123.4</v>
      </c>
      <c r="Q137" s="116">
        <v>628.4</v>
      </c>
      <c r="R137">
        <v>186102</v>
      </c>
    </row>
    <row r="138" spans="1:18" x14ac:dyDescent="0.25">
      <c r="A138" s="170">
        <v>42920</v>
      </c>
      <c r="B138" s="116">
        <v>126</v>
      </c>
      <c r="C138" s="116">
        <v>125.3</v>
      </c>
      <c r="D138" s="116">
        <v>124.98</v>
      </c>
      <c r="E138" s="116">
        <v>126</v>
      </c>
      <c r="F138" s="116">
        <v>626.5</v>
      </c>
      <c r="G138">
        <v>7358</v>
      </c>
      <c r="H138" s="116"/>
      <c r="I138" s="116"/>
      <c r="L138" s="170">
        <v>42920</v>
      </c>
      <c r="M138" s="116">
        <v>125.48</v>
      </c>
      <c r="N138" s="116">
        <v>127.21</v>
      </c>
      <c r="O138" s="116">
        <v>125.03</v>
      </c>
      <c r="P138" s="116">
        <v>126.88</v>
      </c>
      <c r="Q138" s="116">
        <v>627.4</v>
      </c>
      <c r="R138">
        <v>119085</v>
      </c>
    </row>
    <row r="139" spans="1:18" x14ac:dyDescent="0.25">
      <c r="A139" s="170">
        <v>42921</v>
      </c>
      <c r="B139" s="116">
        <v>125.69</v>
      </c>
      <c r="C139" s="116">
        <v>124.9</v>
      </c>
      <c r="D139" s="116">
        <v>123.29</v>
      </c>
      <c r="E139" s="116">
        <v>124.02</v>
      </c>
      <c r="F139" s="116">
        <v>624.5</v>
      </c>
      <c r="G139">
        <v>10636</v>
      </c>
      <c r="H139" s="116"/>
      <c r="I139" s="116"/>
      <c r="L139" s="170">
        <v>42921</v>
      </c>
      <c r="M139" s="116">
        <v>125.02</v>
      </c>
      <c r="N139" s="116">
        <v>125.81</v>
      </c>
      <c r="O139" s="116">
        <v>123.1</v>
      </c>
      <c r="P139" s="116">
        <v>124.8</v>
      </c>
      <c r="Q139" s="116">
        <v>625.1</v>
      </c>
      <c r="R139">
        <v>228325</v>
      </c>
    </row>
    <row r="140" spans="1:18" x14ac:dyDescent="0.25">
      <c r="A140" s="170">
        <v>42922</v>
      </c>
      <c r="B140" s="116">
        <v>126</v>
      </c>
      <c r="C140" s="116">
        <v>123.84</v>
      </c>
      <c r="D140" s="116">
        <v>123.17</v>
      </c>
      <c r="E140" s="116">
        <v>125.83</v>
      </c>
      <c r="F140" s="116">
        <v>619.20000000000005</v>
      </c>
      <c r="G140">
        <v>7272</v>
      </c>
      <c r="H140" s="116"/>
      <c r="I140" s="116"/>
      <c r="L140" s="170">
        <v>42922</v>
      </c>
      <c r="M140" s="116">
        <v>124.07</v>
      </c>
      <c r="N140" s="116">
        <v>126.1</v>
      </c>
      <c r="O140" s="116">
        <v>123.21</v>
      </c>
      <c r="P140" s="116">
        <v>126.1</v>
      </c>
      <c r="Q140" s="116">
        <v>620.35</v>
      </c>
      <c r="R140">
        <v>113002</v>
      </c>
    </row>
    <row r="141" spans="1:18" x14ac:dyDescent="0.25">
      <c r="A141" s="170">
        <v>42923</v>
      </c>
      <c r="B141" s="116">
        <v>124.8</v>
      </c>
      <c r="C141" s="116">
        <v>123.72</v>
      </c>
      <c r="D141" s="116">
        <v>123.4</v>
      </c>
      <c r="E141" s="116">
        <v>123.63</v>
      </c>
      <c r="F141" s="116">
        <v>618.6</v>
      </c>
      <c r="G141">
        <v>5649</v>
      </c>
      <c r="H141" s="116"/>
      <c r="I141" s="116"/>
      <c r="L141" s="170">
        <v>42923</v>
      </c>
      <c r="M141" s="116">
        <v>123.98</v>
      </c>
      <c r="N141" s="116">
        <v>124.92</v>
      </c>
      <c r="O141" s="116">
        <v>123.16</v>
      </c>
      <c r="P141" s="116">
        <v>124.6</v>
      </c>
      <c r="Q141" s="116">
        <v>619.9</v>
      </c>
      <c r="R141">
        <v>90784</v>
      </c>
    </row>
    <row r="142" spans="1:18" x14ac:dyDescent="0.25">
      <c r="A142" s="170">
        <v>42926</v>
      </c>
      <c r="B142" s="116">
        <v>124.6</v>
      </c>
      <c r="C142" s="116">
        <v>123.52</v>
      </c>
      <c r="D142" s="116">
        <v>120</v>
      </c>
      <c r="E142" s="116">
        <v>120</v>
      </c>
      <c r="F142" s="116">
        <v>617.6</v>
      </c>
      <c r="G142">
        <v>12565</v>
      </c>
      <c r="H142" s="116"/>
      <c r="I142" s="116"/>
      <c r="L142" s="170">
        <v>42926</v>
      </c>
      <c r="M142" s="116">
        <v>123.48</v>
      </c>
      <c r="N142" s="116">
        <v>128</v>
      </c>
      <c r="O142" s="116">
        <v>121.62</v>
      </c>
      <c r="P142" s="116">
        <v>123.5</v>
      </c>
      <c r="Q142" s="116">
        <v>617.4</v>
      </c>
      <c r="R142">
        <v>10047</v>
      </c>
    </row>
    <row r="143" spans="1:18" x14ac:dyDescent="0.25">
      <c r="A143" s="170">
        <v>42927</v>
      </c>
      <c r="B143" s="116">
        <v>123.98</v>
      </c>
      <c r="C143" s="116">
        <v>120.75</v>
      </c>
      <c r="D143" s="116">
        <v>120.2</v>
      </c>
      <c r="E143" s="116">
        <v>123.6</v>
      </c>
      <c r="F143" s="116">
        <v>603.75</v>
      </c>
      <c r="G143">
        <v>24000</v>
      </c>
      <c r="H143" s="116"/>
      <c r="I143" s="116"/>
      <c r="L143" s="170">
        <v>42927</v>
      </c>
      <c r="M143" s="116">
        <v>120.76</v>
      </c>
      <c r="N143" s="116">
        <v>124.12</v>
      </c>
      <c r="O143" s="116">
        <v>120.22</v>
      </c>
      <c r="P143" s="116">
        <v>123.5</v>
      </c>
      <c r="Q143" s="116">
        <v>603.79999999999995</v>
      </c>
      <c r="R143">
        <v>303391</v>
      </c>
    </row>
    <row r="144" spans="1:18" x14ac:dyDescent="0.25">
      <c r="A144" s="170">
        <v>42928</v>
      </c>
      <c r="B144" s="116">
        <v>123.98</v>
      </c>
      <c r="C144" s="116">
        <v>119.35</v>
      </c>
      <c r="D144" s="116">
        <v>119</v>
      </c>
      <c r="E144" s="116">
        <v>121.25</v>
      </c>
      <c r="F144" s="116">
        <v>596.75</v>
      </c>
      <c r="G144">
        <v>11822</v>
      </c>
      <c r="H144" s="116"/>
      <c r="I144" s="116"/>
      <c r="L144" s="170">
        <v>42928</v>
      </c>
      <c r="M144" s="116">
        <v>119.51</v>
      </c>
      <c r="N144" s="116">
        <v>122.24</v>
      </c>
      <c r="O144" s="116">
        <v>118.94</v>
      </c>
      <c r="P144" s="116">
        <v>121.89</v>
      </c>
      <c r="Q144" s="116">
        <v>597.54999999999995</v>
      </c>
      <c r="R144">
        <v>113987</v>
      </c>
    </row>
    <row r="145" spans="1:18" x14ac:dyDescent="0.25">
      <c r="A145" s="170">
        <v>42929</v>
      </c>
      <c r="B145" s="116">
        <v>124.6</v>
      </c>
      <c r="C145" s="116">
        <v>121.88</v>
      </c>
      <c r="D145" s="116">
        <v>120.18</v>
      </c>
      <c r="E145" s="116">
        <v>120.38</v>
      </c>
      <c r="F145" s="116">
        <v>609.4</v>
      </c>
      <c r="G145">
        <v>15368</v>
      </c>
      <c r="H145" s="116"/>
      <c r="I145" s="116"/>
      <c r="L145" s="170">
        <v>42929</v>
      </c>
      <c r="M145" s="116">
        <v>121.93</v>
      </c>
      <c r="N145" s="116">
        <v>124.93</v>
      </c>
      <c r="O145" s="116">
        <v>120</v>
      </c>
      <c r="P145" s="116">
        <v>120</v>
      </c>
      <c r="Q145" s="116">
        <v>609.65</v>
      </c>
      <c r="R145">
        <v>81187</v>
      </c>
    </row>
    <row r="146" spans="1:18" x14ac:dyDescent="0.25">
      <c r="A146" s="170">
        <v>42930</v>
      </c>
      <c r="B146" s="116">
        <v>122.8</v>
      </c>
      <c r="C146" s="116">
        <v>121.58</v>
      </c>
      <c r="D146" s="116">
        <v>120.21</v>
      </c>
      <c r="E146" s="116">
        <v>122.73</v>
      </c>
      <c r="F146" s="116">
        <v>607.9</v>
      </c>
      <c r="G146">
        <v>8643</v>
      </c>
      <c r="H146" s="116"/>
      <c r="I146" s="116"/>
      <c r="L146" s="170">
        <v>42930</v>
      </c>
      <c r="M146" s="116">
        <v>121.88</v>
      </c>
      <c r="N146" s="116">
        <v>122.98</v>
      </c>
      <c r="O146" s="116">
        <v>120.2</v>
      </c>
      <c r="P146" s="116">
        <v>122.5</v>
      </c>
      <c r="Q146" s="116">
        <v>609.4</v>
      </c>
      <c r="R146">
        <v>44533</v>
      </c>
    </row>
    <row r="147" spans="1:18" x14ac:dyDescent="0.25">
      <c r="A147" s="170">
        <v>42933</v>
      </c>
      <c r="B147" s="116">
        <v>123.31</v>
      </c>
      <c r="C147" s="116">
        <v>121.69</v>
      </c>
      <c r="D147" s="116">
        <v>120.83</v>
      </c>
      <c r="E147" s="116">
        <v>122.4</v>
      </c>
      <c r="F147" s="116">
        <v>608.45000000000005</v>
      </c>
      <c r="G147">
        <v>7182</v>
      </c>
      <c r="H147" s="116"/>
      <c r="I147" s="116"/>
      <c r="L147" s="170">
        <v>42933</v>
      </c>
      <c r="M147" s="116">
        <v>121.53</v>
      </c>
      <c r="N147" s="116">
        <v>123.48</v>
      </c>
      <c r="O147" s="116">
        <v>120.53</v>
      </c>
      <c r="P147" s="116">
        <v>121.77</v>
      </c>
      <c r="Q147" s="116">
        <v>607.65</v>
      </c>
      <c r="R147">
        <v>199387</v>
      </c>
    </row>
    <row r="148" spans="1:18" x14ac:dyDescent="0.25">
      <c r="A148" s="170">
        <v>42934</v>
      </c>
      <c r="B148" s="116">
        <v>122.57</v>
      </c>
      <c r="C148" s="116">
        <v>120.43</v>
      </c>
      <c r="D148" s="116">
        <v>119.9</v>
      </c>
      <c r="E148" s="116">
        <v>122</v>
      </c>
      <c r="F148" s="116">
        <v>602.15</v>
      </c>
      <c r="G148">
        <v>3764</v>
      </c>
      <c r="H148" s="116"/>
      <c r="I148" s="116"/>
      <c r="L148" s="170">
        <v>42934</v>
      </c>
      <c r="M148" s="116">
        <v>120.51</v>
      </c>
      <c r="N148" s="116">
        <v>122.78</v>
      </c>
      <c r="O148" s="116">
        <v>120.03</v>
      </c>
      <c r="P148" s="116">
        <v>121.6</v>
      </c>
      <c r="Q148" s="116">
        <v>602.54999999999995</v>
      </c>
      <c r="R148">
        <v>57289</v>
      </c>
    </row>
    <row r="149" spans="1:18" x14ac:dyDescent="0.25">
      <c r="A149" s="170">
        <v>42935</v>
      </c>
      <c r="B149" s="116">
        <v>121.38</v>
      </c>
      <c r="C149" s="116">
        <v>119.73</v>
      </c>
      <c r="D149" s="116">
        <v>119.46</v>
      </c>
      <c r="E149" s="116">
        <v>120.26</v>
      </c>
      <c r="F149" s="116">
        <v>598.65</v>
      </c>
      <c r="G149">
        <v>5331</v>
      </c>
      <c r="H149" s="116"/>
      <c r="I149" s="116"/>
      <c r="L149" s="170">
        <v>42935</v>
      </c>
      <c r="M149" s="116">
        <v>119.87</v>
      </c>
      <c r="N149" s="116">
        <v>121.58</v>
      </c>
      <c r="O149" s="116">
        <v>119.6</v>
      </c>
      <c r="P149" s="116">
        <v>121</v>
      </c>
      <c r="Q149" s="116">
        <v>599.35</v>
      </c>
      <c r="R149">
        <v>168844</v>
      </c>
    </row>
    <row r="150" spans="1:18" x14ac:dyDescent="0.25">
      <c r="A150" s="170">
        <v>42936</v>
      </c>
      <c r="B150" s="116">
        <v>120.55</v>
      </c>
      <c r="C150" s="116">
        <v>119.76</v>
      </c>
      <c r="D150" s="116">
        <v>119.36</v>
      </c>
      <c r="E150" s="116">
        <v>120.2</v>
      </c>
      <c r="F150" s="116">
        <v>598.79999999999995</v>
      </c>
      <c r="G150">
        <v>11087</v>
      </c>
      <c r="H150" s="116"/>
      <c r="I150" s="116"/>
      <c r="L150" s="170">
        <v>42936</v>
      </c>
      <c r="M150" s="116">
        <v>119.48</v>
      </c>
      <c r="N150" s="116">
        <v>120.92</v>
      </c>
      <c r="O150" s="116">
        <v>119.14</v>
      </c>
      <c r="P150" s="116">
        <v>120</v>
      </c>
      <c r="Q150" s="116">
        <v>597.4</v>
      </c>
      <c r="R150">
        <v>102750</v>
      </c>
    </row>
    <row r="151" spans="1:18" x14ac:dyDescent="0.25">
      <c r="A151" s="170">
        <v>42937</v>
      </c>
      <c r="B151" s="116">
        <v>121.2</v>
      </c>
      <c r="C151" s="116">
        <v>119.83</v>
      </c>
      <c r="D151" s="116">
        <v>119.23</v>
      </c>
      <c r="E151" s="116">
        <v>119.74</v>
      </c>
      <c r="F151" s="116">
        <v>599.15</v>
      </c>
      <c r="G151">
        <v>9191</v>
      </c>
      <c r="H151" s="116"/>
      <c r="I151" s="116"/>
      <c r="L151" s="170">
        <v>42937</v>
      </c>
      <c r="M151" s="116">
        <v>119.5</v>
      </c>
      <c r="N151" s="116">
        <v>120.99</v>
      </c>
      <c r="O151" s="116">
        <v>119.08</v>
      </c>
      <c r="P151" s="116">
        <v>120.09</v>
      </c>
      <c r="Q151" s="116">
        <v>597.5</v>
      </c>
      <c r="R151">
        <v>61618</v>
      </c>
    </row>
    <row r="152" spans="1:18" x14ac:dyDescent="0.25">
      <c r="A152" s="170">
        <v>42940</v>
      </c>
      <c r="B152" s="116">
        <v>120.91</v>
      </c>
      <c r="C152" s="116">
        <v>119.22</v>
      </c>
      <c r="D152" s="116">
        <v>119</v>
      </c>
      <c r="E152" s="116">
        <v>120</v>
      </c>
      <c r="F152" s="116">
        <v>596.1</v>
      </c>
      <c r="G152">
        <v>5743</v>
      </c>
      <c r="H152" s="116"/>
      <c r="I152" s="116"/>
      <c r="L152" s="170">
        <v>42940</v>
      </c>
      <c r="M152" s="116">
        <v>119.34</v>
      </c>
      <c r="N152" s="116">
        <v>120.88</v>
      </c>
      <c r="O152" s="116">
        <v>119</v>
      </c>
      <c r="P152" s="116">
        <v>120.77</v>
      </c>
      <c r="Q152" s="116">
        <v>596.70000000000005</v>
      </c>
      <c r="R152">
        <v>32409</v>
      </c>
    </row>
    <row r="153" spans="1:18" x14ac:dyDescent="0.25">
      <c r="A153" s="170">
        <v>42941</v>
      </c>
      <c r="B153" s="116">
        <v>119.64</v>
      </c>
      <c r="C153" s="116">
        <v>117.94</v>
      </c>
      <c r="D153" s="116">
        <v>117.54</v>
      </c>
      <c r="E153" s="116">
        <v>119.59</v>
      </c>
      <c r="F153" s="116">
        <v>589.70000000000005</v>
      </c>
      <c r="G153">
        <v>5571</v>
      </c>
      <c r="H153" s="116"/>
      <c r="I153" s="116"/>
      <c r="L153" s="170">
        <v>42941</v>
      </c>
      <c r="M153" s="116">
        <v>117.73</v>
      </c>
      <c r="N153" s="116">
        <v>120</v>
      </c>
      <c r="O153" s="116">
        <v>117.2</v>
      </c>
      <c r="P153" s="116">
        <v>120</v>
      </c>
      <c r="Q153" s="116">
        <v>588.65</v>
      </c>
      <c r="R153">
        <v>40716</v>
      </c>
    </row>
    <row r="154" spans="1:18" x14ac:dyDescent="0.25">
      <c r="A154" s="170">
        <v>42942</v>
      </c>
      <c r="B154" s="116">
        <v>118.67</v>
      </c>
      <c r="C154" s="116">
        <v>117.54</v>
      </c>
      <c r="D154" s="116">
        <v>117.2</v>
      </c>
      <c r="E154" s="116">
        <v>118</v>
      </c>
      <c r="F154" s="116">
        <v>587.70000000000005</v>
      </c>
      <c r="G154">
        <v>3857</v>
      </c>
      <c r="H154" s="116"/>
      <c r="I154" s="116"/>
      <c r="L154" s="170">
        <v>42942</v>
      </c>
      <c r="M154" s="116">
        <v>117.66</v>
      </c>
      <c r="N154" s="116">
        <v>118.8</v>
      </c>
      <c r="O154" s="116">
        <v>117.2</v>
      </c>
      <c r="P154" s="116">
        <v>118</v>
      </c>
      <c r="Q154" s="116">
        <v>588.29999999999995</v>
      </c>
      <c r="R154">
        <v>38528</v>
      </c>
    </row>
    <row r="155" spans="1:18" x14ac:dyDescent="0.25">
      <c r="A155" s="170">
        <v>42943</v>
      </c>
      <c r="B155" s="116">
        <v>119.52</v>
      </c>
      <c r="C155" s="116">
        <v>118</v>
      </c>
      <c r="D155" s="116">
        <v>117</v>
      </c>
      <c r="E155" s="116">
        <v>117.87</v>
      </c>
      <c r="F155" s="116">
        <v>590</v>
      </c>
      <c r="G155">
        <v>7866</v>
      </c>
      <c r="H155" s="116"/>
      <c r="I155" s="116"/>
      <c r="L155" s="170">
        <v>42943</v>
      </c>
      <c r="M155" s="116">
        <v>118.91</v>
      </c>
      <c r="N155" s="116">
        <v>119.78</v>
      </c>
      <c r="O155" s="116">
        <v>117.29</v>
      </c>
      <c r="P155" s="116">
        <v>117.29</v>
      </c>
      <c r="Q155" s="116">
        <v>594.54999999999995</v>
      </c>
      <c r="R155">
        <v>37310</v>
      </c>
    </row>
    <row r="156" spans="1:18" x14ac:dyDescent="0.25">
      <c r="A156" s="170">
        <v>42944</v>
      </c>
      <c r="B156" s="116">
        <v>120</v>
      </c>
      <c r="C156" s="116">
        <v>117.41</v>
      </c>
      <c r="D156" s="116">
        <v>116.8</v>
      </c>
      <c r="E156" s="116">
        <v>120</v>
      </c>
      <c r="F156" s="116">
        <v>587.04999999999995</v>
      </c>
      <c r="G156">
        <v>6754</v>
      </c>
      <c r="H156" s="116"/>
      <c r="I156" s="116"/>
      <c r="L156" s="170">
        <v>42944</v>
      </c>
      <c r="M156" s="116">
        <v>118.41</v>
      </c>
      <c r="N156" s="116">
        <v>119</v>
      </c>
      <c r="O156" s="116">
        <v>117.31</v>
      </c>
      <c r="P156" s="116">
        <v>118.01</v>
      </c>
      <c r="Q156" s="116">
        <v>592.04999999999995</v>
      </c>
      <c r="R156">
        <v>23188</v>
      </c>
    </row>
    <row r="157" spans="1:18" x14ac:dyDescent="0.25">
      <c r="A157" s="170">
        <v>42947</v>
      </c>
      <c r="B157" s="116">
        <v>117.28</v>
      </c>
      <c r="C157" s="116">
        <v>116.15</v>
      </c>
      <c r="D157" s="116">
        <v>115.36</v>
      </c>
      <c r="E157" s="116">
        <v>117.28</v>
      </c>
      <c r="F157" s="116">
        <v>580.75</v>
      </c>
      <c r="G157">
        <v>13891</v>
      </c>
      <c r="H157" s="116"/>
      <c r="I157" s="116"/>
      <c r="L157" s="170">
        <v>42947</v>
      </c>
      <c r="M157" s="116">
        <v>116.14</v>
      </c>
      <c r="N157" s="116">
        <v>118.41</v>
      </c>
      <c r="O157" s="116">
        <v>114.31</v>
      </c>
      <c r="P157" s="116">
        <v>114.31</v>
      </c>
      <c r="Q157" s="116">
        <v>580.70000000000005</v>
      </c>
      <c r="R157">
        <v>73447</v>
      </c>
    </row>
    <row r="158" spans="1:18" x14ac:dyDescent="0.25">
      <c r="A158" s="170">
        <v>42948</v>
      </c>
      <c r="B158" s="116">
        <v>117.67</v>
      </c>
      <c r="C158" s="116">
        <v>116.46</v>
      </c>
      <c r="D158" s="116">
        <v>115.19</v>
      </c>
      <c r="E158" s="116">
        <v>117</v>
      </c>
      <c r="F158" s="116">
        <v>582.29999999999995</v>
      </c>
      <c r="G158">
        <v>5203</v>
      </c>
      <c r="H158" s="116"/>
      <c r="I158" s="116"/>
      <c r="L158" s="170">
        <v>42948</v>
      </c>
      <c r="M158" s="116">
        <v>116.53</v>
      </c>
      <c r="N158" s="116">
        <v>118</v>
      </c>
      <c r="O158" s="116">
        <v>115.4</v>
      </c>
      <c r="P158" s="116">
        <v>115.48</v>
      </c>
      <c r="Q158" s="116">
        <v>582.65</v>
      </c>
      <c r="R158">
        <v>34690</v>
      </c>
    </row>
    <row r="159" spans="1:18" x14ac:dyDescent="0.25">
      <c r="A159" s="170">
        <v>42949</v>
      </c>
      <c r="B159" s="116">
        <v>117.47</v>
      </c>
      <c r="C159" s="116">
        <v>115.9</v>
      </c>
      <c r="D159" s="116">
        <v>115.62</v>
      </c>
      <c r="E159" s="116">
        <v>117.41</v>
      </c>
      <c r="F159" s="116">
        <v>579.5</v>
      </c>
      <c r="G159">
        <v>2681</v>
      </c>
      <c r="H159" s="116"/>
      <c r="I159" s="116"/>
      <c r="L159" s="170">
        <v>42949</v>
      </c>
      <c r="M159" s="116">
        <v>115.92</v>
      </c>
      <c r="N159" s="116">
        <v>117.6</v>
      </c>
      <c r="O159" s="116">
        <v>115.62</v>
      </c>
      <c r="P159" s="116">
        <v>117</v>
      </c>
      <c r="Q159" s="116">
        <v>579.6</v>
      </c>
      <c r="R159">
        <v>24431</v>
      </c>
    </row>
    <row r="160" spans="1:18" x14ac:dyDescent="0.25">
      <c r="A160" s="170">
        <v>42950</v>
      </c>
      <c r="B160" s="116">
        <v>116.2</v>
      </c>
      <c r="C160" s="116">
        <v>115.02</v>
      </c>
      <c r="D160" s="116">
        <v>114.8</v>
      </c>
      <c r="E160" s="116">
        <v>115.8</v>
      </c>
      <c r="F160" s="116">
        <v>575.1</v>
      </c>
      <c r="G160">
        <v>3729</v>
      </c>
      <c r="H160" s="116"/>
      <c r="I160" s="116"/>
      <c r="L160" s="170">
        <v>42950</v>
      </c>
      <c r="M160" s="116">
        <v>115.46</v>
      </c>
      <c r="N160" s="116">
        <v>116.44</v>
      </c>
      <c r="O160" s="116">
        <v>114.72</v>
      </c>
      <c r="P160" s="116">
        <v>116.01</v>
      </c>
      <c r="Q160" s="116">
        <v>577.29999999999995</v>
      </c>
      <c r="R160">
        <v>38083</v>
      </c>
    </row>
    <row r="161" spans="1:18" x14ac:dyDescent="0.25">
      <c r="A161" s="170">
        <v>42951</v>
      </c>
      <c r="B161" s="116">
        <v>118.4</v>
      </c>
      <c r="C161" s="116">
        <v>116.29</v>
      </c>
      <c r="D161" s="116">
        <v>114.45</v>
      </c>
      <c r="E161" s="116">
        <v>114.45</v>
      </c>
      <c r="F161" s="116">
        <v>581.45000000000005</v>
      </c>
      <c r="G161">
        <v>5994</v>
      </c>
      <c r="H161" s="116"/>
      <c r="I161" s="116"/>
      <c r="L161" s="170">
        <v>42951</v>
      </c>
      <c r="M161" s="116">
        <v>116.79</v>
      </c>
      <c r="N161" s="116">
        <v>119</v>
      </c>
      <c r="O161" s="116">
        <v>114.02</v>
      </c>
      <c r="P161" s="116">
        <v>115.6</v>
      </c>
      <c r="Q161" s="116">
        <v>583.95000000000005</v>
      </c>
      <c r="R161">
        <v>55826</v>
      </c>
    </row>
    <row r="162" spans="1:18" x14ac:dyDescent="0.25">
      <c r="A162" s="170">
        <v>42954</v>
      </c>
      <c r="B162" s="116">
        <v>116.7</v>
      </c>
      <c r="C162" s="116">
        <v>115.57</v>
      </c>
      <c r="D162" s="116">
        <v>115</v>
      </c>
      <c r="E162" s="116">
        <v>116.6</v>
      </c>
      <c r="F162" s="116">
        <v>577.85</v>
      </c>
      <c r="G162">
        <v>9098</v>
      </c>
      <c r="H162" s="116"/>
      <c r="I162" s="116"/>
      <c r="L162" s="170">
        <v>42954</v>
      </c>
      <c r="M162" s="116">
        <v>115.64</v>
      </c>
      <c r="N162" s="116">
        <v>116.8</v>
      </c>
      <c r="O162" s="116">
        <v>115.2</v>
      </c>
      <c r="P162" s="116">
        <v>116.16</v>
      </c>
      <c r="Q162" s="116">
        <v>578.20000000000005</v>
      </c>
      <c r="R162">
        <v>39223</v>
      </c>
    </row>
    <row r="163" spans="1:18" x14ac:dyDescent="0.25">
      <c r="A163" s="170">
        <v>42955</v>
      </c>
      <c r="B163" s="116">
        <v>116.64</v>
      </c>
      <c r="C163" s="116">
        <v>114.74</v>
      </c>
      <c r="D163" s="116">
        <v>114.3</v>
      </c>
      <c r="E163" s="116">
        <v>115.88</v>
      </c>
      <c r="F163" s="116">
        <v>573.70000000000005</v>
      </c>
      <c r="G163">
        <v>4948</v>
      </c>
      <c r="H163" s="116"/>
      <c r="I163" s="116"/>
      <c r="L163" s="170">
        <v>42955</v>
      </c>
      <c r="M163" s="116">
        <v>114.72</v>
      </c>
      <c r="N163" s="116">
        <v>116.8</v>
      </c>
      <c r="O163" s="116">
        <v>114.42</v>
      </c>
      <c r="P163" s="116">
        <v>116.01</v>
      </c>
      <c r="Q163" s="116">
        <v>573.6</v>
      </c>
      <c r="R163">
        <v>28366</v>
      </c>
    </row>
    <row r="164" spans="1:18" x14ac:dyDescent="0.25">
      <c r="A164" s="170">
        <v>42956</v>
      </c>
      <c r="B164" s="116">
        <v>114.4</v>
      </c>
      <c r="C164" s="116">
        <v>110.5</v>
      </c>
      <c r="D164" s="116">
        <v>109.89</v>
      </c>
      <c r="E164" s="116">
        <v>113</v>
      </c>
      <c r="F164" s="116">
        <v>552.5</v>
      </c>
      <c r="G164">
        <v>6973</v>
      </c>
      <c r="H164" s="116"/>
      <c r="I164" s="116"/>
      <c r="L164" s="170">
        <v>42956</v>
      </c>
      <c r="M164" s="116">
        <v>110.54</v>
      </c>
      <c r="N164" s="116">
        <v>114.89</v>
      </c>
      <c r="O164" s="116">
        <v>109.46</v>
      </c>
      <c r="P164" s="116">
        <v>114.54</v>
      </c>
      <c r="Q164" s="116">
        <v>552.70000000000005</v>
      </c>
      <c r="R164">
        <v>96760</v>
      </c>
    </row>
    <row r="165" spans="1:18" x14ac:dyDescent="0.25">
      <c r="A165" s="170">
        <v>42957</v>
      </c>
      <c r="B165" s="116">
        <v>110.21</v>
      </c>
      <c r="C165" s="116">
        <v>105.13</v>
      </c>
      <c r="D165" s="116">
        <v>102.2</v>
      </c>
      <c r="E165" s="116">
        <v>109.6</v>
      </c>
      <c r="F165" s="116">
        <v>525.65</v>
      </c>
      <c r="G165">
        <v>14130</v>
      </c>
      <c r="H165" s="116"/>
      <c r="I165" s="116"/>
      <c r="L165" s="170">
        <v>42957</v>
      </c>
      <c r="M165" s="116">
        <v>104.99</v>
      </c>
      <c r="N165" s="116">
        <v>110.79</v>
      </c>
      <c r="O165" s="116">
        <v>104.22</v>
      </c>
      <c r="P165" s="116">
        <v>110.01</v>
      </c>
      <c r="Q165" s="116">
        <v>524.95000000000005</v>
      </c>
      <c r="R165">
        <v>101791</v>
      </c>
    </row>
    <row r="166" spans="1:18" x14ac:dyDescent="0.25">
      <c r="A166" s="170">
        <v>42958</v>
      </c>
      <c r="B166" s="116">
        <v>112.08</v>
      </c>
      <c r="C166" s="116">
        <v>109.23</v>
      </c>
      <c r="D166" s="116">
        <v>103.16</v>
      </c>
      <c r="E166" s="116">
        <v>105.6</v>
      </c>
      <c r="F166" s="116">
        <v>546.15</v>
      </c>
      <c r="G166">
        <v>17954</v>
      </c>
      <c r="H166" s="116"/>
      <c r="I166" s="116"/>
      <c r="L166" s="170">
        <v>42958</v>
      </c>
      <c r="M166" s="116">
        <v>108.61</v>
      </c>
      <c r="N166" s="116">
        <v>111.96</v>
      </c>
      <c r="O166" s="116">
        <v>103.02</v>
      </c>
      <c r="P166" s="116">
        <v>105.98</v>
      </c>
      <c r="Q166" s="116">
        <v>543.04999999999995</v>
      </c>
      <c r="R166">
        <v>138498</v>
      </c>
    </row>
    <row r="167" spans="1:18" x14ac:dyDescent="0.25">
      <c r="A167" s="170">
        <v>42961</v>
      </c>
      <c r="B167" s="116">
        <v>112.98</v>
      </c>
      <c r="C167" s="116">
        <v>109.5</v>
      </c>
      <c r="D167" s="116">
        <v>108.85</v>
      </c>
      <c r="E167" s="116">
        <v>109.41</v>
      </c>
      <c r="F167" s="116">
        <v>547.5</v>
      </c>
      <c r="G167">
        <v>7951</v>
      </c>
      <c r="H167" s="116"/>
      <c r="I167" s="116"/>
      <c r="L167" s="170">
        <v>42961</v>
      </c>
      <c r="M167" s="116">
        <v>109.85</v>
      </c>
      <c r="N167" s="116">
        <v>111.72</v>
      </c>
      <c r="O167" s="116">
        <v>109.28</v>
      </c>
      <c r="P167" s="116">
        <v>109.8</v>
      </c>
      <c r="Q167" s="116">
        <v>549.25</v>
      </c>
      <c r="R167">
        <v>161899</v>
      </c>
    </row>
    <row r="168" spans="1:18" x14ac:dyDescent="0.25">
      <c r="A168" s="170">
        <v>42963</v>
      </c>
      <c r="B168" s="116">
        <v>111.02</v>
      </c>
      <c r="C168" s="116">
        <v>109.71</v>
      </c>
      <c r="D168" s="116">
        <v>109.56</v>
      </c>
      <c r="E168" s="116">
        <v>111</v>
      </c>
      <c r="F168" s="116">
        <v>548.54999999999995</v>
      </c>
      <c r="G168">
        <v>3061</v>
      </c>
      <c r="H168" s="116"/>
      <c r="I168" s="116"/>
      <c r="L168" s="170">
        <v>42963</v>
      </c>
      <c r="M168" s="116">
        <v>109.51</v>
      </c>
      <c r="N168" s="116">
        <v>111.39</v>
      </c>
      <c r="O168" s="116">
        <v>109.02</v>
      </c>
      <c r="P168" s="116">
        <v>109.86</v>
      </c>
      <c r="Q168" s="116">
        <v>547.54999999999995</v>
      </c>
      <c r="R168">
        <v>36610</v>
      </c>
    </row>
    <row r="169" spans="1:18" x14ac:dyDescent="0.25">
      <c r="A169" s="170">
        <v>42964</v>
      </c>
      <c r="B169" s="116">
        <v>110</v>
      </c>
      <c r="C169" s="116">
        <v>109.09</v>
      </c>
      <c r="D169" s="116">
        <v>109</v>
      </c>
      <c r="E169" s="116">
        <v>110</v>
      </c>
      <c r="F169" s="116">
        <v>545.45000000000005</v>
      </c>
      <c r="G169">
        <v>3576</v>
      </c>
      <c r="H169" s="116"/>
      <c r="I169" s="116"/>
      <c r="L169" s="170">
        <v>42964</v>
      </c>
      <c r="M169" s="116">
        <v>108.96</v>
      </c>
      <c r="N169" s="116">
        <v>110.22</v>
      </c>
      <c r="O169" s="116">
        <v>108.5</v>
      </c>
      <c r="P169" s="116">
        <v>109.4</v>
      </c>
      <c r="Q169" s="116">
        <v>544.79999999999995</v>
      </c>
      <c r="R169">
        <v>33321</v>
      </c>
    </row>
    <row r="170" spans="1:18" x14ac:dyDescent="0.25">
      <c r="A170" s="170">
        <v>42965</v>
      </c>
      <c r="B170" s="116">
        <v>109</v>
      </c>
      <c r="C170" s="116">
        <v>107.28</v>
      </c>
      <c r="D170" s="116">
        <v>103.6</v>
      </c>
      <c r="E170" s="116">
        <v>109</v>
      </c>
      <c r="F170" s="116">
        <v>536.4</v>
      </c>
      <c r="G170">
        <v>6077</v>
      </c>
      <c r="H170" s="116"/>
      <c r="I170" s="116"/>
      <c r="L170" s="170">
        <v>42965</v>
      </c>
      <c r="M170" s="116">
        <v>106.98</v>
      </c>
      <c r="N170" s="116">
        <v>108.98</v>
      </c>
      <c r="O170" s="116">
        <v>106.8</v>
      </c>
      <c r="P170" s="116">
        <v>108.96</v>
      </c>
      <c r="Q170" s="116">
        <v>534.9</v>
      </c>
      <c r="R170">
        <v>29423</v>
      </c>
    </row>
    <row r="171" spans="1:18" x14ac:dyDescent="0.25">
      <c r="A171" s="170">
        <v>42968</v>
      </c>
      <c r="B171" s="116">
        <v>111</v>
      </c>
      <c r="C171" s="116">
        <v>105.27</v>
      </c>
      <c r="D171" s="116">
        <v>104.85</v>
      </c>
      <c r="E171" s="116">
        <v>109.77</v>
      </c>
      <c r="F171" s="116">
        <v>526.35</v>
      </c>
      <c r="G171">
        <v>10765</v>
      </c>
      <c r="H171" s="116"/>
      <c r="I171" s="116"/>
      <c r="L171" s="170">
        <v>42968</v>
      </c>
      <c r="M171" s="116">
        <v>105.22</v>
      </c>
      <c r="N171" s="116">
        <v>110.82</v>
      </c>
      <c r="O171" s="116">
        <v>104.61</v>
      </c>
      <c r="P171" s="116">
        <v>110</v>
      </c>
      <c r="Q171" s="116">
        <v>526.1</v>
      </c>
      <c r="R171">
        <v>99811</v>
      </c>
    </row>
    <row r="172" spans="1:18" x14ac:dyDescent="0.25">
      <c r="A172" s="170">
        <v>42969</v>
      </c>
      <c r="B172" s="116">
        <v>106.77</v>
      </c>
      <c r="C172" s="116">
        <v>103.85</v>
      </c>
      <c r="D172" s="116">
        <v>103.33</v>
      </c>
      <c r="E172" s="116">
        <v>105.4</v>
      </c>
      <c r="F172" s="116">
        <v>519.25</v>
      </c>
      <c r="G172">
        <v>7235</v>
      </c>
      <c r="H172" s="116"/>
      <c r="I172" s="116"/>
      <c r="L172" s="170">
        <v>42969</v>
      </c>
      <c r="M172" s="116">
        <v>103.94</v>
      </c>
      <c r="N172" s="116">
        <v>106.83</v>
      </c>
      <c r="O172" s="116">
        <v>103.8</v>
      </c>
      <c r="P172" s="116">
        <v>106</v>
      </c>
      <c r="Q172" s="116">
        <v>519.70000000000005</v>
      </c>
      <c r="R172">
        <v>54881</v>
      </c>
    </row>
    <row r="173" spans="1:18" x14ac:dyDescent="0.25">
      <c r="A173" s="170">
        <v>42970</v>
      </c>
      <c r="B173" s="116">
        <v>105.2</v>
      </c>
      <c r="C173" s="116">
        <v>104.99</v>
      </c>
      <c r="D173" s="116">
        <v>103.03</v>
      </c>
      <c r="E173" s="116">
        <v>104.71</v>
      </c>
      <c r="F173" s="116">
        <v>524.95000000000005</v>
      </c>
      <c r="G173">
        <v>8029</v>
      </c>
      <c r="H173" s="116"/>
      <c r="I173" s="116"/>
      <c r="L173" s="170">
        <v>42970</v>
      </c>
      <c r="M173" s="116">
        <v>105</v>
      </c>
      <c r="N173" s="116">
        <v>105.21</v>
      </c>
      <c r="O173" s="116">
        <v>103.12</v>
      </c>
      <c r="P173" s="116">
        <v>104</v>
      </c>
      <c r="Q173" s="116">
        <v>525</v>
      </c>
      <c r="R173">
        <v>52805</v>
      </c>
    </row>
    <row r="174" spans="1:18" x14ac:dyDescent="0.25">
      <c r="A174" s="170">
        <v>42971</v>
      </c>
      <c r="B174" s="116">
        <v>105.9</v>
      </c>
      <c r="C174" s="116">
        <v>104.46</v>
      </c>
      <c r="D174" s="116">
        <v>103.6</v>
      </c>
      <c r="E174" s="116">
        <v>105.9</v>
      </c>
      <c r="F174" s="116">
        <v>522.29999999999995</v>
      </c>
      <c r="G174">
        <v>6735</v>
      </c>
      <c r="H174" s="116"/>
      <c r="I174" s="116"/>
      <c r="L174" s="170">
        <v>42971</v>
      </c>
      <c r="M174" s="116">
        <v>104.27</v>
      </c>
      <c r="N174" s="116">
        <v>106</v>
      </c>
      <c r="O174" s="116">
        <v>103.62</v>
      </c>
      <c r="P174" s="116">
        <v>105.96</v>
      </c>
      <c r="Q174" s="116">
        <v>521.35</v>
      </c>
      <c r="R174">
        <v>41527</v>
      </c>
    </row>
    <row r="175" spans="1:18" x14ac:dyDescent="0.25">
      <c r="A175" s="170">
        <v>42975</v>
      </c>
      <c r="B175" s="116">
        <v>105.19</v>
      </c>
      <c r="C175" s="116">
        <v>102.64</v>
      </c>
      <c r="D175" s="116">
        <v>101</v>
      </c>
      <c r="E175" s="116">
        <v>104.6</v>
      </c>
      <c r="F175" s="116">
        <v>513.20000000000005</v>
      </c>
      <c r="G175">
        <v>23179</v>
      </c>
      <c r="H175" s="116"/>
      <c r="I175" s="116"/>
      <c r="L175" s="170">
        <v>42975</v>
      </c>
      <c r="M175" s="116">
        <v>102.18</v>
      </c>
      <c r="N175" s="116">
        <v>105.3</v>
      </c>
      <c r="O175" s="116">
        <v>100.99</v>
      </c>
      <c r="P175" s="116">
        <v>104.2</v>
      </c>
      <c r="Q175" s="116">
        <v>510.9</v>
      </c>
      <c r="R175">
        <v>240202</v>
      </c>
    </row>
    <row r="176" spans="1:18" x14ac:dyDescent="0.25">
      <c r="A176" s="170">
        <v>42976</v>
      </c>
      <c r="B176" s="116">
        <v>102.38</v>
      </c>
      <c r="C176" s="116">
        <v>101.22</v>
      </c>
      <c r="D176" s="116">
        <v>99.44</v>
      </c>
      <c r="E176" s="116">
        <v>100.24</v>
      </c>
      <c r="F176" s="116">
        <v>506.1</v>
      </c>
      <c r="G176">
        <v>10679</v>
      </c>
      <c r="H176" s="116"/>
      <c r="I176" s="116"/>
      <c r="L176" s="170">
        <v>42976</v>
      </c>
      <c r="M176" s="116">
        <v>100.57</v>
      </c>
      <c r="N176" s="116">
        <v>101.96</v>
      </c>
      <c r="O176" s="116">
        <v>83.78</v>
      </c>
      <c r="P176" s="116">
        <v>100</v>
      </c>
      <c r="Q176" s="116">
        <v>502.85</v>
      </c>
      <c r="R176">
        <v>138556</v>
      </c>
    </row>
    <row r="177" spans="1:18" x14ac:dyDescent="0.25">
      <c r="A177" s="170">
        <v>42977</v>
      </c>
      <c r="B177" s="116">
        <v>104.4</v>
      </c>
      <c r="C177" s="116">
        <v>103.57</v>
      </c>
      <c r="D177" s="116">
        <v>101.62</v>
      </c>
      <c r="E177" s="116">
        <v>101.62</v>
      </c>
      <c r="F177" s="116">
        <v>517.85</v>
      </c>
      <c r="G177">
        <v>15060</v>
      </c>
      <c r="H177" s="116"/>
      <c r="I177" s="116"/>
      <c r="L177" s="170">
        <v>42977</v>
      </c>
      <c r="M177" s="116">
        <v>104.07</v>
      </c>
      <c r="N177" s="116">
        <v>104.6</v>
      </c>
      <c r="O177" s="116">
        <v>101.59</v>
      </c>
      <c r="P177" s="116">
        <v>101.99</v>
      </c>
      <c r="Q177" s="116">
        <v>520.35</v>
      </c>
      <c r="R177">
        <v>51748</v>
      </c>
    </row>
    <row r="178" spans="1:18" x14ac:dyDescent="0.25">
      <c r="A178" s="170">
        <v>42978</v>
      </c>
      <c r="B178" s="116">
        <v>107.43</v>
      </c>
      <c r="C178" s="116">
        <v>105.38</v>
      </c>
      <c r="D178" s="116">
        <v>104.73</v>
      </c>
      <c r="E178" s="116">
        <v>104.73</v>
      </c>
      <c r="F178" s="116">
        <v>526.9</v>
      </c>
      <c r="G178">
        <v>9283</v>
      </c>
      <c r="H178" s="116"/>
      <c r="I178" s="116"/>
      <c r="L178" s="170">
        <v>42978</v>
      </c>
      <c r="M178" s="116">
        <v>105.47</v>
      </c>
      <c r="N178" s="116">
        <v>107.47</v>
      </c>
      <c r="O178" s="116">
        <v>104.42</v>
      </c>
      <c r="P178" s="116">
        <v>105</v>
      </c>
      <c r="Q178" s="116">
        <v>527.35</v>
      </c>
      <c r="R178">
        <v>190244</v>
      </c>
    </row>
    <row r="179" spans="1:18" x14ac:dyDescent="0.25">
      <c r="A179" s="170">
        <v>42979</v>
      </c>
      <c r="B179" s="116">
        <v>108.6</v>
      </c>
      <c r="C179" s="116">
        <v>108.06</v>
      </c>
      <c r="D179" s="116">
        <v>105.69</v>
      </c>
      <c r="E179" s="116">
        <v>105.69</v>
      </c>
      <c r="F179" s="116">
        <v>540.29999999999995</v>
      </c>
      <c r="G179">
        <v>10624</v>
      </c>
      <c r="H179" s="116"/>
      <c r="I179" s="116"/>
      <c r="L179" s="170">
        <v>42979</v>
      </c>
      <c r="M179" s="116">
        <v>107.94</v>
      </c>
      <c r="N179" s="116">
        <v>108.2</v>
      </c>
      <c r="O179" s="116">
        <v>105.2</v>
      </c>
      <c r="P179" s="116">
        <v>105.2</v>
      </c>
      <c r="Q179" s="116">
        <v>539.70000000000005</v>
      </c>
      <c r="R179">
        <v>59977</v>
      </c>
    </row>
    <row r="180" spans="1:18" x14ac:dyDescent="0.25">
      <c r="A180" s="170">
        <v>42982</v>
      </c>
      <c r="B180" s="116">
        <v>110</v>
      </c>
      <c r="C180" s="116">
        <v>109.01</v>
      </c>
      <c r="D180" s="116">
        <v>107.2</v>
      </c>
      <c r="E180" s="116">
        <v>107.77</v>
      </c>
      <c r="F180" s="116">
        <v>545.04999999999995</v>
      </c>
      <c r="G180">
        <v>13255</v>
      </c>
      <c r="H180" s="116"/>
      <c r="I180" s="116"/>
      <c r="L180" s="170">
        <v>42982</v>
      </c>
      <c r="M180" s="116">
        <v>109.44</v>
      </c>
      <c r="N180" s="116">
        <v>109.99</v>
      </c>
      <c r="O180" s="116">
        <v>106.61</v>
      </c>
      <c r="P180" s="116">
        <v>106.61</v>
      </c>
      <c r="Q180" s="116">
        <v>547.20000000000005</v>
      </c>
      <c r="R180">
        <v>51868</v>
      </c>
    </row>
    <row r="181" spans="1:18" x14ac:dyDescent="0.25">
      <c r="A181" s="170">
        <v>42983</v>
      </c>
      <c r="B181" s="116">
        <v>110.89</v>
      </c>
      <c r="C181" s="116">
        <v>110.6</v>
      </c>
      <c r="D181" s="116">
        <v>108.69</v>
      </c>
      <c r="E181" s="116">
        <v>108.72</v>
      </c>
      <c r="F181" s="116">
        <v>553</v>
      </c>
      <c r="G181">
        <v>11140</v>
      </c>
      <c r="H181" s="116"/>
      <c r="I181" s="116"/>
      <c r="L181" s="170">
        <v>42983</v>
      </c>
      <c r="M181" s="116">
        <v>110.42</v>
      </c>
      <c r="N181" s="116">
        <v>110.6</v>
      </c>
      <c r="O181" s="116">
        <v>108.58</v>
      </c>
      <c r="P181" s="116">
        <v>109.39</v>
      </c>
      <c r="Q181" s="116">
        <v>552.1</v>
      </c>
      <c r="R181">
        <v>43733</v>
      </c>
    </row>
    <row r="182" spans="1:18" x14ac:dyDescent="0.25">
      <c r="A182" s="170">
        <v>42984</v>
      </c>
      <c r="B182" s="116">
        <v>110.81</v>
      </c>
      <c r="C182" s="116">
        <v>109.01</v>
      </c>
      <c r="D182" s="116">
        <v>108.39</v>
      </c>
      <c r="E182" s="116">
        <v>108.39</v>
      </c>
      <c r="F182" s="116">
        <v>545.04999999999995</v>
      </c>
      <c r="G182">
        <v>15721</v>
      </c>
      <c r="H182" s="116"/>
      <c r="I182" s="116"/>
      <c r="L182" s="170">
        <v>42984</v>
      </c>
      <c r="M182" s="116">
        <v>109.25</v>
      </c>
      <c r="N182" s="116">
        <v>111.02</v>
      </c>
      <c r="O182" s="116">
        <v>108.3</v>
      </c>
      <c r="P182" s="116">
        <v>108.3</v>
      </c>
      <c r="Q182" s="116">
        <v>546.25</v>
      </c>
      <c r="R182">
        <v>45426</v>
      </c>
    </row>
    <row r="183" spans="1:18" x14ac:dyDescent="0.25">
      <c r="A183" s="170">
        <v>42985</v>
      </c>
      <c r="B183" s="116">
        <v>110.84</v>
      </c>
      <c r="C183" s="116">
        <v>109.83</v>
      </c>
      <c r="D183" s="116">
        <v>109.27</v>
      </c>
      <c r="E183" s="116">
        <v>109.75</v>
      </c>
      <c r="F183" s="116">
        <v>549.15</v>
      </c>
      <c r="G183">
        <v>417369</v>
      </c>
      <c r="H183" s="116"/>
      <c r="I183" s="116"/>
      <c r="L183" s="170">
        <v>42985</v>
      </c>
      <c r="M183" s="116">
        <v>109.92</v>
      </c>
      <c r="N183" s="116">
        <v>110.68</v>
      </c>
      <c r="O183" s="116">
        <v>109</v>
      </c>
      <c r="P183" s="116">
        <v>109.45</v>
      </c>
      <c r="Q183" s="116">
        <v>549.6</v>
      </c>
      <c r="R183">
        <v>74015</v>
      </c>
    </row>
    <row r="184" spans="1:18" x14ac:dyDescent="0.25">
      <c r="A184" s="170">
        <v>42986</v>
      </c>
      <c r="B184" s="116">
        <v>111.42</v>
      </c>
      <c r="C184" s="116">
        <v>108.88</v>
      </c>
      <c r="D184" s="116">
        <v>108.4</v>
      </c>
      <c r="E184" s="116">
        <v>109.71</v>
      </c>
      <c r="F184" s="116">
        <v>544.4</v>
      </c>
      <c r="G184">
        <v>110520</v>
      </c>
      <c r="H184" s="116"/>
      <c r="I184" s="116"/>
      <c r="L184" s="170">
        <v>42986</v>
      </c>
      <c r="M184" s="116">
        <v>109</v>
      </c>
      <c r="N184" s="116">
        <v>111.48</v>
      </c>
      <c r="O184" s="116">
        <v>108.35</v>
      </c>
      <c r="P184" s="116">
        <v>109.4</v>
      </c>
      <c r="Q184" s="116">
        <v>545</v>
      </c>
      <c r="R184">
        <v>46627</v>
      </c>
    </row>
    <row r="185" spans="1:18" x14ac:dyDescent="0.25">
      <c r="A185" s="170">
        <v>42989</v>
      </c>
      <c r="B185" s="116">
        <v>110.4</v>
      </c>
      <c r="C185" s="116">
        <v>108.13</v>
      </c>
      <c r="D185" s="116">
        <v>107.02</v>
      </c>
      <c r="E185" s="116">
        <v>110.37</v>
      </c>
      <c r="F185" s="116">
        <v>540.65</v>
      </c>
      <c r="G185">
        <v>21641</v>
      </c>
      <c r="H185" s="116"/>
      <c r="I185" s="116"/>
      <c r="L185" s="170">
        <v>42989</v>
      </c>
      <c r="M185" s="116">
        <v>108</v>
      </c>
      <c r="N185" s="116">
        <v>110.38</v>
      </c>
      <c r="O185" s="116">
        <v>106.62</v>
      </c>
      <c r="P185" s="116">
        <v>108.97</v>
      </c>
      <c r="Q185" s="116">
        <v>540</v>
      </c>
      <c r="R185">
        <v>320832</v>
      </c>
    </row>
    <row r="186" spans="1:18" x14ac:dyDescent="0.25">
      <c r="A186" s="170">
        <v>42990</v>
      </c>
      <c r="B186" s="116">
        <v>108.98</v>
      </c>
      <c r="C186" s="116">
        <v>106.78</v>
      </c>
      <c r="D186" s="116">
        <v>105.6</v>
      </c>
      <c r="E186" s="116">
        <v>108.09</v>
      </c>
      <c r="F186" s="116">
        <v>533.9</v>
      </c>
      <c r="G186">
        <v>26833</v>
      </c>
      <c r="H186" s="116"/>
      <c r="I186" s="116"/>
      <c r="L186" s="170">
        <v>42990</v>
      </c>
      <c r="M186" s="116">
        <v>106.68</v>
      </c>
      <c r="N186" s="116">
        <v>108.9</v>
      </c>
      <c r="O186" s="116">
        <v>105.6</v>
      </c>
      <c r="P186" s="116">
        <v>106.12</v>
      </c>
      <c r="Q186" s="116">
        <v>533.4</v>
      </c>
      <c r="R186">
        <v>69082</v>
      </c>
    </row>
    <row r="187" spans="1:18" x14ac:dyDescent="0.25">
      <c r="A187" s="170">
        <v>42991</v>
      </c>
      <c r="B187" s="116">
        <v>107.35</v>
      </c>
      <c r="C187" s="116">
        <v>105.56</v>
      </c>
      <c r="D187" s="116">
        <v>105.04</v>
      </c>
      <c r="E187" s="116">
        <v>106.9</v>
      </c>
      <c r="F187" s="116">
        <v>527.79999999999995</v>
      </c>
      <c r="G187">
        <v>12239</v>
      </c>
      <c r="H187" s="116"/>
      <c r="I187" s="116"/>
      <c r="L187" s="170">
        <v>42991</v>
      </c>
      <c r="M187" s="116">
        <v>105.38</v>
      </c>
      <c r="N187" s="116">
        <v>108</v>
      </c>
      <c r="O187" s="116">
        <v>104.8</v>
      </c>
      <c r="P187" s="116">
        <v>108</v>
      </c>
      <c r="Q187" s="116">
        <v>526.9</v>
      </c>
      <c r="R187">
        <v>48512</v>
      </c>
    </row>
    <row r="188" spans="1:18" x14ac:dyDescent="0.25">
      <c r="A188" s="170">
        <v>42992</v>
      </c>
      <c r="B188" s="116">
        <v>112.78</v>
      </c>
      <c r="C188" s="116">
        <v>109.92</v>
      </c>
      <c r="D188" s="116">
        <v>105.7</v>
      </c>
      <c r="E188" s="116">
        <v>106.16</v>
      </c>
      <c r="F188" s="116">
        <v>549.6</v>
      </c>
      <c r="G188">
        <v>28604</v>
      </c>
      <c r="H188" s="116"/>
      <c r="I188" s="116"/>
      <c r="L188" s="170">
        <v>42992</v>
      </c>
      <c r="M188" s="116">
        <v>109.9</v>
      </c>
      <c r="N188" s="116">
        <v>112.6</v>
      </c>
      <c r="O188" s="116">
        <v>105.6</v>
      </c>
      <c r="P188" s="116">
        <v>106</v>
      </c>
      <c r="Q188" s="116">
        <v>549.5</v>
      </c>
      <c r="R188">
        <v>120213</v>
      </c>
    </row>
    <row r="189" spans="1:18" x14ac:dyDescent="0.25">
      <c r="A189" s="170">
        <v>42993</v>
      </c>
      <c r="B189" s="116">
        <v>114.8</v>
      </c>
      <c r="C189" s="116">
        <v>109.96</v>
      </c>
      <c r="D189" s="116">
        <v>108</v>
      </c>
      <c r="E189" s="116">
        <v>108.99</v>
      </c>
      <c r="F189" s="116">
        <v>549.79999999999995</v>
      </c>
      <c r="G189">
        <v>40746</v>
      </c>
      <c r="H189" s="116"/>
      <c r="I189" s="116"/>
      <c r="L189" s="170">
        <v>42993</v>
      </c>
      <c r="M189" s="116">
        <v>109.65</v>
      </c>
      <c r="N189" s="116">
        <v>113.6</v>
      </c>
      <c r="O189" s="116">
        <v>108</v>
      </c>
      <c r="P189" s="116">
        <v>108</v>
      </c>
      <c r="Q189" s="116">
        <v>548.25</v>
      </c>
      <c r="R189">
        <v>397946</v>
      </c>
    </row>
    <row r="190" spans="1:18" x14ac:dyDescent="0.25">
      <c r="A190" s="170">
        <v>42996</v>
      </c>
      <c r="B190" s="116">
        <v>112.02</v>
      </c>
      <c r="C190" s="116">
        <v>108.64</v>
      </c>
      <c r="D190" s="116">
        <v>107.9</v>
      </c>
      <c r="E190" s="116">
        <v>111.98</v>
      </c>
      <c r="F190" s="116">
        <v>543.20000000000005</v>
      </c>
      <c r="G190">
        <v>35089</v>
      </c>
      <c r="H190" s="116"/>
      <c r="I190" s="116"/>
      <c r="L190" s="170">
        <v>42996</v>
      </c>
      <c r="M190" s="116">
        <v>109.13</v>
      </c>
      <c r="N190" s="116">
        <v>112</v>
      </c>
      <c r="O190" s="116">
        <v>108.05</v>
      </c>
      <c r="P190" s="116">
        <v>112</v>
      </c>
      <c r="Q190" s="116">
        <v>545.65</v>
      </c>
      <c r="R190">
        <v>124267</v>
      </c>
    </row>
    <row r="191" spans="1:18" x14ac:dyDescent="0.25">
      <c r="A191" s="170">
        <v>42997</v>
      </c>
      <c r="B191" s="116">
        <v>110.59</v>
      </c>
      <c r="C191" s="116">
        <v>109.23</v>
      </c>
      <c r="D191" s="116">
        <v>108.62</v>
      </c>
      <c r="E191" s="116">
        <v>109.61</v>
      </c>
      <c r="F191" s="116">
        <v>546.15</v>
      </c>
      <c r="G191">
        <v>32706</v>
      </c>
      <c r="H191" s="116"/>
      <c r="I191" s="116"/>
      <c r="L191" s="170">
        <v>42997</v>
      </c>
      <c r="M191" s="116">
        <v>108.92</v>
      </c>
      <c r="N191" s="116">
        <v>110.62</v>
      </c>
      <c r="O191" s="116">
        <v>108.4</v>
      </c>
      <c r="P191" s="116">
        <v>109.2</v>
      </c>
      <c r="Q191" s="116">
        <v>544.6</v>
      </c>
      <c r="R191">
        <v>54710</v>
      </c>
    </row>
    <row r="192" spans="1:18" x14ac:dyDescent="0.25">
      <c r="A192" s="170">
        <v>42998</v>
      </c>
      <c r="B192" s="116">
        <v>110.58</v>
      </c>
      <c r="C192" s="116">
        <v>109.91</v>
      </c>
      <c r="D192" s="116">
        <v>108.82</v>
      </c>
      <c r="E192" s="116">
        <v>110.08</v>
      </c>
      <c r="F192" s="116">
        <v>549.54999999999995</v>
      </c>
      <c r="G192">
        <v>19462</v>
      </c>
      <c r="H192" s="116"/>
      <c r="I192" s="116"/>
      <c r="L192" s="170">
        <v>42998</v>
      </c>
      <c r="M192" s="116">
        <v>109.73</v>
      </c>
      <c r="N192" s="116">
        <v>110.46</v>
      </c>
      <c r="O192" s="116">
        <v>108.8</v>
      </c>
      <c r="P192" s="116">
        <v>110.18</v>
      </c>
      <c r="Q192" s="116">
        <v>548.65</v>
      </c>
      <c r="R192">
        <v>33573</v>
      </c>
    </row>
    <row r="193" spans="1:18" x14ac:dyDescent="0.25">
      <c r="A193" s="170">
        <v>42999</v>
      </c>
      <c r="B193" s="116">
        <v>110.06</v>
      </c>
      <c r="C193" s="116">
        <v>108.46</v>
      </c>
      <c r="D193" s="116">
        <v>107.8</v>
      </c>
      <c r="E193" s="116">
        <v>110.01</v>
      </c>
      <c r="F193" s="116">
        <v>542.29999999999995</v>
      </c>
      <c r="G193">
        <v>17225</v>
      </c>
      <c r="H193" s="116"/>
      <c r="I193" s="116"/>
      <c r="L193" s="170">
        <v>42999</v>
      </c>
      <c r="M193" s="116">
        <v>109.06</v>
      </c>
      <c r="N193" s="116">
        <v>110.02</v>
      </c>
      <c r="O193" s="116">
        <v>107</v>
      </c>
      <c r="P193" s="116">
        <v>110</v>
      </c>
      <c r="Q193" s="116">
        <v>545.29999999999995</v>
      </c>
      <c r="R193">
        <v>39121</v>
      </c>
    </row>
    <row r="194" spans="1:18" x14ac:dyDescent="0.25">
      <c r="A194" s="170">
        <v>43000</v>
      </c>
      <c r="B194" s="116">
        <v>109.25</v>
      </c>
      <c r="C194" s="116">
        <v>107.87</v>
      </c>
      <c r="D194" s="116">
        <v>107</v>
      </c>
      <c r="E194" s="116">
        <v>107.4</v>
      </c>
      <c r="F194" s="116">
        <v>539.35</v>
      </c>
      <c r="G194">
        <v>14296</v>
      </c>
      <c r="H194" s="116"/>
      <c r="I194" s="116"/>
      <c r="L194" s="170">
        <v>43000</v>
      </c>
      <c r="M194" s="116">
        <v>108.07</v>
      </c>
      <c r="N194" s="116">
        <v>109.49</v>
      </c>
      <c r="O194" s="116">
        <v>107</v>
      </c>
      <c r="P194" s="116">
        <v>108.4</v>
      </c>
      <c r="Q194" s="116">
        <v>540.35</v>
      </c>
      <c r="R194">
        <v>43656</v>
      </c>
    </row>
    <row r="195" spans="1:18" x14ac:dyDescent="0.25">
      <c r="A195" s="170">
        <v>43003</v>
      </c>
      <c r="B195" s="116">
        <v>108.95</v>
      </c>
      <c r="C195" s="116">
        <v>104.82</v>
      </c>
      <c r="D195" s="116">
        <v>102.6</v>
      </c>
      <c r="E195" s="116">
        <v>107.3</v>
      </c>
      <c r="F195" s="116">
        <v>524.1</v>
      </c>
      <c r="G195">
        <v>48077</v>
      </c>
      <c r="H195" s="116"/>
      <c r="I195" s="116"/>
      <c r="L195" s="170">
        <v>43003</v>
      </c>
      <c r="M195" s="116">
        <v>104.79</v>
      </c>
      <c r="N195" s="116">
        <v>109.16</v>
      </c>
      <c r="O195" s="116">
        <v>102.4</v>
      </c>
      <c r="P195" s="116">
        <v>107.02</v>
      </c>
      <c r="Q195" s="116">
        <v>523.95000000000005</v>
      </c>
      <c r="R195">
        <v>65583</v>
      </c>
    </row>
    <row r="196" spans="1:18" x14ac:dyDescent="0.25">
      <c r="A196" s="170">
        <v>43004</v>
      </c>
      <c r="B196" s="116">
        <v>105.13</v>
      </c>
      <c r="C196" s="116">
        <v>104.41</v>
      </c>
      <c r="D196" s="116">
        <v>102.8</v>
      </c>
      <c r="E196" s="116">
        <v>104.74</v>
      </c>
      <c r="F196" s="116">
        <v>522.04999999999995</v>
      </c>
      <c r="G196">
        <v>4613</v>
      </c>
      <c r="H196" s="116"/>
      <c r="I196" s="116"/>
      <c r="L196" s="170">
        <v>43004</v>
      </c>
      <c r="M196" s="116">
        <v>104.11</v>
      </c>
      <c r="N196" s="116">
        <v>106.58</v>
      </c>
      <c r="O196" s="116">
        <v>102.5</v>
      </c>
      <c r="P196" s="116">
        <v>106.58</v>
      </c>
      <c r="Q196" s="116">
        <v>520.54999999999995</v>
      </c>
      <c r="R196">
        <v>56025</v>
      </c>
    </row>
    <row r="197" spans="1:18" x14ac:dyDescent="0.25">
      <c r="A197" s="170">
        <v>43005</v>
      </c>
      <c r="B197" s="116">
        <v>105.35</v>
      </c>
      <c r="C197" s="116">
        <v>102.71</v>
      </c>
      <c r="D197" s="116">
        <v>102.11</v>
      </c>
      <c r="E197" s="116">
        <v>103.99</v>
      </c>
      <c r="F197" s="116">
        <v>513.54999999999995</v>
      </c>
      <c r="G197">
        <v>6613</v>
      </c>
      <c r="H197" s="116"/>
      <c r="I197" s="116"/>
      <c r="L197" s="170">
        <v>43005</v>
      </c>
      <c r="M197" s="116">
        <v>102.81</v>
      </c>
      <c r="N197" s="116">
        <v>105.96</v>
      </c>
      <c r="O197" s="116">
        <v>102.1</v>
      </c>
      <c r="P197" s="116">
        <v>104.13</v>
      </c>
      <c r="Q197" s="116">
        <v>514.04999999999995</v>
      </c>
      <c r="R197">
        <v>40760</v>
      </c>
    </row>
    <row r="198" spans="1:18" x14ac:dyDescent="0.25">
      <c r="A198" s="170">
        <v>43006</v>
      </c>
      <c r="B198" s="116">
        <v>102.8</v>
      </c>
      <c r="C198" s="116">
        <v>101.45</v>
      </c>
      <c r="D198" s="116">
        <v>100.87</v>
      </c>
      <c r="E198" s="116">
        <v>102.6</v>
      </c>
      <c r="F198" s="116">
        <v>507.25</v>
      </c>
      <c r="G198">
        <v>7085</v>
      </c>
      <c r="H198" s="116"/>
      <c r="I198" s="116"/>
      <c r="L198" s="170">
        <v>43006</v>
      </c>
      <c r="M198" s="116">
        <v>101.56</v>
      </c>
      <c r="N198" s="116">
        <v>103.43</v>
      </c>
      <c r="O198" s="116">
        <v>100.98</v>
      </c>
      <c r="P198" s="116">
        <v>102.83</v>
      </c>
      <c r="Q198" s="116">
        <v>507.8</v>
      </c>
      <c r="R198">
        <v>62739</v>
      </c>
    </row>
    <row r="199" spans="1:18" x14ac:dyDescent="0.25">
      <c r="A199" s="170">
        <v>43007</v>
      </c>
      <c r="B199" s="116">
        <v>103.62</v>
      </c>
      <c r="C199" s="116">
        <v>101.18</v>
      </c>
      <c r="D199" s="116">
        <v>100.74</v>
      </c>
      <c r="E199" s="116">
        <v>101.59</v>
      </c>
      <c r="F199" s="116">
        <v>505.9</v>
      </c>
      <c r="G199">
        <v>7251</v>
      </c>
      <c r="H199" s="116"/>
      <c r="I199" s="116"/>
      <c r="L199" s="170">
        <v>43007</v>
      </c>
      <c r="M199" s="116">
        <v>101.43</v>
      </c>
      <c r="N199" s="116">
        <v>103.9</v>
      </c>
      <c r="O199" s="116">
        <v>101</v>
      </c>
      <c r="P199" s="116">
        <v>102.6</v>
      </c>
      <c r="Q199" s="116">
        <v>507.15</v>
      </c>
      <c r="R199">
        <v>57603</v>
      </c>
    </row>
    <row r="200" spans="1:18" x14ac:dyDescent="0.25">
      <c r="A200" s="170">
        <v>43011</v>
      </c>
      <c r="B200" s="116">
        <v>103.42</v>
      </c>
      <c r="C200" s="116">
        <v>101.73</v>
      </c>
      <c r="D200" s="116">
        <v>101</v>
      </c>
      <c r="E200" s="116">
        <v>103.27</v>
      </c>
      <c r="F200" s="116">
        <v>508.65</v>
      </c>
      <c r="G200">
        <v>7390</v>
      </c>
      <c r="H200" s="116"/>
      <c r="I200" s="116"/>
      <c r="L200" s="170">
        <v>43011</v>
      </c>
      <c r="M200" s="116">
        <v>101.72</v>
      </c>
      <c r="N200" s="116">
        <v>104.4</v>
      </c>
      <c r="O200" s="116">
        <v>100.45</v>
      </c>
      <c r="P200" s="116">
        <v>104.4</v>
      </c>
      <c r="Q200" s="116">
        <v>508.6</v>
      </c>
      <c r="R200">
        <v>38014</v>
      </c>
    </row>
    <row r="201" spans="1:18" x14ac:dyDescent="0.25">
      <c r="A201" s="170">
        <v>43012</v>
      </c>
      <c r="B201" s="116">
        <v>110.6</v>
      </c>
      <c r="C201" s="116">
        <v>107.29</v>
      </c>
      <c r="D201" s="116">
        <v>102.78</v>
      </c>
      <c r="E201" s="116">
        <v>102.95</v>
      </c>
      <c r="F201" s="116">
        <v>536.45000000000005</v>
      </c>
      <c r="G201">
        <v>32409</v>
      </c>
      <c r="H201" s="116"/>
      <c r="I201" s="116"/>
      <c r="L201" s="170">
        <v>43012</v>
      </c>
      <c r="M201" s="116">
        <v>107.08</v>
      </c>
      <c r="N201" s="116">
        <v>110.67</v>
      </c>
      <c r="O201" s="116">
        <v>102</v>
      </c>
      <c r="P201" s="116">
        <v>102</v>
      </c>
      <c r="Q201" s="116">
        <v>535.4</v>
      </c>
      <c r="R201">
        <v>121482</v>
      </c>
    </row>
    <row r="202" spans="1:18" x14ac:dyDescent="0.25">
      <c r="A202" s="170">
        <v>43013</v>
      </c>
      <c r="B202" s="116">
        <v>109.62</v>
      </c>
      <c r="C202" s="116">
        <v>107.01</v>
      </c>
      <c r="D202" s="116">
        <v>106.2</v>
      </c>
      <c r="E202" s="116">
        <v>106.82</v>
      </c>
      <c r="F202" s="116">
        <v>535.04999999999995</v>
      </c>
      <c r="G202">
        <v>12229</v>
      </c>
      <c r="H202" s="116"/>
      <c r="I202" s="116"/>
      <c r="L202" s="170">
        <v>43013</v>
      </c>
      <c r="M202" s="116">
        <v>106.87</v>
      </c>
      <c r="N202" s="116">
        <v>109.6</v>
      </c>
      <c r="O202" s="116">
        <v>105.86</v>
      </c>
      <c r="P202" s="116">
        <v>107.08</v>
      </c>
      <c r="Q202" s="116">
        <v>534.35</v>
      </c>
      <c r="R202">
        <v>49092</v>
      </c>
    </row>
    <row r="203" spans="1:18" x14ac:dyDescent="0.25">
      <c r="A203" s="170">
        <v>43014</v>
      </c>
      <c r="B203" s="116">
        <v>109.24</v>
      </c>
      <c r="C203" s="116">
        <v>108.15</v>
      </c>
      <c r="D203" s="116">
        <v>106.71</v>
      </c>
      <c r="E203" s="116">
        <v>107.61</v>
      </c>
      <c r="F203" s="116">
        <v>540.75</v>
      </c>
      <c r="G203">
        <v>11526</v>
      </c>
      <c r="H203" s="116"/>
      <c r="I203" s="116"/>
      <c r="L203" s="170">
        <v>43014</v>
      </c>
      <c r="M203" s="116">
        <v>108.28</v>
      </c>
      <c r="N203" s="116">
        <v>109.6</v>
      </c>
      <c r="O203" s="116">
        <v>106.4</v>
      </c>
      <c r="P203" s="116">
        <v>107.17</v>
      </c>
      <c r="Q203" s="116">
        <v>541.4</v>
      </c>
      <c r="R203">
        <v>50817</v>
      </c>
    </row>
    <row r="204" spans="1:18" x14ac:dyDescent="0.25">
      <c r="A204" s="170">
        <v>43017</v>
      </c>
      <c r="B204" s="116">
        <v>107.99</v>
      </c>
      <c r="C204" s="116">
        <v>106.54</v>
      </c>
      <c r="D204" s="116">
        <v>106.16</v>
      </c>
      <c r="E204" s="116">
        <v>107.19</v>
      </c>
      <c r="F204" s="116">
        <v>532.70000000000005</v>
      </c>
      <c r="G204">
        <v>6710</v>
      </c>
      <c r="H204" s="116"/>
      <c r="I204" s="116"/>
      <c r="L204" s="170">
        <v>43017</v>
      </c>
      <c r="M204" s="116">
        <v>106.99</v>
      </c>
      <c r="N204" s="116">
        <v>108.27</v>
      </c>
      <c r="O204" s="116">
        <v>106.55</v>
      </c>
      <c r="P204" s="116">
        <v>108</v>
      </c>
      <c r="Q204" s="116">
        <v>534.95000000000005</v>
      </c>
      <c r="R204">
        <v>24569</v>
      </c>
    </row>
    <row r="205" spans="1:18" x14ac:dyDescent="0.25">
      <c r="A205" s="170">
        <v>43018</v>
      </c>
      <c r="B205" s="116">
        <v>110.01</v>
      </c>
      <c r="C205" s="116">
        <v>109.59</v>
      </c>
      <c r="D205" s="116">
        <v>106.6</v>
      </c>
      <c r="E205" s="116">
        <v>106.6</v>
      </c>
      <c r="F205" s="116">
        <v>547.95000000000005</v>
      </c>
      <c r="G205">
        <v>11258</v>
      </c>
      <c r="H205" s="116"/>
      <c r="I205" s="116"/>
      <c r="L205" s="170">
        <v>43018</v>
      </c>
      <c r="M205" s="116">
        <v>108.96</v>
      </c>
      <c r="N205" s="116">
        <v>109.6</v>
      </c>
      <c r="O205" s="116">
        <v>106.52</v>
      </c>
      <c r="P205" s="116">
        <v>107</v>
      </c>
      <c r="Q205" s="116">
        <v>544.79999999999995</v>
      </c>
      <c r="R205">
        <v>44285</v>
      </c>
    </row>
    <row r="206" spans="1:18" x14ac:dyDescent="0.25">
      <c r="A206" s="170">
        <v>43019</v>
      </c>
      <c r="B206" s="116">
        <v>108.88</v>
      </c>
      <c r="C206" s="116">
        <v>106.85</v>
      </c>
      <c r="D206" s="116">
        <v>104.8</v>
      </c>
      <c r="E206" s="116">
        <v>108.4</v>
      </c>
      <c r="F206" s="116">
        <v>534.25</v>
      </c>
      <c r="G206">
        <v>9902</v>
      </c>
      <c r="H206" s="116"/>
      <c r="I206" s="116"/>
      <c r="L206" s="170">
        <v>43019</v>
      </c>
      <c r="M206" s="116">
        <v>106.71</v>
      </c>
      <c r="N206" s="116">
        <v>109</v>
      </c>
      <c r="O206" s="116">
        <v>105.36</v>
      </c>
      <c r="P206" s="116">
        <v>108.55</v>
      </c>
      <c r="Q206" s="116">
        <v>533.54999999999995</v>
      </c>
      <c r="R206">
        <v>39324</v>
      </c>
    </row>
    <row r="207" spans="1:18" x14ac:dyDescent="0.25">
      <c r="A207" s="170">
        <v>43020</v>
      </c>
      <c r="B207" s="116">
        <v>109</v>
      </c>
      <c r="C207" s="116">
        <v>108.75</v>
      </c>
      <c r="D207" s="116">
        <v>107.1</v>
      </c>
      <c r="E207" s="116">
        <v>107.38</v>
      </c>
      <c r="F207" s="116">
        <v>543.75</v>
      </c>
      <c r="G207">
        <v>6926</v>
      </c>
      <c r="H207" s="116"/>
      <c r="I207" s="116"/>
      <c r="L207" s="170">
        <v>43020</v>
      </c>
      <c r="M207" s="116">
        <v>108.93</v>
      </c>
      <c r="N207" s="116">
        <v>109.96</v>
      </c>
      <c r="O207" s="116">
        <v>106.99</v>
      </c>
      <c r="P207" s="116">
        <v>107.42</v>
      </c>
      <c r="Q207" s="116">
        <v>544.65</v>
      </c>
      <c r="R207">
        <v>105574</v>
      </c>
    </row>
    <row r="208" spans="1:18" x14ac:dyDescent="0.25">
      <c r="A208" s="170">
        <v>43021</v>
      </c>
      <c r="B208" s="116">
        <v>109.95</v>
      </c>
      <c r="C208" s="116">
        <v>108.72</v>
      </c>
      <c r="D208" s="116">
        <v>108.18</v>
      </c>
      <c r="E208" s="116">
        <v>109.13</v>
      </c>
      <c r="F208" s="116">
        <v>543.6</v>
      </c>
      <c r="G208">
        <v>3828</v>
      </c>
      <c r="H208" s="116"/>
      <c r="I208" s="116"/>
      <c r="L208" s="170">
        <v>43021</v>
      </c>
      <c r="M208" s="116">
        <v>108.66</v>
      </c>
      <c r="N208" s="116">
        <v>109.8</v>
      </c>
      <c r="O208" s="116">
        <v>108.04</v>
      </c>
      <c r="P208" s="116">
        <v>109.58</v>
      </c>
      <c r="Q208" s="116">
        <v>543.29999999999995</v>
      </c>
      <c r="R208">
        <v>65121</v>
      </c>
    </row>
    <row r="209" spans="1:18" x14ac:dyDescent="0.25">
      <c r="A209" s="170">
        <v>43024</v>
      </c>
      <c r="B209" s="116">
        <v>110.81</v>
      </c>
      <c r="C209" s="116">
        <v>109.18</v>
      </c>
      <c r="D209" s="116">
        <v>108.4</v>
      </c>
      <c r="E209" s="116">
        <v>108.58</v>
      </c>
      <c r="F209" s="116">
        <v>545.9</v>
      </c>
      <c r="G209">
        <v>9426</v>
      </c>
      <c r="H209" s="116"/>
      <c r="I209" s="116"/>
      <c r="L209" s="170">
        <v>43024</v>
      </c>
      <c r="M209" s="116">
        <v>109.15</v>
      </c>
      <c r="N209" s="116">
        <v>111.39</v>
      </c>
      <c r="O209" s="116">
        <v>108</v>
      </c>
      <c r="P209" s="116">
        <v>108</v>
      </c>
      <c r="Q209" s="116">
        <v>545.75</v>
      </c>
      <c r="R209">
        <v>76957</v>
      </c>
    </row>
    <row r="210" spans="1:18" x14ac:dyDescent="0.25">
      <c r="A210" s="170">
        <v>43025</v>
      </c>
      <c r="B210" s="116">
        <v>110.4</v>
      </c>
      <c r="C210" s="116">
        <v>109.4</v>
      </c>
      <c r="D210" s="116">
        <v>108.8</v>
      </c>
      <c r="E210" s="116">
        <v>110.08</v>
      </c>
      <c r="F210" s="116">
        <v>547</v>
      </c>
      <c r="G210">
        <v>5767</v>
      </c>
      <c r="H210" s="116"/>
      <c r="I210" s="116"/>
      <c r="L210" s="170">
        <v>43025</v>
      </c>
      <c r="M210" s="116">
        <v>109.35</v>
      </c>
      <c r="N210" s="116">
        <v>110.8</v>
      </c>
      <c r="O210" s="116">
        <v>108.4</v>
      </c>
      <c r="P210" s="116">
        <v>110.6</v>
      </c>
      <c r="Q210" s="116">
        <v>546.75</v>
      </c>
      <c r="R210">
        <v>60467</v>
      </c>
    </row>
    <row r="211" spans="1:18" x14ac:dyDescent="0.25">
      <c r="A211" s="170">
        <v>43026</v>
      </c>
      <c r="B211" s="116">
        <v>110.2</v>
      </c>
      <c r="C211" s="116">
        <v>108.43</v>
      </c>
      <c r="D211" s="116">
        <v>107.84</v>
      </c>
      <c r="E211" s="116">
        <v>108.88</v>
      </c>
      <c r="F211" s="116">
        <v>542.15</v>
      </c>
      <c r="G211">
        <v>13862</v>
      </c>
      <c r="H211" s="116"/>
      <c r="I211" s="116"/>
      <c r="L211" s="170">
        <v>43026</v>
      </c>
      <c r="M211" s="116">
        <v>109.42</v>
      </c>
      <c r="N211" s="116">
        <v>110.6</v>
      </c>
      <c r="O211" s="116">
        <v>108.44</v>
      </c>
      <c r="P211" s="116">
        <v>109.89</v>
      </c>
      <c r="Q211" s="116">
        <v>547.1</v>
      </c>
      <c r="R211">
        <v>161076</v>
      </c>
    </row>
    <row r="212" spans="1:18" x14ac:dyDescent="0.25">
      <c r="A212" s="170">
        <v>43027</v>
      </c>
      <c r="B212" s="116">
        <v>109.58</v>
      </c>
      <c r="C212" s="116">
        <v>108.99</v>
      </c>
      <c r="D212" s="116">
        <v>108.4</v>
      </c>
      <c r="E212" s="116">
        <v>108.4</v>
      </c>
      <c r="F212" s="116">
        <v>544.95000000000005</v>
      </c>
      <c r="G212">
        <v>2067</v>
      </c>
      <c r="H212" s="116"/>
      <c r="I212" s="116"/>
      <c r="L212" s="170">
        <v>43027</v>
      </c>
      <c r="M212" s="116">
        <v>109</v>
      </c>
      <c r="N212" s="116">
        <v>110.4</v>
      </c>
      <c r="O212" s="116">
        <v>108.6</v>
      </c>
      <c r="P212" s="116">
        <v>110.4</v>
      </c>
      <c r="Q212" s="116">
        <v>545</v>
      </c>
      <c r="R212">
        <v>10354</v>
      </c>
    </row>
    <row r="213" spans="1:18" x14ac:dyDescent="0.25">
      <c r="A213" s="170">
        <v>43031</v>
      </c>
      <c r="B213" s="116">
        <v>109.48</v>
      </c>
      <c r="C213" s="116">
        <v>108.65</v>
      </c>
      <c r="D213" s="116">
        <v>108.2</v>
      </c>
      <c r="E213" s="116">
        <v>108.99</v>
      </c>
      <c r="F213" s="116">
        <v>543.25</v>
      </c>
      <c r="G213">
        <v>8073</v>
      </c>
      <c r="H213" s="116"/>
      <c r="I213" s="116"/>
      <c r="L213" s="170">
        <v>43031</v>
      </c>
      <c r="M213" s="116">
        <v>108.58</v>
      </c>
      <c r="N213" s="116">
        <v>109.69</v>
      </c>
      <c r="O213" s="116">
        <v>107.7</v>
      </c>
      <c r="P213" s="116">
        <v>107.85</v>
      </c>
      <c r="Q213" s="116">
        <v>542.9</v>
      </c>
      <c r="R213">
        <v>87276</v>
      </c>
    </row>
    <row r="214" spans="1:18" x14ac:dyDescent="0.25">
      <c r="A214" s="170">
        <v>43032</v>
      </c>
      <c r="B214" s="116">
        <v>108.99</v>
      </c>
      <c r="C214" s="116">
        <v>108.32</v>
      </c>
      <c r="D214" s="116">
        <v>107.26</v>
      </c>
      <c r="E214" s="116">
        <v>108.2</v>
      </c>
      <c r="F214" s="116">
        <v>541.6</v>
      </c>
      <c r="G214">
        <v>3643</v>
      </c>
      <c r="H214" s="116"/>
      <c r="I214" s="116"/>
      <c r="L214" s="170">
        <v>43032</v>
      </c>
      <c r="M214" s="116">
        <v>108.34</v>
      </c>
      <c r="N214" s="116">
        <v>109</v>
      </c>
      <c r="O214" s="116">
        <v>107.4</v>
      </c>
      <c r="P214" s="116">
        <v>109</v>
      </c>
      <c r="Q214" s="116">
        <v>541.70000000000005</v>
      </c>
      <c r="R214">
        <v>61153</v>
      </c>
    </row>
    <row r="215" spans="1:18" x14ac:dyDescent="0.25">
      <c r="A215" s="170">
        <v>43033</v>
      </c>
      <c r="B215" s="116">
        <v>108.97</v>
      </c>
      <c r="C215" s="116">
        <v>107.87</v>
      </c>
      <c r="D215" s="116">
        <v>107.22</v>
      </c>
      <c r="E215" s="116">
        <v>108.85</v>
      </c>
      <c r="F215" s="116">
        <v>539.35</v>
      </c>
      <c r="G215">
        <v>5731</v>
      </c>
      <c r="H215" s="116"/>
      <c r="I215" s="116"/>
      <c r="L215" s="170">
        <v>43033</v>
      </c>
      <c r="M215" s="116">
        <v>107.92</v>
      </c>
      <c r="N215" s="116">
        <v>108.98</v>
      </c>
      <c r="O215" s="116">
        <v>107.21</v>
      </c>
      <c r="P215" s="116">
        <v>108</v>
      </c>
      <c r="Q215" s="116">
        <v>539.6</v>
      </c>
      <c r="R215">
        <v>27287</v>
      </c>
    </row>
    <row r="216" spans="1:18" x14ac:dyDescent="0.25">
      <c r="A216" s="170">
        <v>43034</v>
      </c>
      <c r="B216" s="116">
        <v>108.37</v>
      </c>
      <c r="C216" s="116">
        <v>106.74</v>
      </c>
      <c r="D216" s="116">
        <v>106.48</v>
      </c>
      <c r="E216" s="116">
        <v>108</v>
      </c>
      <c r="F216" s="116">
        <v>533.70000000000005</v>
      </c>
      <c r="G216">
        <v>2226</v>
      </c>
      <c r="H216" s="116"/>
      <c r="I216" s="116"/>
      <c r="L216" s="170">
        <v>43034</v>
      </c>
      <c r="M216" s="116">
        <v>107.07</v>
      </c>
      <c r="N216" s="116">
        <v>108.6</v>
      </c>
      <c r="O216" s="116">
        <v>106.67</v>
      </c>
      <c r="P216" s="116">
        <v>108.59</v>
      </c>
      <c r="Q216" s="116">
        <v>535.35</v>
      </c>
      <c r="R216">
        <v>15433</v>
      </c>
    </row>
    <row r="217" spans="1:18" x14ac:dyDescent="0.25">
      <c r="A217" s="170">
        <v>43035</v>
      </c>
      <c r="B217" s="116">
        <v>108.65</v>
      </c>
      <c r="C217" s="116">
        <v>107.66</v>
      </c>
      <c r="D217" s="116">
        <v>107.26</v>
      </c>
      <c r="E217" s="116">
        <v>107.82</v>
      </c>
      <c r="F217" s="116">
        <v>538.29999999999995</v>
      </c>
      <c r="G217">
        <v>4399</v>
      </c>
      <c r="H217" s="116"/>
      <c r="I217" s="116"/>
      <c r="L217" s="170">
        <v>43035</v>
      </c>
      <c r="M217" s="116">
        <v>107.28</v>
      </c>
      <c r="N217" s="116">
        <v>108.79</v>
      </c>
      <c r="O217" s="116">
        <v>106.87</v>
      </c>
      <c r="P217" s="116">
        <v>106.87</v>
      </c>
      <c r="Q217" s="116">
        <v>536.4</v>
      </c>
      <c r="R217">
        <v>71231</v>
      </c>
    </row>
    <row r="218" spans="1:18" x14ac:dyDescent="0.25">
      <c r="A218" s="170">
        <v>43038</v>
      </c>
      <c r="B218" s="116">
        <v>108.85</v>
      </c>
      <c r="C218" s="116">
        <v>107.5</v>
      </c>
      <c r="D218" s="116">
        <v>106.72</v>
      </c>
      <c r="E218" s="116">
        <v>107.66</v>
      </c>
      <c r="F218" s="116">
        <v>537.5</v>
      </c>
      <c r="G218">
        <v>14771</v>
      </c>
      <c r="H218" s="116"/>
      <c r="I218" s="116"/>
      <c r="L218" s="170">
        <v>43038</v>
      </c>
      <c r="M218" s="116">
        <v>107.63</v>
      </c>
      <c r="N218" s="116">
        <v>109</v>
      </c>
      <c r="O218" s="116">
        <v>106.72</v>
      </c>
      <c r="P218" s="116">
        <v>107.28</v>
      </c>
      <c r="Q218" s="116">
        <v>538.15</v>
      </c>
      <c r="R218">
        <v>84882</v>
      </c>
    </row>
    <row r="219" spans="1:18" x14ac:dyDescent="0.25">
      <c r="A219" s="170">
        <v>43039</v>
      </c>
      <c r="B219" s="116">
        <v>108.14</v>
      </c>
      <c r="C219" s="116">
        <v>107.31</v>
      </c>
      <c r="D219" s="116">
        <v>106.82</v>
      </c>
      <c r="E219" s="116">
        <v>107.78</v>
      </c>
      <c r="F219" s="116">
        <v>536.54999999999995</v>
      </c>
      <c r="G219">
        <v>3265</v>
      </c>
      <c r="H219" s="116"/>
      <c r="I219" s="116"/>
      <c r="L219" s="170">
        <v>43039</v>
      </c>
      <c r="M219" s="116">
        <v>107.68</v>
      </c>
      <c r="N219" s="116">
        <v>108.18</v>
      </c>
      <c r="O219" s="116">
        <v>107.2</v>
      </c>
      <c r="P219" s="116">
        <v>108.18</v>
      </c>
      <c r="Q219" s="116">
        <v>538.4</v>
      </c>
      <c r="R219">
        <v>20634</v>
      </c>
    </row>
    <row r="220" spans="1:18" x14ac:dyDescent="0.25">
      <c r="A220" s="170">
        <v>43040</v>
      </c>
      <c r="B220" s="116">
        <v>108.4</v>
      </c>
      <c r="C220" s="116">
        <v>106.57</v>
      </c>
      <c r="D220" s="116">
        <v>104.6</v>
      </c>
      <c r="E220" s="116">
        <v>107.81</v>
      </c>
      <c r="F220" s="116">
        <v>532.85</v>
      </c>
      <c r="G220">
        <v>2782</v>
      </c>
      <c r="H220" s="116"/>
      <c r="I220" s="116"/>
      <c r="L220" s="170">
        <v>43040</v>
      </c>
      <c r="M220" s="116">
        <v>107.41</v>
      </c>
      <c r="N220" s="116">
        <v>108</v>
      </c>
      <c r="O220" s="116">
        <v>107</v>
      </c>
      <c r="P220" s="116">
        <v>107.02</v>
      </c>
      <c r="Q220" s="116">
        <v>537.04999999999995</v>
      </c>
      <c r="R220">
        <v>23041</v>
      </c>
    </row>
    <row r="221" spans="1:18" x14ac:dyDescent="0.25">
      <c r="A221" s="170">
        <v>43041</v>
      </c>
      <c r="B221" s="116">
        <v>108.74</v>
      </c>
      <c r="C221" s="116">
        <v>107.29</v>
      </c>
      <c r="D221" s="116">
        <v>106.04</v>
      </c>
      <c r="E221" s="116">
        <v>107.87</v>
      </c>
      <c r="F221" s="116">
        <v>536.45000000000005</v>
      </c>
      <c r="G221">
        <v>4219</v>
      </c>
      <c r="H221" s="116"/>
      <c r="I221" s="116"/>
      <c r="L221" s="170">
        <v>43041</v>
      </c>
      <c r="M221" s="116">
        <v>107.55</v>
      </c>
      <c r="N221" s="116">
        <v>109</v>
      </c>
      <c r="O221" s="116">
        <v>106.4</v>
      </c>
      <c r="P221" s="116">
        <v>106.4</v>
      </c>
      <c r="Q221" s="116">
        <v>537.75</v>
      </c>
      <c r="R221">
        <v>67250</v>
      </c>
    </row>
    <row r="222" spans="1:18" x14ac:dyDescent="0.25">
      <c r="A222" s="170">
        <v>43042</v>
      </c>
      <c r="B222" s="116">
        <v>108.6</v>
      </c>
      <c r="C222" s="116">
        <v>106.79</v>
      </c>
      <c r="D222" s="116">
        <v>106.4</v>
      </c>
      <c r="E222" s="116">
        <v>107.35</v>
      </c>
      <c r="F222" s="116">
        <v>533.95000000000005</v>
      </c>
      <c r="G222">
        <v>7234</v>
      </c>
      <c r="H222" s="116"/>
      <c r="I222" s="116"/>
      <c r="L222" s="170">
        <v>43042</v>
      </c>
      <c r="M222" s="116">
        <v>106.94</v>
      </c>
      <c r="N222" s="116">
        <v>108.8</v>
      </c>
      <c r="O222" s="116">
        <v>106.8</v>
      </c>
      <c r="P222" s="116">
        <v>108.8</v>
      </c>
      <c r="Q222" s="116">
        <v>534.70000000000005</v>
      </c>
      <c r="R222">
        <v>76036</v>
      </c>
    </row>
    <row r="223" spans="1:18" x14ac:dyDescent="0.25">
      <c r="A223" s="170">
        <v>43045</v>
      </c>
      <c r="B223" s="116">
        <v>109.68</v>
      </c>
      <c r="C223" s="116">
        <v>108.7</v>
      </c>
      <c r="D223" s="116">
        <v>107.05</v>
      </c>
      <c r="E223" s="116">
        <v>107.98</v>
      </c>
      <c r="F223" s="116">
        <v>543.5</v>
      </c>
      <c r="G223">
        <v>11387</v>
      </c>
      <c r="H223" s="116"/>
      <c r="I223" s="116"/>
      <c r="L223" s="170">
        <v>43045</v>
      </c>
      <c r="M223" s="116">
        <v>109.13</v>
      </c>
      <c r="N223" s="116">
        <v>110.34</v>
      </c>
      <c r="O223" s="116">
        <v>107.02</v>
      </c>
      <c r="P223" s="116">
        <v>108.59</v>
      </c>
      <c r="Q223" s="116">
        <v>545.65</v>
      </c>
      <c r="R223">
        <v>133554</v>
      </c>
    </row>
    <row r="224" spans="1:18" x14ac:dyDescent="0.25">
      <c r="A224" s="170">
        <v>43046</v>
      </c>
      <c r="B224" s="116">
        <v>111.2</v>
      </c>
      <c r="C224" s="116">
        <v>108.93</v>
      </c>
      <c r="D224" s="116">
        <v>105.44</v>
      </c>
      <c r="E224" s="116">
        <v>109.6</v>
      </c>
      <c r="F224" s="116">
        <v>544.65</v>
      </c>
      <c r="G224">
        <v>34818</v>
      </c>
      <c r="H224" s="116"/>
      <c r="I224" s="116"/>
      <c r="L224" s="170">
        <v>43046</v>
      </c>
      <c r="M224" s="116">
        <v>108.69</v>
      </c>
      <c r="N224" s="116">
        <v>111.57</v>
      </c>
      <c r="O224" s="116">
        <v>108.16</v>
      </c>
      <c r="P224" s="116">
        <v>109.6</v>
      </c>
      <c r="Q224" s="116">
        <v>543.45000000000005</v>
      </c>
      <c r="R224">
        <v>197278</v>
      </c>
    </row>
    <row r="225" spans="1:18" x14ac:dyDescent="0.25">
      <c r="A225" s="170">
        <v>43047</v>
      </c>
      <c r="B225" s="116">
        <v>111</v>
      </c>
      <c r="C225" s="116">
        <v>108.92</v>
      </c>
      <c r="D225" s="116">
        <v>108.19</v>
      </c>
      <c r="E225" s="116">
        <v>110.4</v>
      </c>
      <c r="F225" s="116">
        <v>544.6</v>
      </c>
      <c r="G225">
        <v>76441</v>
      </c>
      <c r="H225" s="116"/>
      <c r="I225" s="116"/>
      <c r="L225" s="170">
        <v>43047</v>
      </c>
      <c r="M225" s="116">
        <v>109.02</v>
      </c>
      <c r="N225" s="116">
        <v>110.41</v>
      </c>
      <c r="O225" s="116">
        <v>108.59</v>
      </c>
      <c r="P225" s="116">
        <v>109.2</v>
      </c>
      <c r="Q225" s="116">
        <v>545.1</v>
      </c>
      <c r="R225">
        <v>200802</v>
      </c>
    </row>
    <row r="226" spans="1:18" x14ac:dyDescent="0.25">
      <c r="A226" s="170">
        <v>43048</v>
      </c>
      <c r="B226" s="116">
        <v>110</v>
      </c>
      <c r="C226" s="116">
        <v>108.23</v>
      </c>
      <c r="D226" s="116">
        <v>107</v>
      </c>
      <c r="E226" s="116">
        <v>109.62</v>
      </c>
      <c r="F226" s="116">
        <v>541.15</v>
      </c>
      <c r="G226">
        <v>4114</v>
      </c>
      <c r="H226" s="116"/>
      <c r="I226" s="116"/>
      <c r="L226" s="170">
        <v>43048</v>
      </c>
      <c r="M226" s="116">
        <v>107.8</v>
      </c>
      <c r="N226" s="116">
        <v>110.2</v>
      </c>
      <c r="O226" s="116">
        <v>106.6</v>
      </c>
      <c r="P226" s="116">
        <v>109.02</v>
      </c>
      <c r="Q226" s="116">
        <v>539</v>
      </c>
      <c r="R226">
        <v>70101</v>
      </c>
    </row>
    <row r="227" spans="1:18" x14ac:dyDescent="0.25">
      <c r="A227" s="170">
        <v>43049</v>
      </c>
      <c r="B227" s="116">
        <v>109</v>
      </c>
      <c r="C227" s="116">
        <v>106.5</v>
      </c>
      <c r="D227" s="116">
        <v>106</v>
      </c>
      <c r="E227" s="116">
        <v>107.02</v>
      </c>
      <c r="F227" s="116">
        <v>532.5</v>
      </c>
      <c r="G227">
        <v>13554</v>
      </c>
      <c r="H227" s="116"/>
      <c r="I227" s="116"/>
      <c r="L227" s="170">
        <v>43049</v>
      </c>
      <c r="M227" s="116">
        <v>105.94</v>
      </c>
      <c r="N227" s="116">
        <v>108.7</v>
      </c>
      <c r="O227" s="116">
        <v>104.8</v>
      </c>
      <c r="P227" s="116">
        <v>106.61</v>
      </c>
      <c r="Q227" s="116">
        <v>529.70000000000005</v>
      </c>
      <c r="R227">
        <v>47349</v>
      </c>
    </row>
    <row r="228" spans="1:18" x14ac:dyDescent="0.25">
      <c r="A228" s="170">
        <v>43052</v>
      </c>
      <c r="B228" s="116">
        <v>106.88</v>
      </c>
      <c r="C228" s="116">
        <v>104.85</v>
      </c>
      <c r="D228" s="116">
        <v>104.32</v>
      </c>
      <c r="E228" s="116">
        <v>106.34</v>
      </c>
      <c r="F228" s="116">
        <v>524.25</v>
      </c>
      <c r="G228">
        <v>5415</v>
      </c>
      <c r="H228" s="116"/>
      <c r="I228" s="116"/>
      <c r="L228" s="170">
        <v>43052</v>
      </c>
      <c r="M228" s="116">
        <v>104.83</v>
      </c>
      <c r="N228" s="116">
        <v>106.97</v>
      </c>
      <c r="O228" s="116">
        <v>104.5</v>
      </c>
      <c r="P228" s="116">
        <v>104.81</v>
      </c>
      <c r="Q228" s="116">
        <v>524.15</v>
      </c>
      <c r="R228">
        <v>54609</v>
      </c>
    </row>
    <row r="229" spans="1:18" x14ac:dyDescent="0.25">
      <c r="A229" s="170">
        <v>43053</v>
      </c>
      <c r="B229" s="116">
        <v>106.76</v>
      </c>
      <c r="C229" s="116">
        <v>104.96</v>
      </c>
      <c r="D229" s="116">
        <v>104.67</v>
      </c>
      <c r="E229" s="116">
        <v>104.67</v>
      </c>
      <c r="F229" s="116">
        <v>524.79999999999995</v>
      </c>
      <c r="G229">
        <v>7094</v>
      </c>
      <c r="H229" s="116"/>
      <c r="I229" s="116"/>
      <c r="L229" s="170">
        <v>43053</v>
      </c>
      <c r="M229" s="116">
        <v>104.58</v>
      </c>
      <c r="N229" s="116">
        <v>107.15</v>
      </c>
      <c r="O229" s="116">
        <v>103.83</v>
      </c>
      <c r="P229" s="116">
        <v>106.42</v>
      </c>
      <c r="Q229" s="116">
        <v>522.9</v>
      </c>
      <c r="R229">
        <v>85658</v>
      </c>
    </row>
    <row r="230" spans="1:18" x14ac:dyDescent="0.25">
      <c r="A230" s="170">
        <v>43054</v>
      </c>
      <c r="B230" s="116">
        <v>110.17</v>
      </c>
      <c r="C230" s="116">
        <v>107.17</v>
      </c>
      <c r="D230" s="116">
        <v>106.22</v>
      </c>
      <c r="E230" s="116">
        <v>108.82</v>
      </c>
      <c r="F230" s="116">
        <v>535.85</v>
      </c>
      <c r="G230">
        <v>24803</v>
      </c>
      <c r="H230" s="116"/>
      <c r="I230" s="116"/>
      <c r="L230" s="170">
        <v>43054</v>
      </c>
      <c r="M230" s="116">
        <v>106.92</v>
      </c>
      <c r="N230" s="116">
        <v>111</v>
      </c>
      <c r="O230" s="116">
        <v>106.47</v>
      </c>
      <c r="P230" s="116">
        <v>111</v>
      </c>
      <c r="Q230" s="116">
        <v>534.6</v>
      </c>
      <c r="R230">
        <v>296423</v>
      </c>
    </row>
    <row r="231" spans="1:18" x14ac:dyDescent="0.25">
      <c r="A231" s="170">
        <v>43055</v>
      </c>
      <c r="B231" s="116">
        <v>107.2</v>
      </c>
      <c r="C231" s="116">
        <v>105.7</v>
      </c>
      <c r="D231" s="116">
        <v>104.41</v>
      </c>
      <c r="E231" s="116">
        <v>107.2</v>
      </c>
      <c r="F231" s="116">
        <v>528.5</v>
      </c>
      <c r="G231">
        <v>5263</v>
      </c>
      <c r="H231" s="116"/>
      <c r="I231" s="116"/>
      <c r="L231" s="170">
        <v>43055</v>
      </c>
      <c r="M231" s="116">
        <v>105.42</v>
      </c>
      <c r="N231" s="116">
        <v>107</v>
      </c>
      <c r="O231" s="116">
        <v>104.2</v>
      </c>
      <c r="P231" s="116">
        <v>104.2</v>
      </c>
      <c r="Q231" s="116">
        <v>527.1</v>
      </c>
      <c r="R231">
        <v>55532</v>
      </c>
    </row>
    <row r="232" spans="1:18" x14ac:dyDescent="0.25">
      <c r="A232" s="170">
        <v>43056</v>
      </c>
      <c r="B232" s="116">
        <v>106.98</v>
      </c>
      <c r="C232" s="116">
        <v>105.83</v>
      </c>
      <c r="D232" s="116">
        <v>105.25</v>
      </c>
      <c r="E232" s="116">
        <v>105.58</v>
      </c>
      <c r="F232" s="116">
        <v>529.15</v>
      </c>
      <c r="G232">
        <v>5617</v>
      </c>
      <c r="H232" s="116"/>
      <c r="I232" s="116"/>
      <c r="L232" s="170">
        <v>43056</v>
      </c>
      <c r="M232" s="116">
        <v>105.85</v>
      </c>
      <c r="N232" s="116">
        <v>107</v>
      </c>
      <c r="O232" s="116">
        <v>105.42</v>
      </c>
      <c r="P232" s="116">
        <v>106.6</v>
      </c>
      <c r="Q232" s="116">
        <v>529.25</v>
      </c>
      <c r="R232">
        <v>29349</v>
      </c>
    </row>
    <row r="233" spans="1:18" x14ac:dyDescent="0.25">
      <c r="A233" s="170">
        <v>43059</v>
      </c>
      <c r="B233" s="116">
        <v>106.39</v>
      </c>
      <c r="C233" s="116">
        <v>106.12</v>
      </c>
      <c r="D233" s="116">
        <v>105.39</v>
      </c>
      <c r="E233" s="116">
        <v>106.08</v>
      </c>
      <c r="F233" s="116">
        <v>530.6</v>
      </c>
      <c r="G233">
        <v>3744</v>
      </c>
      <c r="H233" s="116"/>
      <c r="I233" s="116"/>
      <c r="L233" s="170">
        <v>43059</v>
      </c>
      <c r="M233" s="116">
        <v>105.89</v>
      </c>
      <c r="N233" s="116">
        <v>106.79</v>
      </c>
      <c r="O233" s="116">
        <v>105.41</v>
      </c>
      <c r="P233" s="116">
        <v>106.79</v>
      </c>
      <c r="Q233" s="116">
        <v>529.45000000000005</v>
      </c>
      <c r="R233">
        <v>29966</v>
      </c>
    </row>
    <row r="234" spans="1:18" x14ac:dyDescent="0.25">
      <c r="A234" s="170">
        <v>43060</v>
      </c>
      <c r="B234" s="116">
        <v>106.6</v>
      </c>
      <c r="C234" s="116">
        <v>105.84</v>
      </c>
      <c r="D234" s="116">
        <v>105.6</v>
      </c>
      <c r="E234" s="116">
        <v>105.98</v>
      </c>
      <c r="F234" s="116">
        <v>529.20000000000005</v>
      </c>
      <c r="G234">
        <v>3570</v>
      </c>
      <c r="H234" s="116"/>
      <c r="I234" s="116"/>
      <c r="L234" s="170">
        <v>43060</v>
      </c>
      <c r="M234" s="116">
        <v>105.85</v>
      </c>
      <c r="N234" s="116">
        <v>106.6</v>
      </c>
      <c r="O234" s="116">
        <v>105.2</v>
      </c>
      <c r="P234" s="116">
        <v>105.8</v>
      </c>
      <c r="Q234" s="116">
        <v>529.25</v>
      </c>
      <c r="R234">
        <v>68166</v>
      </c>
    </row>
    <row r="235" spans="1:18" x14ac:dyDescent="0.25">
      <c r="A235" s="170">
        <v>43061</v>
      </c>
      <c r="B235" s="116">
        <v>106.29</v>
      </c>
      <c r="C235" s="116">
        <v>105.16</v>
      </c>
      <c r="D235" s="116">
        <v>104.2</v>
      </c>
      <c r="E235" s="116">
        <v>106</v>
      </c>
      <c r="F235" s="116">
        <v>525.79999999999995</v>
      </c>
      <c r="G235">
        <v>7194</v>
      </c>
      <c r="H235" s="116"/>
      <c r="I235" s="116"/>
      <c r="L235" s="170">
        <v>43061</v>
      </c>
      <c r="M235" s="116">
        <v>105.26</v>
      </c>
      <c r="N235" s="116">
        <v>106.2</v>
      </c>
      <c r="O235" s="116">
        <v>104.97</v>
      </c>
      <c r="P235" s="116">
        <v>105.25</v>
      </c>
      <c r="Q235" s="116">
        <v>526.29999999999995</v>
      </c>
      <c r="R235">
        <v>21504</v>
      </c>
    </row>
    <row r="236" spans="1:18" x14ac:dyDescent="0.25">
      <c r="A236" s="170">
        <v>43062</v>
      </c>
      <c r="B236" s="116">
        <v>108.88</v>
      </c>
      <c r="C236" s="116">
        <v>106.59</v>
      </c>
      <c r="D236" s="116">
        <v>105.58</v>
      </c>
      <c r="E236" s="116">
        <v>106.18</v>
      </c>
      <c r="F236" s="116">
        <v>532.95000000000005</v>
      </c>
      <c r="G236">
        <v>61461</v>
      </c>
      <c r="H236" s="116"/>
      <c r="I236" s="116"/>
      <c r="L236" s="170">
        <v>43062</v>
      </c>
      <c r="M236" s="116">
        <v>106.71</v>
      </c>
      <c r="N236" s="116">
        <v>109.2</v>
      </c>
      <c r="O236" s="116">
        <v>105.62</v>
      </c>
      <c r="P236" s="116">
        <v>106</v>
      </c>
      <c r="Q236" s="116">
        <v>533.54999999999995</v>
      </c>
      <c r="R236">
        <v>274139</v>
      </c>
    </row>
    <row r="237" spans="1:18" x14ac:dyDescent="0.25">
      <c r="A237" s="170">
        <v>43063</v>
      </c>
      <c r="B237" s="116">
        <v>109</v>
      </c>
      <c r="C237" s="116">
        <v>107.82</v>
      </c>
      <c r="D237" s="116">
        <v>106.99</v>
      </c>
      <c r="E237" s="116">
        <v>108.8</v>
      </c>
      <c r="F237" s="116">
        <v>539.1</v>
      </c>
      <c r="G237">
        <v>7546</v>
      </c>
      <c r="H237" s="116"/>
      <c r="I237" s="116"/>
      <c r="L237" s="170">
        <v>43063</v>
      </c>
      <c r="M237" s="116">
        <v>107.55</v>
      </c>
      <c r="N237" s="116">
        <v>109.18</v>
      </c>
      <c r="O237" s="116">
        <v>107.01</v>
      </c>
      <c r="P237" s="116">
        <v>107.01</v>
      </c>
      <c r="Q237" s="116">
        <v>537.75</v>
      </c>
      <c r="R237">
        <v>62876</v>
      </c>
    </row>
    <row r="238" spans="1:18" x14ac:dyDescent="0.25">
      <c r="A238" s="170">
        <v>43066</v>
      </c>
      <c r="B238" s="116">
        <v>109.31</v>
      </c>
      <c r="C238" s="116">
        <v>105.83</v>
      </c>
      <c r="D238" s="116">
        <v>105.4</v>
      </c>
      <c r="E238" s="116">
        <v>109</v>
      </c>
      <c r="F238" s="116">
        <v>529.15</v>
      </c>
      <c r="G238">
        <v>8025</v>
      </c>
      <c r="H238" s="116"/>
      <c r="I238" s="116"/>
      <c r="L238" s="170">
        <v>43066</v>
      </c>
      <c r="M238" s="116">
        <v>105.87</v>
      </c>
      <c r="N238" s="116">
        <v>108.75</v>
      </c>
      <c r="O238" s="116">
        <v>105.42</v>
      </c>
      <c r="P238" s="116">
        <v>107.8</v>
      </c>
      <c r="Q238" s="116">
        <v>529.35</v>
      </c>
      <c r="R238">
        <v>39712</v>
      </c>
    </row>
    <row r="239" spans="1:18" x14ac:dyDescent="0.25">
      <c r="A239" s="170">
        <v>43067</v>
      </c>
      <c r="B239" s="116">
        <v>106.5</v>
      </c>
      <c r="C239" s="116">
        <v>103.58</v>
      </c>
      <c r="D239" s="116">
        <v>102.84</v>
      </c>
      <c r="E239" s="116">
        <v>106.35</v>
      </c>
      <c r="F239" s="116">
        <v>517.9</v>
      </c>
      <c r="G239">
        <v>12276</v>
      </c>
      <c r="H239" s="116"/>
      <c r="I239" s="116"/>
      <c r="L239" s="170">
        <v>43067</v>
      </c>
      <c r="M239" s="116">
        <v>103.36</v>
      </c>
      <c r="N239" s="116">
        <v>106.95</v>
      </c>
      <c r="O239" s="116">
        <v>102.94</v>
      </c>
      <c r="P239" s="116">
        <v>105.9</v>
      </c>
      <c r="Q239" s="116">
        <v>516.79999999999995</v>
      </c>
      <c r="R239">
        <v>98624</v>
      </c>
    </row>
    <row r="240" spans="1:18" x14ac:dyDescent="0.25">
      <c r="A240" s="170">
        <v>43068</v>
      </c>
      <c r="B240" s="116">
        <v>105.18</v>
      </c>
      <c r="C240" s="116">
        <v>104.46</v>
      </c>
      <c r="D240" s="116">
        <v>103.6</v>
      </c>
      <c r="E240" s="116">
        <v>105.13</v>
      </c>
      <c r="F240" s="116">
        <v>522.29999999999995</v>
      </c>
      <c r="G240">
        <v>134386</v>
      </c>
      <c r="H240" s="116"/>
      <c r="I240" s="116"/>
      <c r="L240" s="170">
        <v>43068</v>
      </c>
      <c r="M240" s="116">
        <v>104.47</v>
      </c>
      <c r="N240" s="116">
        <v>104.98</v>
      </c>
      <c r="O240" s="116">
        <v>103.4</v>
      </c>
      <c r="P240" s="116">
        <v>104.5</v>
      </c>
      <c r="Q240" s="116">
        <v>522.35</v>
      </c>
      <c r="R240">
        <v>30240</v>
      </c>
    </row>
    <row r="241" spans="1:18" x14ac:dyDescent="0.25">
      <c r="A241" s="170">
        <v>43069</v>
      </c>
      <c r="B241" s="116">
        <v>105.8</v>
      </c>
      <c r="C241" s="116">
        <v>104.78</v>
      </c>
      <c r="D241" s="116">
        <v>103.51</v>
      </c>
      <c r="E241" s="116">
        <v>104.25</v>
      </c>
      <c r="F241" s="116">
        <v>523.9</v>
      </c>
      <c r="G241">
        <v>44276</v>
      </c>
      <c r="H241" s="116"/>
      <c r="I241" s="116"/>
      <c r="L241" s="170">
        <v>43069</v>
      </c>
      <c r="M241" s="116">
        <v>105.08</v>
      </c>
      <c r="N241" s="116">
        <v>105.84</v>
      </c>
      <c r="O241" s="116">
        <v>103.62</v>
      </c>
      <c r="P241" s="116">
        <v>103.81</v>
      </c>
      <c r="Q241" s="116">
        <v>525.4</v>
      </c>
      <c r="R241">
        <v>48986</v>
      </c>
    </row>
    <row r="242" spans="1:18" x14ac:dyDescent="0.25">
      <c r="A242" s="170">
        <v>43070</v>
      </c>
      <c r="B242" s="116">
        <v>110</v>
      </c>
      <c r="C242" s="116">
        <v>105.2</v>
      </c>
      <c r="D242" s="116">
        <v>104.42</v>
      </c>
      <c r="E242" s="116">
        <v>110</v>
      </c>
      <c r="F242" s="116">
        <v>526</v>
      </c>
      <c r="G242">
        <v>25510</v>
      </c>
      <c r="H242" s="116"/>
      <c r="I242" s="116"/>
      <c r="L242" s="170">
        <v>43070</v>
      </c>
      <c r="M242" s="116">
        <v>105.19</v>
      </c>
      <c r="N242" s="116">
        <v>109.9</v>
      </c>
      <c r="O242" s="116">
        <v>104.4</v>
      </c>
      <c r="P242" s="116">
        <v>109.8</v>
      </c>
      <c r="Q242" s="116">
        <v>525.95000000000005</v>
      </c>
      <c r="R242">
        <v>207639</v>
      </c>
    </row>
    <row r="243" spans="1:18" x14ac:dyDescent="0.25">
      <c r="A243" s="170">
        <v>43073</v>
      </c>
      <c r="B243" s="116">
        <v>106.39</v>
      </c>
      <c r="C243" s="116">
        <v>103.69</v>
      </c>
      <c r="D243" s="116">
        <v>102.41</v>
      </c>
      <c r="E243" s="116">
        <v>105.93</v>
      </c>
      <c r="F243" s="116">
        <v>518.45000000000005</v>
      </c>
      <c r="G243">
        <v>19783</v>
      </c>
      <c r="H243" s="116"/>
      <c r="I243" s="116"/>
      <c r="L243" s="170">
        <v>43073</v>
      </c>
      <c r="M243" s="116">
        <v>103.47</v>
      </c>
      <c r="N243" s="116">
        <v>106.8</v>
      </c>
      <c r="O243" s="116">
        <v>103.03</v>
      </c>
      <c r="P243" s="116">
        <v>106.4</v>
      </c>
      <c r="Q243" s="116">
        <v>517.35</v>
      </c>
      <c r="R243">
        <v>69955</v>
      </c>
    </row>
    <row r="244" spans="1:18" x14ac:dyDescent="0.25">
      <c r="A244" s="170">
        <v>43074</v>
      </c>
      <c r="B244" s="116">
        <v>106.55</v>
      </c>
      <c r="C244" s="116">
        <v>104.08</v>
      </c>
      <c r="D244" s="116">
        <v>103.2</v>
      </c>
      <c r="E244" s="116">
        <v>106.2</v>
      </c>
      <c r="F244" s="116">
        <v>520.4</v>
      </c>
      <c r="G244">
        <v>123244</v>
      </c>
      <c r="H244" s="116"/>
      <c r="I244" s="116"/>
      <c r="L244" s="170">
        <v>43074</v>
      </c>
      <c r="M244" s="116">
        <v>104.7</v>
      </c>
      <c r="N244" s="116">
        <v>107</v>
      </c>
      <c r="O244" s="116">
        <v>103.4</v>
      </c>
      <c r="P244" s="116">
        <v>106</v>
      </c>
      <c r="Q244" s="116">
        <v>523.5</v>
      </c>
      <c r="R244">
        <v>177500</v>
      </c>
    </row>
    <row r="245" spans="1:18" x14ac:dyDescent="0.25">
      <c r="A245" s="170">
        <v>43075</v>
      </c>
      <c r="B245" s="116">
        <v>104.67</v>
      </c>
      <c r="C245" s="116">
        <v>103.9</v>
      </c>
      <c r="D245" s="116">
        <v>103.4</v>
      </c>
      <c r="E245" s="116">
        <v>104.22</v>
      </c>
      <c r="F245" s="116">
        <v>519.5</v>
      </c>
      <c r="G245">
        <v>4202</v>
      </c>
      <c r="H245" s="116"/>
      <c r="I245" s="116"/>
      <c r="L245" s="170">
        <v>43075</v>
      </c>
      <c r="M245" s="116">
        <v>103.96</v>
      </c>
      <c r="N245" s="116">
        <v>104.78</v>
      </c>
      <c r="O245" s="116">
        <v>103.6</v>
      </c>
      <c r="P245" s="116">
        <v>104.58</v>
      </c>
      <c r="Q245" s="116">
        <v>519.79999999999995</v>
      </c>
      <c r="R245">
        <v>46067</v>
      </c>
    </row>
    <row r="246" spans="1:18" x14ac:dyDescent="0.25">
      <c r="A246" s="170">
        <v>43076</v>
      </c>
      <c r="B246" s="116">
        <v>104.49</v>
      </c>
      <c r="C246" s="116">
        <v>103.84</v>
      </c>
      <c r="D246" s="116">
        <v>103.12</v>
      </c>
      <c r="E246" s="116">
        <v>103.95</v>
      </c>
      <c r="F246" s="116">
        <v>519.20000000000005</v>
      </c>
      <c r="G246">
        <v>7276</v>
      </c>
      <c r="H246" s="116"/>
      <c r="I246" s="116"/>
      <c r="L246" s="170">
        <v>43076</v>
      </c>
      <c r="M246" s="116">
        <v>103.59</v>
      </c>
      <c r="N246" s="116">
        <v>104.68</v>
      </c>
      <c r="O246" s="116">
        <v>103.02</v>
      </c>
      <c r="P246" s="116">
        <v>104.03</v>
      </c>
      <c r="Q246" s="116">
        <v>517.95000000000005</v>
      </c>
      <c r="R246">
        <v>63287</v>
      </c>
    </row>
    <row r="247" spans="1:18" x14ac:dyDescent="0.25">
      <c r="A247" s="170">
        <v>43077</v>
      </c>
      <c r="B247" s="116">
        <v>104.8</v>
      </c>
      <c r="C247" s="116">
        <v>101.47</v>
      </c>
      <c r="D247" s="116">
        <v>99.8</v>
      </c>
      <c r="E247" s="116">
        <v>103.77</v>
      </c>
      <c r="F247" s="116">
        <v>507.35</v>
      </c>
      <c r="G247">
        <v>13366</v>
      </c>
      <c r="H247" s="116"/>
      <c r="I247" s="116"/>
      <c r="L247" s="170">
        <v>43077</v>
      </c>
      <c r="M247" s="116">
        <v>100.67</v>
      </c>
      <c r="N247" s="116">
        <v>104.56</v>
      </c>
      <c r="O247" s="116">
        <v>99.8</v>
      </c>
      <c r="P247" s="116">
        <v>104</v>
      </c>
      <c r="Q247" s="116">
        <v>503.35</v>
      </c>
      <c r="R247">
        <v>183029</v>
      </c>
    </row>
    <row r="248" spans="1:18" x14ac:dyDescent="0.25">
      <c r="A248" s="170">
        <v>43080</v>
      </c>
      <c r="B248" s="116">
        <v>104.41</v>
      </c>
      <c r="C248" s="116">
        <v>102.61</v>
      </c>
      <c r="D248" s="116">
        <v>100.6</v>
      </c>
      <c r="E248" s="116">
        <v>101</v>
      </c>
      <c r="F248" s="116">
        <v>513.04999999999995</v>
      </c>
      <c r="G248">
        <v>60949</v>
      </c>
      <c r="H248" s="116"/>
      <c r="I248" s="116"/>
      <c r="L248" s="170">
        <v>43080</v>
      </c>
      <c r="M248" s="116">
        <v>102.58</v>
      </c>
      <c r="N248" s="116">
        <v>104.67</v>
      </c>
      <c r="O248" s="116">
        <v>100.6</v>
      </c>
      <c r="P248" s="116">
        <v>100.6</v>
      </c>
      <c r="Q248" s="116">
        <v>512.9</v>
      </c>
      <c r="R248">
        <v>108729</v>
      </c>
    </row>
    <row r="249" spans="1:18" x14ac:dyDescent="0.25">
      <c r="A249" s="170">
        <v>43081</v>
      </c>
      <c r="B249" s="116">
        <v>104</v>
      </c>
      <c r="C249" s="116">
        <v>100.67</v>
      </c>
      <c r="D249" s="116">
        <v>100.29</v>
      </c>
      <c r="E249" s="116">
        <v>103.21</v>
      </c>
      <c r="F249" s="116">
        <v>503.35</v>
      </c>
      <c r="G249">
        <v>58833</v>
      </c>
      <c r="H249" s="116"/>
      <c r="I249" s="116"/>
      <c r="L249" s="170">
        <v>43081</v>
      </c>
      <c r="M249" s="116">
        <v>100.78</v>
      </c>
      <c r="N249" s="116">
        <v>104.6</v>
      </c>
      <c r="O249" s="116">
        <v>100.38</v>
      </c>
      <c r="P249" s="116">
        <v>104.6</v>
      </c>
      <c r="Q249" s="116">
        <v>503.9</v>
      </c>
      <c r="R249">
        <v>100549</v>
      </c>
    </row>
    <row r="250" spans="1:18" x14ac:dyDescent="0.25">
      <c r="A250" s="170">
        <v>43082</v>
      </c>
      <c r="B250" s="116">
        <v>104.67</v>
      </c>
      <c r="C250" s="116">
        <v>103.51</v>
      </c>
      <c r="D250" s="116">
        <v>101.42</v>
      </c>
      <c r="E250" s="116">
        <v>102.95</v>
      </c>
      <c r="F250" s="116">
        <v>517.54999999999995</v>
      </c>
      <c r="G250">
        <v>30133</v>
      </c>
      <c r="H250" s="116"/>
      <c r="I250" s="116"/>
      <c r="L250" s="170">
        <v>43082</v>
      </c>
      <c r="M250" s="116">
        <v>103.66</v>
      </c>
      <c r="N250" s="116">
        <v>104.56</v>
      </c>
      <c r="O250" s="116">
        <v>101.3</v>
      </c>
      <c r="P250" s="116">
        <v>102.2</v>
      </c>
      <c r="Q250" s="116">
        <v>518.29999999999995</v>
      </c>
      <c r="R250">
        <v>117039</v>
      </c>
    </row>
    <row r="251" spans="1:18" x14ac:dyDescent="0.25">
      <c r="A251" s="170">
        <v>43083</v>
      </c>
      <c r="B251" s="116">
        <v>106</v>
      </c>
      <c r="C251" s="116">
        <v>105.34</v>
      </c>
      <c r="D251" s="116">
        <v>103</v>
      </c>
      <c r="E251" s="116">
        <v>104.38</v>
      </c>
      <c r="F251" s="116">
        <v>526.70000000000005</v>
      </c>
      <c r="G251">
        <v>17982</v>
      </c>
      <c r="H251" s="116"/>
      <c r="I251" s="116"/>
      <c r="L251" s="170">
        <v>43083</v>
      </c>
      <c r="M251" s="116">
        <v>105.18</v>
      </c>
      <c r="N251" s="116">
        <v>106.18</v>
      </c>
      <c r="O251" s="116">
        <v>103.12</v>
      </c>
      <c r="P251" s="116">
        <v>104.12</v>
      </c>
      <c r="Q251" s="116">
        <v>525.9</v>
      </c>
      <c r="R251">
        <v>167575</v>
      </c>
    </row>
    <row r="252" spans="1:18" x14ac:dyDescent="0.25">
      <c r="A252" s="170">
        <v>43084</v>
      </c>
      <c r="B252" s="116">
        <v>106.3</v>
      </c>
      <c r="C252" s="116">
        <v>104.85</v>
      </c>
      <c r="D252" s="116">
        <v>104.3</v>
      </c>
      <c r="E252" s="116">
        <v>106</v>
      </c>
      <c r="F252" s="116">
        <v>524.25</v>
      </c>
      <c r="G252">
        <v>5048</v>
      </c>
      <c r="H252" s="116"/>
      <c r="I252" s="116"/>
      <c r="L252" s="170">
        <v>43084</v>
      </c>
      <c r="M252" s="116">
        <v>104.77</v>
      </c>
      <c r="N252" s="116">
        <v>106.8</v>
      </c>
      <c r="O252" s="116">
        <v>104.6</v>
      </c>
      <c r="P252" s="116">
        <v>106</v>
      </c>
      <c r="Q252" s="116">
        <v>523.85</v>
      </c>
      <c r="R252">
        <v>52124</v>
      </c>
    </row>
    <row r="253" spans="1:18" x14ac:dyDescent="0.25">
      <c r="A253" s="170">
        <v>43087</v>
      </c>
      <c r="B253" s="116">
        <v>107.96</v>
      </c>
      <c r="C253" s="116">
        <v>107.15</v>
      </c>
      <c r="D253" s="116">
        <v>102</v>
      </c>
      <c r="E253" s="116">
        <v>104.4</v>
      </c>
      <c r="F253" s="116">
        <v>535.75</v>
      </c>
      <c r="G253">
        <v>19588</v>
      </c>
      <c r="H253" s="116"/>
      <c r="I253" s="116"/>
      <c r="L253" s="170">
        <v>43087</v>
      </c>
      <c r="M253" s="116">
        <v>106.69</v>
      </c>
      <c r="N253" s="116">
        <v>107.96</v>
      </c>
      <c r="O253" s="116">
        <v>101</v>
      </c>
      <c r="P253" s="116">
        <v>106</v>
      </c>
      <c r="Q253" s="116">
        <v>533.45000000000005</v>
      </c>
      <c r="R253">
        <v>192617</v>
      </c>
    </row>
    <row r="254" spans="1:18" x14ac:dyDescent="0.25">
      <c r="A254" s="170">
        <v>43088</v>
      </c>
      <c r="B254" s="116">
        <v>108.1</v>
      </c>
      <c r="C254" s="116">
        <v>106.83</v>
      </c>
      <c r="D254" s="116">
        <v>106</v>
      </c>
      <c r="E254" s="116">
        <v>107.3</v>
      </c>
      <c r="F254" s="116">
        <v>534.15</v>
      </c>
      <c r="G254">
        <v>10511</v>
      </c>
      <c r="H254" s="116"/>
      <c r="I254" s="116"/>
      <c r="L254" s="170">
        <v>43088</v>
      </c>
      <c r="M254" s="116">
        <v>106.08</v>
      </c>
      <c r="N254" s="116">
        <v>107.96</v>
      </c>
      <c r="O254" s="116">
        <v>105.72</v>
      </c>
      <c r="P254" s="116">
        <v>107.2</v>
      </c>
      <c r="Q254" s="116">
        <v>530.4</v>
      </c>
      <c r="R254">
        <v>135225</v>
      </c>
    </row>
    <row r="255" spans="1:18" x14ac:dyDescent="0.25">
      <c r="A255" s="170">
        <v>43089</v>
      </c>
      <c r="B255" s="116">
        <v>107.8</v>
      </c>
      <c r="C255" s="116">
        <v>107.44</v>
      </c>
      <c r="D255" s="116">
        <v>106.22</v>
      </c>
      <c r="E255" s="116">
        <v>106.34</v>
      </c>
      <c r="F255" s="116">
        <v>537.20000000000005</v>
      </c>
      <c r="G255">
        <v>23846</v>
      </c>
      <c r="H255" s="116"/>
      <c r="I255" s="116"/>
      <c r="L255" s="170">
        <v>43089</v>
      </c>
      <c r="M255" s="116">
        <v>107.27</v>
      </c>
      <c r="N255" s="116">
        <v>108.08</v>
      </c>
      <c r="O255" s="116">
        <v>106.12</v>
      </c>
      <c r="P255" s="116">
        <v>106.96</v>
      </c>
      <c r="Q255" s="116">
        <v>536.35</v>
      </c>
      <c r="R255">
        <v>368919</v>
      </c>
    </row>
    <row r="256" spans="1:18" x14ac:dyDescent="0.25">
      <c r="A256" s="170">
        <v>43090</v>
      </c>
      <c r="B256" s="116">
        <v>114.16</v>
      </c>
      <c r="C256" s="116">
        <v>112.69</v>
      </c>
      <c r="D256" s="116">
        <v>108</v>
      </c>
      <c r="E256" s="116">
        <v>108</v>
      </c>
      <c r="F256" s="116">
        <v>563.45000000000005</v>
      </c>
      <c r="G256">
        <v>55163</v>
      </c>
      <c r="H256" s="116"/>
      <c r="I256" s="116"/>
      <c r="L256" s="170">
        <v>43090</v>
      </c>
      <c r="M256" s="116">
        <v>112.69</v>
      </c>
      <c r="N256" s="116">
        <v>114.49</v>
      </c>
      <c r="O256" s="116">
        <v>107.93</v>
      </c>
      <c r="P256" s="116">
        <v>107.93</v>
      </c>
      <c r="Q256" s="116">
        <v>563.45000000000005</v>
      </c>
      <c r="R256">
        <v>469509</v>
      </c>
    </row>
    <row r="257" spans="1:18" x14ac:dyDescent="0.25">
      <c r="A257" s="170">
        <v>43091</v>
      </c>
      <c r="B257" s="116">
        <v>115.85</v>
      </c>
      <c r="C257" s="116">
        <v>110.47</v>
      </c>
      <c r="D257" s="116">
        <v>110.01</v>
      </c>
      <c r="E257" s="116">
        <v>113.63</v>
      </c>
      <c r="F257" s="116">
        <v>552.35</v>
      </c>
      <c r="G257">
        <v>15153</v>
      </c>
      <c r="H257" s="116"/>
      <c r="I257" s="116"/>
      <c r="L257" s="170">
        <v>43091</v>
      </c>
      <c r="M257" s="116">
        <v>110.3</v>
      </c>
      <c r="N257" s="116">
        <v>115.98</v>
      </c>
      <c r="O257" s="116">
        <v>110</v>
      </c>
      <c r="P257" s="116">
        <v>113.4</v>
      </c>
      <c r="Q257" s="116">
        <v>551.5</v>
      </c>
      <c r="R257">
        <v>196706</v>
      </c>
    </row>
    <row r="258" spans="1:18" x14ac:dyDescent="0.25">
      <c r="A258" s="170">
        <v>43095</v>
      </c>
      <c r="B258" s="116">
        <v>111.78</v>
      </c>
      <c r="C258" s="116">
        <v>108.98</v>
      </c>
      <c r="D258" s="116">
        <v>108.63</v>
      </c>
      <c r="E258" s="116">
        <v>111</v>
      </c>
      <c r="F258" s="116">
        <v>544.9</v>
      </c>
      <c r="G258">
        <v>9972</v>
      </c>
      <c r="H258" s="116"/>
      <c r="I258" s="116"/>
      <c r="L258" s="170">
        <v>43095</v>
      </c>
      <c r="M258" s="116">
        <v>109.04</v>
      </c>
      <c r="N258" s="116">
        <v>111.6</v>
      </c>
      <c r="O258" s="116">
        <v>108.91</v>
      </c>
      <c r="P258" s="116">
        <v>111.02</v>
      </c>
      <c r="Q258" s="116">
        <v>545.20000000000005</v>
      </c>
      <c r="R258">
        <v>95573</v>
      </c>
    </row>
    <row r="259" spans="1:18" x14ac:dyDescent="0.25">
      <c r="A259" s="170">
        <v>43096</v>
      </c>
      <c r="B259" s="116">
        <v>110</v>
      </c>
      <c r="C259" s="116">
        <v>108.78</v>
      </c>
      <c r="D259" s="116">
        <v>108.22</v>
      </c>
      <c r="E259" s="116">
        <v>109.2</v>
      </c>
      <c r="F259" s="116">
        <v>543.9</v>
      </c>
      <c r="G259">
        <v>10457</v>
      </c>
      <c r="H259" s="116"/>
      <c r="I259" s="116"/>
      <c r="L259" s="170">
        <v>43096</v>
      </c>
      <c r="M259" s="116">
        <v>108.72</v>
      </c>
      <c r="N259" s="116">
        <v>110.27</v>
      </c>
      <c r="O259" s="116">
        <v>107.8</v>
      </c>
      <c r="P259" s="116">
        <v>108.13</v>
      </c>
      <c r="Q259" s="116">
        <v>543.6</v>
      </c>
      <c r="R259">
        <v>265559</v>
      </c>
    </row>
    <row r="260" spans="1:18" x14ac:dyDescent="0.25">
      <c r="A260" s="170">
        <v>43097</v>
      </c>
      <c r="B260" s="116">
        <v>109.2</v>
      </c>
      <c r="C260" s="116">
        <v>108.53</v>
      </c>
      <c r="D260" s="116">
        <v>108</v>
      </c>
      <c r="E260" s="116">
        <v>109</v>
      </c>
      <c r="F260" s="116">
        <v>542.65</v>
      </c>
      <c r="G260">
        <v>13341</v>
      </c>
      <c r="H260" s="116"/>
      <c r="I260" s="116"/>
      <c r="L260" s="170">
        <v>43097</v>
      </c>
      <c r="M260" s="116">
        <v>107.86</v>
      </c>
      <c r="N260" s="116">
        <v>109.2</v>
      </c>
      <c r="O260" s="116">
        <v>107.6</v>
      </c>
      <c r="P260" s="116">
        <v>108.72</v>
      </c>
      <c r="Q260" s="116">
        <v>539.29999999999995</v>
      </c>
      <c r="R260">
        <v>56814</v>
      </c>
    </row>
    <row r="261" spans="1:18" x14ac:dyDescent="0.25">
      <c r="A261" s="170">
        <v>43098</v>
      </c>
      <c r="B261" s="116">
        <v>109</v>
      </c>
      <c r="C261" s="116">
        <v>108.58</v>
      </c>
      <c r="D261" s="116">
        <v>107.4</v>
      </c>
      <c r="E261" s="116">
        <v>108.7</v>
      </c>
      <c r="F261" s="116">
        <v>542.9</v>
      </c>
      <c r="G261">
        <v>16453</v>
      </c>
      <c r="H261" s="116"/>
      <c r="I261" s="116"/>
      <c r="L261" s="170">
        <v>43098</v>
      </c>
      <c r="M261" s="116">
        <v>108.58</v>
      </c>
      <c r="N261" s="116">
        <v>109.08</v>
      </c>
      <c r="O261" s="116">
        <v>107.5</v>
      </c>
      <c r="P261" s="116">
        <v>108.01</v>
      </c>
      <c r="Q261" s="116">
        <v>542.9</v>
      </c>
      <c r="R261">
        <v>57660</v>
      </c>
    </row>
    <row r="262" spans="1:18" x14ac:dyDescent="0.25">
      <c r="A262" s="170">
        <v>43101</v>
      </c>
      <c r="B262" s="116">
        <v>110.54</v>
      </c>
      <c r="C262" s="116">
        <v>107.83</v>
      </c>
      <c r="D262" s="116">
        <v>107.53</v>
      </c>
      <c r="E262" s="116">
        <v>110</v>
      </c>
      <c r="F262" s="116">
        <v>539.15</v>
      </c>
      <c r="G262">
        <v>17308</v>
      </c>
      <c r="H262" s="116"/>
      <c r="I262" s="116"/>
      <c r="L262" s="170">
        <v>43101</v>
      </c>
      <c r="M262" s="116">
        <v>107.92</v>
      </c>
      <c r="N262" s="116">
        <v>110.3</v>
      </c>
      <c r="O262" s="116">
        <v>107.66</v>
      </c>
      <c r="P262" s="116">
        <v>109.6</v>
      </c>
      <c r="Q262" s="116">
        <v>539.6</v>
      </c>
      <c r="R262">
        <v>90341</v>
      </c>
    </row>
    <row r="263" spans="1:18" x14ac:dyDescent="0.25">
      <c r="A263" s="170">
        <v>43102</v>
      </c>
      <c r="B263" s="116">
        <v>108.8</v>
      </c>
      <c r="C263" s="116">
        <v>106.94</v>
      </c>
      <c r="D263" s="116">
        <v>106.64</v>
      </c>
      <c r="E263" s="116">
        <v>108.8</v>
      </c>
      <c r="F263" s="116">
        <v>534.70000000000005</v>
      </c>
      <c r="G263">
        <v>5978</v>
      </c>
      <c r="H263" s="116"/>
      <c r="I263" s="116"/>
      <c r="L263" s="170">
        <v>43102</v>
      </c>
      <c r="M263" s="116">
        <v>107.19</v>
      </c>
      <c r="N263" s="116">
        <v>108.88</v>
      </c>
      <c r="O263" s="116">
        <v>107</v>
      </c>
      <c r="P263" s="116">
        <v>108.88</v>
      </c>
      <c r="Q263" s="116">
        <v>535.95000000000005</v>
      </c>
      <c r="R263">
        <v>90514</v>
      </c>
    </row>
    <row r="264" spans="1:18" x14ac:dyDescent="0.25">
      <c r="A264" s="170">
        <v>43103</v>
      </c>
      <c r="B264" s="116">
        <v>107.83</v>
      </c>
      <c r="C264" s="116">
        <v>107.34</v>
      </c>
      <c r="D264" s="116">
        <v>106.91</v>
      </c>
      <c r="E264" s="116">
        <v>107.8</v>
      </c>
      <c r="F264" s="116">
        <v>536.70000000000005</v>
      </c>
      <c r="G264">
        <v>11913</v>
      </c>
      <c r="H264" s="116"/>
      <c r="I264" s="116"/>
      <c r="L264" s="170">
        <v>43103</v>
      </c>
      <c r="M264" s="116">
        <v>107.37</v>
      </c>
      <c r="N264" s="116">
        <v>108</v>
      </c>
      <c r="O264" s="116">
        <v>107</v>
      </c>
      <c r="P264" s="116">
        <v>108</v>
      </c>
      <c r="Q264" s="116">
        <v>536.85</v>
      </c>
      <c r="R264">
        <v>69607</v>
      </c>
    </row>
    <row r="265" spans="1:18" x14ac:dyDescent="0.25">
      <c r="A265" s="170">
        <v>43104</v>
      </c>
      <c r="B265" s="116">
        <v>109.15</v>
      </c>
      <c r="C265" s="116">
        <v>108.57</v>
      </c>
      <c r="D265" s="116">
        <v>107.05</v>
      </c>
      <c r="E265" s="116">
        <v>107.56</v>
      </c>
      <c r="F265" s="116">
        <v>542.85</v>
      </c>
      <c r="G265">
        <v>20679</v>
      </c>
      <c r="H265" s="116"/>
      <c r="I265" s="116"/>
      <c r="L265" s="170">
        <v>43104</v>
      </c>
      <c r="M265" s="116">
        <v>108.83</v>
      </c>
      <c r="N265" s="116">
        <v>109</v>
      </c>
      <c r="O265" s="116">
        <v>107</v>
      </c>
      <c r="P265" s="116">
        <v>107.6</v>
      </c>
      <c r="Q265" s="116">
        <v>544.15</v>
      </c>
      <c r="R265">
        <v>105207</v>
      </c>
    </row>
    <row r="266" spans="1:18" x14ac:dyDescent="0.25">
      <c r="A266" s="170">
        <v>43105</v>
      </c>
      <c r="B266" s="116">
        <v>110.99</v>
      </c>
      <c r="C266" s="116">
        <v>110.28</v>
      </c>
      <c r="D266" s="116">
        <v>109</v>
      </c>
      <c r="E266" s="116">
        <v>109</v>
      </c>
      <c r="F266" s="116">
        <v>551.4</v>
      </c>
      <c r="G266">
        <v>20213</v>
      </c>
      <c r="H266" s="116"/>
      <c r="I266" s="116"/>
      <c r="L266" s="170">
        <v>43105</v>
      </c>
      <c r="M266" s="116">
        <v>110.29</v>
      </c>
      <c r="N266" s="116">
        <v>110.88</v>
      </c>
      <c r="O266" s="116">
        <v>109.25</v>
      </c>
      <c r="P266" s="116">
        <v>109.4</v>
      </c>
      <c r="Q266" s="116">
        <v>551.45000000000005</v>
      </c>
      <c r="R266">
        <v>117859</v>
      </c>
    </row>
    <row r="267" spans="1:18" x14ac:dyDescent="0.25">
      <c r="A267" s="170">
        <v>43108</v>
      </c>
      <c r="B267" s="116">
        <v>113</v>
      </c>
      <c r="C267" s="116">
        <v>112.19</v>
      </c>
      <c r="D267" s="116">
        <v>111.48</v>
      </c>
      <c r="E267" s="116">
        <v>111.79</v>
      </c>
      <c r="F267" s="116">
        <v>560.95000000000005</v>
      </c>
      <c r="G267">
        <v>15719</v>
      </c>
      <c r="H267" s="116"/>
      <c r="I267" s="116"/>
      <c r="L267" s="170">
        <v>43108</v>
      </c>
      <c r="M267" s="116">
        <v>112.2</v>
      </c>
      <c r="N267" s="116">
        <v>113</v>
      </c>
      <c r="O267" s="116">
        <v>111.06</v>
      </c>
      <c r="P267" s="116">
        <v>111.28</v>
      </c>
      <c r="Q267" s="116">
        <v>561</v>
      </c>
      <c r="R267">
        <v>129540</v>
      </c>
    </row>
    <row r="268" spans="1:18" x14ac:dyDescent="0.25">
      <c r="A268" s="170">
        <v>43109</v>
      </c>
      <c r="B268" s="116">
        <v>113.2</v>
      </c>
      <c r="C268" s="116">
        <v>110.91</v>
      </c>
      <c r="D268" s="116">
        <v>110.2</v>
      </c>
      <c r="E268" s="116">
        <v>112.1</v>
      </c>
      <c r="F268" s="116">
        <v>554.54999999999995</v>
      </c>
      <c r="G268">
        <v>7886</v>
      </c>
      <c r="H268" s="116"/>
      <c r="I268" s="116"/>
      <c r="L268" s="170">
        <v>43109</v>
      </c>
      <c r="M268" s="116">
        <v>110.7</v>
      </c>
      <c r="N268" s="116">
        <v>112.8</v>
      </c>
      <c r="O268" s="116">
        <v>110</v>
      </c>
      <c r="P268" s="116">
        <v>112.8</v>
      </c>
      <c r="Q268" s="116">
        <v>553.5</v>
      </c>
      <c r="R268">
        <v>48690</v>
      </c>
    </row>
    <row r="269" spans="1:18" x14ac:dyDescent="0.25">
      <c r="A269" s="170">
        <v>43110</v>
      </c>
      <c r="B269" s="116">
        <v>111.7</v>
      </c>
      <c r="C269" s="116">
        <v>108.7</v>
      </c>
      <c r="D269" s="116">
        <v>108.03</v>
      </c>
      <c r="E269" s="116">
        <v>111.7</v>
      </c>
      <c r="F269" s="116">
        <v>543.5</v>
      </c>
      <c r="G269">
        <v>12420</v>
      </c>
      <c r="H269" s="116"/>
      <c r="I269" s="116"/>
      <c r="L269" s="170">
        <v>43110</v>
      </c>
      <c r="M269" s="116">
        <v>108.64</v>
      </c>
      <c r="N269" s="116">
        <v>111.35</v>
      </c>
      <c r="O269" s="116">
        <v>108</v>
      </c>
      <c r="P269" s="116">
        <v>110.6</v>
      </c>
      <c r="Q269" s="116">
        <v>543.20000000000005</v>
      </c>
      <c r="R269">
        <v>70076</v>
      </c>
    </row>
    <row r="270" spans="1:18" x14ac:dyDescent="0.25">
      <c r="A270" s="170">
        <v>43111</v>
      </c>
      <c r="B270" s="116">
        <v>110.68</v>
      </c>
      <c r="C270" s="116">
        <v>110.11</v>
      </c>
      <c r="D270" s="116">
        <v>108.42</v>
      </c>
      <c r="E270" s="116">
        <v>110.1</v>
      </c>
      <c r="F270" s="116">
        <v>550.54999999999995</v>
      </c>
      <c r="G270">
        <v>15046</v>
      </c>
      <c r="H270" s="116"/>
      <c r="I270" s="116"/>
      <c r="L270" s="170">
        <v>43111</v>
      </c>
      <c r="M270" s="116">
        <v>110.05</v>
      </c>
      <c r="N270" s="116">
        <v>110.68</v>
      </c>
      <c r="O270" s="116">
        <v>108.2</v>
      </c>
      <c r="P270" s="116">
        <v>108.2</v>
      </c>
      <c r="Q270" s="116">
        <v>550.25</v>
      </c>
      <c r="R270">
        <v>44390</v>
      </c>
    </row>
    <row r="271" spans="1:18" x14ac:dyDescent="0.25">
      <c r="A271" s="170">
        <v>43112</v>
      </c>
      <c r="B271" s="116">
        <v>110.71</v>
      </c>
      <c r="C271" s="116">
        <v>109.51</v>
      </c>
      <c r="D271" s="116">
        <v>108.92</v>
      </c>
      <c r="E271" s="116">
        <v>108.92</v>
      </c>
      <c r="F271" s="116">
        <v>547.54999999999995</v>
      </c>
      <c r="G271">
        <v>12249</v>
      </c>
      <c r="H271" s="116"/>
      <c r="I271" s="116"/>
      <c r="L271" s="170">
        <v>43112</v>
      </c>
      <c r="M271" s="116">
        <v>109.23</v>
      </c>
      <c r="N271" s="116">
        <v>110.6</v>
      </c>
      <c r="O271" s="116">
        <v>108.42</v>
      </c>
      <c r="P271" s="116">
        <v>110.45</v>
      </c>
      <c r="Q271" s="116">
        <v>546.15</v>
      </c>
      <c r="R271">
        <v>44552</v>
      </c>
    </row>
    <row r="272" spans="1:18" x14ac:dyDescent="0.25">
      <c r="A272" s="170">
        <v>43115</v>
      </c>
      <c r="B272" s="116">
        <v>110.36</v>
      </c>
      <c r="C272" s="116">
        <v>109.07</v>
      </c>
      <c r="D272" s="116">
        <v>108.42</v>
      </c>
      <c r="E272" s="116">
        <v>110.36</v>
      </c>
      <c r="F272" s="116">
        <v>545.35</v>
      </c>
      <c r="G272">
        <v>9549</v>
      </c>
      <c r="H272" s="116"/>
      <c r="I272" s="116"/>
      <c r="L272" s="170">
        <v>43115</v>
      </c>
      <c r="M272" s="116">
        <v>108.98</v>
      </c>
      <c r="N272" s="116">
        <v>110.28</v>
      </c>
      <c r="O272" s="116">
        <v>108.42</v>
      </c>
      <c r="P272" s="116">
        <v>109.8</v>
      </c>
      <c r="Q272" s="116">
        <v>544.9</v>
      </c>
      <c r="R272">
        <v>72706</v>
      </c>
    </row>
    <row r="273" spans="1:18" x14ac:dyDescent="0.25">
      <c r="A273" s="170">
        <v>43116</v>
      </c>
      <c r="B273" s="116">
        <v>109.6</v>
      </c>
      <c r="C273" s="116">
        <v>106.75</v>
      </c>
      <c r="D273" s="116">
        <v>106.23</v>
      </c>
      <c r="E273" s="116">
        <v>109.14</v>
      </c>
      <c r="F273" s="116">
        <v>533.75</v>
      </c>
      <c r="G273">
        <v>6924</v>
      </c>
      <c r="H273" s="116"/>
      <c r="I273" s="116"/>
      <c r="L273" s="170">
        <v>43116</v>
      </c>
      <c r="M273" s="116">
        <v>106.62</v>
      </c>
      <c r="N273" s="116">
        <v>110</v>
      </c>
      <c r="O273" s="116">
        <v>106.06</v>
      </c>
      <c r="P273" s="116">
        <v>109</v>
      </c>
      <c r="Q273" s="116">
        <v>533.1</v>
      </c>
      <c r="R273">
        <v>79794</v>
      </c>
    </row>
    <row r="274" spans="1:18" x14ac:dyDescent="0.25">
      <c r="A274" s="170">
        <v>43117</v>
      </c>
      <c r="B274" s="116">
        <v>111.39</v>
      </c>
      <c r="C274" s="116">
        <v>109.43</v>
      </c>
      <c r="D274" s="116">
        <v>108.26</v>
      </c>
      <c r="E274" s="116">
        <v>110</v>
      </c>
      <c r="F274" s="116">
        <v>547.15</v>
      </c>
      <c r="G274">
        <v>40260</v>
      </c>
      <c r="H274" s="116"/>
      <c r="I274" s="116"/>
      <c r="L274" s="170">
        <v>43117</v>
      </c>
      <c r="M274" s="116">
        <v>109.6</v>
      </c>
      <c r="N274" s="116">
        <v>111.79</v>
      </c>
      <c r="O274" s="116">
        <v>108.41</v>
      </c>
      <c r="P274" s="116">
        <v>109.66</v>
      </c>
      <c r="Q274" s="116">
        <v>548</v>
      </c>
      <c r="R274">
        <v>301526</v>
      </c>
    </row>
    <row r="275" spans="1:18" x14ac:dyDescent="0.25">
      <c r="A275" s="170">
        <v>43118</v>
      </c>
      <c r="B275" s="116">
        <v>112.74</v>
      </c>
      <c r="C275" s="116">
        <v>107.59</v>
      </c>
      <c r="D275" s="116">
        <v>107.33</v>
      </c>
      <c r="E275" s="116">
        <v>110.78</v>
      </c>
      <c r="F275" s="116">
        <v>537.95000000000005</v>
      </c>
      <c r="G275">
        <v>22992</v>
      </c>
      <c r="H275" s="116"/>
      <c r="I275" s="116"/>
      <c r="L275" s="170">
        <v>43118</v>
      </c>
      <c r="M275" s="116">
        <v>107.43</v>
      </c>
      <c r="N275" s="116">
        <v>110.8</v>
      </c>
      <c r="O275" s="116">
        <v>107</v>
      </c>
      <c r="P275" s="116">
        <v>110.79</v>
      </c>
      <c r="Q275" s="116">
        <v>537.15</v>
      </c>
      <c r="R275">
        <v>150920</v>
      </c>
    </row>
    <row r="276" spans="1:18" x14ac:dyDescent="0.25">
      <c r="A276" s="170">
        <v>43119</v>
      </c>
      <c r="B276" s="116">
        <v>109.35</v>
      </c>
      <c r="C276" s="116">
        <v>108.54</v>
      </c>
      <c r="D276" s="116">
        <v>106.94</v>
      </c>
      <c r="E276" s="116">
        <v>107.1</v>
      </c>
      <c r="F276" s="116">
        <v>542.70000000000005</v>
      </c>
      <c r="G276">
        <v>15014</v>
      </c>
      <c r="H276" s="116"/>
      <c r="I276" s="116"/>
      <c r="L276" s="170">
        <v>43119</v>
      </c>
      <c r="M276" s="116">
        <v>108.73</v>
      </c>
      <c r="N276" s="116">
        <v>109.2</v>
      </c>
      <c r="O276" s="116">
        <v>107</v>
      </c>
      <c r="P276" s="116">
        <v>108.16</v>
      </c>
      <c r="Q276" s="116">
        <v>543.65</v>
      </c>
      <c r="R276">
        <v>60431</v>
      </c>
    </row>
    <row r="277" spans="1:18" x14ac:dyDescent="0.25">
      <c r="A277" s="170">
        <v>43122</v>
      </c>
      <c r="B277" s="116">
        <v>111.28</v>
      </c>
      <c r="C277" s="116">
        <v>109.94</v>
      </c>
      <c r="D277" s="116">
        <v>107.86</v>
      </c>
      <c r="E277" s="116">
        <v>110</v>
      </c>
      <c r="F277" s="116">
        <v>549.70000000000005</v>
      </c>
      <c r="G277">
        <v>7183</v>
      </c>
      <c r="H277" s="116"/>
      <c r="I277" s="116"/>
      <c r="L277" s="170">
        <v>43122</v>
      </c>
      <c r="M277" s="116">
        <v>109.94</v>
      </c>
      <c r="N277" s="116">
        <v>110.16</v>
      </c>
      <c r="O277" s="116">
        <v>107.8</v>
      </c>
      <c r="P277" s="116">
        <v>109.64</v>
      </c>
      <c r="Q277" s="116">
        <v>549.70000000000005</v>
      </c>
      <c r="R277">
        <v>81175</v>
      </c>
    </row>
    <row r="278" spans="1:18" x14ac:dyDescent="0.25">
      <c r="A278" s="170">
        <v>43123</v>
      </c>
      <c r="B278" s="116">
        <v>112</v>
      </c>
      <c r="C278" s="116">
        <v>111.23</v>
      </c>
      <c r="D278" s="116">
        <v>110.09</v>
      </c>
      <c r="E278" s="116">
        <v>110.48</v>
      </c>
      <c r="F278" s="116">
        <v>556.15</v>
      </c>
      <c r="G278">
        <v>15096</v>
      </c>
      <c r="H278" s="116"/>
      <c r="I278" s="116"/>
      <c r="L278" s="170">
        <v>43123</v>
      </c>
      <c r="M278" s="116">
        <v>111.26</v>
      </c>
      <c r="N278" s="116">
        <v>112</v>
      </c>
      <c r="O278" s="116">
        <v>109.79</v>
      </c>
      <c r="P278" s="116">
        <v>109.8</v>
      </c>
      <c r="Q278" s="116">
        <v>556.29999999999995</v>
      </c>
      <c r="R278">
        <v>128370</v>
      </c>
    </row>
    <row r="279" spans="1:18" x14ac:dyDescent="0.25">
      <c r="A279" s="170">
        <v>43124</v>
      </c>
      <c r="B279" s="116">
        <v>112.21</v>
      </c>
      <c r="C279" s="116">
        <v>110.69</v>
      </c>
      <c r="D279" s="116">
        <v>109.06</v>
      </c>
      <c r="E279" s="116">
        <v>110.53</v>
      </c>
      <c r="F279" s="116">
        <v>553.45000000000005</v>
      </c>
      <c r="G279">
        <v>8331</v>
      </c>
      <c r="H279" s="116"/>
      <c r="I279" s="116"/>
      <c r="L279" s="170">
        <v>43124</v>
      </c>
      <c r="M279" s="116">
        <v>110.69</v>
      </c>
      <c r="N279" s="116">
        <v>111.9</v>
      </c>
      <c r="O279" s="116">
        <v>109.2</v>
      </c>
      <c r="P279" s="116">
        <v>110.1</v>
      </c>
      <c r="Q279" s="116">
        <v>553.45000000000005</v>
      </c>
      <c r="R279">
        <v>64801</v>
      </c>
    </row>
    <row r="280" spans="1:18" x14ac:dyDescent="0.25">
      <c r="A280" s="170">
        <v>43125</v>
      </c>
      <c r="B280" s="116">
        <v>111.39</v>
      </c>
      <c r="C280" s="116">
        <v>109.47</v>
      </c>
      <c r="D280" s="116">
        <v>108.05</v>
      </c>
      <c r="E280" s="116">
        <v>110.46</v>
      </c>
      <c r="F280" s="116">
        <v>547.35</v>
      </c>
      <c r="G280">
        <v>7219</v>
      </c>
      <c r="H280" s="116"/>
      <c r="I280" s="116"/>
      <c r="L280" s="170">
        <v>43125</v>
      </c>
      <c r="M280" s="116">
        <v>109.02</v>
      </c>
      <c r="N280" s="116">
        <v>111.28</v>
      </c>
      <c r="O280" s="116">
        <v>107.81</v>
      </c>
      <c r="P280" s="116">
        <v>109.42</v>
      </c>
      <c r="Q280" s="116">
        <v>545.1</v>
      </c>
      <c r="R280">
        <v>33396</v>
      </c>
    </row>
    <row r="281" spans="1:18" x14ac:dyDescent="0.25">
      <c r="A281" s="170">
        <v>43129</v>
      </c>
      <c r="B281" s="116">
        <v>110.6</v>
      </c>
      <c r="C281" s="116">
        <v>107.73</v>
      </c>
      <c r="D281" s="116">
        <v>106.99</v>
      </c>
      <c r="E281" s="116">
        <v>109.6</v>
      </c>
      <c r="F281" s="116">
        <v>538.65</v>
      </c>
      <c r="G281">
        <v>12916</v>
      </c>
      <c r="H281" s="116"/>
      <c r="I281" s="116"/>
      <c r="L281" s="170">
        <v>43129</v>
      </c>
      <c r="M281" s="116">
        <v>107.83</v>
      </c>
      <c r="N281" s="116">
        <v>110.79</v>
      </c>
      <c r="O281" s="116">
        <v>107.21</v>
      </c>
      <c r="P281" s="116">
        <v>109.2</v>
      </c>
      <c r="Q281" s="116">
        <v>539.15</v>
      </c>
      <c r="R281">
        <v>62835</v>
      </c>
    </row>
    <row r="282" spans="1:18" x14ac:dyDescent="0.25">
      <c r="A282" s="170">
        <v>43130</v>
      </c>
      <c r="B282" s="116">
        <v>104.89</v>
      </c>
      <c r="C282" s="116">
        <v>103.25</v>
      </c>
      <c r="D282" s="116">
        <v>101.8</v>
      </c>
      <c r="E282" s="116">
        <v>104</v>
      </c>
      <c r="F282" s="116">
        <v>516.25</v>
      </c>
      <c r="G282">
        <v>25154</v>
      </c>
      <c r="H282" s="116"/>
      <c r="I282" s="116"/>
      <c r="L282" s="170">
        <v>43130</v>
      </c>
      <c r="M282" s="116">
        <v>103.47</v>
      </c>
      <c r="N282" s="116">
        <v>105</v>
      </c>
      <c r="O282" s="116">
        <v>101.6</v>
      </c>
      <c r="P282" s="116">
        <v>103.2</v>
      </c>
      <c r="Q282" s="116">
        <v>517.35</v>
      </c>
      <c r="R282">
        <v>226161</v>
      </c>
    </row>
    <row r="283" spans="1:18" x14ac:dyDescent="0.25">
      <c r="A283" s="170">
        <v>43131</v>
      </c>
      <c r="B283" s="116">
        <v>104.6</v>
      </c>
      <c r="C283" s="116">
        <v>103.8</v>
      </c>
      <c r="D283" s="116">
        <v>102.4</v>
      </c>
      <c r="E283" s="116">
        <v>103.31</v>
      </c>
      <c r="F283" s="116">
        <v>519</v>
      </c>
      <c r="G283">
        <v>6169</v>
      </c>
      <c r="H283" s="116"/>
      <c r="I283" s="116"/>
      <c r="L283" s="170">
        <v>43131</v>
      </c>
      <c r="M283" s="116">
        <v>103.32</v>
      </c>
      <c r="N283" s="116">
        <v>104.01</v>
      </c>
      <c r="O283" s="116">
        <v>102.24</v>
      </c>
      <c r="P283" s="116">
        <v>104</v>
      </c>
      <c r="Q283" s="116">
        <v>516.6</v>
      </c>
      <c r="R283">
        <v>79404</v>
      </c>
    </row>
    <row r="284" spans="1:18" x14ac:dyDescent="0.25">
      <c r="A284" s="170">
        <v>43132</v>
      </c>
      <c r="B284" s="116">
        <v>104.12</v>
      </c>
      <c r="C284" s="116">
        <v>103.51</v>
      </c>
      <c r="D284" s="116">
        <v>100.5</v>
      </c>
      <c r="E284" s="116">
        <v>103.03</v>
      </c>
      <c r="F284" s="116">
        <v>517.54999999999995</v>
      </c>
      <c r="G284">
        <v>89326</v>
      </c>
      <c r="H284" s="116"/>
      <c r="I284" s="116"/>
      <c r="L284" s="170">
        <v>43132</v>
      </c>
      <c r="M284" s="116">
        <v>103.56</v>
      </c>
      <c r="N284" s="116">
        <v>104.27</v>
      </c>
      <c r="O284" s="116">
        <v>102.2</v>
      </c>
      <c r="P284" s="116">
        <v>103.41</v>
      </c>
      <c r="Q284" s="116">
        <v>517.79999999999995</v>
      </c>
      <c r="R284">
        <v>60231</v>
      </c>
    </row>
    <row r="285" spans="1:18" x14ac:dyDescent="0.25">
      <c r="A285" s="170">
        <v>43133</v>
      </c>
      <c r="B285" s="116">
        <v>103.6</v>
      </c>
      <c r="C285" s="116">
        <v>102.15</v>
      </c>
      <c r="D285" s="116">
        <v>101</v>
      </c>
      <c r="E285" s="116">
        <v>101.61</v>
      </c>
      <c r="F285" s="116">
        <v>510.75</v>
      </c>
      <c r="G285">
        <v>12118</v>
      </c>
      <c r="H285" s="116"/>
      <c r="I285" s="116"/>
      <c r="L285" s="170">
        <v>43133</v>
      </c>
      <c r="M285" s="116">
        <v>102</v>
      </c>
      <c r="N285" s="116">
        <v>103.5</v>
      </c>
      <c r="O285" s="116">
        <v>101</v>
      </c>
      <c r="P285" s="116">
        <v>102.4</v>
      </c>
      <c r="Q285" s="116">
        <v>510</v>
      </c>
      <c r="R285">
        <v>83552</v>
      </c>
    </row>
    <row r="286" spans="1:18" x14ac:dyDescent="0.25">
      <c r="A286" s="170">
        <v>43136</v>
      </c>
      <c r="B286" s="116">
        <v>104.2</v>
      </c>
      <c r="C286" s="116">
        <v>101.87</v>
      </c>
      <c r="D286" s="116">
        <v>97</v>
      </c>
      <c r="E286" s="116">
        <v>101</v>
      </c>
      <c r="F286" s="116">
        <v>509.35</v>
      </c>
      <c r="G286">
        <v>8536</v>
      </c>
      <c r="H286" s="116"/>
      <c r="I286" s="116"/>
      <c r="L286" s="170">
        <v>43136</v>
      </c>
      <c r="M286" s="116">
        <v>101.21</v>
      </c>
      <c r="N286" s="116">
        <v>101.8</v>
      </c>
      <c r="O286" s="116">
        <v>100</v>
      </c>
      <c r="P286" s="116">
        <v>101</v>
      </c>
      <c r="Q286" s="116">
        <v>506.05</v>
      </c>
      <c r="R286">
        <v>78065</v>
      </c>
    </row>
    <row r="287" spans="1:18" x14ac:dyDescent="0.25">
      <c r="A287" s="170">
        <v>43137</v>
      </c>
      <c r="B287" s="116">
        <v>101.63</v>
      </c>
      <c r="C287" s="116">
        <v>100.93</v>
      </c>
      <c r="D287" s="116">
        <v>97.22</v>
      </c>
      <c r="E287" s="116">
        <v>98.66</v>
      </c>
      <c r="F287" s="116">
        <v>504.65</v>
      </c>
      <c r="G287">
        <v>3155</v>
      </c>
      <c r="H287" s="116"/>
      <c r="I287" s="116"/>
      <c r="L287" s="170">
        <v>43137</v>
      </c>
      <c r="M287" s="116">
        <v>100.66</v>
      </c>
      <c r="N287" s="116">
        <v>101.6</v>
      </c>
      <c r="O287" s="116">
        <v>98.24</v>
      </c>
      <c r="P287" s="116">
        <v>99.98</v>
      </c>
      <c r="Q287" s="116">
        <v>503.3</v>
      </c>
      <c r="R287">
        <v>61153</v>
      </c>
    </row>
    <row r="288" spans="1:18" x14ac:dyDescent="0.25">
      <c r="A288" s="170">
        <v>43138</v>
      </c>
      <c r="B288" s="116">
        <v>101.2</v>
      </c>
      <c r="C288" s="116">
        <v>100.07</v>
      </c>
      <c r="D288" s="116">
        <v>99.6</v>
      </c>
      <c r="E288" s="116">
        <v>101.13</v>
      </c>
      <c r="F288" s="116">
        <v>500.35</v>
      </c>
      <c r="G288">
        <v>2297</v>
      </c>
      <c r="H288" s="116"/>
      <c r="I288" s="116"/>
      <c r="L288" s="170">
        <v>43138</v>
      </c>
      <c r="M288" s="116">
        <v>100.44</v>
      </c>
      <c r="N288" s="116">
        <v>102</v>
      </c>
      <c r="O288" s="116">
        <v>99.6</v>
      </c>
      <c r="P288" s="116">
        <v>100.72</v>
      </c>
      <c r="Q288" s="116">
        <v>502.2</v>
      </c>
      <c r="R288">
        <v>84772</v>
      </c>
    </row>
    <row r="289" spans="1:18" x14ac:dyDescent="0.25">
      <c r="A289" s="170">
        <v>43139</v>
      </c>
      <c r="B289" s="116">
        <v>102.93</v>
      </c>
      <c r="C289" s="116">
        <v>101.53</v>
      </c>
      <c r="D289" s="116">
        <v>100.91</v>
      </c>
      <c r="E289" s="116">
        <v>101.14</v>
      </c>
      <c r="F289" s="116">
        <v>507.65</v>
      </c>
      <c r="G289">
        <v>5789</v>
      </c>
      <c r="H289" s="116"/>
      <c r="I289" s="116"/>
      <c r="L289" s="170">
        <v>43139</v>
      </c>
      <c r="M289" s="116">
        <v>101.74</v>
      </c>
      <c r="N289" s="116">
        <v>102.89</v>
      </c>
      <c r="O289" s="116">
        <v>100.47</v>
      </c>
      <c r="P289" s="116">
        <v>100.71</v>
      </c>
      <c r="Q289" s="116">
        <v>508.7</v>
      </c>
      <c r="R289">
        <v>164323</v>
      </c>
    </row>
    <row r="290" spans="1:18" x14ac:dyDescent="0.25">
      <c r="A290" s="170">
        <v>43140</v>
      </c>
      <c r="B290" s="116">
        <v>103.6</v>
      </c>
      <c r="C290" s="116">
        <v>103.08</v>
      </c>
      <c r="D290" s="116">
        <v>100.36</v>
      </c>
      <c r="E290" s="116">
        <v>100.4</v>
      </c>
      <c r="F290" s="116">
        <v>515.4</v>
      </c>
      <c r="G290">
        <v>105732</v>
      </c>
      <c r="H290" s="116"/>
      <c r="I290" s="116"/>
      <c r="L290" s="170">
        <v>43140</v>
      </c>
      <c r="M290" s="116">
        <v>102.93</v>
      </c>
      <c r="N290" s="116">
        <v>103.4</v>
      </c>
      <c r="O290" s="116">
        <v>100</v>
      </c>
      <c r="P290" s="116">
        <v>100.04</v>
      </c>
      <c r="Q290" s="116">
        <v>514.65</v>
      </c>
      <c r="R290">
        <v>57973</v>
      </c>
    </row>
    <row r="291" spans="1:18" x14ac:dyDescent="0.25">
      <c r="A291" s="170">
        <v>43143</v>
      </c>
      <c r="B291" s="116">
        <v>105</v>
      </c>
      <c r="C291" s="116">
        <v>103.58</v>
      </c>
      <c r="D291" s="116">
        <v>102.04</v>
      </c>
      <c r="E291" s="116">
        <v>103.86</v>
      </c>
      <c r="F291" s="116">
        <v>517.9</v>
      </c>
      <c r="G291">
        <v>2269</v>
      </c>
      <c r="H291" s="116"/>
      <c r="I291" s="116"/>
      <c r="L291" s="170">
        <v>43143</v>
      </c>
      <c r="M291" s="116">
        <v>103.68</v>
      </c>
      <c r="N291" s="116">
        <v>104.8</v>
      </c>
      <c r="O291" s="116">
        <v>103.17</v>
      </c>
      <c r="P291" s="116">
        <v>104</v>
      </c>
      <c r="Q291" s="116">
        <v>518.4</v>
      </c>
      <c r="R291">
        <v>30911</v>
      </c>
    </row>
    <row r="292" spans="1:18" x14ac:dyDescent="0.25">
      <c r="A292" s="170">
        <v>43145</v>
      </c>
      <c r="B292" s="116">
        <v>109.71</v>
      </c>
      <c r="C292" s="116">
        <v>106.7</v>
      </c>
      <c r="D292" s="116">
        <v>104</v>
      </c>
      <c r="E292" s="116">
        <v>104.6</v>
      </c>
      <c r="F292" s="116">
        <v>533.5</v>
      </c>
      <c r="G292">
        <v>11544</v>
      </c>
      <c r="H292" s="116"/>
      <c r="I292" s="116"/>
      <c r="L292" s="170">
        <v>43145</v>
      </c>
      <c r="M292" s="116">
        <v>107.14</v>
      </c>
      <c r="N292" s="116">
        <v>109.98</v>
      </c>
      <c r="O292" s="116">
        <v>103.83</v>
      </c>
      <c r="P292" s="116">
        <v>104</v>
      </c>
      <c r="Q292" s="116">
        <v>535.70000000000005</v>
      </c>
      <c r="R292">
        <v>123864</v>
      </c>
    </row>
    <row r="293" spans="1:18" x14ac:dyDescent="0.25">
      <c r="A293" s="170">
        <v>43146</v>
      </c>
      <c r="B293" s="116">
        <v>108.38</v>
      </c>
      <c r="C293" s="116">
        <v>105.05</v>
      </c>
      <c r="D293" s="116">
        <v>104.6</v>
      </c>
      <c r="E293" s="116">
        <v>105.6</v>
      </c>
      <c r="F293" s="116">
        <v>525.25</v>
      </c>
      <c r="G293">
        <v>7131</v>
      </c>
      <c r="H293" s="116"/>
      <c r="I293" s="116"/>
      <c r="L293" s="170">
        <v>43146</v>
      </c>
      <c r="M293" s="116">
        <v>105.45</v>
      </c>
      <c r="N293" s="116">
        <v>108.38</v>
      </c>
      <c r="O293" s="116">
        <v>105.02</v>
      </c>
      <c r="P293" s="116">
        <v>107.07</v>
      </c>
      <c r="Q293" s="116">
        <v>527.25</v>
      </c>
      <c r="R293">
        <v>155547</v>
      </c>
    </row>
    <row r="294" spans="1:18" x14ac:dyDescent="0.25">
      <c r="A294" s="170">
        <v>43147</v>
      </c>
      <c r="B294" s="116">
        <v>106.77</v>
      </c>
      <c r="C294" s="116">
        <v>104.95</v>
      </c>
      <c r="D294" s="116">
        <v>103.8</v>
      </c>
      <c r="E294" s="116">
        <v>106.35</v>
      </c>
      <c r="F294" s="116">
        <v>524.75</v>
      </c>
      <c r="G294">
        <v>9851</v>
      </c>
      <c r="H294" s="116"/>
      <c r="I294" s="116"/>
      <c r="L294" s="170">
        <v>43147</v>
      </c>
      <c r="M294" s="116">
        <v>105.06</v>
      </c>
      <c r="N294" s="116">
        <v>107.08</v>
      </c>
      <c r="O294" s="116">
        <v>103.41</v>
      </c>
      <c r="P294" s="116">
        <v>105.45</v>
      </c>
      <c r="Q294" s="116">
        <v>525.29999999999995</v>
      </c>
      <c r="R294">
        <v>34039</v>
      </c>
    </row>
    <row r="295" spans="1:18" x14ac:dyDescent="0.25">
      <c r="A295" s="170">
        <v>43150</v>
      </c>
      <c r="B295" s="116">
        <v>105.05</v>
      </c>
      <c r="C295" s="116">
        <v>103.29</v>
      </c>
      <c r="D295" s="116">
        <v>102.34</v>
      </c>
      <c r="E295" s="116">
        <v>104</v>
      </c>
      <c r="F295" s="116">
        <v>516.45000000000005</v>
      </c>
      <c r="G295">
        <v>5036</v>
      </c>
      <c r="H295" s="116"/>
      <c r="I295" s="116"/>
      <c r="L295" s="170">
        <v>43150</v>
      </c>
      <c r="M295" s="116">
        <v>103.79</v>
      </c>
      <c r="N295" s="116">
        <v>106.4</v>
      </c>
      <c r="O295" s="116">
        <v>102.64</v>
      </c>
      <c r="P295" s="116">
        <v>104.06</v>
      </c>
      <c r="Q295" s="116">
        <v>518.95000000000005</v>
      </c>
      <c r="R295">
        <v>27581</v>
      </c>
    </row>
    <row r="296" spans="1:18" x14ac:dyDescent="0.25">
      <c r="A296" s="170">
        <v>43151</v>
      </c>
      <c r="B296" s="116">
        <v>105.17</v>
      </c>
      <c r="C296" s="116">
        <v>103.67</v>
      </c>
      <c r="D296" s="116">
        <v>103</v>
      </c>
      <c r="E296" s="116">
        <v>104.56</v>
      </c>
      <c r="F296" s="116">
        <v>518.35</v>
      </c>
      <c r="G296">
        <v>8952</v>
      </c>
      <c r="H296" s="116"/>
      <c r="I296" s="116"/>
      <c r="L296" s="170">
        <v>43151</v>
      </c>
      <c r="M296" s="116">
        <v>103.8</v>
      </c>
      <c r="N296" s="116">
        <v>105.4</v>
      </c>
      <c r="O296" s="116">
        <v>102.79</v>
      </c>
      <c r="P296" s="116">
        <v>105.4</v>
      </c>
      <c r="Q296" s="116">
        <v>519</v>
      </c>
      <c r="R296">
        <v>28925</v>
      </c>
    </row>
    <row r="297" spans="1:18" x14ac:dyDescent="0.25">
      <c r="A297" s="170">
        <v>43152</v>
      </c>
      <c r="B297" s="116">
        <v>104.3</v>
      </c>
      <c r="C297" s="116">
        <v>103.4</v>
      </c>
      <c r="D297" s="116">
        <v>103</v>
      </c>
      <c r="E297" s="116">
        <v>103.81</v>
      </c>
      <c r="F297" s="116">
        <v>517</v>
      </c>
      <c r="G297">
        <v>6582</v>
      </c>
      <c r="H297" s="116"/>
      <c r="I297" s="116"/>
      <c r="L297" s="170">
        <v>43152</v>
      </c>
      <c r="M297" s="116">
        <v>103.39</v>
      </c>
      <c r="N297" s="116">
        <v>104.38</v>
      </c>
      <c r="O297" s="116">
        <v>102.3</v>
      </c>
      <c r="P297" s="116">
        <v>102.3</v>
      </c>
      <c r="Q297" s="116">
        <v>516.95000000000005</v>
      </c>
      <c r="R297">
        <v>31273</v>
      </c>
    </row>
    <row r="298" spans="1:18" x14ac:dyDescent="0.25">
      <c r="A298" s="170">
        <v>43153</v>
      </c>
      <c r="B298" s="116">
        <v>103.78</v>
      </c>
      <c r="C298" s="116">
        <v>102.62</v>
      </c>
      <c r="D298" s="116">
        <v>102.2</v>
      </c>
      <c r="E298" s="116">
        <v>103</v>
      </c>
      <c r="F298" s="116">
        <v>513.1</v>
      </c>
      <c r="G298">
        <v>109556</v>
      </c>
      <c r="H298" s="116"/>
      <c r="I298" s="116"/>
      <c r="L298" s="170">
        <v>43153</v>
      </c>
      <c r="M298" s="116">
        <v>102.92</v>
      </c>
      <c r="N298" s="116">
        <v>104</v>
      </c>
      <c r="O298" s="116">
        <v>102.2</v>
      </c>
      <c r="P298" s="116">
        <v>102.31</v>
      </c>
      <c r="Q298" s="116">
        <v>514.6</v>
      </c>
      <c r="R298">
        <v>118341</v>
      </c>
    </row>
    <row r="299" spans="1:18" x14ac:dyDescent="0.25">
      <c r="A299" s="170">
        <v>43154</v>
      </c>
      <c r="B299" s="116">
        <v>104.03</v>
      </c>
      <c r="C299" s="116">
        <v>102.99</v>
      </c>
      <c r="D299" s="116">
        <v>102.83</v>
      </c>
      <c r="E299" s="116">
        <v>103.3</v>
      </c>
      <c r="F299" s="116">
        <v>514.95000000000005</v>
      </c>
      <c r="G299">
        <v>2238</v>
      </c>
      <c r="H299" s="116"/>
      <c r="I299" s="116"/>
      <c r="L299" s="170">
        <v>43154</v>
      </c>
      <c r="M299" s="116">
        <v>103.14</v>
      </c>
      <c r="N299" s="116">
        <v>104.2</v>
      </c>
      <c r="O299" s="116">
        <v>102.81</v>
      </c>
      <c r="P299" s="116">
        <v>102.98</v>
      </c>
      <c r="Q299" s="116">
        <v>515.70000000000005</v>
      </c>
      <c r="R299">
        <v>35272</v>
      </c>
    </row>
    <row r="300" spans="1:18" x14ac:dyDescent="0.25">
      <c r="A300" s="170">
        <v>43157</v>
      </c>
      <c r="B300" s="116">
        <v>104.8</v>
      </c>
      <c r="C300" s="116">
        <v>104.24</v>
      </c>
      <c r="D300" s="116">
        <v>102.4</v>
      </c>
      <c r="E300" s="116">
        <v>104</v>
      </c>
      <c r="F300" s="116">
        <v>521.20000000000005</v>
      </c>
      <c r="G300">
        <v>13759</v>
      </c>
      <c r="H300" s="116"/>
      <c r="I300" s="116"/>
      <c r="L300" s="170">
        <v>43157</v>
      </c>
      <c r="M300" s="116">
        <v>104.16</v>
      </c>
      <c r="N300" s="116">
        <v>104.92</v>
      </c>
      <c r="O300" s="116">
        <v>103.05</v>
      </c>
      <c r="P300" s="116">
        <v>103.14</v>
      </c>
      <c r="Q300" s="116">
        <v>520.79999999999995</v>
      </c>
      <c r="R300">
        <v>44831</v>
      </c>
    </row>
    <row r="301" spans="1:18" x14ac:dyDescent="0.25">
      <c r="A301" s="170">
        <v>43158</v>
      </c>
      <c r="B301" s="116">
        <v>106.91</v>
      </c>
      <c r="C301" s="116">
        <v>106.49</v>
      </c>
      <c r="D301" s="116">
        <v>104.18</v>
      </c>
      <c r="E301" s="116">
        <v>104.92</v>
      </c>
      <c r="F301" s="116">
        <v>532.45000000000005</v>
      </c>
      <c r="G301">
        <v>123011</v>
      </c>
      <c r="H301" s="116"/>
      <c r="I301" s="116"/>
      <c r="L301" s="170">
        <v>43158</v>
      </c>
      <c r="M301" s="116">
        <v>107.48</v>
      </c>
      <c r="N301" s="116">
        <v>107.76</v>
      </c>
      <c r="O301" s="116">
        <v>104.01</v>
      </c>
      <c r="P301" s="116">
        <v>104.21</v>
      </c>
      <c r="Q301" s="116">
        <v>537.4</v>
      </c>
      <c r="R301">
        <v>85249</v>
      </c>
    </row>
    <row r="302" spans="1:18" x14ac:dyDescent="0.25">
      <c r="A302" s="170">
        <v>43159</v>
      </c>
      <c r="B302" s="116">
        <v>108.56</v>
      </c>
      <c r="C302" s="116">
        <v>107.67</v>
      </c>
      <c r="D302" s="116">
        <v>105.2</v>
      </c>
      <c r="E302" s="116">
        <v>105.64</v>
      </c>
      <c r="F302" s="116">
        <v>538.35</v>
      </c>
      <c r="G302">
        <v>240052</v>
      </c>
      <c r="H302" s="116"/>
      <c r="I302" s="116"/>
      <c r="L302" s="170">
        <v>43159</v>
      </c>
      <c r="M302" s="116">
        <v>108.71</v>
      </c>
      <c r="N302" s="116">
        <v>109.6</v>
      </c>
      <c r="O302" s="116">
        <v>105</v>
      </c>
      <c r="P302" s="116">
        <v>105.1</v>
      </c>
      <c r="Q302" s="116">
        <v>543.54999999999995</v>
      </c>
      <c r="R302">
        <v>76894</v>
      </c>
    </row>
    <row r="303" spans="1:18" x14ac:dyDescent="0.25">
      <c r="A303" s="170">
        <v>43160</v>
      </c>
      <c r="B303" s="116">
        <v>108.77</v>
      </c>
      <c r="C303" s="116">
        <v>106.5</v>
      </c>
      <c r="D303" s="116">
        <v>106.03</v>
      </c>
      <c r="E303" s="116">
        <v>108.29</v>
      </c>
      <c r="F303" s="116">
        <v>532.5</v>
      </c>
      <c r="G303">
        <v>3853</v>
      </c>
      <c r="H303" s="116"/>
      <c r="I303" s="116"/>
      <c r="L303" s="170">
        <v>43160</v>
      </c>
      <c r="M303" s="116">
        <v>106.35</v>
      </c>
      <c r="N303" s="116">
        <v>108.79</v>
      </c>
      <c r="O303" s="116">
        <v>105.63</v>
      </c>
      <c r="P303" s="116">
        <v>108.71</v>
      </c>
      <c r="Q303" s="116">
        <v>531.75</v>
      </c>
      <c r="R303">
        <v>26186</v>
      </c>
    </row>
    <row r="304" spans="1:18" x14ac:dyDescent="0.25">
      <c r="A304" s="170">
        <v>43164</v>
      </c>
      <c r="B304" s="116">
        <v>109.5</v>
      </c>
      <c r="C304" s="116">
        <v>105.79</v>
      </c>
      <c r="D304" s="116">
        <v>104.42</v>
      </c>
      <c r="E304" s="116">
        <v>109.5</v>
      </c>
      <c r="F304" s="116">
        <v>528.95000000000005</v>
      </c>
      <c r="G304">
        <v>14525</v>
      </c>
      <c r="H304" s="116"/>
      <c r="I304" s="116"/>
      <c r="L304" s="170">
        <v>43164</v>
      </c>
      <c r="M304" s="116">
        <v>106.14</v>
      </c>
      <c r="N304" s="116">
        <v>109</v>
      </c>
      <c r="O304" s="116">
        <v>105.42</v>
      </c>
      <c r="P304" s="116">
        <v>109</v>
      </c>
      <c r="Q304" s="116">
        <v>530.70000000000005</v>
      </c>
      <c r="R304">
        <v>107659</v>
      </c>
    </row>
    <row r="305" spans="1:18" x14ac:dyDescent="0.25">
      <c r="A305" s="170">
        <v>43165</v>
      </c>
      <c r="B305" s="116">
        <v>108.4</v>
      </c>
      <c r="C305" s="116">
        <v>106.87</v>
      </c>
      <c r="D305" s="116">
        <v>106</v>
      </c>
      <c r="E305" s="116">
        <v>107.9</v>
      </c>
      <c r="F305" s="116">
        <v>534.35</v>
      </c>
      <c r="G305">
        <v>20227</v>
      </c>
      <c r="H305" s="116"/>
      <c r="I305" s="116"/>
      <c r="L305" s="170">
        <v>43165</v>
      </c>
      <c r="M305" s="116">
        <v>107.23</v>
      </c>
      <c r="N305" s="116">
        <v>109</v>
      </c>
      <c r="O305" s="116">
        <v>106</v>
      </c>
      <c r="P305" s="116">
        <v>106.6</v>
      </c>
      <c r="Q305" s="116">
        <v>536.15</v>
      </c>
      <c r="R305">
        <v>157030</v>
      </c>
    </row>
    <row r="306" spans="1:18" x14ac:dyDescent="0.25">
      <c r="A306" s="170">
        <v>43166</v>
      </c>
      <c r="B306" s="116">
        <v>106.81</v>
      </c>
      <c r="C306" s="116">
        <v>104.14</v>
      </c>
      <c r="D306" s="116">
        <v>103</v>
      </c>
      <c r="E306" s="116">
        <v>106.8</v>
      </c>
      <c r="F306" s="116">
        <v>520.70000000000005</v>
      </c>
      <c r="G306">
        <v>8620</v>
      </c>
      <c r="H306" s="116"/>
      <c r="I306" s="116"/>
      <c r="L306" s="170">
        <v>43166</v>
      </c>
      <c r="M306" s="116">
        <v>104.03</v>
      </c>
      <c r="N306" s="116">
        <v>107.23</v>
      </c>
      <c r="O306" s="116">
        <v>103.02</v>
      </c>
      <c r="P306" s="116">
        <v>105.21</v>
      </c>
      <c r="Q306" s="116">
        <v>520.15</v>
      </c>
      <c r="R306">
        <v>66624</v>
      </c>
    </row>
    <row r="307" spans="1:18" x14ac:dyDescent="0.25">
      <c r="A307" s="170">
        <v>43167</v>
      </c>
      <c r="B307" s="116">
        <v>105</v>
      </c>
      <c r="C307" s="116">
        <v>103.58</v>
      </c>
      <c r="D307" s="116">
        <v>102.6</v>
      </c>
      <c r="E307" s="116">
        <v>104.12</v>
      </c>
      <c r="F307" s="116">
        <v>517.9</v>
      </c>
      <c r="G307">
        <v>17429</v>
      </c>
      <c r="H307" s="116"/>
      <c r="I307" s="116"/>
      <c r="L307" s="170">
        <v>43167</v>
      </c>
      <c r="M307" s="116">
        <v>104.26</v>
      </c>
      <c r="N307" s="116">
        <v>105.4</v>
      </c>
      <c r="O307" s="116">
        <v>102.4</v>
      </c>
      <c r="P307" s="116">
        <v>104.22</v>
      </c>
      <c r="Q307" s="116">
        <v>521.29999999999995</v>
      </c>
      <c r="R307">
        <v>98577</v>
      </c>
    </row>
    <row r="308" spans="1:18" x14ac:dyDescent="0.25">
      <c r="A308" s="170">
        <v>43168</v>
      </c>
      <c r="B308" s="116">
        <v>105.03</v>
      </c>
      <c r="C308" s="116">
        <v>104.05</v>
      </c>
      <c r="D308" s="116">
        <v>103.61</v>
      </c>
      <c r="E308" s="116">
        <v>104.94</v>
      </c>
      <c r="F308" s="116">
        <v>520.25</v>
      </c>
      <c r="G308">
        <v>4483</v>
      </c>
      <c r="H308" s="116"/>
      <c r="I308" s="116"/>
      <c r="L308" s="170">
        <v>43168</v>
      </c>
      <c r="M308" s="116">
        <v>103.88</v>
      </c>
      <c r="N308" s="116">
        <v>105.22</v>
      </c>
      <c r="O308" s="116">
        <v>103.4</v>
      </c>
      <c r="P308" s="116">
        <v>104.3</v>
      </c>
      <c r="Q308" s="116">
        <v>519.4</v>
      </c>
      <c r="R308">
        <v>57163</v>
      </c>
    </row>
    <row r="309" spans="1:18" x14ac:dyDescent="0.25">
      <c r="A309" s="170">
        <v>43171</v>
      </c>
      <c r="B309" s="116">
        <v>104.76</v>
      </c>
      <c r="C309" s="116">
        <v>104.34</v>
      </c>
      <c r="D309" s="116">
        <v>103.91</v>
      </c>
      <c r="E309" s="116">
        <v>103.97</v>
      </c>
      <c r="F309" s="116">
        <v>521.70000000000005</v>
      </c>
      <c r="G309">
        <v>3990</v>
      </c>
      <c r="H309" s="116"/>
      <c r="I309" s="116"/>
      <c r="L309" s="170">
        <v>43171</v>
      </c>
      <c r="M309" s="116">
        <v>104.28</v>
      </c>
      <c r="N309" s="116">
        <v>104.89</v>
      </c>
      <c r="O309" s="116">
        <v>103.61</v>
      </c>
      <c r="P309" s="116">
        <v>104.05</v>
      </c>
      <c r="Q309" s="116">
        <v>521.4</v>
      </c>
      <c r="R309">
        <v>55848</v>
      </c>
    </row>
    <row r="310" spans="1:18" x14ac:dyDescent="0.25">
      <c r="A310" s="170">
        <v>43172</v>
      </c>
      <c r="B310" s="116">
        <v>108.59</v>
      </c>
      <c r="C310" s="116">
        <v>107.88</v>
      </c>
      <c r="D310" s="116">
        <v>103.6</v>
      </c>
      <c r="E310" s="116">
        <v>103.6</v>
      </c>
      <c r="F310" s="116">
        <v>539.4</v>
      </c>
      <c r="G310">
        <v>18960</v>
      </c>
      <c r="H310" s="116"/>
      <c r="I310" s="116"/>
      <c r="L310" s="170">
        <v>43172</v>
      </c>
      <c r="M310" s="116">
        <v>108.86</v>
      </c>
      <c r="N310" s="116">
        <v>109.53</v>
      </c>
      <c r="O310" s="116">
        <v>103.9</v>
      </c>
      <c r="P310" s="116">
        <v>104.03</v>
      </c>
      <c r="Q310" s="116">
        <v>544.29999999999995</v>
      </c>
      <c r="R310">
        <v>101536</v>
      </c>
    </row>
    <row r="311" spans="1:18" x14ac:dyDescent="0.25">
      <c r="A311" s="170">
        <v>43173</v>
      </c>
      <c r="B311" s="116">
        <v>108.38</v>
      </c>
      <c r="C311" s="116">
        <v>107.39</v>
      </c>
      <c r="D311" s="116">
        <v>106.02</v>
      </c>
      <c r="E311" s="116">
        <v>107.74</v>
      </c>
      <c r="F311" s="116">
        <v>536.95000000000005</v>
      </c>
      <c r="G311">
        <v>12238</v>
      </c>
      <c r="H311" s="116"/>
      <c r="I311" s="116"/>
      <c r="L311" s="170">
        <v>43173</v>
      </c>
      <c r="M311" s="116">
        <v>107.24</v>
      </c>
      <c r="N311" s="116">
        <v>108.6</v>
      </c>
      <c r="O311" s="116">
        <v>105.81</v>
      </c>
      <c r="P311" s="116">
        <v>108.6</v>
      </c>
      <c r="Q311" s="116">
        <v>536.20000000000005</v>
      </c>
      <c r="R311">
        <v>53798</v>
      </c>
    </row>
    <row r="312" spans="1:18" x14ac:dyDescent="0.25">
      <c r="A312" s="170">
        <v>43174</v>
      </c>
      <c r="B312" s="116">
        <v>107.88</v>
      </c>
      <c r="C312" s="116">
        <v>106.75</v>
      </c>
      <c r="D312" s="116">
        <v>106.21</v>
      </c>
      <c r="E312" s="116">
        <v>106.21</v>
      </c>
      <c r="F312" s="116">
        <v>533.75</v>
      </c>
      <c r="G312">
        <v>10033</v>
      </c>
      <c r="H312" s="116"/>
      <c r="I312" s="116"/>
      <c r="L312" s="170">
        <v>43174</v>
      </c>
      <c r="M312" s="116">
        <v>106.86</v>
      </c>
      <c r="N312" s="116">
        <v>108</v>
      </c>
      <c r="O312" s="116">
        <v>106.4</v>
      </c>
      <c r="P312" s="116">
        <v>106.42</v>
      </c>
      <c r="Q312" s="116">
        <v>534.29999999999995</v>
      </c>
      <c r="R312">
        <v>28496</v>
      </c>
    </row>
    <row r="313" spans="1:18" x14ac:dyDescent="0.25">
      <c r="A313" s="170">
        <v>43175</v>
      </c>
      <c r="B313" s="116">
        <v>107.61</v>
      </c>
      <c r="C313" s="116">
        <v>105.14</v>
      </c>
      <c r="D313" s="116">
        <v>102.45</v>
      </c>
      <c r="E313" s="116">
        <v>106.43</v>
      </c>
      <c r="F313" s="116">
        <v>525.70000000000005</v>
      </c>
      <c r="G313">
        <v>12369</v>
      </c>
      <c r="H313" s="116"/>
      <c r="I313" s="116"/>
      <c r="L313" s="170">
        <v>43175</v>
      </c>
      <c r="M313" s="116">
        <v>104.26</v>
      </c>
      <c r="N313" s="116">
        <v>107.98</v>
      </c>
      <c r="O313" s="116">
        <v>103.31</v>
      </c>
      <c r="P313" s="116">
        <v>107.02</v>
      </c>
      <c r="Q313" s="116">
        <v>521.29999999999995</v>
      </c>
      <c r="R313">
        <v>77312</v>
      </c>
    </row>
    <row r="314" spans="1:18" x14ac:dyDescent="0.25">
      <c r="A314" s="170">
        <v>43178</v>
      </c>
      <c r="B314" s="116">
        <v>105.95</v>
      </c>
      <c r="C314" s="116">
        <v>104.76</v>
      </c>
      <c r="D314" s="116">
        <v>103.56</v>
      </c>
      <c r="E314" s="116">
        <v>105.95</v>
      </c>
      <c r="F314" s="116">
        <v>523.79999999999995</v>
      </c>
      <c r="G314">
        <v>11725</v>
      </c>
      <c r="H314" s="116"/>
      <c r="I314" s="116"/>
      <c r="L314" s="170">
        <v>43178</v>
      </c>
      <c r="M314" s="116">
        <v>104.33</v>
      </c>
      <c r="N314" s="116">
        <v>106.96</v>
      </c>
      <c r="O314" s="116">
        <v>103.6</v>
      </c>
      <c r="P314" s="116">
        <v>106.96</v>
      </c>
      <c r="Q314" s="116">
        <v>521.65</v>
      </c>
      <c r="R314">
        <v>26535</v>
      </c>
    </row>
    <row r="315" spans="1:18" x14ac:dyDescent="0.25">
      <c r="A315" s="170">
        <v>43179</v>
      </c>
      <c r="B315" s="116">
        <v>104.3</v>
      </c>
      <c r="C315" s="116">
        <v>102.81</v>
      </c>
      <c r="D315" s="116">
        <v>102.62</v>
      </c>
      <c r="E315" s="116">
        <v>104.01</v>
      </c>
      <c r="F315" s="116">
        <v>514.04999999999995</v>
      </c>
      <c r="G315">
        <v>7840</v>
      </c>
      <c r="H315" s="116"/>
      <c r="I315" s="116"/>
      <c r="L315" s="170">
        <v>43179</v>
      </c>
      <c r="M315" s="116">
        <v>102.57</v>
      </c>
      <c r="N315" s="116">
        <v>104.33</v>
      </c>
      <c r="O315" s="116">
        <v>102.19</v>
      </c>
      <c r="P315" s="116">
        <v>104.33</v>
      </c>
      <c r="Q315" s="116">
        <v>512.85</v>
      </c>
      <c r="R315">
        <v>33267</v>
      </c>
    </row>
    <row r="316" spans="1:18" x14ac:dyDescent="0.25">
      <c r="A316" s="170">
        <v>43180</v>
      </c>
      <c r="B316" s="116">
        <v>103.96</v>
      </c>
      <c r="C316" s="116">
        <v>102.39</v>
      </c>
      <c r="D316" s="116">
        <v>101.8</v>
      </c>
      <c r="E316" s="116">
        <v>103.52</v>
      </c>
      <c r="F316" s="116">
        <v>511.95</v>
      </c>
      <c r="G316">
        <v>9608</v>
      </c>
      <c r="H316" s="116"/>
      <c r="I316" s="116"/>
      <c r="L316" s="170">
        <v>43180</v>
      </c>
      <c r="M316" s="116">
        <v>102.13</v>
      </c>
      <c r="N316" s="116">
        <v>103.82</v>
      </c>
      <c r="O316" s="116">
        <v>101.8</v>
      </c>
      <c r="P316" s="116">
        <v>102.8</v>
      </c>
      <c r="Q316" s="116">
        <v>510.65</v>
      </c>
      <c r="R316">
        <v>61678</v>
      </c>
    </row>
    <row r="317" spans="1:18" x14ac:dyDescent="0.25">
      <c r="A317" s="170">
        <v>43181</v>
      </c>
      <c r="B317" s="116">
        <v>103.4</v>
      </c>
      <c r="C317" s="116">
        <v>101.32</v>
      </c>
      <c r="D317" s="116">
        <v>100.91</v>
      </c>
      <c r="E317" s="116">
        <v>102.16</v>
      </c>
      <c r="F317" s="116">
        <v>506.6</v>
      </c>
      <c r="G317">
        <v>12095</v>
      </c>
      <c r="H317" s="116"/>
      <c r="I317" s="116"/>
      <c r="L317" s="170">
        <v>43181</v>
      </c>
      <c r="M317" s="116">
        <v>101.53</v>
      </c>
      <c r="N317" s="116">
        <v>103.6</v>
      </c>
      <c r="O317" s="116">
        <v>101.22</v>
      </c>
      <c r="P317" s="116">
        <v>103.46</v>
      </c>
      <c r="Q317" s="116">
        <v>507.65</v>
      </c>
      <c r="R317">
        <v>26504</v>
      </c>
    </row>
    <row r="318" spans="1:18" x14ac:dyDescent="0.25">
      <c r="A318" s="170">
        <v>43182</v>
      </c>
      <c r="B318" s="116">
        <v>101.64</v>
      </c>
      <c r="C318" s="116">
        <v>101.52</v>
      </c>
      <c r="D318" s="116">
        <v>99.59</v>
      </c>
      <c r="E318" s="116">
        <v>100.7</v>
      </c>
      <c r="F318" s="116">
        <v>507.6</v>
      </c>
      <c r="G318">
        <v>12536</v>
      </c>
      <c r="H318" s="116"/>
      <c r="I318" s="116"/>
      <c r="L318" s="170">
        <v>43182</v>
      </c>
      <c r="M318" s="116">
        <v>102.55</v>
      </c>
      <c r="N318" s="116">
        <v>103</v>
      </c>
      <c r="O318" s="116">
        <v>99.16</v>
      </c>
      <c r="P318" s="116">
        <v>99.16</v>
      </c>
      <c r="Q318" s="116">
        <v>512.75</v>
      </c>
      <c r="R318">
        <v>43388</v>
      </c>
    </row>
    <row r="319" spans="1:18" x14ac:dyDescent="0.25">
      <c r="A319" s="170">
        <v>43185</v>
      </c>
      <c r="B319" s="116">
        <v>102.6</v>
      </c>
      <c r="C319" s="116">
        <v>101.04</v>
      </c>
      <c r="D319" s="116">
        <v>99.32</v>
      </c>
      <c r="E319" s="116">
        <v>101.77</v>
      </c>
      <c r="F319" s="116">
        <v>505.2</v>
      </c>
      <c r="G319">
        <v>12647</v>
      </c>
      <c r="H319" s="116"/>
      <c r="I319" s="116"/>
      <c r="L319" s="170">
        <v>43185</v>
      </c>
      <c r="M319" s="116">
        <v>101.62</v>
      </c>
      <c r="N319" s="116">
        <v>103</v>
      </c>
      <c r="O319" s="116">
        <v>99.77</v>
      </c>
      <c r="P319" s="116">
        <v>101.98</v>
      </c>
      <c r="Q319" s="116">
        <v>508.1</v>
      </c>
      <c r="R319">
        <v>77540</v>
      </c>
    </row>
    <row r="320" spans="1:18" x14ac:dyDescent="0.25">
      <c r="A320" s="170">
        <v>43186</v>
      </c>
      <c r="B320" s="116">
        <v>103</v>
      </c>
      <c r="C320" s="116">
        <v>101.34</v>
      </c>
      <c r="D320" s="116">
        <v>100.1</v>
      </c>
      <c r="E320" s="116">
        <v>101.45</v>
      </c>
      <c r="F320" s="116">
        <v>506.7</v>
      </c>
      <c r="G320">
        <v>11272</v>
      </c>
      <c r="H320" s="116"/>
      <c r="I320" s="116"/>
      <c r="L320" s="170">
        <v>43186</v>
      </c>
      <c r="M320" s="116">
        <v>101.49</v>
      </c>
      <c r="N320" s="116">
        <v>103.4</v>
      </c>
      <c r="O320" s="116">
        <v>99.8</v>
      </c>
      <c r="P320" s="116">
        <v>101.8</v>
      </c>
      <c r="Q320" s="116">
        <v>507.45</v>
      </c>
      <c r="R320">
        <v>36061</v>
      </c>
    </row>
    <row r="321" spans="1:18" x14ac:dyDescent="0.25">
      <c r="A321" s="170">
        <v>43187</v>
      </c>
      <c r="B321" s="116">
        <v>102.78</v>
      </c>
      <c r="C321" s="116">
        <v>100.62</v>
      </c>
      <c r="D321" s="116">
        <v>99.65</v>
      </c>
      <c r="E321" s="116">
        <v>101.2</v>
      </c>
      <c r="F321" s="116">
        <v>503.1</v>
      </c>
      <c r="G321">
        <v>6077</v>
      </c>
      <c r="H321" s="116"/>
      <c r="I321" s="116"/>
      <c r="L321" s="170">
        <v>43187</v>
      </c>
      <c r="M321" s="116">
        <v>100.57</v>
      </c>
      <c r="N321" s="116">
        <v>103.2</v>
      </c>
      <c r="O321" s="116">
        <v>99</v>
      </c>
      <c r="P321" s="116">
        <v>102.76</v>
      </c>
      <c r="Q321" s="116">
        <v>502.85</v>
      </c>
      <c r="R321">
        <v>42211</v>
      </c>
    </row>
    <row r="322" spans="1:18" x14ac:dyDescent="0.25">
      <c r="A322" s="170">
        <v>43192</v>
      </c>
      <c r="B322" s="116">
        <v>102</v>
      </c>
      <c r="C322" s="116">
        <v>101.58</v>
      </c>
      <c r="D322" s="116">
        <v>100.04</v>
      </c>
      <c r="E322" s="116">
        <v>100.98</v>
      </c>
      <c r="F322" s="116">
        <v>507.9</v>
      </c>
      <c r="G322">
        <v>9701</v>
      </c>
      <c r="H322" s="116"/>
      <c r="I322" s="116"/>
      <c r="L322" s="170">
        <v>43192</v>
      </c>
      <c r="M322" s="116">
        <v>101.71</v>
      </c>
      <c r="N322" s="116">
        <v>102.57</v>
      </c>
      <c r="O322" s="116">
        <v>99.8</v>
      </c>
      <c r="P322" s="116">
        <v>101.04</v>
      </c>
      <c r="Q322" s="116">
        <v>508.55</v>
      </c>
      <c r="R322">
        <v>55628</v>
      </c>
    </row>
    <row r="323" spans="1:18" x14ac:dyDescent="0.25">
      <c r="A323" s="170">
        <v>43193</v>
      </c>
      <c r="B323" s="116">
        <v>104</v>
      </c>
      <c r="C323" s="116">
        <v>102.7</v>
      </c>
      <c r="D323" s="116">
        <v>101.34</v>
      </c>
      <c r="E323" s="116">
        <v>102.51</v>
      </c>
      <c r="F323" s="116">
        <v>513.5</v>
      </c>
      <c r="G323">
        <v>9177</v>
      </c>
      <c r="H323" s="116"/>
      <c r="I323" s="116"/>
      <c r="L323" s="170">
        <v>43193</v>
      </c>
      <c r="M323" s="116">
        <v>102.62</v>
      </c>
      <c r="N323" s="116">
        <v>104</v>
      </c>
      <c r="O323" s="116">
        <v>100.83</v>
      </c>
      <c r="P323" s="116">
        <v>102</v>
      </c>
      <c r="Q323" s="116">
        <v>513.1</v>
      </c>
      <c r="R323">
        <v>37549</v>
      </c>
    </row>
    <row r="324" spans="1:18" x14ac:dyDescent="0.25">
      <c r="A324" s="170">
        <v>43194</v>
      </c>
      <c r="B324" s="116">
        <v>103.4</v>
      </c>
      <c r="C324" s="116">
        <v>102.01</v>
      </c>
      <c r="D324" s="116">
        <v>101.82</v>
      </c>
      <c r="E324" s="116">
        <v>103.18</v>
      </c>
      <c r="F324" s="116">
        <v>510.05</v>
      </c>
      <c r="G324">
        <v>8804</v>
      </c>
      <c r="H324" s="116"/>
      <c r="I324" s="116"/>
      <c r="L324" s="170">
        <v>43194</v>
      </c>
      <c r="M324" s="116">
        <v>102.05</v>
      </c>
      <c r="N324" s="116">
        <v>103.59</v>
      </c>
      <c r="O324" s="116">
        <v>101.9</v>
      </c>
      <c r="P324" s="116">
        <v>102.4</v>
      </c>
      <c r="Q324" s="116">
        <v>510.25</v>
      </c>
      <c r="R324">
        <v>40702</v>
      </c>
    </row>
    <row r="325" spans="1:18" x14ac:dyDescent="0.25">
      <c r="A325" s="170">
        <v>43195</v>
      </c>
      <c r="B325" s="116">
        <v>102.79</v>
      </c>
      <c r="C325" s="116">
        <v>101.66</v>
      </c>
      <c r="D325" s="116">
        <v>101.22</v>
      </c>
      <c r="E325" s="116">
        <v>102.27</v>
      </c>
      <c r="F325" s="116">
        <v>508.3</v>
      </c>
      <c r="G325">
        <v>7145</v>
      </c>
      <c r="H325" s="116"/>
      <c r="I325" s="116"/>
      <c r="L325" s="170">
        <v>43195</v>
      </c>
      <c r="M325" s="116">
        <v>101.38</v>
      </c>
      <c r="N325" s="116">
        <v>103</v>
      </c>
      <c r="O325" s="116">
        <v>101</v>
      </c>
      <c r="P325" s="116">
        <v>103</v>
      </c>
      <c r="Q325" s="116">
        <v>506.9</v>
      </c>
      <c r="R325">
        <v>32313</v>
      </c>
    </row>
    <row r="326" spans="1:18" x14ac:dyDescent="0.25">
      <c r="A326" s="170">
        <v>43196</v>
      </c>
      <c r="B326" s="116">
        <v>102</v>
      </c>
      <c r="C326" s="116">
        <v>101.54</v>
      </c>
      <c r="D326" s="116">
        <v>100.82</v>
      </c>
      <c r="E326" s="116">
        <v>101.21</v>
      </c>
      <c r="F326" s="116">
        <v>507.7</v>
      </c>
      <c r="G326">
        <v>8162</v>
      </c>
      <c r="H326" s="116"/>
      <c r="I326" s="116"/>
      <c r="L326" s="170">
        <v>43196</v>
      </c>
      <c r="M326" s="116">
        <v>101.37</v>
      </c>
      <c r="N326" s="116">
        <v>102.22</v>
      </c>
      <c r="O326" s="116">
        <v>100.5</v>
      </c>
      <c r="P326" s="116">
        <v>100.67</v>
      </c>
      <c r="Q326" s="116">
        <v>506.85</v>
      </c>
      <c r="R326">
        <v>25605</v>
      </c>
    </row>
    <row r="327" spans="1:18" x14ac:dyDescent="0.25">
      <c r="A327" s="170">
        <v>43199</v>
      </c>
      <c r="B327" s="116">
        <v>102.4</v>
      </c>
      <c r="C327" s="116">
        <v>100.02</v>
      </c>
      <c r="D327" s="116">
        <v>99.4</v>
      </c>
      <c r="E327" s="116">
        <v>101.99</v>
      </c>
      <c r="F327" s="116">
        <v>500.1</v>
      </c>
      <c r="G327">
        <v>674810</v>
      </c>
      <c r="H327" s="116"/>
      <c r="I327" s="116"/>
      <c r="L327" s="170">
        <v>43199</v>
      </c>
      <c r="M327" s="116">
        <v>100.02</v>
      </c>
      <c r="N327" s="116">
        <v>102.58</v>
      </c>
      <c r="O327" s="116">
        <v>99.73</v>
      </c>
      <c r="P327" s="116">
        <v>102</v>
      </c>
      <c r="Q327" s="116">
        <v>500.1</v>
      </c>
      <c r="R327">
        <v>816079</v>
      </c>
    </row>
    <row r="328" spans="1:18" x14ac:dyDescent="0.25">
      <c r="A328" s="170">
        <v>43200</v>
      </c>
      <c r="B328" s="116">
        <v>101.56</v>
      </c>
      <c r="C328" s="116">
        <v>101.3</v>
      </c>
      <c r="D328" s="116">
        <v>99.22</v>
      </c>
      <c r="E328" s="116">
        <v>100.88</v>
      </c>
      <c r="F328" s="116">
        <v>506.5</v>
      </c>
      <c r="G328">
        <v>8979</v>
      </c>
      <c r="H328" s="116"/>
      <c r="I328" s="116"/>
      <c r="L328" s="170">
        <v>43200</v>
      </c>
      <c r="M328" s="116">
        <v>101.36</v>
      </c>
      <c r="N328" s="116">
        <v>101.55</v>
      </c>
      <c r="O328" s="116">
        <v>100.4</v>
      </c>
      <c r="P328" s="116">
        <v>100.9</v>
      </c>
      <c r="Q328" s="116">
        <v>506.8</v>
      </c>
      <c r="R328">
        <v>89118</v>
      </c>
    </row>
    <row r="329" spans="1:18" x14ac:dyDescent="0.25">
      <c r="A329" s="170">
        <v>43201</v>
      </c>
      <c r="B329" s="116">
        <v>101.4</v>
      </c>
      <c r="C329" s="116">
        <v>100.67</v>
      </c>
      <c r="D329" s="116">
        <v>100.25</v>
      </c>
      <c r="E329" s="116">
        <v>101.22</v>
      </c>
      <c r="F329" s="116">
        <v>503.35</v>
      </c>
      <c r="G329">
        <v>3400</v>
      </c>
      <c r="H329" s="116"/>
      <c r="I329" s="116"/>
      <c r="L329" s="170">
        <v>43201</v>
      </c>
      <c r="M329" s="116">
        <v>100.65</v>
      </c>
      <c r="N329" s="116">
        <v>101.75</v>
      </c>
      <c r="O329" s="116">
        <v>100.22</v>
      </c>
      <c r="P329" s="116">
        <v>101.75</v>
      </c>
      <c r="Q329" s="116">
        <v>503.25</v>
      </c>
      <c r="R329">
        <v>28590</v>
      </c>
    </row>
    <row r="330" spans="1:18" x14ac:dyDescent="0.25">
      <c r="A330" s="170">
        <v>43202</v>
      </c>
      <c r="B330" s="116">
        <v>101.2</v>
      </c>
      <c r="C330" s="116">
        <v>100.93</v>
      </c>
      <c r="D330" s="116">
        <v>100.4</v>
      </c>
      <c r="E330" s="116">
        <v>101</v>
      </c>
      <c r="F330" s="116">
        <v>504.65</v>
      </c>
      <c r="G330">
        <v>2517</v>
      </c>
      <c r="H330" s="116"/>
      <c r="I330" s="116"/>
      <c r="L330" s="170">
        <v>43202</v>
      </c>
      <c r="M330" s="116">
        <v>100.89</v>
      </c>
      <c r="N330" s="116">
        <v>101.38</v>
      </c>
      <c r="O330" s="116">
        <v>100.51</v>
      </c>
      <c r="P330" s="116">
        <v>101.38</v>
      </c>
      <c r="Q330" s="116">
        <v>504.45</v>
      </c>
      <c r="R330">
        <v>38181</v>
      </c>
    </row>
    <row r="331" spans="1:18" x14ac:dyDescent="0.25">
      <c r="A331" s="170">
        <v>43203</v>
      </c>
      <c r="B331" s="116">
        <v>100.93</v>
      </c>
      <c r="C331" s="116">
        <v>100.08</v>
      </c>
      <c r="D331" s="116">
        <v>99.6</v>
      </c>
      <c r="E331" s="116">
        <v>100.43</v>
      </c>
      <c r="F331" s="116">
        <v>500.4</v>
      </c>
      <c r="G331">
        <v>2550</v>
      </c>
      <c r="H331" s="116"/>
      <c r="I331" s="116"/>
      <c r="L331" s="170">
        <v>43203</v>
      </c>
      <c r="M331" s="116">
        <v>100.18</v>
      </c>
      <c r="N331" s="116">
        <v>100.8</v>
      </c>
      <c r="O331" s="116">
        <v>99.6</v>
      </c>
      <c r="P331" s="116">
        <v>100.4</v>
      </c>
      <c r="Q331" s="116">
        <v>500.9</v>
      </c>
      <c r="R331">
        <v>70451</v>
      </c>
    </row>
    <row r="332" spans="1:18" x14ac:dyDescent="0.25">
      <c r="A332" s="170">
        <v>43206</v>
      </c>
      <c r="B332" s="116">
        <v>100.79</v>
      </c>
      <c r="C332" s="116">
        <v>99.92</v>
      </c>
      <c r="D332" s="116">
        <v>99.72</v>
      </c>
      <c r="E332" s="116">
        <v>100</v>
      </c>
      <c r="F332" s="116">
        <v>499.6</v>
      </c>
      <c r="G332">
        <v>2695</v>
      </c>
      <c r="H332" s="116"/>
      <c r="I332" s="116"/>
      <c r="L332" s="170">
        <v>43206</v>
      </c>
      <c r="M332" s="116">
        <v>100.25</v>
      </c>
      <c r="N332" s="116">
        <v>100.57</v>
      </c>
      <c r="O332" s="116">
        <v>99.38</v>
      </c>
      <c r="P332" s="116">
        <v>100</v>
      </c>
      <c r="Q332" s="116">
        <v>501.25</v>
      </c>
      <c r="R332">
        <v>34509</v>
      </c>
    </row>
    <row r="333" spans="1:18" x14ac:dyDescent="0.25">
      <c r="A333" s="170">
        <v>43207</v>
      </c>
      <c r="B333" s="116">
        <v>101.2</v>
      </c>
      <c r="C333" s="116">
        <v>100.42</v>
      </c>
      <c r="D333" s="116">
        <v>99.81</v>
      </c>
      <c r="E333" s="116">
        <v>99.81</v>
      </c>
      <c r="F333" s="116">
        <v>502.1</v>
      </c>
      <c r="G333">
        <v>9264</v>
      </c>
      <c r="H333" s="116"/>
      <c r="I333" s="116"/>
      <c r="L333" s="170">
        <v>43207</v>
      </c>
      <c r="M333" s="116">
        <v>100.49</v>
      </c>
      <c r="N333" s="116">
        <v>101.45</v>
      </c>
      <c r="O333" s="116">
        <v>100</v>
      </c>
      <c r="P333" s="116">
        <v>100.02</v>
      </c>
      <c r="Q333" s="116">
        <v>502.45</v>
      </c>
      <c r="R333">
        <v>39812</v>
      </c>
    </row>
    <row r="334" spans="1:18" x14ac:dyDescent="0.25">
      <c r="A334" s="170">
        <v>43208</v>
      </c>
      <c r="B334" s="116">
        <v>101.4</v>
      </c>
      <c r="C334" s="116">
        <v>100.2</v>
      </c>
      <c r="D334" s="116">
        <v>100.02</v>
      </c>
      <c r="E334" s="116">
        <v>101.02</v>
      </c>
      <c r="F334" s="116">
        <v>501</v>
      </c>
      <c r="G334">
        <v>6902</v>
      </c>
      <c r="H334" s="116"/>
      <c r="I334" s="116"/>
      <c r="L334" s="170">
        <v>43208</v>
      </c>
      <c r="M334" s="116">
        <v>100.08</v>
      </c>
      <c r="N334" s="116">
        <v>101.18</v>
      </c>
      <c r="O334" s="116">
        <v>99.8</v>
      </c>
      <c r="P334" s="116">
        <v>101</v>
      </c>
      <c r="Q334" s="116">
        <v>500.4</v>
      </c>
      <c r="R334">
        <v>33559</v>
      </c>
    </row>
    <row r="335" spans="1:18" x14ac:dyDescent="0.25">
      <c r="A335" s="170">
        <v>43209</v>
      </c>
      <c r="B335" s="116">
        <v>100.6</v>
      </c>
      <c r="C335" s="116">
        <v>100.4</v>
      </c>
      <c r="D335" s="116">
        <v>99.39</v>
      </c>
      <c r="E335" s="116">
        <v>100.1</v>
      </c>
      <c r="F335" s="116">
        <v>502</v>
      </c>
      <c r="G335">
        <v>7713</v>
      </c>
      <c r="H335" s="116"/>
      <c r="I335" s="116"/>
      <c r="L335" s="170">
        <v>43209</v>
      </c>
      <c r="M335" s="116">
        <v>100.4</v>
      </c>
      <c r="N335" s="116">
        <v>100.74</v>
      </c>
      <c r="O335" s="116">
        <v>99.48</v>
      </c>
      <c r="P335" s="116">
        <v>100</v>
      </c>
      <c r="Q335" s="116">
        <v>502</v>
      </c>
      <c r="R335">
        <v>56910</v>
      </c>
    </row>
    <row r="336" spans="1:18" x14ac:dyDescent="0.25">
      <c r="A336" s="170">
        <v>43210</v>
      </c>
      <c r="B336" s="116">
        <v>102</v>
      </c>
      <c r="C336" s="116">
        <v>101.73</v>
      </c>
      <c r="D336" s="116">
        <v>99.82</v>
      </c>
      <c r="E336" s="116">
        <v>100.17</v>
      </c>
      <c r="F336" s="116">
        <v>508.65</v>
      </c>
      <c r="G336">
        <v>83617</v>
      </c>
      <c r="H336" s="116"/>
      <c r="I336" s="116"/>
      <c r="L336" s="170">
        <v>43210</v>
      </c>
      <c r="M336" s="116">
        <v>101.74</v>
      </c>
      <c r="N336" s="116">
        <v>102.16</v>
      </c>
      <c r="O336" s="116">
        <v>99.64</v>
      </c>
      <c r="P336" s="116">
        <v>100.4</v>
      </c>
      <c r="Q336" s="116">
        <v>508.7</v>
      </c>
      <c r="R336">
        <v>106514</v>
      </c>
    </row>
    <row r="337" spans="1:18" x14ac:dyDescent="0.25">
      <c r="A337" s="170">
        <v>43213</v>
      </c>
      <c r="B337" s="116">
        <v>103.2</v>
      </c>
      <c r="C337" s="116">
        <v>101.03</v>
      </c>
      <c r="D337" s="116">
        <v>100.21</v>
      </c>
      <c r="E337" s="116">
        <v>101.7</v>
      </c>
      <c r="F337" s="116">
        <v>505.15</v>
      </c>
      <c r="G337">
        <v>1787262</v>
      </c>
      <c r="H337" s="116"/>
      <c r="I337" s="116"/>
      <c r="L337" s="170">
        <v>43213</v>
      </c>
      <c r="M337" s="116">
        <v>100.78</v>
      </c>
      <c r="N337" s="116">
        <v>102.95</v>
      </c>
      <c r="O337" s="116">
        <v>100</v>
      </c>
      <c r="P337" s="116">
        <v>101.44</v>
      </c>
      <c r="Q337" s="116">
        <v>503.9</v>
      </c>
      <c r="R337">
        <v>115807</v>
      </c>
    </row>
    <row r="338" spans="1:18" x14ac:dyDescent="0.25">
      <c r="A338" s="170">
        <v>43214</v>
      </c>
      <c r="B338" s="116">
        <v>102.33</v>
      </c>
      <c r="C338" s="116">
        <v>100.71</v>
      </c>
      <c r="D338" s="116">
        <v>100.43</v>
      </c>
      <c r="E338" s="116">
        <v>101.98</v>
      </c>
      <c r="F338" s="116">
        <v>503.55</v>
      </c>
      <c r="G338">
        <v>11710</v>
      </c>
      <c r="H338" s="116"/>
      <c r="I338" s="116"/>
      <c r="L338" s="170">
        <v>43214</v>
      </c>
      <c r="M338" s="116">
        <v>100.62</v>
      </c>
      <c r="N338" s="116">
        <v>102.39</v>
      </c>
      <c r="O338" s="116">
        <v>100.44</v>
      </c>
      <c r="P338" s="116">
        <v>101.56</v>
      </c>
      <c r="Q338" s="116">
        <v>503.1</v>
      </c>
      <c r="R338">
        <v>47781</v>
      </c>
    </row>
    <row r="339" spans="1:18" x14ac:dyDescent="0.25">
      <c r="A339" s="170">
        <v>43215</v>
      </c>
      <c r="B339" s="116">
        <v>101.81</v>
      </c>
      <c r="C339" s="116">
        <v>100.82</v>
      </c>
      <c r="D339" s="116">
        <v>100.4</v>
      </c>
      <c r="E339" s="116">
        <v>100.6</v>
      </c>
      <c r="F339" s="116">
        <v>504.1</v>
      </c>
      <c r="G339">
        <v>5210</v>
      </c>
      <c r="H339" s="116"/>
      <c r="I339" s="116"/>
      <c r="L339" s="170">
        <v>43215</v>
      </c>
      <c r="M339" s="116">
        <v>100.43</v>
      </c>
      <c r="N339" s="116">
        <v>102</v>
      </c>
      <c r="O339" s="116">
        <v>100.1</v>
      </c>
      <c r="P339" s="116">
        <v>101.1</v>
      </c>
      <c r="Q339" s="116">
        <v>502.15</v>
      </c>
      <c r="R339">
        <v>101634</v>
      </c>
    </row>
    <row r="340" spans="1:18" x14ac:dyDescent="0.25">
      <c r="A340" s="170">
        <v>43216</v>
      </c>
      <c r="B340" s="116">
        <v>101.88</v>
      </c>
      <c r="C340" s="116">
        <v>101.44</v>
      </c>
      <c r="D340" s="116">
        <v>100.4</v>
      </c>
      <c r="E340" s="116">
        <v>101.1</v>
      </c>
      <c r="F340" s="116">
        <v>507.2</v>
      </c>
      <c r="G340">
        <v>7522</v>
      </c>
      <c r="H340" s="116"/>
      <c r="I340" s="116"/>
      <c r="L340" s="170">
        <v>43216</v>
      </c>
      <c r="M340" s="116">
        <v>101.02</v>
      </c>
      <c r="N340" s="116">
        <v>101.54</v>
      </c>
      <c r="O340" s="116">
        <v>100.32</v>
      </c>
      <c r="P340" s="116">
        <v>100.59</v>
      </c>
      <c r="Q340" s="116">
        <v>505.1</v>
      </c>
      <c r="R340">
        <v>32203</v>
      </c>
    </row>
    <row r="341" spans="1:18" x14ac:dyDescent="0.25">
      <c r="A341" s="170">
        <v>43217</v>
      </c>
      <c r="B341" s="116">
        <v>101.52</v>
      </c>
      <c r="C341" s="116">
        <v>100.97</v>
      </c>
      <c r="D341" s="116">
        <v>100.51</v>
      </c>
      <c r="E341" s="116">
        <v>101.11</v>
      </c>
      <c r="F341" s="116">
        <v>504.85</v>
      </c>
      <c r="G341">
        <v>7933</v>
      </c>
      <c r="H341" s="116"/>
      <c r="I341" s="116"/>
      <c r="L341" s="170">
        <v>43217</v>
      </c>
      <c r="M341" s="116">
        <v>100.8</v>
      </c>
      <c r="N341" s="116">
        <v>101.59</v>
      </c>
      <c r="O341" s="116">
        <v>100.5</v>
      </c>
      <c r="P341" s="116">
        <v>101.59</v>
      </c>
      <c r="Q341" s="116">
        <v>504</v>
      </c>
      <c r="R341">
        <v>17796</v>
      </c>
    </row>
    <row r="342" spans="1:18" x14ac:dyDescent="0.25">
      <c r="A342" s="170">
        <v>43220</v>
      </c>
      <c r="B342" s="116">
        <v>103.4</v>
      </c>
      <c r="C342" s="116">
        <v>102.46</v>
      </c>
      <c r="D342" s="116">
        <v>100.61</v>
      </c>
      <c r="E342" s="116">
        <v>101</v>
      </c>
      <c r="F342" s="116">
        <v>512.29999999999995</v>
      </c>
      <c r="G342">
        <v>9674</v>
      </c>
      <c r="H342" s="116"/>
      <c r="I342" s="116"/>
      <c r="L342" s="170">
        <v>43220</v>
      </c>
      <c r="M342" s="116">
        <v>102.26</v>
      </c>
      <c r="N342" s="116">
        <v>103.15</v>
      </c>
      <c r="O342" s="116">
        <v>100.46</v>
      </c>
      <c r="P342" s="116">
        <v>102.8</v>
      </c>
      <c r="Q342" s="116">
        <v>511.3</v>
      </c>
      <c r="R342">
        <v>49088</v>
      </c>
    </row>
    <row r="343" spans="1:18" x14ac:dyDescent="0.25">
      <c r="A343" s="170">
        <v>43222</v>
      </c>
      <c r="B343" s="116">
        <v>103.25</v>
      </c>
      <c r="C343" s="116">
        <v>100.99</v>
      </c>
      <c r="D343" s="116">
        <v>100.62</v>
      </c>
      <c r="E343" s="116">
        <v>102.8</v>
      </c>
      <c r="F343" s="116">
        <v>504.95</v>
      </c>
      <c r="G343">
        <v>6268</v>
      </c>
      <c r="H343" s="116"/>
      <c r="I343" s="116"/>
      <c r="L343" s="170">
        <v>43222</v>
      </c>
      <c r="M343" s="116">
        <v>100.77</v>
      </c>
      <c r="N343" s="116">
        <v>103.39</v>
      </c>
      <c r="O343" s="116">
        <v>100.62</v>
      </c>
      <c r="P343" s="116">
        <v>103.05</v>
      </c>
      <c r="Q343" s="116">
        <v>503.85</v>
      </c>
      <c r="R343">
        <v>31199</v>
      </c>
    </row>
    <row r="344" spans="1:18" x14ac:dyDescent="0.25">
      <c r="A344" s="170">
        <v>43223</v>
      </c>
      <c r="B344" s="116">
        <v>100.95</v>
      </c>
      <c r="C344" s="116">
        <v>100.3</v>
      </c>
      <c r="D344" s="116">
        <v>99.8</v>
      </c>
      <c r="E344" s="116">
        <v>100.95</v>
      </c>
      <c r="F344" s="116">
        <v>501.5</v>
      </c>
      <c r="G344">
        <v>2172</v>
      </c>
      <c r="H344" s="116"/>
      <c r="I344" s="116"/>
      <c r="L344" s="170">
        <v>43223</v>
      </c>
      <c r="M344" s="116">
        <v>100.29</v>
      </c>
      <c r="N344" s="116">
        <v>101.36</v>
      </c>
      <c r="O344" s="116">
        <v>100.02</v>
      </c>
      <c r="P344" s="116">
        <v>100.98</v>
      </c>
      <c r="Q344" s="116">
        <v>501.45</v>
      </c>
      <c r="R344">
        <v>75769</v>
      </c>
    </row>
    <row r="345" spans="1:18" x14ac:dyDescent="0.25">
      <c r="A345" s="170">
        <v>43224</v>
      </c>
      <c r="B345" s="116">
        <v>101.58</v>
      </c>
      <c r="C345" s="116">
        <v>100.96</v>
      </c>
      <c r="D345" s="116">
        <v>100.4</v>
      </c>
      <c r="E345" s="116">
        <v>101.06</v>
      </c>
      <c r="F345" s="116">
        <v>504.8</v>
      </c>
      <c r="G345">
        <v>2676</v>
      </c>
      <c r="H345" s="116"/>
      <c r="I345" s="116"/>
      <c r="L345" s="170">
        <v>43224</v>
      </c>
      <c r="M345" s="116">
        <v>101.21</v>
      </c>
      <c r="N345" s="116">
        <v>103.96</v>
      </c>
      <c r="O345" s="116">
        <v>100.42</v>
      </c>
      <c r="P345" s="116">
        <v>100.42</v>
      </c>
      <c r="Q345" s="116">
        <v>506.05</v>
      </c>
      <c r="R345">
        <v>20404</v>
      </c>
    </row>
    <row r="346" spans="1:18" x14ac:dyDescent="0.25">
      <c r="A346" s="170">
        <v>43227</v>
      </c>
      <c r="B346" s="116">
        <v>101.79</v>
      </c>
      <c r="C346" s="116">
        <v>100.32</v>
      </c>
      <c r="D346" s="116">
        <v>100.2</v>
      </c>
      <c r="E346" s="116">
        <v>101.5</v>
      </c>
      <c r="F346" s="116">
        <v>501.6</v>
      </c>
      <c r="G346">
        <v>4311</v>
      </c>
      <c r="H346" s="116"/>
      <c r="I346" s="116"/>
      <c r="L346" s="170">
        <v>43227</v>
      </c>
      <c r="M346" s="116">
        <v>100.34</v>
      </c>
      <c r="N346" s="116">
        <v>102.07</v>
      </c>
      <c r="O346" s="116">
        <v>100.18</v>
      </c>
      <c r="P346" s="116">
        <v>101.41</v>
      </c>
      <c r="Q346" s="116">
        <v>501.7</v>
      </c>
      <c r="R346">
        <v>25986</v>
      </c>
    </row>
    <row r="347" spans="1:18" x14ac:dyDescent="0.25">
      <c r="A347" s="170">
        <v>43228</v>
      </c>
      <c r="B347" s="116">
        <v>101.19</v>
      </c>
      <c r="C347" s="116">
        <v>100.68</v>
      </c>
      <c r="D347" s="116">
        <v>100.2</v>
      </c>
      <c r="E347" s="116">
        <v>100.9</v>
      </c>
      <c r="F347" s="116">
        <v>503.4</v>
      </c>
      <c r="G347">
        <v>6184</v>
      </c>
      <c r="H347" s="116"/>
      <c r="I347" s="116"/>
      <c r="L347" s="170">
        <v>43228</v>
      </c>
      <c r="M347" s="116">
        <v>100.87</v>
      </c>
      <c r="N347" s="116">
        <v>101.18</v>
      </c>
      <c r="O347" s="116">
        <v>100.22</v>
      </c>
      <c r="P347" s="116">
        <v>100.7</v>
      </c>
      <c r="Q347" s="116">
        <v>504.35</v>
      </c>
      <c r="R347">
        <v>17473</v>
      </c>
    </row>
    <row r="348" spans="1:18" x14ac:dyDescent="0.25">
      <c r="A348" s="170">
        <v>43229</v>
      </c>
      <c r="B348" s="116">
        <v>101.19</v>
      </c>
      <c r="C348" s="116">
        <v>99.89</v>
      </c>
      <c r="D348" s="116">
        <v>99.65</v>
      </c>
      <c r="E348" s="116">
        <v>100.98</v>
      </c>
      <c r="F348" s="116">
        <v>499.45</v>
      </c>
      <c r="G348">
        <v>5162</v>
      </c>
      <c r="H348" s="116"/>
      <c r="I348" s="116"/>
      <c r="L348" s="170">
        <v>43229</v>
      </c>
      <c r="M348" s="116">
        <v>99.83</v>
      </c>
      <c r="N348" s="116">
        <v>101.2</v>
      </c>
      <c r="O348" s="116">
        <v>99.5</v>
      </c>
      <c r="P348" s="116">
        <v>100.99</v>
      </c>
      <c r="Q348" s="116">
        <v>499.15</v>
      </c>
      <c r="R348">
        <v>26771</v>
      </c>
    </row>
    <row r="349" spans="1:18" x14ac:dyDescent="0.25">
      <c r="A349" s="170">
        <v>43230</v>
      </c>
      <c r="B349" s="116">
        <v>100.95</v>
      </c>
      <c r="C349" s="116">
        <v>98.1</v>
      </c>
      <c r="D349" s="116">
        <v>96.67</v>
      </c>
      <c r="E349" s="116">
        <v>100.95</v>
      </c>
      <c r="F349" s="116">
        <v>490.5</v>
      </c>
      <c r="G349">
        <v>13278</v>
      </c>
      <c r="H349" s="116"/>
      <c r="I349" s="116"/>
      <c r="L349" s="170">
        <v>43230</v>
      </c>
      <c r="M349" s="116">
        <v>99.04</v>
      </c>
      <c r="N349" s="116">
        <v>101</v>
      </c>
      <c r="O349" s="116">
        <v>96.64</v>
      </c>
      <c r="P349" s="116">
        <v>100.21</v>
      </c>
      <c r="Q349" s="116">
        <v>495.2</v>
      </c>
      <c r="R349">
        <v>39690</v>
      </c>
    </row>
    <row r="350" spans="1:18" x14ac:dyDescent="0.25">
      <c r="A350" s="170">
        <v>43231</v>
      </c>
      <c r="B350" s="116">
        <v>99</v>
      </c>
      <c r="C350" s="116">
        <v>97.67</v>
      </c>
      <c r="D350" s="116">
        <v>96</v>
      </c>
      <c r="E350" s="116">
        <v>99</v>
      </c>
      <c r="F350" s="116">
        <v>488.35</v>
      </c>
      <c r="G350">
        <v>13654</v>
      </c>
      <c r="H350" s="116"/>
      <c r="I350" s="116"/>
      <c r="L350" s="170">
        <v>43231</v>
      </c>
      <c r="M350" s="116">
        <v>97.5</v>
      </c>
      <c r="N350" s="116">
        <v>98.38</v>
      </c>
      <c r="O350" s="116">
        <v>95.6</v>
      </c>
      <c r="P350" s="116">
        <v>97.2</v>
      </c>
      <c r="Q350" s="116">
        <v>487.5</v>
      </c>
      <c r="R350">
        <v>51634</v>
      </c>
    </row>
    <row r="351" spans="1:18" x14ac:dyDescent="0.25">
      <c r="A351" s="170">
        <v>43234</v>
      </c>
      <c r="B351" s="116">
        <v>97.2</v>
      </c>
      <c r="C351" s="116">
        <v>96.07</v>
      </c>
      <c r="D351" s="116">
        <v>95.61</v>
      </c>
      <c r="E351" s="116">
        <v>96.81</v>
      </c>
      <c r="F351" s="116">
        <v>480.35</v>
      </c>
      <c r="G351">
        <v>3317</v>
      </c>
      <c r="H351" s="116"/>
      <c r="I351" s="116"/>
      <c r="L351" s="170">
        <v>43234</v>
      </c>
      <c r="M351" s="116">
        <v>95.52</v>
      </c>
      <c r="N351" s="116">
        <v>97.4</v>
      </c>
      <c r="O351" s="116">
        <v>94.63</v>
      </c>
      <c r="P351" s="116">
        <v>97.4</v>
      </c>
      <c r="Q351" s="116">
        <v>477.6</v>
      </c>
      <c r="R351">
        <v>22634</v>
      </c>
    </row>
    <row r="352" spans="1:18" x14ac:dyDescent="0.25">
      <c r="A352" s="170">
        <v>43235</v>
      </c>
      <c r="B352" s="116">
        <v>97.4</v>
      </c>
      <c r="C352" s="116">
        <v>95.11</v>
      </c>
      <c r="D352" s="116">
        <v>94.4</v>
      </c>
      <c r="E352" s="116">
        <v>96.2</v>
      </c>
      <c r="F352" s="116">
        <v>475.55</v>
      </c>
      <c r="G352">
        <v>12537</v>
      </c>
      <c r="H352" s="116"/>
      <c r="I352" s="116"/>
      <c r="L352" s="170">
        <v>43235</v>
      </c>
      <c r="M352" s="116">
        <v>94.82</v>
      </c>
      <c r="N352" s="116">
        <v>97.5</v>
      </c>
      <c r="O352" s="116">
        <v>94.07</v>
      </c>
      <c r="P352" s="116">
        <v>96.58</v>
      </c>
      <c r="Q352" s="116">
        <v>474.1</v>
      </c>
      <c r="R352">
        <v>16236</v>
      </c>
    </row>
    <row r="353" spans="1:18" x14ac:dyDescent="0.25">
      <c r="A353" s="170">
        <v>43236</v>
      </c>
      <c r="B353" s="116">
        <v>95.2</v>
      </c>
      <c r="C353" s="116">
        <v>92.15</v>
      </c>
      <c r="D353" s="116">
        <v>91.85</v>
      </c>
      <c r="E353" s="116">
        <v>94.32</v>
      </c>
      <c r="F353" s="116">
        <v>460.75</v>
      </c>
      <c r="G353">
        <v>11655</v>
      </c>
      <c r="H353" s="116"/>
      <c r="I353" s="116"/>
      <c r="L353" s="170">
        <v>43236</v>
      </c>
      <c r="M353" s="116">
        <v>92.42</v>
      </c>
      <c r="N353" s="116">
        <v>95.6</v>
      </c>
      <c r="O353" s="116">
        <v>92.09</v>
      </c>
      <c r="P353" s="116">
        <v>95.6</v>
      </c>
      <c r="Q353" s="116">
        <v>462.1</v>
      </c>
      <c r="R353">
        <v>29931</v>
      </c>
    </row>
    <row r="354" spans="1:18" x14ac:dyDescent="0.25">
      <c r="A354" s="170">
        <v>43237</v>
      </c>
      <c r="B354" s="116">
        <v>94.81</v>
      </c>
      <c r="C354" s="116">
        <v>92.59</v>
      </c>
      <c r="D354" s="116">
        <v>91.85</v>
      </c>
      <c r="E354" s="116">
        <v>92.21</v>
      </c>
      <c r="F354" s="116">
        <v>462.95</v>
      </c>
      <c r="G354">
        <v>8022</v>
      </c>
      <c r="H354" s="116"/>
      <c r="I354" s="116"/>
      <c r="L354" s="170">
        <v>43237</v>
      </c>
      <c r="M354" s="116">
        <v>91.95</v>
      </c>
      <c r="N354" s="116">
        <v>95.98</v>
      </c>
      <c r="O354" s="116">
        <v>91</v>
      </c>
      <c r="P354" s="116">
        <v>92.5</v>
      </c>
      <c r="Q354" s="116">
        <v>459.75</v>
      </c>
      <c r="R354">
        <v>85716</v>
      </c>
    </row>
    <row r="355" spans="1:18" x14ac:dyDescent="0.25">
      <c r="A355" s="170">
        <v>43238</v>
      </c>
      <c r="B355" s="116">
        <v>93</v>
      </c>
      <c r="C355" s="116">
        <v>91.82</v>
      </c>
      <c r="D355" s="116">
        <v>91.2</v>
      </c>
      <c r="E355" s="116">
        <v>92.88</v>
      </c>
      <c r="F355" s="116">
        <v>459.1</v>
      </c>
      <c r="G355">
        <v>10364</v>
      </c>
      <c r="H355" s="116"/>
      <c r="I355" s="116"/>
      <c r="L355" s="170">
        <v>43238</v>
      </c>
      <c r="M355" s="116">
        <v>91.88</v>
      </c>
      <c r="N355" s="116">
        <v>93.14</v>
      </c>
      <c r="O355" s="116">
        <v>91.03</v>
      </c>
      <c r="P355" s="116">
        <v>92.08</v>
      </c>
      <c r="Q355" s="116">
        <v>459.4</v>
      </c>
      <c r="R355">
        <v>16897</v>
      </c>
    </row>
    <row r="356" spans="1:18" x14ac:dyDescent="0.25">
      <c r="A356" s="170">
        <v>43241</v>
      </c>
      <c r="B356" s="116">
        <v>92.6</v>
      </c>
      <c r="C356" s="116">
        <v>89.78</v>
      </c>
      <c r="D356" s="116">
        <v>88</v>
      </c>
      <c r="E356" s="116">
        <v>91.7</v>
      </c>
      <c r="F356" s="116">
        <v>448.9</v>
      </c>
      <c r="G356">
        <v>11756</v>
      </c>
      <c r="H356" s="116"/>
      <c r="I356" s="116"/>
      <c r="L356" s="170">
        <v>43241</v>
      </c>
      <c r="M356" s="116">
        <v>88.87</v>
      </c>
      <c r="N356" s="116">
        <v>92.99</v>
      </c>
      <c r="O356" s="116">
        <v>87.41</v>
      </c>
      <c r="P356" s="116">
        <v>92.99</v>
      </c>
      <c r="Q356" s="116">
        <v>444.35</v>
      </c>
      <c r="R356">
        <v>35499</v>
      </c>
    </row>
    <row r="357" spans="1:18" x14ac:dyDescent="0.25">
      <c r="A357" s="170">
        <v>43242</v>
      </c>
      <c r="B357" s="116">
        <v>90.57</v>
      </c>
      <c r="C357" s="116">
        <v>89.35</v>
      </c>
      <c r="D357" s="116">
        <v>87.85</v>
      </c>
      <c r="E357" s="116">
        <v>87.85</v>
      </c>
      <c r="F357" s="116">
        <v>446.75</v>
      </c>
      <c r="G357">
        <v>9620</v>
      </c>
      <c r="H357" s="116"/>
      <c r="I357" s="116"/>
      <c r="L357" s="170">
        <v>43242</v>
      </c>
      <c r="M357" s="116">
        <v>89.75</v>
      </c>
      <c r="N357" s="116">
        <v>90.98</v>
      </c>
      <c r="O357" s="116">
        <v>88.4</v>
      </c>
      <c r="P357" s="116">
        <v>89</v>
      </c>
      <c r="Q357" s="116">
        <v>448.75</v>
      </c>
      <c r="R357">
        <v>31393</v>
      </c>
    </row>
    <row r="358" spans="1:18" x14ac:dyDescent="0.25">
      <c r="A358" s="170">
        <v>43243</v>
      </c>
      <c r="B358" s="116">
        <v>91</v>
      </c>
      <c r="C358" s="116">
        <v>89.35</v>
      </c>
      <c r="D358" s="116">
        <v>88.02</v>
      </c>
      <c r="E358" s="116">
        <v>88.02</v>
      </c>
      <c r="F358" s="116">
        <v>446.75</v>
      </c>
      <c r="G358">
        <v>3058</v>
      </c>
      <c r="H358" s="116"/>
      <c r="I358" s="116"/>
      <c r="L358" s="170">
        <v>43243</v>
      </c>
      <c r="M358" s="116">
        <v>90.24</v>
      </c>
      <c r="N358" s="116">
        <v>90.99</v>
      </c>
      <c r="O358" s="116">
        <v>89.2</v>
      </c>
      <c r="P358" s="116">
        <v>89.76</v>
      </c>
      <c r="Q358" s="116">
        <v>451.2</v>
      </c>
      <c r="R358">
        <v>280669</v>
      </c>
    </row>
    <row r="359" spans="1:18" x14ac:dyDescent="0.25">
      <c r="A359" s="170">
        <v>43244</v>
      </c>
      <c r="B359" s="116">
        <v>92.38</v>
      </c>
      <c r="C359" s="116">
        <v>91.05</v>
      </c>
      <c r="D359" s="116">
        <v>89.55</v>
      </c>
      <c r="E359" s="116">
        <v>92.38</v>
      </c>
      <c r="F359" s="116">
        <v>455.25</v>
      </c>
      <c r="G359">
        <v>5784</v>
      </c>
      <c r="H359" s="116"/>
      <c r="I359" s="116"/>
      <c r="L359" s="170">
        <v>43244</v>
      </c>
      <c r="M359" s="116">
        <v>90.81</v>
      </c>
      <c r="N359" s="116">
        <v>91.26</v>
      </c>
      <c r="O359" s="116">
        <v>89.37</v>
      </c>
      <c r="P359" s="116">
        <v>89.44</v>
      </c>
      <c r="Q359" s="116">
        <v>454.05</v>
      </c>
      <c r="R359">
        <v>239810</v>
      </c>
    </row>
    <row r="360" spans="1:18" x14ac:dyDescent="0.25">
      <c r="A360" s="170">
        <v>43245</v>
      </c>
      <c r="B360" s="116">
        <v>93.35</v>
      </c>
      <c r="C360" s="116">
        <v>92.66</v>
      </c>
      <c r="D360" s="116">
        <v>90.01</v>
      </c>
      <c r="E360" s="116">
        <v>91.2</v>
      </c>
      <c r="F360" s="116">
        <v>463.3</v>
      </c>
      <c r="G360">
        <v>3559</v>
      </c>
      <c r="H360" s="116"/>
      <c r="I360" s="116"/>
      <c r="L360" s="170">
        <v>43245</v>
      </c>
      <c r="M360" s="116">
        <v>92.57</v>
      </c>
      <c r="N360" s="116">
        <v>93.3</v>
      </c>
      <c r="O360" s="116">
        <v>89.5</v>
      </c>
      <c r="P360" s="116">
        <v>89.5</v>
      </c>
      <c r="Q360" s="116">
        <v>462.85</v>
      </c>
      <c r="R360">
        <v>646481</v>
      </c>
    </row>
    <row r="361" spans="1:18" x14ac:dyDescent="0.25">
      <c r="A361" s="170">
        <v>43248</v>
      </c>
      <c r="B361" s="116">
        <v>96</v>
      </c>
      <c r="C361" s="116">
        <v>95.21</v>
      </c>
      <c r="D361" s="116">
        <v>93.59</v>
      </c>
      <c r="E361" s="116">
        <v>93.59</v>
      </c>
      <c r="F361" s="116">
        <v>476.05</v>
      </c>
      <c r="G361">
        <v>4262</v>
      </c>
      <c r="H361" s="116"/>
      <c r="I361" s="116"/>
      <c r="L361" s="170">
        <v>43248</v>
      </c>
      <c r="M361" s="116">
        <v>95.15</v>
      </c>
      <c r="N361" s="116">
        <v>95.98</v>
      </c>
      <c r="O361" s="116">
        <v>93.79</v>
      </c>
      <c r="P361" s="116">
        <v>93.9</v>
      </c>
      <c r="Q361" s="116">
        <v>475.75</v>
      </c>
      <c r="R361">
        <v>61378</v>
      </c>
    </row>
    <row r="362" spans="1:18" x14ac:dyDescent="0.25">
      <c r="A362" s="170">
        <v>43249</v>
      </c>
      <c r="B362" s="116">
        <v>95.2</v>
      </c>
      <c r="C362" s="116">
        <v>93.26</v>
      </c>
      <c r="D362" s="116">
        <v>93</v>
      </c>
      <c r="E362" s="116">
        <v>93.02</v>
      </c>
      <c r="F362" s="116">
        <v>466.3</v>
      </c>
      <c r="G362">
        <v>2921</v>
      </c>
      <c r="H362" s="116"/>
      <c r="I362" s="116"/>
      <c r="L362" s="170">
        <v>43249</v>
      </c>
      <c r="M362" s="116">
        <v>93.38</v>
      </c>
      <c r="N362" s="116">
        <v>95.88</v>
      </c>
      <c r="O362" s="116">
        <v>92.04</v>
      </c>
      <c r="P362" s="116">
        <v>95.88</v>
      </c>
      <c r="Q362" s="116">
        <v>466.9</v>
      </c>
      <c r="R362">
        <v>16802</v>
      </c>
    </row>
    <row r="363" spans="1:18" x14ac:dyDescent="0.25">
      <c r="A363" s="170">
        <v>43250</v>
      </c>
      <c r="B363" s="116">
        <v>93.98</v>
      </c>
      <c r="C363" s="116">
        <v>92</v>
      </c>
      <c r="D363" s="116">
        <v>91.4</v>
      </c>
      <c r="E363" s="116">
        <v>91.4</v>
      </c>
      <c r="F363" s="116">
        <v>460</v>
      </c>
      <c r="G363">
        <v>8280</v>
      </c>
      <c r="H363" s="116"/>
      <c r="I363" s="116"/>
      <c r="L363" s="170">
        <v>43250</v>
      </c>
      <c r="M363" s="116">
        <v>92</v>
      </c>
      <c r="N363" s="116">
        <v>93.98</v>
      </c>
      <c r="O363" s="116">
        <v>91.01</v>
      </c>
      <c r="P363" s="116">
        <v>93.98</v>
      </c>
      <c r="Q363" s="116">
        <v>460</v>
      </c>
      <c r="R363">
        <v>67533</v>
      </c>
    </row>
    <row r="364" spans="1:18" x14ac:dyDescent="0.25">
      <c r="A364" s="170">
        <v>43251</v>
      </c>
      <c r="B364" s="116">
        <v>94.38</v>
      </c>
      <c r="C364" s="116">
        <v>93.7</v>
      </c>
      <c r="D364" s="116">
        <v>92.47</v>
      </c>
      <c r="E364" s="116">
        <v>93.2</v>
      </c>
      <c r="F364" s="116">
        <v>468.5</v>
      </c>
      <c r="G364">
        <v>3512</v>
      </c>
      <c r="H364" s="116"/>
      <c r="I364" s="116"/>
      <c r="L364" s="170">
        <v>43251</v>
      </c>
      <c r="M364" s="116">
        <v>94.39</v>
      </c>
      <c r="N364" s="116">
        <v>95</v>
      </c>
      <c r="O364" s="116">
        <v>92.43</v>
      </c>
      <c r="P364" s="116">
        <v>93.1</v>
      </c>
      <c r="Q364" s="116">
        <v>471.95</v>
      </c>
      <c r="R364">
        <v>17589</v>
      </c>
    </row>
    <row r="365" spans="1:18" x14ac:dyDescent="0.25">
      <c r="A365" s="170">
        <v>43252</v>
      </c>
      <c r="B365" s="116">
        <v>94.6</v>
      </c>
      <c r="C365" s="116">
        <v>91.85</v>
      </c>
      <c r="D365" s="116">
        <v>91.02</v>
      </c>
      <c r="E365" s="116">
        <v>94.6</v>
      </c>
      <c r="F365" s="116">
        <v>459.25</v>
      </c>
      <c r="G365">
        <v>2131</v>
      </c>
      <c r="H365" s="116"/>
      <c r="I365" s="116"/>
      <c r="L365" s="170">
        <v>43252</v>
      </c>
      <c r="M365" s="116">
        <v>91.75</v>
      </c>
      <c r="N365" s="116">
        <v>94.96</v>
      </c>
      <c r="O365" s="116">
        <v>91</v>
      </c>
      <c r="P365" s="116">
        <v>94.01</v>
      </c>
      <c r="Q365" s="116">
        <v>458.75</v>
      </c>
      <c r="R365">
        <v>24278</v>
      </c>
    </row>
    <row r="366" spans="1:18" x14ac:dyDescent="0.25">
      <c r="A366" s="170">
        <v>43255</v>
      </c>
      <c r="B366" s="116">
        <v>92.8</v>
      </c>
      <c r="C366" s="116">
        <v>92.2</v>
      </c>
      <c r="D366" s="116">
        <v>89.02</v>
      </c>
      <c r="E366" s="116">
        <v>90.1</v>
      </c>
      <c r="F366" s="116">
        <v>461</v>
      </c>
      <c r="G366">
        <v>3400</v>
      </c>
      <c r="H366" s="116"/>
      <c r="I366" s="116"/>
      <c r="L366" s="170">
        <v>43255</v>
      </c>
      <c r="M366" s="116">
        <v>92.14</v>
      </c>
      <c r="N366" s="116">
        <v>92.93</v>
      </c>
      <c r="O366" s="116">
        <v>91.13</v>
      </c>
      <c r="P366" s="116">
        <v>91.88</v>
      </c>
      <c r="Q366" s="116">
        <v>460.7</v>
      </c>
      <c r="R366">
        <v>173130</v>
      </c>
    </row>
    <row r="367" spans="1:18" x14ac:dyDescent="0.25">
      <c r="A367" s="170">
        <v>43256</v>
      </c>
      <c r="B367" s="116">
        <v>93.32</v>
      </c>
      <c r="C367" s="116">
        <v>90.42</v>
      </c>
      <c r="D367" s="116">
        <v>90.4</v>
      </c>
      <c r="E367" s="116">
        <v>92.4</v>
      </c>
      <c r="F367" s="116">
        <v>452.1</v>
      </c>
      <c r="G367">
        <v>6219</v>
      </c>
      <c r="H367" s="116"/>
      <c r="I367" s="116"/>
      <c r="L367" s="170">
        <v>43256</v>
      </c>
      <c r="M367" s="116">
        <v>90.66</v>
      </c>
      <c r="N367" s="116">
        <v>93.88</v>
      </c>
      <c r="O367" s="116">
        <v>90.44</v>
      </c>
      <c r="P367" s="116">
        <v>91.28</v>
      </c>
      <c r="Q367" s="116">
        <v>453.3</v>
      </c>
      <c r="R367">
        <v>25301</v>
      </c>
    </row>
    <row r="368" spans="1:18" x14ac:dyDescent="0.25">
      <c r="A368" s="170">
        <v>43257</v>
      </c>
      <c r="B368" s="116">
        <v>94</v>
      </c>
      <c r="C368" s="116">
        <v>93.68</v>
      </c>
      <c r="D368" s="116">
        <v>90.6</v>
      </c>
      <c r="E368" s="116">
        <v>90.6</v>
      </c>
      <c r="F368" s="116">
        <v>468.4</v>
      </c>
      <c r="G368">
        <v>7699</v>
      </c>
      <c r="H368" s="116"/>
      <c r="I368" s="116"/>
      <c r="L368" s="170">
        <v>43257</v>
      </c>
      <c r="M368" s="116">
        <v>93.54</v>
      </c>
      <c r="N368" s="116">
        <v>94</v>
      </c>
      <c r="O368" s="116">
        <v>90.81</v>
      </c>
      <c r="P368" s="116">
        <v>91.09</v>
      </c>
      <c r="Q368" s="116">
        <v>467.7</v>
      </c>
      <c r="R368">
        <v>37789</v>
      </c>
    </row>
    <row r="369" spans="1:18" x14ac:dyDescent="0.25">
      <c r="A369" s="170">
        <v>43258</v>
      </c>
      <c r="B369" s="116">
        <v>93.97</v>
      </c>
      <c r="C369" s="116">
        <v>93.51</v>
      </c>
      <c r="D369" s="116">
        <v>92.4</v>
      </c>
      <c r="E369" s="116">
        <v>93.79</v>
      </c>
      <c r="F369" s="116">
        <v>467.55</v>
      </c>
      <c r="G369">
        <v>4716</v>
      </c>
      <c r="H369" s="116"/>
      <c r="I369" s="116"/>
      <c r="L369" s="170">
        <v>43258</v>
      </c>
      <c r="M369" s="116">
        <v>93.47</v>
      </c>
      <c r="N369" s="116">
        <v>94.25</v>
      </c>
      <c r="O369" s="116">
        <v>92.02</v>
      </c>
      <c r="P369" s="116">
        <v>92.02</v>
      </c>
      <c r="Q369" s="116">
        <v>467.35</v>
      </c>
      <c r="R369">
        <v>22165</v>
      </c>
    </row>
    <row r="370" spans="1:18" x14ac:dyDescent="0.25">
      <c r="A370" s="170">
        <v>43259</v>
      </c>
      <c r="B370" s="116">
        <v>98</v>
      </c>
      <c r="C370" s="116">
        <v>96.48</v>
      </c>
      <c r="D370" s="116">
        <v>93.2</v>
      </c>
      <c r="E370" s="116">
        <v>93.2</v>
      </c>
      <c r="F370" s="116">
        <v>482.4</v>
      </c>
      <c r="G370">
        <v>7666</v>
      </c>
      <c r="H370" s="116"/>
      <c r="I370" s="116"/>
      <c r="L370" s="170">
        <v>43259</v>
      </c>
      <c r="M370" s="116">
        <v>96.69</v>
      </c>
      <c r="N370" s="116">
        <v>97.98</v>
      </c>
      <c r="O370" s="116">
        <v>93.04</v>
      </c>
      <c r="P370" s="116">
        <v>93.8</v>
      </c>
      <c r="Q370" s="116">
        <v>483.45</v>
      </c>
      <c r="R370">
        <v>42770</v>
      </c>
    </row>
    <row r="371" spans="1:18" x14ac:dyDescent="0.25">
      <c r="A371" s="170">
        <v>43262</v>
      </c>
      <c r="B371" s="116">
        <v>101.92</v>
      </c>
      <c r="C371" s="116">
        <v>100.45</v>
      </c>
      <c r="D371" s="116">
        <v>97.6</v>
      </c>
      <c r="E371" s="116">
        <v>98.2</v>
      </c>
      <c r="F371" s="116">
        <v>502.25</v>
      </c>
      <c r="G371">
        <v>14115</v>
      </c>
      <c r="H371" s="116"/>
      <c r="I371" s="116"/>
      <c r="L371" s="170">
        <v>43262</v>
      </c>
      <c r="M371" s="116">
        <v>100.03</v>
      </c>
      <c r="N371" s="116">
        <v>101.21</v>
      </c>
      <c r="O371" s="116">
        <v>96.81</v>
      </c>
      <c r="P371" s="116">
        <v>96.81</v>
      </c>
      <c r="Q371" s="116">
        <v>500.15</v>
      </c>
      <c r="R371">
        <v>128368</v>
      </c>
    </row>
    <row r="372" spans="1:18" x14ac:dyDescent="0.25">
      <c r="A372" s="170">
        <v>43263</v>
      </c>
      <c r="B372" s="116">
        <v>102.22</v>
      </c>
      <c r="C372" s="116">
        <v>99.5</v>
      </c>
      <c r="D372" s="116">
        <v>99.26</v>
      </c>
      <c r="E372" s="116">
        <v>101.7</v>
      </c>
      <c r="F372" s="116">
        <v>497.5</v>
      </c>
      <c r="G372">
        <v>4504</v>
      </c>
      <c r="H372" s="116"/>
      <c r="I372" s="116"/>
      <c r="L372" s="170">
        <v>43263</v>
      </c>
      <c r="M372" s="116">
        <v>99.77</v>
      </c>
      <c r="N372" s="116">
        <v>101.98</v>
      </c>
      <c r="O372" s="116">
        <v>99.6</v>
      </c>
      <c r="P372" s="116">
        <v>100.2</v>
      </c>
      <c r="Q372" s="116">
        <v>498.85</v>
      </c>
      <c r="R372">
        <v>26593</v>
      </c>
    </row>
    <row r="373" spans="1:18" x14ac:dyDescent="0.25">
      <c r="A373" s="170">
        <v>43264</v>
      </c>
      <c r="B373" s="116">
        <v>101.99</v>
      </c>
      <c r="C373" s="116">
        <v>98.03</v>
      </c>
      <c r="D373" s="116">
        <v>97.26</v>
      </c>
      <c r="E373" s="116">
        <v>99.6</v>
      </c>
      <c r="F373" s="116">
        <v>490.15</v>
      </c>
      <c r="G373">
        <v>3566</v>
      </c>
      <c r="H373" s="116"/>
      <c r="I373" s="116"/>
      <c r="L373" s="170">
        <v>43264</v>
      </c>
      <c r="M373" s="116">
        <v>98.67</v>
      </c>
      <c r="N373" s="116">
        <v>101.96</v>
      </c>
      <c r="O373" s="116">
        <v>98.43</v>
      </c>
      <c r="P373" s="116">
        <v>99.23</v>
      </c>
      <c r="Q373" s="116">
        <v>493.35</v>
      </c>
      <c r="R373">
        <v>95629</v>
      </c>
    </row>
    <row r="374" spans="1:18" x14ac:dyDescent="0.25">
      <c r="A374" s="170">
        <v>43265</v>
      </c>
      <c r="B374" s="116">
        <v>99.1</v>
      </c>
      <c r="C374" s="116">
        <v>97.59</v>
      </c>
      <c r="D374" s="116">
        <v>97</v>
      </c>
      <c r="E374" s="116">
        <v>98.2</v>
      </c>
      <c r="F374" s="116">
        <v>487.95</v>
      </c>
      <c r="G374">
        <v>2888</v>
      </c>
      <c r="H374" s="116"/>
      <c r="I374" s="116"/>
      <c r="L374" s="170">
        <v>43265</v>
      </c>
      <c r="M374" s="116">
        <v>97.67</v>
      </c>
      <c r="N374" s="116">
        <v>98.99</v>
      </c>
      <c r="O374" s="116">
        <v>97.2</v>
      </c>
      <c r="P374" s="116">
        <v>98.67</v>
      </c>
      <c r="Q374" s="116">
        <v>488.35</v>
      </c>
      <c r="R374">
        <v>19264</v>
      </c>
    </row>
    <row r="375" spans="1:18" x14ac:dyDescent="0.25">
      <c r="A375" s="170">
        <v>43266</v>
      </c>
      <c r="B375" s="116">
        <v>103</v>
      </c>
      <c r="C375" s="116">
        <v>99.8</v>
      </c>
      <c r="D375" s="116">
        <v>98.92</v>
      </c>
      <c r="E375" s="116">
        <v>98.92</v>
      </c>
      <c r="F375" s="116">
        <v>499</v>
      </c>
      <c r="G375">
        <v>6780</v>
      </c>
      <c r="H375" s="116"/>
      <c r="I375" s="116"/>
      <c r="L375" s="170">
        <v>43266</v>
      </c>
      <c r="M375" s="116">
        <v>99.79</v>
      </c>
      <c r="N375" s="116">
        <v>101.98</v>
      </c>
      <c r="O375" s="116">
        <v>97.68</v>
      </c>
      <c r="P375" s="116">
        <v>97.73</v>
      </c>
      <c r="Q375" s="116">
        <v>498.95</v>
      </c>
      <c r="R375">
        <v>66543</v>
      </c>
    </row>
    <row r="376" spans="1:18" x14ac:dyDescent="0.25">
      <c r="A376" s="170">
        <v>43269</v>
      </c>
      <c r="B376" s="116">
        <v>102.2</v>
      </c>
      <c r="C376" s="116">
        <v>99.41</v>
      </c>
      <c r="D376" s="116">
        <v>99</v>
      </c>
      <c r="E376" s="116">
        <v>101.22</v>
      </c>
      <c r="F376" s="116">
        <v>497.05</v>
      </c>
      <c r="G376">
        <v>4575</v>
      </c>
      <c r="H376" s="116"/>
      <c r="I376" s="116"/>
      <c r="L376" s="170">
        <v>43269</v>
      </c>
      <c r="M376" s="116">
        <v>99.75</v>
      </c>
      <c r="N376" s="116">
        <v>101.9</v>
      </c>
      <c r="O376" s="116">
        <v>99.33</v>
      </c>
      <c r="P376" s="116">
        <v>100.98</v>
      </c>
      <c r="Q376" s="116">
        <v>498.75</v>
      </c>
      <c r="R376">
        <v>24010</v>
      </c>
    </row>
    <row r="377" spans="1:18" x14ac:dyDescent="0.25">
      <c r="A377" s="170">
        <v>43270</v>
      </c>
      <c r="B377" s="116">
        <v>101.4</v>
      </c>
      <c r="C377" s="116">
        <v>97.75</v>
      </c>
      <c r="D377" s="116">
        <v>97.05</v>
      </c>
      <c r="E377" s="116">
        <v>101.4</v>
      </c>
      <c r="F377" s="116">
        <v>488.75</v>
      </c>
      <c r="G377">
        <v>1918</v>
      </c>
      <c r="H377" s="116"/>
      <c r="I377" s="116"/>
      <c r="L377" s="170">
        <v>43270</v>
      </c>
      <c r="M377" s="116">
        <v>97.96</v>
      </c>
      <c r="N377" s="116">
        <v>99.98</v>
      </c>
      <c r="O377" s="116">
        <v>97.23</v>
      </c>
      <c r="P377" s="116">
        <v>99.76</v>
      </c>
      <c r="Q377" s="116">
        <v>489.8</v>
      </c>
      <c r="R377">
        <v>388718</v>
      </c>
    </row>
    <row r="378" spans="1:18" x14ac:dyDescent="0.25">
      <c r="A378" s="170">
        <v>43271</v>
      </c>
      <c r="B378" s="116">
        <v>99.4</v>
      </c>
      <c r="C378" s="116">
        <v>97.79</v>
      </c>
      <c r="D378" s="116">
        <v>97</v>
      </c>
      <c r="E378" s="116">
        <v>99.07</v>
      </c>
      <c r="F378" s="116">
        <v>488.95</v>
      </c>
      <c r="G378">
        <v>888</v>
      </c>
      <c r="H378" s="116"/>
      <c r="I378" s="116"/>
      <c r="L378" s="170">
        <v>43271</v>
      </c>
      <c r="M378" s="116">
        <v>97.83</v>
      </c>
      <c r="N378" s="116">
        <v>99.77</v>
      </c>
      <c r="O378" s="116">
        <v>97.05</v>
      </c>
      <c r="P378" s="116">
        <v>98</v>
      </c>
      <c r="Q378" s="116">
        <v>489.15</v>
      </c>
      <c r="R378">
        <v>13762</v>
      </c>
    </row>
    <row r="379" spans="1:18" x14ac:dyDescent="0.25">
      <c r="A379" s="170">
        <v>43272</v>
      </c>
      <c r="B379" s="116">
        <v>99</v>
      </c>
      <c r="C379" s="116">
        <v>96.89</v>
      </c>
      <c r="D379" s="116">
        <v>96.67</v>
      </c>
      <c r="E379" s="116">
        <v>99</v>
      </c>
      <c r="F379" s="116">
        <v>484.45</v>
      </c>
      <c r="G379">
        <v>397</v>
      </c>
      <c r="H379" s="116"/>
      <c r="I379" s="116"/>
      <c r="L379" s="170">
        <v>43272</v>
      </c>
      <c r="M379" s="116">
        <v>96.94</v>
      </c>
      <c r="N379" s="116">
        <v>98.6</v>
      </c>
      <c r="O379" s="116">
        <v>96.3</v>
      </c>
      <c r="P379" s="116">
        <v>98.6</v>
      </c>
      <c r="Q379" s="116">
        <v>484.7</v>
      </c>
      <c r="R379">
        <v>7656</v>
      </c>
    </row>
    <row r="380" spans="1:18" x14ac:dyDescent="0.25">
      <c r="A380" s="170">
        <v>43273</v>
      </c>
      <c r="B380" s="116">
        <v>96.32</v>
      </c>
      <c r="C380" s="116">
        <v>95.77</v>
      </c>
      <c r="D380" s="116">
        <v>95.38</v>
      </c>
      <c r="E380" s="116">
        <v>96.06</v>
      </c>
      <c r="F380" s="116">
        <v>478.85</v>
      </c>
      <c r="G380">
        <v>559</v>
      </c>
      <c r="H380" s="116"/>
      <c r="I380" s="116"/>
      <c r="L380" s="170">
        <v>43273</v>
      </c>
      <c r="M380" s="116">
        <v>95.5</v>
      </c>
      <c r="N380" s="116">
        <v>97.11</v>
      </c>
      <c r="O380" s="116">
        <v>95.02</v>
      </c>
      <c r="P380" s="116">
        <v>97</v>
      </c>
      <c r="Q380" s="116">
        <v>477.5</v>
      </c>
      <c r="R380">
        <v>11623</v>
      </c>
    </row>
    <row r="381" spans="1:18" x14ac:dyDescent="0.25">
      <c r="A381" s="170">
        <v>43276</v>
      </c>
      <c r="B381" s="116">
        <v>96</v>
      </c>
      <c r="C381" s="116">
        <v>93.78</v>
      </c>
      <c r="D381" s="116">
        <v>93.44</v>
      </c>
      <c r="E381" s="116">
        <v>95.66</v>
      </c>
      <c r="F381" s="116">
        <v>468.9</v>
      </c>
      <c r="G381">
        <v>2022</v>
      </c>
      <c r="H381" s="116"/>
      <c r="I381" s="116"/>
      <c r="L381" s="170">
        <v>43276</v>
      </c>
      <c r="M381" s="116">
        <v>94.15</v>
      </c>
      <c r="N381" s="116">
        <v>96.2</v>
      </c>
      <c r="O381" s="116">
        <v>94</v>
      </c>
      <c r="P381" s="116">
        <v>94.43</v>
      </c>
      <c r="Q381" s="116">
        <v>470.75</v>
      </c>
      <c r="R381">
        <v>16508</v>
      </c>
    </row>
    <row r="382" spans="1:18" x14ac:dyDescent="0.25">
      <c r="A382" s="170">
        <v>43277</v>
      </c>
      <c r="B382" s="116">
        <v>95</v>
      </c>
      <c r="C382" s="116">
        <v>93.41</v>
      </c>
      <c r="D382" s="116">
        <v>92.06</v>
      </c>
      <c r="E382" s="116">
        <v>93.92</v>
      </c>
      <c r="F382" s="116">
        <v>467.05</v>
      </c>
      <c r="G382">
        <v>3840</v>
      </c>
      <c r="H382" s="116"/>
      <c r="I382" s="116"/>
      <c r="L382" s="170">
        <v>43277</v>
      </c>
      <c r="M382" s="116">
        <v>93.11</v>
      </c>
      <c r="N382" s="116">
        <v>94.22</v>
      </c>
      <c r="O382" s="116">
        <v>92.01</v>
      </c>
      <c r="P382" s="116">
        <v>94.15</v>
      </c>
      <c r="Q382" s="116">
        <v>465.55</v>
      </c>
      <c r="R382">
        <v>128744</v>
      </c>
    </row>
    <row r="383" spans="1:18" x14ac:dyDescent="0.25">
      <c r="A383" s="170">
        <v>43278</v>
      </c>
      <c r="B383" s="116">
        <v>94.78</v>
      </c>
      <c r="C383" s="116">
        <v>92.38</v>
      </c>
      <c r="D383" s="116">
        <v>90.62</v>
      </c>
      <c r="E383" s="116">
        <v>92.05</v>
      </c>
      <c r="F383" s="116">
        <v>461.9</v>
      </c>
      <c r="G383">
        <v>3349</v>
      </c>
      <c r="H383" s="116"/>
      <c r="I383" s="116"/>
      <c r="L383" s="170">
        <v>43278</v>
      </c>
      <c r="M383" s="116">
        <v>91.29</v>
      </c>
      <c r="N383" s="116">
        <v>93.8</v>
      </c>
      <c r="O383" s="116">
        <v>90.62</v>
      </c>
      <c r="P383" s="116">
        <v>92.98</v>
      </c>
      <c r="Q383" s="116">
        <v>456.45</v>
      </c>
      <c r="R383">
        <v>252063</v>
      </c>
    </row>
    <row r="384" spans="1:18" x14ac:dyDescent="0.25">
      <c r="A384" s="170">
        <v>43279</v>
      </c>
      <c r="B384" s="116">
        <v>92</v>
      </c>
      <c r="C384" s="116">
        <v>90.24</v>
      </c>
      <c r="D384" s="116">
        <v>89.66</v>
      </c>
      <c r="E384" s="116">
        <v>92</v>
      </c>
      <c r="F384" s="116">
        <v>451.2</v>
      </c>
      <c r="G384">
        <v>5250</v>
      </c>
      <c r="H384" s="116"/>
      <c r="I384" s="116"/>
      <c r="L384" s="170">
        <v>43279</v>
      </c>
      <c r="M384" s="116">
        <v>90.4</v>
      </c>
      <c r="N384" s="116">
        <v>91.28</v>
      </c>
      <c r="O384" s="116">
        <v>89.72</v>
      </c>
      <c r="P384" s="116">
        <v>90.81</v>
      </c>
      <c r="Q384" s="116">
        <v>452</v>
      </c>
      <c r="R384">
        <v>116750</v>
      </c>
    </row>
    <row r="385" spans="1:18" x14ac:dyDescent="0.25">
      <c r="A385" s="170">
        <v>43280</v>
      </c>
      <c r="B385" s="116">
        <v>92.65</v>
      </c>
      <c r="C385" s="116">
        <v>92.15</v>
      </c>
      <c r="D385" s="116">
        <v>91.09</v>
      </c>
      <c r="E385" s="116">
        <v>91.88</v>
      </c>
      <c r="F385" s="116">
        <v>460.75</v>
      </c>
      <c r="G385">
        <v>678</v>
      </c>
      <c r="H385" s="116"/>
      <c r="I385" s="116"/>
      <c r="L385" s="170">
        <v>43280</v>
      </c>
      <c r="M385" s="116">
        <v>92.38</v>
      </c>
      <c r="N385" s="116">
        <v>92.6</v>
      </c>
      <c r="O385" s="116">
        <v>90.6</v>
      </c>
      <c r="P385" s="116">
        <v>91</v>
      </c>
      <c r="Q385" s="116">
        <v>461.9</v>
      </c>
      <c r="R385">
        <v>36097</v>
      </c>
    </row>
    <row r="386" spans="1:18" x14ac:dyDescent="0.25">
      <c r="A386" s="170">
        <v>43283</v>
      </c>
      <c r="B386" s="116">
        <v>95.8</v>
      </c>
      <c r="C386" s="116">
        <v>93.09</v>
      </c>
      <c r="D386" s="116">
        <v>91.81</v>
      </c>
      <c r="E386" s="116">
        <v>92.5</v>
      </c>
      <c r="F386" s="116">
        <v>465.45</v>
      </c>
      <c r="G386">
        <v>3102</v>
      </c>
      <c r="H386" s="116"/>
      <c r="I386" s="116"/>
      <c r="L386" s="170">
        <v>43283</v>
      </c>
      <c r="M386" s="116">
        <v>93.48</v>
      </c>
      <c r="N386" s="116">
        <v>94.64</v>
      </c>
      <c r="O386" s="116">
        <v>91.64</v>
      </c>
      <c r="P386" s="116">
        <v>92.48</v>
      </c>
      <c r="Q386" s="116">
        <v>467.4</v>
      </c>
      <c r="R386">
        <v>26680</v>
      </c>
    </row>
    <row r="387" spans="1:18" x14ac:dyDescent="0.25">
      <c r="A387" s="170">
        <v>43284</v>
      </c>
      <c r="B387" s="116">
        <v>95.4</v>
      </c>
      <c r="C387" s="116">
        <v>94.79</v>
      </c>
      <c r="D387" s="116">
        <v>92.41</v>
      </c>
      <c r="E387" s="116">
        <v>92.6</v>
      </c>
      <c r="F387" s="116">
        <v>473.95</v>
      </c>
      <c r="G387">
        <v>1914</v>
      </c>
      <c r="H387" s="116"/>
      <c r="I387" s="116"/>
      <c r="L387" s="170">
        <v>43284</v>
      </c>
      <c r="M387" s="116">
        <v>94.79</v>
      </c>
      <c r="N387" s="116">
        <v>95.6</v>
      </c>
      <c r="O387" s="116">
        <v>92.04</v>
      </c>
      <c r="P387" s="116">
        <v>92.04</v>
      </c>
      <c r="Q387" s="116">
        <v>473.95</v>
      </c>
      <c r="R387">
        <v>9668</v>
      </c>
    </row>
    <row r="388" spans="1:18" x14ac:dyDescent="0.25">
      <c r="A388" s="170">
        <v>43285</v>
      </c>
      <c r="B388" s="116">
        <v>100.6</v>
      </c>
      <c r="C388" s="116">
        <v>98.07</v>
      </c>
      <c r="D388" s="116">
        <v>94.69</v>
      </c>
      <c r="E388" s="116">
        <v>97.6</v>
      </c>
      <c r="F388" s="116">
        <v>490.35</v>
      </c>
      <c r="G388">
        <v>7139</v>
      </c>
      <c r="H388" s="116"/>
      <c r="I388" s="116"/>
      <c r="L388" s="170">
        <v>43285</v>
      </c>
      <c r="M388" s="116">
        <v>97.04</v>
      </c>
      <c r="N388" s="116">
        <v>100.62</v>
      </c>
      <c r="O388" s="116">
        <v>95.16</v>
      </c>
      <c r="P388" s="116">
        <v>95.78</v>
      </c>
      <c r="Q388" s="116">
        <v>485.2</v>
      </c>
      <c r="R388">
        <v>56651</v>
      </c>
    </row>
    <row r="389" spans="1:18" x14ac:dyDescent="0.25">
      <c r="A389" s="170">
        <v>43286</v>
      </c>
      <c r="B389" s="116">
        <v>97.2</v>
      </c>
      <c r="C389" s="116">
        <v>96.22</v>
      </c>
      <c r="D389" s="116">
        <v>96</v>
      </c>
      <c r="E389" s="116">
        <v>97.18</v>
      </c>
      <c r="F389" s="116">
        <v>481.1</v>
      </c>
      <c r="G389">
        <v>1735</v>
      </c>
      <c r="H389" s="116"/>
      <c r="I389" s="116"/>
      <c r="L389" s="170">
        <v>43286</v>
      </c>
      <c r="M389" s="116">
        <v>96.44</v>
      </c>
      <c r="N389" s="116">
        <v>97.31</v>
      </c>
      <c r="O389" s="116">
        <v>96.01</v>
      </c>
      <c r="P389" s="116">
        <v>96.75</v>
      </c>
      <c r="Q389" s="116">
        <v>482.2</v>
      </c>
      <c r="R389">
        <v>6654</v>
      </c>
    </row>
    <row r="390" spans="1:18" x14ac:dyDescent="0.25">
      <c r="A390" s="170">
        <v>43287</v>
      </c>
      <c r="B390" s="116">
        <v>96.01</v>
      </c>
      <c r="C390" s="116">
        <v>95.32</v>
      </c>
      <c r="D390" s="116">
        <v>94.22</v>
      </c>
      <c r="E390" s="116">
        <v>95.06</v>
      </c>
      <c r="F390" s="116">
        <v>476.6</v>
      </c>
      <c r="G390">
        <v>1546</v>
      </c>
      <c r="H390" s="116"/>
      <c r="I390" s="116"/>
      <c r="L390" s="170">
        <v>43287</v>
      </c>
      <c r="M390" s="116">
        <v>95.38</v>
      </c>
      <c r="N390" s="116">
        <v>96.47</v>
      </c>
      <c r="O390" s="116">
        <v>94.41</v>
      </c>
      <c r="P390" s="116">
        <v>96.47</v>
      </c>
      <c r="Q390" s="116">
        <v>476.9</v>
      </c>
      <c r="R390">
        <v>9910</v>
      </c>
    </row>
    <row r="391" spans="1:18" x14ac:dyDescent="0.25">
      <c r="A391" s="170">
        <v>43290</v>
      </c>
      <c r="B391" s="116">
        <v>96.66</v>
      </c>
      <c r="C391" s="116">
        <v>95.27</v>
      </c>
      <c r="D391" s="116">
        <v>94.25</v>
      </c>
      <c r="E391" s="116">
        <v>95.2</v>
      </c>
      <c r="F391" s="116">
        <v>476.35</v>
      </c>
      <c r="G391">
        <v>1246</v>
      </c>
      <c r="H391" s="116"/>
      <c r="I391" s="116"/>
      <c r="L391" s="170">
        <v>43290</v>
      </c>
      <c r="M391" s="116">
        <v>94.97</v>
      </c>
      <c r="N391" s="116">
        <v>97.78</v>
      </c>
      <c r="O391" s="116">
        <v>94.69</v>
      </c>
      <c r="P391" s="116">
        <v>95.2</v>
      </c>
      <c r="Q391" s="116">
        <v>474.85</v>
      </c>
      <c r="R391">
        <v>8109</v>
      </c>
    </row>
    <row r="392" spans="1:18" x14ac:dyDescent="0.25">
      <c r="A392" s="170">
        <v>43291</v>
      </c>
      <c r="B392" s="116">
        <v>96.11</v>
      </c>
      <c r="C392" s="116">
        <v>94.29</v>
      </c>
      <c r="D392" s="116">
        <v>94.22</v>
      </c>
      <c r="E392" s="116">
        <v>95.56</v>
      </c>
      <c r="F392" s="116">
        <v>471.45</v>
      </c>
      <c r="G392">
        <v>740</v>
      </c>
      <c r="H392" s="116"/>
      <c r="I392" s="116"/>
      <c r="L392" s="170">
        <v>43291</v>
      </c>
      <c r="M392" s="116">
        <v>94.84</v>
      </c>
      <c r="N392" s="116">
        <v>96.19</v>
      </c>
      <c r="O392" s="116">
        <v>94.4</v>
      </c>
      <c r="P392" s="116">
        <v>95.87</v>
      </c>
      <c r="Q392" s="116">
        <v>474.2</v>
      </c>
      <c r="R392">
        <v>8589</v>
      </c>
    </row>
    <row r="393" spans="1:18" x14ac:dyDescent="0.25">
      <c r="A393" s="170">
        <v>43292</v>
      </c>
      <c r="B393" s="116">
        <v>95.41</v>
      </c>
      <c r="C393" s="116">
        <v>93.73</v>
      </c>
      <c r="D393" s="116">
        <v>93.05</v>
      </c>
      <c r="E393" s="116">
        <v>94.22</v>
      </c>
      <c r="F393" s="116">
        <v>468.65</v>
      </c>
      <c r="G393">
        <v>3168</v>
      </c>
      <c r="H393" s="116"/>
      <c r="I393" s="116"/>
      <c r="L393" s="170">
        <v>43292</v>
      </c>
      <c r="M393" s="116">
        <v>93.96</v>
      </c>
      <c r="N393" s="116">
        <v>95.6</v>
      </c>
      <c r="O393" s="116">
        <v>93.75</v>
      </c>
      <c r="P393" s="116">
        <v>94.44</v>
      </c>
      <c r="Q393" s="116">
        <v>469.8</v>
      </c>
      <c r="R393">
        <v>10076</v>
      </c>
    </row>
    <row r="394" spans="1:18" x14ac:dyDescent="0.25">
      <c r="A394" s="170">
        <v>43293</v>
      </c>
      <c r="B394" s="116">
        <v>95.38</v>
      </c>
      <c r="C394" s="116">
        <v>92.91</v>
      </c>
      <c r="D394" s="116">
        <v>92.22</v>
      </c>
      <c r="E394" s="116">
        <v>92.72</v>
      </c>
      <c r="F394" s="116">
        <v>464.55</v>
      </c>
      <c r="G394">
        <v>3169</v>
      </c>
      <c r="H394" s="116"/>
      <c r="I394" s="116"/>
      <c r="L394" s="170">
        <v>43293</v>
      </c>
      <c r="M394" s="116">
        <v>93</v>
      </c>
      <c r="N394" s="116">
        <v>95</v>
      </c>
      <c r="O394" s="116">
        <v>92.44</v>
      </c>
      <c r="P394" s="116">
        <v>93.1</v>
      </c>
      <c r="Q394" s="116">
        <v>465</v>
      </c>
      <c r="R394">
        <v>26861</v>
      </c>
    </row>
    <row r="395" spans="1:18" x14ac:dyDescent="0.25">
      <c r="A395" s="170">
        <v>43294</v>
      </c>
      <c r="B395" s="116">
        <v>94.6</v>
      </c>
      <c r="C395" s="116">
        <v>93.64</v>
      </c>
      <c r="D395" s="116">
        <v>92.23</v>
      </c>
      <c r="E395" s="116">
        <v>93</v>
      </c>
      <c r="F395" s="116">
        <v>468.2</v>
      </c>
      <c r="G395">
        <v>503</v>
      </c>
      <c r="H395" s="116"/>
      <c r="I395" s="116"/>
      <c r="L395" s="170">
        <v>43294</v>
      </c>
      <c r="M395" s="116">
        <v>93.63</v>
      </c>
      <c r="N395" s="116">
        <v>94</v>
      </c>
      <c r="O395" s="116">
        <v>92.43</v>
      </c>
      <c r="P395" s="116">
        <v>92.43</v>
      </c>
      <c r="Q395" s="116">
        <v>468.15</v>
      </c>
      <c r="R395">
        <v>9574</v>
      </c>
    </row>
    <row r="396" spans="1:18" x14ac:dyDescent="0.25">
      <c r="A396" s="170">
        <v>43297</v>
      </c>
      <c r="B396" s="116">
        <v>93.8</v>
      </c>
      <c r="C396" s="116">
        <v>92.68</v>
      </c>
      <c r="D396" s="116">
        <v>92.22</v>
      </c>
      <c r="E396" s="116">
        <v>93.8</v>
      </c>
      <c r="F396" s="116">
        <v>463.4</v>
      </c>
      <c r="G396">
        <v>1563</v>
      </c>
      <c r="H396" s="116"/>
      <c r="I396" s="116"/>
      <c r="L396" s="170">
        <v>43297</v>
      </c>
      <c r="M396" s="116">
        <v>92.42</v>
      </c>
      <c r="N396" s="116">
        <v>94</v>
      </c>
      <c r="O396" s="116">
        <v>92</v>
      </c>
      <c r="P396" s="116">
        <v>93.63</v>
      </c>
      <c r="Q396" s="116">
        <v>462.1</v>
      </c>
      <c r="R396">
        <v>11924</v>
      </c>
    </row>
    <row r="397" spans="1:18" x14ac:dyDescent="0.25">
      <c r="A397" s="170">
        <v>43298</v>
      </c>
      <c r="B397" s="116">
        <v>94.99</v>
      </c>
      <c r="C397" s="116">
        <v>91.87</v>
      </c>
      <c r="D397" s="116">
        <v>91</v>
      </c>
      <c r="E397" s="116">
        <v>93</v>
      </c>
      <c r="F397" s="116">
        <v>459.35</v>
      </c>
      <c r="G397">
        <v>4292</v>
      </c>
      <c r="H397" s="116"/>
      <c r="I397" s="116"/>
      <c r="L397" s="170">
        <v>43298</v>
      </c>
      <c r="M397" s="116">
        <v>92.03</v>
      </c>
      <c r="N397" s="116">
        <v>93.8</v>
      </c>
      <c r="O397" s="116">
        <v>91.4</v>
      </c>
      <c r="P397" s="116">
        <v>91.4</v>
      </c>
      <c r="Q397" s="116">
        <v>460.15</v>
      </c>
      <c r="R397">
        <v>18864</v>
      </c>
    </row>
    <row r="398" spans="1:18" x14ac:dyDescent="0.25">
      <c r="A398" s="170">
        <v>43299</v>
      </c>
      <c r="B398" s="116">
        <v>93.19</v>
      </c>
      <c r="C398" s="116">
        <v>90.18</v>
      </c>
      <c r="D398" s="116">
        <v>90</v>
      </c>
      <c r="E398" s="116">
        <v>92.27</v>
      </c>
      <c r="F398" s="116">
        <v>450.9</v>
      </c>
      <c r="G398">
        <v>1480</v>
      </c>
      <c r="H398" s="116"/>
      <c r="I398" s="116"/>
      <c r="L398" s="170">
        <v>43299</v>
      </c>
      <c r="M398" s="116">
        <v>90.19</v>
      </c>
      <c r="N398" s="116">
        <v>92.96</v>
      </c>
      <c r="O398" s="116">
        <v>90</v>
      </c>
      <c r="P398" s="116">
        <v>91.62</v>
      </c>
      <c r="Q398" s="116">
        <v>450.95</v>
      </c>
      <c r="R398">
        <v>12055</v>
      </c>
    </row>
    <row r="399" spans="1:18" x14ac:dyDescent="0.25">
      <c r="A399" s="170">
        <v>43300</v>
      </c>
      <c r="B399" s="116">
        <v>91.55</v>
      </c>
      <c r="C399" s="116">
        <v>89.6</v>
      </c>
      <c r="D399" s="116">
        <v>88.27</v>
      </c>
      <c r="E399" s="116">
        <v>91</v>
      </c>
      <c r="F399" s="116">
        <v>448</v>
      </c>
      <c r="G399">
        <v>1508</v>
      </c>
      <c r="H399" s="116"/>
      <c r="I399" s="116"/>
      <c r="L399" s="170">
        <v>43300</v>
      </c>
      <c r="M399" s="116">
        <v>89.44</v>
      </c>
      <c r="N399" s="116">
        <v>91.6</v>
      </c>
      <c r="O399" s="116">
        <v>88.04</v>
      </c>
      <c r="P399" s="116">
        <v>91.3</v>
      </c>
      <c r="Q399" s="116">
        <v>447.2</v>
      </c>
      <c r="R399">
        <v>16958</v>
      </c>
    </row>
    <row r="400" spans="1:18" x14ac:dyDescent="0.25">
      <c r="A400" s="170">
        <v>43301</v>
      </c>
      <c r="B400" s="116">
        <v>90.8</v>
      </c>
      <c r="C400" s="116">
        <v>88.83</v>
      </c>
      <c r="D400" s="116">
        <v>88</v>
      </c>
      <c r="E400" s="116">
        <v>89.32</v>
      </c>
      <c r="F400" s="116">
        <v>444.15</v>
      </c>
      <c r="G400">
        <v>3128</v>
      </c>
      <c r="H400" s="116"/>
      <c r="I400" s="116"/>
      <c r="L400" s="170">
        <v>43301</v>
      </c>
      <c r="M400" s="116">
        <v>89.24</v>
      </c>
      <c r="N400" s="116">
        <v>91</v>
      </c>
      <c r="O400" s="116">
        <v>88.6</v>
      </c>
      <c r="P400" s="116">
        <v>89.6</v>
      </c>
      <c r="Q400" s="116">
        <v>446.2</v>
      </c>
      <c r="R400">
        <v>12089</v>
      </c>
    </row>
    <row r="401" spans="1:18" x14ac:dyDescent="0.25">
      <c r="A401" s="170">
        <v>43304</v>
      </c>
      <c r="B401" s="116">
        <v>92.6</v>
      </c>
      <c r="C401" s="116">
        <v>90.53</v>
      </c>
      <c r="D401" s="116">
        <v>88.81</v>
      </c>
      <c r="E401" s="116">
        <v>89.41</v>
      </c>
      <c r="F401" s="116">
        <v>452.65</v>
      </c>
      <c r="G401">
        <v>2065</v>
      </c>
      <c r="H401" s="116"/>
      <c r="I401" s="116"/>
      <c r="L401" s="170">
        <v>43304</v>
      </c>
      <c r="M401" s="116">
        <v>90.53</v>
      </c>
      <c r="N401" s="116">
        <v>91</v>
      </c>
      <c r="O401" s="116">
        <v>88.62</v>
      </c>
      <c r="P401" s="116">
        <v>89.24</v>
      </c>
      <c r="Q401" s="116">
        <v>452.65</v>
      </c>
      <c r="R401">
        <v>7207</v>
      </c>
    </row>
    <row r="402" spans="1:18" x14ac:dyDescent="0.25">
      <c r="A402" s="170">
        <v>43305</v>
      </c>
      <c r="B402" s="116">
        <v>91.8</v>
      </c>
      <c r="C402" s="116">
        <v>90.27</v>
      </c>
      <c r="D402" s="116">
        <v>89.93</v>
      </c>
      <c r="E402" s="116">
        <v>91.15</v>
      </c>
      <c r="F402" s="116">
        <v>451.35</v>
      </c>
      <c r="G402">
        <v>664</v>
      </c>
      <c r="H402" s="116"/>
      <c r="I402" s="116"/>
      <c r="L402" s="170">
        <v>43305</v>
      </c>
      <c r="M402" s="116">
        <v>91.05</v>
      </c>
      <c r="N402" s="116">
        <v>91.8</v>
      </c>
      <c r="O402" s="116">
        <v>90.06</v>
      </c>
      <c r="P402" s="116">
        <v>90.6</v>
      </c>
      <c r="Q402" s="116">
        <v>455.25</v>
      </c>
      <c r="R402">
        <v>7809</v>
      </c>
    </row>
    <row r="403" spans="1:18" x14ac:dyDescent="0.25">
      <c r="A403" s="170">
        <v>43306</v>
      </c>
      <c r="B403" s="116">
        <v>91.95</v>
      </c>
      <c r="C403" s="116">
        <v>90.36</v>
      </c>
      <c r="D403" s="116">
        <v>89.01</v>
      </c>
      <c r="E403" s="116">
        <v>89.01</v>
      </c>
      <c r="F403" s="116">
        <v>451.8</v>
      </c>
      <c r="G403">
        <v>3588</v>
      </c>
      <c r="H403" s="116"/>
      <c r="I403" s="116"/>
      <c r="L403" s="170">
        <v>43306</v>
      </c>
      <c r="M403" s="116">
        <v>90.11</v>
      </c>
      <c r="N403" s="116">
        <v>91.95</v>
      </c>
      <c r="O403" s="116">
        <v>90</v>
      </c>
      <c r="P403" s="116">
        <v>91.95</v>
      </c>
      <c r="Q403" s="116">
        <v>450.55</v>
      </c>
      <c r="R403">
        <v>16524</v>
      </c>
    </row>
    <row r="404" spans="1:18" x14ac:dyDescent="0.25">
      <c r="A404" s="170">
        <v>43307</v>
      </c>
      <c r="B404" s="116">
        <v>90.8</v>
      </c>
      <c r="C404" s="116">
        <v>89.4</v>
      </c>
      <c r="D404" s="116">
        <v>89.05</v>
      </c>
      <c r="E404" s="116">
        <v>90</v>
      </c>
      <c r="F404" s="116">
        <v>447</v>
      </c>
      <c r="G404">
        <v>2276</v>
      </c>
      <c r="H404" s="116"/>
      <c r="I404" s="116"/>
      <c r="L404" s="170">
        <v>43307</v>
      </c>
      <c r="M404" s="116">
        <v>89.54</v>
      </c>
      <c r="N404" s="116">
        <v>90.59</v>
      </c>
      <c r="O404" s="116">
        <v>89.2</v>
      </c>
      <c r="P404" s="116">
        <v>90.59</v>
      </c>
      <c r="Q404" s="116">
        <v>447.7</v>
      </c>
      <c r="R404">
        <v>15124</v>
      </c>
    </row>
    <row r="405" spans="1:18" x14ac:dyDescent="0.25">
      <c r="A405" s="170">
        <v>43308</v>
      </c>
      <c r="B405" s="116">
        <v>90.65</v>
      </c>
      <c r="C405" s="116">
        <v>89.94</v>
      </c>
      <c r="D405" s="116">
        <v>89</v>
      </c>
      <c r="E405" s="116">
        <v>89.29</v>
      </c>
      <c r="F405" s="116">
        <v>449.7</v>
      </c>
      <c r="G405">
        <v>2215</v>
      </c>
      <c r="H405" s="116"/>
      <c r="I405" s="116"/>
      <c r="L405" s="170">
        <v>43308</v>
      </c>
      <c r="M405" s="116">
        <v>90.38</v>
      </c>
      <c r="N405" s="116">
        <v>91.1</v>
      </c>
      <c r="O405" s="116">
        <v>88.81</v>
      </c>
      <c r="P405" s="116">
        <v>89.44</v>
      </c>
      <c r="Q405" s="116">
        <v>451.9</v>
      </c>
      <c r="R405">
        <v>27676</v>
      </c>
    </row>
    <row r="406" spans="1:18" x14ac:dyDescent="0.25">
      <c r="A406" s="170">
        <v>43311</v>
      </c>
      <c r="B406" s="116">
        <v>92.05</v>
      </c>
      <c r="C406" s="116">
        <v>90.2</v>
      </c>
      <c r="D406" s="116">
        <v>89.86</v>
      </c>
      <c r="E406" s="116">
        <v>90</v>
      </c>
      <c r="F406" s="116">
        <v>451</v>
      </c>
      <c r="G406">
        <v>5136</v>
      </c>
      <c r="H406" s="116"/>
      <c r="I406" s="116"/>
      <c r="L406" s="170">
        <v>43311</v>
      </c>
      <c r="M406" s="116">
        <v>90.38</v>
      </c>
      <c r="N406" s="116">
        <v>92.22</v>
      </c>
      <c r="O406" s="116">
        <v>89.2</v>
      </c>
      <c r="P406" s="116">
        <v>89.2</v>
      </c>
      <c r="Q406" s="116">
        <v>451.9</v>
      </c>
      <c r="R406">
        <v>52582</v>
      </c>
    </row>
    <row r="407" spans="1:18" x14ac:dyDescent="0.25">
      <c r="A407" s="170">
        <v>43312</v>
      </c>
      <c r="B407" s="116">
        <v>91.6</v>
      </c>
      <c r="C407" s="116">
        <v>91.22</v>
      </c>
      <c r="D407" s="116">
        <v>90.79</v>
      </c>
      <c r="E407" s="116">
        <v>90.79</v>
      </c>
      <c r="F407" s="116">
        <v>456.1</v>
      </c>
      <c r="G407">
        <v>3813</v>
      </c>
      <c r="H407" s="116"/>
      <c r="I407" s="116"/>
      <c r="L407" s="170">
        <v>43312</v>
      </c>
      <c r="M407" s="116">
        <v>90.94</v>
      </c>
      <c r="N407" s="116">
        <v>91.5</v>
      </c>
      <c r="O407" s="116">
        <v>90.6</v>
      </c>
      <c r="P407" s="116">
        <v>90.6</v>
      </c>
      <c r="Q407" s="116">
        <v>454.7</v>
      </c>
      <c r="R407">
        <v>10302</v>
      </c>
    </row>
    <row r="408" spans="1:18" x14ac:dyDescent="0.25">
      <c r="A408" s="170">
        <v>43313</v>
      </c>
      <c r="B408" s="116">
        <v>92</v>
      </c>
      <c r="C408" s="116">
        <v>91.68</v>
      </c>
      <c r="D408" s="116">
        <v>90.1</v>
      </c>
      <c r="E408" s="116">
        <v>92</v>
      </c>
      <c r="F408" s="116">
        <v>458.4</v>
      </c>
      <c r="G408">
        <v>1824</v>
      </c>
      <c r="H408" s="116"/>
      <c r="I408" s="116"/>
      <c r="L408" s="170">
        <v>43313</v>
      </c>
      <c r="M408" s="116">
        <v>91.41</v>
      </c>
      <c r="N408" s="116">
        <v>91.92</v>
      </c>
      <c r="O408" s="116">
        <v>90.11</v>
      </c>
      <c r="P408" s="116">
        <v>90.78</v>
      </c>
      <c r="Q408" s="116">
        <v>457.05</v>
      </c>
      <c r="R408">
        <v>15191</v>
      </c>
    </row>
    <row r="409" spans="1:18" x14ac:dyDescent="0.25">
      <c r="A409" s="170">
        <v>43314</v>
      </c>
      <c r="B409" s="116">
        <v>93.99</v>
      </c>
      <c r="C409" s="116">
        <v>93.6</v>
      </c>
      <c r="D409" s="116">
        <v>90.99</v>
      </c>
      <c r="E409" s="116">
        <v>92.59</v>
      </c>
      <c r="F409" s="116">
        <v>468</v>
      </c>
      <c r="G409">
        <v>1409</v>
      </c>
      <c r="H409" s="116"/>
      <c r="I409" s="116"/>
      <c r="L409" s="170">
        <v>43314</v>
      </c>
      <c r="M409" s="116">
        <v>93.44</v>
      </c>
      <c r="N409" s="116">
        <v>94</v>
      </c>
      <c r="O409" s="116">
        <v>91</v>
      </c>
      <c r="P409" s="116">
        <v>91.8</v>
      </c>
      <c r="Q409" s="116">
        <v>467.2</v>
      </c>
      <c r="R409">
        <v>17444</v>
      </c>
    </row>
    <row r="410" spans="1:18" x14ac:dyDescent="0.25">
      <c r="A410" s="170">
        <v>43315</v>
      </c>
      <c r="B410" s="116">
        <v>94.59</v>
      </c>
      <c r="C410" s="116">
        <v>93.86</v>
      </c>
      <c r="D410" s="116">
        <v>93.59</v>
      </c>
      <c r="E410" s="116">
        <v>93.59</v>
      </c>
      <c r="F410" s="116">
        <v>469.3</v>
      </c>
      <c r="G410">
        <v>1478</v>
      </c>
      <c r="H410" s="116"/>
      <c r="I410" s="116"/>
      <c r="L410" s="170">
        <v>43315</v>
      </c>
      <c r="M410" s="116">
        <v>94.01</v>
      </c>
      <c r="N410" s="116">
        <v>94.4</v>
      </c>
      <c r="O410" s="116">
        <v>93.88</v>
      </c>
      <c r="P410" s="116">
        <v>93.94</v>
      </c>
      <c r="Q410" s="116">
        <v>470.05</v>
      </c>
      <c r="R410">
        <v>170391</v>
      </c>
    </row>
    <row r="411" spans="1:18" x14ac:dyDescent="0.25">
      <c r="A411" s="170">
        <v>43318</v>
      </c>
      <c r="B411" s="116">
        <v>90.1</v>
      </c>
      <c r="C411" s="116">
        <v>87.31</v>
      </c>
      <c r="D411" s="116">
        <v>86.02</v>
      </c>
      <c r="E411" s="116">
        <v>90.1</v>
      </c>
      <c r="F411" s="116">
        <v>436.55</v>
      </c>
      <c r="G411">
        <v>33468</v>
      </c>
      <c r="H411" s="116"/>
      <c r="I411" s="116"/>
      <c r="L411" s="170">
        <v>43318</v>
      </c>
      <c r="M411" s="116">
        <v>87.39</v>
      </c>
      <c r="N411" s="116">
        <v>90</v>
      </c>
      <c r="O411" s="116">
        <v>85.4</v>
      </c>
      <c r="P411" s="116">
        <v>90</v>
      </c>
      <c r="Q411" s="116">
        <v>436.95</v>
      </c>
      <c r="R411">
        <v>435335</v>
      </c>
    </row>
    <row r="412" spans="1:18" x14ac:dyDescent="0.25">
      <c r="A412" s="170">
        <v>43319</v>
      </c>
      <c r="B412" s="116">
        <v>88</v>
      </c>
      <c r="C412" s="116">
        <v>86.64</v>
      </c>
      <c r="D412" s="116">
        <v>86.03</v>
      </c>
      <c r="E412" s="116">
        <v>87.2</v>
      </c>
      <c r="F412" s="116">
        <v>433.2</v>
      </c>
      <c r="G412">
        <v>8414</v>
      </c>
      <c r="H412" s="116"/>
      <c r="I412" s="116"/>
      <c r="L412" s="170">
        <v>43319</v>
      </c>
      <c r="M412" s="116">
        <v>87.03</v>
      </c>
      <c r="N412" s="116">
        <v>88.53</v>
      </c>
      <c r="O412" s="116">
        <v>86.66</v>
      </c>
      <c r="P412" s="116">
        <v>87.62</v>
      </c>
      <c r="Q412" s="116">
        <v>435.15</v>
      </c>
      <c r="R412">
        <v>269531</v>
      </c>
    </row>
    <row r="413" spans="1:18" x14ac:dyDescent="0.25">
      <c r="A413" s="170">
        <v>43320</v>
      </c>
      <c r="B413" s="116">
        <v>89</v>
      </c>
      <c r="C413" s="116">
        <v>88.07</v>
      </c>
      <c r="D413" s="116">
        <v>87</v>
      </c>
      <c r="E413" s="116">
        <v>87</v>
      </c>
      <c r="F413" s="116">
        <v>440.35</v>
      </c>
      <c r="G413">
        <v>4258</v>
      </c>
      <c r="H413" s="116"/>
      <c r="I413" s="116"/>
      <c r="L413" s="170">
        <v>43320</v>
      </c>
      <c r="M413" s="116">
        <v>88.13</v>
      </c>
      <c r="N413" s="116">
        <v>88.4</v>
      </c>
      <c r="O413" s="116">
        <v>86.41</v>
      </c>
      <c r="P413" s="116">
        <v>86.98</v>
      </c>
      <c r="Q413" s="116">
        <v>440.65</v>
      </c>
      <c r="R413">
        <v>31601</v>
      </c>
    </row>
    <row r="414" spans="1:18" x14ac:dyDescent="0.25">
      <c r="A414" s="170">
        <v>43321</v>
      </c>
      <c r="B414" s="116">
        <v>88.58</v>
      </c>
      <c r="C414" s="116">
        <v>88.18</v>
      </c>
      <c r="D414" s="116">
        <v>87.55</v>
      </c>
      <c r="E414" s="116">
        <v>88</v>
      </c>
      <c r="F414" s="116">
        <v>440.9</v>
      </c>
      <c r="G414">
        <v>4087</v>
      </c>
      <c r="H414" s="116"/>
      <c r="I414" s="116"/>
      <c r="L414" s="170">
        <v>43321</v>
      </c>
      <c r="M414" s="116">
        <v>88.15</v>
      </c>
      <c r="N414" s="116">
        <v>88.6</v>
      </c>
      <c r="O414" s="116">
        <v>87.63</v>
      </c>
      <c r="P414" s="116">
        <v>87.73</v>
      </c>
      <c r="Q414" s="116">
        <v>440.75</v>
      </c>
      <c r="R414">
        <v>32400</v>
      </c>
    </row>
    <row r="415" spans="1:18" x14ac:dyDescent="0.25">
      <c r="A415" s="170">
        <v>43322</v>
      </c>
      <c r="B415" s="116">
        <v>90.48</v>
      </c>
      <c r="C415" s="116">
        <v>87.6</v>
      </c>
      <c r="D415" s="116">
        <v>87.23</v>
      </c>
      <c r="E415" s="116">
        <v>88</v>
      </c>
      <c r="F415" s="116">
        <v>438</v>
      </c>
      <c r="G415">
        <v>4890</v>
      </c>
      <c r="H415" s="116"/>
      <c r="I415" s="116"/>
      <c r="L415" s="170">
        <v>43322</v>
      </c>
      <c r="M415" s="116">
        <v>87.62</v>
      </c>
      <c r="N415" s="116">
        <v>90.25</v>
      </c>
      <c r="O415" s="116">
        <v>87.33</v>
      </c>
      <c r="P415" s="116">
        <v>88.21</v>
      </c>
      <c r="Q415" s="116">
        <v>438.1</v>
      </c>
      <c r="R415">
        <v>773332</v>
      </c>
    </row>
    <row r="416" spans="1:18" x14ac:dyDescent="0.25">
      <c r="A416" s="170">
        <v>43325</v>
      </c>
      <c r="B416" s="116">
        <v>88.29</v>
      </c>
      <c r="C416" s="116">
        <v>87.93</v>
      </c>
      <c r="D416" s="116">
        <v>85</v>
      </c>
      <c r="E416" s="116">
        <v>87.26</v>
      </c>
      <c r="F416" s="116">
        <v>439.65</v>
      </c>
      <c r="G416">
        <v>2909</v>
      </c>
      <c r="H416" s="116"/>
      <c r="I416" s="116"/>
      <c r="L416" s="170">
        <v>43325</v>
      </c>
      <c r="M416" s="116">
        <v>88</v>
      </c>
      <c r="N416" s="116">
        <v>88.38</v>
      </c>
      <c r="O416" s="116">
        <v>87.02</v>
      </c>
      <c r="P416" s="116">
        <v>87.4</v>
      </c>
      <c r="Q416" s="116">
        <v>440</v>
      </c>
      <c r="R416">
        <v>68556</v>
      </c>
    </row>
    <row r="417" spans="1:18" x14ac:dyDescent="0.25">
      <c r="A417" s="170">
        <v>43326</v>
      </c>
      <c r="B417" s="116">
        <v>89.8</v>
      </c>
      <c r="C417" s="116">
        <v>89.47</v>
      </c>
      <c r="D417" s="116">
        <v>86.1</v>
      </c>
      <c r="E417" s="116">
        <v>86.11</v>
      </c>
      <c r="F417" s="116">
        <v>447.35</v>
      </c>
      <c r="G417">
        <v>2217</v>
      </c>
      <c r="H417" s="116"/>
      <c r="I417" s="116"/>
      <c r="L417" s="170">
        <v>43326</v>
      </c>
      <c r="M417" s="116">
        <v>89.43</v>
      </c>
      <c r="N417" s="116">
        <v>90</v>
      </c>
      <c r="O417" s="116">
        <v>87.44</v>
      </c>
      <c r="P417" s="116">
        <v>87.44</v>
      </c>
      <c r="Q417" s="116">
        <v>447.15</v>
      </c>
      <c r="R417">
        <v>159167</v>
      </c>
    </row>
    <row r="418" spans="1:18" x14ac:dyDescent="0.25">
      <c r="A418" s="170">
        <v>43328</v>
      </c>
      <c r="B418" s="116">
        <v>88.8</v>
      </c>
      <c r="C418" s="116">
        <v>88.06</v>
      </c>
      <c r="D418" s="116">
        <v>88</v>
      </c>
      <c r="E418" s="116">
        <v>88.35</v>
      </c>
      <c r="F418" s="116">
        <v>440.3</v>
      </c>
      <c r="G418">
        <v>1242</v>
      </c>
      <c r="H418" s="116"/>
      <c r="I418" s="116"/>
      <c r="L418" s="170">
        <v>43328</v>
      </c>
      <c r="M418" s="116">
        <v>88.02</v>
      </c>
      <c r="N418" s="116">
        <v>89.45</v>
      </c>
      <c r="O418" s="116">
        <v>87.74</v>
      </c>
      <c r="P418" s="116">
        <v>89.45</v>
      </c>
      <c r="Q418" s="116">
        <v>440.1</v>
      </c>
      <c r="R418">
        <v>348209</v>
      </c>
    </row>
    <row r="419" spans="1:18" x14ac:dyDescent="0.25">
      <c r="A419" s="170">
        <v>43329</v>
      </c>
      <c r="B419" s="116">
        <v>89.38</v>
      </c>
      <c r="C419" s="116">
        <v>88.92</v>
      </c>
      <c r="D419" s="116">
        <v>87.51</v>
      </c>
      <c r="E419" s="116">
        <v>87.81</v>
      </c>
      <c r="F419" s="116">
        <v>444.6</v>
      </c>
      <c r="G419">
        <v>3617</v>
      </c>
      <c r="H419" s="116"/>
      <c r="I419" s="116"/>
      <c r="L419" s="170">
        <v>43329</v>
      </c>
      <c r="M419" s="116">
        <v>88.71</v>
      </c>
      <c r="N419" s="116">
        <v>89.6</v>
      </c>
      <c r="O419" s="116">
        <v>87.5</v>
      </c>
      <c r="P419" s="116">
        <v>88.89</v>
      </c>
      <c r="Q419" s="116">
        <v>443.55</v>
      </c>
      <c r="R419">
        <v>31392</v>
      </c>
    </row>
    <row r="420" spans="1:18" x14ac:dyDescent="0.25">
      <c r="A420" s="170">
        <v>43332</v>
      </c>
      <c r="B420" s="116">
        <v>88.97</v>
      </c>
      <c r="C420" s="116">
        <v>88.31</v>
      </c>
      <c r="D420" s="116">
        <v>87.8</v>
      </c>
      <c r="E420" s="116">
        <v>88.21</v>
      </c>
      <c r="F420" s="116">
        <v>441.55</v>
      </c>
      <c r="G420">
        <v>1263</v>
      </c>
      <c r="H420" s="116"/>
      <c r="I420" s="116"/>
      <c r="L420" s="170">
        <v>43332</v>
      </c>
      <c r="M420" s="116">
        <v>88.49</v>
      </c>
      <c r="N420" s="116">
        <v>89.01</v>
      </c>
      <c r="O420" s="116">
        <v>87.6</v>
      </c>
      <c r="P420" s="116">
        <v>89.01</v>
      </c>
      <c r="Q420" s="116">
        <v>442.45</v>
      </c>
      <c r="R420">
        <v>34155</v>
      </c>
    </row>
    <row r="421" spans="1:18" x14ac:dyDescent="0.25">
      <c r="A421" s="170">
        <v>43333</v>
      </c>
      <c r="B421" s="116">
        <v>92.36</v>
      </c>
      <c r="C421" s="116">
        <v>90.5</v>
      </c>
      <c r="D421" s="116">
        <v>88.06</v>
      </c>
      <c r="E421" s="116">
        <v>88.22</v>
      </c>
      <c r="F421" s="116">
        <v>452.5</v>
      </c>
      <c r="G421">
        <v>4775</v>
      </c>
      <c r="H421" s="116"/>
      <c r="I421" s="116"/>
      <c r="L421" s="170">
        <v>43333</v>
      </c>
      <c r="M421" s="116">
        <v>90.52</v>
      </c>
      <c r="N421" s="116">
        <v>92.94</v>
      </c>
      <c r="O421" s="116">
        <v>88.2</v>
      </c>
      <c r="P421" s="116">
        <v>88.41</v>
      </c>
      <c r="Q421" s="116">
        <v>452.6</v>
      </c>
      <c r="R421">
        <v>62567</v>
      </c>
    </row>
    <row r="422" spans="1:18" x14ac:dyDescent="0.25">
      <c r="A422" s="170">
        <v>43335</v>
      </c>
      <c r="B422" s="116">
        <v>91.4</v>
      </c>
      <c r="C422" s="116">
        <v>89.21</v>
      </c>
      <c r="D422" s="116">
        <v>87</v>
      </c>
      <c r="E422" s="116">
        <v>91.08</v>
      </c>
      <c r="F422" s="116">
        <v>446.05</v>
      </c>
      <c r="G422">
        <v>28218</v>
      </c>
      <c r="H422" s="116"/>
      <c r="I422" s="116"/>
      <c r="L422" s="170">
        <v>43335</v>
      </c>
      <c r="M422" s="116">
        <v>88.08</v>
      </c>
      <c r="N422" s="116">
        <v>91.41</v>
      </c>
      <c r="O422" s="116">
        <v>86.6</v>
      </c>
      <c r="P422" s="116">
        <v>90.8</v>
      </c>
      <c r="Q422" s="116">
        <v>440.4</v>
      </c>
      <c r="R422">
        <v>263152</v>
      </c>
    </row>
    <row r="423" spans="1:18" x14ac:dyDescent="0.25">
      <c r="A423" s="170">
        <v>43336</v>
      </c>
      <c r="B423" s="116">
        <v>88.9</v>
      </c>
      <c r="C423" s="116">
        <v>88.21</v>
      </c>
      <c r="D423" s="116">
        <v>88</v>
      </c>
      <c r="E423" s="116">
        <v>88.8</v>
      </c>
      <c r="F423" s="116">
        <v>441.05</v>
      </c>
      <c r="G423">
        <v>1813</v>
      </c>
      <c r="H423" s="116"/>
      <c r="I423" s="116"/>
      <c r="L423" s="170">
        <v>43336</v>
      </c>
      <c r="M423" s="116">
        <v>88.31</v>
      </c>
      <c r="N423" s="116">
        <v>89</v>
      </c>
      <c r="O423" s="116">
        <v>88.08</v>
      </c>
      <c r="P423" s="116">
        <v>88.08</v>
      </c>
      <c r="Q423" s="116">
        <v>441.55</v>
      </c>
      <c r="R423">
        <v>78333</v>
      </c>
    </row>
    <row r="424" spans="1:18" x14ac:dyDescent="0.25">
      <c r="A424" s="170">
        <v>43339</v>
      </c>
      <c r="B424" s="116">
        <v>89.06</v>
      </c>
      <c r="C424" s="116">
        <v>87.64</v>
      </c>
      <c r="D424" s="116">
        <v>87.01</v>
      </c>
      <c r="E424" s="116">
        <v>88.2</v>
      </c>
      <c r="F424" s="116">
        <v>438.2</v>
      </c>
      <c r="G424">
        <v>11584</v>
      </c>
      <c r="H424" s="116"/>
      <c r="I424" s="116"/>
      <c r="L424" s="170">
        <v>43339</v>
      </c>
      <c r="M424" s="116">
        <v>88.08</v>
      </c>
      <c r="N424" s="116">
        <v>89.6</v>
      </c>
      <c r="O424" s="116">
        <v>86.92</v>
      </c>
      <c r="P424" s="116">
        <v>88.8</v>
      </c>
      <c r="Q424" s="116">
        <v>440.4</v>
      </c>
      <c r="R424">
        <v>313311</v>
      </c>
    </row>
    <row r="425" spans="1:18" x14ac:dyDescent="0.25">
      <c r="A425" s="170">
        <v>43340</v>
      </c>
      <c r="B425" s="116">
        <v>88.78</v>
      </c>
      <c r="C425" s="116">
        <v>88.13</v>
      </c>
      <c r="D425" s="116">
        <v>87.8</v>
      </c>
      <c r="E425" s="116">
        <v>88.78</v>
      </c>
      <c r="F425" s="116">
        <v>440.65</v>
      </c>
      <c r="G425">
        <v>2111</v>
      </c>
      <c r="H425" s="116"/>
      <c r="I425" s="116"/>
      <c r="L425" s="170">
        <v>43340</v>
      </c>
      <c r="M425" s="116">
        <v>88.48</v>
      </c>
      <c r="N425" s="116">
        <v>89.07</v>
      </c>
      <c r="O425" s="116">
        <v>87.7</v>
      </c>
      <c r="P425" s="116">
        <v>88.02</v>
      </c>
      <c r="Q425" s="116">
        <v>442.4</v>
      </c>
      <c r="R425">
        <v>104200</v>
      </c>
    </row>
    <row r="426" spans="1:18" x14ac:dyDescent="0.25">
      <c r="A426" s="170">
        <v>43341</v>
      </c>
      <c r="B426" s="116">
        <v>88.82</v>
      </c>
      <c r="C426" s="116">
        <v>87.74</v>
      </c>
      <c r="D426" s="116">
        <v>87.4</v>
      </c>
      <c r="E426" s="116">
        <v>88.2</v>
      </c>
      <c r="F426" s="116">
        <v>438.7</v>
      </c>
      <c r="G426">
        <v>3043</v>
      </c>
      <c r="H426" s="116"/>
      <c r="I426" s="116"/>
      <c r="L426" s="170">
        <v>43341</v>
      </c>
      <c r="M426" s="116">
        <v>87.97</v>
      </c>
      <c r="N426" s="116">
        <v>89.2</v>
      </c>
      <c r="O426" s="116">
        <v>87.64</v>
      </c>
      <c r="P426" s="116">
        <v>88.3</v>
      </c>
      <c r="Q426" s="116">
        <v>439.85</v>
      </c>
      <c r="R426">
        <v>271905</v>
      </c>
    </row>
    <row r="427" spans="1:18" x14ac:dyDescent="0.25">
      <c r="A427" s="170">
        <v>43342</v>
      </c>
      <c r="B427" s="116">
        <v>92.87</v>
      </c>
      <c r="C427" s="116">
        <v>87.88</v>
      </c>
      <c r="D427" s="116">
        <v>87.6</v>
      </c>
      <c r="E427" s="116">
        <v>91.02</v>
      </c>
      <c r="F427" s="116">
        <v>439.4</v>
      </c>
      <c r="G427">
        <v>20087</v>
      </c>
      <c r="H427" s="116"/>
      <c r="I427" s="116"/>
      <c r="L427" s="170">
        <v>43342</v>
      </c>
      <c r="M427" s="116">
        <v>87.91</v>
      </c>
      <c r="N427" s="116">
        <v>93.79</v>
      </c>
      <c r="O427" s="116">
        <v>87.54</v>
      </c>
      <c r="P427" s="116">
        <v>91.9</v>
      </c>
      <c r="Q427" s="116">
        <v>439.55</v>
      </c>
      <c r="R427">
        <v>322103</v>
      </c>
    </row>
    <row r="428" spans="1:18" x14ac:dyDescent="0.25">
      <c r="A428" s="170">
        <v>43343</v>
      </c>
      <c r="B428" s="116">
        <v>90</v>
      </c>
      <c r="C428" s="116">
        <v>87.58</v>
      </c>
      <c r="D428" s="116">
        <v>87.05</v>
      </c>
      <c r="E428" s="116">
        <v>90</v>
      </c>
      <c r="F428" s="116">
        <v>437.9</v>
      </c>
      <c r="G428">
        <v>3897</v>
      </c>
      <c r="H428" s="116"/>
      <c r="I428" s="116"/>
      <c r="L428" s="170">
        <v>43343</v>
      </c>
      <c r="M428" s="116">
        <v>87.69</v>
      </c>
      <c r="N428" s="116">
        <v>88.62</v>
      </c>
      <c r="O428" s="116">
        <v>87.02</v>
      </c>
      <c r="P428" s="116">
        <v>88.38</v>
      </c>
      <c r="Q428" s="116">
        <v>438.45</v>
      </c>
      <c r="R428">
        <v>162971</v>
      </c>
    </row>
    <row r="429" spans="1:18" x14ac:dyDescent="0.25">
      <c r="A429" s="170">
        <v>43346</v>
      </c>
      <c r="B429" s="116">
        <v>88.7</v>
      </c>
      <c r="C429" s="116">
        <v>87.75</v>
      </c>
      <c r="D429" s="116">
        <v>87.25</v>
      </c>
      <c r="E429" s="116">
        <v>88.4</v>
      </c>
      <c r="F429" s="116">
        <v>438.75</v>
      </c>
      <c r="G429">
        <v>2590</v>
      </c>
      <c r="H429" s="116"/>
      <c r="I429" s="116"/>
      <c r="L429" s="170">
        <v>43346</v>
      </c>
      <c r="M429" s="116">
        <v>87.45</v>
      </c>
      <c r="N429" s="116">
        <v>88.84</v>
      </c>
      <c r="O429" s="116">
        <v>87.02</v>
      </c>
      <c r="P429" s="116">
        <v>87.9</v>
      </c>
      <c r="Q429" s="116">
        <v>437.25</v>
      </c>
      <c r="R429">
        <v>46202</v>
      </c>
    </row>
    <row r="430" spans="1:18" x14ac:dyDescent="0.25">
      <c r="A430" s="170">
        <v>43347</v>
      </c>
      <c r="B430" s="116">
        <v>87.61</v>
      </c>
      <c r="C430" s="116">
        <v>86.29</v>
      </c>
      <c r="D430" s="116">
        <v>86</v>
      </c>
      <c r="E430" s="116">
        <v>87.41</v>
      </c>
      <c r="F430" s="116">
        <v>431.45</v>
      </c>
      <c r="G430">
        <v>2162</v>
      </c>
      <c r="H430" s="116"/>
      <c r="I430" s="116"/>
      <c r="L430" s="170">
        <v>43347</v>
      </c>
      <c r="M430" s="116">
        <v>86.44</v>
      </c>
      <c r="N430" s="116">
        <v>88</v>
      </c>
      <c r="O430" s="116">
        <v>86.1</v>
      </c>
      <c r="P430" s="116">
        <v>87.64</v>
      </c>
      <c r="Q430" s="116">
        <v>432.2</v>
      </c>
      <c r="R430">
        <v>27640</v>
      </c>
    </row>
    <row r="431" spans="1:18" x14ac:dyDescent="0.25">
      <c r="A431" s="170">
        <v>43348</v>
      </c>
      <c r="B431" s="116">
        <v>86.44</v>
      </c>
      <c r="C431" s="116">
        <v>85.82</v>
      </c>
      <c r="D431" s="116">
        <v>85.6</v>
      </c>
      <c r="E431" s="116">
        <v>86</v>
      </c>
      <c r="F431" s="116">
        <v>429.1</v>
      </c>
      <c r="G431">
        <v>710</v>
      </c>
      <c r="H431" s="116"/>
      <c r="I431" s="116"/>
      <c r="L431" s="170">
        <v>43348</v>
      </c>
      <c r="M431" s="116">
        <v>86.15</v>
      </c>
      <c r="N431" s="116">
        <v>86.39</v>
      </c>
      <c r="O431" s="116">
        <v>85.6</v>
      </c>
      <c r="P431" s="116">
        <v>86.31</v>
      </c>
      <c r="Q431" s="116">
        <v>430.75</v>
      </c>
      <c r="R431">
        <v>35714</v>
      </c>
    </row>
    <row r="432" spans="1:18" x14ac:dyDescent="0.25">
      <c r="A432" s="170">
        <v>43349</v>
      </c>
      <c r="B432" s="116">
        <v>87.26</v>
      </c>
      <c r="C432" s="116">
        <v>86.73</v>
      </c>
      <c r="D432" s="116">
        <v>85.82</v>
      </c>
      <c r="E432" s="116">
        <v>86.5</v>
      </c>
      <c r="F432" s="116">
        <v>433.65</v>
      </c>
      <c r="G432">
        <v>962</v>
      </c>
      <c r="H432" s="116"/>
      <c r="I432" s="116"/>
      <c r="L432" s="170">
        <v>43349</v>
      </c>
      <c r="M432" s="116">
        <v>86.71</v>
      </c>
      <c r="N432" s="116">
        <v>87.36</v>
      </c>
      <c r="O432" s="116">
        <v>85.81</v>
      </c>
      <c r="P432" s="116">
        <v>86.97</v>
      </c>
      <c r="Q432" s="116">
        <v>433.55</v>
      </c>
      <c r="R432">
        <v>35649</v>
      </c>
    </row>
    <row r="433" spans="1:18" x14ac:dyDescent="0.25">
      <c r="A433" s="170">
        <v>43350</v>
      </c>
      <c r="B433" s="116">
        <v>87.97</v>
      </c>
      <c r="C433" s="116">
        <v>86.19</v>
      </c>
      <c r="D433" s="116">
        <v>85.82</v>
      </c>
      <c r="E433" s="116">
        <v>86.8</v>
      </c>
      <c r="F433" s="116">
        <v>430.95</v>
      </c>
      <c r="G433">
        <v>3097</v>
      </c>
      <c r="H433" s="116"/>
      <c r="I433" s="116"/>
      <c r="L433" s="170">
        <v>43350</v>
      </c>
      <c r="M433" s="116">
        <v>86.11</v>
      </c>
      <c r="N433" s="116">
        <v>88</v>
      </c>
      <c r="O433" s="116">
        <v>85.8</v>
      </c>
      <c r="P433" s="116">
        <v>86.52</v>
      </c>
      <c r="Q433" s="116">
        <v>430.55</v>
      </c>
      <c r="R433">
        <v>109630</v>
      </c>
    </row>
    <row r="434" spans="1:18" x14ac:dyDescent="0.25">
      <c r="A434" s="170">
        <v>43353</v>
      </c>
      <c r="B434" s="116">
        <v>89.6</v>
      </c>
      <c r="C434" s="116">
        <v>87.29</v>
      </c>
      <c r="D434" s="116">
        <v>84.46</v>
      </c>
      <c r="E434" s="116">
        <v>89.6</v>
      </c>
      <c r="F434" s="116">
        <v>436.45</v>
      </c>
      <c r="G434">
        <v>5167</v>
      </c>
      <c r="H434" s="116"/>
      <c r="I434" s="116"/>
      <c r="L434" s="170">
        <v>43353</v>
      </c>
      <c r="M434" s="116">
        <v>87.09</v>
      </c>
      <c r="N434" s="116">
        <v>88</v>
      </c>
      <c r="O434" s="116">
        <v>86.01</v>
      </c>
      <c r="P434" s="116">
        <v>86.2</v>
      </c>
      <c r="Q434" s="116">
        <v>435.45</v>
      </c>
      <c r="R434">
        <v>62514</v>
      </c>
    </row>
    <row r="435" spans="1:18" x14ac:dyDescent="0.25">
      <c r="A435" s="170">
        <v>43354</v>
      </c>
      <c r="B435" s="116">
        <v>87.38</v>
      </c>
      <c r="C435" s="116">
        <v>86.28</v>
      </c>
      <c r="D435" s="116">
        <v>86.01</v>
      </c>
      <c r="E435" s="116">
        <v>86.82</v>
      </c>
      <c r="F435" s="116">
        <v>431.4</v>
      </c>
      <c r="G435">
        <v>2319</v>
      </c>
      <c r="H435" s="116"/>
      <c r="I435" s="116"/>
      <c r="L435" s="170">
        <v>43354</v>
      </c>
      <c r="M435" s="116">
        <v>86.19</v>
      </c>
      <c r="N435" s="116">
        <v>87.63</v>
      </c>
      <c r="O435" s="116">
        <v>86.01</v>
      </c>
      <c r="P435" s="116">
        <v>87.2</v>
      </c>
      <c r="Q435" s="116">
        <v>430.95</v>
      </c>
      <c r="R435">
        <v>50333</v>
      </c>
    </row>
    <row r="436" spans="1:18" x14ac:dyDescent="0.25">
      <c r="A436" s="170">
        <v>43355</v>
      </c>
      <c r="B436" s="116">
        <v>87.6</v>
      </c>
      <c r="C436" s="116">
        <v>87.41</v>
      </c>
      <c r="D436" s="116">
        <v>85.91</v>
      </c>
      <c r="E436" s="116">
        <v>85.91</v>
      </c>
      <c r="F436" s="116">
        <v>437.05</v>
      </c>
      <c r="G436">
        <v>1915</v>
      </c>
      <c r="H436" s="116"/>
      <c r="I436" s="116"/>
      <c r="L436" s="170">
        <v>43355</v>
      </c>
      <c r="M436" s="116">
        <v>87.63</v>
      </c>
      <c r="N436" s="116">
        <v>88</v>
      </c>
      <c r="O436" s="116">
        <v>86.19</v>
      </c>
      <c r="P436" s="116">
        <v>86.19</v>
      </c>
      <c r="Q436" s="116">
        <v>438.15</v>
      </c>
      <c r="R436">
        <v>43110</v>
      </c>
    </row>
    <row r="437" spans="1:18" x14ac:dyDescent="0.25">
      <c r="A437" s="170">
        <v>43357</v>
      </c>
      <c r="B437" s="116">
        <v>89.3</v>
      </c>
      <c r="C437" s="116">
        <v>88.58</v>
      </c>
      <c r="D437" s="116">
        <v>87.36</v>
      </c>
      <c r="E437" s="116">
        <v>87.41</v>
      </c>
      <c r="F437" s="116">
        <v>442.9</v>
      </c>
      <c r="G437">
        <v>2728</v>
      </c>
      <c r="H437" s="116"/>
      <c r="I437" s="116"/>
      <c r="L437" s="170">
        <v>43357</v>
      </c>
      <c r="M437" s="116">
        <v>88.6</v>
      </c>
      <c r="N437" s="116">
        <v>89.36</v>
      </c>
      <c r="O437" s="116">
        <v>87.2</v>
      </c>
      <c r="P437" s="116">
        <v>87.2</v>
      </c>
      <c r="Q437" s="116">
        <v>443</v>
      </c>
      <c r="R437">
        <v>66744</v>
      </c>
    </row>
    <row r="438" spans="1:18" x14ac:dyDescent="0.25">
      <c r="A438" s="170">
        <v>43360</v>
      </c>
      <c r="B438" s="116">
        <v>89.23</v>
      </c>
      <c r="C438" s="116">
        <v>87.77</v>
      </c>
      <c r="D438" s="116">
        <v>86.97</v>
      </c>
      <c r="E438" s="116">
        <v>88.4</v>
      </c>
      <c r="F438" s="116">
        <v>438.85</v>
      </c>
      <c r="G438">
        <v>405996</v>
      </c>
      <c r="H438" s="116"/>
      <c r="I438" s="116"/>
      <c r="L438" s="170">
        <v>43360</v>
      </c>
      <c r="M438" s="116">
        <v>87.59</v>
      </c>
      <c r="N438" s="116">
        <v>89.2</v>
      </c>
      <c r="O438" s="116">
        <v>86</v>
      </c>
      <c r="P438" s="116">
        <v>87.23</v>
      </c>
      <c r="Q438" s="116">
        <v>437.95</v>
      </c>
      <c r="R438">
        <v>420068</v>
      </c>
    </row>
    <row r="439" spans="1:18" x14ac:dyDescent="0.25">
      <c r="A439" s="170">
        <v>43361</v>
      </c>
      <c r="B439" s="116">
        <v>87.79</v>
      </c>
      <c r="C439" s="116">
        <v>87.01</v>
      </c>
      <c r="D439" s="116">
        <v>86.5</v>
      </c>
      <c r="E439" s="116">
        <v>86.93</v>
      </c>
      <c r="F439" s="116">
        <v>435.05</v>
      </c>
      <c r="G439">
        <v>1218</v>
      </c>
      <c r="H439" s="116"/>
      <c r="I439" s="116"/>
      <c r="L439" s="170">
        <v>43361</v>
      </c>
      <c r="M439" s="116">
        <v>86.75</v>
      </c>
      <c r="N439" s="116">
        <v>87.96</v>
      </c>
      <c r="O439" s="116">
        <v>86.51</v>
      </c>
      <c r="P439" s="116">
        <v>87.05</v>
      </c>
      <c r="Q439" s="116">
        <v>433.75</v>
      </c>
      <c r="R439">
        <v>18782</v>
      </c>
    </row>
    <row r="440" spans="1:18" x14ac:dyDescent="0.25">
      <c r="A440" s="170">
        <v>43362</v>
      </c>
      <c r="B440" s="116">
        <v>87.76</v>
      </c>
      <c r="C440" s="116">
        <v>86.93</v>
      </c>
      <c r="D440" s="116">
        <v>86.6</v>
      </c>
      <c r="E440" s="116">
        <v>87.31</v>
      </c>
      <c r="F440" s="116">
        <v>434.65</v>
      </c>
      <c r="G440">
        <v>3122</v>
      </c>
      <c r="H440" s="116"/>
      <c r="I440" s="116"/>
      <c r="L440" s="170">
        <v>43362</v>
      </c>
      <c r="M440" s="116">
        <v>87.09</v>
      </c>
      <c r="N440" s="116">
        <v>88.01</v>
      </c>
      <c r="O440" s="116">
        <v>86.82</v>
      </c>
      <c r="P440" s="116">
        <v>86.82</v>
      </c>
      <c r="Q440" s="116">
        <v>435.45</v>
      </c>
      <c r="R440">
        <v>48591</v>
      </c>
    </row>
    <row r="441" spans="1:18" x14ac:dyDescent="0.25">
      <c r="A441" s="170">
        <v>43364</v>
      </c>
      <c r="B441" s="116">
        <v>87.75</v>
      </c>
      <c r="C441" s="116">
        <v>85.81</v>
      </c>
      <c r="D441" s="116">
        <v>83.18</v>
      </c>
      <c r="E441" s="116">
        <v>86.93</v>
      </c>
      <c r="F441" s="116">
        <v>429.05</v>
      </c>
      <c r="G441">
        <v>29654</v>
      </c>
      <c r="H441" s="116"/>
      <c r="I441" s="116"/>
      <c r="L441" s="170">
        <v>43364</v>
      </c>
      <c r="M441" s="116">
        <v>86.07</v>
      </c>
      <c r="N441" s="116">
        <v>87.82</v>
      </c>
      <c r="O441" s="116">
        <v>82.96</v>
      </c>
      <c r="P441" s="116">
        <v>87.82</v>
      </c>
      <c r="Q441" s="116">
        <v>430.35</v>
      </c>
      <c r="R441">
        <v>142837</v>
      </c>
    </row>
    <row r="442" spans="1:18" x14ac:dyDescent="0.25">
      <c r="A442" s="170">
        <v>43367</v>
      </c>
      <c r="B442" s="116">
        <v>87.16</v>
      </c>
      <c r="C442" s="116">
        <v>86.06</v>
      </c>
      <c r="D442" s="116">
        <v>85.4</v>
      </c>
      <c r="E442" s="116">
        <v>87</v>
      </c>
      <c r="F442" s="116">
        <v>430.3</v>
      </c>
      <c r="G442">
        <v>4409</v>
      </c>
      <c r="H442" s="116"/>
      <c r="I442" s="116"/>
      <c r="L442" s="170">
        <v>43367</v>
      </c>
      <c r="M442" s="116">
        <v>85.98</v>
      </c>
      <c r="N442" s="116">
        <v>87.2</v>
      </c>
      <c r="O442" s="116">
        <v>85.2</v>
      </c>
      <c r="P442" s="116">
        <v>85.2</v>
      </c>
      <c r="Q442" s="116">
        <v>429.9</v>
      </c>
      <c r="R442">
        <v>73546</v>
      </c>
    </row>
    <row r="443" spans="1:18" x14ac:dyDescent="0.25">
      <c r="A443" s="170">
        <v>43368</v>
      </c>
      <c r="B443" s="116">
        <v>86.94</v>
      </c>
      <c r="C443" s="116">
        <v>86.6</v>
      </c>
      <c r="D443" s="116">
        <v>85.84</v>
      </c>
      <c r="E443" s="116">
        <v>86.4</v>
      </c>
      <c r="F443" s="116">
        <v>433</v>
      </c>
      <c r="G443">
        <v>3307</v>
      </c>
      <c r="H443" s="116"/>
      <c r="I443" s="116"/>
      <c r="L443" s="170">
        <v>43368</v>
      </c>
      <c r="M443" s="116">
        <v>86.57</v>
      </c>
      <c r="N443" s="116">
        <v>87.2</v>
      </c>
      <c r="O443" s="116">
        <v>85.62</v>
      </c>
      <c r="P443" s="116">
        <v>85.98</v>
      </c>
      <c r="Q443" s="116">
        <v>432.85</v>
      </c>
      <c r="R443">
        <v>135493</v>
      </c>
    </row>
    <row r="444" spans="1:18" x14ac:dyDescent="0.25">
      <c r="A444" s="170">
        <v>43369</v>
      </c>
      <c r="B444" s="116">
        <v>87.51</v>
      </c>
      <c r="C444" s="116">
        <v>87.04</v>
      </c>
      <c r="D444" s="116">
        <v>86.6</v>
      </c>
      <c r="E444" s="116">
        <v>86.6</v>
      </c>
      <c r="F444" s="116">
        <v>435.2</v>
      </c>
      <c r="G444">
        <v>2150</v>
      </c>
      <c r="H444" s="116"/>
      <c r="I444" s="116"/>
      <c r="L444" s="170">
        <v>43369</v>
      </c>
      <c r="M444" s="116">
        <v>87.02</v>
      </c>
      <c r="N444" s="116">
        <v>87.71</v>
      </c>
      <c r="O444" s="116">
        <v>86.24</v>
      </c>
      <c r="P444" s="116">
        <v>86.24</v>
      </c>
      <c r="Q444" s="116">
        <v>435.1</v>
      </c>
      <c r="R444">
        <v>40186</v>
      </c>
    </row>
    <row r="445" spans="1:18" x14ac:dyDescent="0.25">
      <c r="A445" s="170">
        <v>43370</v>
      </c>
      <c r="B445" s="116">
        <v>88</v>
      </c>
      <c r="C445" s="116">
        <v>86.05</v>
      </c>
      <c r="D445" s="116">
        <v>85.73</v>
      </c>
      <c r="E445" s="116">
        <v>86.34</v>
      </c>
      <c r="F445" s="116">
        <v>430.25</v>
      </c>
      <c r="G445">
        <v>1616</v>
      </c>
      <c r="H445" s="116"/>
      <c r="I445" s="116"/>
      <c r="L445" s="170">
        <v>43370</v>
      </c>
      <c r="M445" s="116">
        <v>86.25</v>
      </c>
      <c r="N445" s="116">
        <v>88.45</v>
      </c>
      <c r="O445" s="116">
        <v>86</v>
      </c>
      <c r="P445" s="116">
        <v>87.04</v>
      </c>
      <c r="Q445" s="116">
        <v>431.25</v>
      </c>
      <c r="R445">
        <v>94415</v>
      </c>
    </row>
    <row r="446" spans="1:18" x14ac:dyDescent="0.25">
      <c r="A446" s="170">
        <v>43371</v>
      </c>
      <c r="B446" s="116">
        <v>87.18</v>
      </c>
      <c r="C446" s="116">
        <v>86.03</v>
      </c>
      <c r="D446" s="116">
        <v>85.01</v>
      </c>
      <c r="E446" s="116">
        <v>86.45</v>
      </c>
      <c r="F446" s="116">
        <v>430.15</v>
      </c>
      <c r="G446">
        <v>3734</v>
      </c>
      <c r="H446" s="116"/>
      <c r="I446" s="116"/>
      <c r="L446" s="170">
        <v>43371</v>
      </c>
      <c r="M446" s="116">
        <v>86.54</v>
      </c>
      <c r="N446" s="116">
        <v>87.4</v>
      </c>
      <c r="O446" s="116">
        <v>85.74</v>
      </c>
      <c r="P446" s="116">
        <v>86.01</v>
      </c>
      <c r="Q446" s="116">
        <v>432.7</v>
      </c>
      <c r="R446">
        <v>87224</v>
      </c>
    </row>
    <row r="447" spans="1:18" x14ac:dyDescent="0.25">
      <c r="A447" s="170">
        <v>43374</v>
      </c>
      <c r="B447" s="116">
        <v>86.04</v>
      </c>
      <c r="C447" s="116">
        <v>85.63</v>
      </c>
      <c r="D447" s="116">
        <v>84.2</v>
      </c>
      <c r="E447" s="116">
        <v>86.04</v>
      </c>
      <c r="F447" s="116">
        <v>428.15</v>
      </c>
      <c r="G447">
        <v>2137</v>
      </c>
      <c r="H447" s="116"/>
      <c r="I447" s="116"/>
      <c r="L447" s="170">
        <v>43374</v>
      </c>
      <c r="M447" s="116">
        <v>85.68</v>
      </c>
      <c r="N447" s="116">
        <v>86.02</v>
      </c>
      <c r="O447" s="116">
        <v>84.16</v>
      </c>
      <c r="P447" s="116">
        <v>85.8</v>
      </c>
      <c r="Q447" s="116">
        <v>428.4</v>
      </c>
      <c r="R447">
        <v>48013</v>
      </c>
    </row>
    <row r="448" spans="1:18" x14ac:dyDescent="0.25">
      <c r="A448" s="170">
        <v>43376</v>
      </c>
      <c r="B448" s="116">
        <v>86.8</v>
      </c>
      <c r="C448" s="116">
        <v>85.67</v>
      </c>
      <c r="D448" s="116">
        <v>83.6</v>
      </c>
      <c r="E448" s="116">
        <v>86.11</v>
      </c>
      <c r="F448" s="116">
        <v>428.35</v>
      </c>
      <c r="G448">
        <v>4210</v>
      </c>
      <c r="H448" s="116"/>
      <c r="I448" s="116"/>
      <c r="L448" s="170">
        <v>43376</v>
      </c>
      <c r="M448" s="116">
        <v>85.04</v>
      </c>
      <c r="N448" s="116">
        <v>87</v>
      </c>
      <c r="O448" s="116">
        <v>83.1</v>
      </c>
      <c r="P448" s="116">
        <v>84.44</v>
      </c>
      <c r="Q448" s="116">
        <v>425.2</v>
      </c>
      <c r="R448">
        <v>19887</v>
      </c>
    </row>
    <row r="449" spans="1:18" x14ac:dyDescent="0.25">
      <c r="A449" s="170">
        <v>43377</v>
      </c>
      <c r="B449" s="116">
        <v>87</v>
      </c>
      <c r="C449" s="116">
        <v>84.33</v>
      </c>
      <c r="D449" s="116">
        <v>83.2</v>
      </c>
      <c r="E449" s="116">
        <v>83.6</v>
      </c>
      <c r="F449" s="116">
        <v>421.65</v>
      </c>
      <c r="G449">
        <v>2894</v>
      </c>
      <c r="H449" s="116"/>
      <c r="I449" s="116"/>
      <c r="L449" s="170">
        <v>43377</v>
      </c>
      <c r="M449" s="116">
        <v>83.45</v>
      </c>
      <c r="N449" s="116">
        <v>84.59</v>
      </c>
      <c r="O449" s="116">
        <v>83</v>
      </c>
      <c r="P449" s="116">
        <v>84.4</v>
      </c>
      <c r="Q449" s="116">
        <v>417.25</v>
      </c>
      <c r="R449">
        <v>41159</v>
      </c>
    </row>
    <row r="450" spans="1:18" x14ac:dyDescent="0.25">
      <c r="A450" s="170">
        <v>43378</v>
      </c>
      <c r="B450" s="116">
        <v>84.16</v>
      </c>
      <c r="C450" s="116">
        <v>81.900000000000006</v>
      </c>
      <c r="D450" s="116">
        <v>81.63</v>
      </c>
      <c r="E450" s="116">
        <v>83.02</v>
      </c>
      <c r="F450" s="116">
        <v>409.5</v>
      </c>
      <c r="G450">
        <v>2271</v>
      </c>
      <c r="H450" s="116"/>
      <c r="I450" s="116"/>
      <c r="L450" s="170">
        <v>43378</v>
      </c>
      <c r="M450" s="116">
        <v>81.849999999999994</v>
      </c>
      <c r="N450" s="116">
        <v>83.99</v>
      </c>
      <c r="O450" s="116">
        <v>81.400000000000006</v>
      </c>
      <c r="P450" s="116">
        <v>82.88</v>
      </c>
      <c r="Q450" s="116">
        <v>409.25</v>
      </c>
      <c r="R450">
        <v>12657</v>
      </c>
    </row>
    <row r="451" spans="1:18" x14ac:dyDescent="0.25">
      <c r="A451" s="170">
        <v>43381</v>
      </c>
      <c r="B451" s="116">
        <v>82</v>
      </c>
      <c r="C451" s="116">
        <v>80.84</v>
      </c>
      <c r="D451" s="116">
        <v>77.03</v>
      </c>
      <c r="E451" s="116">
        <v>80.42</v>
      </c>
      <c r="F451" s="116">
        <v>404.2</v>
      </c>
      <c r="G451">
        <v>3374</v>
      </c>
      <c r="H451" s="116"/>
      <c r="I451" s="116"/>
      <c r="L451" s="170">
        <v>43381</v>
      </c>
      <c r="M451" s="116">
        <v>80.17</v>
      </c>
      <c r="N451" s="116">
        <v>82.29</v>
      </c>
      <c r="O451" s="116">
        <v>77.8</v>
      </c>
      <c r="P451" s="116">
        <v>79.02</v>
      </c>
      <c r="Q451" s="116">
        <v>400.85</v>
      </c>
      <c r="R451">
        <v>55557</v>
      </c>
    </row>
    <row r="452" spans="1:18" x14ac:dyDescent="0.25">
      <c r="A452" s="170">
        <v>43382</v>
      </c>
      <c r="B452" s="116">
        <v>81.34</v>
      </c>
      <c r="C452" s="116">
        <v>80.27</v>
      </c>
      <c r="D452" s="116">
        <v>79.739999999999995</v>
      </c>
      <c r="E452" s="116">
        <v>81</v>
      </c>
      <c r="F452" s="116">
        <v>401.35</v>
      </c>
      <c r="G452">
        <v>4602</v>
      </c>
      <c r="H452" s="116"/>
      <c r="I452" s="116"/>
      <c r="L452" s="170">
        <v>43382</v>
      </c>
      <c r="M452" s="116">
        <v>80.319999999999993</v>
      </c>
      <c r="N452" s="116">
        <v>81.489999999999995</v>
      </c>
      <c r="O452" s="116">
        <v>79.92</v>
      </c>
      <c r="P452" s="116">
        <v>80.44</v>
      </c>
      <c r="Q452" s="116">
        <v>401.6</v>
      </c>
      <c r="R452">
        <v>24454</v>
      </c>
    </row>
    <row r="453" spans="1:18" x14ac:dyDescent="0.25">
      <c r="A453" s="170">
        <v>43383</v>
      </c>
      <c r="B453" s="116">
        <v>84.08</v>
      </c>
      <c r="C453" s="116">
        <v>83.31</v>
      </c>
      <c r="D453" s="116">
        <v>80.400000000000006</v>
      </c>
      <c r="E453" s="116">
        <v>80.400000000000006</v>
      </c>
      <c r="F453" s="116">
        <v>416.55</v>
      </c>
      <c r="G453">
        <v>926</v>
      </c>
      <c r="H453" s="116"/>
      <c r="I453" s="116"/>
      <c r="L453" s="170">
        <v>43383</v>
      </c>
      <c r="M453" s="116">
        <v>83.53</v>
      </c>
      <c r="N453" s="116">
        <v>84.8</v>
      </c>
      <c r="O453" s="116">
        <v>79.41</v>
      </c>
      <c r="P453" s="116">
        <v>79.41</v>
      </c>
      <c r="Q453" s="116">
        <v>417.65</v>
      </c>
      <c r="R453">
        <v>19005</v>
      </c>
    </row>
    <row r="454" spans="1:18" x14ac:dyDescent="0.25">
      <c r="A454" s="170">
        <v>43384</v>
      </c>
      <c r="B454" s="116">
        <v>84.55</v>
      </c>
      <c r="C454" s="116">
        <v>83.89</v>
      </c>
      <c r="D454" s="116">
        <v>81.400000000000006</v>
      </c>
      <c r="E454" s="116">
        <v>81.89</v>
      </c>
      <c r="F454" s="116">
        <v>419.45</v>
      </c>
      <c r="G454">
        <v>1564</v>
      </c>
      <c r="H454" s="116"/>
      <c r="I454" s="116"/>
      <c r="L454" s="170">
        <v>43384</v>
      </c>
      <c r="M454" s="116">
        <v>84.09</v>
      </c>
      <c r="N454" s="116">
        <v>84.4</v>
      </c>
      <c r="O454" s="116">
        <v>81.040000000000006</v>
      </c>
      <c r="P454" s="116">
        <v>81.05</v>
      </c>
      <c r="Q454" s="116">
        <v>420.45</v>
      </c>
      <c r="R454">
        <v>10544</v>
      </c>
    </row>
    <row r="455" spans="1:18" x14ac:dyDescent="0.25">
      <c r="A455" s="170">
        <v>43385</v>
      </c>
      <c r="B455" s="116">
        <v>85.13</v>
      </c>
      <c r="C455" s="116">
        <v>81.99</v>
      </c>
      <c r="D455" s="116">
        <v>81.8</v>
      </c>
      <c r="E455" s="116">
        <v>85.1</v>
      </c>
      <c r="F455" s="116">
        <v>409.95</v>
      </c>
      <c r="G455">
        <v>1828</v>
      </c>
      <c r="H455" s="116"/>
      <c r="I455" s="116"/>
      <c r="L455" s="170">
        <v>43385</v>
      </c>
      <c r="M455" s="116">
        <v>82.16</v>
      </c>
      <c r="N455" s="116">
        <v>85.39</v>
      </c>
      <c r="O455" s="116">
        <v>82</v>
      </c>
      <c r="P455" s="116">
        <v>84.92</v>
      </c>
      <c r="Q455" s="116">
        <v>410.8</v>
      </c>
      <c r="R455">
        <v>11351</v>
      </c>
    </row>
    <row r="456" spans="1:18" x14ac:dyDescent="0.25">
      <c r="A456" s="170">
        <v>43388</v>
      </c>
      <c r="B456" s="116">
        <v>82.89</v>
      </c>
      <c r="C456" s="116">
        <v>81.75</v>
      </c>
      <c r="D456" s="116">
        <v>81.52</v>
      </c>
      <c r="E456" s="116">
        <v>82.42</v>
      </c>
      <c r="F456" s="116">
        <v>408.75</v>
      </c>
      <c r="G456">
        <v>388</v>
      </c>
      <c r="H456" s="116"/>
      <c r="I456" s="116"/>
      <c r="L456" s="170">
        <v>43388</v>
      </c>
      <c r="M456" s="116">
        <v>81.99</v>
      </c>
      <c r="N456" s="116">
        <v>84.36</v>
      </c>
      <c r="O456" s="116">
        <v>81.28</v>
      </c>
      <c r="P456" s="116">
        <v>84.36</v>
      </c>
      <c r="Q456" s="116">
        <v>409.95</v>
      </c>
      <c r="R456">
        <v>4377</v>
      </c>
    </row>
    <row r="457" spans="1:18" x14ac:dyDescent="0.25">
      <c r="A457" s="170">
        <v>43389</v>
      </c>
      <c r="B457" s="116">
        <v>83.1</v>
      </c>
      <c r="C457" s="116">
        <v>82.16</v>
      </c>
      <c r="D457" s="116">
        <v>81.599999999999994</v>
      </c>
      <c r="E457" s="116">
        <v>83.1</v>
      </c>
      <c r="F457" s="116">
        <v>410.8</v>
      </c>
      <c r="G457">
        <v>358</v>
      </c>
      <c r="H457" s="116"/>
      <c r="I457" s="116"/>
      <c r="L457" s="170">
        <v>43389</v>
      </c>
      <c r="M457" s="116">
        <v>81.849999999999994</v>
      </c>
      <c r="N457" s="116">
        <v>82.78</v>
      </c>
      <c r="O457" s="116">
        <v>81.31</v>
      </c>
      <c r="P457" s="116">
        <v>82.19</v>
      </c>
      <c r="Q457" s="116">
        <v>409.25</v>
      </c>
      <c r="R457">
        <v>6334</v>
      </c>
    </row>
    <row r="458" spans="1:18" x14ac:dyDescent="0.25">
      <c r="A458" s="170">
        <v>43390</v>
      </c>
      <c r="B458" s="116">
        <v>82.28</v>
      </c>
      <c r="C458" s="116">
        <v>80.63</v>
      </c>
      <c r="D458" s="116">
        <v>80.22</v>
      </c>
      <c r="E458" s="116">
        <v>82.06</v>
      </c>
      <c r="F458" s="116">
        <v>403.15</v>
      </c>
      <c r="G458">
        <v>891</v>
      </c>
      <c r="H458" s="116"/>
      <c r="I458" s="116"/>
      <c r="L458" s="170">
        <v>43390</v>
      </c>
      <c r="M458" s="116">
        <v>80.3</v>
      </c>
      <c r="N458" s="116">
        <v>82.64</v>
      </c>
      <c r="O458" s="116">
        <v>80</v>
      </c>
      <c r="P458" s="116">
        <v>81.819999999999993</v>
      </c>
      <c r="Q458" s="116">
        <v>401.5</v>
      </c>
      <c r="R458">
        <v>224088</v>
      </c>
    </row>
    <row r="459" spans="1:18" x14ac:dyDescent="0.25">
      <c r="A459" s="170">
        <v>43392</v>
      </c>
      <c r="B459" s="116">
        <v>79.790000000000006</v>
      </c>
      <c r="C459" s="116">
        <v>76.67</v>
      </c>
      <c r="D459" s="116">
        <v>76.41</v>
      </c>
      <c r="E459" s="116">
        <v>79.790000000000006</v>
      </c>
      <c r="F459" s="116">
        <v>383.35</v>
      </c>
      <c r="G459">
        <v>203278</v>
      </c>
      <c r="H459" s="116"/>
      <c r="I459" s="116"/>
      <c r="L459" s="170">
        <v>43392</v>
      </c>
      <c r="M459" s="116">
        <v>76.77</v>
      </c>
      <c r="N459" s="116">
        <v>80.3</v>
      </c>
      <c r="O459" s="116">
        <v>76.2</v>
      </c>
      <c r="P459" s="116">
        <v>80.03</v>
      </c>
      <c r="Q459" s="116">
        <v>383.85</v>
      </c>
      <c r="R459">
        <v>139106</v>
      </c>
    </row>
    <row r="460" spans="1:18" x14ac:dyDescent="0.25">
      <c r="A460" s="170">
        <v>43395</v>
      </c>
      <c r="B460" s="116">
        <v>77.599999999999994</v>
      </c>
      <c r="C460" s="116">
        <v>76.95</v>
      </c>
      <c r="D460" s="116">
        <v>75.25</v>
      </c>
      <c r="E460" s="116">
        <v>77.599999999999994</v>
      </c>
      <c r="F460" s="116">
        <v>384.75</v>
      </c>
      <c r="G460">
        <v>2999</v>
      </c>
      <c r="H460" s="116"/>
      <c r="I460" s="116"/>
      <c r="L460" s="170">
        <v>43395</v>
      </c>
      <c r="M460" s="116">
        <v>76.86</v>
      </c>
      <c r="N460" s="116">
        <v>78</v>
      </c>
      <c r="O460" s="116">
        <v>76.239999999999995</v>
      </c>
      <c r="P460" s="116">
        <v>77.010000000000005</v>
      </c>
      <c r="Q460" s="116">
        <v>384.3</v>
      </c>
      <c r="R460">
        <v>11192</v>
      </c>
    </row>
    <row r="461" spans="1:18" x14ac:dyDescent="0.25">
      <c r="A461" s="170">
        <v>43396</v>
      </c>
      <c r="B461" s="116">
        <v>76.010000000000005</v>
      </c>
      <c r="C461" s="116">
        <v>74.930000000000007</v>
      </c>
      <c r="D461" s="116">
        <v>74.72</v>
      </c>
      <c r="E461" s="116">
        <v>76.010000000000005</v>
      </c>
      <c r="F461" s="116">
        <v>374.65</v>
      </c>
      <c r="G461">
        <v>1731</v>
      </c>
      <c r="H461" s="116"/>
      <c r="I461" s="116"/>
      <c r="L461" s="170">
        <v>43396</v>
      </c>
      <c r="M461" s="116">
        <v>75.03</v>
      </c>
      <c r="N461" s="116">
        <v>76.8</v>
      </c>
      <c r="O461" s="116">
        <v>74.400000000000006</v>
      </c>
      <c r="P461" s="116">
        <v>76.8</v>
      </c>
      <c r="Q461" s="116">
        <v>375.15</v>
      </c>
      <c r="R461">
        <v>16378</v>
      </c>
    </row>
    <row r="462" spans="1:18" x14ac:dyDescent="0.25">
      <c r="A462" s="170">
        <v>43397</v>
      </c>
      <c r="B462" s="116">
        <v>77.959999999999994</v>
      </c>
      <c r="C462" s="116">
        <v>71.790000000000006</v>
      </c>
      <c r="D462" s="116">
        <v>70.55</v>
      </c>
      <c r="E462" s="116">
        <v>76.77</v>
      </c>
      <c r="F462" s="116">
        <v>358.95</v>
      </c>
      <c r="G462">
        <v>3630</v>
      </c>
      <c r="H462" s="116"/>
      <c r="I462" s="116"/>
      <c r="L462" s="170">
        <v>43397</v>
      </c>
      <c r="M462" s="116">
        <v>72.08</v>
      </c>
      <c r="N462" s="116">
        <v>78.08</v>
      </c>
      <c r="O462" s="116">
        <v>70.77</v>
      </c>
      <c r="P462" s="116">
        <v>75.77</v>
      </c>
      <c r="Q462" s="116">
        <v>360.4</v>
      </c>
      <c r="R462">
        <v>253723</v>
      </c>
    </row>
    <row r="463" spans="1:18" x14ac:dyDescent="0.25">
      <c r="A463" s="170">
        <v>43398</v>
      </c>
      <c r="B463" s="116">
        <v>72</v>
      </c>
      <c r="C463" s="116">
        <v>68.37</v>
      </c>
      <c r="D463" s="116">
        <v>68.040000000000006</v>
      </c>
      <c r="E463" s="116">
        <v>71.099999999999994</v>
      </c>
      <c r="F463" s="116">
        <v>341.85</v>
      </c>
      <c r="G463">
        <v>7192</v>
      </c>
      <c r="H463" s="116"/>
      <c r="I463" s="116"/>
      <c r="L463" s="170">
        <v>43398</v>
      </c>
      <c r="M463" s="116">
        <v>68.040000000000006</v>
      </c>
      <c r="N463" s="116">
        <v>72.36</v>
      </c>
      <c r="O463" s="116">
        <v>67.599999999999994</v>
      </c>
      <c r="P463" s="116">
        <v>71.150000000000006</v>
      </c>
      <c r="Q463" s="116">
        <v>340.2</v>
      </c>
      <c r="R463">
        <v>107197</v>
      </c>
    </row>
    <row r="464" spans="1:18" x14ac:dyDescent="0.25">
      <c r="A464" s="170">
        <v>43399</v>
      </c>
      <c r="B464" s="116">
        <v>71.2</v>
      </c>
      <c r="C464" s="116">
        <v>68.52</v>
      </c>
      <c r="D464" s="116">
        <v>66.06</v>
      </c>
      <c r="E464" s="116">
        <v>67.97</v>
      </c>
      <c r="F464" s="116">
        <v>342.6</v>
      </c>
      <c r="G464">
        <v>586760</v>
      </c>
      <c r="H464" s="116"/>
      <c r="I464" s="116"/>
      <c r="L464" s="170">
        <v>43399</v>
      </c>
      <c r="M464" s="116">
        <v>68.14</v>
      </c>
      <c r="N464" s="116">
        <v>71.3</v>
      </c>
      <c r="O464" s="116">
        <v>66.06</v>
      </c>
      <c r="P464" s="116">
        <v>68.959999999999994</v>
      </c>
      <c r="Q464" s="116">
        <v>340.7</v>
      </c>
      <c r="R464">
        <v>363067</v>
      </c>
    </row>
    <row r="465" spans="1:18" x14ac:dyDescent="0.25">
      <c r="A465" s="170">
        <v>43402</v>
      </c>
      <c r="B465" s="116">
        <v>72.180000000000007</v>
      </c>
      <c r="C465" s="116">
        <v>70.78</v>
      </c>
      <c r="D465" s="116">
        <v>69.209999999999994</v>
      </c>
      <c r="E465" s="116">
        <v>69.8</v>
      </c>
      <c r="F465" s="116">
        <v>353.9</v>
      </c>
      <c r="G465">
        <v>3797</v>
      </c>
      <c r="H465" s="116"/>
      <c r="I465" s="116"/>
      <c r="L465" s="170">
        <v>43402</v>
      </c>
      <c r="M465" s="116">
        <v>70.62</v>
      </c>
      <c r="N465" s="116">
        <v>71.2</v>
      </c>
      <c r="O465" s="116">
        <v>68.180000000000007</v>
      </c>
      <c r="P465" s="116">
        <v>68.22</v>
      </c>
      <c r="Q465" s="116">
        <v>353.1</v>
      </c>
      <c r="R465">
        <v>27754</v>
      </c>
    </row>
    <row r="466" spans="1:18" x14ac:dyDescent="0.25">
      <c r="A466" s="170">
        <v>43403</v>
      </c>
      <c r="B466" s="116">
        <v>73.37</v>
      </c>
      <c r="C466" s="116">
        <v>68.790000000000006</v>
      </c>
      <c r="D466" s="116">
        <v>68.2</v>
      </c>
      <c r="E466" s="116">
        <v>71.349999999999994</v>
      </c>
      <c r="F466" s="116">
        <v>343.95</v>
      </c>
      <c r="G466">
        <v>18120</v>
      </c>
      <c r="H466" s="116"/>
      <c r="I466" s="116"/>
      <c r="L466" s="170">
        <v>43403</v>
      </c>
      <c r="M466" s="116">
        <v>68.97</v>
      </c>
      <c r="N466" s="116">
        <v>73.400000000000006</v>
      </c>
      <c r="O466" s="116">
        <v>67.84</v>
      </c>
      <c r="P466" s="116">
        <v>69.599999999999994</v>
      </c>
      <c r="Q466" s="116">
        <v>344.85</v>
      </c>
      <c r="R466">
        <v>159277</v>
      </c>
    </row>
    <row r="467" spans="1:18" x14ac:dyDescent="0.25">
      <c r="A467" s="170">
        <v>43404</v>
      </c>
      <c r="B467" s="116">
        <v>71.02</v>
      </c>
      <c r="C467" s="116">
        <v>68.36</v>
      </c>
      <c r="D467" s="116">
        <v>68</v>
      </c>
      <c r="E467" s="116">
        <v>69.06</v>
      </c>
      <c r="F467" s="116">
        <v>341.8</v>
      </c>
      <c r="G467">
        <v>2845</v>
      </c>
      <c r="H467" s="116"/>
      <c r="I467" s="116"/>
      <c r="L467" s="170">
        <v>43404</v>
      </c>
      <c r="M467" s="116">
        <v>68.17</v>
      </c>
      <c r="N467" s="116">
        <v>71.37</v>
      </c>
      <c r="O467" s="116">
        <v>67.900000000000006</v>
      </c>
      <c r="P467" s="116">
        <v>69.52</v>
      </c>
      <c r="Q467" s="116">
        <v>340.85</v>
      </c>
      <c r="R467">
        <v>149702</v>
      </c>
    </row>
    <row r="468" spans="1:18" x14ac:dyDescent="0.25">
      <c r="A468" s="170">
        <v>43405</v>
      </c>
      <c r="B468" s="116">
        <v>71.599999999999994</v>
      </c>
      <c r="C468" s="116">
        <v>71.37</v>
      </c>
      <c r="D468" s="116">
        <v>68.8</v>
      </c>
      <c r="E468" s="116">
        <v>69.11</v>
      </c>
      <c r="F468" s="116">
        <v>356.85</v>
      </c>
      <c r="G468">
        <v>3089</v>
      </c>
      <c r="H468" s="116"/>
      <c r="I468" s="116"/>
      <c r="L468" s="170">
        <v>43405</v>
      </c>
      <c r="M468" s="116">
        <v>71.319999999999993</v>
      </c>
      <c r="N468" s="116">
        <v>71.8</v>
      </c>
      <c r="O468" s="116">
        <v>68.62</v>
      </c>
      <c r="P468" s="116">
        <v>68.72</v>
      </c>
      <c r="Q468" s="116">
        <v>356.6</v>
      </c>
      <c r="R468">
        <v>58637</v>
      </c>
    </row>
    <row r="469" spans="1:18" x14ac:dyDescent="0.25">
      <c r="A469" s="170">
        <v>43406</v>
      </c>
      <c r="B469" s="116">
        <v>73.599999999999994</v>
      </c>
      <c r="C469" s="116">
        <v>73.06</v>
      </c>
      <c r="D469" s="116">
        <v>70.58</v>
      </c>
      <c r="E469" s="116">
        <v>70.599999999999994</v>
      </c>
      <c r="F469" s="116">
        <v>365.3</v>
      </c>
      <c r="G469">
        <v>9055</v>
      </c>
      <c r="H469" s="116"/>
      <c r="I469" s="116"/>
      <c r="L469" s="170">
        <v>43406</v>
      </c>
      <c r="M469" s="116">
        <v>73.400000000000006</v>
      </c>
      <c r="N469" s="116">
        <v>73.8</v>
      </c>
      <c r="O469" s="116">
        <v>70.8</v>
      </c>
      <c r="P469" s="116">
        <v>71.2</v>
      </c>
      <c r="Q469" s="116">
        <v>367</v>
      </c>
      <c r="R469">
        <v>122993</v>
      </c>
    </row>
    <row r="470" spans="1:18" x14ac:dyDescent="0.25">
      <c r="A470" s="170">
        <v>43409</v>
      </c>
      <c r="B470" s="116">
        <v>75.239999999999995</v>
      </c>
      <c r="C470" s="116">
        <v>73.069999999999993</v>
      </c>
      <c r="D470" s="116">
        <v>71.37</v>
      </c>
      <c r="E470" s="116">
        <v>73</v>
      </c>
      <c r="F470" s="116">
        <v>365.35</v>
      </c>
      <c r="G470">
        <v>2749</v>
      </c>
      <c r="H470" s="116"/>
      <c r="I470" s="116"/>
      <c r="L470" s="170">
        <v>43409</v>
      </c>
      <c r="M470" s="116">
        <v>72.94</v>
      </c>
      <c r="N470" s="116">
        <v>74.2</v>
      </c>
      <c r="O470" s="116">
        <v>72</v>
      </c>
      <c r="P470" s="116">
        <v>74.2</v>
      </c>
      <c r="Q470" s="116">
        <v>364.7</v>
      </c>
      <c r="R470">
        <v>31342</v>
      </c>
    </row>
    <row r="471" spans="1:18" x14ac:dyDescent="0.25">
      <c r="A471" s="170">
        <v>43410</v>
      </c>
      <c r="B471" s="116">
        <v>73.06</v>
      </c>
      <c r="C471" s="116">
        <v>71.790000000000006</v>
      </c>
      <c r="D471" s="116">
        <v>71.61</v>
      </c>
      <c r="E471" s="116">
        <v>73.06</v>
      </c>
      <c r="F471" s="116">
        <v>358.95</v>
      </c>
      <c r="G471">
        <v>772</v>
      </c>
      <c r="H471" s="116"/>
      <c r="I471" s="116"/>
      <c r="L471" s="170">
        <v>43410</v>
      </c>
      <c r="M471" s="116">
        <v>71.91</v>
      </c>
      <c r="N471" s="116">
        <v>73.599999999999994</v>
      </c>
      <c r="O471" s="116">
        <v>71.8</v>
      </c>
      <c r="P471" s="116">
        <v>73.599999999999994</v>
      </c>
      <c r="Q471" s="116">
        <v>359.55</v>
      </c>
      <c r="R471">
        <v>12125</v>
      </c>
    </row>
    <row r="472" spans="1:18" x14ac:dyDescent="0.25">
      <c r="A472" s="170">
        <v>43411</v>
      </c>
      <c r="B472" s="116">
        <v>73.39</v>
      </c>
      <c r="C472" s="116">
        <v>73.05</v>
      </c>
      <c r="D472" s="116">
        <v>71.900000000000006</v>
      </c>
      <c r="E472" s="116">
        <v>72.680000000000007</v>
      </c>
      <c r="F472" s="116">
        <v>365.25</v>
      </c>
      <c r="G472">
        <v>410</v>
      </c>
      <c r="H472" s="116"/>
      <c r="I472" s="116"/>
      <c r="L472" s="170">
        <v>43411</v>
      </c>
      <c r="M472" s="116">
        <v>72.94</v>
      </c>
      <c r="N472" s="116">
        <v>73.36</v>
      </c>
      <c r="O472" s="116">
        <v>71.83</v>
      </c>
      <c r="P472" s="116">
        <v>72.930000000000007</v>
      </c>
      <c r="Q472" s="116">
        <v>364.7</v>
      </c>
      <c r="R472">
        <v>5733</v>
      </c>
    </row>
    <row r="473" spans="1:18" x14ac:dyDescent="0.25">
      <c r="A473" s="170">
        <v>43413</v>
      </c>
      <c r="B473" s="116">
        <v>74.12</v>
      </c>
      <c r="C473" s="116">
        <v>73.39</v>
      </c>
      <c r="D473" s="116">
        <v>72.400000000000006</v>
      </c>
      <c r="E473" s="116">
        <v>73.33</v>
      </c>
      <c r="F473" s="116">
        <v>366.95</v>
      </c>
      <c r="G473">
        <v>1946</v>
      </c>
      <c r="H473" s="116"/>
      <c r="I473" s="116"/>
      <c r="L473" s="170">
        <v>43413</v>
      </c>
      <c r="M473" s="116">
        <v>73.599999999999994</v>
      </c>
      <c r="N473" s="116">
        <v>74.42</v>
      </c>
      <c r="O473" s="116">
        <v>72.459999999999994</v>
      </c>
      <c r="P473" s="116">
        <v>73.3</v>
      </c>
      <c r="Q473" s="116">
        <v>368</v>
      </c>
      <c r="R473">
        <v>46575</v>
      </c>
    </row>
    <row r="474" spans="1:18" x14ac:dyDescent="0.25">
      <c r="A474" s="170">
        <v>43416</v>
      </c>
      <c r="B474" s="116">
        <v>73.900000000000006</v>
      </c>
      <c r="C474" s="116">
        <v>72.900000000000006</v>
      </c>
      <c r="D474" s="116">
        <v>72.59</v>
      </c>
      <c r="E474" s="116">
        <v>73.89</v>
      </c>
      <c r="F474" s="116">
        <v>364.5</v>
      </c>
      <c r="G474">
        <v>1573</v>
      </c>
      <c r="H474" s="116"/>
      <c r="I474" s="116"/>
      <c r="L474" s="170">
        <v>43416</v>
      </c>
      <c r="M474" s="116">
        <v>73.13</v>
      </c>
      <c r="N474" s="116">
        <v>74</v>
      </c>
      <c r="O474" s="116">
        <v>72.400000000000006</v>
      </c>
      <c r="P474" s="116">
        <v>73.790000000000006</v>
      </c>
      <c r="Q474" s="116">
        <v>365.65</v>
      </c>
      <c r="R474">
        <v>21093</v>
      </c>
    </row>
    <row r="475" spans="1:18" x14ac:dyDescent="0.25">
      <c r="A475" s="170">
        <v>43417</v>
      </c>
      <c r="B475" s="116">
        <v>73.72</v>
      </c>
      <c r="C475" s="116">
        <v>73.489999999999995</v>
      </c>
      <c r="D475" s="116">
        <v>71.39</v>
      </c>
      <c r="E475" s="116">
        <v>72.67</v>
      </c>
      <c r="F475" s="116">
        <v>367.45</v>
      </c>
      <c r="G475">
        <v>5829</v>
      </c>
      <c r="H475" s="116"/>
      <c r="I475" s="116"/>
      <c r="L475" s="170">
        <v>43417</v>
      </c>
      <c r="M475" s="116">
        <v>72.89</v>
      </c>
      <c r="N475" s="116">
        <v>73.53</v>
      </c>
      <c r="O475" s="116">
        <v>71.19</v>
      </c>
      <c r="P475" s="116">
        <v>72.25</v>
      </c>
      <c r="Q475" s="116">
        <v>364.45</v>
      </c>
      <c r="R475">
        <v>62271</v>
      </c>
    </row>
    <row r="476" spans="1:18" x14ac:dyDescent="0.25">
      <c r="A476" s="170">
        <v>43418</v>
      </c>
      <c r="B476" s="116">
        <v>74.88</v>
      </c>
      <c r="C476" s="116">
        <v>74.48</v>
      </c>
      <c r="D476" s="116">
        <v>72.41</v>
      </c>
      <c r="E476" s="116">
        <v>72.510000000000005</v>
      </c>
      <c r="F476" s="116">
        <v>372.4</v>
      </c>
      <c r="G476">
        <v>843</v>
      </c>
      <c r="H476" s="116"/>
      <c r="I476" s="116"/>
      <c r="L476" s="170">
        <v>43418</v>
      </c>
      <c r="M476" s="116">
        <v>74.69</v>
      </c>
      <c r="N476" s="116">
        <v>74.8</v>
      </c>
      <c r="O476" s="116">
        <v>72.400000000000006</v>
      </c>
      <c r="P476" s="116">
        <v>73</v>
      </c>
      <c r="Q476" s="116">
        <v>373.45</v>
      </c>
      <c r="R476">
        <v>50263</v>
      </c>
    </row>
    <row r="477" spans="1:18" x14ac:dyDescent="0.25">
      <c r="A477" s="170">
        <v>43419</v>
      </c>
      <c r="B477" s="116">
        <v>76.900000000000006</v>
      </c>
      <c r="C477" s="116">
        <v>76.48</v>
      </c>
      <c r="D477" s="116">
        <v>75.209999999999994</v>
      </c>
      <c r="E477" s="116">
        <v>75.459999999999994</v>
      </c>
      <c r="F477" s="116">
        <v>382.4</v>
      </c>
      <c r="G477">
        <v>1205</v>
      </c>
      <c r="H477" s="116"/>
      <c r="I477" s="116"/>
      <c r="L477" s="170">
        <v>43419</v>
      </c>
      <c r="M477" s="116">
        <v>76.45</v>
      </c>
      <c r="N477" s="116">
        <v>76.8</v>
      </c>
      <c r="O477" s="116">
        <v>74.69</v>
      </c>
      <c r="P477" s="116">
        <v>74.69</v>
      </c>
      <c r="Q477" s="116">
        <v>382.25</v>
      </c>
      <c r="R477">
        <v>21452</v>
      </c>
    </row>
    <row r="478" spans="1:18" x14ac:dyDescent="0.25">
      <c r="A478" s="170">
        <v>43420</v>
      </c>
      <c r="B478" s="116">
        <v>80.66</v>
      </c>
      <c r="C478" s="116">
        <v>79.36</v>
      </c>
      <c r="D478" s="116">
        <v>77.5</v>
      </c>
      <c r="E478" s="116">
        <v>77.5</v>
      </c>
      <c r="F478" s="116">
        <v>396.8</v>
      </c>
      <c r="G478">
        <v>6419</v>
      </c>
      <c r="H478" s="116"/>
      <c r="I478" s="116"/>
      <c r="L478" s="170">
        <v>43420</v>
      </c>
      <c r="M478" s="116">
        <v>79.83</v>
      </c>
      <c r="N478" s="116">
        <v>80.8</v>
      </c>
      <c r="O478" s="116">
        <v>76.11</v>
      </c>
      <c r="P478" s="116">
        <v>77.599999999999994</v>
      </c>
      <c r="Q478" s="116">
        <v>399.15</v>
      </c>
      <c r="R478">
        <v>63222</v>
      </c>
    </row>
    <row r="479" spans="1:18" x14ac:dyDescent="0.25">
      <c r="A479" s="170">
        <v>43423</v>
      </c>
      <c r="B479" s="116">
        <v>80.78</v>
      </c>
      <c r="C479" s="116">
        <v>79.86</v>
      </c>
      <c r="D479" s="116">
        <v>78.650000000000006</v>
      </c>
      <c r="E479" s="116">
        <v>79.510000000000005</v>
      </c>
      <c r="F479" s="116">
        <v>399.3</v>
      </c>
      <c r="G479">
        <v>1034</v>
      </c>
      <c r="H479" s="116"/>
      <c r="I479" s="116"/>
      <c r="L479" s="170">
        <v>43423</v>
      </c>
      <c r="M479" s="116">
        <v>80.19</v>
      </c>
      <c r="N479" s="116">
        <v>80.87</v>
      </c>
      <c r="O479" s="116">
        <v>78.569999999999993</v>
      </c>
      <c r="P479" s="116">
        <v>79.02</v>
      </c>
      <c r="Q479" s="116">
        <v>400.95</v>
      </c>
      <c r="R479">
        <v>55168</v>
      </c>
    </row>
    <row r="480" spans="1:18" x14ac:dyDescent="0.25">
      <c r="A480" s="170">
        <v>43424</v>
      </c>
      <c r="B480" s="116">
        <v>80.760000000000005</v>
      </c>
      <c r="C480" s="116">
        <v>79</v>
      </c>
      <c r="D480" s="116">
        <v>78.94</v>
      </c>
      <c r="E480" s="116">
        <v>79.739999999999995</v>
      </c>
      <c r="F480" s="116">
        <v>395</v>
      </c>
      <c r="G480">
        <v>3581</v>
      </c>
      <c r="H480" s="116"/>
      <c r="I480" s="116"/>
      <c r="L480" s="170">
        <v>43424</v>
      </c>
      <c r="M480" s="116">
        <v>79.290000000000006</v>
      </c>
      <c r="N480" s="116">
        <v>80.81</v>
      </c>
      <c r="O480" s="116">
        <v>79.02</v>
      </c>
      <c r="P480" s="116">
        <v>79.7</v>
      </c>
      <c r="Q480" s="116">
        <v>396.45</v>
      </c>
      <c r="R480">
        <v>30298</v>
      </c>
    </row>
    <row r="481" spans="1:18" x14ac:dyDescent="0.25">
      <c r="A481" s="170">
        <v>43425</v>
      </c>
      <c r="B481" s="116">
        <v>80.13</v>
      </c>
      <c r="C481" s="116">
        <v>79.84</v>
      </c>
      <c r="D481" s="116">
        <v>78.650000000000006</v>
      </c>
      <c r="E481" s="116">
        <v>79</v>
      </c>
      <c r="F481" s="116">
        <v>399.2</v>
      </c>
      <c r="G481">
        <v>1327</v>
      </c>
      <c r="H481" s="116"/>
      <c r="I481" s="116"/>
      <c r="L481" s="170">
        <v>43425</v>
      </c>
      <c r="M481" s="116">
        <v>79.67</v>
      </c>
      <c r="N481" s="116">
        <v>80</v>
      </c>
      <c r="O481" s="116">
        <v>78.41</v>
      </c>
      <c r="P481" s="116">
        <v>80</v>
      </c>
      <c r="Q481" s="116">
        <v>398.35</v>
      </c>
      <c r="R481">
        <v>9118</v>
      </c>
    </row>
    <row r="482" spans="1:18" x14ac:dyDescent="0.25">
      <c r="A482" s="170">
        <v>43426</v>
      </c>
      <c r="B482" s="116">
        <v>79.84</v>
      </c>
      <c r="C482" s="116">
        <v>77.599999999999994</v>
      </c>
      <c r="D482" s="116">
        <v>76.48</v>
      </c>
      <c r="E482" s="116">
        <v>79.63</v>
      </c>
      <c r="F482" s="116">
        <v>388</v>
      </c>
      <c r="G482">
        <v>4148</v>
      </c>
      <c r="H482" s="116"/>
      <c r="I482" s="116"/>
      <c r="L482" s="170">
        <v>43426</v>
      </c>
      <c r="M482" s="116">
        <v>77.760000000000005</v>
      </c>
      <c r="N482" s="116">
        <v>79.75</v>
      </c>
      <c r="O482" s="116">
        <v>76.400000000000006</v>
      </c>
      <c r="P482" s="116">
        <v>79.66</v>
      </c>
      <c r="Q482" s="116">
        <v>388.8</v>
      </c>
      <c r="R482">
        <v>25901</v>
      </c>
    </row>
    <row r="483" spans="1:18" x14ac:dyDescent="0.25">
      <c r="A483" s="170">
        <v>43430</v>
      </c>
      <c r="B483" s="116">
        <v>78.11</v>
      </c>
      <c r="C483" s="116">
        <v>75.63</v>
      </c>
      <c r="D483" s="116">
        <v>75</v>
      </c>
      <c r="E483" s="116">
        <v>77.8</v>
      </c>
      <c r="F483" s="116">
        <v>378.15</v>
      </c>
      <c r="G483">
        <v>1990</v>
      </c>
      <c r="H483" s="116"/>
      <c r="I483" s="116"/>
      <c r="L483" s="170">
        <v>43430</v>
      </c>
      <c r="M483" s="116">
        <v>75.959999999999994</v>
      </c>
      <c r="N483" s="116">
        <v>78.48</v>
      </c>
      <c r="O483" s="116">
        <v>75.16</v>
      </c>
      <c r="P483" s="116">
        <v>78.48</v>
      </c>
      <c r="Q483" s="116">
        <v>379.8</v>
      </c>
      <c r="R483">
        <v>12897</v>
      </c>
    </row>
    <row r="484" spans="1:18" x14ac:dyDescent="0.25">
      <c r="A484" s="170">
        <v>43431</v>
      </c>
      <c r="B484" s="116">
        <v>78.099999999999994</v>
      </c>
      <c r="C484" s="116">
        <v>77.19</v>
      </c>
      <c r="D484" s="116">
        <v>75.400000000000006</v>
      </c>
      <c r="E484" s="116">
        <v>76.03</v>
      </c>
      <c r="F484" s="116">
        <v>385.95</v>
      </c>
      <c r="G484">
        <v>4582</v>
      </c>
      <c r="H484" s="116"/>
      <c r="I484" s="116"/>
      <c r="L484" s="170">
        <v>43431</v>
      </c>
      <c r="M484" s="116">
        <v>76.97</v>
      </c>
      <c r="N484" s="116">
        <v>77.989999999999995</v>
      </c>
      <c r="O484" s="116">
        <v>75.22</v>
      </c>
      <c r="P484" s="116">
        <v>76</v>
      </c>
      <c r="Q484" s="116">
        <v>384.85</v>
      </c>
      <c r="R484">
        <v>15736</v>
      </c>
    </row>
    <row r="485" spans="1:18" x14ac:dyDescent="0.25">
      <c r="A485" s="170">
        <v>43432</v>
      </c>
      <c r="B485" s="116">
        <v>77.7</v>
      </c>
      <c r="C485" s="116">
        <v>75.05</v>
      </c>
      <c r="D485" s="116">
        <v>73</v>
      </c>
      <c r="E485" s="116">
        <v>76.77</v>
      </c>
      <c r="F485" s="116">
        <v>375.25</v>
      </c>
      <c r="G485">
        <v>14062</v>
      </c>
      <c r="H485" s="116"/>
      <c r="I485" s="116"/>
      <c r="L485" s="170">
        <v>43432</v>
      </c>
      <c r="M485" s="116">
        <v>75.040000000000006</v>
      </c>
      <c r="N485" s="116">
        <v>77.73</v>
      </c>
      <c r="O485" s="116">
        <v>73.25</v>
      </c>
      <c r="P485" s="116">
        <v>77.180000000000007</v>
      </c>
      <c r="Q485" s="116">
        <v>375.2</v>
      </c>
      <c r="R485">
        <v>44580</v>
      </c>
    </row>
    <row r="486" spans="1:18" x14ac:dyDescent="0.25">
      <c r="A486" s="170">
        <v>43433</v>
      </c>
      <c r="B486" s="116">
        <v>75.8</v>
      </c>
      <c r="C486" s="116">
        <v>75.150000000000006</v>
      </c>
      <c r="D486" s="116">
        <v>74.3</v>
      </c>
      <c r="E486" s="116">
        <v>75.209999999999994</v>
      </c>
      <c r="F486" s="116">
        <v>375.75</v>
      </c>
      <c r="G486">
        <v>1166</v>
      </c>
      <c r="H486" s="116"/>
      <c r="I486" s="116"/>
      <c r="L486" s="170">
        <v>43433</v>
      </c>
      <c r="M486" s="116">
        <v>75.06</v>
      </c>
      <c r="N486" s="116">
        <v>76</v>
      </c>
      <c r="O486" s="116">
        <v>74.3</v>
      </c>
      <c r="P486" s="116">
        <v>74.959999999999994</v>
      </c>
      <c r="Q486" s="116">
        <v>375.3</v>
      </c>
      <c r="R486">
        <v>11320</v>
      </c>
    </row>
    <row r="487" spans="1:18" x14ac:dyDescent="0.25">
      <c r="A487" s="170">
        <v>43434</v>
      </c>
      <c r="B487" s="116">
        <v>77.2</v>
      </c>
      <c r="C487" s="116">
        <v>76.7</v>
      </c>
      <c r="D487" s="116">
        <v>75.599999999999994</v>
      </c>
      <c r="E487" s="116">
        <v>75.599999999999994</v>
      </c>
      <c r="F487" s="116">
        <v>383.5</v>
      </c>
      <c r="G487">
        <v>2589</v>
      </c>
      <c r="H487" s="116"/>
      <c r="I487" s="116"/>
      <c r="L487" s="170">
        <v>43434</v>
      </c>
      <c r="M487" s="116">
        <v>76.8</v>
      </c>
      <c r="N487" s="116">
        <v>77.39</v>
      </c>
      <c r="O487" s="116">
        <v>74.91</v>
      </c>
      <c r="P487" s="116">
        <v>75.599999999999994</v>
      </c>
      <c r="Q487" s="116">
        <v>384</v>
      </c>
      <c r="R487">
        <v>24005</v>
      </c>
    </row>
    <row r="488" spans="1:18" x14ac:dyDescent="0.25">
      <c r="A488" s="170">
        <v>43437</v>
      </c>
      <c r="B488" s="116">
        <v>79.680000000000007</v>
      </c>
      <c r="C488" s="116">
        <v>78.14</v>
      </c>
      <c r="D488" s="116">
        <v>77.400000000000006</v>
      </c>
      <c r="E488" s="116">
        <v>78.25</v>
      </c>
      <c r="F488" s="116">
        <v>390.7</v>
      </c>
      <c r="G488">
        <v>4368</v>
      </c>
      <c r="H488" s="116"/>
      <c r="I488" s="116"/>
      <c r="L488" s="170">
        <v>43437</v>
      </c>
      <c r="M488" s="116">
        <v>78.05</v>
      </c>
      <c r="N488" s="116">
        <v>80</v>
      </c>
      <c r="O488" s="116">
        <v>77.3</v>
      </c>
      <c r="P488" s="116">
        <v>77.34</v>
      </c>
      <c r="Q488" s="116">
        <v>390.25</v>
      </c>
      <c r="R488">
        <v>45174</v>
      </c>
    </row>
    <row r="489" spans="1:18" x14ac:dyDescent="0.25">
      <c r="A489" s="170">
        <v>43438</v>
      </c>
      <c r="B489" s="116">
        <v>78.09</v>
      </c>
      <c r="C489" s="116">
        <v>76.97</v>
      </c>
      <c r="D489" s="116">
        <v>76.16</v>
      </c>
      <c r="E489" s="116">
        <v>76.78</v>
      </c>
      <c r="F489" s="116">
        <v>384.85</v>
      </c>
      <c r="G489">
        <v>99708</v>
      </c>
      <c r="H489" s="116"/>
      <c r="I489" s="116"/>
      <c r="L489" s="170">
        <v>43438</v>
      </c>
      <c r="M489" s="116">
        <v>76.83</v>
      </c>
      <c r="N489" s="116">
        <v>78.790000000000006</v>
      </c>
      <c r="O489" s="116">
        <v>76.25</v>
      </c>
      <c r="P489" s="116">
        <v>78.790000000000006</v>
      </c>
      <c r="Q489" s="116">
        <v>384.15</v>
      </c>
      <c r="R489">
        <v>9866</v>
      </c>
    </row>
    <row r="490" spans="1:18" x14ac:dyDescent="0.25">
      <c r="A490" s="170">
        <v>43439</v>
      </c>
      <c r="B490" s="116">
        <v>76.400000000000006</v>
      </c>
      <c r="C490" s="116">
        <v>75.41</v>
      </c>
      <c r="D490" s="116">
        <v>75</v>
      </c>
      <c r="E490" s="116">
        <v>76.03</v>
      </c>
      <c r="F490" s="116">
        <v>377.05</v>
      </c>
      <c r="G490">
        <v>1141</v>
      </c>
      <c r="H490" s="116"/>
      <c r="I490" s="116"/>
      <c r="L490" s="170">
        <v>43439</v>
      </c>
      <c r="M490" s="116">
        <v>75.650000000000006</v>
      </c>
      <c r="N490" s="116">
        <v>77.290000000000006</v>
      </c>
      <c r="O490" s="116">
        <v>75</v>
      </c>
      <c r="P490" s="116">
        <v>77.28</v>
      </c>
      <c r="Q490" s="116">
        <v>378.25</v>
      </c>
      <c r="R490">
        <v>8577</v>
      </c>
    </row>
    <row r="491" spans="1:18" x14ac:dyDescent="0.25">
      <c r="A491" s="170">
        <v>43440</v>
      </c>
      <c r="B491" s="116">
        <v>75.84</v>
      </c>
      <c r="C491" s="116">
        <v>75.38</v>
      </c>
      <c r="D491" s="116">
        <v>74.61</v>
      </c>
      <c r="E491" s="116">
        <v>74.92</v>
      </c>
      <c r="F491" s="116">
        <v>376.9</v>
      </c>
      <c r="G491">
        <v>1363</v>
      </c>
      <c r="H491" s="116"/>
      <c r="I491" s="116"/>
      <c r="L491" s="170">
        <v>43440</v>
      </c>
      <c r="M491" s="116">
        <v>75.12</v>
      </c>
      <c r="N491" s="116">
        <v>75.89</v>
      </c>
      <c r="O491" s="116">
        <v>73.08</v>
      </c>
      <c r="P491" s="116">
        <v>75.400000000000006</v>
      </c>
      <c r="Q491" s="116">
        <v>375.6</v>
      </c>
      <c r="R491">
        <v>11088</v>
      </c>
    </row>
    <row r="492" spans="1:18" x14ac:dyDescent="0.25">
      <c r="A492" s="170">
        <v>43441</v>
      </c>
      <c r="B492" s="116">
        <v>75.8</v>
      </c>
      <c r="C492" s="116">
        <v>75.459999999999994</v>
      </c>
      <c r="D492" s="116">
        <v>74.400000000000006</v>
      </c>
      <c r="E492" s="116">
        <v>74.400000000000006</v>
      </c>
      <c r="F492" s="116">
        <v>377.3</v>
      </c>
      <c r="G492">
        <v>2941</v>
      </c>
      <c r="H492" s="116"/>
      <c r="I492" s="116"/>
      <c r="L492" s="170">
        <v>43441</v>
      </c>
      <c r="M492" s="116">
        <v>75.849999999999994</v>
      </c>
      <c r="N492" s="116">
        <v>76.3</v>
      </c>
      <c r="O492" s="116">
        <v>73.81</v>
      </c>
      <c r="P492" s="116">
        <v>74.599999999999994</v>
      </c>
      <c r="Q492" s="116">
        <v>379.25</v>
      </c>
      <c r="R492">
        <v>10988</v>
      </c>
    </row>
    <row r="493" spans="1:18" x14ac:dyDescent="0.25">
      <c r="A493" s="170">
        <v>43444</v>
      </c>
      <c r="B493" s="116">
        <v>75.400000000000006</v>
      </c>
      <c r="C493" s="116">
        <v>74.94</v>
      </c>
      <c r="D493" s="116">
        <v>74.709999999999994</v>
      </c>
      <c r="E493" s="116">
        <v>74.709999999999994</v>
      </c>
      <c r="F493" s="116">
        <v>374.7</v>
      </c>
      <c r="G493">
        <v>466</v>
      </c>
      <c r="H493" s="116"/>
      <c r="I493" s="116"/>
      <c r="L493" s="170">
        <v>43444</v>
      </c>
      <c r="M493" s="116">
        <v>74.78</v>
      </c>
      <c r="N493" s="116">
        <v>75.599999999999994</v>
      </c>
      <c r="O493" s="116">
        <v>74</v>
      </c>
      <c r="P493" s="116">
        <v>74.55</v>
      </c>
      <c r="Q493" s="116">
        <v>373.9</v>
      </c>
      <c r="R493">
        <v>10096</v>
      </c>
    </row>
    <row r="494" spans="1:18" x14ac:dyDescent="0.25">
      <c r="A494" s="170">
        <v>43445</v>
      </c>
      <c r="B494" s="116">
        <v>78</v>
      </c>
      <c r="C494" s="116">
        <v>77.459999999999994</v>
      </c>
      <c r="D494" s="116">
        <v>73.930000000000007</v>
      </c>
      <c r="E494" s="116">
        <v>74.650000000000006</v>
      </c>
      <c r="F494" s="116">
        <v>387.3</v>
      </c>
      <c r="G494">
        <v>1885</v>
      </c>
      <c r="H494" s="116"/>
      <c r="I494" s="116"/>
      <c r="L494" s="170">
        <v>43445</v>
      </c>
      <c r="M494" s="116">
        <v>77.08</v>
      </c>
      <c r="N494" s="116">
        <v>77.760000000000005</v>
      </c>
      <c r="O494" s="116">
        <v>73.510000000000005</v>
      </c>
      <c r="P494" s="116">
        <v>73.989999999999995</v>
      </c>
      <c r="Q494" s="116">
        <v>385.4</v>
      </c>
      <c r="R494">
        <v>10141</v>
      </c>
    </row>
    <row r="495" spans="1:18" x14ac:dyDescent="0.25">
      <c r="A495" s="170">
        <v>43446</v>
      </c>
      <c r="B495" s="116">
        <v>78.400000000000006</v>
      </c>
      <c r="C495" s="116">
        <v>77.89</v>
      </c>
      <c r="D495" s="116">
        <v>76.09</v>
      </c>
      <c r="E495" s="116">
        <v>76.09</v>
      </c>
      <c r="F495" s="116">
        <v>389.45</v>
      </c>
      <c r="G495">
        <v>2133</v>
      </c>
      <c r="H495" s="116"/>
      <c r="I495" s="116"/>
      <c r="L495" s="170">
        <v>43446</v>
      </c>
      <c r="M495" s="116">
        <v>77.819999999999993</v>
      </c>
      <c r="N495" s="116">
        <v>78.739999999999995</v>
      </c>
      <c r="O495" s="116">
        <v>76.459999999999994</v>
      </c>
      <c r="P495" s="116">
        <v>77.08</v>
      </c>
      <c r="Q495" s="116">
        <v>389.1</v>
      </c>
      <c r="R495">
        <v>13277</v>
      </c>
    </row>
    <row r="496" spans="1:18" x14ac:dyDescent="0.25">
      <c r="A496" s="170">
        <v>43447</v>
      </c>
      <c r="B496" s="116">
        <v>78.95</v>
      </c>
      <c r="C496" s="116">
        <v>77.52</v>
      </c>
      <c r="D496" s="116">
        <v>76.67</v>
      </c>
      <c r="E496" s="116">
        <v>76.67</v>
      </c>
      <c r="F496" s="116">
        <v>387.6</v>
      </c>
      <c r="G496">
        <v>451</v>
      </c>
      <c r="H496" s="116"/>
      <c r="I496" s="116"/>
      <c r="L496" s="170">
        <v>43447</v>
      </c>
      <c r="M496" s="116">
        <v>77.349999999999994</v>
      </c>
      <c r="N496" s="116">
        <v>78.900000000000006</v>
      </c>
      <c r="O496" s="116">
        <v>77</v>
      </c>
      <c r="P496" s="116">
        <v>77.59</v>
      </c>
      <c r="Q496" s="116">
        <v>386.75</v>
      </c>
      <c r="R496">
        <v>16953</v>
      </c>
    </row>
    <row r="497" spans="1:18" x14ac:dyDescent="0.25">
      <c r="A497" s="170">
        <v>43448</v>
      </c>
      <c r="B497" s="116">
        <v>78.14</v>
      </c>
      <c r="C497" s="116">
        <v>75.67</v>
      </c>
      <c r="D497" s="116">
        <v>75.5</v>
      </c>
      <c r="E497" s="116">
        <v>77.709999999999994</v>
      </c>
      <c r="F497" s="116">
        <v>378.35</v>
      </c>
      <c r="G497">
        <v>718</v>
      </c>
      <c r="H497" s="116"/>
      <c r="I497" s="116"/>
      <c r="L497" s="170">
        <v>43448</v>
      </c>
      <c r="M497" s="116">
        <v>76.03</v>
      </c>
      <c r="N497" s="116">
        <v>78.239999999999995</v>
      </c>
      <c r="O497" s="116">
        <v>75.72</v>
      </c>
      <c r="P497" s="116">
        <v>77.25</v>
      </c>
      <c r="Q497" s="116">
        <v>380.15</v>
      </c>
      <c r="R497">
        <v>16086</v>
      </c>
    </row>
    <row r="498" spans="1:18" x14ac:dyDescent="0.25">
      <c r="A498" s="170">
        <v>43451</v>
      </c>
      <c r="B498" s="116">
        <v>76.55</v>
      </c>
      <c r="C498" s="116">
        <v>76.099999999999994</v>
      </c>
      <c r="D498" s="116">
        <v>75.63</v>
      </c>
      <c r="E498" s="116">
        <v>75.63</v>
      </c>
      <c r="F498" s="116">
        <v>380.5</v>
      </c>
      <c r="G498">
        <v>28322</v>
      </c>
      <c r="H498" s="116"/>
      <c r="I498" s="116"/>
      <c r="L498" s="170">
        <v>43451</v>
      </c>
      <c r="M498" s="116">
        <v>76.03</v>
      </c>
      <c r="N498" s="116">
        <v>77.62</v>
      </c>
      <c r="O498" s="116">
        <v>75.680000000000007</v>
      </c>
      <c r="P498" s="116">
        <v>76.790000000000006</v>
      </c>
      <c r="Q498" s="116">
        <v>380.15</v>
      </c>
      <c r="R498">
        <v>11400</v>
      </c>
    </row>
    <row r="499" spans="1:18" x14ac:dyDescent="0.25">
      <c r="A499" s="170">
        <v>43452</v>
      </c>
      <c r="B499" s="116">
        <v>78.2</v>
      </c>
      <c r="C499" s="116">
        <v>77.81</v>
      </c>
      <c r="D499" s="116">
        <v>76.19</v>
      </c>
      <c r="E499" s="116">
        <v>76.19</v>
      </c>
      <c r="F499" s="116">
        <v>389.05</v>
      </c>
      <c r="G499">
        <v>704</v>
      </c>
      <c r="H499" s="116"/>
      <c r="I499" s="116"/>
      <c r="L499" s="170">
        <v>43452</v>
      </c>
      <c r="M499" s="116">
        <v>77.52</v>
      </c>
      <c r="N499" s="116">
        <v>77.900000000000006</v>
      </c>
      <c r="O499" s="116">
        <v>75.98</v>
      </c>
      <c r="P499" s="116">
        <v>76.400000000000006</v>
      </c>
      <c r="Q499" s="116">
        <v>387.6</v>
      </c>
      <c r="R499">
        <v>6971</v>
      </c>
    </row>
    <row r="500" spans="1:18" x14ac:dyDescent="0.25">
      <c r="A500" s="170">
        <v>43453</v>
      </c>
      <c r="B500" s="116">
        <v>78.27</v>
      </c>
      <c r="C500" s="116">
        <v>77.790000000000006</v>
      </c>
      <c r="D500" s="116">
        <v>77.44</v>
      </c>
      <c r="E500" s="116">
        <v>78.2</v>
      </c>
      <c r="F500" s="116">
        <v>388.95</v>
      </c>
      <c r="G500">
        <v>161</v>
      </c>
      <c r="H500" s="116"/>
      <c r="I500" s="116"/>
      <c r="L500" s="170">
        <v>43453</v>
      </c>
      <c r="M500" s="116">
        <v>77.86</v>
      </c>
      <c r="N500" s="116">
        <v>78.400000000000006</v>
      </c>
      <c r="O500" s="116">
        <v>77</v>
      </c>
      <c r="P500" s="116">
        <v>78.290000000000006</v>
      </c>
      <c r="Q500" s="116">
        <v>389.3</v>
      </c>
      <c r="R500">
        <v>9024</v>
      </c>
    </row>
    <row r="501" spans="1:18" x14ac:dyDescent="0.25">
      <c r="A501" s="170">
        <v>43454</v>
      </c>
      <c r="B501" s="116">
        <v>77.599999999999994</v>
      </c>
      <c r="C501" s="116">
        <v>77.150000000000006</v>
      </c>
      <c r="D501" s="116">
        <v>76.680000000000007</v>
      </c>
      <c r="E501" s="116">
        <v>77.599999999999994</v>
      </c>
      <c r="F501" s="116">
        <v>385.75</v>
      </c>
      <c r="G501">
        <v>795</v>
      </c>
      <c r="H501" s="116"/>
      <c r="I501" s="116"/>
      <c r="L501" s="170">
        <v>43454</v>
      </c>
      <c r="M501" s="116">
        <v>77.05</v>
      </c>
      <c r="N501" s="116">
        <v>77.86</v>
      </c>
      <c r="O501" s="116">
        <v>76.31</v>
      </c>
      <c r="P501" s="116">
        <v>77.14</v>
      </c>
      <c r="Q501" s="116">
        <v>385.25</v>
      </c>
      <c r="R501">
        <v>11924</v>
      </c>
    </row>
    <row r="502" spans="1:18" x14ac:dyDescent="0.25">
      <c r="A502" s="170">
        <v>43455</v>
      </c>
      <c r="B502" s="116">
        <v>78.61</v>
      </c>
      <c r="C502" s="116">
        <v>78.010000000000005</v>
      </c>
      <c r="D502" s="116">
        <v>76.59</v>
      </c>
      <c r="E502" s="116">
        <v>77</v>
      </c>
      <c r="F502" s="116">
        <v>390.05</v>
      </c>
      <c r="G502">
        <v>3714</v>
      </c>
      <c r="H502" s="116"/>
      <c r="I502" s="116"/>
      <c r="L502" s="170">
        <v>43455</v>
      </c>
      <c r="M502" s="116">
        <v>77.69</v>
      </c>
      <c r="N502" s="116">
        <v>78.37</v>
      </c>
      <c r="O502" s="116">
        <v>76.2</v>
      </c>
      <c r="P502" s="116">
        <v>76.59</v>
      </c>
      <c r="Q502" s="116">
        <v>388.45</v>
      </c>
      <c r="R502">
        <v>13593</v>
      </c>
    </row>
    <row r="503" spans="1:18" x14ac:dyDescent="0.25">
      <c r="A503" s="170">
        <v>43458</v>
      </c>
      <c r="B503" s="116">
        <v>77.06</v>
      </c>
      <c r="C503" s="116">
        <v>76.37</v>
      </c>
      <c r="D503" s="116">
        <v>76.040000000000006</v>
      </c>
      <c r="E503" s="116">
        <v>77.06</v>
      </c>
      <c r="F503" s="116">
        <v>381.85</v>
      </c>
      <c r="G503">
        <v>1060</v>
      </c>
      <c r="H503" s="116"/>
      <c r="I503" s="116"/>
      <c r="L503" s="170">
        <v>43458</v>
      </c>
      <c r="M503" s="116">
        <v>76.2</v>
      </c>
      <c r="N503" s="116">
        <v>77.16</v>
      </c>
      <c r="O503" s="116">
        <v>76</v>
      </c>
      <c r="P503" s="116">
        <v>76.97</v>
      </c>
      <c r="Q503" s="116">
        <v>381</v>
      </c>
      <c r="R503">
        <v>5098</v>
      </c>
    </row>
    <row r="504" spans="1:18" x14ac:dyDescent="0.25">
      <c r="A504" s="170">
        <v>43460</v>
      </c>
      <c r="B504" s="116">
        <v>76.81</v>
      </c>
      <c r="C504" s="116">
        <v>76.42</v>
      </c>
      <c r="D504" s="116">
        <v>74.13</v>
      </c>
      <c r="E504" s="116">
        <v>75.849999999999994</v>
      </c>
      <c r="F504" s="116">
        <v>382.1</v>
      </c>
      <c r="G504">
        <v>1906</v>
      </c>
      <c r="H504" s="116"/>
      <c r="I504" s="116"/>
      <c r="L504" s="170">
        <v>43460</v>
      </c>
      <c r="M504" s="116">
        <v>76.19</v>
      </c>
      <c r="N504" s="116">
        <v>76.930000000000007</v>
      </c>
      <c r="O504" s="116">
        <v>73</v>
      </c>
      <c r="P504" s="116">
        <v>75.599999999999994</v>
      </c>
      <c r="Q504" s="116">
        <v>380.95</v>
      </c>
      <c r="R504">
        <v>29257</v>
      </c>
    </row>
    <row r="505" spans="1:18" x14ac:dyDescent="0.25">
      <c r="A505" s="170">
        <v>43461</v>
      </c>
      <c r="B505" s="116">
        <v>77</v>
      </c>
      <c r="C505" s="116">
        <v>76.37</v>
      </c>
      <c r="D505" s="116">
        <v>76.08</v>
      </c>
      <c r="E505" s="116">
        <v>76.08</v>
      </c>
      <c r="F505" s="116">
        <v>381.85</v>
      </c>
      <c r="G505">
        <v>2841</v>
      </c>
      <c r="H505" s="116"/>
      <c r="I505" s="116"/>
      <c r="L505" s="170">
        <v>43461</v>
      </c>
      <c r="M505" s="116">
        <v>76.37</v>
      </c>
      <c r="N505" s="116">
        <v>76.89</v>
      </c>
      <c r="O505" s="116">
        <v>76.040000000000006</v>
      </c>
      <c r="P505" s="116">
        <v>76.31</v>
      </c>
      <c r="Q505" s="116">
        <v>381.85</v>
      </c>
      <c r="R505">
        <v>3451</v>
      </c>
    </row>
    <row r="506" spans="1:18" x14ac:dyDescent="0.25">
      <c r="A506" s="170">
        <v>43462</v>
      </c>
      <c r="B506" s="116">
        <v>78.5</v>
      </c>
      <c r="C506" s="116">
        <v>77</v>
      </c>
      <c r="D506" s="116">
        <v>76.2</v>
      </c>
      <c r="E506" s="116">
        <v>76.2</v>
      </c>
      <c r="F506" s="116">
        <v>385</v>
      </c>
      <c r="G506">
        <v>41030</v>
      </c>
      <c r="H506" s="116"/>
      <c r="I506" s="116"/>
      <c r="L506" s="170">
        <v>43462</v>
      </c>
      <c r="M506" s="116">
        <v>76.5</v>
      </c>
      <c r="N506" s="116">
        <v>76.739999999999995</v>
      </c>
      <c r="O506" s="116">
        <v>75.81</v>
      </c>
      <c r="P506" s="116">
        <v>76.209999999999994</v>
      </c>
      <c r="Q506" s="116">
        <v>382.5</v>
      </c>
      <c r="R506">
        <v>4779</v>
      </c>
    </row>
    <row r="507" spans="1:18" x14ac:dyDescent="0.25">
      <c r="A507" s="170">
        <v>43465</v>
      </c>
      <c r="B507" s="116">
        <v>76.53</v>
      </c>
      <c r="C507" s="116">
        <v>75.94</v>
      </c>
      <c r="D507" s="116">
        <v>75.81</v>
      </c>
      <c r="E507" s="116">
        <v>76.23</v>
      </c>
      <c r="F507" s="116">
        <v>379.7</v>
      </c>
      <c r="G507">
        <v>1624</v>
      </c>
      <c r="H507" s="116"/>
      <c r="I507" s="116"/>
      <c r="L507" s="170">
        <v>43465</v>
      </c>
      <c r="M507" s="116">
        <v>75.91</v>
      </c>
      <c r="N507" s="116">
        <v>76.62</v>
      </c>
      <c r="O507" s="116">
        <v>75.77</v>
      </c>
      <c r="P507" s="116">
        <v>76.45</v>
      </c>
      <c r="Q507" s="116">
        <v>379.55</v>
      </c>
      <c r="R507">
        <v>5077</v>
      </c>
    </row>
    <row r="508" spans="1:18" x14ac:dyDescent="0.25">
      <c r="A508" s="170">
        <v>43466</v>
      </c>
      <c r="B508" s="116">
        <v>77.400000000000006</v>
      </c>
      <c r="C508" s="116">
        <v>76.8</v>
      </c>
      <c r="D508" s="116">
        <v>75.89</v>
      </c>
      <c r="E508" s="116">
        <v>75.89</v>
      </c>
      <c r="F508" s="116">
        <v>384</v>
      </c>
      <c r="G508">
        <v>612</v>
      </c>
      <c r="H508" s="116"/>
      <c r="I508" s="116"/>
      <c r="L508" s="170">
        <v>43466</v>
      </c>
      <c r="M508" s="116">
        <v>76.59</v>
      </c>
      <c r="N508" s="116">
        <v>77.08</v>
      </c>
      <c r="O508" s="116">
        <v>75.599999999999994</v>
      </c>
      <c r="P508" s="116">
        <v>75.81</v>
      </c>
      <c r="Q508" s="116">
        <v>382.95</v>
      </c>
      <c r="R508">
        <v>5906</v>
      </c>
    </row>
    <row r="509" spans="1:18" x14ac:dyDescent="0.25">
      <c r="A509" s="170">
        <v>43467</v>
      </c>
      <c r="B509" s="116">
        <v>77.010000000000005</v>
      </c>
      <c r="C509" s="116">
        <v>75.94</v>
      </c>
      <c r="D509" s="116">
        <v>75.8</v>
      </c>
      <c r="E509" s="116">
        <v>76.63</v>
      </c>
      <c r="F509" s="116">
        <v>379.7</v>
      </c>
      <c r="G509">
        <v>916</v>
      </c>
      <c r="H509" s="116"/>
      <c r="I509" s="116"/>
      <c r="L509" s="170">
        <v>43467</v>
      </c>
      <c r="M509" s="116">
        <v>75.790000000000006</v>
      </c>
      <c r="N509" s="116">
        <v>77.150000000000006</v>
      </c>
      <c r="O509" s="116">
        <v>75.599999999999994</v>
      </c>
      <c r="P509" s="116">
        <v>76.599999999999994</v>
      </c>
      <c r="Q509" s="116">
        <v>378.95</v>
      </c>
      <c r="R509">
        <v>4011</v>
      </c>
    </row>
    <row r="510" spans="1:18" x14ac:dyDescent="0.25">
      <c r="A510" s="170">
        <v>43468</v>
      </c>
      <c r="B510" s="116">
        <v>76.44</v>
      </c>
      <c r="C510" s="116">
        <v>75.72</v>
      </c>
      <c r="D510" s="116">
        <v>75.599999999999994</v>
      </c>
      <c r="E510" s="116">
        <v>76.040000000000006</v>
      </c>
      <c r="F510" s="116">
        <v>378.6</v>
      </c>
      <c r="G510">
        <v>334</v>
      </c>
      <c r="H510" s="116"/>
      <c r="I510" s="116"/>
      <c r="L510" s="170">
        <v>43468</v>
      </c>
      <c r="M510" s="116">
        <v>75.650000000000006</v>
      </c>
      <c r="N510" s="116">
        <v>77.010000000000005</v>
      </c>
      <c r="O510" s="116">
        <v>75.209999999999994</v>
      </c>
      <c r="P510" s="116">
        <v>76</v>
      </c>
      <c r="Q510" s="116">
        <v>378.25</v>
      </c>
      <c r="R510">
        <v>5429</v>
      </c>
    </row>
    <row r="511" spans="1:18" x14ac:dyDescent="0.25">
      <c r="A511" s="170">
        <v>43469</v>
      </c>
      <c r="B511" s="116">
        <v>76.959999999999994</v>
      </c>
      <c r="C511" s="116">
        <v>76.709999999999994</v>
      </c>
      <c r="D511" s="116">
        <v>75.62</v>
      </c>
      <c r="E511" s="116">
        <v>75.98</v>
      </c>
      <c r="F511" s="116">
        <v>383.55</v>
      </c>
      <c r="G511">
        <v>1448</v>
      </c>
      <c r="H511" s="116"/>
      <c r="I511" s="116"/>
      <c r="L511" s="170">
        <v>43469</v>
      </c>
      <c r="M511" s="116">
        <v>76.099999999999994</v>
      </c>
      <c r="N511" s="116">
        <v>76.56</v>
      </c>
      <c r="O511" s="116">
        <v>74.209999999999994</v>
      </c>
      <c r="P511" s="116">
        <v>75.599999999999994</v>
      </c>
      <c r="Q511" s="116">
        <v>380.5</v>
      </c>
      <c r="R511">
        <v>106740</v>
      </c>
    </row>
    <row r="512" spans="1:18" x14ac:dyDescent="0.25">
      <c r="A512" s="170">
        <v>43472</v>
      </c>
      <c r="B512" s="116">
        <v>76.14</v>
      </c>
      <c r="C512" s="116">
        <v>75.36</v>
      </c>
      <c r="D512" s="116">
        <v>75.2</v>
      </c>
      <c r="E512" s="116">
        <v>75.849999999999994</v>
      </c>
      <c r="F512" s="116">
        <v>376.8</v>
      </c>
      <c r="G512">
        <v>144</v>
      </c>
      <c r="H512" s="116"/>
      <c r="I512" s="116"/>
      <c r="L512" s="170">
        <v>43472</v>
      </c>
      <c r="M512" s="116">
        <v>75.66</v>
      </c>
      <c r="N512" s="116">
        <v>76.58</v>
      </c>
      <c r="O512" s="116">
        <v>75.22</v>
      </c>
      <c r="P512" s="116">
        <v>76.36</v>
      </c>
      <c r="Q512" s="116">
        <v>378.3</v>
      </c>
      <c r="R512">
        <v>3742</v>
      </c>
    </row>
    <row r="513" spans="1:18" x14ac:dyDescent="0.25">
      <c r="A513" s="170">
        <v>43473</v>
      </c>
      <c r="B513" s="116">
        <v>75.78</v>
      </c>
      <c r="C513" s="116">
        <v>74.95</v>
      </c>
      <c r="D513" s="116">
        <v>74.36</v>
      </c>
      <c r="E513" s="116">
        <v>74.36</v>
      </c>
      <c r="F513" s="116">
        <v>374.75</v>
      </c>
      <c r="G513">
        <v>748</v>
      </c>
      <c r="H513" s="116"/>
      <c r="I513" s="116"/>
      <c r="L513" s="170">
        <v>43473</v>
      </c>
      <c r="M513" s="116">
        <v>75.38</v>
      </c>
      <c r="N513" s="116">
        <v>76.2</v>
      </c>
      <c r="O513" s="116">
        <v>75.180000000000007</v>
      </c>
      <c r="P513" s="116">
        <v>75.91</v>
      </c>
      <c r="Q513" s="116">
        <v>376.9</v>
      </c>
      <c r="R513">
        <v>5501</v>
      </c>
    </row>
    <row r="514" spans="1:18" x14ac:dyDescent="0.25">
      <c r="A514" s="170">
        <v>43474</v>
      </c>
      <c r="B514" s="116">
        <v>75.86</v>
      </c>
      <c r="C514" s="116">
        <v>75.28</v>
      </c>
      <c r="D514" s="116">
        <v>74.52</v>
      </c>
      <c r="E514" s="116">
        <v>74.52</v>
      </c>
      <c r="F514" s="116">
        <v>376.4</v>
      </c>
      <c r="G514">
        <v>520</v>
      </c>
      <c r="H514" s="116"/>
      <c r="I514" s="116"/>
      <c r="L514" s="170">
        <v>43474</v>
      </c>
      <c r="M514" s="116">
        <v>74.930000000000007</v>
      </c>
      <c r="N514" s="116">
        <v>75.989999999999995</v>
      </c>
      <c r="O514" s="116">
        <v>74.02</v>
      </c>
      <c r="P514" s="116">
        <v>75.12</v>
      </c>
      <c r="Q514" s="116">
        <v>374.65</v>
      </c>
      <c r="R514">
        <v>20190</v>
      </c>
    </row>
    <row r="515" spans="1:18" x14ac:dyDescent="0.25">
      <c r="A515" s="170">
        <v>43475</v>
      </c>
      <c r="B515" s="116">
        <v>75.290000000000006</v>
      </c>
      <c r="C515" s="116">
        <v>75.02</v>
      </c>
      <c r="D515" s="116">
        <v>74.599999999999994</v>
      </c>
      <c r="E515" s="116">
        <v>75</v>
      </c>
      <c r="F515" s="116">
        <v>375.1</v>
      </c>
      <c r="G515">
        <v>1252</v>
      </c>
      <c r="H515" s="116"/>
      <c r="I515" s="116"/>
      <c r="L515" s="170">
        <v>43475</v>
      </c>
      <c r="M515" s="116">
        <v>74.599999999999994</v>
      </c>
      <c r="N515" s="116">
        <v>76.400000000000006</v>
      </c>
      <c r="O515" s="116">
        <v>74.02</v>
      </c>
      <c r="P515" s="116">
        <v>76.400000000000006</v>
      </c>
      <c r="Q515" s="116">
        <v>373</v>
      </c>
      <c r="R515">
        <v>20814</v>
      </c>
    </row>
    <row r="516" spans="1:18" x14ac:dyDescent="0.25">
      <c r="A516" s="170">
        <v>43476</v>
      </c>
      <c r="B516" s="116">
        <v>76</v>
      </c>
      <c r="C516" s="116">
        <v>75.55</v>
      </c>
      <c r="D516" s="116">
        <v>74</v>
      </c>
      <c r="E516" s="116">
        <v>74.849999999999994</v>
      </c>
      <c r="F516" s="116">
        <v>377.75</v>
      </c>
      <c r="G516">
        <v>989</v>
      </c>
      <c r="H516" s="116"/>
      <c r="I516" s="116"/>
      <c r="L516" s="170">
        <v>43476</v>
      </c>
      <c r="M516" s="116">
        <v>74.92</v>
      </c>
      <c r="N516" s="116">
        <v>75.2</v>
      </c>
      <c r="O516" s="116">
        <v>73.709999999999994</v>
      </c>
      <c r="P516" s="116">
        <v>74.94</v>
      </c>
      <c r="Q516" s="116">
        <v>374.6</v>
      </c>
      <c r="R516">
        <v>100916</v>
      </c>
    </row>
    <row r="517" spans="1:18" x14ac:dyDescent="0.25">
      <c r="A517" s="170">
        <v>43479</v>
      </c>
      <c r="B517" s="116">
        <v>76.2</v>
      </c>
      <c r="C517" s="116">
        <v>74.92</v>
      </c>
      <c r="D517" s="116">
        <v>74.400000000000006</v>
      </c>
      <c r="E517" s="116">
        <v>75.55</v>
      </c>
      <c r="F517" s="116">
        <v>374.6</v>
      </c>
      <c r="G517">
        <v>5024</v>
      </c>
      <c r="H517" s="116"/>
      <c r="I517" s="116"/>
      <c r="L517" s="170">
        <v>43479</v>
      </c>
      <c r="M517" s="116">
        <v>75.45</v>
      </c>
      <c r="N517" s="116">
        <v>77.400000000000006</v>
      </c>
      <c r="O517" s="116">
        <v>75.02</v>
      </c>
      <c r="P517" s="116">
        <v>76</v>
      </c>
      <c r="Q517" s="116">
        <v>377.25</v>
      </c>
      <c r="R517">
        <v>29842</v>
      </c>
    </row>
    <row r="518" spans="1:18" x14ac:dyDescent="0.25">
      <c r="A518" s="170">
        <v>43480</v>
      </c>
      <c r="B518" s="116">
        <v>76.2</v>
      </c>
      <c r="C518" s="116">
        <v>75.67</v>
      </c>
      <c r="D518" s="116">
        <v>75.44</v>
      </c>
      <c r="E518" s="116">
        <v>75.95</v>
      </c>
      <c r="F518" s="116">
        <v>378.35</v>
      </c>
      <c r="G518">
        <v>636</v>
      </c>
      <c r="H518" s="116"/>
      <c r="I518" s="116"/>
      <c r="L518" s="170">
        <v>43480</v>
      </c>
      <c r="M518" s="116">
        <v>75.72</v>
      </c>
      <c r="N518" s="116">
        <v>76.2</v>
      </c>
      <c r="O518" s="116">
        <v>75.599999999999994</v>
      </c>
      <c r="P518" s="116">
        <v>75.92</v>
      </c>
      <c r="Q518" s="116">
        <v>378.6</v>
      </c>
      <c r="R518">
        <v>13741</v>
      </c>
    </row>
    <row r="519" spans="1:18" x14ac:dyDescent="0.25">
      <c r="A519" s="170">
        <v>43481</v>
      </c>
      <c r="B519" s="116">
        <v>76</v>
      </c>
      <c r="C519" s="116">
        <v>75.72</v>
      </c>
      <c r="D519" s="116">
        <v>75.55</v>
      </c>
      <c r="E519" s="116">
        <v>75.72</v>
      </c>
      <c r="F519" s="116">
        <v>378.6</v>
      </c>
      <c r="G519">
        <v>1663</v>
      </c>
      <c r="H519" s="116"/>
      <c r="I519" s="116"/>
      <c r="L519" s="170">
        <v>43481</v>
      </c>
      <c r="M519" s="116">
        <v>75.430000000000007</v>
      </c>
      <c r="N519" s="116">
        <v>76.2</v>
      </c>
      <c r="O519" s="116">
        <v>75.2</v>
      </c>
      <c r="P519" s="116">
        <v>76.2</v>
      </c>
      <c r="Q519" s="116">
        <v>377.15</v>
      </c>
      <c r="R519">
        <v>14536</v>
      </c>
    </row>
    <row r="520" spans="1:18" x14ac:dyDescent="0.25">
      <c r="A520" s="170">
        <v>43482</v>
      </c>
      <c r="B520" s="116">
        <v>76</v>
      </c>
      <c r="C520" s="116">
        <v>75.5</v>
      </c>
      <c r="D520" s="116">
        <v>75</v>
      </c>
      <c r="E520" s="116">
        <v>75.400000000000006</v>
      </c>
      <c r="F520" s="116">
        <v>377.5</v>
      </c>
      <c r="G520">
        <v>795</v>
      </c>
      <c r="H520" s="116"/>
      <c r="I520" s="116"/>
      <c r="L520" s="170">
        <v>43482</v>
      </c>
      <c r="M520" s="116">
        <v>75.34</v>
      </c>
      <c r="N520" s="116">
        <v>75.8</v>
      </c>
      <c r="O520" s="116">
        <v>74.84</v>
      </c>
      <c r="P520" s="116">
        <v>75.61</v>
      </c>
      <c r="Q520" s="116">
        <v>376.7</v>
      </c>
      <c r="R520">
        <v>121274</v>
      </c>
    </row>
    <row r="521" spans="1:18" x14ac:dyDescent="0.25">
      <c r="A521" s="170">
        <v>43483</v>
      </c>
      <c r="B521" s="116">
        <v>75.400000000000006</v>
      </c>
      <c r="C521" s="116">
        <v>75.06</v>
      </c>
      <c r="D521" s="116">
        <v>74.86</v>
      </c>
      <c r="E521" s="116">
        <v>75.11</v>
      </c>
      <c r="F521" s="116">
        <v>375.3</v>
      </c>
      <c r="G521">
        <v>766</v>
      </c>
      <c r="H521" s="116"/>
      <c r="I521" s="116"/>
      <c r="L521" s="170">
        <v>43483</v>
      </c>
      <c r="M521" s="116">
        <v>75.099999999999994</v>
      </c>
      <c r="N521" s="116">
        <v>75.8</v>
      </c>
      <c r="O521" s="116">
        <v>74.8</v>
      </c>
      <c r="P521" s="116">
        <v>75.400000000000006</v>
      </c>
      <c r="Q521" s="116">
        <v>375.5</v>
      </c>
      <c r="R521">
        <v>42933</v>
      </c>
    </row>
    <row r="522" spans="1:18" x14ac:dyDescent="0.25">
      <c r="A522" s="170">
        <v>43486</v>
      </c>
      <c r="B522" s="116">
        <v>79.98</v>
      </c>
      <c r="C522" s="116">
        <v>75.790000000000006</v>
      </c>
      <c r="D522" s="116">
        <v>75.08</v>
      </c>
      <c r="E522" s="116">
        <v>79.98</v>
      </c>
      <c r="F522" s="116">
        <v>378.95</v>
      </c>
      <c r="G522">
        <v>1259</v>
      </c>
      <c r="H522" s="116"/>
      <c r="I522" s="116"/>
      <c r="L522" s="170">
        <v>43486</v>
      </c>
      <c r="M522" s="116">
        <v>75.819999999999993</v>
      </c>
      <c r="N522" s="116">
        <v>76</v>
      </c>
      <c r="O522" s="116">
        <v>75.05</v>
      </c>
      <c r="P522" s="116">
        <v>75.37</v>
      </c>
      <c r="Q522" s="116">
        <v>379.1</v>
      </c>
      <c r="R522">
        <v>15438</v>
      </c>
    </row>
    <row r="523" spans="1:18" x14ac:dyDescent="0.25">
      <c r="A523" s="170">
        <v>43487</v>
      </c>
      <c r="B523" s="116">
        <v>76</v>
      </c>
      <c r="C523" s="116">
        <v>75.400000000000006</v>
      </c>
      <c r="D523" s="116">
        <v>74.900000000000006</v>
      </c>
      <c r="E523" s="116">
        <v>75.2</v>
      </c>
      <c r="F523" s="116">
        <v>377</v>
      </c>
      <c r="G523">
        <v>1494</v>
      </c>
      <c r="H523" s="116"/>
      <c r="I523" s="116"/>
      <c r="L523" s="170">
        <v>43487</v>
      </c>
      <c r="M523" s="116">
        <v>75.34</v>
      </c>
      <c r="N523" s="116">
        <v>76.02</v>
      </c>
      <c r="O523" s="116">
        <v>74.709999999999994</v>
      </c>
      <c r="P523" s="116">
        <v>75.430000000000007</v>
      </c>
      <c r="Q523" s="116">
        <v>376.7</v>
      </c>
      <c r="R523">
        <v>12985</v>
      </c>
    </row>
    <row r="524" spans="1:18" x14ac:dyDescent="0.25">
      <c r="A524" s="170">
        <v>43488</v>
      </c>
      <c r="B524" s="116">
        <v>75.58</v>
      </c>
      <c r="C524" s="116">
        <v>75.2</v>
      </c>
      <c r="D524" s="116">
        <v>75</v>
      </c>
      <c r="E524" s="116">
        <v>75.010000000000005</v>
      </c>
      <c r="F524" s="116">
        <v>376</v>
      </c>
      <c r="G524">
        <v>1075</v>
      </c>
      <c r="H524" s="116"/>
      <c r="I524" s="116"/>
      <c r="L524" s="170">
        <v>43488</v>
      </c>
      <c r="M524" s="116">
        <v>75.14</v>
      </c>
      <c r="N524" s="116">
        <v>75.59</v>
      </c>
      <c r="O524" s="116">
        <v>75</v>
      </c>
      <c r="P524" s="116">
        <v>75.59</v>
      </c>
      <c r="Q524" s="116">
        <v>375.7</v>
      </c>
      <c r="R524">
        <v>3491</v>
      </c>
    </row>
    <row r="525" spans="1:18" x14ac:dyDescent="0.25">
      <c r="A525" s="170">
        <v>43489</v>
      </c>
      <c r="B525" s="116">
        <v>75.5</v>
      </c>
      <c r="C525" s="116">
        <v>75.349999999999994</v>
      </c>
      <c r="D525" s="116">
        <v>75.290000000000006</v>
      </c>
      <c r="E525" s="116">
        <v>75.3</v>
      </c>
      <c r="F525" s="116">
        <v>376.75</v>
      </c>
      <c r="G525">
        <v>205</v>
      </c>
      <c r="H525" s="116"/>
      <c r="I525" s="116"/>
      <c r="L525" s="170">
        <v>43489</v>
      </c>
      <c r="M525" s="116">
        <v>75.540000000000006</v>
      </c>
      <c r="N525" s="116">
        <v>77</v>
      </c>
      <c r="O525" s="116">
        <v>75.040000000000006</v>
      </c>
      <c r="P525" s="116">
        <v>77</v>
      </c>
      <c r="Q525" s="116">
        <v>377.7</v>
      </c>
      <c r="R525">
        <v>11600</v>
      </c>
    </row>
    <row r="526" spans="1:18" x14ac:dyDescent="0.25">
      <c r="A526" s="170">
        <v>43490</v>
      </c>
      <c r="B526" s="116">
        <v>75.239999999999995</v>
      </c>
      <c r="C526" s="116">
        <v>74.42</v>
      </c>
      <c r="D526" s="116">
        <v>73.599999999999994</v>
      </c>
      <c r="E526" s="116">
        <v>75.239999999999995</v>
      </c>
      <c r="F526" s="116">
        <v>372.1</v>
      </c>
      <c r="G526">
        <v>1658</v>
      </c>
      <c r="H526" s="116"/>
      <c r="I526" s="116"/>
      <c r="L526" s="170">
        <v>43490</v>
      </c>
      <c r="M526" s="116">
        <v>74.03</v>
      </c>
      <c r="N526" s="116">
        <v>75.599999999999994</v>
      </c>
      <c r="O526" s="116">
        <v>73.41</v>
      </c>
      <c r="P526" s="116">
        <v>75.53</v>
      </c>
      <c r="Q526" s="116">
        <v>370.15</v>
      </c>
      <c r="R526">
        <v>107573</v>
      </c>
    </row>
    <row r="527" spans="1:18" x14ac:dyDescent="0.25">
      <c r="A527" s="170">
        <v>43493</v>
      </c>
      <c r="B527" s="116">
        <v>74.400000000000006</v>
      </c>
      <c r="C527" s="116">
        <v>73.23</v>
      </c>
      <c r="D527" s="116">
        <v>72.14</v>
      </c>
      <c r="E527" s="116">
        <v>74.05</v>
      </c>
      <c r="F527" s="116">
        <v>366.15</v>
      </c>
      <c r="G527">
        <v>345724</v>
      </c>
      <c r="H527" s="116"/>
      <c r="I527" s="116"/>
      <c r="L527" s="170">
        <v>43493</v>
      </c>
      <c r="M527" s="116">
        <v>72.739999999999995</v>
      </c>
      <c r="N527" s="116">
        <v>74.59</v>
      </c>
      <c r="O527" s="116">
        <v>72</v>
      </c>
      <c r="P527" s="116">
        <v>74.03</v>
      </c>
      <c r="Q527" s="116">
        <v>363.7</v>
      </c>
      <c r="R527">
        <v>23919</v>
      </c>
    </row>
    <row r="528" spans="1:18" x14ac:dyDescent="0.25">
      <c r="A528" s="170">
        <v>43494</v>
      </c>
      <c r="B528" s="116">
        <v>72.8</v>
      </c>
      <c r="C528" s="116">
        <v>71.64</v>
      </c>
      <c r="D528" s="116">
        <v>70.8</v>
      </c>
      <c r="E528" s="116">
        <v>72.599999999999994</v>
      </c>
      <c r="F528" s="116">
        <v>358.2</v>
      </c>
      <c r="G528">
        <v>1748</v>
      </c>
      <c r="H528" s="116"/>
      <c r="I528" s="116"/>
      <c r="L528" s="170">
        <v>43494</v>
      </c>
      <c r="M528" s="116">
        <v>71.099999999999994</v>
      </c>
      <c r="N528" s="116">
        <v>73.599999999999994</v>
      </c>
      <c r="O528" s="116">
        <v>70.040000000000006</v>
      </c>
      <c r="P528" s="116">
        <v>73.010000000000005</v>
      </c>
      <c r="Q528" s="116">
        <v>355.5</v>
      </c>
      <c r="R528">
        <v>13790</v>
      </c>
    </row>
    <row r="529" spans="1:18" x14ac:dyDescent="0.25">
      <c r="A529" s="170">
        <v>43495</v>
      </c>
      <c r="B529" s="116">
        <v>73.5</v>
      </c>
      <c r="C529" s="116">
        <v>72.209999999999994</v>
      </c>
      <c r="D529" s="116">
        <v>71.400000000000006</v>
      </c>
      <c r="E529" s="116">
        <v>71.900000000000006</v>
      </c>
      <c r="F529" s="116">
        <v>361.05</v>
      </c>
      <c r="G529">
        <v>651</v>
      </c>
      <c r="H529" s="116"/>
      <c r="I529" s="116"/>
      <c r="L529" s="170">
        <v>43495</v>
      </c>
      <c r="M529" s="116">
        <v>71.61</v>
      </c>
      <c r="N529" s="116">
        <v>72.430000000000007</v>
      </c>
      <c r="O529" s="116">
        <v>70.94</v>
      </c>
      <c r="P529" s="116">
        <v>71.39</v>
      </c>
      <c r="Q529" s="116">
        <v>358.05</v>
      </c>
      <c r="R529">
        <v>9027</v>
      </c>
    </row>
    <row r="530" spans="1:18" x14ac:dyDescent="0.25">
      <c r="A530" s="170">
        <v>43496</v>
      </c>
      <c r="B530" s="116">
        <v>75</v>
      </c>
      <c r="C530" s="116">
        <v>73.97</v>
      </c>
      <c r="D530" s="116">
        <v>72</v>
      </c>
      <c r="E530" s="116">
        <v>73</v>
      </c>
      <c r="F530" s="116">
        <v>369.85</v>
      </c>
      <c r="G530">
        <v>2406</v>
      </c>
      <c r="H530" s="116"/>
      <c r="I530" s="116"/>
      <c r="L530" s="170">
        <v>43496</v>
      </c>
      <c r="M530" s="116">
        <v>74.06</v>
      </c>
      <c r="N530" s="116">
        <v>75</v>
      </c>
      <c r="O530" s="116">
        <v>71.400000000000006</v>
      </c>
      <c r="P530" s="116">
        <v>71.75</v>
      </c>
      <c r="Q530" s="116">
        <v>370.3</v>
      </c>
      <c r="R530">
        <v>25859</v>
      </c>
    </row>
    <row r="531" spans="1:18" x14ac:dyDescent="0.25">
      <c r="A531" s="170">
        <v>43497</v>
      </c>
      <c r="B531" s="116">
        <v>72.25</v>
      </c>
      <c r="C531" s="116">
        <v>70.489999999999995</v>
      </c>
      <c r="D531" s="116">
        <v>70.209999999999994</v>
      </c>
      <c r="E531" s="116">
        <v>72.05</v>
      </c>
      <c r="F531" s="116">
        <v>352.45</v>
      </c>
      <c r="G531">
        <v>5178</v>
      </c>
      <c r="H531" s="116"/>
      <c r="I531" s="116"/>
      <c r="L531" s="170">
        <v>43497</v>
      </c>
      <c r="M531" s="116">
        <v>70.72</v>
      </c>
      <c r="N531" s="116">
        <v>73.25</v>
      </c>
      <c r="O531" s="116">
        <v>70.2</v>
      </c>
      <c r="P531" s="116">
        <v>72.2</v>
      </c>
      <c r="Q531" s="116">
        <v>353.6</v>
      </c>
      <c r="R531">
        <v>141783</v>
      </c>
    </row>
    <row r="532" spans="1:18" x14ac:dyDescent="0.25">
      <c r="A532" s="170">
        <v>43500</v>
      </c>
      <c r="B532" s="116">
        <v>74.2</v>
      </c>
      <c r="C532" s="116">
        <v>70.81</v>
      </c>
      <c r="D532" s="116">
        <v>70.2</v>
      </c>
      <c r="E532" s="116">
        <v>74.2</v>
      </c>
      <c r="F532" s="116">
        <v>354.05</v>
      </c>
      <c r="G532">
        <v>4737</v>
      </c>
      <c r="H532" s="116"/>
      <c r="I532" s="116"/>
      <c r="L532" s="170">
        <v>43500</v>
      </c>
      <c r="M532" s="116">
        <v>70.459999999999994</v>
      </c>
      <c r="N532" s="116">
        <v>74.510000000000005</v>
      </c>
      <c r="O532" s="116">
        <v>70.099999999999994</v>
      </c>
      <c r="P532" s="116">
        <v>73</v>
      </c>
      <c r="Q532" s="116">
        <v>352.3</v>
      </c>
      <c r="R532">
        <v>29889</v>
      </c>
    </row>
    <row r="533" spans="1:18" x14ac:dyDescent="0.25">
      <c r="A533" s="170">
        <v>43501</v>
      </c>
      <c r="B533" s="116">
        <v>70.66</v>
      </c>
      <c r="C533" s="116">
        <v>70.239999999999995</v>
      </c>
      <c r="D533" s="116">
        <v>70.010000000000005</v>
      </c>
      <c r="E533" s="116">
        <v>70.2</v>
      </c>
      <c r="F533" s="116">
        <v>351.2</v>
      </c>
      <c r="G533">
        <v>326</v>
      </c>
      <c r="H533" s="116"/>
      <c r="I533" s="116"/>
      <c r="L533" s="170">
        <v>43501</v>
      </c>
      <c r="M533" s="116">
        <v>70.06</v>
      </c>
      <c r="N533" s="116">
        <v>71.790000000000006</v>
      </c>
      <c r="O533" s="116">
        <v>69.8</v>
      </c>
      <c r="P533" s="116">
        <v>71.78</v>
      </c>
      <c r="Q533" s="116">
        <v>350.3</v>
      </c>
      <c r="R533">
        <v>8288</v>
      </c>
    </row>
    <row r="534" spans="1:18" x14ac:dyDescent="0.25">
      <c r="A534" s="170">
        <v>43502</v>
      </c>
      <c r="B534" s="116">
        <v>70.02</v>
      </c>
      <c r="C534" s="116">
        <v>69.010000000000005</v>
      </c>
      <c r="D534" s="116">
        <v>69</v>
      </c>
      <c r="E534" s="116">
        <v>70.02</v>
      </c>
      <c r="F534" s="116">
        <v>345.05</v>
      </c>
      <c r="G534">
        <v>449</v>
      </c>
      <c r="H534" s="116"/>
      <c r="I534" s="116"/>
      <c r="L534" s="170">
        <v>43502</v>
      </c>
      <c r="M534" s="116">
        <v>69.25</v>
      </c>
      <c r="N534" s="116">
        <v>70.44</v>
      </c>
      <c r="O534" s="116">
        <v>69</v>
      </c>
      <c r="P534" s="116">
        <v>70.44</v>
      </c>
      <c r="Q534" s="116">
        <v>346.25</v>
      </c>
      <c r="R534">
        <v>8748</v>
      </c>
    </row>
    <row r="535" spans="1:18" x14ac:dyDescent="0.25">
      <c r="A535" s="170">
        <v>43503</v>
      </c>
      <c r="B535" s="116">
        <v>69.64</v>
      </c>
      <c r="C535" s="116">
        <v>69.45</v>
      </c>
      <c r="D535" s="116">
        <v>69.2</v>
      </c>
      <c r="E535" s="116">
        <v>69.400000000000006</v>
      </c>
      <c r="F535" s="116">
        <v>347.25</v>
      </c>
      <c r="G535">
        <v>745</v>
      </c>
      <c r="H535" s="116"/>
      <c r="I535" s="116"/>
      <c r="L535" s="170">
        <v>43503</v>
      </c>
      <c r="M535" s="116">
        <v>69.58</v>
      </c>
      <c r="N535" s="116">
        <v>70.150000000000006</v>
      </c>
      <c r="O535" s="116">
        <v>69.05</v>
      </c>
      <c r="P535" s="116">
        <v>69.44</v>
      </c>
      <c r="Q535" s="116">
        <v>347.9</v>
      </c>
      <c r="R535">
        <v>9544</v>
      </c>
    </row>
    <row r="536" spans="1:18" x14ac:dyDescent="0.25">
      <c r="A536" s="170">
        <v>43504</v>
      </c>
      <c r="B536" s="116">
        <v>71.73</v>
      </c>
      <c r="C536" s="116">
        <v>69.48</v>
      </c>
      <c r="D536" s="116">
        <v>69</v>
      </c>
      <c r="E536" s="116">
        <v>69.98</v>
      </c>
      <c r="F536" s="116">
        <v>347.4</v>
      </c>
      <c r="G536">
        <v>1294</v>
      </c>
      <c r="H536" s="116"/>
      <c r="I536" s="116"/>
      <c r="L536" s="170">
        <v>43504</v>
      </c>
      <c r="M536" s="116">
        <v>69.28</v>
      </c>
      <c r="N536" s="116">
        <v>69.97</v>
      </c>
      <c r="O536" s="116">
        <v>68.97</v>
      </c>
      <c r="P536" s="116">
        <v>69.59</v>
      </c>
      <c r="Q536" s="116">
        <v>346.4</v>
      </c>
      <c r="R536">
        <v>12793</v>
      </c>
    </row>
    <row r="537" spans="1:18" x14ac:dyDescent="0.25">
      <c r="A537" s="170">
        <v>43507</v>
      </c>
      <c r="B537" s="116">
        <v>69</v>
      </c>
      <c r="C537" s="116">
        <v>66.900000000000006</v>
      </c>
      <c r="D537" s="116">
        <v>65</v>
      </c>
      <c r="E537" s="116">
        <v>69</v>
      </c>
      <c r="F537" s="116">
        <v>334.5</v>
      </c>
      <c r="G537">
        <v>562611</v>
      </c>
      <c r="H537" s="116"/>
      <c r="I537" s="116"/>
      <c r="L537" s="170">
        <v>43507</v>
      </c>
      <c r="M537" s="116">
        <v>67.8</v>
      </c>
      <c r="N537" s="116">
        <v>69.41</v>
      </c>
      <c r="O537" s="116">
        <v>65.12</v>
      </c>
      <c r="P537" s="116">
        <v>69.41</v>
      </c>
      <c r="Q537" s="116">
        <v>339</v>
      </c>
      <c r="R537">
        <v>42627</v>
      </c>
    </row>
    <row r="538" spans="1:18" x14ac:dyDescent="0.25">
      <c r="A538" s="170">
        <v>43508</v>
      </c>
      <c r="B538" s="116">
        <v>67.45</v>
      </c>
      <c r="C538" s="116">
        <v>66.58</v>
      </c>
      <c r="D538" s="116">
        <v>66.2</v>
      </c>
      <c r="E538" s="116">
        <v>67.400000000000006</v>
      </c>
      <c r="F538" s="116">
        <v>332.9</v>
      </c>
      <c r="G538">
        <v>1059</v>
      </c>
      <c r="H538" s="116"/>
      <c r="I538" s="116"/>
      <c r="L538" s="170">
        <v>43508</v>
      </c>
      <c r="M538" s="116">
        <v>66.72</v>
      </c>
      <c r="N538" s="116">
        <v>68.39</v>
      </c>
      <c r="O538" s="116">
        <v>66</v>
      </c>
      <c r="P538" s="116">
        <v>68.12</v>
      </c>
      <c r="Q538" s="116">
        <v>333.6</v>
      </c>
      <c r="R538">
        <v>17252</v>
      </c>
    </row>
    <row r="539" spans="1:18" x14ac:dyDescent="0.25">
      <c r="A539" s="170">
        <v>43509</v>
      </c>
      <c r="B539" s="116">
        <v>67.3</v>
      </c>
      <c r="C539" s="116">
        <v>67.180000000000007</v>
      </c>
      <c r="D539" s="116">
        <v>66.75</v>
      </c>
      <c r="E539" s="116">
        <v>67</v>
      </c>
      <c r="F539" s="116">
        <v>335.9</v>
      </c>
      <c r="G539">
        <v>1217</v>
      </c>
      <c r="H539" s="116"/>
      <c r="I539" s="116"/>
      <c r="L539" s="170">
        <v>43509</v>
      </c>
      <c r="M539" s="116">
        <v>66.83</v>
      </c>
      <c r="N539" s="116">
        <v>67.3</v>
      </c>
      <c r="O539" s="116">
        <v>66.599999999999994</v>
      </c>
      <c r="P539" s="116">
        <v>66.959999999999994</v>
      </c>
      <c r="Q539" s="116">
        <v>334.15</v>
      </c>
      <c r="R539">
        <v>8626</v>
      </c>
    </row>
    <row r="540" spans="1:18" x14ac:dyDescent="0.25">
      <c r="A540" s="170">
        <v>43510</v>
      </c>
      <c r="B540" s="116">
        <v>68.150000000000006</v>
      </c>
      <c r="C540" s="116">
        <v>67.790000000000006</v>
      </c>
      <c r="D540" s="116">
        <v>65.290000000000006</v>
      </c>
      <c r="E540" s="116">
        <v>66.2</v>
      </c>
      <c r="F540" s="116">
        <v>338.95</v>
      </c>
      <c r="G540">
        <v>4326</v>
      </c>
      <c r="H540" s="116"/>
      <c r="I540" s="116"/>
      <c r="L540" s="170">
        <v>43510</v>
      </c>
      <c r="M540" s="116">
        <v>67.27</v>
      </c>
      <c r="N540" s="116">
        <v>68.02</v>
      </c>
      <c r="O540" s="116">
        <v>65.14</v>
      </c>
      <c r="P540" s="116">
        <v>66.709999999999994</v>
      </c>
      <c r="Q540" s="116">
        <v>336.35</v>
      </c>
      <c r="R540">
        <v>27014</v>
      </c>
    </row>
    <row r="541" spans="1:18" x14ac:dyDescent="0.25">
      <c r="A541" s="170">
        <v>43511</v>
      </c>
      <c r="B541" s="116">
        <v>66.8</v>
      </c>
      <c r="C541" s="116">
        <v>65.41</v>
      </c>
      <c r="D541" s="116">
        <v>65.03</v>
      </c>
      <c r="E541" s="116">
        <v>66.78</v>
      </c>
      <c r="F541" s="116">
        <v>327.05</v>
      </c>
      <c r="G541">
        <v>2752</v>
      </c>
      <c r="H541" s="116"/>
      <c r="I541" s="116"/>
      <c r="L541" s="170">
        <v>43511</v>
      </c>
      <c r="M541" s="116">
        <v>65.48</v>
      </c>
      <c r="N541" s="116">
        <v>67.2</v>
      </c>
      <c r="O541" s="116">
        <v>65.22</v>
      </c>
      <c r="P541" s="116">
        <v>67.16</v>
      </c>
      <c r="Q541" s="116">
        <v>327.39999999999998</v>
      </c>
      <c r="R541">
        <v>28698</v>
      </c>
    </row>
    <row r="542" spans="1:18" x14ac:dyDescent="0.25">
      <c r="A542" s="170">
        <v>43514</v>
      </c>
      <c r="B542" s="116">
        <v>65.7</v>
      </c>
      <c r="C542" s="116">
        <v>65.59</v>
      </c>
      <c r="D542" s="116">
        <v>64.8</v>
      </c>
      <c r="E542" s="116">
        <v>65.2</v>
      </c>
      <c r="F542" s="116">
        <v>327.95</v>
      </c>
      <c r="G542">
        <v>1719</v>
      </c>
      <c r="H542" s="116"/>
      <c r="I542" s="116"/>
      <c r="L542" s="170">
        <v>43514</v>
      </c>
      <c r="M542" s="116">
        <v>65.900000000000006</v>
      </c>
      <c r="N542" s="116">
        <v>66</v>
      </c>
      <c r="O542" s="116">
        <v>64.27</v>
      </c>
      <c r="P542" s="116">
        <v>65.47</v>
      </c>
      <c r="Q542" s="116">
        <v>329.5</v>
      </c>
      <c r="R542">
        <v>11545</v>
      </c>
    </row>
    <row r="543" spans="1:18" x14ac:dyDescent="0.25">
      <c r="A543" s="170">
        <v>43515</v>
      </c>
      <c r="B543" s="116">
        <v>66.86</v>
      </c>
      <c r="C543" s="116">
        <v>66.31</v>
      </c>
      <c r="D543" s="116">
        <v>65.64</v>
      </c>
      <c r="E543" s="116">
        <v>65.64</v>
      </c>
      <c r="F543" s="116">
        <v>331.55</v>
      </c>
      <c r="G543">
        <v>437</v>
      </c>
      <c r="H543" s="116"/>
      <c r="I543" s="116"/>
      <c r="L543" s="170">
        <v>43515</v>
      </c>
      <c r="M543" s="116">
        <v>66.08</v>
      </c>
      <c r="N543" s="116">
        <v>66.62</v>
      </c>
      <c r="O543" s="116">
        <v>65.31</v>
      </c>
      <c r="P543" s="116">
        <v>65.930000000000007</v>
      </c>
      <c r="Q543" s="116">
        <v>330.4</v>
      </c>
      <c r="R543">
        <v>6718</v>
      </c>
    </row>
    <row r="544" spans="1:18" x14ac:dyDescent="0.25">
      <c r="A544" s="170">
        <v>43516</v>
      </c>
      <c r="B544" s="116">
        <v>66.61</v>
      </c>
      <c r="C544" s="116">
        <v>66.05</v>
      </c>
      <c r="D544" s="116">
        <v>65.62</v>
      </c>
      <c r="E544" s="116">
        <v>65.92</v>
      </c>
      <c r="F544" s="116">
        <v>330.25</v>
      </c>
      <c r="G544">
        <v>1169</v>
      </c>
      <c r="H544" s="116"/>
      <c r="I544" s="116"/>
      <c r="L544" s="170">
        <v>43516</v>
      </c>
      <c r="M544" s="116">
        <v>65.69</v>
      </c>
      <c r="N544" s="116">
        <v>67</v>
      </c>
      <c r="O544" s="116">
        <v>64.8</v>
      </c>
      <c r="P544" s="116">
        <v>65.42</v>
      </c>
      <c r="Q544" s="116">
        <v>328.45</v>
      </c>
      <c r="R544">
        <v>14331</v>
      </c>
    </row>
    <row r="545" spans="1:18" x14ac:dyDescent="0.25">
      <c r="A545" s="170">
        <v>43517</v>
      </c>
      <c r="B545" s="116">
        <v>67.930000000000007</v>
      </c>
      <c r="C545" s="116">
        <v>66.84</v>
      </c>
      <c r="D545" s="116">
        <v>66.08</v>
      </c>
      <c r="E545" s="116">
        <v>66.45</v>
      </c>
      <c r="F545" s="116">
        <v>334.2</v>
      </c>
      <c r="G545">
        <v>1498</v>
      </c>
      <c r="H545" s="116"/>
      <c r="I545" s="116"/>
      <c r="L545" s="170">
        <v>43517</v>
      </c>
      <c r="M545" s="116">
        <v>66.7</v>
      </c>
      <c r="N545" s="116">
        <v>67.91</v>
      </c>
      <c r="O545" s="116">
        <v>65.8</v>
      </c>
      <c r="P545" s="116">
        <v>66.400000000000006</v>
      </c>
      <c r="Q545" s="116">
        <v>333.5</v>
      </c>
      <c r="R545">
        <v>10192</v>
      </c>
    </row>
    <row r="546" spans="1:18" x14ac:dyDescent="0.25">
      <c r="A546" s="170">
        <v>43518</v>
      </c>
      <c r="B546" s="116">
        <v>67.38</v>
      </c>
      <c r="C546" s="116">
        <v>67.209999999999994</v>
      </c>
      <c r="D546" s="116">
        <v>66.3</v>
      </c>
      <c r="E546" s="116">
        <v>66.42</v>
      </c>
      <c r="F546" s="116">
        <v>336.05</v>
      </c>
      <c r="G546">
        <v>2353</v>
      </c>
      <c r="H546" s="116"/>
      <c r="I546" s="116"/>
      <c r="L546" s="170">
        <v>43518</v>
      </c>
      <c r="M546" s="116">
        <v>67.23</v>
      </c>
      <c r="N546" s="116">
        <v>67.58</v>
      </c>
      <c r="O546" s="116">
        <v>66.069999999999993</v>
      </c>
      <c r="P546" s="116">
        <v>67.36</v>
      </c>
      <c r="Q546" s="116">
        <v>336.15</v>
      </c>
      <c r="R546">
        <v>5782</v>
      </c>
    </row>
    <row r="547" spans="1:18" x14ac:dyDescent="0.25">
      <c r="A547" s="170">
        <v>43521</v>
      </c>
      <c r="B547" s="116">
        <v>67.959999999999994</v>
      </c>
      <c r="C547" s="116">
        <v>67.599999999999994</v>
      </c>
      <c r="D547" s="116">
        <v>66.5</v>
      </c>
      <c r="E547" s="116">
        <v>66.97</v>
      </c>
      <c r="F547" s="116">
        <v>338</v>
      </c>
      <c r="G547">
        <v>646</v>
      </c>
      <c r="H547" s="116"/>
      <c r="I547" s="116"/>
      <c r="L547" s="170">
        <v>43521</v>
      </c>
      <c r="M547" s="116">
        <v>67.28</v>
      </c>
      <c r="N547" s="116">
        <v>67.84</v>
      </c>
      <c r="O547" s="116">
        <v>66.400000000000006</v>
      </c>
      <c r="P547" s="116">
        <v>66.400000000000006</v>
      </c>
      <c r="Q547" s="116">
        <v>336.4</v>
      </c>
      <c r="R547">
        <v>10647</v>
      </c>
    </row>
    <row r="548" spans="1:18" x14ac:dyDescent="0.25">
      <c r="A548" s="170">
        <v>43522</v>
      </c>
      <c r="B548" s="116">
        <v>67.16</v>
      </c>
      <c r="C548" s="116">
        <v>66.900000000000006</v>
      </c>
      <c r="D548" s="116">
        <v>66.37</v>
      </c>
      <c r="E548" s="116">
        <v>66.8</v>
      </c>
      <c r="F548" s="116">
        <v>334.5</v>
      </c>
      <c r="G548">
        <v>285</v>
      </c>
      <c r="H548" s="116"/>
      <c r="I548" s="116"/>
      <c r="L548" s="170">
        <v>43522</v>
      </c>
      <c r="M548" s="116">
        <v>66.91</v>
      </c>
      <c r="N548" s="116">
        <v>68.099999999999994</v>
      </c>
      <c r="O548" s="116">
        <v>66.319999999999993</v>
      </c>
      <c r="P548" s="116">
        <v>68.099999999999994</v>
      </c>
      <c r="Q548" s="116">
        <v>334.55</v>
      </c>
      <c r="R548">
        <v>6412</v>
      </c>
    </row>
    <row r="549" spans="1:18" x14ac:dyDescent="0.25">
      <c r="A549" s="170">
        <v>43523</v>
      </c>
      <c r="B549" s="116">
        <v>67.56</v>
      </c>
      <c r="C549" s="116">
        <v>66.599999999999994</v>
      </c>
      <c r="D549" s="116">
        <v>65.42</v>
      </c>
      <c r="E549" s="116">
        <v>67.53</v>
      </c>
      <c r="F549" s="116">
        <v>333</v>
      </c>
      <c r="G549">
        <v>762</v>
      </c>
      <c r="H549" s="116"/>
      <c r="I549" s="116"/>
      <c r="L549" s="170">
        <v>43523</v>
      </c>
      <c r="M549" s="116">
        <v>66.72</v>
      </c>
      <c r="N549" s="116">
        <v>67.91</v>
      </c>
      <c r="O549" s="116">
        <v>65.63</v>
      </c>
      <c r="P549" s="116">
        <v>67.09</v>
      </c>
      <c r="Q549" s="116">
        <v>333.6</v>
      </c>
      <c r="R549">
        <v>12367</v>
      </c>
    </row>
    <row r="550" spans="1:18" x14ac:dyDescent="0.25">
      <c r="A550" s="170">
        <v>43524</v>
      </c>
      <c r="B550" s="116">
        <v>66.45</v>
      </c>
      <c r="C550" s="116">
        <v>66.39</v>
      </c>
      <c r="D550" s="116">
        <v>66.22</v>
      </c>
      <c r="E550" s="116">
        <v>66.42</v>
      </c>
      <c r="F550" s="116">
        <v>331.95</v>
      </c>
      <c r="G550">
        <v>229</v>
      </c>
      <c r="H550" s="116"/>
      <c r="I550" s="116"/>
      <c r="L550" s="170">
        <v>43524</v>
      </c>
      <c r="M550" s="116">
        <v>66.69</v>
      </c>
      <c r="N550" s="116">
        <v>67.010000000000005</v>
      </c>
      <c r="O550" s="116">
        <v>66.36</v>
      </c>
      <c r="P550" s="116">
        <v>66.38</v>
      </c>
      <c r="Q550" s="116">
        <v>333.45</v>
      </c>
      <c r="R550">
        <v>7782</v>
      </c>
    </row>
    <row r="551" spans="1:18" x14ac:dyDescent="0.25">
      <c r="A551" s="170">
        <v>43525</v>
      </c>
      <c r="B551" s="116">
        <v>69</v>
      </c>
      <c r="C551" s="116">
        <v>68.52</v>
      </c>
      <c r="D551" s="116">
        <v>67.2</v>
      </c>
      <c r="E551" s="116">
        <v>67.2</v>
      </c>
      <c r="F551" s="116">
        <v>342.6</v>
      </c>
      <c r="G551">
        <v>2898</v>
      </c>
      <c r="H551" s="116"/>
      <c r="I551" s="116"/>
      <c r="L551" s="170">
        <v>43525</v>
      </c>
      <c r="M551" s="116">
        <v>68.34</v>
      </c>
      <c r="N551" s="116">
        <v>68.5</v>
      </c>
      <c r="O551" s="116">
        <v>66.459999999999994</v>
      </c>
      <c r="P551" s="116">
        <v>66.599999999999994</v>
      </c>
      <c r="Q551" s="116">
        <v>341.7</v>
      </c>
      <c r="R551">
        <v>26372</v>
      </c>
    </row>
    <row r="552" spans="1:18" x14ac:dyDescent="0.25">
      <c r="A552" s="170">
        <v>43529</v>
      </c>
      <c r="B552" s="116">
        <v>69.790000000000006</v>
      </c>
      <c r="C552" s="116">
        <v>69.489999999999995</v>
      </c>
      <c r="D552" s="116">
        <v>68.09</v>
      </c>
      <c r="E552" s="116">
        <v>68.209999999999994</v>
      </c>
      <c r="F552" s="116">
        <v>347.45</v>
      </c>
      <c r="G552">
        <v>1365</v>
      </c>
      <c r="H552" s="116"/>
      <c r="I552" s="116"/>
      <c r="L552" s="170">
        <v>43529</v>
      </c>
      <c r="M552" s="116">
        <v>69.73</v>
      </c>
      <c r="N552" s="116">
        <v>69.8</v>
      </c>
      <c r="O552" s="116">
        <v>67.400000000000006</v>
      </c>
      <c r="P552" s="116">
        <v>67.400000000000006</v>
      </c>
      <c r="Q552" s="116">
        <v>348.65</v>
      </c>
      <c r="R552">
        <v>19449</v>
      </c>
    </row>
    <row r="553" spans="1:18" x14ac:dyDescent="0.25">
      <c r="A553" s="170">
        <v>43530</v>
      </c>
      <c r="B553" s="116">
        <v>72.16</v>
      </c>
      <c r="C553" s="116">
        <v>71.180000000000007</v>
      </c>
      <c r="D553" s="116">
        <v>70.2</v>
      </c>
      <c r="E553" s="116">
        <v>70.2</v>
      </c>
      <c r="F553" s="116">
        <v>355.9</v>
      </c>
      <c r="G553">
        <v>1837</v>
      </c>
      <c r="H553" s="116"/>
      <c r="I553" s="116"/>
      <c r="L553" s="170">
        <v>43530</v>
      </c>
      <c r="M553" s="116">
        <v>71.099999999999994</v>
      </c>
      <c r="N553" s="116">
        <v>72.459999999999994</v>
      </c>
      <c r="O553" s="116">
        <v>70.39</v>
      </c>
      <c r="P553" s="116">
        <v>70.400000000000006</v>
      </c>
      <c r="Q553" s="116">
        <v>355.5</v>
      </c>
      <c r="R553">
        <v>12767</v>
      </c>
    </row>
    <row r="554" spans="1:18" x14ac:dyDescent="0.25">
      <c r="A554" s="170">
        <v>43531</v>
      </c>
      <c r="B554" s="116">
        <v>70.55</v>
      </c>
      <c r="C554" s="116">
        <v>70.3</v>
      </c>
      <c r="D554" s="116">
        <v>70.2</v>
      </c>
      <c r="E554" s="116">
        <v>70.3</v>
      </c>
      <c r="F554" s="116">
        <v>351.5</v>
      </c>
      <c r="G554">
        <v>642</v>
      </c>
      <c r="H554" s="116"/>
      <c r="I554" s="116"/>
      <c r="L554" s="170">
        <v>43531</v>
      </c>
      <c r="M554" s="116">
        <v>70.22</v>
      </c>
      <c r="N554" s="116">
        <v>73</v>
      </c>
      <c r="O554" s="116">
        <v>70.06</v>
      </c>
      <c r="P554" s="116">
        <v>73</v>
      </c>
      <c r="Q554" s="116">
        <v>351.1</v>
      </c>
      <c r="R554">
        <v>7571</v>
      </c>
    </row>
    <row r="555" spans="1:18" x14ac:dyDescent="0.25">
      <c r="A555" s="170">
        <v>43532</v>
      </c>
      <c r="B555" s="116">
        <v>71.59</v>
      </c>
      <c r="C555" s="116">
        <v>70.02</v>
      </c>
      <c r="D555" s="116">
        <v>69.739999999999995</v>
      </c>
      <c r="E555" s="116">
        <v>71.59</v>
      </c>
      <c r="F555" s="116">
        <v>350.1</v>
      </c>
      <c r="G555">
        <v>1060525</v>
      </c>
      <c r="H555" s="116"/>
      <c r="I555" s="116"/>
      <c r="L555" s="170">
        <v>43532</v>
      </c>
      <c r="M555" s="116">
        <v>70.03</v>
      </c>
      <c r="N555" s="116">
        <v>71.58</v>
      </c>
      <c r="O555" s="116">
        <v>68.8</v>
      </c>
      <c r="P555" s="116">
        <v>68.8</v>
      </c>
      <c r="Q555" s="116">
        <v>350.15</v>
      </c>
      <c r="R555">
        <v>1507950</v>
      </c>
    </row>
    <row r="556" spans="1:18" x14ac:dyDescent="0.25">
      <c r="A556" s="170">
        <v>43535</v>
      </c>
      <c r="B556" s="116">
        <v>74.28</v>
      </c>
      <c r="C556" s="116">
        <v>72.77</v>
      </c>
      <c r="D556" s="116">
        <v>70.900000000000006</v>
      </c>
      <c r="E556" s="116">
        <v>72</v>
      </c>
      <c r="F556" s="116">
        <v>363.85</v>
      </c>
      <c r="G556">
        <v>758414</v>
      </c>
      <c r="H556" s="116"/>
      <c r="I556" s="116"/>
      <c r="L556" s="170">
        <v>43535</v>
      </c>
      <c r="M556" s="116">
        <v>73.239999999999995</v>
      </c>
      <c r="N556" s="116">
        <v>74.459999999999994</v>
      </c>
      <c r="O556" s="116">
        <v>71.599999999999994</v>
      </c>
      <c r="P556" s="116">
        <v>72.2</v>
      </c>
      <c r="Q556" s="116">
        <v>366.2</v>
      </c>
      <c r="R556">
        <v>395427</v>
      </c>
    </row>
    <row r="557" spans="1:18" x14ac:dyDescent="0.25">
      <c r="A557" s="170">
        <v>43536</v>
      </c>
      <c r="B557" s="116">
        <v>74.39</v>
      </c>
      <c r="C557" s="116">
        <v>72.709999999999994</v>
      </c>
      <c r="D557" s="116">
        <v>72</v>
      </c>
      <c r="E557" s="116">
        <v>74.37</v>
      </c>
      <c r="F557" s="116">
        <v>363.55</v>
      </c>
      <c r="G557">
        <v>16633</v>
      </c>
      <c r="H557" s="116"/>
      <c r="I557" s="116"/>
      <c r="L557" s="170">
        <v>43536</v>
      </c>
      <c r="M557" s="116">
        <v>72.72</v>
      </c>
      <c r="N557" s="116">
        <v>74.44</v>
      </c>
      <c r="O557" s="116">
        <v>71.66</v>
      </c>
      <c r="P557" s="116">
        <v>74.44</v>
      </c>
      <c r="Q557" s="116">
        <v>363.6</v>
      </c>
      <c r="R557">
        <v>213655</v>
      </c>
    </row>
    <row r="558" spans="1:18" x14ac:dyDescent="0.25">
      <c r="A558" s="170">
        <v>43537</v>
      </c>
      <c r="B558" s="116">
        <v>76.599999999999994</v>
      </c>
      <c r="C558" s="116">
        <v>72.650000000000006</v>
      </c>
      <c r="D558" s="116">
        <v>71.8</v>
      </c>
      <c r="E558" s="116">
        <v>72.61</v>
      </c>
      <c r="F558" s="116">
        <v>363.25</v>
      </c>
      <c r="G558">
        <v>28889</v>
      </c>
      <c r="H558" s="116"/>
      <c r="I558" s="116"/>
      <c r="L558" s="170">
        <v>43537</v>
      </c>
      <c r="M558" s="116">
        <v>72.430000000000007</v>
      </c>
      <c r="N558" s="116">
        <v>76.8</v>
      </c>
      <c r="O558" s="116">
        <v>71.400000000000006</v>
      </c>
      <c r="P558" s="116">
        <v>73</v>
      </c>
      <c r="Q558" s="116">
        <v>362.15</v>
      </c>
      <c r="R558">
        <v>392792</v>
      </c>
    </row>
    <row r="559" spans="1:18" x14ac:dyDescent="0.25">
      <c r="A559" s="170">
        <v>43538</v>
      </c>
      <c r="B559" s="116">
        <v>76.88</v>
      </c>
      <c r="C559" s="116">
        <v>75.09</v>
      </c>
      <c r="D559" s="116">
        <v>69.53</v>
      </c>
      <c r="E559" s="116">
        <v>72.19</v>
      </c>
      <c r="F559" s="116">
        <v>375.45</v>
      </c>
      <c r="G559">
        <v>7983634</v>
      </c>
      <c r="H559" s="116"/>
      <c r="I559" s="116"/>
      <c r="L559" s="170">
        <v>43538</v>
      </c>
      <c r="M559" s="116">
        <v>75.59</v>
      </c>
      <c r="N559" s="116">
        <v>77.349999999999994</v>
      </c>
      <c r="O559" s="116">
        <v>70.38</v>
      </c>
      <c r="P559" s="116">
        <v>72.94</v>
      </c>
      <c r="Q559" s="116">
        <v>377.95</v>
      </c>
      <c r="R559">
        <v>1848069</v>
      </c>
    </row>
    <row r="560" spans="1:18" x14ac:dyDescent="0.25">
      <c r="A560" s="170">
        <v>43539</v>
      </c>
      <c r="B560" s="116">
        <v>78.8</v>
      </c>
      <c r="C560" s="116">
        <v>77.150000000000006</v>
      </c>
      <c r="D560" s="116">
        <v>75.8</v>
      </c>
      <c r="E560" s="116">
        <v>76.2</v>
      </c>
      <c r="F560" s="116">
        <v>385.75</v>
      </c>
      <c r="G560">
        <v>93108</v>
      </c>
      <c r="H560" s="116"/>
      <c r="I560" s="116"/>
      <c r="L560" s="170">
        <v>43539</v>
      </c>
      <c r="M560" s="116">
        <v>77.349999999999994</v>
      </c>
      <c r="N560" s="116">
        <v>78.78</v>
      </c>
      <c r="O560" s="116">
        <v>75.8</v>
      </c>
      <c r="P560" s="116">
        <v>75.98</v>
      </c>
      <c r="Q560" s="116">
        <v>386.75</v>
      </c>
      <c r="R560">
        <v>814652</v>
      </c>
    </row>
    <row r="561" spans="1:18" x14ac:dyDescent="0.25">
      <c r="A561" s="170">
        <v>43542</v>
      </c>
      <c r="B561" s="116">
        <v>81.03</v>
      </c>
      <c r="C561" s="116">
        <v>78.56</v>
      </c>
      <c r="D561" s="116">
        <v>76</v>
      </c>
      <c r="E561" s="116">
        <v>77.2</v>
      </c>
      <c r="F561" s="116">
        <v>392.8</v>
      </c>
      <c r="G561">
        <v>46012</v>
      </c>
      <c r="H561" s="116"/>
      <c r="I561" s="116"/>
      <c r="L561" s="170">
        <v>43542</v>
      </c>
      <c r="M561" s="116">
        <v>78.510000000000005</v>
      </c>
      <c r="N561" s="116">
        <v>81.16</v>
      </c>
      <c r="O561" s="116">
        <v>76.010000000000005</v>
      </c>
      <c r="P561" s="116">
        <v>77.599999999999994</v>
      </c>
      <c r="Q561" s="116">
        <v>392.55</v>
      </c>
      <c r="R561">
        <v>367353</v>
      </c>
    </row>
    <row r="562" spans="1:18" x14ac:dyDescent="0.25">
      <c r="A562" s="170">
        <v>43543</v>
      </c>
      <c r="B562" s="116">
        <v>80.2</v>
      </c>
      <c r="C562" s="116">
        <v>78.569999999999993</v>
      </c>
      <c r="D562" s="116">
        <v>78</v>
      </c>
      <c r="E562" s="116">
        <v>78.56</v>
      </c>
      <c r="F562" s="116">
        <v>392.85</v>
      </c>
      <c r="G562">
        <v>17079</v>
      </c>
      <c r="H562" s="116"/>
      <c r="I562" s="116"/>
      <c r="L562" s="170">
        <v>43543</v>
      </c>
      <c r="M562" s="116">
        <v>78.39</v>
      </c>
      <c r="N562" s="116">
        <v>80.319999999999993</v>
      </c>
      <c r="O562" s="116">
        <v>77.599999999999994</v>
      </c>
      <c r="P562" s="116">
        <v>79.14</v>
      </c>
      <c r="Q562" s="116">
        <v>391.95</v>
      </c>
      <c r="R562">
        <v>166280</v>
      </c>
    </row>
    <row r="563" spans="1:18" x14ac:dyDescent="0.25">
      <c r="A563" s="170">
        <v>43544</v>
      </c>
      <c r="B563" s="116">
        <v>79</v>
      </c>
      <c r="C563" s="116">
        <v>76.88</v>
      </c>
      <c r="D563" s="116">
        <v>76.540000000000006</v>
      </c>
      <c r="E563" s="116">
        <v>78.2</v>
      </c>
      <c r="F563" s="116">
        <v>384.4</v>
      </c>
      <c r="G563">
        <v>8244</v>
      </c>
      <c r="H563" s="116"/>
      <c r="I563" s="116"/>
      <c r="L563" s="170">
        <v>43544</v>
      </c>
      <c r="M563" s="116">
        <v>77.17</v>
      </c>
      <c r="N563" s="116">
        <v>79</v>
      </c>
      <c r="O563" s="116">
        <v>76.8</v>
      </c>
      <c r="P563" s="116">
        <v>78</v>
      </c>
      <c r="Q563" s="116">
        <v>385.85</v>
      </c>
      <c r="R563">
        <v>78599</v>
      </c>
    </row>
    <row r="564" spans="1:18" x14ac:dyDescent="0.25">
      <c r="A564" s="170">
        <v>43546</v>
      </c>
      <c r="B564" s="116">
        <v>78.8</v>
      </c>
      <c r="C564" s="116">
        <v>77.14</v>
      </c>
      <c r="D564" s="116">
        <v>76.819999999999993</v>
      </c>
      <c r="E564" s="116">
        <v>77</v>
      </c>
      <c r="F564" s="116">
        <v>385.7</v>
      </c>
      <c r="G564">
        <v>10472</v>
      </c>
      <c r="H564" s="116"/>
      <c r="I564" s="116"/>
      <c r="L564" s="170">
        <v>43546</v>
      </c>
      <c r="M564" s="116">
        <v>76.98</v>
      </c>
      <c r="N564" s="116">
        <v>79</v>
      </c>
      <c r="O564" s="116">
        <v>76.64</v>
      </c>
      <c r="P564" s="116">
        <v>77</v>
      </c>
      <c r="Q564" s="116">
        <v>384.9</v>
      </c>
      <c r="R564">
        <v>79388</v>
      </c>
    </row>
    <row r="565" spans="1:18" x14ac:dyDescent="0.25">
      <c r="A565" s="170">
        <v>43549</v>
      </c>
      <c r="B565" s="116">
        <v>77.09</v>
      </c>
      <c r="C565" s="116">
        <v>74.900000000000006</v>
      </c>
      <c r="D565" s="116">
        <v>74.400000000000006</v>
      </c>
      <c r="E565" s="116">
        <v>75.010000000000005</v>
      </c>
      <c r="F565" s="116">
        <v>374.5</v>
      </c>
      <c r="G565">
        <v>4752</v>
      </c>
      <c r="H565" s="116"/>
      <c r="I565" s="116"/>
      <c r="L565" s="170">
        <v>43549</v>
      </c>
      <c r="M565" s="116">
        <v>74.78</v>
      </c>
      <c r="N565" s="116">
        <v>76.98</v>
      </c>
      <c r="O565" s="116">
        <v>73.819999999999993</v>
      </c>
      <c r="P565" s="116">
        <v>76.98</v>
      </c>
      <c r="Q565" s="116">
        <v>373.9</v>
      </c>
      <c r="R565">
        <v>108441</v>
      </c>
    </row>
    <row r="566" spans="1:18" x14ac:dyDescent="0.25">
      <c r="A566" s="170">
        <v>43550</v>
      </c>
      <c r="B566" s="116">
        <v>79.34</v>
      </c>
      <c r="C566" s="116">
        <v>78.290000000000006</v>
      </c>
      <c r="D566" s="116">
        <v>74.8</v>
      </c>
      <c r="E566" s="116">
        <v>75.430000000000007</v>
      </c>
      <c r="F566" s="116">
        <v>391.45</v>
      </c>
      <c r="G566">
        <v>27520</v>
      </c>
      <c r="H566" s="116"/>
      <c r="I566" s="116"/>
      <c r="L566" s="170">
        <v>43550</v>
      </c>
      <c r="M566" s="116">
        <v>78.430000000000007</v>
      </c>
      <c r="N566" s="116">
        <v>79.540000000000006</v>
      </c>
      <c r="O566" s="116">
        <v>74.400000000000006</v>
      </c>
      <c r="P566" s="116">
        <v>74.59</v>
      </c>
      <c r="Q566" s="116">
        <v>392.15</v>
      </c>
      <c r="R566">
        <v>329006</v>
      </c>
    </row>
    <row r="567" spans="1:18" x14ac:dyDescent="0.25">
      <c r="A567" s="170">
        <v>43551</v>
      </c>
      <c r="B567" s="116">
        <v>80.900000000000006</v>
      </c>
      <c r="C567" s="116">
        <v>80.39</v>
      </c>
      <c r="D567" s="116">
        <v>78.31</v>
      </c>
      <c r="E567" s="116">
        <v>79</v>
      </c>
      <c r="F567" s="116">
        <v>401.95</v>
      </c>
      <c r="G567">
        <v>24291</v>
      </c>
      <c r="H567" s="116"/>
      <c r="I567" s="116"/>
      <c r="L567" s="170">
        <v>43551</v>
      </c>
      <c r="M567" s="116">
        <v>80.099999999999994</v>
      </c>
      <c r="N567" s="116">
        <v>81.099999999999994</v>
      </c>
      <c r="O567" s="116">
        <v>78</v>
      </c>
      <c r="P567" s="116">
        <v>79.180000000000007</v>
      </c>
      <c r="Q567" s="116">
        <v>400.5</v>
      </c>
      <c r="R567">
        <v>450457</v>
      </c>
    </row>
    <row r="568" spans="1:18" x14ac:dyDescent="0.25">
      <c r="A568" s="170">
        <v>43552</v>
      </c>
      <c r="B568" s="116">
        <v>81</v>
      </c>
      <c r="C568" s="116">
        <v>80.62</v>
      </c>
      <c r="D568" s="116">
        <v>80</v>
      </c>
      <c r="E568" s="116">
        <v>80.2</v>
      </c>
      <c r="F568" s="116">
        <v>403.1</v>
      </c>
      <c r="G568">
        <v>10960</v>
      </c>
      <c r="H568" s="116"/>
      <c r="I568" s="116"/>
      <c r="L568" s="170">
        <v>43552</v>
      </c>
      <c r="M568" s="116">
        <v>81.06</v>
      </c>
      <c r="N568" s="116">
        <v>81.2</v>
      </c>
      <c r="O568" s="116">
        <v>80.099999999999994</v>
      </c>
      <c r="P568" s="116">
        <v>80.2</v>
      </c>
      <c r="Q568" s="116">
        <v>405.3</v>
      </c>
      <c r="R568">
        <v>137151</v>
      </c>
    </row>
    <row r="569" spans="1:18" x14ac:dyDescent="0.25">
      <c r="A569" s="170">
        <v>43553</v>
      </c>
      <c r="B569" s="116">
        <v>82.4</v>
      </c>
      <c r="C569" s="116">
        <v>79.95</v>
      </c>
      <c r="D569" s="116">
        <v>79.22</v>
      </c>
      <c r="E569" s="116">
        <v>82.4</v>
      </c>
      <c r="F569" s="116">
        <v>399.75</v>
      </c>
      <c r="G569">
        <v>10054</v>
      </c>
      <c r="H569" s="116"/>
      <c r="I569" s="116"/>
      <c r="L569" s="170">
        <v>43553</v>
      </c>
      <c r="M569" s="116">
        <v>79.91</v>
      </c>
      <c r="N569" s="116">
        <v>82.41</v>
      </c>
      <c r="O569" s="116">
        <v>79.2</v>
      </c>
      <c r="P569" s="116">
        <v>81</v>
      </c>
      <c r="Q569" s="116">
        <v>399.55</v>
      </c>
      <c r="R569">
        <v>135541</v>
      </c>
    </row>
    <row r="570" spans="1:18" x14ac:dyDescent="0.25">
      <c r="A570" s="170">
        <v>43556</v>
      </c>
      <c r="B570" s="116">
        <v>81.8</v>
      </c>
      <c r="C570" s="116">
        <v>79.41</v>
      </c>
      <c r="D570" s="116">
        <v>78.400000000000006</v>
      </c>
      <c r="E570" s="116">
        <v>81.8</v>
      </c>
      <c r="F570" s="116">
        <v>397.05</v>
      </c>
      <c r="G570">
        <v>5559</v>
      </c>
      <c r="H570" s="116"/>
      <c r="I570" s="116"/>
      <c r="L570" s="170">
        <v>43556</v>
      </c>
      <c r="M570" s="116">
        <v>79.23</v>
      </c>
      <c r="N570" s="116">
        <v>81.13</v>
      </c>
      <c r="O570" s="116">
        <v>78.099999999999994</v>
      </c>
      <c r="P570" s="116">
        <v>80.739999999999995</v>
      </c>
      <c r="Q570" s="116">
        <v>396.15</v>
      </c>
      <c r="R570">
        <v>43354</v>
      </c>
    </row>
    <row r="571" spans="1:18" x14ac:dyDescent="0.25">
      <c r="A571" s="170">
        <v>43557</v>
      </c>
      <c r="B571" s="116">
        <v>79.66</v>
      </c>
      <c r="C571" s="116">
        <v>78.16</v>
      </c>
      <c r="D571" s="116">
        <v>77.900000000000006</v>
      </c>
      <c r="E571" s="116">
        <v>79.53</v>
      </c>
      <c r="F571" s="116">
        <v>390.8</v>
      </c>
      <c r="G571">
        <v>2383</v>
      </c>
      <c r="H571" s="116"/>
      <c r="I571" s="116"/>
      <c r="L571" s="170">
        <v>43557</v>
      </c>
      <c r="M571" s="116">
        <v>78.099999999999994</v>
      </c>
      <c r="N571" s="116">
        <v>79.8</v>
      </c>
      <c r="O571" s="116">
        <v>77.8</v>
      </c>
      <c r="P571" s="116">
        <v>79.58</v>
      </c>
      <c r="Q571" s="116">
        <v>390.5</v>
      </c>
      <c r="R571">
        <v>39357</v>
      </c>
    </row>
    <row r="572" spans="1:18" x14ac:dyDescent="0.25">
      <c r="A572" s="170">
        <v>43558</v>
      </c>
      <c r="B572" s="116">
        <v>80.64</v>
      </c>
      <c r="C572" s="116">
        <v>76.97</v>
      </c>
      <c r="D572" s="116">
        <v>76.66</v>
      </c>
      <c r="E572" s="116">
        <v>78.489999999999995</v>
      </c>
      <c r="F572" s="116">
        <v>384.85</v>
      </c>
      <c r="G572">
        <v>6973</v>
      </c>
      <c r="H572" s="116"/>
      <c r="I572" s="116"/>
      <c r="L572" s="170">
        <v>43558</v>
      </c>
      <c r="M572" s="116">
        <v>77.09</v>
      </c>
      <c r="N572" s="116">
        <v>80.83</v>
      </c>
      <c r="O572" s="116">
        <v>76.8</v>
      </c>
      <c r="P572" s="116">
        <v>78.23</v>
      </c>
      <c r="Q572" s="116">
        <v>385.45</v>
      </c>
      <c r="R572">
        <v>80929</v>
      </c>
    </row>
    <row r="573" spans="1:18" x14ac:dyDescent="0.25">
      <c r="A573" s="170">
        <v>43559</v>
      </c>
      <c r="B573" s="116">
        <v>78.599999999999994</v>
      </c>
      <c r="C573" s="116">
        <v>77.5</v>
      </c>
      <c r="D573" s="116">
        <v>77.08</v>
      </c>
      <c r="E573" s="116">
        <v>78.010000000000005</v>
      </c>
      <c r="F573" s="116">
        <v>387.5</v>
      </c>
      <c r="G573">
        <v>1944</v>
      </c>
      <c r="H573" s="116"/>
      <c r="I573" s="116"/>
      <c r="L573" s="170">
        <v>43559</v>
      </c>
      <c r="M573" s="116">
        <v>77.23</v>
      </c>
      <c r="N573" s="116">
        <v>78.709999999999994</v>
      </c>
      <c r="O573" s="116">
        <v>77</v>
      </c>
      <c r="P573" s="116">
        <v>77.56</v>
      </c>
      <c r="Q573" s="116">
        <v>386.15</v>
      </c>
      <c r="R573">
        <v>44038</v>
      </c>
    </row>
    <row r="574" spans="1:18" x14ac:dyDescent="0.25">
      <c r="A574" s="170">
        <v>43560</v>
      </c>
      <c r="B574" s="116">
        <v>78.8</v>
      </c>
      <c r="C574" s="116">
        <v>78.180000000000007</v>
      </c>
      <c r="D574" s="116">
        <v>77.03</v>
      </c>
      <c r="E574" s="116">
        <v>77.03</v>
      </c>
      <c r="F574" s="116">
        <v>390.9</v>
      </c>
      <c r="G574">
        <v>1498</v>
      </c>
      <c r="H574" s="116"/>
      <c r="I574" s="116"/>
      <c r="L574" s="170">
        <v>43560</v>
      </c>
      <c r="M574" s="116">
        <v>78.05</v>
      </c>
      <c r="N574" s="116">
        <v>78.8</v>
      </c>
      <c r="O574" s="116">
        <v>77.66</v>
      </c>
      <c r="P574" s="116">
        <v>77.7</v>
      </c>
      <c r="Q574" s="116">
        <v>390.25</v>
      </c>
      <c r="R574">
        <v>23166</v>
      </c>
    </row>
    <row r="575" spans="1:18" x14ac:dyDescent="0.25">
      <c r="A575" s="170">
        <v>43563</v>
      </c>
      <c r="B575" s="116">
        <v>80</v>
      </c>
      <c r="C575" s="116">
        <v>79.92</v>
      </c>
      <c r="D575" s="116">
        <v>77.599999999999994</v>
      </c>
      <c r="E575" s="116">
        <v>77.599999999999994</v>
      </c>
      <c r="F575" s="116">
        <v>399.6</v>
      </c>
      <c r="G575">
        <v>3236</v>
      </c>
      <c r="H575" s="116"/>
      <c r="I575" s="116"/>
      <c r="L575" s="170">
        <v>43563</v>
      </c>
      <c r="M575" s="116">
        <v>79.92</v>
      </c>
      <c r="N575" s="116">
        <v>80.099999999999994</v>
      </c>
      <c r="O575" s="116">
        <v>77</v>
      </c>
      <c r="P575" s="116">
        <v>77.22</v>
      </c>
      <c r="Q575" s="116">
        <v>399.6</v>
      </c>
      <c r="R575">
        <v>123419</v>
      </c>
    </row>
    <row r="576" spans="1:18" x14ac:dyDescent="0.25">
      <c r="A576" s="170">
        <v>43564</v>
      </c>
      <c r="B576" s="116">
        <v>80.8</v>
      </c>
      <c r="C576" s="116">
        <v>80.290000000000006</v>
      </c>
      <c r="D576" s="116">
        <v>79.599999999999994</v>
      </c>
      <c r="E576" s="116">
        <v>80.400000000000006</v>
      </c>
      <c r="F576" s="116">
        <v>401.45</v>
      </c>
      <c r="G576">
        <v>3429</v>
      </c>
      <c r="H576" s="116"/>
      <c r="I576" s="116"/>
      <c r="L576" s="170">
        <v>43564</v>
      </c>
      <c r="M576" s="116">
        <v>80.17</v>
      </c>
      <c r="N576" s="116">
        <v>81.099999999999994</v>
      </c>
      <c r="O576" s="116">
        <v>79.61</v>
      </c>
      <c r="P576" s="116">
        <v>80.3</v>
      </c>
      <c r="Q576" s="116">
        <v>400.85</v>
      </c>
      <c r="R576">
        <v>48865</v>
      </c>
    </row>
    <row r="577" spans="1:18" x14ac:dyDescent="0.25">
      <c r="A577" s="170">
        <v>43565</v>
      </c>
      <c r="B577" s="116">
        <v>81</v>
      </c>
      <c r="C577" s="116">
        <v>80.739999999999995</v>
      </c>
      <c r="D577" s="116">
        <v>79</v>
      </c>
      <c r="E577" s="116">
        <v>79</v>
      </c>
      <c r="F577" s="116">
        <v>403.7</v>
      </c>
      <c r="G577">
        <v>2144</v>
      </c>
      <c r="H577" s="116"/>
      <c r="I577" s="116"/>
      <c r="L577" s="170">
        <v>43565</v>
      </c>
      <c r="M577" s="116">
        <v>80.67</v>
      </c>
      <c r="N577" s="116">
        <v>81</v>
      </c>
      <c r="O577" s="116">
        <v>79.06</v>
      </c>
      <c r="P577" s="116">
        <v>79.06</v>
      </c>
      <c r="Q577" s="116">
        <v>403.35</v>
      </c>
      <c r="R577">
        <v>27739</v>
      </c>
    </row>
    <row r="578" spans="1:18" x14ac:dyDescent="0.25">
      <c r="A578" s="170">
        <v>43566</v>
      </c>
      <c r="B578" s="116">
        <v>81.5</v>
      </c>
      <c r="C578" s="116">
        <v>80.38</v>
      </c>
      <c r="D578" s="116">
        <v>79.45</v>
      </c>
      <c r="E578" s="116">
        <v>81</v>
      </c>
      <c r="F578" s="116">
        <v>401.9</v>
      </c>
      <c r="G578">
        <v>5800</v>
      </c>
      <c r="H578" s="116"/>
      <c r="I578" s="116"/>
      <c r="L578" s="170">
        <v>43566</v>
      </c>
      <c r="M578" s="116">
        <v>80.11</v>
      </c>
      <c r="N578" s="116">
        <v>81.7</v>
      </c>
      <c r="O578" s="116">
        <v>79.599999999999994</v>
      </c>
      <c r="P578" s="116">
        <v>81.5</v>
      </c>
      <c r="Q578" s="116">
        <v>400.55</v>
      </c>
      <c r="R578">
        <v>75281</v>
      </c>
    </row>
    <row r="579" spans="1:18" x14ac:dyDescent="0.25">
      <c r="A579" s="170">
        <v>43567</v>
      </c>
      <c r="B579" s="116">
        <v>80.680000000000007</v>
      </c>
      <c r="C579" s="116">
        <v>80.33</v>
      </c>
      <c r="D579" s="116">
        <v>79.88</v>
      </c>
      <c r="E579" s="116">
        <v>80.17</v>
      </c>
      <c r="F579" s="116">
        <v>401.65</v>
      </c>
      <c r="G579">
        <v>3282</v>
      </c>
      <c r="H579" s="116"/>
      <c r="I579" s="116"/>
      <c r="L579" s="170">
        <v>43567</v>
      </c>
      <c r="M579" s="116">
        <v>79.87</v>
      </c>
      <c r="N579" s="116">
        <v>80.989999999999995</v>
      </c>
      <c r="O579" s="116">
        <v>79.13</v>
      </c>
      <c r="P579" s="116">
        <v>80.41</v>
      </c>
      <c r="Q579" s="116">
        <v>399.35</v>
      </c>
      <c r="R579">
        <v>28592</v>
      </c>
    </row>
    <row r="580" spans="1:18" x14ac:dyDescent="0.25">
      <c r="A580" s="170">
        <v>43570</v>
      </c>
      <c r="B580" s="116">
        <v>81.099999999999994</v>
      </c>
      <c r="C580" s="116">
        <v>80.709999999999994</v>
      </c>
      <c r="D580" s="116">
        <v>80.510000000000005</v>
      </c>
      <c r="E580" s="116">
        <v>80.989999999999995</v>
      </c>
      <c r="F580" s="116">
        <v>403.55</v>
      </c>
      <c r="G580">
        <v>1784</v>
      </c>
      <c r="H580" s="116"/>
      <c r="I580" s="116"/>
      <c r="L580" s="170">
        <v>43570</v>
      </c>
      <c r="M580" s="116">
        <v>80.73</v>
      </c>
      <c r="N580" s="116">
        <v>81.099999999999994</v>
      </c>
      <c r="O580" s="116">
        <v>80.11</v>
      </c>
      <c r="P580" s="116">
        <v>80.11</v>
      </c>
      <c r="Q580" s="116">
        <v>403.65</v>
      </c>
      <c r="R580">
        <v>54818</v>
      </c>
    </row>
    <row r="581" spans="1:18" x14ac:dyDescent="0.25">
      <c r="A581" s="170">
        <v>43571</v>
      </c>
      <c r="B581" s="116">
        <v>80.959999999999994</v>
      </c>
      <c r="C581" s="116">
        <v>80.150000000000006</v>
      </c>
      <c r="D581" s="116">
        <v>79.28</v>
      </c>
      <c r="E581" s="116">
        <v>80.16</v>
      </c>
      <c r="F581" s="116">
        <v>400.75</v>
      </c>
      <c r="G581">
        <v>7495</v>
      </c>
      <c r="H581" s="116"/>
      <c r="I581" s="116"/>
      <c r="L581" s="170">
        <v>43571</v>
      </c>
      <c r="M581" s="116">
        <v>80.25</v>
      </c>
      <c r="N581" s="116">
        <v>81</v>
      </c>
      <c r="O581" s="116">
        <v>79.11</v>
      </c>
      <c r="P581" s="116">
        <v>80.2</v>
      </c>
      <c r="Q581" s="116">
        <v>401.25</v>
      </c>
      <c r="R581">
        <v>67162</v>
      </c>
    </row>
    <row r="582" spans="1:18" x14ac:dyDescent="0.25">
      <c r="A582" s="170">
        <v>43573</v>
      </c>
      <c r="B582" s="116">
        <v>80.05</v>
      </c>
      <c r="C582" s="116">
        <v>79.099999999999994</v>
      </c>
      <c r="D582" s="116">
        <v>77.84</v>
      </c>
      <c r="E582" s="116">
        <v>80.05</v>
      </c>
      <c r="F582" s="116">
        <v>395.5</v>
      </c>
      <c r="G582">
        <v>5107</v>
      </c>
      <c r="H582" s="116"/>
      <c r="I582" s="116"/>
      <c r="L582" s="170">
        <v>43573</v>
      </c>
      <c r="M582" s="116">
        <v>79.41</v>
      </c>
      <c r="N582" s="116">
        <v>80.41</v>
      </c>
      <c r="O582" s="116">
        <v>78.02</v>
      </c>
      <c r="P582" s="116">
        <v>80.2</v>
      </c>
      <c r="Q582" s="116">
        <v>397.05</v>
      </c>
      <c r="R582">
        <v>61678</v>
      </c>
    </row>
    <row r="583" spans="1:18" x14ac:dyDescent="0.25">
      <c r="A583" s="170">
        <v>43577</v>
      </c>
      <c r="B583" s="116">
        <v>77.790000000000006</v>
      </c>
      <c r="C583" s="116">
        <v>77.3</v>
      </c>
      <c r="D583" s="116">
        <v>76.64</v>
      </c>
      <c r="E583" s="116">
        <v>77.790000000000006</v>
      </c>
      <c r="F583" s="116">
        <v>386.5</v>
      </c>
      <c r="G583">
        <v>5064</v>
      </c>
      <c r="H583" s="116"/>
      <c r="I583" s="116"/>
      <c r="L583" s="170">
        <v>43577</v>
      </c>
      <c r="M583" s="116">
        <v>77.569999999999993</v>
      </c>
      <c r="N583" s="116">
        <v>78.98</v>
      </c>
      <c r="O583" s="116">
        <v>76.650000000000006</v>
      </c>
      <c r="P583" s="116">
        <v>78.89</v>
      </c>
      <c r="Q583" s="116">
        <v>387.85</v>
      </c>
      <c r="R583">
        <v>94724</v>
      </c>
    </row>
    <row r="584" spans="1:18" x14ac:dyDescent="0.25">
      <c r="A584" s="170">
        <v>43578</v>
      </c>
      <c r="B584" s="116">
        <v>78.38</v>
      </c>
      <c r="C584" s="116">
        <v>77.95</v>
      </c>
      <c r="D584" s="116">
        <v>76.84</v>
      </c>
      <c r="E584" s="116">
        <v>77.790000000000006</v>
      </c>
      <c r="F584" s="116">
        <v>389.75</v>
      </c>
      <c r="G584">
        <v>1640</v>
      </c>
      <c r="H584" s="116"/>
      <c r="I584" s="116"/>
      <c r="L584" s="170">
        <v>43578</v>
      </c>
      <c r="M584" s="116">
        <v>77.64</v>
      </c>
      <c r="N584" s="116">
        <v>78.19</v>
      </c>
      <c r="O584" s="116">
        <v>77</v>
      </c>
      <c r="P584" s="116">
        <v>77.8</v>
      </c>
      <c r="Q584" s="116">
        <v>388.2</v>
      </c>
      <c r="R584">
        <v>50492</v>
      </c>
    </row>
    <row r="585" spans="1:18" x14ac:dyDescent="0.25">
      <c r="A585" s="170">
        <v>43579</v>
      </c>
      <c r="B585" s="116">
        <v>78.06</v>
      </c>
      <c r="C585" s="116">
        <v>77.62</v>
      </c>
      <c r="D585" s="116">
        <v>77.2</v>
      </c>
      <c r="E585" s="116">
        <v>77.2</v>
      </c>
      <c r="F585" s="116">
        <v>388.1</v>
      </c>
      <c r="G585">
        <v>2967</v>
      </c>
      <c r="H585" s="116"/>
      <c r="I585" s="116"/>
      <c r="L585" s="170">
        <v>43579</v>
      </c>
      <c r="M585" s="116">
        <v>77.92</v>
      </c>
      <c r="N585" s="116">
        <v>78.56</v>
      </c>
      <c r="O585" s="116">
        <v>77.02</v>
      </c>
      <c r="P585" s="116">
        <v>77.599999999999994</v>
      </c>
      <c r="Q585" s="116">
        <v>389.6</v>
      </c>
      <c r="R585">
        <v>53306</v>
      </c>
    </row>
    <row r="586" spans="1:18" x14ac:dyDescent="0.25">
      <c r="A586" s="170">
        <v>43580</v>
      </c>
      <c r="B586" s="116">
        <v>77.86</v>
      </c>
      <c r="C586" s="116">
        <v>77.28</v>
      </c>
      <c r="D586" s="116">
        <v>77</v>
      </c>
      <c r="E586" s="116">
        <v>77.48</v>
      </c>
      <c r="F586" s="116">
        <v>386.4</v>
      </c>
      <c r="G586">
        <v>2169</v>
      </c>
      <c r="H586" s="116"/>
      <c r="I586" s="116"/>
      <c r="L586" s="170">
        <v>43580</v>
      </c>
      <c r="M586" s="116">
        <v>77.58</v>
      </c>
      <c r="N586" s="116">
        <v>78</v>
      </c>
      <c r="O586" s="116">
        <v>77.3</v>
      </c>
      <c r="P586" s="116">
        <v>77.650000000000006</v>
      </c>
      <c r="Q586" s="116">
        <v>387.9</v>
      </c>
      <c r="R586">
        <v>45969</v>
      </c>
    </row>
    <row r="587" spans="1:18" x14ac:dyDescent="0.25">
      <c r="A587" s="170">
        <v>43581</v>
      </c>
      <c r="B587" s="116">
        <v>78</v>
      </c>
      <c r="C587" s="116">
        <v>77.37</v>
      </c>
      <c r="D587" s="116">
        <v>77.2</v>
      </c>
      <c r="E587" s="116">
        <v>77.44</v>
      </c>
      <c r="F587" s="116">
        <v>386.85</v>
      </c>
      <c r="G587">
        <v>881</v>
      </c>
      <c r="H587" s="116"/>
      <c r="I587" s="116"/>
      <c r="L587" s="170">
        <v>43581</v>
      </c>
      <c r="M587" s="116">
        <v>77.55</v>
      </c>
      <c r="N587" s="116">
        <v>78</v>
      </c>
      <c r="O587" s="116">
        <v>77</v>
      </c>
      <c r="P587" s="116">
        <v>77.89</v>
      </c>
      <c r="Q587" s="116">
        <v>387.75</v>
      </c>
      <c r="R587">
        <v>48620</v>
      </c>
    </row>
    <row r="588" spans="1:18" x14ac:dyDescent="0.25">
      <c r="A588" s="170">
        <v>43585</v>
      </c>
      <c r="B588" s="116">
        <v>77.599999999999994</v>
      </c>
      <c r="C588" s="116">
        <v>76.39</v>
      </c>
      <c r="D588" s="116">
        <v>75.83</v>
      </c>
      <c r="E588" s="116">
        <v>77.599999999999994</v>
      </c>
      <c r="F588" s="116">
        <v>381.95</v>
      </c>
      <c r="G588">
        <v>2217</v>
      </c>
      <c r="H588" s="116"/>
      <c r="I588" s="116"/>
      <c r="L588" s="170">
        <v>43585</v>
      </c>
      <c r="M588" s="116">
        <v>76.459999999999994</v>
      </c>
      <c r="N588" s="116">
        <v>77.55</v>
      </c>
      <c r="O588" s="116">
        <v>75.45</v>
      </c>
      <c r="P588" s="116">
        <v>77.02</v>
      </c>
      <c r="Q588" s="116">
        <v>382.3</v>
      </c>
      <c r="R588">
        <v>62696</v>
      </c>
    </row>
    <row r="589" spans="1:18" x14ac:dyDescent="0.25">
      <c r="A589" s="170">
        <v>43587</v>
      </c>
      <c r="B589" s="116">
        <v>81.38</v>
      </c>
      <c r="C589" s="116">
        <v>80.69</v>
      </c>
      <c r="D589" s="116">
        <v>76.61</v>
      </c>
      <c r="E589" s="116">
        <v>77.989999999999995</v>
      </c>
      <c r="F589" s="116">
        <v>403.45</v>
      </c>
      <c r="G589">
        <v>5008</v>
      </c>
      <c r="H589" s="116"/>
      <c r="I589" s="116"/>
      <c r="L589" s="170">
        <v>43587</v>
      </c>
      <c r="M589" s="116">
        <v>80.930000000000007</v>
      </c>
      <c r="N589" s="116">
        <v>81.5</v>
      </c>
      <c r="O589" s="116">
        <v>76.099999999999994</v>
      </c>
      <c r="P589" s="116">
        <v>76.099999999999994</v>
      </c>
      <c r="Q589" s="116">
        <v>404.65</v>
      </c>
      <c r="R589">
        <v>162263</v>
      </c>
    </row>
    <row r="590" spans="1:18" x14ac:dyDescent="0.25">
      <c r="A590" s="170">
        <v>43588</v>
      </c>
      <c r="B590" s="116">
        <v>80.8</v>
      </c>
      <c r="C590" s="116">
        <v>79.989999999999995</v>
      </c>
      <c r="D590" s="116">
        <v>78.88</v>
      </c>
      <c r="E590" s="116">
        <v>80.5</v>
      </c>
      <c r="F590" s="116">
        <v>399.95</v>
      </c>
      <c r="G590">
        <v>15392</v>
      </c>
      <c r="H590" s="116"/>
      <c r="I590" s="116"/>
      <c r="L590" s="170">
        <v>43588</v>
      </c>
      <c r="M590" s="116">
        <v>79.849999999999994</v>
      </c>
      <c r="N590" s="116">
        <v>81.19</v>
      </c>
      <c r="O590" s="116">
        <v>77.8</v>
      </c>
      <c r="P590" s="116">
        <v>79.989999999999995</v>
      </c>
      <c r="Q590" s="116">
        <v>399.25</v>
      </c>
      <c r="R590">
        <v>104475</v>
      </c>
    </row>
    <row r="591" spans="1:18" x14ac:dyDescent="0.25">
      <c r="A591" s="170">
        <v>43591</v>
      </c>
      <c r="B591" s="116">
        <v>79</v>
      </c>
      <c r="C591" s="116">
        <v>77.83</v>
      </c>
      <c r="D591" s="116">
        <v>77.55</v>
      </c>
      <c r="E591" s="116">
        <v>78.92</v>
      </c>
      <c r="F591" s="116">
        <v>389.15</v>
      </c>
      <c r="G591">
        <v>1256</v>
      </c>
      <c r="H591" s="116"/>
      <c r="I591" s="116"/>
      <c r="L591" s="170">
        <v>43591</v>
      </c>
      <c r="M591" s="116">
        <v>78</v>
      </c>
      <c r="N591" s="116">
        <v>79.8</v>
      </c>
      <c r="O591" s="116">
        <v>77.599999999999994</v>
      </c>
      <c r="P591" s="116">
        <v>79.8</v>
      </c>
      <c r="Q591" s="116">
        <v>390</v>
      </c>
      <c r="R591">
        <v>24277</v>
      </c>
    </row>
    <row r="592" spans="1:18" x14ac:dyDescent="0.25">
      <c r="A592" s="170">
        <v>43592</v>
      </c>
      <c r="B592" s="116">
        <v>78.52</v>
      </c>
      <c r="C592" s="116">
        <v>77.19</v>
      </c>
      <c r="D592" s="116">
        <v>76.25</v>
      </c>
      <c r="E592" s="116">
        <v>78.52</v>
      </c>
      <c r="F592" s="116">
        <v>385.95</v>
      </c>
      <c r="G592">
        <v>5500</v>
      </c>
      <c r="H592" s="116"/>
      <c r="I592" s="116"/>
      <c r="L592" s="170">
        <v>43592</v>
      </c>
      <c r="M592" s="116">
        <v>77.33</v>
      </c>
      <c r="N592" s="116">
        <v>79.19</v>
      </c>
      <c r="O592" s="116">
        <v>76.239999999999995</v>
      </c>
      <c r="P592" s="116">
        <v>78.78</v>
      </c>
      <c r="Q592" s="116">
        <v>386.65</v>
      </c>
      <c r="R592">
        <v>34463</v>
      </c>
    </row>
    <row r="593" spans="1:18" x14ac:dyDescent="0.25">
      <c r="A593" s="170">
        <v>43593</v>
      </c>
      <c r="B593" s="116">
        <v>77</v>
      </c>
      <c r="C593" s="116">
        <v>76.03</v>
      </c>
      <c r="D593" s="116">
        <v>75.739999999999995</v>
      </c>
      <c r="E593" s="116">
        <v>76.849999999999994</v>
      </c>
      <c r="F593" s="116">
        <v>380.15</v>
      </c>
      <c r="G593">
        <v>4063</v>
      </c>
      <c r="H593" s="116"/>
      <c r="I593" s="116"/>
      <c r="L593" s="170">
        <v>43593</v>
      </c>
      <c r="M593" s="116">
        <v>76.13</v>
      </c>
      <c r="N593" s="116">
        <v>78.08</v>
      </c>
      <c r="O593" s="116">
        <v>76</v>
      </c>
      <c r="P593" s="116">
        <v>78.08</v>
      </c>
      <c r="Q593" s="116">
        <v>380.65</v>
      </c>
      <c r="R593">
        <v>47516</v>
      </c>
    </row>
    <row r="594" spans="1:18" x14ac:dyDescent="0.25">
      <c r="A594" s="170">
        <v>43594</v>
      </c>
      <c r="B594" s="116">
        <v>77.2</v>
      </c>
      <c r="C594" s="116">
        <v>76.61</v>
      </c>
      <c r="D594" s="116">
        <v>76.099999999999994</v>
      </c>
      <c r="E594" s="116">
        <v>76.099999999999994</v>
      </c>
      <c r="F594" s="116">
        <v>383.05</v>
      </c>
      <c r="G594">
        <v>983</v>
      </c>
      <c r="H594" s="116"/>
      <c r="I594" s="116"/>
      <c r="L594" s="170">
        <v>43594</v>
      </c>
      <c r="M594" s="116">
        <v>76.77</v>
      </c>
      <c r="N594" s="116">
        <v>77.099999999999994</v>
      </c>
      <c r="O594" s="116">
        <v>76.02</v>
      </c>
      <c r="P594" s="116">
        <v>76.739999999999995</v>
      </c>
      <c r="Q594" s="116">
        <v>383.85</v>
      </c>
      <c r="R594">
        <v>18912</v>
      </c>
    </row>
    <row r="595" spans="1:18" x14ac:dyDescent="0.25">
      <c r="A595" s="170">
        <v>43595</v>
      </c>
      <c r="B595" s="116">
        <v>78.47</v>
      </c>
      <c r="C595" s="116">
        <v>77.33</v>
      </c>
      <c r="D595" s="116">
        <v>76.81</v>
      </c>
      <c r="E595" s="116">
        <v>76.81</v>
      </c>
      <c r="F595" s="116">
        <v>386.65</v>
      </c>
      <c r="G595">
        <v>3488</v>
      </c>
      <c r="H595" s="116"/>
      <c r="I595" s="116"/>
      <c r="L595" s="170">
        <v>43595</v>
      </c>
      <c r="M595" s="116">
        <v>77.23</v>
      </c>
      <c r="N595" s="116">
        <v>77.819999999999993</v>
      </c>
      <c r="O595" s="116">
        <v>76.41</v>
      </c>
      <c r="P595" s="116">
        <v>76.41</v>
      </c>
      <c r="Q595" s="116">
        <v>386.15</v>
      </c>
      <c r="R595">
        <v>14817</v>
      </c>
    </row>
    <row r="596" spans="1:18" x14ac:dyDescent="0.25">
      <c r="A596" s="170">
        <v>43598</v>
      </c>
      <c r="B596" s="116">
        <v>76.680000000000007</v>
      </c>
      <c r="C596" s="116">
        <v>75.56</v>
      </c>
      <c r="D596" s="116">
        <v>75.2</v>
      </c>
      <c r="E596" s="116">
        <v>76.64</v>
      </c>
      <c r="F596" s="116">
        <v>377.8</v>
      </c>
      <c r="G596">
        <v>597</v>
      </c>
      <c r="H596" s="116"/>
      <c r="I596" s="116"/>
      <c r="L596" s="170">
        <v>43598</v>
      </c>
      <c r="M596" s="116">
        <v>75.63</v>
      </c>
      <c r="N596" s="116">
        <v>79.2</v>
      </c>
      <c r="O596" s="116">
        <v>75.099999999999994</v>
      </c>
      <c r="P596" s="116">
        <v>78</v>
      </c>
      <c r="Q596" s="116">
        <v>378.15</v>
      </c>
      <c r="R596">
        <v>38407</v>
      </c>
    </row>
    <row r="597" spans="1:18" x14ac:dyDescent="0.25">
      <c r="A597" s="170">
        <v>43599</v>
      </c>
      <c r="B597" s="116">
        <v>76</v>
      </c>
      <c r="C597" s="116">
        <v>75.63</v>
      </c>
      <c r="D597" s="116">
        <v>73.73</v>
      </c>
      <c r="E597" s="116">
        <v>75.2</v>
      </c>
      <c r="F597" s="116">
        <v>378.15</v>
      </c>
      <c r="G597">
        <v>2661</v>
      </c>
      <c r="H597" s="116"/>
      <c r="I597" s="116"/>
      <c r="L597" s="170">
        <v>43599</v>
      </c>
      <c r="M597" s="116">
        <v>75.77</v>
      </c>
      <c r="N597" s="116">
        <v>76.2</v>
      </c>
      <c r="O597" s="116">
        <v>73.52</v>
      </c>
      <c r="P597" s="116">
        <v>75.63</v>
      </c>
      <c r="Q597" s="116">
        <v>378.85</v>
      </c>
      <c r="R597">
        <v>43873</v>
      </c>
    </row>
    <row r="598" spans="1:18" x14ac:dyDescent="0.25">
      <c r="A598" s="170">
        <v>43600</v>
      </c>
      <c r="B598" s="116">
        <v>76</v>
      </c>
      <c r="C598" s="116">
        <v>74.040000000000006</v>
      </c>
      <c r="D598" s="116">
        <v>73.8</v>
      </c>
      <c r="E598" s="116">
        <v>75.37</v>
      </c>
      <c r="F598" s="116">
        <v>370.2</v>
      </c>
      <c r="G598">
        <v>1677</v>
      </c>
      <c r="H598" s="116"/>
      <c r="I598" s="116"/>
      <c r="L598" s="170">
        <v>43600</v>
      </c>
      <c r="M598" s="116">
        <v>74.02</v>
      </c>
      <c r="N598" s="116">
        <v>76.25</v>
      </c>
      <c r="O598" s="116">
        <v>73.650000000000006</v>
      </c>
      <c r="P598" s="116">
        <v>76.25</v>
      </c>
      <c r="Q598" s="116">
        <v>370.1</v>
      </c>
      <c r="R598">
        <v>26976</v>
      </c>
    </row>
    <row r="599" spans="1:18" x14ac:dyDescent="0.25">
      <c r="A599" s="170">
        <v>43601</v>
      </c>
      <c r="B599" s="116">
        <v>75.2</v>
      </c>
      <c r="C599" s="116">
        <v>75.08</v>
      </c>
      <c r="D599" s="116">
        <v>73.92</v>
      </c>
      <c r="E599" s="116">
        <v>74.7</v>
      </c>
      <c r="F599" s="116">
        <v>375.4</v>
      </c>
      <c r="G599">
        <v>4875</v>
      </c>
      <c r="H599" s="116"/>
      <c r="I599" s="116"/>
      <c r="L599" s="170">
        <v>43601</v>
      </c>
      <c r="M599" s="116">
        <v>74.680000000000007</v>
      </c>
      <c r="N599" s="116">
        <v>75.03</v>
      </c>
      <c r="O599" s="116">
        <v>73.78</v>
      </c>
      <c r="P599" s="116">
        <v>74.459999999999994</v>
      </c>
      <c r="Q599" s="116">
        <v>373.4</v>
      </c>
      <c r="R599">
        <v>44696</v>
      </c>
    </row>
    <row r="600" spans="1:18" x14ac:dyDescent="0.25">
      <c r="A600" s="170">
        <v>43602</v>
      </c>
      <c r="B600" s="116">
        <v>75</v>
      </c>
      <c r="C600" s="116">
        <v>74.599999999999994</v>
      </c>
      <c r="D600" s="116">
        <v>74.2</v>
      </c>
      <c r="E600" s="116">
        <v>74.8</v>
      </c>
      <c r="F600" s="116">
        <v>373</v>
      </c>
      <c r="G600">
        <v>2679</v>
      </c>
      <c r="H600" s="116"/>
      <c r="I600" s="116"/>
      <c r="L600" s="170">
        <v>43602</v>
      </c>
      <c r="M600" s="116">
        <v>74.599999999999994</v>
      </c>
      <c r="N600" s="116">
        <v>75.37</v>
      </c>
      <c r="O600" s="116">
        <v>74</v>
      </c>
      <c r="P600" s="116">
        <v>75.37</v>
      </c>
      <c r="Q600" s="116">
        <v>373</v>
      </c>
      <c r="R600">
        <v>59953</v>
      </c>
    </row>
    <row r="601" spans="1:18" x14ac:dyDescent="0.25">
      <c r="A601" s="170">
        <v>43605</v>
      </c>
      <c r="B601" s="116">
        <v>76</v>
      </c>
      <c r="C601" s="116">
        <v>75.209999999999994</v>
      </c>
      <c r="D601" s="116">
        <v>74.400000000000006</v>
      </c>
      <c r="E601" s="116">
        <v>75.63</v>
      </c>
      <c r="F601" s="116">
        <v>376.05</v>
      </c>
      <c r="G601">
        <v>3349</v>
      </c>
      <c r="H601" s="116"/>
      <c r="I601" s="116"/>
      <c r="L601" s="170">
        <v>43605</v>
      </c>
      <c r="M601" s="116">
        <v>75.31</v>
      </c>
      <c r="N601" s="116">
        <v>76.2</v>
      </c>
      <c r="O601" s="116">
        <v>74.709999999999994</v>
      </c>
      <c r="P601" s="116">
        <v>76.2</v>
      </c>
      <c r="Q601" s="116">
        <v>376.55</v>
      </c>
      <c r="R601">
        <v>34490</v>
      </c>
    </row>
    <row r="602" spans="1:18" x14ac:dyDescent="0.25">
      <c r="A602" s="170">
        <v>43606</v>
      </c>
      <c r="B602" s="116">
        <v>75.03</v>
      </c>
      <c r="C602" s="116">
        <v>74.09</v>
      </c>
      <c r="D602" s="116">
        <v>73.8</v>
      </c>
      <c r="E602" s="116">
        <v>74.400000000000006</v>
      </c>
      <c r="F602" s="116">
        <v>370.45</v>
      </c>
      <c r="G602">
        <v>1514</v>
      </c>
      <c r="H602" s="116"/>
      <c r="I602" s="116"/>
      <c r="L602" s="170">
        <v>43606</v>
      </c>
      <c r="M602" s="116">
        <v>74.319999999999993</v>
      </c>
      <c r="N602" s="116">
        <v>75.16</v>
      </c>
      <c r="O602" s="116">
        <v>73.81</v>
      </c>
      <c r="P602" s="116">
        <v>74.42</v>
      </c>
      <c r="Q602" s="116">
        <v>371.6</v>
      </c>
      <c r="R602">
        <v>25905</v>
      </c>
    </row>
    <row r="603" spans="1:18" x14ac:dyDescent="0.25">
      <c r="A603" s="170">
        <v>43607</v>
      </c>
      <c r="B603" s="116">
        <v>75.88</v>
      </c>
      <c r="C603" s="116">
        <v>75.099999999999994</v>
      </c>
      <c r="D603" s="116">
        <v>73.760000000000005</v>
      </c>
      <c r="E603" s="116">
        <v>74.2</v>
      </c>
      <c r="F603" s="116">
        <v>375.5</v>
      </c>
      <c r="G603">
        <v>2457</v>
      </c>
      <c r="H603" s="116"/>
      <c r="I603" s="116"/>
      <c r="L603" s="170">
        <v>43607</v>
      </c>
      <c r="M603" s="116">
        <v>75.150000000000006</v>
      </c>
      <c r="N603" s="116">
        <v>75.86</v>
      </c>
      <c r="O603" s="116">
        <v>73.58</v>
      </c>
      <c r="P603" s="116">
        <v>74</v>
      </c>
      <c r="Q603" s="116">
        <v>375.75</v>
      </c>
      <c r="R603">
        <v>24552</v>
      </c>
    </row>
    <row r="604" spans="1:18" x14ac:dyDescent="0.25">
      <c r="A604" s="170">
        <v>43608</v>
      </c>
      <c r="B604" s="116">
        <v>75.95</v>
      </c>
      <c r="C604" s="116">
        <v>74.8</v>
      </c>
      <c r="D604" s="116">
        <v>74.400000000000006</v>
      </c>
      <c r="E604" s="116">
        <v>75.06</v>
      </c>
      <c r="F604" s="116">
        <v>374</v>
      </c>
      <c r="G604">
        <v>6669</v>
      </c>
      <c r="H604" s="116"/>
      <c r="I604" s="116"/>
      <c r="L604" s="170">
        <v>43608</v>
      </c>
      <c r="M604" s="116">
        <v>74.98</v>
      </c>
      <c r="N604" s="116">
        <v>76.489999999999995</v>
      </c>
      <c r="O604" s="116">
        <v>74.569999999999993</v>
      </c>
      <c r="P604" s="116">
        <v>75.52</v>
      </c>
      <c r="Q604" s="116">
        <v>374.9</v>
      </c>
      <c r="R604">
        <v>43494</v>
      </c>
    </row>
    <row r="605" spans="1:18" x14ac:dyDescent="0.25">
      <c r="A605" s="170">
        <v>43609</v>
      </c>
      <c r="B605" s="116">
        <v>75.849999999999994</v>
      </c>
      <c r="C605" s="116">
        <v>74.930000000000007</v>
      </c>
      <c r="D605" s="116">
        <v>74.709999999999994</v>
      </c>
      <c r="E605" s="116">
        <v>74.709999999999994</v>
      </c>
      <c r="F605" s="116">
        <v>374.65</v>
      </c>
      <c r="G605">
        <v>490</v>
      </c>
      <c r="H605" s="116"/>
      <c r="I605" s="116"/>
      <c r="L605" s="170">
        <v>43609</v>
      </c>
      <c r="M605" s="116">
        <v>74.78</v>
      </c>
      <c r="N605" s="116">
        <v>76.069999999999993</v>
      </c>
      <c r="O605" s="116">
        <v>74.2</v>
      </c>
      <c r="P605" s="116">
        <v>74.989999999999995</v>
      </c>
      <c r="Q605" s="116">
        <v>373.9</v>
      </c>
      <c r="R605">
        <v>32757</v>
      </c>
    </row>
    <row r="606" spans="1:18" x14ac:dyDescent="0.25">
      <c r="A606" s="170">
        <v>43612</v>
      </c>
      <c r="B606" s="116">
        <v>75.09</v>
      </c>
      <c r="C606" s="116">
        <v>74.45</v>
      </c>
      <c r="D606" s="116">
        <v>74.14</v>
      </c>
      <c r="E606" s="116">
        <v>75.09</v>
      </c>
      <c r="F606" s="116">
        <v>372.25</v>
      </c>
      <c r="G606">
        <v>1587</v>
      </c>
      <c r="H606" s="116"/>
      <c r="I606" s="116"/>
      <c r="L606" s="170">
        <v>43612</v>
      </c>
      <c r="M606" s="116">
        <v>74.47</v>
      </c>
      <c r="N606" s="116">
        <v>75.48</v>
      </c>
      <c r="O606" s="116">
        <v>73.81</v>
      </c>
      <c r="P606" s="116">
        <v>75.48</v>
      </c>
      <c r="Q606" s="116">
        <v>372.35</v>
      </c>
      <c r="R606">
        <v>25777</v>
      </c>
    </row>
    <row r="607" spans="1:18" x14ac:dyDescent="0.25">
      <c r="A607" s="170">
        <v>43613</v>
      </c>
      <c r="B607" s="116">
        <v>74.650000000000006</v>
      </c>
      <c r="C607" s="116">
        <v>72.150000000000006</v>
      </c>
      <c r="D607" s="116">
        <v>70.650000000000006</v>
      </c>
      <c r="E607" s="116">
        <v>74.05</v>
      </c>
      <c r="F607" s="116">
        <v>360.75</v>
      </c>
      <c r="G607">
        <v>8739</v>
      </c>
      <c r="H607" s="116"/>
      <c r="I607" s="116"/>
      <c r="L607" s="170">
        <v>43613</v>
      </c>
      <c r="M607" s="116">
        <v>71.91</v>
      </c>
      <c r="N607" s="116">
        <v>74.91</v>
      </c>
      <c r="O607" s="116">
        <v>70.48</v>
      </c>
      <c r="P607" s="116">
        <v>73.45</v>
      </c>
      <c r="Q607" s="116">
        <v>359.55</v>
      </c>
      <c r="R607">
        <v>88322</v>
      </c>
    </row>
    <row r="608" spans="1:18" x14ac:dyDescent="0.25">
      <c r="A608" s="170">
        <v>43614</v>
      </c>
      <c r="B608" s="116">
        <v>73.81</v>
      </c>
      <c r="C608" s="116">
        <v>73.72</v>
      </c>
      <c r="D608" s="116">
        <v>70.81</v>
      </c>
      <c r="E608" s="116">
        <v>72.67</v>
      </c>
      <c r="F608" s="116">
        <v>368.6</v>
      </c>
      <c r="G608">
        <v>11772</v>
      </c>
      <c r="H608" s="116"/>
      <c r="I608" s="116"/>
      <c r="L608" s="170">
        <v>43614</v>
      </c>
      <c r="M608" s="116">
        <v>72.48</v>
      </c>
      <c r="N608" s="116">
        <v>73.069999999999993</v>
      </c>
      <c r="O608" s="116">
        <v>70.84</v>
      </c>
      <c r="P608" s="116">
        <v>72.36</v>
      </c>
      <c r="Q608" s="116">
        <v>362.4</v>
      </c>
      <c r="R608">
        <v>59188</v>
      </c>
    </row>
    <row r="609" spans="1:18" x14ac:dyDescent="0.25">
      <c r="A609" s="170">
        <v>43615</v>
      </c>
      <c r="B609" s="116">
        <v>73.8</v>
      </c>
      <c r="C609" s="116">
        <v>72.569999999999993</v>
      </c>
      <c r="D609" s="116">
        <v>72</v>
      </c>
      <c r="E609" s="116">
        <v>72.02</v>
      </c>
      <c r="F609" s="116">
        <v>362.85</v>
      </c>
      <c r="G609">
        <v>3247</v>
      </c>
      <c r="H609" s="116"/>
      <c r="I609" s="116"/>
      <c r="L609" s="170">
        <v>43615</v>
      </c>
      <c r="M609" s="116">
        <v>72.569999999999993</v>
      </c>
      <c r="N609" s="116">
        <v>73</v>
      </c>
      <c r="O609" s="116">
        <v>71.81</v>
      </c>
      <c r="P609" s="116">
        <v>72.61</v>
      </c>
      <c r="Q609" s="116">
        <v>362.85</v>
      </c>
      <c r="R609">
        <v>34635</v>
      </c>
    </row>
    <row r="610" spans="1:18" x14ac:dyDescent="0.25">
      <c r="A610" s="170">
        <v>43616</v>
      </c>
      <c r="B610" s="116">
        <v>72.69</v>
      </c>
      <c r="C610" s="116">
        <v>71.95</v>
      </c>
      <c r="D610" s="116">
        <v>71.66</v>
      </c>
      <c r="E610" s="116">
        <v>72.28</v>
      </c>
      <c r="F610" s="116">
        <v>359.75</v>
      </c>
      <c r="G610">
        <v>4893</v>
      </c>
      <c r="H610" s="116"/>
      <c r="I610" s="116"/>
      <c r="L610" s="170">
        <v>43616</v>
      </c>
      <c r="M610" s="116">
        <v>72.11</v>
      </c>
      <c r="N610" s="116">
        <v>73.400000000000006</v>
      </c>
      <c r="O610" s="116">
        <v>71.8</v>
      </c>
      <c r="P610" s="116">
        <v>73.400000000000006</v>
      </c>
      <c r="Q610" s="116">
        <v>360.55</v>
      </c>
      <c r="R610">
        <v>29470</v>
      </c>
    </row>
    <row r="611" spans="1:18" x14ac:dyDescent="0.25">
      <c r="A611" s="170">
        <v>43619</v>
      </c>
      <c r="B611" s="116">
        <v>72.180000000000007</v>
      </c>
      <c r="C611" s="116">
        <v>72.11</v>
      </c>
      <c r="D611" s="116">
        <v>71.8</v>
      </c>
      <c r="E611" s="116">
        <v>72</v>
      </c>
      <c r="F611" s="116">
        <v>360.55</v>
      </c>
      <c r="G611">
        <v>650</v>
      </c>
      <c r="H611" s="116"/>
      <c r="I611" s="116"/>
      <c r="L611" s="170">
        <v>43619</v>
      </c>
      <c r="M611" s="116">
        <v>72.14</v>
      </c>
      <c r="N611" s="116">
        <v>72.400000000000006</v>
      </c>
      <c r="O611" s="116">
        <v>71.53</v>
      </c>
      <c r="P611" s="116">
        <v>72.010000000000005</v>
      </c>
      <c r="Q611" s="116">
        <v>360.7</v>
      </c>
      <c r="R611">
        <v>17947</v>
      </c>
    </row>
    <row r="612" spans="1:18" x14ac:dyDescent="0.25">
      <c r="A612" s="170">
        <v>43620</v>
      </c>
      <c r="B612" s="116">
        <v>72</v>
      </c>
      <c r="C612" s="116">
        <v>71.69</v>
      </c>
      <c r="D612" s="116">
        <v>71.459999999999994</v>
      </c>
      <c r="E612" s="116">
        <v>71.91</v>
      </c>
      <c r="F612" s="116">
        <v>358.45</v>
      </c>
      <c r="G612">
        <v>5394</v>
      </c>
      <c r="H612" s="116"/>
      <c r="I612" s="116"/>
      <c r="L612" s="170">
        <v>43620</v>
      </c>
      <c r="M612" s="116">
        <v>71.739999999999995</v>
      </c>
      <c r="N612" s="116">
        <v>73.19</v>
      </c>
      <c r="O612" s="116">
        <v>71.39</v>
      </c>
      <c r="P612" s="116">
        <v>73.19</v>
      </c>
      <c r="Q612" s="116">
        <v>358.7</v>
      </c>
      <c r="R612">
        <v>33479</v>
      </c>
    </row>
    <row r="613" spans="1:18" x14ac:dyDescent="0.25">
      <c r="A613" s="170">
        <v>43622</v>
      </c>
      <c r="B613" s="116">
        <v>71.599999999999994</v>
      </c>
      <c r="C613" s="116">
        <v>71.12</v>
      </c>
      <c r="D613" s="116">
        <v>70.680000000000007</v>
      </c>
      <c r="E613" s="116">
        <v>71.42</v>
      </c>
      <c r="F613" s="116">
        <v>355.6</v>
      </c>
      <c r="G613">
        <v>875</v>
      </c>
      <c r="H613" s="116"/>
      <c r="I613" s="116"/>
      <c r="L613" s="170">
        <v>43622</v>
      </c>
      <c r="M613" s="116">
        <v>71.010000000000005</v>
      </c>
      <c r="N613" s="116">
        <v>72.78</v>
      </c>
      <c r="O613" s="116">
        <v>70.900000000000006</v>
      </c>
      <c r="P613" s="116">
        <v>72.78</v>
      </c>
      <c r="Q613" s="116">
        <v>355.05</v>
      </c>
      <c r="R613">
        <v>32727</v>
      </c>
    </row>
    <row r="614" spans="1:18" x14ac:dyDescent="0.25">
      <c r="A614" s="170">
        <v>43623</v>
      </c>
      <c r="B614" s="116">
        <v>72</v>
      </c>
      <c r="C614" s="116">
        <v>70.8</v>
      </c>
      <c r="D614" s="116">
        <v>70.239999999999995</v>
      </c>
      <c r="E614" s="116">
        <v>71.39</v>
      </c>
      <c r="F614" s="116">
        <v>354</v>
      </c>
      <c r="G614">
        <v>2193</v>
      </c>
      <c r="H614" s="116"/>
      <c r="I614" s="116"/>
      <c r="L614" s="170">
        <v>43623</v>
      </c>
      <c r="M614" s="116">
        <v>70.599999999999994</v>
      </c>
      <c r="N614" s="116">
        <v>71.02</v>
      </c>
      <c r="O614" s="116">
        <v>70.41</v>
      </c>
      <c r="P614" s="116">
        <v>70.930000000000007</v>
      </c>
      <c r="Q614" s="116">
        <v>353</v>
      </c>
      <c r="R614">
        <v>21020</v>
      </c>
    </row>
    <row r="615" spans="1:18" x14ac:dyDescent="0.25">
      <c r="A615" s="170">
        <v>43626</v>
      </c>
      <c r="B615" s="116">
        <v>70.5</v>
      </c>
      <c r="C615" s="116">
        <v>69.930000000000007</v>
      </c>
      <c r="D615" s="116">
        <v>69.41</v>
      </c>
      <c r="E615" s="116">
        <v>70.5</v>
      </c>
      <c r="F615" s="116">
        <v>349.65</v>
      </c>
      <c r="G615">
        <v>1612</v>
      </c>
      <c r="H615" s="116"/>
      <c r="I615" s="116"/>
      <c r="L615" s="170">
        <v>43626</v>
      </c>
      <c r="M615" s="116">
        <v>69.930000000000007</v>
      </c>
      <c r="N615" s="116">
        <v>71.47</v>
      </c>
      <c r="O615" s="116">
        <v>69.23</v>
      </c>
      <c r="P615" s="116">
        <v>70.7</v>
      </c>
      <c r="Q615" s="116">
        <v>349.65</v>
      </c>
      <c r="R615">
        <v>72289</v>
      </c>
    </row>
    <row r="616" spans="1:18" x14ac:dyDescent="0.25">
      <c r="A616" s="170">
        <v>43627</v>
      </c>
      <c r="B616" s="116">
        <v>69.56</v>
      </c>
      <c r="C616" s="116">
        <v>69.37</v>
      </c>
      <c r="D616" s="116">
        <v>68.430000000000007</v>
      </c>
      <c r="E616" s="116">
        <v>69.44</v>
      </c>
      <c r="F616" s="116">
        <v>346.85</v>
      </c>
      <c r="G616">
        <v>16038</v>
      </c>
      <c r="H616" s="116"/>
      <c r="I616" s="116"/>
      <c r="L616" s="170">
        <v>43627</v>
      </c>
      <c r="M616" s="116">
        <v>69.11</v>
      </c>
      <c r="N616" s="116">
        <v>70.02</v>
      </c>
      <c r="O616" s="116">
        <v>68.58</v>
      </c>
      <c r="P616" s="116">
        <v>70</v>
      </c>
      <c r="Q616" s="116">
        <v>345.55</v>
      </c>
      <c r="R616">
        <v>30252</v>
      </c>
    </row>
    <row r="617" spans="1:18" x14ac:dyDescent="0.25">
      <c r="A617" s="170">
        <v>43628</v>
      </c>
      <c r="B617" s="116">
        <v>68.959999999999994</v>
      </c>
      <c r="C617" s="116">
        <v>68.099999999999994</v>
      </c>
      <c r="D617" s="116">
        <v>68.02</v>
      </c>
      <c r="E617" s="116">
        <v>68.599999999999994</v>
      </c>
      <c r="F617" s="116">
        <v>340.5</v>
      </c>
      <c r="G617">
        <v>1332</v>
      </c>
      <c r="H617" s="116"/>
      <c r="I617" s="116"/>
      <c r="L617" s="170">
        <v>43628</v>
      </c>
      <c r="M617" s="116">
        <v>68.34</v>
      </c>
      <c r="N617" s="116">
        <v>69.400000000000006</v>
      </c>
      <c r="O617" s="116">
        <v>68.010000000000005</v>
      </c>
      <c r="P617" s="116">
        <v>69.06</v>
      </c>
      <c r="Q617" s="116">
        <v>341.7</v>
      </c>
      <c r="R617">
        <v>20716</v>
      </c>
    </row>
    <row r="618" spans="1:18" x14ac:dyDescent="0.25">
      <c r="A618" s="170">
        <v>43629</v>
      </c>
      <c r="B618" s="116">
        <v>69.739999999999995</v>
      </c>
      <c r="C618" s="116">
        <v>67.19</v>
      </c>
      <c r="D618" s="116">
        <v>66.430000000000007</v>
      </c>
      <c r="E618" s="116">
        <v>68.17</v>
      </c>
      <c r="F618" s="116">
        <v>335.95</v>
      </c>
      <c r="G618">
        <v>746</v>
      </c>
      <c r="H618" s="116"/>
      <c r="I618" s="116"/>
      <c r="L618" s="170">
        <v>43629</v>
      </c>
      <c r="M618" s="116">
        <v>67.67</v>
      </c>
      <c r="N618" s="116">
        <v>69</v>
      </c>
      <c r="O618" s="116">
        <v>66.3</v>
      </c>
      <c r="P618" s="116">
        <v>69</v>
      </c>
      <c r="Q618" s="116">
        <v>338.35</v>
      </c>
      <c r="R618">
        <v>49192</v>
      </c>
    </row>
    <row r="619" spans="1:18" x14ac:dyDescent="0.25">
      <c r="A619" s="170">
        <v>43630</v>
      </c>
      <c r="B619" s="116">
        <v>68.290000000000006</v>
      </c>
      <c r="C619" s="116">
        <v>67.739999999999995</v>
      </c>
      <c r="D619" s="116">
        <v>66.53</v>
      </c>
      <c r="E619" s="116">
        <v>67.61</v>
      </c>
      <c r="F619" s="116">
        <v>338.7</v>
      </c>
      <c r="G619">
        <v>4244</v>
      </c>
      <c r="H619" s="116"/>
      <c r="I619" s="116"/>
      <c r="L619" s="170">
        <v>43630</v>
      </c>
      <c r="M619" s="116">
        <v>67.75</v>
      </c>
      <c r="N619" s="116">
        <v>68.400000000000006</v>
      </c>
      <c r="O619" s="116">
        <v>66.75</v>
      </c>
      <c r="P619" s="116">
        <v>67.2</v>
      </c>
      <c r="Q619" s="116">
        <v>338.75</v>
      </c>
      <c r="R619">
        <v>30938</v>
      </c>
    </row>
    <row r="620" spans="1:18" x14ac:dyDescent="0.25">
      <c r="A620" s="170">
        <v>43633</v>
      </c>
      <c r="B620" s="116">
        <v>70.16</v>
      </c>
      <c r="C620" s="116">
        <v>68.290000000000006</v>
      </c>
      <c r="D620" s="116">
        <v>67.959999999999994</v>
      </c>
      <c r="E620" s="116">
        <v>70.16</v>
      </c>
      <c r="F620" s="116">
        <v>341.45</v>
      </c>
      <c r="G620">
        <v>3675</v>
      </c>
      <c r="H620" s="116"/>
      <c r="I620" s="116"/>
      <c r="L620" s="170">
        <v>43633</v>
      </c>
      <c r="M620" s="116">
        <v>68.319999999999993</v>
      </c>
      <c r="N620" s="116">
        <v>69.98</v>
      </c>
      <c r="O620" s="116">
        <v>68</v>
      </c>
      <c r="P620" s="116">
        <v>69.98</v>
      </c>
      <c r="Q620" s="116">
        <v>341.6</v>
      </c>
      <c r="R620">
        <v>50737</v>
      </c>
    </row>
    <row r="621" spans="1:18" x14ac:dyDescent="0.25">
      <c r="A621" s="170">
        <v>43634</v>
      </c>
      <c r="B621" s="116">
        <v>68.319999999999993</v>
      </c>
      <c r="C621" s="116">
        <v>67.739999999999995</v>
      </c>
      <c r="D621" s="116">
        <v>67.52</v>
      </c>
      <c r="E621" s="116">
        <v>68.2</v>
      </c>
      <c r="F621" s="116">
        <v>338.7</v>
      </c>
      <c r="G621">
        <v>1093</v>
      </c>
      <c r="H621" s="116"/>
      <c r="I621" s="116"/>
      <c r="L621" s="170">
        <v>43634</v>
      </c>
      <c r="M621" s="116">
        <v>67.819999999999993</v>
      </c>
      <c r="N621" s="116">
        <v>68.489999999999995</v>
      </c>
      <c r="O621" s="116">
        <v>67.45</v>
      </c>
      <c r="P621" s="116">
        <v>68</v>
      </c>
      <c r="Q621" s="116">
        <v>339.1</v>
      </c>
      <c r="R621">
        <v>22491</v>
      </c>
    </row>
    <row r="622" spans="1:18" x14ac:dyDescent="0.25">
      <c r="A622" s="170">
        <v>43635</v>
      </c>
      <c r="B622" s="116">
        <v>67.739999999999995</v>
      </c>
      <c r="C622" s="116">
        <v>66.069999999999993</v>
      </c>
      <c r="D622" s="116">
        <v>65.8</v>
      </c>
      <c r="E622" s="116">
        <v>67.64</v>
      </c>
      <c r="F622" s="116">
        <v>330.35</v>
      </c>
      <c r="G622">
        <v>8267</v>
      </c>
      <c r="H622" s="116"/>
      <c r="I622" s="116"/>
      <c r="L622" s="170">
        <v>43635</v>
      </c>
      <c r="M622" s="116">
        <v>66.010000000000005</v>
      </c>
      <c r="N622" s="116">
        <v>67.989999999999995</v>
      </c>
      <c r="O622" s="116">
        <v>65.400000000000006</v>
      </c>
      <c r="P622" s="116">
        <v>67.819999999999993</v>
      </c>
      <c r="Q622" s="116">
        <v>330.05</v>
      </c>
      <c r="R622">
        <v>32246</v>
      </c>
    </row>
    <row r="623" spans="1:18" x14ac:dyDescent="0.25">
      <c r="A623" s="170">
        <v>43636</v>
      </c>
      <c r="B623" s="116">
        <v>66.599999999999994</v>
      </c>
      <c r="C623" s="116">
        <v>66.38</v>
      </c>
      <c r="D623" s="116">
        <v>64.41</v>
      </c>
      <c r="E623" s="116">
        <v>66.400000000000006</v>
      </c>
      <c r="F623" s="116">
        <v>331.9</v>
      </c>
      <c r="G623">
        <v>7004</v>
      </c>
      <c r="H623" s="116"/>
      <c r="I623" s="116"/>
      <c r="L623" s="170">
        <v>43636</v>
      </c>
      <c r="M623" s="116">
        <v>66.349999999999994</v>
      </c>
      <c r="N623" s="116">
        <v>67</v>
      </c>
      <c r="O623" s="116">
        <v>64.400000000000006</v>
      </c>
      <c r="P623" s="116">
        <v>66.2</v>
      </c>
      <c r="Q623" s="116">
        <v>331.75</v>
      </c>
      <c r="R623">
        <v>28941</v>
      </c>
    </row>
    <row r="624" spans="1:18" x14ac:dyDescent="0.25">
      <c r="A624" s="170">
        <v>43637</v>
      </c>
      <c r="B624" s="116">
        <v>66.5</v>
      </c>
      <c r="C624" s="116">
        <v>66.41</v>
      </c>
      <c r="D624" s="116">
        <v>65.12</v>
      </c>
      <c r="E624" s="116">
        <v>66.11</v>
      </c>
      <c r="F624" s="116">
        <v>332.05</v>
      </c>
      <c r="G624">
        <v>4852</v>
      </c>
      <c r="H624" s="116"/>
      <c r="I624" s="116"/>
      <c r="L624" s="170">
        <v>43637</v>
      </c>
      <c r="M624" s="116">
        <v>66.349999999999994</v>
      </c>
      <c r="N624" s="116">
        <v>66.599999999999994</v>
      </c>
      <c r="O624" s="116">
        <v>65.209999999999994</v>
      </c>
      <c r="P624" s="116">
        <v>66.599999999999994</v>
      </c>
      <c r="Q624" s="116">
        <v>331.75</v>
      </c>
      <c r="R624">
        <v>21554</v>
      </c>
    </row>
    <row r="625" spans="1:18" x14ac:dyDescent="0.25">
      <c r="A625" s="170">
        <v>43640</v>
      </c>
      <c r="B625" s="116">
        <v>66.599999999999994</v>
      </c>
      <c r="C625" s="116">
        <v>65.89</v>
      </c>
      <c r="D625" s="116">
        <v>65.75</v>
      </c>
      <c r="E625" s="116">
        <v>66.209999999999994</v>
      </c>
      <c r="F625" s="116">
        <v>329.45</v>
      </c>
      <c r="G625">
        <v>3846</v>
      </c>
      <c r="H625" s="116"/>
      <c r="I625" s="116"/>
      <c r="L625" s="170">
        <v>43640</v>
      </c>
      <c r="M625" s="116">
        <v>65.790000000000006</v>
      </c>
      <c r="N625" s="116">
        <v>66.739999999999995</v>
      </c>
      <c r="O625" s="116">
        <v>65.319999999999993</v>
      </c>
      <c r="P625" s="116">
        <v>66.400000000000006</v>
      </c>
      <c r="Q625" s="116">
        <v>328.95</v>
      </c>
      <c r="R625">
        <v>13426</v>
      </c>
    </row>
    <row r="626" spans="1:18" x14ac:dyDescent="0.25">
      <c r="A626" s="170">
        <v>43641</v>
      </c>
      <c r="B626" s="116">
        <v>66.09</v>
      </c>
      <c r="C626" s="116">
        <v>65.650000000000006</v>
      </c>
      <c r="D626" s="116">
        <v>64.7</v>
      </c>
      <c r="E626" s="116">
        <v>66.09</v>
      </c>
      <c r="F626" s="116">
        <v>328.25</v>
      </c>
      <c r="G626">
        <v>3855</v>
      </c>
      <c r="H626" s="116"/>
      <c r="I626" s="116"/>
      <c r="L626" s="170">
        <v>43641</v>
      </c>
      <c r="M626" s="116">
        <v>65.52</v>
      </c>
      <c r="N626" s="116">
        <v>66</v>
      </c>
      <c r="O626" s="116">
        <v>64.61</v>
      </c>
      <c r="P626" s="116">
        <v>65.2</v>
      </c>
      <c r="Q626" s="116">
        <v>327.60000000000002</v>
      </c>
      <c r="R626">
        <v>21296</v>
      </c>
    </row>
    <row r="627" spans="1:18" x14ac:dyDescent="0.25">
      <c r="A627" s="170">
        <v>43642</v>
      </c>
      <c r="B627" s="116">
        <v>66.63</v>
      </c>
      <c r="C627" s="116">
        <v>66.2</v>
      </c>
      <c r="D627" s="116">
        <v>65</v>
      </c>
      <c r="E627" s="116">
        <v>65.599999999999994</v>
      </c>
      <c r="F627" s="116">
        <v>331</v>
      </c>
      <c r="G627">
        <v>1668</v>
      </c>
      <c r="H627" s="116"/>
      <c r="I627" s="116"/>
      <c r="L627" s="170">
        <v>43642</v>
      </c>
      <c r="M627" s="116">
        <v>66.19</v>
      </c>
      <c r="N627" s="116">
        <v>66.8</v>
      </c>
      <c r="O627" s="116">
        <v>64.62</v>
      </c>
      <c r="P627" s="116">
        <v>64.62</v>
      </c>
      <c r="Q627" s="116">
        <v>330.95</v>
      </c>
      <c r="R627">
        <v>9536</v>
      </c>
    </row>
    <row r="628" spans="1:18" x14ac:dyDescent="0.25">
      <c r="A628" s="170">
        <v>43643</v>
      </c>
      <c r="B628" s="116">
        <v>68.8</v>
      </c>
      <c r="C628" s="116">
        <v>68.13</v>
      </c>
      <c r="D628" s="116">
        <v>65.599999999999994</v>
      </c>
      <c r="E628" s="116">
        <v>66</v>
      </c>
      <c r="F628" s="116">
        <v>340.65</v>
      </c>
      <c r="G628">
        <v>1710</v>
      </c>
      <c r="H628" s="116"/>
      <c r="I628" s="116"/>
      <c r="L628" s="170">
        <v>43643</v>
      </c>
      <c r="M628" s="116">
        <v>68.150000000000006</v>
      </c>
      <c r="N628" s="116">
        <v>68.8</v>
      </c>
      <c r="O628" s="116">
        <v>65.8</v>
      </c>
      <c r="P628" s="116">
        <v>66</v>
      </c>
      <c r="Q628" s="116">
        <v>340.75</v>
      </c>
      <c r="R628">
        <v>22647</v>
      </c>
    </row>
    <row r="629" spans="1:18" x14ac:dyDescent="0.25">
      <c r="A629" s="170">
        <v>43644</v>
      </c>
      <c r="B629" s="116">
        <v>68.09</v>
      </c>
      <c r="C629" s="116">
        <v>67.349999999999994</v>
      </c>
      <c r="D629" s="116">
        <v>67.23</v>
      </c>
      <c r="E629" s="116">
        <v>67.61</v>
      </c>
      <c r="F629" s="116">
        <v>336.75</v>
      </c>
      <c r="G629">
        <v>586</v>
      </c>
      <c r="H629" s="116"/>
      <c r="I629" s="116"/>
      <c r="L629" s="170">
        <v>43644</v>
      </c>
      <c r="M629" s="116">
        <v>67.34</v>
      </c>
      <c r="N629" s="116">
        <v>68.14</v>
      </c>
      <c r="O629" s="116">
        <v>67.22</v>
      </c>
      <c r="P629" s="116">
        <v>67.89</v>
      </c>
      <c r="Q629" s="116">
        <v>336.7</v>
      </c>
      <c r="R629">
        <v>13752</v>
      </c>
    </row>
    <row r="630" spans="1:18" x14ac:dyDescent="0.25">
      <c r="A630" s="170">
        <v>43647</v>
      </c>
      <c r="B630" s="116">
        <v>69.900000000000006</v>
      </c>
      <c r="C630" s="116">
        <v>69.52</v>
      </c>
      <c r="D630" s="116">
        <v>67.66</v>
      </c>
      <c r="E630" s="116">
        <v>67.680000000000007</v>
      </c>
      <c r="F630" s="116">
        <v>347.6</v>
      </c>
      <c r="G630">
        <v>1916</v>
      </c>
      <c r="H630" s="116"/>
      <c r="I630" s="116"/>
      <c r="L630" s="170">
        <v>43647</v>
      </c>
      <c r="M630" s="116">
        <v>69.459999999999994</v>
      </c>
      <c r="N630" s="116">
        <v>69.98</v>
      </c>
      <c r="O630" s="116">
        <v>67.36</v>
      </c>
      <c r="P630" s="116">
        <v>67.510000000000005</v>
      </c>
      <c r="Q630" s="116">
        <v>347.3</v>
      </c>
      <c r="R630">
        <v>110654</v>
      </c>
    </row>
    <row r="631" spans="1:18" x14ac:dyDescent="0.25">
      <c r="A631" s="170">
        <v>43648</v>
      </c>
      <c r="B631" s="116">
        <v>72.069999999999993</v>
      </c>
      <c r="C631" s="116">
        <v>70.83</v>
      </c>
      <c r="D631" s="116">
        <v>68.8</v>
      </c>
      <c r="E631" s="116">
        <v>69.319999999999993</v>
      </c>
      <c r="F631" s="116">
        <v>354.15</v>
      </c>
      <c r="G631">
        <v>4755</v>
      </c>
      <c r="H631" s="116"/>
      <c r="I631" s="116"/>
      <c r="L631" s="170">
        <v>43648</v>
      </c>
      <c r="M631" s="116">
        <v>70.92</v>
      </c>
      <c r="N631" s="116">
        <v>72.319999999999993</v>
      </c>
      <c r="O631" s="116">
        <v>69.45</v>
      </c>
      <c r="P631" s="116">
        <v>69.45</v>
      </c>
      <c r="Q631" s="116">
        <v>354.6</v>
      </c>
      <c r="R631">
        <v>66037</v>
      </c>
    </row>
    <row r="632" spans="1:18" x14ac:dyDescent="0.25">
      <c r="A632" s="170">
        <v>43649</v>
      </c>
      <c r="B632" s="116">
        <v>72</v>
      </c>
      <c r="C632" s="116">
        <v>70.260000000000005</v>
      </c>
      <c r="D632" s="116">
        <v>70.09</v>
      </c>
      <c r="E632" s="116">
        <v>71.14</v>
      </c>
      <c r="F632" s="116">
        <v>351.3</v>
      </c>
      <c r="G632">
        <v>1420</v>
      </c>
      <c r="H632" s="116"/>
      <c r="I632" s="116"/>
      <c r="L632" s="170">
        <v>43649</v>
      </c>
      <c r="M632" s="116">
        <v>70.22</v>
      </c>
      <c r="N632" s="116">
        <v>71.680000000000007</v>
      </c>
      <c r="O632" s="116">
        <v>70.03</v>
      </c>
      <c r="P632" s="116">
        <v>70.92</v>
      </c>
      <c r="Q632" s="116">
        <v>351.1</v>
      </c>
      <c r="R632">
        <v>20728</v>
      </c>
    </row>
    <row r="633" spans="1:18" x14ac:dyDescent="0.25">
      <c r="A633" s="170">
        <v>43650</v>
      </c>
      <c r="B633" s="116">
        <v>71.08</v>
      </c>
      <c r="C633" s="116">
        <v>70.37</v>
      </c>
      <c r="D633" s="116">
        <v>70.27</v>
      </c>
      <c r="E633" s="116">
        <v>70.83</v>
      </c>
      <c r="F633" s="116">
        <v>351.85</v>
      </c>
      <c r="G633">
        <v>1101</v>
      </c>
      <c r="H633" s="116"/>
      <c r="I633" s="116"/>
      <c r="L633" s="170">
        <v>43650</v>
      </c>
      <c r="M633" s="116">
        <v>70.31</v>
      </c>
      <c r="N633" s="116">
        <v>71.099999999999994</v>
      </c>
      <c r="O633" s="116">
        <v>70.22</v>
      </c>
      <c r="P633" s="116">
        <v>70.22</v>
      </c>
      <c r="Q633" s="116">
        <v>351.55</v>
      </c>
      <c r="R633">
        <v>22861</v>
      </c>
    </row>
    <row r="634" spans="1:18" x14ac:dyDescent="0.25">
      <c r="A634" s="170">
        <v>43651</v>
      </c>
      <c r="B634" s="116">
        <v>70.94</v>
      </c>
      <c r="C634" s="116">
        <v>68.930000000000007</v>
      </c>
      <c r="D634" s="116">
        <v>68.28</v>
      </c>
      <c r="E634" s="116">
        <v>70.84</v>
      </c>
      <c r="F634" s="116">
        <v>344.65</v>
      </c>
      <c r="G634">
        <v>1275</v>
      </c>
      <c r="H634" s="116"/>
      <c r="I634" s="116"/>
      <c r="L634" s="170">
        <v>43651</v>
      </c>
      <c r="M634" s="116">
        <v>68.75</v>
      </c>
      <c r="N634" s="116">
        <v>70.81</v>
      </c>
      <c r="O634" s="116">
        <v>68.2</v>
      </c>
      <c r="P634" s="116">
        <v>70.44</v>
      </c>
      <c r="Q634" s="116">
        <v>343.75</v>
      </c>
      <c r="R634">
        <v>15416</v>
      </c>
    </row>
    <row r="635" spans="1:18" x14ac:dyDescent="0.25">
      <c r="A635" s="170">
        <v>43654</v>
      </c>
      <c r="B635" s="116">
        <v>68.599999999999994</v>
      </c>
      <c r="C635" s="116">
        <v>67.86</v>
      </c>
      <c r="D635" s="116">
        <v>66.349999999999994</v>
      </c>
      <c r="E635" s="116">
        <v>68.599999999999994</v>
      </c>
      <c r="F635" s="116">
        <v>339.3</v>
      </c>
      <c r="G635">
        <v>1027</v>
      </c>
      <c r="H635" s="116"/>
      <c r="I635" s="116"/>
      <c r="L635" s="170">
        <v>43654</v>
      </c>
      <c r="M635" s="116">
        <v>67.95</v>
      </c>
      <c r="N635" s="116">
        <v>68.8</v>
      </c>
      <c r="O635" s="116">
        <v>66.36</v>
      </c>
      <c r="P635" s="116">
        <v>68.8</v>
      </c>
      <c r="Q635" s="116">
        <v>339.75</v>
      </c>
      <c r="R635">
        <v>15811</v>
      </c>
    </row>
    <row r="636" spans="1:18" x14ac:dyDescent="0.25">
      <c r="A636" s="170">
        <v>43655</v>
      </c>
      <c r="B636" s="116">
        <v>69.62</v>
      </c>
      <c r="C636" s="116">
        <v>68.92</v>
      </c>
      <c r="D636" s="116">
        <v>66.540000000000006</v>
      </c>
      <c r="E636" s="116">
        <v>66.77</v>
      </c>
      <c r="F636" s="116">
        <v>344.6</v>
      </c>
      <c r="G636">
        <v>4301</v>
      </c>
      <c r="H636" s="116"/>
      <c r="I636" s="116"/>
      <c r="L636" s="170">
        <v>43655</v>
      </c>
      <c r="M636" s="116">
        <v>68.739999999999995</v>
      </c>
      <c r="N636" s="116">
        <v>69.540000000000006</v>
      </c>
      <c r="O636" s="116">
        <v>66.41</v>
      </c>
      <c r="P636" s="116">
        <v>66.61</v>
      </c>
      <c r="Q636" s="116">
        <v>343.7</v>
      </c>
      <c r="R636">
        <v>16563</v>
      </c>
    </row>
    <row r="637" spans="1:18" x14ac:dyDescent="0.25">
      <c r="A637" s="170">
        <v>43656</v>
      </c>
      <c r="B637" s="116">
        <v>69.319999999999993</v>
      </c>
      <c r="C637" s="116">
        <v>67.88</v>
      </c>
      <c r="D637" s="116">
        <v>67.819999999999993</v>
      </c>
      <c r="E637" s="116">
        <v>68.95</v>
      </c>
      <c r="F637" s="116">
        <v>339.4</v>
      </c>
      <c r="G637">
        <v>101917</v>
      </c>
      <c r="H637" s="116"/>
      <c r="I637" s="116"/>
      <c r="L637" s="170">
        <v>43656</v>
      </c>
      <c r="M637" s="116">
        <v>68.069999999999993</v>
      </c>
      <c r="N637" s="116">
        <v>69.180000000000007</v>
      </c>
      <c r="O637" s="116">
        <v>67.400000000000006</v>
      </c>
      <c r="P637" s="116">
        <v>67.400000000000006</v>
      </c>
      <c r="Q637" s="116">
        <v>340.35</v>
      </c>
      <c r="R637">
        <v>29292</v>
      </c>
    </row>
    <row r="638" spans="1:18" x14ac:dyDescent="0.25">
      <c r="A638" s="170">
        <v>43657</v>
      </c>
      <c r="B638" s="116">
        <v>69.61</v>
      </c>
      <c r="C638" s="116">
        <v>69.19</v>
      </c>
      <c r="D638" s="116">
        <v>67.89</v>
      </c>
      <c r="E638" s="116">
        <v>67.89</v>
      </c>
      <c r="F638" s="116">
        <v>345.95</v>
      </c>
      <c r="G638">
        <v>1932</v>
      </c>
      <c r="H638" s="116"/>
      <c r="I638" s="116"/>
      <c r="L638" s="170">
        <v>43657</v>
      </c>
      <c r="M638" s="116">
        <v>69.349999999999994</v>
      </c>
      <c r="N638" s="116">
        <v>69.599999999999994</v>
      </c>
      <c r="O638" s="116">
        <v>68.290000000000006</v>
      </c>
      <c r="P638" s="116">
        <v>68.3</v>
      </c>
      <c r="Q638" s="116">
        <v>346.75</v>
      </c>
      <c r="R638">
        <v>12321</v>
      </c>
    </row>
    <row r="639" spans="1:18" x14ac:dyDescent="0.25">
      <c r="A639" s="170">
        <v>43658</v>
      </c>
      <c r="B639" s="116">
        <v>72.7</v>
      </c>
      <c r="C639" s="116">
        <v>71.22</v>
      </c>
      <c r="D639" s="116">
        <v>68.09</v>
      </c>
      <c r="E639" s="116">
        <v>68.709999999999994</v>
      </c>
      <c r="F639" s="116">
        <v>356.1</v>
      </c>
      <c r="G639">
        <v>3951</v>
      </c>
      <c r="H639" s="116"/>
      <c r="I639" s="116"/>
      <c r="L639" s="170">
        <v>43658</v>
      </c>
      <c r="M639" s="116">
        <v>71.63</v>
      </c>
      <c r="N639" s="116">
        <v>73.78</v>
      </c>
      <c r="O639" s="116">
        <v>68.08</v>
      </c>
      <c r="P639" s="116">
        <v>69.349999999999994</v>
      </c>
      <c r="Q639" s="116">
        <v>358.15</v>
      </c>
      <c r="R639">
        <v>48577</v>
      </c>
    </row>
    <row r="640" spans="1:18" x14ac:dyDescent="0.25">
      <c r="A640" s="170">
        <v>43661</v>
      </c>
      <c r="B640" s="116">
        <v>73.400000000000006</v>
      </c>
      <c r="C640" s="116">
        <v>68.930000000000007</v>
      </c>
      <c r="D640" s="116">
        <v>68.67</v>
      </c>
      <c r="E640" s="116">
        <v>73.400000000000006</v>
      </c>
      <c r="F640" s="116">
        <v>344.65</v>
      </c>
      <c r="G640">
        <v>793</v>
      </c>
      <c r="H640" s="116"/>
      <c r="I640" s="116"/>
      <c r="L640" s="170">
        <v>43661</v>
      </c>
      <c r="M640" s="116">
        <v>68.8</v>
      </c>
      <c r="N640" s="116">
        <v>71.63</v>
      </c>
      <c r="O640" s="116">
        <v>68.11</v>
      </c>
      <c r="P640" s="116">
        <v>71.63</v>
      </c>
      <c r="Q640" s="116">
        <v>344</v>
      </c>
      <c r="R640">
        <v>22323</v>
      </c>
    </row>
    <row r="641" spans="1:18" x14ac:dyDescent="0.25">
      <c r="A641" s="170">
        <v>43662</v>
      </c>
      <c r="B641" s="116">
        <v>70.63</v>
      </c>
      <c r="C641" s="116">
        <v>69.55</v>
      </c>
      <c r="D641" s="116">
        <v>68.3</v>
      </c>
      <c r="E641" s="116">
        <v>68.92</v>
      </c>
      <c r="F641" s="116">
        <v>347.75</v>
      </c>
      <c r="G641">
        <v>1553</v>
      </c>
      <c r="H641" s="116"/>
      <c r="I641" s="116"/>
      <c r="L641" s="170">
        <v>43662</v>
      </c>
      <c r="M641" s="116">
        <v>69.88</v>
      </c>
      <c r="N641" s="116">
        <v>70.599999999999994</v>
      </c>
      <c r="O641" s="116">
        <v>68.41</v>
      </c>
      <c r="P641" s="116">
        <v>68.8</v>
      </c>
      <c r="Q641" s="116">
        <v>349.4</v>
      </c>
      <c r="R641">
        <v>14086</v>
      </c>
    </row>
    <row r="642" spans="1:18" x14ac:dyDescent="0.25">
      <c r="A642" s="170">
        <v>43663</v>
      </c>
      <c r="B642" s="116">
        <v>72.81</v>
      </c>
      <c r="C642" s="116">
        <v>71.3</v>
      </c>
      <c r="D642" s="116">
        <v>69.709999999999994</v>
      </c>
      <c r="E642" s="116">
        <v>69.709999999999994</v>
      </c>
      <c r="F642" s="116">
        <v>356.5</v>
      </c>
      <c r="G642">
        <v>3471</v>
      </c>
      <c r="H642" s="116"/>
      <c r="I642" s="116"/>
      <c r="L642" s="170">
        <v>43663</v>
      </c>
      <c r="M642" s="116">
        <v>71.3</v>
      </c>
      <c r="N642" s="116">
        <v>72.95</v>
      </c>
      <c r="O642" s="116">
        <v>69.510000000000005</v>
      </c>
      <c r="P642" s="116">
        <v>70.2</v>
      </c>
      <c r="Q642" s="116">
        <v>356.5</v>
      </c>
      <c r="R642">
        <v>34546</v>
      </c>
    </row>
    <row r="643" spans="1:18" x14ac:dyDescent="0.25">
      <c r="A643" s="170">
        <v>43664</v>
      </c>
      <c r="B643" s="116">
        <v>71.2</v>
      </c>
      <c r="C643" s="116">
        <v>70.010000000000005</v>
      </c>
      <c r="D643" s="116">
        <v>70</v>
      </c>
      <c r="E643" s="116">
        <v>71.2</v>
      </c>
      <c r="F643" s="116">
        <v>350.05</v>
      </c>
      <c r="G643">
        <v>2683</v>
      </c>
      <c r="H643" s="116"/>
      <c r="I643" s="116"/>
      <c r="L643" s="170">
        <v>43664</v>
      </c>
      <c r="M643" s="116">
        <v>70.05</v>
      </c>
      <c r="N643" s="116">
        <v>71.790000000000006</v>
      </c>
      <c r="O643" s="116">
        <v>70</v>
      </c>
      <c r="P643" s="116">
        <v>71</v>
      </c>
      <c r="Q643" s="116">
        <v>350.25</v>
      </c>
      <c r="R643">
        <v>14760</v>
      </c>
    </row>
    <row r="644" spans="1:18" x14ac:dyDescent="0.25">
      <c r="A644" s="170">
        <v>43665</v>
      </c>
      <c r="B644" s="116">
        <v>70.209999999999994</v>
      </c>
      <c r="C644" s="116">
        <v>70.08</v>
      </c>
      <c r="D644" s="116">
        <v>70</v>
      </c>
      <c r="E644" s="116">
        <v>70</v>
      </c>
      <c r="F644" s="116">
        <v>350.4</v>
      </c>
      <c r="G644">
        <v>359</v>
      </c>
      <c r="H644" s="116"/>
      <c r="I644" s="116"/>
      <c r="L644" s="170">
        <v>43665</v>
      </c>
      <c r="M644" s="116">
        <v>70.290000000000006</v>
      </c>
      <c r="N644" s="116">
        <v>70.78</v>
      </c>
      <c r="O644" s="116">
        <v>70</v>
      </c>
      <c r="P644" s="116">
        <v>70.78</v>
      </c>
      <c r="Q644" s="116">
        <v>351.45</v>
      </c>
      <c r="R644">
        <v>46581</v>
      </c>
    </row>
    <row r="645" spans="1:18" x14ac:dyDescent="0.25">
      <c r="A645" s="170">
        <v>43668</v>
      </c>
      <c r="B645" s="116">
        <v>69.92</v>
      </c>
      <c r="C645" s="116">
        <v>68.67</v>
      </c>
      <c r="D645" s="116">
        <v>68</v>
      </c>
      <c r="E645" s="116">
        <v>69.599999999999994</v>
      </c>
      <c r="F645" s="116">
        <v>343.35</v>
      </c>
      <c r="G645">
        <v>2238</v>
      </c>
      <c r="H645" s="116"/>
      <c r="I645" s="116"/>
      <c r="L645" s="170">
        <v>43668</v>
      </c>
      <c r="M645" s="116">
        <v>68.72</v>
      </c>
      <c r="N645" s="116">
        <v>70.31</v>
      </c>
      <c r="O645" s="116">
        <v>67.989999999999995</v>
      </c>
      <c r="P645" s="116">
        <v>70.290000000000006</v>
      </c>
      <c r="Q645" s="116">
        <v>343.6</v>
      </c>
      <c r="R645">
        <v>32179</v>
      </c>
    </row>
    <row r="646" spans="1:18" x14ac:dyDescent="0.25">
      <c r="A646" s="170">
        <v>43669</v>
      </c>
      <c r="B646" s="116">
        <v>70.040000000000006</v>
      </c>
      <c r="C646" s="116">
        <v>68.33</v>
      </c>
      <c r="D646" s="116">
        <v>68.010000000000005</v>
      </c>
      <c r="E646" s="116">
        <v>70.040000000000006</v>
      </c>
      <c r="F646" s="116">
        <v>341.65</v>
      </c>
      <c r="G646">
        <v>339</v>
      </c>
      <c r="H646" s="116"/>
      <c r="I646" s="116"/>
      <c r="L646" s="170">
        <v>43669</v>
      </c>
      <c r="M646" s="116">
        <v>68.13</v>
      </c>
      <c r="N646" s="116">
        <v>70.37</v>
      </c>
      <c r="O646" s="116">
        <v>67.81</v>
      </c>
      <c r="P646" s="116">
        <v>70.2</v>
      </c>
      <c r="Q646" s="116">
        <v>340.65</v>
      </c>
      <c r="R646">
        <v>15623</v>
      </c>
    </row>
    <row r="647" spans="1:18" x14ac:dyDescent="0.25">
      <c r="A647" s="170">
        <v>43670</v>
      </c>
      <c r="B647" s="116">
        <v>68.05</v>
      </c>
      <c r="C647" s="116">
        <v>67.790000000000006</v>
      </c>
      <c r="D647" s="116">
        <v>67.42</v>
      </c>
      <c r="E647" s="116">
        <v>68.05</v>
      </c>
      <c r="F647" s="116">
        <v>338.95</v>
      </c>
      <c r="G647">
        <v>788</v>
      </c>
      <c r="H647" s="116"/>
      <c r="I647" s="116"/>
      <c r="L647" s="170">
        <v>43670</v>
      </c>
      <c r="M647" s="116">
        <v>67.569999999999993</v>
      </c>
      <c r="N647" s="116">
        <v>68.430000000000007</v>
      </c>
      <c r="O647" s="116">
        <v>66.849999999999994</v>
      </c>
      <c r="P647" s="116">
        <v>66.849999999999994</v>
      </c>
      <c r="Q647" s="116">
        <v>337.85</v>
      </c>
      <c r="R647">
        <v>14275</v>
      </c>
    </row>
    <row r="648" spans="1:18" x14ac:dyDescent="0.25">
      <c r="A648" s="170">
        <v>43671</v>
      </c>
      <c r="B648" s="116">
        <v>68.069999999999993</v>
      </c>
      <c r="C648" s="116">
        <v>67.94</v>
      </c>
      <c r="D648" s="116">
        <v>67.14</v>
      </c>
      <c r="E648" s="116">
        <v>68</v>
      </c>
      <c r="F648" s="116">
        <v>339.7</v>
      </c>
      <c r="G648">
        <v>1195</v>
      </c>
      <c r="H648" s="116"/>
      <c r="I648" s="116"/>
      <c r="L648" s="170">
        <v>43671</v>
      </c>
      <c r="M648" s="116">
        <v>67.930000000000007</v>
      </c>
      <c r="N648" s="116">
        <v>68.66</v>
      </c>
      <c r="O648" s="116">
        <v>66.819999999999993</v>
      </c>
      <c r="P648" s="116">
        <v>66.819999999999993</v>
      </c>
      <c r="Q648" s="116">
        <v>339.65</v>
      </c>
      <c r="R648">
        <v>20098</v>
      </c>
    </row>
    <row r="649" spans="1:18" x14ac:dyDescent="0.25">
      <c r="A649" s="170">
        <v>43672</v>
      </c>
      <c r="B649" s="116">
        <v>68.23</v>
      </c>
      <c r="C649" s="116">
        <v>67.8</v>
      </c>
      <c r="D649" s="116">
        <v>66.959999999999994</v>
      </c>
      <c r="E649" s="116">
        <v>67.069999999999993</v>
      </c>
      <c r="F649" s="116">
        <v>339</v>
      </c>
      <c r="G649">
        <v>1861</v>
      </c>
      <c r="H649" s="116"/>
      <c r="I649" s="116"/>
      <c r="L649" s="170">
        <v>43672</v>
      </c>
      <c r="M649" s="116">
        <v>67.73</v>
      </c>
      <c r="N649" s="116">
        <v>68.19</v>
      </c>
      <c r="O649" s="116">
        <v>66.2</v>
      </c>
      <c r="P649" s="116">
        <v>66.2</v>
      </c>
      <c r="Q649" s="116">
        <v>338.65</v>
      </c>
      <c r="R649">
        <v>13387</v>
      </c>
    </row>
    <row r="650" spans="1:18" x14ac:dyDescent="0.25">
      <c r="A650" s="170">
        <v>43675</v>
      </c>
      <c r="B650" s="116">
        <v>68.2</v>
      </c>
      <c r="C650" s="116">
        <v>68.069999999999993</v>
      </c>
      <c r="D650" s="116">
        <v>67.599999999999994</v>
      </c>
      <c r="E650" s="116">
        <v>67.599999999999994</v>
      </c>
      <c r="F650" s="116">
        <v>340.35</v>
      </c>
      <c r="G650">
        <v>2533</v>
      </c>
      <c r="H650" s="116"/>
      <c r="I650" s="116"/>
      <c r="L650" s="170">
        <v>43675</v>
      </c>
      <c r="M650" s="116">
        <v>67.81</v>
      </c>
      <c r="N650" s="116">
        <v>68</v>
      </c>
      <c r="O650" s="116">
        <v>67.209999999999994</v>
      </c>
      <c r="P650" s="116">
        <v>68</v>
      </c>
      <c r="Q650" s="116">
        <v>339.05</v>
      </c>
      <c r="R650">
        <v>22894</v>
      </c>
    </row>
    <row r="651" spans="1:18" x14ac:dyDescent="0.25">
      <c r="A651" s="170">
        <v>43676</v>
      </c>
      <c r="B651" s="116">
        <v>68.8</v>
      </c>
      <c r="C651" s="116">
        <v>68.150000000000006</v>
      </c>
      <c r="D651" s="116">
        <v>67.7</v>
      </c>
      <c r="E651" s="116">
        <v>67.7</v>
      </c>
      <c r="F651" s="116">
        <v>340.75</v>
      </c>
      <c r="G651">
        <v>2271</v>
      </c>
      <c r="H651" s="116"/>
      <c r="I651" s="116"/>
      <c r="L651" s="170">
        <v>43676</v>
      </c>
      <c r="M651" s="116">
        <v>68.05</v>
      </c>
      <c r="N651" s="116">
        <v>69.08</v>
      </c>
      <c r="O651" s="116">
        <v>67.2</v>
      </c>
      <c r="P651" s="116">
        <v>68</v>
      </c>
      <c r="Q651" s="116">
        <v>340.25</v>
      </c>
      <c r="R651">
        <v>46498</v>
      </c>
    </row>
    <row r="652" spans="1:18" x14ac:dyDescent="0.25">
      <c r="A652" s="170">
        <v>43677</v>
      </c>
      <c r="B652" s="116">
        <v>68.14</v>
      </c>
      <c r="C652" s="116">
        <v>67.319999999999993</v>
      </c>
      <c r="D652" s="116">
        <v>66.84</v>
      </c>
      <c r="E652" s="116">
        <v>68.05</v>
      </c>
      <c r="F652" s="116">
        <v>336.6</v>
      </c>
      <c r="G652">
        <v>1124</v>
      </c>
      <c r="H652" s="116"/>
      <c r="I652" s="116"/>
      <c r="L652" s="170">
        <v>43677</v>
      </c>
      <c r="M652" s="116">
        <v>67.180000000000007</v>
      </c>
      <c r="N652" s="116">
        <v>68.23</v>
      </c>
      <c r="O652" s="116">
        <v>66.73</v>
      </c>
      <c r="P652" s="116">
        <v>68.05</v>
      </c>
      <c r="Q652" s="116">
        <v>335.9</v>
      </c>
      <c r="R652">
        <v>18520</v>
      </c>
    </row>
    <row r="653" spans="1:18" x14ac:dyDescent="0.25">
      <c r="A653" s="170">
        <v>43678</v>
      </c>
      <c r="B653" s="116">
        <v>67.930000000000007</v>
      </c>
      <c r="C653" s="116">
        <v>66.099999999999994</v>
      </c>
      <c r="D653" s="116">
        <v>65.42</v>
      </c>
      <c r="E653" s="116">
        <v>67.92</v>
      </c>
      <c r="F653" s="116">
        <v>330.5</v>
      </c>
      <c r="G653">
        <v>3770</v>
      </c>
      <c r="H653" s="116"/>
      <c r="I653" s="116"/>
      <c r="L653" s="170">
        <v>43678</v>
      </c>
      <c r="M653" s="116">
        <v>66.55</v>
      </c>
      <c r="N653" s="116">
        <v>68.599999999999994</v>
      </c>
      <c r="O653" s="116">
        <v>65.42</v>
      </c>
      <c r="P653" s="116">
        <v>68.599999999999994</v>
      </c>
      <c r="Q653" s="116">
        <v>332.75</v>
      </c>
      <c r="R653">
        <v>25736</v>
      </c>
    </row>
    <row r="654" spans="1:18" x14ac:dyDescent="0.25">
      <c r="A654" s="170">
        <v>43679</v>
      </c>
      <c r="B654" s="116">
        <v>68.16</v>
      </c>
      <c r="C654" s="116">
        <v>67.67</v>
      </c>
      <c r="D654" s="116">
        <v>66.2</v>
      </c>
      <c r="E654" s="116">
        <v>66.88</v>
      </c>
      <c r="F654" s="116">
        <v>338.35</v>
      </c>
      <c r="G654">
        <v>2828</v>
      </c>
      <c r="H654" s="116"/>
      <c r="I654" s="116"/>
      <c r="L654" s="170">
        <v>43679</v>
      </c>
      <c r="M654" s="116">
        <v>67.39</v>
      </c>
      <c r="N654" s="116">
        <v>68</v>
      </c>
      <c r="O654" s="116">
        <v>66.02</v>
      </c>
      <c r="P654" s="116">
        <v>66.86</v>
      </c>
      <c r="Q654" s="116">
        <v>336.95</v>
      </c>
      <c r="R654">
        <v>15809</v>
      </c>
    </row>
    <row r="655" spans="1:18" x14ac:dyDescent="0.25">
      <c r="A655" s="170">
        <v>43682</v>
      </c>
      <c r="B655" s="116">
        <v>66</v>
      </c>
      <c r="C655" s="116">
        <v>63.79</v>
      </c>
      <c r="D655" s="116">
        <v>63.13</v>
      </c>
      <c r="E655" s="116">
        <v>66</v>
      </c>
      <c r="F655" s="116">
        <v>318.95</v>
      </c>
      <c r="G655">
        <v>6766</v>
      </c>
      <c r="H655" s="116"/>
      <c r="I655" s="116"/>
      <c r="L655" s="170">
        <v>43682</v>
      </c>
      <c r="M655" s="116">
        <v>63.99</v>
      </c>
      <c r="N655" s="116">
        <v>65.91</v>
      </c>
      <c r="O655" s="116">
        <v>63.25</v>
      </c>
      <c r="P655" s="116">
        <v>63.51</v>
      </c>
      <c r="Q655" s="116">
        <v>319.95</v>
      </c>
      <c r="R655">
        <v>121652</v>
      </c>
    </row>
    <row r="656" spans="1:18" x14ac:dyDescent="0.25">
      <c r="A656" s="170">
        <v>43683</v>
      </c>
      <c r="B656" s="116">
        <v>64</v>
      </c>
      <c r="C656" s="116">
        <v>63.37</v>
      </c>
      <c r="D656" s="116">
        <v>62.99</v>
      </c>
      <c r="E656" s="116">
        <v>62.99</v>
      </c>
      <c r="F656" s="116">
        <v>316.85000000000002</v>
      </c>
      <c r="G656">
        <v>667</v>
      </c>
      <c r="H656" s="116"/>
      <c r="I656" s="116"/>
      <c r="L656" s="170">
        <v>43683</v>
      </c>
      <c r="M656" s="116">
        <v>63.44</v>
      </c>
      <c r="N656" s="116">
        <v>64.010000000000005</v>
      </c>
      <c r="O656" s="116">
        <v>62.81</v>
      </c>
      <c r="P656" s="116">
        <v>63</v>
      </c>
      <c r="Q656" s="116">
        <v>317.2</v>
      </c>
      <c r="R656">
        <v>57610</v>
      </c>
    </row>
    <row r="657" spans="1:18" x14ac:dyDescent="0.25">
      <c r="A657" s="170">
        <v>43684</v>
      </c>
      <c r="B657" s="116">
        <v>65.19</v>
      </c>
      <c r="C657" s="116">
        <v>64.59</v>
      </c>
      <c r="D657" s="116">
        <v>59.6</v>
      </c>
      <c r="E657" s="116">
        <v>65</v>
      </c>
      <c r="F657" s="116">
        <v>322.95</v>
      </c>
      <c r="G657">
        <v>2193</v>
      </c>
      <c r="H657" s="116"/>
      <c r="I657" s="116"/>
      <c r="L657" s="170">
        <v>43684</v>
      </c>
      <c r="M657" s="116">
        <v>64.33</v>
      </c>
      <c r="N657" s="116">
        <v>65.59</v>
      </c>
      <c r="O657" s="116">
        <v>63.21</v>
      </c>
      <c r="P657" s="116">
        <v>65.59</v>
      </c>
      <c r="Q657" s="116">
        <v>321.64999999999998</v>
      </c>
      <c r="R657">
        <v>112411</v>
      </c>
    </row>
    <row r="658" spans="1:18" x14ac:dyDescent="0.25">
      <c r="A658" s="170">
        <v>43685</v>
      </c>
      <c r="B658" s="116">
        <v>67.069999999999993</v>
      </c>
      <c r="C658" s="116">
        <v>65.63</v>
      </c>
      <c r="D658" s="116">
        <v>62.21</v>
      </c>
      <c r="E658" s="116">
        <v>63.99</v>
      </c>
      <c r="F658" s="116">
        <v>328.15</v>
      </c>
      <c r="G658">
        <v>2846</v>
      </c>
      <c r="H658" s="116"/>
      <c r="I658" s="116"/>
      <c r="L658" s="170">
        <v>43685</v>
      </c>
      <c r="M658" s="116">
        <v>65.7</v>
      </c>
      <c r="N658" s="116">
        <v>67.8</v>
      </c>
      <c r="O658" s="116">
        <v>63.98</v>
      </c>
      <c r="P658" s="116">
        <v>63.98</v>
      </c>
      <c r="Q658" s="116">
        <v>328.5</v>
      </c>
      <c r="R658">
        <v>23079</v>
      </c>
    </row>
    <row r="659" spans="1:18" x14ac:dyDescent="0.25">
      <c r="A659" s="170">
        <v>43686</v>
      </c>
      <c r="B659" s="116">
        <v>68.72</v>
      </c>
      <c r="C659" s="116">
        <v>67.91</v>
      </c>
      <c r="D659" s="116">
        <v>66.62</v>
      </c>
      <c r="E659" s="116">
        <v>66.62</v>
      </c>
      <c r="F659" s="116">
        <v>339.55</v>
      </c>
      <c r="G659">
        <v>583</v>
      </c>
      <c r="H659" s="116"/>
      <c r="I659" s="116"/>
      <c r="L659" s="170">
        <v>43686</v>
      </c>
      <c r="M659" s="116">
        <v>68.400000000000006</v>
      </c>
      <c r="N659" s="116">
        <v>68.88</v>
      </c>
      <c r="O659" s="116">
        <v>64.02</v>
      </c>
      <c r="P659" s="116">
        <v>64.02</v>
      </c>
      <c r="Q659" s="116">
        <v>342</v>
      </c>
      <c r="R659">
        <v>121597</v>
      </c>
    </row>
    <row r="660" spans="1:18" x14ac:dyDescent="0.25">
      <c r="A660" s="170">
        <v>43690</v>
      </c>
      <c r="B660" s="116">
        <v>68.599999999999994</v>
      </c>
      <c r="C660" s="116">
        <v>67.67</v>
      </c>
      <c r="D660" s="116">
        <v>65.7</v>
      </c>
      <c r="E660" s="116">
        <v>68.58</v>
      </c>
      <c r="F660" s="116">
        <v>338.35</v>
      </c>
      <c r="G660">
        <v>1119</v>
      </c>
      <c r="H660" s="116"/>
      <c r="I660" s="116"/>
      <c r="L660" s="170">
        <v>43690</v>
      </c>
      <c r="M660" s="116">
        <v>67.53</v>
      </c>
      <c r="N660" s="116">
        <v>69.59</v>
      </c>
      <c r="O660" s="116">
        <v>65.62</v>
      </c>
      <c r="P660" s="116">
        <v>69.59</v>
      </c>
      <c r="Q660" s="116">
        <v>337.65</v>
      </c>
      <c r="R660">
        <v>11432</v>
      </c>
    </row>
    <row r="661" spans="1:18" x14ac:dyDescent="0.25">
      <c r="A661" s="170">
        <v>43691</v>
      </c>
      <c r="B661" s="116">
        <v>68.63</v>
      </c>
      <c r="C661" s="116">
        <v>68.540000000000006</v>
      </c>
      <c r="D661" s="116">
        <v>67.010000000000005</v>
      </c>
      <c r="E661" s="116">
        <v>67.010000000000005</v>
      </c>
      <c r="F661" s="116">
        <v>342.7</v>
      </c>
      <c r="G661">
        <v>637</v>
      </c>
      <c r="H661" s="116"/>
      <c r="I661" s="116"/>
      <c r="L661" s="170">
        <v>43691</v>
      </c>
      <c r="M661" s="116">
        <v>68.36</v>
      </c>
      <c r="N661" s="116">
        <v>68.78</v>
      </c>
      <c r="O661" s="116">
        <v>67.02</v>
      </c>
      <c r="P661" s="116">
        <v>67.02</v>
      </c>
      <c r="Q661" s="116">
        <v>341.8</v>
      </c>
      <c r="R661">
        <v>11813</v>
      </c>
    </row>
    <row r="662" spans="1:18" x14ac:dyDescent="0.25">
      <c r="A662" s="170">
        <v>43693</v>
      </c>
      <c r="B662" s="116">
        <v>67.8</v>
      </c>
      <c r="C662" s="116">
        <v>67.58</v>
      </c>
      <c r="D662" s="116">
        <v>66.53</v>
      </c>
      <c r="E662" s="116">
        <v>66.53</v>
      </c>
      <c r="F662" s="116">
        <v>337.9</v>
      </c>
      <c r="G662">
        <v>1608</v>
      </c>
      <c r="H662" s="116"/>
      <c r="I662" s="116"/>
      <c r="L662" s="170">
        <v>43693</v>
      </c>
      <c r="M662" s="116">
        <v>67.58</v>
      </c>
      <c r="N662" s="116">
        <v>69</v>
      </c>
      <c r="O662" s="116">
        <v>66.3</v>
      </c>
      <c r="P662" s="116">
        <v>69</v>
      </c>
      <c r="Q662" s="116">
        <v>337.9</v>
      </c>
      <c r="R662">
        <v>12667</v>
      </c>
    </row>
    <row r="663" spans="1:18" x14ac:dyDescent="0.25">
      <c r="A663" s="170">
        <v>43696</v>
      </c>
      <c r="B663" s="116">
        <v>67.73</v>
      </c>
      <c r="C663" s="116">
        <v>67.64</v>
      </c>
      <c r="D663" s="116">
        <v>66.69</v>
      </c>
      <c r="E663" s="116">
        <v>67.599999999999994</v>
      </c>
      <c r="F663" s="116">
        <v>338.2</v>
      </c>
      <c r="G663">
        <v>253</v>
      </c>
      <c r="H663" s="116"/>
      <c r="I663" s="116"/>
      <c r="L663" s="170">
        <v>43696</v>
      </c>
      <c r="M663" s="116">
        <v>67.84</v>
      </c>
      <c r="N663" s="116">
        <v>68.22</v>
      </c>
      <c r="O663" s="116">
        <v>66.59</v>
      </c>
      <c r="P663" s="116">
        <v>67.12</v>
      </c>
      <c r="Q663" s="116">
        <v>339.2</v>
      </c>
      <c r="R663">
        <v>7455</v>
      </c>
    </row>
    <row r="664" spans="1:18" x14ac:dyDescent="0.25">
      <c r="A664" s="170">
        <v>43697</v>
      </c>
      <c r="B664" s="116">
        <v>67.62</v>
      </c>
      <c r="C664" s="116">
        <v>67.48</v>
      </c>
      <c r="D664" s="116">
        <v>67.2</v>
      </c>
      <c r="E664" s="116">
        <v>67.2</v>
      </c>
      <c r="F664" s="116">
        <v>337.4</v>
      </c>
      <c r="G664">
        <v>706</v>
      </c>
      <c r="H664" s="116"/>
      <c r="I664" s="116"/>
      <c r="L664" s="170">
        <v>43697</v>
      </c>
      <c r="M664" s="116">
        <v>67.52</v>
      </c>
      <c r="N664" s="116">
        <v>67.959999999999994</v>
      </c>
      <c r="O664" s="116">
        <v>67.099999999999994</v>
      </c>
      <c r="P664" s="116">
        <v>67.209999999999994</v>
      </c>
      <c r="Q664" s="116">
        <v>337.6</v>
      </c>
      <c r="R664">
        <v>9865</v>
      </c>
    </row>
    <row r="665" spans="1:18" x14ac:dyDescent="0.25">
      <c r="A665" s="170">
        <v>43698</v>
      </c>
      <c r="B665" s="116">
        <v>67.599999999999994</v>
      </c>
      <c r="C665" s="116">
        <v>66.81</v>
      </c>
      <c r="D665" s="116">
        <v>66.7</v>
      </c>
      <c r="E665" s="116">
        <v>67.319999999999993</v>
      </c>
      <c r="F665" s="116">
        <v>334.05</v>
      </c>
      <c r="G665">
        <v>1848</v>
      </c>
      <c r="H665" s="116"/>
      <c r="I665" s="116"/>
      <c r="L665" s="170">
        <v>43698</v>
      </c>
      <c r="M665" s="116">
        <v>66.94</v>
      </c>
      <c r="N665" s="116">
        <v>67.95</v>
      </c>
      <c r="O665" s="116">
        <v>66.37</v>
      </c>
      <c r="P665" s="116">
        <v>67.2</v>
      </c>
      <c r="Q665" s="116">
        <v>334.7</v>
      </c>
      <c r="R665">
        <v>15026</v>
      </c>
    </row>
    <row r="666" spans="1:18" x14ac:dyDescent="0.25">
      <c r="A666" s="170">
        <v>43699</v>
      </c>
      <c r="B666" s="116">
        <v>67.23</v>
      </c>
      <c r="C666" s="116">
        <v>66.33</v>
      </c>
      <c r="D666" s="116">
        <v>65.31</v>
      </c>
      <c r="E666" s="116">
        <v>67</v>
      </c>
      <c r="F666" s="116">
        <v>331.65</v>
      </c>
      <c r="G666">
        <v>1336</v>
      </c>
      <c r="H666" s="116"/>
      <c r="I666" s="116"/>
      <c r="L666" s="170">
        <v>43699</v>
      </c>
      <c r="M666" s="116">
        <v>66.06</v>
      </c>
      <c r="N666" s="116">
        <v>67.38</v>
      </c>
      <c r="O666" s="116">
        <v>65</v>
      </c>
      <c r="P666" s="116">
        <v>66.819999999999993</v>
      </c>
      <c r="Q666" s="116">
        <v>330.3</v>
      </c>
      <c r="R666">
        <v>13964</v>
      </c>
    </row>
    <row r="667" spans="1:18" x14ac:dyDescent="0.25">
      <c r="A667" s="170">
        <v>43700</v>
      </c>
      <c r="B667" s="116">
        <v>66.790000000000006</v>
      </c>
      <c r="C667" s="116">
        <v>66.37</v>
      </c>
      <c r="D667" s="116">
        <v>65.599999999999994</v>
      </c>
      <c r="E667" s="116">
        <v>65.900000000000006</v>
      </c>
      <c r="F667" s="116">
        <v>331.85</v>
      </c>
      <c r="G667">
        <v>2018</v>
      </c>
      <c r="H667" s="116"/>
      <c r="I667" s="116"/>
      <c r="L667" s="170">
        <v>43700</v>
      </c>
      <c r="M667" s="116">
        <v>66.27</v>
      </c>
      <c r="N667" s="116">
        <v>67</v>
      </c>
      <c r="O667" s="116">
        <v>65.39</v>
      </c>
      <c r="P667" s="116">
        <v>65.69</v>
      </c>
      <c r="Q667" s="116">
        <v>331.35</v>
      </c>
      <c r="R667">
        <v>12520</v>
      </c>
    </row>
    <row r="668" spans="1:18" x14ac:dyDescent="0.25">
      <c r="A668" s="170">
        <v>43703</v>
      </c>
      <c r="B668" s="116">
        <v>66.75</v>
      </c>
      <c r="C668" s="116">
        <v>66.47</v>
      </c>
      <c r="D668" s="116">
        <v>65.92</v>
      </c>
      <c r="E668" s="116">
        <v>66.489999999999995</v>
      </c>
      <c r="F668" s="116">
        <v>332.35</v>
      </c>
      <c r="G668">
        <v>1202</v>
      </c>
      <c r="H668" s="116"/>
      <c r="I668" s="116"/>
      <c r="L668" s="170">
        <v>43703</v>
      </c>
      <c r="M668" s="116">
        <v>66.19</v>
      </c>
      <c r="N668" s="116">
        <v>67.98</v>
      </c>
      <c r="O668" s="116">
        <v>65.760000000000005</v>
      </c>
      <c r="P668" s="116">
        <v>67.02</v>
      </c>
      <c r="Q668" s="116">
        <v>330.95</v>
      </c>
      <c r="R668">
        <v>13116</v>
      </c>
    </row>
    <row r="669" spans="1:18" x14ac:dyDescent="0.25">
      <c r="A669" s="170">
        <v>43704</v>
      </c>
      <c r="B669" s="116">
        <v>66.86</v>
      </c>
      <c r="C669" s="116">
        <v>65.13</v>
      </c>
      <c r="D669" s="116">
        <v>64.62</v>
      </c>
      <c r="E669" s="116">
        <v>66.41</v>
      </c>
      <c r="F669" s="116">
        <v>325.64999999999998</v>
      </c>
      <c r="G669">
        <v>770</v>
      </c>
      <c r="H669" s="116"/>
      <c r="I669" s="116"/>
      <c r="L669" s="170">
        <v>43704</v>
      </c>
      <c r="M669" s="116">
        <v>65.45</v>
      </c>
      <c r="N669" s="116">
        <v>66.94</v>
      </c>
      <c r="O669" s="116">
        <v>65.22</v>
      </c>
      <c r="P669" s="116">
        <v>65.8</v>
      </c>
      <c r="Q669" s="116">
        <v>327.25</v>
      </c>
      <c r="R669">
        <v>21040</v>
      </c>
    </row>
    <row r="670" spans="1:18" x14ac:dyDescent="0.25">
      <c r="A670" s="170">
        <v>43705</v>
      </c>
      <c r="B670" s="116">
        <v>66.52</v>
      </c>
      <c r="C670" s="116">
        <v>65.97</v>
      </c>
      <c r="D670" s="116">
        <v>65.599999999999994</v>
      </c>
      <c r="E670" s="116">
        <v>65.599999999999994</v>
      </c>
      <c r="F670" s="116">
        <v>329.85</v>
      </c>
      <c r="G670">
        <v>797</v>
      </c>
      <c r="H670" s="116"/>
      <c r="I670" s="116"/>
      <c r="L670" s="170">
        <v>43705</v>
      </c>
      <c r="M670" s="116">
        <v>66.08</v>
      </c>
      <c r="N670" s="116">
        <v>66.7</v>
      </c>
      <c r="O670" s="116">
        <v>65</v>
      </c>
      <c r="P670" s="116">
        <v>65.400000000000006</v>
      </c>
      <c r="Q670" s="116">
        <v>330.4</v>
      </c>
      <c r="R670">
        <v>11186</v>
      </c>
    </row>
    <row r="671" spans="1:18" x14ac:dyDescent="0.25">
      <c r="A671" s="170">
        <v>43706</v>
      </c>
      <c r="B671" s="116">
        <v>66.040000000000006</v>
      </c>
      <c r="C671" s="116">
        <v>65.72</v>
      </c>
      <c r="D671" s="116">
        <v>65.48</v>
      </c>
      <c r="E671" s="116">
        <v>65.5</v>
      </c>
      <c r="F671" s="116">
        <v>328.6</v>
      </c>
      <c r="G671">
        <v>629</v>
      </c>
      <c r="H671" s="116"/>
      <c r="I671" s="116"/>
      <c r="L671" s="170">
        <v>43706</v>
      </c>
      <c r="M671" s="116">
        <v>65.81</v>
      </c>
      <c r="N671" s="116">
        <v>66.08</v>
      </c>
      <c r="O671" s="116">
        <v>65.400000000000006</v>
      </c>
      <c r="P671" s="116">
        <v>65.73</v>
      </c>
      <c r="Q671" s="116">
        <v>329.05</v>
      </c>
      <c r="R671">
        <v>6658</v>
      </c>
    </row>
    <row r="672" spans="1:18" x14ac:dyDescent="0.25">
      <c r="A672" s="170">
        <v>43707</v>
      </c>
      <c r="B672" s="116">
        <v>66.8</v>
      </c>
      <c r="C672" s="116">
        <v>65.61</v>
      </c>
      <c r="D672" s="116">
        <v>65.2</v>
      </c>
      <c r="E672" s="116">
        <v>65.2</v>
      </c>
      <c r="F672" s="116">
        <v>328.05</v>
      </c>
      <c r="G672">
        <v>492</v>
      </c>
      <c r="H672" s="116"/>
      <c r="I672" s="116"/>
      <c r="L672" s="170">
        <v>43707</v>
      </c>
      <c r="M672" s="116">
        <v>65.75</v>
      </c>
      <c r="N672" s="116">
        <v>66.98</v>
      </c>
      <c r="O672" s="116">
        <v>65.05</v>
      </c>
      <c r="P672" s="116">
        <v>65.05</v>
      </c>
      <c r="Q672" s="116">
        <v>328.75</v>
      </c>
      <c r="R672">
        <v>5740</v>
      </c>
    </row>
    <row r="673" spans="1:18" x14ac:dyDescent="0.25">
      <c r="A673" s="170">
        <v>43711</v>
      </c>
      <c r="B673" s="116">
        <v>66</v>
      </c>
      <c r="C673" s="116">
        <v>65.86</v>
      </c>
      <c r="D673" s="116">
        <v>65.17</v>
      </c>
      <c r="E673" s="116">
        <v>65.44</v>
      </c>
      <c r="F673" s="116">
        <v>329.3</v>
      </c>
      <c r="G673">
        <v>1996</v>
      </c>
      <c r="H673" s="116"/>
      <c r="I673" s="116"/>
      <c r="L673" s="170">
        <v>43711</v>
      </c>
      <c r="M673" s="116">
        <v>65.61</v>
      </c>
      <c r="N673" s="116">
        <v>66.53</v>
      </c>
      <c r="O673" s="116">
        <v>65</v>
      </c>
      <c r="P673" s="116">
        <v>66.53</v>
      </c>
      <c r="Q673" s="116">
        <v>328.05</v>
      </c>
      <c r="R673">
        <v>10256</v>
      </c>
    </row>
    <row r="674" spans="1:18" x14ac:dyDescent="0.25">
      <c r="A674" s="170">
        <v>43712</v>
      </c>
      <c r="B674" s="116">
        <v>65.459999999999994</v>
      </c>
      <c r="C674" s="116">
        <v>65.3</v>
      </c>
      <c r="D674" s="116">
        <v>64.8</v>
      </c>
      <c r="E674" s="116">
        <v>65.459999999999994</v>
      </c>
      <c r="F674" s="116">
        <v>326.5</v>
      </c>
      <c r="G674">
        <v>461</v>
      </c>
      <c r="H674" s="116"/>
      <c r="I674" s="116"/>
      <c r="L674" s="170">
        <v>43712</v>
      </c>
      <c r="M674" s="116">
        <v>65.040000000000006</v>
      </c>
      <c r="N674" s="116">
        <v>65.81</v>
      </c>
      <c r="O674" s="116">
        <v>64.2</v>
      </c>
      <c r="P674" s="116">
        <v>65.27</v>
      </c>
      <c r="Q674" s="116">
        <v>325.2</v>
      </c>
      <c r="R674">
        <v>4892</v>
      </c>
    </row>
    <row r="675" spans="1:18" x14ac:dyDescent="0.25">
      <c r="A675" s="170">
        <v>43713</v>
      </c>
      <c r="B675" s="116">
        <v>67.400000000000006</v>
      </c>
      <c r="C675" s="116">
        <v>67.08</v>
      </c>
      <c r="D675" s="116">
        <v>65.61</v>
      </c>
      <c r="E675" s="116">
        <v>65.7</v>
      </c>
      <c r="F675" s="116">
        <v>335.4</v>
      </c>
      <c r="G675">
        <v>3104</v>
      </c>
      <c r="H675" s="116"/>
      <c r="I675" s="116"/>
      <c r="L675" s="170">
        <v>43713</v>
      </c>
      <c r="M675" s="116">
        <v>67.06</v>
      </c>
      <c r="N675" s="116">
        <v>67.58</v>
      </c>
      <c r="O675" s="116">
        <v>65</v>
      </c>
      <c r="P675" s="116">
        <v>65.14</v>
      </c>
      <c r="Q675" s="116">
        <v>335.3</v>
      </c>
      <c r="R675">
        <v>37448</v>
      </c>
    </row>
    <row r="676" spans="1:18" x14ac:dyDescent="0.25">
      <c r="A676" s="170">
        <v>43714</v>
      </c>
      <c r="B676" s="116">
        <v>68.53</v>
      </c>
      <c r="C676" s="116">
        <v>68.290000000000006</v>
      </c>
      <c r="D676" s="116">
        <v>67.3</v>
      </c>
      <c r="E676" s="116">
        <v>67.3</v>
      </c>
      <c r="F676" s="116">
        <v>341.45</v>
      </c>
      <c r="G676">
        <v>557</v>
      </c>
      <c r="H676" s="116"/>
      <c r="I676" s="116"/>
      <c r="L676" s="170">
        <v>43714</v>
      </c>
      <c r="M676" s="116">
        <v>68.209999999999994</v>
      </c>
      <c r="N676" s="116">
        <v>68.819999999999993</v>
      </c>
      <c r="O676" s="116">
        <v>66.459999999999994</v>
      </c>
      <c r="P676" s="116">
        <v>66.459999999999994</v>
      </c>
      <c r="Q676" s="116">
        <v>341.05</v>
      </c>
      <c r="R676">
        <v>13737</v>
      </c>
    </row>
    <row r="677" spans="1:18" x14ac:dyDescent="0.25">
      <c r="A677" s="170">
        <v>43717</v>
      </c>
      <c r="B677" s="116">
        <v>70.8</v>
      </c>
      <c r="C677" s="116">
        <v>70.010000000000005</v>
      </c>
      <c r="D677" s="116">
        <v>69.040000000000006</v>
      </c>
      <c r="E677" s="116">
        <v>69.040000000000006</v>
      </c>
      <c r="F677" s="116">
        <v>350.05</v>
      </c>
      <c r="G677">
        <v>838</v>
      </c>
      <c r="H677" s="116"/>
      <c r="I677" s="116"/>
      <c r="L677" s="170">
        <v>43717</v>
      </c>
      <c r="M677" s="116">
        <v>70.22</v>
      </c>
      <c r="N677" s="116">
        <v>71</v>
      </c>
      <c r="O677" s="116">
        <v>68.8</v>
      </c>
      <c r="P677" s="116">
        <v>68.98</v>
      </c>
      <c r="Q677" s="116">
        <v>351.1</v>
      </c>
      <c r="R677">
        <v>8928</v>
      </c>
    </row>
    <row r="678" spans="1:18" x14ac:dyDescent="0.25">
      <c r="A678" s="170">
        <v>43719</v>
      </c>
      <c r="B678" s="116">
        <v>70.400000000000006</v>
      </c>
      <c r="C678" s="116">
        <v>69.38</v>
      </c>
      <c r="D678" s="116">
        <v>69.319999999999993</v>
      </c>
      <c r="E678" s="116">
        <v>70.39</v>
      </c>
      <c r="F678" s="116">
        <v>346.9</v>
      </c>
      <c r="G678">
        <v>411</v>
      </c>
      <c r="H678" s="116"/>
      <c r="I678" s="116"/>
      <c r="L678" s="170">
        <v>43719</v>
      </c>
      <c r="M678" s="116">
        <v>69.22</v>
      </c>
      <c r="N678" s="116">
        <v>70.69</v>
      </c>
      <c r="O678" s="116">
        <v>68.88</v>
      </c>
      <c r="P678" s="116">
        <v>70.22</v>
      </c>
      <c r="Q678" s="116">
        <v>346.1</v>
      </c>
      <c r="R678">
        <v>9762</v>
      </c>
    </row>
    <row r="679" spans="1:18" x14ac:dyDescent="0.25">
      <c r="A679" s="170">
        <v>43720</v>
      </c>
      <c r="B679" s="116">
        <v>69.319999999999993</v>
      </c>
      <c r="C679" s="116">
        <v>68.94</v>
      </c>
      <c r="D679" s="116">
        <v>68.680000000000007</v>
      </c>
      <c r="E679" s="116">
        <v>69.02</v>
      </c>
      <c r="F679" s="116">
        <v>344.7</v>
      </c>
      <c r="G679">
        <v>692</v>
      </c>
      <c r="H679" s="116"/>
      <c r="I679" s="116"/>
      <c r="L679" s="170">
        <v>43720</v>
      </c>
      <c r="M679" s="116">
        <v>68.790000000000006</v>
      </c>
      <c r="N679" s="116">
        <v>69.599999999999994</v>
      </c>
      <c r="O679" s="116">
        <v>68.58</v>
      </c>
      <c r="P679" s="116">
        <v>69</v>
      </c>
      <c r="Q679" s="116">
        <v>343.95</v>
      </c>
      <c r="R679">
        <v>5902</v>
      </c>
    </row>
    <row r="680" spans="1:18" x14ac:dyDescent="0.25">
      <c r="A680" s="170">
        <v>43721</v>
      </c>
      <c r="B680" s="116">
        <v>68.69</v>
      </c>
      <c r="C680" s="116">
        <v>68.27</v>
      </c>
      <c r="D680" s="116">
        <v>67.52</v>
      </c>
      <c r="E680" s="116">
        <v>68.2</v>
      </c>
      <c r="F680" s="116">
        <v>341.35</v>
      </c>
      <c r="G680">
        <v>281</v>
      </c>
      <c r="H680" s="116"/>
      <c r="I680" s="116"/>
      <c r="L680" s="170">
        <v>43721</v>
      </c>
      <c r="M680" s="116">
        <v>68.25</v>
      </c>
      <c r="N680" s="116">
        <v>68.8</v>
      </c>
      <c r="O680" s="116">
        <v>67.41</v>
      </c>
      <c r="P680" s="116">
        <v>68.650000000000006</v>
      </c>
      <c r="Q680" s="116">
        <v>341.25</v>
      </c>
      <c r="R680">
        <v>4304</v>
      </c>
    </row>
    <row r="681" spans="1:18" x14ac:dyDescent="0.25">
      <c r="A681" s="170">
        <v>43724</v>
      </c>
      <c r="B681" s="116">
        <v>68.599999999999994</v>
      </c>
      <c r="C681" s="116">
        <v>68.36</v>
      </c>
      <c r="D681" s="116">
        <v>67.650000000000006</v>
      </c>
      <c r="E681" s="116">
        <v>67.650000000000006</v>
      </c>
      <c r="F681" s="116">
        <v>341.8</v>
      </c>
      <c r="G681">
        <v>352</v>
      </c>
      <c r="H681" s="116"/>
      <c r="I681" s="116"/>
      <c r="L681" s="170">
        <v>43724</v>
      </c>
      <c r="M681" s="116">
        <v>68.209999999999994</v>
      </c>
      <c r="N681" s="116">
        <v>69</v>
      </c>
      <c r="O681" s="116">
        <v>67</v>
      </c>
      <c r="P681" s="116">
        <v>67</v>
      </c>
      <c r="Q681" s="116">
        <v>341.05</v>
      </c>
      <c r="R681">
        <v>6399</v>
      </c>
    </row>
    <row r="682" spans="1:18" x14ac:dyDescent="0.25">
      <c r="A682" s="170">
        <v>43725</v>
      </c>
      <c r="B682" s="116">
        <v>69</v>
      </c>
      <c r="C682" s="116">
        <v>68.14</v>
      </c>
      <c r="D682" s="116">
        <v>67.900000000000006</v>
      </c>
      <c r="E682" s="116">
        <v>68.010000000000005</v>
      </c>
      <c r="F682" s="116">
        <v>340.7</v>
      </c>
      <c r="G682">
        <v>460</v>
      </c>
      <c r="H682" s="116"/>
      <c r="I682" s="116"/>
      <c r="L682" s="170">
        <v>43725</v>
      </c>
      <c r="M682" s="116">
        <v>68.239999999999995</v>
      </c>
      <c r="N682" s="116">
        <v>69.400000000000006</v>
      </c>
      <c r="O682" s="116">
        <v>67.7</v>
      </c>
      <c r="P682" s="116">
        <v>68.41</v>
      </c>
      <c r="Q682" s="116">
        <v>341.2</v>
      </c>
      <c r="R682">
        <v>15467</v>
      </c>
    </row>
    <row r="683" spans="1:18" x14ac:dyDescent="0.25">
      <c r="A683" s="170">
        <v>43726</v>
      </c>
      <c r="B683" s="116">
        <v>71.03</v>
      </c>
      <c r="C683" s="116">
        <v>69.56</v>
      </c>
      <c r="D683" s="116">
        <v>67.8</v>
      </c>
      <c r="E683" s="116">
        <v>67.8</v>
      </c>
      <c r="F683" s="116">
        <v>347.8</v>
      </c>
      <c r="G683">
        <v>1321</v>
      </c>
      <c r="H683" s="116"/>
      <c r="I683" s="116"/>
      <c r="L683" s="170">
        <v>43726</v>
      </c>
      <c r="M683" s="116">
        <v>69.44</v>
      </c>
      <c r="N683" s="116">
        <v>71.400000000000006</v>
      </c>
      <c r="O683" s="116">
        <v>67</v>
      </c>
      <c r="P683" s="116">
        <v>67.67</v>
      </c>
      <c r="Q683" s="116">
        <v>347.2</v>
      </c>
      <c r="R683">
        <v>103428</v>
      </c>
    </row>
    <row r="684" spans="1:18" x14ac:dyDescent="0.25">
      <c r="A684" s="170">
        <v>43727</v>
      </c>
      <c r="B684" s="116">
        <v>70.2</v>
      </c>
      <c r="C684" s="116">
        <v>68.78</v>
      </c>
      <c r="D684" s="116">
        <v>68.19</v>
      </c>
      <c r="E684" s="116">
        <v>70.2</v>
      </c>
      <c r="F684" s="116">
        <v>343.9</v>
      </c>
      <c r="G684">
        <v>2981</v>
      </c>
      <c r="H684" s="116"/>
      <c r="I684" s="116"/>
      <c r="L684" s="170">
        <v>43727</v>
      </c>
      <c r="M684" s="116">
        <v>68.05</v>
      </c>
      <c r="N684" s="116">
        <v>70.53</v>
      </c>
      <c r="O684" s="116">
        <v>67</v>
      </c>
      <c r="P684" s="116">
        <v>70.53</v>
      </c>
      <c r="Q684" s="116">
        <v>340.25</v>
      </c>
      <c r="R684">
        <v>89029</v>
      </c>
    </row>
    <row r="685" spans="1:18" x14ac:dyDescent="0.25">
      <c r="A685" s="170">
        <v>43728</v>
      </c>
      <c r="B685" s="116">
        <v>70.03</v>
      </c>
      <c r="C685" s="116">
        <v>69.3</v>
      </c>
      <c r="D685" s="116">
        <v>68.319999999999993</v>
      </c>
      <c r="E685" s="116">
        <v>68.790000000000006</v>
      </c>
      <c r="F685" s="116">
        <v>346.5</v>
      </c>
      <c r="G685">
        <v>1858</v>
      </c>
      <c r="H685" s="116"/>
      <c r="I685" s="116"/>
      <c r="L685" s="170">
        <v>43728</v>
      </c>
      <c r="M685" s="116">
        <v>69.150000000000006</v>
      </c>
      <c r="N685" s="116">
        <v>70.2</v>
      </c>
      <c r="O685" s="116">
        <v>68.2</v>
      </c>
      <c r="P685" s="116">
        <v>68.2</v>
      </c>
      <c r="Q685" s="116">
        <v>345.75</v>
      </c>
      <c r="R685">
        <v>23782</v>
      </c>
    </row>
    <row r="686" spans="1:18" x14ac:dyDescent="0.25">
      <c r="A686" s="170">
        <v>43731</v>
      </c>
      <c r="B686" s="116">
        <v>71.03</v>
      </c>
      <c r="C686" s="116">
        <v>70.14</v>
      </c>
      <c r="D686" s="116">
        <v>68</v>
      </c>
      <c r="E686" s="116">
        <v>69.599999999999994</v>
      </c>
      <c r="F686" s="116">
        <v>350.7</v>
      </c>
      <c r="G686">
        <v>2537</v>
      </c>
      <c r="H686" s="116"/>
      <c r="I686" s="116"/>
      <c r="L686" s="170">
        <v>43731</v>
      </c>
      <c r="M686" s="116">
        <v>70.040000000000006</v>
      </c>
      <c r="N686" s="116">
        <v>70.86</v>
      </c>
      <c r="O686" s="116">
        <v>68</v>
      </c>
      <c r="P686" s="116">
        <v>70.400000000000006</v>
      </c>
      <c r="Q686" s="116">
        <v>350.2</v>
      </c>
      <c r="R686">
        <v>47610</v>
      </c>
    </row>
    <row r="687" spans="1:18" x14ac:dyDescent="0.25">
      <c r="A687" s="170">
        <v>43732</v>
      </c>
      <c r="B687" s="116">
        <v>70.540000000000006</v>
      </c>
      <c r="C687" s="116">
        <v>69.92</v>
      </c>
      <c r="D687" s="116">
        <v>69.02</v>
      </c>
      <c r="E687" s="116">
        <v>69.83</v>
      </c>
      <c r="F687" s="116">
        <v>349.6</v>
      </c>
      <c r="G687">
        <v>1110</v>
      </c>
      <c r="H687" s="116"/>
      <c r="I687" s="116"/>
      <c r="L687" s="170">
        <v>43732</v>
      </c>
      <c r="M687" s="116">
        <v>69.94</v>
      </c>
      <c r="N687" s="116">
        <v>70.77</v>
      </c>
      <c r="O687" s="116">
        <v>68</v>
      </c>
      <c r="P687" s="116">
        <v>69.239999999999995</v>
      </c>
      <c r="Q687" s="116">
        <v>349.7</v>
      </c>
      <c r="R687">
        <v>23226</v>
      </c>
    </row>
    <row r="688" spans="1:18" x14ac:dyDescent="0.25">
      <c r="A688" s="170">
        <v>43733</v>
      </c>
      <c r="B688" s="116">
        <v>72.84</v>
      </c>
      <c r="C688" s="116">
        <v>71.13</v>
      </c>
      <c r="D688" s="116">
        <v>68.959999999999994</v>
      </c>
      <c r="E688" s="116">
        <v>69.3</v>
      </c>
      <c r="F688" s="116">
        <v>355.65</v>
      </c>
      <c r="G688">
        <v>1587</v>
      </c>
      <c r="H688" s="116"/>
      <c r="I688" s="116"/>
      <c r="L688" s="170">
        <v>43733</v>
      </c>
      <c r="M688" s="116">
        <v>70.959999999999994</v>
      </c>
      <c r="N688" s="116">
        <v>72.88</v>
      </c>
      <c r="O688" s="116">
        <v>68.8</v>
      </c>
      <c r="P688" s="116">
        <v>69.400000000000006</v>
      </c>
      <c r="Q688" s="116">
        <v>354.8</v>
      </c>
      <c r="R688">
        <v>84080</v>
      </c>
    </row>
    <row r="689" spans="1:18" x14ac:dyDescent="0.25">
      <c r="A689" s="170">
        <v>43734</v>
      </c>
      <c r="B689" s="116">
        <v>73.84</v>
      </c>
      <c r="C689" s="116">
        <v>73.34</v>
      </c>
      <c r="D689" s="116">
        <v>71</v>
      </c>
      <c r="E689" s="116">
        <v>71</v>
      </c>
      <c r="F689" s="116">
        <v>366.7</v>
      </c>
      <c r="G689">
        <v>1531</v>
      </c>
      <c r="H689" s="116"/>
      <c r="I689" s="116"/>
      <c r="L689" s="170">
        <v>43734</v>
      </c>
      <c r="M689" s="116">
        <v>73.33</v>
      </c>
      <c r="N689" s="116">
        <v>74</v>
      </c>
      <c r="O689" s="116">
        <v>70.709999999999994</v>
      </c>
      <c r="P689" s="116">
        <v>71.599999999999994</v>
      </c>
      <c r="Q689" s="116">
        <v>366.65</v>
      </c>
      <c r="R689">
        <v>29613</v>
      </c>
    </row>
    <row r="690" spans="1:18" x14ac:dyDescent="0.25">
      <c r="A690" s="170">
        <v>43735</v>
      </c>
      <c r="B690" s="116">
        <v>74.64</v>
      </c>
      <c r="C690" s="116">
        <v>73.400000000000006</v>
      </c>
      <c r="D690" s="116">
        <v>73.19</v>
      </c>
      <c r="E690" s="116">
        <v>73.599999999999994</v>
      </c>
      <c r="F690" s="116">
        <v>367</v>
      </c>
      <c r="G690">
        <v>6138</v>
      </c>
      <c r="H690" s="116"/>
      <c r="I690" s="116"/>
      <c r="L690" s="170">
        <v>43735</v>
      </c>
      <c r="M690" s="116">
        <v>73.209999999999994</v>
      </c>
      <c r="N690" s="116">
        <v>74.989999999999995</v>
      </c>
      <c r="O690" s="116">
        <v>73.040000000000006</v>
      </c>
      <c r="P690" s="116">
        <v>74.2</v>
      </c>
      <c r="Q690" s="116">
        <v>366.05</v>
      </c>
      <c r="R690">
        <v>20632</v>
      </c>
    </row>
    <row r="691" spans="1:18" x14ac:dyDescent="0.25">
      <c r="A691" s="170">
        <v>43738</v>
      </c>
      <c r="B691" s="116">
        <v>75.040000000000006</v>
      </c>
      <c r="C691" s="116">
        <v>74.72</v>
      </c>
      <c r="D691" s="116">
        <v>73.98</v>
      </c>
      <c r="E691" s="116">
        <v>74</v>
      </c>
      <c r="F691" s="116">
        <v>373.6</v>
      </c>
      <c r="G691">
        <v>2534</v>
      </c>
      <c r="H691" s="116"/>
      <c r="I691" s="116"/>
      <c r="L691" s="170">
        <v>43738</v>
      </c>
      <c r="M691" s="116">
        <v>74.87</v>
      </c>
      <c r="N691" s="116">
        <v>75.38</v>
      </c>
      <c r="O691" s="116">
        <v>73.290000000000006</v>
      </c>
      <c r="P691" s="116">
        <v>73.37</v>
      </c>
      <c r="Q691" s="116">
        <v>374.35</v>
      </c>
      <c r="R691">
        <v>45787</v>
      </c>
    </row>
    <row r="692" spans="1:18" x14ac:dyDescent="0.25">
      <c r="A692" s="170">
        <v>43739</v>
      </c>
      <c r="B692" s="116">
        <v>74.400000000000006</v>
      </c>
      <c r="C692" s="116">
        <v>71.87</v>
      </c>
      <c r="D692" s="116">
        <v>71.209999999999994</v>
      </c>
      <c r="E692" s="116">
        <v>74.400000000000006</v>
      </c>
      <c r="F692" s="116">
        <v>359.35</v>
      </c>
      <c r="G692">
        <v>1306</v>
      </c>
      <c r="H692" s="116"/>
      <c r="I692" s="116"/>
      <c r="L692" s="170">
        <v>43739</v>
      </c>
      <c r="M692" s="116">
        <v>72.03</v>
      </c>
      <c r="N692" s="116">
        <v>74.8</v>
      </c>
      <c r="O692" s="116">
        <v>70.849999999999994</v>
      </c>
      <c r="P692" s="116">
        <v>74.2</v>
      </c>
      <c r="Q692" s="116">
        <v>360.15</v>
      </c>
      <c r="R692">
        <v>17695</v>
      </c>
    </row>
    <row r="693" spans="1:18" x14ac:dyDescent="0.25">
      <c r="A693" s="170">
        <v>43741</v>
      </c>
      <c r="B693" s="116">
        <v>72.44</v>
      </c>
      <c r="C693" s="116">
        <v>71.650000000000006</v>
      </c>
      <c r="D693" s="116">
        <v>70.59</v>
      </c>
      <c r="E693" s="116">
        <v>72.2</v>
      </c>
      <c r="F693" s="116">
        <v>358.25</v>
      </c>
      <c r="G693">
        <v>376</v>
      </c>
      <c r="H693" s="116"/>
      <c r="I693" s="116"/>
      <c r="L693" s="170">
        <v>43741</v>
      </c>
      <c r="M693" s="116">
        <v>71.19</v>
      </c>
      <c r="N693" s="116">
        <v>72.760000000000005</v>
      </c>
      <c r="O693" s="116">
        <v>70.59</v>
      </c>
      <c r="P693" s="116">
        <v>72.5</v>
      </c>
      <c r="Q693" s="116">
        <v>355.95</v>
      </c>
      <c r="R693">
        <v>8254</v>
      </c>
    </row>
    <row r="694" spans="1:18" x14ac:dyDescent="0.25">
      <c r="A694" s="170">
        <v>43742</v>
      </c>
      <c r="B694" s="116">
        <v>72.05</v>
      </c>
      <c r="C694" s="116">
        <v>71.31</v>
      </c>
      <c r="D694" s="116">
        <v>70</v>
      </c>
      <c r="E694" s="116">
        <v>71.48</v>
      </c>
      <c r="F694" s="116">
        <v>356.55</v>
      </c>
      <c r="G694">
        <v>455</v>
      </c>
      <c r="H694" s="116"/>
      <c r="I694" s="116"/>
      <c r="L694" s="170">
        <v>43742</v>
      </c>
      <c r="M694" s="116">
        <v>70.989999999999995</v>
      </c>
      <c r="N694" s="116">
        <v>72.69</v>
      </c>
      <c r="O694" s="116">
        <v>70.2</v>
      </c>
      <c r="P694" s="116">
        <v>71.17</v>
      </c>
      <c r="Q694" s="116">
        <v>354.95</v>
      </c>
      <c r="R694">
        <v>7881</v>
      </c>
    </row>
    <row r="695" spans="1:18" x14ac:dyDescent="0.25">
      <c r="A695" s="170">
        <v>43745</v>
      </c>
      <c r="B695" s="116">
        <v>70.3</v>
      </c>
      <c r="C695" s="116">
        <v>66.73</v>
      </c>
      <c r="D695" s="116">
        <v>65.3</v>
      </c>
      <c r="E695" s="116">
        <v>69.599999999999994</v>
      </c>
      <c r="F695" s="116">
        <v>333.65</v>
      </c>
      <c r="G695">
        <v>2601</v>
      </c>
      <c r="H695" s="116"/>
      <c r="I695" s="116"/>
      <c r="L695" s="170">
        <v>43745</v>
      </c>
      <c r="M695" s="116">
        <v>66.489999999999995</v>
      </c>
      <c r="N695" s="116">
        <v>71</v>
      </c>
      <c r="O695" s="116">
        <v>65.209999999999994</v>
      </c>
      <c r="P695" s="116">
        <v>71</v>
      </c>
      <c r="Q695" s="116">
        <v>332.45</v>
      </c>
      <c r="R695">
        <v>41191</v>
      </c>
    </row>
    <row r="696" spans="1:18" x14ac:dyDescent="0.25">
      <c r="A696" s="170">
        <v>43747</v>
      </c>
      <c r="B696" s="116">
        <v>69</v>
      </c>
      <c r="C696" s="116">
        <v>66.39</v>
      </c>
      <c r="D696" s="116">
        <v>65.97</v>
      </c>
      <c r="E696" s="116">
        <v>69</v>
      </c>
      <c r="F696" s="116">
        <v>331.95</v>
      </c>
      <c r="G696">
        <v>308</v>
      </c>
      <c r="H696" s="116"/>
      <c r="I696" s="116"/>
      <c r="L696" s="170">
        <v>43747</v>
      </c>
      <c r="M696" s="116">
        <v>66.41</v>
      </c>
      <c r="N696" s="116">
        <v>69.36</v>
      </c>
      <c r="O696" s="116">
        <v>66</v>
      </c>
      <c r="P696" s="116">
        <v>68</v>
      </c>
      <c r="Q696" s="116">
        <v>332.05</v>
      </c>
      <c r="R696">
        <v>17370</v>
      </c>
    </row>
    <row r="697" spans="1:18" x14ac:dyDescent="0.25">
      <c r="A697" s="170">
        <v>43748</v>
      </c>
      <c r="B697" s="116">
        <v>66.12</v>
      </c>
      <c r="C697" s="116">
        <v>65.78</v>
      </c>
      <c r="D697" s="116">
        <v>65.72</v>
      </c>
      <c r="E697" s="116">
        <v>66</v>
      </c>
      <c r="F697" s="116">
        <v>328.9</v>
      </c>
      <c r="G697">
        <v>298</v>
      </c>
      <c r="H697" s="116"/>
      <c r="I697" s="116"/>
      <c r="L697" s="170">
        <v>43748</v>
      </c>
      <c r="M697" s="116">
        <v>65.900000000000006</v>
      </c>
      <c r="N697" s="116">
        <v>67</v>
      </c>
      <c r="O697" s="116">
        <v>65.81</v>
      </c>
      <c r="P697" s="116">
        <v>66.2</v>
      </c>
      <c r="Q697" s="116">
        <v>329.5</v>
      </c>
      <c r="R697">
        <v>14681</v>
      </c>
    </row>
    <row r="698" spans="1:18" x14ac:dyDescent="0.25">
      <c r="A698" s="170">
        <v>43749</v>
      </c>
      <c r="B698" s="116">
        <v>66.819999999999993</v>
      </c>
      <c r="C698" s="116">
        <v>65.099999999999994</v>
      </c>
      <c r="D698" s="116">
        <v>63.37</v>
      </c>
      <c r="E698" s="116">
        <v>66.12</v>
      </c>
      <c r="F698" s="116">
        <v>325.5</v>
      </c>
      <c r="G698">
        <v>598</v>
      </c>
      <c r="H698" s="116"/>
      <c r="I698" s="116"/>
      <c r="L698" s="170">
        <v>43749</v>
      </c>
      <c r="M698" s="116">
        <v>65.31</v>
      </c>
      <c r="N698" s="116">
        <v>67.2</v>
      </c>
      <c r="O698" s="116">
        <v>63.27</v>
      </c>
      <c r="P698" s="116">
        <v>67.2</v>
      </c>
      <c r="Q698" s="116">
        <v>326.55</v>
      </c>
      <c r="R698">
        <v>24686</v>
      </c>
    </row>
    <row r="699" spans="1:18" x14ac:dyDescent="0.25">
      <c r="A699" s="170">
        <v>43752</v>
      </c>
      <c r="B699" s="116">
        <v>65.58</v>
      </c>
      <c r="C699" s="116">
        <v>63.93</v>
      </c>
      <c r="D699" s="116">
        <v>63.82</v>
      </c>
      <c r="E699" s="116">
        <v>65.2</v>
      </c>
      <c r="F699" s="116">
        <v>319.64999999999998</v>
      </c>
      <c r="G699">
        <v>283</v>
      </c>
      <c r="H699" s="116"/>
      <c r="I699" s="116"/>
      <c r="L699" s="170">
        <v>43752</v>
      </c>
      <c r="M699" s="116">
        <v>63.98</v>
      </c>
      <c r="N699" s="116">
        <v>65.91</v>
      </c>
      <c r="O699" s="116">
        <v>63.8</v>
      </c>
      <c r="P699" s="116">
        <v>64</v>
      </c>
      <c r="Q699" s="116">
        <v>319.89999999999998</v>
      </c>
      <c r="R699">
        <v>29990</v>
      </c>
    </row>
    <row r="700" spans="1:18" x14ac:dyDescent="0.25">
      <c r="A700" s="170">
        <v>43753</v>
      </c>
      <c r="B700" s="116">
        <v>64.599999999999994</v>
      </c>
      <c r="C700" s="116">
        <v>63.87</v>
      </c>
      <c r="D700" s="116">
        <v>60.74</v>
      </c>
      <c r="E700" s="116">
        <v>64.39</v>
      </c>
      <c r="F700" s="116">
        <v>319.35000000000002</v>
      </c>
      <c r="G700">
        <v>7206</v>
      </c>
      <c r="H700" s="116"/>
      <c r="I700" s="116"/>
      <c r="L700" s="170">
        <v>43753</v>
      </c>
      <c r="M700" s="116">
        <v>63.91</v>
      </c>
      <c r="N700" s="116">
        <v>65</v>
      </c>
      <c r="O700" s="116">
        <v>60.66</v>
      </c>
      <c r="P700" s="116">
        <v>64.790000000000006</v>
      </c>
      <c r="Q700" s="116">
        <v>319.55</v>
      </c>
      <c r="R700">
        <v>169623</v>
      </c>
    </row>
    <row r="701" spans="1:18" x14ac:dyDescent="0.25">
      <c r="A701" s="170">
        <v>43754</v>
      </c>
      <c r="B701" s="116">
        <v>64</v>
      </c>
      <c r="C701" s="116">
        <v>62.61</v>
      </c>
      <c r="D701" s="116">
        <v>62.36</v>
      </c>
      <c r="E701" s="116">
        <v>64</v>
      </c>
      <c r="F701" s="116">
        <v>313.05</v>
      </c>
      <c r="G701">
        <v>1331</v>
      </c>
      <c r="H701" s="116"/>
      <c r="I701" s="116"/>
      <c r="L701" s="170">
        <v>43754</v>
      </c>
      <c r="M701" s="116">
        <v>62.55</v>
      </c>
      <c r="N701" s="116">
        <v>64.05</v>
      </c>
      <c r="O701" s="116">
        <v>62.26</v>
      </c>
      <c r="P701" s="116">
        <v>64</v>
      </c>
      <c r="Q701" s="116">
        <v>312.75</v>
      </c>
      <c r="R701">
        <v>47342</v>
      </c>
    </row>
    <row r="702" spans="1:18" x14ac:dyDescent="0.25">
      <c r="A702" s="170">
        <v>43755</v>
      </c>
      <c r="B702" s="116">
        <v>63.13</v>
      </c>
      <c r="C702" s="116">
        <v>62.7</v>
      </c>
      <c r="D702" s="116">
        <v>61.86</v>
      </c>
      <c r="E702" s="116">
        <v>63.13</v>
      </c>
      <c r="F702" s="116">
        <v>313.5</v>
      </c>
      <c r="G702">
        <v>1274</v>
      </c>
      <c r="H702" s="116"/>
      <c r="I702" s="116"/>
      <c r="L702" s="170">
        <v>43755</v>
      </c>
      <c r="M702" s="116">
        <v>62.05</v>
      </c>
      <c r="N702" s="116">
        <v>63.8</v>
      </c>
      <c r="O702" s="116">
        <v>61.75</v>
      </c>
      <c r="P702" s="116">
        <v>63.8</v>
      </c>
      <c r="Q702" s="116">
        <v>310.25</v>
      </c>
      <c r="R702">
        <v>147246</v>
      </c>
    </row>
    <row r="703" spans="1:18" x14ac:dyDescent="0.25">
      <c r="A703" s="170">
        <v>43756</v>
      </c>
      <c r="B703" s="116">
        <v>64.19</v>
      </c>
      <c r="C703" s="116">
        <v>62.99</v>
      </c>
      <c r="D703" s="116">
        <v>62.13</v>
      </c>
      <c r="E703" s="116">
        <v>62.22</v>
      </c>
      <c r="F703" s="116">
        <v>314.95</v>
      </c>
      <c r="G703">
        <v>1888</v>
      </c>
      <c r="H703" s="116"/>
      <c r="I703" s="116"/>
      <c r="L703" s="170">
        <v>43756</v>
      </c>
      <c r="M703" s="116">
        <v>63.24</v>
      </c>
      <c r="N703" s="116">
        <v>64.2</v>
      </c>
      <c r="O703" s="116">
        <v>62</v>
      </c>
      <c r="P703" s="116">
        <v>62.08</v>
      </c>
      <c r="Q703" s="116">
        <v>316.2</v>
      </c>
      <c r="R703">
        <v>188784</v>
      </c>
    </row>
    <row r="704" spans="1:18" x14ac:dyDescent="0.25">
      <c r="A704" s="170">
        <v>43760</v>
      </c>
      <c r="B704" s="116">
        <v>69.069999999999993</v>
      </c>
      <c r="C704" s="116">
        <v>68.87</v>
      </c>
      <c r="D704" s="116">
        <v>64.84</v>
      </c>
      <c r="E704" s="116">
        <v>66.8</v>
      </c>
      <c r="F704" s="116">
        <v>344.35</v>
      </c>
      <c r="G704">
        <v>2998</v>
      </c>
      <c r="H704" s="116"/>
      <c r="I704" s="116"/>
      <c r="L704" s="170">
        <v>43760</v>
      </c>
      <c r="M704" s="116">
        <v>68.34</v>
      </c>
      <c r="N704" s="116">
        <v>69.599999999999994</v>
      </c>
      <c r="O704" s="116">
        <v>64.400000000000006</v>
      </c>
      <c r="P704" s="116">
        <v>66.94</v>
      </c>
      <c r="Q704" s="116">
        <v>341.7</v>
      </c>
      <c r="R704">
        <v>85633</v>
      </c>
    </row>
    <row r="705" spans="1:18" x14ac:dyDescent="0.25">
      <c r="A705" s="170">
        <v>43761</v>
      </c>
      <c r="B705" s="116">
        <v>72</v>
      </c>
      <c r="C705" s="116">
        <v>69.239999999999995</v>
      </c>
      <c r="D705" s="116">
        <v>68.31</v>
      </c>
      <c r="E705" s="116">
        <v>68.709999999999994</v>
      </c>
      <c r="F705" s="116">
        <v>346.2</v>
      </c>
      <c r="G705">
        <v>3390</v>
      </c>
      <c r="H705" s="116"/>
      <c r="I705" s="116"/>
      <c r="L705" s="170">
        <v>43761</v>
      </c>
      <c r="M705" s="116">
        <v>69.599999999999994</v>
      </c>
      <c r="N705" s="116">
        <v>72.12</v>
      </c>
      <c r="O705" s="116">
        <v>68.34</v>
      </c>
      <c r="P705" s="116">
        <v>68.89</v>
      </c>
      <c r="Q705" s="116">
        <v>348</v>
      </c>
      <c r="R705">
        <v>55919</v>
      </c>
    </row>
    <row r="706" spans="1:18" x14ac:dyDescent="0.25">
      <c r="A706" s="170">
        <v>43762</v>
      </c>
      <c r="B706" s="116">
        <v>70.53</v>
      </c>
      <c r="C706" s="116">
        <v>69.260000000000005</v>
      </c>
      <c r="D706" s="116">
        <v>68.930000000000007</v>
      </c>
      <c r="E706" s="116">
        <v>70.53</v>
      </c>
      <c r="F706" s="116">
        <v>346.3</v>
      </c>
      <c r="G706">
        <v>696</v>
      </c>
      <c r="H706" s="116"/>
      <c r="I706" s="116"/>
      <c r="L706" s="170">
        <v>43762</v>
      </c>
      <c r="M706" s="116">
        <v>69.33</v>
      </c>
      <c r="N706" s="116">
        <v>71.27</v>
      </c>
      <c r="O706" s="116">
        <v>68.599999999999994</v>
      </c>
      <c r="P706" s="116">
        <v>68.599999999999994</v>
      </c>
      <c r="Q706" s="116">
        <v>346.65</v>
      </c>
      <c r="R706">
        <v>12114</v>
      </c>
    </row>
    <row r="707" spans="1:18" x14ac:dyDescent="0.25">
      <c r="A707" s="170">
        <v>43763</v>
      </c>
      <c r="B707" s="116">
        <v>69.94</v>
      </c>
      <c r="C707" s="116">
        <v>68.900000000000006</v>
      </c>
      <c r="D707" s="116">
        <v>68.400000000000006</v>
      </c>
      <c r="E707" s="116">
        <v>69.260000000000005</v>
      </c>
      <c r="F707" s="116">
        <v>344.5</v>
      </c>
      <c r="G707">
        <v>471</v>
      </c>
      <c r="H707" s="116"/>
      <c r="I707" s="116"/>
      <c r="L707" s="170">
        <v>43763</v>
      </c>
      <c r="M707" s="116">
        <v>69.25</v>
      </c>
      <c r="N707" s="116">
        <v>70.2</v>
      </c>
      <c r="O707" s="116">
        <v>68.23</v>
      </c>
      <c r="P707" s="116">
        <v>70</v>
      </c>
      <c r="Q707" s="116">
        <v>346.25</v>
      </c>
      <c r="R707">
        <v>27835</v>
      </c>
    </row>
    <row r="708" spans="1:18" x14ac:dyDescent="0.25">
      <c r="A708" s="170">
        <v>43765</v>
      </c>
      <c r="B708" s="116">
        <v>70.8</v>
      </c>
      <c r="C708" s="116">
        <v>70.58</v>
      </c>
      <c r="D708" s="116">
        <v>70.11</v>
      </c>
      <c r="E708" s="116">
        <v>70.8</v>
      </c>
      <c r="F708" s="116">
        <v>352.9</v>
      </c>
      <c r="G708">
        <v>160</v>
      </c>
      <c r="H708" s="116"/>
      <c r="I708" s="116"/>
      <c r="L708" s="170">
        <v>43765</v>
      </c>
      <c r="M708" s="116">
        <v>70.37</v>
      </c>
      <c r="N708" s="116">
        <v>70.8</v>
      </c>
      <c r="O708" s="116">
        <v>69.03</v>
      </c>
      <c r="P708" s="116">
        <v>69.03</v>
      </c>
      <c r="Q708" s="116">
        <v>351.85</v>
      </c>
      <c r="R708">
        <v>10459</v>
      </c>
    </row>
    <row r="709" spans="1:18" x14ac:dyDescent="0.25">
      <c r="A709" s="170">
        <v>43767</v>
      </c>
      <c r="B709" s="116">
        <v>71.599999999999994</v>
      </c>
      <c r="C709" s="116">
        <v>70.87</v>
      </c>
      <c r="D709" s="116">
        <v>70.44</v>
      </c>
      <c r="E709" s="116">
        <v>70.73</v>
      </c>
      <c r="F709" s="116">
        <v>354.35</v>
      </c>
      <c r="G709">
        <v>2067</v>
      </c>
      <c r="H709" s="116"/>
      <c r="I709" s="116"/>
      <c r="L709" s="170">
        <v>43767</v>
      </c>
      <c r="M709" s="116">
        <v>71.13</v>
      </c>
      <c r="N709" s="116">
        <v>71.66</v>
      </c>
      <c r="O709" s="116">
        <v>70.260000000000005</v>
      </c>
      <c r="P709" s="116">
        <v>70.569999999999993</v>
      </c>
      <c r="Q709" s="116">
        <v>355.65</v>
      </c>
      <c r="R709">
        <v>19540</v>
      </c>
    </row>
    <row r="710" spans="1:18" x14ac:dyDescent="0.25">
      <c r="A710" s="170">
        <v>43768</v>
      </c>
      <c r="B710" s="116">
        <v>73.7</v>
      </c>
      <c r="C710" s="116">
        <v>72.81</v>
      </c>
      <c r="D710" s="116">
        <v>71.400000000000006</v>
      </c>
      <c r="E710" s="116">
        <v>71.489999999999995</v>
      </c>
      <c r="F710" s="116">
        <v>364.05</v>
      </c>
      <c r="G710">
        <v>2632</v>
      </c>
      <c r="H710" s="116"/>
      <c r="I710" s="116"/>
      <c r="L710" s="170">
        <v>43768</v>
      </c>
      <c r="M710" s="116">
        <v>73.09</v>
      </c>
      <c r="N710" s="116">
        <v>73.92</v>
      </c>
      <c r="O710" s="116">
        <v>70.2</v>
      </c>
      <c r="P710" s="116">
        <v>70.2</v>
      </c>
      <c r="Q710" s="116">
        <v>365.45</v>
      </c>
      <c r="R710">
        <v>50765</v>
      </c>
    </row>
    <row r="711" spans="1:18" x14ac:dyDescent="0.25">
      <c r="A711" s="170">
        <v>43769</v>
      </c>
      <c r="B711" s="116">
        <v>74.8</v>
      </c>
      <c r="C711" s="116">
        <v>73.75</v>
      </c>
      <c r="D711" s="116">
        <v>72.97</v>
      </c>
      <c r="E711" s="116">
        <v>74.8</v>
      </c>
      <c r="F711" s="116">
        <v>368.75</v>
      </c>
      <c r="G711">
        <v>2200</v>
      </c>
      <c r="H711" s="116"/>
      <c r="I711" s="116"/>
      <c r="L711" s="170">
        <v>43769</v>
      </c>
      <c r="M711" s="116">
        <v>73.959999999999994</v>
      </c>
      <c r="N711" s="116">
        <v>75.25</v>
      </c>
      <c r="O711" s="116">
        <v>72.83</v>
      </c>
      <c r="P711" s="116">
        <v>73.739999999999995</v>
      </c>
      <c r="Q711" s="116">
        <v>369.8</v>
      </c>
      <c r="R711">
        <v>69482</v>
      </c>
    </row>
    <row r="712" spans="1:18" x14ac:dyDescent="0.25">
      <c r="A712" s="170">
        <v>43770</v>
      </c>
      <c r="B712" s="116">
        <v>83.64</v>
      </c>
      <c r="C712" s="116">
        <v>75.62</v>
      </c>
      <c r="D712" s="116">
        <v>75.16</v>
      </c>
      <c r="E712" s="116">
        <v>81.8</v>
      </c>
      <c r="F712" s="116">
        <v>378.1</v>
      </c>
      <c r="G712">
        <v>52445</v>
      </c>
      <c r="H712" s="116"/>
      <c r="I712" s="116"/>
      <c r="L712" s="170">
        <v>43770</v>
      </c>
      <c r="M712" s="116">
        <v>75.66</v>
      </c>
      <c r="N712" s="116">
        <v>83.76</v>
      </c>
      <c r="O712" s="116">
        <v>75.099999999999994</v>
      </c>
      <c r="P712" s="116">
        <v>81.400000000000006</v>
      </c>
      <c r="Q712" s="116">
        <v>378.3</v>
      </c>
      <c r="R712">
        <v>1347645</v>
      </c>
    </row>
    <row r="713" spans="1:18" x14ac:dyDescent="0.25">
      <c r="A713" s="170">
        <v>43773</v>
      </c>
      <c r="B713" s="116">
        <v>77.5</v>
      </c>
      <c r="C713" s="116">
        <v>74.709999999999994</v>
      </c>
      <c r="D713" s="116">
        <v>74.47</v>
      </c>
      <c r="E713" s="116">
        <v>76.38</v>
      </c>
      <c r="F713" s="116">
        <v>373.55</v>
      </c>
      <c r="G713">
        <v>14683</v>
      </c>
      <c r="H713" s="116"/>
      <c r="I713" s="116"/>
      <c r="L713" s="170">
        <v>43773</v>
      </c>
      <c r="M713" s="116">
        <v>74.709999999999994</v>
      </c>
      <c r="N713" s="116">
        <v>77.44</v>
      </c>
      <c r="O713" s="116">
        <v>74.22</v>
      </c>
      <c r="P713" s="116">
        <v>76.2</v>
      </c>
      <c r="Q713" s="116">
        <v>373.55</v>
      </c>
      <c r="R713">
        <v>178834</v>
      </c>
    </row>
    <row r="714" spans="1:18" x14ac:dyDescent="0.25">
      <c r="A714" s="170">
        <v>43774</v>
      </c>
      <c r="B714" s="116">
        <v>76.349999999999994</v>
      </c>
      <c r="C714" s="116">
        <v>73.680000000000007</v>
      </c>
      <c r="D714" s="116">
        <v>72.25</v>
      </c>
      <c r="E714" s="116">
        <v>76</v>
      </c>
      <c r="F714" s="116">
        <v>368.4</v>
      </c>
      <c r="G714">
        <v>6480</v>
      </c>
      <c r="H714" s="116"/>
      <c r="I714" s="116"/>
      <c r="L714" s="170">
        <v>43774</v>
      </c>
      <c r="M714" s="116">
        <v>74.14</v>
      </c>
      <c r="N714" s="116">
        <v>76.3</v>
      </c>
      <c r="O714" s="116">
        <v>73.73</v>
      </c>
      <c r="P714" s="116">
        <v>75</v>
      </c>
      <c r="Q714" s="116">
        <v>370.7</v>
      </c>
      <c r="R714">
        <v>108061</v>
      </c>
    </row>
    <row r="715" spans="1:18" x14ac:dyDescent="0.25">
      <c r="A715" s="170">
        <v>43775</v>
      </c>
      <c r="B715" s="116">
        <v>75.72</v>
      </c>
      <c r="C715" s="116">
        <v>74.17</v>
      </c>
      <c r="D715" s="116">
        <v>73.66</v>
      </c>
      <c r="E715" s="116">
        <v>74.78</v>
      </c>
      <c r="F715" s="116">
        <v>370.85</v>
      </c>
      <c r="G715">
        <v>5908</v>
      </c>
      <c r="H715" s="116"/>
      <c r="I715" s="116"/>
      <c r="L715" s="170">
        <v>43775</v>
      </c>
      <c r="M715" s="116">
        <v>74.150000000000006</v>
      </c>
      <c r="N715" s="116">
        <v>75.790000000000006</v>
      </c>
      <c r="O715" s="116">
        <v>73.599999999999994</v>
      </c>
      <c r="P715" s="116">
        <v>73.989999999999995</v>
      </c>
      <c r="Q715" s="116">
        <v>370.75</v>
      </c>
      <c r="R715">
        <v>60963</v>
      </c>
    </row>
    <row r="716" spans="1:18" x14ac:dyDescent="0.25">
      <c r="A716" s="170">
        <v>43776</v>
      </c>
      <c r="B716" s="116">
        <v>75.599999999999994</v>
      </c>
      <c r="C716" s="116">
        <v>73.959999999999994</v>
      </c>
      <c r="D716" s="116">
        <v>73.28</v>
      </c>
      <c r="E716" s="116">
        <v>74</v>
      </c>
      <c r="F716" s="116">
        <v>369.8</v>
      </c>
      <c r="G716">
        <v>5507</v>
      </c>
      <c r="H716" s="116"/>
      <c r="I716" s="116"/>
      <c r="L716" s="170">
        <v>43776</v>
      </c>
      <c r="M716" s="116">
        <v>73.88</v>
      </c>
      <c r="N716" s="116">
        <v>75.599999999999994</v>
      </c>
      <c r="O716" s="116">
        <v>73.319999999999993</v>
      </c>
      <c r="P716" s="116">
        <v>74.989999999999995</v>
      </c>
      <c r="Q716" s="116">
        <v>369.4</v>
      </c>
      <c r="R716">
        <v>48804</v>
      </c>
    </row>
    <row r="717" spans="1:18" x14ac:dyDescent="0.25">
      <c r="A717" s="170">
        <v>43777</v>
      </c>
      <c r="B717" s="116">
        <v>76.39</v>
      </c>
      <c r="C717" s="116">
        <v>73.2</v>
      </c>
      <c r="D717" s="116">
        <v>72.88</v>
      </c>
      <c r="E717" s="116">
        <v>76.39</v>
      </c>
      <c r="F717" s="116">
        <v>366</v>
      </c>
      <c r="G717">
        <v>4567</v>
      </c>
      <c r="H717" s="116"/>
      <c r="I717" s="116"/>
      <c r="L717" s="170">
        <v>43777</v>
      </c>
      <c r="M717" s="116">
        <v>73.209999999999994</v>
      </c>
      <c r="N717" s="116">
        <v>74.739999999999995</v>
      </c>
      <c r="O717" s="116">
        <v>72.819999999999993</v>
      </c>
      <c r="P717" s="116">
        <v>74.2</v>
      </c>
      <c r="Q717" s="116">
        <v>366.05</v>
      </c>
      <c r="R717">
        <v>88246</v>
      </c>
    </row>
    <row r="718" spans="1:18" x14ac:dyDescent="0.25">
      <c r="A718" s="170">
        <v>43780</v>
      </c>
      <c r="B718" s="116">
        <v>74.75</v>
      </c>
      <c r="C718" s="116">
        <v>73.92</v>
      </c>
      <c r="D718" s="116">
        <v>72.8</v>
      </c>
      <c r="E718" s="116">
        <v>73.209999999999994</v>
      </c>
      <c r="F718" s="116">
        <v>369.6</v>
      </c>
      <c r="G718">
        <v>1400</v>
      </c>
      <c r="H718" s="116"/>
      <c r="I718" s="116"/>
      <c r="L718" s="170">
        <v>43780</v>
      </c>
      <c r="M718" s="116">
        <v>73.989999999999995</v>
      </c>
      <c r="N718" s="116">
        <v>74.62</v>
      </c>
      <c r="O718" s="116">
        <v>72.63</v>
      </c>
      <c r="P718" s="116">
        <v>72.63</v>
      </c>
      <c r="Q718" s="116">
        <v>369.95</v>
      </c>
      <c r="R718">
        <v>64650</v>
      </c>
    </row>
    <row r="719" spans="1:18" x14ac:dyDescent="0.25">
      <c r="A719" s="170">
        <v>43782</v>
      </c>
      <c r="B719" s="116">
        <v>73.42</v>
      </c>
      <c r="C719" s="116">
        <v>72.069999999999993</v>
      </c>
      <c r="D719" s="116">
        <v>72.010000000000005</v>
      </c>
      <c r="E719" s="116">
        <v>73.42</v>
      </c>
      <c r="F719" s="116">
        <v>360.35</v>
      </c>
      <c r="G719">
        <v>1876</v>
      </c>
      <c r="H719" s="116"/>
      <c r="I719" s="116"/>
      <c r="L719" s="170">
        <v>43782</v>
      </c>
      <c r="M719" s="116">
        <v>72.22</v>
      </c>
      <c r="N719" s="116">
        <v>74</v>
      </c>
      <c r="O719" s="116">
        <v>71.900000000000006</v>
      </c>
      <c r="P719" s="116">
        <v>74</v>
      </c>
      <c r="Q719" s="116">
        <v>361.1</v>
      </c>
      <c r="R719">
        <v>48522</v>
      </c>
    </row>
    <row r="720" spans="1:18" x14ac:dyDescent="0.25">
      <c r="A720" s="170">
        <v>43783</v>
      </c>
      <c r="B720" s="116">
        <v>72.400000000000006</v>
      </c>
      <c r="C720" s="116">
        <v>70.94</v>
      </c>
      <c r="D720" s="116">
        <v>70.599999999999994</v>
      </c>
      <c r="E720" s="116">
        <v>72.34</v>
      </c>
      <c r="F720" s="116">
        <v>354.7</v>
      </c>
      <c r="G720">
        <v>1044</v>
      </c>
      <c r="H720" s="116"/>
      <c r="I720" s="116"/>
      <c r="L720" s="170">
        <v>43783</v>
      </c>
      <c r="M720" s="116">
        <v>71.09</v>
      </c>
      <c r="N720" s="116">
        <v>72.53</v>
      </c>
      <c r="O720" s="116">
        <v>70.48</v>
      </c>
      <c r="P720" s="116">
        <v>72.23</v>
      </c>
      <c r="Q720" s="116">
        <v>355.45</v>
      </c>
      <c r="R720">
        <v>41198</v>
      </c>
    </row>
    <row r="721" spans="1:18" x14ac:dyDescent="0.25">
      <c r="A721" s="170">
        <v>43784</v>
      </c>
      <c r="B721" s="116">
        <v>71.16</v>
      </c>
      <c r="C721" s="116">
        <v>68.36</v>
      </c>
      <c r="D721" s="116">
        <v>67.459999999999994</v>
      </c>
      <c r="E721" s="116">
        <v>70.86</v>
      </c>
      <c r="F721" s="116">
        <v>341.8</v>
      </c>
      <c r="G721">
        <v>6265</v>
      </c>
      <c r="H721" s="116"/>
      <c r="I721" s="116"/>
      <c r="L721" s="170">
        <v>43784</v>
      </c>
      <c r="M721" s="116">
        <v>68.42</v>
      </c>
      <c r="N721" s="116">
        <v>71.59</v>
      </c>
      <c r="O721" s="116">
        <v>67.5</v>
      </c>
      <c r="P721" s="116">
        <v>71.59</v>
      </c>
      <c r="Q721" s="116">
        <v>342.1</v>
      </c>
      <c r="R721">
        <v>109834</v>
      </c>
    </row>
    <row r="722" spans="1:18" x14ac:dyDescent="0.25">
      <c r="A722" s="170">
        <v>43787</v>
      </c>
      <c r="B722" s="116">
        <v>69</v>
      </c>
      <c r="C722" s="116">
        <v>67.45</v>
      </c>
      <c r="D722" s="116">
        <v>67.25</v>
      </c>
      <c r="E722" s="116">
        <v>68.400000000000006</v>
      </c>
      <c r="F722" s="116">
        <v>337.25</v>
      </c>
      <c r="G722">
        <v>3597</v>
      </c>
      <c r="H722" s="116"/>
      <c r="I722" s="116"/>
      <c r="L722" s="170">
        <v>43787</v>
      </c>
      <c r="M722" s="116">
        <v>67.489999999999995</v>
      </c>
      <c r="N722" s="116">
        <v>69.11</v>
      </c>
      <c r="O722" s="116">
        <v>67.239999999999995</v>
      </c>
      <c r="P722" s="116">
        <v>69.02</v>
      </c>
      <c r="Q722" s="116">
        <v>337.45</v>
      </c>
      <c r="R722">
        <v>91309</v>
      </c>
    </row>
    <row r="723" spans="1:18" x14ac:dyDescent="0.25">
      <c r="A723" s="170">
        <v>43788</v>
      </c>
      <c r="B723" s="116">
        <v>69.81</v>
      </c>
      <c r="C723" s="116">
        <v>68.27</v>
      </c>
      <c r="D723" s="116">
        <v>66.42</v>
      </c>
      <c r="E723" s="116">
        <v>68.39</v>
      </c>
      <c r="F723" s="116">
        <v>341.35</v>
      </c>
      <c r="G723">
        <v>3153</v>
      </c>
      <c r="H723" s="116"/>
      <c r="I723" s="116"/>
      <c r="L723" s="170">
        <v>43788</v>
      </c>
      <c r="M723" s="116">
        <v>68.239999999999995</v>
      </c>
      <c r="N723" s="116">
        <v>69.25</v>
      </c>
      <c r="O723" s="116">
        <v>67.400000000000006</v>
      </c>
      <c r="P723" s="116">
        <v>67.400000000000006</v>
      </c>
      <c r="Q723" s="116">
        <v>341.2</v>
      </c>
      <c r="R723">
        <v>40191</v>
      </c>
    </row>
    <row r="724" spans="1:18" x14ac:dyDescent="0.25">
      <c r="A724" s="170">
        <v>43789</v>
      </c>
      <c r="B724" s="116">
        <v>68.59</v>
      </c>
      <c r="C724" s="116">
        <v>67.86</v>
      </c>
      <c r="D724" s="116">
        <v>67.42</v>
      </c>
      <c r="E724" s="116">
        <v>68.069999999999993</v>
      </c>
      <c r="F724" s="116">
        <v>339.3</v>
      </c>
      <c r="G724">
        <v>1670</v>
      </c>
      <c r="H724" s="116"/>
      <c r="I724" s="116"/>
      <c r="L724" s="170">
        <v>43789</v>
      </c>
      <c r="M724" s="116">
        <v>67.77</v>
      </c>
      <c r="N724" s="116">
        <v>68.92</v>
      </c>
      <c r="O724" s="116">
        <v>67.41</v>
      </c>
      <c r="P724" s="116">
        <v>68.92</v>
      </c>
      <c r="Q724" s="116">
        <v>338.85</v>
      </c>
      <c r="R724">
        <v>41181</v>
      </c>
    </row>
    <row r="725" spans="1:18" x14ac:dyDescent="0.25">
      <c r="A725" s="170">
        <v>43790</v>
      </c>
      <c r="B725" s="116">
        <v>68.19</v>
      </c>
      <c r="C725" s="116">
        <v>66.430000000000007</v>
      </c>
      <c r="D725" s="116">
        <v>65.319999999999993</v>
      </c>
      <c r="E725" s="116">
        <v>67.47</v>
      </c>
      <c r="F725" s="116">
        <v>332.15</v>
      </c>
      <c r="G725">
        <v>1392</v>
      </c>
      <c r="H725" s="116"/>
      <c r="I725" s="116"/>
      <c r="L725" s="170">
        <v>43790</v>
      </c>
      <c r="M725" s="116">
        <v>66.59</v>
      </c>
      <c r="N725" s="116">
        <v>68.25</v>
      </c>
      <c r="O725" s="116">
        <v>65.319999999999993</v>
      </c>
      <c r="P725" s="116">
        <v>67.680000000000007</v>
      </c>
      <c r="Q725" s="116">
        <v>332.95</v>
      </c>
      <c r="R725">
        <v>204826</v>
      </c>
    </row>
    <row r="726" spans="1:18" x14ac:dyDescent="0.25">
      <c r="A726" s="170">
        <v>43791</v>
      </c>
      <c r="B726" s="116">
        <v>68.849999999999994</v>
      </c>
      <c r="C726" s="116">
        <v>66.89</v>
      </c>
      <c r="D726" s="116">
        <v>65.599999999999994</v>
      </c>
      <c r="E726" s="116">
        <v>65.989999999999995</v>
      </c>
      <c r="F726" s="116">
        <v>334.45</v>
      </c>
      <c r="G726">
        <v>3479</v>
      </c>
      <c r="H726" s="116"/>
      <c r="I726" s="116"/>
      <c r="L726" s="170">
        <v>43791</v>
      </c>
      <c r="M726" s="116">
        <v>67.03</v>
      </c>
      <c r="N726" s="116">
        <v>68.8</v>
      </c>
      <c r="O726" s="116">
        <v>65.599999999999994</v>
      </c>
      <c r="P726" s="116">
        <v>65.61</v>
      </c>
      <c r="Q726" s="116">
        <v>335.15</v>
      </c>
      <c r="R726">
        <v>85251</v>
      </c>
    </row>
    <row r="727" spans="1:18" x14ac:dyDescent="0.25">
      <c r="A727" s="170">
        <v>43794</v>
      </c>
      <c r="B727" s="116">
        <v>68.12</v>
      </c>
      <c r="C727" s="116">
        <v>67.319999999999993</v>
      </c>
      <c r="D727" s="116">
        <v>66.8</v>
      </c>
      <c r="E727" s="116">
        <v>67.489999999999995</v>
      </c>
      <c r="F727" s="116">
        <v>336.6</v>
      </c>
      <c r="G727">
        <v>4828</v>
      </c>
      <c r="H727" s="116"/>
      <c r="I727" s="116"/>
      <c r="L727" s="170">
        <v>43794</v>
      </c>
      <c r="M727" s="116">
        <v>67.260000000000005</v>
      </c>
      <c r="N727" s="116">
        <v>68.2</v>
      </c>
      <c r="O727" s="116">
        <v>66.84</v>
      </c>
      <c r="P727" s="116">
        <v>67.599999999999994</v>
      </c>
      <c r="Q727" s="116">
        <v>336.3</v>
      </c>
      <c r="R727">
        <v>41071</v>
      </c>
    </row>
    <row r="728" spans="1:18" x14ac:dyDescent="0.25">
      <c r="A728" s="170">
        <v>43795</v>
      </c>
      <c r="B728" s="116">
        <v>68.12</v>
      </c>
      <c r="C728" s="116">
        <v>67.430000000000007</v>
      </c>
      <c r="D728" s="116">
        <v>66.989999999999995</v>
      </c>
      <c r="E728" s="116">
        <v>67.540000000000006</v>
      </c>
      <c r="F728" s="116">
        <v>337.15</v>
      </c>
      <c r="G728">
        <v>4656</v>
      </c>
      <c r="H728" s="116"/>
      <c r="I728" s="116"/>
      <c r="L728" s="170">
        <v>43795</v>
      </c>
      <c r="M728" s="116">
        <v>67.28</v>
      </c>
      <c r="N728" s="116">
        <v>68.010000000000005</v>
      </c>
      <c r="O728" s="116">
        <v>67.010000000000005</v>
      </c>
      <c r="P728" s="116">
        <v>67.319999999999993</v>
      </c>
      <c r="Q728" s="116">
        <v>336.4</v>
      </c>
      <c r="R728">
        <v>50852</v>
      </c>
    </row>
    <row r="729" spans="1:18" x14ac:dyDescent="0.25">
      <c r="A729" s="170">
        <v>43796</v>
      </c>
      <c r="B729" s="116">
        <v>72.42</v>
      </c>
      <c r="C729" s="116">
        <v>70.7</v>
      </c>
      <c r="D729" s="116">
        <v>66.790000000000006</v>
      </c>
      <c r="E729" s="116">
        <v>66.84</v>
      </c>
      <c r="F729" s="116">
        <v>353.5</v>
      </c>
      <c r="G729">
        <v>545539</v>
      </c>
      <c r="H729" s="116"/>
      <c r="I729" s="116"/>
      <c r="L729" s="170">
        <v>43796</v>
      </c>
      <c r="M729" s="116">
        <v>70.650000000000006</v>
      </c>
      <c r="N729" s="116">
        <v>72.59</v>
      </c>
      <c r="O729" s="116">
        <v>66.59</v>
      </c>
      <c r="P729" s="116">
        <v>67.34</v>
      </c>
      <c r="Q729" s="116">
        <v>353.25</v>
      </c>
      <c r="R729">
        <v>920445</v>
      </c>
    </row>
    <row r="730" spans="1:18" x14ac:dyDescent="0.25">
      <c r="A730" s="170">
        <v>43797</v>
      </c>
      <c r="B730" s="116">
        <v>71.78</v>
      </c>
      <c r="C730" s="116">
        <v>69.86</v>
      </c>
      <c r="D730" s="116">
        <v>69.2</v>
      </c>
      <c r="E730" s="116">
        <v>71.099999999999994</v>
      </c>
      <c r="F730" s="116">
        <v>349.3</v>
      </c>
      <c r="G730">
        <v>23082</v>
      </c>
      <c r="H730" s="116"/>
      <c r="I730" s="116"/>
      <c r="L730" s="170">
        <v>43797</v>
      </c>
      <c r="M730" s="116">
        <v>69.88</v>
      </c>
      <c r="N730" s="116">
        <v>71.709999999999994</v>
      </c>
      <c r="O730" s="116">
        <v>69.3</v>
      </c>
      <c r="P730" s="116">
        <v>70.599999999999994</v>
      </c>
      <c r="Q730" s="116">
        <v>349.4</v>
      </c>
      <c r="R730">
        <v>202916</v>
      </c>
    </row>
    <row r="731" spans="1:18" x14ac:dyDescent="0.25">
      <c r="A731" s="170">
        <v>43798</v>
      </c>
      <c r="B731" s="116">
        <v>71.81</v>
      </c>
      <c r="C731" s="116">
        <v>70.069999999999993</v>
      </c>
      <c r="D731" s="116">
        <v>69.8</v>
      </c>
      <c r="E731" s="116">
        <v>70.13</v>
      </c>
      <c r="F731" s="116">
        <v>350.35</v>
      </c>
      <c r="G731">
        <v>9086</v>
      </c>
      <c r="H731" s="116"/>
      <c r="I731" s="116"/>
      <c r="L731" s="170">
        <v>43798</v>
      </c>
      <c r="M731" s="116">
        <v>70.05</v>
      </c>
      <c r="N731" s="116">
        <v>71.69</v>
      </c>
      <c r="O731" s="116">
        <v>69.69</v>
      </c>
      <c r="P731" s="116">
        <v>70</v>
      </c>
      <c r="Q731" s="116">
        <v>350.25</v>
      </c>
      <c r="R731">
        <v>384126</v>
      </c>
    </row>
    <row r="732" spans="1:18" x14ac:dyDescent="0.25">
      <c r="A732" s="170">
        <v>43801</v>
      </c>
      <c r="B732" s="116">
        <v>70.2</v>
      </c>
      <c r="C732" s="116">
        <v>68.400000000000006</v>
      </c>
      <c r="D732" s="116">
        <v>68.28</v>
      </c>
      <c r="E732" s="116">
        <v>70.2</v>
      </c>
      <c r="F732" s="116">
        <v>342</v>
      </c>
      <c r="G732">
        <v>4087</v>
      </c>
      <c r="H732" s="116"/>
      <c r="I732" s="116"/>
      <c r="L732" s="170">
        <v>43801</v>
      </c>
      <c r="M732" s="116">
        <v>68.489999999999995</v>
      </c>
      <c r="N732" s="116">
        <v>70.78</v>
      </c>
      <c r="O732" s="116">
        <v>68.3</v>
      </c>
      <c r="P732" s="116">
        <v>70.19</v>
      </c>
      <c r="Q732" s="116">
        <v>342.45</v>
      </c>
      <c r="R732">
        <v>53518</v>
      </c>
    </row>
    <row r="733" spans="1:18" x14ac:dyDescent="0.25">
      <c r="A733" s="170">
        <v>43802</v>
      </c>
      <c r="B733" s="116">
        <v>69.23</v>
      </c>
      <c r="C733" s="116">
        <v>67.87</v>
      </c>
      <c r="D733" s="116">
        <v>67.7</v>
      </c>
      <c r="E733" s="116">
        <v>68.78</v>
      </c>
      <c r="F733" s="116">
        <v>339.35</v>
      </c>
      <c r="G733">
        <v>2406</v>
      </c>
      <c r="H733" s="116"/>
      <c r="I733" s="116"/>
      <c r="L733" s="170">
        <v>43802</v>
      </c>
      <c r="M733" s="116">
        <v>68.12</v>
      </c>
      <c r="N733" s="116">
        <v>69.5</v>
      </c>
      <c r="O733" s="116">
        <v>67.8</v>
      </c>
      <c r="P733" s="116">
        <v>69.12</v>
      </c>
      <c r="Q733" s="116">
        <v>340.6</v>
      </c>
      <c r="R733">
        <v>40952</v>
      </c>
    </row>
    <row r="734" spans="1:18" x14ac:dyDescent="0.25">
      <c r="A734" s="170">
        <v>43803</v>
      </c>
      <c r="B734" s="116">
        <v>69.459999999999994</v>
      </c>
      <c r="C734" s="116">
        <v>67.290000000000006</v>
      </c>
      <c r="D734" s="116">
        <v>67.12</v>
      </c>
      <c r="E734" s="116">
        <v>68.27</v>
      </c>
      <c r="F734" s="116">
        <v>336.45</v>
      </c>
      <c r="G734">
        <v>2308</v>
      </c>
      <c r="H734" s="116"/>
      <c r="I734" s="116"/>
      <c r="L734" s="170">
        <v>43803</v>
      </c>
      <c r="M734" s="116">
        <v>67.31</v>
      </c>
      <c r="N734" s="116">
        <v>69.599999999999994</v>
      </c>
      <c r="O734" s="116">
        <v>67.069999999999993</v>
      </c>
      <c r="P734" s="116">
        <v>68.17</v>
      </c>
      <c r="Q734" s="116">
        <v>336.55</v>
      </c>
      <c r="R734">
        <v>81238</v>
      </c>
    </row>
    <row r="735" spans="1:18" x14ac:dyDescent="0.25">
      <c r="A735" s="170">
        <v>43804</v>
      </c>
      <c r="B735" s="116">
        <v>69.510000000000005</v>
      </c>
      <c r="C735" s="116">
        <v>68.930000000000007</v>
      </c>
      <c r="D735" s="116">
        <v>67.569999999999993</v>
      </c>
      <c r="E735" s="116">
        <v>67.64</v>
      </c>
      <c r="F735" s="116">
        <v>344.65</v>
      </c>
      <c r="G735">
        <v>3284</v>
      </c>
      <c r="H735" s="116"/>
      <c r="I735" s="116"/>
      <c r="L735" s="170">
        <v>43804</v>
      </c>
      <c r="M735" s="116">
        <v>68.760000000000005</v>
      </c>
      <c r="N735" s="116">
        <v>69.58</v>
      </c>
      <c r="O735" s="116">
        <v>67.400000000000006</v>
      </c>
      <c r="P735" s="116">
        <v>67.400000000000006</v>
      </c>
      <c r="Q735" s="116">
        <v>343.8</v>
      </c>
      <c r="R735">
        <v>362229</v>
      </c>
    </row>
    <row r="736" spans="1:18" x14ac:dyDescent="0.25">
      <c r="A736" s="170">
        <v>43805</v>
      </c>
      <c r="B736" s="116">
        <v>68.8</v>
      </c>
      <c r="C736" s="116">
        <v>67.959999999999994</v>
      </c>
      <c r="D736" s="116">
        <v>67.5</v>
      </c>
      <c r="E736" s="116">
        <v>68.52</v>
      </c>
      <c r="F736" s="116">
        <v>339.8</v>
      </c>
      <c r="G736">
        <v>982</v>
      </c>
      <c r="H736" s="116"/>
      <c r="I736" s="116"/>
      <c r="L736" s="170">
        <v>43805</v>
      </c>
      <c r="M736" s="116">
        <v>68.040000000000006</v>
      </c>
      <c r="N736" s="116">
        <v>69.260000000000005</v>
      </c>
      <c r="O736" s="116">
        <v>67.599999999999994</v>
      </c>
      <c r="P736" s="116">
        <v>69.260000000000005</v>
      </c>
      <c r="Q736" s="116">
        <v>340.2</v>
      </c>
      <c r="R736">
        <v>28698</v>
      </c>
    </row>
    <row r="737" spans="1:18" x14ac:dyDescent="0.25">
      <c r="A737" s="170">
        <v>43808</v>
      </c>
      <c r="B737" s="116">
        <v>68</v>
      </c>
      <c r="C737" s="116">
        <v>67.06</v>
      </c>
      <c r="D737" s="116">
        <v>66.34</v>
      </c>
      <c r="E737" s="116">
        <v>67.2</v>
      </c>
      <c r="F737" s="116">
        <v>335.3</v>
      </c>
      <c r="G737">
        <v>2253</v>
      </c>
      <c r="H737" s="116"/>
      <c r="I737" s="116"/>
      <c r="L737" s="170">
        <v>43808</v>
      </c>
      <c r="M737" s="116">
        <v>67.069999999999993</v>
      </c>
      <c r="N737" s="116">
        <v>68.03</v>
      </c>
      <c r="O737" s="116">
        <v>66.3</v>
      </c>
      <c r="P737" s="116">
        <v>67.430000000000007</v>
      </c>
      <c r="Q737" s="116">
        <v>335.35</v>
      </c>
      <c r="R737">
        <v>75352</v>
      </c>
    </row>
    <row r="738" spans="1:18" x14ac:dyDescent="0.25">
      <c r="A738" s="170">
        <v>43809</v>
      </c>
      <c r="B738" s="116">
        <v>67.44</v>
      </c>
      <c r="C738" s="116">
        <v>66.900000000000006</v>
      </c>
      <c r="D738" s="116">
        <v>66.28</v>
      </c>
      <c r="E738" s="116">
        <v>67.08</v>
      </c>
      <c r="F738" s="116">
        <v>334.5</v>
      </c>
      <c r="G738">
        <v>1339</v>
      </c>
      <c r="H738" s="116"/>
      <c r="I738" s="116"/>
      <c r="L738" s="170">
        <v>43809</v>
      </c>
      <c r="M738" s="116">
        <v>66.92</v>
      </c>
      <c r="N738" s="116">
        <v>67.98</v>
      </c>
      <c r="O738" s="116">
        <v>66.34</v>
      </c>
      <c r="P738" s="116">
        <v>66.98</v>
      </c>
      <c r="Q738" s="116">
        <v>334.6</v>
      </c>
      <c r="R738">
        <v>22399</v>
      </c>
    </row>
    <row r="739" spans="1:18" x14ac:dyDescent="0.25">
      <c r="A739" s="170">
        <v>43810</v>
      </c>
      <c r="B739" s="116">
        <v>67.03</v>
      </c>
      <c r="C739" s="116">
        <v>66.83</v>
      </c>
      <c r="D739" s="116">
        <v>66</v>
      </c>
      <c r="E739" s="116">
        <v>67</v>
      </c>
      <c r="F739" s="116">
        <v>334.15</v>
      </c>
      <c r="G739">
        <v>1418</v>
      </c>
      <c r="H739" s="116"/>
      <c r="I739" s="116"/>
      <c r="L739" s="170">
        <v>43810</v>
      </c>
      <c r="M739" s="116">
        <v>66.89</v>
      </c>
      <c r="N739" s="116">
        <v>67.959999999999994</v>
      </c>
      <c r="O739" s="116">
        <v>65.8</v>
      </c>
      <c r="P739" s="116">
        <v>66.599999999999994</v>
      </c>
      <c r="Q739" s="116">
        <v>334.45</v>
      </c>
      <c r="R739">
        <v>65879</v>
      </c>
    </row>
    <row r="740" spans="1:18" x14ac:dyDescent="0.25">
      <c r="A740" s="170">
        <v>43811</v>
      </c>
      <c r="B740" s="116">
        <v>68.58</v>
      </c>
      <c r="C740" s="116">
        <v>67.650000000000006</v>
      </c>
      <c r="D740" s="116">
        <v>66.72</v>
      </c>
      <c r="E740" s="116">
        <v>66.73</v>
      </c>
      <c r="F740" s="116">
        <v>338.25</v>
      </c>
      <c r="G740">
        <v>885</v>
      </c>
      <c r="H740" s="116"/>
      <c r="I740" s="116"/>
      <c r="L740" s="170">
        <v>43811</v>
      </c>
      <c r="M740" s="116">
        <v>67.650000000000006</v>
      </c>
      <c r="N740" s="116">
        <v>68.459999999999994</v>
      </c>
      <c r="O740" s="116">
        <v>66.790000000000006</v>
      </c>
      <c r="P740" s="116">
        <v>66.8</v>
      </c>
      <c r="Q740" s="116">
        <v>338.25</v>
      </c>
      <c r="R740">
        <v>49510</v>
      </c>
    </row>
    <row r="741" spans="1:18" x14ac:dyDescent="0.25">
      <c r="A741" s="170">
        <v>43812</v>
      </c>
      <c r="B741" s="116">
        <v>70</v>
      </c>
      <c r="C741" s="116">
        <v>68.040000000000006</v>
      </c>
      <c r="D741" s="116">
        <v>67.400000000000006</v>
      </c>
      <c r="E741" s="116">
        <v>67.81</v>
      </c>
      <c r="F741" s="116">
        <v>340.2</v>
      </c>
      <c r="G741">
        <v>2780</v>
      </c>
      <c r="H741" s="116"/>
      <c r="I741" s="116"/>
      <c r="L741" s="170">
        <v>43812</v>
      </c>
      <c r="M741" s="116">
        <v>68.11</v>
      </c>
      <c r="N741" s="116">
        <v>68.52</v>
      </c>
      <c r="O741" s="116">
        <v>67.61</v>
      </c>
      <c r="P741" s="116">
        <v>67.709999999999994</v>
      </c>
      <c r="Q741" s="116">
        <v>340.55</v>
      </c>
      <c r="R741">
        <v>23183</v>
      </c>
    </row>
    <row r="742" spans="1:18" x14ac:dyDescent="0.25">
      <c r="A742" s="170">
        <v>43815</v>
      </c>
      <c r="B742" s="116">
        <v>69.69</v>
      </c>
      <c r="C742" s="116">
        <v>69.3</v>
      </c>
      <c r="D742" s="116">
        <v>68.459999999999994</v>
      </c>
      <c r="E742" s="116">
        <v>68.459999999999994</v>
      </c>
      <c r="F742" s="116">
        <v>346.5</v>
      </c>
      <c r="G742">
        <v>1082</v>
      </c>
      <c r="H742" s="116"/>
      <c r="I742" s="116"/>
      <c r="L742" s="170">
        <v>43815</v>
      </c>
      <c r="M742" s="116">
        <v>69.239999999999995</v>
      </c>
      <c r="N742" s="116">
        <v>69.849999999999994</v>
      </c>
      <c r="O742" s="116">
        <v>67.8</v>
      </c>
      <c r="P742" s="116">
        <v>68.650000000000006</v>
      </c>
      <c r="Q742" s="116">
        <v>346.2</v>
      </c>
      <c r="R742">
        <v>37349</v>
      </c>
    </row>
    <row r="743" spans="1:18" x14ac:dyDescent="0.25">
      <c r="A743" s="170">
        <v>43816</v>
      </c>
      <c r="B743" s="116">
        <v>70.349999999999994</v>
      </c>
      <c r="C743" s="116">
        <v>69.569999999999993</v>
      </c>
      <c r="D743" s="116">
        <v>69.41</v>
      </c>
      <c r="E743" s="116">
        <v>70</v>
      </c>
      <c r="F743" s="116">
        <v>347.85</v>
      </c>
      <c r="G743">
        <v>1878</v>
      </c>
      <c r="H743" s="116"/>
      <c r="I743" s="116"/>
      <c r="L743" s="170">
        <v>43816</v>
      </c>
      <c r="M743" s="116">
        <v>69.61</v>
      </c>
      <c r="N743" s="116">
        <v>70.58</v>
      </c>
      <c r="O743" s="116">
        <v>69.239999999999995</v>
      </c>
      <c r="P743" s="116">
        <v>69.34</v>
      </c>
      <c r="Q743" s="116">
        <v>348.05</v>
      </c>
      <c r="R743">
        <v>65841</v>
      </c>
    </row>
    <row r="744" spans="1:18" x14ac:dyDescent="0.25">
      <c r="A744" s="170">
        <v>43817</v>
      </c>
      <c r="B744" s="116">
        <v>71.38</v>
      </c>
      <c r="C744" s="116">
        <v>71.069999999999993</v>
      </c>
      <c r="D744" s="116">
        <v>70.19</v>
      </c>
      <c r="E744" s="116">
        <v>70.25</v>
      </c>
      <c r="F744" s="116">
        <v>355.35</v>
      </c>
      <c r="G744">
        <v>1684</v>
      </c>
      <c r="H744" s="116"/>
      <c r="I744" s="116"/>
      <c r="L744" s="170">
        <v>43817</v>
      </c>
      <c r="M744" s="116">
        <v>71.19</v>
      </c>
      <c r="N744" s="116">
        <v>71.38</v>
      </c>
      <c r="O744" s="116">
        <v>69.84</v>
      </c>
      <c r="P744" s="116">
        <v>70</v>
      </c>
      <c r="Q744" s="116">
        <v>355.95</v>
      </c>
      <c r="R744">
        <v>52111</v>
      </c>
    </row>
    <row r="745" spans="1:18" x14ac:dyDescent="0.25">
      <c r="A745" s="170">
        <v>43818</v>
      </c>
      <c r="B745" s="116">
        <v>74.8</v>
      </c>
      <c r="C745" s="116">
        <v>74.06</v>
      </c>
      <c r="D745" s="116">
        <v>71.739999999999995</v>
      </c>
      <c r="E745" s="116">
        <v>71.739999999999995</v>
      </c>
      <c r="F745" s="116">
        <v>370.3</v>
      </c>
      <c r="G745">
        <v>9652</v>
      </c>
      <c r="H745" s="116"/>
      <c r="I745" s="116"/>
      <c r="L745" s="170">
        <v>43818</v>
      </c>
      <c r="M745" s="116">
        <v>74.290000000000006</v>
      </c>
      <c r="N745" s="116">
        <v>74.739999999999995</v>
      </c>
      <c r="O745" s="116">
        <v>70.62</v>
      </c>
      <c r="P745" s="116">
        <v>71.180000000000007</v>
      </c>
      <c r="Q745" s="116">
        <v>371.45</v>
      </c>
      <c r="R745">
        <v>187246</v>
      </c>
    </row>
    <row r="746" spans="1:18" x14ac:dyDescent="0.25">
      <c r="A746" s="170">
        <v>43819</v>
      </c>
      <c r="B746" s="116">
        <v>77.400000000000006</v>
      </c>
      <c r="C746" s="116">
        <v>76.56</v>
      </c>
      <c r="D746" s="116">
        <v>73.400000000000006</v>
      </c>
      <c r="E746" s="116">
        <v>74.88</v>
      </c>
      <c r="F746" s="116">
        <v>382.8</v>
      </c>
      <c r="G746">
        <v>13126</v>
      </c>
      <c r="H746" s="116"/>
      <c r="I746" s="116"/>
      <c r="L746" s="170">
        <v>43819</v>
      </c>
      <c r="M746" s="116">
        <v>76.28</v>
      </c>
      <c r="N746" s="116">
        <v>77.31</v>
      </c>
      <c r="O746" s="116">
        <v>73.23</v>
      </c>
      <c r="P746" s="116">
        <v>74.78</v>
      </c>
      <c r="Q746" s="116">
        <v>381.4</v>
      </c>
      <c r="R746">
        <v>258609</v>
      </c>
    </row>
    <row r="747" spans="1:18" x14ac:dyDescent="0.25">
      <c r="A747" s="170">
        <v>43822</v>
      </c>
      <c r="B747" s="116">
        <v>76.69</v>
      </c>
      <c r="C747" s="116">
        <v>73.290000000000006</v>
      </c>
      <c r="D747" s="116">
        <v>72.78</v>
      </c>
      <c r="E747" s="116">
        <v>76.099999999999994</v>
      </c>
      <c r="F747" s="116">
        <v>366.45</v>
      </c>
      <c r="G747">
        <v>6367</v>
      </c>
      <c r="H747" s="116"/>
      <c r="I747" s="116"/>
      <c r="L747" s="170">
        <v>43822</v>
      </c>
      <c r="M747" s="116">
        <v>73.23</v>
      </c>
      <c r="N747" s="116">
        <v>76.92</v>
      </c>
      <c r="O747" s="116">
        <v>72.8</v>
      </c>
      <c r="P747" s="116">
        <v>76</v>
      </c>
      <c r="Q747" s="116">
        <v>366.15</v>
      </c>
      <c r="R747">
        <v>92968</v>
      </c>
    </row>
    <row r="748" spans="1:18" x14ac:dyDescent="0.25">
      <c r="A748" s="170">
        <v>43823</v>
      </c>
      <c r="B748" s="116">
        <v>74</v>
      </c>
      <c r="C748" s="116">
        <v>73.55</v>
      </c>
      <c r="D748" s="116">
        <v>73</v>
      </c>
      <c r="E748" s="116">
        <v>73.819999999999993</v>
      </c>
      <c r="F748" s="116">
        <v>367.75</v>
      </c>
      <c r="G748">
        <v>1641</v>
      </c>
      <c r="H748" s="116"/>
      <c r="I748" s="116"/>
      <c r="L748" s="170">
        <v>43823</v>
      </c>
      <c r="M748" s="116">
        <v>73.66</v>
      </c>
      <c r="N748" s="116">
        <v>74.05</v>
      </c>
      <c r="O748" s="116">
        <v>73</v>
      </c>
      <c r="P748" s="116">
        <v>73.239999999999995</v>
      </c>
      <c r="Q748" s="116">
        <v>368.3</v>
      </c>
      <c r="R748">
        <v>85431</v>
      </c>
    </row>
    <row r="749" spans="1:18" x14ac:dyDescent="0.25">
      <c r="A749" s="170">
        <v>43825</v>
      </c>
      <c r="B749" s="116">
        <v>74.06</v>
      </c>
      <c r="C749" s="116">
        <v>72.72</v>
      </c>
      <c r="D749" s="116">
        <v>72.55</v>
      </c>
      <c r="E749" s="116">
        <v>73.98</v>
      </c>
      <c r="F749" s="116">
        <v>363.6</v>
      </c>
      <c r="G749">
        <v>882</v>
      </c>
      <c r="H749" s="116"/>
      <c r="I749" s="116"/>
      <c r="L749" s="170">
        <v>43825</v>
      </c>
      <c r="M749" s="116">
        <v>72.87</v>
      </c>
      <c r="N749" s="116">
        <v>74.36</v>
      </c>
      <c r="O749" s="116">
        <v>72.400000000000006</v>
      </c>
      <c r="P749" s="116">
        <v>74.2</v>
      </c>
      <c r="Q749" s="116">
        <v>364.35</v>
      </c>
      <c r="R749">
        <v>70831</v>
      </c>
    </row>
    <row r="750" spans="1:18" x14ac:dyDescent="0.25">
      <c r="A750" s="170">
        <v>43826</v>
      </c>
      <c r="B750" s="116">
        <v>74.040000000000006</v>
      </c>
      <c r="C750" s="116">
        <v>71.53</v>
      </c>
      <c r="D750" s="116">
        <v>70.56</v>
      </c>
      <c r="E750" s="116">
        <v>73.040000000000006</v>
      </c>
      <c r="F750" s="116">
        <v>357.65</v>
      </c>
      <c r="G750">
        <v>1531</v>
      </c>
      <c r="H750" s="116"/>
      <c r="I750" s="116"/>
      <c r="L750" s="170">
        <v>43826</v>
      </c>
      <c r="M750" s="116">
        <v>71.56</v>
      </c>
      <c r="N750" s="116">
        <v>74</v>
      </c>
      <c r="O750" s="116">
        <v>70.599999999999994</v>
      </c>
      <c r="P750" s="116">
        <v>73.010000000000005</v>
      </c>
      <c r="Q750" s="116">
        <v>357.8</v>
      </c>
      <c r="R750">
        <v>47550</v>
      </c>
    </row>
    <row r="751" spans="1:18" x14ac:dyDescent="0.25">
      <c r="A751" s="170">
        <v>43829</v>
      </c>
      <c r="B751" s="116">
        <v>72.06</v>
      </c>
      <c r="C751" s="116">
        <v>71.95</v>
      </c>
      <c r="D751" s="116">
        <v>71.42</v>
      </c>
      <c r="E751" s="116">
        <v>71.599999999999994</v>
      </c>
      <c r="F751" s="116">
        <v>359.75</v>
      </c>
      <c r="G751">
        <v>425</v>
      </c>
      <c r="H751" s="116"/>
      <c r="I751" s="116"/>
      <c r="L751" s="170">
        <v>43829</v>
      </c>
      <c r="M751" s="116">
        <v>71.849999999999994</v>
      </c>
      <c r="N751" s="116">
        <v>72.25</v>
      </c>
      <c r="O751" s="116">
        <v>71.02</v>
      </c>
      <c r="P751" s="116">
        <v>71.56</v>
      </c>
      <c r="Q751" s="116">
        <v>359.25</v>
      </c>
      <c r="R751">
        <v>39136</v>
      </c>
    </row>
    <row r="752" spans="1:18" x14ac:dyDescent="0.25">
      <c r="A752" s="170">
        <v>43830</v>
      </c>
      <c r="B752" s="116">
        <v>72.099999999999994</v>
      </c>
      <c r="C752" s="116">
        <v>71.91</v>
      </c>
      <c r="D752" s="116">
        <v>71.599999999999994</v>
      </c>
      <c r="E752" s="116">
        <v>71.599999999999994</v>
      </c>
      <c r="F752" s="116">
        <v>359.55</v>
      </c>
      <c r="G752">
        <v>792</v>
      </c>
      <c r="H752" s="116"/>
      <c r="I752" s="116"/>
      <c r="L752" s="170">
        <v>43830</v>
      </c>
      <c r="M752" s="116">
        <v>71.95</v>
      </c>
      <c r="N752" s="116">
        <v>72.2</v>
      </c>
      <c r="O752" s="116">
        <v>71.38</v>
      </c>
      <c r="P752" s="116">
        <v>71.86</v>
      </c>
      <c r="Q752" s="116">
        <v>359.75</v>
      </c>
      <c r="R752">
        <v>202932</v>
      </c>
    </row>
    <row r="753" spans="1:18" x14ac:dyDescent="0.25">
      <c r="A753" s="170">
        <v>43831</v>
      </c>
      <c r="B753" s="116">
        <v>74.09</v>
      </c>
      <c r="C753" s="116">
        <v>73.89</v>
      </c>
      <c r="D753" s="116">
        <v>72.3</v>
      </c>
      <c r="E753" s="116">
        <v>72.3</v>
      </c>
      <c r="F753" s="116">
        <v>369.45</v>
      </c>
      <c r="G753">
        <v>1571</v>
      </c>
      <c r="H753" s="116"/>
      <c r="I753" s="116"/>
      <c r="L753" s="170">
        <v>43831</v>
      </c>
      <c r="M753" s="116">
        <v>73.650000000000006</v>
      </c>
      <c r="N753" s="116">
        <v>74.19</v>
      </c>
      <c r="O753" s="116">
        <v>71.599999999999994</v>
      </c>
      <c r="P753" s="116">
        <v>71.599999999999994</v>
      </c>
      <c r="Q753" s="116">
        <v>368.25</v>
      </c>
      <c r="R753">
        <v>33755</v>
      </c>
    </row>
    <row r="754" spans="1:18" x14ac:dyDescent="0.25">
      <c r="A754" s="170">
        <v>43832</v>
      </c>
      <c r="B754" s="116">
        <v>75.400000000000006</v>
      </c>
      <c r="C754" s="116">
        <v>74.58</v>
      </c>
      <c r="D754" s="116">
        <v>74</v>
      </c>
      <c r="E754" s="116">
        <v>74</v>
      </c>
      <c r="F754" s="116">
        <v>372.9</v>
      </c>
      <c r="G754">
        <v>4479</v>
      </c>
      <c r="H754" s="116"/>
      <c r="I754" s="116"/>
      <c r="L754" s="170">
        <v>43832</v>
      </c>
      <c r="M754" s="116">
        <v>74.73</v>
      </c>
      <c r="N754" s="116">
        <v>75.540000000000006</v>
      </c>
      <c r="O754" s="116">
        <v>73.650000000000006</v>
      </c>
      <c r="P754" s="116">
        <v>74</v>
      </c>
      <c r="Q754" s="116">
        <v>373.65</v>
      </c>
      <c r="R754">
        <v>62173</v>
      </c>
    </row>
    <row r="755" spans="1:18" x14ac:dyDescent="0.25">
      <c r="A755" s="170">
        <v>43833</v>
      </c>
      <c r="B755" s="116">
        <v>78.25</v>
      </c>
      <c r="C755" s="116">
        <v>75.900000000000006</v>
      </c>
      <c r="D755" s="116">
        <v>75.099999999999994</v>
      </c>
      <c r="E755" s="116">
        <v>75.099999999999994</v>
      </c>
      <c r="F755" s="116">
        <v>379.5</v>
      </c>
      <c r="G755">
        <v>8954</v>
      </c>
      <c r="H755" s="116"/>
      <c r="I755" s="116"/>
      <c r="L755" s="170">
        <v>43833</v>
      </c>
      <c r="M755" s="116">
        <v>75.97</v>
      </c>
      <c r="N755" s="116">
        <v>78.290000000000006</v>
      </c>
      <c r="O755" s="116">
        <v>74</v>
      </c>
      <c r="P755" s="116">
        <v>74</v>
      </c>
      <c r="Q755" s="116">
        <v>379.85</v>
      </c>
      <c r="R755">
        <v>157970</v>
      </c>
    </row>
    <row r="756" spans="1:18" x14ac:dyDescent="0.25">
      <c r="A756" s="170">
        <v>43836</v>
      </c>
      <c r="B756" s="116">
        <v>78</v>
      </c>
      <c r="C756" s="116">
        <v>75.95</v>
      </c>
      <c r="D756" s="116">
        <v>75.540000000000006</v>
      </c>
      <c r="E756" s="116">
        <v>75.91</v>
      </c>
      <c r="F756" s="116">
        <v>379.75</v>
      </c>
      <c r="G756">
        <v>105435</v>
      </c>
      <c r="H756" s="116"/>
      <c r="I756" s="116"/>
      <c r="L756" s="170">
        <v>43836</v>
      </c>
      <c r="M756" s="116">
        <v>76.2</v>
      </c>
      <c r="N756" s="116">
        <v>77.98</v>
      </c>
      <c r="O756" s="116">
        <v>75.430000000000007</v>
      </c>
      <c r="P756" s="116">
        <v>75.8</v>
      </c>
      <c r="Q756" s="116">
        <v>381</v>
      </c>
      <c r="R756">
        <v>126654</v>
      </c>
    </row>
    <row r="757" spans="1:18" x14ac:dyDescent="0.25">
      <c r="A757" s="170">
        <v>43837</v>
      </c>
      <c r="B757" s="116">
        <v>78</v>
      </c>
      <c r="C757" s="116">
        <v>77.19</v>
      </c>
      <c r="D757" s="116">
        <v>76.599999999999994</v>
      </c>
      <c r="E757" s="116">
        <v>77.599999999999994</v>
      </c>
      <c r="F757" s="116">
        <v>385.95</v>
      </c>
      <c r="G757">
        <v>3068</v>
      </c>
      <c r="H757" s="116"/>
      <c r="I757" s="116"/>
      <c r="L757" s="170">
        <v>43837</v>
      </c>
      <c r="M757" s="116">
        <v>77.14</v>
      </c>
      <c r="N757" s="116">
        <v>77.94</v>
      </c>
      <c r="O757" s="116">
        <v>75.400000000000006</v>
      </c>
      <c r="P757" s="116">
        <v>75.400000000000006</v>
      </c>
      <c r="Q757" s="116">
        <v>385.7</v>
      </c>
      <c r="R757">
        <v>45897</v>
      </c>
    </row>
    <row r="758" spans="1:18" x14ac:dyDescent="0.25">
      <c r="A758" s="170">
        <v>43838</v>
      </c>
      <c r="B758" s="116">
        <v>79.8</v>
      </c>
      <c r="C758" s="116">
        <v>77.63</v>
      </c>
      <c r="D758" s="116">
        <v>77.03</v>
      </c>
      <c r="E758" s="116">
        <v>77.650000000000006</v>
      </c>
      <c r="F758" s="116">
        <v>388.15</v>
      </c>
      <c r="G758">
        <v>7076</v>
      </c>
      <c r="H758" s="116"/>
      <c r="I758" s="116"/>
      <c r="L758" s="170">
        <v>43838</v>
      </c>
      <c r="M758" s="116">
        <v>77.63</v>
      </c>
      <c r="N758" s="116">
        <v>79.2</v>
      </c>
      <c r="O758" s="116">
        <v>76.95</v>
      </c>
      <c r="P758" s="116">
        <v>76.95</v>
      </c>
      <c r="Q758" s="116">
        <v>388.15</v>
      </c>
      <c r="R758">
        <v>311888</v>
      </c>
    </row>
    <row r="759" spans="1:18" x14ac:dyDescent="0.25">
      <c r="A759" s="170">
        <v>43839</v>
      </c>
      <c r="B759" s="116">
        <v>79.81</v>
      </c>
      <c r="C759" s="116">
        <v>78.81</v>
      </c>
      <c r="D759" s="116">
        <v>77.77</v>
      </c>
      <c r="E759" s="116">
        <v>79.19</v>
      </c>
      <c r="F759" s="116">
        <v>394.05</v>
      </c>
      <c r="G759">
        <v>2963</v>
      </c>
      <c r="H759" s="116"/>
      <c r="I759" s="116"/>
      <c r="L759" s="170">
        <v>43839</v>
      </c>
      <c r="M759" s="116">
        <v>78.75</v>
      </c>
      <c r="N759" s="116">
        <v>79.98</v>
      </c>
      <c r="O759" s="116">
        <v>77.62</v>
      </c>
      <c r="P759" s="116">
        <v>78.989999999999995</v>
      </c>
      <c r="Q759" s="116">
        <v>393.75</v>
      </c>
      <c r="R759">
        <v>140823</v>
      </c>
    </row>
    <row r="760" spans="1:18" x14ac:dyDescent="0.25">
      <c r="A760" s="170">
        <v>43840</v>
      </c>
      <c r="B760" s="116">
        <v>81.02</v>
      </c>
      <c r="C760" s="116">
        <v>79.510000000000005</v>
      </c>
      <c r="D760" s="116">
        <v>78.900000000000006</v>
      </c>
      <c r="E760" s="116">
        <v>79.34</v>
      </c>
      <c r="F760" s="116">
        <v>397.55</v>
      </c>
      <c r="G760">
        <v>6055</v>
      </c>
      <c r="H760" s="116"/>
      <c r="I760" s="116"/>
      <c r="L760" s="170">
        <v>43840</v>
      </c>
      <c r="M760" s="116">
        <v>79.27</v>
      </c>
      <c r="N760" s="116">
        <v>81.13</v>
      </c>
      <c r="O760" s="116">
        <v>78.83</v>
      </c>
      <c r="P760" s="116">
        <v>79.599999999999994</v>
      </c>
      <c r="Q760" s="116">
        <v>396.35</v>
      </c>
      <c r="R760">
        <v>217909</v>
      </c>
    </row>
    <row r="761" spans="1:18" x14ac:dyDescent="0.25">
      <c r="A761" s="170">
        <v>43843</v>
      </c>
      <c r="B761" s="116">
        <v>81.2</v>
      </c>
      <c r="C761" s="116">
        <v>81.12</v>
      </c>
      <c r="D761" s="116">
        <v>79.98</v>
      </c>
      <c r="E761" s="116">
        <v>80.3</v>
      </c>
      <c r="F761" s="116">
        <v>405.6</v>
      </c>
      <c r="G761">
        <v>9607</v>
      </c>
      <c r="H761" s="116"/>
      <c r="I761" s="116"/>
      <c r="L761" s="170">
        <v>43843</v>
      </c>
      <c r="M761" s="116">
        <v>81.06</v>
      </c>
      <c r="N761" s="116">
        <v>81.400000000000006</v>
      </c>
      <c r="O761" s="116">
        <v>80.03</v>
      </c>
      <c r="P761" s="116">
        <v>80.2</v>
      </c>
      <c r="Q761" s="116">
        <v>405.3</v>
      </c>
      <c r="R761">
        <v>101744</v>
      </c>
    </row>
    <row r="762" spans="1:18" x14ac:dyDescent="0.25">
      <c r="A762" s="170">
        <v>43844</v>
      </c>
      <c r="B762" s="116">
        <v>81.680000000000007</v>
      </c>
      <c r="C762" s="116">
        <v>80.84</v>
      </c>
      <c r="D762" s="116">
        <v>80.510000000000005</v>
      </c>
      <c r="E762" s="116">
        <v>81.66</v>
      </c>
      <c r="F762" s="116">
        <v>404.2</v>
      </c>
      <c r="G762">
        <v>2623</v>
      </c>
      <c r="H762" s="116"/>
      <c r="I762" s="116"/>
      <c r="L762" s="170">
        <v>43844</v>
      </c>
      <c r="M762" s="116">
        <v>80.91</v>
      </c>
      <c r="N762" s="116">
        <v>81.72</v>
      </c>
      <c r="O762" s="116">
        <v>80.400000000000006</v>
      </c>
      <c r="P762" s="116">
        <v>81.599999999999994</v>
      </c>
      <c r="Q762" s="116">
        <v>404.55</v>
      </c>
      <c r="R762">
        <v>49729</v>
      </c>
    </row>
    <row r="763" spans="1:18" x14ac:dyDescent="0.25">
      <c r="A763" s="170">
        <v>43845</v>
      </c>
      <c r="B763" s="116">
        <v>82.83</v>
      </c>
      <c r="C763" s="116">
        <v>81.569999999999993</v>
      </c>
      <c r="D763" s="116">
        <v>80.56</v>
      </c>
      <c r="E763" s="116">
        <v>80.8</v>
      </c>
      <c r="F763" s="116">
        <v>407.85</v>
      </c>
      <c r="G763">
        <v>4115</v>
      </c>
      <c r="H763" s="116"/>
      <c r="I763" s="116"/>
      <c r="L763" s="170">
        <v>43845</v>
      </c>
      <c r="M763" s="116">
        <v>81.41</v>
      </c>
      <c r="N763" s="116">
        <v>82.84</v>
      </c>
      <c r="O763" s="116">
        <v>80.23</v>
      </c>
      <c r="P763" s="116">
        <v>80.709999999999994</v>
      </c>
      <c r="Q763" s="116">
        <v>407.05</v>
      </c>
      <c r="R763">
        <v>271832</v>
      </c>
    </row>
    <row r="764" spans="1:18" x14ac:dyDescent="0.25">
      <c r="A764" s="170">
        <v>43846</v>
      </c>
      <c r="B764" s="116">
        <v>82.79</v>
      </c>
      <c r="C764" s="116">
        <v>80.540000000000006</v>
      </c>
      <c r="D764" s="116">
        <v>79.650000000000006</v>
      </c>
      <c r="E764" s="116">
        <v>82</v>
      </c>
      <c r="F764" s="116">
        <v>402.7</v>
      </c>
      <c r="G764">
        <v>3466</v>
      </c>
      <c r="H764" s="116"/>
      <c r="I764" s="116"/>
      <c r="L764" s="170">
        <v>43846</v>
      </c>
      <c r="M764" s="116">
        <v>80.59</v>
      </c>
      <c r="N764" s="116">
        <v>82.8</v>
      </c>
      <c r="O764" s="116">
        <v>79.790000000000006</v>
      </c>
      <c r="P764" s="116">
        <v>82.19</v>
      </c>
      <c r="Q764" s="116">
        <v>402.95</v>
      </c>
      <c r="R764">
        <v>107172</v>
      </c>
    </row>
    <row r="765" spans="1:18" x14ac:dyDescent="0.25">
      <c r="A765" s="170">
        <v>43847</v>
      </c>
      <c r="B765" s="116">
        <v>82</v>
      </c>
      <c r="C765" s="116">
        <v>80.84</v>
      </c>
      <c r="D765" s="116">
        <v>80.69</v>
      </c>
      <c r="E765" s="116">
        <v>81.2</v>
      </c>
      <c r="F765" s="116">
        <v>404.2</v>
      </c>
      <c r="G765">
        <v>1136</v>
      </c>
      <c r="H765" s="116"/>
      <c r="I765" s="116"/>
      <c r="L765" s="170">
        <v>43847</v>
      </c>
      <c r="M765" s="116">
        <v>81.180000000000007</v>
      </c>
      <c r="N765" s="116">
        <v>82.1</v>
      </c>
      <c r="O765" s="116">
        <v>80.400000000000006</v>
      </c>
      <c r="P765" s="116">
        <v>81.790000000000006</v>
      </c>
      <c r="Q765" s="116">
        <v>405.9</v>
      </c>
      <c r="R765">
        <v>186700</v>
      </c>
    </row>
    <row r="766" spans="1:18" x14ac:dyDescent="0.25">
      <c r="A766" s="170">
        <v>43850</v>
      </c>
      <c r="B766" s="116">
        <v>81.87</v>
      </c>
      <c r="C766" s="116">
        <v>80.569999999999993</v>
      </c>
      <c r="D766" s="116">
        <v>80.12</v>
      </c>
      <c r="E766" s="116">
        <v>81.8</v>
      </c>
      <c r="F766" s="116">
        <v>402.85</v>
      </c>
      <c r="G766">
        <v>5406</v>
      </c>
      <c r="H766" s="116"/>
      <c r="I766" s="116"/>
      <c r="L766" s="170">
        <v>43850</v>
      </c>
      <c r="M766" s="116">
        <v>80.62</v>
      </c>
      <c r="N766" s="116">
        <v>82.13</v>
      </c>
      <c r="O766" s="116">
        <v>80.400000000000006</v>
      </c>
      <c r="P766" s="116">
        <v>81.94</v>
      </c>
      <c r="Q766" s="116">
        <v>403.1</v>
      </c>
      <c r="R766">
        <v>91764</v>
      </c>
    </row>
    <row r="767" spans="1:18" x14ac:dyDescent="0.25">
      <c r="A767" s="170">
        <v>43851</v>
      </c>
      <c r="B767" s="116">
        <v>81.48</v>
      </c>
      <c r="C767" s="116">
        <v>80.790000000000006</v>
      </c>
      <c r="D767" s="116">
        <v>80.52</v>
      </c>
      <c r="E767" s="116">
        <v>81.180000000000007</v>
      </c>
      <c r="F767" s="116">
        <v>403.95</v>
      </c>
      <c r="G767">
        <v>1146</v>
      </c>
      <c r="H767" s="116"/>
      <c r="I767" s="116"/>
      <c r="L767" s="170">
        <v>43851</v>
      </c>
      <c r="M767" s="116">
        <v>80.86</v>
      </c>
      <c r="N767" s="116">
        <v>81.8</v>
      </c>
      <c r="O767" s="116">
        <v>80.430000000000007</v>
      </c>
      <c r="P767" s="116">
        <v>81.19</v>
      </c>
      <c r="Q767" s="116">
        <v>404.3</v>
      </c>
      <c r="R767">
        <v>42477</v>
      </c>
    </row>
    <row r="768" spans="1:18" x14ac:dyDescent="0.25">
      <c r="A768" s="170">
        <v>43852</v>
      </c>
      <c r="B768" s="116">
        <v>81.28</v>
      </c>
      <c r="C768" s="116">
        <v>79.91</v>
      </c>
      <c r="D768" s="116">
        <v>78.89</v>
      </c>
      <c r="E768" s="116">
        <v>81.28</v>
      </c>
      <c r="F768" s="116">
        <v>399.55</v>
      </c>
      <c r="G768">
        <v>4473</v>
      </c>
      <c r="H768" s="116"/>
      <c r="I768" s="116"/>
      <c r="L768" s="170">
        <v>43852</v>
      </c>
      <c r="M768" s="116">
        <v>79.97</v>
      </c>
      <c r="N768" s="116">
        <v>81.8</v>
      </c>
      <c r="O768" s="116">
        <v>78.83</v>
      </c>
      <c r="P768" s="116">
        <v>81.400000000000006</v>
      </c>
      <c r="Q768" s="116">
        <v>399.85</v>
      </c>
      <c r="R768">
        <v>107350</v>
      </c>
    </row>
    <row r="769" spans="1:18" x14ac:dyDescent="0.25">
      <c r="A769" s="170">
        <v>43853</v>
      </c>
      <c r="B769" s="116">
        <v>84.48</v>
      </c>
      <c r="C769" s="116">
        <v>83.02</v>
      </c>
      <c r="D769" s="116">
        <v>80.459999999999994</v>
      </c>
      <c r="E769" s="116">
        <v>80.459999999999994</v>
      </c>
      <c r="F769" s="116">
        <v>415.1</v>
      </c>
      <c r="G769">
        <v>21686</v>
      </c>
      <c r="H769" s="116"/>
      <c r="I769" s="116"/>
      <c r="L769" s="170">
        <v>43853</v>
      </c>
      <c r="M769" s="116">
        <v>82.98</v>
      </c>
      <c r="N769" s="116">
        <v>84.48</v>
      </c>
      <c r="O769" s="116">
        <v>80.3</v>
      </c>
      <c r="P769" s="116">
        <v>80.59</v>
      </c>
      <c r="Q769" s="116">
        <v>414.9</v>
      </c>
      <c r="R769">
        <v>361492</v>
      </c>
    </row>
    <row r="770" spans="1:18" x14ac:dyDescent="0.25">
      <c r="A770" s="170">
        <v>43854</v>
      </c>
      <c r="B770" s="116">
        <v>83.6</v>
      </c>
      <c r="C770" s="116">
        <v>82.39</v>
      </c>
      <c r="D770" s="116">
        <v>82.03</v>
      </c>
      <c r="E770" s="116">
        <v>83</v>
      </c>
      <c r="F770" s="116">
        <v>411.95</v>
      </c>
      <c r="G770">
        <v>2416</v>
      </c>
      <c r="H770" s="116"/>
      <c r="I770" s="116"/>
      <c r="L770" s="170">
        <v>43854</v>
      </c>
      <c r="M770" s="116">
        <v>82.41</v>
      </c>
      <c r="N770" s="116">
        <v>83.8</v>
      </c>
      <c r="O770" s="116">
        <v>82</v>
      </c>
      <c r="P770" s="116">
        <v>83.6</v>
      </c>
      <c r="Q770" s="116">
        <v>412.05</v>
      </c>
      <c r="R770">
        <v>98559</v>
      </c>
    </row>
    <row r="771" spans="1:18" x14ac:dyDescent="0.25">
      <c r="A771" s="170">
        <v>43857</v>
      </c>
      <c r="B771" s="116">
        <v>85.4</v>
      </c>
      <c r="C771" s="116">
        <v>84.39</v>
      </c>
      <c r="D771" s="116">
        <v>82.89</v>
      </c>
      <c r="E771" s="116">
        <v>82.98</v>
      </c>
      <c r="F771" s="116">
        <v>421.95</v>
      </c>
      <c r="G771">
        <v>12362</v>
      </c>
      <c r="H771" s="116"/>
      <c r="I771" s="116"/>
      <c r="L771" s="170">
        <v>43857</v>
      </c>
      <c r="M771" s="116">
        <v>84.71</v>
      </c>
      <c r="N771" s="116">
        <v>85.54</v>
      </c>
      <c r="O771" s="116">
        <v>82.41</v>
      </c>
      <c r="P771" s="116">
        <v>82.41</v>
      </c>
      <c r="Q771" s="116">
        <v>423.55</v>
      </c>
      <c r="R771">
        <v>208625</v>
      </c>
    </row>
    <row r="772" spans="1:18" x14ac:dyDescent="0.25">
      <c r="A772" s="170">
        <v>43858</v>
      </c>
      <c r="B772" s="116">
        <v>86.72</v>
      </c>
      <c r="C772" s="116">
        <v>85.2</v>
      </c>
      <c r="D772" s="116">
        <v>84.8</v>
      </c>
      <c r="E772" s="116">
        <v>85.5</v>
      </c>
      <c r="F772" s="116">
        <v>426</v>
      </c>
      <c r="G772">
        <v>7318</v>
      </c>
      <c r="H772" s="116"/>
      <c r="I772" s="116"/>
      <c r="L772" s="170">
        <v>43858</v>
      </c>
      <c r="M772" s="116">
        <v>85.16</v>
      </c>
      <c r="N772" s="116">
        <v>86.79</v>
      </c>
      <c r="O772" s="116">
        <v>84.4</v>
      </c>
      <c r="P772" s="116">
        <v>84.4</v>
      </c>
      <c r="Q772" s="116">
        <v>425.8</v>
      </c>
      <c r="R772">
        <v>127570</v>
      </c>
    </row>
    <row r="773" spans="1:18" x14ac:dyDescent="0.25">
      <c r="A773" s="170">
        <v>43859</v>
      </c>
      <c r="B773" s="116">
        <v>87.83</v>
      </c>
      <c r="C773" s="116">
        <v>87.51</v>
      </c>
      <c r="D773" s="116">
        <v>85.6</v>
      </c>
      <c r="E773" s="116">
        <v>85.8</v>
      </c>
      <c r="F773" s="116">
        <v>437.55</v>
      </c>
      <c r="G773">
        <v>5570</v>
      </c>
      <c r="H773" s="116"/>
      <c r="I773" s="116"/>
      <c r="L773" s="170">
        <v>43859</v>
      </c>
      <c r="M773" s="116">
        <v>87.63</v>
      </c>
      <c r="N773" s="116">
        <v>88</v>
      </c>
      <c r="O773" s="116">
        <v>85.06</v>
      </c>
      <c r="P773" s="116">
        <v>86</v>
      </c>
      <c r="Q773" s="116">
        <v>438.15</v>
      </c>
      <c r="R773">
        <v>156311</v>
      </c>
    </row>
    <row r="774" spans="1:18" x14ac:dyDescent="0.25">
      <c r="A774" s="170">
        <v>43860</v>
      </c>
      <c r="B774" s="116">
        <v>88.6</v>
      </c>
      <c r="C774" s="116">
        <v>87.26</v>
      </c>
      <c r="D774" s="116">
        <v>82.85</v>
      </c>
      <c r="E774" s="116">
        <v>88</v>
      </c>
      <c r="F774" s="116">
        <v>436.3</v>
      </c>
      <c r="G774">
        <v>20981</v>
      </c>
      <c r="H774" s="116"/>
      <c r="I774" s="116"/>
      <c r="L774" s="170">
        <v>43860</v>
      </c>
      <c r="M774" s="116">
        <v>87.13</v>
      </c>
      <c r="N774" s="116">
        <v>88.54</v>
      </c>
      <c r="O774" s="116">
        <v>82.45</v>
      </c>
      <c r="P774" s="116">
        <v>87.99</v>
      </c>
      <c r="Q774" s="116">
        <v>435.65</v>
      </c>
      <c r="R774">
        <v>309245</v>
      </c>
    </row>
    <row r="775" spans="1:18" x14ac:dyDescent="0.25">
      <c r="A775" s="170">
        <v>43861</v>
      </c>
      <c r="B775" s="116">
        <v>92</v>
      </c>
      <c r="C775" s="116">
        <v>86.04</v>
      </c>
      <c r="D775" s="116">
        <v>83.29</v>
      </c>
      <c r="E775" s="116">
        <v>92</v>
      </c>
      <c r="F775" s="116">
        <v>430.2</v>
      </c>
      <c r="G775">
        <v>55052</v>
      </c>
      <c r="H775" s="116"/>
      <c r="I775" s="116"/>
      <c r="L775" s="170">
        <v>43861</v>
      </c>
      <c r="M775" s="116">
        <v>86.07</v>
      </c>
      <c r="N775" s="116">
        <v>91.99</v>
      </c>
      <c r="O775" s="116">
        <v>83</v>
      </c>
      <c r="P775" s="116">
        <v>91.98</v>
      </c>
      <c r="Q775" s="116">
        <v>430.35</v>
      </c>
      <c r="R775">
        <v>1556348</v>
      </c>
    </row>
    <row r="776" spans="1:18" x14ac:dyDescent="0.25">
      <c r="A776" s="170">
        <v>43862</v>
      </c>
      <c r="B776" s="116">
        <v>87.51</v>
      </c>
      <c r="C776" s="116">
        <v>85.18</v>
      </c>
      <c r="D776" s="116">
        <v>84</v>
      </c>
      <c r="E776" s="116">
        <v>84.8</v>
      </c>
      <c r="F776" s="116">
        <v>425.9</v>
      </c>
      <c r="G776">
        <v>12755</v>
      </c>
      <c r="H776" s="116"/>
      <c r="I776" s="116"/>
      <c r="L776" s="170">
        <v>43862</v>
      </c>
      <c r="M776" s="116">
        <v>85.35</v>
      </c>
      <c r="N776" s="116">
        <v>87.61</v>
      </c>
      <c r="O776" s="116">
        <v>84.02</v>
      </c>
      <c r="P776" s="116">
        <v>85.16</v>
      </c>
      <c r="Q776" s="116">
        <v>426.75</v>
      </c>
      <c r="R776">
        <v>259534</v>
      </c>
    </row>
    <row r="777" spans="1:18" x14ac:dyDescent="0.25">
      <c r="A777" s="170">
        <v>43864</v>
      </c>
      <c r="B777" s="116">
        <v>86.2</v>
      </c>
      <c r="C777" s="116">
        <v>86.13</v>
      </c>
      <c r="D777" s="116">
        <v>83.08</v>
      </c>
      <c r="E777" s="116">
        <v>84</v>
      </c>
      <c r="F777" s="116">
        <v>430.65</v>
      </c>
      <c r="G777">
        <v>14983</v>
      </c>
      <c r="H777" s="116"/>
      <c r="I777" s="116"/>
      <c r="L777" s="170">
        <v>43864</v>
      </c>
      <c r="M777" s="116">
        <v>85.93</v>
      </c>
      <c r="N777" s="116">
        <v>86.4</v>
      </c>
      <c r="O777" s="116">
        <v>83.04</v>
      </c>
      <c r="P777" s="116">
        <v>84</v>
      </c>
      <c r="Q777" s="116">
        <v>429.65</v>
      </c>
      <c r="R777">
        <v>347405</v>
      </c>
    </row>
    <row r="778" spans="1:18" x14ac:dyDescent="0.25">
      <c r="A778" s="170">
        <v>43865</v>
      </c>
      <c r="B778" s="116">
        <v>88.8</v>
      </c>
      <c r="C778" s="116">
        <v>87.52</v>
      </c>
      <c r="D778" s="116">
        <v>86.13</v>
      </c>
      <c r="E778" s="116">
        <v>86.97</v>
      </c>
      <c r="F778" s="116">
        <v>437.6</v>
      </c>
      <c r="G778">
        <v>13508</v>
      </c>
      <c r="H778" s="116"/>
      <c r="I778" s="116"/>
      <c r="L778" s="170">
        <v>43865</v>
      </c>
      <c r="M778" s="116">
        <v>87.49</v>
      </c>
      <c r="N778" s="116">
        <v>88.8</v>
      </c>
      <c r="O778" s="116">
        <v>86.02</v>
      </c>
      <c r="P778" s="116">
        <v>86.4</v>
      </c>
      <c r="Q778" s="116">
        <v>437.45</v>
      </c>
      <c r="R778">
        <v>290915</v>
      </c>
    </row>
    <row r="779" spans="1:18" x14ac:dyDescent="0.25">
      <c r="A779" s="170">
        <v>43866</v>
      </c>
      <c r="B779" s="116">
        <v>89.88</v>
      </c>
      <c r="C779" s="116">
        <v>87.41</v>
      </c>
      <c r="D779" s="116">
        <v>86.48</v>
      </c>
      <c r="E779" s="116">
        <v>87.27</v>
      </c>
      <c r="F779" s="116">
        <v>437.05</v>
      </c>
      <c r="G779">
        <v>16293</v>
      </c>
      <c r="H779" s="116"/>
      <c r="I779" s="116"/>
      <c r="L779" s="170">
        <v>43866</v>
      </c>
      <c r="M779" s="116">
        <v>87.54</v>
      </c>
      <c r="N779" s="116">
        <v>89.58</v>
      </c>
      <c r="O779" s="116">
        <v>86.4</v>
      </c>
      <c r="P779" s="116">
        <v>86.4</v>
      </c>
      <c r="Q779" s="116">
        <v>437.7</v>
      </c>
      <c r="R779">
        <v>586611</v>
      </c>
    </row>
    <row r="780" spans="1:18" x14ac:dyDescent="0.25">
      <c r="A780" s="170">
        <v>43867</v>
      </c>
      <c r="B780" s="116">
        <v>88.4</v>
      </c>
      <c r="C780" s="116">
        <v>87.45</v>
      </c>
      <c r="D780" s="116">
        <v>87.18</v>
      </c>
      <c r="E780" s="116">
        <v>87.8</v>
      </c>
      <c r="F780" s="116">
        <v>437.25</v>
      </c>
      <c r="G780">
        <v>7970</v>
      </c>
      <c r="H780" s="116"/>
      <c r="I780" s="116"/>
      <c r="L780" s="170">
        <v>43867</v>
      </c>
      <c r="M780" s="116">
        <v>87.54</v>
      </c>
      <c r="N780" s="116">
        <v>88.4</v>
      </c>
      <c r="O780" s="116">
        <v>87.11</v>
      </c>
      <c r="P780" s="116">
        <v>88.4</v>
      </c>
      <c r="Q780" s="116">
        <v>437.7</v>
      </c>
      <c r="R780">
        <v>145299</v>
      </c>
    </row>
    <row r="781" spans="1:18" x14ac:dyDescent="0.25">
      <c r="A781" s="170">
        <v>43868</v>
      </c>
      <c r="B781" s="116">
        <v>89</v>
      </c>
      <c r="C781" s="116">
        <v>87.81</v>
      </c>
      <c r="D781" s="116">
        <v>87.3</v>
      </c>
      <c r="E781" s="116">
        <v>88.01</v>
      </c>
      <c r="F781" s="116">
        <v>439.05</v>
      </c>
      <c r="G781">
        <v>7146</v>
      </c>
      <c r="H781" s="116"/>
      <c r="I781" s="116"/>
      <c r="L781" s="170">
        <v>43868</v>
      </c>
      <c r="M781" s="116">
        <v>87.79</v>
      </c>
      <c r="N781" s="116">
        <v>89.1</v>
      </c>
      <c r="O781" s="116">
        <v>87.23</v>
      </c>
      <c r="P781" s="116">
        <v>88.04</v>
      </c>
      <c r="Q781" s="116">
        <v>438.95</v>
      </c>
      <c r="R781">
        <v>156758</v>
      </c>
    </row>
    <row r="782" spans="1:18" x14ac:dyDescent="0.25">
      <c r="A782" s="170">
        <v>43871</v>
      </c>
      <c r="B782" s="116">
        <v>89.68</v>
      </c>
      <c r="C782" s="116">
        <v>87.27</v>
      </c>
      <c r="D782" s="116">
        <v>87</v>
      </c>
      <c r="E782" s="116">
        <v>88.6</v>
      </c>
      <c r="F782" s="116">
        <v>436.35</v>
      </c>
      <c r="G782">
        <v>7329</v>
      </c>
      <c r="H782" s="116"/>
      <c r="I782" s="116"/>
      <c r="L782" s="170">
        <v>43871</v>
      </c>
      <c r="M782" s="116">
        <v>87.16</v>
      </c>
      <c r="N782" s="116">
        <v>89.79</v>
      </c>
      <c r="O782" s="116">
        <v>86.94</v>
      </c>
      <c r="P782" s="116">
        <v>88.58</v>
      </c>
      <c r="Q782" s="116">
        <v>435.8</v>
      </c>
      <c r="R782">
        <v>208045</v>
      </c>
    </row>
    <row r="783" spans="1:18" x14ac:dyDescent="0.25">
      <c r="A783" s="170">
        <v>43872</v>
      </c>
      <c r="B783" s="116">
        <v>89.7</v>
      </c>
      <c r="C783" s="116">
        <v>85.91</v>
      </c>
      <c r="D783" s="116">
        <v>84.8</v>
      </c>
      <c r="E783" s="116">
        <v>88.07</v>
      </c>
      <c r="F783" s="116">
        <v>429.55</v>
      </c>
      <c r="G783">
        <v>15469</v>
      </c>
      <c r="H783" s="116"/>
      <c r="I783" s="116"/>
      <c r="L783" s="170">
        <v>43872</v>
      </c>
      <c r="M783" s="116">
        <v>87.23</v>
      </c>
      <c r="N783" s="116">
        <v>89.78</v>
      </c>
      <c r="O783" s="116">
        <v>86.81</v>
      </c>
      <c r="P783" s="116">
        <v>87.6</v>
      </c>
      <c r="Q783" s="116">
        <v>436.15</v>
      </c>
      <c r="R783">
        <v>244908</v>
      </c>
    </row>
    <row r="784" spans="1:18" x14ac:dyDescent="0.25">
      <c r="A784" s="170">
        <v>43873</v>
      </c>
      <c r="B784" s="116">
        <v>89</v>
      </c>
      <c r="C784" s="116">
        <v>87.95</v>
      </c>
      <c r="D784" s="116">
        <v>86.74</v>
      </c>
      <c r="E784" s="116">
        <v>87.78</v>
      </c>
      <c r="F784" s="116">
        <v>439.75</v>
      </c>
      <c r="G784">
        <v>10088</v>
      </c>
      <c r="H784" s="116"/>
      <c r="I784" s="116"/>
      <c r="L784" s="170">
        <v>43873</v>
      </c>
      <c r="M784" s="116">
        <v>87.93</v>
      </c>
      <c r="N784" s="116">
        <v>89</v>
      </c>
      <c r="O784" s="116">
        <v>86.62</v>
      </c>
      <c r="P784" s="116">
        <v>87.8</v>
      </c>
      <c r="Q784" s="116">
        <v>439.65</v>
      </c>
      <c r="R784">
        <v>372829</v>
      </c>
    </row>
    <row r="785" spans="1:18" x14ac:dyDescent="0.25">
      <c r="A785" s="170">
        <v>43874</v>
      </c>
      <c r="B785" s="116">
        <v>90.6</v>
      </c>
      <c r="C785" s="116">
        <v>88.21</v>
      </c>
      <c r="D785" s="116">
        <v>87.6</v>
      </c>
      <c r="E785" s="116">
        <v>88.58</v>
      </c>
      <c r="F785" s="116">
        <v>441.05</v>
      </c>
      <c r="G785">
        <v>14705</v>
      </c>
      <c r="H785" s="116"/>
      <c r="I785" s="116"/>
      <c r="L785" s="170">
        <v>43874</v>
      </c>
      <c r="M785" s="116">
        <v>88.26</v>
      </c>
      <c r="N785" s="116">
        <v>90.66</v>
      </c>
      <c r="O785" s="116">
        <v>87.61</v>
      </c>
      <c r="P785" s="116">
        <v>88.2</v>
      </c>
      <c r="Q785" s="116">
        <v>441.3</v>
      </c>
      <c r="R785">
        <v>616517</v>
      </c>
    </row>
    <row r="786" spans="1:18" x14ac:dyDescent="0.25">
      <c r="A786" s="170">
        <v>43875</v>
      </c>
      <c r="B786" s="116">
        <v>88.81</v>
      </c>
      <c r="C786" s="116">
        <v>87.42</v>
      </c>
      <c r="D786" s="116">
        <v>87.2</v>
      </c>
      <c r="E786" s="116">
        <v>88.45</v>
      </c>
      <c r="F786" s="116">
        <v>437.1</v>
      </c>
      <c r="G786">
        <v>3718</v>
      </c>
      <c r="H786" s="116"/>
      <c r="I786" s="116"/>
      <c r="L786" s="170">
        <v>43875</v>
      </c>
      <c r="M786" s="116">
        <v>87.43</v>
      </c>
      <c r="N786" s="116">
        <v>88.85</v>
      </c>
      <c r="O786" s="116">
        <v>87.1</v>
      </c>
      <c r="P786" s="116">
        <v>88.8</v>
      </c>
      <c r="Q786" s="116">
        <v>437.15</v>
      </c>
      <c r="R786">
        <v>139349</v>
      </c>
    </row>
    <row r="787" spans="1:18" x14ac:dyDescent="0.25">
      <c r="A787" s="170">
        <v>43878</v>
      </c>
      <c r="B787" s="116">
        <v>88.31</v>
      </c>
      <c r="C787" s="116">
        <v>87.72</v>
      </c>
      <c r="D787" s="116">
        <v>86.9</v>
      </c>
      <c r="E787" s="116">
        <v>87.4</v>
      </c>
      <c r="F787" s="116">
        <v>438.6</v>
      </c>
      <c r="G787">
        <v>4804</v>
      </c>
      <c r="H787" s="116"/>
      <c r="I787" s="116"/>
      <c r="L787" s="170">
        <v>43878</v>
      </c>
      <c r="M787" s="116">
        <v>87.68</v>
      </c>
      <c r="N787" s="116">
        <v>88.38</v>
      </c>
      <c r="O787" s="116">
        <v>87.04</v>
      </c>
      <c r="P787" s="116">
        <v>87.62</v>
      </c>
      <c r="Q787" s="116">
        <v>438.4</v>
      </c>
      <c r="R787">
        <v>78918</v>
      </c>
    </row>
    <row r="788" spans="1:18" x14ac:dyDescent="0.25">
      <c r="A788" s="170">
        <v>43879</v>
      </c>
      <c r="B788" s="116">
        <v>87.18</v>
      </c>
      <c r="C788" s="116">
        <v>85.81</v>
      </c>
      <c r="D788" s="116">
        <v>84.47</v>
      </c>
      <c r="E788" s="116">
        <v>87.18</v>
      </c>
      <c r="F788" s="116">
        <v>429.05</v>
      </c>
      <c r="G788">
        <v>15082</v>
      </c>
      <c r="H788" s="116"/>
      <c r="I788" s="116"/>
      <c r="L788" s="170">
        <v>43879</v>
      </c>
      <c r="M788" s="116">
        <v>86.02</v>
      </c>
      <c r="N788" s="116">
        <v>87.82</v>
      </c>
      <c r="O788" s="116">
        <v>84.51</v>
      </c>
      <c r="P788" s="116">
        <v>87.82</v>
      </c>
      <c r="Q788" s="116">
        <v>430.1</v>
      </c>
      <c r="R788">
        <v>99956</v>
      </c>
    </row>
    <row r="789" spans="1:18" x14ac:dyDescent="0.25">
      <c r="A789" s="170">
        <v>43880</v>
      </c>
      <c r="B789" s="116">
        <v>89.16</v>
      </c>
      <c r="C789" s="116">
        <v>87.75</v>
      </c>
      <c r="D789" s="116">
        <v>80.8</v>
      </c>
      <c r="E789" s="116">
        <v>86.39</v>
      </c>
      <c r="F789" s="116">
        <v>438.75</v>
      </c>
      <c r="G789">
        <v>13631</v>
      </c>
      <c r="H789" s="116"/>
      <c r="I789" s="116"/>
      <c r="L789" s="170">
        <v>43880</v>
      </c>
      <c r="M789" s="116">
        <v>87.72</v>
      </c>
      <c r="N789" s="116">
        <v>89.18</v>
      </c>
      <c r="O789" s="116">
        <v>72</v>
      </c>
      <c r="P789" s="116">
        <v>86.51</v>
      </c>
      <c r="Q789" s="116">
        <v>438.6</v>
      </c>
      <c r="R789">
        <v>190687</v>
      </c>
    </row>
    <row r="790" spans="1:18" x14ac:dyDescent="0.25">
      <c r="A790" s="170">
        <v>43881</v>
      </c>
      <c r="B790" s="116">
        <v>88.8</v>
      </c>
      <c r="C790" s="116">
        <v>88.01</v>
      </c>
      <c r="D790" s="116">
        <v>87.6</v>
      </c>
      <c r="E790" s="116">
        <v>87.6</v>
      </c>
      <c r="F790" s="116">
        <v>440.05</v>
      </c>
      <c r="G790">
        <v>4334</v>
      </c>
      <c r="H790" s="116"/>
      <c r="I790" s="116"/>
      <c r="L790" s="170">
        <v>43881</v>
      </c>
      <c r="M790" s="116">
        <v>88.07</v>
      </c>
      <c r="N790" s="116">
        <v>88.89</v>
      </c>
      <c r="O790" s="116">
        <v>87.04</v>
      </c>
      <c r="P790" s="116">
        <v>87.04</v>
      </c>
      <c r="Q790" s="116">
        <v>440.35</v>
      </c>
      <c r="R790">
        <v>75809</v>
      </c>
    </row>
    <row r="791" spans="1:18" x14ac:dyDescent="0.25">
      <c r="A791" s="170">
        <v>43885</v>
      </c>
      <c r="B791" s="116">
        <v>88.34</v>
      </c>
      <c r="C791" s="116">
        <v>87.12</v>
      </c>
      <c r="D791" s="116">
        <v>86.2</v>
      </c>
      <c r="E791" s="116">
        <v>87.92</v>
      </c>
      <c r="F791" s="116">
        <v>435.6</v>
      </c>
      <c r="G791">
        <v>8996</v>
      </c>
      <c r="H791" s="116"/>
      <c r="I791" s="116"/>
      <c r="L791" s="170">
        <v>43885</v>
      </c>
      <c r="M791" s="116">
        <v>87.24</v>
      </c>
      <c r="N791" s="116">
        <v>88.4</v>
      </c>
      <c r="O791" s="116">
        <v>86.33</v>
      </c>
      <c r="P791" s="116">
        <v>88.4</v>
      </c>
      <c r="Q791" s="116">
        <v>436.2</v>
      </c>
      <c r="R791">
        <v>60421</v>
      </c>
    </row>
    <row r="792" spans="1:18" x14ac:dyDescent="0.25">
      <c r="A792" s="170">
        <v>43886</v>
      </c>
      <c r="B792" s="116">
        <v>87.8</v>
      </c>
      <c r="C792" s="116">
        <v>86.32</v>
      </c>
      <c r="D792" s="116">
        <v>85.82</v>
      </c>
      <c r="E792" s="116">
        <v>87.74</v>
      </c>
      <c r="F792" s="116">
        <v>431.6</v>
      </c>
      <c r="G792">
        <v>3361</v>
      </c>
      <c r="H792" s="116"/>
      <c r="I792" s="116"/>
      <c r="L792" s="170">
        <v>43886</v>
      </c>
      <c r="M792" s="116">
        <v>86.15</v>
      </c>
      <c r="N792" s="116">
        <v>88.07</v>
      </c>
      <c r="O792" s="116">
        <v>85.8</v>
      </c>
      <c r="P792" s="116">
        <v>87.24</v>
      </c>
      <c r="Q792" s="116">
        <v>430.75</v>
      </c>
      <c r="R792">
        <v>79291</v>
      </c>
    </row>
    <row r="793" spans="1:18" x14ac:dyDescent="0.25">
      <c r="A793" s="170">
        <v>43887</v>
      </c>
      <c r="B793" s="116">
        <v>86.8</v>
      </c>
      <c r="C793" s="116">
        <v>83.89</v>
      </c>
      <c r="D793" s="116">
        <v>83.52</v>
      </c>
      <c r="E793" s="116">
        <v>86.25</v>
      </c>
      <c r="F793" s="116">
        <v>419.45</v>
      </c>
      <c r="G793">
        <v>11406</v>
      </c>
      <c r="H793" s="116"/>
      <c r="I793" s="116"/>
      <c r="L793" s="170">
        <v>43887</v>
      </c>
      <c r="M793" s="116">
        <v>83.95</v>
      </c>
      <c r="N793" s="116">
        <v>86.98</v>
      </c>
      <c r="O793" s="116">
        <v>83.62</v>
      </c>
      <c r="P793" s="116">
        <v>86.4</v>
      </c>
      <c r="Q793" s="116">
        <v>419.75</v>
      </c>
      <c r="R793">
        <v>48452</v>
      </c>
    </row>
    <row r="794" spans="1:18" x14ac:dyDescent="0.25">
      <c r="A794" s="170">
        <v>43888</v>
      </c>
      <c r="B794" s="116">
        <v>84.05</v>
      </c>
      <c r="C794" s="116">
        <v>82.75</v>
      </c>
      <c r="D794" s="116">
        <v>82.18</v>
      </c>
      <c r="E794" s="116">
        <v>83.9</v>
      </c>
      <c r="F794" s="116">
        <v>413.75</v>
      </c>
      <c r="G794">
        <v>2582</v>
      </c>
      <c r="H794" s="116"/>
      <c r="I794" s="116"/>
      <c r="L794" s="170">
        <v>43888</v>
      </c>
      <c r="M794" s="116">
        <v>82.9</v>
      </c>
      <c r="N794" s="116">
        <v>84.2</v>
      </c>
      <c r="O794" s="116">
        <v>82.2</v>
      </c>
      <c r="P794" s="116">
        <v>84</v>
      </c>
      <c r="Q794" s="116">
        <v>414.5</v>
      </c>
      <c r="R794">
        <v>80595</v>
      </c>
    </row>
    <row r="795" spans="1:18" x14ac:dyDescent="0.25">
      <c r="A795" s="170">
        <v>43889</v>
      </c>
      <c r="B795" s="116">
        <v>82.91</v>
      </c>
      <c r="C795" s="116">
        <v>82.25</v>
      </c>
      <c r="D795" s="116">
        <v>80.400000000000006</v>
      </c>
      <c r="E795" s="116">
        <v>80.400000000000006</v>
      </c>
      <c r="F795" s="116">
        <v>411.25</v>
      </c>
      <c r="G795">
        <v>6816</v>
      </c>
      <c r="H795" s="116"/>
      <c r="I795" s="116"/>
      <c r="L795" s="170">
        <v>43889</v>
      </c>
      <c r="M795" s="116">
        <v>82.71</v>
      </c>
      <c r="N795" s="116">
        <v>83.4</v>
      </c>
      <c r="O795" s="116">
        <v>80.2</v>
      </c>
      <c r="P795" s="116">
        <v>82</v>
      </c>
      <c r="Q795" s="116">
        <v>413.55</v>
      </c>
      <c r="R795">
        <v>129373</v>
      </c>
    </row>
    <row r="796" spans="1:18" x14ac:dyDescent="0.25">
      <c r="A796" s="170">
        <v>43892</v>
      </c>
      <c r="B796" s="116">
        <v>85</v>
      </c>
      <c r="C796" s="116">
        <v>82.79</v>
      </c>
      <c r="D796" s="116">
        <v>81</v>
      </c>
      <c r="E796" s="116">
        <v>84</v>
      </c>
      <c r="F796" s="116">
        <v>413.95</v>
      </c>
      <c r="G796">
        <v>6329</v>
      </c>
      <c r="H796" s="116"/>
      <c r="I796" s="116"/>
      <c r="L796" s="170">
        <v>43892</v>
      </c>
      <c r="M796" s="116">
        <v>83.24</v>
      </c>
      <c r="N796" s="116">
        <v>85.09</v>
      </c>
      <c r="O796" s="116">
        <v>82.2</v>
      </c>
      <c r="P796" s="116">
        <v>83.23</v>
      </c>
      <c r="Q796" s="116">
        <v>416.2</v>
      </c>
      <c r="R796">
        <v>90639</v>
      </c>
    </row>
    <row r="797" spans="1:18" x14ac:dyDescent="0.25">
      <c r="A797" s="170">
        <v>43893</v>
      </c>
      <c r="B797" s="116">
        <v>85.92</v>
      </c>
      <c r="C797" s="116">
        <v>83.6</v>
      </c>
      <c r="D797" s="116">
        <v>82.01</v>
      </c>
      <c r="E797" s="116">
        <v>83.2</v>
      </c>
      <c r="F797" s="116">
        <v>418</v>
      </c>
      <c r="G797">
        <v>7954</v>
      </c>
      <c r="H797" s="116"/>
      <c r="I797" s="116"/>
      <c r="L797" s="170">
        <v>43893</v>
      </c>
      <c r="M797" s="116">
        <v>83.56</v>
      </c>
      <c r="N797" s="116">
        <v>85.84</v>
      </c>
      <c r="O797" s="116">
        <v>82.4</v>
      </c>
      <c r="P797" s="116">
        <v>85.18</v>
      </c>
      <c r="Q797" s="116">
        <v>417.8</v>
      </c>
      <c r="R797">
        <v>87589</v>
      </c>
    </row>
    <row r="798" spans="1:18" x14ac:dyDescent="0.25">
      <c r="A798" s="170">
        <v>43894</v>
      </c>
      <c r="B798" s="116">
        <v>85.6</v>
      </c>
      <c r="C798" s="116">
        <v>83.86</v>
      </c>
      <c r="D798" s="116">
        <v>82.37</v>
      </c>
      <c r="E798" s="116">
        <v>84.89</v>
      </c>
      <c r="F798" s="116">
        <v>419.3</v>
      </c>
      <c r="G798">
        <v>9253</v>
      </c>
      <c r="H798" s="116"/>
      <c r="I798" s="116"/>
      <c r="L798" s="170">
        <v>43894</v>
      </c>
      <c r="M798" s="116">
        <v>83.86</v>
      </c>
      <c r="N798" s="116">
        <v>85.78</v>
      </c>
      <c r="O798" s="116">
        <v>82.24</v>
      </c>
      <c r="P798" s="116">
        <v>85.38</v>
      </c>
      <c r="Q798" s="116">
        <v>419.3</v>
      </c>
      <c r="R798">
        <v>124497</v>
      </c>
    </row>
    <row r="799" spans="1:18" x14ac:dyDescent="0.25">
      <c r="A799" s="170">
        <v>43895</v>
      </c>
      <c r="B799" s="116">
        <v>87.55</v>
      </c>
      <c r="C799" s="116">
        <v>84.43</v>
      </c>
      <c r="D799" s="116">
        <v>83.57</v>
      </c>
      <c r="E799" s="116">
        <v>85.3</v>
      </c>
      <c r="F799" s="116">
        <v>422.15</v>
      </c>
      <c r="G799">
        <v>4058</v>
      </c>
      <c r="H799" s="116"/>
      <c r="I799" s="116"/>
      <c r="L799" s="170">
        <v>43895</v>
      </c>
      <c r="M799" s="116">
        <v>84.36</v>
      </c>
      <c r="N799" s="116">
        <v>87.56</v>
      </c>
      <c r="O799" s="116">
        <v>83.6</v>
      </c>
      <c r="P799" s="116">
        <v>85.4</v>
      </c>
      <c r="Q799" s="116">
        <v>421.8</v>
      </c>
      <c r="R799">
        <v>162204</v>
      </c>
    </row>
    <row r="800" spans="1:18" x14ac:dyDescent="0.25">
      <c r="A800" s="170">
        <v>43896</v>
      </c>
      <c r="B800" s="116">
        <v>84.13</v>
      </c>
      <c r="C800" s="116">
        <v>83.59</v>
      </c>
      <c r="D800" s="116">
        <v>80.959999999999994</v>
      </c>
      <c r="E800" s="116">
        <v>81.11</v>
      </c>
      <c r="F800" s="116">
        <v>417.95</v>
      </c>
      <c r="G800">
        <v>3618</v>
      </c>
      <c r="H800" s="116"/>
      <c r="I800" s="116"/>
      <c r="L800" s="170">
        <v>43896</v>
      </c>
      <c r="M800" s="116">
        <v>83.78</v>
      </c>
      <c r="N800" s="116">
        <v>84</v>
      </c>
      <c r="O800" s="116">
        <v>80.53</v>
      </c>
      <c r="P800" s="116">
        <v>82</v>
      </c>
      <c r="Q800" s="116">
        <v>418.9</v>
      </c>
      <c r="R800">
        <v>54263</v>
      </c>
    </row>
    <row r="801" spans="1:18" x14ac:dyDescent="0.25">
      <c r="A801" s="170">
        <v>43899</v>
      </c>
      <c r="B801" s="116">
        <v>83.6</v>
      </c>
      <c r="C801" s="116">
        <v>79.92</v>
      </c>
      <c r="D801" s="116">
        <v>78</v>
      </c>
      <c r="E801" s="116">
        <v>82.68</v>
      </c>
      <c r="F801" s="116">
        <v>399.6</v>
      </c>
      <c r="G801">
        <v>12031</v>
      </c>
      <c r="H801" s="116"/>
      <c r="I801" s="116"/>
      <c r="L801" s="170">
        <v>43899</v>
      </c>
      <c r="M801" s="116">
        <v>80.3</v>
      </c>
      <c r="N801" s="116">
        <v>83.99</v>
      </c>
      <c r="O801" s="116">
        <v>78.2</v>
      </c>
      <c r="P801" s="116">
        <v>83.78</v>
      </c>
      <c r="Q801" s="116">
        <v>401.5</v>
      </c>
      <c r="R801">
        <v>141534</v>
      </c>
    </row>
    <row r="802" spans="1:18" x14ac:dyDescent="0.25">
      <c r="A802" s="170">
        <v>43901</v>
      </c>
      <c r="B802" s="116">
        <v>83.41</v>
      </c>
      <c r="C802" s="116">
        <v>82.71</v>
      </c>
      <c r="D802" s="116">
        <v>79.819999999999993</v>
      </c>
      <c r="E802" s="116">
        <v>80.400000000000006</v>
      </c>
      <c r="F802" s="116">
        <v>413.55</v>
      </c>
      <c r="G802">
        <v>5870</v>
      </c>
      <c r="H802" s="116"/>
      <c r="I802" s="116"/>
      <c r="L802" s="170">
        <v>43901</v>
      </c>
      <c r="M802" s="116">
        <v>82.58</v>
      </c>
      <c r="N802" s="116">
        <v>83.3</v>
      </c>
      <c r="O802" s="116">
        <v>79.599999999999994</v>
      </c>
      <c r="P802" s="116">
        <v>80</v>
      </c>
      <c r="Q802" s="116">
        <v>412.9</v>
      </c>
      <c r="R802">
        <v>59862</v>
      </c>
    </row>
    <row r="803" spans="1:18" x14ac:dyDescent="0.25">
      <c r="A803" s="170">
        <v>43902</v>
      </c>
      <c r="B803" s="116">
        <v>81.2</v>
      </c>
      <c r="C803" s="116">
        <v>73.47</v>
      </c>
      <c r="D803" s="116">
        <v>72.05</v>
      </c>
      <c r="E803" s="116">
        <v>81.2</v>
      </c>
      <c r="F803" s="116">
        <v>367.35</v>
      </c>
      <c r="G803">
        <v>13201</v>
      </c>
      <c r="H803" s="116"/>
      <c r="I803" s="116"/>
      <c r="L803" s="170">
        <v>43902</v>
      </c>
      <c r="M803" s="116">
        <v>73.11</v>
      </c>
      <c r="N803" s="116">
        <v>81.8</v>
      </c>
      <c r="O803" s="116">
        <v>72.37</v>
      </c>
      <c r="P803" s="116">
        <v>81.8</v>
      </c>
      <c r="Q803" s="116">
        <v>365.55</v>
      </c>
      <c r="R803">
        <v>121034</v>
      </c>
    </row>
    <row r="804" spans="1:18" x14ac:dyDescent="0.25">
      <c r="A804" s="170">
        <v>43903</v>
      </c>
      <c r="B804" s="116">
        <v>78.31</v>
      </c>
      <c r="C804" s="116">
        <v>74.92</v>
      </c>
      <c r="D804" s="116">
        <v>66.400000000000006</v>
      </c>
      <c r="E804" s="116">
        <v>67.489999999999995</v>
      </c>
      <c r="F804" s="116">
        <v>374.6</v>
      </c>
      <c r="G804">
        <v>7442</v>
      </c>
      <c r="H804" s="116"/>
      <c r="I804" s="116"/>
      <c r="L804" s="170">
        <v>43903</v>
      </c>
      <c r="M804" s="116">
        <v>74.69</v>
      </c>
      <c r="N804" s="116">
        <v>78.349999999999994</v>
      </c>
      <c r="O804" s="116">
        <v>59</v>
      </c>
      <c r="P804" s="116">
        <v>67.400000000000006</v>
      </c>
      <c r="Q804" s="116">
        <v>373.45</v>
      </c>
      <c r="R804">
        <v>109164</v>
      </c>
    </row>
    <row r="805" spans="1:18" x14ac:dyDescent="0.25">
      <c r="A805" s="170">
        <v>43906</v>
      </c>
      <c r="B805" s="116">
        <v>78.45</v>
      </c>
      <c r="C805" s="116">
        <v>75.650000000000006</v>
      </c>
      <c r="D805" s="116">
        <v>72.599999999999994</v>
      </c>
      <c r="E805" s="116">
        <v>75.62</v>
      </c>
      <c r="F805" s="116">
        <v>378.25</v>
      </c>
      <c r="G805">
        <v>5798</v>
      </c>
      <c r="H805" s="116"/>
      <c r="I805" s="116"/>
      <c r="L805" s="170">
        <v>43906</v>
      </c>
      <c r="M805" s="116">
        <v>75.59</v>
      </c>
      <c r="N805" s="116">
        <v>78.930000000000007</v>
      </c>
      <c r="O805" s="116">
        <v>70.77</v>
      </c>
      <c r="P805" s="116">
        <v>73.599999999999994</v>
      </c>
      <c r="Q805" s="116">
        <v>377.95</v>
      </c>
      <c r="R805">
        <v>81105</v>
      </c>
    </row>
    <row r="806" spans="1:18" x14ac:dyDescent="0.25">
      <c r="A806" s="170">
        <v>43907</v>
      </c>
      <c r="B806" s="116">
        <v>77.87</v>
      </c>
      <c r="C806" s="116">
        <v>74.58</v>
      </c>
      <c r="D806" s="116">
        <v>73.84</v>
      </c>
      <c r="E806" s="116">
        <v>74</v>
      </c>
      <c r="F806" s="116">
        <v>372.9</v>
      </c>
      <c r="G806">
        <v>2673</v>
      </c>
      <c r="H806" s="116"/>
      <c r="I806" s="116"/>
      <c r="L806" s="170">
        <v>43907</v>
      </c>
      <c r="M806" s="116">
        <v>74.72</v>
      </c>
      <c r="N806" s="116">
        <v>77.8</v>
      </c>
      <c r="O806" s="116">
        <v>73.19</v>
      </c>
      <c r="P806" s="116">
        <v>75.400000000000006</v>
      </c>
      <c r="Q806" s="116">
        <v>373.6</v>
      </c>
      <c r="R806">
        <v>76619</v>
      </c>
    </row>
    <row r="807" spans="1:18" x14ac:dyDescent="0.25">
      <c r="A807" s="170">
        <v>43908</v>
      </c>
      <c r="B807" s="116">
        <v>76.099999999999994</v>
      </c>
      <c r="C807" s="116">
        <v>69.930000000000007</v>
      </c>
      <c r="D807" s="116">
        <v>68.8</v>
      </c>
      <c r="E807" s="116">
        <v>75.819999999999993</v>
      </c>
      <c r="F807" s="116">
        <v>349.65</v>
      </c>
      <c r="G807">
        <v>3985</v>
      </c>
      <c r="H807" s="116"/>
      <c r="I807" s="116"/>
      <c r="L807" s="170">
        <v>43908</v>
      </c>
      <c r="M807" s="116">
        <v>69.650000000000006</v>
      </c>
      <c r="N807" s="116">
        <v>76.319999999999993</v>
      </c>
      <c r="O807" s="116">
        <v>69</v>
      </c>
      <c r="P807" s="116">
        <v>75.08</v>
      </c>
      <c r="Q807" s="116">
        <v>348.25</v>
      </c>
      <c r="R807">
        <v>77406</v>
      </c>
    </row>
    <row r="808" spans="1:18" x14ac:dyDescent="0.25">
      <c r="A808" s="170">
        <v>43909</v>
      </c>
      <c r="B808" s="116">
        <v>72.83</v>
      </c>
      <c r="C808" s="116">
        <v>71.45</v>
      </c>
      <c r="D808" s="116">
        <v>63.68</v>
      </c>
      <c r="E808" s="116">
        <v>68.930000000000007</v>
      </c>
      <c r="F808" s="116">
        <v>357.25</v>
      </c>
      <c r="G808">
        <v>7864</v>
      </c>
      <c r="H808" s="116"/>
      <c r="I808" s="116"/>
      <c r="L808" s="170">
        <v>43909</v>
      </c>
      <c r="M808" s="116">
        <v>70.48</v>
      </c>
      <c r="N808" s="116">
        <v>72.709999999999994</v>
      </c>
      <c r="O808" s="116">
        <v>63.37</v>
      </c>
      <c r="P808" s="116">
        <v>69.55</v>
      </c>
      <c r="Q808" s="116">
        <v>352.4</v>
      </c>
      <c r="R808">
        <v>95955</v>
      </c>
    </row>
    <row r="809" spans="1:18" x14ac:dyDescent="0.25">
      <c r="A809" s="170">
        <v>43910</v>
      </c>
      <c r="B809" s="116">
        <v>75.95</v>
      </c>
      <c r="C809" s="116">
        <v>72.98</v>
      </c>
      <c r="D809" s="116">
        <v>71.849999999999994</v>
      </c>
      <c r="E809" s="116">
        <v>72.510000000000005</v>
      </c>
      <c r="F809" s="116">
        <v>364.9</v>
      </c>
      <c r="G809">
        <v>4305</v>
      </c>
      <c r="H809" s="116"/>
      <c r="I809" s="116"/>
      <c r="L809" s="170">
        <v>43910</v>
      </c>
      <c r="M809" s="116">
        <v>72.61</v>
      </c>
      <c r="N809" s="116">
        <v>76.400000000000006</v>
      </c>
      <c r="O809" s="116">
        <v>70.930000000000007</v>
      </c>
      <c r="P809" s="116">
        <v>71</v>
      </c>
      <c r="Q809" s="116">
        <v>363.05</v>
      </c>
      <c r="R809">
        <v>83278</v>
      </c>
    </row>
    <row r="810" spans="1:18" x14ac:dyDescent="0.25">
      <c r="A810" s="170">
        <v>43913</v>
      </c>
      <c r="B810" s="116">
        <v>72.400000000000006</v>
      </c>
      <c r="C810" s="116">
        <v>64.17</v>
      </c>
      <c r="D810" s="116">
        <v>63.74</v>
      </c>
      <c r="E810" s="116">
        <v>72.400000000000006</v>
      </c>
      <c r="F810" s="116">
        <v>320.85000000000002</v>
      </c>
      <c r="G810">
        <v>7034</v>
      </c>
      <c r="H810" s="116"/>
      <c r="I810" s="116"/>
      <c r="L810" s="170">
        <v>43913</v>
      </c>
      <c r="M810" s="116">
        <v>64.08</v>
      </c>
      <c r="N810" s="116">
        <v>71</v>
      </c>
      <c r="O810" s="116">
        <v>63.59</v>
      </c>
      <c r="P810" s="116">
        <v>71</v>
      </c>
      <c r="Q810" s="116">
        <v>320.39999999999998</v>
      </c>
      <c r="R810">
        <v>61576</v>
      </c>
    </row>
    <row r="811" spans="1:18" x14ac:dyDescent="0.25">
      <c r="A811" s="170">
        <v>43914</v>
      </c>
      <c r="B811" s="116">
        <v>68.989999999999995</v>
      </c>
      <c r="C811" s="116">
        <v>66.209999999999994</v>
      </c>
      <c r="D811" s="116">
        <v>61.9</v>
      </c>
      <c r="E811" s="116">
        <v>67.08</v>
      </c>
      <c r="F811" s="116">
        <v>331.05</v>
      </c>
      <c r="G811">
        <v>1847</v>
      </c>
      <c r="H811" s="116"/>
      <c r="I811" s="116"/>
      <c r="L811" s="170">
        <v>43914</v>
      </c>
      <c r="M811" s="116">
        <v>63.19</v>
      </c>
      <c r="N811" s="116">
        <v>67.92</v>
      </c>
      <c r="O811" s="116">
        <v>61.02</v>
      </c>
      <c r="P811" s="116">
        <v>64.41</v>
      </c>
      <c r="Q811" s="116">
        <v>315.95</v>
      </c>
      <c r="R811">
        <v>50044</v>
      </c>
    </row>
    <row r="812" spans="1:18" x14ac:dyDescent="0.25">
      <c r="A812" s="170">
        <v>43915</v>
      </c>
      <c r="B812" s="116">
        <v>66</v>
      </c>
      <c r="C812" s="116">
        <v>65.010000000000005</v>
      </c>
      <c r="D812" s="116">
        <v>63.3</v>
      </c>
      <c r="E812" s="116">
        <v>63.3</v>
      </c>
      <c r="F812" s="116">
        <v>325.05</v>
      </c>
      <c r="G812">
        <v>3151</v>
      </c>
      <c r="H812" s="116"/>
      <c r="I812" s="116"/>
      <c r="L812" s="170">
        <v>43915</v>
      </c>
      <c r="M812" s="116">
        <v>65.02</v>
      </c>
      <c r="N812" s="116">
        <v>66.400000000000006</v>
      </c>
      <c r="O812" s="116">
        <v>62.81</v>
      </c>
      <c r="P812" s="116">
        <v>63.16</v>
      </c>
      <c r="Q812" s="116">
        <v>325.10000000000002</v>
      </c>
      <c r="R812">
        <v>75620</v>
      </c>
    </row>
    <row r="813" spans="1:18" x14ac:dyDescent="0.25">
      <c r="A813" s="170">
        <v>43916</v>
      </c>
      <c r="B813" s="116">
        <v>69.12</v>
      </c>
      <c r="C813" s="116">
        <v>67.86</v>
      </c>
      <c r="D813" s="116">
        <v>65.819999999999993</v>
      </c>
      <c r="E813" s="116">
        <v>65.819999999999993</v>
      </c>
      <c r="F813" s="116">
        <v>339.3</v>
      </c>
      <c r="G813">
        <v>1409</v>
      </c>
      <c r="H813" s="116"/>
      <c r="I813" s="116"/>
      <c r="L813" s="170">
        <v>43916</v>
      </c>
      <c r="M813" s="116">
        <v>68.38</v>
      </c>
      <c r="N813" s="116">
        <v>69</v>
      </c>
      <c r="O813" s="116">
        <v>63.61</v>
      </c>
      <c r="P813" s="116">
        <v>65.290000000000006</v>
      </c>
      <c r="Q813" s="116">
        <v>341.9</v>
      </c>
      <c r="R813">
        <v>48311</v>
      </c>
    </row>
    <row r="814" spans="1:18" x14ac:dyDescent="0.25">
      <c r="A814" s="170">
        <v>43917</v>
      </c>
      <c r="B814" s="116">
        <v>70.599999999999994</v>
      </c>
      <c r="C814" s="116">
        <v>65.39</v>
      </c>
      <c r="D814" s="116">
        <v>65</v>
      </c>
      <c r="E814" s="116">
        <v>69.099999999999994</v>
      </c>
      <c r="F814" s="116">
        <v>326.95</v>
      </c>
      <c r="G814">
        <v>2342</v>
      </c>
      <c r="H814" s="116"/>
      <c r="I814" s="116"/>
      <c r="L814" s="170">
        <v>43917</v>
      </c>
      <c r="M814" s="116">
        <v>65.349999999999994</v>
      </c>
      <c r="N814" s="116">
        <v>70.55</v>
      </c>
      <c r="O814" s="116">
        <v>64.8</v>
      </c>
      <c r="P814" s="116">
        <v>68.42</v>
      </c>
      <c r="Q814" s="116">
        <v>326.75</v>
      </c>
      <c r="R814">
        <v>109620</v>
      </c>
    </row>
    <row r="815" spans="1:18" x14ac:dyDescent="0.25">
      <c r="A815" s="170">
        <v>43920</v>
      </c>
      <c r="B815" s="116">
        <v>66.61</v>
      </c>
      <c r="C815" s="116">
        <v>64.03</v>
      </c>
      <c r="D815" s="116">
        <v>63.77</v>
      </c>
      <c r="E815" s="116">
        <v>66.61</v>
      </c>
      <c r="F815" s="116">
        <v>320.14999999999998</v>
      </c>
      <c r="G815">
        <v>2575</v>
      </c>
      <c r="H815" s="116"/>
      <c r="I815" s="116"/>
      <c r="L815" s="170">
        <v>43920</v>
      </c>
      <c r="M815" s="116">
        <v>63.94</v>
      </c>
      <c r="N815" s="116">
        <v>68</v>
      </c>
      <c r="O815" s="116">
        <v>63.6</v>
      </c>
      <c r="P815" s="116">
        <v>67.78</v>
      </c>
      <c r="Q815" s="116">
        <v>319.7</v>
      </c>
      <c r="R815">
        <v>91811</v>
      </c>
    </row>
    <row r="816" spans="1:18" x14ac:dyDescent="0.25">
      <c r="A816" s="170">
        <v>43921</v>
      </c>
      <c r="B816" s="116">
        <v>66.959999999999994</v>
      </c>
      <c r="C816" s="116">
        <v>64.52</v>
      </c>
      <c r="D816" s="116">
        <v>63.02</v>
      </c>
      <c r="E816" s="116">
        <v>64.8</v>
      </c>
      <c r="F816" s="116">
        <v>322.60000000000002</v>
      </c>
      <c r="G816">
        <v>4938</v>
      </c>
      <c r="H816" s="116"/>
      <c r="I816" s="116"/>
      <c r="L816" s="170">
        <v>43921</v>
      </c>
      <c r="M816" s="116">
        <v>64.959999999999994</v>
      </c>
      <c r="N816" s="116">
        <v>67.09</v>
      </c>
      <c r="O816" s="116">
        <v>62.94</v>
      </c>
      <c r="P816" s="116">
        <v>66.38</v>
      </c>
      <c r="Q816" s="116">
        <v>324.8</v>
      </c>
      <c r="R816">
        <v>135687</v>
      </c>
    </row>
    <row r="817" spans="1:18" x14ac:dyDescent="0.25">
      <c r="A817" s="170">
        <v>43922</v>
      </c>
      <c r="B817" s="116">
        <v>66.38</v>
      </c>
      <c r="C817" s="116">
        <v>64.69</v>
      </c>
      <c r="D817" s="116">
        <v>64</v>
      </c>
      <c r="E817" s="116">
        <v>65.900000000000006</v>
      </c>
      <c r="F817" s="116">
        <v>323.45</v>
      </c>
      <c r="G817">
        <v>2436</v>
      </c>
      <c r="H817" s="116"/>
      <c r="I817" s="116"/>
      <c r="L817" s="170">
        <v>43922</v>
      </c>
      <c r="M817" s="116">
        <v>64.739999999999995</v>
      </c>
      <c r="N817" s="116">
        <v>66</v>
      </c>
      <c r="O817" s="116">
        <v>64.2</v>
      </c>
      <c r="P817" s="116">
        <v>65.599999999999994</v>
      </c>
      <c r="Q817" s="116">
        <v>323.7</v>
      </c>
      <c r="R817">
        <v>49103</v>
      </c>
    </row>
    <row r="818" spans="1:18" x14ac:dyDescent="0.25">
      <c r="A818" s="170">
        <v>43924</v>
      </c>
      <c r="B818" s="116">
        <v>70.3</v>
      </c>
      <c r="C818" s="116">
        <v>68.430000000000007</v>
      </c>
      <c r="D818" s="116">
        <v>63.64</v>
      </c>
      <c r="E818" s="116">
        <v>65.11</v>
      </c>
      <c r="F818" s="116">
        <v>342.15</v>
      </c>
      <c r="G818">
        <v>9560</v>
      </c>
      <c r="H818" s="116"/>
      <c r="I818" s="116"/>
      <c r="L818" s="170">
        <v>43924</v>
      </c>
      <c r="M818" s="116">
        <v>68.430000000000007</v>
      </c>
      <c r="N818" s="116">
        <v>70.59</v>
      </c>
      <c r="O818" s="116">
        <v>63.21</v>
      </c>
      <c r="P818" s="116">
        <v>65.680000000000007</v>
      </c>
      <c r="Q818" s="116">
        <v>342.15</v>
      </c>
      <c r="R818">
        <v>175186</v>
      </c>
    </row>
    <row r="819" spans="1:18" x14ac:dyDescent="0.25">
      <c r="A819" s="170">
        <v>43928</v>
      </c>
      <c r="B819" s="116">
        <v>82.11</v>
      </c>
      <c r="C819" s="116">
        <v>78.86</v>
      </c>
      <c r="D819" s="116">
        <v>71.38</v>
      </c>
      <c r="E819" s="116">
        <v>80</v>
      </c>
      <c r="F819" s="116">
        <v>394.3</v>
      </c>
      <c r="G819">
        <v>20018</v>
      </c>
      <c r="H819" s="116"/>
      <c r="I819" s="116"/>
      <c r="L819" s="170">
        <v>43928</v>
      </c>
      <c r="M819" s="116">
        <v>78.47</v>
      </c>
      <c r="N819" s="116">
        <v>82.11</v>
      </c>
      <c r="O819" s="116">
        <v>71.849999999999994</v>
      </c>
      <c r="P819" s="116">
        <v>75</v>
      </c>
      <c r="Q819" s="116">
        <v>392.35</v>
      </c>
      <c r="R819">
        <v>585631</v>
      </c>
    </row>
    <row r="820" spans="1:18" x14ac:dyDescent="0.25">
      <c r="A820" s="170">
        <v>43929</v>
      </c>
      <c r="B820" s="116">
        <v>84.3</v>
      </c>
      <c r="C820" s="116">
        <v>78.39</v>
      </c>
      <c r="D820" s="116">
        <v>77.099999999999994</v>
      </c>
      <c r="E820" s="116">
        <v>79.400000000000006</v>
      </c>
      <c r="F820" s="116">
        <v>391.95</v>
      </c>
      <c r="G820">
        <v>7309</v>
      </c>
      <c r="H820" s="116"/>
      <c r="I820" s="116"/>
      <c r="L820" s="170">
        <v>43929</v>
      </c>
      <c r="M820" s="116">
        <v>78.38</v>
      </c>
      <c r="N820" s="116">
        <v>84.89</v>
      </c>
      <c r="O820" s="116">
        <v>77.2</v>
      </c>
      <c r="P820" s="116">
        <v>81.2</v>
      </c>
      <c r="Q820" s="116">
        <v>391.9</v>
      </c>
      <c r="R820">
        <v>319928</v>
      </c>
    </row>
    <row r="821" spans="1:18" x14ac:dyDescent="0.25">
      <c r="A821" s="170">
        <v>43930</v>
      </c>
      <c r="B821" s="116">
        <v>84.06</v>
      </c>
      <c r="C821" s="116">
        <v>82.4</v>
      </c>
      <c r="D821" s="116">
        <v>80.53</v>
      </c>
      <c r="E821" s="116">
        <v>81.38</v>
      </c>
      <c r="F821" s="116">
        <v>412</v>
      </c>
      <c r="G821">
        <v>9591</v>
      </c>
      <c r="H821" s="116"/>
      <c r="I821" s="116"/>
      <c r="L821" s="170">
        <v>43930</v>
      </c>
      <c r="M821" s="116">
        <v>82.33</v>
      </c>
      <c r="N821" s="116">
        <v>84.2</v>
      </c>
      <c r="O821" s="116">
        <v>80.430000000000007</v>
      </c>
      <c r="P821" s="116">
        <v>82</v>
      </c>
      <c r="Q821" s="116">
        <v>411.65</v>
      </c>
      <c r="R821">
        <v>272660</v>
      </c>
    </row>
    <row r="822" spans="1:18" x14ac:dyDescent="0.25">
      <c r="A822" s="170">
        <v>43934</v>
      </c>
      <c r="B822" s="116">
        <v>87</v>
      </c>
      <c r="C822" s="116">
        <v>81.25</v>
      </c>
      <c r="D822" s="116">
        <v>80.2</v>
      </c>
      <c r="E822" s="116">
        <v>86.37</v>
      </c>
      <c r="F822" s="116">
        <v>406.25</v>
      </c>
      <c r="G822">
        <v>17339</v>
      </c>
      <c r="H822" s="116"/>
      <c r="I822" s="116"/>
      <c r="L822" s="170">
        <v>43934</v>
      </c>
      <c r="M822" s="116">
        <v>81.069999999999993</v>
      </c>
      <c r="N822" s="116">
        <v>86.8</v>
      </c>
      <c r="O822" s="116">
        <v>80.03</v>
      </c>
      <c r="P822" s="116">
        <v>85.6</v>
      </c>
      <c r="Q822" s="116">
        <v>405.35</v>
      </c>
      <c r="R822">
        <v>594515</v>
      </c>
    </row>
    <row r="823" spans="1:18" x14ac:dyDescent="0.25">
      <c r="A823" s="170">
        <v>43936</v>
      </c>
      <c r="B823" s="116">
        <v>83.8</v>
      </c>
      <c r="C823" s="116">
        <v>80.22</v>
      </c>
      <c r="D823" s="116">
        <v>79.8</v>
      </c>
      <c r="E823" s="116">
        <v>83</v>
      </c>
      <c r="F823" s="116">
        <v>401.1</v>
      </c>
      <c r="G823">
        <v>9827</v>
      </c>
      <c r="H823" s="116"/>
      <c r="I823" s="116"/>
      <c r="L823" s="170">
        <v>43936</v>
      </c>
      <c r="M823" s="116">
        <v>80.239999999999995</v>
      </c>
      <c r="N823" s="116">
        <v>83.8</v>
      </c>
      <c r="O823" s="116">
        <v>79.81</v>
      </c>
      <c r="P823" s="116">
        <v>83.2</v>
      </c>
      <c r="Q823" s="116">
        <v>401.2</v>
      </c>
      <c r="R823">
        <v>312671</v>
      </c>
    </row>
    <row r="824" spans="1:18" x14ac:dyDescent="0.25">
      <c r="A824" s="170">
        <v>43937</v>
      </c>
      <c r="B824" s="116">
        <v>80.400000000000006</v>
      </c>
      <c r="C824" s="116">
        <v>79.849999999999994</v>
      </c>
      <c r="D824" s="116">
        <v>77.25</v>
      </c>
      <c r="E824" s="116">
        <v>79</v>
      </c>
      <c r="F824" s="116">
        <v>399.25</v>
      </c>
      <c r="G824">
        <v>7495</v>
      </c>
      <c r="H824" s="116"/>
      <c r="I824" s="116"/>
      <c r="L824" s="170">
        <v>43937</v>
      </c>
      <c r="M824" s="116">
        <v>79.87</v>
      </c>
      <c r="N824" s="116">
        <v>80.58</v>
      </c>
      <c r="O824" s="116">
        <v>78.11</v>
      </c>
      <c r="P824" s="116">
        <v>80.239999999999995</v>
      </c>
      <c r="Q824" s="116">
        <v>399.35</v>
      </c>
      <c r="R824">
        <v>323993</v>
      </c>
    </row>
    <row r="825" spans="1:18" x14ac:dyDescent="0.25">
      <c r="A825" s="170">
        <v>43938</v>
      </c>
      <c r="B825" s="116">
        <v>94.13</v>
      </c>
      <c r="C825" s="116">
        <v>80.63</v>
      </c>
      <c r="D825" s="116">
        <v>79.819999999999993</v>
      </c>
      <c r="E825" s="116">
        <v>81</v>
      </c>
      <c r="F825" s="116">
        <v>403.15</v>
      </c>
      <c r="G825">
        <v>56689</v>
      </c>
      <c r="H825" s="116"/>
      <c r="I825" s="116"/>
      <c r="L825" s="170">
        <v>43938</v>
      </c>
      <c r="M825" s="116">
        <v>80.87</v>
      </c>
      <c r="N825" s="116">
        <v>84</v>
      </c>
      <c r="O825" s="116">
        <v>80.400000000000006</v>
      </c>
      <c r="P825" s="116">
        <v>83.2</v>
      </c>
      <c r="Q825" s="116">
        <v>404.35</v>
      </c>
      <c r="R825">
        <v>339242</v>
      </c>
    </row>
    <row r="826" spans="1:18" x14ac:dyDescent="0.25">
      <c r="A826" s="170">
        <v>43941</v>
      </c>
      <c r="B826" s="116">
        <v>89.68</v>
      </c>
      <c r="C826" s="116">
        <v>81.739999999999995</v>
      </c>
      <c r="D826" s="116">
        <v>80.2</v>
      </c>
      <c r="E826" s="116">
        <v>80.2</v>
      </c>
      <c r="F826" s="116">
        <v>408.7</v>
      </c>
      <c r="G826">
        <v>39626</v>
      </c>
      <c r="H826" s="116"/>
      <c r="I826" s="116"/>
      <c r="L826" s="170">
        <v>43941</v>
      </c>
      <c r="M826" s="116">
        <v>81.67</v>
      </c>
      <c r="N826" s="116">
        <v>82.76</v>
      </c>
      <c r="O826" s="116">
        <v>81.23</v>
      </c>
      <c r="P826" s="116">
        <v>81.23</v>
      </c>
      <c r="Q826" s="116">
        <v>408.35</v>
      </c>
      <c r="R826">
        <v>239492</v>
      </c>
    </row>
    <row r="827" spans="1:18" x14ac:dyDescent="0.25">
      <c r="A827" s="170">
        <v>43942</v>
      </c>
      <c r="B827" s="116">
        <v>94.4</v>
      </c>
      <c r="C827" s="116">
        <v>90.98</v>
      </c>
      <c r="D827" s="116">
        <v>80.430000000000007</v>
      </c>
      <c r="E827" s="116">
        <v>80.599999999999994</v>
      </c>
      <c r="F827" s="116">
        <v>454.9</v>
      </c>
      <c r="G827">
        <v>93351</v>
      </c>
      <c r="H827" s="116"/>
      <c r="I827" s="116"/>
      <c r="L827" s="170">
        <v>43942</v>
      </c>
      <c r="M827" s="116">
        <v>91.16</v>
      </c>
      <c r="N827" s="116">
        <v>94.8</v>
      </c>
      <c r="O827" s="116">
        <v>80.2</v>
      </c>
      <c r="P827" s="116">
        <v>80.8</v>
      </c>
      <c r="Q827" s="116">
        <v>455.8</v>
      </c>
      <c r="R827">
        <v>1795126</v>
      </c>
    </row>
    <row r="828" spans="1:18" x14ac:dyDescent="0.25">
      <c r="A828" s="170">
        <v>43943</v>
      </c>
      <c r="B828" s="116">
        <v>98.8</v>
      </c>
      <c r="C828" s="116">
        <v>93.82</v>
      </c>
      <c r="D828" s="116">
        <v>92.2</v>
      </c>
      <c r="E828" s="116">
        <v>93.8</v>
      </c>
      <c r="F828" s="116">
        <v>469.1</v>
      </c>
      <c r="G828">
        <v>92094</v>
      </c>
      <c r="H828" s="116"/>
      <c r="I828" s="116"/>
      <c r="L828" s="170">
        <v>43943</v>
      </c>
      <c r="M828" s="116">
        <v>93.76</v>
      </c>
      <c r="N828" s="116">
        <v>98.8</v>
      </c>
      <c r="O828" s="116">
        <v>92.07</v>
      </c>
      <c r="P828" s="116">
        <v>93.68</v>
      </c>
      <c r="Q828" s="116">
        <v>468.8</v>
      </c>
      <c r="R828">
        <v>1415027</v>
      </c>
    </row>
    <row r="829" spans="1:18" x14ac:dyDescent="0.25">
      <c r="A829" s="170">
        <v>43944</v>
      </c>
      <c r="B829" s="116">
        <v>96</v>
      </c>
      <c r="C829" s="116">
        <v>93.78</v>
      </c>
      <c r="D829" s="116">
        <v>93.1</v>
      </c>
      <c r="E829" s="116">
        <v>95</v>
      </c>
      <c r="F829" s="116">
        <v>468.9</v>
      </c>
      <c r="G829">
        <v>13628</v>
      </c>
      <c r="H829" s="116"/>
      <c r="I829" s="116"/>
      <c r="L829" s="170">
        <v>43944</v>
      </c>
      <c r="M829" s="116">
        <v>93.63</v>
      </c>
      <c r="N829" s="116">
        <v>95.95</v>
      </c>
      <c r="O829" s="116">
        <v>93</v>
      </c>
      <c r="P829" s="116">
        <v>95.6</v>
      </c>
      <c r="Q829" s="116">
        <v>468.15</v>
      </c>
      <c r="R829">
        <v>361625</v>
      </c>
    </row>
    <row r="830" spans="1:18" x14ac:dyDescent="0.25">
      <c r="A830" s="170">
        <v>43945</v>
      </c>
      <c r="B830" s="116">
        <v>102.56</v>
      </c>
      <c r="C830" s="116">
        <v>98.88</v>
      </c>
      <c r="D830" s="116">
        <v>91.6</v>
      </c>
      <c r="E830" s="116">
        <v>92.14</v>
      </c>
      <c r="F830" s="116">
        <v>494.4</v>
      </c>
      <c r="G830">
        <v>90426</v>
      </c>
      <c r="H830" s="116"/>
      <c r="I830" s="116"/>
      <c r="L830" s="170">
        <v>43945</v>
      </c>
      <c r="M830" s="116">
        <v>98.96</v>
      </c>
      <c r="N830" s="116">
        <v>102.64</v>
      </c>
      <c r="O830" s="116">
        <v>91.6</v>
      </c>
      <c r="P830" s="116">
        <v>93.2</v>
      </c>
      <c r="Q830" s="116">
        <v>494.8</v>
      </c>
      <c r="R830">
        <v>1575439</v>
      </c>
    </row>
    <row r="831" spans="1:18" x14ac:dyDescent="0.25">
      <c r="A831" s="170">
        <v>43948</v>
      </c>
      <c r="B831" s="116">
        <v>104.82</v>
      </c>
      <c r="C831" s="116">
        <v>103.52</v>
      </c>
      <c r="D831" s="116">
        <v>101.77</v>
      </c>
      <c r="E831" s="116">
        <v>101.89</v>
      </c>
      <c r="F831" s="116">
        <v>517.6</v>
      </c>
      <c r="G831">
        <v>65510</v>
      </c>
      <c r="H831" s="116"/>
      <c r="I831" s="116"/>
      <c r="L831" s="170">
        <v>43948</v>
      </c>
      <c r="M831" s="116">
        <v>103.59</v>
      </c>
      <c r="N831" s="116">
        <v>105</v>
      </c>
      <c r="O831" s="116">
        <v>101.4</v>
      </c>
      <c r="P831" s="116">
        <v>101.96</v>
      </c>
      <c r="Q831" s="116">
        <v>517.95000000000005</v>
      </c>
      <c r="R831">
        <v>906087</v>
      </c>
    </row>
    <row r="832" spans="1:18" x14ac:dyDescent="0.25">
      <c r="A832" s="170">
        <v>43949</v>
      </c>
      <c r="B832" s="116">
        <v>107.1</v>
      </c>
      <c r="C832" s="116">
        <v>105.25</v>
      </c>
      <c r="D832" s="116">
        <v>102</v>
      </c>
      <c r="E832" s="116">
        <v>105.74</v>
      </c>
      <c r="F832" s="116">
        <v>526.25</v>
      </c>
      <c r="G832">
        <v>52391</v>
      </c>
      <c r="H832" s="116"/>
      <c r="I832" s="116"/>
      <c r="L832" s="170">
        <v>43949</v>
      </c>
      <c r="M832" s="116">
        <v>105.26</v>
      </c>
      <c r="N832" s="116">
        <v>107.2</v>
      </c>
      <c r="O832" s="116">
        <v>102.03</v>
      </c>
      <c r="P832" s="116">
        <v>105.98</v>
      </c>
      <c r="Q832" s="116">
        <v>526.29999999999995</v>
      </c>
      <c r="R832">
        <v>650341</v>
      </c>
    </row>
    <row r="833" spans="1:18" x14ac:dyDescent="0.25">
      <c r="A833" s="170">
        <v>43950</v>
      </c>
      <c r="B833" s="116">
        <v>106.94</v>
      </c>
      <c r="C833" s="116">
        <v>102.99</v>
      </c>
      <c r="D833" s="116">
        <v>102.6</v>
      </c>
      <c r="E833" s="116">
        <v>106</v>
      </c>
      <c r="F833" s="116">
        <v>514.95000000000005</v>
      </c>
      <c r="G833">
        <v>23159</v>
      </c>
      <c r="H833" s="116"/>
      <c r="I833" s="116"/>
      <c r="L833" s="170">
        <v>43950</v>
      </c>
      <c r="M833" s="116">
        <v>103.03</v>
      </c>
      <c r="N833" s="116">
        <v>106.8</v>
      </c>
      <c r="O833" s="116">
        <v>102.6</v>
      </c>
      <c r="P833" s="116">
        <v>105.58</v>
      </c>
      <c r="Q833" s="116">
        <v>515.15</v>
      </c>
      <c r="R833">
        <v>540925</v>
      </c>
    </row>
    <row r="834" spans="1:18" x14ac:dyDescent="0.25">
      <c r="A834" s="170">
        <v>43951</v>
      </c>
      <c r="B834" s="116">
        <v>104.4</v>
      </c>
      <c r="C834" s="116">
        <v>102.47</v>
      </c>
      <c r="D834" s="116">
        <v>100</v>
      </c>
      <c r="E834" s="116">
        <v>104.4</v>
      </c>
      <c r="F834" s="116">
        <v>512.35</v>
      </c>
      <c r="G834">
        <v>69673</v>
      </c>
      <c r="H834" s="116"/>
      <c r="I834" s="116"/>
      <c r="L834" s="170">
        <v>43951</v>
      </c>
      <c r="M834" s="116">
        <v>102.5</v>
      </c>
      <c r="N834" s="116">
        <v>104.43</v>
      </c>
      <c r="O834" s="116">
        <v>100.02</v>
      </c>
      <c r="P834" s="116">
        <v>104.2</v>
      </c>
      <c r="Q834" s="116">
        <v>512.5</v>
      </c>
      <c r="R834">
        <v>1691027</v>
      </c>
    </row>
    <row r="835" spans="1:18" x14ac:dyDescent="0.25">
      <c r="A835" s="170">
        <v>43955</v>
      </c>
      <c r="B835" s="116">
        <v>105</v>
      </c>
      <c r="C835" s="116">
        <v>97.79</v>
      </c>
      <c r="D835" s="116">
        <v>96.55</v>
      </c>
      <c r="E835" s="116">
        <v>103.97</v>
      </c>
      <c r="F835" s="116">
        <v>488.95</v>
      </c>
      <c r="G835">
        <v>110059</v>
      </c>
      <c r="H835" s="116"/>
      <c r="I835" s="116"/>
      <c r="L835" s="170">
        <v>43955</v>
      </c>
      <c r="M835" s="116">
        <v>97.94</v>
      </c>
      <c r="N835" s="116">
        <v>105</v>
      </c>
      <c r="O835" s="116">
        <v>96.48</v>
      </c>
      <c r="P835" s="116">
        <v>102.4</v>
      </c>
      <c r="Q835" s="116">
        <v>489.7</v>
      </c>
      <c r="R835">
        <v>2769429</v>
      </c>
    </row>
    <row r="836" spans="1:18" x14ac:dyDescent="0.25">
      <c r="A836" s="170">
        <v>43956</v>
      </c>
      <c r="B836" s="116">
        <v>102.23</v>
      </c>
      <c r="C836" s="116">
        <v>98.87</v>
      </c>
      <c r="D836" s="116">
        <v>97.5</v>
      </c>
      <c r="E836" s="116">
        <v>99.3</v>
      </c>
      <c r="F836" s="116">
        <v>494.35</v>
      </c>
      <c r="G836">
        <v>92267</v>
      </c>
      <c r="H836" s="116"/>
      <c r="I836" s="116"/>
      <c r="L836" s="170">
        <v>43956</v>
      </c>
      <c r="M836" s="116">
        <v>98.74</v>
      </c>
      <c r="N836" s="116">
        <v>102.34</v>
      </c>
      <c r="O836" s="116">
        <v>97.35</v>
      </c>
      <c r="P836" s="116">
        <v>100.16</v>
      </c>
      <c r="Q836" s="116">
        <v>493.7</v>
      </c>
      <c r="R836">
        <v>1083664</v>
      </c>
    </row>
    <row r="837" spans="1:18" x14ac:dyDescent="0.25">
      <c r="A837" s="170">
        <v>43957</v>
      </c>
      <c r="B837" s="116">
        <v>103</v>
      </c>
      <c r="C837" s="116">
        <v>101.18</v>
      </c>
      <c r="D837" s="116">
        <v>96.4</v>
      </c>
      <c r="E837" s="116">
        <v>100.6</v>
      </c>
      <c r="F837" s="116">
        <v>505.9</v>
      </c>
      <c r="G837">
        <v>57838</v>
      </c>
      <c r="H837" s="116"/>
      <c r="I837" s="116"/>
      <c r="L837" s="170">
        <v>43957</v>
      </c>
      <c r="M837" s="116">
        <v>101.28</v>
      </c>
      <c r="N837" s="116">
        <v>102.9</v>
      </c>
      <c r="O837" s="116">
        <v>96.21</v>
      </c>
      <c r="P837" s="116">
        <v>99.8</v>
      </c>
      <c r="Q837" s="116">
        <v>506.4</v>
      </c>
      <c r="R837">
        <v>1477058</v>
      </c>
    </row>
    <row r="838" spans="1:18" x14ac:dyDescent="0.25">
      <c r="A838" s="170">
        <v>43958</v>
      </c>
      <c r="B838" s="116">
        <v>103.86</v>
      </c>
      <c r="C838" s="116">
        <v>97.76</v>
      </c>
      <c r="D838" s="116">
        <v>97.01</v>
      </c>
      <c r="E838" s="116">
        <v>100.96</v>
      </c>
      <c r="F838" s="116">
        <v>488.8</v>
      </c>
      <c r="G838">
        <v>50197</v>
      </c>
      <c r="H838" s="116"/>
      <c r="I838" s="116"/>
      <c r="L838" s="170">
        <v>43958</v>
      </c>
      <c r="M838" s="116">
        <v>97.76</v>
      </c>
      <c r="N838" s="116">
        <v>103.6</v>
      </c>
      <c r="O838" s="116">
        <v>96.8</v>
      </c>
      <c r="P838" s="116">
        <v>100.8</v>
      </c>
      <c r="Q838" s="116">
        <v>488.8</v>
      </c>
      <c r="R838">
        <v>1117513</v>
      </c>
    </row>
    <row r="839" spans="1:18" x14ac:dyDescent="0.25">
      <c r="A839" s="170">
        <v>43959</v>
      </c>
      <c r="B839" s="116">
        <v>97.64</v>
      </c>
      <c r="C839" s="116">
        <v>88.1</v>
      </c>
      <c r="D839" s="116">
        <v>88</v>
      </c>
      <c r="E839" s="116">
        <v>93.4</v>
      </c>
      <c r="F839" s="116">
        <v>440.5</v>
      </c>
      <c r="G839">
        <v>21986973</v>
      </c>
      <c r="H839" s="116"/>
      <c r="I839" s="116"/>
      <c r="L839" s="170">
        <v>43959</v>
      </c>
      <c r="M839" s="116">
        <v>88.15</v>
      </c>
      <c r="N839" s="116">
        <v>97.71</v>
      </c>
      <c r="O839" s="116">
        <v>87</v>
      </c>
      <c r="P839" s="116">
        <v>93.6</v>
      </c>
      <c r="Q839" s="116">
        <v>440.75</v>
      </c>
      <c r="R839">
        <v>23138588</v>
      </c>
    </row>
    <row r="840" spans="1:18" x14ac:dyDescent="0.25">
      <c r="A840" s="170">
        <v>43962</v>
      </c>
      <c r="B840" s="116">
        <v>89.65</v>
      </c>
      <c r="C840" s="116">
        <v>85.72</v>
      </c>
      <c r="D840" s="116">
        <v>85.17</v>
      </c>
      <c r="E840" s="116">
        <v>88.6</v>
      </c>
      <c r="F840" s="116">
        <v>428.6</v>
      </c>
      <c r="G840">
        <v>174826</v>
      </c>
      <c r="H840" s="116"/>
      <c r="I840" s="116"/>
      <c r="L840" s="170">
        <v>43962</v>
      </c>
      <c r="M840" s="116">
        <v>85.86</v>
      </c>
      <c r="N840" s="116">
        <v>89.58</v>
      </c>
      <c r="O840" s="116">
        <v>85.2</v>
      </c>
      <c r="P840" s="116">
        <v>88.6</v>
      </c>
      <c r="Q840" s="116">
        <v>429.3</v>
      </c>
      <c r="R840">
        <v>2232126</v>
      </c>
    </row>
    <row r="841" spans="1:18" x14ac:dyDescent="0.25">
      <c r="A841" s="170">
        <v>43963</v>
      </c>
      <c r="B841" s="116">
        <v>89.48</v>
      </c>
      <c r="C841" s="116">
        <v>88.57</v>
      </c>
      <c r="D841" s="116">
        <v>84.8</v>
      </c>
      <c r="E841" s="116">
        <v>85.4</v>
      </c>
      <c r="F841" s="116">
        <v>442.85</v>
      </c>
      <c r="G841">
        <v>87763</v>
      </c>
      <c r="H841" s="116"/>
      <c r="I841" s="116"/>
      <c r="L841" s="170">
        <v>43963</v>
      </c>
      <c r="M841" s="116">
        <v>88.7</v>
      </c>
      <c r="N841" s="116">
        <v>89.48</v>
      </c>
      <c r="O841" s="116">
        <v>84.66</v>
      </c>
      <c r="P841" s="116">
        <v>85.2</v>
      </c>
      <c r="Q841" s="116">
        <v>443.5</v>
      </c>
      <c r="R841">
        <v>2488634</v>
      </c>
    </row>
    <row r="842" spans="1:18" x14ac:dyDescent="0.25">
      <c r="A842" s="170">
        <v>43964</v>
      </c>
      <c r="B842" s="116">
        <v>90.36</v>
      </c>
      <c r="C842" s="116">
        <v>87.83</v>
      </c>
      <c r="D842" s="116">
        <v>86.63</v>
      </c>
      <c r="E842" s="116">
        <v>90.01</v>
      </c>
      <c r="F842" s="116">
        <v>439.15</v>
      </c>
      <c r="G842">
        <v>50394</v>
      </c>
      <c r="H842" s="116"/>
      <c r="I842" s="116"/>
      <c r="L842" s="170">
        <v>43964</v>
      </c>
      <c r="M842" s="116">
        <v>87.79</v>
      </c>
      <c r="N842" s="116">
        <v>90.4</v>
      </c>
      <c r="O842" s="116">
        <v>86.41</v>
      </c>
      <c r="P842" s="116">
        <v>90</v>
      </c>
      <c r="Q842" s="116">
        <v>438.95</v>
      </c>
      <c r="R842">
        <v>850520</v>
      </c>
    </row>
    <row r="843" spans="1:18" x14ac:dyDescent="0.25">
      <c r="A843" s="170">
        <v>43965</v>
      </c>
      <c r="B843" s="116">
        <v>89</v>
      </c>
      <c r="C843" s="116">
        <v>87.71</v>
      </c>
      <c r="D843" s="116">
        <v>86.9</v>
      </c>
      <c r="E843" s="116">
        <v>86.96</v>
      </c>
      <c r="F843" s="116">
        <v>438.55</v>
      </c>
      <c r="G843">
        <v>26876</v>
      </c>
      <c r="H843" s="116"/>
      <c r="I843" s="116"/>
      <c r="L843" s="170">
        <v>43965</v>
      </c>
      <c r="M843" s="116">
        <v>87.81</v>
      </c>
      <c r="N843" s="116">
        <v>89</v>
      </c>
      <c r="O843" s="116">
        <v>86.96</v>
      </c>
      <c r="P843" s="116">
        <v>87.38</v>
      </c>
      <c r="Q843" s="116">
        <v>439.05</v>
      </c>
      <c r="R843">
        <v>907328</v>
      </c>
    </row>
    <row r="844" spans="1:18" x14ac:dyDescent="0.25">
      <c r="A844" s="170">
        <v>43966</v>
      </c>
      <c r="B844" s="116">
        <v>88.6</v>
      </c>
      <c r="C844" s="116">
        <v>87.45</v>
      </c>
      <c r="D844" s="116">
        <v>87.12</v>
      </c>
      <c r="E844" s="116">
        <v>87.75</v>
      </c>
      <c r="F844" s="116">
        <v>437.25</v>
      </c>
      <c r="G844">
        <v>18136</v>
      </c>
      <c r="H844" s="116"/>
      <c r="I844" s="116"/>
      <c r="L844" s="170">
        <v>43966</v>
      </c>
      <c r="M844" s="116">
        <v>87.55</v>
      </c>
      <c r="N844" s="116">
        <v>88.6</v>
      </c>
      <c r="O844" s="116">
        <v>87.11</v>
      </c>
      <c r="P844" s="116">
        <v>88</v>
      </c>
      <c r="Q844" s="116">
        <v>437.75</v>
      </c>
      <c r="R844">
        <v>669872</v>
      </c>
    </row>
    <row r="845" spans="1:18" x14ac:dyDescent="0.25">
      <c r="A845" s="170">
        <v>43969</v>
      </c>
      <c r="B845" s="116">
        <v>87.75</v>
      </c>
      <c r="C845" s="116">
        <v>85.15</v>
      </c>
      <c r="D845" s="116">
        <v>84.4</v>
      </c>
      <c r="E845" s="116">
        <v>87.4</v>
      </c>
      <c r="F845" s="116">
        <v>425.75</v>
      </c>
      <c r="G845">
        <v>25643</v>
      </c>
      <c r="H845" s="116"/>
      <c r="I845" s="116"/>
      <c r="L845" s="170">
        <v>43969</v>
      </c>
      <c r="M845" s="116">
        <v>85.14</v>
      </c>
      <c r="N845" s="116">
        <v>87.8</v>
      </c>
      <c r="O845" s="116">
        <v>84.33</v>
      </c>
      <c r="P845" s="116">
        <v>87.55</v>
      </c>
      <c r="Q845" s="116">
        <v>425.7</v>
      </c>
      <c r="R845">
        <v>744698</v>
      </c>
    </row>
    <row r="846" spans="1:18" x14ac:dyDescent="0.25">
      <c r="A846" s="170">
        <v>43970</v>
      </c>
      <c r="B846" s="116">
        <v>91.4</v>
      </c>
      <c r="C846" s="116">
        <v>88.45</v>
      </c>
      <c r="D846" s="116">
        <v>86.1</v>
      </c>
      <c r="E846" s="116">
        <v>86.1</v>
      </c>
      <c r="F846" s="116">
        <v>442.25</v>
      </c>
      <c r="G846">
        <v>78672</v>
      </c>
      <c r="H846" s="116"/>
      <c r="I846" s="116"/>
      <c r="L846" s="170">
        <v>43970</v>
      </c>
      <c r="M846" s="116">
        <v>88.31</v>
      </c>
      <c r="N846" s="116">
        <v>91.44</v>
      </c>
      <c r="O846" s="116">
        <v>86.01</v>
      </c>
      <c r="P846" s="116">
        <v>86.4</v>
      </c>
      <c r="Q846" s="116">
        <v>441.55</v>
      </c>
      <c r="R846">
        <v>2088016</v>
      </c>
    </row>
    <row r="847" spans="1:18" x14ac:dyDescent="0.25">
      <c r="A847" s="170">
        <v>43971</v>
      </c>
      <c r="B847" s="116">
        <v>92.34</v>
      </c>
      <c r="C847" s="116">
        <v>91.74</v>
      </c>
      <c r="D847" s="116">
        <v>88.4</v>
      </c>
      <c r="E847" s="116">
        <v>89.36</v>
      </c>
      <c r="F847" s="116">
        <v>458.7</v>
      </c>
      <c r="G847">
        <v>58367</v>
      </c>
      <c r="H847" s="116"/>
      <c r="I847" s="116"/>
      <c r="L847" s="170">
        <v>43971</v>
      </c>
      <c r="M847" s="116">
        <v>91.78</v>
      </c>
      <c r="N847" s="116">
        <v>92.4</v>
      </c>
      <c r="O847" s="116">
        <v>88.77</v>
      </c>
      <c r="P847" s="116">
        <v>88.77</v>
      </c>
      <c r="Q847" s="116">
        <v>458.9</v>
      </c>
      <c r="R847">
        <v>1454475</v>
      </c>
    </row>
    <row r="848" spans="1:18" x14ac:dyDescent="0.25">
      <c r="A848" s="170">
        <v>43972</v>
      </c>
      <c r="B848" s="116">
        <v>93.97</v>
      </c>
      <c r="C848" s="116">
        <v>91.42</v>
      </c>
      <c r="D848" s="116">
        <v>90.2</v>
      </c>
      <c r="E848" s="116">
        <v>92.04</v>
      </c>
      <c r="F848" s="116">
        <v>457.1</v>
      </c>
      <c r="G848">
        <v>32586</v>
      </c>
      <c r="H848" s="116"/>
      <c r="I848" s="116"/>
      <c r="L848" s="170">
        <v>43972</v>
      </c>
      <c r="M848" s="116">
        <v>91.4</v>
      </c>
      <c r="N848" s="116">
        <v>93.97</v>
      </c>
      <c r="O848" s="116">
        <v>90.11</v>
      </c>
      <c r="P848" s="116">
        <v>92.5</v>
      </c>
      <c r="Q848" s="116">
        <v>457</v>
      </c>
      <c r="R848">
        <v>828372</v>
      </c>
    </row>
    <row r="849" spans="1:18" x14ac:dyDescent="0.25">
      <c r="A849" s="170">
        <v>43973</v>
      </c>
      <c r="B849" s="116">
        <v>92.6</v>
      </c>
      <c r="C849" s="116">
        <v>91.49</v>
      </c>
      <c r="D849" s="116">
        <v>90.21</v>
      </c>
      <c r="E849" s="116">
        <v>91.3</v>
      </c>
      <c r="F849" s="116">
        <v>457.45</v>
      </c>
      <c r="G849">
        <v>28397</v>
      </c>
      <c r="H849" s="116"/>
      <c r="I849" s="116"/>
      <c r="L849" s="170">
        <v>43973</v>
      </c>
      <c r="M849" s="116">
        <v>91.51</v>
      </c>
      <c r="N849" s="116">
        <v>92.68</v>
      </c>
      <c r="O849" s="116">
        <v>90.2</v>
      </c>
      <c r="P849" s="116">
        <v>91.3</v>
      </c>
      <c r="Q849" s="116">
        <v>457.55</v>
      </c>
      <c r="R849">
        <v>496089</v>
      </c>
    </row>
    <row r="850" spans="1:18" x14ac:dyDescent="0.25">
      <c r="A850" s="170">
        <v>43977</v>
      </c>
      <c r="B850" s="116">
        <v>92.55</v>
      </c>
      <c r="C850" s="116">
        <v>91.17</v>
      </c>
      <c r="D850" s="116">
        <v>90.21</v>
      </c>
      <c r="E850" s="116">
        <v>91.4</v>
      </c>
      <c r="F850" s="116">
        <v>455.85</v>
      </c>
      <c r="G850">
        <v>23916</v>
      </c>
      <c r="H850" s="116"/>
      <c r="I850" s="116"/>
      <c r="L850" s="170">
        <v>43977</v>
      </c>
      <c r="M850" s="116">
        <v>91.31</v>
      </c>
      <c r="N850" s="116">
        <v>92.6</v>
      </c>
      <c r="O850" s="116">
        <v>90.31</v>
      </c>
      <c r="P850" s="116">
        <v>91.8</v>
      </c>
      <c r="Q850" s="116">
        <v>456.55</v>
      </c>
      <c r="R850">
        <v>537850</v>
      </c>
    </row>
    <row r="851" spans="1:18" x14ac:dyDescent="0.25">
      <c r="A851" s="170">
        <v>43978</v>
      </c>
      <c r="B851" s="116">
        <v>92</v>
      </c>
      <c r="C851" s="116">
        <v>90.08</v>
      </c>
      <c r="D851" s="116">
        <v>89.36</v>
      </c>
      <c r="E851" s="116">
        <v>91.02</v>
      </c>
      <c r="F851" s="116">
        <v>450.4</v>
      </c>
      <c r="G851">
        <v>22743</v>
      </c>
      <c r="H851" s="116"/>
      <c r="I851" s="116"/>
      <c r="L851" s="170">
        <v>43978</v>
      </c>
      <c r="M851" s="116">
        <v>89.93</v>
      </c>
      <c r="N851" s="116">
        <v>91.88</v>
      </c>
      <c r="O851" s="116">
        <v>89.35</v>
      </c>
      <c r="P851" s="116">
        <v>91.4</v>
      </c>
      <c r="Q851" s="116">
        <v>449.65</v>
      </c>
      <c r="R851">
        <v>438349</v>
      </c>
    </row>
    <row r="852" spans="1:18" x14ac:dyDescent="0.25">
      <c r="A852" s="170">
        <v>43979</v>
      </c>
      <c r="B852" s="116">
        <v>92.28</v>
      </c>
      <c r="C852" s="116">
        <v>91.71</v>
      </c>
      <c r="D852" s="116">
        <v>90</v>
      </c>
      <c r="E852" s="116">
        <v>90.79</v>
      </c>
      <c r="F852" s="116">
        <v>458.55</v>
      </c>
      <c r="G852">
        <v>24369</v>
      </c>
      <c r="H852" s="116"/>
      <c r="I852" s="116"/>
      <c r="L852" s="170">
        <v>43979</v>
      </c>
      <c r="M852" s="116">
        <v>91.86</v>
      </c>
      <c r="N852" s="116">
        <v>92.32</v>
      </c>
      <c r="O852" s="116">
        <v>90.01</v>
      </c>
      <c r="P852" s="116">
        <v>90.9</v>
      </c>
      <c r="Q852" s="116">
        <v>459.3</v>
      </c>
      <c r="R852">
        <v>420057</v>
      </c>
    </row>
    <row r="853" spans="1:18" x14ac:dyDescent="0.25">
      <c r="A853" s="170">
        <v>43980</v>
      </c>
      <c r="B853" s="116">
        <v>94.71</v>
      </c>
      <c r="C853" s="116">
        <v>93.25</v>
      </c>
      <c r="D853" s="116">
        <v>91</v>
      </c>
      <c r="E853" s="116">
        <v>91.6</v>
      </c>
      <c r="F853" s="116">
        <v>466.25</v>
      </c>
      <c r="G853">
        <v>39762</v>
      </c>
      <c r="H853" s="116"/>
      <c r="I853" s="116"/>
      <c r="L853" s="170">
        <v>43980</v>
      </c>
      <c r="M853" s="116">
        <v>93.69</v>
      </c>
      <c r="N853" s="116">
        <v>94.8</v>
      </c>
      <c r="O853" s="116">
        <v>90.66</v>
      </c>
      <c r="P853" s="116">
        <v>91</v>
      </c>
      <c r="Q853" s="116">
        <v>468.45</v>
      </c>
      <c r="R853">
        <v>945514</v>
      </c>
    </row>
    <row r="854" spans="1:18" x14ac:dyDescent="0.25">
      <c r="A854" s="170">
        <v>43983</v>
      </c>
      <c r="B854" s="116">
        <v>94.78</v>
      </c>
      <c r="C854" s="116">
        <v>92.98</v>
      </c>
      <c r="D854" s="116">
        <v>92.29</v>
      </c>
      <c r="E854" s="116">
        <v>94.2</v>
      </c>
      <c r="F854" s="116">
        <v>464.9</v>
      </c>
      <c r="G854">
        <v>72047</v>
      </c>
      <c r="H854" s="116"/>
      <c r="I854" s="116"/>
      <c r="L854" s="170">
        <v>43983</v>
      </c>
      <c r="M854" s="116">
        <v>92.96</v>
      </c>
      <c r="N854" s="116">
        <v>94.8</v>
      </c>
      <c r="O854" s="116">
        <v>92.22</v>
      </c>
      <c r="P854" s="116">
        <v>94.19</v>
      </c>
      <c r="Q854" s="116">
        <v>464.8</v>
      </c>
      <c r="R854">
        <v>615530</v>
      </c>
    </row>
    <row r="855" spans="1:18" x14ac:dyDescent="0.25">
      <c r="A855" s="170">
        <v>43984</v>
      </c>
      <c r="B855" s="116">
        <v>95.35</v>
      </c>
      <c r="C855" s="116">
        <v>93.56</v>
      </c>
      <c r="D855" s="116">
        <v>92.91</v>
      </c>
      <c r="E855" s="116">
        <v>92.93</v>
      </c>
      <c r="F855" s="116">
        <v>467.8</v>
      </c>
      <c r="G855">
        <v>38908</v>
      </c>
      <c r="H855" s="116"/>
      <c r="I855" s="116"/>
      <c r="L855" s="170">
        <v>43984</v>
      </c>
      <c r="M855" s="116">
        <v>93.39</v>
      </c>
      <c r="N855" s="116">
        <v>95.5</v>
      </c>
      <c r="O855" s="116">
        <v>92.4</v>
      </c>
      <c r="P855" s="116">
        <v>93</v>
      </c>
      <c r="Q855" s="116">
        <v>466.95</v>
      </c>
      <c r="R855">
        <v>628923</v>
      </c>
    </row>
    <row r="856" spans="1:18" x14ac:dyDescent="0.25">
      <c r="A856" s="170">
        <v>43985</v>
      </c>
      <c r="B856" s="116">
        <v>96.51</v>
      </c>
      <c r="C856" s="116">
        <v>94.2</v>
      </c>
      <c r="D856" s="116">
        <v>93</v>
      </c>
      <c r="E856" s="116">
        <v>93.8</v>
      </c>
      <c r="F856" s="116">
        <v>471</v>
      </c>
      <c r="G856">
        <v>31561</v>
      </c>
      <c r="H856" s="116"/>
      <c r="I856" s="116"/>
      <c r="L856" s="170">
        <v>43985</v>
      </c>
      <c r="M856" s="116">
        <v>94.14</v>
      </c>
      <c r="N856" s="116">
        <v>96.58</v>
      </c>
      <c r="O856" s="116">
        <v>92.98</v>
      </c>
      <c r="P856" s="116">
        <v>93.6</v>
      </c>
      <c r="Q856" s="116">
        <v>470.7</v>
      </c>
      <c r="R856">
        <v>1141080</v>
      </c>
    </row>
    <row r="857" spans="1:18" x14ac:dyDescent="0.25">
      <c r="A857" s="170">
        <v>43986</v>
      </c>
      <c r="B857" s="116">
        <v>95.59</v>
      </c>
      <c r="C857" s="116">
        <v>94.01</v>
      </c>
      <c r="D857" s="116">
        <v>93.2</v>
      </c>
      <c r="E857" s="116">
        <v>94.2</v>
      </c>
      <c r="F857" s="116">
        <v>470.05</v>
      </c>
      <c r="G857">
        <v>14185</v>
      </c>
      <c r="H857" s="116"/>
      <c r="I857" s="116"/>
      <c r="L857" s="170">
        <v>43986</v>
      </c>
      <c r="M857" s="116">
        <v>93.99</v>
      </c>
      <c r="N857" s="116">
        <v>95.6</v>
      </c>
      <c r="O857" s="116">
        <v>93.06</v>
      </c>
      <c r="P857" s="116">
        <v>94.7</v>
      </c>
      <c r="Q857" s="116">
        <v>469.95</v>
      </c>
      <c r="R857">
        <v>343809</v>
      </c>
    </row>
    <row r="858" spans="1:18" x14ac:dyDescent="0.25">
      <c r="A858" s="170">
        <v>43987</v>
      </c>
      <c r="B858" s="116">
        <v>95.59</v>
      </c>
      <c r="C858" s="116">
        <v>94.2</v>
      </c>
      <c r="D858" s="116">
        <v>93.6</v>
      </c>
      <c r="E858" s="116">
        <v>94.01</v>
      </c>
      <c r="F858" s="116">
        <v>471</v>
      </c>
      <c r="G858">
        <v>9924</v>
      </c>
      <c r="H858" s="116"/>
      <c r="I858" s="116"/>
      <c r="L858" s="170">
        <v>43987</v>
      </c>
      <c r="M858" s="116">
        <v>94.21</v>
      </c>
      <c r="N858" s="116">
        <v>95.58</v>
      </c>
      <c r="O858" s="116">
        <v>93.64</v>
      </c>
      <c r="P858" s="116">
        <v>94.24</v>
      </c>
      <c r="Q858" s="116">
        <v>471.05</v>
      </c>
      <c r="R858">
        <v>299040</v>
      </c>
    </row>
    <row r="859" spans="1:18" x14ac:dyDescent="0.25">
      <c r="A859" s="170">
        <v>43990</v>
      </c>
      <c r="B859" s="116">
        <v>96</v>
      </c>
      <c r="C859" s="116">
        <v>93.61</v>
      </c>
      <c r="D859" s="116">
        <v>92.89</v>
      </c>
      <c r="E859" s="116">
        <v>96</v>
      </c>
      <c r="F859" s="116">
        <v>468.05</v>
      </c>
      <c r="G859">
        <v>21738</v>
      </c>
      <c r="H859" s="116"/>
      <c r="I859" s="116"/>
      <c r="L859" s="170">
        <v>43990</v>
      </c>
      <c r="M859" s="116">
        <v>93.61</v>
      </c>
      <c r="N859" s="116">
        <v>95.4</v>
      </c>
      <c r="O859" s="116">
        <v>92.81</v>
      </c>
      <c r="P859" s="116">
        <v>95.14</v>
      </c>
      <c r="Q859" s="116">
        <v>468.05</v>
      </c>
      <c r="R859">
        <v>271106</v>
      </c>
    </row>
    <row r="860" spans="1:18" x14ac:dyDescent="0.25">
      <c r="A860" s="170">
        <v>43991</v>
      </c>
      <c r="B860" s="116">
        <v>95.94</v>
      </c>
      <c r="C860" s="116">
        <v>94.93</v>
      </c>
      <c r="D860" s="116">
        <v>93.1</v>
      </c>
      <c r="E860" s="116">
        <v>93.66</v>
      </c>
      <c r="F860" s="116">
        <v>474.65</v>
      </c>
      <c r="G860">
        <v>36753</v>
      </c>
      <c r="H860" s="116"/>
      <c r="I860" s="116"/>
      <c r="L860" s="170">
        <v>43991</v>
      </c>
      <c r="M860" s="116">
        <v>94.99</v>
      </c>
      <c r="N860" s="116">
        <v>96</v>
      </c>
      <c r="O860" s="116">
        <v>93.1</v>
      </c>
      <c r="P860" s="116">
        <v>94</v>
      </c>
      <c r="Q860" s="116">
        <v>474.95</v>
      </c>
      <c r="R860">
        <v>859260</v>
      </c>
    </row>
    <row r="861" spans="1:18" x14ac:dyDescent="0.25">
      <c r="A861" s="170">
        <v>43992</v>
      </c>
      <c r="B861" s="116">
        <v>97.88</v>
      </c>
      <c r="C861" s="116">
        <v>96.34</v>
      </c>
      <c r="D861" s="116">
        <v>94.54</v>
      </c>
      <c r="E861" s="116">
        <v>95.11</v>
      </c>
      <c r="F861" s="116">
        <v>481.7</v>
      </c>
      <c r="G861">
        <v>36159</v>
      </c>
      <c r="H861" s="116"/>
      <c r="I861" s="116"/>
      <c r="L861" s="170">
        <v>43992</v>
      </c>
      <c r="M861" s="116">
        <v>96.44</v>
      </c>
      <c r="N861" s="116">
        <v>97.94</v>
      </c>
      <c r="O861" s="116">
        <v>94.6</v>
      </c>
      <c r="P861" s="116">
        <v>95.01</v>
      </c>
      <c r="Q861" s="116">
        <v>482.2</v>
      </c>
      <c r="R861">
        <v>782397</v>
      </c>
    </row>
    <row r="862" spans="1:18" x14ac:dyDescent="0.25">
      <c r="A862" s="170">
        <v>43993</v>
      </c>
      <c r="B862" s="116">
        <v>99.2</v>
      </c>
      <c r="C862" s="116">
        <v>97.9</v>
      </c>
      <c r="D862" s="116">
        <v>96.22</v>
      </c>
      <c r="E862" s="116">
        <v>96.54</v>
      </c>
      <c r="F862" s="116">
        <v>489.5</v>
      </c>
      <c r="G862">
        <v>28689</v>
      </c>
      <c r="H862" s="116"/>
      <c r="I862" s="116"/>
      <c r="L862" s="170">
        <v>43993</v>
      </c>
      <c r="M862" s="116">
        <v>97.66</v>
      </c>
      <c r="N862" s="116">
        <v>99.27</v>
      </c>
      <c r="O862" s="116">
        <v>95.74</v>
      </c>
      <c r="P862" s="116">
        <v>96.93</v>
      </c>
      <c r="Q862" s="116">
        <v>488.3</v>
      </c>
      <c r="R862">
        <v>1010344</v>
      </c>
    </row>
    <row r="863" spans="1:18" x14ac:dyDescent="0.25">
      <c r="A863" s="170">
        <v>43994</v>
      </c>
      <c r="B863" s="116">
        <v>98.88</v>
      </c>
      <c r="C863" s="116">
        <v>98.39</v>
      </c>
      <c r="D863" s="116">
        <v>93.91</v>
      </c>
      <c r="E863" s="116">
        <v>95.59</v>
      </c>
      <c r="F863" s="116">
        <v>491.95</v>
      </c>
      <c r="G863">
        <v>18795</v>
      </c>
      <c r="H863" s="116"/>
      <c r="I863" s="116"/>
      <c r="L863" s="170">
        <v>43994</v>
      </c>
      <c r="M863" s="116">
        <v>98.51</v>
      </c>
      <c r="N863" s="116">
        <v>98.9</v>
      </c>
      <c r="O863" s="116">
        <v>93.01</v>
      </c>
      <c r="P863" s="116">
        <v>93.01</v>
      </c>
      <c r="Q863" s="116">
        <v>492.55</v>
      </c>
      <c r="R863">
        <v>601399</v>
      </c>
    </row>
    <row r="864" spans="1:18" x14ac:dyDescent="0.25">
      <c r="A864" s="170">
        <v>43997</v>
      </c>
      <c r="B864" s="116">
        <v>102.92</v>
      </c>
      <c r="C864" s="116">
        <v>101.54</v>
      </c>
      <c r="D864" s="116">
        <v>97.6</v>
      </c>
      <c r="E864" s="116">
        <v>97.6</v>
      </c>
      <c r="F864" s="116">
        <v>507.7</v>
      </c>
      <c r="G864">
        <v>35046</v>
      </c>
      <c r="H864" s="116"/>
      <c r="I864" s="116"/>
      <c r="L864" s="170">
        <v>43997</v>
      </c>
      <c r="M864" s="116">
        <v>101.67</v>
      </c>
      <c r="N864" s="116">
        <v>102.95</v>
      </c>
      <c r="O864" s="116">
        <v>98.2</v>
      </c>
      <c r="P864" s="116">
        <v>98.96</v>
      </c>
      <c r="Q864" s="116">
        <v>508.35</v>
      </c>
      <c r="R864">
        <v>1272016</v>
      </c>
    </row>
    <row r="865" spans="1:18" x14ac:dyDescent="0.25">
      <c r="A865" s="170">
        <v>43998</v>
      </c>
      <c r="B865" s="116">
        <v>102.6</v>
      </c>
      <c r="C865" s="116">
        <v>100.37</v>
      </c>
      <c r="D865" s="116">
        <v>97.01</v>
      </c>
      <c r="E865" s="116">
        <v>102.4</v>
      </c>
      <c r="F865" s="116">
        <v>501.85</v>
      </c>
      <c r="G865">
        <v>25642</v>
      </c>
      <c r="H865" s="116"/>
      <c r="I865" s="116"/>
      <c r="L865" s="170">
        <v>43998</v>
      </c>
      <c r="M865" s="116">
        <v>100.39</v>
      </c>
      <c r="N865" s="116">
        <v>102.79</v>
      </c>
      <c r="O865" s="116">
        <v>97</v>
      </c>
      <c r="P865" s="116">
        <v>102.5</v>
      </c>
      <c r="Q865" s="116">
        <v>501.95</v>
      </c>
      <c r="R865">
        <v>700320</v>
      </c>
    </row>
    <row r="866" spans="1:18" x14ac:dyDescent="0.25">
      <c r="A866" s="170">
        <v>43999</v>
      </c>
      <c r="B866" s="116">
        <v>101.99</v>
      </c>
      <c r="C866" s="116">
        <v>100.94</v>
      </c>
      <c r="D866" s="116">
        <v>99.57</v>
      </c>
      <c r="E866" s="116">
        <v>101.6</v>
      </c>
      <c r="F866" s="116">
        <v>504.7</v>
      </c>
      <c r="G866">
        <v>7669</v>
      </c>
      <c r="H866" s="116"/>
      <c r="I866" s="116"/>
      <c r="L866" s="170">
        <v>43999</v>
      </c>
      <c r="M866" s="116">
        <v>100.92</v>
      </c>
      <c r="N866" s="116">
        <v>102</v>
      </c>
      <c r="O866" s="116">
        <v>99.44</v>
      </c>
      <c r="P866" s="116">
        <v>101</v>
      </c>
      <c r="Q866" s="116">
        <v>504.6</v>
      </c>
      <c r="R866">
        <v>396152</v>
      </c>
    </row>
    <row r="867" spans="1:18" x14ac:dyDescent="0.25">
      <c r="A867" s="170">
        <v>44000</v>
      </c>
      <c r="B867" s="116">
        <v>103</v>
      </c>
      <c r="C867" s="116">
        <v>101.58</v>
      </c>
      <c r="D867" s="116">
        <v>100.41</v>
      </c>
      <c r="E867" s="116">
        <v>100.94</v>
      </c>
      <c r="F867" s="116">
        <v>507.9</v>
      </c>
      <c r="G867">
        <v>35841</v>
      </c>
      <c r="H867" s="116"/>
      <c r="I867" s="116"/>
      <c r="L867" s="170">
        <v>44000</v>
      </c>
      <c r="M867" s="116">
        <v>101.69</v>
      </c>
      <c r="N867" s="116">
        <v>102.88</v>
      </c>
      <c r="O867" s="116">
        <v>100.5</v>
      </c>
      <c r="P867" s="116">
        <v>101.12</v>
      </c>
      <c r="Q867" s="116">
        <v>508.45</v>
      </c>
      <c r="R867">
        <v>320501</v>
      </c>
    </row>
    <row r="868" spans="1:18" x14ac:dyDescent="0.25">
      <c r="A868" s="170">
        <v>44001</v>
      </c>
      <c r="B868" s="116">
        <v>108.4</v>
      </c>
      <c r="C868" s="116">
        <v>107.37</v>
      </c>
      <c r="D868" s="116">
        <v>101.43</v>
      </c>
      <c r="E868" s="116">
        <v>102.59</v>
      </c>
      <c r="F868" s="116">
        <v>536.85</v>
      </c>
      <c r="G868">
        <v>52540</v>
      </c>
      <c r="H868" s="116"/>
      <c r="I868" s="116"/>
      <c r="L868" s="170">
        <v>44001</v>
      </c>
      <c r="M868" s="116">
        <v>106.9</v>
      </c>
      <c r="N868" s="116">
        <v>108.38</v>
      </c>
      <c r="O868" s="116">
        <v>101.21</v>
      </c>
      <c r="P868" s="116">
        <v>102.2</v>
      </c>
      <c r="Q868" s="116">
        <v>534.5</v>
      </c>
      <c r="R868">
        <v>1052866</v>
      </c>
    </row>
    <row r="869" spans="1:18" x14ac:dyDescent="0.25">
      <c r="A869" s="170">
        <v>44004</v>
      </c>
      <c r="B869" s="116">
        <v>116.2</v>
      </c>
      <c r="C869" s="116">
        <v>115.29</v>
      </c>
      <c r="D869" s="116">
        <v>108.5</v>
      </c>
      <c r="E869" s="116">
        <v>109</v>
      </c>
      <c r="F869" s="116">
        <v>576.45000000000005</v>
      </c>
      <c r="G869">
        <v>166621</v>
      </c>
      <c r="H869" s="116"/>
      <c r="I869" s="116"/>
      <c r="L869" s="170">
        <v>44004</v>
      </c>
      <c r="M869" s="116">
        <v>115.04</v>
      </c>
      <c r="N869" s="116">
        <v>116.16</v>
      </c>
      <c r="O869" s="116">
        <v>108.41</v>
      </c>
      <c r="P869" s="116">
        <v>108.8</v>
      </c>
      <c r="Q869" s="116">
        <v>575.20000000000005</v>
      </c>
      <c r="R869">
        <v>2505334</v>
      </c>
    </row>
    <row r="870" spans="1:18" x14ac:dyDescent="0.25">
      <c r="A870" s="170">
        <v>44005</v>
      </c>
      <c r="B870" s="116">
        <v>117.46</v>
      </c>
      <c r="C870" s="116">
        <v>111.77</v>
      </c>
      <c r="D870" s="116">
        <v>109.3</v>
      </c>
      <c r="E870" s="116">
        <v>117.16</v>
      </c>
      <c r="F870" s="116">
        <v>558.85</v>
      </c>
      <c r="G870">
        <v>92567</v>
      </c>
      <c r="H870" s="116"/>
      <c r="I870" s="116"/>
      <c r="L870" s="170">
        <v>44005</v>
      </c>
      <c r="M870" s="116">
        <v>111.86</v>
      </c>
      <c r="N870" s="116">
        <v>117.56</v>
      </c>
      <c r="O870" s="116">
        <v>109.34</v>
      </c>
      <c r="P870" s="116">
        <v>117</v>
      </c>
      <c r="Q870" s="116">
        <v>559.29999999999995</v>
      </c>
      <c r="R870">
        <v>1000364</v>
      </c>
    </row>
    <row r="871" spans="1:18" x14ac:dyDescent="0.25">
      <c r="A871" s="170">
        <v>44006</v>
      </c>
      <c r="B871" s="116">
        <v>112.8</v>
      </c>
      <c r="C871" s="116">
        <v>107.26</v>
      </c>
      <c r="D871" s="116">
        <v>106.18</v>
      </c>
      <c r="E871" s="116">
        <v>111.98</v>
      </c>
      <c r="F871" s="116">
        <v>536.29999999999995</v>
      </c>
      <c r="G871">
        <v>33095</v>
      </c>
      <c r="H871" s="116"/>
      <c r="I871" s="116"/>
      <c r="L871" s="170">
        <v>44006</v>
      </c>
      <c r="M871" s="116">
        <v>107.25</v>
      </c>
      <c r="N871" s="116">
        <v>112.73</v>
      </c>
      <c r="O871" s="116">
        <v>106.02</v>
      </c>
      <c r="P871" s="116">
        <v>111.6</v>
      </c>
      <c r="Q871" s="116">
        <v>536.25</v>
      </c>
      <c r="R871">
        <v>671326</v>
      </c>
    </row>
    <row r="872" spans="1:18" x14ac:dyDescent="0.25">
      <c r="A872" s="170">
        <v>44007</v>
      </c>
      <c r="B872" s="116">
        <v>110.06</v>
      </c>
      <c r="C872" s="116">
        <v>107.84</v>
      </c>
      <c r="D872" s="116">
        <v>102.46</v>
      </c>
      <c r="E872" s="116">
        <v>102.46</v>
      </c>
      <c r="F872" s="116">
        <v>539.20000000000005</v>
      </c>
      <c r="G872">
        <v>22004</v>
      </c>
      <c r="H872" s="116"/>
      <c r="I872" s="116"/>
      <c r="L872" s="170">
        <v>44007</v>
      </c>
      <c r="M872" s="116">
        <v>107.9</v>
      </c>
      <c r="N872" s="116">
        <v>110.1</v>
      </c>
      <c r="O872" s="116">
        <v>106.2</v>
      </c>
      <c r="P872" s="116">
        <v>106.32</v>
      </c>
      <c r="Q872" s="116">
        <v>539.5</v>
      </c>
      <c r="R872">
        <v>379752</v>
      </c>
    </row>
    <row r="873" spans="1:18" x14ac:dyDescent="0.25">
      <c r="A873" s="170">
        <v>44008</v>
      </c>
      <c r="B873" s="116">
        <v>110.02</v>
      </c>
      <c r="C873" s="116">
        <v>108.43</v>
      </c>
      <c r="D873" s="116">
        <v>106.2</v>
      </c>
      <c r="E873" s="116">
        <v>108.8</v>
      </c>
      <c r="F873" s="116">
        <v>542.15</v>
      </c>
      <c r="G873">
        <v>14196</v>
      </c>
      <c r="H873" s="116"/>
      <c r="I873" s="116"/>
      <c r="L873" s="170">
        <v>44008</v>
      </c>
      <c r="M873" s="116">
        <v>108.33</v>
      </c>
      <c r="N873" s="116">
        <v>109.93</v>
      </c>
      <c r="O873" s="116">
        <v>106.2</v>
      </c>
      <c r="P873" s="116">
        <v>108.44</v>
      </c>
      <c r="Q873" s="116">
        <v>541.65</v>
      </c>
      <c r="R873">
        <v>473995</v>
      </c>
    </row>
    <row r="874" spans="1:18" x14ac:dyDescent="0.25">
      <c r="A874" s="170">
        <v>44011</v>
      </c>
      <c r="B874" s="116">
        <v>108</v>
      </c>
      <c r="C874" s="116">
        <v>103.58</v>
      </c>
      <c r="D874" s="116">
        <v>100.8</v>
      </c>
      <c r="E874" s="116">
        <v>108</v>
      </c>
      <c r="F874" s="116">
        <v>517.9</v>
      </c>
      <c r="G874">
        <v>16441668</v>
      </c>
      <c r="H874" s="116"/>
      <c r="I874" s="116"/>
      <c r="L874" s="170">
        <v>44011</v>
      </c>
      <c r="M874" s="116">
        <v>103.5</v>
      </c>
      <c r="N874" s="116">
        <v>107</v>
      </c>
      <c r="O874" s="116">
        <v>101.02</v>
      </c>
      <c r="P874" s="116">
        <v>106</v>
      </c>
      <c r="Q874" s="116">
        <v>517.5</v>
      </c>
      <c r="R874">
        <v>14689206</v>
      </c>
    </row>
    <row r="875" spans="1:18" x14ac:dyDescent="0.25">
      <c r="A875" s="170">
        <v>44012</v>
      </c>
      <c r="B875" s="116">
        <v>106</v>
      </c>
      <c r="C875" s="116">
        <v>103.95</v>
      </c>
      <c r="D875" s="116">
        <v>103</v>
      </c>
      <c r="E875" s="116">
        <v>105.18</v>
      </c>
      <c r="F875" s="116">
        <v>519.75</v>
      </c>
      <c r="G875">
        <v>107655</v>
      </c>
      <c r="H875" s="116"/>
      <c r="I875" s="116"/>
      <c r="L875" s="170">
        <v>44012</v>
      </c>
      <c r="M875" s="116">
        <v>103.89</v>
      </c>
      <c r="N875" s="116">
        <v>105.96</v>
      </c>
      <c r="O875" s="116">
        <v>102.85</v>
      </c>
      <c r="P875" s="116">
        <v>105</v>
      </c>
      <c r="Q875" s="116">
        <v>519.45000000000005</v>
      </c>
      <c r="R875">
        <v>2118045</v>
      </c>
    </row>
    <row r="876" spans="1:18" x14ac:dyDescent="0.25">
      <c r="A876" s="170">
        <v>44013</v>
      </c>
      <c r="B876" s="116">
        <v>106</v>
      </c>
      <c r="C876" s="116">
        <v>105.39</v>
      </c>
      <c r="D876" s="116">
        <v>103.28</v>
      </c>
      <c r="E876" s="116">
        <v>105.78</v>
      </c>
      <c r="F876" s="116">
        <v>526.95000000000005</v>
      </c>
      <c r="G876">
        <v>38541</v>
      </c>
      <c r="H876" s="116"/>
      <c r="I876" s="116"/>
      <c r="L876" s="170">
        <v>44013</v>
      </c>
      <c r="M876" s="116">
        <v>105.44</v>
      </c>
      <c r="N876" s="116">
        <v>106.08</v>
      </c>
      <c r="O876" s="116">
        <v>103.27</v>
      </c>
      <c r="P876" s="116">
        <v>104.88</v>
      </c>
      <c r="Q876" s="116">
        <v>527.20000000000005</v>
      </c>
      <c r="R876">
        <v>667749</v>
      </c>
    </row>
    <row r="877" spans="1:18" x14ac:dyDescent="0.25">
      <c r="A877" s="170">
        <v>44014</v>
      </c>
      <c r="B877" s="116">
        <v>107.56</v>
      </c>
      <c r="C877" s="116">
        <v>105.06</v>
      </c>
      <c r="D877" s="116">
        <v>104.72</v>
      </c>
      <c r="E877" s="116">
        <v>106</v>
      </c>
      <c r="F877" s="116">
        <v>525.29999999999995</v>
      </c>
      <c r="G877">
        <v>23421</v>
      </c>
      <c r="H877" s="116"/>
      <c r="I877" s="116"/>
      <c r="L877" s="170">
        <v>44014</v>
      </c>
      <c r="M877" s="116">
        <v>105.06</v>
      </c>
      <c r="N877" s="116">
        <v>107.6</v>
      </c>
      <c r="O877" s="116">
        <v>104.79</v>
      </c>
      <c r="P877" s="116">
        <v>106.4</v>
      </c>
      <c r="Q877" s="116">
        <v>525.29999999999995</v>
      </c>
      <c r="R877">
        <v>874868</v>
      </c>
    </row>
    <row r="878" spans="1:18" x14ac:dyDescent="0.25">
      <c r="A878" s="170">
        <v>44015</v>
      </c>
      <c r="B878" s="116">
        <v>106.78</v>
      </c>
      <c r="C878" s="116">
        <v>106.08</v>
      </c>
      <c r="D878" s="116">
        <v>104.4</v>
      </c>
      <c r="E878" s="116">
        <v>106.78</v>
      </c>
      <c r="F878" s="116">
        <v>530.4</v>
      </c>
      <c r="G878">
        <v>23276</v>
      </c>
      <c r="H878" s="116"/>
      <c r="I878" s="116"/>
      <c r="L878" s="170">
        <v>44015</v>
      </c>
      <c r="M878" s="116">
        <v>106.01</v>
      </c>
      <c r="N878" s="116">
        <v>106.6</v>
      </c>
      <c r="O878" s="116">
        <v>104.31</v>
      </c>
      <c r="P878" s="116">
        <v>105.5</v>
      </c>
      <c r="Q878" s="116">
        <v>530.04999999999995</v>
      </c>
      <c r="R878">
        <v>717593</v>
      </c>
    </row>
    <row r="879" spans="1:18" x14ac:dyDescent="0.25">
      <c r="A879" s="170">
        <v>44018</v>
      </c>
      <c r="B879" s="116">
        <v>109.92</v>
      </c>
      <c r="C879" s="116">
        <v>109.45</v>
      </c>
      <c r="D879" s="116">
        <v>106.14</v>
      </c>
      <c r="E879" s="116">
        <v>106.8</v>
      </c>
      <c r="F879" s="116">
        <v>547.25</v>
      </c>
      <c r="G879">
        <v>76598</v>
      </c>
      <c r="H879" s="116"/>
      <c r="I879" s="116"/>
      <c r="L879" s="170">
        <v>44018</v>
      </c>
      <c r="M879" s="116">
        <v>109.42</v>
      </c>
      <c r="N879" s="116">
        <v>110</v>
      </c>
      <c r="O879" s="116">
        <v>106.12</v>
      </c>
      <c r="P879" s="116">
        <v>107</v>
      </c>
      <c r="Q879" s="116">
        <v>547.1</v>
      </c>
      <c r="R879">
        <v>1175060</v>
      </c>
    </row>
    <row r="880" spans="1:18" x14ac:dyDescent="0.25">
      <c r="A880" s="170">
        <v>44019</v>
      </c>
      <c r="B880" s="116">
        <v>111.52</v>
      </c>
      <c r="C880" s="116">
        <v>109.74</v>
      </c>
      <c r="D880" s="116">
        <v>108.52</v>
      </c>
      <c r="E880" s="116">
        <v>110.35</v>
      </c>
      <c r="F880" s="116">
        <v>548.70000000000005</v>
      </c>
      <c r="G880">
        <v>84085</v>
      </c>
      <c r="H880" s="116"/>
      <c r="I880" s="116"/>
      <c r="L880" s="170">
        <v>44019</v>
      </c>
      <c r="M880" s="116">
        <v>109.8</v>
      </c>
      <c r="N880" s="116">
        <v>111.4</v>
      </c>
      <c r="O880" s="116">
        <v>108.4</v>
      </c>
      <c r="P880" s="116">
        <v>109.97</v>
      </c>
      <c r="Q880" s="116">
        <v>549</v>
      </c>
      <c r="R880">
        <v>893695</v>
      </c>
    </row>
    <row r="881" spans="1:18" x14ac:dyDescent="0.25">
      <c r="A881" s="170">
        <v>44020</v>
      </c>
      <c r="B881" s="116">
        <v>113.35</v>
      </c>
      <c r="C881" s="116">
        <v>110.85</v>
      </c>
      <c r="D881" s="116">
        <v>109.63</v>
      </c>
      <c r="E881" s="116">
        <v>109.8</v>
      </c>
      <c r="F881" s="116">
        <v>554.25</v>
      </c>
      <c r="G881">
        <v>35898</v>
      </c>
      <c r="H881" s="116"/>
      <c r="I881" s="116"/>
      <c r="L881" s="170">
        <v>44020</v>
      </c>
      <c r="M881" s="116">
        <v>110.91</v>
      </c>
      <c r="N881" s="116">
        <v>113.4</v>
      </c>
      <c r="O881" s="116">
        <v>109.2</v>
      </c>
      <c r="P881" s="116">
        <v>109.8</v>
      </c>
      <c r="Q881" s="116">
        <v>554.54999999999995</v>
      </c>
      <c r="R881">
        <v>799813</v>
      </c>
    </row>
    <row r="882" spans="1:18" x14ac:dyDescent="0.25">
      <c r="A882" s="170">
        <v>44021</v>
      </c>
      <c r="B882" s="116">
        <v>114.99</v>
      </c>
      <c r="C882" s="116">
        <v>114.36</v>
      </c>
      <c r="D882" s="116">
        <v>111.4</v>
      </c>
      <c r="E882" s="116">
        <v>112</v>
      </c>
      <c r="F882" s="116">
        <v>571.79999999999995</v>
      </c>
      <c r="G882">
        <v>55440</v>
      </c>
      <c r="H882" s="116"/>
      <c r="I882" s="116"/>
      <c r="L882" s="170">
        <v>44021</v>
      </c>
      <c r="M882" s="116">
        <v>114.38</v>
      </c>
      <c r="N882" s="116">
        <v>114.98</v>
      </c>
      <c r="O882" s="116">
        <v>111.26</v>
      </c>
      <c r="P882" s="116">
        <v>112.5</v>
      </c>
      <c r="Q882" s="116">
        <v>571.9</v>
      </c>
      <c r="R882">
        <v>892830</v>
      </c>
    </row>
    <row r="883" spans="1:18" x14ac:dyDescent="0.25">
      <c r="A883" s="170">
        <v>44022</v>
      </c>
      <c r="B883" s="116">
        <v>120.76</v>
      </c>
      <c r="C883" s="116">
        <v>119.51</v>
      </c>
      <c r="D883" s="116">
        <v>112.4</v>
      </c>
      <c r="E883" s="116">
        <v>114.6</v>
      </c>
      <c r="F883" s="116">
        <v>597.54999999999995</v>
      </c>
      <c r="G883">
        <v>144500</v>
      </c>
      <c r="H883" s="116"/>
      <c r="I883" s="116"/>
      <c r="L883" s="170">
        <v>44022</v>
      </c>
      <c r="M883" s="116">
        <v>119.58</v>
      </c>
      <c r="N883" s="116">
        <v>120.77</v>
      </c>
      <c r="O883" s="116">
        <v>112.85</v>
      </c>
      <c r="P883" s="116">
        <v>114.03</v>
      </c>
      <c r="Q883" s="116">
        <v>597.9</v>
      </c>
      <c r="R883">
        <v>2420235</v>
      </c>
    </row>
    <row r="884" spans="1:18" x14ac:dyDescent="0.25">
      <c r="A884" s="170">
        <v>44025</v>
      </c>
      <c r="B884" s="116">
        <v>125.6</v>
      </c>
      <c r="C884" s="116">
        <v>124.71</v>
      </c>
      <c r="D884" s="116">
        <v>119.84</v>
      </c>
      <c r="E884" s="116">
        <v>121.58</v>
      </c>
      <c r="F884" s="116">
        <v>623.54999999999995</v>
      </c>
      <c r="G884">
        <v>112093</v>
      </c>
      <c r="H884" s="116"/>
      <c r="I884" s="116"/>
      <c r="L884" s="170">
        <v>44025</v>
      </c>
      <c r="M884" s="116">
        <v>124.78</v>
      </c>
      <c r="N884" s="116">
        <v>125.58</v>
      </c>
      <c r="O884" s="116">
        <v>119.8</v>
      </c>
      <c r="P884" s="116">
        <v>121.49</v>
      </c>
      <c r="Q884" s="116">
        <v>623.9</v>
      </c>
      <c r="R884">
        <v>2622341</v>
      </c>
    </row>
    <row r="885" spans="1:18" x14ac:dyDescent="0.25">
      <c r="A885" s="170">
        <v>44026</v>
      </c>
      <c r="B885" s="116">
        <v>126.01</v>
      </c>
      <c r="C885" s="116">
        <v>123.34</v>
      </c>
      <c r="D885" s="116">
        <v>119.78</v>
      </c>
      <c r="E885" s="116">
        <v>125.6</v>
      </c>
      <c r="F885" s="116">
        <v>616.70000000000005</v>
      </c>
      <c r="G885">
        <v>105056</v>
      </c>
      <c r="H885" s="116"/>
      <c r="I885" s="116"/>
      <c r="L885" s="170">
        <v>44026</v>
      </c>
      <c r="M885" s="116">
        <v>123.17</v>
      </c>
      <c r="N885" s="116">
        <v>126.26</v>
      </c>
      <c r="O885" s="116">
        <v>119.46</v>
      </c>
      <c r="P885" s="116">
        <v>124.2</v>
      </c>
      <c r="Q885" s="116">
        <v>615.85</v>
      </c>
      <c r="R885">
        <v>1370275</v>
      </c>
    </row>
    <row r="886" spans="1:18" x14ac:dyDescent="0.25">
      <c r="A886" s="170">
        <v>44027</v>
      </c>
      <c r="B886" s="116">
        <v>127.38</v>
      </c>
      <c r="C886" s="116">
        <v>125.1</v>
      </c>
      <c r="D886" s="116">
        <v>123.16</v>
      </c>
      <c r="E886" s="116">
        <v>124.34</v>
      </c>
      <c r="F886" s="116">
        <v>625.5</v>
      </c>
      <c r="G886">
        <v>102920</v>
      </c>
      <c r="H886" s="116"/>
      <c r="I886" s="116"/>
      <c r="L886" s="170">
        <v>44027</v>
      </c>
      <c r="M886" s="116">
        <v>124.88</v>
      </c>
      <c r="N886" s="116">
        <v>127.49</v>
      </c>
      <c r="O886" s="116">
        <v>123.16</v>
      </c>
      <c r="P886" s="116">
        <v>124.49</v>
      </c>
      <c r="Q886" s="116">
        <v>624.4</v>
      </c>
      <c r="R886">
        <v>1010669</v>
      </c>
    </row>
    <row r="887" spans="1:18" x14ac:dyDescent="0.25">
      <c r="A887" s="170">
        <v>44028</v>
      </c>
      <c r="B887" s="116">
        <v>127.2</v>
      </c>
      <c r="C887" s="116">
        <v>125.7</v>
      </c>
      <c r="D887" s="116">
        <v>121</v>
      </c>
      <c r="E887" s="116">
        <v>125</v>
      </c>
      <c r="F887" s="116">
        <v>628.5</v>
      </c>
      <c r="G887">
        <v>73672</v>
      </c>
      <c r="H887" s="116"/>
      <c r="I887" s="116"/>
      <c r="L887" s="170">
        <v>44028</v>
      </c>
      <c r="M887" s="116">
        <v>125.16</v>
      </c>
      <c r="N887" s="116">
        <v>127</v>
      </c>
      <c r="O887" s="116">
        <v>121.1</v>
      </c>
      <c r="P887" s="116">
        <v>125.51</v>
      </c>
      <c r="Q887" s="116">
        <v>625.79999999999995</v>
      </c>
      <c r="R887">
        <v>816118</v>
      </c>
    </row>
    <row r="888" spans="1:18" x14ac:dyDescent="0.25">
      <c r="A888" s="170">
        <v>44029</v>
      </c>
      <c r="B888" s="116">
        <v>130.72999999999999</v>
      </c>
      <c r="C888" s="116">
        <v>128.1</v>
      </c>
      <c r="D888" s="116">
        <v>126.03</v>
      </c>
      <c r="E888" s="116">
        <v>126.58</v>
      </c>
      <c r="F888" s="116">
        <v>640.5</v>
      </c>
      <c r="G888">
        <v>103002</v>
      </c>
      <c r="H888" s="116"/>
      <c r="I888" s="116"/>
      <c r="L888" s="170">
        <v>44029</v>
      </c>
      <c r="M888" s="116">
        <v>128.30000000000001</v>
      </c>
      <c r="N888" s="116">
        <v>130.80000000000001</v>
      </c>
      <c r="O888" s="116">
        <v>126.21</v>
      </c>
      <c r="P888" s="116">
        <v>127</v>
      </c>
      <c r="Q888" s="116">
        <v>641.5</v>
      </c>
      <c r="R888">
        <v>1528977</v>
      </c>
    </row>
    <row r="889" spans="1:18" x14ac:dyDescent="0.25">
      <c r="A889" s="170">
        <v>44032</v>
      </c>
      <c r="B889" s="116">
        <v>131.54</v>
      </c>
      <c r="C889" s="116">
        <v>130.37</v>
      </c>
      <c r="D889" s="116">
        <v>128.29</v>
      </c>
      <c r="E889" s="116">
        <v>130</v>
      </c>
      <c r="F889" s="116">
        <v>651.85</v>
      </c>
      <c r="G889">
        <v>40328</v>
      </c>
      <c r="H889" s="116"/>
      <c r="I889" s="116"/>
      <c r="L889" s="170">
        <v>44032</v>
      </c>
      <c r="M889" s="116">
        <v>130.41</v>
      </c>
      <c r="N889" s="116">
        <v>131.6</v>
      </c>
      <c r="O889" s="116">
        <v>127</v>
      </c>
      <c r="P889" s="116">
        <v>129.16</v>
      </c>
      <c r="Q889" s="116">
        <v>652.04999999999995</v>
      </c>
      <c r="R889">
        <v>975356</v>
      </c>
    </row>
    <row r="890" spans="1:18" x14ac:dyDescent="0.25">
      <c r="A890" s="170">
        <v>44033</v>
      </c>
      <c r="B890" s="116">
        <v>131.47999999999999</v>
      </c>
      <c r="C890" s="116">
        <v>129.96</v>
      </c>
      <c r="D890" s="116">
        <v>128.01</v>
      </c>
      <c r="E890" s="116">
        <v>131</v>
      </c>
      <c r="F890" s="116">
        <v>649.79999999999995</v>
      </c>
      <c r="G890">
        <v>32926</v>
      </c>
      <c r="H890" s="116"/>
      <c r="I890" s="116"/>
      <c r="L890" s="170">
        <v>44033</v>
      </c>
      <c r="M890" s="116">
        <v>129.94999999999999</v>
      </c>
      <c r="N890" s="116">
        <v>131.6</v>
      </c>
      <c r="O890" s="116">
        <v>128.03</v>
      </c>
      <c r="P890" s="116">
        <v>131.56</v>
      </c>
      <c r="Q890" s="116">
        <v>649.75</v>
      </c>
      <c r="R890">
        <v>920369</v>
      </c>
    </row>
    <row r="891" spans="1:18" x14ac:dyDescent="0.25">
      <c r="A891" s="170">
        <v>44034</v>
      </c>
      <c r="B891" s="116">
        <v>135.88</v>
      </c>
      <c r="C891" s="116">
        <v>135.27000000000001</v>
      </c>
      <c r="D891" s="116">
        <v>129.61000000000001</v>
      </c>
      <c r="E891" s="116">
        <v>130.4</v>
      </c>
      <c r="F891" s="116">
        <v>676.35</v>
      </c>
      <c r="G891">
        <v>107837</v>
      </c>
      <c r="H891" s="116"/>
      <c r="I891" s="116"/>
      <c r="L891" s="170">
        <v>44034</v>
      </c>
      <c r="M891" s="116">
        <v>135.27000000000001</v>
      </c>
      <c r="N891" s="116">
        <v>135.94999999999999</v>
      </c>
      <c r="O891" s="116">
        <v>129.80000000000001</v>
      </c>
      <c r="P891" s="116">
        <v>130.04</v>
      </c>
      <c r="Q891" s="116">
        <v>676.35</v>
      </c>
      <c r="R891">
        <v>1421644</v>
      </c>
    </row>
    <row r="892" spans="1:18" x14ac:dyDescent="0.25">
      <c r="A892" s="170">
        <v>44035</v>
      </c>
      <c r="B892" s="116">
        <v>144.4</v>
      </c>
      <c r="C892" s="116">
        <v>143.69</v>
      </c>
      <c r="D892" s="116">
        <v>133.6</v>
      </c>
      <c r="E892" s="116">
        <v>133.6</v>
      </c>
      <c r="F892" s="116">
        <v>718.45</v>
      </c>
      <c r="G892">
        <v>126630</v>
      </c>
      <c r="H892" s="116"/>
      <c r="I892" s="116"/>
      <c r="L892" s="170">
        <v>44035</v>
      </c>
      <c r="M892" s="116">
        <v>143.65</v>
      </c>
      <c r="N892" s="116">
        <v>144.80000000000001</v>
      </c>
      <c r="O892" s="116">
        <v>135.5</v>
      </c>
      <c r="P892" s="116">
        <v>135.94999999999999</v>
      </c>
      <c r="Q892" s="116">
        <v>718.25</v>
      </c>
      <c r="R892">
        <v>2166721</v>
      </c>
    </row>
    <row r="893" spans="1:18" x14ac:dyDescent="0.25">
      <c r="A893" s="170">
        <v>44036</v>
      </c>
      <c r="B893" s="116">
        <v>148.44</v>
      </c>
      <c r="C893" s="116">
        <v>145.61000000000001</v>
      </c>
      <c r="D893" s="116">
        <v>140.80000000000001</v>
      </c>
      <c r="E893" s="116">
        <v>144.80000000000001</v>
      </c>
      <c r="F893" s="116">
        <v>728.05</v>
      </c>
      <c r="G893">
        <v>144650</v>
      </c>
      <c r="H893" s="116"/>
      <c r="I893" s="116"/>
      <c r="L893" s="170">
        <v>44036</v>
      </c>
      <c r="M893" s="116">
        <v>145.85</v>
      </c>
      <c r="N893" s="116">
        <v>148.35</v>
      </c>
      <c r="O893" s="116">
        <v>140.88</v>
      </c>
      <c r="P893" s="116">
        <v>144.19999999999999</v>
      </c>
      <c r="Q893" s="116">
        <v>729.25</v>
      </c>
      <c r="R893">
        <v>1820200</v>
      </c>
    </row>
    <row r="894" spans="1:18" x14ac:dyDescent="0.25">
      <c r="A894" s="170">
        <v>44039</v>
      </c>
      <c r="B894" s="116">
        <v>146.84</v>
      </c>
      <c r="C894" s="116">
        <v>144.91999999999999</v>
      </c>
      <c r="D894" s="116">
        <v>142.6</v>
      </c>
      <c r="E894" s="116">
        <v>146.4</v>
      </c>
      <c r="F894" s="116">
        <v>724.6</v>
      </c>
      <c r="G894">
        <v>44563</v>
      </c>
      <c r="H894" s="116"/>
      <c r="I894" s="116"/>
      <c r="L894" s="170">
        <v>44039</v>
      </c>
      <c r="M894" s="116">
        <v>144.88</v>
      </c>
      <c r="N894" s="116">
        <v>146.91999999999999</v>
      </c>
      <c r="O894" s="116">
        <v>142.44</v>
      </c>
      <c r="P894" s="116">
        <v>146.79</v>
      </c>
      <c r="Q894" s="116">
        <v>724.4</v>
      </c>
      <c r="R894">
        <v>1154531</v>
      </c>
    </row>
    <row r="895" spans="1:18" x14ac:dyDescent="0.25">
      <c r="A895" s="170">
        <v>44040</v>
      </c>
      <c r="B895" s="116">
        <v>153</v>
      </c>
      <c r="C895" s="116">
        <v>151.94</v>
      </c>
      <c r="D895" s="116">
        <v>144</v>
      </c>
      <c r="E895" s="116">
        <v>144</v>
      </c>
      <c r="F895" s="116">
        <v>759.7</v>
      </c>
      <c r="G895">
        <v>137773</v>
      </c>
      <c r="H895" s="116"/>
      <c r="I895" s="116"/>
      <c r="L895" s="170">
        <v>44040</v>
      </c>
      <c r="M895" s="116">
        <v>151.99</v>
      </c>
      <c r="N895" s="116">
        <v>153.1</v>
      </c>
      <c r="O895" s="116">
        <v>144.51</v>
      </c>
      <c r="P895" s="116">
        <v>145.18</v>
      </c>
      <c r="Q895" s="116">
        <v>759.95</v>
      </c>
      <c r="R895">
        <v>1866342</v>
      </c>
    </row>
    <row r="896" spans="1:18" x14ac:dyDescent="0.25">
      <c r="A896" s="170">
        <v>44041</v>
      </c>
      <c r="B896" s="116">
        <v>158.80000000000001</v>
      </c>
      <c r="C896" s="116">
        <v>152.80000000000001</v>
      </c>
      <c r="D896" s="116">
        <v>151.69</v>
      </c>
      <c r="E896" s="116">
        <v>152.79</v>
      </c>
      <c r="F896" s="116">
        <v>764</v>
      </c>
      <c r="G896">
        <v>112612</v>
      </c>
      <c r="H896" s="116"/>
      <c r="I896" s="116"/>
      <c r="L896" s="170">
        <v>44041</v>
      </c>
      <c r="M896" s="116">
        <v>152.77000000000001</v>
      </c>
      <c r="N896" s="116">
        <v>158.80000000000001</v>
      </c>
      <c r="O896" s="116">
        <v>151.59</v>
      </c>
      <c r="P896" s="116">
        <v>153.1</v>
      </c>
      <c r="Q896" s="116">
        <v>763.85</v>
      </c>
      <c r="R896">
        <v>2102816</v>
      </c>
    </row>
    <row r="897" spans="1:18" x14ac:dyDescent="0.25">
      <c r="A897" s="170">
        <v>44042</v>
      </c>
      <c r="B897" s="116">
        <v>159.99</v>
      </c>
      <c r="C897" s="116">
        <v>158.18</v>
      </c>
      <c r="D897" s="116">
        <v>151.99</v>
      </c>
      <c r="E897" s="116">
        <v>154</v>
      </c>
      <c r="F897" s="116">
        <v>790.9</v>
      </c>
      <c r="G897">
        <v>245536</v>
      </c>
      <c r="H897" s="116"/>
      <c r="I897" s="116"/>
      <c r="L897" s="170">
        <v>44042</v>
      </c>
      <c r="M897" s="116">
        <v>158.05000000000001</v>
      </c>
      <c r="N897" s="116">
        <v>159.97999999999999</v>
      </c>
      <c r="O897" s="116">
        <v>152.13</v>
      </c>
      <c r="P897" s="116">
        <v>154</v>
      </c>
      <c r="Q897" s="116">
        <v>790.25</v>
      </c>
      <c r="R897">
        <v>4892393</v>
      </c>
    </row>
    <row r="898" spans="1:18" x14ac:dyDescent="0.25">
      <c r="A898" s="170">
        <v>44043</v>
      </c>
      <c r="B898" s="116">
        <v>188.72</v>
      </c>
      <c r="C898" s="116">
        <v>186.72</v>
      </c>
      <c r="D898" s="116">
        <v>162</v>
      </c>
      <c r="E898" s="116">
        <v>166</v>
      </c>
      <c r="F898" s="116">
        <v>933.6</v>
      </c>
      <c r="G898">
        <v>773134</v>
      </c>
      <c r="H898" s="116"/>
      <c r="I898" s="116"/>
      <c r="L898" s="170">
        <v>44043</v>
      </c>
      <c r="M898" s="116">
        <v>186.65</v>
      </c>
      <c r="N898" s="116">
        <v>189</v>
      </c>
      <c r="O898" s="116">
        <v>163</v>
      </c>
      <c r="P898" s="116">
        <v>165</v>
      </c>
      <c r="Q898" s="116">
        <v>933.25</v>
      </c>
      <c r="R898">
        <v>10629191</v>
      </c>
    </row>
    <row r="899" spans="1:18" x14ac:dyDescent="0.25">
      <c r="A899" s="170">
        <v>44046</v>
      </c>
      <c r="B899" s="116">
        <v>216</v>
      </c>
      <c r="C899" s="116">
        <v>201.21</v>
      </c>
      <c r="D899" s="116">
        <v>190.98</v>
      </c>
      <c r="E899" s="116">
        <v>191</v>
      </c>
      <c r="F899" s="116">
        <v>1006.05</v>
      </c>
      <c r="G899">
        <v>834892</v>
      </c>
      <c r="H899" s="116"/>
      <c r="I899" s="116"/>
      <c r="L899" s="170">
        <v>44046</v>
      </c>
      <c r="M899" s="116">
        <v>201.33</v>
      </c>
      <c r="N899" s="116">
        <v>215.03</v>
      </c>
      <c r="O899" s="116">
        <v>191</v>
      </c>
      <c r="P899" s="116">
        <v>191.05</v>
      </c>
      <c r="Q899" s="116">
        <v>1006.65</v>
      </c>
      <c r="R899">
        <v>13444156</v>
      </c>
    </row>
    <row r="900" spans="1:18" x14ac:dyDescent="0.25">
      <c r="A900" s="170">
        <v>44047</v>
      </c>
      <c r="B900" s="116">
        <v>204.57</v>
      </c>
      <c r="C900" s="116">
        <v>202.25</v>
      </c>
      <c r="D900" s="116">
        <v>190.57</v>
      </c>
      <c r="E900" s="116">
        <v>202.2</v>
      </c>
      <c r="F900" s="116">
        <v>1011.25</v>
      </c>
      <c r="G900">
        <v>222168</v>
      </c>
      <c r="H900" s="116"/>
      <c r="I900" s="116"/>
      <c r="L900" s="170">
        <v>44047</v>
      </c>
      <c r="M900" s="116">
        <v>202</v>
      </c>
      <c r="N900" s="116">
        <v>204.77</v>
      </c>
      <c r="O900" s="116">
        <v>190.4</v>
      </c>
      <c r="P900" s="116">
        <v>202.2</v>
      </c>
      <c r="Q900" s="116">
        <v>1010</v>
      </c>
      <c r="R900">
        <v>4886098</v>
      </c>
    </row>
    <row r="901" spans="1:18" x14ac:dyDescent="0.25">
      <c r="A901" s="170">
        <v>44048</v>
      </c>
      <c r="B901" s="116">
        <v>210.72</v>
      </c>
      <c r="C901" s="116">
        <v>205.72</v>
      </c>
      <c r="D901" s="116">
        <v>199</v>
      </c>
      <c r="E901" s="116">
        <v>202.4</v>
      </c>
      <c r="F901" s="116">
        <v>1028.5999999999999</v>
      </c>
      <c r="G901">
        <v>304969</v>
      </c>
      <c r="H901" s="116"/>
      <c r="I901" s="116"/>
      <c r="L901" s="170">
        <v>44048</v>
      </c>
      <c r="M901" s="116">
        <v>205.71</v>
      </c>
      <c r="N901" s="116">
        <v>210.6</v>
      </c>
      <c r="O901" s="116">
        <v>199.02</v>
      </c>
      <c r="P901" s="116">
        <v>202.96</v>
      </c>
      <c r="Q901" s="116">
        <v>1028.55</v>
      </c>
      <c r="R901">
        <v>4188329</v>
      </c>
    </row>
    <row r="902" spans="1:18" x14ac:dyDescent="0.25">
      <c r="A902" s="170">
        <v>44049</v>
      </c>
      <c r="B902" s="116">
        <v>209</v>
      </c>
      <c r="C902" s="116">
        <v>206.66</v>
      </c>
      <c r="D902" s="116">
        <v>201.17</v>
      </c>
      <c r="E902" s="116">
        <v>207.38</v>
      </c>
      <c r="F902" s="116">
        <v>1033.3</v>
      </c>
      <c r="G902">
        <v>184790</v>
      </c>
      <c r="H902" s="116"/>
      <c r="I902" s="116"/>
      <c r="L902" s="170">
        <v>44049</v>
      </c>
      <c r="M902" s="116">
        <v>206.65</v>
      </c>
      <c r="N902" s="116">
        <v>209.34</v>
      </c>
      <c r="O902" s="116">
        <v>201.84</v>
      </c>
      <c r="P902" s="116">
        <v>206.54</v>
      </c>
      <c r="Q902" s="116">
        <v>1033.25</v>
      </c>
      <c r="R902">
        <v>2023188</v>
      </c>
    </row>
    <row r="903" spans="1:18" x14ac:dyDescent="0.25">
      <c r="A903" s="170">
        <v>44050</v>
      </c>
      <c r="B903" s="116">
        <v>208.39</v>
      </c>
      <c r="C903" s="116">
        <v>204.56</v>
      </c>
      <c r="D903" s="116">
        <v>202</v>
      </c>
      <c r="E903" s="116">
        <v>208</v>
      </c>
      <c r="F903" s="116">
        <v>1022.8</v>
      </c>
      <c r="G903">
        <v>107146</v>
      </c>
      <c r="H903" s="116"/>
      <c r="I903" s="116"/>
      <c r="L903" s="170">
        <v>44050</v>
      </c>
      <c r="M903" s="116">
        <v>204.54</v>
      </c>
      <c r="N903" s="116">
        <v>208.4</v>
      </c>
      <c r="O903" s="116">
        <v>202.72</v>
      </c>
      <c r="P903" s="116">
        <v>207.77</v>
      </c>
      <c r="Q903" s="116">
        <v>1022.7</v>
      </c>
      <c r="R903">
        <v>1092813</v>
      </c>
    </row>
    <row r="904" spans="1:18" x14ac:dyDescent="0.25">
      <c r="A904" s="170">
        <v>44053</v>
      </c>
      <c r="B904" s="116">
        <v>225.01</v>
      </c>
      <c r="C904" s="116">
        <v>225.01</v>
      </c>
      <c r="D904" s="116">
        <v>206</v>
      </c>
      <c r="E904" s="116">
        <v>206</v>
      </c>
      <c r="F904" s="116">
        <v>1125.05</v>
      </c>
      <c r="G904">
        <v>378152</v>
      </c>
      <c r="H904" s="116"/>
      <c r="I904" s="116"/>
      <c r="L904" s="170">
        <v>44053</v>
      </c>
      <c r="M904" s="116">
        <v>224.99</v>
      </c>
      <c r="N904" s="116">
        <v>224.99</v>
      </c>
      <c r="O904" s="116">
        <v>206.8</v>
      </c>
      <c r="P904" s="116">
        <v>206.8</v>
      </c>
      <c r="Q904" s="116">
        <v>1124.95</v>
      </c>
      <c r="R904">
        <v>3741219</v>
      </c>
    </row>
    <row r="905" spans="1:18" x14ac:dyDescent="0.25">
      <c r="A905" s="170">
        <v>44054</v>
      </c>
      <c r="B905" s="116">
        <v>232</v>
      </c>
      <c r="C905" s="116">
        <v>210.28</v>
      </c>
      <c r="D905" s="116">
        <v>204.25</v>
      </c>
      <c r="E905" s="116">
        <v>230</v>
      </c>
      <c r="F905" s="116">
        <v>1051.4000000000001</v>
      </c>
      <c r="G905">
        <v>268486</v>
      </c>
      <c r="H905" s="116"/>
      <c r="I905" s="116"/>
      <c r="L905" s="170">
        <v>44054</v>
      </c>
      <c r="M905" s="116">
        <v>210.29</v>
      </c>
      <c r="N905" s="116">
        <v>231.18</v>
      </c>
      <c r="O905" s="116">
        <v>204.6</v>
      </c>
      <c r="P905" s="116">
        <v>229</v>
      </c>
      <c r="Q905" s="116">
        <v>1051.45</v>
      </c>
      <c r="R905">
        <v>2727464</v>
      </c>
    </row>
    <row r="906" spans="1:18" x14ac:dyDescent="0.25">
      <c r="A906" s="170">
        <v>44055</v>
      </c>
      <c r="B906" s="116">
        <v>210.2</v>
      </c>
      <c r="C906" s="116">
        <v>205.76</v>
      </c>
      <c r="D906" s="116">
        <v>200.4</v>
      </c>
      <c r="E906" s="116">
        <v>210.2</v>
      </c>
      <c r="F906" s="116">
        <v>1028.8</v>
      </c>
      <c r="G906">
        <v>79165</v>
      </c>
      <c r="H906" s="116"/>
      <c r="I906" s="116"/>
      <c r="L906" s="170">
        <v>44055</v>
      </c>
      <c r="M906" s="116">
        <v>205.68</v>
      </c>
      <c r="N906" s="116">
        <v>210.2</v>
      </c>
      <c r="O906" s="116">
        <v>200.48</v>
      </c>
      <c r="P906" s="116">
        <v>208.8</v>
      </c>
      <c r="Q906" s="116">
        <v>1028.4000000000001</v>
      </c>
      <c r="R906">
        <v>1829877</v>
      </c>
    </row>
    <row r="907" spans="1:18" x14ac:dyDescent="0.25">
      <c r="A907" s="170">
        <v>44056</v>
      </c>
      <c r="B907" s="116">
        <v>216.29</v>
      </c>
      <c r="C907" s="116">
        <v>206.11</v>
      </c>
      <c r="D907" s="116">
        <v>204.05</v>
      </c>
      <c r="E907" s="116">
        <v>206.96</v>
      </c>
      <c r="F907" s="116">
        <v>1030.55</v>
      </c>
      <c r="G907">
        <v>128419</v>
      </c>
      <c r="H907" s="116"/>
      <c r="I907" s="116"/>
      <c r="L907" s="170">
        <v>44056</v>
      </c>
      <c r="M907" s="116">
        <v>206.09</v>
      </c>
      <c r="N907" s="116">
        <v>216.57</v>
      </c>
      <c r="O907" s="116">
        <v>204</v>
      </c>
      <c r="P907" s="116">
        <v>206.01</v>
      </c>
      <c r="Q907" s="116">
        <v>1030.45</v>
      </c>
      <c r="R907">
        <v>1629300</v>
      </c>
    </row>
    <row r="908" spans="1:18" x14ac:dyDescent="0.25">
      <c r="A908" s="170">
        <v>44057</v>
      </c>
      <c r="B908" s="116">
        <v>210.72</v>
      </c>
      <c r="C908" s="116">
        <v>201.93</v>
      </c>
      <c r="D908" s="116">
        <v>198.65</v>
      </c>
      <c r="E908" s="116">
        <v>207.22</v>
      </c>
      <c r="F908" s="116">
        <v>1009.65</v>
      </c>
      <c r="G908">
        <v>95120</v>
      </c>
      <c r="H908" s="116"/>
      <c r="I908" s="116"/>
      <c r="L908" s="170">
        <v>44057</v>
      </c>
      <c r="M908" s="116">
        <v>201.99</v>
      </c>
      <c r="N908" s="116">
        <v>210.79</v>
      </c>
      <c r="O908" s="116">
        <v>198.6</v>
      </c>
      <c r="P908" s="116">
        <v>208.98</v>
      </c>
      <c r="Q908" s="116">
        <v>1009.95</v>
      </c>
      <c r="R908">
        <v>1331678</v>
      </c>
    </row>
    <row r="909" spans="1:18" x14ac:dyDescent="0.25">
      <c r="A909" s="170">
        <v>44060</v>
      </c>
      <c r="B909" s="116">
        <v>209.94</v>
      </c>
      <c r="C909" s="116">
        <v>208.9</v>
      </c>
      <c r="D909" s="116">
        <v>203.34</v>
      </c>
      <c r="E909" s="116">
        <v>204.76</v>
      </c>
      <c r="F909" s="116">
        <v>1044.5</v>
      </c>
      <c r="G909">
        <v>44192</v>
      </c>
      <c r="H909" s="116"/>
      <c r="I909" s="116"/>
      <c r="L909" s="170">
        <v>44060</v>
      </c>
      <c r="M909" s="116">
        <v>208.86</v>
      </c>
      <c r="N909" s="116">
        <v>209.9</v>
      </c>
      <c r="O909" s="116">
        <v>203.41</v>
      </c>
      <c r="P909" s="116">
        <v>204.9</v>
      </c>
      <c r="Q909" s="116">
        <v>1044.3</v>
      </c>
      <c r="R909">
        <v>870576</v>
      </c>
    </row>
    <row r="910" spans="1:18" x14ac:dyDescent="0.25">
      <c r="A910" s="170">
        <v>44061</v>
      </c>
      <c r="B910" s="116">
        <v>214.05</v>
      </c>
      <c r="C910" s="116">
        <v>210.98</v>
      </c>
      <c r="D910" s="116">
        <v>207.55</v>
      </c>
      <c r="E910" s="116">
        <v>210</v>
      </c>
      <c r="F910" s="116">
        <v>1054.9000000000001</v>
      </c>
      <c r="G910">
        <v>92562</v>
      </c>
      <c r="H910" s="116"/>
      <c r="I910" s="116"/>
      <c r="L910" s="170">
        <v>44061</v>
      </c>
      <c r="M910" s="116">
        <v>211.03</v>
      </c>
      <c r="N910" s="116">
        <v>214</v>
      </c>
      <c r="O910" s="116">
        <v>207.8</v>
      </c>
      <c r="P910" s="116">
        <v>210.2</v>
      </c>
      <c r="Q910" s="116">
        <v>1055.1500000000001</v>
      </c>
      <c r="R910">
        <v>694418</v>
      </c>
    </row>
    <row r="911" spans="1:18" x14ac:dyDescent="0.25">
      <c r="A911" s="170">
        <v>44062</v>
      </c>
      <c r="B911" s="116">
        <v>216.9</v>
      </c>
      <c r="C911" s="116">
        <v>212.67</v>
      </c>
      <c r="D911" s="116">
        <v>210.2</v>
      </c>
      <c r="E911" s="116">
        <v>213</v>
      </c>
      <c r="F911" s="116">
        <v>1063.3499999999999</v>
      </c>
      <c r="G911">
        <v>34049</v>
      </c>
      <c r="H911" s="116"/>
      <c r="I911" s="116"/>
      <c r="L911" s="170">
        <v>44062</v>
      </c>
      <c r="M911" s="116">
        <v>212.63</v>
      </c>
      <c r="N911" s="116">
        <v>216.84</v>
      </c>
      <c r="O911" s="116">
        <v>210.1</v>
      </c>
      <c r="P911" s="116">
        <v>212.46</v>
      </c>
      <c r="Q911" s="116">
        <v>1063.1500000000001</v>
      </c>
      <c r="R911">
        <v>709204</v>
      </c>
    </row>
    <row r="912" spans="1:18" x14ac:dyDescent="0.25">
      <c r="A912" s="170">
        <v>44063</v>
      </c>
      <c r="B912" s="116">
        <v>218.96</v>
      </c>
      <c r="C912" s="116">
        <v>214.52</v>
      </c>
      <c r="D912" s="116">
        <v>210.9</v>
      </c>
      <c r="E912" s="116">
        <v>212.1</v>
      </c>
      <c r="F912" s="116">
        <v>1072.5999999999999</v>
      </c>
      <c r="G912">
        <v>84516</v>
      </c>
      <c r="H912" s="116"/>
      <c r="I912" s="116"/>
      <c r="L912" s="170">
        <v>44063</v>
      </c>
      <c r="M912" s="116">
        <v>214.67</v>
      </c>
      <c r="N912" s="116">
        <v>218.98</v>
      </c>
      <c r="O912" s="116">
        <v>211</v>
      </c>
      <c r="P912" s="116">
        <v>211.36</v>
      </c>
      <c r="Q912" s="116">
        <v>1073.3499999999999</v>
      </c>
      <c r="R912">
        <v>989656</v>
      </c>
    </row>
    <row r="913" spans="1:18" x14ac:dyDescent="0.25">
      <c r="A913" s="170">
        <v>44064</v>
      </c>
      <c r="B913" s="116">
        <v>234.8</v>
      </c>
      <c r="C913" s="116">
        <v>228.39</v>
      </c>
      <c r="D913" s="116">
        <v>215.48</v>
      </c>
      <c r="E913" s="116">
        <v>215.48</v>
      </c>
      <c r="F913" s="116">
        <v>1141.95</v>
      </c>
      <c r="G913">
        <v>156713</v>
      </c>
      <c r="H913" s="116"/>
      <c r="I913" s="116"/>
      <c r="L913" s="170">
        <v>44064</v>
      </c>
      <c r="M913" s="116">
        <v>228.17</v>
      </c>
      <c r="N913" s="116">
        <v>234.96</v>
      </c>
      <c r="O913" s="116">
        <v>215.33</v>
      </c>
      <c r="P913" s="116">
        <v>215.56</v>
      </c>
      <c r="Q913" s="116">
        <v>1140.8499999999999</v>
      </c>
      <c r="R913">
        <v>2876580</v>
      </c>
    </row>
    <row r="914" spans="1:18" x14ac:dyDescent="0.25">
      <c r="A914" s="170">
        <v>44067</v>
      </c>
      <c r="B914" s="116">
        <v>249</v>
      </c>
      <c r="C914" s="116">
        <v>238.11</v>
      </c>
      <c r="D914" s="116">
        <v>231</v>
      </c>
      <c r="E914" s="116">
        <v>231</v>
      </c>
      <c r="F914" s="116">
        <v>1190.55</v>
      </c>
      <c r="G914">
        <v>280672</v>
      </c>
      <c r="H914" s="116"/>
      <c r="I914" s="116"/>
      <c r="L914" s="170">
        <v>44067</v>
      </c>
      <c r="M914" s="116">
        <v>237.92</v>
      </c>
      <c r="N914" s="116">
        <v>249.2</v>
      </c>
      <c r="O914" s="116">
        <v>231.2</v>
      </c>
      <c r="P914" s="116">
        <v>232</v>
      </c>
      <c r="Q914" s="116">
        <v>1189.5999999999999</v>
      </c>
      <c r="R914">
        <v>3308589</v>
      </c>
    </row>
    <row r="915" spans="1:18" x14ac:dyDescent="0.25">
      <c r="A915" s="170">
        <v>44068</v>
      </c>
      <c r="B915" s="116">
        <v>243.12</v>
      </c>
      <c r="C915" s="116">
        <v>231.3</v>
      </c>
      <c r="D915" s="116">
        <v>229.39</v>
      </c>
      <c r="E915" s="116">
        <v>240.01</v>
      </c>
      <c r="F915" s="116">
        <v>1156.5</v>
      </c>
      <c r="G915">
        <v>172076</v>
      </c>
      <c r="H915" s="116"/>
      <c r="I915" s="116"/>
      <c r="L915" s="170">
        <v>44068</v>
      </c>
      <c r="M915" s="116">
        <v>231.12</v>
      </c>
      <c r="N915" s="116">
        <v>243.2</v>
      </c>
      <c r="O915" s="116">
        <v>229.4</v>
      </c>
      <c r="P915" s="116">
        <v>240.8</v>
      </c>
      <c r="Q915" s="116">
        <v>1155.5999999999999</v>
      </c>
      <c r="R915">
        <v>1334968</v>
      </c>
    </row>
    <row r="916" spans="1:18" x14ac:dyDescent="0.25">
      <c r="A916" s="170">
        <v>44069</v>
      </c>
      <c r="B916" s="116">
        <v>233</v>
      </c>
      <c r="C916" s="116">
        <v>230.06</v>
      </c>
      <c r="D916" s="116">
        <v>221</v>
      </c>
      <c r="E916" s="116">
        <v>231</v>
      </c>
      <c r="F916" s="116">
        <v>1150.3</v>
      </c>
      <c r="G916">
        <v>115488</v>
      </c>
      <c r="H916" s="116"/>
      <c r="I916" s="116"/>
      <c r="L916" s="170">
        <v>44069</v>
      </c>
      <c r="M916" s="116">
        <v>229.95</v>
      </c>
      <c r="N916" s="116">
        <v>233.14</v>
      </c>
      <c r="O916" s="116">
        <v>221.22</v>
      </c>
      <c r="P916" s="116">
        <v>231.6</v>
      </c>
      <c r="Q916" s="116">
        <v>1149.75</v>
      </c>
      <c r="R916">
        <v>757283</v>
      </c>
    </row>
    <row r="917" spans="1:18" x14ac:dyDescent="0.25">
      <c r="A917" s="170">
        <v>44070</v>
      </c>
      <c r="B917" s="116">
        <v>243.81</v>
      </c>
      <c r="C917" s="116">
        <v>238.31</v>
      </c>
      <c r="D917" s="116">
        <v>228.8</v>
      </c>
      <c r="E917" s="116">
        <v>230.06</v>
      </c>
      <c r="F917" s="116">
        <v>1191.55</v>
      </c>
      <c r="G917">
        <v>157829</v>
      </c>
      <c r="H917" s="116"/>
      <c r="I917" s="116"/>
      <c r="L917" s="170">
        <v>44070</v>
      </c>
      <c r="M917" s="116">
        <v>238.23</v>
      </c>
      <c r="N917" s="116">
        <v>243.8</v>
      </c>
      <c r="O917" s="116">
        <v>229.02</v>
      </c>
      <c r="P917" s="116">
        <v>231.05</v>
      </c>
      <c r="Q917" s="116">
        <v>1191.1500000000001</v>
      </c>
      <c r="R917">
        <v>1392077</v>
      </c>
    </row>
    <row r="918" spans="1:18" x14ac:dyDescent="0.25">
      <c r="A918" s="170">
        <v>44071</v>
      </c>
      <c r="B918" s="116">
        <v>240.64</v>
      </c>
      <c r="C918" s="116">
        <v>232.83</v>
      </c>
      <c r="D918" s="116">
        <v>231.35</v>
      </c>
      <c r="E918" s="116">
        <v>239</v>
      </c>
      <c r="F918" s="116">
        <v>1164.1500000000001</v>
      </c>
      <c r="G918">
        <v>88340</v>
      </c>
      <c r="H918" s="116"/>
      <c r="I918" s="116"/>
      <c r="L918" s="170">
        <v>44071</v>
      </c>
      <c r="M918" s="116">
        <v>232.71</v>
      </c>
      <c r="N918" s="116">
        <v>240.38</v>
      </c>
      <c r="O918" s="116">
        <v>231.32</v>
      </c>
      <c r="P918" s="116">
        <v>238.4</v>
      </c>
      <c r="Q918" s="116">
        <v>1163.55</v>
      </c>
      <c r="R918">
        <v>768904</v>
      </c>
    </row>
    <row r="919" spans="1:18" x14ac:dyDescent="0.25">
      <c r="A919" s="170">
        <v>44074</v>
      </c>
      <c r="B919" s="116">
        <v>238.42</v>
      </c>
      <c r="C919" s="116">
        <v>225.81</v>
      </c>
      <c r="D919" s="116">
        <v>209.55</v>
      </c>
      <c r="E919" s="116">
        <v>234</v>
      </c>
      <c r="F919" s="116">
        <v>1129.05</v>
      </c>
      <c r="G919">
        <v>272723</v>
      </c>
      <c r="H919" s="116"/>
      <c r="I919" s="116"/>
      <c r="L919" s="170">
        <v>44074</v>
      </c>
      <c r="M919" s="116">
        <v>226.66</v>
      </c>
      <c r="N919" s="116">
        <v>240</v>
      </c>
      <c r="O919" s="116">
        <v>211.26</v>
      </c>
      <c r="P919" s="116">
        <v>234.81</v>
      </c>
      <c r="Q919" s="116">
        <v>1133.3</v>
      </c>
      <c r="R919">
        <v>1813555</v>
      </c>
    </row>
    <row r="920" spans="1:18" x14ac:dyDescent="0.25">
      <c r="A920" s="170">
        <v>44075</v>
      </c>
      <c r="B920" s="116">
        <v>228</v>
      </c>
      <c r="C920" s="116">
        <v>224.43</v>
      </c>
      <c r="D920" s="116">
        <v>210.73</v>
      </c>
      <c r="E920" s="116">
        <v>223.02</v>
      </c>
      <c r="F920" s="116">
        <v>1122.1500000000001</v>
      </c>
      <c r="G920">
        <v>71111</v>
      </c>
      <c r="H920" s="116"/>
      <c r="I920" s="116"/>
      <c r="L920" s="170">
        <v>44075</v>
      </c>
      <c r="M920" s="116">
        <v>224.58</v>
      </c>
      <c r="N920" s="116">
        <v>227.78</v>
      </c>
      <c r="O920" s="116">
        <v>210.66</v>
      </c>
      <c r="P920" s="116">
        <v>225</v>
      </c>
      <c r="Q920" s="116">
        <v>1122.9000000000001</v>
      </c>
      <c r="R920">
        <v>1073166</v>
      </c>
    </row>
    <row r="921" spans="1:18" x14ac:dyDescent="0.25">
      <c r="A921" s="170">
        <v>44076</v>
      </c>
      <c r="B921" s="116">
        <v>233.2</v>
      </c>
      <c r="C921" s="116">
        <v>232.44</v>
      </c>
      <c r="D921" s="116">
        <v>224</v>
      </c>
      <c r="E921" s="116">
        <v>227.74</v>
      </c>
      <c r="F921" s="116">
        <v>1162.2</v>
      </c>
      <c r="G921">
        <v>57899</v>
      </c>
      <c r="H921" s="116"/>
      <c r="I921" s="116"/>
      <c r="L921" s="170">
        <v>44076</v>
      </c>
      <c r="M921" s="116">
        <v>232.04</v>
      </c>
      <c r="N921" s="116">
        <v>234</v>
      </c>
      <c r="O921" s="116">
        <v>223</v>
      </c>
      <c r="P921" s="116">
        <v>226.94</v>
      </c>
      <c r="Q921" s="116">
        <v>1160.2</v>
      </c>
      <c r="R921">
        <v>691624</v>
      </c>
    </row>
    <row r="922" spans="1:18" x14ac:dyDescent="0.25">
      <c r="A922" s="170">
        <v>44077</v>
      </c>
      <c r="B922" s="116">
        <v>242.2</v>
      </c>
      <c r="C922" s="116">
        <v>237.94</v>
      </c>
      <c r="D922" s="116">
        <v>226.02</v>
      </c>
      <c r="E922" s="116">
        <v>234.98</v>
      </c>
      <c r="F922" s="116">
        <v>1189.7</v>
      </c>
      <c r="G922">
        <v>90824</v>
      </c>
      <c r="H922" s="116"/>
      <c r="I922" s="116"/>
      <c r="L922" s="170">
        <v>44077</v>
      </c>
      <c r="M922" s="116">
        <v>237.91</v>
      </c>
      <c r="N922" s="116">
        <v>242.34</v>
      </c>
      <c r="O922" s="116">
        <v>229.65</v>
      </c>
      <c r="P922" s="116">
        <v>233.98</v>
      </c>
      <c r="Q922" s="116">
        <v>1189.55</v>
      </c>
      <c r="R922">
        <v>832392</v>
      </c>
    </row>
    <row r="923" spans="1:18" x14ac:dyDescent="0.25">
      <c r="A923" s="170">
        <v>44078</v>
      </c>
      <c r="B923" s="116">
        <v>247.4</v>
      </c>
      <c r="C923" s="116">
        <v>236.44</v>
      </c>
      <c r="D923" s="116">
        <v>229.71</v>
      </c>
      <c r="E923" s="116">
        <v>230.2</v>
      </c>
      <c r="F923" s="116">
        <v>1182.2</v>
      </c>
      <c r="G923">
        <v>167838</v>
      </c>
      <c r="H923" s="116"/>
      <c r="I923" s="116"/>
      <c r="L923" s="170">
        <v>44078</v>
      </c>
      <c r="M923" s="116">
        <v>236.49</v>
      </c>
      <c r="N923" s="116">
        <v>247.52</v>
      </c>
      <c r="O923" s="116">
        <v>230</v>
      </c>
      <c r="P923" s="116">
        <v>232</v>
      </c>
      <c r="Q923" s="116">
        <v>1182.45</v>
      </c>
      <c r="R923">
        <v>1545884</v>
      </c>
    </row>
    <row r="924" spans="1:18" x14ac:dyDescent="0.25">
      <c r="A924" s="170">
        <v>44081</v>
      </c>
      <c r="B924" s="116">
        <v>244</v>
      </c>
      <c r="C924" s="116">
        <v>240.06</v>
      </c>
      <c r="D924" s="116">
        <v>235.32</v>
      </c>
      <c r="E924" s="116">
        <v>238.17</v>
      </c>
      <c r="F924" s="116">
        <v>1200.3</v>
      </c>
      <c r="G924">
        <v>103030</v>
      </c>
      <c r="H924" s="116"/>
      <c r="I924" s="116"/>
      <c r="L924" s="170">
        <v>44081</v>
      </c>
      <c r="M924" s="116">
        <v>239.87</v>
      </c>
      <c r="N924" s="116">
        <v>244</v>
      </c>
      <c r="O924" s="116">
        <v>235.16</v>
      </c>
      <c r="P924" s="116">
        <v>237.4</v>
      </c>
      <c r="Q924" s="116">
        <v>1199.3499999999999</v>
      </c>
      <c r="R924">
        <v>1068442</v>
      </c>
    </row>
    <row r="925" spans="1:18" x14ac:dyDescent="0.25">
      <c r="A925" s="170">
        <v>44082</v>
      </c>
      <c r="B925" s="116">
        <v>246</v>
      </c>
      <c r="C925" s="116">
        <v>240.21</v>
      </c>
      <c r="D925" s="116">
        <v>239.02</v>
      </c>
      <c r="E925" s="116">
        <v>240.01</v>
      </c>
      <c r="F925" s="116">
        <v>1201.05</v>
      </c>
      <c r="G925">
        <v>90763</v>
      </c>
      <c r="H925" s="116"/>
      <c r="I925" s="116"/>
      <c r="L925" s="170">
        <v>44082</v>
      </c>
      <c r="M925" s="116">
        <v>240.3</v>
      </c>
      <c r="N925" s="116">
        <v>246</v>
      </c>
      <c r="O925" s="116">
        <v>238.81</v>
      </c>
      <c r="P925" s="116">
        <v>241.2</v>
      </c>
      <c r="Q925" s="116">
        <v>1201.5</v>
      </c>
      <c r="R925">
        <v>969082</v>
      </c>
    </row>
    <row r="926" spans="1:18" x14ac:dyDescent="0.25">
      <c r="A926" s="170">
        <v>44083</v>
      </c>
      <c r="B926" s="116">
        <v>243.69</v>
      </c>
      <c r="C926" s="116">
        <v>242.33</v>
      </c>
      <c r="D926" s="116">
        <v>237.4</v>
      </c>
      <c r="E926" s="116">
        <v>237.4</v>
      </c>
      <c r="F926" s="116">
        <v>1211.6500000000001</v>
      </c>
      <c r="G926">
        <v>33190</v>
      </c>
      <c r="H926" s="116"/>
      <c r="I926" s="116"/>
      <c r="L926" s="170">
        <v>44083</v>
      </c>
      <c r="M926" s="116">
        <v>242.07</v>
      </c>
      <c r="N926" s="116">
        <v>243.8</v>
      </c>
      <c r="O926" s="116">
        <v>237.63</v>
      </c>
      <c r="P926" s="116">
        <v>238.34</v>
      </c>
      <c r="Q926" s="116">
        <v>1210.3499999999999</v>
      </c>
      <c r="R926">
        <v>856046</v>
      </c>
    </row>
    <row r="927" spans="1:18" x14ac:dyDescent="0.25">
      <c r="A927" s="170">
        <v>44084</v>
      </c>
      <c r="B927" s="116">
        <v>252.63</v>
      </c>
      <c r="C927" s="116">
        <v>247.39</v>
      </c>
      <c r="D927" s="116">
        <v>244.41</v>
      </c>
      <c r="E927" s="116">
        <v>244.41</v>
      </c>
      <c r="F927" s="116">
        <v>1236.95</v>
      </c>
      <c r="G927">
        <v>122595</v>
      </c>
      <c r="H927" s="116"/>
      <c r="I927" s="116"/>
      <c r="L927" s="170">
        <v>44084</v>
      </c>
      <c r="M927" s="116">
        <v>247.25</v>
      </c>
      <c r="N927" s="116">
        <v>252.99</v>
      </c>
      <c r="O927" s="116">
        <v>244.62</v>
      </c>
      <c r="P927" s="116">
        <v>245</v>
      </c>
      <c r="Q927" s="116">
        <v>1236.25</v>
      </c>
      <c r="R927">
        <v>1517747</v>
      </c>
    </row>
    <row r="928" spans="1:18" x14ac:dyDescent="0.25">
      <c r="A928" s="170">
        <v>44085</v>
      </c>
      <c r="B928" s="116">
        <v>253.6</v>
      </c>
      <c r="C928" s="116">
        <v>251.58</v>
      </c>
      <c r="D928" s="116">
        <v>247.55</v>
      </c>
      <c r="E928" s="116">
        <v>248</v>
      </c>
      <c r="F928" s="116">
        <v>1257.9000000000001</v>
      </c>
      <c r="G928">
        <v>75453</v>
      </c>
      <c r="H928" s="116"/>
      <c r="I928" s="116"/>
      <c r="L928" s="170">
        <v>44085</v>
      </c>
      <c r="M928" s="116">
        <v>251.55</v>
      </c>
      <c r="N928" s="116">
        <v>253.8</v>
      </c>
      <c r="O928" s="116">
        <v>247.6</v>
      </c>
      <c r="P928" s="116">
        <v>248.5</v>
      </c>
      <c r="Q928" s="116">
        <v>1257.75</v>
      </c>
      <c r="R928">
        <v>866864</v>
      </c>
    </row>
    <row r="929" spans="1:18" x14ac:dyDescent="0.25">
      <c r="A929" s="170">
        <v>44088</v>
      </c>
      <c r="B929" s="116">
        <v>270</v>
      </c>
      <c r="C929" s="116">
        <v>266.51</v>
      </c>
      <c r="D929" s="116">
        <v>255.05</v>
      </c>
      <c r="E929" s="116">
        <v>255.05</v>
      </c>
      <c r="F929" s="116">
        <v>1332.55</v>
      </c>
      <c r="G929">
        <v>135877</v>
      </c>
      <c r="H929" s="116"/>
      <c r="I929" s="116"/>
      <c r="L929" s="170">
        <v>44088</v>
      </c>
      <c r="M929" s="116">
        <v>266.02</v>
      </c>
      <c r="N929" s="116">
        <v>270.7</v>
      </c>
      <c r="O929" s="116">
        <v>256.2</v>
      </c>
      <c r="P929" s="116">
        <v>256.39999999999998</v>
      </c>
      <c r="Q929" s="116">
        <v>1330.1</v>
      </c>
      <c r="R929">
        <v>1948692</v>
      </c>
    </row>
    <row r="930" spans="1:18" x14ac:dyDescent="0.25">
      <c r="A930" s="170">
        <v>44089</v>
      </c>
      <c r="B930" s="116">
        <v>271.98</v>
      </c>
      <c r="C930" s="116">
        <v>268.39</v>
      </c>
      <c r="D930" s="116">
        <v>264.23</v>
      </c>
      <c r="E930" s="116">
        <v>269.39999999999998</v>
      </c>
      <c r="F930" s="116">
        <v>1341.95</v>
      </c>
      <c r="G930">
        <v>83237</v>
      </c>
      <c r="H930" s="116"/>
      <c r="I930" s="116"/>
      <c r="L930" s="170">
        <v>44089</v>
      </c>
      <c r="M930" s="116">
        <v>268</v>
      </c>
      <c r="N930" s="116">
        <v>274</v>
      </c>
      <c r="O930" s="116">
        <v>264.69</v>
      </c>
      <c r="P930" s="116">
        <v>269.8</v>
      </c>
      <c r="Q930" s="116">
        <v>1340</v>
      </c>
      <c r="R930">
        <v>990858</v>
      </c>
    </row>
    <row r="931" spans="1:18" x14ac:dyDescent="0.25">
      <c r="A931" s="170">
        <v>44090</v>
      </c>
      <c r="B931" s="116">
        <v>272.98</v>
      </c>
      <c r="C931" s="116">
        <v>269.43</v>
      </c>
      <c r="D931" s="116">
        <v>263.93</v>
      </c>
      <c r="E931" s="116">
        <v>272.98</v>
      </c>
      <c r="F931" s="116">
        <v>1347.15</v>
      </c>
      <c r="G931">
        <v>55114</v>
      </c>
      <c r="H931" s="116"/>
      <c r="I931" s="116"/>
      <c r="L931" s="170">
        <v>44090</v>
      </c>
      <c r="M931" s="116">
        <v>269.12</v>
      </c>
      <c r="N931" s="116">
        <v>271</v>
      </c>
      <c r="O931" s="116">
        <v>264.2</v>
      </c>
      <c r="P931" s="116">
        <v>270</v>
      </c>
      <c r="Q931" s="116">
        <v>1345.6</v>
      </c>
      <c r="R931">
        <v>791615</v>
      </c>
    </row>
    <row r="932" spans="1:18" x14ac:dyDescent="0.25">
      <c r="A932" s="170">
        <v>44091</v>
      </c>
      <c r="B932" s="116">
        <v>285</v>
      </c>
      <c r="C932" s="116">
        <v>281.10000000000002</v>
      </c>
      <c r="D932" s="116">
        <v>268.49</v>
      </c>
      <c r="E932" s="116">
        <v>269.44</v>
      </c>
      <c r="F932" s="116">
        <v>1405.5</v>
      </c>
      <c r="G932">
        <v>106732</v>
      </c>
      <c r="H932" s="116"/>
      <c r="I932" s="116"/>
      <c r="L932" s="170">
        <v>44091</v>
      </c>
      <c r="M932" s="116">
        <v>280.33999999999997</v>
      </c>
      <c r="N932" s="116">
        <v>285</v>
      </c>
      <c r="O932" s="116">
        <v>268.20999999999998</v>
      </c>
      <c r="P932" s="116">
        <v>269.88</v>
      </c>
      <c r="Q932" s="116">
        <v>1401.7</v>
      </c>
      <c r="R932">
        <v>1671413</v>
      </c>
    </row>
    <row r="933" spans="1:18" x14ac:dyDescent="0.25">
      <c r="A933" s="170">
        <v>44092</v>
      </c>
      <c r="B933" s="116">
        <v>304</v>
      </c>
      <c r="C933" s="116">
        <v>298.72000000000003</v>
      </c>
      <c r="D933" s="116">
        <v>286.2</v>
      </c>
      <c r="E933" s="116">
        <v>290</v>
      </c>
      <c r="F933" s="116">
        <v>1493.6</v>
      </c>
      <c r="G933">
        <v>232482</v>
      </c>
      <c r="H933" s="116"/>
      <c r="I933" s="116"/>
      <c r="L933" s="170">
        <v>44092</v>
      </c>
      <c r="M933" s="116">
        <v>298.7</v>
      </c>
      <c r="N933" s="116">
        <v>304</v>
      </c>
      <c r="O933" s="116">
        <v>288</v>
      </c>
      <c r="P933" s="116">
        <v>289.60000000000002</v>
      </c>
      <c r="Q933" s="116">
        <v>1493.5</v>
      </c>
      <c r="R933">
        <v>3317058</v>
      </c>
    </row>
    <row r="934" spans="1:18" x14ac:dyDescent="0.25">
      <c r="A934" s="170">
        <v>44095</v>
      </c>
      <c r="B934" s="116">
        <v>309.95999999999998</v>
      </c>
      <c r="C934" s="116">
        <v>285.31</v>
      </c>
      <c r="D934" s="116">
        <v>278.29000000000002</v>
      </c>
      <c r="E934" s="116">
        <v>300.60000000000002</v>
      </c>
      <c r="F934" s="116">
        <v>1426.55</v>
      </c>
      <c r="G934">
        <v>278966</v>
      </c>
      <c r="H934" s="116"/>
      <c r="I934" s="116"/>
      <c r="L934" s="170">
        <v>44095</v>
      </c>
      <c r="M934" s="116">
        <v>284.97000000000003</v>
      </c>
      <c r="N934" s="116">
        <v>310</v>
      </c>
      <c r="O934" s="116">
        <v>281</v>
      </c>
      <c r="P934" s="116">
        <v>300.8</v>
      </c>
      <c r="Q934" s="116">
        <v>1424.85</v>
      </c>
      <c r="R934">
        <v>2536029</v>
      </c>
    </row>
    <row r="935" spans="1:18" x14ac:dyDescent="0.25">
      <c r="A935" s="170">
        <v>44096</v>
      </c>
      <c r="B935" s="116">
        <v>287.04000000000002</v>
      </c>
      <c r="C935" s="116">
        <v>284.63</v>
      </c>
      <c r="D935" s="116">
        <v>257</v>
      </c>
      <c r="E935" s="116">
        <v>285</v>
      </c>
      <c r="F935" s="116">
        <v>1423.15</v>
      </c>
      <c r="G935">
        <v>262798</v>
      </c>
      <c r="H935" s="116"/>
      <c r="I935" s="116"/>
      <c r="L935" s="170">
        <v>44096</v>
      </c>
      <c r="M935" s="116">
        <v>284.19</v>
      </c>
      <c r="N935" s="116">
        <v>287.18</v>
      </c>
      <c r="O935" s="116">
        <v>260.25</v>
      </c>
      <c r="P935" s="116">
        <v>285.60000000000002</v>
      </c>
      <c r="Q935" s="116">
        <v>1420.95</v>
      </c>
      <c r="R935">
        <v>2385994</v>
      </c>
    </row>
    <row r="936" spans="1:18" x14ac:dyDescent="0.25">
      <c r="A936" s="170">
        <v>44097</v>
      </c>
      <c r="B936" s="116">
        <v>298.88</v>
      </c>
      <c r="C936" s="116">
        <v>273.26</v>
      </c>
      <c r="D936" s="116">
        <v>270.2</v>
      </c>
      <c r="E936" s="116">
        <v>289.88</v>
      </c>
      <c r="F936" s="116">
        <v>1366.3</v>
      </c>
      <c r="G936">
        <v>142286</v>
      </c>
      <c r="H936" s="116"/>
      <c r="I936" s="116"/>
      <c r="L936" s="170">
        <v>44097</v>
      </c>
      <c r="M936" s="116">
        <v>273.08</v>
      </c>
      <c r="N936" s="116">
        <v>299</v>
      </c>
      <c r="O936" s="116">
        <v>270.02</v>
      </c>
      <c r="P936" s="116">
        <v>288.99</v>
      </c>
      <c r="Q936" s="116">
        <v>1365.4</v>
      </c>
      <c r="R936">
        <v>1599480</v>
      </c>
    </row>
    <row r="937" spans="1:18" x14ac:dyDescent="0.25">
      <c r="A937" s="170">
        <v>44098</v>
      </c>
      <c r="B937" s="116">
        <v>269.45999999999998</v>
      </c>
      <c r="C937" s="116">
        <v>258.27999999999997</v>
      </c>
      <c r="D937" s="116">
        <v>249.29</v>
      </c>
      <c r="E937" s="116">
        <v>266.39999999999998</v>
      </c>
      <c r="F937" s="116">
        <v>1291.4000000000001</v>
      </c>
      <c r="G937">
        <v>262286</v>
      </c>
      <c r="H937" s="116"/>
      <c r="I937" s="116"/>
      <c r="L937" s="170">
        <v>44098</v>
      </c>
      <c r="M937" s="116">
        <v>258.36</v>
      </c>
      <c r="N937" s="116">
        <v>269.39999999999998</v>
      </c>
      <c r="O937" s="116">
        <v>251.28</v>
      </c>
      <c r="P937" s="116">
        <v>266</v>
      </c>
      <c r="Q937" s="116">
        <v>1291.8</v>
      </c>
      <c r="R937">
        <v>2134481</v>
      </c>
    </row>
    <row r="938" spans="1:18" x14ac:dyDescent="0.25">
      <c r="A938" s="170">
        <v>44099</v>
      </c>
      <c r="B938" s="116">
        <v>271.92</v>
      </c>
      <c r="C938" s="116">
        <v>265.42</v>
      </c>
      <c r="D938" s="116">
        <v>255</v>
      </c>
      <c r="E938" s="116">
        <v>261</v>
      </c>
      <c r="F938" s="116">
        <v>1327.1</v>
      </c>
      <c r="G938">
        <v>91598</v>
      </c>
      <c r="H938" s="116"/>
      <c r="I938" s="116"/>
      <c r="L938" s="170">
        <v>44099</v>
      </c>
      <c r="M938" s="116">
        <v>265.61</v>
      </c>
      <c r="N938" s="116">
        <v>271.79000000000002</v>
      </c>
      <c r="O938" s="116">
        <v>255.62</v>
      </c>
      <c r="P938" s="116">
        <v>264</v>
      </c>
      <c r="Q938" s="116">
        <v>1328.05</v>
      </c>
      <c r="R938">
        <v>1638003</v>
      </c>
    </row>
    <row r="939" spans="1:18" x14ac:dyDescent="0.25">
      <c r="A939" s="170">
        <v>44102</v>
      </c>
      <c r="B939" s="116">
        <v>291.95999999999998</v>
      </c>
      <c r="C939" s="116">
        <v>291.95999999999998</v>
      </c>
      <c r="D939" s="116">
        <v>269.79000000000002</v>
      </c>
      <c r="E939" s="116">
        <v>269.79000000000002</v>
      </c>
      <c r="F939" s="116">
        <v>1459.8</v>
      </c>
      <c r="G939">
        <v>190686</v>
      </c>
      <c r="H939" s="116"/>
      <c r="I939" s="116"/>
      <c r="L939" s="170">
        <v>44102</v>
      </c>
      <c r="M939" s="116">
        <v>292.17</v>
      </c>
      <c r="N939" s="116">
        <v>292.17</v>
      </c>
      <c r="O939" s="116">
        <v>271</v>
      </c>
      <c r="P939" s="116">
        <v>271</v>
      </c>
      <c r="Q939" s="116">
        <v>1460.85</v>
      </c>
      <c r="R939">
        <v>2140676</v>
      </c>
    </row>
    <row r="940" spans="1:18" x14ac:dyDescent="0.25">
      <c r="A940" s="170">
        <v>44103</v>
      </c>
      <c r="B940" s="116">
        <v>308</v>
      </c>
      <c r="C940" s="116">
        <v>289.14999999999998</v>
      </c>
      <c r="D940" s="116">
        <v>284</v>
      </c>
      <c r="E940" s="116">
        <v>297</v>
      </c>
      <c r="F940" s="116">
        <v>289.14999999999998</v>
      </c>
      <c r="G940">
        <v>459262</v>
      </c>
      <c r="H940" s="116"/>
      <c r="I940" s="116"/>
      <c r="L940" s="170">
        <v>44103</v>
      </c>
      <c r="M940" s="116">
        <v>289.2</v>
      </c>
      <c r="N940" s="116">
        <v>306.95</v>
      </c>
      <c r="O940" s="116">
        <v>283.5</v>
      </c>
      <c r="P940" s="116">
        <v>299</v>
      </c>
      <c r="Q940" s="116">
        <v>289.2</v>
      </c>
      <c r="R940">
        <v>7421623</v>
      </c>
    </row>
    <row r="941" spans="1:18" x14ac:dyDescent="0.25">
      <c r="A941" s="170">
        <v>44104</v>
      </c>
      <c r="B941" s="116">
        <v>294.60000000000002</v>
      </c>
      <c r="C941" s="116">
        <v>287.05</v>
      </c>
      <c r="D941" s="116">
        <v>285.8</v>
      </c>
      <c r="E941" s="116">
        <v>290.5</v>
      </c>
      <c r="F941" s="116">
        <v>287.05</v>
      </c>
      <c r="G941">
        <v>160423</v>
      </c>
      <c r="H941" s="116"/>
      <c r="I941" s="116"/>
      <c r="L941" s="170">
        <v>44104</v>
      </c>
      <c r="M941" s="116">
        <v>287.14999999999998</v>
      </c>
      <c r="N941" s="116">
        <v>294.89999999999998</v>
      </c>
      <c r="O941" s="116">
        <v>285.10000000000002</v>
      </c>
      <c r="P941" s="116">
        <v>290</v>
      </c>
      <c r="Q941" s="116">
        <v>287.14999999999998</v>
      </c>
      <c r="R941">
        <v>2291483</v>
      </c>
    </row>
    <row r="942" spans="1:18" x14ac:dyDescent="0.25">
      <c r="A942" s="170">
        <v>44105</v>
      </c>
      <c r="B942" s="116">
        <v>293</v>
      </c>
      <c r="C942" s="116">
        <v>280.39999999999998</v>
      </c>
      <c r="D942" s="116">
        <v>277</v>
      </c>
      <c r="E942" s="116">
        <v>290.5</v>
      </c>
      <c r="F942" s="116">
        <v>280.39999999999998</v>
      </c>
      <c r="G942">
        <v>134091</v>
      </c>
      <c r="H942" s="116"/>
      <c r="I942" s="116"/>
      <c r="L942" s="170">
        <v>44105</v>
      </c>
      <c r="M942" s="116">
        <v>280.35000000000002</v>
      </c>
      <c r="N942" s="116">
        <v>292.89999999999998</v>
      </c>
      <c r="O942" s="116">
        <v>277</v>
      </c>
      <c r="P942" s="116">
        <v>292</v>
      </c>
      <c r="Q942" s="116">
        <v>280.35000000000002</v>
      </c>
      <c r="R942">
        <v>2261275</v>
      </c>
    </row>
    <row r="943" spans="1:18" x14ac:dyDescent="0.25">
      <c r="A943" s="170">
        <v>44109</v>
      </c>
      <c r="B943" s="116">
        <v>298.95</v>
      </c>
      <c r="C943" s="116">
        <v>295.39999999999998</v>
      </c>
      <c r="D943" s="116">
        <v>265</v>
      </c>
      <c r="E943" s="116">
        <v>277.7</v>
      </c>
      <c r="F943" s="116">
        <v>295.39999999999998</v>
      </c>
      <c r="G943">
        <v>857591</v>
      </c>
      <c r="H943" s="116"/>
      <c r="I943" s="116"/>
      <c r="L943" s="170">
        <v>44109</v>
      </c>
      <c r="M943" s="116">
        <v>295.5</v>
      </c>
      <c r="N943" s="116">
        <v>298.7</v>
      </c>
      <c r="O943" s="116">
        <v>268.39999999999998</v>
      </c>
      <c r="P943" s="116">
        <v>277</v>
      </c>
      <c r="Q943" s="116">
        <v>295.5</v>
      </c>
      <c r="R943">
        <v>6090168</v>
      </c>
    </row>
    <row r="944" spans="1:18" x14ac:dyDescent="0.25">
      <c r="A944" s="170">
        <v>44110</v>
      </c>
      <c r="B944" s="116">
        <v>317.8</v>
      </c>
      <c r="C944" s="116">
        <v>311.05</v>
      </c>
      <c r="D944" s="116">
        <v>298.39999999999998</v>
      </c>
      <c r="E944" s="116">
        <v>301.89999999999998</v>
      </c>
      <c r="F944" s="116">
        <v>311.05</v>
      </c>
      <c r="G944">
        <v>501354</v>
      </c>
      <c r="H944" s="116"/>
      <c r="I944" s="116"/>
      <c r="L944" s="170">
        <v>44110</v>
      </c>
      <c r="M944" s="116">
        <v>311.2</v>
      </c>
      <c r="N944" s="116">
        <v>317.85000000000002</v>
      </c>
      <c r="O944" s="116">
        <v>298.2</v>
      </c>
      <c r="P944" s="116">
        <v>300.60000000000002</v>
      </c>
      <c r="Q944" s="116">
        <v>311.2</v>
      </c>
      <c r="R944">
        <v>8893952</v>
      </c>
    </row>
    <row r="945" spans="1:18" x14ac:dyDescent="0.25">
      <c r="A945" s="170">
        <v>44111</v>
      </c>
      <c r="B945" s="116">
        <v>328</v>
      </c>
      <c r="C945" s="116">
        <v>326</v>
      </c>
      <c r="D945" s="116">
        <v>312</v>
      </c>
      <c r="E945" s="116">
        <v>312.89999999999998</v>
      </c>
      <c r="F945" s="116">
        <v>326</v>
      </c>
      <c r="G945">
        <v>329813</v>
      </c>
      <c r="H945" s="116"/>
      <c r="I945" s="116"/>
      <c r="L945" s="170">
        <v>44111</v>
      </c>
      <c r="M945" s="116">
        <v>326</v>
      </c>
      <c r="N945" s="116">
        <v>328</v>
      </c>
      <c r="O945" s="116">
        <v>312</v>
      </c>
      <c r="P945" s="116">
        <v>312</v>
      </c>
      <c r="Q945" s="116">
        <v>326</v>
      </c>
      <c r="R945">
        <v>8340710</v>
      </c>
    </row>
    <row r="946" spans="1:18" x14ac:dyDescent="0.25">
      <c r="A946" s="170">
        <v>44112</v>
      </c>
      <c r="B946" s="116">
        <v>343.2</v>
      </c>
      <c r="C946" s="116">
        <v>338.3</v>
      </c>
      <c r="D946" s="116">
        <v>327</v>
      </c>
      <c r="E946" s="116">
        <v>333.7</v>
      </c>
      <c r="F946" s="116">
        <v>338.3</v>
      </c>
      <c r="G946">
        <v>903953</v>
      </c>
      <c r="H946" s="116"/>
      <c r="I946" s="116"/>
      <c r="L946" s="170">
        <v>44112</v>
      </c>
      <c r="M946" s="116">
        <v>338.3</v>
      </c>
      <c r="N946" s="116">
        <v>343.3</v>
      </c>
      <c r="O946" s="116">
        <v>327.39999999999998</v>
      </c>
      <c r="P946" s="116">
        <v>331.4</v>
      </c>
      <c r="Q946" s="116">
        <v>338.3</v>
      </c>
      <c r="R946">
        <v>9815898</v>
      </c>
    </row>
    <row r="947" spans="1:18" x14ac:dyDescent="0.25">
      <c r="A947" s="170">
        <v>44113</v>
      </c>
      <c r="B947" s="116">
        <v>341.7</v>
      </c>
      <c r="C947" s="116">
        <v>326.60000000000002</v>
      </c>
      <c r="D947" s="116">
        <v>325</v>
      </c>
      <c r="E947" s="116">
        <v>341.7</v>
      </c>
      <c r="F947" s="116">
        <v>326.60000000000002</v>
      </c>
      <c r="G947">
        <v>557508</v>
      </c>
      <c r="H947" s="116"/>
      <c r="I947" s="116"/>
      <c r="L947" s="170">
        <v>44113</v>
      </c>
      <c r="M947" s="116">
        <v>326.55</v>
      </c>
      <c r="N947" s="116">
        <v>342</v>
      </c>
      <c r="O947" s="116">
        <v>325.25</v>
      </c>
      <c r="P947" s="116">
        <v>340</v>
      </c>
      <c r="Q947" s="116">
        <v>326.55</v>
      </c>
      <c r="R947">
        <v>5047594</v>
      </c>
    </row>
    <row r="948" spans="1:18" x14ac:dyDescent="0.25">
      <c r="A948" s="170">
        <v>44116</v>
      </c>
      <c r="B948" s="116">
        <v>334.5</v>
      </c>
      <c r="C948" s="116">
        <v>331.9</v>
      </c>
      <c r="D948" s="116">
        <v>312.60000000000002</v>
      </c>
      <c r="E948" s="116">
        <v>327.2</v>
      </c>
      <c r="F948" s="116">
        <v>331.9</v>
      </c>
      <c r="G948">
        <v>834605</v>
      </c>
      <c r="H948" s="116"/>
      <c r="I948" s="116"/>
      <c r="L948" s="170">
        <v>44116</v>
      </c>
      <c r="M948" s="116">
        <v>332.1</v>
      </c>
      <c r="N948" s="116">
        <v>334.85</v>
      </c>
      <c r="O948" s="116">
        <v>313.10000000000002</v>
      </c>
      <c r="P948" s="116">
        <v>328</v>
      </c>
      <c r="Q948" s="116">
        <v>332.1</v>
      </c>
      <c r="R948">
        <v>5714699</v>
      </c>
    </row>
    <row r="949" spans="1:18" x14ac:dyDescent="0.25">
      <c r="A949" s="170">
        <v>44117</v>
      </c>
      <c r="B949" s="116">
        <v>336.5</v>
      </c>
      <c r="C949" s="116">
        <v>326.7</v>
      </c>
      <c r="D949" s="116">
        <v>324</v>
      </c>
      <c r="E949" s="116">
        <v>333.9</v>
      </c>
      <c r="F949" s="116">
        <v>326.7</v>
      </c>
      <c r="G949">
        <v>149938</v>
      </c>
      <c r="H949" s="116"/>
      <c r="I949" s="116"/>
      <c r="L949" s="170">
        <v>44117</v>
      </c>
      <c r="M949" s="116">
        <v>327.39999999999998</v>
      </c>
      <c r="N949" s="116">
        <v>337</v>
      </c>
      <c r="O949" s="116">
        <v>324.05</v>
      </c>
      <c r="P949" s="116">
        <v>333.5</v>
      </c>
      <c r="Q949" s="116">
        <v>327.39999999999998</v>
      </c>
      <c r="R949">
        <v>3559887</v>
      </c>
    </row>
    <row r="950" spans="1:18" x14ac:dyDescent="0.25">
      <c r="A950" s="170">
        <v>44118</v>
      </c>
      <c r="B950" s="116">
        <v>327.8</v>
      </c>
      <c r="C950" s="116">
        <v>325.35000000000002</v>
      </c>
      <c r="D950" s="116">
        <v>317.5</v>
      </c>
      <c r="E950" s="116">
        <v>326.85000000000002</v>
      </c>
      <c r="F950" s="116">
        <v>325.35000000000002</v>
      </c>
      <c r="G950">
        <v>120597</v>
      </c>
      <c r="H950" s="116"/>
      <c r="I950" s="116"/>
      <c r="L950" s="170">
        <v>44118</v>
      </c>
      <c r="M950" s="116">
        <v>325.45</v>
      </c>
      <c r="N950" s="116">
        <v>327.8</v>
      </c>
      <c r="O950" s="116">
        <v>317</v>
      </c>
      <c r="P950" s="116">
        <v>326.45</v>
      </c>
      <c r="Q950" s="116">
        <v>325.45</v>
      </c>
      <c r="R950">
        <v>3521267</v>
      </c>
    </row>
    <row r="951" spans="1:18" x14ac:dyDescent="0.25">
      <c r="A951" s="170">
        <v>44119</v>
      </c>
      <c r="B951" s="116">
        <v>331</v>
      </c>
      <c r="C951" s="116">
        <v>316.05</v>
      </c>
      <c r="D951" s="116">
        <v>313.7</v>
      </c>
      <c r="E951" s="116">
        <v>326.95</v>
      </c>
      <c r="F951" s="116">
        <v>316.05</v>
      </c>
      <c r="G951">
        <v>136498</v>
      </c>
      <c r="H951" s="116"/>
      <c r="I951" s="116"/>
      <c r="L951" s="170">
        <v>44119</v>
      </c>
      <c r="M951" s="116">
        <v>315.8</v>
      </c>
      <c r="N951" s="116">
        <v>331</v>
      </c>
      <c r="O951" s="116">
        <v>313</v>
      </c>
      <c r="P951" s="116">
        <v>326</v>
      </c>
      <c r="Q951" s="116">
        <v>315.8</v>
      </c>
      <c r="R951">
        <v>3464729</v>
      </c>
    </row>
    <row r="952" spans="1:18" x14ac:dyDescent="0.25">
      <c r="A952" s="170">
        <v>44120</v>
      </c>
      <c r="B952" s="116">
        <v>328</v>
      </c>
      <c r="C952" s="116">
        <v>326.14999999999998</v>
      </c>
      <c r="D952" s="116">
        <v>308.2</v>
      </c>
      <c r="E952" s="116">
        <v>317.14999999999998</v>
      </c>
      <c r="F952" s="116">
        <v>326.14999999999998</v>
      </c>
      <c r="G952">
        <v>487604</v>
      </c>
      <c r="H952" s="116"/>
      <c r="I952" s="116"/>
      <c r="L952" s="170">
        <v>44120</v>
      </c>
      <c r="M952" s="116">
        <v>326.10000000000002</v>
      </c>
      <c r="N952" s="116">
        <v>327.9</v>
      </c>
      <c r="O952" s="116">
        <v>308</v>
      </c>
      <c r="P952" s="116">
        <v>318</v>
      </c>
      <c r="Q952" s="116">
        <v>326.10000000000002</v>
      </c>
      <c r="R952">
        <v>3519291</v>
      </c>
    </row>
    <row r="953" spans="1:18" x14ac:dyDescent="0.25">
      <c r="A953" s="170">
        <v>44123</v>
      </c>
      <c r="B953" s="116">
        <v>337.25</v>
      </c>
      <c r="C953" s="116">
        <v>332</v>
      </c>
      <c r="D953" s="116">
        <v>327</v>
      </c>
      <c r="E953" s="116">
        <v>330.2</v>
      </c>
      <c r="F953" s="116">
        <v>332</v>
      </c>
      <c r="G953">
        <v>422179</v>
      </c>
      <c r="H953" s="116"/>
      <c r="I953" s="116"/>
      <c r="L953" s="170">
        <v>44123</v>
      </c>
      <c r="M953" s="116">
        <v>332</v>
      </c>
      <c r="N953" s="116">
        <v>337.4</v>
      </c>
      <c r="O953" s="116">
        <v>328.9</v>
      </c>
      <c r="P953" s="116">
        <v>331</v>
      </c>
      <c r="Q953" s="116">
        <v>332</v>
      </c>
      <c r="R953">
        <v>3612266</v>
      </c>
    </row>
    <row r="954" spans="1:18" x14ac:dyDescent="0.25">
      <c r="A954" s="170">
        <v>44124</v>
      </c>
      <c r="B954" s="116">
        <v>341.25</v>
      </c>
      <c r="C954" s="116">
        <v>336.85</v>
      </c>
      <c r="D954" s="116">
        <v>330.2</v>
      </c>
      <c r="E954" s="116">
        <v>330.2</v>
      </c>
      <c r="F954" s="116">
        <v>336.85</v>
      </c>
      <c r="G954">
        <v>444110</v>
      </c>
      <c r="H954" s="116"/>
      <c r="I954" s="116"/>
      <c r="L954" s="170">
        <v>44124</v>
      </c>
      <c r="M954" s="116">
        <v>336.85</v>
      </c>
      <c r="N954" s="116">
        <v>341.25</v>
      </c>
      <c r="O954" s="116">
        <v>333</v>
      </c>
      <c r="P954" s="116">
        <v>333.5</v>
      </c>
      <c r="Q954" s="116">
        <v>336.85</v>
      </c>
      <c r="R954">
        <v>3719152</v>
      </c>
    </row>
    <row r="955" spans="1:18" x14ac:dyDescent="0.25">
      <c r="A955" s="170">
        <v>44125</v>
      </c>
      <c r="B955" s="116">
        <v>341.5</v>
      </c>
      <c r="C955" s="116">
        <v>333.7</v>
      </c>
      <c r="D955" s="116">
        <v>326.14999999999998</v>
      </c>
      <c r="E955" s="116">
        <v>339.2</v>
      </c>
      <c r="F955" s="116">
        <v>333.7</v>
      </c>
      <c r="G955">
        <v>388442</v>
      </c>
      <c r="H955" s="116"/>
      <c r="I955" s="116"/>
      <c r="L955" s="170">
        <v>44125</v>
      </c>
      <c r="M955" s="116">
        <v>333.85</v>
      </c>
      <c r="N955" s="116">
        <v>341.9</v>
      </c>
      <c r="O955" s="116">
        <v>326</v>
      </c>
      <c r="P955" s="116">
        <v>340</v>
      </c>
      <c r="Q955" s="116">
        <v>333.85</v>
      </c>
      <c r="R955">
        <v>2923490</v>
      </c>
    </row>
    <row r="956" spans="1:18" x14ac:dyDescent="0.25">
      <c r="A956" s="170">
        <v>44126</v>
      </c>
      <c r="B956" s="116">
        <v>338.9</v>
      </c>
      <c r="C956" s="116">
        <v>336.45</v>
      </c>
      <c r="D956" s="116">
        <v>325.45</v>
      </c>
      <c r="E956" s="116">
        <v>334</v>
      </c>
      <c r="F956" s="116">
        <v>336.45</v>
      </c>
      <c r="G956">
        <v>136159</v>
      </c>
      <c r="H956" s="116"/>
      <c r="I956" s="116"/>
      <c r="L956" s="170">
        <v>44126</v>
      </c>
      <c r="M956" s="116">
        <v>335.85</v>
      </c>
      <c r="N956" s="116">
        <v>339.1</v>
      </c>
      <c r="O956" s="116">
        <v>325.05</v>
      </c>
      <c r="P956" s="116">
        <v>333</v>
      </c>
      <c r="Q956" s="116">
        <v>335.85</v>
      </c>
      <c r="R956">
        <v>2855312</v>
      </c>
    </row>
    <row r="957" spans="1:18" x14ac:dyDescent="0.25">
      <c r="A957" s="170">
        <v>44127</v>
      </c>
      <c r="B957" s="116">
        <v>341</v>
      </c>
      <c r="C957" s="116">
        <v>335.5</v>
      </c>
      <c r="D957" s="116">
        <v>334.15</v>
      </c>
      <c r="E957" s="116">
        <v>339.4</v>
      </c>
      <c r="F957" s="116">
        <v>335.5</v>
      </c>
      <c r="G957">
        <v>176019</v>
      </c>
      <c r="H957" s="116"/>
      <c r="I957" s="116"/>
      <c r="L957" s="170">
        <v>44127</v>
      </c>
      <c r="M957" s="116">
        <v>335.55</v>
      </c>
      <c r="N957" s="116">
        <v>341</v>
      </c>
      <c r="O957" s="116">
        <v>334.15</v>
      </c>
      <c r="P957" s="116">
        <v>339.75</v>
      </c>
      <c r="Q957" s="116">
        <v>335.55</v>
      </c>
      <c r="R957">
        <v>1920554</v>
      </c>
    </row>
    <row r="958" spans="1:18" x14ac:dyDescent="0.25">
      <c r="A958" s="170">
        <v>44130</v>
      </c>
      <c r="B958" s="116">
        <v>339.65</v>
      </c>
      <c r="C958" s="116">
        <v>316</v>
      </c>
      <c r="D958" s="116">
        <v>313.60000000000002</v>
      </c>
      <c r="E958" s="116">
        <v>339</v>
      </c>
      <c r="F958" s="116">
        <v>316</v>
      </c>
      <c r="G958">
        <v>248454</v>
      </c>
      <c r="H958" s="116"/>
      <c r="I958" s="116"/>
      <c r="L958" s="170">
        <v>44130</v>
      </c>
      <c r="M958" s="116">
        <v>315.85000000000002</v>
      </c>
      <c r="N958" s="116">
        <v>340.85</v>
      </c>
      <c r="O958" s="116">
        <v>313.35000000000002</v>
      </c>
      <c r="P958" s="116">
        <v>339</v>
      </c>
      <c r="Q958" s="116">
        <v>315.85000000000002</v>
      </c>
      <c r="R958">
        <v>5758591</v>
      </c>
    </row>
    <row r="959" spans="1:18" x14ac:dyDescent="0.25">
      <c r="A959" s="170">
        <v>44131</v>
      </c>
      <c r="B959" s="116">
        <v>325.55</v>
      </c>
      <c r="C959" s="116">
        <v>323.5</v>
      </c>
      <c r="D959" s="116">
        <v>301</v>
      </c>
      <c r="E959" s="116">
        <v>317.3</v>
      </c>
      <c r="F959" s="116">
        <v>323.5</v>
      </c>
      <c r="G959">
        <v>575238</v>
      </c>
      <c r="H959" s="116"/>
      <c r="I959" s="116"/>
      <c r="L959" s="170">
        <v>44131</v>
      </c>
      <c r="M959" s="116">
        <v>323.60000000000002</v>
      </c>
      <c r="N959" s="116">
        <v>325.75</v>
      </c>
      <c r="O959" s="116">
        <v>305</v>
      </c>
      <c r="P959" s="116">
        <v>318.8</v>
      </c>
      <c r="Q959" s="116">
        <v>323.60000000000002</v>
      </c>
      <c r="R959">
        <v>6475323</v>
      </c>
    </row>
    <row r="960" spans="1:18" x14ac:dyDescent="0.25">
      <c r="A960" s="170">
        <v>44132</v>
      </c>
      <c r="B960" s="116">
        <v>329.65</v>
      </c>
      <c r="C960" s="116">
        <v>322.64999999999998</v>
      </c>
      <c r="D960" s="116">
        <v>320.05</v>
      </c>
      <c r="E960" s="116">
        <v>325.95</v>
      </c>
      <c r="F960" s="116">
        <v>322.64999999999998</v>
      </c>
      <c r="G960">
        <v>125186</v>
      </c>
      <c r="H960" s="116"/>
      <c r="I960" s="116"/>
      <c r="L960" s="170">
        <v>44132</v>
      </c>
      <c r="M960" s="116">
        <v>322.55</v>
      </c>
      <c r="N960" s="116">
        <v>329.9</v>
      </c>
      <c r="O960" s="116">
        <v>320.05</v>
      </c>
      <c r="P960" s="116">
        <v>325.25</v>
      </c>
      <c r="Q960" s="116">
        <v>322.55</v>
      </c>
      <c r="R960">
        <v>4033071</v>
      </c>
    </row>
    <row r="961" spans="1:18" x14ac:dyDescent="0.25">
      <c r="A961" s="170">
        <v>44133</v>
      </c>
      <c r="B961" s="116">
        <v>337.75</v>
      </c>
      <c r="C961" s="116">
        <v>330.35</v>
      </c>
      <c r="D961" s="116">
        <v>309.7</v>
      </c>
      <c r="E961" s="116">
        <v>316</v>
      </c>
      <c r="F961" s="116">
        <v>330.35</v>
      </c>
      <c r="G961">
        <v>1026343</v>
      </c>
      <c r="H961" s="116"/>
      <c r="I961" s="116"/>
      <c r="L961" s="170">
        <v>44133</v>
      </c>
      <c r="M961" s="116">
        <v>329.95</v>
      </c>
      <c r="N961" s="116">
        <v>337.5</v>
      </c>
      <c r="O961" s="116">
        <v>309</v>
      </c>
      <c r="P961" s="116">
        <v>319</v>
      </c>
      <c r="Q961" s="116">
        <v>329.95</v>
      </c>
      <c r="R961">
        <v>11368875</v>
      </c>
    </row>
    <row r="962" spans="1:18" x14ac:dyDescent="0.25">
      <c r="A962" s="170">
        <v>44134</v>
      </c>
      <c r="B962" s="116">
        <v>345</v>
      </c>
      <c r="C962" s="116">
        <v>319.2</v>
      </c>
      <c r="D962" s="116">
        <v>316.25</v>
      </c>
      <c r="E962" s="116">
        <v>337</v>
      </c>
      <c r="F962" s="116">
        <v>319.2</v>
      </c>
      <c r="G962">
        <v>1076988</v>
      </c>
      <c r="H962" s="116"/>
      <c r="I962" s="116"/>
      <c r="L962" s="170">
        <v>44134</v>
      </c>
      <c r="M962" s="116">
        <v>319.39999999999998</v>
      </c>
      <c r="N962" s="116">
        <v>344.9</v>
      </c>
      <c r="O962" s="116">
        <v>316.5</v>
      </c>
      <c r="P962" s="116">
        <v>335</v>
      </c>
      <c r="Q962" s="116">
        <v>319.39999999999998</v>
      </c>
      <c r="R962">
        <v>12111836</v>
      </c>
    </row>
    <row r="963" spans="1:18" x14ac:dyDescent="0.25">
      <c r="A963" s="170">
        <v>44137</v>
      </c>
      <c r="B963" s="116">
        <v>321</v>
      </c>
      <c r="C963" s="116">
        <v>300.75</v>
      </c>
      <c r="D963" s="116">
        <v>298.25</v>
      </c>
      <c r="E963" s="116">
        <v>321</v>
      </c>
      <c r="F963" s="116">
        <v>300.75</v>
      </c>
      <c r="G963">
        <v>533664</v>
      </c>
      <c r="H963" s="116"/>
      <c r="I963" s="116"/>
      <c r="L963" s="170">
        <v>44137</v>
      </c>
      <c r="M963" s="116">
        <v>300.85000000000002</v>
      </c>
      <c r="N963" s="116">
        <v>319.7</v>
      </c>
      <c r="O963" s="116">
        <v>298.45</v>
      </c>
      <c r="P963" s="116">
        <v>319.5</v>
      </c>
      <c r="Q963" s="116">
        <v>300.85000000000002</v>
      </c>
      <c r="R963">
        <v>10620524</v>
      </c>
    </row>
    <row r="964" spans="1:18" x14ac:dyDescent="0.25">
      <c r="A964" s="170">
        <v>44138</v>
      </c>
      <c r="B964" s="116">
        <v>305.2</v>
      </c>
      <c r="C964" s="116">
        <v>291.3</v>
      </c>
      <c r="D964" s="116">
        <v>287.5</v>
      </c>
      <c r="E964" s="116">
        <v>304.89999999999998</v>
      </c>
      <c r="F964" s="116">
        <v>291.3</v>
      </c>
      <c r="G964">
        <v>388149</v>
      </c>
      <c r="H964" s="116"/>
      <c r="I964" s="116"/>
      <c r="L964" s="170">
        <v>44138</v>
      </c>
      <c r="M964" s="116">
        <v>291.35000000000002</v>
      </c>
      <c r="N964" s="116">
        <v>305.35000000000002</v>
      </c>
      <c r="O964" s="116">
        <v>287.35000000000002</v>
      </c>
      <c r="P964" s="116">
        <v>305</v>
      </c>
      <c r="Q964" s="116">
        <v>291.35000000000002</v>
      </c>
      <c r="R964">
        <v>7325073</v>
      </c>
    </row>
    <row r="965" spans="1:18" x14ac:dyDescent="0.25">
      <c r="A965" s="170">
        <v>44139</v>
      </c>
      <c r="B965" s="116">
        <v>296.14999999999998</v>
      </c>
      <c r="C965" s="116">
        <v>277.2</v>
      </c>
      <c r="D965" s="116">
        <v>271</v>
      </c>
      <c r="E965" s="116">
        <v>291.05</v>
      </c>
      <c r="F965" s="116">
        <v>277.2</v>
      </c>
      <c r="G965">
        <v>414367</v>
      </c>
      <c r="H965" s="116"/>
      <c r="I965" s="116"/>
      <c r="L965" s="170">
        <v>44139</v>
      </c>
      <c r="M965" s="116">
        <v>277.2</v>
      </c>
      <c r="N965" s="116">
        <v>296.3</v>
      </c>
      <c r="O965" s="116">
        <v>270.05</v>
      </c>
      <c r="P965" s="116">
        <v>292</v>
      </c>
      <c r="Q965" s="116">
        <v>277.2</v>
      </c>
      <c r="R965">
        <v>9354697</v>
      </c>
    </row>
    <row r="966" spans="1:18" x14ac:dyDescent="0.25">
      <c r="A966" s="170">
        <v>44140</v>
      </c>
      <c r="B966" s="116">
        <v>290</v>
      </c>
      <c r="C966" s="116">
        <v>282.10000000000002</v>
      </c>
      <c r="D966" s="116">
        <v>280</v>
      </c>
      <c r="E966" s="116">
        <v>280.5</v>
      </c>
      <c r="F966" s="116">
        <v>282.10000000000002</v>
      </c>
      <c r="G966">
        <v>565741</v>
      </c>
      <c r="H966" s="116"/>
      <c r="I966" s="116"/>
      <c r="L966" s="170">
        <v>44140</v>
      </c>
      <c r="M966" s="116">
        <v>282.05</v>
      </c>
      <c r="N966" s="116">
        <v>290</v>
      </c>
      <c r="O966" s="116">
        <v>279.5</v>
      </c>
      <c r="P966" s="116">
        <v>281.14999999999998</v>
      </c>
      <c r="Q966" s="116">
        <v>282.05</v>
      </c>
      <c r="R966">
        <v>6327541</v>
      </c>
    </row>
    <row r="967" spans="1:18" x14ac:dyDescent="0.25">
      <c r="A967" s="170">
        <v>44141</v>
      </c>
      <c r="B967" s="116">
        <v>285.45</v>
      </c>
      <c r="C967" s="116">
        <v>276.85000000000002</v>
      </c>
      <c r="D967" s="116">
        <v>275.5</v>
      </c>
      <c r="E967" s="116">
        <v>280.7</v>
      </c>
      <c r="F967" s="116">
        <v>276.85000000000002</v>
      </c>
      <c r="G967">
        <v>420154</v>
      </c>
      <c r="H967" s="116"/>
      <c r="I967" s="116"/>
      <c r="L967" s="170">
        <v>44141</v>
      </c>
      <c r="M967" s="116">
        <v>276.8</v>
      </c>
      <c r="N967" s="116">
        <v>285.60000000000002</v>
      </c>
      <c r="O967" s="116">
        <v>275.60000000000002</v>
      </c>
      <c r="P967" s="116">
        <v>281.8</v>
      </c>
      <c r="Q967" s="116">
        <v>276.8</v>
      </c>
      <c r="R967">
        <v>4213405</v>
      </c>
    </row>
    <row r="968" spans="1:18" x14ac:dyDescent="0.25">
      <c r="A968" s="170">
        <v>44144</v>
      </c>
      <c r="B968" s="116">
        <v>283.60000000000002</v>
      </c>
      <c r="C968" s="116">
        <v>264.3</v>
      </c>
      <c r="D968" s="116">
        <v>260.3</v>
      </c>
      <c r="E968" s="116">
        <v>279</v>
      </c>
      <c r="F968" s="116">
        <v>264.3</v>
      </c>
      <c r="G968">
        <v>917014</v>
      </c>
      <c r="H968" s="116"/>
      <c r="I968" s="116"/>
      <c r="L968" s="170">
        <v>44144</v>
      </c>
      <c r="M968" s="116">
        <v>264.2</v>
      </c>
      <c r="N968" s="116">
        <v>283.95</v>
      </c>
      <c r="O968" s="116">
        <v>260.35000000000002</v>
      </c>
      <c r="P968" s="116">
        <v>280</v>
      </c>
      <c r="Q968" s="116">
        <v>264.2</v>
      </c>
      <c r="R968">
        <v>9138703</v>
      </c>
    </row>
    <row r="969" spans="1:18" x14ac:dyDescent="0.25">
      <c r="A969" s="170">
        <v>44145</v>
      </c>
      <c r="B969" s="116">
        <v>275</v>
      </c>
      <c r="C969" s="116">
        <v>259.5</v>
      </c>
      <c r="D969" s="116">
        <v>254</v>
      </c>
      <c r="E969" s="116">
        <v>263.8</v>
      </c>
      <c r="F969" s="116">
        <v>259.5</v>
      </c>
      <c r="G969">
        <v>909021</v>
      </c>
      <c r="H969" s="116"/>
      <c r="I969" s="116"/>
      <c r="L969" s="170">
        <v>44145</v>
      </c>
      <c r="M969" s="116">
        <v>259.5</v>
      </c>
      <c r="N969" s="116">
        <v>275.39999999999998</v>
      </c>
      <c r="O969" s="116">
        <v>254.2</v>
      </c>
      <c r="P969" s="116">
        <v>263.10000000000002</v>
      </c>
      <c r="Q969" s="116">
        <v>259.5</v>
      </c>
      <c r="R969">
        <v>9112272</v>
      </c>
    </row>
    <row r="970" spans="1:18" x14ac:dyDescent="0.25">
      <c r="A970" s="170">
        <v>44146</v>
      </c>
      <c r="B970" s="116">
        <v>285</v>
      </c>
      <c r="C970" s="116">
        <v>282.10000000000002</v>
      </c>
      <c r="D970" s="116">
        <v>251</v>
      </c>
      <c r="E970" s="116">
        <v>251</v>
      </c>
      <c r="F970" s="116">
        <v>282.10000000000002</v>
      </c>
      <c r="G970">
        <v>866201</v>
      </c>
      <c r="H970" s="116"/>
      <c r="I970" s="116"/>
      <c r="L970" s="170">
        <v>44146</v>
      </c>
      <c r="M970" s="116">
        <v>282.25</v>
      </c>
      <c r="N970" s="116">
        <v>285</v>
      </c>
      <c r="O970" s="116">
        <v>252</v>
      </c>
      <c r="P970" s="116">
        <v>252</v>
      </c>
      <c r="Q970" s="116">
        <v>282.25</v>
      </c>
      <c r="R970">
        <v>8813715</v>
      </c>
    </row>
    <row r="971" spans="1:18" x14ac:dyDescent="0.25">
      <c r="A971" s="170">
        <v>44147</v>
      </c>
      <c r="B971" s="116">
        <v>295</v>
      </c>
      <c r="C971" s="116">
        <v>289.2</v>
      </c>
      <c r="D971" s="116">
        <v>284</v>
      </c>
      <c r="E971" s="116">
        <v>284.89999999999998</v>
      </c>
      <c r="F971" s="116">
        <v>289.2</v>
      </c>
      <c r="G971">
        <v>274057</v>
      </c>
      <c r="H971" s="116"/>
      <c r="I971" s="116"/>
      <c r="L971" s="170">
        <v>44147</v>
      </c>
      <c r="M971" s="116">
        <v>289.10000000000002</v>
      </c>
      <c r="N971" s="116">
        <v>294.89999999999998</v>
      </c>
      <c r="O971" s="116">
        <v>284</v>
      </c>
      <c r="P971" s="116">
        <v>284.95</v>
      </c>
      <c r="Q971" s="116">
        <v>289.10000000000002</v>
      </c>
      <c r="R971">
        <v>6252604</v>
      </c>
    </row>
    <row r="972" spans="1:18" x14ac:dyDescent="0.25">
      <c r="A972" s="170">
        <v>44148</v>
      </c>
      <c r="B972" s="116">
        <v>295</v>
      </c>
      <c r="C972" s="116">
        <v>283.95</v>
      </c>
      <c r="D972" s="116">
        <v>278.5</v>
      </c>
      <c r="E972" s="116">
        <v>289</v>
      </c>
      <c r="F972" s="116">
        <v>283.95</v>
      </c>
      <c r="G972">
        <v>287210</v>
      </c>
      <c r="H972" s="116"/>
      <c r="I972" s="116"/>
      <c r="L972" s="170">
        <v>44148</v>
      </c>
      <c r="M972" s="116">
        <v>284</v>
      </c>
      <c r="N972" s="116">
        <v>292.5</v>
      </c>
      <c r="O972" s="116">
        <v>282.10000000000002</v>
      </c>
      <c r="P972" s="116">
        <v>288.39999999999998</v>
      </c>
      <c r="Q972" s="116">
        <v>284</v>
      </c>
      <c r="R972">
        <v>2731588</v>
      </c>
    </row>
    <row r="973" spans="1:18" x14ac:dyDescent="0.25">
      <c r="A973" s="170">
        <v>44149</v>
      </c>
      <c r="B973" s="116">
        <v>291.2</v>
      </c>
      <c r="C973" s="116">
        <v>289.75</v>
      </c>
      <c r="D973" s="116">
        <v>277.89999999999998</v>
      </c>
      <c r="E973" s="116">
        <v>288</v>
      </c>
      <c r="F973" s="116">
        <v>289.75</v>
      </c>
      <c r="G973">
        <v>81767</v>
      </c>
      <c r="H973" s="116"/>
      <c r="I973" s="116"/>
      <c r="L973" s="170">
        <v>44149</v>
      </c>
      <c r="M973" s="116">
        <v>289.64999999999998</v>
      </c>
      <c r="N973" s="116">
        <v>291.89999999999998</v>
      </c>
      <c r="O973" s="116">
        <v>275</v>
      </c>
      <c r="P973" s="116">
        <v>287</v>
      </c>
      <c r="Q973" s="116">
        <v>289.64999999999998</v>
      </c>
      <c r="R973">
        <v>1518168</v>
      </c>
    </row>
    <row r="974" spans="1:18" x14ac:dyDescent="0.25">
      <c r="A974" s="170">
        <v>44152</v>
      </c>
      <c r="B974" s="116">
        <v>291.95</v>
      </c>
      <c r="C974" s="116">
        <v>279.35000000000002</v>
      </c>
      <c r="D974" s="116">
        <v>277.5</v>
      </c>
      <c r="E974" s="116">
        <v>291.95</v>
      </c>
      <c r="F974" s="116">
        <v>279.35000000000002</v>
      </c>
      <c r="G974">
        <v>254560</v>
      </c>
      <c r="H974" s="116"/>
      <c r="I974" s="116"/>
      <c r="L974" s="170">
        <v>44152</v>
      </c>
      <c r="M974" s="116">
        <v>279.45</v>
      </c>
      <c r="N974" s="116">
        <v>291.85000000000002</v>
      </c>
      <c r="O974" s="116">
        <v>279</v>
      </c>
      <c r="P974" s="116">
        <v>291.5</v>
      </c>
      <c r="Q974" s="116">
        <v>279.45</v>
      </c>
      <c r="R974">
        <v>3711155</v>
      </c>
    </row>
    <row r="975" spans="1:18" x14ac:dyDescent="0.25">
      <c r="A975" s="170">
        <v>44153</v>
      </c>
      <c r="B975" s="116">
        <v>281.39999999999998</v>
      </c>
      <c r="C975" s="116">
        <v>271.45</v>
      </c>
      <c r="D975" s="116">
        <v>270.60000000000002</v>
      </c>
      <c r="E975" s="116">
        <v>279.5</v>
      </c>
      <c r="F975" s="116">
        <v>271.45</v>
      </c>
      <c r="G975">
        <v>120335</v>
      </c>
      <c r="H975" s="116"/>
      <c r="I975" s="116"/>
      <c r="L975" s="170">
        <v>44153</v>
      </c>
      <c r="M975" s="116">
        <v>271.3</v>
      </c>
      <c r="N975" s="116">
        <v>281</v>
      </c>
      <c r="O975" s="116">
        <v>270.5</v>
      </c>
      <c r="P975" s="116">
        <v>280</v>
      </c>
      <c r="Q975" s="116">
        <v>271.3</v>
      </c>
      <c r="R975">
        <v>3801082</v>
      </c>
    </row>
    <row r="976" spans="1:18" x14ac:dyDescent="0.25">
      <c r="A976" s="170">
        <v>44154</v>
      </c>
      <c r="B976" s="116">
        <v>276.35000000000002</v>
      </c>
      <c r="C976" s="116">
        <v>268.64999999999998</v>
      </c>
      <c r="D976" s="116">
        <v>266.35000000000002</v>
      </c>
      <c r="E976" s="116">
        <v>271.5</v>
      </c>
      <c r="F976" s="116">
        <v>268.64999999999998</v>
      </c>
      <c r="G976">
        <v>269293</v>
      </c>
      <c r="H976" s="116"/>
      <c r="I976" s="116"/>
      <c r="L976" s="170">
        <v>44154</v>
      </c>
      <c r="M976" s="116">
        <v>268.5</v>
      </c>
      <c r="N976" s="116">
        <v>275.25</v>
      </c>
      <c r="O976" s="116">
        <v>267.55</v>
      </c>
      <c r="P976" s="116">
        <v>271.3</v>
      </c>
      <c r="Q976" s="116">
        <v>268.5</v>
      </c>
      <c r="R976">
        <v>3578574</v>
      </c>
    </row>
    <row r="977" spans="1:18" x14ac:dyDescent="0.25">
      <c r="A977" s="170">
        <v>44155</v>
      </c>
      <c r="B977" s="116">
        <v>284</v>
      </c>
      <c r="C977" s="116">
        <v>282.64999999999998</v>
      </c>
      <c r="D977" s="116">
        <v>266.10000000000002</v>
      </c>
      <c r="E977" s="116">
        <v>270</v>
      </c>
      <c r="F977" s="116">
        <v>282.64999999999998</v>
      </c>
      <c r="G977">
        <v>330664</v>
      </c>
      <c r="H977" s="116"/>
      <c r="I977" s="116"/>
      <c r="L977" s="170">
        <v>44155</v>
      </c>
      <c r="M977" s="116">
        <v>282.85000000000002</v>
      </c>
      <c r="N977" s="116">
        <v>284</v>
      </c>
      <c r="O977" s="116">
        <v>269.05</v>
      </c>
      <c r="P977" s="116">
        <v>269.95</v>
      </c>
      <c r="Q977" s="116">
        <v>282.85000000000002</v>
      </c>
      <c r="R977">
        <v>4130498</v>
      </c>
    </row>
    <row r="978" spans="1:18" x14ac:dyDescent="0.25">
      <c r="A978" s="170">
        <v>44158</v>
      </c>
      <c r="B978" s="116">
        <v>291.8</v>
      </c>
      <c r="C978" s="116">
        <v>290.05</v>
      </c>
      <c r="D978" s="116">
        <v>284.2</v>
      </c>
      <c r="E978" s="116">
        <v>284.25</v>
      </c>
      <c r="F978" s="116">
        <v>290.05</v>
      </c>
      <c r="G978">
        <v>151429</v>
      </c>
      <c r="H978" s="116"/>
      <c r="I978" s="116"/>
      <c r="L978" s="170">
        <v>44158</v>
      </c>
      <c r="M978" s="116">
        <v>290.39999999999998</v>
      </c>
      <c r="N978" s="116">
        <v>292</v>
      </c>
      <c r="O978" s="116">
        <v>284.7</v>
      </c>
      <c r="P978" s="116">
        <v>284.89999999999998</v>
      </c>
      <c r="Q978" s="116">
        <v>290.39999999999998</v>
      </c>
      <c r="R978">
        <v>4321845</v>
      </c>
    </row>
    <row r="979" spans="1:18" x14ac:dyDescent="0.25">
      <c r="A979" s="170">
        <v>44159</v>
      </c>
      <c r="B979" s="116">
        <v>294.7</v>
      </c>
      <c r="C979" s="116">
        <v>289.75</v>
      </c>
      <c r="D979" s="116">
        <v>286.5</v>
      </c>
      <c r="E979" s="116">
        <v>292.89999999999998</v>
      </c>
      <c r="F979" s="116">
        <v>289.75</v>
      </c>
      <c r="G979">
        <v>103069</v>
      </c>
      <c r="H979" s="116"/>
      <c r="I979" s="116"/>
      <c r="L979" s="170">
        <v>44159</v>
      </c>
      <c r="M979" s="116">
        <v>289.7</v>
      </c>
      <c r="N979" s="116">
        <v>294.89999999999998</v>
      </c>
      <c r="O979" s="116">
        <v>286</v>
      </c>
      <c r="P979" s="116">
        <v>292.89999999999998</v>
      </c>
      <c r="Q979" s="116">
        <v>289.7</v>
      </c>
      <c r="R979">
        <v>2873638</v>
      </c>
    </row>
    <row r="980" spans="1:18" x14ac:dyDescent="0.25">
      <c r="A980" s="170">
        <v>44160</v>
      </c>
      <c r="B980" s="116">
        <v>292.3</v>
      </c>
      <c r="C980" s="116">
        <v>285.05</v>
      </c>
      <c r="D980" s="116">
        <v>282.05</v>
      </c>
      <c r="E980" s="116">
        <v>290.89999999999998</v>
      </c>
      <c r="F980" s="116">
        <v>285.05</v>
      </c>
      <c r="G980">
        <v>191513</v>
      </c>
      <c r="H980" s="116"/>
      <c r="I980" s="116"/>
      <c r="L980" s="170">
        <v>44160</v>
      </c>
      <c r="M980" s="116">
        <v>285.45</v>
      </c>
      <c r="N980" s="116">
        <v>292.14999999999998</v>
      </c>
      <c r="O980" s="116">
        <v>282.55</v>
      </c>
      <c r="P980" s="116">
        <v>292</v>
      </c>
      <c r="Q980" s="116">
        <v>285.45</v>
      </c>
      <c r="R980">
        <v>2187334</v>
      </c>
    </row>
    <row r="981" spans="1:18" x14ac:dyDescent="0.25">
      <c r="A981" s="170">
        <v>44161</v>
      </c>
      <c r="B981" s="116">
        <v>298.8</v>
      </c>
      <c r="C981" s="116">
        <v>292.25</v>
      </c>
      <c r="D981" s="116">
        <v>289.39999999999998</v>
      </c>
      <c r="E981" s="116">
        <v>294.89999999999998</v>
      </c>
      <c r="F981" s="116">
        <v>292.25</v>
      </c>
      <c r="G981">
        <v>165981</v>
      </c>
      <c r="H981" s="116"/>
      <c r="I981" s="116"/>
      <c r="L981" s="170">
        <v>44161</v>
      </c>
      <c r="M981" s="116">
        <v>292.35000000000002</v>
      </c>
      <c r="N981" s="116">
        <v>298.8</v>
      </c>
      <c r="O981" s="116">
        <v>289.3</v>
      </c>
      <c r="P981" s="116">
        <v>295</v>
      </c>
      <c r="Q981" s="116">
        <v>292.35000000000002</v>
      </c>
      <c r="R981">
        <v>4631170</v>
      </c>
    </row>
    <row r="982" spans="1:18" x14ac:dyDescent="0.25">
      <c r="A982" s="170">
        <v>44162</v>
      </c>
      <c r="B982" s="116">
        <v>320.89999999999998</v>
      </c>
      <c r="C982" s="116">
        <v>317.14999999999998</v>
      </c>
      <c r="D982" s="116">
        <v>291.10000000000002</v>
      </c>
      <c r="E982" s="116">
        <v>293.89999999999998</v>
      </c>
      <c r="F982" s="116">
        <v>317.14999999999998</v>
      </c>
      <c r="G982">
        <v>384963</v>
      </c>
      <c r="H982" s="116"/>
      <c r="I982" s="116"/>
      <c r="L982" s="170">
        <v>44162</v>
      </c>
      <c r="M982" s="116">
        <v>316.85000000000002</v>
      </c>
      <c r="N982" s="116">
        <v>321</v>
      </c>
      <c r="O982" s="116">
        <v>291</v>
      </c>
      <c r="P982" s="116">
        <v>292.64999999999998</v>
      </c>
      <c r="Q982" s="116">
        <v>316.85000000000002</v>
      </c>
      <c r="R982">
        <v>10692160</v>
      </c>
    </row>
    <row r="983" spans="1:18" x14ac:dyDescent="0.25">
      <c r="A983" s="170">
        <v>44166</v>
      </c>
      <c r="B983" s="116">
        <v>326.75</v>
      </c>
      <c r="C983" s="116">
        <v>322.60000000000002</v>
      </c>
      <c r="D983" s="116">
        <v>310.5</v>
      </c>
      <c r="E983" s="116">
        <v>319.89999999999998</v>
      </c>
      <c r="F983" s="116">
        <v>322.60000000000002</v>
      </c>
      <c r="G983">
        <v>464245</v>
      </c>
      <c r="H983" s="116"/>
      <c r="I983" s="116"/>
      <c r="L983" s="170">
        <v>44166</v>
      </c>
      <c r="M983" s="116">
        <v>322.89999999999998</v>
      </c>
      <c r="N983" s="116">
        <v>326.60000000000002</v>
      </c>
      <c r="O983" s="116">
        <v>311</v>
      </c>
      <c r="P983" s="116">
        <v>320.05</v>
      </c>
      <c r="Q983" s="116">
        <v>322.89999999999998</v>
      </c>
      <c r="R983">
        <v>4957145</v>
      </c>
    </row>
    <row r="984" spans="1:18" x14ac:dyDescent="0.25">
      <c r="A984" s="170">
        <v>44167</v>
      </c>
      <c r="B984" s="116">
        <v>325.14999999999998</v>
      </c>
      <c r="C984" s="116">
        <v>321</v>
      </c>
      <c r="D984" s="116">
        <v>317</v>
      </c>
      <c r="E984" s="116">
        <v>324.7</v>
      </c>
      <c r="F984" s="116">
        <v>321</v>
      </c>
      <c r="G984">
        <v>139477</v>
      </c>
      <c r="H984" s="116"/>
      <c r="I984" s="116"/>
      <c r="L984" s="170">
        <v>44167</v>
      </c>
      <c r="M984" s="116">
        <v>321.14999999999998</v>
      </c>
      <c r="N984" s="116">
        <v>325</v>
      </c>
      <c r="O984" s="116">
        <v>317</v>
      </c>
      <c r="P984" s="116">
        <v>324.39999999999998</v>
      </c>
      <c r="Q984" s="116">
        <v>321.14999999999998</v>
      </c>
      <c r="R984">
        <v>3155485</v>
      </c>
    </row>
    <row r="985" spans="1:18" x14ac:dyDescent="0.25">
      <c r="A985" s="170">
        <v>44168</v>
      </c>
      <c r="B985" s="116">
        <v>324</v>
      </c>
      <c r="C985" s="116">
        <v>319.64999999999998</v>
      </c>
      <c r="D985" s="116">
        <v>318</v>
      </c>
      <c r="E985" s="116">
        <v>324</v>
      </c>
      <c r="F985" s="116">
        <v>319.64999999999998</v>
      </c>
      <c r="G985">
        <v>97266</v>
      </c>
      <c r="H985" s="116"/>
      <c r="I985" s="116"/>
      <c r="L985" s="170">
        <v>44168</v>
      </c>
      <c r="M985" s="116">
        <v>319.85000000000002</v>
      </c>
      <c r="N985" s="116">
        <v>322.8</v>
      </c>
      <c r="O985" s="116">
        <v>318</v>
      </c>
      <c r="P985" s="116">
        <v>322.5</v>
      </c>
      <c r="Q985" s="116">
        <v>319.85000000000002</v>
      </c>
      <c r="R985">
        <v>1982085</v>
      </c>
    </row>
    <row r="986" spans="1:18" x14ac:dyDescent="0.25">
      <c r="A986" s="170">
        <v>44169</v>
      </c>
      <c r="B986" s="116">
        <v>334.35</v>
      </c>
      <c r="C986" s="116">
        <v>331.65</v>
      </c>
      <c r="D986" s="116">
        <v>317.2</v>
      </c>
      <c r="E986" s="116">
        <v>321.89999999999998</v>
      </c>
      <c r="F986" s="116">
        <v>331.65</v>
      </c>
      <c r="G986">
        <v>271833</v>
      </c>
      <c r="H986" s="116"/>
      <c r="I986" s="116"/>
      <c r="L986" s="170">
        <v>44169</v>
      </c>
      <c r="M986" s="116">
        <v>331.65</v>
      </c>
      <c r="N986" s="116">
        <v>334.5</v>
      </c>
      <c r="O986" s="116">
        <v>317</v>
      </c>
      <c r="P986" s="116">
        <v>320</v>
      </c>
      <c r="Q986" s="116">
        <v>331.65</v>
      </c>
      <c r="R986">
        <v>5409655</v>
      </c>
    </row>
    <row r="987" spans="1:18" x14ac:dyDescent="0.25">
      <c r="A987" s="170">
        <v>44172</v>
      </c>
      <c r="B987" s="116">
        <v>335.75</v>
      </c>
      <c r="C987" s="116">
        <v>331.6</v>
      </c>
      <c r="D987" s="116">
        <v>330</v>
      </c>
      <c r="E987" s="116">
        <v>334.45</v>
      </c>
      <c r="F987" s="116">
        <v>331.6</v>
      </c>
      <c r="G987">
        <v>313196</v>
      </c>
      <c r="H987" s="116"/>
      <c r="I987" s="116"/>
      <c r="L987" s="170">
        <v>44172</v>
      </c>
      <c r="M987" s="116">
        <v>332.05</v>
      </c>
      <c r="N987" s="116">
        <v>335.75</v>
      </c>
      <c r="O987" s="116">
        <v>330</v>
      </c>
      <c r="P987" s="116">
        <v>334.3</v>
      </c>
      <c r="Q987" s="116">
        <v>332.05</v>
      </c>
      <c r="R987">
        <v>3543516</v>
      </c>
    </row>
    <row r="988" spans="1:18" x14ac:dyDescent="0.25">
      <c r="A988" s="170">
        <v>44173</v>
      </c>
      <c r="B988" s="116">
        <v>339</v>
      </c>
      <c r="C988" s="116">
        <v>332.55</v>
      </c>
      <c r="D988" s="116">
        <v>322.60000000000002</v>
      </c>
      <c r="E988" s="116">
        <v>337</v>
      </c>
      <c r="F988" s="116">
        <v>332.55</v>
      </c>
      <c r="G988">
        <v>170531</v>
      </c>
      <c r="H988" s="116"/>
      <c r="I988" s="116"/>
      <c r="L988" s="170">
        <v>44173</v>
      </c>
      <c r="M988" s="116">
        <v>332.65</v>
      </c>
      <c r="N988" s="116">
        <v>339.25</v>
      </c>
      <c r="O988" s="116">
        <v>322.10000000000002</v>
      </c>
      <c r="P988" s="116">
        <v>335</v>
      </c>
      <c r="Q988" s="116">
        <v>332.65</v>
      </c>
      <c r="R988">
        <v>3616025</v>
      </c>
    </row>
    <row r="989" spans="1:18" x14ac:dyDescent="0.25">
      <c r="A989" s="170">
        <v>44174</v>
      </c>
      <c r="B989" s="116">
        <v>335.8</v>
      </c>
      <c r="C989" s="116">
        <v>328.7</v>
      </c>
      <c r="D989" s="116">
        <v>326.7</v>
      </c>
      <c r="E989" s="116">
        <v>335.8</v>
      </c>
      <c r="F989" s="116">
        <v>328.7</v>
      </c>
      <c r="G989">
        <v>205501</v>
      </c>
      <c r="H989" s="116"/>
      <c r="I989" s="116"/>
      <c r="L989" s="170">
        <v>44174</v>
      </c>
      <c r="M989" s="116">
        <v>328.45</v>
      </c>
      <c r="N989" s="116">
        <v>335.85</v>
      </c>
      <c r="O989" s="116">
        <v>326.10000000000002</v>
      </c>
      <c r="P989" s="116">
        <v>335</v>
      </c>
      <c r="Q989" s="116">
        <v>328.45</v>
      </c>
      <c r="R989">
        <v>1752272</v>
      </c>
    </row>
    <row r="990" spans="1:18" x14ac:dyDescent="0.25">
      <c r="A990" s="170">
        <v>44175</v>
      </c>
      <c r="B990" s="116">
        <v>334.4</v>
      </c>
      <c r="C990" s="116">
        <v>330.15</v>
      </c>
      <c r="D990" s="116">
        <v>320</v>
      </c>
      <c r="E990" s="116">
        <v>328.5</v>
      </c>
      <c r="F990" s="116">
        <v>330.15</v>
      </c>
      <c r="G990">
        <v>390442</v>
      </c>
      <c r="H990" s="116"/>
      <c r="I990" s="116"/>
      <c r="L990" s="170">
        <v>44175</v>
      </c>
      <c r="M990" s="116">
        <v>330.4</v>
      </c>
      <c r="N990" s="116">
        <v>334.45</v>
      </c>
      <c r="O990" s="116">
        <v>320.35000000000002</v>
      </c>
      <c r="P990" s="116">
        <v>328</v>
      </c>
      <c r="Q990" s="116">
        <v>330.4</v>
      </c>
      <c r="R990">
        <v>2279373</v>
      </c>
    </row>
    <row r="991" spans="1:18" x14ac:dyDescent="0.25">
      <c r="A991" s="170">
        <v>44176</v>
      </c>
      <c r="B991" s="116">
        <v>332.9</v>
      </c>
      <c r="C991" s="116">
        <v>328.65</v>
      </c>
      <c r="D991" s="116">
        <v>324</v>
      </c>
      <c r="E991" s="116">
        <v>332.9</v>
      </c>
      <c r="F991" s="116">
        <v>328.65</v>
      </c>
      <c r="G991">
        <v>61970</v>
      </c>
      <c r="H991" s="116"/>
      <c r="I991" s="116"/>
      <c r="L991" s="170">
        <v>44176</v>
      </c>
      <c r="M991" s="116">
        <v>328.95</v>
      </c>
      <c r="N991" s="116">
        <v>333</v>
      </c>
      <c r="O991" s="116">
        <v>324</v>
      </c>
      <c r="P991" s="116">
        <v>333</v>
      </c>
      <c r="Q991" s="116">
        <v>328.95</v>
      </c>
      <c r="R991">
        <v>1646067</v>
      </c>
    </row>
    <row r="992" spans="1:18" x14ac:dyDescent="0.25">
      <c r="A992" s="170">
        <v>44179</v>
      </c>
      <c r="B992" s="116">
        <v>332</v>
      </c>
      <c r="C992" s="116">
        <v>328.35</v>
      </c>
      <c r="D992" s="116">
        <v>326.55</v>
      </c>
      <c r="E992" s="116">
        <v>329.8</v>
      </c>
      <c r="F992" s="116">
        <v>328.35</v>
      </c>
      <c r="G992">
        <v>58681</v>
      </c>
      <c r="H992" s="116"/>
      <c r="I992" s="116"/>
      <c r="L992" s="170">
        <v>44179</v>
      </c>
      <c r="M992" s="116">
        <v>328.4</v>
      </c>
      <c r="N992" s="116">
        <v>331.8</v>
      </c>
      <c r="O992" s="116">
        <v>326.5</v>
      </c>
      <c r="P992" s="116">
        <v>329</v>
      </c>
      <c r="Q992" s="116">
        <v>328.4</v>
      </c>
      <c r="R992">
        <v>1532748</v>
      </c>
    </row>
    <row r="993" spans="1:18" x14ac:dyDescent="0.25">
      <c r="A993" s="170">
        <v>44180</v>
      </c>
      <c r="B993" s="116">
        <v>331.45</v>
      </c>
      <c r="C993" s="116">
        <v>328.3</v>
      </c>
      <c r="D993" s="116">
        <v>324.05</v>
      </c>
      <c r="E993" s="116">
        <v>328.4</v>
      </c>
      <c r="F993" s="116">
        <v>328.3</v>
      </c>
      <c r="G993">
        <v>71760</v>
      </c>
      <c r="H993" s="116"/>
      <c r="I993" s="116"/>
      <c r="L993" s="170">
        <v>44180</v>
      </c>
      <c r="M993" s="116">
        <v>328.4</v>
      </c>
      <c r="N993" s="116">
        <v>331.5</v>
      </c>
      <c r="O993" s="116">
        <v>324</v>
      </c>
      <c r="P993" s="116">
        <v>327.85</v>
      </c>
      <c r="Q993" s="116">
        <v>328.4</v>
      </c>
      <c r="R993">
        <v>2056817</v>
      </c>
    </row>
    <row r="994" spans="1:18" x14ac:dyDescent="0.25">
      <c r="A994" s="170">
        <v>44181</v>
      </c>
      <c r="B994" s="116">
        <v>344.85</v>
      </c>
      <c r="C994" s="116">
        <v>339</v>
      </c>
      <c r="D994" s="116">
        <v>328.9</v>
      </c>
      <c r="E994" s="116">
        <v>331.5</v>
      </c>
      <c r="F994" s="116">
        <v>339</v>
      </c>
      <c r="G994">
        <v>295452</v>
      </c>
      <c r="H994" s="116"/>
      <c r="I994" s="116"/>
      <c r="L994" s="170">
        <v>44181</v>
      </c>
      <c r="M994" s="116">
        <v>338.95</v>
      </c>
      <c r="N994" s="116">
        <v>344.9</v>
      </c>
      <c r="O994" s="116">
        <v>327.64999999999998</v>
      </c>
      <c r="P994" s="116">
        <v>329.4</v>
      </c>
      <c r="Q994" s="116">
        <v>338.95</v>
      </c>
      <c r="R994">
        <v>6296660</v>
      </c>
    </row>
    <row r="995" spans="1:18" x14ac:dyDescent="0.25">
      <c r="A995" s="170">
        <v>44182</v>
      </c>
      <c r="B995" s="116">
        <v>352</v>
      </c>
      <c r="C995" s="116">
        <v>342.1</v>
      </c>
      <c r="D995" s="116">
        <v>339</v>
      </c>
      <c r="E995" s="116">
        <v>341.65</v>
      </c>
      <c r="F995" s="116">
        <v>342.1</v>
      </c>
      <c r="G995">
        <v>405319</v>
      </c>
      <c r="H995" s="116"/>
      <c r="I995" s="116"/>
      <c r="L995" s="170">
        <v>44182</v>
      </c>
      <c r="M995" s="116">
        <v>342.15</v>
      </c>
      <c r="N995" s="116">
        <v>352.25</v>
      </c>
      <c r="O995" s="116">
        <v>339</v>
      </c>
      <c r="P995" s="116">
        <v>341</v>
      </c>
      <c r="Q995" s="116">
        <v>342.15</v>
      </c>
      <c r="R995">
        <v>4203732</v>
      </c>
    </row>
    <row r="996" spans="1:18" x14ac:dyDescent="0.25">
      <c r="A996" s="170">
        <v>44183</v>
      </c>
      <c r="B996" s="116">
        <v>355.5</v>
      </c>
      <c r="C996" s="116">
        <v>354.05</v>
      </c>
      <c r="D996" s="116">
        <v>334.9</v>
      </c>
      <c r="E996" s="116">
        <v>344.5</v>
      </c>
      <c r="F996" s="116">
        <v>354.05</v>
      </c>
      <c r="G996">
        <v>154173</v>
      </c>
      <c r="H996" s="116"/>
      <c r="I996" s="116"/>
      <c r="L996" s="170">
        <v>44183</v>
      </c>
      <c r="M996" s="116">
        <v>353.75</v>
      </c>
      <c r="N996" s="116">
        <v>355</v>
      </c>
      <c r="O996" s="116">
        <v>335</v>
      </c>
      <c r="P996" s="116">
        <v>343</v>
      </c>
      <c r="Q996" s="116">
        <v>353.75</v>
      </c>
      <c r="R996">
        <v>5076683</v>
      </c>
    </row>
    <row r="997" spans="1:18" x14ac:dyDescent="0.25">
      <c r="A997" s="170">
        <v>44186</v>
      </c>
      <c r="B997" s="116">
        <v>365.65</v>
      </c>
      <c r="C997" s="116">
        <v>331.2</v>
      </c>
      <c r="D997" s="116">
        <v>310</v>
      </c>
      <c r="E997" s="116">
        <v>355</v>
      </c>
      <c r="F997" s="116">
        <v>331.2</v>
      </c>
      <c r="G997">
        <v>1030149</v>
      </c>
      <c r="H997" s="116"/>
      <c r="I997" s="116"/>
      <c r="L997" s="170">
        <v>44186</v>
      </c>
      <c r="M997" s="116">
        <v>331.55</v>
      </c>
      <c r="N997" s="116">
        <v>365.75</v>
      </c>
      <c r="O997" s="116">
        <v>311</v>
      </c>
      <c r="P997" s="116">
        <v>356</v>
      </c>
      <c r="Q997" s="116">
        <v>331.55</v>
      </c>
      <c r="R997">
        <v>8015171</v>
      </c>
    </row>
    <row r="998" spans="1:18" x14ac:dyDescent="0.25">
      <c r="A998" s="170">
        <v>44187</v>
      </c>
      <c r="B998" s="116">
        <v>347</v>
      </c>
      <c r="C998" s="116">
        <v>337.45</v>
      </c>
      <c r="D998" s="116">
        <v>322</v>
      </c>
      <c r="E998" s="116">
        <v>330</v>
      </c>
      <c r="F998" s="116">
        <v>337.45</v>
      </c>
      <c r="G998">
        <v>270827</v>
      </c>
      <c r="H998" s="116"/>
      <c r="I998" s="116"/>
      <c r="L998" s="170">
        <v>44187</v>
      </c>
      <c r="M998" s="116">
        <v>337.45</v>
      </c>
      <c r="N998" s="116">
        <v>347.7</v>
      </c>
      <c r="O998" s="116">
        <v>322</v>
      </c>
      <c r="P998" s="116">
        <v>334</v>
      </c>
      <c r="Q998" s="116">
        <v>337.45</v>
      </c>
      <c r="R998">
        <v>5255957</v>
      </c>
    </row>
    <row r="999" spans="1:18" x14ac:dyDescent="0.25">
      <c r="A999" s="170">
        <v>44188</v>
      </c>
      <c r="B999" s="116">
        <v>347</v>
      </c>
      <c r="C999" s="116">
        <v>344.05</v>
      </c>
      <c r="D999" s="116">
        <v>337.65</v>
      </c>
      <c r="E999" s="116">
        <v>344.4</v>
      </c>
      <c r="F999" s="116">
        <v>344.05</v>
      </c>
      <c r="G999">
        <v>214212</v>
      </c>
      <c r="H999" s="116"/>
      <c r="I999" s="116"/>
      <c r="L999" s="170">
        <v>44188</v>
      </c>
      <c r="M999" s="116">
        <v>344.3</v>
      </c>
      <c r="N999" s="116">
        <v>346.9</v>
      </c>
      <c r="O999" s="116">
        <v>337.7</v>
      </c>
      <c r="P999" s="116">
        <v>339.35</v>
      </c>
      <c r="Q999" s="116">
        <v>344.3</v>
      </c>
      <c r="R999">
        <v>2634202</v>
      </c>
    </row>
    <row r="1000" spans="1:18" x14ac:dyDescent="0.25">
      <c r="A1000" s="170">
        <v>44189</v>
      </c>
      <c r="B1000" s="116">
        <v>354.3</v>
      </c>
      <c r="C1000" s="116">
        <v>348.4</v>
      </c>
      <c r="D1000" s="116">
        <v>345.15</v>
      </c>
      <c r="E1000" s="116">
        <v>345.15</v>
      </c>
      <c r="F1000" s="116">
        <v>348.4</v>
      </c>
      <c r="G1000">
        <v>121401</v>
      </c>
      <c r="H1000" s="116"/>
      <c r="I1000" s="116"/>
      <c r="L1000" s="170">
        <v>44189</v>
      </c>
      <c r="M1000" s="116">
        <v>348.3</v>
      </c>
      <c r="N1000" s="116">
        <v>354.4</v>
      </c>
      <c r="O1000" s="116">
        <v>346</v>
      </c>
      <c r="P1000" s="116">
        <v>347</v>
      </c>
      <c r="Q1000" s="116">
        <v>348.3</v>
      </c>
      <c r="R1000">
        <v>2543680</v>
      </c>
    </row>
    <row r="1001" spans="1:18" x14ac:dyDescent="0.25">
      <c r="A1001" s="170">
        <v>44193</v>
      </c>
      <c r="B1001" s="116">
        <v>354</v>
      </c>
      <c r="C1001" s="116">
        <v>347.55</v>
      </c>
      <c r="D1001" s="116">
        <v>345.8</v>
      </c>
      <c r="E1001" s="116">
        <v>353.9</v>
      </c>
      <c r="F1001" s="116">
        <v>347.55</v>
      </c>
      <c r="G1001">
        <v>196435</v>
      </c>
      <c r="H1001" s="116"/>
      <c r="I1001" s="116"/>
      <c r="L1001" s="170">
        <v>44193</v>
      </c>
      <c r="M1001" s="116">
        <v>347.85</v>
      </c>
      <c r="N1001" s="116">
        <v>354</v>
      </c>
      <c r="O1001" s="116">
        <v>346.7</v>
      </c>
      <c r="P1001" s="116">
        <v>352.1</v>
      </c>
      <c r="Q1001" s="116">
        <v>347.85</v>
      </c>
      <c r="R1001">
        <v>1875128</v>
      </c>
    </row>
    <row r="1002" spans="1:18" x14ac:dyDescent="0.25">
      <c r="A1002" s="170">
        <v>44194</v>
      </c>
      <c r="B1002" s="116">
        <v>351.9</v>
      </c>
      <c r="C1002" s="116">
        <v>346.2</v>
      </c>
      <c r="D1002" s="116">
        <v>340.05</v>
      </c>
      <c r="E1002" s="116">
        <v>349.8</v>
      </c>
      <c r="F1002" s="116">
        <v>346.2</v>
      </c>
      <c r="G1002">
        <v>93852</v>
      </c>
      <c r="H1002" s="116"/>
      <c r="I1002" s="116"/>
      <c r="L1002" s="170">
        <v>44194</v>
      </c>
      <c r="M1002" s="116">
        <v>346.05</v>
      </c>
      <c r="N1002" s="116">
        <v>351.8</v>
      </c>
      <c r="O1002" s="116">
        <v>340</v>
      </c>
      <c r="P1002" s="116">
        <v>349</v>
      </c>
      <c r="Q1002" s="116">
        <v>346.05</v>
      </c>
      <c r="R1002">
        <v>1618548</v>
      </c>
    </row>
    <row r="1003" spans="1:18" x14ac:dyDescent="0.25">
      <c r="A1003" s="170">
        <v>44195</v>
      </c>
      <c r="B1003" s="116">
        <v>353</v>
      </c>
      <c r="C1003" s="116">
        <v>349.85</v>
      </c>
      <c r="D1003" s="116">
        <v>340.8</v>
      </c>
      <c r="E1003" s="116">
        <v>349.4</v>
      </c>
      <c r="F1003" s="116">
        <v>349.85</v>
      </c>
      <c r="G1003">
        <v>270560</v>
      </c>
      <c r="H1003" s="116"/>
      <c r="I1003" s="116"/>
      <c r="L1003" s="170">
        <v>44195</v>
      </c>
      <c r="M1003" s="116">
        <v>350.05</v>
      </c>
      <c r="N1003" s="116">
        <v>353.4</v>
      </c>
      <c r="O1003" s="116">
        <v>341.1</v>
      </c>
      <c r="P1003" s="116">
        <v>348.1</v>
      </c>
      <c r="Q1003" s="116">
        <v>350.05</v>
      </c>
      <c r="R1003">
        <v>1537979</v>
      </c>
    </row>
    <row r="1004" spans="1:18" x14ac:dyDescent="0.25">
      <c r="A1004" s="170">
        <v>44196</v>
      </c>
      <c r="B1004" s="116">
        <v>359</v>
      </c>
      <c r="C1004" s="116">
        <v>353.15</v>
      </c>
      <c r="D1004" s="116">
        <v>348.35</v>
      </c>
      <c r="E1004" s="116">
        <v>351</v>
      </c>
      <c r="F1004" s="116">
        <v>353.15</v>
      </c>
      <c r="G1004">
        <v>103816</v>
      </c>
      <c r="H1004" s="116"/>
      <c r="I1004" s="116"/>
      <c r="L1004" s="170">
        <v>44196</v>
      </c>
      <c r="M1004" s="116">
        <v>353.15</v>
      </c>
      <c r="N1004" s="116">
        <v>359</v>
      </c>
      <c r="O1004" s="116">
        <v>347.7</v>
      </c>
      <c r="P1004" s="116">
        <v>352.2</v>
      </c>
      <c r="Q1004" s="116">
        <v>353.15</v>
      </c>
      <c r="R1004">
        <v>2446342</v>
      </c>
    </row>
    <row r="1005" spans="1:18" x14ac:dyDescent="0.25">
      <c r="A1005" s="170">
        <v>44197</v>
      </c>
      <c r="B1005" s="116">
        <v>357.9</v>
      </c>
      <c r="C1005" s="116">
        <v>353.25</v>
      </c>
      <c r="D1005" s="116">
        <v>351.55</v>
      </c>
      <c r="E1005" s="116">
        <v>357.9</v>
      </c>
      <c r="F1005" s="116">
        <v>353.25</v>
      </c>
      <c r="G1005">
        <v>111086</v>
      </c>
      <c r="H1005" s="116"/>
      <c r="I1005" s="116"/>
      <c r="L1005" s="170">
        <v>44197</v>
      </c>
      <c r="M1005" s="116">
        <v>353.4</v>
      </c>
      <c r="N1005" s="116">
        <v>355.4</v>
      </c>
      <c r="O1005" s="116">
        <v>351.75</v>
      </c>
      <c r="P1005" s="116">
        <v>354.8</v>
      </c>
      <c r="Q1005" s="116">
        <v>353.4</v>
      </c>
      <c r="R1005">
        <v>1044451</v>
      </c>
    </row>
    <row r="1006" spans="1:18" x14ac:dyDescent="0.25">
      <c r="A1006" s="170">
        <v>44200</v>
      </c>
      <c r="B1006" s="116">
        <v>361.4</v>
      </c>
      <c r="C1006" s="116">
        <v>359.1</v>
      </c>
      <c r="D1006" s="116">
        <v>350.3</v>
      </c>
      <c r="E1006" s="116">
        <v>355</v>
      </c>
      <c r="F1006" s="116">
        <v>359.1</v>
      </c>
      <c r="G1006">
        <v>83937</v>
      </c>
      <c r="H1006" s="116"/>
      <c r="I1006" s="116"/>
      <c r="L1006" s="170">
        <v>44200</v>
      </c>
      <c r="M1006" s="116">
        <v>359.3</v>
      </c>
      <c r="N1006" s="116">
        <v>361.05</v>
      </c>
      <c r="O1006" s="116">
        <v>350.15</v>
      </c>
      <c r="P1006" s="116">
        <v>355.7</v>
      </c>
      <c r="Q1006" s="116">
        <v>359.3</v>
      </c>
      <c r="R1006">
        <v>2636585</v>
      </c>
    </row>
    <row r="1007" spans="1:18" x14ac:dyDescent="0.25">
      <c r="A1007" s="170">
        <v>44201</v>
      </c>
      <c r="B1007" s="116">
        <v>365</v>
      </c>
      <c r="C1007" s="116">
        <v>359.25</v>
      </c>
      <c r="D1007" s="116">
        <v>352</v>
      </c>
      <c r="E1007" s="116">
        <v>359.1</v>
      </c>
      <c r="F1007" s="116">
        <v>359.25</v>
      </c>
      <c r="G1007">
        <v>120944</v>
      </c>
      <c r="H1007" s="116"/>
      <c r="I1007" s="116"/>
      <c r="L1007" s="170">
        <v>44201</v>
      </c>
      <c r="M1007" s="116">
        <v>359.55</v>
      </c>
      <c r="N1007" s="116">
        <v>365</v>
      </c>
      <c r="O1007" s="116">
        <v>352.55</v>
      </c>
      <c r="P1007" s="116">
        <v>357.5</v>
      </c>
      <c r="Q1007" s="116">
        <v>359.55</v>
      </c>
      <c r="R1007">
        <v>2848973</v>
      </c>
    </row>
    <row r="1008" spans="1:18" x14ac:dyDescent="0.25">
      <c r="A1008" s="170">
        <v>44202</v>
      </c>
      <c r="B1008" s="116">
        <v>363.7</v>
      </c>
      <c r="C1008" s="116">
        <v>355.8</v>
      </c>
      <c r="D1008" s="116">
        <v>353.2</v>
      </c>
      <c r="E1008" s="116">
        <v>360.95</v>
      </c>
      <c r="F1008" s="116">
        <v>355.8</v>
      </c>
      <c r="G1008">
        <v>214216</v>
      </c>
      <c r="H1008" s="116"/>
      <c r="I1008" s="116"/>
      <c r="L1008" s="170">
        <v>44202</v>
      </c>
      <c r="M1008" s="116">
        <v>355.7</v>
      </c>
      <c r="N1008" s="116">
        <v>363.9</v>
      </c>
      <c r="O1008" s="116">
        <v>353</v>
      </c>
      <c r="P1008" s="116">
        <v>360.4</v>
      </c>
      <c r="Q1008" s="116">
        <v>355.7</v>
      </c>
      <c r="R1008">
        <v>2428903</v>
      </c>
    </row>
    <row r="1009" spans="1:18" x14ac:dyDescent="0.25">
      <c r="A1009" s="170">
        <v>44203</v>
      </c>
      <c r="B1009" s="116">
        <v>358.35</v>
      </c>
      <c r="C1009" s="116">
        <v>353.05</v>
      </c>
      <c r="D1009" s="116">
        <v>351.5</v>
      </c>
      <c r="E1009" s="116">
        <v>358.35</v>
      </c>
      <c r="F1009" s="116">
        <v>353.05</v>
      </c>
      <c r="G1009">
        <v>149561</v>
      </c>
      <c r="H1009" s="116"/>
      <c r="I1009" s="116"/>
      <c r="L1009" s="170">
        <v>44203</v>
      </c>
      <c r="M1009" s="116">
        <v>353.2</v>
      </c>
      <c r="N1009" s="116">
        <v>358.95</v>
      </c>
      <c r="O1009" s="116">
        <v>352</v>
      </c>
      <c r="P1009" s="116">
        <v>357</v>
      </c>
      <c r="Q1009" s="116">
        <v>353.2</v>
      </c>
      <c r="R1009">
        <v>1314622</v>
      </c>
    </row>
    <row r="1010" spans="1:18" x14ac:dyDescent="0.25">
      <c r="A1010" s="170">
        <v>44204</v>
      </c>
      <c r="B1010" s="116">
        <v>360.25</v>
      </c>
      <c r="C1010" s="116">
        <v>353.55</v>
      </c>
      <c r="D1010" s="116">
        <v>352</v>
      </c>
      <c r="E1010" s="116">
        <v>352.05</v>
      </c>
      <c r="F1010" s="116">
        <v>353.55</v>
      </c>
      <c r="G1010">
        <v>163788</v>
      </c>
      <c r="H1010" s="116"/>
      <c r="I1010" s="116"/>
      <c r="L1010" s="170">
        <v>44204</v>
      </c>
      <c r="M1010" s="116">
        <v>353.6</v>
      </c>
      <c r="N1010" s="116">
        <v>359.85</v>
      </c>
      <c r="O1010" s="116">
        <v>351.5</v>
      </c>
      <c r="P1010" s="116">
        <v>354.1</v>
      </c>
      <c r="Q1010" s="116">
        <v>353.6</v>
      </c>
      <c r="R1010">
        <v>1719966</v>
      </c>
    </row>
    <row r="1011" spans="1:18" x14ac:dyDescent="0.25">
      <c r="A1011" s="170">
        <v>44207</v>
      </c>
      <c r="B1011" s="116">
        <v>359</v>
      </c>
      <c r="C1011" s="116">
        <v>350.15</v>
      </c>
      <c r="D1011" s="116">
        <v>347</v>
      </c>
      <c r="E1011" s="116">
        <v>359</v>
      </c>
      <c r="F1011" s="116">
        <v>350.15</v>
      </c>
      <c r="G1011">
        <v>56875</v>
      </c>
      <c r="H1011" s="116"/>
      <c r="I1011" s="116"/>
      <c r="L1011" s="170">
        <v>44207</v>
      </c>
      <c r="M1011" s="116">
        <v>350.1</v>
      </c>
      <c r="N1011" s="116">
        <v>356.45</v>
      </c>
      <c r="O1011" s="116">
        <v>347</v>
      </c>
      <c r="P1011" s="116">
        <v>355.85</v>
      </c>
      <c r="Q1011" s="116">
        <v>350.1</v>
      </c>
      <c r="R1011">
        <v>1526043</v>
      </c>
    </row>
    <row r="1012" spans="1:18" x14ac:dyDescent="0.25">
      <c r="A1012" s="170">
        <v>44208</v>
      </c>
      <c r="B1012" s="116">
        <v>355.45</v>
      </c>
      <c r="C1012" s="116">
        <v>352.5</v>
      </c>
      <c r="D1012" s="116">
        <v>348</v>
      </c>
      <c r="E1012" s="116">
        <v>349.95</v>
      </c>
      <c r="F1012" s="116">
        <v>352.5</v>
      </c>
      <c r="G1012">
        <v>105523</v>
      </c>
      <c r="H1012" s="116"/>
      <c r="I1012" s="116"/>
      <c r="L1012" s="170">
        <v>44208</v>
      </c>
      <c r="M1012" s="116">
        <v>352.75</v>
      </c>
      <c r="N1012" s="116">
        <v>355.65</v>
      </c>
      <c r="O1012" s="116">
        <v>349.05</v>
      </c>
      <c r="P1012" s="116">
        <v>351</v>
      </c>
      <c r="Q1012" s="116">
        <v>352.75</v>
      </c>
      <c r="R1012">
        <v>1057505</v>
      </c>
    </row>
    <row r="1013" spans="1:18" x14ac:dyDescent="0.25">
      <c r="A1013" s="170">
        <v>44209</v>
      </c>
      <c r="B1013" s="116">
        <v>355</v>
      </c>
      <c r="C1013" s="116">
        <v>348.05</v>
      </c>
      <c r="D1013" s="116">
        <v>343.2</v>
      </c>
      <c r="E1013" s="116">
        <v>354.9</v>
      </c>
      <c r="F1013" s="116">
        <v>348.05</v>
      </c>
      <c r="G1013">
        <v>62352</v>
      </c>
      <c r="H1013" s="116"/>
      <c r="I1013" s="116"/>
      <c r="L1013" s="170">
        <v>44209</v>
      </c>
      <c r="M1013" s="116">
        <v>348.1</v>
      </c>
      <c r="N1013" s="116">
        <v>355.25</v>
      </c>
      <c r="O1013" s="116">
        <v>343.1</v>
      </c>
      <c r="P1013" s="116">
        <v>352.9</v>
      </c>
      <c r="Q1013" s="116">
        <v>348.1</v>
      </c>
      <c r="R1013">
        <v>1530834</v>
      </c>
    </row>
    <row r="1014" spans="1:18" x14ac:dyDescent="0.25">
      <c r="A1014" s="170">
        <v>44210</v>
      </c>
      <c r="B1014" s="116">
        <v>377.3</v>
      </c>
      <c r="C1014" s="116">
        <v>367.05</v>
      </c>
      <c r="D1014" s="116">
        <v>346.15</v>
      </c>
      <c r="E1014" s="116">
        <v>348.05</v>
      </c>
      <c r="F1014" s="116">
        <v>367.05</v>
      </c>
      <c r="G1014">
        <v>239633</v>
      </c>
      <c r="H1014" s="116"/>
      <c r="I1014" s="116"/>
      <c r="L1014" s="170">
        <v>44210</v>
      </c>
      <c r="M1014" s="116">
        <v>366.8</v>
      </c>
      <c r="N1014" s="116">
        <v>377.45</v>
      </c>
      <c r="O1014" s="116">
        <v>347.4</v>
      </c>
      <c r="P1014" s="116">
        <v>349.8</v>
      </c>
      <c r="Q1014" s="116">
        <v>366.8</v>
      </c>
      <c r="R1014">
        <v>6304577</v>
      </c>
    </row>
    <row r="1015" spans="1:18" x14ac:dyDescent="0.25">
      <c r="A1015" s="170">
        <v>44211</v>
      </c>
      <c r="B1015" s="116">
        <v>375.7</v>
      </c>
      <c r="C1015" s="116">
        <v>369.75</v>
      </c>
      <c r="D1015" s="116">
        <v>361.55</v>
      </c>
      <c r="E1015" s="116">
        <v>369.9</v>
      </c>
      <c r="F1015" s="116">
        <v>369.75</v>
      </c>
      <c r="G1015">
        <v>380577</v>
      </c>
      <c r="H1015" s="116"/>
      <c r="I1015" s="116"/>
      <c r="L1015" s="170">
        <v>44211</v>
      </c>
      <c r="M1015" s="116">
        <v>370.05</v>
      </c>
      <c r="N1015" s="116">
        <v>375.85</v>
      </c>
      <c r="O1015" s="116">
        <v>361.7</v>
      </c>
      <c r="P1015" s="116">
        <v>370.7</v>
      </c>
      <c r="Q1015" s="116">
        <v>370.05</v>
      </c>
      <c r="R1015">
        <v>3274821</v>
      </c>
    </row>
    <row r="1016" spans="1:18" x14ac:dyDescent="0.25">
      <c r="A1016" s="170">
        <v>44214</v>
      </c>
      <c r="B1016" s="116">
        <v>372.05</v>
      </c>
      <c r="C1016" s="116">
        <v>355.9</v>
      </c>
      <c r="D1016" s="116">
        <v>352.5</v>
      </c>
      <c r="E1016" s="116">
        <v>370</v>
      </c>
      <c r="F1016" s="116">
        <v>355.9</v>
      </c>
      <c r="G1016">
        <v>144185</v>
      </c>
      <c r="H1016" s="116"/>
      <c r="I1016" s="116"/>
      <c r="L1016" s="170">
        <v>44214</v>
      </c>
      <c r="M1016" s="116">
        <v>355.8</v>
      </c>
      <c r="N1016" s="116">
        <v>373</v>
      </c>
      <c r="O1016" s="116">
        <v>352.45</v>
      </c>
      <c r="P1016" s="116">
        <v>373</v>
      </c>
      <c r="Q1016" s="116">
        <v>355.8</v>
      </c>
      <c r="R1016">
        <v>2808862</v>
      </c>
    </row>
    <row r="1017" spans="1:18" x14ac:dyDescent="0.25">
      <c r="A1017" s="170">
        <v>44215</v>
      </c>
      <c r="B1017" s="116">
        <v>365</v>
      </c>
      <c r="C1017" s="116">
        <v>363.05</v>
      </c>
      <c r="D1017" s="116">
        <v>358.55</v>
      </c>
      <c r="E1017" s="116">
        <v>365</v>
      </c>
      <c r="F1017" s="116">
        <v>363.05</v>
      </c>
      <c r="G1017">
        <v>160199</v>
      </c>
      <c r="H1017" s="116"/>
      <c r="I1017" s="116"/>
      <c r="L1017" s="170">
        <v>44215</v>
      </c>
      <c r="M1017" s="116">
        <v>363.2</v>
      </c>
      <c r="N1017" s="116">
        <v>364.75</v>
      </c>
      <c r="O1017" s="116">
        <v>358.05</v>
      </c>
      <c r="P1017" s="116">
        <v>362.45</v>
      </c>
      <c r="Q1017" s="116">
        <v>363.2</v>
      </c>
      <c r="R1017">
        <v>1643783</v>
      </c>
    </row>
    <row r="1018" spans="1:18" x14ac:dyDescent="0.25">
      <c r="A1018" s="170">
        <v>44216</v>
      </c>
      <c r="B1018" s="116">
        <v>377.05</v>
      </c>
      <c r="C1018" s="116">
        <v>371.95</v>
      </c>
      <c r="D1018" s="116">
        <v>365</v>
      </c>
      <c r="E1018" s="116">
        <v>365</v>
      </c>
      <c r="F1018" s="116">
        <v>371.95</v>
      </c>
      <c r="G1018">
        <v>132947</v>
      </c>
      <c r="H1018" s="116"/>
      <c r="I1018" s="116"/>
      <c r="L1018" s="170">
        <v>44216</v>
      </c>
      <c r="M1018" s="116">
        <v>371.9</v>
      </c>
      <c r="N1018" s="116">
        <v>377.25</v>
      </c>
      <c r="O1018" s="116">
        <v>365.6</v>
      </c>
      <c r="P1018" s="116">
        <v>366.2</v>
      </c>
      <c r="Q1018" s="116">
        <v>371.9</v>
      </c>
      <c r="R1018">
        <v>3852978</v>
      </c>
    </row>
    <row r="1019" spans="1:18" x14ac:dyDescent="0.25">
      <c r="A1019" s="170">
        <v>44217</v>
      </c>
      <c r="B1019" s="116">
        <v>379.35</v>
      </c>
      <c r="C1019" s="116">
        <v>370.1</v>
      </c>
      <c r="D1019" s="116">
        <v>366.25</v>
      </c>
      <c r="E1019" s="116">
        <v>375.75</v>
      </c>
      <c r="F1019" s="116">
        <v>370.1</v>
      </c>
      <c r="G1019">
        <v>247955</v>
      </c>
      <c r="H1019" s="116"/>
      <c r="I1019" s="116"/>
      <c r="L1019" s="170">
        <v>44217</v>
      </c>
      <c r="M1019" s="116">
        <v>370.15</v>
      </c>
      <c r="N1019" s="116">
        <v>379.75</v>
      </c>
      <c r="O1019" s="116">
        <v>366.4</v>
      </c>
      <c r="P1019" s="116">
        <v>375.7</v>
      </c>
      <c r="Q1019" s="116">
        <v>370.15</v>
      </c>
      <c r="R1019">
        <v>2381225</v>
      </c>
    </row>
    <row r="1020" spans="1:18" x14ac:dyDescent="0.25">
      <c r="A1020" s="170">
        <v>44218</v>
      </c>
      <c r="B1020" s="116">
        <v>374.7</v>
      </c>
      <c r="C1020" s="116">
        <v>370.65</v>
      </c>
      <c r="D1020" s="116">
        <v>366.65</v>
      </c>
      <c r="E1020" s="116">
        <v>371</v>
      </c>
      <c r="F1020" s="116">
        <v>370.65</v>
      </c>
      <c r="G1020">
        <v>85441</v>
      </c>
      <c r="H1020" s="116"/>
      <c r="I1020" s="116"/>
      <c r="L1020" s="170">
        <v>44218</v>
      </c>
      <c r="M1020" s="116">
        <v>370.55</v>
      </c>
      <c r="N1020" s="116">
        <v>375</v>
      </c>
      <c r="O1020" s="116">
        <v>366.85</v>
      </c>
      <c r="P1020" s="116">
        <v>371.5</v>
      </c>
      <c r="Q1020" s="116">
        <v>370.55</v>
      </c>
      <c r="R1020">
        <v>2221834</v>
      </c>
    </row>
    <row r="1021" spans="1:18" x14ac:dyDescent="0.25">
      <c r="A1021" s="170">
        <v>44221</v>
      </c>
      <c r="B1021" s="116">
        <v>385.8</v>
      </c>
      <c r="C1021" s="116">
        <v>379.35</v>
      </c>
      <c r="D1021" s="116">
        <v>362.65</v>
      </c>
      <c r="E1021" s="116">
        <v>374</v>
      </c>
      <c r="F1021" s="116">
        <v>379.35</v>
      </c>
      <c r="G1021">
        <v>525914</v>
      </c>
      <c r="H1021" s="116"/>
      <c r="I1021" s="116"/>
      <c r="L1021" s="170">
        <v>44221</v>
      </c>
      <c r="M1021" s="116">
        <v>379.55</v>
      </c>
      <c r="N1021" s="116">
        <v>385.85</v>
      </c>
      <c r="O1021" s="116">
        <v>362.8</v>
      </c>
      <c r="P1021" s="116">
        <v>374.9</v>
      </c>
      <c r="Q1021" s="116">
        <v>379.55</v>
      </c>
      <c r="R1021">
        <v>4693776</v>
      </c>
    </row>
    <row r="1022" spans="1:18" x14ac:dyDescent="0.25">
      <c r="A1022" s="170">
        <v>44223</v>
      </c>
      <c r="B1022" s="116">
        <v>381.75</v>
      </c>
      <c r="C1022" s="116">
        <v>366.2</v>
      </c>
      <c r="D1022" s="116">
        <v>364.3</v>
      </c>
      <c r="E1022" s="116">
        <v>381</v>
      </c>
      <c r="F1022" s="116">
        <v>366.2</v>
      </c>
      <c r="G1022">
        <v>124124</v>
      </c>
      <c r="H1022" s="116"/>
      <c r="I1022" s="116"/>
      <c r="L1022" s="170">
        <v>44223</v>
      </c>
      <c r="M1022" s="116">
        <v>366.3</v>
      </c>
      <c r="N1022" s="116">
        <v>381.9</v>
      </c>
      <c r="O1022" s="116">
        <v>364.1</v>
      </c>
      <c r="P1022" s="116">
        <v>381</v>
      </c>
      <c r="Q1022" s="116">
        <v>366.3</v>
      </c>
      <c r="R1022">
        <v>3745494</v>
      </c>
    </row>
    <row r="1023" spans="1:18" x14ac:dyDescent="0.25">
      <c r="A1023" s="170">
        <v>44224</v>
      </c>
      <c r="B1023" s="116">
        <v>366.35</v>
      </c>
      <c r="C1023" s="116">
        <v>357.75</v>
      </c>
      <c r="D1023" s="116">
        <v>350.15</v>
      </c>
      <c r="E1023" s="116">
        <v>363.9</v>
      </c>
      <c r="F1023" s="116">
        <v>357.75</v>
      </c>
      <c r="G1023">
        <v>290906</v>
      </c>
      <c r="H1023" s="116"/>
      <c r="I1023" s="116"/>
      <c r="L1023" s="170">
        <v>44224</v>
      </c>
      <c r="M1023" s="116">
        <v>358.3</v>
      </c>
      <c r="N1023" s="116">
        <v>366.6</v>
      </c>
      <c r="O1023" s="116">
        <v>350.1</v>
      </c>
      <c r="P1023" s="116">
        <v>363</v>
      </c>
      <c r="Q1023" s="116">
        <v>358.3</v>
      </c>
      <c r="R1023">
        <v>7176516</v>
      </c>
    </row>
    <row r="1024" spans="1:18" x14ac:dyDescent="0.25">
      <c r="A1024" s="170">
        <v>44225</v>
      </c>
      <c r="B1024" s="116">
        <v>374.9</v>
      </c>
      <c r="C1024" s="116">
        <v>345.2</v>
      </c>
      <c r="D1024" s="116">
        <v>340</v>
      </c>
      <c r="E1024" s="116">
        <v>367.8</v>
      </c>
      <c r="F1024" s="116">
        <v>345.2</v>
      </c>
      <c r="G1024">
        <v>255493</v>
      </c>
      <c r="H1024" s="116"/>
      <c r="I1024" s="116"/>
      <c r="L1024" s="170">
        <v>44225</v>
      </c>
      <c r="M1024" s="116">
        <v>345.35</v>
      </c>
      <c r="N1024" s="116">
        <v>373.65</v>
      </c>
      <c r="O1024" s="116">
        <v>340</v>
      </c>
      <c r="P1024" s="116">
        <v>366</v>
      </c>
      <c r="Q1024" s="116">
        <v>345.35</v>
      </c>
      <c r="R1024">
        <v>5052664</v>
      </c>
    </row>
    <row r="1025" spans="1:18" x14ac:dyDescent="0.25">
      <c r="A1025" s="170">
        <v>44228</v>
      </c>
      <c r="B1025" s="116">
        <v>354.6</v>
      </c>
      <c r="C1025" s="116">
        <v>350.05</v>
      </c>
      <c r="D1025" s="116">
        <v>333.25</v>
      </c>
      <c r="E1025" s="116">
        <v>347</v>
      </c>
      <c r="F1025" s="116">
        <v>350.05</v>
      </c>
      <c r="G1025">
        <v>211533</v>
      </c>
      <c r="H1025" s="116"/>
      <c r="I1025" s="116"/>
      <c r="L1025" s="170">
        <v>44228</v>
      </c>
      <c r="M1025" s="116">
        <v>350.1</v>
      </c>
      <c r="N1025" s="116">
        <v>354.65</v>
      </c>
      <c r="O1025" s="116">
        <v>333.05</v>
      </c>
      <c r="P1025" s="116">
        <v>345.25</v>
      </c>
      <c r="Q1025" s="116">
        <v>350.1</v>
      </c>
      <c r="R1025">
        <v>4458153</v>
      </c>
    </row>
    <row r="1026" spans="1:18" x14ac:dyDescent="0.25">
      <c r="A1026" s="170">
        <v>44229</v>
      </c>
      <c r="B1026" s="116">
        <v>359.15</v>
      </c>
      <c r="C1026" s="116">
        <v>346.1</v>
      </c>
      <c r="D1026" s="116">
        <v>344.45</v>
      </c>
      <c r="E1026" s="116">
        <v>353.4</v>
      </c>
      <c r="F1026" s="116">
        <v>346.1</v>
      </c>
      <c r="G1026">
        <v>153447</v>
      </c>
      <c r="H1026" s="116"/>
      <c r="I1026" s="116"/>
      <c r="L1026" s="170">
        <v>44229</v>
      </c>
      <c r="M1026" s="116">
        <v>346.55</v>
      </c>
      <c r="N1026" s="116">
        <v>359.4</v>
      </c>
      <c r="O1026" s="116">
        <v>345</v>
      </c>
      <c r="P1026" s="116">
        <v>354</v>
      </c>
      <c r="Q1026" s="116">
        <v>346.55</v>
      </c>
      <c r="R1026">
        <v>3651784</v>
      </c>
    </row>
    <row r="1027" spans="1:18" x14ac:dyDescent="0.25">
      <c r="A1027" s="170">
        <v>44230</v>
      </c>
      <c r="B1027" s="116">
        <v>352.8</v>
      </c>
      <c r="C1027" s="116">
        <v>341.65</v>
      </c>
      <c r="D1027" s="116">
        <v>340</v>
      </c>
      <c r="E1027" s="116">
        <v>350.95</v>
      </c>
      <c r="F1027" s="116">
        <v>341.65</v>
      </c>
      <c r="G1027">
        <v>126877</v>
      </c>
      <c r="H1027" s="116"/>
      <c r="I1027" s="116"/>
      <c r="L1027" s="170">
        <v>44230</v>
      </c>
      <c r="M1027" s="116">
        <v>341.7</v>
      </c>
      <c r="N1027" s="116">
        <v>353</v>
      </c>
      <c r="O1027" s="116">
        <v>340</v>
      </c>
      <c r="P1027" s="116">
        <v>348.95</v>
      </c>
      <c r="Q1027" s="116">
        <v>341.7</v>
      </c>
      <c r="R1027">
        <v>3874728</v>
      </c>
    </row>
    <row r="1028" spans="1:18" x14ac:dyDescent="0.25">
      <c r="A1028" s="170">
        <v>44231</v>
      </c>
      <c r="B1028" s="116">
        <v>347.95</v>
      </c>
      <c r="C1028" s="116">
        <v>346.8</v>
      </c>
      <c r="D1028" s="116">
        <v>341.3</v>
      </c>
      <c r="E1028" s="116">
        <v>342.9</v>
      </c>
      <c r="F1028" s="116">
        <v>346.8</v>
      </c>
      <c r="G1028">
        <v>66760</v>
      </c>
      <c r="H1028" s="116"/>
      <c r="I1028" s="116"/>
      <c r="L1028" s="170">
        <v>44231</v>
      </c>
      <c r="M1028" s="116">
        <v>346.6</v>
      </c>
      <c r="N1028" s="116">
        <v>347.7</v>
      </c>
      <c r="O1028" s="116">
        <v>341.2</v>
      </c>
      <c r="P1028" s="116">
        <v>342.95</v>
      </c>
      <c r="Q1028" s="116">
        <v>346.6</v>
      </c>
      <c r="R1028">
        <v>2394860</v>
      </c>
    </row>
    <row r="1029" spans="1:18" x14ac:dyDescent="0.25">
      <c r="A1029" s="170">
        <v>44232</v>
      </c>
      <c r="B1029" s="116">
        <v>349.85</v>
      </c>
      <c r="C1029" s="116">
        <v>341.95</v>
      </c>
      <c r="D1029" s="116">
        <v>341.15</v>
      </c>
      <c r="E1029" s="116">
        <v>346.8</v>
      </c>
      <c r="F1029" s="116">
        <v>341.95</v>
      </c>
      <c r="G1029">
        <v>202042</v>
      </c>
      <c r="H1029" s="116"/>
      <c r="I1029" s="116"/>
      <c r="L1029" s="170">
        <v>44232</v>
      </c>
      <c r="M1029" s="116">
        <v>341.75</v>
      </c>
      <c r="N1029" s="116">
        <v>349.65</v>
      </c>
      <c r="O1029" s="116">
        <v>341.1</v>
      </c>
      <c r="P1029" s="116">
        <v>348.5</v>
      </c>
      <c r="Q1029" s="116">
        <v>341.75</v>
      </c>
      <c r="R1029">
        <v>1911346</v>
      </c>
    </row>
    <row r="1030" spans="1:18" x14ac:dyDescent="0.25">
      <c r="A1030" s="170">
        <v>44235</v>
      </c>
      <c r="B1030" s="116">
        <v>359</v>
      </c>
      <c r="C1030" s="116">
        <v>356.95</v>
      </c>
      <c r="D1030" s="116">
        <v>341</v>
      </c>
      <c r="E1030" s="116">
        <v>346.75</v>
      </c>
      <c r="F1030" s="116">
        <v>356.95</v>
      </c>
      <c r="G1030">
        <v>418184</v>
      </c>
      <c r="H1030" s="116"/>
      <c r="I1030" s="116"/>
      <c r="L1030" s="170">
        <v>44235</v>
      </c>
      <c r="M1030" s="116">
        <v>357.25</v>
      </c>
      <c r="N1030" s="116">
        <v>359.4</v>
      </c>
      <c r="O1030" s="116">
        <v>343</v>
      </c>
      <c r="P1030" s="116">
        <v>344.95</v>
      </c>
      <c r="Q1030" s="116">
        <v>357.25</v>
      </c>
      <c r="R1030">
        <v>4485525</v>
      </c>
    </row>
    <row r="1031" spans="1:18" x14ac:dyDescent="0.25">
      <c r="A1031" s="170">
        <v>44236</v>
      </c>
      <c r="B1031" s="116">
        <v>365</v>
      </c>
      <c r="C1031" s="116">
        <v>361.05</v>
      </c>
      <c r="D1031" s="116">
        <v>358.15</v>
      </c>
      <c r="E1031" s="116">
        <v>364.6</v>
      </c>
      <c r="F1031" s="116">
        <v>361.05</v>
      </c>
      <c r="G1031">
        <v>184154</v>
      </c>
      <c r="H1031" s="116"/>
      <c r="I1031" s="116"/>
      <c r="L1031" s="170">
        <v>44236</v>
      </c>
      <c r="M1031" s="116">
        <v>360.7</v>
      </c>
      <c r="N1031" s="116">
        <v>365</v>
      </c>
      <c r="O1031" s="116">
        <v>358</v>
      </c>
      <c r="P1031" s="116">
        <v>360</v>
      </c>
      <c r="Q1031" s="116">
        <v>360.7</v>
      </c>
      <c r="R1031">
        <v>3484971</v>
      </c>
    </row>
    <row r="1032" spans="1:18" x14ac:dyDescent="0.25">
      <c r="A1032" s="170">
        <v>44237</v>
      </c>
      <c r="B1032" s="116">
        <v>363.3</v>
      </c>
      <c r="C1032" s="116">
        <v>359.05</v>
      </c>
      <c r="D1032" s="116">
        <v>355.4</v>
      </c>
      <c r="E1032" s="116">
        <v>361.05</v>
      </c>
      <c r="F1032" s="116">
        <v>359.05</v>
      </c>
      <c r="G1032">
        <v>245212</v>
      </c>
      <c r="H1032" s="116"/>
      <c r="I1032" s="116"/>
      <c r="L1032" s="170">
        <v>44237</v>
      </c>
      <c r="M1032" s="116">
        <v>359.3</v>
      </c>
      <c r="N1032" s="116">
        <v>363.6</v>
      </c>
      <c r="O1032" s="116">
        <v>355.5</v>
      </c>
      <c r="P1032" s="116">
        <v>361.35</v>
      </c>
      <c r="Q1032" s="116">
        <v>359.3</v>
      </c>
      <c r="R1032">
        <v>1758227</v>
      </c>
    </row>
    <row r="1033" spans="1:18" x14ac:dyDescent="0.25">
      <c r="A1033" s="170">
        <v>44238</v>
      </c>
      <c r="B1033" s="116">
        <v>369.5</v>
      </c>
      <c r="C1033" s="116">
        <v>367.35</v>
      </c>
      <c r="D1033" s="116">
        <v>356.3</v>
      </c>
      <c r="E1033" s="116">
        <v>358</v>
      </c>
      <c r="F1033" s="116">
        <v>367.35</v>
      </c>
      <c r="G1033">
        <v>132767</v>
      </c>
      <c r="H1033" s="116"/>
      <c r="I1033" s="116"/>
      <c r="L1033" s="170">
        <v>44238</v>
      </c>
      <c r="M1033" s="116">
        <v>367.35</v>
      </c>
      <c r="N1033" s="116">
        <v>369.7</v>
      </c>
      <c r="O1033" s="116">
        <v>356.2</v>
      </c>
      <c r="P1033" s="116">
        <v>358</v>
      </c>
      <c r="Q1033" s="116">
        <v>367.35</v>
      </c>
      <c r="R1033">
        <v>3485679</v>
      </c>
    </row>
    <row r="1034" spans="1:18" x14ac:dyDescent="0.25">
      <c r="A1034" s="170">
        <v>44239</v>
      </c>
      <c r="B1034" s="116">
        <v>380</v>
      </c>
      <c r="C1034" s="116">
        <v>375.6</v>
      </c>
      <c r="D1034" s="116">
        <v>366</v>
      </c>
      <c r="E1034" s="116">
        <v>368.95</v>
      </c>
      <c r="F1034" s="116">
        <v>375.6</v>
      </c>
      <c r="G1034">
        <v>312972</v>
      </c>
      <c r="H1034" s="116"/>
      <c r="I1034" s="116"/>
      <c r="L1034" s="170">
        <v>44239</v>
      </c>
      <c r="M1034" s="116">
        <v>375.65</v>
      </c>
      <c r="N1034" s="116">
        <v>380</v>
      </c>
      <c r="O1034" s="116">
        <v>365.9</v>
      </c>
      <c r="P1034" s="116">
        <v>368.95</v>
      </c>
      <c r="Q1034" s="116">
        <v>375.65</v>
      </c>
      <c r="R1034">
        <v>5297950</v>
      </c>
    </row>
    <row r="1035" spans="1:18" x14ac:dyDescent="0.25">
      <c r="A1035" s="170">
        <v>44242</v>
      </c>
      <c r="B1035" s="116">
        <v>379.25</v>
      </c>
      <c r="C1035" s="116">
        <v>368.85</v>
      </c>
      <c r="D1035" s="116">
        <v>367.65</v>
      </c>
      <c r="E1035" s="116">
        <v>377.9</v>
      </c>
      <c r="F1035" s="116">
        <v>368.85</v>
      </c>
      <c r="G1035">
        <v>106834</v>
      </c>
      <c r="H1035" s="116"/>
      <c r="I1035" s="116"/>
      <c r="L1035" s="170">
        <v>44242</v>
      </c>
      <c r="M1035" s="116">
        <v>368.7</v>
      </c>
      <c r="N1035" s="116">
        <v>379.4</v>
      </c>
      <c r="O1035" s="116">
        <v>367.4</v>
      </c>
      <c r="P1035" s="116">
        <v>378</v>
      </c>
      <c r="Q1035" s="116">
        <v>368.7</v>
      </c>
      <c r="R1035">
        <v>2056732</v>
      </c>
    </row>
    <row r="1036" spans="1:18" x14ac:dyDescent="0.25">
      <c r="A1036" s="170">
        <v>44243</v>
      </c>
      <c r="B1036" s="116">
        <v>374.9</v>
      </c>
      <c r="C1036" s="116">
        <v>372.45</v>
      </c>
      <c r="D1036" s="116">
        <v>365</v>
      </c>
      <c r="E1036" s="116">
        <v>371.95</v>
      </c>
      <c r="F1036" s="116">
        <v>372.45</v>
      </c>
      <c r="G1036">
        <v>214859</v>
      </c>
      <c r="H1036" s="116"/>
      <c r="I1036" s="116"/>
      <c r="L1036" s="170">
        <v>44243</v>
      </c>
      <c r="M1036" s="116">
        <v>372.7</v>
      </c>
      <c r="N1036" s="116">
        <v>375</v>
      </c>
      <c r="O1036" s="116">
        <v>365.1</v>
      </c>
      <c r="P1036" s="116">
        <v>369.05</v>
      </c>
      <c r="Q1036" s="116">
        <v>372.7</v>
      </c>
      <c r="R1036">
        <v>1765871</v>
      </c>
    </row>
    <row r="1037" spans="1:18" x14ac:dyDescent="0.25">
      <c r="A1037" s="170">
        <v>44244</v>
      </c>
      <c r="B1037" s="116">
        <v>377.7</v>
      </c>
      <c r="C1037" s="116">
        <v>366.85</v>
      </c>
      <c r="D1037" s="116">
        <v>364.3</v>
      </c>
      <c r="E1037" s="116">
        <v>375.6</v>
      </c>
      <c r="F1037" s="116">
        <v>366.85</v>
      </c>
      <c r="G1037">
        <v>93673</v>
      </c>
      <c r="H1037" s="116"/>
      <c r="I1037" s="116"/>
      <c r="L1037" s="170">
        <v>44244</v>
      </c>
      <c r="M1037" s="116">
        <v>366.8</v>
      </c>
      <c r="N1037" s="116">
        <v>377.25</v>
      </c>
      <c r="O1037" s="116">
        <v>364.1</v>
      </c>
      <c r="P1037" s="116">
        <v>374.5</v>
      </c>
      <c r="Q1037" s="116">
        <v>366.8</v>
      </c>
      <c r="R1037">
        <v>2298146</v>
      </c>
    </row>
    <row r="1038" spans="1:18" x14ac:dyDescent="0.25">
      <c r="A1038" s="170">
        <v>44245</v>
      </c>
      <c r="B1038" s="116">
        <v>374.6</v>
      </c>
      <c r="C1038" s="116">
        <v>369</v>
      </c>
      <c r="D1038" s="116">
        <v>361.1</v>
      </c>
      <c r="E1038" s="116">
        <v>361.1</v>
      </c>
      <c r="F1038" s="116">
        <v>369</v>
      </c>
      <c r="G1038">
        <v>215020</v>
      </c>
      <c r="H1038" s="116"/>
      <c r="I1038" s="116"/>
      <c r="L1038" s="170">
        <v>44245</v>
      </c>
      <c r="M1038" s="116">
        <v>369.25</v>
      </c>
      <c r="N1038" s="116">
        <v>375</v>
      </c>
      <c r="O1038" s="116">
        <v>366.1</v>
      </c>
      <c r="P1038" s="116">
        <v>367</v>
      </c>
      <c r="Q1038" s="116">
        <v>369.25</v>
      </c>
      <c r="R1038">
        <v>2104519</v>
      </c>
    </row>
    <row r="1039" spans="1:18" x14ac:dyDescent="0.25">
      <c r="A1039" s="170">
        <v>44246</v>
      </c>
      <c r="B1039" s="116">
        <v>373.45</v>
      </c>
      <c r="C1039" s="116">
        <v>365.25</v>
      </c>
      <c r="D1039" s="116">
        <v>362.85</v>
      </c>
      <c r="E1039" s="116">
        <v>370</v>
      </c>
      <c r="F1039" s="116">
        <v>365.25</v>
      </c>
      <c r="G1039">
        <v>67820</v>
      </c>
      <c r="H1039" s="116"/>
      <c r="I1039" s="116"/>
      <c r="L1039" s="170">
        <v>44246</v>
      </c>
      <c r="M1039" s="116">
        <v>365.35</v>
      </c>
      <c r="N1039" s="116">
        <v>373.55</v>
      </c>
      <c r="O1039" s="116">
        <v>362.6</v>
      </c>
      <c r="P1039" s="116">
        <v>369</v>
      </c>
      <c r="Q1039" s="116">
        <v>365.35</v>
      </c>
      <c r="R1039">
        <v>1982699</v>
      </c>
    </row>
    <row r="1040" spans="1:18" x14ac:dyDescent="0.25">
      <c r="A1040" s="170">
        <v>44249</v>
      </c>
      <c r="B1040" s="116">
        <v>369.2</v>
      </c>
      <c r="C1040" s="116">
        <v>358.05</v>
      </c>
      <c r="D1040" s="116">
        <v>355.15</v>
      </c>
      <c r="E1040" s="116">
        <v>368.5</v>
      </c>
      <c r="F1040" s="116">
        <v>358.05</v>
      </c>
      <c r="G1040">
        <v>79639</v>
      </c>
      <c r="H1040" s="116"/>
      <c r="I1040" s="116"/>
      <c r="L1040" s="170">
        <v>44249</v>
      </c>
      <c r="M1040" s="116">
        <v>358.1</v>
      </c>
      <c r="N1040" s="116">
        <v>369</v>
      </c>
      <c r="O1040" s="116">
        <v>355</v>
      </c>
      <c r="P1040" s="116">
        <v>367</v>
      </c>
      <c r="Q1040" s="116">
        <v>358.1</v>
      </c>
      <c r="R1040">
        <v>1739504</v>
      </c>
    </row>
    <row r="1041" spans="1:18" x14ac:dyDescent="0.25">
      <c r="A1041" s="170">
        <v>44250</v>
      </c>
      <c r="B1041" s="116">
        <v>364.7</v>
      </c>
      <c r="C1041" s="116">
        <v>361.15</v>
      </c>
      <c r="D1041" s="116">
        <v>358.15</v>
      </c>
      <c r="E1041" s="116">
        <v>359.95</v>
      </c>
      <c r="F1041" s="116">
        <v>361.15</v>
      </c>
      <c r="G1041">
        <v>53330</v>
      </c>
      <c r="H1041" s="116"/>
      <c r="I1041" s="116"/>
      <c r="L1041" s="170">
        <v>44250</v>
      </c>
      <c r="M1041" s="116">
        <v>361.75</v>
      </c>
      <c r="N1041" s="116">
        <v>364.55</v>
      </c>
      <c r="O1041" s="116">
        <v>358.15</v>
      </c>
      <c r="P1041" s="116">
        <v>358.5</v>
      </c>
      <c r="Q1041" s="116">
        <v>361.75</v>
      </c>
      <c r="R1041">
        <v>1665753</v>
      </c>
    </row>
    <row r="1042" spans="1:18" x14ac:dyDescent="0.25">
      <c r="A1042" s="170">
        <v>44251</v>
      </c>
      <c r="B1042" s="116">
        <v>364.9</v>
      </c>
      <c r="C1042" s="116">
        <v>359.8</v>
      </c>
      <c r="D1042" s="116">
        <v>357</v>
      </c>
      <c r="E1042" s="116">
        <v>364.9</v>
      </c>
      <c r="F1042" s="116">
        <v>359.8</v>
      </c>
      <c r="G1042">
        <v>162416</v>
      </c>
      <c r="H1042" s="116"/>
      <c r="I1042" s="116"/>
      <c r="L1042" s="170">
        <v>44251</v>
      </c>
      <c r="M1042" s="116">
        <v>360.25</v>
      </c>
      <c r="N1042" s="116">
        <v>364.9</v>
      </c>
      <c r="O1042" s="116">
        <v>358.1</v>
      </c>
      <c r="P1042" s="116">
        <v>364</v>
      </c>
      <c r="Q1042" s="116">
        <v>360.25</v>
      </c>
      <c r="R1042">
        <v>833758</v>
      </c>
    </row>
    <row r="1043" spans="1:18" x14ac:dyDescent="0.25">
      <c r="A1043" s="170">
        <v>44252</v>
      </c>
      <c r="B1043" s="116">
        <v>364.4</v>
      </c>
      <c r="C1043" s="116">
        <v>357.35</v>
      </c>
      <c r="D1043" s="116">
        <v>356.35</v>
      </c>
      <c r="E1043" s="116">
        <v>364.4</v>
      </c>
      <c r="F1043" s="116">
        <v>357.35</v>
      </c>
      <c r="G1043">
        <v>121867</v>
      </c>
      <c r="H1043" s="116"/>
      <c r="I1043" s="116"/>
      <c r="L1043" s="170">
        <v>44252</v>
      </c>
      <c r="M1043" s="116">
        <v>357.35</v>
      </c>
      <c r="N1043" s="116">
        <v>363.7</v>
      </c>
      <c r="O1043" s="116">
        <v>356.35</v>
      </c>
      <c r="P1043" s="116">
        <v>362.95</v>
      </c>
      <c r="Q1043" s="116">
        <v>357.35</v>
      </c>
      <c r="R1043">
        <v>1506682</v>
      </c>
    </row>
    <row r="1044" spans="1:18" x14ac:dyDescent="0.25">
      <c r="A1044" s="170">
        <v>44253</v>
      </c>
      <c r="B1044" s="116">
        <v>356.9</v>
      </c>
      <c r="C1044" s="116">
        <v>350.4</v>
      </c>
      <c r="D1044" s="116">
        <v>347.15</v>
      </c>
      <c r="E1044" s="116">
        <v>356</v>
      </c>
      <c r="F1044" s="116">
        <v>350.4</v>
      </c>
      <c r="G1044">
        <v>123747</v>
      </c>
      <c r="H1044" s="116"/>
      <c r="I1044" s="116"/>
      <c r="L1044" s="170">
        <v>44253</v>
      </c>
      <c r="M1044" s="116">
        <v>350.15</v>
      </c>
      <c r="N1044" s="116">
        <v>356.6</v>
      </c>
      <c r="O1044" s="116">
        <v>347.05</v>
      </c>
      <c r="P1044" s="116">
        <v>354</v>
      </c>
      <c r="Q1044" s="116">
        <v>350.15</v>
      </c>
      <c r="R1044">
        <v>2383224</v>
      </c>
    </row>
    <row r="1045" spans="1:18" x14ac:dyDescent="0.25">
      <c r="A1045" s="170">
        <v>44256</v>
      </c>
      <c r="B1045" s="116">
        <v>368.85</v>
      </c>
      <c r="C1045" s="116">
        <v>363.5</v>
      </c>
      <c r="D1045" s="116">
        <v>352.4</v>
      </c>
      <c r="E1045" s="116">
        <v>354.7</v>
      </c>
      <c r="F1045" s="116">
        <v>363.5</v>
      </c>
      <c r="G1045">
        <v>312885</v>
      </c>
      <c r="H1045" s="116"/>
      <c r="I1045" s="116"/>
      <c r="L1045" s="170">
        <v>44256</v>
      </c>
      <c r="M1045" s="116">
        <v>363.7</v>
      </c>
      <c r="N1045" s="116">
        <v>368.9</v>
      </c>
      <c r="O1045" s="116">
        <v>352.35</v>
      </c>
      <c r="P1045" s="116">
        <v>352.35</v>
      </c>
      <c r="Q1045" s="116">
        <v>363.7</v>
      </c>
      <c r="R1045">
        <v>3122894</v>
      </c>
    </row>
    <row r="1046" spans="1:18" x14ac:dyDescent="0.25">
      <c r="A1046" s="170">
        <v>44257</v>
      </c>
      <c r="B1046" s="116">
        <v>369.6</v>
      </c>
      <c r="C1046" s="116">
        <v>362.05</v>
      </c>
      <c r="D1046" s="116">
        <v>358.6</v>
      </c>
      <c r="E1046" s="116">
        <v>368.8</v>
      </c>
      <c r="F1046" s="116">
        <v>362.05</v>
      </c>
      <c r="G1046">
        <v>132617</v>
      </c>
      <c r="H1046" s="116"/>
      <c r="I1046" s="116"/>
      <c r="L1046" s="170">
        <v>44257</v>
      </c>
      <c r="M1046" s="116">
        <v>362.05</v>
      </c>
      <c r="N1046" s="116">
        <v>368.5</v>
      </c>
      <c r="O1046" s="116">
        <v>358.45</v>
      </c>
      <c r="P1046" s="116">
        <v>365.5</v>
      </c>
      <c r="Q1046" s="116">
        <v>362.05</v>
      </c>
      <c r="R1046">
        <v>2619449</v>
      </c>
    </row>
    <row r="1047" spans="1:18" x14ac:dyDescent="0.25">
      <c r="A1047" s="170">
        <v>44258</v>
      </c>
      <c r="B1047" s="116">
        <v>370.1</v>
      </c>
      <c r="C1047" s="116">
        <v>364.6</v>
      </c>
      <c r="D1047" s="116">
        <v>363.2</v>
      </c>
      <c r="E1047" s="116">
        <v>363.2</v>
      </c>
      <c r="F1047" s="116">
        <v>364.6</v>
      </c>
      <c r="G1047">
        <v>190859</v>
      </c>
      <c r="H1047" s="116"/>
      <c r="I1047" s="116"/>
      <c r="L1047" s="170">
        <v>44258</v>
      </c>
      <c r="M1047" s="116">
        <v>364.75</v>
      </c>
      <c r="N1047" s="116">
        <v>370.6</v>
      </c>
      <c r="O1047" s="116">
        <v>364.1</v>
      </c>
      <c r="P1047" s="116">
        <v>364.85</v>
      </c>
      <c r="Q1047" s="116">
        <v>364.75</v>
      </c>
      <c r="R1047">
        <v>2989873</v>
      </c>
    </row>
    <row r="1048" spans="1:18" x14ac:dyDescent="0.25">
      <c r="A1048" s="170">
        <v>44259</v>
      </c>
      <c r="B1048" s="116">
        <v>382.5</v>
      </c>
      <c r="C1048" s="116">
        <v>368.35</v>
      </c>
      <c r="D1048" s="116">
        <v>363.2</v>
      </c>
      <c r="E1048" s="116">
        <v>364.9</v>
      </c>
      <c r="F1048" s="116">
        <v>368.35</v>
      </c>
      <c r="G1048">
        <v>4001310</v>
      </c>
      <c r="H1048" s="116"/>
      <c r="I1048" s="116"/>
      <c r="L1048" s="170">
        <v>44259</v>
      </c>
      <c r="M1048" s="116">
        <v>368.75</v>
      </c>
      <c r="N1048" s="116">
        <v>382.65</v>
      </c>
      <c r="O1048" s="116">
        <v>362.5</v>
      </c>
      <c r="P1048" s="116">
        <v>362.85</v>
      </c>
      <c r="Q1048" s="116">
        <v>368.75</v>
      </c>
      <c r="R1048">
        <v>11110398</v>
      </c>
    </row>
    <row r="1049" spans="1:18" x14ac:dyDescent="0.25">
      <c r="A1049" s="170">
        <v>44260</v>
      </c>
      <c r="B1049" s="116">
        <v>374.2</v>
      </c>
      <c r="C1049" s="116">
        <v>351.3</v>
      </c>
      <c r="D1049" s="116">
        <v>348.8</v>
      </c>
      <c r="E1049" s="116">
        <v>369.15</v>
      </c>
      <c r="F1049" s="116">
        <v>351.3</v>
      </c>
      <c r="G1049">
        <v>253725</v>
      </c>
      <c r="H1049" s="116"/>
      <c r="I1049" s="116"/>
      <c r="L1049" s="170">
        <v>44260</v>
      </c>
      <c r="M1049" s="116">
        <v>351.05</v>
      </c>
      <c r="N1049" s="116">
        <v>374.25</v>
      </c>
      <c r="O1049" s="116">
        <v>348.5</v>
      </c>
      <c r="P1049" s="116">
        <v>370</v>
      </c>
      <c r="Q1049" s="116">
        <v>351.05</v>
      </c>
      <c r="R1049">
        <v>4506190</v>
      </c>
    </row>
    <row r="1050" spans="1:18" x14ac:dyDescent="0.25">
      <c r="A1050" s="170">
        <v>44263</v>
      </c>
      <c r="B1050" s="116">
        <v>359.8</v>
      </c>
      <c r="C1050" s="116">
        <v>343</v>
      </c>
      <c r="D1050" s="116">
        <v>341.75</v>
      </c>
      <c r="E1050" s="116">
        <v>353</v>
      </c>
      <c r="F1050" s="116">
        <v>343</v>
      </c>
      <c r="G1050">
        <v>401761</v>
      </c>
      <c r="H1050" s="116"/>
      <c r="I1050" s="116"/>
      <c r="L1050" s="170">
        <v>44263</v>
      </c>
      <c r="M1050" s="116">
        <v>342.9</v>
      </c>
      <c r="N1050" s="116">
        <v>359.7</v>
      </c>
      <c r="O1050" s="116">
        <v>341.3</v>
      </c>
      <c r="P1050" s="116">
        <v>355</v>
      </c>
      <c r="Q1050" s="116">
        <v>342.9</v>
      </c>
      <c r="R1050">
        <v>3761213</v>
      </c>
    </row>
    <row r="1051" spans="1:18" x14ac:dyDescent="0.25">
      <c r="A1051" s="170">
        <v>44264</v>
      </c>
      <c r="B1051" s="116">
        <v>352.6</v>
      </c>
      <c r="C1051" s="116">
        <v>347.9</v>
      </c>
      <c r="D1051" s="116">
        <v>336.15</v>
      </c>
      <c r="E1051" s="116">
        <v>343.9</v>
      </c>
      <c r="F1051" s="116">
        <v>347.9</v>
      </c>
      <c r="G1051">
        <v>440744</v>
      </c>
      <c r="H1051" s="116"/>
      <c r="I1051" s="116"/>
      <c r="L1051" s="170">
        <v>44264</v>
      </c>
      <c r="M1051" s="116">
        <v>346.75</v>
      </c>
      <c r="N1051" s="116">
        <v>353</v>
      </c>
      <c r="O1051" s="116">
        <v>336</v>
      </c>
      <c r="P1051" s="116">
        <v>344</v>
      </c>
      <c r="Q1051" s="116">
        <v>346.75</v>
      </c>
      <c r="R1051">
        <v>9173538</v>
      </c>
    </row>
    <row r="1052" spans="1:18" x14ac:dyDescent="0.25">
      <c r="A1052" s="170">
        <v>44265</v>
      </c>
      <c r="B1052" s="116">
        <v>367.5</v>
      </c>
      <c r="C1052" s="116">
        <v>364.8</v>
      </c>
      <c r="D1052" s="116">
        <v>349.1</v>
      </c>
      <c r="E1052" s="116">
        <v>349.1</v>
      </c>
      <c r="F1052" s="116">
        <v>364.8</v>
      </c>
      <c r="G1052">
        <v>413631</v>
      </c>
      <c r="H1052" s="116"/>
      <c r="I1052" s="116"/>
      <c r="L1052" s="170">
        <v>44265</v>
      </c>
      <c r="M1052" s="116">
        <v>365</v>
      </c>
      <c r="N1052" s="116">
        <v>367.5</v>
      </c>
      <c r="O1052" s="116">
        <v>351.4</v>
      </c>
      <c r="P1052" s="116">
        <v>351.4</v>
      </c>
      <c r="Q1052" s="116">
        <v>365</v>
      </c>
      <c r="R1052">
        <v>4060225</v>
      </c>
    </row>
    <row r="1053" spans="1:18" x14ac:dyDescent="0.25">
      <c r="A1053" s="170">
        <v>44267</v>
      </c>
      <c r="B1053" s="116">
        <v>373.7</v>
      </c>
      <c r="C1053" s="116">
        <v>363</v>
      </c>
      <c r="D1053" s="116">
        <v>361</v>
      </c>
      <c r="E1053" s="116">
        <v>365.2</v>
      </c>
      <c r="F1053" s="116">
        <v>363</v>
      </c>
      <c r="G1053">
        <v>168354</v>
      </c>
      <c r="H1053" s="116"/>
      <c r="I1053" s="116"/>
      <c r="L1053" s="170">
        <v>44267</v>
      </c>
      <c r="M1053" s="116">
        <v>363.15</v>
      </c>
      <c r="N1053" s="116">
        <v>373.7</v>
      </c>
      <c r="O1053" s="116">
        <v>361</v>
      </c>
      <c r="P1053" s="116">
        <v>367.55</v>
      </c>
      <c r="Q1053" s="116">
        <v>363.15</v>
      </c>
      <c r="R1053">
        <v>4399696</v>
      </c>
    </row>
    <row r="1054" spans="1:18" x14ac:dyDescent="0.25">
      <c r="A1054" s="170">
        <v>44270</v>
      </c>
      <c r="B1054" s="116">
        <v>366</v>
      </c>
      <c r="C1054" s="116">
        <v>357</v>
      </c>
      <c r="D1054" s="116">
        <v>351.5</v>
      </c>
      <c r="E1054" s="116">
        <v>366</v>
      </c>
      <c r="F1054" s="116">
        <v>357</v>
      </c>
      <c r="G1054">
        <v>95089</v>
      </c>
      <c r="H1054" s="116"/>
      <c r="I1054" s="116"/>
      <c r="L1054" s="170">
        <v>44270</v>
      </c>
      <c r="M1054" s="116">
        <v>356.9</v>
      </c>
      <c r="N1054" s="116">
        <v>366.2</v>
      </c>
      <c r="O1054" s="116">
        <v>351.7</v>
      </c>
      <c r="P1054" s="116">
        <v>366</v>
      </c>
      <c r="Q1054" s="116">
        <v>356.9</v>
      </c>
      <c r="R1054">
        <v>1716020</v>
      </c>
    </row>
    <row r="1055" spans="1:18" x14ac:dyDescent="0.25">
      <c r="A1055" s="170">
        <v>44271</v>
      </c>
      <c r="B1055" s="116">
        <v>363.55</v>
      </c>
      <c r="C1055" s="116">
        <v>361.55</v>
      </c>
      <c r="D1055" s="116">
        <v>354</v>
      </c>
      <c r="E1055" s="116">
        <v>355.8</v>
      </c>
      <c r="F1055" s="116">
        <v>361.55</v>
      </c>
      <c r="G1055">
        <v>147594</v>
      </c>
      <c r="H1055" s="116"/>
      <c r="I1055" s="116"/>
      <c r="L1055" s="170">
        <v>44271</v>
      </c>
      <c r="M1055" s="116">
        <v>361</v>
      </c>
      <c r="N1055" s="116">
        <v>363.5</v>
      </c>
      <c r="O1055" s="116">
        <v>354.05</v>
      </c>
      <c r="P1055" s="116">
        <v>358.7</v>
      </c>
      <c r="Q1055" s="116">
        <v>361</v>
      </c>
      <c r="R1055">
        <v>1701833</v>
      </c>
    </row>
    <row r="1056" spans="1:18" x14ac:dyDescent="0.25">
      <c r="A1056" s="170">
        <v>44272</v>
      </c>
      <c r="B1056" s="116">
        <v>362.05</v>
      </c>
      <c r="C1056" s="116">
        <v>349.1</v>
      </c>
      <c r="D1056" s="116">
        <v>344</v>
      </c>
      <c r="E1056" s="116">
        <v>355.7</v>
      </c>
      <c r="F1056" s="116">
        <v>349.1</v>
      </c>
      <c r="G1056">
        <v>175493</v>
      </c>
      <c r="H1056" s="116"/>
      <c r="I1056" s="116"/>
      <c r="L1056" s="170">
        <v>44272</v>
      </c>
      <c r="M1056" s="116">
        <v>349.2</v>
      </c>
      <c r="N1056" s="116">
        <v>362</v>
      </c>
      <c r="O1056" s="116">
        <v>343</v>
      </c>
      <c r="P1056" s="116">
        <v>362</v>
      </c>
      <c r="Q1056" s="116">
        <v>349.2</v>
      </c>
      <c r="R1056">
        <v>1545804</v>
      </c>
    </row>
    <row r="1057" spans="1:18" x14ac:dyDescent="0.25">
      <c r="A1057" s="170">
        <v>44273</v>
      </c>
      <c r="B1057" s="116">
        <v>354.35</v>
      </c>
      <c r="C1057" s="116">
        <v>343.25</v>
      </c>
      <c r="D1057" s="116">
        <v>341.25</v>
      </c>
      <c r="E1057" s="116">
        <v>352</v>
      </c>
      <c r="F1057" s="116">
        <v>343.25</v>
      </c>
      <c r="G1057">
        <v>90237</v>
      </c>
      <c r="H1057" s="116"/>
      <c r="I1057" s="116"/>
      <c r="L1057" s="170">
        <v>44273</v>
      </c>
      <c r="M1057" s="116">
        <v>343.3</v>
      </c>
      <c r="N1057" s="116">
        <v>355</v>
      </c>
      <c r="O1057" s="116">
        <v>341.05</v>
      </c>
      <c r="P1057" s="116">
        <v>351</v>
      </c>
      <c r="Q1057" s="116">
        <v>343.3</v>
      </c>
      <c r="R1057">
        <v>2347721</v>
      </c>
    </row>
    <row r="1058" spans="1:18" x14ac:dyDescent="0.25">
      <c r="A1058" s="170">
        <v>44274</v>
      </c>
      <c r="B1058" s="116">
        <v>364</v>
      </c>
      <c r="C1058" s="116">
        <v>360.6</v>
      </c>
      <c r="D1058" s="116">
        <v>334</v>
      </c>
      <c r="E1058" s="116">
        <v>343.25</v>
      </c>
      <c r="F1058" s="116">
        <v>360.6</v>
      </c>
      <c r="G1058">
        <v>161371</v>
      </c>
      <c r="H1058" s="116"/>
      <c r="I1058" s="116"/>
      <c r="L1058" s="170">
        <v>44274</v>
      </c>
      <c r="M1058" s="116">
        <v>360.1</v>
      </c>
      <c r="N1058" s="116">
        <v>364</v>
      </c>
      <c r="O1058" s="116">
        <v>334</v>
      </c>
      <c r="P1058" s="116">
        <v>340</v>
      </c>
      <c r="Q1058" s="116">
        <v>360.1</v>
      </c>
      <c r="R1058">
        <v>4628484</v>
      </c>
    </row>
    <row r="1059" spans="1:18" x14ac:dyDescent="0.25">
      <c r="A1059" s="170">
        <v>44277</v>
      </c>
      <c r="B1059" s="116">
        <v>366.5</v>
      </c>
      <c r="C1059" s="116">
        <v>361.25</v>
      </c>
      <c r="D1059" s="116">
        <v>356.2</v>
      </c>
      <c r="E1059" s="116">
        <v>360.75</v>
      </c>
      <c r="F1059" s="116">
        <v>361.25</v>
      </c>
      <c r="G1059">
        <v>166700</v>
      </c>
      <c r="H1059" s="116"/>
      <c r="I1059" s="116"/>
      <c r="L1059" s="170">
        <v>44277</v>
      </c>
      <c r="M1059" s="116">
        <v>361.4</v>
      </c>
      <c r="N1059" s="116">
        <v>366.9</v>
      </c>
      <c r="O1059" s="116">
        <v>356.55</v>
      </c>
      <c r="P1059" s="116">
        <v>360.6</v>
      </c>
      <c r="Q1059" s="116">
        <v>361.4</v>
      </c>
      <c r="R1059">
        <v>1704999</v>
      </c>
    </row>
    <row r="1060" spans="1:18" x14ac:dyDescent="0.25">
      <c r="A1060" s="170">
        <v>44278</v>
      </c>
      <c r="B1060" s="116">
        <v>363.8</v>
      </c>
      <c r="C1060" s="116">
        <v>361.1</v>
      </c>
      <c r="D1060" s="116">
        <v>357.9</v>
      </c>
      <c r="E1060" s="116">
        <v>363.8</v>
      </c>
      <c r="F1060" s="116">
        <v>361.1</v>
      </c>
      <c r="G1060">
        <v>50897</v>
      </c>
      <c r="H1060" s="116"/>
      <c r="I1060" s="116"/>
      <c r="L1060" s="170">
        <v>44278</v>
      </c>
      <c r="M1060" s="116">
        <v>361.2</v>
      </c>
      <c r="N1060" s="116">
        <v>363.8</v>
      </c>
      <c r="O1060" s="116">
        <v>358.1</v>
      </c>
      <c r="P1060" s="116">
        <v>361.55</v>
      </c>
      <c r="Q1060" s="116">
        <v>361.2</v>
      </c>
      <c r="R1060">
        <v>1224256</v>
      </c>
    </row>
    <row r="1061" spans="1:18" x14ac:dyDescent="0.25">
      <c r="A1061" s="170">
        <v>44279</v>
      </c>
      <c r="B1061" s="116">
        <v>364.8</v>
      </c>
      <c r="C1061" s="116">
        <v>356</v>
      </c>
      <c r="D1061" s="116">
        <v>355</v>
      </c>
      <c r="E1061" s="116">
        <v>361.5</v>
      </c>
      <c r="F1061" s="116">
        <v>356</v>
      </c>
      <c r="G1061">
        <v>95414</v>
      </c>
      <c r="H1061" s="116"/>
      <c r="I1061" s="116"/>
      <c r="L1061" s="170">
        <v>44279</v>
      </c>
      <c r="M1061" s="116">
        <v>356.15</v>
      </c>
      <c r="N1061" s="116">
        <v>365</v>
      </c>
      <c r="O1061" s="116">
        <v>354.95</v>
      </c>
      <c r="P1061" s="116">
        <v>362</v>
      </c>
      <c r="Q1061" s="116">
        <v>356.15</v>
      </c>
      <c r="R1061">
        <v>2082667</v>
      </c>
    </row>
    <row r="1062" spans="1:18" x14ac:dyDescent="0.25">
      <c r="A1062" s="170">
        <v>44280</v>
      </c>
      <c r="B1062" s="116">
        <v>356.75</v>
      </c>
      <c r="C1062" s="116">
        <v>348.1</v>
      </c>
      <c r="D1062" s="116">
        <v>346.05</v>
      </c>
      <c r="E1062" s="116">
        <v>356</v>
      </c>
      <c r="F1062" s="116">
        <v>348.1</v>
      </c>
      <c r="G1062">
        <v>90201</v>
      </c>
      <c r="H1062" s="116"/>
      <c r="I1062" s="116"/>
      <c r="L1062" s="170">
        <v>44280</v>
      </c>
      <c r="M1062" s="116">
        <v>347.55</v>
      </c>
      <c r="N1062" s="116">
        <v>357.6</v>
      </c>
      <c r="O1062" s="116">
        <v>346</v>
      </c>
      <c r="P1062" s="116">
        <v>356</v>
      </c>
      <c r="Q1062" s="116">
        <v>347.55</v>
      </c>
      <c r="R1062">
        <v>2140443</v>
      </c>
    </row>
    <row r="1063" spans="1:18" x14ac:dyDescent="0.25">
      <c r="A1063" s="170">
        <v>44281</v>
      </c>
      <c r="B1063" s="116">
        <v>356.5</v>
      </c>
      <c r="C1063" s="116">
        <v>355.25</v>
      </c>
      <c r="D1063" s="116">
        <v>348.1</v>
      </c>
      <c r="E1063" s="116">
        <v>350.95</v>
      </c>
      <c r="F1063" s="116">
        <v>355.25</v>
      </c>
      <c r="G1063">
        <v>696867</v>
      </c>
      <c r="H1063" s="116"/>
      <c r="I1063" s="116"/>
      <c r="L1063" s="170">
        <v>44281</v>
      </c>
      <c r="M1063" s="116">
        <v>355.4</v>
      </c>
      <c r="N1063" s="116">
        <v>356.75</v>
      </c>
      <c r="O1063" s="116">
        <v>348.4</v>
      </c>
      <c r="P1063" s="116">
        <v>351</v>
      </c>
      <c r="Q1063" s="116">
        <v>355.4</v>
      </c>
      <c r="R1063">
        <v>1718995</v>
      </c>
    </row>
    <row r="1064" spans="1:18" x14ac:dyDescent="0.25">
      <c r="A1064" s="170">
        <v>44285</v>
      </c>
      <c r="B1064" s="116">
        <v>363.65</v>
      </c>
      <c r="C1064" s="116">
        <v>360.25</v>
      </c>
      <c r="D1064" s="116">
        <v>356.6</v>
      </c>
      <c r="E1064" s="116">
        <v>359.5</v>
      </c>
      <c r="F1064" s="116">
        <v>360.25</v>
      </c>
      <c r="G1064">
        <v>244961</v>
      </c>
      <c r="H1064" s="116"/>
      <c r="I1064" s="116"/>
      <c r="L1064" s="170">
        <v>44285</v>
      </c>
      <c r="M1064" s="116">
        <v>360.3</v>
      </c>
      <c r="N1064" s="116">
        <v>364</v>
      </c>
      <c r="O1064" s="116">
        <v>356.55</v>
      </c>
      <c r="P1064" s="116">
        <v>360</v>
      </c>
      <c r="Q1064" s="116">
        <v>360.3</v>
      </c>
      <c r="R1064">
        <v>1965562</v>
      </c>
    </row>
    <row r="1065" spans="1:18" x14ac:dyDescent="0.25">
      <c r="A1065" s="170">
        <v>44286</v>
      </c>
      <c r="B1065" s="116">
        <v>363.3</v>
      </c>
      <c r="C1065" s="116">
        <v>362.05</v>
      </c>
      <c r="D1065" s="116">
        <v>357.25</v>
      </c>
      <c r="E1065" s="116">
        <v>361.95</v>
      </c>
      <c r="F1065" s="116">
        <v>362.05</v>
      </c>
      <c r="G1065">
        <v>62241</v>
      </c>
      <c r="H1065" s="116"/>
      <c r="I1065" s="116"/>
      <c r="L1065" s="170">
        <v>44286</v>
      </c>
      <c r="M1065" s="116">
        <v>362</v>
      </c>
      <c r="N1065" s="116">
        <v>363.7</v>
      </c>
      <c r="O1065" s="116">
        <v>357</v>
      </c>
      <c r="P1065" s="116">
        <v>360.2</v>
      </c>
      <c r="Q1065" s="116">
        <v>362</v>
      </c>
      <c r="R1065">
        <v>1574560</v>
      </c>
    </row>
    <row r="1066" spans="1:18" x14ac:dyDescent="0.25">
      <c r="A1066" s="170">
        <v>44287</v>
      </c>
      <c r="B1066" s="116">
        <v>369</v>
      </c>
      <c r="C1066" s="116">
        <v>365.4</v>
      </c>
      <c r="D1066" s="116">
        <v>360.6</v>
      </c>
      <c r="E1066" s="116">
        <v>360.6</v>
      </c>
      <c r="F1066" s="116">
        <v>365.4</v>
      </c>
      <c r="G1066">
        <v>167677</v>
      </c>
      <c r="H1066" s="116"/>
      <c r="I1066" s="116"/>
      <c r="L1066" s="170">
        <v>44287</v>
      </c>
      <c r="M1066" s="116">
        <v>365.3</v>
      </c>
      <c r="N1066" s="116">
        <v>369.05</v>
      </c>
      <c r="O1066" s="116">
        <v>361.5</v>
      </c>
      <c r="P1066" s="116">
        <v>362</v>
      </c>
      <c r="Q1066" s="116">
        <v>365.3</v>
      </c>
      <c r="R1066">
        <v>1625290</v>
      </c>
    </row>
    <row r="1067" spans="1:18" x14ac:dyDescent="0.25">
      <c r="A1067" s="170">
        <v>44291</v>
      </c>
      <c r="B1067" s="116">
        <v>376</v>
      </c>
      <c r="C1067" s="116">
        <v>373.7</v>
      </c>
      <c r="D1067" s="116">
        <v>361.6</v>
      </c>
      <c r="E1067" s="116">
        <v>366.5</v>
      </c>
      <c r="F1067" s="116">
        <v>373.7</v>
      </c>
      <c r="G1067">
        <v>350966</v>
      </c>
      <c r="H1067" s="116"/>
      <c r="I1067" s="116"/>
      <c r="L1067" s="170">
        <v>44291</v>
      </c>
      <c r="M1067" s="116">
        <v>373.75</v>
      </c>
      <c r="N1067" s="116">
        <v>376.5</v>
      </c>
      <c r="O1067" s="116">
        <v>362.1</v>
      </c>
      <c r="P1067" s="116">
        <v>368</v>
      </c>
      <c r="Q1067" s="116">
        <v>373.75</v>
      </c>
      <c r="R1067">
        <v>4201991</v>
      </c>
    </row>
    <row r="1068" spans="1:18" x14ac:dyDescent="0.25">
      <c r="A1068" s="170">
        <v>44292</v>
      </c>
      <c r="B1068" s="116">
        <v>402.2</v>
      </c>
      <c r="C1068" s="116">
        <v>396.75</v>
      </c>
      <c r="D1068" s="116">
        <v>376.4</v>
      </c>
      <c r="E1068" s="116">
        <v>376.9</v>
      </c>
      <c r="F1068" s="116">
        <v>396.75</v>
      </c>
      <c r="G1068">
        <v>362140</v>
      </c>
      <c r="H1068" s="116"/>
      <c r="I1068" s="116"/>
      <c r="L1068" s="170">
        <v>44292</v>
      </c>
      <c r="M1068" s="116">
        <v>396.6</v>
      </c>
      <c r="N1068" s="116">
        <v>402.8</v>
      </c>
      <c r="O1068" s="116">
        <v>376.1</v>
      </c>
      <c r="P1068" s="116">
        <v>377.4</v>
      </c>
      <c r="Q1068" s="116">
        <v>396.6</v>
      </c>
      <c r="R1068">
        <v>11254756</v>
      </c>
    </row>
    <row r="1069" spans="1:18" x14ac:dyDescent="0.25">
      <c r="A1069" s="170">
        <v>44293</v>
      </c>
      <c r="B1069" s="116">
        <v>426.5</v>
      </c>
      <c r="C1069" s="116">
        <v>419.95</v>
      </c>
      <c r="D1069" s="116">
        <v>396.75</v>
      </c>
      <c r="E1069" s="116">
        <v>404.9</v>
      </c>
      <c r="F1069" s="116">
        <v>419.95</v>
      </c>
      <c r="G1069">
        <v>748359</v>
      </c>
      <c r="H1069" s="116"/>
      <c r="I1069" s="116"/>
      <c r="L1069" s="170">
        <v>44293</v>
      </c>
      <c r="M1069" s="116">
        <v>420.65</v>
      </c>
      <c r="N1069" s="116">
        <v>426.65</v>
      </c>
      <c r="O1069" s="116">
        <v>405.45</v>
      </c>
      <c r="P1069" s="116">
        <v>405.6</v>
      </c>
      <c r="Q1069" s="116">
        <v>420.65</v>
      </c>
      <c r="R1069">
        <v>10426516</v>
      </c>
    </row>
    <row r="1070" spans="1:18" x14ac:dyDescent="0.25">
      <c r="A1070" s="170">
        <v>44294</v>
      </c>
      <c r="B1070" s="116">
        <v>429.9</v>
      </c>
      <c r="C1070" s="116">
        <v>420.45</v>
      </c>
      <c r="D1070" s="116">
        <v>415.55</v>
      </c>
      <c r="E1070" s="116">
        <v>425</v>
      </c>
      <c r="F1070" s="116">
        <v>420.45</v>
      </c>
      <c r="G1070">
        <v>231710</v>
      </c>
      <c r="H1070" s="116"/>
      <c r="I1070" s="116"/>
      <c r="L1070" s="170">
        <v>44294</v>
      </c>
      <c r="M1070" s="116">
        <v>420.7</v>
      </c>
      <c r="N1070" s="116">
        <v>429.95</v>
      </c>
      <c r="O1070" s="116">
        <v>415.15</v>
      </c>
      <c r="P1070" s="116">
        <v>425</v>
      </c>
      <c r="Q1070" s="116">
        <v>420.7</v>
      </c>
      <c r="R1070">
        <v>5231257</v>
      </c>
    </row>
    <row r="1071" spans="1:18" x14ac:dyDescent="0.25">
      <c r="A1071" s="170">
        <v>44295</v>
      </c>
      <c r="B1071" s="116">
        <v>427.35</v>
      </c>
      <c r="C1071" s="116">
        <v>421.75</v>
      </c>
      <c r="D1071" s="116">
        <v>411.25</v>
      </c>
      <c r="E1071" s="116">
        <v>419.7</v>
      </c>
      <c r="F1071" s="116">
        <v>421.75</v>
      </c>
      <c r="G1071">
        <v>136940</v>
      </c>
      <c r="H1071" s="116"/>
      <c r="I1071" s="116"/>
      <c r="L1071" s="170">
        <v>44295</v>
      </c>
      <c r="M1071" s="116">
        <v>421.4</v>
      </c>
      <c r="N1071" s="116">
        <v>427.8</v>
      </c>
      <c r="O1071" s="116">
        <v>411</v>
      </c>
      <c r="P1071" s="116">
        <v>419.6</v>
      </c>
      <c r="Q1071" s="116">
        <v>421.4</v>
      </c>
      <c r="R1071">
        <v>3671915</v>
      </c>
    </row>
    <row r="1072" spans="1:18" x14ac:dyDescent="0.25">
      <c r="A1072" s="170">
        <v>44298</v>
      </c>
      <c r="B1072" s="116">
        <v>437.75</v>
      </c>
      <c r="C1072" s="116">
        <v>416.2</v>
      </c>
      <c r="D1072" s="116">
        <v>403.2</v>
      </c>
      <c r="E1072" s="116">
        <v>416.25</v>
      </c>
      <c r="F1072" s="116">
        <v>416.2</v>
      </c>
      <c r="G1072">
        <v>767151</v>
      </c>
      <c r="H1072" s="116"/>
      <c r="I1072" s="116"/>
      <c r="L1072" s="170">
        <v>44298</v>
      </c>
      <c r="M1072" s="116">
        <v>416.5</v>
      </c>
      <c r="N1072" s="116">
        <v>437.9</v>
      </c>
      <c r="O1072" s="116">
        <v>405</v>
      </c>
      <c r="P1072" s="116">
        <v>417.4</v>
      </c>
      <c r="Q1072" s="116">
        <v>416.5</v>
      </c>
      <c r="R1072">
        <v>7673237</v>
      </c>
    </row>
    <row r="1073" spans="1:18" x14ac:dyDescent="0.25">
      <c r="A1073" s="170">
        <v>44299</v>
      </c>
      <c r="B1073" s="116">
        <v>448.5</v>
      </c>
      <c r="C1073" s="116">
        <v>439.65</v>
      </c>
      <c r="D1073" s="116">
        <v>417.3</v>
      </c>
      <c r="E1073" s="116">
        <v>419.5</v>
      </c>
      <c r="F1073" s="116">
        <v>439.65</v>
      </c>
      <c r="G1073">
        <v>246013</v>
      </c>
      <c r="H1073" s="116"/>
      <c r="I1073" s="116"/>
      <c r="L1073" s="170">
        <v>44299</v>
      </c>
      <c r="M1073" s="116">
        <v>439.8</v>
      </c>
      <c r="N1073" s="116">
        <v>448</v>
      </c>
      <c r="O1073" s="116">
        <v>417.2</v>
      </c>
      <c r="P1073" s="116">
        <v>420</v>
      </c>
      <c r="Q1073" s="116">
        <v>439.8</v>
      </c>
      <c r="R1073">
        <v>7133941</v>
      </c>
    </row>
    <row r="1074" spans="1:18" x14ac:dyDescent="0.25">
      <c r="A1074" s="170">
        <v>44301</v>
      </c>
      <c r="B1074" s="116">
        <v>446.9</v>
      </c>
      <c r="C1074" s="116">
        <v>436.35</v>
      </c>
      <c r="D1074" s="116">
        <v>430.95</v>
      </c>
      <c r="E1074" s="116">
        <v>443.9</v>
      </c>
      <c r="F1074" s="116">
        <v>436.35</v>
      </c>
      <c r="G1074">
        <v>110819</v>
      </c>
      <c r="H1074" s="116"/>
      <c r="I1074" s="116"/>
      <c r="L1074" s="170">
        <v>44301</v>
      </c>
      <c r="M1074" s="116">
        <v>436.5</v>
      </c>
      <c r="N1074" s="116">
        <v>446.8</v>
      </c>
      <c r="O1074" s="116">
        <v>431</v>
      </c>
      <c r="P1074" s="116">
        <v>443.55</v>
      </c>
      <c r="Q1074" s="116">
        <v>436.5</v>
      </c>
      <c r="R1074">
        <v>2974045</v>
      </c>
    </row>
    <row r="1075" spans="1:18" x14ac:dyDescent="0.25">
      <c r="A1075" s="170">
        <v>44302</v>
      </c>
      <c r="B1075" s="116">
        <v>452.05</v>
      </c>
      <c r="C1075" s="116">
        <v>446.15</v>
      </c>
      <c r="D1075" s="116">
        <v>430.5</v>
      </c>
      <c r="E1075" s="116">
        <v>435.25</v>
      </c>
      <c r="F1075" s="116">
        <v>446.15</v>
      </c>
      <c r="G1075">
        <v>182511</v>
      </c>
      <c r="H1075" s="116"/>
      <c r="I1075" s="116"/>
      <c r="L1075" s="170">
        <v>44302</v>
      </c>
      <c r="M1075" s="116">
        <v>446.5</v>
      </c>
      <c r="N1075" s="116">
        <v>452.3</v>
      </c>
      <c r="O1075" s="116">
        <v>430.5</v>
      </c>
      <c r="P1075" s="116">
        <v>434.9</v>
      </c>
      <c r="Q1075" s="116">
        <v>446.5</v>
      </c>
      <c r="R1075">
        <v>5128055</v>
      </c>
    </row>
    <row r="1076" spans="1:18" x14ac:dyDescent="0.25">
      <c r="A1076" s="170">
        <v>44305</v>
      </c>
      <c r="B1076" s="116">
        <v>450.55</v>
      </c>
      <c r="C1076" s="116">
        <v>440.75</v>
      </c>
      <c r="D1076" s="116">
        <v>433.55</v>
      </c>
      <c r="E1076" s="116">
        <v>439</v>
      </c>
      <c r="F1076" s="116">
        <v>440.75</v>
      </c>
      <c r="G1076">
        <v>144138</v>
      </c>
      <c r="H1076" s="116"/>
      <c r="I1076" s="116"/>
      <c r="L1076" s="170">
        <v>44305</v>
      </c>
      <c r="M1076" s="116">
        <v>440.45</v>
      </c>
      <c r="N1076" s="116">
        <v>450.55</v>
      </c>
      <c r="O1076" s="116">
        <v>433.2</v>
      </c>
      <c r="P1076" s="116">
        <v>437</v>
      </c>
      <c r="Q1076" s="116">
        <v>440.45</v>
      </c>
      <c r="R1076">
        <v>3634087</v>
      </c>
    </row>
    <row r="1077" spans="1:18" x14ac:dyDescent="0.25">
      <c r="A1077" s="170">
        <v>44306</v>
      </c>
      <c r="B1077" s="116">
        <v>449.75</v>
      </c>
      <c r="C1077" s="116">
        <v>443.4</v>
      </c>
      <c r="D1077" s="116">
        <v>436.5</v>
      </c>
      <c r="E1077" s="116">
        <v>441.7</v>
      </c>
      <c r="F1077" s="116">
        <v>443.4</v>
      </c>
      <c r="G1077">
        <v>233700</v>
      </c>
      <c r="H1077" s="116"/>
      <c r="I1077" s="116"/>
      <c r="L1077" s="170">
        <v>44306</v>
      </c>
      <c r="M1077" s="116">
        <v>443.25</v>
      </c>
      <c r="N1077" s="116">
        <v>449.6</v>
      </c>
      <c r="O1077" s="116">
        <v>436.6</v>
      </c>
      <c r="P1077" s="116">
        <v>444.4</v>
      </c>
      <c r="Q1077" s="116">
        <v>443.25</v>
      </c>
      <c r="R1077">
        <v>2826328</v>
      </c>
    </row>
    <row r="1078" spans="1:18" x14ac:dyDescent="0.25">
      <c r="A1078" s="170">
        <v>44308</v>
      </c>
      <c r="B1078" s="116">
        <v>465.3</v>
      </c>
      <c r="C1078" s="116">
        <v>453.35</v>
      </c>
      <c r="D1078" s="116">
        <v>440.25</v>
      </c>
      <c r="E1078" s="116">
        <v>440.25</v>
      </c>
      <c r="F1078" s="116">
        <v>453.35</v>
      </c>
      <c r="G1078">
        <v>437926</v>
      </c>
      <c r="H1078" s="116"/>
      <c r="I1078" s="116"/>
      <c r="L1078" s="170">
        <v>44308</v>
      </c>
      <c r="M1078" s="116">
        <v>453.75</v>
      </c>
      <c r="N1078" s="116">
        <v>465.65</v>
      </c>
      <c r="O1078" s="116">
        <v>442</v>
      </c>
      <c r="P1078" s="116">
        <v>443.2</v>
      </c>
      <c r="Q1078" s="116">
        <v>453.75</v>
      </c>
      <c r="R1078">
        <v>6224240</v>
      </c>
    </row>
    <row r="1079" spans="1:18" x14ac:dyDescent="0.25">
      <c r="A1079" s="170">
        <v>44309</v>
      </c>
      <c r="B1079" s="116">
        <v>470</v>
      </c>
      <c r="C1079" s="116">
        <v>463.6</v>
      </c>
      <c r="D1079" s="116">
        <v>455.5</v>
      </c>
      <c r="E1079" s="116">
        <v>457.45</v>
      </c>
      <c r="F1079" s="116">
        <v>463.6</v>
      </c>
      <c r="G1079">
        <v>190963</v>
      </c>
      <c r="H1079" s="116"/>
      <c r="I1079" s="116"/>
      <c r="L1079" s="170">
        <v>44309</v>
      </c>
      <c r="M1079" s="116">
        <v>463.35</v>
      </c>
      <c r="N1079" s="116">
        <v>468</v>
      </c>
      <c r="O1079" s="116">
        <v>454.55</v>
      </c>
      <c r="P1079" s="116">
        <v>455.8</v>
      </c>
      <c r="Q1079" s="116">
        <v>463.35</v>
      </c>
      <c r="R1079">
        <v>4033100</v>
      </c>
    </row>
    <row r="1080" spans="1:18" x14ac:dyDescent="0.25">
      <c r="A1080" s="170">
        <v>44312</v>
      </c>
      <c r="B1080" s="116">
        <v>477.2</v>
      </c>
      <c r="C1080" s="116">
        <v>465.15</v>
      </c>
      <c r="D1080" s="116">
        <v>461.4</v>
      </c>
      <c r="E1080" s="116">
        <v>468.25</v>
      </c>
      <c r="F1080" s="116">
        <v>465.15</v>
      </c>
      <c r="G1080">
        <v>275352</v>
      </c>
      <c r="H1080" s="116"/>
      <c r="I1080" s="116"/>
      <c r="L1080" s="170">
        <v>44312</v>
      </c>
      <c r="M1080" s="116">
        <v>465.75</v>
      </c>
      <c r="N1080" s="116">
        <v>477.2</v>
      </c>
      <c r="O1080" s="116">
        <v>461.25</v>
      </c>
      <c r="P1080" s="116">
        <v>470</v>
      </c>
      <c r="Q1080" s="116">
        <v>465.75</v>
      </c>
      <c r="R1080">
        <v>3066996</v>
      </c>
    </row>
    <row r="1081" spans="1:18" x14ac:dyDescent="0.25">
      <c r="A1081" s="170">
        <v>44313</v>
      </c>
      <c r="B1081" s="116">
        <v>472</v>
      </c>
      <c r="C1081" s="116">
        <v>467.35</v>
      </c>
      <c r="D1081" s="116">
        <v>454.1</v>
      </c>
      <c r="E1081" s="116">
        <v>465.35</v>
      </c>
      <c r="F1081" s="116">
        <v>467.35</v>
      </c>
      <c r="G1081">
        <v>184728</v>
      </c>
      <c r="H1081" s="116"/>
      <c r="I1081" s="116"/>
      <c r="L1081" s="170">
        <v>44313</v>
      </c>
      <c r="M1081" s="116">
        <v>467.25</v>
      </c>
      <c r="N1081" s="116">
        <v>471.8</v>
      </c>
      <c r="O1081" s="116">
        <v>454</v>
      </c>
      <c r="P1081" s="116">
        <v>467.4</v>
      </c>
      <c r="Q1081" s="116">
        <v>467.25</v>
      </c>
      <c r="R1081">
        <v>5188525</v>
      </c>
    </row>
    <row r="1082" spans="1:18" x14ac:dyDescent="0.25">
      <c r="A1082" s="170">
        <v>44314</v>
      </c>
      <c r="B1082" s="116">
        <v>477</v>
      </c>
      <c r="C1082" s="116">
        <v>474.45</v>
      </c>
      <c r="D1082" s="116">
        <v>464</v>
      </c>
      <c r="E1082" s="116">
        <v>474</v>
      </c>
      <c r="F1082" s="116">
        <v>474.45</v>
      </c>
      <c r="G1082">
        <v>278743</v>
      </c>
      <c r="H1082" s="116"/>
      <c r="I1082" s="116"/>
      <c r="L1082" s="170">
        <v>44314</v>
      </c>
      <c r="M1082" s="116">
        <v>474.7</v>
      </c>
      <c r="N1082" s="116">
        <v>477</v>
      </c>
      <c r="O1082" s="116">
        <v>465.4</v>
      </c>
      <c r="P1082" s="116">
        <v>471.4</v>
      </c>
      <c r="Q1082" s="116">
        <v>474.7</v>
      </c>
      <c r="R1082">
        <v>3533685</v>
      </c>
    </row>
    <row r="1083" spans="1:18" x14ac:dyDescent="0.25">
      <c r="A1083" s="170">
        <v>44315</v>
      </c>
      <c r="B1083" s="116">
        <v>482.65</v>
      </c>
      <c r="C1083" s="116">
        <v>458.05</v>
      </c>
      <c r="D1083" s="116">
        <v>450.65</v>
      </c>
      <c r="E1083" s="116">
        <v>478.2</v>
      </c>
      <c r="F1083" s="116">
        <v>458.05</v>
      </c>
      <c r="G1083">
        <v>496173</v>
      </c>
      <c r="H1083" s="116"/>
      <c r="I1083" s="116"/>
      <c r="L1083" s="170">
        <v>44315</v>
      </c>
      <c r="M1083" s="116">
        <v>458.1</v>
      </c>
      <c r="N1083" s="116">
        <v>483</v>
      </c>
      <c r="O1083" s="116">
        <v>451.05</v>
      </c>
      <c r="P1083" s="116">
        <v>479.9</v>
      </c>
      <c r="Q1083" s="116">
        <v>458.1</v>
      </c>
      <c r="R1083">
        <v>10006557</v>
      </c>
    </row>
    <row r="1084" spans="1:18" x14ac:dyDescent="0.25">
      <c r="A1084" s="170">
        <v>44316</v>
      </c>
      <c r="B1084" s="116">
        <v>466.5</v>
      </c>
      <c r="C1084" s="116">
        <v>453.1</v>
      </c>
      <c r="D1084" s="116">
        <v>450</v>
      </c>
      <c r="E1084" s="116">
        <v>458.05</v>
      </c>
      <c r="F1084" s="116">
        <v>453.1</v>
      </c>
      <c r="G1084">
        <v>257446</v>
      </c>
      <c r="H1084" s="116"/>
      <c r="I1084" s="116"/>
      <c r="L1084" s="170">
        <v>44316</v>
      </c>
      <c r="M1084" s="116">
        <v>452.75</v>
      </c>
      <c r="N1084" s="116">
        <v>466.4</v>
      </c>
      <c r="O1084" s="116">
        <v>450</v>
      </c>
      <c r="P1084" s="116">
        <v>454.9</v>
      </c>
      <c r="Q1084" s="116">
        <v>452.75</v>
      </c>
      <c r="R1084">
        <v>6211537</v>
      </c>
    </row>
    <row r="1085" spans="1:18" x14ac:dyDescent="0.25">
      <c r="A1085" s="170">
        <v>44319</v>
      </c>
      <c r="B1085" s="116">
        <v>479.9</v>
      </c>
      <c r="C1085" s="116">
        <v>476.9</v>
      </c>
      <c r="D1085" s="116">
        <v>456.5</v>
      </c>
      <c r="E1085" s="116">
        <v>456.5</v>
      </c>
      <c r="F1085" s="116">
        <v>476.9</v>
      </c>
      <c r="G1085">
        <v>620773</v>
      </c>
      <c r="H1085" s="116"/>
      <c r="I1085" s="116"/>
      <c r="L1085" s="170">
        <v>44319</v>
      </c>
      <c r="M1085" s="116">
        <v>477.25</v>
      </c>
      <c r="N1085" s="116">
        <v>480</v>
      </c>
      <c r="O1085" s="116">
        <v>456.1</v>
      </c>
      <c r="P1085" s="116">
        <v>457.8</v>
      </c>
      <c r="Q1085" s="116">
        <v>477.25</v>
      </c>
      <c r="R1085">
        <v>7513003</v>
      </c>
    </row>
    <row r="1086" spans="1:18" x14ac:dyDescent="0.25">
      <c r="A1086" s="170">
        <v>44320</v>
      </c>
      <c r="B1086" s="116">
        <v>504</v>
      </c>
      <c r="C1086" s="116">
        <v>491.1</v>
      </c>
      <c r="D1086" s="116">
        <v>479.3</v>
      </c>
      <c r="E1086" s="116">
        <v>480.05</v>
      </c>
      <c r="F1086" s="116">
        <v>491.1</v>
      </c>
      <c r="G1086">
        <v>377290</v>
      </c>
      <c r="H1086" s="116"/>
      <c r="I1086" s="116"/>
      <c r="L1086" s="170">
        <v>44320</v>
      </c>
      <c r="M1086" s="116">
        <v>491</v>
      </c>
      <c r="N1086" s="116">
        <v>504.15</v>
      </c>
      <c r="O1086" s="116">
        <v>479.05</v>
      </c>
      <c r="P1086" s="116">
        <v>482</v>
      </c>
      <c r="Q1086" s="116">
        <v>491</v>
      </c>
      <c r="R1086">
        <v>8877773</v>
      </c>
    </row>
    <row r="1087" spans="1:18" x14ac:dyDescent="0.25">
      <c r="A1087" s="170">
        <v>44321</v>
      </c>
      <c r="B1087" s="116">
        <v>498.75</v>
      </c>
      <c r="C1087" s="116">
        <v>491.35</v>
      </c>
      <c r="D1087" s="116">
        <v>486.8</v>
      </c>
      <c r="E1087" s="116">
        <v>493</v>
      </c>
      <c r="F1087" s="116">
        <v>491.35</v>
      </c>
      <c r="G1087">
        <v>271528</v>
      </c>
      <c r="H1087" s="116"/>
      <c r="I1087" s="116"/>
      <c r="L1087" s="170">
        <v>44321</v>
      </c>
      <c r="M1087" s="116">
        <v>491.6</v>
      </c>
      <c r="N1087" s="116">
        <v>498.9</v>
      </c>
      <c r="O1087" s="116">
        <v>487.1</v>
      </c>
      <c r="P1087" s="116">
        <v>491.9</v>
      </c>
      <c r="Q1087" s="116">
        <v>491.6</v>
      </c>
      <c r="R1087">
        <v>3387887</v>
      </c>
    </row>
    <row r="1088" spans="1:18" x14ac:dyDescent="0.25">
      <c r="A1088" s="170">
        <v>44322</v>
      </c>
      <c r="B1088" s="116">
        <v>496.25</v>
      </c>
      <c r="C1088" s="116">
        <v>481.5</v>
      </c>
      <c r="D1088" s="116">
        <v>477.25</v>
      </c>
      <c r="E1088" s="116">
        <v>495.95</v>
      </c>
      <c r="F1088" s="116">
        <v>481.5</v>
      </c>
      <c r="G1088">
        <v>200964</v>
      </c>
      <c r="H1088" s="116"/>
      <c r="I1088" s="116"/>
      <c r="L1088" s="170">
        <v>44322</v>
      </c>
      <c r="M1088" s="116">
        <v>481.25</v>
      </c>
      <c r="N1088" s="116">
        <v>496.05</v>
      </c>
      <c r="O1088" s="116">
        <v>477</v>
      </c>
      <c r="P1088" s="116">
        <v>495.05</v>
      </c>
      <c r="Q1088" s="116">
        <v>481.25</v>
      </c>
      <c r="R1088">
        <v>4092809</v>
      </c>
    </row>
    <row r="1089" spans="1:18" x14ac:dyDescent="0.25">
      <c r="A1089" s="170">
        <v>44323</v>
      </c>
      <c r="B1089" s="116">
        <v>498.5</v>
      </c>
      <c r="C1089" s="116">
        <v>487.45</v>
      </c>
      <c r="D1089" s="116">
        <v>480.45</v>
      </c>
      <c r="E1089" s="116">
        <v>482.35</v>
      </c>
      <c r="F1089" s="116">
        <v>487.45</v>
      </c>
      <c r="G1089">
        <v>386657</v>
      </c>
      <c r="H1089" s="116"/>
      <c r="I1089" s="116"/>
      <c r="L1089" s="170">
        <v>44323</v>
      </c>
      <c r="M1089" s="116">
        <v>487.4</v>
      </c>
      <c r="N1089" s="116">
        <v>498.7</v>
      </c>
      <c r="O1089" s="116">
        <v>480.6</v>
      </c>
      <c r="P1089" s="116">
        <v>484.75</v>
      </c>
      <c r="Q1089" s="116">
        <v>487.4</v>
      </c>
      <c r="R1089">
        <v>3917042</v>
      </c>
    </row>
    <row r="1090" spans="1:18" x14ac:dyDescent="0.25">
      <c r="A1090" s="170">
        <v>44326</v>
      </c>
      <c r="B1090" s="116">
        <v>494.4</v>
      </c>
      <c r="C1090" s="116">
        <v>490.65</v>
      </c>
      <c r="D1090" s="116">
        <v>487.45</v>
      </c>
      <c r="E1090" s="116">
        <v>491.9</v>
      </c>
      <c r="F1090" s="116">
        <v>490.65</v>
      </c>
      <c r="G1090">
        <v>225430</v>
      </c>
      <c r="H1090" s="116"/>
      <c r="I1090" s="116"/>
      <c r="L1090" s="170">
        <v>44326</v>
      </c>
      <c r="M1090" s="116">
        <v>490.65</v>
      </c>
      <c r="N1090" s="116">
        <v>494.5</v>
      </c>
      <c r="O1090" s="116">
        <v>487.4</v>
      </c>
      <c r="P1090" s="116">
        <v>491.5</v>
      </c>
      <c r="Q1090" s="116">
        <v>490.65</v>
      </c>
      <c r="R1090">
        <v>2507656</v>
      </c>
    </row>
    <row r="1091" spans="1:18" x14ac:dyDescent="0.25">
      <c r="A1091" s="170">
        <v>44327</v>
      </c>
      <c r="B1091" s="116">
        <v>493.25</v>
      </c>
      <c r="C1091" s="116">
        <v>491.4</v>
      </c>
      <c r="D1091" s="116">
        <v>485.95</v>
      </c>
      <c r="E1091" s="116">
        <v>489.8</v>
      </c>
      <c r="F1091" s="116">
        <v>491.4</v>
      </c>
      <c r="G1091">
        <v>176625</v>
      </c>
      <c r="H1091" s="116"/>
      <c r="I1091" s="116"/>
      <c r="L1091" s="170">
        <v>44327</v>
      </c>
      <c r="M1091" s="116">
        <v>491.75</v>
      </c>
      <c r="N1091" s="116">
        <v>493.2</v>
      </c>
      <c r="O1091" s="116">
        <v>485.15</v>
      </c>
      <c r="P1091" s="116">
        <v>487.5</v>
      </c>
      <c r="Q1091" s="116">
        <v>491.75</v>
      </c>
      <c r="R1091">
        <v>1857030</v>
      </c>
    </row>
    <row r="1092" spans="1:18" x14ac:dyDescent="0.25">
      <c r="A1092" s="170">
        <v>44328</v>
      </c>
      <c r="B1092" s="116">
        <v>492.7</v>
      </c>
      <c r="C1092" s="116">
        <v>484.3</v>
      </c>
      <c r="D1092" s="116">
        <v>482.05</v>
      </c>
      <c r="E1092" s="116">
        <v>492.7</v>
      </c>
      <c r="F1092" s="116">
        <v>484.3</v>
      </c>
      <c r="G1092">
        <v>90116</v>
      </c>
      <c r="H1092" s="116"/>
      <c r="I1092" s="116"/>
      <c r="L1092" s="170">
        <v>44328</v>
      </c>
      <c r="M1092" s="116">
        <v>484.65</v>
      </c>
      <c r="N1092" s="116">
        <v>492.55</v>
      </c>
      <c r="O1092" s="116">
        <v>482</v>
      </c>
      <c r="P1092" s="116">
        <v>490</v>
      </c>
      <c r="Q1092" s="116">
        <v>484.65</v>
      </c>
      <c r="R1092">
        <v>2001627</v>
      </c>
    </row>
    <row r="1093" spans="1:18" x14ac:dyDescent="0.25">
      <c r="A1093" s="170">
        <v>44330</v>
      </c>
      <c r="B1093" s="116">
        <v>489.95</v>
      </c>
      <c r="C1093" s="116">
        <v>468.25</v>
      </c>
      <c r="D1093" s="116">
        <v>465.1</v>
      </c>
      <c r="E1093" s="116">
        <v>489.95</v>
      </c>
      <c r="F1093" s="116">
        <v>468.25</v>
      </c>
      <c r="G1093">
        <v>124021</v>
      </c>
      <c r="H1093" s="116"/>
      <c r="I1093" s="116"/>
      <c r="L1093" s="170">
        <v>44330</v>
      </c>
      <c r="M1093" s="116">
        <v>468.05</v>
      </c>
      <c r="N1093" s="116">
        <v>487.8</v>
      </c>
      <c r="O1093" s="116">
        <v>465.5</v>
      </c>
      <c r="P1093" s="116">
        <v>487.6</v>
      </c>
      <c r="Q1093" s="116">
        <v>468.05</v>
      </c>
      <c r="R1093">
        <v>3017601</v>
      </c>
    </row>
    <row r="1094" spans="1:18" x14ac:dyDescent="0.25">
      <c r="A1094" s="170">
        <v>44333</v>
      </c>
      <c r="B1094" s="116">
        <v>476.9</v>
      </c>
      <c r="C1094" s="116">
        <v>472.75</v>
      </c>
      <c r="D1094" s="116">
        <v>460</v>
      </c>
      <c r="E1094" s="116">
        <v>468.25</v>
      </c>
      <c r="F1094" s="116">
        <v>472.75</v>
      </c>
      <c r="G1094">
        <v>227976</v>
      </c>
      <c r="H1094" s="116"/>
      <c r="I1094" s="116"/>
      <c r="L1094" s="170">
        <v>44333</v>
      </c>
      <c r="M1094" s="116">
        <v>474.05</v>
      </c>
      <c r="N1094" s="116">
        <v>476.8</v>
      </c>
      <c r="O1094" s="116">
        <v>462.1</v>
      </c>
      <c r="P1094" s="116">
        <v>468.6</v>
      </c>
      <c r="Q1094" s="116">
        <v>474.05</v>
      </c>
      <c r="R1094">
        <v>2276618</v>
      </c>
    </row>
    <row r="1095" spans="1:18" x14ac:dyDescent="0.25">
      <c r="A1095" s="170">
        <v>44334</v>
      </c>
      <c r="B1095" s="116">
        <v>484.3</v>
      </c>
      <c r="C1095" s="116">
        <v>480.25</v>
      </c>
      <c r="D1095" s="116">
        <v>470</v>
      </c>
      <c r="E1095" s="116">
        <v>472.75</v>
      </c>
      <c r="F1095" s="116">
        <v>480.25</v>
      </c>
      <c r="G1095">
        <v>51390</v>
      </c>
      <c r="H1095" s="116"/>
      <c r="I1095" s="116"/>
      <c r="L1095" s="170">
        <v>44334</v>
      </c>
      <c r="M1095" s="116">
        <v>480.4</v>
      </c>
      <c r="N1095" s="116">
        <v>484.95</v>
      </c>
      <c r="O1095" s="116">
        <v>476.2</v>
      </c>
      <c r="P1095" s="116">
        <v>476.2</v>
      </c>
      <c r="Q1095" s="116">
        <v>480.4</v>
      </c>
      <c r="R1095">
        <v>1675988</v>
      </c>
    </row>
    <row r="1096" spans="1:18" x14ac:dyDescent="0.25">
      <c r="A1096" s="170">
        <v>44335</v>
      </c>
      <c r="B1096" s="116">
        <v>492.05</v>
      </c>
      <c r="C1096" s="116">
        <v>486.1</v>
      </c>
      <c r="D1096" s="116">
        <v>479</v>
      </c>
      <c r="E1096" s="116">
        <v>480.4</v>
      </c>
      <c r="F1096" s="116">
        <v>486.1</v>
      </c>
      <c r="G1096">
        <v>70494</v>
      </c>
      <c r="H1096" s="116"/>
      <c r="I1096" s="116"/>
      <c r="L1096" s="170">
        <v>44335</v>
      </c>
      <c r="M1096" s="116">
        <v>486.1</v>
      </c>
      <c r="N1096" s="116">
        <v>492.4</v>
      </c>
      <c r="O1096" s="116">
        <v>478.25</v>
      </c>
      <c r="P1096" s="116">
        <v>479.4</v>
      </c>
      <c r="Q1096" s="116">
        <v>486.1</v>
      </c>
      <c r="R1096">
        <v>1876829</v>
      </c>
    </row>
    <row r="1097" spans="1:18" x14ac:dyDescent="0.25">
      <c r="A1097" s="170">
        <v>44336</v>
      </c>
      <c r="B1097" s="116">
        <v>491</v>
      </c>
      <c r="C1097" s="116">
        <v>481.75</v>
      </c>
      <c r="D1097" s="116">
        <v>480.3</v>
      </c>
      <c r="E1097" s="116">
        <v>491</v>
      </c>
      <c r="F1097" s="116">
        <v>481.75</v>
      </c>
      <c r="G1097">
        <v>45883</v>
      </c>
      <c r="H1097" s="116"/>
      <c r="I1097" s="116"/>
      <c r="L1097" s="170">
        <v>44336</v>
      </c>
      <c r="M1097" s="116">
        <v>481.65</v>
      </c>
      <c r="N1097" s="116">
        <v>490.3</v>
      </c>
      <c r="O1097" s="116">
        <v>480.05</v>
      </c>
      <c r="P1097" s="116">
        <v>486</v>
      </c>
      <c r="Q1097" s="116">
        <v>481.65</v>
      </c>
      <c r="R1097">
        <v>1285725</v>
      </c>
    </row>
    <row r="1098" spans="1:18" x14ac:dyDescent="0.25">
      <c r="A1098" s="170">
        <v>44337</v>
      </c>
      <c r="B1098" s="116">
        <v>491.75</v>
      </c>
      <c r="C1098" s="116">
        <v>488.3</v>
      </c>
      <c r="D1098" s="116">
        <v>480.8</v>
      </c>
      <c r="E1098" s="116">
        <v>484.95</v>
      </c>
      <c r="F1098" s="116">
        <v>488.3</v>
      </c>
      <c r="G1098">
        <v>138006</v>
      </c>
      <c r="H1098" s="116"/>
      <c r="I1098" s="116"/>
      <c r="L1098" s="170">
        <v>44337</v>
      </c>
      <c r="M1098" s="116">
        <v>488.55</v>
      </c>
      <c r="N1098" s="116">
        <v>492</v>
      </c>
      <c r="O1098" s="116">
        <v>480.6</v>
      </c>
      <c r="P1098" s="116">
        <v>483</v>
      </c>
      <c r="Q1098" s="116">
        <v>488.55</v>
      </c>
      <c r="R1098">
        <v>1455821</v>
      </c>
    </row>
    <row r="1099" spans="1:18" x14ac:dyDescent="0.25">
      <c r="A1099" s="170">
        <v>44340</v>
      </c>
      <c r="B1099" s="116">
        <v>518.75</v>
      </c>
      <c r="C1099" s="116">
        <v>514.79999999999995</v>
      </c>
      <c r="D1099" s="116">
        <v>492</v>
      </c>
      <c r="E1099" s="116">
        <v>492</v>
      </c>
      <c r="F1099" s="116">
        <v>514.79999999999995</v>
      </c>
      <c r="G1099">
        <v>305474</v>
      </c>
      <c r="H1099" s="116"/>
      <c r="I1099" s="116"/>
      <c r="L1099" s="170">
        <v>44340</v>
      </c>
      <c r="M1099" s="116">
        <v>514</v>
      </c>
      <c r="N1099" s="116">
        <v>518.5</v>
      </c>
      <c r="O1099" s="116">
        <v>493</v>
      </c>
      <c r="P1099" s="116">
        <v>493</v>
      </c>
      <c r="Q1099" s="116">
        <v>514</v>
      </c>
      <c r="R1099">
        <v>7496345</v>
      </c>
    </row>
    <row r="1100" spans="1:18" x14ac:dyDescent="0.25">
      <c r="A1100" s="170">
        <v>44341</v>
      </c>
      <c r="B1100" s="116">
        <v>523.75</v>
      </c>
      <c r="C1100" s="116">
        <v>515.5</v>
      </c>
      <c r="D1100" s="116">
        <v>512.79999999999995</v>
      </c>
      <c r="E1100" s="116">
        <v>519.9</v>
      </c>
      <c r="F1100" s="116">
        <v>515.5</v>
      </c>
      <c r="G1100">
        <v>231488</v>
      </c>
      <c r="H1100" s="116"/>
      <c r="I1100" s="116"/>
      <c r="L1100" s="170">
        <v>44341</v>
      </c>
      <c r="M1100" s="116">
        <v>515.70000000000005</v>
      </c>
      <c r="N1100" s="116">
        <v>524</v>
      </c>
      <c r="O1100" s="116">
        <v>511</v>
      </c>
      <c r="P1100" s="116">
        <v>521</v>
      </c>
      <c r="Q1100" s="116">
        <v>515.70000000000005</v>
      </c>
      <c r="R1100">
        <v>2839087</v>
      </c>
    </row>
    <row r="1101" spans="1:18" x14ac:dyDescent="0.25">
      <c r="A1101" s="170">
        <v>44342</v>
      </c>
      <c r="B1101" s="116">
        <v>526.54999999999995</v>
      </c>
      <c r="C1101" s="116">
        <v>523.65</v>
      </c>
      <c r="D1101" s="116">
        <v>510</v>
      </c>
      <c r="E1101" s="116">
        <v>518.85</v>
      </c>
      <c r="F1101" s="116">
        <v>523.65</v>
      </c>
      <c r="G1101">
        <v>103889</v>
      </c>
      <c r="H1101" s="116"/>
      <c r="I1101" s="116"/>
      <c r="L1101" s="170">
        <v>44342</v>
      </c>
      <c r="M1101" s="116">
        <v>523.6</v>
      </c>
      <c r="N1101" s="116">
        <v>526.5</v>
      </c>
      <c r="O1101" s="116">
        <v>510</v>
      </c>
      <c r="P1101" s="116">
        <v>515.70000000000005</v>
      </c>
      <c r="Q1101" s="116">
        <v>523.6</v>
      </c>
      <c r="R1101">
        <v>2799469</v>
      </c>
    </row>
    <row r="1102" spans="1:18" x14ac:dyDescent="0.25">
      <c r="A1102" s="170">
        <v>44343</v>
      </c>
      <c r="B1102" s="116">
        <v>527.70000000000005</v>
      </c>
      <c r="C1102" s="116">
        <v>520.20000000000005</v>
      </c>
      <c r="D1102" s="116">
        <v>516.35</v>
      </c>
      <c r="E1102" s="116">
        <v>526</v>
      </c>
      <c r="F1102" s="116">
        <v>520.20000000000005</v>
      </c>
      <c r="G1102">
        <v>217313</v>
      </c>
      <c r="H1102" s="116"/>
      <c r="I1102" s="116"/>
      <c r="L1102" s="170">
        <v>44343</v>
      </c>
      <c r="M1102" s="116">
        <v>520.6</v>
      </c>
      <c r="N1102" s="116">
        <v>527.95000000000005</v>
      </c>
      <c r="O1102" s="116">
        <v>516.5</v>
      </c>
      <c r="P1102" s="116">
        <v>523.6</v>
      </c>
      <c r="Q1102" s="116">
        <v>520.6</v>
      </c>
      <c r="R1102">
        <v>2825900</v>
      </c>
    </row>
    <row r="1103" spans="1:18" x14ac:dyDescent="0.25">
      <c r="A1103" s="170">
        <v>44344</v>
      </c>
      <c r="B1103" s="116">
        <v>527.65</v>
      </c>
      <c r="C1103" s="116">
        <v>521.75</v>
      </c>
      <c r="D1103" s="116">
        <v>520.20000000000005</v>
      </c>
      <c r="E1103" s="116">
        <v>520.20000000000005</v>
      </c>
      <c r="F1103" s="116">
        <v>521.75</v>
      </c>
      <c r="G1103">
        <v>71634</v>
      </c>
      <c r="H1103" s="116"/>
      <c r="I1103" s="116"/>
      <c r="L1103" s="170">
        <v>44344</v>
      </c>
      <c r="M1103" s="116">
        <v>521.85</v>
      </c>
      <c r="N1103" s="116">
        <v>527.45000000000005</v>
      </c>
      <c r="O1103" s="116">
        <v>520</v>
      </c>
      <c r="P1103" s="116">
        <v>521</v>
      </c>
      <c r="Q1103" s="116">
        <v>521.85</v>
      </c>
      <c r="R1103">
        <v>1772752</v>
      </c>
    </row>
    <row r="1104" spans="1:18" x14ac:dyDescent="0.25">
      <c r="A1104" s="170">
        <v>44347</v>
      </c>
      <c r="B1104" s="116">
        <v>526.9</v>
      </c>
      <c r="C1104" s="116">
        <v>523.75</v>
      </c>
      <c r="D1104" s="116">
        <v>516.54999999999995</v>
      </c>
      <c r="E1104" s="116">
        <v>526.79999999999995</v>
      </c>
      <c r="F1104" s="116">
        <v>523.75</v>
      </c>
      <c r="G1104">
        <v>76685</v>
      </c>
      <c r="H1104" s="116"/>
      <c r="I1104" s="116"/>
      <c r="L1104" s="170">
        <v>44347</v>
      </c>
      <c r="M1104" s="116">
        <v>523.75</v>
      </c>
      <c r="N1104" s="116">
        <v>526.5</v>
      </c>
      <c r="O1104" s="116">
        <v>516.65</v>
      </c>
      <c r="P1104" s="116">
        <v>523.65</v>
      </c>
      <c r="Q1104" s="116">
        <v>523.75</v>
      </c>
      <c r="R1104">
        <v>1532185</v>
      </c>
    </row>
    <row r="1105" spans="1:18" x14ac:dyDescent="0.25">
      <c r="A1105" s="170">
        <v>44348</v>
      </c>
      <c r="B1105" s="116">
        <v>536.85</v>
      </c>
      <c r="C1105" s="116">
        <v>532.45000000000005</v>
      </c>
      <c r="D1105" s="116">
        <v>517.15</v>
      </c>
      <c r="E1105" s="116">
        <v>526.95000000000005</v>
      </c>
      <c r="F1105" s="116">
        <v>532.45000000000005</v>
      </c>
      <c r="G1105">
        <v>139408</v>
      </c>
      <c r="H1105" s="116"/>
      <c r="I1105" s="116"/>
      <c r="L1105" s="170">
        <v>44348</v>
      </c>
      <c r="M1105" s="116">
        <v>532.5</v>
      </c>
      <c r="N1105" s="116">
        <v>536.95000000000005</v>
      </c>
      <c r="O1105" s="116">
        <v>517.1</v>
      </c>
      <c r="P1105" s="116">
        <v>525.79999999999995</v>
      </c>
      <c r="Q1105" s="116">
        <v>532.5</v>
      </c>
      <c r="R1105">
        <v>3609502</v>
      </c>
    </row>
    <row r="1106" spans="1:18" x14ac:dyDescent="0.25">
      <c r="A1106" s="170">
        <v>44349</v>
      </c>
      <c r="B1106" s="116">
        <v>539</v>
      </c>
      <c r="C1106" s="116">
        <v>536.4</v>
      </c>
      <c r="D1106" s="116">
        <v>528.45000000000005</v>
      </c>
      <c r="E1106" s="116">
        <v>532</v>
      </c>
      <c r="F1106" s="116">
        <v>536.4</v>
      </c>
      <c r="G1106">
        <v>112948</v>
      </c>
      <c r="H1106" s="116"/>
      <c r="I1106" s="116"/>
      <c r="L1106" s="170">
        <v>44349</v>
      </c>
      <c r="M1106" s="116">
        <v>536.4</v>
      </c>
      <c r="N1106" s="116">
        <v>539</v>
      </c>
      <c r="O1106" s="116">
        <v>528.15</v>
      </c>
      <c r="P1106" s="116">
        <v>532</v>
      </c>
      <c r="Q1106" s="116">
        <v>536.4</v>
      </c>
      <c r="R1106">
        <v>2091569</v>
      </c>
    </row>
    <row r="1107" spans="1:18" x14ac:dyDescent="0.25">
      <c r="A1107" s="170">
        <v>44350</v>
      </c>
      <c r="B1107" s="116">
        <v>542.4</v>
      </c>
      <c r="C1107" s="116">
        <v>537.35</v>
      </c>
      <c r="D1107" s="116">
        <v>534</v>
      </c>
      <c r="E1107" s="116">
        <v>539</v>
      </c>
      <c r="F1107" s="116">
        <v>537.35</v>
      </c>
      <c r="G1107">
        <v>170873</v>
      </c>
      <c r="H1107" s="116"/>
      <c r="I1107" s="116"/>
      <c r="L1107" s="170">
        <v>44350</v>
      </c>
      <c r="M1107" s="116">
        <v>537.35</v>
      </c>
      <c r="N1107" s="116">
        <v>542.54999999999995</v>
      </c>
      <c r="O1107" s="116">
        <v>534</v>
      </c>
      <c r="P1107" s="116">
        <v>536.5</v>
      </c>
      <c r="Q1107" s="116">
        <v>537.35</v>
      </c>
      <c r="R1107">
        <v>1936515</v>
      </c>
    </row>
    <row r="1108" spans="1:18" x14ac:dyDescent="0.25">
      <c r="A1108" s="170">
        <v>44351</v>
      </c>
      <c r="B1108" s="116">
        <v>549.79999999999995</v>
      </c>
      <c r="C1108" s="116">
        <v>546.70000000000005</v>
      </c>
      <c r="D1108" s="116">
        <v>536.35</v>
      </c>
      <c r="E1108" s="116">
        <v>538.95000000000005</v>
      </c>
      <c r="F1108" s="116">
        <v>546.70000000000005</v>
      </c>
      <c r="G1108">
        <v>164959</v>
      </c>
      <c r="H1108" s="116"/>
      <c r="I1108" s="116"/>
      <c r="L1108" s="170">
        <v>44351</v>
      </c>
      <c r="M1108" s="116">
        <v>546.70000000000005</v>
      </c>
      <c r="N1108" s="116">
        <v>549.75</v>
      </c>
      <c r="O1108" s="116">
        <v>536</v>
      </c>
      <c r="P1108" s="116">
        <v>537.35</v>
      </c>
      <c r="Q1108" s="116">
        <v>546.70000000000005</v>
      </c>
      <c r="R1108">
        <v>1989571</v>
      </c>
    </row>
    <row r="1109" spans="1:18" x14ac:dyDescent="0.25">
      <c r="A1109" s="170">
        <v>44354</v>
      </c>
      <c r="B1109" s="116">
        <v>574.1</v>
      </c>
      <c r="C1109" s="116">
        <v>572</v>
      </c>
      <c r="D1109" s="116">
        <v>545</v>
      </c>
      <c r="E1109" s="116">
        <v>547.95000000000005</v>
      </c>
      <c r="F1109" s="116">
        <v>572</v>
      </c>
      <c r="G1109">
        <v>344617</v>
      </c>
      <c r="H1109" s="116"/>
      <c r="I1109" s="116"/>
      <c r="L1109" s="170">
        <v>44354</v>
      </c>
      <c r="M1109" s="116">
        <v>572.15</v>
      </c>
      <c r="N1109" s="116">
        <v>574</v>
      </c>
      <c r="O1109" s="116">
        <v>545.29999999999995</v>
      </c>
      <c r="P1109" s="116">
        <v>547</v>
      </c>
      <c r="Q1109" s="116">
        <v>572.15</v>
      </c>
      <c r="R1109">
        <v>4414046</v>
      </c>
    </row>
    <row r="1110" spans="1:18" x14ac:dyDescent="0.25">
      <c r="A1110" s="170">
        <v>44355</v>
      </c>
      <c r="B1110" s="116">
        <v>641.95000000000005</v>
      </c>
      <c r="C1110" s="116">
        <v>608.45000000000005</v>
      </c>
      <c r="D1110" s="116">
        <v>574.5</v>
      </c>
      <c r="E1110" s="116">
        <v>574.5</v>
      </c>
      <c r="F1110" s="116">
        <v>608.45000000000005</v>
      </c>
      <c r="G1110">
        <v>769658</v>
      </c>
      <c r="H1110" s="116"/>
      <c r="I1110" s="116"/>
      <c r="L1110" s="170">
        <v>44355</v>
      </c>
      <c r="M1110" s="116">
        <v>608.79999999999995</v>
      </c>
      <c r="N1110" s="116">
        <v>641.65</v>
      </c>
      <c r="O1110" s="116">
        <v>574.04999999999995</v>
      </c>
      <c r="P1110" s="116">
        <v>575</v>
      </c>
      <c r="Q1110" s="116">
        <v>608.79999999999995</v>
      </c>
      <c r="R1110">
        <v>17143639</v>
      </c>
    </row>
    <row r="1111" spans="1:18" x14ac:dyDescent="0.25">
      <c r="A1111" s="170">
        <v>44356</v>
      </c>
      <c r="B1111" s="116">
        <v>623.70000000000005</v>
      </c>
      <c r="C1111" s="116">
        <v>610.54999999999995</v>
      </c>
      <c r="D1111" s="116">
        <v>601.1</v>
      </c>
      <c r="E1111" s="116">
        <v>615</v>
      </c>
      <c r="F1111" s="116">
        <v>610.54999999999995</v>
      </c>
      <c r="G1111">
        <v>327815</v>
      </c>
      <c r="H1111" s="116"/>
      <c r="I1111" s="116"/>
      <c r="L1111" s="170">
        <v>44356</v>
      </c>
      <c r="M1111" s="116">
        <v>610.29999999999995</v>
      </c>
      <c r="N1111" s="116">
        <v>623</v>
      </c>
      <c r="O1111" s="116">
        <v>600.9</v>
      </c>
      <c r="P1111" s="116">
        <v>614.9</v>
      </c>
      <c r="Q1111" s="116">
        <v>610.29999999999995</v>
      </c>
      <c r="R1111">
        <v>6094991</v>
      </c>
    </row>
    <row r="1112" spans="1:18" x14ac:dyDescent="0.25">
      <c r="A1112" s="170">
        <v>44357</v>
      </c>
      <c r="B1112" s="116">
        <v>639.5</v>
      </c>
      <c r="C1112" s="116">
        <v>616</v>
      </c>
      <c r="D1112" s="116">
        <v>609.54999999999995</v>
      </c>
      <c r="E1112" s="116">
        <v>612.04999999999995</v>
      </c>
      <c r="F1112" s="116">
        <v>616</v>
      </c>
      <c r="G1112">
        <v>653024</v>
      </c>
      <c r="H1112" s="116"/>
      <c r="I1112" s="116"/>
      <c r="L1112" s="170">
        <v>44357</v>
      </c>
      <c r="M1112" s="116">
        <v>616.25</v>
      </c>
      <c r="N1112" s="116">
        <v>640</v>
      </c>
      <c r="O1112" s="116">
        <v>610</v>
      </c>
      <c r="P1112" s="116">
        <v>614</v>
      </c>
      <c r="Q1112" s="116">
        <v>616.25</v>
      </c>
      <c r="R1112">
        <v>7577053</v>
      </c>
    </row>
    <row r="1113" spans="1:18" x14ac:dyDescent="0.25">
      <c r="A1113" s="170">
        <v>44358</v>
      </c>
      <c r="B1113" s="116">
        <v>621.6</v>
      </c>
      <c r="C1113" s="116">
        <v>611.5</v>
      </c>
      <c r="D1113" s="116">
        <v>609.15</v>
      </c>
      <c r="E1113" s="116">
        <v>620.04999999999995</v>
      </c>
      <c r="F1113" s="116">
        <v>611.5</v>
      </c>
      <c r="G1113">
        <v>156607</v>
      </c>
      <c r="H1113" s="116"/>
      <c r="I1113" s="116"/>
      <c r="L1113" s="170">
        <v>44358</v>
      </c>
      <c r="M1113" s="116">
        <v>611.5</v>
      </c>
      <c r="N1113" s="116">
        <v>621</v>
      </c>
      <c r="O1113" s="116">
        <v>609.04999999999995</v>
      </c>
      <c r="P1113" s="116">
        <v>621</v>
      </c>
      <c r="Q1113" s="116">
        <v>611.5</v>
      </c>
      <c r="R1113">
        <v>3059948</v>
      </c>
    </row>
    <row r="1114" spans="1:18" x14ac:dyDescent="0.25">
      <c r="A1114" s="170">
        <v>44361</v>
      </c>
      <c r="B1114" s="116">
        <v>627.70000000000005</v>
      </c>
      <c r="C1114" s="116">
        <v>621.6</v>
      </c>
      <c r="D1114" s="116">
        <v>592.5</v>
      </c>
      <c r="E1114" s="116">
        <v>614.9</v>
      </c>
      <c r="F1114" s="116">
        <v>621.6</v>
      </c>
      <c r="G1114">
        <v>414479</v>
      </c>
      <c r="H1114" s="116"/>
      <c r="I1114" s="116"/>
      <c r="L1114" s="170">
        <v>44361</v>
      </c>
      <c r="M1114" s="116">
        <v>621.5</v>
      </c>
      <c r="N1114" s="116">
        <v>627.65</v>
      </c>
      <c r="O1114" s="116">
        <v>592.6</v>
      </c>
      <c r="P1114" s="116">
        <v>614.75</v>
      </c>
      <c r="Q1114" s="116">
        <v>621.5</v>
      </c>
      <c r="R1114">
        <v>4726416</v>
      </c>
    </row>
    <row r="1115" spans="1:18" x14ac:dyDescent="0.25">
      <c r="A1115" s="170">
        <v>44362</v>
      </c>
      <c r="B1115" s="116">
        <v>630.9</v>
      </c>
      <c r="C1115" s="116">
        <v>623.25</v>
      </c>
      <c r="D1115" s="116">
        <v>621.9</v>
      </c>
      <c r="E1115" s="116">
        <v>626.95000000000005</v>
      </c>
      <c r="F1115" s="116">
        <v>623.25</v>
      </c>
      <c r="G1115">
        <v>158987</v>
      </c>
      <c r="H1115" s="116"/>
      <c r="I1115" s="116"/>
      <c r="L1115" s="170">
        <v>44362</v>
      </c>
      <c r="M1115" s="116">
        <v>623.29999999999995</v>
      </c>
      <c r="N1115" s="116">
        <v>631</v>
      </c>
      <c r="O1115" s="116">
        <v>622.04999999999995</v>
      </c>
      <c r="P1115" s="116">
        <v>624.4</v>
      </c>
      <c r="Q1115" s="116">
        <v>623.29999999999995</v>
      </c>
      <c r="R1115">
        <v>1986649</v>
      </c>
    </row>
    <row r="1116" spans="1:18" x14ac:dyDescent="0.25">
      <c r="A1116" s="170">
        <v>44363</v>
      </c>
      <c r="B1116" s="116">
        <v>625.79999999999995</v>
      </c>
      <c r="C1116" s="116">
        <v>618.75</v>
      </c>
      <c r="D1116" s="116">
        <v>616.85</v>
      </c>
      <c r="E1116" s="116">
        <v>624.85</v>
      </c>
      <c r="F1116" s="116">
        <v>618.75</v>
      </c>
      <c r="G1116">
        <v>86162</v>
      </c>
      <c r="H1116" s="116"/>
      <c r="I1116" s="116"/>
      <c r="L1116" s="170">
        <v>44363</v>
      </c>
      <c r="M1116" s="116">
        <v>618.70000000000005</v>
      </c>
      <c r="N1116" s="116">
        <v>625.75</v>
      </c>
      <c r="O1116" s="116">
        <v>616.79999999999995</v>
      </c>
      <c r="P1116" s="116">
        <v>623</v>
      </c>
      <c r="Q1116" s="116">
        <v>618.70000000000005</v>
      </c>
      <c r="R1116">
        <v>1596785</v>
      </c>
    </row>
    <row r="1117" spans="1:18" x14ac:dyDescent="0.25">
      <c r="A1117" s="170">
        <v>44364</v>
      </c>
      <c r="B1117" s="116">
        <v>625.04999999999995</v>
      </c>
      <c r="C1117" s="116">
        <v>611.04999999999995</v>
      </c>
      <c r="D1117" s="116">
        <v>608.70000000000005</v>
      </c>
      <c r="E1117" s="116">
        <v>615</v>
      </c>
      <c r="F1117" s="116">
        <v>611.04999999999995</v>
      </c>
      <c r="G1117">
        <v>207013</v>
      </c>
      <c r="H1117" s="116"/>
      <c r="I1117" s="116"/>
      <c r="L1117" s="170">
        <v>44364</v>
      </c>
      <c r="M1117" s="116">
        <v>611</v>
      </c>
      <c r="N1117" s="116">
        <v>625.95000000000005</v>
      </c>
      <c r="O1117" s="116">
        <v>609</v>
      </c>
      <c r="P1117" s="116">
        <v>616.5</v>
      </c>
      <c r="Q1117" s="116">
        <v>611</v>
      </c>
      <c r="R1117">
        <v>1838994</v>
      </c>
    </row>
    <row r="1118" spans="1:18" x14ac:dyDescent="0.25">
      <c r="A1118" s="170">
        <v>44365</v>
      </c>
      <c r="B1118" s="116">
        <v>618.1</v>
      </c>
      <c r="C1118" s="116">
        <v>593.15</v>
      </c>
      <c r="D1118" s="116">
        <v>590</v>
      </c>
      <c r="E1118" s="116">
        <v>613</v>
      </c>
      <c r="F1118" s="116">
        <v>593.15</v>
      </c>
      <c r="G1118">
        <v>383818</v>
      </c>
      <c r="H1118" s="116"/>
      <c r="I1118" s="116"/>
      <c r="L1118" s="170">
        <v>44365</v>
      </c>
      <c r="M1118" s="116">
        <v>593.54999999999995</v>
      </c>
      <c r="N1118" s="116">
        <v>618</v>
      </c>
      <c r="O1118" s="116">
        <v>590</v>
      </c>
      <c r="P1118" s="116">
        <v>615</v>
      </c>
      <c r="Q1118" s="116">
        <v>593.54999999999995</v>
      </c>
      <c r="R1118">
        <v>3881460</v>
      </c>
    </row>
    <row r="1119" spans="1:18" x14ac:dyDescent="0.25">
      <c r="A1119" s="170">
        <v>44368</v>
      </c>
      <c r="B1119" s="116">
        <v>606.9</v>
      </c>
      <c r="C1119" s="116">
        <v>602.29999999999995</v>
      </c>
      <c r="D1119" s="116">
        <v>577.75</v>
      </c>
      <c r="E1119" s="116">
        <v>586</v>
      </c>
      <c r="F1119" s="116">
        <v>602.29999999999995</v>
      </c>
      <c r="G1119">
        <v>135901</v>
      </c>
      <c r="H1119" s="116"/>
      <c r="I1119" s="116"/>
      <c r="L1119" s="170">
        <v>44368</v>
      </c>
      <c r="M1119" s="116">
        <v>602.4</v>
      </c>
      <c r="N1119" s="116">
        <v>607</v>
      </c>
      <c r="O1119" s="116">
        <v>577.15</v>
      </c>
      <c r="P1119" s="116">
        <v>586</v>
      </c>
      <c r="Q1119" s="116">
        <v>602.4</v>
      </c>
      <c r="R1119">
        <v>2236679</v>
      </c>
    </row>
    <row r="1120" spans="1:18" x14ac:dyDescent="0.25">
      <c r="A1120" s="170">
        <v>44369</v>
      </c>
      <c r="B1120" s="116">
        <v>618.15</v>
      </c>
      <c r="C1120" s="116">
        <v>613.29999999999995</v>
      </c>
      <c r="D1120" s="116">
        <v>607.75</v>
      </c>
      <c r="E1120" s="116">
        <v>610.70000000000005</v>
      </c>
      <c r="F1120" s="116">
        <v>613.29999999999995</v>
      </c>
      <c r="G1120">
        <v>76281</v>
      </c>
      <c r="H1120" s="116"/>
      <c r="I1120" s="116"/>
      <c r="L1120" s="170">
        <v>44369</v>
      </c>
      <c r="M1120" s="116">
        <v>613.54999999999995</v>
      </c>
      <c r="N1120" s="116">
        <v>618</v>
      </c>
      <c r="O1120" s="116">
        <v>607.04999999999995</v>
      </c>
      <c r="P1120" s="116">
        <v>607.85</v>
      </c>
      <c r="Q1120" s="116">
        <v>613.54999999999995</v>
      </c>
      <c r="R1120">
        <v>1502285</v>
      </c>
    </row>
    <row r="1121" spans="1:18" x14ac:dyDescent="0.25">
      <c r="A1121" s="170">
        <v>44370</v>
      </c>
      <c r="B1121" s="116">
        <v>619.35</v>
      </c>
      <c r="C1121" s="116">
        <v>615.15</v>
      </c>
      <c r="D1121" s="116">
        <v>611.79999999999995</v>
      </c>
      <c r="E1121" s="116">
        <v>618</v>
      </c>
      <c r="F1121" s="116">
        <v>615.15</v>
      </c>
      <c r="G1121">
        <v>54985</v>
      </c>
      <c r="H1121" s="116"/>
      <c r="I1121" s="116"/>
      <c r="L1121" s="170">
        <v>44370</v>
      </c>
      <c r="M1121" s="116">
        <v>614.85</v>
      </c>
      <c r="N1121" s="116">
        <v>619.70000000000005</v>
      </c>
      <c r="O1121" s="116">
        <v>611.4</v>
      </c>
      <c r="P1121" s="116">
        <v>618.29999999999995</v>
      </c>
      <c r="Q1121" s="116">
        <v>614.85</v>
      </c>
      <c r="R1121">
        <v>1250174</v>
      </c>
    </row>
    <row r="1122" spans="1:18" x14ac:dyDescent="0.25">
      <c r="A1122" s="170">
        <v>44371</v>
      </c>
      <c r="B1122" s="116">
        <v>628.29999999999995</v>
      </c>
      <c r="C1122" s="116">
        <v>625.6</v>
      </c>
      <c r="D1122" s="116">
        <v>611.65</v>
      </c>
      <c r="E1122" s="116">
        <v>615</v>
      </c>
      <c r="F1122" s="116">
        <v>625.6</v>
      </c>
      <c r="G1122">
        <v>265376</v>
      </c>
      <c r="H1122" s="116"/>
      <c r="I1122" s="116"/>
      <c r="L1122" s="170">
        <v>44371</v>
      </c>
      <c r="M1122" s="116">
        <v>625.79999999999995</v>
      </c>
      <c r="N1122" s="116">
        <v>628.65</v>
      </c>
      <c r="O1122" s="116">
        <v>611.54999999999995</v>
      </c>
      <c r="P1122" s="116">
        <v>616</v>
      </c>
      <c r="Q1122" s="116">
        <v>625.79999999999995</v>
      </c>
      <c r="R1122">
        <v>2422442</v>
      </c>
    </row>
    <row r="1123" spans="1:18" x14ac:dyDescent="0.25">
      <c r="A1123" s="170">
        <v>44372</v>
      </c>
      <c r="B1123" s="116">
        <v>682.95</v>
      </c>
      <c r="C1123" s="116">
        <v>650.65</v>
      </c>
      <c r="D1123" s="116">
        <v>628.95000000000005</v>
      </c>
      <c r="E1123" s="116">
        <v>630</v>
      </c>
      <c r="F1123" s="116">
        <v>650.65</v>
      </c>
      <c r="G1123">
        <v>499639</v>
      </c>
      <c r="H1123" s="116"/>
      <c r="I1123" s="116"/>
      <c r="L1123" s="170">
        <v>44372</v>
      </c>
      <c r="M1123" s="116">
        <v>650.70000000000005</v>
      </c>
      <c r="N1123" s="116">
        <v>682.8</v>
      </c>
      <c r="O1123" s="116">
        <v>628.4</v>
      </c>
      <c r="P1123" s="116">
        <v>629</v>
      </c>
      <c r="Q1123" s="116">
        <v>650.70000000000005</v>
      </c>
      <c r="R1123">
        <v>12830496</v>
      </c>
    </row>
    <row r="1124" spans="1:18" x14ac:dyDescent="0.25">
      <c r="A1124" s="170">
        <v>44375</v>
      </c>
      <c r="B1124" s="116">
        <v>683.4</v>
      </c>
      <c r="C1124" s="116">
        <v>676.25</v>
      </c>
      <c r="D1124" s="116">
        <v>657.35</v>
      </c>
      <c r="E1124" s="116">
        <v>658.85</v>
      </c>
      <c r="F1124" s="116">
        <v>676.25</v>
      </c>
      <c r="G1124">
        <v>267798</v>
      </c>
      <c r="H1124" s="116"/>
      <c r="I1124" s="116"/>
      <c r="L1124" s="170">
        <v>44375</v>
      </c>
      <c r="M1124" s="116">
        <v>676.25</v>
      </c>
      <c r="N1124" s="116">
        <v>682.85</v>
      </c>
      <c r="O1124" s="116">
        <v>656.15</v>
      </c>
      <c r="P1124" s="116">
        <v>657.6</v>
      </c>
      <c r="Q1124" s="116">
        <v>676.25</v>
      </c>
      <c r="R1124">
        <v>5057781</v>
      </c>
    </row>
    <row r="1125" spans="1:18" x14ac:dyDescent="0.25">
      <c r="A1125" s="170">
        <v>44376</v>
      </c>
      <c r="B1125" s="116">
        <v>697.75</v>
      </c>
      <c r="C1125" s="116">
        <v>679.2</v>
      </c>
      <c r="D1125" s="116">
        <v>677.95</v>
      </c>
      <c r="E1125" s="116">
        <v>686</v>
      </c>
      <c r="F1125" s="116">
        <v>679.2</v>
      </c>
      <c r="G1125">
        <v>312507</v>
      </c>
      <c r="H1125" s="116"/>
      <c r="I1125" s="116"/>
      <c r="L1125" s="170">
        <v>44376</v>
      </c>
      <c r="M1125" s="116">
        <v>679.35</v>
      </c>
      <c r="N1125" s="116">
        <v>697.8</v>
      </c>
      <c r="O1125" s="116">
        <v>678</v>
      </c>
      <c r="P1125" s="116">
        <v>684</v>
      </c>
      <c r="Q1125" s="116">
        <v>679.35</v>
      </c>
      <c r="R1125">
        <v>5580397</v>
      </c>
    </row>
    <row r="1126" spans="1:18" x14ac:dyDescent="0.25">
      <c r="A1126" s="170">
        <v>44377</v>
      </c>
      <c r="B1126" s="116">
        <v>694.5</v>
      </c>
      <c r="C1126" s="116">
        <v>679.6</v>
      </c>
      <c r="D1126" s="116">
        <v>667</v>
      </c>
      <c r="E1126" s="116">
        <v>684.9</v>
      </c>
      <c r="F1126" s="116">
        <v>679.6</v>
      </c>
      <c r="G1126">
        <v>198865</v>
      </c>
      <c r="H1126" s="116"/>
      <c r="I1126" s="116"/>
      <c r="L1126" s="170">
        <v>44377</v>
      </c>
      <c r="M1126" s="116">
        <v>688.65</v>
      </c>
      <c r="N1126" s="116">
        <v>694.4</v>
      </c>
      <c r="O1126" s="116">
        <v>682</v>
      </c>
      <c r="P1126" s="116">
        <v>685</v>
      </c>
      <c r="Q1126" s="116">
        <v>688.65</v>
      </c>
      <c r="R1126">
        <v>2281603</v>
      </c>
    </row>
    <row r="1127" spans="1:18" x14ac:dyDescent="0.25">
      <c r="A1127" s="170">
        <v>44378</v>
      </c>
      <c r="B1127" s="116">
        <v>691.9</v>
      </c>
      <c r="C1127" s="116">
        <v>667</v>
      </c>
      <c r="D1127" s="116">
        <v>664.5</v>
      </c>
      <c r="E1127" s="116">
        <v>691.5</v>
      </c>
      <c r="F1127" s="116">
        <v>667</v>
      </c>
      <c r="G1127">
        <v>157141</v>
      </c>
      <c r="H1127" s="116"/>
      <c r="I1127" s="116"/>
      <c r="L1127" s="170">
        <v>44378</v>
      </c>
      <c r="M1127" s="116">
        <v>666.5</v>
      </c>
      <c r="N1127" s="116">
        <v>693.25</v>
      </c>
      <c r="O1127" s="116">
        <v>664.4</v>
      </c>
      <c r="P1127" s="116">
        <v>691</v>
      </c>
      <c r="Q1127" s="116">
        <v>666.5</v>
      </c>
      <c r="R1127">
        <v>4217044</v>
      </c>
    </row>
    <row r="1128" spans="1:18" x14ac:dyDescent="0.25">
      <c r="A1128" s="170">
        <v>44379</v>
      </c>
      <c r="B1128" s="116">
        <v>689.9</v>
      </c>
      <c r="C1128" s="116">
        <v>677.85</v>
      </c>
      <c r="D1128" s="116">
        <v>662.2</v>
      </c>
      <c r="E1128" s="116">
        <v>670</v>
      </c>
      <c r="F1128" s="116">
        <v>677.85</v>
      </c>
      <c r="G1128">
        <v>389614</v>
      </c>
      <c r="H1128" s="116"/>
      <c r="I1128" s="116"/>
      <c r="L1128" s="170">
        <v>44379</v>
      </c>
      <c r="M1128" s="116">
        <v>677.65</v>
      </c>
      <c r="N1128" s="116">
        <v>689.85</v>
      </c>
      <c r="O1128" s="116">
        <v>662.25</v>
      </c>
      <c r="P1128" s="116">
        <v>669.6</v>
      </c>
      <c r="Q1128" s="116">
        <v>677.65</v>
      </c>
      <c r="R1128">
        <v>4658172</v>
      </c>
    </row>
    <row r="1129" spans="1:18" x14ac:dyDescent="0.25">
      <c r="A1129" s="170">
        <v>44382</v>
      </c>
      <c r="B1129" s="116">
        <v>693.2</v>
      </c>
      <c r="C1129" s="116">
        <v>684.85</v>
      </c>
      <c r="D1129" s="116">
        <v>680.85</v>
      </c>
      <c r="E1129" s="116">
        <v>684.8</v>
      </c>
      <c r="F1129" s="116">
        <v>684.85</v>
      </c>
      <c r="G1129">
        <v>213517</v>
      </c>
      <c r="H1129" s="116"/>
      <c r="I1129" s="116"/>
      <c r="L1129" s="170">
        <v>44382</v>
      </c>
      <c r="M1129" s="116">
        <v>684.85</v>
      </c>
      <c r="N1129" s="116">
        <v>693</v>
      </c>
      <c r="O1129" s="116">
        <v>680.75</v>
      </c>
      <c r="P1129" s="116">
        <v>685</v>
      </c>
      <c r="Q1129" s="116">
        <v>684.85</v>
      </c>
      <c r="R1129">
        <v>2076968</v>
      </c>
    </row>
    <row r="1130" spans="1:18" x14ac:dyDescent="0.25">
      <c r="A1130" s="170">
        <v>44383</v>
      </c>
      <c r="B1130" s="116">
        <v>688</v>
      </c>
      <c r="C1130" s="116">
        <v>674.95</v>
      </c>
      <c r="D1130" s="116">
        <v>670.05</v>
      </c>
      <c r="E1130" s="116">
        <v>688</v>
      </c>
      <c r="F1130" s="116">
        <v>674.95</v>
      </c>
      <c r="G1130">
        <v>239996</v>
      </c>
      <c r="H1130" s="116"/>
      <c r="I1130" s="116"/>
      <c r="L1130" s="170">
        <v>44383</v>
      </c>
      <c r="M1130" s="116">
        <v>675.2</v>
      </c>
      <c r="N1130" s="116">
        <v>687.5</v>
      </c>
      <c r="O1130" s="116">
        <v>671</v>
      </c>
      <c r="P1130" s="116">
        <v>687</v>
      </c>
      <c r="Q1130" s="116">
        <v>675.2</v>
      </c>
      <c r="R1130">
        <v>1710483</v>
      </c>
    </row>
    <row r="1131" spans="1:18" x14ac:dyDescent="0.25">
      <c r="A1131" s="170">
        <v>44384</v>
      </c>
      <c r="B1131" s="116">
        <v>685.2</v>
      </c>
      <c r="C1131" s="116">
        <v>683.45</v>
      </c>
      <c r="D1131" s="116">
        <v>671.5</v>
      </c>
      <c r="E1131" s="116">
        <v>675.8</v>
      </c>
      <c r="F1131" s="116">
        <v>683.45</v>
      </c>
      <c r="G1131">
        <v>176376</v>
      </c>
      <c r="H1131" s="116"/>
      <c r="I1131" s="116"/>
      <c r="L1131" s="170">
        <v>44384</v>
      </c>
      <c r="M1131" s="116">
        <v>683.4</v>
      </c>
      <c r="N1131" s="116">
        <v>685.5</v>
      </c>
      <c r="O1131" s="116">
        <v>671.2</v>
      </c>
      <c r="P1131" s="116">
        <v>673.65</v>
      </c>
      <c r="Q1131" s="116">
        <v>683.4</v>
      </c>
      <c r="R1131">
        <v>2359287</v>
      </c>
    </row>
    <row r="1132" spans="1:18" x14ac:dyDescent="0.25">
      <c r="A1132" s="170">
        <v>44385</v>
      </c>
      <c r="B1132" s="116">
        <v>686.95</v>
      </c>
      <c r="C1132" s="116">
        <v>682.5</v>
      </c>
      <c r="D1132" s="116">
        <v>674.5</v>
      </c>
      <c r="E1132" s="116">
        <v>686.95</v>
      </c>
      <c r="F1132" s="116">
        <v>682.5</v>
      </c>
      <c r="G1132">
        <v>1805675</v>
      </c>
      <c r="H1132" s="116"/>
      <c r="I1132" s="116"/>
      <c r="L1132" s="170">
        <v>44385</v>
      </c>
      <c r="M1132" s="116">
        <v>682.4</v>
      </c>
      <c r="N1132" s="116">
        <v>685.85</v>
      </c>
      <c r="O1132" s="116">
        <v>674</v>
      </c>
      <c r="P1132" s="116">
        <v>685.1</v>
      </c>
      <c r="Q1132" s="116">
        <v>682.4</v>
      </c>
      <c r="R1132">
        <v>3857342</v>
      </c>
    </row>
    <row r="1133" spans="1:18" x14ac:dyDescent="0.25">
      <c r="A1133" s="170">
        <v>44386</v>
      </c>
      <c r="B1133" s="116">
        <v>686.9</v>
      </c>
      <c r="C1133" s="116">
        <v>680.25</v>
      </c>
      <c r="D1133" s="116">
        <v>676.85</v>
      </c>
      <c r="E1133" s="116">
        <v>685.1</v>
      </c>
      <c r="F1133" s="116">
        <v>680.25</v>
      </c>
      <c r="G1133">
        <v>151580</v>
      </c>
      <c r="H1133" s="116"/>
      <c r="I1133" s="116"/>
      <c r="L1133" s="170">
        <v>44386</v>
      </c>
      <c r="M1133" s="116">
        <v>680.2</v>
      </c>
      <c r="N1133" s="116">
        <v>687</v>
      </c>
      <c r="O1133" s="116">
        <v>676.7</v>
      </c>
      <c r="P1133" s="116">
        <v>685.7</v>
      </c>
      <c r="Q1133" s="116">
        <v>680.2</v>
      </c>
      <c r="R1133">
        <v>1582343</v>
      </c>
    </row>
    <row r="1134" spans="1:18" x14ac:dyDescent="0.25">
      <c r="A1134" s="170">
        <v>44389</v>
      </c>
      <c r="B1134" s="116">
        <v>686</v>
      </c>
      <c r="C1134" s="116">
        <v>677.2</v>
      </c>
      <c r="D1134" s="116">
        <v>674.1</v>
      </c>
      <c r="E1134" s="116">
        <v>680.25</v>
      </c>
      <c r="F1134" s="116">
        <v>677.2</v>
      </c>
      <c r="G1134">
        <v>168373</v>
      </c>
      <c r="H1134" s="116"/>
      <c r="I1134" s="116"/>
      <c r="L1134" s="170">
        <v>44389</v>
      </c>
      <c r="M1134" s="116">
        <v>677.15</v>
      </c>
      <c r="N1134" s="116">
        <v>685.7</v>
      </c>
      <c r="O1134" s="116">
        <v>674.05</v>
      </c>
      <c r="P1134" s="116">
        <v>682.3</v>
      </c>
      <c r="Q1134" s="116">
        <v>677.15</v>
      </c>
      <c r="R1134">
        <v>2186364</v>
      </c>
    </row>
    <row r="1135" spans="1:18" x14ac:dyDescent="0.25">
      <c r="A1135" s="170">
        <v>44390</v>
      </c>
      <c r="B1135" s="116">
        <v>681.6</v>
      </c>
      <c r="C1135" s="116">
        <v>671.5</v>
      </c>
      <c r="D1135" s="116">
        <v>669.7</v>
      </c>
      <c r="E1135" s="116">
        <v>677.75</v>
      </c>
      <c r="F1135" s="116">
        <v>671.5</v>
      </c>
      <c r="G1135">
        <v>171924</v>
      </c>
      <c r="H1135" s="116"/>
      <c r="I1135" s="116"/>
      <c r="L1135" s="170">
        <v>44390</v>
      </c>
      <c r="M1135" s="116">
        <v>670.95</v>
      </c>
      <c r="N1135" s="116">
        <v>682.35</v>
      </c>
      <c r="O1135" s="116">
        <v>667.4</v>
      </c>
      <c r="P1135" s="116">
        <v>680</v>
      </c>
      <c r="Q1135" s="116">
        <v>670.95</v>
      </c>
      <c r="R1135">
        <v>1153553</v>
      </c>
    </row>
    <row r="1136" spans="1:18" x14ac:dyDescent="0.25">
      <c r="A1136" s="170">
        <v>44391</v>
      </c>
      <c r="B1136" s="116">
        <v>672.5</v>
      </c>
      <c r="C1136" s="116">
        <v>658.05</v>
      </c>
      <c r="D1136" s="116">
        <v>652.04999999999995</v>
      </c>
      <c r="E1136" s="116">
        <v>671.5</v>
      </c>
      <c r="F1136" s="116">
        <v>658.05</v>
      </c>
      <c r="G1136">
        <v>278108</v>
      </c>
      <c r="H1136" s="116"/>
      <c r="I1136" s="116"/>
      <c r="L1136" s="170">
        <v>44391</v>
      </c>
      <c r="M1136" s="116">
        <v>658.1</v>
      </c>
      <c r="N1136" s="116">
        <v>672.6</v>
      </c>
      <c r="O1136" s="116">
        <v>650.70000000000005</v>
      </c>
      <c r="P1136" s="116">
        <v>671</v>
      </c>
      <c r="Q1136" s="116">
        <v>658.1</v>
      </c>
      <c r="R1136">
        <v>2396687</v>
      </c>
    </row>
    <row r="1137" spans="1:18" x14ac:dyDescent="0.25">
      <c r="A1137" s="170">
        <v>44392</v>
      </c>
      <c r="B1137" s="116">
        <v>677.2</v>
      </c>
      <c r="C1137" s="116">
        <v>672.5</v>
      </c>
      <c r="D1137" s="116">
        <v>657.85</v>
      </c>
      <c r="E1137" s="116">
        <v>661.75</v>
      </c>
      <c r="F1137" s="116">
        <v>672.5</v>
      </c>
      <c r="G1137">
        <v>2232810</v>
      </c>
      <c r="H1137" s="116"/>
      <c r="I1137" s="116"/>
      <c r="L1137" s="170">
        <v>44392</v>
      </c>
      <c r="M1137" s="116">
        <v>673.55</v>
      </c>
      <c r="N1137" s="116">
        <v>677.6</v>
      </c>
      <c r="O1137" s="116">
        <v>657.55</v>
      </c>
      <c r="P1137" s="116">
        <v>658.4</v>
      </c>
      <c r="Q1137" s="116">
        <v>673.55</v>
      </c>
      <c r="R1137">
        <v>4390704</v>
      </c>
    </row>
    <row r="1138" spans="1:18" x14ac:dyDescent="0.25">
      <c r="A1138" s="170">
        <v>44393</v>
      </c>
      <c r="B1138" s="116">
        <v>679.4</v>
      </c>
      <c r="C1138" s="116">
        <v>668.7</v>
      </c>
      <c r="D1138" s="116">
        <v>666.5</v>
      </c>
      <c r="E1138" s="116">
        <v>673.1</v>
      </c>
      <c r="F1138" s="116">
        <v>668.7</v>
      </c>
      <c r="G1138">
        <v>82064</v>
      </c>
      <c r="H1138" s="116"/>
      <c r="I1138" s="116"/>
      <c r="L1138" s="170">
        <v>44393</v>
      </c>
      <c r="M1138" s="116">
        <v>668.8</v>
      </c>
      <c r="N1138" s="116">
        <v>679.95</v>
      </c>
      <c r="O1138" s="116">
        <v>666.05</v>
      </c>
      <c r="P1138" s="116">
        <v>677</v>
      </c>
      <c r="Q1138" s="116">
        <v>668.8</v>
      </c>
      <c r="R1138">
        <v>1374596</v>
      </c>
    </row>
    <row r="1139" spans="1:18" x14ac:dyDescent="0.25">
      <c r="A1139" s="170">
        <v>44396</v>
      </c>
      <c r="B1139" s="116">
        <v>674.2</v>
      </c>
      <c r="C1139" s="116">
        <v>664.7</v>
      </c>
      <c r="D1139" s="116">
        <v>659.4</v>
      </c>
      <c r="E1139" s="116">
        <v>668.45</v>
      </c>
      <c r="F1139" s="116">
        <v>664.7</v>
      </c>
      <c r="G1139">
        <v>93022</v>
      </c>
      <c r="H1139" s="116"/>
      <c r="I1139" s="116"/>
      <c r="L1139" s="170">
        <v>44396</v>
      </c>
      <c r="M1139" s="116">
        <v>664.6</v>
      </c>
      <c r="N1139" s="116">
        <v>674</v>
      </c>
      <c r="O1139" s="116">
        <v>659.15</v>
      </c>
      <c r="P1139" s="116">
        <v>666.5</v>
      </c>
      <c r="Q1139" s="116">
        <v>664.6</v>
      </c>
      <c r="R1139">
        <v>1546785</v>
      </c>
    </row>
    <row r="1140" spans="1:18" x14ac:dyDescent="0.25">
      <c r="A1140" s="170">
        <v>44397</v>
      </c>
      <c r="B1140" s="116">
        <v>672.9</v>
      </c>
      <c r="C1140" s="116">
        <v>663.4</v>
      </c>
      <c r="D1140" s="116">
        <v>651.4</v>
      </c>
      <c r="E1140" s="116">
        <v>662.55</v>
      </c>
      <c r="F1140" s="116">
        <v>663.4</v>
      </c>
      <c r="G1140">
        <v>240209</v>
      </c>
      <c r="H1140" s="116"/>
      <c r="I1140" s="116"/>
      <c r="L1140" s="170">
        <v>44397</v>
      </c>
      <c r="M1140" s="116">
        <v>662.8</v>
      </c>
      <c r="N1140" s="116">
        <v>672.9</v>
      </c>
      <c r="O1140" s="116">
        <v>651.5</v>
      </c>
      <c r="P1140" s="116">
        <v>664.95</v>
      </c>
      <c r="Q1140" s="116">
        <v>662.8</v>
      </c>
      <c r="R1140">
        <v>1831227</v>
      </c>
    </row>
    <row r="1141" spans="1:18" x14ac:dyDescent="0.25">
      <c r="A1141" s="170">
        <v>44399</v>
      </c>
      <c r="B1141" s="116">
        <v>669.45</v>
      </c>
      <c r="C1141" s="116">
        <v>654</v>
      </c>
      <c r="D1141" s="116">
        <v>648.29999999999995</v>
      </c>
      <c r="E1141" s="116">
        <v>668.95</v>
      </c>
      <c r="F1141" s="116">
        <v>654</v>
      </c>
      <c r="G1141">
        <v>217584</v>
      </c>
      <c r="H1141" s="116"/>
      <c r="I1141" s="116"/>
      <c r="L1141" s="170">
        <v>44399</v>
      </c>
      <c r="M1141" s="116">
        <v>653.6</v>
      </c>
      <c r="N1141" s="116">
        <v>669.5</v>
      </c>
      <c r="O1141" s="116">
        <v>648.6</v>
      </c>
      <c r="P1141" s="116">
        <v>667</v>
      </c>
      <c r="Q1141" s="116">
        <v>653.6</v>
      </c>
      <c r="R1141">
        <v>1926752</v>
      </c>
    </row>
    <row r="1142" spans="1:18" x14ac:dyDescent="0.25">
      <c r="A1142" s="170">
        <v>44400</v>
      </c>
      <c r="B1142" s="116">
        <v>659</v>
      </c>
      <c r="C1142" s="116">
        <v>647.54999999999995</v>
      </c>
      <c r="D1142" s="116">
        <v>646</v>
      </c>
      <c r="E1142" s="116">
        <v>657.1</v>
      </c>
      <c r="F1142" s="116">
        <v>647.54999999999995</v>
      </c>
      <c r="G1142">
        <v>216482</v>
      </c>
      <c r="H1142" s="116"/>
      <c r="I1142" s="116"/>
      <c r="L1142" s="170">
        <v>44400</v>
      </c>
      <c r="M1142" s="116">
        <v>647.79999999999995</v>
      </c>
      <c r="N1142" s="116">
        <v>659.4</v>
      </c>
      <c r="O1142" s="116">
        <v>645.65</v>
      </c>
      <c r="P1142" s="116">
        <v>657</v>
      </c>
      <c r="Q1142" s="116">
        <v>647.79999999999995</v>
      </c>
      <c r="R1142">
        <v>1538912</v>
      </c>
    </row>
    <row r="1143" spans="1:18" x14ac:dyDescent="0.25">
      <c r="A1143" s="170">
        <v>44403</v>
      </c>
      <c r="B1143" s="116">
        <v>668.4</v>
      </c>
      <c r="C1143" s="116">
        <v>651.29999999999995</v>
      </c>
      <c r="D1143" s="116">
        <v>640.04999999999995</v>
      </c>
      <c r="E1143" s="116">
        <v>649.9</v>
      </c>
      <c r="F1143" s="116">
        <v>651.29999999999995</v>
      </c>
      <c r="G1143">
        <v>135023</v>
      </c>
      <c r="H1143" s="116"/>
      <c r="I1143" s="116"/>
      <c r="L1143" s="170">
        <v>44403</v>
      </c>
      <c r="M1143" s="116">
        <v>651.15</v>
      </c>
      <c r="N1143" s="116">
        <v>668.6</v>
      </c>
      <c r="O1143" s="116">
        <v>640</v>
      </c>
      <c r="P1143" s="116">
        <v>649</v>
      </c>
      <c r="Q1143" s="116">
        <v>651.15</v>
      </c>
      <c r="R1143">
        <v>2903889</v>
      </c>
    </row>
    <row r="1144" spans="1:18" x14ac:dyDescent="0.25">
      <c r="A1144" s="170">
        <v>44404</v>
      </c>
      <c r="B1144" s="116">
        <v>661.1</v>
      </c>
      <c r="C1144" s="116">
        <v>632.20000000000005</v>
      </c>
      <c r="D1144" s="116">
        <v>624.6</v>
      </c>
      <c r="E1144" s="116">
        <v>653</v>
      </c>
      <c r="F1144" s="116">
        <v>632.20000000000005</v>
      </c>
      <c r="G1144">
        <v>341969</v>
      </c>
      <c r="H1144" s="116"/>
      <c r="I1144" s="116"/>
      <c r="L1144" s="170">
        <v>44404</v>
      </c>
      <c r="M1144" s="116">
        <v>632.04999999999995</v>
      </c>
      <c r="N1144" s="116">
        <v>660.8</v>
      </c>
      <c r="O1144" s="116">
        <v>624</v>
      </c>
      <c r="P1144" s="116">
        <v>654.45000000000005</v>
      </c>
      <c r="Q1144" s="116">
        <v>632.04999999999995</v>
      </c>
      <c r="R1144">
        <v>3466194</v>
      </c>
    </row>
    <row r="1145" spans="1:18" x14ac:dyDescent="0.25">
      <c r="A1145" s="170">
        <v>44405</v>
      </c>
      <c r="B1145" s="116">
        <v>644.95000000000005</v>
      </c>
      <c r="C1145" s="116">
        <v>618.85</v>
      </c>
      <c r="D1145" s="116">
        <v>615.54999999999995</v>
      </c>
      <c r="E1145" s="116">
        <v>635</v>
      </c>
      <c r="F1145" s="116">
        <v>618.85</v>
      </c>
      <c r="G1145">
        <v>288373</v>
      </c>
      <c r="H1145" s="116"/>
      <c r="I1145" s="116"/>
      <c r="L1145" s="170">
        <v>44405</v>
      </c>
      <c r="M1145" s="116">
        <v>618.5</v>
      </c>
      <c r="N1145" s="116">
        <v>644.95000000000005</v>
      </c>
      <c r="O1145" s="116">
        <v>615.25</v>
      </c>
      <c r="P1145" s="116">
        <v>635</v>
      </c>
      <c r="Q1145" s="116">
        <v>618.5</v>
      </c>
      <c r="R1145">
        <v>2737257</v>
      </c>
    </row>
    <row r="1146" spans="1:18" x14ac:dyDescent="0.25">
      <c r="A1146" s="170">
        <v>44406</v>
      </c>
      <c r="B1146" s="116">
        <v>625.20000000000005</v>
      </c>
      <c r="C1146" s="116">
        <v>604.65</v>
      </c>
      <c r="D1146" s="116">
        <v>593.1</v>
      </c>
      <c r="E1146" s="116">
        <v>624.9</v>
      </c>
      <c r="F1146" s="116">
        <v>604.65</v>
      </c>
      <c r="G1146">
        <v>546410</v>
      </c>
      <c r="H1146" s="116"/>
      <c r="I1146" s="116"/>
      <c r="L1146" s="170">
        <v>44406</v>
      </c>
      <c r="M1146" s="116">
        <v>605.4</v>
      </c>
      <c r="N1146" s="116">
        <v>625.9</v>
      </c>
      <c r="O1146" s="116">
        <v>595</v>
      </c>
      <c r="P1146" s="116">
        <v>624.65</v>
      </c>
      <c r="Q1146" s="116">
        <v>605.4</v>
      </c>
      <c r="R1146">
        <v>6061297</v>
      </c>
    </row>
    <row r="1147" spans="1:18" x14ac:dyDescent="0.25">
      <c r="A1147" s="170">
        <v>44407</v>
      </c>
      <c r="B1147" s="116">
        <v>648</v>
      </c>
      <c r="C1147" s="116">
        <v>640.65</v>
      </c>
      <c r="D1147" s="116">
        <v>588.20000000000005</v>
      </c>
      <c r="E1147" s="116">
        <v>598.75</v>
      </c>
      <c r="F1147" s="116">
        <v>640.65</v>
      </c>
      <c r="G1147">
        <v>382359</v>
      </c>
      <c r="H1147" s="116"/>
      <c r="I1147" s="116"/>
      <c r="L1147" s="170">
        <v>44407</v>
      </c>
      <c r="M1147" s="116">
        <v>641.5</v>
      </c>
      <c r="N1147" s="116">
        <v>648</v>
      </c>
      <c r="O1147" s="116">
        <v>588</v>
      </c>
      <c r="P1147" s="116">
        <v>600</v>
      </c>
      <c r="Q1147" s="116">
        <v>641.5</v>
      </c>
      <c r="R1147">
        <v>8713131</v>
      </c>
    </row>
    <row r="1148" spans="1:18" x14ac:dyDescent="0.25">
      <c r="A1148" s="170">
        <v>44410</v>
      </c>
      <c r="B1148" s="116">
        <v>663.85</v>
      </c>
      <c r="C1148" s="116">
        <v>654.35</v>
      </c>
      <c r="D1148" s="116">
        <v>648</v>
      </c>
      <c r="E1148" s="116">
        <v>650</v>
      </c>
      <c r="F1148" s="116">
        <v>654.35</v>
      </c>
      <c r="G1148">
        <v>176612</v>
      </c>
      <c r="H1148" s="116"/>
      <c r="I1148" s="116"/>
      <c r="L1148" s="170">
        <v>44410</v>
      </c>
      <c r="M1148" s="116">
        <v>654.5</v>
      </c>
      <c r="N1148" s="116">
        <v>664</v>
      </c>
      <c r="O1148" s="116">
        <v>646.79999999999995</v>
      </c>
      <c r="P1148" s="116">
        <v>649</v>
      </c>
      <c r="Q1148" s="116">
        <v>654.5</v>
      </c>
      <c r="R1148">
        <v>3944981</v>
      </c>
    </row>
    <row r="1149" spans="1:18" x14ac:dyDescent="0.25">
      <c r="A1149" s="170">
        <v>44411</v>
      </c>
      <c r="B1149" s="116">
        <v>660</v>
      </c>
      <c r="C1149" s="116">
        <v>647.4</v>
      </c>
      <c r="D1149" s="116">
        <v>645.6</v>
      </c>
      <c r="E1149" s="116">
        <v>660</v>
      </c>
      <c r="F1149" s="116">
        <v>647.4</v>
      </c>
      <c r="G1149">
        <v>102988</v>
      </c>
      <c r="H1149" s="116"/>
      <c r="I1149" s="116"/>
      <c r="L1149" s="170">
        <v>44411</v>
      </c>
      <c r="M1149" s="116">
        <v>647.4</v>
      </c>
      <c r="N1149" s="116">
        <v>659.25</v>
      </c>
      <c r="O1149" s="116">
        <v>645.1</v>
      </c>
      <c r="P1149" s="116">
        <v>657.6</v>
      </c>
      <c r="Q1149" s="116">
        <v>647.4</v>
      </c>
      <c r="R1149">
        <v>1919695</v>
      </c>
    </row>
    <row r="1150" spans="1:18" x14ac:dyDescent="0.25">
      <c r="A1150" s="170">
        <v>44412</v>
      </c>
      <c r="B1150" s="116">
        <v>654</v>
      </c>
      <c r="C1150" s="116">
        <v>646.4</v>
      </c>
      <c r="D1150" s="116">
        <v>638.85</v>
      </c>
      <c r="E1150" s="116">
        <v>654</v>
      </c>
      <c r="F1150" s="116">
        <v>646.4</v>
      </c>
      <c r="G1150">
        <v>188719</v>
      </c>
      <c r="H1150" s="116"/>
      <c r="I1150" s="116"/>
      <c r="L1150" s="170">
        <v>44412</v>
      </c>
      <c r="M1150" s="116">
        <v>646.79999999999995</v>
      </c>
      <c r="N1150" s="116">
        <v>653</v>
      </c>
      <c r="O1150" s="116">
        <v>638.79999999999995</v>
      </c>
      <c r="P1150" s="116">
        <v>653</v>
      </c>
      <c r="Q1150" s="116">
        <v>646.79999999999995</v>
      </c>
      <c r="R1150">
        <v>1833363</v>
      </c>
    </row>
    <row r="1151" spans="1:18" x14ac:dyDescent="0.25">
      <c r="A1151" s="170">
        <v>44413</v>
      </c>
      <c r="B1151" s="116">
        <v>672.95</v>
      </c>
      <c r="C1151" s="116">
        <v>671.55</v>
      </c>
      <c r="D1151" s="116">
        <v>646</v>
      </c>
      <c r="E1151" s="116">
        <v>647.5</v>
      </c>
      <c r="F1151" s="116">
        <v>671.55</v>
      </c>
      <c r="G1151">
        <v>180722</v>
      </c>
      <c r="H1151" s="116"/>
      <c r="I1151" s="116"/>
      <c r="L1151" s="170">
        <v>44413</v>
      </c>
      <c r="M1151" s="116">
        <v>671.55</v>
      </c>
      <c r="N1151" s="116">
        <v>673</v>
      </c>
      <c r="O1151" s="116">
        <v>645.85</v>
      </c>
      <c r="P1151" s="116">
        <v>650.04999999999995</v>
      </c>
      <c r="Q1151" s="116">
        <v>671.55</v>
      </c>
      <c r="R1151">
        <v>5877440</v>
      </c>
    </row>
    <row r="1152" spans="1:18" x14ac:dyDescent="0.25">
      <c r="A1152" s="170">
        <v>44414</v>
      </c>
      <c r="B1152" s="116">
        <v>686.6</v>
      </c>
      <c r="C1152" s="116">
        <v>679.6</v>
      </c>
      <c r="D1152" s="116">
        <v>673.5</v>
      </c>
      <c r="E1152" s="116">
        <v>673.5</v>
      </c>
      <c r="F1152" s="116">
        <v>679.6</v>
      </c>
      <c r="G1152">
        <v>420880</v>
      </c>
      <c r="H1152" s="116"/>
      <c r="I1152" s="116"/>
      <c r="L1152" s="170">
        <v>44414</v>
      </c>
      <c r="M1152" s="116">
        <v>679.8</v>
      </c>
      <c r="N1152" s="116">
        <v>686.75</v>
      </c>
      <c r="O1152" s="116">
        <v>673.1</v>
      </c>
      <c r="P1152" s="116">
        <v>675</v>
      </c>
      <c r="Q1152" s="116">
        <v>679.8</v>
      </c>
      <c r="R1152">
        <v>4077225</v>
      </c>
    </row>
    <row r="1153" spans="1:18" x14ac:dyDescent="0.25">
      <c r="A1153" s="170">
        <v>44417</v>
      </c>
      <c r="B1153" s="116">
        <v>710</v>
      </c>
      <c r="C1153" s="116">
        <v>703</v>
      </c>
      <c r="D1153" s="116">
        <v>683.6</v>
      </c>
      <c r="E1153" s="116">
        <v>685</v>
      </c>
      <c r="F1153" s="116">
        <v>703</v>
      </c>
      <c r="G1153">
        <v>221230</v>
      </c>
      <c r="H1153" s="116"/>
      <c r="I1153" s="116"/>
      <c r="L1153" s="170">
        <v>44417</v>
      </c>
      <c r="M1153" s="116">
        <v>703.05</v>
      </c>
      <c r="N1153" s="116">
        <v>710</v>
      </c>
      <c r="O1153" s="116">
        <v>683.2</v>
      </c>
      <c r="P1153" s="116">
        <v>685.95</v>
      </c>
      <c r="Q1153" s="116">
        <v>703.05</v>
      </c>
      <c r="R1153">
        <v>7958771</v>
      </c>
    </row>
    <row r="1154" spans="1:18" x14ac:dyDescent="0.25">
      <c r="A1154" s="170">
        <v>44418</v>
      </c>
      <c r="B1154" s="116">
        <v>715</v>
      </c>
      <c r="C1154" s="116">
        <v>707.1</v>
      </c>
      <c r="D1154" s="116">
        <v>696.35</v>
      </c>
      <c r="E1154" s="116">
        <v>706.45</v>
      </c>
      <c r="F1154" s="116">
        <v>707.1</v>
      </c>
      <c r="G1154">
        <v>182610</v>
      </c>
      <c r="H1154" s="116"/>
      <c r="I1154" s="116"/>
      <c r="L1154" s="170">
        <v>44418</v>
      </c>
      <c r="M1154" s="116">
        <v>706.85</v>
      </c>
      <c r="N1154" s="116">
        <v>715</v>
      </c>
      <c r="O1154" s="116">
        <v>696.2</v>
      </c>
      <c r="P1154" s="116">
        <v>707.05</v>
      </c>
      <c r="Q1154" s="116">
        <v>706.85</v>
      </c>
      <c r="R1154">
        <v>5162279</v>
      </c>
    </row>
    <row r="1155" spans="1:18" x14ac:dyDescent="0.25">
      <c r="A1155" s="170">
        <v>44419</v>
      </c>
      <c r="B1155" s="116">
        <v>711.3</v>
      </c>
      <c r="C1155" s="116">
        <v>702.75</v>
      </c>
      <c r="D1155" s="116">
        <v>693.65</v>
      </c>
      <c r="E1155" s="116">
        <v>709</v>
      </c>
      <c r="F1155" s="116">
        <v>702.75</v>
      </c>
      <c r="G1155">
        <v>410028</v>
      </c>
      <c r="H1155" s="116"/>
      <c r="I1155" s="116"/>
      <c r="L1155" s="170">
        <v>44419</v>
      </c>
      <c r="M1155" s="116">
        <v>703.5</v>
      </c>
      <c r="N1155" s="116">
        <v>710.75</v>
      </c>
      <c r="O1155" s="116">
        <v>695</v>
      </c>
      <c r="P1155" s="116">
        <v>709.5</v>
      </c>
      <c r="Q1155" s="116">
        <v>703.5</v>
      </c>
      <c r="R1155">
        <v>3953211</v>
      </c>
    </row>
    <row r="1156" spans="1:18" x14ac:dyDescent="0.25">
      <c r="A1156" s="170">
        <v>44420</v>
      </c>
      <c r="B1156" s="116">
        <v>723.55</v>
      </c>
      <c r="C1156" s="116">
        <v>708.65</v>
      </c>
      <c r="D1156" s="116">
        <v>697.8</v>
      </c>
      <c r="E1156" s="116">
        <v>703.65</v>
      </c>
      <c r="F1156" s="116">
        <v>708.65</v>
      </c>
      <c r="G1156">
        <v>126149</v>
      </c>
      <c r="H1156" s="116"/>
      <c r="I1156" s="116"/>
      <c r="L1156" s="170">
        <v>44420</v>
      </c>
      <c r="M1156" s="116">
        <v>708.7</v>
      </c>
      <c r="N1156" s="116">
        <v>723.75</v>
      </c>
      <c r="O1156" s="116">
        <v>697.6</v>
      </c>
      <c r="P1156" s="116">
        <v>704.8</v>
      </c>
      <c r="Q1156" s="116">
        <v>708.7</v>
      </c>
      <c r="R1156">
        <v>3099023</v>
      </c>
    </row>
    <row r="1157" spans="1:18" x14ac:dyDescent="0.25">
      <c r="A1157" s="170">
        <v>44421</v>
      </c>
      <c r="B1157" s="116">
        <v>720.75</v>
      </c>
      <c r="C1157" s="116">
        <v>707.1</v>
      </c>
      <c r="D1157" s="116">
        <v>705.1</v>
      </c>
      <c r="E1157" s="116">
        <v>713.7</v>
      </c>
      <c r="F1157" s="116">
        <v>707.1</v>
      </c>
      <c r="G1157">
        <v>109945</v>
      </c>
      <c r="H1157" s="116"/>
      <c r="I1157" s="116"/>
      <c r="L1157" s="170">
        <v>44421</v>
      </c>
      <c r="M1157" s="116">
        <v>707.25</v>
      </c>
      <c r="N1157" s="116">
        <v>721</v>
      </c>
      <c r="O1157" s="116">
        <v>704.1</v>
      </c>
      <c r="P1157" s="116">
        <v>711.8</v>
      </c>
      <c r="Q1157" s="116">
        <v>707.25</v>
      </c>
      <c r="R1157">
        <v>2320192</v>
      </c>
    </row>
    <row r="1158" spans="1:18" x14ac:dyDescent="0.25">
      <c r="A1158" s="170">
        <v>44424</v>
      </c>
      <c r="B1158" s="116">
        <v>716.4</v>
      </c>
      <c r="C1158" s="116">
        <v>689.1</v>
      </c>
      <c r="D1158" s="116">
        <v>683.95</v>
      </c>
      <c r="E1158" s="116">
        <v>709.85</v>
      </c>
      <c r="F1158" s="116">
        <v>689.1</v>
      </c>
      <c r="G1158">
        <v>112608</v>
      </c>
      <c r="H1158" s="116"/>
      <c r="I1158" s="116"/>
      <c r="L1158" s="170">
        <v>44424</v>
      </c>
      <c r="M1158" s="116">
        <v>689.35</v>
      </c>
      <c r="N1158" s="116">
        <v>716.7</v>
      </c>
      <c r="O1158" s="116">
        <v>684</v>
      </c>
      <c r="P1158" s="116">
        <v>709.9</v>
      </c>
      <c r="Q1158" s="116">
        <v>689.35</v>
      </c>
      <c r="R1158">
        <v>2390997</v>
      </c>
    </row>
    <row r="1159" spans="1:18" x14ac:dyDescent="0.25">
      <c r="A1159" s="170">
        <v>44425</v>
      </c>
      <c r="B1159" s="116">
        <v>711.95</v>
      </c>
      <c r="C1159" s="116">
        <v>694.3</v>
      </c>
      <c r="D1159" s="116">
        <v>690</v>
      </c>
      <c r="E1159" s="116">
        <v>690</v>
      </c>
      <c r="F1159" s="116">
        <v>694.3</v>
      </c>
      <c r="G1159">
        <v>124657</v>
      </c>
      <c r="H1159" s="116"/>
      <c r="I1159" s="116"/>
      <c r="L1159" s="170">
        <v>44425</v>
      </c>
      <c r="M1159" s="116">
        <v>694.85</v>
      </c>
      <c r="N1159" s="116">
        <v>712</v>
      </c>
      <c r="O1159" s="116">
        <v>690</v>
      </c>
      <c r="P1159" s="116">
        <v>690</v>
      </c>
      <c r="Q1159" s="116">
        <v>694.85</v>
      </c>
      <c r="R1159">
        <v>4423192</v>
      </c>
    </row>
    <row r="1160" spans="1:18" x14ac:dyDescent="0.25">
      <c r="A1160" s="170">
        <v>44426</v>
      </c>
      <c r="B1160" s="116">
        <v>706.35</v>
      </c>
      <c r="C1160" s="116">
        <v>693</v>
      </c>
      <c r="D1160" s="116">
        <v>692</v>
      </c>
      <c r="E1160" s="116">
        <v>698.95</v>
      </c>
      <c r="F1160" s="116">
        <v>693</v>
      </c>
      <c r="G1160">
        <v>46933</v>
      </c>
      <c r="H1160" s="116"/>
      <c r="I1160" s="116"/>
      <c r="L1160" s="170">
        <v>44426</v>
      </c>
      <c r="M1160" s="116">
        <v>693.45</v>
      </c>
      <c r="N1160" s="116">
        <v>706</v>
      </c>
      <c r="O1160" s="116">
        <v>691</v>
      </c>
      <c r="P1160" s="116">
        <v>699.15</v>
      </c>
      <c r="Q1160" s="116">
        <v>693.45</v>
      </c>
      <c r="R1160">
        <v>1456403</v>
      </c>
    </row>
    <row r="1161" spans="1:18" x14ac:dyDescent="0.25">
      <c r="A1161" s="170">
        <v>44428</v>
      </c>
      <c r="B1161" s="116">
        <v>695.7</v>
      </c>
      <c r="C1161" s="116">
        <v>680.05</v>
      </c>
      <c r="D1161" s="116">
        <v>675.05</v>
      </c>
      <c r="E1161" s="116">
        <v>692.4</v>
      </c>
      <c r="F1161" s="116">
        <v>680.05</v>
      </c>
      <c r="G1161">
        <v>93498</v>
      </c>
      <c r="H1161" s="116"/>
      <c r="I1161" s="116"/>
      <c r="L1161" s="170">
        <v>44428</v>
      </c>
      <c r="M1161" s="116">
        <v>679.8</v>
      </c>
      <c r="N1161" s="116">
        <v>695.95</v>
      </c>
      <c r="O1161" s="116">
        <v>675</v>
      </c>
      <c r="P1161" s="116">
        <v>690</v>
      </c>
      <c r="Q1161" s="116">
        <v>679.8</v>
      </c>
      <c r="R1161">
        <v>1995541</v>
      </c>
    </row>
    <row r="1162" spans="1:18" x14ac:dyDescent="0.25">
      <c r="A1162" s="170">
        <v>44431</v>
      </c>
      <c r="B1162" s="116">
        <v>688.7</v>
      </c>
      <c r="C1162" s="116">
        <v>636.4</v>
      </c>
      <c r="D1162" s="116">
        <v>627.25</v>
      </c>
      <c r="E1162" s="116">
        <v>680.6</v>
      </c>
      <c r="F1162" s="116">
        <v>636.4</v>
      </c>
      <c r="G1162">
        <v>439778</v>
      </c>
      <c r="H1162" s="116"/>
      <c r="I1162" s="116"/>
      <c r="L1162" s="170">
        <v>44431</v>
      </c>
      <c r="M1162" s="116">
        <v>637.70000000000005</v>
      </c>
      <c r="N1162" s="116">
        <v>684.35</v>
      </c>
      <c r="O1162" s="116">
        <v>628.1</v>
      </c>
      <c r="P1162" s="116">
        <v>682.1</v>
      </c>
      <c r="Q1162" s="116">
        <v>637.70000000000005</v>
      </c>
      <c r="R1162">
        <v>4028231</v>
      </c>
    </row>
    <row r="1163" spans="1:18" x14ac:dyDescent="0.25">
      <c r="A1163" s="170">
        <v>44432</v>
      </c>
      <c r="B1163" s="116">
        <v>681.65</v>
      </c>
      <c r="C1163" s="116">
        <v>671.15</v>
      </c>
      <c r="D1163" s="116">
        <v>626</v>
      </c>
      <c r="E1163" s="116">
        <v>636.6</v>
      </c>
      <c r="F1163" s="116">
        <v>671.15</v>
      </c>
      <c r="G1163">
        <v>101824</v>
      </c>
      <c r="H1163" s="116"/>
      <c r="I1163" s="116"/>
      <c r="L1163" s="170">
        <v>44432</v>
      </c>
      <c r="M1163" s="116">
        <v>671.75</v>
      </c>
      <c r="N1163" s="116">
        <v>681.9</v>
      </c>
      <c r="O1163" s="116">
        <v>635</v>
      </c>
      <c r="P1163" s="116">
        <v>637.4</v>
      </c>
      <c r="Q1163" s="116">
        <v>671.75</v>
      </c>
      <c r="R1163">
        <v>3770765</v>
      </c>
    </row>
    <row r="1164" spans="1:18" x14ac:dyDescent="0.25">
      <c r="A1164" s="170">
        <v>44433</v>
      </c>
      <c r="B1164" s="116">
        <v>681</v>
      </c>
      <c r="C1164" s="116">
        <v>676.75</v>
      </c>
      <c r="D1164" s="116">
        <v>667.45</v>
      </c>
      <c r="E1164" s="116">
        <v>677.85</v>
      </c>
      <c r="F1164" s="116">
        <v>676.75</v>
      </c>
      <c r="G1164">
        <v>63914</v>
      </c>
      <c r="H1164" s="116"/>
      <c r="I1164" s="116"/>
      <c r="L1164" s="170">
        <v>44433</v>
      </c>
      <c r="M1164" s="116">
        <v>677.2</v>
      </c>
      <c r="N1164" s="116">
        <v>681</v>
      </c>
      <c r="O1164" s="116">
        <v>667.25</v>
      </c>
      <c r="P1164" s="116">
        <v>675.45</v>
      </c>
      <c r="Q1164" s="116">
        <v>677.2</v>
      </c>
      <c r="R1164">
        <v>1971277</v>
      </c>
    </row>
    <row r="1165" spans="1:18" x14ac:dyDescent="0.25">
      <c r="A1165" s="170">
        <v>44434</v>
      </c>
      <c r="B1165" s="116">
        <v>679.4</v>
      </c>
      <c r="C1165" s="116">
        <v>666.95</v>
      </c>
      <c r="D1165" s="116">
        <v>664</v>
      </c>
      <c r="E1165" s="116">
        <v>676</v>
      </c>
      <c r="F1165" s="116">
        <v>666.95</v>
      </c>
      <c r="G1165">
        <v>58245</v>
      </c>
      <c r="H1165" s="116"/>
      <c r="I1165" s="116"/>
      <c r="L1165" s="170">
        <v>44434</v>
      </c>
      <c r="M1165" s="116">
        <v>667.55</v>
      </c>
      <c r="N1165" s="116">
        <v>678.45</v>
      </c>
      <c r="O1165" s="116">
        <v>664</v>
      </c>
      <c r="P1165" s="116">
        <v>675.8</v>
      </c>
      <c r="Q1165" s="116">
        <v>667.55</v>
      </c>
      <c r="R1165">
        <v>1993350</v>
      </c>
    </row>
    <row r="1166" spans="1:18" x14ac:dyDescent="0.25">
      <c r="A1166" s="170">
        <v>44435</v>
      </c>
      <c r="B1166" s="116">
        <v>669.65</v>
      </c>
      <c r="C1166" s="116">
        <v>658.8</v>
      </c>
      <c r="D1166" s="116">
        <v>656.5</v>
      </c>
      <c r="E1166" s="116">
        <v>668.7</v>
      </c>
      <c r="F1166" s="116">
        <v>658.8</v>
      </c>
      <c r="G1166">
        <v>43714</v>
      </c>
      <c r="H1166" s="116"/>
      <c r="I1166" s="116"/>
      <c r="L1166" s="170">
        <v>44435</v>
      </c>
      <c r="M1166" s="116">
        <v>658.6</v>
      </c>
      <c r="N1166" s="116">
        <v>669.65</v>
      </c>
      <c r="O1166" s="116">
        <v>656.05</v>
      </c>
      <c r="P1166" s="116">
        <v>666.25</v>
      </c>
      <c r="Q1166" s="116">
        <v>658.6</v>
      </c>
      <c r="R1166">
        <v>1395513</v>
      </c>
    </row>
    <row r="1167" spans="1:18" x14ac:dyDescent="0.25">
      <c r="A1167" s="170">
        <v>44438</v>
      </c>
      <c r="B1167" s="116">
        <v>654.6</v>
      </c>
      <c r="C1167" s="116">
        <v>649.35</v>
      </c>
      <c r="D1167" s="116">
        <v>645.29999999999995</v>
      </c>
      <c r="E1167" s="116">
        <v>650</v>
      </c>
      <c r="F1167" s="116">
        <v>649.35</v>
      </c>
      <c r="G1167">
        <v>227088</v>
      </c>
      <c r="H1167" s="116"/>
      <c r="I1167" s="116"/>
      <c r="L1167" s="170">
        <v>44438</v>
      </c>
      <c r="M1167" s="116">
        <v>649.20000000000005</v>
      </c>
      <c r="N1167" s="116">
        <v>654.70000000000005</v>
      </c>
      <c r="O1167" s="116">
        <v>645.85</v>
      </c>
      <c r="P1167" s="116">
        <v>652.20000000000005</v>
      </c>
      <c r="Q1167" s="116">
        <v>649.20000000000005</v>
      </c>
      <c r="R1167">
        <v>2461848</v>
      </c>
    </row>
    <row r="1168" spans="1:18" x14ac:dyDescent="0.25">
      <c r="A1168" s="170">
        <v>44439</v>
      </c>
      <c r="B1168" s="116">
        <v>670.75</v>
      </c>
      <c r="C1168" s="116">
        <v>666.6</v>
      </c>
      <c r="D1168" s="116">
        <v>649</v>
      </c>
      <c r="E1168" s="116">
        <v>650.25</v>
      </c>
      <c r="F1168" s="116">
        <v>666.6</v>
      </c>
      <c r="G1168">
        <v>228160</v>
      </c>
      <c r="H1168" s="116"/>
      <c r="I1168" s="116"/>
      <c r="L1168" s="170">
        <v>44439</v>
      </c>
      <c r="M1168" s="116">
        <v>666.6</v>
      </c>
      <c r="N1168" s="116">
        <v>670.5</v>
      </c>
      <c r="O1168" s="116">
        <v>651.04999999999995</v>
      </c>
      <c r="P1168" s="116">
        <v>652.65</v>
      </c>
      <c r="Q1168" s="116">
        <v>666.6</v>
      </c>
      <c r="R1168">
        <v>2836964</v>
      </c>
    </row>
    <row r="1169" spans="1:18" x14ac:dyDescent="0.25">
      <c r="A1169" s="170">
        <v>44440</v>
      </c>
      <c r="B1169" s="116">
        <v>671</v>
      </c>
      <c r="C1169" s="116">
        <v>661.95</v>
      </c>
      <c r="D1169" s="116">
        <v>657.7</v>
      </c>
      <c r="E1169" s="116">
        <v>669.9</v>
      </c>
      <c r="F1169" s="116">
        <v>661.95</v>
      </c>
      <c r="G1169">
        <v>160536</v>
      </c>
      <c r="H1169" s="116"/>
      <c r="I1169" s="116"/>
      <c r="L1169" s="170">
        <v>44440</v>
      </c>
      <c r="M1169" s="116">
        <v>662.7</v>
      </c>
      <c r="N1169" s="116">
        <v>671</v>
      </c>
      <c r="O1169" s="116">
        <v>657.2</v>
      </c>
      <c r="P1169" s="116">
        <v>669.6</v>
      </c>
      <c r="Q1169" s="116">
        <v>662.7</v>
      </c>
      <c r="R1169">
        <v>1809601</v>
      </c>
    </row>
    <row r="1170" spans="1:18" x14ac:dyDescent="0.25">
      <c r="A1170" s="170">
        <v>44441</v>
      </c>
      <c r="B1170" s="116">
        <v>664.45</v>
      </c>
      <c r="C1170" s="116">
        <v>658.1</v>
      </c>
      <c r="D1170" s="116">
        <v>655.15</v>
      </c>
      <c r="E1170" s="116">
        <v>663</v>
      </c>
      <c r="F1170" s="116">
        <v>658.1</v>
      </c>
      <c r="G1170">
        <v>155114</v>
      </c>
      <c r="H1170" s="116"/>
      <c r="I1170" s="116"/>
      <c r="L1170" s="170">
        <v>44441</v>
      </c>
      <c r="M1170" s="116">
        <v>657.15</v>
      </c>
      <c r="N1170" s="116">
        <v>664.8</v>
      </c>
      <c r="O1170" s="116">
        <v>655.20000000000005</v>
      </c>
      <c r="P1170" s="116">
        <v>659.8</v>
      </c>
      <c r="Q1170" s="116">
        <v>657.15</v>
      </c>
      <c r="R1170">
        <v>1637819</v>
      </c>
    </row>
    <row r="1171" spans="1:18" x14ac:dyDescent="0.25">
      <c r="A1171" s="170">
        <v>44442</v>
      </c>
      <c r="B1171" s="116">
        <v>662</v>
      </c>
      <c r="C1171" s="116">
        <v>652.4</v>
      </c>
      <c r="D1171" s="116">
        <v>650.4</v>
      </c>
      <c r="E1171" s="116">
        <v>659.1</v>
      </c>
      <c r="F1171" s="116">
        <v>652.4</v>
      </c>
      <c r="G1171">
        <v>97473</v>
      </c>
      <c r="H1171" s="116"/>
      <c r="I1171" s="116"/>
      <c r="L1171" s="170">
        <v>44442</v>
      </c>
      <c r="M1171" s="116">
        <v>652.29999999999995</v>
      </c>
      <c r="N1171" s="116">
        <v>662.1</v>
      </c>
      <c r="O1171" s="116">
        <v>650.54999999999995</v>
      </c>
      <c r="P1171" s="116">
        <v>660</v>
      </c>
      <c r="Q1171" s="116">
        <v>652.29999999999995</v>
      </c>
      <c r="R1171">
        <v>1454172</v>
      </c>
    </row>
    <row r="1172" spans="1:18" x14ac:dyDescent="0.25">
      <c r="A1172" s="170">
        <v>44445</v>
      </c>
      <c r="B1172" s="116">
        <v>668.95</v>
      </c>
      <c r="C1172" s="116">
        <v>660.4</v>
      </c>
      <c r="D1172" s="116">
        <v>648</v>
      </c>
      <c r="E1172" s="116">
        <v>652.5</v>
      </c>
      <c r="F1172" s="116">
        <v>660.4</v>
      </c>
      <c r="G1172">
        <v>192624</v>
      </c>
      <c r="H1172" s="116"/>
      <c r="I1172" s="116"/>
      <c r="L1172" s="170">
        <v>44445</v>
      </c>
      <c r="M1172" s="116">
        <v>660.65</v>
      </c>
      <c r="N1172" s="116">
        <v>668.8</v>
      </c>
      <c r="O1172" s="116">
        <v>648</v>
      </c>
      <c r="P1172" s="116">
        <v>655</v>
      </c>
      <c r="Q1172" s="116">
        <v>660.65</v>
      </c>
      <c r="R1172">
        <v>2302819</v>
      </c>
    </row>
    <row r="1173" spans="1:18" x14ac:dyDescent="0.25">
      <c r="A1173" s="170">
        <v>44446</v>
      </c>
      <c r="B1173" s="116">
        <v>669.15</v>
      </c>
      <c r="C1173" s="116">
        <v>665.8</v>
      </c>
      <c r="D1173" s="116">
        <v>653.65</v>
      </c>
      <c r="E1173" s="116">
        <v>663.85</v>
      </c>
      <c r="F1173" s="116">
        <v>665.8</v>
      </c>
      <c r="G1173">
        <v>49976</v>
      </c>
      <c r="H1173" s="116"/>
      <c r="I1173" s="116"/>
      <c r="L1173" s="170">
        <v>44446</v>
      </c>
      <c r="M1173" s="116">
        <v>665.85</v>
      </c>
      <c r="N1173" s="116">
        <v>669</v>
      </c>
      <c r="O1173" s="116">
        <v>653.45000000000005</v>
      </c>
      <c r="P1173" s="116">
        <v>663</v>
      </c>
      <c r="Q1173" s="116">
        <v>665.85</v>
      </c>
      <c r="R1173">
        <v>1489435</v>
      </c>
    </row>
    <row r="1174" spans="1:18" x14ac:dyDescent="0.25">
      <c r="A1174" s="170">
        <v>44447</v>
      </c>
      <c r="B1174" s="116">
        <v>667.5</v>
      </c>
      <c r="C1174" s="116">
        <v>657.05</v>
      </c>
      <c r="D1174" s="116">
        <v>655.5</v>
      </c>
      <c r="E1174" s="116">
        <v>666</v>
      </c>
      <c r="F1174" s="116">
        <v>657.05</v>
      </c>
      <c r="G1174">
        <v>123879</v>
      </c>
      <c r="H1174" s="116"/>
      <c r="I1174" s="116"/>
      <c r="L1174" s="170">
        <v>44447</v>
      </c>
      <c r="M1174" s="116">
        <v>656.9</v>
      </c>
      <c r="N1174" s="116">
        <v>668.8</v>
      </c>
      <c r="O1174" s="116">
        <v>655.20000000000005</v>
      </c>
      <c r="P1174" s="116">
        <v>667</v>
      </c>
      <c r="Q1174" s="116">
        <v>656.9</v>
      </c>
      <c r="R1174">
        <v>1666937</v>
      </c>
    </row>
    <row r="1175" spans="1:18" x14ac:dyDescent="0.25">
      <c r="A1175" s="170">
        <v>44448</v>
      </c>
      <c r="B1175" s="116">
        <v>659.6</v>
      </c>
      <c r="C1175" s="116">
        <v>656</v>
      </c>
      <c r="D1175" s="116">
        <v>650.20000000000005</v>
      </c>
      <c r="E1175" s="116">
        <v>655</v>
      </c>
      <c r="F1175" s="116">
        <v>656</v>
      </c>
      <c r="G1175">
        <v>84561</v>
      </c>
      <c r="H1175" s="116"/>
      <c r="I1175" s="116"/>
      <c r="L1175" s="170">
        <v>44448</v>
      </c>
      <c r="M1175" s="116">
        <v>656.05</v>
      </c>
      <c r="N1175" s="116">
        <v>659.55</v>
      </c>
      <c r="O1175" s="116">
        <v>650.4</v>
      </c>
      <c r="P1175" s="116">
        <v>653.79999999999995</v>
      </c>
      <c r="Q1175" s="116">
        <v>656.05</v>
      </c>
      <c r="R1175">
        <v>1315651</v>
      </c>
    </row>
    <row r="1176" spans="1:18" x14ac:dyDescent="0.25">
      <c r="A1176" s="170">
        <v>44452</v>
      </c>
      <c r="B1176" s="116">
        <v>654.79999999999995</v>
      </c>
      <c r="C1176" s="116">
        <v>645.9</v>
      </c>
      <c r="D1176" s="116">
        <v>644.9</v>
      </c>
      <c r="E1176" s="116">
        <v>654.79999999999995</v>
      </c>
      <c r="F1176" s="116">
        <v>645.9</v>
      </c>
      <c r="G1176">
        <v>67056</v>
      </c>
      <c r="H1176" s="116"/>
      <c r="I1176" s="116"/>
      <c r="L1176" s="170">
        <v>44452</v>
      </c>
      <c r="M1176" s="116">
        <v>645.70000000000005</v>
      </c>
      <c r="N1176" s="116">
        <v>654.9</v>
      </c>
      <c r="O1176" s="116">
        <v>644.70000000000005</v>
      </c>
      <c r="P1176" s="116">
        <v>652.5</v>
      </c>
      <c r="Q1176" s="116">
        <v>645.70000000000005</v>
      </c>
      <c r="R1176">
        <v>1502115</v>
      </c>
    </row>
    <row r="1177" spans="1:18" x14ac:dyDescent="0.25">
      <c r="A1177" s="170">
        <v>44453</v>
      </c>
      <c r="B1177" s="116">
        <v>666</v>
      </c>
      <c r="C1177" s="116">
        <v>651.25</v>
      </c>
      <c r="D1177" s="116">
        <v>644.20000000000005</v>
      </c>
      <c r="E1177" s="116">
        <v>646.25</v>
      </c>
      <c r="F1177" s="116">
        <v>651.25</v>
      </c>
      <c r="G1177">
        <v>263080</v>
      </c>
      <c r="H1177" s="116"/>
      <c r="I1177" s="116"/>
      <c r="L1177" s="170">
        <v>44453</v>
      </c>
      <c r="M1177" s="116">
        <v>651.15</v>
      </c>
      <c r="N1177" s="116">
        <v>666</v>
      </c>
      <c r="O1177" s="116">
        <v>644.20000000000005</v>
      </c>
      <c r="P1177" s="116">
        <v>648</v>
      </c>
      <c r="Q1177" s="116">
        <v>651.15</v>
      </c>
      <c r="R1177">
        <v>3124016</v>
      </c>
    </row>
    <row r="1178" spans="1:18" x14ac:dyDescent="0.25">
      <c r="A1178" s="170">
        <v>44454</v>
      </c>
      <c r="B1178" s="116">
        <v>664.5</v>
      </c>
      <c r="C1178" s="116">
        <v>662.6</v>
      </c>
      <c r="D1178" s="116">
        <v>650.65</v>
      </c>
      <c r="E1178" s="116">
        <v>654.5</v>
      </c>
      <c r="F1178" s="116">
        <v>662.6</v>
      </c>
      <c r="G1178">
        <v>188506</v>
      </c>
      <c r="H1178" s="116"/>
      <c r="I1178" s="116"/>
      <c r="L1178" s="170">
        <v>44454</v>
      </c>
      <c r="M1178" s="116">
        <v>662.85</v>
      </c>
      <c r="N1178" s="116">
        <v>664.8</v>
      </c>
      <c r="O1178" s="116">
        <v>650.29999999999995</v>
      </c>
      <c r="P1178" s="116">
        <v>652</v>
      </c>
      <c r="Q1178" s="116">
        <v>662.85</v>
      </c>
      <c r="R1178">
        <v>2214462</v>
      </c>
    </row>
    <row r="1179" spans="1:18" x14ac:dyDescent="0.25">
      <c r="A1179" s="170">
        <v>44455</v>
      </c>
      <c r="B1179" s="116">
        <v>665.9</v>
      </c>
      <c r="C1179" s="116">
        <v>649.85</v>
      </c>
      <c r="D1179" s="116">
        <v>648.35</v>
      </c>
      <c r="E1179" s="116">
        <v>665.9</v>
      </c>
      <c r="F1179" s="116">
        <v>649.85</v>
      </c>
      <c r="G1179">
        <v>57210</v>
      </c>
      <c r="H1179" s="116"/>
      <c r="I1179" s="116"/>
      <c r="L1179" s="170">
        <v>44455</v>
      </c>
      <c r="M1179" s="116">
        <v>649.79999999999995</v>
      </c>
      <c r="N1179" s="116">
        <v>665.5</v>
      </c>
      <c r="O1179" s="116">
        <v>648.04999999999995</v>
      </c>
      <c r="P1179" s="116">
        <v>665</v>
      </c>
      <c r="Q1179" s="116">
        <v>649.79999999999995</v>
      </c>
      <c r="R1179">
        <v>1780161</v>
      </c>
    </row>
    <row r="1180" spans="1:18" x14ac:dyDescent="0.25">
      <c r="A1180" s="170">
        <v>44456</v>
      </c>
      <c r="B1180" s="116">
        <v>658.65</v>
      </c>
      <c r="C1180" s="116">
        <v>651.20000000000005</v>
      </c>
      <c r="D1180" s="116">
        <v>640.5</v>
      </c>
      <c r="E1180" s="116">
        <v>650</v>
      </c>
      <c r="F1180" s="116">
        <v>651.20000000000005</v>
      </c>
      <c r="G1180">
        <v>235799</v>
      </c>
      <c r="H1180" s="116"/>
      <c r="I1180" s="116"/>
      <c r="L1180" s="170">
        <v>44456</v>
      </c>
      <c r="M1180" s="116">
        <v>651.15</v>
      </c>
      <c r="N1180" s="116">
        <v>658.8</v>
      </c>
      <c r="O1180" s="116">
        <v>640.70000000000005</v>
      </c>
      <c r="P1180" s="116">
        <v>651.04999999999995</v>
      </c>
      <c r="Q1180" s="116">
        <v>651.15</v>
      </c>
      <c r="R1180">
        <v>7469405</v>
      </c>
    </row>
    <row r="1181" spans="1:18" x14ac:dyDescent="0.25">
      <c r="A1181" s="170">
        <v>44459</v>
      </c>
      <c r="B1181" s="116">
        <v>648.85</v>
      </c>
      <c r="C1181" s="116">
        <v>633.5</v>
      </c>
      <c r="D1181" s="116">
        <v>630.4</v>
      </c>
      <c r="E1181" s="116">
        <v>645</v>
      </c>
      <c r="F1181" s="116">
        <v>633.5</v>
      </c>
      <c r="G1181">
        <v>286783</v>
      </c>
      <c r="H1181" s="116"/>
      <c r="I1181" s="116"/>
      <c r="L1181" s="170">
        <v>44459</v>
      </c>
      <c r="M1181" s="116">
        <v>632.95000000000005</v>
      </c>
      <c r="N1181" s="116">
        <v>648.79999999999995</v>
      </c>
      <c r="O1181" s="116">
        <v>630</v>
      </c>
      <c r="P1181" s="116">
        <v>647</v>
      </c>
      <c r="Q1181" s="116">
        <v>632.95000000000005</v>
      </c>
      <c r="R1181">
        <v>1692423</v>
      </c>
    </row>
    <row r="1182" spans="1:18" x14ac:dyDescent="0.25">
      <c r="A1182" s="170">
        <v>44460</v>
      </c>
      <c r="B1182" s="116">
        <v>630</v>
      </c>
      <c r="C1182" s="116">
        <v>623.85</v>
      </c>
      <c r="D1182" s="116">
        <v>605.45000000000005</v>
      </c>
      <c r="E1182" s="116">
        <v>626.54999999999995</v>
      </c>
      <c r="F1182" s="116">
        <v>623.85</v>
      </c>
      <c r="G1182">
        <v>459834</v>
      </c>
      <c r="H1182" s="116"/>
      <c r="I1182" s="116"/>
      <c r="L1182" s="170">
        <v>44460</v>
      </c>
      <c r="M1182" s="116">
        <v>624.15</v>
      </c>
      <c r="N1182" s="116">
        <v>629.95000000000005</v>
      </c>
      <c r="O1182" s="116">
        <v>605</v>
      </c>
      <c r="P1182" s="116">
        <v>628</v>
      </c>
      <c r="Q1182" s="116">
        <v>624.15</v>
      </c>
      <c r="R1182">
        <v>3559102</v>
      </c>
    </row>
    <row r="1183" spans="1:18" x14ac:dyDescent="0.25">
      <c r="A1183" s="170">
        <v>44461</v>
      </c>
      <c r="B1183" s="116">
        <v>630</v>
      </c>
      <c r="C1183" s="116">
        <v>621.35</v>
      </c>
      <c r="D1183" s="116">
        <v>618.04999999999995</v>
      </c>
      <c r="E1183" s="116">
        <v>627.5</v>
      </c>
      <c r="F1183" s="116">
        <v>621.35</v>
      </c>
      <c r="G1183">
        <v>73128</v>
      </c>
      <c r="H1183" s="116"/>
      <c r="I1183" s="116"/>
      <c r="L1183" s="170">
        <v>44461</v>
      </c>
      <c r="M1183" s="116">
        <v>620.9</v>
      </c>
      <c r="N1183" s="116">
        <v>630</v>
      </c>
      <c r="O1183" s="116">
        <v>618</v>
      </c>
      <c r="P1183" s="116">
        <v>625</v>
      </c>
      <c r="Q1183" s="116">
        <v>620.9</v>
      </c>
      <c r="R1183">
        <v>1628104</v>
      </c>
    </row>
    <row r="1184" spans="1:18" x14ac:dyDescent="0.25">
      <c r="A1184" s="170">
        <v>44462</v>
      </c>
      <c r="B1184" s="116">
        <v>627</v>
      </c>
      <c r="C1184" s="116">
        <v>621.95000000000005</v>
      </c>
      <c r="D1184" s="116">
        <v>613.95000000000005</v>
      </c>
      <c r="E1184" s="116">
        <v>621.5</v>
      </c>
      <c r="F1184" s="116">
        <v>621.95000000000005</v>
      </c>
      <c r="G1184">
        <v>207451</v>
      </c>
      <c r="H1184" s="116"/>
      <c r="I1184" s="116"/>
      <c r="L1184" s="170">
        <v>44462</v>
      </c>
      <c r="M1184" s="116">
        <v>622.15</v>
      </c>
      <c r="N1184" s="116">
        <v>627.25</v>
      </c>
      <c r="O1184" s="116">
        <v>613.54999999999995</v>
      </c>
      <c r="P1184" s="116">
        <v>623.70000000000005</v>
      </c>
      <c r="Q1184" s="116">
        <v>622.15</v>
      </c>
      <c r="R1184">
        <v>1939792</v>
      </c>
    </row>
    <row r="1185" spans="1:18" x14ac:dyDescent="0.25">
      <c r="A1185" s="170">
        <v>44463</v>
      </c>
      <c r="B1185" s="116">
        <v>626.95000000000005</v>
      </c>
      <c r="C1185" s="116">
        <v>609.79999999999995</v>
      </c>
      <c r="D1185" s="116">
        <v>608</v>
      </c>
      <c r="E1185" s="116">
        <v>625</v>
      </c>
      <c r="F1185" s="116">
        <v>609.79999999999995</v>
      </c>
      <c r="G1185">
        <v>73650</v>
      </c>
      <c r="H1185" s="116"/>
      <c r="I1185" s="116"/>
      <c r="L1185" s="170">
        <v>44463</v>
      </c>
      <c r="M1185" s="116">
        <v>610.15</v>
      </c>
      <c r="N1185" s="116">
        <v>626.9</v>
      </c>
      <c r="O1185" s="116">
        <v>608.1</v>
      </c>
      <c r="P1185" s="116">
        <v>625.29999999999995</v>
      </c>
      <c r="Q1185" s="116">
        <v>610.15</v>
      </c>
      <c r="R1185">
        <v>2093230</v>
      </c>
    </row>
    <row r="1186" spans="1:18" x14ac:dyDescent="0.25">
      <c r="A1186" s="170">
        <v>44466</v>
      </c>
      <c r="B1186" s="116">
        <v>607</v>
      </c>
      <c r="C1186" s="116">
        <v>599.75</v>
      </c>
      <c r="D1186" s="116">
        <v>590.6</v>
      </c>
      <c r="E1186" s="116">
        <v>607</v>
      </c>
      <c r="F1186" s="116">
        <v>599.75</v>
      </c>
      <c r="G1186">
        <v>226261</v>
      </c>
      <c r="H1186" s="116"/>
      <c r="I1186" s="116"/>
      <c r="L1186" s="170">
        <v>44466</v>
      </c>
      <c r="M1186" s="116">
        <v>599.70000000000005</v>
      </c>
      <c r="N1186" s="116">
        <v>606.4</v>
      </c>
      <c r="O1186" s="116">
        <v>590.25</v>
      </c>
      <c r="P1186" s="116">
        <v>602.9</v>
      </c>
      <c r="Q1186" s="116">
        <v>599.70000000000005</v>
      </c>
      <c r="R1186">
        <v>3334512</v>
      </c>
    </row>
    <row r="1187" spans="1:18" x14ac:dyDescent="0.25">
      <c r="A1187" s="170">
        <v>44467</v>
      </c>
      <c r="B1187" s="116">
        <v>606.1</v>
      </c>
      <c r="C1187" s="116">
        <v>592.4</v>
      </c>
      <c r="D1187" s="116">
        <v>588.29999999999995</v>
      </c>
      <c r="E1187" s="116">
        <v>595</v>
      </c>
      <c r="F1187" s="116">
        <v>592.4</v>
      </c>
      <c r="G1187">
        <v>222601</v>
      </c>
      <c r="H1187" s="116"/>
      <c r="I1187" s="116"/>
      <c r="L1187" s="170">
        <v>44467</v>
      </c>
      <c r="M1187" s="116">
        <v>592.54999999999995</v>
      </c>
      <c r="N1187" s="116">
        <v>606</v>
      </c>
      <c r="O1187" s="116">
        <v>588</v>
      </c>
      <c r="P1187" s="116">
        <v>595</v>
      </c>
      <c r="Q1187" s="116">
        <v>592.54999999999995</v>
      </c>
      <c r="R1187">
        <v>1860597</v>
      </c>
    </row>
    <row r="1188" spans="1:18" x14ac:dyDescent="0.25">
      <c r="A1188" s="170">
        <v>44468</v>
      </c>
      <c r="B1188" s="116">
        <v>601.5</v>
      </c>
      <c r="C1188" s="116">
        <v>599.6</v>
      </c>
      <c r="D1188" s="116">
        <v>587.04999999999995</v>
      </c>
      <c r="E1188" s="116">
        <v>592.4</v>
      </c>
      <c r="F1188" s="116">
        <v>599.6</v>
      </c>
      <c r="G1188">
        <v>71249</v>
      </c>
      <c r="H1188" s="116"/>
      <c r="I1188" s="116"/>
      <c r="L1188" s="170">
        <v>44468</v>
      </c>
      <c r="M1188" s="116">
        <v>599.70000000000005</v>
      </c>
      <c r="N1188" s="116">
        <v>602</v>
      </c>
      <c r="O1188" s="116">
        <v>587.25</v>
      </c>
      <c r="P1188" s="116">
        <v>589.95000000000005</v>
      </c>
      <c r="Q1188" s="116">
        <v>599.70000000000005</v>
      </c>
      <c r="R1188">
        <v>1941262</v>
      </c>
    </row>
    <row r="1189" spans="1:18" x14ac:dyDescent="0.25">
      <c r="A1189" s="170">
        <v>44469</v>
      </c>
      <c r="B1189" s="116">
        <v>623</v>
      </c>
      <c r="C1189" s="116">
        <v>617.04999999999995</v>
      </c>
      <c r="D1189" s="116">
        <v>603.29999999999995</v>
      </c>
      <c r="E1189" s="116">
        <v>606</v>
      </c>
      <c r="F1189" s="116">
        <v>617.04999999999995</v>
      </c>
      <c r="G1189">
        <v>127010</v>
      </c>
      <c r="H1189" s="116"/>
      <c r="I1189" s="116"/>
      <c r="L1189" s="170">
        <v>44469</v>
      </c>
      <c r="M1189" s="116">
        <v>616.45000000000005</v>
      </c>
      <c r="N1189" s="116">
        <v>623</v>
      </c>
      <c r="O1189" s="116">
        <v>603.25</v>
      </c>
      <c r="P1189" s="116">
        <v>604.1</v>
      </c>
      <c r="Q1189" s="116">
        <v>616.45000000000005</v>
      </c>
      <c r="R1189">
        <v>3309583</v>
      </c>
    </row>
    <row r="1190" spans="1:18" x14ac:dyDescent="0.25">
      <c r="A1190" s="170">
        <v>44470</v>
      </c>
      <c r="B1190" s="116">
        <v>621.85</v>
      </c>
      <c r="C1190" s="116">
        <v>618.4</v>
      </c>
      <c r="D1190" s="116">
        <v>611.54999999999995</v>
      </c>
      <c r="E1190" s="116">
        <v>617.04999999999995</v>
      </c>
      <c r="F1190" s="116">
        <v>618.4</v>
      </c>
      <c r="G1190">
        <v>154369</v>
      </c>
      <c r="H1190" s="116"/>
      <c r="I1190" s="116"/>
      <c r="L1190" s="170">
        <v>44470</v>
      </c>
      <c r="M1190" s="116">
        <v>619.20000000000005</v>
      </c>
      <c r="N1190" s="116">
        <v>622</v>
      </c>
      <c r="O1190" s="116">
        <v>611.35</v>
      </c>
      <c r="P1190" s="116">
        <v>618.79999999999995</v>
      </c>
      <c r="Q1190" s="116">
        <v>619.20000000000005</v>
      </c>
      <c r="R1190">
        <v>1514828</v>
      </c>
    </row>
    <row r="1191" spans="1:18" x14ac:dyDescent="0.25">
      <c r="A1191" s="170">
        <v>44473</v>
      </c>
      <c r="B1191" s="116">
        <v>628</v>
      </c>
      <c r="C1191" s="116">
        <v>621.35</v>
      </c>
      <c r="D1191" s="116">
        <v>617.95000000000005</v>
      </c>
      <c r="E1191" s="116">
        <v>624.79999999999995</v>
      </c>
      <c r="F1191" s="116">
        <v>621.35</v>
      </c>
      <c r="G1191">
        <v>171169</v>
      </c>
      <c r="H1191" s="116"/>
      <c r="I1191" s="116"/>
      <c r="L1191" s="170">
        <v>44473</v>
      </c>
      <c r="M1191" s="116">
        <v>620.5</v>
      </c>
      <c r="N1191" s="116">
        <v>628.25</v>
      </c>
      <c r="O1191" s="116">
        <v>617.5</v>
      </c>
      <c r="P1191" s="116">
        <v>622.04999999999995</v>
      </c>
      <c r="Q1191" s="116">
        <v>620.5</v>
      </c>
      <c r="R1191">
        <v>2643784</v>
      </c>
    </row>
    <row r="1192" spans="1:18" x14ac:dyDescent="0.25">
      <c r="A1192" s="170">
        <v>44474</v>
      </c>
      <c r="B1192" s="116">
        <v>623.65</v>
      </c>
      <c r="C1192" s="116">
        <v>622</v>
      </c>
      <c r="D1192" s="116">
        <v>614.04999999999995</v>
      </c>
      <c r="E1192" s="116">
        <v>618.95000000000005</v>
      </c>
      <c r="F1192" s="116">
        <v>622</v>
      </c>
      <c r="G1192">
        <v>134430</v>
      </c>
      <c r="H1192" s="116"/>
      <c r="I1192" s="116"/>
      <c r="L1192" s="170">
        <v>44474</v>
      </c>
      <c r="M1192" s="116">
        <v>622.20000000000005</v>
      </c>
      <c r="N1192" s="116">
        <v>623.79999999999995</v>
      </c>
      <c r="O1192" s="116">
        <v>614.15</v>
      </c>
      <c r="P1192" s="116">
        <v>619</v>
      </c>
      <c r="Q1192" s="116">
        <v>622.20000000000005</v>
      </c>
      <c r="R1192">
        <v>1207264</v>
      </c>
    </row>
    <row r="1193" spans="1:18" x14ac:dyDescent="0.25">
      <c r="A1193" s="170">
        <v>44475</v>
      </c>
      <c r="B1193" s="116">
        <v>631.25</v>
      </c>
      <c r="C1193" s="116">
        <v>624.70000000000005</v>
      </c>
      <c r="D1193" s="116">
        <v>613.95000000000005</v>
      </c>
      <c r="E1193" s="116">
        <v>625.9</v>
      </c>
      <c r="F1193" s="116">
        <v>624.70000000000005</v>
      </c>
      <c r="G1193">
        <v>142863</v>
      </c>
      <c r="H1193" s="116"/>
      <c r="I1193" s="116"/>
      <c r="L1193" s="170">
        <v>44475</v>
      </c>
      <c r="M1193" s="116">
        <v>626.9</v>
      </c>
      <c r="N1193" s="116">
        <v>631.5</v>
      </c>
      <c r="O1193" s="116">
        <v>613.35</v>
      </c>
      <c r="P1193" s="116">
        <v>623</v>
      </c>
      <c r="Q1193" s="116">
        <v>626.9</v>
      </c>
      <c r="R1193">
        <v>1947159</v>
      </c>
    </row>
    <row r="1194" spans="1:18" x14ac:dyDescent="0.25">
      <c r="A1194" s="170">
        <v>44476</v>
      </c>
      <c r="B1194" s="116">
        <v>655</v>
      </c>
      <c r="C1194" s="116">
        <v>650.75</v>
      </c>
      <c r="D1194" s="116">
        <v>638.70000000000005</v>
      </c>
      <c r="E1194" s="116">
        <v>645</v>
      </c>
      <c r="F1194" s="116">
        <v>650.75</v>
      </c>
      <c r="G1194">
        <v>179777</v>
      </c>
      <c r="H1194" s="116"/>
      <c r="I1194" s="116"/>
      <c r="L1194" s="170">
        <v>44476</v>
      </c>
      <c r="M1194" s="116">
        <v>650.65</v>
      </c>
      <c r="N1194" s="116">
        <v>655</v>
      </c>
      <c r="O1194" s="116">
        <v>639</v>
      </c>
      <c r="P1194" s="116">
        <v>644</v>
      </c>
      <c r="Q1194" s="116">
        <v>650.65</v>
      </c>
      <c r="R1194">
        <v>4804002</v>
      </c>
    </row>
    <row r="1195" spans="1:18" x14ac:dyDescent="0.25">
      <c r="A1195" s="170">
        <v>44477</v>
      </c>
      <c r="B1195" s="116">
        <v>657.7</v>
      </c>
      <c r="C1195" s="116">
        <v>648.79999999999995</v>
      </c>
      <c r="D1195" s="116">
        <v>644.79999999999995</v>
      </c>
      <c r="E1195" s="116">
        <v>653</v>
      </c>
      <c r="F1195" s="116">
        <v>648.79999999999995</v>
      </c>
      <c r="G1195">
        <v>357670</v>
      </c>
      <c r="H1195" s="116"/>
      <c r="I1195" s="116"/>
      <c r="L1195" s="170">
        <v>44477</v>
      </c>
      <c r="M1195" s="116">
        <v>649.15</v>
      </c>
      <c r="N1195" s="116">
        <v>657.9</v>
      </c>
      <c r="O1195" s="116">
        <v>645.29999999999995</v>
      </c>
      <c r="P1195" s="116">
        <v>654.70000000000005</v>
      </c>
      <c r="Q1195" s="116">
        <v>649.15</v>
      </c>
      <c r="R1195">
        <v>2260601</v>
      </c>
    </row>
    <row r="1196" spans="1:18" x14ac:dyDescent="0.25">
      <c r="A1196" s="170">
        <v>44480</v>
      </c>
      <c r="B1196" s="116">
        <v>654.9</v>
      </c>
      <c r="C1196" s="116">
        <v>639.5</v>
      </c>
      <c r="D1196" s="116">
        <v>634.1</v>
      </c>
      <c r="E1196" s="116">
        <v>654.9</v>
      </c>
      <c r="F1196" s="116">
        <v>639.5</v>
      </c>
      <c r="G1196">
        <v>109558</v>
      </c>
      <c r="H1196" s="116"/>
      <c r="I1196" s="116"/>
      <c r="L1196" s="170">
        <v>44480</v>
      </c>
      <c r="M1196" s="116">
        <v>639.1</v>
      </c>
      <c r="N1196" s="116">
        <v>651.75</v>
      </c>
      <c r="O1196" s="116">
        <v>634.04999999999995</v>
      </c>
      <c r="P1196" s="116">
        <v>650</v>
      </c>
      <c r="Q1196" s="116">
        <v>639.1</v>
      </c>
      <c r="R1196">
        <v>1778154</v>
      </c>
    </row>
    <row r="1197" spans="1:18" x14ac:dyDescent="0.25">
      <c r="A1197" s="170">
        <v>44481</v>
      </c>
      <c r="B1197" s="116">
        <v>640.20000000000005</v>
      </c>
      <c r="C1197" s="116">
        <v>632.20000000000005</v>
      </c>
      <c r="D1197" s="116">
        <v>627</v>
      </c>
      <c r="E1197" s="116">
        <v>639.5</v>
      </c>
      <c r="F1197" s="116">
        <v>632.20000000000005</v>
      </c>
      <c r="G1197">
        <v>206763</v>
      </c>
      <c r="H1197" s="116"/>
      <c r="I1197" s="116"/>
      <c r="L1197" s="170">
        <v>44481</v>
      </c>
      <c r="M1197" s="116">
        <v>630.6</v>
      </c>
      <c r="N1197" s="116">
        <v>640</v>
      </c>
      <c r="O1197" s="116">
        <v>627.15</v>
      </c>
      <c r="P1197" s="116">
        <v>639</v>
      </c>
      <c r="Q1197" s="116">
        <v>630.6</v>
      </c>
      <c r="R1197">
        <v>1378007</v>
      </c>
    </row>
    <row r="1198" spans="1:18" x14ac:dyDescent="0.25">
      <c r="A1198" s="170">
        <v>44482</v>
      </c>
      <c r="B1198" s="116">
        <v>636.70000000000005</v>
      </c>
      <c r="C1198" s="116">
        <v>634.6</v>
      </c>
      <c r="D1198" s="116">
        <v>627.4</v>
      </c>
      <c r="E1198" s="116">
        <v>627.4</v>
      </c>
      <c r="F1198" s="116">
        <v>634.6</v>
      </c>
      <c r="G1198">
        <v>165662</v>
      </c>
      <c r="H1198" s="116"/>
      <c r="I1198" s="116"/>
      <c r="L1198" s="170">
        <v>44482</v>
      </c>
      <c r="M1198" s="116">
        <v>634.4</v>
      </c>
      <c r="N1198" s="116">
        <v>636.9</v>
      </c>
      <c r="O1198" s="116">
        <v>627.79999999999995</v>
      </c>
      <c r="P1198" s="116">
        <v>631.85</v>
      </c>
      <c r="Q1198" s="116">
        <v>634.4</v>
      </c>
      <c r="R1198">
        <v>2349684</v>
      </c>
    </row>
    <row r="1199" spans="1:18" x14ac:dyDescent="0.25">
      <c r="A1199" s="170">
        <v>44483</v>
      </c>
      <c r="B1199" s="116">
        <v>652.9</v>
      </c>
      <c r="C1199" s="116">
        <v>650.95000000000005</v>
      </c>
      <c r="D1199" s="116">
        <v>628.6</v>
      </c>
      <c r="E1199" s="116">
        <v>633.25</v>
      </c>
      <c r="F1199" s="116">
        <v>650.95000000000005</v>
      </c>
      <c r="G1199">
        <v>297936</v>
      </c>
      <c r="H1199" s="116"/>
      <c r="I1199" s="116"/>
      <c r="L1199" s="170">
        <v>44483</v>
      </c>
      <c r="M1199" s="116">
        <v>651</v>
      </c>
      <c r="N1199" s="116">
        <v>653.4</v>
      </c>
      <c r="O1199" s="116">
        <v>628.20000000000005</v>
      </c>
      <c r="P1199" s="116">
        <v>636.70000000000005</v>
      </c>
      <c r="Q1199" s="116">
        <v>651</v>
      </c>
      <c r="R1199">
        <v>2968994</v>
      </c>
    </row>
    <row r="1200" spans="1:18" x14ac:dyDescent="0.25">
      <c r="A1200" s="170">
        <v>44487</v>
      </c>
      <c r="B1200" s="116">
        <v>663</v>
      </c>
      <c r="C1200" s="116">
        <v>645.35</v>
      </c>
      <c r="D1200" s="116">
        <v>640.1</v>
      </c>
      <c r="E1200" s="116">
        <v>655</v>
      </c>
      <c r="F1200" s="116">
        <v>645.35</v>
      </c>
      <c r="G1200">
        <v>97370</v>
      </c>
      <c r="H1200" s="116"/>
      <c r="I1200" s="116"/>
      <c r="L1200" s="170">
        <v>44487</v>
      </c>
      <c r="M1200" s="116">
        <v>645.15</v>
      </c>
      <c r="N1200" s="116">
        <v>663</v>
      </c>
      <c r="O1200" s="116">
        <v>640</v>
      </c>
      <c r="P1200" s="116">
        <v>655</v>
      </c>
      <c r="Q1200" s="116">
        <v>645.15</v>
      </c>
      <c r="R1200">
        <v>3803132</v>
      </c>
    </row>
    <row r="1201" spans="1:18" x14ac:dyDescent="0.25">
      <c r="A1201" s="170">
        <v>44488</v>
      </c>
      <c r="B1201" s="116">
        <v>656</v>
      </c>
      <c r="C1201" s="116">
        <v>616.4</v>
      </c>
      <c r="D1201" s="116">
        <v>607.29999999999995</v>
      </c>
      <c r="E1201" s="116">
        <v>645.1</v>
      </c>
      <c r="F1201" s="116">
        <v>616.4</v>
      </c>
      <c r="G1201">
        <v>296815</v>
      </c>
      <c r="H1201" s="116"/>
      <c r="I1201" s="116"/>
      <c r="L1201" s="170">
        <v>44488</v>
      </c>
      <c r="M1201" s="116">
        <v>617</v>
      </c>
      <c r="N1201" s="116">
        <v>656</v>
      </c>
      <c r="O1201" s="116">
        <v>608</v>
      </c>
      <c r="P1201" s="116">
        <v>645.70000000000005</v>
      </c>
      <c r="Q1201" s="116">
        <v>617</v>
      </c>
      <c r="R1201">
        <v>2211029</v>
      </c>
    </row>
    <row r="1202" spans="1:18" x14ac:dyDescent="0.25">
      <c r="A1202" s="170">
        <v>44489</v>
      </c>
      <c r="B1202" s="116">
        <v>617.6</v>
      </c>
      <c r="C1202" s="116">
        <v>599.70000000000005</v>
      </c>
      <c r="D1202" s="116">
        <v>590.95000000000005</v>
      </c>
      <c r="E1202" s="116">
        <v>616.4</v>
      </c>
      <c r="F1202" s="116">
        <v>599.70000000000005</v>
      </c>
      <c r="G1202">
        <v>163820</v>
      </c>
      <c r="H1202" s="116"/>
      <c r="I1202" s="116"/>
      <c r="L1202" s="170">
        <v>44489</v>
      </c>
      <c r="M1202" s="116">
        <v>599.45000000000005</v>
      </c>
      <c r="N1202" s="116">
        <v>616.95000000000005</v>
      </c>
      <c r="O1202" s="116">
        <v>590.4</v>
      </c>
      <c r="P1202" s="116">
        <v>615</v>
      </c>
      <c r="Q1202" s="116">
        <v>599.45000000000005</v>
      </c>
      <c r="R1202">
        <v>2364834</v>
      </c>
    </row>
    <row r="1203" spans="1:18" x14ac:dyDescent="0.25">
      <c r="A1203" s="170">
        <v>44490</v>
      </c>
      <c r="B1203" s="116">
        <v>604.75</v>
      </c>
      <c r="C1203" s="116">
        <v>572</v>
      </c>
      <c r="D1203" s="116">
        <v>560</v>
      </c>
      <c r="E1203" s="116">
        <v>600.04999999999995</v>
      </c>
      <c r="F1203" s="116">
        <v>572</v>
      </c>
      <c r="G1203">
        <v>594035</v>
      </c>
      <c r="H1203" s="116"/>
      <c r="I1203" s="116"/>
      <c r="L1203" s="170">
        <v>44490</v>
      </c>
      <c r="M1203" s="116">
        <v>572.25</v>
      </c>
      <c r="N1203" s="116">
        <v>603.79999999999995</v>
      </c>
      <c r="O1203" s="116">
        <v>560.35</v>
      </c>
      <c r="P1203" s="116">
        <v>603</v>
      </c>
      <c r="Q1203" s="116">
        <v>572.25</v>
      </c>
      <c r="R1203">
        <v>4388343</v>
      </c>
    </row>
    <row r="1204" spans="1:18" x14ac:dyDescent="0.25">
      <c r="A1204" s="170">
        <v>44491</v>
      </c>
      <c r="B1204" s="116">
        <v>573.20000000000005</v>
      </c>
      <c r="C1204" s="116">
        <v>536.75</v>
      </c>
      <c r="D1204" s="116">
        <v>520.25</v>
      </c>
      <c r="E1204" s="116">
        <v>568.1</v>
      </c>
      <c r="F1204" s="116">
        <v>536.75</v>
      </c>
      <c r="G1204">
        <v>452197</v>
      </c>
      <c r="H1204" s="116"/>
      <c r="I1204" s="116"/>
      <c r="L1204" s="170">
        <v>44491</v>
      </c>
      <c r="M1204" s="116">
        <v>536.5</v>
      </c>
      <c r="N1204" s="116">
        <v>574.15</v>
      </c>
      <c r="O1204" s="116">
        <v>520</v>
      </c>
      <c r="P1204" s="116">
        <v>570</v>
      </c>
      <c r="Q1204" s="116">
        <v>536.5</v>
      </c>
      <c r="R1204">
        <v>8567734</v>
      </c>
    </row>
    <row r="1205" spans="1:18" x14ac:dyDescent="0.25">
      <c r="A1205" s="170">
        <v>44494</v>
      </c>
      <c r="B1205" s="116">
        <v>561.54999999999995</v>
      </c>
      <c r="C1205" s="116">
        <v>553.9</v>
      </c>
      <c r="D1205" s="116">
        <v>528.9</v>
      </c>
      <c r="E1205" s="116">
        <v>534.6</v>
      </c>
      <c r="F1205" s="116">
        <v>553.9</v>
      </c>
      <c r="G1205">
        <v>514609</v>
      </c>
      <c r="H1205" s="116"/>
      <c r="I1205" s="116"/>
      <c r="L1205" s="170">
        <v>44494</v>
      </c>
      <c r="M1205" s="116">
        <v>553.70000000000005</v>
      </c>
      <c r="N1205" s="116">
        <v>561.95000000000005</v>
      </c>
      <c r="O1205" s="116">
        <v>528.75</v>
      </c>
      <c r="P1205" s="116">
        <v>536.5</v>
      </c>
      <c r="Q1205" s="116">
        <v>553.70000000000005</v>
      </c>
      <c r="R1205">
        <v>4064835</v>
      </c>
    </row>
    <row r="1206" spans="1:18" x14ac:dyDescent="0.25">
      <c r="A1206" s="170">
        <v>44495</v>
      </c>
      <c r="B1206" s="116">
        <v>567.35</v>
      </c>
      <c r="C1206" s="116">
        <v>564.65</v>
      </c>
      <c r="D1206" s="116">
        <v>551</v>
      </c>
      <c r="E1206" s="116">
        <v>557</v>
      </c>
      <c r="F1206" s="116">
        <v>564.65</v>
      </c>
      <c r="G1206">
        <v>311318</v>
      </c>
      <c r="H1206" s="116"/>
      <c r="I1206" s="116"/>
      <c r="L1206" s="170">
        <v>44495</v>
      </c>
      <c r="M1206" s="116">
        <v>564.6</v>
      </c>
      <c r="N1206" s="116">
        <v>568</v>
      </c>
      <c r="O1206" s="116">
        <v>550.20000000000005</v>
      </c>
      <c r="P1206" s="116">
        <v>558</v>
      </c>
      <c r="Q1206" s="116">
        <v>564.6</v>
      </c>
      <c r="R1206">
        <v>2283635</v>
      </c>
    </row>
    <row r="1207" spans="1:18" x14ac:dyDescent="0.25">
      <c r="A1207" s="170">
        <v>44496</v>
      </c>
      <c r="B1207" s="116">
        <v>577.5</v>
      </c>
      <c r="C1207" s="116">
        <v>574.95000000000005</v>
      </c>
      <c r="D1207" s="116">
        <v>559.54999999999995</v>
      </c>
      <c r="E1207" s="116">
        <v>566.9</v>
      </c>
      <c r="F1207" s="116">
        <v>574.95000000000005</v>
      </c>
      <c r="G1207">
        <v>186599</v>
      </c>
      <c r="H1207" s="116"/>
      <c r="I1207" s="116"/>
      <c r="L1207" s="170">
        <v>44496</v>
      </c>
      <c r="M1207" s="116">
        <v>574.9</v>
      </c>
      <c r="N1207" s="116">
        <v>577.95000000000005</v>
      </c>
      <c r="O1207" s="116">
        <v>559.15</v>
      </c>
      <c r="P1207" s="116">
        <v>565</v>
      </c>
      <c r="Q1207" s="116">
        <v>574.9</v>
      </c>
      <c r="R1207">
        <v>1853498</v>
      </c>
    </row>
    <row r="1208" spans="1:18" x14ac:dyDescent="0.25">
      <c r="A1208" s="170">
        <v>44497</v>
      </c>
      <c r="B1208" s="116">
        <v>578.85</v>
      </c>
      <c r="C1208" s="116">
        <v>536.65</v>
      </c>
      <c r="D1208" s="116">
        <v>521</v>
      </c>
      <c r="E1208" s="116">
        <v>576.04999999999995</v>
      </c>
      <c r="F1208" s="116">
        <v>536.65</v>
      </c>
      <c r="G1208">
        <v>387985</v>
      </c>
      <c r="H1208" s="116"/>
      <c r="I1208" s="116"/>
      <c r="L1208" s="170">
        <v>44497</v>
      </c>
      <c r="M1208" s="116">
        <v>538.54999999999995</v>
      </c>
      <c r="N1208" s="116">
        <v>579.20000000000005</v>
      </c>
      <c r="O1208" s="116">
        <v>522</v>
      </c>
      <c r="P1208" s="116">
        <v>579</v>
      </c>
      <c r="Q1208" s="116">
        <v>538.54999999999995</v>
      </c>
      <c r="R1208">
        <v>3795215</v>
      </c>
    </row>
    <row r="1209" spans="1:18" x14ac:dyDescent="0.25">
      <c r="A1209" s="170">
        <v>44498</v>
      </c>
      <c r="B1209" s="116">
        <v>523.29999999999995</v>
      </c>
      <c r="C1209" s="116">
        <v>515.70000000000005</v>
      </c>
      <c r="D1209" s="116">
        <v>488.65</v>
      </c>
      <c r="E1209" s="116">
        <v>512.65</v>
      </c>
      <c r="F1209" s="116">
        <v>515.70000000000005</v>
      </c>
      <c r="G1209">
        <v>329590</v>
      </c>
      <c r="H1209" s="116"/>
      <c r="I1209" s="116"/>
      <c r="L1209" s="170">
        <v>44498</v>
      </c>
      <c r="M1209" s="116">
        <v>515.79999999999995</v>
      </c>
      <c r="N1209" s="116">
        <v>523.15</v>
      </c>
      <c r="O1209" s="116">
        <v>488.1</v>
      </c>
      <c r="P1209" s="116">
        <v>502.9</v>
      </c>
      <c r="Q1209" s="116">
        <v>515.79999999999995</v>
      </c>
      <c r="R1209">
        <v>7597665</v>
      </c>
    </row>
    <row r="1210" spans="1:18" x14ac:dyDescent="0.25">
      <c r="A1210" s="170">
        <v>44501</v>
      </c>
      <c r="B1210" s="116">
        <v>521.79999999999995</v>
      </c>
      <c r="C1210" s="116">
        <v>495.85</v>
      </c>
      <c r="D1210" s="116">
        <v>486.05</v>
      </c>
      <c r="E1210" s="116">
        <v>521.79999999999995</v>
      </c>
      <c r="F1210" s="116">
        <v>495.85</v>
      </c>
      <c r="G1210">
        <v>306611</v>
      </c>
      <c r="H1210" s="116"/>
      <c r="I1210" s="116"/>
      <c r="L1210" s="170">
        <v>44501</v>
      </c>
      <c r="M1210" s="116">
        <v>495.85</v>
      </c>
      <c r="N1210" s="116">
        <v>521.29999999999995</v>
      </c>
      <c r="O1210" s="116">
        <v>486</v>
      </c>
      <c r="P1210" s="116">
        <v>520</v>
      </c>
      <c r="Q1210" s="116">
        <v>495.85</v>
      </c>
      <c r="R1210">
        <v>7309931</v>
      </c>
    </row>
    <row r="1211" spans="1:18" x14ac:dyDescent="0.25">
      <c r="A1211" s="170">
        <v>44502</v>
      </c>
      <c r="B1211" s="116">
        <v>503.25</v>
      </c>
      <c r="C1211" s="116">
        <v>491.5</v>
      </c>
      <c r="D1211" s="116">
        <v>489.75</v>
      </c>
      <c r="E1211" s="116">
        <v>491.1</v>
      </c>
      <c r="F1211" s="116">
        <v>491.5</v>
      </c>
      <c r="G1211">
        <v>165564</v>
      </c>
      <c r="H1211" s="116"/>
      <c r="I1211" s="116"/>
      <c r="L1211" s="170">
        <v>44502</v>
      </c>
      <c r="M1211" s="116">
        <v>491.35</v>
      </c>
      <c r="N1211" s="116">
        <v>503.4</v>
      </c>
      <c r="O1211" s="116">
        <v>489.6</v>
      </c>
      <c r="P1211" s="116">
        <v>492</v>
      </c>
      <c r="Q1211" s="116">
        <v>491.35</v>
      </c>
      <c r="R1211">
        <v>3411041</v>
      </c>
    </row>
    <row r="1212" spans="1:18" x14ac:dyDescent="0.25">
      <c r="A1212" s="170">
        <v>44503</v>
      </c>
      <c r="B1212" s="116">
        <v>498.45</v>
      </c>
      <c r="C1212" s="116">
        <v>494.55</v>
      </c>
      <c r="D1212" s="116">
        <v>490</v>
      </c>
      <c r="E1212" s="116">
        <v>494</v>
      </c>
      <c r="F1212" s="116">
        <v>494.55</v>
      </c>
      <c r="G1212">
        <v>224837</v>
      </c>
      <c r="H1212" s="116"/>
      <c r="I1212" s="116"/>
      <c r="L1212" s="170">
        <v>44503</v>
      </c>
      <c r="M1212" s="116">
        <v>495.05</v>
      </c>
      <c r="N1212" s="116">
        <v>498.5</v>
      </c>
      <c r="O1212" s="116">
        <v>489.95</v>
      </c>
      <c r="P1212" s="116">
        <v>493.4</v>
      </c>
      <c r="Q1212" s="116">
        <v>495.05</v>
      </c>
      <c r="R1212">
        <v>1909379</v>
      </c>
    </row>
    <row r="1213" spans="1:18" x14ac:dyDescent="0.25">
      <c r="A1213" s="170">
        <v>44504</v>
      </c>
      <c r="B1213" s="116">
        <v>502.6</v>
      </c>
      <c r="C1213" s="116">
        <v>498.6</v>
      </c>
      <c r="D1213" s="116">
        <v>495.05</v>
      </c>
      <c r="E1213" s="116">
        <v>500.1</v>
      </c>
      <c r="F1213" s="116">
        <v>498.6</v>
      </c>
      <c r="G1213">
        <v>45096</v>
      </c>
      <c r="H1213" s="116"/>
      <c r="I1213" s="116"/>
      <c r="L1213" s="170">
        <v>44504</v>
      </c>
      <c r="M1213" s="116">
        <v>498.5</v>
      </c>
      <c r="N1213" s="116">
        <v>502</v>
      </c>
      <c r="O1213" s="116">
        <v>496.5</v>
      </c>
      <c r="P1213" s="116">
        <v>502</v>
      </c>
      <c r="Q1213" s="116">
        <v>498.5</v>
      </c>
      <c r="R1213">
        <v>514961</v>
      </c>
    </row>
    <row r="1214" spans="1:18" x14ac:dyDescent="0.25">
      <c r="A1214" s="170">
        <v>44508</v>
      </c>
      <c r="B1214" s="116">
        <v>502.75</v>
      </c>
      <c r="C1214" s="116">
        <v>497.1</v>
      </c>
      <c r="D1214" s="116">
        <v>489.05</v>
      </c>
      <c r="E1214" s="116">
        <v>502</v>
      </c>
      <c r="F1214" s="116">
        <v>497.1</v>
      </c>
      <c r="G1214">
        <v>195624</v>
      </c>
      <c r="H1214" s="116"/>
      <c r="I1214" s="116"/>
      <c r="L1214" s="170">
        <v>44508</v>
      </c>
      <c r="M1214" s="116">
        <v>497.2</v>
      </c>
      <c r="N1214" s="116">
        <v>502.4</v>
      </c>
      <c r="O1214" s="116">
        <v>488.9</v>
      </c>
      <c r="P1214" s="116">
        <v>500</v>
      </c>
      <c r="Q1214" s="116">
        <v>497.2</v>
      </c>
      <c r="R1214">
        <v>1709942</v>
      </c>
    </row>
    <row r="1215" spans="1:18" x14ac:dyDescent="0.25">
      <c r="A1215" s="170">
        <v>44509</v>
      </c>
      <c r="B1215" s="116">
        <v>499.95</v>
      </c>
      <c r="C1215" s="116">
        <v>490.8</v>
      </c>
      <c r="D1215" s="116">
        <v>490.1</v>
      </c>
      <c r="E1215" s="116">
        <v>498.2</v>
      </c>
      <c r="F1215" s="116">
        <v>490.8</v>
      </c>
      <c r="G1215">
        <v>65023</v>
      </c>
      <c r="H1215" s="116"/>
      <c r="I1215" s="116"/>
      <c r="L1215" s="170">
        <v>44509</v>
      </c>
      <c r="M1215" s="116">
        <v>490.6</v>
      </c>
      <c r="N1215" s="116">
        <v>500</v>
      </c>
      <c r="O1215" s="116">
        <v>490.05</v>
      </c>
      <c r="P1215" s="116">
        <v>499.45</v>
      </c>
      <c r="Q1215" s="116">
        <v>490.6</v>
      </c>
      <c r="R1215">
        <v>1881363</v>
      </c>
    </row>
    <row r="1216" spans="1:18" x14ac:dyDescent="0.25">
      <c r="A1216" s="170">
        <v>44510</v>
      </c>
      <c r="B1216" s="116">
        <v>496.85</v>
      </c>
      <c r="C1216" s="116">
        <v>489.4</v>
      </c>
      <c r="D1216" s="116">
        <v>486.95</v>
      </c>
      <c r="E1216" s="116">
        <v>491</v>
      </c>
      <c r="F1216" s="116">
        <v>489.4</v>
      </c>
      <c r="G1216">
        <v>180683</v>
      </c>
      <c r="H1216" s="116"/>
      <c r="I1216" s="116"/>
      <c r="L1216" s="170">
        <v>44510</v>
      </c>
      <c r="M1216" s="116">
        <v>489.55</v>
      </c>
      <c r="N1216" s="116">
        <v>497</v>
      </c>
      <c r="O1216" s="116">
        <v>487</v>
      </c>
      <c r="P1216" s="116">
        <v>489.95</v>
      </c>
      <c r="Q1216" s="116">
        <v>489.55</v>
      </c>
      <c r="R1216">
        <v>1983813</v>
      </c>
    </row>
    <row r="1217" spans="1:18" x14ac:dyDescent="0.25">
      <c r="A1217" s="170">
        <v>44511</v>
      </c>
      <c r="B1217" s="116">
        <v>491.45</v>
      </c>
      <c r="C1217" s="116">
        <v>462.45</v>
      </c>
      <c r="D1217" s="116">
        <v>455.55</v>
      </c>
      <c r="E1217" s="116">
        <v>489.4</v>
      </c>
      <c r="F1217" s="116">
        <v>462.45</v>
      </c>
      <c r="G1217">
        <v>231143</v>
      </c>
      <c r="H1217" s="116"/>
      <c r="I1217" s="116"/>
      <c r="L1217" s="170">
        <v>44511</v>
      </c>
      <c r="M1217" s="116">
        <v>462.2</v>
      </c>
      <c r="N1217" s="116">
        <v>491.25</v>
      </c>
      <c r="O1217" s="116">
        <v>455.25</v>
      </c>
      <c r="P1217" s="116">
        <v>489.55</v>
      </c>
      <c r="Q1217" s="116">
        <v>462.2</v>
      </c>
      <c r="R1217">
        <v>5034806</v>
      </c>
    </row>
    <row r="1218" spans="1:18" x14ac:dyDescent="0.25">
      <c r="A1218" s="170">
        <v>44512</v>
      </c>
      <c r="B1218" s="116">
        <v>471.95</v>
      </c>
      <c r="C1218" s="116">
        <v>452.6</v>
      </c>
      <c r="D1218" s="116">
        <v>444.9</v>
      </c>
      <c r="E1218" s="116">
        <v>462</v>
      </c>
      <c r="F1218" s="116">
        <v>452.6</v>
      </c>
      <c r="G1218">
        <v>478895</v>
      </c>
      <c r="H1218" s="116"/>
      <c r="I1218" s="116"/>
      <c r="L1218" s="170">
        <v>44512</v>
      </c>
      <c r="M1218" s="116">
        <v>452.45</v>
      </c>
      <c r="N1218" s="116">
        <v>472</v>
      </c>
      <c r="O1218" s="116">
        <v>451</v>
      </c>
      <c r="P1218" s="116">
        <v>462.6</v>
      </c>
      <c r="Q1218" s="116">
        <v>452.45</v>
      </c>
      <c r="R1218">
        <v>4250872</v>
      </c>
    </row>
    <row r="1219" spans="1:18" x14ac:dyDescent="0.25">
      <c r="A1219" s="170">
        <v>44515</v>
      </c>
      <c r="B1219" s="116">
        <v>494.4</v>
      </c>
      <c r="C1219" s="116">
        <v>491.2</v>
      </c>
      <c r="D1219" s="116">
        <v>451.95</v>
      </c>
      <c r="E1219" s="116">
        <v>452.6</v>
      </c>
      <c r="F1219" s="116">
        <v>491.2</v>
      </c>
      <c r="G1219">
        <v>690225</v>
      </c>
      <c r="H1219" s="116"/>
      <c r="I1219" s="116"/>
      <c r="L1219" s="170">
        <v>44515</v>
      </c>
      <c r="M1219" s="116">
        <v>491.05</v>
      </c>
      <c r="N1219" s="116">
        <v>494.45</v>
      </c>
      <c r="O1219" s="116">
        <v>452.3</v>
      </c>
      <c r="P1219" s="116">
        <v>453</v>
      </c>
      <c r="Q1219" s="116">
        <v>491.05</v>
      </c>
      <c r="R1219">
        <v>7428322</v>
      </c>
    </row>
    <row r="1220" spans="1:18" x14ac:dyDescent="0.25">
      <c r="A1220" s="170">
        <v>44516</v>
      </c>
      <c r="B1220" s="116">
        <v>499.5</v>
      </c>
      <c r="C1220" s="116">
        <v>491.5</v>
      </c>
      <c r="D1220" s="116">
        <v>482.8</v>
      </c>
      <c r="E1220" s="116">
        <v>492.8</v>
      </c>
      <c r="F1220" s="116">
        <v>491.5</v>
      </c>
      <c r="G1220">
        <v>357095</v>
      </c>
      <c r="H1220" s="116"/>
      <c r="I1220" s="116"/>
      <c r="L1220" s="170">
        <v>44516</v>
      </c>
      <c r="M1220" s="116">
        <v>491.5</v>
      </c>
      <c r="N1220" s="116">
        <v>499.5</v>
      </c>
      <c r="O1220" s="116">
        <v>483.1</v>
      </c>
      <c r="P1220" s="116">
        <v>492.7</v>
      </c>
      <c r="Q1220" s="116">
        <v>491.5</v>
      </c>
      <c r="R1220">
        <v>3248113</v>
      </c>
    </row>
    <row r="1221" spans="1:18" x14ac:dyDescent="0.25">
      <c r="A1221" s="170">
        <v>44517</v>
      </c>
      <c r="B1221" s="116">
        <v>494.2</v>
      </c>
      <c r="C1221" s="116">
        <v>484.25</v>
      </c>
      <c r="D1221" s="116">
        <v>477.4</v>
      </c>
      <c r="E1221" s="116">
        <v>494.2</v>
      </c>
      <c r="F1221" s="116">
        <v>484.25</v>
      </c>
      <c r="G1221">
        <v>270145</v>
      </c>
      <c r="H1221" s="116"/>
      <c r="I1221" s="116"/>
      <c r="L1221" s="170">
        <v>44517</v>
      </c>
      <c r="M1221" s="116">
        <v>484</v>
      </c>
      <c r="N1221" s="116">
        <v>493.9</v>
      </c>
      <c r="O1221" s="116">
        <v>477.25</v>
      </c>
      <c r="P1221" s="116">
        <v>491.7</v>
      </c>
      <c r="Q1221" s="116">
        <v>484</v>
      </c>
      <c r="R1221">
        <v>1954843</v>
      </c>
    </row>
    <row r="1222" spans="1:18" x14ac:dyDescent="0.25">
      <c r="A1222" s="170">
        <v>44518</v>
      </c>
      <c r="B1222" s="116">
        <v>486.55</v>
      </c>
      <c r="C1222" s="116">
        <v>481.85</v>
      </c>
      <c r="D1222" s="116">
        <v>471.15</v>
      </c>
      <c r="E1222" s="116">
        <v>485.55</v>
      </c>
      <c r="F1222" s="116">
        <v>481.85</v>
      </c>
      <c r="G1222">
        <v>203983</v>
      </c>
      <c r="H1222" s="116"/>
      <c r="I1222" s="116"/>
      <c r="L1222" s="170">
        <v>44518</v>
      </c>
      <c r="M1222" s="116">
        <v>482.05</v>
      </c>
      <c r="N1222" s="116">
        <v>486.5</v>
      </c>
      <c r="O1222" s="116">
        <v>471</v>
      </c>
      <c r="P1222" s="116">
        <v>486.5</v>
      </c>
      <c r="Q1222" s="116">
        <v>482.05</v>
      </c>
      <c r="R1222">
        <v>1582591</v>
      </c>
    </row>
    <row r="1223" spans="1:18" x14ac:dyDescent="0.25">
      <c r="A1223" s="170">
        <v>44522</v>
      </c>
      <c r="B1223" s="116">
        <v>495.8</v>
      </c>
      <c r="C1223" s="116">
        <v>472.1</v>
      </c>
      <c r="D1223" s="116">
        <v>467.7</v>
      </c>
      <c r="E1223" s="116">
        <v>488</v>
      </c>
      <c r="F1223" s="116">
        <v>472.1</v>
      </c>
      <c r="G1223">
        <v>215774</v>
      </c>
      <c r="H1223" s="116"/>
      <c r="I1223" s="116"/>
      <c r="L1223" s="170">
        <v>44522</v>
      </c>
      <c r="M1223" s="116">
        <v>471.85</v>
      </c>
      <c r="N1223" s="116">
        <v>495.95</v>
      </c>
      <c r="O1223" s="116">
        <v>467.35</v>
      </c>
      <c r="P1223" s="116">
        <v>485</v>
      </c>
      <c r="Q1223" s="116">
        <v>471.85</v>
      </c>
      <c r="R1223">
        <v>3689969</v>
      </c>
    </row>
    <row r="1224" spans="1:18" x14ac:dyDescent="0.25">
      <c r="A1224" s="170">
        <v>44523</v>
      </c>
      <c r="B1224" s="116">
        <v>494.4</v>
      </c>
      <c r="C1224" s="116">
        <v>487.9</v>
      </c>
      <c r="D1224" s="116">
        <v>466</v>
      </c>
      <c r="E1224" s="116">
        <v>473.9</v>
      </c>
      <c r="F1224" s="116">
        <v>487.9</v>
      </c>
      <c r="G1224">
        <v>264099</v>
      </c>
      <c r="H1224" s="116"/>
      <c r="I1224" s="116"/>
      <c r="L1224" s="170">
        <v>44523</v>
      </c>
      <c r="M1224" s="116">
        <v>487.8</v>
      </c>
      <c r="N1224" s="116">
        <v>494.4</v>
      </c>
      <c r="O1224" s="116">
        <v>465.7</v>
      </c>
      <c r="P1224" s="116">
        <v>472</v>
      </c>
      <c r="Q1224" s="116">
        <v>487.8</v>
      </c>
      <c r="R1224">
        <v>2256747</v>
      </c>
    </row>
    <row r="1225" spans="1:18" x14ac:dyDescent="0.25">
      <c r="A1225" s="170">
        <v>44524</v>
      </c>
      <c r="B1225" s="116">
        <v>514.4</v>
      </c>
      <c r="C1225" s="116">
        <v>502.6</v>
      </c>
      <c r="D1225" s="116">
        <v>489.2</v>
      </c>
      <c r="E1225" s="116">
        <v>491</v>
      </c>
      <c r="F1225" s="116">
        <v>502.6</v>
      </c>
      <c r="G1225">
        <v>456945</v>
      </c>
      <c r="H1225" s="116"/>
      <c r="I1225" s="116"/>
      <c r="L1225" s="170">
        <v>44524</v>
      </c>
      <c r="M1225" s="116">
        <v>502.1</v>
      </c>
      <c r="N1225" s="116">
        <v>514.5</v>
      </c>
      <c r="O1225" s="116">
        <v>488.75</v>
      </c>
      <c r="P1225" s="116">
        <v>490</v>
      </c>
      <c r="Q1225" s="116">
        <v>502.1</v>
      </c>
      <c r="R1225">
        <v>5698106</v>
      </c>
    </row>
    <row r="1226" spans="1:18" x14ac:dyDescent="0.25">
      <c r="A1226" s="170">
        <v>44525</v>
      </c>
      <c r="B1226" s="116">
        <v>538.6</v>
      </c>
      <c r="C1226" s="116">
        <v>534.35</v>
      </c>
      <c r="D1226" s="116">
        <v>502.65</v>
      </c>
      <c r="E1226" s="116">
        <v>505.05</v>
      </c>
      <c r="F1226" s="116">
        <v>534.35</v>
      </c>
      <c r="G1226">
        <v>597943</v>
      </c>
      <c r="H1226" s="116"/>
      <c r="I1226" s="116"/>
      <c r="L1226" s="170">
        <v>44525</v>
      </c>
      <c r="M1226" s="116">
        <v>535.04999999999995</v>
      </c>
      <c r="N1226" s="116">
        <v>538.75</v>
      </c>
      <c r="O1226" s="116">
        <v>502.7</v>
      </c>
      <c r="P1226" s="116">
        <v>505.5</v>
      </c>
      <c r="Q1226" s="116">
        <v>535.04999999999995</v>
      </c>
      <c r="R1226">
        <v>7258852</v>
      </c>
    </row>
    <row r="1227" spans="1:18" x14ac:dyDescent="0.25">
      <c r="A1227" s="170">
        <v>44526</v>
      </c>
      <c r="B1227" s="116">
        <v>555.29999999999995</v>
      </c>
      <c r="C1227" s="116">
        <v>523.35</v>
      </c>
      <c r="D1227" s="116">
        <v>520.20000000000005</v>
      </c>
      <c r="E1227" s="116">
        <v>530.35</v>
      </c>
      <c r="F1227" s="116">
        <v>523.35</v>
      </c>
      <c r="G1227">
        <v>479417</v>
      </c>
      <c r="H1227" s="116"/>
      <c r="I1227" s="116"/>
      <c r="L1227" s="170">
        <v>44526</v>
      </c>
      <c r="M1227" s="116">
        <v>523.20000000000005</v>
      </c>
      <c r="N1227" s="116">
        <v>555.20000000000005</v>
      </c>
      <c r="O1227" s="116">
        <v>520</v>
      </c>
      <c r="P1227" s="116">
        <v>531.75</v>
      </c>
      <c r="Q1227" s="116">
        <v>523.20000000000005</v>
      </c>
      <c r="R1227">
        <v>7928100</v>
      </c>
    </row>
    <row r="1228" spans="1:18" x14ac:dyDescent="0.25">
      <c r="A1228" s="170">
        <v>44529</v>
      </c>
      <c r="B1228" s="116">
        <v>533</v>
      </c>
      <c r="C1228" s="116">
        <v>502.05</v>
      </c>
      <c r="D1228" s="116">
        <v>496.25</v>
      </c>
      <c r="E1228" s="116">
        <v>520</v>
      </c>
      <c r="F1228" s="116">
        <v>502.05</v>
      </c>
      <c r="G1228">
        <v>476892</v>
      </c>
      <c r="H1228" s="116"/>
      <c r="I1228" s="116"/>
      <c r="L1228" s="170">
        <v>44529</v>
      </c>
      <c r="M1228" s="116">
        <v>502.35</v>
      </c>
      <c r="N1228" s="116">
        <v>533</v>
      </c>
      <c r="O1228" s="116">
        <v>496.2</v>
      </c>
      <c r="P1228" s="116">
        <v>524.4</v>
      </c>
      <c r="Q1228" s="116">
        <v>502.35</v>
      </c>
      <c r="R1228">
        <v>3480614</v>
      </c>
    </row>
    <row r="1229" spans="1:18" x14ac:dyDescent="0.25">
      <c r="A1229" s="170">
        <v>44530</v>
      </c>
      <c r="B1229" s="116">
        <v>521.75</v>
      </c>
      <c r="C1229" s="116">
        <v>508.25</v>
      </c>
      <c r="D1229" s="116">
        <v>497</v>
      </c>
      <c r="E1229" s="116">
        <v>502.9</v>
      </c>
      <c r="F1229" s="116">
        <v>508.25</v>
      </c>
      <c r="G1229">
        <v>180909</v>
      </c>
      <c r="H1229" s="116"/>
      <c r="I1229" s="116"/>
      <c r="L1229" s="170">
        <v>44530</v>
      </c>
      <c r="M1229" s="116">
        <v>508.65</v>
      </c>
      <c r="N1229" s="116">
        <v>521.65</v>
      </c>
      <c r="O1229" s="116">
        <v>496.2</v>
      </c>
      <c r="P1229" s="116">
        <v>501</v>
      </c>
      <c r="Q1229" s="116">
        <v>508.65</v>
      </c>
      <c r="R1229">
        <v>3538635</v>
      </c>
    </row>
    <row r="1230" spans="1:18" x14ac:dyDescent="0.25">
      <c r="A1230" s="170">
        <v>44531</v>
      </c>
      <c r="B1230" s="116">
        <v>517</v>
      </c>
      <c r="C1230" s="116">
        <v>508.2</v>
      </c>
      <c r="D1230" s="116">
        <v>502.55</v>
      </c>
      <c r="E1230" s="116">
        <v>514</v>
      </c>
      <c r="F1230" s="116">
        <v>508.2</v>
      </c>
      <c r="G1230">
        <v>148287</v>
      </c>
      <c r="H1230" s="116"/>
      <c r="I1230" s="116"/>
      <c r="L1230" s="170">
        <v>44531</v>
      </c>
      <c r="M1230" s="116">
        <v>508.3</v>
      </c>
      <c r="N1230" s="116">
        <v>518</v>
      </c>
      <c r="O1230" s="116">
        <v>502.15</v>
      </c>
      <c r="P1230" s="116">
        <v>510.8</v>
      </c>
      <c r="Q1230" s="116">
        <v>508.3</v>
      </c>
      <c r="R1230">
        <v>1773216</v>
      </c>
    </row>
    <row r="1231" spans="1:18" x14ac:dyDescent="0.25">
      <c r="A1231" s="170">
        <v>44532</v>
      </c>
      <c r="B1231" s="116">
        <v>522.70000000000005</v>
      </c>
      <c r="C1231" s="116">
        <v>516.9</v>
      </c>
      <c r="D1231" s="116">
        <v>507.85</v>
      </c>
      <c r="E1231" s="116">
        <v>508</v>
      </c>
      <c r="F1231" s="116">
        <v>516.9</v>
      </c>
      <c r="G1231">
        <v>80075</v>
      </c>
      <c r="H1231" s="116"/>
      <c r="I1231" s="116"/>
      <c r="L1231" s="170">
        <v>44532</v>
      </c>
      <c r="M1231" s="116">
        <v>516.79999999999995</v>
      </c>
      <c r="N1231" s="116">
        <v>522.6</v>
      </c>
      <c r="O1231" s="116">
        <v>508.05</v>
      </c>
      <c r="P1231" s="116">
        <v>509.8</v>
      </c>
      <c r="Q1231" s="116">
        <v>516.79999999999995</v>
      </c>
      <c r="R1231">
        <v>1967388</v>
      </c>
    </row>
    <row r="1232" spans="1:18" x14ac:dyDescent="0.25">
      <c r="A1232" s="170">
        <v>44533</v>
      </c>
      <c r="B1232" s="116">
        <v>524</v>
      </c>
      <c r="C1232" s="116">
        <v>511.45</v>
      </c>
      <c r="D1232" s="116">
        <v>510.15</v>
      </c>
      <c r="E1232" s="116">
        <v>518.20000000000005</v>
      </c>
      <c r="F1232" s="116">
        <v>511.45</v>
      </c>
      <c r="G1232">
        <v>124181</v>
      </c>
      <c r="H1232" s="116"/>
      <c r="I1232" s="116"/>
      <c r="L1232" s="170">
        <v>44533</v>
      </c>
      <c r="M1232" s="116">
        <v>511.4</v>
      </c>
      <c r="N1232" s="116">
        <v>524</v>
      </c>
      <c r="O1232" s="116">
        <v>510.1</v>
      </c>
      <c r="P1232" s="116">
        <v>519.4</v>
      </c>
      <c r="Q1232" s="116">
        <v>511.4</v>
      </c>
      <c r="R1232">
        <v>1073416</v>
      </c>
    </row>
    <row r="1233" spans="1:18" x14ac:dyDescent="0.25">
      <c r="A1233" s="170">
        <v>44536</v>
      </c>
      <c r="B1233" s="116">
        <v>512.95000000000005</v>
      </c>
      <c r="C1233" s="116">
        <v>502</v>
      </c>
      <c r="D1233" s="116">
        <v>494.4</v>
      </c>
      <c r="E1233" s="116">
        <v>508.5</v>
      </c>
      <c r="F1233" s="116">
        <v>502</v>
      </c>
      <c r="G1233">
        <v>148571</v>
      </c>
      <c r="H1233" s="116"/>
      <c r="I1233" s="116"/>
      <c r="L1233" s="170">
        <v>44536</v>
      </c>
      <c r="M1233" s="116">
        <v>501.95</v>
      </c>
      <c r="N1233" s="116">
        <v>513.1</v>
      </c>
      <c r="O1233" s="116">
        <v>494.65</v>
      </c>
      <c r="P1233" s="116">
        <v>507.6</v>
      </c>
      <c r="Q1233" s="116">
        <v>501.95</v>
      </c>
      <c r="R1233">
        <v>1762672</v>
      </c>
    </row>
    <row r="1234" spans="1:18" x14ac:dyDescent="0.25">
      <c r="A1234" s="170">
        <v>44537</v>
      </c>
      <c r="B1234" s="116">
        <v>510</v>
      </c>
      <c r="C1234" s="116">
        <v>499.6</v>
      </c>
      <c r="D1234" s="116">
        <v>498.55</v>
      </c>
      <c r="E1234" s="116">
        <v>501.25</v>
      </c>
      <c r="F1234" s="116">
        <v>499.6</v>
      </c>
      <c r="G1234">
        <v>118379</v>
      </c>
      <c r="H1234" s="116"/>
      <c r="I1234" s="116"/>
      <c r="L1234" s="170">
        <v>44537</v>
      </c>
      <c r="M1234" s="116">
        <v>499.55</v>
      </c>
      <c r="N1234" s="116">
        <v>510.8</v>
      </c>
      <c r="O1234" s="116">
        <v>498.8</v>
      </c>
      <c r="P1234" s="116">
        <v>502.5</v>
      </c>
      <c r="Q1234" s="116">
        <v>499.55</v>
      </c>
      <c r="R1234">
        <v>1436647</v>
      </c>
    </row>
    <row r="1235" spans="1:18" x14ac:dyDescent="0.25">
      <c r="A1235" s="170">
        <v>44538</v>
      </c>
      <c r="B1235" s="116">
        <v>509.95</v>
      </c>
      <c r="C1235" s="116">
        <v>506.35</v>
      </c>
      <c r="D1235" s="116">
        <v>500</v>
      </c>
      <c r="E1235" s="116">
        <v>504.3</v>
      </c>
      <c r="F1235" s="116">
        <v>506.35</v>
      </c>
      <c r="G1235">
        <v>147499</v>
      </c>
      <c r="H1235" s="116"/>
      <c r="I1235" s="116"/>
      <c r="L1235" s="170">
        <v>44538</v>
      </c>
      <c r="M1235" s="116">
        <v>506.55</v>
      </c>
      <c r="N1235" s="116">
        <v>510</v>
      </c>
      <c r="O1235" s="116">
        <v>500.05</v>
      </c>
      <c r="P1235" s="116">
        <v>503.85</v>
      </c>
      <c r="Q1235" s="116">
        <v>506.55</v>
      </c>
      <c r="R1235">
        <v>2015168</v>
      </c>
    </row>
    <row r="1236" spans="1:18" x14ac:dyDescent="0.25">
      <c r="A1236" s="170">
        <v>44539</v>
      </c>
      <c r="B1236" s="116">
        <v>519.75</v>
      </c>
      <c r="C1236" s="116">
        <v>515.75</v>
      </c>
      <c r="D1236" s="116">
        <v>503.5</v>
      </c>
      <c r="E1236" s="116">
        <v>509.85</v>
      </c>
      <c r="F1236" s="116">
        <v>515.75</v>
      </c>
      <c r="G1236">
        <v>85945</v>
      </c>
      <c r="H1236" s="116"/>
      <c r="I1236" s="116"/>
      <c r="L1236" s="170">
        <v>44539</v>
      </c>
      <c r="M1236" s="116">
        <v>516.15</v>
      </c>
      <c r="N1236" s="116">
        <v>519.45000000000005</v>
      </c>
      <c r="O1236" s="116">
        <v>503.2</v>
      </c>
      <c r="P1236" s="116">
        <v>509</v>
      </c>
      <c r="Q1236" s="116">
        <v>516.15</v>
      </c>
      <c r="R1236">
        <v>2150155</v>
      </c>
    </row>
    <row r="1237" spans="1:18" x14ac:dyDescent="0.25">
      <c r="A1237" s="170">
        <v>44540</v>
      </c>
      <c r="B1237" s="116">
        <v>534.75</v>
      </c>
      <c r="C1237" s="116">
        <v>526.20000000000005</v>
      </c>
      <c r="D1237" s="116">
        <v>511</v>
      </c>
      <c r="E1237" s="116">
        <v>519.95000000000005</v>
      </c>
      <c r="F1237" s="116">
        <v>526.20000000000005</v>
      </c>
      <c r="G1237">
        <v>120769</v>
      </c>
      <c r="H1237" s="116"/>
      <c r="I1237" s="116"/>
      <c r="L1237" s="170">
        <v>44540</v>
      </c>
      <c r="M1237" s="116">
        <v>526.54999999999995</v>
      </c>
      <c r="N1237" s="116">
        <v>534.79999999999995</v>
      </c>
      <c r="O1237" s="116">
        <v>510.65</v>
      </c>
      <c r="P1237" s="116">
        <v>520</v>
      </c>
      <c r="Q1237" s="116">
        <v>526.54999999999995</v>
      </c>
      <c r="R1237">
        <v>2969269</v>
      </c>
    </row>
    <row r="1238" spans="1:18" x14ac:dyDescent="0.25">
      <c r="A1238" s="170">
        <v>44543</v>
      </c>
      <c r="B1238" s="116">
        <v>531.85</v>
      </c>
      <c r="C1238" s="116">
        <v>513.79999999999995</v>
      </c>
      <c r="D1238" s="116">
        <v>511.3</v>
      </c>
      <c r="E1238" s="116">
        <v>527.54999999999995</v>
      </c>
      <c r="F1238" s="116">
        <v>513.79999999999995</v>
      </c>
      <c r="G1238">
        <v>63083</v>
      </c>
      <c r="H1238" s="116"/>
      <c r="I1238" s="116"/>
      <c r="L1238" s="170">
        <v>44543</v>
      </c>
      <c r="M1238" s="116">
        <v>513.04999999999995</v>
      </c>
      <c r="N1238" s="116">
        <v>531.70000000000005</v>
      </c>
      <c r="O1238" s="116">
        <v>511</v>
      </c>
      <c r="P1238" s="116">
        <v>528.9</v>
      </c>
      <c r="Q1238" s="116">
        <v>513.04999999999995</v>
      </c>
      <c r="R1238">
        <v>1507763</v>
      </c>
    </row>
    <row r="1239" spans="1:18" x14ac:dyDescent="0.25">
      <c r="A1239" s="170">
        <v>44544</v>
      </c>
      <c r="B1239" s="116">
        <v>524.79999999999995</v>
      </c>
      <c r="C1239" s="116">
        <v>514.65</v>
      </c>
      <c r="D1239" s="116">
        <v>510.1</v>
      </c>
      <c r="E1239" s="116">
        <v>513</v>
      </c>
      <c r="F1239" s="116">
        <v>514.65</v>
      </c>
      <c r="G1239">
        <v>113835</v>
      </c>
      <c r="H1239" s="116"/>
      <c r="I1239" s="116"/>
      <c r="L1239" s="170">
        <v>44544</v>
      </c>
      <c r="M1239" s="116">
        <v>514.70000000000005</v>
      </c>
      <c r="N1239" s="116">
        <v>524.9</v>
      </c>
      <c r="O1239" s="116">
        <v>509.25</v>
      </c>
      <c r="P1239" s="116">
        <v>512.9</v>
      </c>
      <c r="Q1239" s="116">
        <v>514.70000000000005</v>
      </c>
      <c r="R1239">
        <v>1219520</v>
      </c>
    </row>
    <row r="1240" spans="1:18" x14ac:dyDescent="0.25">
      <c r="A1240" s="170">
        <v>44545</v>
      </c>
      <c r="B1240" s="116">
        <v>521.29999999999995</v>
      </c>
      <c r="C1240" s="116">
        <v>513.75</v>
      </c>
      <c r="D1240" s="116">
        <v>508.2</v>
      </c>
      <c r="E1240" s="116">
        <v>514.9</v>
      </c>
      <c r="F1240" s="116">
        <v>513.75</v>
      </c>
      <c r="G1240">
        <v>58615</v>
      </c>
      <c r="H1240" s="116"/>
      <c r="I1240" s="116"/>
      <c r="L1240" s="170">
        <v>44545</v>
      </c>
      <c r="M1240" s="116">
        <v>513.6</v>
      </c>
      <c r="N1240" s="116">
        <v>521.4</v>
      </c>
      <c r="O1240" s="116">
        <v>508</v>
      </c>
      <c r="P1240" s="116">
        <v>513</v>
      </c>
      <c r="Q1240" s="116">
        <v>513.6</v>
      </c>
      <c r="R1240">
        <v>1137416</v>
      </c>
    </row>
    <row r="1241" spans="1:18" x14ac:dyDescent="0.25">
      <c r="A1241" s="170">
        <v>44546</v>
      </c>
      <c r="B1241" s="116">
        <v>518.29999999999995</v>
      </c>
      <c r="C1241" s="116">
        <v>505.25</v>
      </c>
      <c r="D1241" s="116">
        <v>502.1</v>
      </c>
      <c r="E1241" s="116">
        <v>514.15</v>
      </c>
      <c r="F1241" s="116">
        <v>505.25</v>
      </c>
      <c r="G1241">
        <v>87360</v>
      </c>
      <c r="H1241" s="116"/>
      <c r="I1241" s="116"/>
      <c r="L1241" s="170">
        <v>44546</v>
      </c>
      <c r="M1241" s="116">
        <v>505.2</v>
      </c>
      <c r="N1241" s="116">
        <v>518</v>
      </c>
      <c r="O1241" s="116">
        <v>502</v>
      </c>
      <c r="P1241" s="116">
        <v>515.65</v>
      </c>
      <c r="Q1241" s="116">
        <v>505.2</v>
      </c>
      <c r="R1241">
        <v>934316</v>
      </c>
    </row>
    <row r="1242" spans="1:18" x14ac:dyDescent="0.25">
      <c r="A1242" s="170">
        <v>44547</v>
      </c>
      <c r="B1242" s="116">
        <v>506.55</v>
      </c>
      <c r="C1242" s="116">
        <v>497.6</v>
      </c>
      <c r="D1242" s="116">
        <v>490.7</v>
      </c>
      <c r="E1242" s="116">
        <v>506.5</v>
      </c>
      <c r="F1242" s="116">
        <v>497.6</v>
      </c>
      <c r="G1242">
        <v>164141</v>
      </c>
      <c r="H1242" s="116"/>
      <c r="I1242" s="116"/>
      <c r="L1242" s="170">
        <v>44547</v>
      </c>
      <c r="M1242" s="116">
        <v>497.6</v>
      </c>
      <c r="N1242" s="116">
        <v>506.75</v>
      </c>
      <c r="O1242" s="116">
        <v>490.6</v>
      </c>
      <c r="P1242" s="116">
        <v>506</v>
      </c>
      <c r="Q1242" s="116">
        <v>497.6</v>
      </c>
      <c r="R1242">
        <v>1407711</v>
      </c>
    </row>
    <row r="1243" spans="1:18" x14ac:dyDescent="0.25">
      <c r="A1243" s="170">
        <v>44550</v>
      </c>
      <c r="B1243" s="116">
        <v>491.15</v>
      </c>
      <c r="C1243" s="116">
        <v>479.1</v>
      </c>
      <c r="D1243" s="116">
        <v>468</v>
      </c>
      <c r="E1243" s="116">
        <v>489.55</v>
      </c>
      <c r="F1243" s="116">
        <v>479.1</v>
      </c>
      <c r="G1243">
        <v>291461</v>
      </c>
      <c r="H1243" s="116"/>
      <c r="I1243" s="116"/>
      <c r="L1243" s="170">
        <v>44550</v>
      </c>
      <c r="M1243" s="116">
        <v>478.8</v>
      </c>
      <c r="N1243" s="116">
        <v>492.2</v>
      </c>
      <c r="O1243" s="116">
        <v>468</v>
      </c>
      <c r="P1243" s="116">
        <v>490</v>
      </c>
      <c r="Q1243" s="116">
        <v>478.8</v>
      </c>
      <c r="R1243">
        <v>1929629</v>
      </c>
    </row>
    <row r="1244" spans="1:18" x14ac:dyDescent="0.25">
      <c r="A1244" s="170">
        <v>44551</v>
      </c>
      <c r="B1244" s="116">
        <v>492.25</v>
      </c>
      <c r="C1244" s="116">
        <v>485.2</v>
      </c>
      <c r="D1244" s="116">
        <v>479.15</v>
      </c>
      <c r="E1244" s="116">
        <v>479.15</v>
      </c>
      <c r="F1244" s="116">
        <v>485.2</v>
      </c>
      <c r="G1244">
        <v>140646</v>
      </c>
      <c r="H1244" s="116"/>
      <c r="I1244" s="116"/>
      <c r="L1244" s="170">
        <v>44551</v>
      </c>
      <c r="M1244" s="116">
        <v>485.2</v>
      </c>
      <c r="N1244" s="116">
        <v>494</v>
      </c>
      <c r="O1244" s="116">
        <v>479.3</v>
      </c>
      <c r="P1244" s="116">
        <v>480</v>
      </c>
      <c r="Q1244" s="116">
        <v>485.2</v>
      </c>
      <c r="R1244">
        <v>1333221</v>
      </c>
    </row>
    <row r="1245" spans="1:18" x14ac:dyDescent="0.25">
      <c r="A1245" s="170">
        <v>44552</v>
      </c>
      <c r="B1245" s="116">
        <v>499.5</v>
      </c>
      <c r="C1245" s="116">
        <v>497.35</v>
      </c>
      <c r="D1245" s="116">
        <v>485.5</v>
      </c>
      <c r="E1245" s="116">
        <v>485.5</v>
      </c>
      <c r="F1245" s="116">
        <v>497.35</v>
      </c>
      <c r="G1245">
        <v>116005</v>
      </c>
      <c r="H1245" s="116"/>
      <c r="I1245" s="116"/>
      <c r="L1245" s="170">
        <v>44552</v>
      </c>
      <c r="M1245" s="116">
        <v>497.3</v>
      </c>
      <c r="N1245" s="116">
        <v>499.6</v>
      </c>
      <c r="O1245" s="116">
        <v>486.15</v>
      </c>
      <c r="P1245" s="116">
        <v>489</v>
      </c>
      <c r="Q1245" s="116">
        <v>497.3</v>
      </c>
      <c r="R1245">
        <v>1266204</v>
      </c>
    </row>
    <row r="1246" spans="1:18" x14ac:dyDescent="0.25">
      <c r="A1246" s="170">
        <v>44553</v>
      </c>
      <c r="B1246" s="116">
        <v>508.6</v>
      </c>
      <c r="C1246" s="116">
        <v>504.8</v>
      </c>
      <c r="D1246" s="116">
        <v>495.45</v>
      </c>
      <c r="E1246" s="116">
        <v>499.2</v>
      </c>
      <c r="F1246" s="116">
        <v>504.8</v>
      </c>
      <c r="G1246">
        <v>123288</v>
      </c>
      <c r="H1246" s="116"/>
      <c r="I1246" s="116"/>
      <c r="L1246" s="170">
        <v>44553</v>
      </c>
      <c r="M1246" s="116">
        <v>505.1</v>
      </c>
      <c r="N1246" s="116">
        <v>508.5</v>
      </c>
      <c r="O1246" s="116">
        <v>495.25</v>
      </c>
      <c r="P1246" s="116">
        <v>501</v>
      </c>
      <c r="Q1246" s="116">
        <v>505.1</v>
      </c>
      <c r="R1246">
        <v>1264863</v>
      </c>
    </row>
    <row r="1247" spans="1:18" x14ac:dyDescent="0.25">
      <c r="A1247" s="170">
        <v>44554</v>
      </c>
      <c r="B1247" s="116">
        <v>509</v>
      </c>
      <c r="C1247" s="116">
        <v>501.5</v>
      </c>
      <c r="D1247" s="116">
        <v>498.9</v>
      </c>
      <c r="E1247" s="116">
        <v>508.8</v>
      </c>
      <c r="F1247" s="116">
        <v>501.5</v>
      </c>
      <c r="G1247">
        <v>65758</v>
      </c>
      <c r="H1247" s="116"/>
      <c r="I1247" s="116"/>
      <c r="L1247" s="170">
        <v>44554</v>
      </c>
      <c r="M1247" s="116">
        <v>501.65</v>
      </c>
      <c r="N1247" s="116">
        <v>509.2</v>
      </c>
      <c r="O1247" s="116">
        <v>498.45</v>
      </c>
      <c r="P1247" s="116">
        <v>507.65</v>
      </c>
      <c r="Q1247" s="116">
        <v>501.65</v>
      </c>
      <c r="R1247">
        <v>1147739</v>
      </c>
    </row>
    <row r="1248" spans="1:18" x14ac:dyDescent="0.25">
      <c r="A1248" s="170">
        <v>44557</v>
      </c>
      <c r="B1248" s="116">
        <v>525</v>
      </c>
      <c r="C1248" s="116">
        <v>519.04999999999995</v>
      </c>
      <c r="D1248" s="116">
        <v>494.4</v>
      </c>
      <c r="E1248" s="116">
        <v>501.5</v>
      </c>
      <c r="F1248" s="116">
        <v>519.04999999999995</v>
      </c>
      <c r="G1248">
        <v>126158</v>
      </c>
      <c r="H1248" s="116"/>
      <c r="I1248" s="116"/>
      <c r="L1248" s="170">
        <v>44557</v>
      </c>
      <c r="M1248" s="116">
        <v>519.25</v>
      </c>
      <c r="N1248" s="116">
        <v>525</v>
      </c>
      <c r="O1248" s="116">
        <v>494.05</v>
      </c>
      <c r="P1248" s="116">
        <v>499.95</v>
      </c>
      <c r="Q1248" s="116">
        <v>519.25</v>
      </c>
      <c r="R1248">
        <v>3268802</v>
      </c>
    </row>
    <row r="1249" spans="1:18" x14ac:dyDescent="0.25">
      <c r="A1249" s="170">
        <v>44558</v>
      </c>
      <c r="B1249" s="116">
        <v>531.95000000000005</v>
      </c>
      <c r="C1249" s="116">
        <v>529.1</v>
      </c>
      <c r="D1249" s="116">
        <v>520.4</v>
      </c>
      <c r="E1249" s="116">
        <v>526.70000000000005</v>
      </c>
      <c r="F1249" s="116">
        <v>529.1</v>
      </c>
      <c r="G1249">
        <v>182375</v>
      </c>
      <c r="H1249" s="116"/>
      <c r="I1249" s="116"/>
      <c r="L1249" s="170">
        <v>44558</v>
      </c>
      <c r="M1249" s="116">
        <v>529</v>
      </c>
      <c r="N1249" s="116">
        <v>532</v>
      </c>
      <c r="O1249" s="116">
        <v>520.20000000000005</v>
      </c>
      <c r="P1249" s="116">
        <v>524.70000000000005</v>
      </c>
      <c r="Q1249" s="116">
        <v>529</v>
      </c>
      <c r="R1249">
        <v>2561361</v>
      </c>
    </row>
    <row r="1250" spans="1:18" x14ac:dyDescent="0.25">
      <c r="A1250" s="170">
        <v>44559</v>
      </c>
      <c r="B1250" s="116">
        <v>554.9</v>
      </c>
      <c r="C1250" s="116">
        <v>547.85</v>
      </c>
      <c r="D1250" s="116">
        <v>528.45000000000005</v>
      </c>
      <c r="E1250" s="116">
        <v>531.95000000000005</v>
      </c>
      <c r="F1250" s="116">
        <v>547.85</v>
      </c>
      <c r="G1250">
        <v>380834</v>
      </c>
      <c r="H1250" s="116"/>
      <c r="I1250" s="116"/>
      <c r="L1250" s="170">
        <v>44559</v>
      </c>
      <c r="M1250" s="116">
        <v>548.25</v>
      </c>
      <c r="N1250" s="116">
        <v>555</v>
      </c>
      <c r="O1250" s="116">
        <v>528.35</v>
      </c>
      <c r="P1250" s="116">
        <v>530</v>
      </c>
      <c r="Q1250" s="116">
        <v>548.25</v>
      </c>
      <c r="R1250">
        <v>4920221</v>
      </c>
    </row>
    <row r="1251" spans="1:18" x14ac:dyDescent="0.25">
      <c r="A1251" s="170">
        <v>44560</v>
      </c>
      <c r="B1251" s="116">
        <v>554.4</v>
      </c>
      <c r="C1251" s="116">
        <v>537.75</v>
      </c>
      <c r="D1251" s="116">
        <v>536.5</v>
      </c>
      <c r="E1251" s="116">
        <v>551.9</v>
      </c>
      <c r="F1251" s="116">
        <v>537.75</v>
      </c>
      <c r="G1251">
        <v>128375</v>
      </c>
      <c r="H1251" s="116"/>
      <c r="I1251" s="116"/>
      <c r="L1251" s="170">
        <v>44560</v>
      </c>
      <c r="M1251" s="116">
        <v>537.95000000000005</v>
      </c>
      <c r="N1251" s="116">
        <v>554.4</v>
      </c>
      <c r="O1251" s="116">
        <v>536.4</v>
      </c>
      <c r="P1251" s="116">
        <v>550</v>
      </c>
      <c r="Q1251" s="116">
        <v>537.95000000000005</v>
      </c>
      <c r="R1251">
        <v>2783295</v>
      </c>
    </row>
    <row r="1252" spans="1:18" x14ac:dyDescent="0.25">
      <c r="A1252" s="170">
        <v>44561</v>
      </c>
      <c r="B1252" s="116">
        <v>544.75</v>
      </c>
      <c r="C1252" s="116">
        <v>539.20000000000005</v>
      </c>
      <c r="D1252" s="116">
        <v>536.5</v>
      </c>
      <c r="E1252" s="116">
        <v>543.4</v>
      </c>
      <c r="F1252" s="116">
        <v>539.20000000000005</v>
      </c>
      <c r="G1252">
        <v>54097</v>
      </c>
      <c r="H1252" s="116"/>
      <c r="I1252" s="116"/>
      <c r="L1252" s="170">
        <v>44561</v>
      </c>
      <c r="M1252" s="116">
        <v>538.9</v>
      </c>
      <c r="N1252" s="116">
        <v>544.85</v>
      </c>
      <c r="O1252" s="116">
        <v>536.65</v>
      </c>
      <c r="P1252" s="116">
        <v>540.1</v>
      </c>
      <c r="Q1252" s="116">
        <v>538.9</v>
      </c>
      <c r="R1252">
        <v>1029583</v>
      </c>
    </row>
    <row r="1253" spans="1:18" x14ac:dyDescent="0.25">
      <c r="A1253" s="170">
        <v>44564</v>
      </c>
      <c r="B1253" s="116">
        <v>546.79999999999995</v>
      </c>
      <c r="C1253" s="116">
        <v>528.70000000000005</v>
      </c>
      <c r="D1253" s="116">
        <v>527.75</v>
      </c>
      <c r="E1253" s="116">
        <v>543</v>
      </c>
      <c r="F1253" s="116">
        <v>528.70000000000005</v>
      </c>
      <c r="G1253">
        <v>178043</v>
      </c>
      <c r="H1253" s="116"/>
      <c r="I1253" s="116"/>
      <c r="L1253" s="170">
        <v>44564</v>
      </c>
      <c r="M1253" s="116">
        <v>528.75</v>
      </c>
      <c r="N1253" s="116">
        <v>546.65</v>
      </c>
      <c r="O1253" s="116">
        <v>528</v>
      </c>
      <c r="P1253" s="116">
        <v>543.5</v>
      </c>
      <c r="Q1253" s="116">
        <v>528.75</v>
      </c>
      <c r="R1253">
        <v>1620492</v>
      </c>
    </row>
    <row r="1254" spans="1:18" x14ac:dyDescent="0.25">
      <c r="A1254" s="170">
        <v>44565</v>
      </c>
      <c r="B1254" s="116">
        <v>534</v>
      </c>
      <c r="C1254" s="116">
        <v>518.95000000000005</v>
      </c>
      <c r="D1254" s="116">
        <v>513.65</v>
      </c>
      <c r="E1254" s="116">
        <v>530.95000000000005</v>
      </c>
      <c r="F1254" s="116">
        <v>518.95000000000005</v>
      </c>
      <c r="G1254">
        <v>107900</v>
      </c>
      <c r="H1254" s="116"/>
      <c r="I1254" s="116"/>
      <c r="L1254" s="170">
        <v>44565</v>
      </c>
      <c r="M1254" s="116">
        <v>519.04999999999995</v>
      </c>
      <c r="N1254" s="116">
        <v>532.95000000000005</v>
      </c>
      <c r="O1254" s="116">
        <v>513.6</v>
      </c>
      <c r="P1254" s="116">
        <v>530</v>
      </c>
      <c r="Q1254" s="116">
        <v>519.04999999999995</v>
      </c>
      <c r="R1254">
        <v>2076145</v>
      </c>
    </row>
    <row r="1255" spans="1:18" x14ac:dyDescent="0.25">
      <c r="A1255" s="170">
        <v>44566</v>
      </c>
      <c r="B1255" s="116">
        <v>544.95000000000005</v>
      </c>
      <c r="C1255" s="116">
        <v>527.20000000000005</v>
      </c>
      <c r="D1255" s="116">
        <v>521</v>
      </c>
      <c r="E1255" s="116">
        <v>521</v>
      </c>
      <c r="F1255" s="116">
        <v>527.20000000000005</v>
      </c>
      <c r="G1255">
        <v>221586</v>
      </c>
      <c r="H1255" s="116"/>
      <c r="I1255" s="116"/>
      <c r="L1255" s="170">
        <v>44566</v>
      </c>
      <c r="M1255" s="116">
        <v>527.25</v>
      </c>
      <c r="N1255" s="116">
        <v>545</v>
      </c>
      <c r="O1255" s="116">
        <v>523.15</v>
      </c>
      <c r="P1255" s="116">
        <v>524.04999999999995</v>
      </c>
      <c r="Q1255" s="116">
        <v>527.25</v>
      </c>
      <c r="R1255">
        <v>5622565</v>
      </c>
    </row>
    <row r="1256" spans="1:18" x14ac:dyDescent="0.25">
      <c r="A1256" s="170">
        <v>44567</v>
      </c>
      <c r="B1256" s="116">
        <v>535.85</v>
      </c>
      <c r="C1256" s="116">
        <v>525.9</v>
      </c>
      <c r="D1256" s="116">
        <v>522.70000000000005</v>
      </c>
      <c r="E1256" s="116">
        <v>527.75</v>
      </c>
      <c r="F1256" s="116">
        <v>525.9</v>
      </c>
      <c r="G1256">
        <v>139816</v>
      </c>
      <c r="H1256" s="116"/>
      <c r="I1256" s="116"/>
      <c r="L1256" s="170">
        <v>44567</v>
      </c>
      <c r="M1256" s="116">
        <v>526</v>
      </c>
      <c r="N1256" s="116">
        <v>536</v>
      </c>
      <c r="O1256" s="116">
        <v>522.65</v>
      </c>
      <c r="P1256" s="116">
        <v>529.1</v>
      </c>
      <c r="Q1256" s="116">
        <v>526</v>
      </c>
      <c r="R1256">
        <v>2933261</v>
      </c>
    </row>
    <row r="1257" spans="1:18" x14ac:dyDescent="0.25">
      <c r="A1257" s="170">
        <v>44568</v>
      </c>
      <c r="B1257" s="116">
        <v>530.85</v>
      </c>
      <c r="C1257" s="116">
        <v>525.75</v>
      </c>
      <c r="D1257" s="116">
        <v>520</v>
      </c>
      <c r="E1257" s="116">
        <v>529</v>
      </c>
      <c r="F1257" s="116">
        <v>525.75</v>
      </c>
      <c r="G1257">
        <v>91853</v>
      </c>
      <c r="H1257" s="116"/>
      <c r="I1257" s="116"/>
      <c r="L1257" s="170">
        <v>44568</v>
      </c>
      <c r="M1257" s="116">
        <v>525.79999999999995</v>
      </c>
      <c r="N1257" s="116">
        <v>531</v>
      </c>
      <c r="O1257" s="116">
        <v>520</v>
      </c>
      <c r="P1257" s="116">
        <v>529.04999999999995</v>
      </c>
      <c r="Q1257" s="116">
        <v>525.79999999999995</v>
      </c>
      <c r="R1257">
        <v>1875432</v>
      </c>
    </row>
    <row r="1258" spans="1:18" x14ac:dyDescent="0.25">
      <c r="A1258" s="170">
        <v>44571</v>
      </c>
      <c r="B1258" s="116">
        <v>529.5</v>
      </c>
      <c r="C1258" s="116">
        <v>521.1</v>
      </c>
      <c r="D1258" s="116">
        <v>520.45000000000005</v>
      </c>
      <c r="E1258" s="116">
        <v>526</v>
      </c>
      <c r="F1258" s="116">
        <v>521.1</v>
      </c>
      <c r="G1258">
        <v>70696</v>
      </c>
      <c r="H1258" s="116"/>
      <c r="I1258" s="116"/>
      <c r="L1258" s="170">
        <v>44571</v>
      </c>
      <c r="M1258" s="116">
        <v>521.1</v>
      </c>
      <c r="N1258" s="116">
        <v>529.75</v>
      </c>
      <c r="O1258" s="116">
        <v>520.20000000000005</v>
      </c>
      <c r="P1258" s="116">
        <v>525</v>
      </c>
      <c r="Q1258" s="116">
        <v>521.1</v>
      </c>
      <c r="R1258">
        <v>1445105</v>
      </c>
    </row>
    <row r="1259" spans="1:18" x14ac:dyDescent="0.25">
      <c r="A1259" s="170">
        <v>44572</v>
      </c>
      <c r="B1259" s="116">
        <v>531</v>
      </c>
      <c r="C1259" s="116">
        <v>525.4</v>
      </c>
      <c r="D1259" s="116">
        <v>514</v>
      </c>
      <c r="E1259" s="116">
        <v>514</v>
      </c>
      <c r="F1259" s="116">
        <v>525.4</v>
      </c>
      <c r="G1259">
        <v>165208</v>
      </c>
      <c r="H1259" s="116"/>
      <c r="I1259" s="116"/>
      <c r="L1259" s="170">
        <v>44572</v>
      </c>
      <c r="M1259" s="116">
        <v>525.85</v>
      </c>
      <c r="N1259" s="116">
        <v>531</v>
      </c>
      <c r="O1259" s="116">
        <v>513</v>
      </c>
      <c r="P1259" s="116">
        <v>513</v>
      </c>
      <c r="Q1259" s="116">
        <v>525.85</v>
      </c>
      <c r="R1259">
        <v>1689829</v>
      </c>
    </row>
    <row r="1260" spans="1:18" x14ac:dyDescent="0.25">
      <c r="A1260" s="170">
        <v>44573</v>
      </c>
      <c r="B1260" s="116">
        <v>529.9</v>
      </c>
      <c r="C1260" s="116">
        <v>520</v>
      </c>
      <c r="D1260" s="116">
        <v>515.79999999999995</v>
      </c>
      <c r="E1260" s="116">
        <v>529.9</v>
      </c>
      <c r="F1260" s="116">
        <v>520</v>
      </c>
      <c r="G1260">
        <v>79190</v>
      </c>
      <c r="H1260" s="116"/>
      <c r="I1260" s="116"/>
      <c r="L1260" s="170">
        <v>44573</v>
      </c>
      <c r="M1260" s="116">
        <v>520.5</v>
      </c>
      <c r="N1260" s="116">
        <v>528.65</v>
      </c>
      <c r="O1260" s="116">
        <v>515.6</v>
      </c>
      <c r="P1260" s="116">
        <v>528.65</v>
      </c>
      <c r="Q1260" s="116">
        <v>520.5</v>
      </c>
      <c r="R1260">
        <v>1850779</v>
      </c>
    </row>
    <row r="1261" spans="1:18" x14ac:dyDescent="0.25">
      <c r="A1261" s="170">
        <v>44574</v>
      </c>
      <c r="B1261" s="116">
        <v>528.70000000000005</v>
      </c>
      <c r="C1261" s="116">
        <v>523.1</v>
      </c>
      <c r="D1261" s="116">
        <v>518.54999999999995</v>
      </c>
      <c r="E1261" s="116">
        <v>523.5</v>
      </c>
      <c r="F1261" s="116">
        <v>523.1</v>
      </c>
      <c r="G1261">
        <v>80450</v>
      </c>
      <c r="H1261" s="116"/>
      <c r="I1261" s="116"/>
      <c r="L1261" s="170">
        <v>44574</v>
      </c>
      <c r="M1261" s="116">
        <v>522.9</v>
      </c>
      <c r="N1261" s="116">
        <v>528.79999999999995</v>
      </c>
      <c r="O1261" s="116">
        <v>518.29999999999995</v>
      </c>
      <c r="P1261" s="116">
        <v>522.5</v>
      </c>
      <c r="Q1261" s="116">
        <v>522.9</v>
      </c>
      <c r="R1261">
        <v>1305607</v>
      </c>
    </row>
    <row r="1262" spans="1:18" x14ac:dyDescent="0.25">
      <c r="A1262" s="170">
        <v>44575</v>
      </c>
      <c r="B1262" s="116">
        <v>525.5</v>
      </c>
      <c r="C1262" s="116">
        <v>520.95000000000005</v>
      </c>
      <c r="D1262" s="116">
        <v>518.04999999999995</v>
      </c>
      <c r="E1262" s="116">
        <v>520</v>
      </c>
      <c r="F1262" s="116">
        <v>520.95000000000005</v>
      </c>
      <c r="G1262">
        <v>130657</v>
      </c>
      <c r="H1262" s="116"/>
      <c r="I1262" s="116"/>
      <c r="L1262" s="170">
        <v>44575</v>
      </c>
      <c r="M1262" s="116">
        <v>520.85</v>
      </c>
      <c r="N1262" s="116">
        <v>525.54999999999995</v>
      </c>
      <c r="O1262" s="116">
        <v>518</v>
      </c>
      <c r="P1262" s="116">
        <v>520.4</v>
      </c>
      <c r="Q1262" s="116">
        <v>520.85</v>
      </c>
      <c r="R1262">
        <v>1317071</v>
      </c>
    </row>
    <row r="1263" spans="1:18" x14ac:dyDescent="0.25">
      <c r="A1263" s="170">
        <v>44578</v>
      </c>
      <c r="B1263" s="116">
        <v>521.04999999999995</v>
      </c>
      <c r="C1263" s="116">
        <v>507.65</v>
      </c>
      <c r="D1263" s="116">
        <v>503.9</v>
      </c>
      <c r="E1263" s="116">
        <v>520.95000000000005</v>
      </c>
      <c r="F1263" s="116">
        <v>507.65</v>
      </c>
      <c r="G1263">
        <v>297019</v>
      </c>
      <c r="H1263" s="116"/>
      <c r="I1263" s="116"/>
      <c r="L1263" s="170">
        <v>44578</v>
      </c>
      <c r="M1263" s="116">
        <v>507.7</v>
      </c>
      <c r="N1263" s="116">
        <v>521.6</v>
      </c>
      <c r="O1263" s="116">
        <v>504</v>
      </c>
      <c r="P1263" s="116">
        <v>520.85</v>
      </c>
      <c r="Q1263" s="116">
        <v>507.7</v>
      </c>
      <c r="R1263">
        <v>3038253</v>
      </c>
    </row>
    <row r="1264" spans="1:18" x14ac:dyDescent="0.25">
      <c r="A1264" s="170">
        <v>44579</v>
      </c>
      <c r="B1264" s="116">
        <v>514.4</v>
      </c>
      <c r="C1264" s="116">
        <v>500.15</v>
      </c>
      <c r="D1264" s="116">
        <v>496.6</v>
      </c>
      <c r="E1264" s="116">
        <v>509.55</v>
      </c>
      <c r="F1264" s="116">
        <v>500.15</v>
      </c>
      <c r="G1264">
        <v>85700</v>
      </c>
      <c r="H1264" s="116"/>
      <c r="I1264" s="116"/>
      <c r="L1264" s="170">
        <v>44579</v>
      </c>
      <c r="M1264" s="116">
        <v>499.9</v>
      </c>
      <c r="N1264" s="116">
        <v>514.35</v>
      </c>
      <c r="O1264" s="116">
        <v>496.45</v>
      </c>
      <c r="P1264" s="116">
        <v>510.75</v>
      </c>
      <c r="Q1264" s="116">
        <v>499.9</v>
      </c>
      <c r="R1264">
        <v>2204732</v>
      </c>
    </row>
    <row r="1265" spans="1:18" x14ac:dyDescent="0.25">
      <c r="A1265" s="170">
        <v>44580</v>
      </c>
      <c r="B1265" s="116">
        <v>503</v>
      </c>
      <c r="C1265" s="116">
        <v>497.35</v>
      </c>
      <c r="D1265" s="116">
        <v>490</v>
      </c>
      <c r="E1265" s="116">
        <v>497</v>
      </c>
      <c r="F1265" s="116">
        <v>497.35</v>
      </c>
      <c r="G1265">
        <v>196931</v>
      </c>
      <c r="H1265" s="116"/>
      <c r="I1265" s="116"/>
      <c r="L1265" s="170">
        <v>44580</v>
      </c>
      <c r="M1265" s="116">
        <v>497.4</v>
      </c>
      <c r="N1265" s="116">
        <v>503.1</v>
      </c>
      <c r="O1265" s="116">
        <v>490</v>
      </c>
      <c r="P1265" s="116">
        <v>495</v>
      </c>
      <c r="Q1265" s="116">
        <v>497.4</v>
      </c>
      <c r="R1265">
        <v>3016181</v>
      </c>
    </row>
    <row r="1266" spans="1:18" x14ac:dyDescent="0.25">
      <c r="A1266" s="170">
        <v>44581</v>
      </c>
      <c r="B1266" s="116">
        <v>499.2</v>
      </c>
      <c r="C1266" s="116">
        <v>485.45</v>
      </c>
      <c r="D1266" s="116">
        <v>482</v>
      </c>
      <c r="E1266" s="116">
        <v>496</v>
      </c>
      <c r="F1266" s="116">
        <v>485.45</v>
      </c>
      <c r="G1266">
        <v>102766</v>
      </c>
      <c r="H1266" s="116"/>
      <c r="I1266" s="116"/>
      <c r="L1266" s="170">
        <v>44581</v>
      </c>
      <c r="M1266" s="116">
        <v>485.25</v>
      </c>
      <c r="N1266" s="116">
        <v>499.6</v>
      </c>
      <c r="O1266" s="116">
        <v>481.75</v>
      </c>
      <c r="P1266" s="116">
        <v>495</v>
      </c>
      <c r="Q1266" s="116">
        <v>485.25</v>
      </c>
      <c r="R1266">
        <v>2792725</v>
      </c>
    </row>
    <row r="1267" spans="1:18" x14ac:dyDescent="0.25">
      <c r="A1267" s="170">
        <v>44582</v>
      </c>
      <c r="B1267" s="116">
        <v>493.9</v>
      </c>
      <c r="C1267" s="116">
        <v>481.95</v>
      </c>
      <c r="D1267" s="116">
        <v>475.5</v>
      </c>
      <c r="E1267" s="116">
        <v>483.9</v>
      </c>
      <c r="F1267" s="116">
        <v>481.95</v>
      </c>
      <c r="G1267">
        <v>254823</v>
      </c>
      <c r="H1267" s="116"/>
      <c r="I1267" s="116"/>
      <c r="L1267" s="170">
        <v>44582</v>
      </c>
      <c r="M1267" s="116">
        <v>481.8</v>
      </c>
      <c r="N1267" s="116">
        <v>494</v>
      </c>
      <c r="O1267" s="116">
        <v>475.05</v>
      </c>
      <c r="P1267" s="116">
        <v>482</v>
      </c>
      <c r="Q1267" s="116">
        <v>481.8</v>
      </c>
      <c r="R1267">
        <v>2254540</v>
      </c>
    </row>
    <row r="1268" spans="1:18" x14ac:dyDescent="0.25">
      <c r="A1268" s="170">
        <v>44585</v>
      </c>
      <c r="B1268" s="116">
        <v>481</v>
      </c>
      <c r="C1268" s="116">
        <v>469.05</v>
      </c>
      <c r="D1268" s="116">
        <v>460.55</v>
      </c>
      <c r="E1268" s="116">
        <v>481</v>
      </c>
      <c r="F1268" s="116">
        <v>469.05</v>
      </c>
      <c r="G1268">
        <v>357887</v>
      </c>
      <c r="H1268" s="116"/>
      <c r="I1268" s="116"/>
      <c r="L1268" s="170">
        <v>44585</v>
      </c>
      <c r="M1268" s="116">
        <v>469.55</v>
      </c>
      <c r="N1268" s="116">
        <v>481.8</v>
      </c>
      <c r="O1268" s="116">
        <v>460.75</v>
      </c>
      <c r="P1268" s="116">
        <v>481.8</v>
      </c>
      <c r="Q1268" s="116">
        <v>469.55</v>
      </c>
      <c r="R1268">
        <v>2388950</v>
      </c>
    </row>
    <row r="1269" spans="1:18" x14ac:dyDescent="0.25">
      <c r="A1269" s="170">
        <v>44586</v>
      </c>
      <c r="B1269" s="116">
        <v>477.35</v>
      </c>
      <c r="C1269" s="116">
        <v>474.65</v>
      </c>
      <c r="D1269" s="116">
        <v>456.85</v>
      </c>
      <c r="E1269" s="116">
        <v>469.45</v>
      </c>
      <c r="F1269" s="116">
        <v>474.65</v>
      </c>
      <c r="G1269">
        <v>127595</v>
      </c>
      <c r="H1269" s="116"/>
      <c r="I1269" s="116"/>
      <c r="L1269" s="170">
        <v>44586</v>
      </c>
      <c r="M1269" s="116">
        <v>475</v>
      </c>
      <c r="N1269" s="116">
        <v>477.25</v>
      </c>
      <c r="O1269" s="116">
        <v>456.75</v>
      </c>
      <c r="P1269" s="116">
        <v>467</v>
      </c>
      <c r="Q1269" s="116">
        <v>475</v>
      </c>
      <c r="R1269">
        <v>1946273</v>
      </c>
    </row>
    <row r="1270" spans="1:18" x14ac:dyDescent="0.25">
      <c r="A1270" s="170">
        <v>44588</v>
      </c>
      <c r="B1270" s="116">
        <v>475</v>
      </c>
      <c r="C1270" s="116">
        <v>463.8</v>
      </c>
      <c r="D1270" s="116">
        <v>440</v>
      </c>
      <c r="E1270" s="116">
        <v>473.9</v>
      </c>
      <c r="F1270" s="116">
        <v>463.8</v>
      </c>
      <c r="G1270">
        <v>469282</v>
      </c>
      <c r="H1270" s="116"/>
      <c r="I1270" s="116"/>
      <c r="L1270" s="170">
        <v>44588</v>
      </c>
      <c r="M1270" s="116">
        <v>464.7</v>
      </c>
      <c r="N1270" s="116">
        <v>475.4</v>
      </c>
      <c r="O1270" s="116">
        <v>440</v>
      </c>
      <c r="P1270" s="116">
        <v>470</v>
      </c>
      <c r="Q1270" s="116">
        <v>464.7</v>
      </c>
      <c r="R1270">
        <v>8426311</v>
      </c>
    </row>
    <row r="1271" spans="1:18" x14ac:dyDescent="0.25">
      <c r="A1271" s="170">
        <v>44589</v>
      </c>
      <c r="B1271" s="116">
        <v>505.8</v>
      </c>
      <c r="C1271" s="116">
        <v>499.5</v>
      </c>
      <c r="D1271" s="116">
        <v>433.2</v>
      </c>
      <c r="E1271" s="116">
        <v>433.2</v>
      </c>
      <c r="F1271" s="116">
        <v>499.5</v>
      </c>
      <c r="G1271">
        <v>483446</v>
      </c>
      <c r="H1271" s="116"/>
      <c r="I1271" s="116"/>
      <c r="L1271" s="170">
        <v>44589</v>
      </c>
      <c r="M1271" s="116">
        <v>499.8</v>
      </c>
      <c r="N1271" s="116">
        <v>505.8</v>
      </c>
      <c r="O1271" s="116">
        <v>440</v>
      </c>
      <c r="P1271" s="116">
        <v>440</v>
      </c>
      <c r="Q1271" s="116">
        <v>499.8</v>
      </c>
      <c r="R1271">
        <v>11401075</v>
      </c>
    </row>
    <row r="1272" spans="1:18" x14ac:dyDescent="0.25">
      <c r="A1272" s="170">
        <v>44592</v>
      </c>
      <c r="B1272" s="116">
        <v>516.70000000000005</v>
      </c>
      <c r="C1272" s="116">
        <v>502.9</v>
      </c>
      <c r="D1272" s="116">
        <v>500.7</v>
      </c>
      <c r="E1272" s="116">
        <v>504</v>
      </c>
      <c r="F1272" s="116">
        <v>502.9</v>
      </c>
      <c r="G1272">
        <v>144483</v>
      </c>
      <c r="H1272" s="116"/>
      <c r="I1272" s="116"/>
      <c r="L1272" s="170">
        <v>44592</v>
      </c>
      <c r="M1272" s="116">
        <v>502.7</v>
      </c>
      <c r="N1272" s="116">
        <v>516.79999999999995</v>
      </c>
      <c r="O1272" s="116">
        <v>500.45</v>
      </c>
      <c r="P1272" s="116">
        <v>504.3</v>
      </c>
      <c r="Q1272" s="116">
        <v>502.7</v>
      </c>
      <c r="R1272">
        <v>4306689</v>
      </c>
    </row>
    <row r="1273" spans="1:18" x14ac:dyDescent="0.25">
      <c r="A1273" s="170">
        <v>44593</v>
      </c>
      <c r="B1273" s="116">
        <v>527</v>
      </c>
      <c r="C1273" s="116">
        <v>524.4</v>
      </c>
      <c r="D1273" s="116">
        <v>502.9</v>
      </c>
      <c r="E1273" s="116">
        <v>502.9</v>
      </c>
      <c r="F1273" s="116">
        <v>524.4</v>
      </c>
      <c r="G1273">
        <v>395206</v>
      </c>
      <c r="H1273" s="116"/>
      <c r="I1273" s="116"/>
      <c r="L1273" s="170">
        <v>44593</v>
      </c>
      <c r="M1273" s="116">
        <v>524.45000000000005</v>
      </c>
      <c r="N1273" s="116">
        <v>527.20000000000005</v>
      </c>
      <c r="O1273" s="116">
        <v>504.65</v>
      </c>
      <c r="P1273" s="116">
        <v>506</v>
      </c>
      <c r="Q1273" s="116">
        <v>524.45000000000005</v>
      </c>
      <c r="R1273">
        <v>5518163</v>
      </c>
    </row>
    <row r="1274" spans="1:18" x14ac:dyDescent="0.25">
      <c r="A1274" s="170">
        <v>44594</v>
      </c>
      <c r="B1274" s="116">
        <v>532.54999999999995</v>
      </c>
      <c r="C1274" s="116">
        <v>525.85</v>
      </c>
      <c r="D1274" s="116">
        <v>523.5</v>
      </c>
      <c r="E1274" s="116">
        <v>525</v>
      </c>
      <c r="F1274" s="116">
        <v>525.85</v>
      </c>
      <c r="G1274">
        <v>82011</v>
      </c>
      <c r="H1274" s="116"/>
      <c r="I1274" s="116"/>
      <c r="L1274" s="170">
        <v>44594</v>
      </c>
      <c r="M1274" s="116">
        <v>525.4</v>
      </c>
      <c r="N1274" s="116">
        <v>533</v>
      </c>
      <c r="O1274" s="116">
        <v>523.29999999999995</v>
      </c>
      <c r="P1274" s="116">
        <v>524.45000000000005</v>
      </c>
      <c r="Q1274" s="116">
        <v>525.4</v>
      </c>
      <c r="R1274">
        <v>2394790</v>
      </c>
    </row>
    <row r="1275" spans="1:18" x14ac:dyDescent="0.25">
      <c r="A1275" s="170">
        <v>44595</v>
      </c>
      <c r="B1275" s="116">
        <v>539.5</v>
      </c>
      <c r="C1275" s="116">
        <v>532.79999999999995</v>
      </c>
      <c r="D1275" s="116">
        <v>520.75</v>
      </c>
      <c r="E1275" s="116">
        <v>524.70000000000005</v>
      </c>
      <c r="F1275" s="116">
        <v>532.79999999999995</v>
      </c>
      <c r="G1275">
        <v>253287</v>
      </c>
      <c r="H1275" s="116"/>
      <c r="I1275" s="116"/>
      <c r="L1275" s="170">
        <v>44595</v>
      </c>
      <c r="M1275" s="116">
        <v>532.79999999999995</v>
      </c>
      <c r="N1275" s="116">
        <v>539.79999999999995</v>
      </c>
      <c r="O1275" s="116">
        <v>520.79999999999995</v>
      </c>
      <c r="P1275" s="116">
        <v>525.4</v>
      </c>
      <c r="Q1275" s="116">
        <v>532.79999999999995</v>
      </c>
      <c r="R1275">
        <v>3358007</v>
      </c>
    </row>
    <row r="1276" spans="1:18" x14ac:dyDescent="0.25">
      <c r="A1276" s="170">
        <v>44596</v>
      </c>
      <c r="B1276" s="116">
        <v>536.15</v>
      </c>
      <c r="C1276" s="116">
        <v>528.85</v>
      </c>
      <c r="D1276" s="116">
        <v>525.75</v>
      </c>
      <c r="E1276" s="116">
        <v>534.20000000000005</v>
      </c>
      <c r="F1276" s="116">
        <v>528.85</v>
      </c>
      <c r="G1276">
        <v>121768</v>
      </c>
      <c r="H1276" s="116"/>
      <c r="I1276" s="116"/>
      <c r="L1276" s="170">
        <v>44596</v>
      </c>
      <c r="M1276" s="116">
        <v>529</v>
      </c>
      <c r="N1276" s="116">
        <v>536.6</v>
      </c>
      <c r="O1276" s="116">
        <v>525.5</v>
      </c>
      <c r="P1276" s="116">
        <v>535.70000000000005</v>
      </c>
      <c r="Q1276" s="116">
        <v>529</v>
      </c>
      <c r="R1276">
        <v>1177855</v>
      </c>
    </row>
    <row r="1277" spans="1:18" x14ac:dyDescent="0.25">
      <c r="A1277" s="170">
        <v>44599</v>
      </c>
      <c r="B1277" s="116">
        <v>538.25</v>
      </c>
      <c r="C1277" s="116">
        <v>528.6</v>
      </c>
      <c r="D1277" s="116">
        <v>521.29999999999995</v>
      </c>
      <c r="E1277" s="116">
        <v>525.5</v>
      </c>
      <c r="F1277" s="116">
        <v>528.6</v>
      </c>
      <c r="G1277">
        <v>80949</v>
      </c>
      <c r="H1277" s="116"/>
      <c r="I1277" s="116"/>
      <c r="L1277" s="170">
        <v>44599</v>
      </c>
      <c r="M1277" s="116">
        <v>528.65</v>
      </c>
      <c r="N1277" s="116">
        <v>538.5</v>
      </c>
      <c r="O1277" s="116">
        <v>521.6</v>
      </c>
      <c r="P1277" s="116">
        <v>527.75</v>
      </c>
      <c r="Q1277" s="116">
        <v>528.65</v>
      </c>
      <c r="R1277">
        <v>2033838</v>
      </c>
    </row>
    <row r="1278" spans="1:18" x14ac:dyDescent="0.25">
      <c r="A1278" s="170">
        <v>44600</v>
      </c>
      <c r="B1278" s="116">
        <v>534.20000000000005</v>
      </c>
      <c r="C1278" s="116">
        <v>524.4</v>
      </c>
      <c r="D1278" s="116">
        <v>513.4</v>
      </c>
      <c r="E1278" s="116">
        <v>527.9</v>
      </c>
      <c r="F1278" s="116">
        <v>524.4</v>
      </c>
      <c r="G1278">
        <v>86819</v>
      </c>
      <c r="H1278" s="116"/>
      <c r="I1278" s="116"/>
      <c r="L1278" s="170">
        <v>44600</v>
      </c>
      <c r="M1278" s="116">
        <v>524.45000000000005</v>
      </c>
      <c r="N1278" s="116">
        <v>534.4</v>
      </c>
      <c r="O1278" s="116">
        <v>513.25</v>
      </c>
      <c r="P1278" s="116">
        <v>527.29999999999995</v>
      </c>
      <c r="Q1278" s="116">
        <v>524.45000000000005</v>
      </c>
      <c r="R1278">
        <v>1829786</v>
      </c>
    </row>
    <row r="1279" spans="1:18" x14ac:dyDescent="0.25">
      <c r="A1279" s="170">
        <v>44601</v>
      </c>
      <c r="B1279" s="116">
        <v>533.65</v>
      </c>
      <c r="C1279" s="116">
        <v>526.20000000000005</v>
      </c>
      <c r="D1279" s="116">
        <v>518.25</v>
      </c>
      <c r="E1279" s="116">
        <v>530</v>
      </c>
      <c r="F1279" s="116">
        <v>526.20000000000005</v>
      </c>
      <c r="G1279">
        <v>64655</v>
      </c>
      <c r="H1279" s="116"/>
      <c r="I1279" s="116"/>
      <c r="L1279" s="170">
        <v>44601</v>
      </c>
      <c r="M1279" s="116">
        <v>526.1</v>
      </c>
      <c r="N1279" s="116">
        <v>534</v>
      </c>
      <c r="O1279" s="116">
        <v>518.35</v>
      </c>
      <c r="P1279" s="116">
        <v>525</v>
      </c>
      <c r="Q1279" s="116">
        <v>526.1</v>
      </c>
      <c r="R1279">
        <v>1220503</v>
      </c>
    </row>
    <row r="1280" spans="1:18" x14ac:dyDescent="0.25">
      <c r="A1280" s="170">
        <v>44602</v>
      </c>
      <c r="B1280" s="116">
        <v>545</v>
      </c>
      <c r="C1280" s="116">
        <v>539.25</v>
      </c>
      <c r="D1280" s="116">
        <v>524.95000000000005</v>
      </c>
      <c r="E1280" s="116">
        <v>526</v>
      </c>
      <c r="F1280" s="116">
        <v>539.25</v>
      </c>
      <c r="G1280">
        <v>412000</v>
      </c>
      <c r="H1280" s="116"/>
      <c r="I1280" s="116"/>
      <c r="L1280" s="170">
        <v>44602</v>
      </c>
      <c r="M1280" s="116">
        <v>540</v>
      </c>
      <c r="N1280" s="116">
        <v>545.9</v>
      </c>
      <c r="O1280" s="116">
        <v>523.1</v>
      </c>
      <c r="P1280" s="116">
        <v>523.1</v>
      </c>
      <c r="Q1280" s="116">
        <v>540</v>
      </c>
      <c r="R1280">
        <v>3867685</v>
      </c>
    </row>
    <row r="1281" spans="1:18" x14ac:dyDescent="0.25">
      <c r="A1281" s="170">
        <v>44603</v>
      </c>
      <c r="B1281" s="116">
        <v>568</v>
      </c>
      <c r="C1281" s="116">
        <v>550.85</v>
      </c>
      <c r="D1281" s="116">
        <v>535.20000000000005</v>
      </c>
      <c r="E1281" s="116">
        <v>539.9</v>
      </c>
      <c r="F1281" s="116">
        <v>550.85</v>
      </c>
      <c r="G1281">
        <v>240528</v>
      </c>
      <c r="H1281" s="116"/>
      <c r="I1281" s="116"/>
      <c r="L1281" s="170">
        <v>44603</v>
      </c>
      <c r="M1281" s="116">
        <v>549.95000000000005</v>
      </c>
      <c r="N1281" s="116">
        <v>568</v>
      </c>
      <c r="O1281" s="116">
        <v>536.6</v>
      </c>
      <c r="P1281" s="116">
        <v>539.95000000000005</v>
      </c>
      <c r="Q1281" s="116">
        <v>549.95000000000005</v>
      </c>
      <c r="R1281">
        <v>7764604</v>
      </c>
    </row>
    <row r="1282" spans="1:18" x14ac:dyDescent="0.25">
      <c r="A1282" s="170">
        <v>44606</v>
      </c>
      <c r="B1282" s="116">
        <v>558.4</v>
      </c>
      <c r="C1282" s="116">
        <v>527.95000000000005</v>
      </c>
      <c r="D1282" s="116">
        <v>523.70000000000005</v>
      </c>
      <c r="E1282" s="116">
        <v>532</v>
      </c>
      <c r="F1282" s="116">
        <v>527.95000000000005</v>
      </c>
      <c r="G1282">
        <v>403069</v>
      </c>
      <c r="H1282" s="116"/>
      <c r="I1282" s="116"/>
      <c r="L1282" s="170">
        <v>44606</v>
      </c>
      <c r="M1282" s="116">
        <v>528.35</v>
      </c>
      <c r="N1282" s="116">
        <v>558.4</v>
      </c>
      <c r="O1282" s="116">
        <v>523.85</v>
      </c>
      <c r="P1282" s="116">
        <v>542</v>
      </c>
      <c r="Q1282" s="116">
        <v>528.35</v>
      </c>
      <c r="R1282">
        <v>3354893</v>
      </c>
    </row>
    <row r="1283" spans="1:18" x14ac:dyDescent="0.25">
      <c r="A1283" s="170">
        <v>44607</v>
      </c>
      <c r="B1283" s="116">
        <v>551.15</v>
      </c>
      <c r="C1283" s="116">
        <v>549.85</v>
      </c>
      <c r="D1283" s="116">
        <v>529</v>
      </c>
      <c r="E1283" s="116">
        <v>529</v>
      </c>
      <c r="F1283" s="116">
        <v>549.85</v>
      </c>
      <c r="G1283">
        <v>116732</v>
      </c>
      <c r="H1283" s="116"/>
      <c r="I1283" s="116"/>
      <c r="L1283" s="170">
        <v>44607</v>
      </c>
      <c r="M1283" s="116">
        <v>549.95000000000005</v>
      </c>
      <c r="N1283" s="116">
        <v>551.95000000000005</v>
      </c>
      <c r="O1283" s="116">
        <v>530.5</v>
      </c>
      <c r="P1283" s="116">
        <v>530.5</v>
      </c>
      <c r="Q1283" s="116">
        <v>549.95000000000005</v>
      </c>
      <c r="R1283">
        <v>3236557</v>
      </c>
    </row>
    <row r="1284" spans="1:18" x14ac:dyDescent="0.25">
      <c r="A1284" s="170">
        <v>44608</v>
      </c>
      <c r="B1284" s="116">
        <v>557.45000000000005</v>
      </c>
      <c r="C1284" s="116">
        <v>549.35</v>
      </c>
      <c r="D1284" s="116">
        <v>547</v>
      </c>
      <c r="E1284" s="116">
        <v>552</v>
      </c>
      <c r="F1284" s="116">
        <v>549.35</v>
      </c>
      <c r="G1284">
        <v>84960</v>
      </c>
      <c r="H1284" s="116"/>
      <c r="I1284" s="116"/>
      <c r="L1284" s="170">
        <v>44608</v>
      </c>
      <c r="M1284" s="116">
        <v>549.4</v>
      </c>
      <c r="N1284" s="116">
        <v>557.4</v>
      </c>
      <c r="O1284" s="116">
        <v>546.54999999999995</v>
      </c>
      <c r="P1284" s="116">
        <v>554.9</v>
      </c>
      <c r="Q1284" s="116">
        <v>549.4</v>
      </c>
      <c r="R1284">
        <v>1829979</v>
      </c>
    </row>
    <row r="1285" spans="1:18" x14ac:dyDescent="0.25">
      <c r="A1285" s="170">
        <v>44609</v>
      </c>
      <c r="B1285" s="116">
        <v>560.5</v>
      </c>
      <c r="C1285" s="116">
        <v>549.45000000000005</v>
      </c>
      <c r="D1285" s="116">
        <v>544.9</v>
      </c>
      <c r="E1285" s="116">
        <v>549.4</v>
      </c>
      <c r="F1285" s="116">
        <v>549.45000000000005</v>
      </c>
      <c r="G1285">
        <v>82752</v>
      </c>
      <c r="H1285" s="116"/>
      <c r="I1285" s="116"/>
      <c r="L1285" s="170">
        <v>44609</v>
      </c>
      <c r="M1285" s="116">
        <v>549.29999999999995</v>
      </c>
      <c r="N1285" s="116">
        <v>560.95000000000005</v>
      </c>
      <c r="O1285" s="116">
        <v>543.29999999999995</v>
      </c>
      <c r="P1285" s="116">
        <v>550</v>
      </c>
      <c r="Q1285" s="116">
        <v>549.29999999999995</v>
      </c>
      <c r="R1285">
        <v>2313817</v>
      </c>
    </row>
    <row r="1286" spans="1:18" x14ac:dyDescent="0.25">
      <c r="A1286" s="170">
        <v>44610</v>
      </c>
      <c r="B1286" s="116">
        <v>556.95000000000005</v>
      </c>
      <c r="C1286" s="116">
        <v>551.9</v>
      </c>
      <c r="D1286" s="116">
        <v>546.1</v>
      </c>
      <c r="E1286" s="116">
        <v>546.1</v>
      </c>
      <c r="F1286" s="116">
        <v>551.9</v>
      </c>
      <c r="G1286">
        <v>136111</v>
      </c>
      <c r="H1286" s="116"/>
      <c r="I1286" s="116"/>
      <c r="L1286" s="170">
        <v>44610</v>
      </c>
      <c r="M1286" s="116">
        <v>552.04999999999995</v>
      </c>
      <c r="N1286" s="116">
        <v>557</v>
      </c>
      <c r="O1286" s="116">
        <v>547.1</v>
      </c>
      <c r="P1286" s="116">
        <v>548</v>
      </c>
      <c r="Q1286" s="116">
        <v>552.04999999999995</v>
      </c>
      <c r="R1286">
        <v>1612799</v>
      </c>
    </row>
    <row r="1287" spans="1:18" x14ac:dyDescent="0.25">
      <c r="A1287" s="170">
        <v>44613</v>
      </c>
      <c r="B1287" s="116">
        <v>552.85</v>
      </c>
      <c r="C1287" s="116">
        <v>541.29999999999995</v>
      </c>
      <c r="D1287" s="116">
        <v>537.79999999999995</v>
      </c>
      <c r="E1287" s="116">
        <v>550.79999999999995</v>
      </c>
      <c r="F1287" s="116">
        <v>541.29999999999995</v>
      </c>
      <c r="G1287">
        <v>71372</v>
      </c>
      <c r="H1287" s="116"/>
      <c r="I1287" s="116"/>
      <c r="L1287" s="170">
        <v>44613</v>
      </c>
      <c r="M1287" s="116">
        <v>539.70000000000005</v>
      </c>
      <c r="N1287" s="116">
        <v>552.75</v>
      </c>
      <c r="O1287" s="116">
        <v>538</v>
      </c>
      <c r="P1287" s="116">
        <v>551</v>
      </c>
      <c r="Q1287" s="116">
        <v>539.70000000000005</v>
      </c>
      <c r="R1287">
        <v>1504076</v>
      </c>
    </row>
    <row r="1288" spans="1:18" x14ac:dyDescent="0.25">
      <c r="A1288" s="170">
        <v>44614</v>
      </c>
      <c r="B1288" s="116">
        <v>539.79999999999995</v>
      </c>
      <c r="C1288" s="116">
        <v>527.6</v>
      </c>
      <c r="D1288" s="116">
        <v>521.75</v>
      </c>
      <c r="E1288" s="116">
        <v>528</v>
      </c>
      <c r="F1288" s="116">
        <v>527.6</v>
      </c>
      <c r="G1288">
        <v>195803</v>
      </c>
      <c r="H1288" s="116"/>
      <c r="I1288" s="116"/>
      <c r="L1288" s="170">
        <v>44614</v>
      </c>
      <c r="M1288" s="116">
        <v>527.75</v>
      </c>
      <c r="N1288" s="116">
        <v>540</v>
      </c>
      <c r="O1288" s="116">
        <v>522</v>
      </c>
      <c r="P1288" s="116">
        <v>530</v>
      </c>
      <c r="Q1288" s="116">
        <v>527.75</v>
      </c>
      <c r="R1288">
        <v>1804216</v>
      </c>
    </row>
    <row r="1289" spans="1:18" x14ac:dyDescent="0.25">
      <c r="A1289" s="170">
        <v>44615</v>
      </c>
      <c r="B1289" s="116">
        <v>536</v>
      </c>
      <c r="C1289" s="116">
        <v>531.65</v>
      </c>
      <c r="D1289" s="116">
        <v>528.35</v>
      </c>
      <c r="E1289" s="116">
        <v>530</v>
      </c>
      <c r="F1289" s="116">
        <v>531.65</v>
      </c>
      <c r="G1289">
        <v>36318</v>
      </c>
      <c r="H1289" s="116"/>
      <c r="I1289" s="116"/>
      <c r="L1289" s="170">
        <v>44615</v>
      </c>
      <c r="M1289" s="116">
        <v>532</v>
      </c>
      <c r="N1289" s="116">
        <v>536.70000000000005</v>
      </c>
      <c r="O1289" s="116">
        <v>528.04999999999995</v>
      </c>
      <c r="P1289" s="116">
        <v>532.45000000000005</v>
      </c>
      <c r="Q1289" s="116">
        <v>532</v>
      </c>
      <c r="R1289">
        <v>1490373</v>
      </c>
    </row>
    <row r="1290" spans="1:18" x14ac:dyDescent="0.25">
      <c r="A1290" s="170">
        <v>44616</v>
      </c>
      <c r="B1290" s="116">
        <v>521.95000000000005</v>
      </c>
      <c r="C1290" s="116">
        <v>500.55</v>
      </c>
      <c r="D1290" s="116">
        <v>497.55</v>
      </c>
      <c r="E1290" s="116">
        <v>520</v>
      </c>
      <c r="F1290" s="116">
        <v>500.55</v>
      </c>
      <c r="G1290">
        <v>172271</v>
      </c>
      <c r="H1290" s="116"/>
      <c r="I1290" s="116"/>
      <c r="L1290" s="170">
        <v>44616</v>
      </c>
      <c r="M1290" s="116">
        <v>500.85</v>
      </c>
      <c r="N1290" s="116">
        <v>522.9</v>
      </c>
      <c r="O1290" s="116">
        <v>496</v>
      </c>
      <c r="P1290" s="116">
        <v>520</v>
      </c>
      <c r="Q1290" s="116">
        <v>500.85</v>
      </c>
      <c r="R1290">
        <v>4052198</v>
      </c>
    </row>
    <row r="1291" spans="1:18" x14ac:dyDescent="0.25">
      <c r="A1291" s="170">
        <v>44617</v>
      </c>
      <c r="B1291" s="116">
        <v>534.5</v>
      </c>
      <c r="C1291" s="116">
        <v>530.75</v>
      </c>
      <c r="D1291" s="116">
        <v>510.3</v>
      </c>
      <c r="E1291" s="116">
        <v>517</v>
      </c>
      <c r="F1291" s="116">
        <v>530.75</v>
      </c>
      <c r="G1291">
        <v>111998</v>
      </c>
      <c r="H1291" s="116"/>
      <c r="I1291" s="116"/>
      <c r="L1291" s="170">
        <v>44617</v>
      </c>
      <c r="M1291" s="116">
        <v>530.95000000000005</v>
      </c>
      <c r="N1291" s="116">
        <v>534.54999999999995</v>
      </c>
      <c r="O1291" s="116">
        <v>509.8</v>
      </c>
      <c r="P1291" s="116">
        <v>519.95000000000005</v>
      </c>
      <c r="Q1291" s="116">
        <v>530.95000000000005</v>
      </c>
      <c r="R1291">
        <v>2463164</v>
      </c>
    </row>
    <row r="1292" spans="1:18" x14ac:dyDescent="0.25">
      <c r="A1292" s="170">
        <v>44620</v>
      </c>
      <c r="B1292" s="116">
        <v>543.4</v>
      </c>
      <c r="C1292" s="116">
        <v>541.54999999999995</v>
      </c>
      <c r="D1292" s="116">
        <v>520.4</v>
      </c>
      <c r="E1292" s="116">
        <v>530</v>
      </c>
      <c r="F1292" s="116">
        <v>541.54999999999995</v>
      </c>
      <c r="G1292">
        <v>86543</v>
      </c>
      <c r="H1292" s="116"/>
      <c r="I1292" s="116"/>
      <c r="L1292" s="170">
        <v>44620</v>
      </c>
      <c r="M1292" s="116">
        <v>541.54999999999995</v>
      </c>
      <c r="N1292" s="116">
        <v>543.79999999999995</v>
      </c>
      <c r="O1292" s="116">
        <v>523.1</v>
      </c>
      <c r="P1292" s="116">
        <v>527</v>
      </c>
      <c r="Q1292" s="116">
        <v>541.54999999999995</v>
      </c>
      <c r="R1292">
        <v>1999336</v>
      </c>
    </row>
    <row r="1293" spans="1:18" x14ac:dyDescent="0.25">
      <c r="A1293" s="170">
        <v>44622</v>
      </c>
      <c r="B1293" s="116">
        <v>546.4</v>
      </c>
      <c r="C1293" s="116">
        <v>535.6</v>
      </c>
      <c r="D1293" s="116">
        <v>530.75</v>
      </c>
      <c r="E1293" s="116">
        <v>530.75</v>
      </c>
      <c r="F1293" s="116">
        <v>535.6</v>
      </c>
      <c r="G1293">
        <v>92569</v>
      </c>
      <c r="H1293" s="116"/>
      <c r="I1293" s="116"/>
      <c r="L1293" s="170">
        <v>44622</v>
      </c>
      <c r="M1293" s="116">
        <v>535.85</v>
      </c>
      <c r="N1293" s="116">
        <v>546.35</v>
      </c>
      <c r="O1293" s="116">
        <v>532.29999999999995</v>
      </c>
      <c r="P1293" s="116">
        <v>535.54999999999995</v>
      </c>
      <c r="Q1293" s="116">
        <v>535.85</v>
      </c>
      <c r="R1293">
        <v>1031075</v>
      </c>
    </row>
    <row r="1294" spans="1:18" x14ac:dyDescent="0.25">
      <c r="A1294" s="170">
        <v>44623</v>
      </c>
      <c r="B1294" s="116">
        <v>546.5</v>
      </c>
      <c r="C1294" s="116">
        <v>540.70000000000005</v>
      </c>
      <c r="D1294" s="116">
        <v>534</v>
      </c>
      <c r="E1294" s="116">
        <v>541.75</v>
      </c>
      <c r="F1294" s="116">
        <v>540.70000000000005</v>
      </c>
      <c r="G1294">
        <v>34865</v>
      </c>
      <c r="H1294" s="116"/>
      <c r="I1294" s="116"/>
      <c r="L1294" s="170">
        <v>44623</v>
      </c>
      <c r="M1294" s="116">
        <v>540.25</v>
      </c>
      <c r="N1294" s="116">
        <v>546.6</v>
      </c>
      <c r="O1294" s="116">
        <v>533.6</v>
      </c>
      <c r="P1294" s="116">
        <v>537.79999999999995</v>
      </c>
      <c r="Q1294" s="116">
        <v>540.25</v>
      </c>
      <c r="R1294">
        <v>1095285</v>
      </c>
    </row>
    <row r="1295" spans="1:18" x14ac:dyDescent="0.25">
      <c r="A1295" s="170">
        <v>44624</v>
      </c>
      <c r="B1295" s="116">
        <v>547.35</v>
      </c>
      <c r="C1295" s="116">
        <v>536.45000000000005</v>
      </c>
      <c r="D1295" s="116">
        <v>532.29999999999995</v>
      </c>
      <c r="E1295" s="116">
        <v>540.70000000000005</v>
      </c>
      <c r="F1295" s="116">
        <v>536.45000000000005</v>
      </c>
      <c r="G1295">
        <v>101401</v>
      </c>
      <c r="H1295" s="116"/>
      <c r="I1295" s="116"/>
      <c r="L1295" s="170">
        <v>44624</v>
      </c>
      <c r="M1295" s="116">
        <v>536.65</v>
      </c>
      <c r="N1295" s="116">
        <v>548</v>
      </c>
      <c r="O1295" s="116">
        <v>532.29999999999995</v>
      </c>
      <c r="P1295" s="116">
        <v>541.65</v>
      </c>
      <c r="Q1295" s="116">
        <v>536.65</v>
      </c>
      <c r="R1295">
        <v>1418425</v>
      </c>
    </row>
    <row r="1296" spans="1:18" x14ac:dyDescent="0.25">
      <c r="A1296" s="170">
        <v>44627</v>
      </c>
      <c r="B1296" s="116">
        <v>532.70000000000005</v>
      </c>
      <c r="C1296" s="116">
        <v>528</v>
      </c>
      <c r="D1296" s="116">
        <v>521.54999999999995</v>
      </c>
      <c r="E1296" s="116">
        <v>532.70000000000005</v>
      </c>
      <c r="F1296" s="116">
        <v>528</v>
      </c>
      <c r="G1296">
        <v>137991</v>
      </c>
      <c r="H1296" s="116"/>
      <c r="I1296" s="116"/>
      <c r="L1296" s="170">
        <v>44627</v>
      </c>
      <c r="M1296" s="116">
        <v>528.1</v>
      </c>
      <c r="N1296" s="116">
        <v>532.79999999999995</v>
      </c>
      <c r="O1296" s="116">
        <v>521.4</v>
      </c>
      <c r="P1296" s="116">
        <v>527.29999999999995</v>
      </c>
      <c r="Q1296" s="116">
        <v>528.1</v>
      </c>
      <c r="R1296">
        <v>1411378</v>
      </c>
    </row>
    <row r="1297" spans="1:18" x14ac:dyDescent="0.25">
      <c r="A1297" s="170">
        <v>44628</v>
      </c>
      <c r="B1297" s="116">
        <v>545.45000000000005</v>
      </c>
      <c r="C1297" s="116">
        <v>535.4</v>
      </c>
      <c r="D1297" s="116">
        <v>525</v>
      </c>
      <c r="E1297" s="116">
        <v>527</v>
      </c>
      <c r="F1297" s="116">
        <v>535.4</v>
      </c>
      <c r="G1297">
        <v>106927</v>
      </c>
      <c r="H1297" s="116"/>
      <c r="I1297" s="116"/>
      <c r="L1297" s="170">
        <v>44628</v>
      </c>
      <c r="M1297" s="116">
        <v>535.1</v>
      </c>
      <c r="N1297" s="116">
        <v>545.20000000000005</v>
      </c>
      <c r="O1297" s="116">
        <v>524.1</v>
      </c>
      <c r="P1297" s="116">
        <v>524.1</v>
      </c>
      <c r="Q1297" s="116">
        <v>535.1</v>
      </c>
      <c r="R1297">
        <v>1527802</v>
      </c>
    </row>
    <row r="1298" spans="1:18" x14ac:dyDescent="0.25">
      <c r="A1298" s="170">
        <v>44629</v>
      </c>
      <c r="B1298" s="116">
        <v>559.85</v>
      </c>
      <c r="C1298" s="116">
        <v>555.04999999999995</v>
      </c>
      <c r="D1298" s="116">
        <v>538.20000000000005</v>
      </c>
      <c r="E1298" s="116">
        <v>538.35</v>
      </c>
      <c r="F1298" s="116">
        <v>555.04999999999995</v>
      </c>
      <c r="G1298">
        <v>199570</v>
      </c>
      <c r="H1298" s="116"/>
      <c r="I1298" s="116"/>
      <c r="L1298" s="170">
        <v>44629</v>
      </c>
      <c r="M1298" s="116">
        <v>555.54999999999995</v>
      </c>
      <c r="N1298" s="116">
        <v>560</v>
      </c>
      <c r="O1298" s="116">
        <v>537</v>
      </c>
      <c r="P1298" s="116">
        <v>538.79999999999995</v>
      </c>
      <c r="Q1298" s="116">
        <v>555.54999999999995</v>
      </c>
      <c r="R1298">
        <v>2020079</v>
      </c>
    </row>
    <row r="1299" spans="1:18" x14ac:dyDescent="0.25">
      <c r="A1299" s="170">
        <v>44630</v>
      </c>
      <c r="B1299" s="116">
        <v>568</v>
      </c>
      <c r="C1299" s="116">
        <v>553.65</v>
      </c>
      <c r="D1299" s="116">
        <v>551.5</v>
      </c>
      <c r="E1299" s="116">
        <v>562.1</v>
      </c>
      <c r="F1299" s="116">
        <v>553.65</v>
      </c>
      <c r="G1299">
        <v>48034</v>
      </c>
      <c r="H1299" s="116"/>
      <c r="I1299" s="116"/>
      <c r="L1299" s="170">
        <v>44630</v>
      </c>
      <c r="M1299" s="116">
        <v>553.75</v>
      </c>
      <c r="N1299" s="116">
        <v>568.79999999999995</v>
      </c>
      <c r="O1299" s="116">
        <v>551.25</v>
      </c>
      <c r="P1299" s="116">
        <v>562.70000000000005</v>
      </c>
      <c r="Q1299" s="116">
        <v>553.75</v>
      </c>
      <c r="R1299">
        <v>1380091</v>
      </c>
    </row>
    <row r="1300" spans="1:18" x14ac:dyDescent="0.25">
      <c r="A1300" s="170">
        <v>44631</v>
      </c>
      <c r="B1300" s="116">
        <v>587.65</v>
      </c>
      <c r="C1300" s="116">
        <v>577.9</v>
      </c>
      <c r="D1300" s="116">
        <v>550.79999999999995</v>
      </c>
      <c r="E1300" s="116">
        <v>554</v>
      </c>
      <c r="F1300" s="116">
        <v>577.9</v>
      </c>
      <c r="G1300">
        <v>187985</v>
      </c>
      <c r="H1300" s="116"/>
      <c r="I1300" s="116"/>
      <c r="L1300" s="170">
        <v>44631</v>
      </c>
      <c r="M1300" s="116">
        <v>578</v>
      </c>
      <c r="N1300" s="116">
        <v>587.15</v>
      </c>
      <c r="O1300" s="116">
        <v>550.29999999999995</v>
      </c>
      <c r="P1300" s="116">
        <v>553</v>
      </c>
      <c r="Q1300" s="116">
        <v>578</v>
      </c>
      <c r="R1300">
        <v>4815381</v>
      </c>
    </row>
    <row r="1301" spans="1:18" x14ac:dyDescent="0.25">
      <c r="A1301" s="170">
        <v>44634</v>
      </c>
      <c r="B1301" s="116">
        <v>595.85</v>
      </c>
      <c r="C1301" s="116">
        <v>578.79999999999995</v>
      </c>
      <c r="D1301" s="116">
        <v>577</v>
      </c>
      <c r="E1301" s="116">
        <v>585</v>
      </c>
      <c r="F1301" s="116">
        <v>578.79999999999995</v>
      </c>
      <c r="G1301">
        <v>143850</v>
      </c>
      <c r="H1301" s="116"/>
      <c r="I1301" s="116"/>
      <c r="L1301" s="170">
        <v>44634</v>
      </c>
      <c r="M1301" s="116">
        <v>579.15</v>
      </c>
      <c r="N1301" s="116">
        <v>596</v>
      </c>
      <c r="O1301" s="116">
        <v>577.15</v>
      </c>
      <c r="P1301" s="116">
        <v>583.65</v>
      </c>
      <c r="Q1301" s="116">
        <v>579.15</v>
      </c>
      <c r="R1301">
        <v>4099631</v>
      </c>
    </row>
    <row r="1302" spans="1:18" x14ac:dyDescent="0.25">
      <c r="A1302" s="170">
        <v>44635</v>
      </c>
      <c r="B1302" s="116">
        <v>586.29999999999995</v>
      </c>
      <c r="C1302" s="116">
        <v>569.04999999999995</v>
      </c>
      <c r="D1302" s="116">
        <v>565</v>
      </c>
      <c r="E1302" s="116">
        <v>580.20000000000005</v>
      </c>
      <c r="F1302" s="116">
        <v>569.04999999999995</v>
      </c>
      <c r="G1302">
        <v>87637</v>
      </c>
      <c r="H1302" s="116"/>
      <c r="I1302" s="116"/>
      <c r="L1302" s="170">
        <v>44635</v>
      </c>
      <c r="M1302" s="116">
        <v>568.85</v>
      </c>
      <c r="N1302" s="116">
        <v>586.9</v>
      </c>
      <c r="O1302" s="116">
        <v>565</v>
      </c>
      <c r="P1302" s="116">
        <v>582.1</v>
      </c>
      <c r="Q1302" s="116">
        <v>568.85</v>
      </c>
      <c r="R1302">
        <v>2622064</v>
      </c>
    </row>
    <row r="1303" spans="1:18" x14ac:dyDescent="0.25">
      <c r="A1303" s="170">
        <v>44636</v>
      </c>
      <c r="B1303" s="116">
        <v>583.5</v>
      </c>
      <c r="C1303" s="116">
        <v>578.6</v>
      </c>
      <c r="D1303" s="116">
        <v>564.79999999999995</v>
      </c>
      <c r="E1303" s="116">
        <v>572</v>
      </c>
      <c r="F1303" s="116">
        <v>578.6</v>
      </c>
      <c r="G1303">
        <v>131804</v>
      </c>
      <c r="H1303" s="116"/>
      <c r="I1303" s="116"/>
      <c r="L1303" s="170">
        <v>44636</v>
      </c>
      <c r="M1303" s="116">
        <v>579</v>
      </c>
      <c r="N1303" s="116">
        <v>583.5</v>
      </c>
      <c r="O1303" s="116">
        <v>564.45000000000005</v>
      </c>
      <c r="P1303" s="116">
        <v>573.70000000000005</v>
      </c>
      <c r="Q1303" s="116">
        <v>579</v>
      </c>
      <c r="R1303">
        <v>1726221</v>
      </c>
    </row>
    <row r="1304" spans="1:18" x14ac:dyDescent="0.25">
      <c r="A1304" s="170">
        <v>44637</v>
      </c>
      <c r="B1304" s="116">
        <v>585.15</v>
      </c>
      <c r="C1304" s="116">
        <v>580.20000000000005</v>
      </c>
      <c r="D1304" s="116">
        <v>571.75</v>
      </c>
      <c r="E1304" s="116">
        <v>584.95000000000005</v>
      </c>
      <c r="F1304" s="116">
        <v>580.20000000000005</v>
      </c>
      <c r="G1304">
        <v>96863</v>
      </c>
      <c r="H1304" s="116"/>
      <c r="I1304" s="116"/>
      <c r="L1304" s="170">
        <v>44637</v>
      </c>
      <c r="M1304" s="116">
        <v>581.04999999999995</v>
      </c>
      <c r="N1304" s="116">
        <v>585.70000000000005</v>
      </c>
      <c r="O1304" s="116">
        <v>572.85</v>
      </c>
      <c r="P1304" s="116">
        <v>583</v>
      </c>
      <c r="Q1304" s="116">
        <v>581.04999999999995</v>
      </c>
      <c r="R1304">
        <v>2135595</v>
      </c>
    </row>
    <row r="1305" spans="1:18" x14ac:dyDescent="0.25">
      <c r="A1305" s="170">
        <v>44641</v>
      </c>
      <c r="B1305" s="116">
        <v>601.54999999999995</v>
      </c>
      <c r="C1305" s="116">
        <v>592.4</v>
      </c>
      <c r="D1305" s="116">
        <v>578.35</v>
      </c>
      <c r="E1305" s="116">
        <v>585</v>
      </c>
      <c r="F1305" s="116">
        <v>592.4</v>
      </c>
      <c r="G1305">
        <v>134264</v>
      </c>
      <c r="H1305" s="116"/>
      <c r="I1305" s="116"/>
      <c r="L1305" s="170">
        <v>44641</v>
      </c>
      <c r="M1305" s="116">
        <v>592.35</v>
      </c>
      <c r="N1305" s="116">
        <v>601.70000000000005</v>
      </c>
      <c r="O1305" s="116">
        <v>578.1</v>
      </c>
      <c r="P1305" s="116">
        <v>581.79999999999995</v>
      </c>
      <c r="Q1305" s="116">
        <v>592.35</v>
      </c>
      <c r="R1305">
        <v>2760790</v>
      </c>
    </row>
    <row r="1306" spans="1:18" x14ac:dyDescent="0.25">
      <c r="A1306" s="170">
        <v>44642</v>
      </c>
      <c r="B1306" s="116">
        <v>598.95000000000005</v>
      </c>
      <c r="C1306" s="116">
        <v>593.95000000000005</v>
      </c>
      <c r="D1306" s="116">
        <v>586.4</v>
      </c>
      <c r="E1306" s="116">
        <v>596</v>
      </c>
      <c r="F1306" s="116">
        <v>593.95000000000005</v>
      </c>
      <c r="G1306">
        <v>133191</v>
      </c>
      <c r="H1306" s="116"/>
      <c r="I1306" s="116"/>
      <c r="L1306" s="170">
        <v>44642</v>
      </c>
      <c r="M1306" s="116">
        <v>594.04999999999995</v>
      </c>
      <c r="N1306" s="116">
        <v>599</v>
      </c>
      <c r="O1306" s="116">
        <v>586.65</v>
      </c>
      <c r="P1306" s="116">
        <v>593</v>
      </c>
      <c r="Q1306" s="116">
        <v>594.04999999999995</v>
      </c>
      <c r="R1306">
        <v>1492679</v>
      </c>
    </row>
    <row r="1307" spans="1:18" x14ac:dyDescent="0.25">
      <c r="A1307" s="170">
        <v>44643</v>
      </c>
      <c r="B1307" s="116">
        <v>609.15</v>
      </c>
      <c r="C1307" s="116">
        <v>605.45000000000005</v>
      </c>
      <c r="D1307" s="116">
        <v>595</v>
      </c>
      <c r="E1307" s="116">
        <v>595.4</v>
      </c>
      <c r="F1307" s="116">
        <v>605.45000000000005</v>
      </c>
      <c r="G1307">
        <v>118505</v>
      </c>
      <c r="H1307" s="116"/>
      <c r="I1307" s="116"/>
      <c r="L1307" s="170">
        <v>44643</v>
      </c>
      <c r="M1307" s="116">
        <v>605.79999999999995</v>
      </c>
      <c r="N1307" s="116">
        <v>609</v>
      </c>
      <c r="O1307" s="116">
        <v>595.1</v>
      </c>
      <c r="P1307" s="116">
        <v>598.15</v>
      </c>
      <c r="Q1307" s="116">
        <v>605.79999999999995</v>
      </c>
      <c r="R1307">
        <v>2551432</v>
      </c>
    </row>
    <row r="1308" spans="1:18" x14ac:dyDescent="0.25">
      <c r="A1308" s="170">
        <v>44644</v>
      </c>
      <c r="B1308" s="116">
        <v>610.15</v>
      </c>
      <c r="C1308" s="116">
        <v>604.04999999999995</v>
      </c>
      <c r="D1308" s="116">
        <v>600.45000000000005</v>
      </c>
      <c r="E1308" s="116">
        <v>607.9</v>
      </c>
      <c r="F1308" s="116">
        <v>604.04999999999995</v>
      </c>
      <c r="G1308">
        <v>61082</v>
      </c>
      <c r="H1308" s="116"/>
      <c r="I1308" s="116"/>
      <c r="L1308" s="170">
        <v>44644</v>
      </c>
      <c r="M1308" s="116">
        <v>604.25</v>
      </c>
      <c r="N1308" s="116">
        <v>610.79999999999995</v>
      </c>
      <c r="O1308" s="116">
        <v>600.1</v>
      </c>
      <c r="P1308" s="116">
        <v>608</v>
      </c>
      <c r="Q1308" s="116">
        <v>604.25</v>
      </c>
      <c r="R1308">
        <v>1729329</v>
      </c>
    </row>
    <row r="1309" spans="1:18" x14ac:dyDescent="0.25">
      <c r="A1309" s="170">
        <v>44645</v>
      </c>
      <c r="B1309" s="116">
        <v>613.35</v>
      </c>
      <c r="C1309" s="116">
        <v>589.79999999999995</v>
      </c>
      <c r="D1309" s="116">
        <v>588.4</v>
      </c>
      <c r="E1309" s="116">
        <v>609.79999999999995</v>
      </c>
      <c r="F1309" s="116">
        <v>589.79999999999995</v>
      </c>
      <c r="G1309">
        <v>74902</v>
      </c>
      <c r="H1309" s="116"/>
      <c r="I1309" s="116"/>
      <c r="L1309" s="170">
        <v>44645</v>
      </c>
      <c r="M1309" s="116">
        <v>589.79999999999995</v>
      </c>
      <c r="N1309" s="116">
        <v>613.9</v>
      </c>
      <c r="O1309" s="116">
        <v>588.1</v>
      </c>
      <c r="P1309" s="116">
        <v>610</v>
      </c>
      <c r="Q1309" s="116">
        <v>589.79999999999995</v>
      </c>
      <c r="R1309">
        <v>1935814</v>
      </c>
    </row>
    <row r="1310" spans="1:18" x14ac:dyDescent="0.25">
      <c r="A1310" s="170">
        <v>44648</v>
      </c>
      <c r="B1310" s="116">
        <v>600</v>
      </c>
      <c r="C1310" s="116">
        <v>590.70000000000005</v>
      </c>
      <c r="D1310" s="116">
        <v>585.45000000000005</v>
      </c>
      <c r="E1310" s="116">
        <v>591.5</v>
      </c>
      <c r="F1310" s="116">
        <v>590.70000000000005</v>
      </c>
      <c r="G1310">
        <v>126833</v>
      </c>
      <c r="H1310" s="116"/>
      <c r="I1310" s="116"/>
      <c r="L1310" s="170">
        <v>44648</v>
      </c>
      <c r="M1310" s="116">
        <v>590.75</v>
      </c>
      <c r="N1310" s="116">
        <v>600</v>
      </c>
      <c r="O1310" s="116">
        <v>585.79999999999995</v>
      </c>
      <c r="P1310" s="116">
        <v>594</v>
      </c>
      <c r="Q1310" s="116">
        <v>590.75</v>
      </c>
      <c r="R1310">
        <v>1555352</v>
      </c>
    </row>
    <row r="1311" spans="1:18" x14ac:dyDescent="0.25">
      <c r="A1311" s="170">
        <v>44649</v>
      </c>
      <c r="B1311" s="116">
        <v>598.54999999999995</v>
      </c>
      <c r="C1311" s="116">
        <v>594.35</v>
      </c>
      <c r="D1311" s="116">
        <v>590.25</v>
      </c>
      <c r="E1311" s="116">
        <v>591.6</v>
      </c>
      <c r="F1311" s="116">
        <v>594.35</v>
      </c>
      <c r="G1311">
        <v>109649</v>
      </c>
      <c r="H1311" s="116"/>
      <c r="I1311" s="116"/>
      <c r="L1311" s="170">
        <v>44649</v>
      </c>
      <c r="M1311" s="116">
        <v>594.04999999999995</v>
      </c>
      <c r="N1311" s="116">
        <v>598.75</v>
      </c>
      <c r="O1311" s="116">
        <v>590.4</v>
      </c>
      <c r="P1311" s="116">
        <v>593.75</v>
      </c>
      <c r="Q1311" s="116">
        <v>594.04999999999995</v>
      </c>
      <c r="R1311">
        <v>1430440</v>
      </c>
    </row>
    <row r="1312" spans="1:18" x14ac:dyDescent="0.25">
      <c r="A1312" s="170">
        <v>44650</v>
      </c>
      <c r="B1312" s="116">
        <v>599.9</v>
      </c>
      <c r="C1312" s="116">
        <v>597.9</v>
      </c>
      <c r="D1312" s="116">
        <v>594.35</v>
      </c>
      <c r="E1312" s="116">
        <v>594.6</v>
      </c>
      <c r="F1312" s="116">
        <v>597.9</v>
      </c>
      <c r="G1312">
        <v>81987</v>
      </c>
      <c r="H1312" s="116"/>
      <c r="I1312" s="116"/>
      <c r="L1312" s="170">
        <v>44650</v>
      </c>
      <c r="M1312" s="116">
        <v>597.70000000000005</v>
      </c>
      <c r="N1312" s="116">
        <v>600</v>
      </c>
      <c r="O1312" s="116">
        <v>594.25</v>
      </c>
      <c r="P1312" s="116">
        <v>595.20000000000005</v>
      </c>
      <c r="Q1312" s="116">
        <v>597.70000000000005</v>
      </c>
      <c r="R1312">
        <v>910984</v>
      </c>
    </row>
    <row r="1313" spans="1:18" x14ac:dyDescent="0.25">
      <c r="A1313" s="170">
        <v>44651</v>
      </c>
      <c r="B1313" s="116">
        <v>599.1</v>
      </c>
      <c r="C1313" s="116">
        <v>590.04999999999995</v>
      </c>
      <c r="D1313" s="116">
        <v>587.79999999999995</v>
      </c>
      <c r="E1313" s="116">
        <v>597.9</v>
      </c>
      <c r="F1313" s="116">
        <v>590.04999999999995</v>
      </c>
      <c r="G1313">
        <v>88786</v>
      </c>
      <c r="H1313" s="116"/>
      <c r="I1313" s="116"/>
      <c r="L1313" s="170">
        <v>44651</v>
      </c>
      <c r="M1313" s="116">
        <v>590.1</v>
      </c>
      <c r="N1313" s="116">
        <v>599.35</v>
      </c>
      <c r="O1313" s="116">
        <v>588</v>
      </c>
      <c r="P1313" s="116">
        <v>597</v>
      </c>
      <c r="Q1313" s="116">
        <v>590.1</v>
      </c>
      <c r="R1313">
        <v>1202532</v>
      </c>
    </row>
    <row r="1314" spans="1:18" x14ac:dyDescent="0.25">
      <c r="A1314" s="170">
        <v>44652</v>
      </c>
      <c r="B1314" s="116">
        <v>600.1</v>
      </c>
      <c r="C1314" s="116">
        <v>596.5</v>
      </c>
      <c r="D1314" s="116">
        <v>588</v>
      </c>
      <c r="E1314" s="116">
        <v>590</v>
      </c>
      <c r="F1314" s="116">
        <v>596.5</v>
      </c>
      <c r="G1314">
        <v>34159</v>
      </c>
      <c r="H1314" s="116"/>
      <c r="I1314" s="116"/>
      <c r="L1314" s="170">
        <v>44652</v>
      </c>
      <c r="M1314" s="116">
        <v>596.70000000000005</v>
      </c>
      <c r="N1314" s="116">
        <v>600</v>
      </c>
      <c r="O1314" s="116">
        <v>586.20000000000005</v>
      </c>
      <c r="P1314" s="116">
        <v>590</v>
      </c>
      <c r="Q1314" s="116">
        <v>596.70000000000005</v>
      </c>
      <c r="R1314">
        <v>1025361</v>
      </c>
    </row>
    <row r="1315" spans="1:18" x14ac:dyDescent="0.25">
      <c r="A1315" s="170">
        <v>44655</v>
      </c>
      <c r="B1315" s="116">
        <v>606.45000000000005</v>
      </c>
      <c r="C1315" s="116">
        <v>600.04999999999995</v>
      </c>
      <c r="D1315" s="116">
        <v>597.1</v>
      </c>
      <c r="E1315" s="116">
        <v>598.4</v>
      </c>
      <c r="F1315" s="116">
        <v>600.04999999999995</v>
      </c>
      <c r="G1315">
        <v>42025</v>
      </c>
      <c r="H1315" s="116"/>
      <c r="I1315" s="116"/>
      <c r="L1315" s="170">
        <v>44655</v>
      </c>
      <c r="M1315" s="116">
        <v>600.45000000000005</v>
      </c>
      <c r="N1315" s="116">
        <v>607</v>
      </c>
      <c r="O1315" s="116">
        <v>597.1</v>
      </c>
      <c r="P1315" s="116">
        <v>600.1</v>
      </c>
      <c r="Q1315" s="116">
        <v>600.45000000000005</v>
      </c>
      <c r="R1315">
        <v>1039718</v>
      </c>
    </row>
    <row r="1316" spans="1:18" x14ac:dyDescent="0.25">
      <c r="A1316" s="170">
        <v>44656</v>
      </c>
      <c r="B1316" s="116">
        <v>614.85</v>
      </c>
      <c r="C1316" s="116">
        <v>608.54999999999995</v>
      </c>
      <c r="D1316" s="116">
        <v>601.25</v>
      </c>
      <c r="E1316" s="116">
        <v>601.25</v>
      </c>
      <c r="F1316" s="116">
        <v>608.54999999999995</v>
      </c>
      <c r="G1316">
        <v>66316</v>
      </c>
      <c r="H1316" s="116"/>
      <c r="I1316" s="116"/>
      <c r="L1316" s="170">
        <v>44656</v>
      </c>
      <c r="M1316" s="116">
        <v>608.54999999999995</v>
      </c>
      <c r="N1316" s="116">
        <v>614.79999999999995</v>
      </c>
      <c r="O1316" s="116">
        <v>601.04999999999995</v>
      </c>
      <c r="P1316" s="116">
        <v>603.20000000000005</v>
      </c>
      <c r="Q1316" s="116">
        <v>608.54999999999995</v>
      </c>
      <c r="R1316">
        <v>1824062</v>
      </c>
    </row>
    <row r="1317" spans="1:18" x14ac:dyDescent="0.25">
      <c r="A1317" s="170">
        <v>44657</v>
      </c>
      <c r="B1317" s="116">
        <v>617.4</v>
      </c>
      <c r="C1317" s="116">
        <v>604.85</v>
      </c>
      <c r="D1317" s="116">
        <v>603.54999999999995</v>
      </c>
      <c r="E1317" s="116">
        <v>605</v>
      </c>
      <c r="F1317" s="116">
        <v>604.85</v>
      </c>
      <c r="G1317">
        <v>123097</v>
      </c>
      <c r="H1317" s="116"/>
      <c r="I1317" s="116"/>
      <c r="L1317" s="170">
        <v>44657</v>
      </c>
      <c r="M1317" s="116">
        <v>605.25</v>
      </c>
      <c r="N1317" s="116">
        <v>617.04999999999995</v>
      </c>
      <c r="O1317" s="116">
        <v>603.65</v>
      </c>
      <c r="P1317" s="116">
        <v>606.5</v>
      </c>
      <c r="Q1317" s="116">
        <v>605.25</v>
      </c>
      <c r="R1317">
        <v>1394118</v>
      </c>
    </row>
    <row r="1318" spans="1:18" x14ac:dyDescent="0.25">
      <c r="A1318" s="170">
        <v>44658</v>
      </c>
      <c r="B1318" s="116">
        <v>611.25</v>
      </c>
      <c r="C1318" s="116">
        <v>599.6</v>
      </c>
      <c r="D1318" s="116">
        <v>596.70000000000005</v>
      </c>
      <c r="E1318" s="116">
        <v>609</v>
      </c>
      <c r="F1318" s="116">
        <v>599.6</v>
      </c>
      <c r="G1318">
        <v>60047</v>
      </c>
      <c r="H1318" s="116"/>
      <c r="I1318" s="116"/>
      <c r="L1318" s="170">
        <v>44658</v>
      </c>
      <c r="M1318" s="116">
        <v>599.15</v>
      </c>
      <c r="N1318" s="116">
        <v>611</v>
      </c>
      <c r="O1318" s="116">
        <v>596.20000000000005</v>
      </c>
      <c r="P1318" s="116">
        <v>605.25</v>
      </c>
      <c r="Q1318" s="116">
        <v>599.15</v>
      </c>
      <c r="R1318">
        <v>1430693</v>
      </c>
    </row>
    <row r="1319" spans="1:18" x14ac:dyDescent="0.25">
      <c r="A1319" s="170">
        <v>44659</v>
      </c>
      <c r="B1319" s="116">
        <v>608.70000000000005</v>
      </c>
      <c r="C1319" s="116">
        <v>604.95000000000005</v>
      </c>
      <c r="D1319" s="116">
        <v>595</v>
      </c>
      <c r="E1319" s="116">
        <v>599.6</v>
      </c>
      <c r="F1319" s="116">
        <v>604.95000000000005</v>
      </c>
      <c r="G1319">
        <v>100311</v>
      </c>
      <c r="H1319" s="116"/>
      <c r="I1319" s="116"/>
      <c r="L1319" s="170">
        <v>44659</v>
      </c>
      <c r="M1319" s="116">
        <v>605.1</v>
      </c>
      <c r="N1319" s="116">
        <v>609</v>
      </c>
      <c r="O1319" s="116">
        <v>595</v>
      </c>
      <c r="P1319" s="116">
        <v>598</v>
      </c>
      <c r="Q1319" s="116">
        <v>605.1</v>
      </c>
      <c r="R1319">
        <v>1069959</v>
      </c>
    </row>
    <row r="1320" spans="1:18" x14ac:dyDescent="0.25">
      <c r="A1320" s="170">
        <v>44662</v>
      </c>
      <c r="B1320" s="116">
        <v>612.70000000000005</v>
      </c>
      <c r="C1320" s="116">
        <v>601.79999999999995</v>
      </c>
      <c r="D1320" s="116">
        <v>599.29999999999995</v>
      </c>
      <c r="E1320" s="116">
        <v>600.1</v>
      </c>
      <c r="F1320" s="116">
        <v>601.79999999999995</v>
      </c>
      <c r="G1320">
        <v>65110</v>
      </c>
      <c r="H1320" s="116"/>
      <c r="I1320" s="116"/>
      <c r="L1320" s="170">
        <v>44662</v>
      </c>
      <c r="M1320" s="116">
        <v>601.29999999999995</v>
      </c>
      <c r="N1320" s="116">
        <v>612.9</v>
      </c>
      <c r="O1320" s="116">
        <v>598.9</v>
      </c>
      <c r="P1320" s="116">
        <v>605</v>
      </c>
      <c r="Q1320" s="116">
        <v>601.29999999999995</v>
      </c>
      <c r="R1320">
        <v>1005985</v>
      </c>
    </row>
    <row r="1321" spans="1:18" x14ac:dyDescent="0.25">
      <c r="A1321" s="170">
        <v>44663</v>
      </c>
      <c r="B1321" s="116">
        <v>600</v>
      </c>
      <c r="C1321" s="116">
        <v>594.04999999999995</v>
      </c>
      <c r="D1321" s="116">
        <v>590.75</v>
      </c>
      <c r="E1321" s="116">
        <v>599.9</v>
      </c>
      <c r="F1321" s="116">
        <v>594.04999999999995</v>
      </c>
      <c r="G1321">
        <v>86479</v>
      </c>
      <c r="H1321" s="116"/>
      <c r="I1321" s="116"/>
      <c r="L1321" s="170">
        <v>44663</v>
      </c>
      <c r="M1321" s="116">
        <v>594.25</v>
      </c>
      <c r="N1321" s="116">
        <v>600</v>
      </c>
      <c r="O1321" s="116">
        <v>591</v>
      </c>
      <c r="P1321" s="116">
        <v>600</v>
      </c>
      <c r="Q1321" s="116">
        <v>594.25</v>
      </c>
      <c r="R1321">
        <v>958501</v>
      </c>
    </row>
    <row r="1322" spans="1:18" x14ac:dyDescent="0.25">
      <c r="A1322" s="170">
        <v>44664</v>
      </c>
      <c r="B1322" s="116">
        <v>605.54999999999995</v>
      </c>
      <c r="C1322" s="116">
        <v>603</v>
      </c>
      <c r="D1322" s="116">
        <v>594.79999999999995</v>
      </c>
      <c r="E1322" s="116">
        <v>595.1</v>
      </c>
      <c r="F1322" s="116">
        <v>603</v>
      </c>
      <c r="G1322">
        <v>42725</v>
      </c>
      <c r="H1322" s="116"/>
      <c r="I1322" s="116"/>
      <c r="L1322" s="170">
        <v>44664</v>
      </c>
      <c r="M1322" s="116">
        <v>602.85</v>
      </c>
      <c r="N1322" s="116">
        <v>605.75</v>
      </c>
      <c r="O1322" s="116">
        <v>595</v>
      </c>
      <c r="P1322" s="116">
        <v>596</v>
      </c>
      <c r="Q1322" s="116">
        <v>602.85</v>
      </c>
      <c r="R1322">
        <v>1054371</v>
      </c>
    </row>
    <row r="1323" spans="1:18" x14ac:dyDescent="0.25">
      <c r="A1323" s="170">
        <v>44669</v>
      </c>
      <c r="B1323" s="116">
        <v>599.95000000000005</v>
      </c>
      <c r="C1323" s="116">
        <v>597.95000000000005</v>
      </c>
      <c r="D1323" s="116">
        <v>591.9</v>
      </c>
      <c r="E1323" s="116">
        <v>595.1</v>
      </c>
      <c r="F1323" s="116">
        <v>597.95000000000005</v>
      </c>
      <c r="G1323">
        <v>102775</v>
      </c>
      <c r="H1323" s="116"/>
      <c r="I1323" s="116"/>
      <c r="L1323" s="170">
        <v>44669</v>
      </c>
      <c r="M1323" s="116">
        <v>598.04999999999995</v>
      </c>
      <c r="N1323" s="116">
        <v>600</v>
      </c>
      <c r="O1323" s="116">
        <v>593.20000000000005</v>
      </c>
      <c r="P1323" s="116">
        <v>597</v>
      </c>
      <c r="Q1323" s="116">
        <v>598.04999999999995</v>
      </c>
      <c r="R1323">
        <v>840731</v>
      </c>
    </row>
    <row r="1324" spans="1:18" x14ac:dyDescent="0.25">
      <c r="A1324" s="170">
        <v>44670</v>
      </c>
      <c r="B1324" s="116">
        <v>626</v>
      </c>
      <c r="C1324" s="116">
        <v>597</v>
      </c>
      <c r="D1324" s="116">
        <v>585</v>
      </c>
      <c r="E1324" s="116">
        <v>598</v>
      </c>
      <c r="F1324" s="116">
        <v>597</v>
      </c>
      <c r="G1324">
        <v>136012</v>
      </c>
      <c r="H1324" s="116"/>
      <c r="I1324" s="116"/>
      <c r="L1324" s="170">
        <v>44670</v>
      </c>
      <c r="M1324" s="116">
        <v>596.95000000000005</v>
      </c>
      <c r="N1324" s="116">
        <v>626.29999999999995</v>
      </c>
      <c r="O1324" s="116">
        <v>584.54999999999995</v>
      </c>
      <c r="P1324" s="116">
        <v>601.35</v>
      </c>
      <c r="Q1324" s="116">
        <v>596.95000000000005</v>
      </c>
      <c r="R1324">
        <v>4325478</v>
      </c>
    </row>
    <row r="1325" spans="1:18" x14ac:dyDescent="0.25">
      <c r="A1325" s="170">
        <v>44671</v>
      </c>
      <c r="B1325" s="116">
        <v>611.5</v>
      </c>
      <c r="C1325" s="116">
        <v>605.95000000000005</v>
      </c>
      <c r="D1325" s="116">
        <v>594.70000000000005</v>
      </c>
      <c r="E1325" s="116">
        <v>599</v>
      </c>
      <c r="F1325" s="116">
        <v>605.95000000000005</v>
      </c>
      <c r="G1325">
        <v>124695</v>
      </c>
      <c r="H1325" s="116"/>
      <c r="I1325" s="116"/>
      <c r="L1325" s="170">
        <v>44671</v>
      </c>
      <c r="M1325" s="116">
        <v>606.1</v>
      </c>
      <c r="N1325" s="116">
        <v>611.9</v>
      </c>
      <c r="O1325" s="116">
        <v>594.6</v>
      </c>
      <c r="P1325" s="116">
        <v>599.45000000000005</v>
      </c>
      <c r="Q1325" s="116">
        <v>606.1</v>
      </c>
      <c r="R1325">
        <v>1442974</v>
      </c>
    </row>
    <row r="1326" spans="1:18" x14ac:dyDescent="0.25">
      <c r="A1326" s="170">
        <v>44672</v>
      </c>
      <c r="B1326" s="116">
        <v>614.15</v>
      </c>
      <c r="C1326" s="116">
        <v>611</v>
      </c>
      <c r="D1326" s="116">
        <v>608</v>
      </c>
      <c r="E1326" s="116">
        <v>608</v>
      </c>
      <c r="F1326" s="116">
        <v>611</v>
      </c>
      <c r="G1326">
        <v>36426</v>
      </c>
      <c r="H1326" s="116"/>
      <c r="I1326" s="116"/>
      <c r="L1326" s="170">
        <v>44672</v>
      </c>
      <c r="M1326" s="116">
        <v>611.04999999999995</v>
      </c>
      <c r="N1326" s="116">
        <v>614.75</v>
      </c>
      <c r="O1326" s="116">
        <v>608</v>
      </c>
      <c r="P1326" s="116">
        <v>610.20000000000005</v>
      </c>
      <c r="Q1326" s="116">
        <v>611.04999999999995</v>
      </c>
      <c r="R1326">
        <v>874180</v>
      </c>
    </row>
    <row r="1327" spans="1:18" x14ac:dyDescent="0.25">
      <c r="A1327" s="170">
        <v>44673</v>
      </c>
      <c r="B1327" s="116">
        <v>622.29999999999995</v>
      </c>
      <c r="C1327" s="116">
        <v>608.04999999999995</v>
      </c>
      <c r="D1327" s="116">
        <v>604.1</v>
      </c>
      <c r="E1327" s="116">
        <v>607.04999999999995</v>
      </c>
      <c r="F1327" s="116">
        <v>608.04999999999995</v>
      </c>
      <c r="G1327">
        <v>39996</v>
      </c>
      <c r="H1327" s="116"/>
      <c r="I1327" s="116"/>
      <c r="L1327" s="170">
        <v>44673</v>
      </c>
      <c r="M1327" s="116">
        <v>607.85</v>
      </c>
      <c r="N1327" s="116">
        <v>622.29999999999995</v>
      </c>
      <c r="O1327" s="116">
        <v>604.15</v>
      </c>
      <c r="P1327" s="116">
        <v>610.9</v>
      </c>
      <c r="Q1327" s="116">
        <v>607.85</v>
      </c>
      <c r="R1327">
        <v>1407690</v>
      </c>
    </row>
    <row r="1328" spans="1:18" x14ac:dyDescent="0.25">
      <c r="A1328" s="170">
        <v>44676</v>
      </c>
      <c r="B1328" s="116">
        <v>602</v>
      </c>
      <c r="C1328" s="116">
        <v>594</v>
      </c>
      <c r="D1328" s="116">
        <v>591</v>
      </c>
      <c r="E1328" s="116">
        <v>602</v>
      </c>
      <c r="F1328" s="116">
        <v>594</v>
      </c>
      <c r="G1328">
        <v>80025</v>
      </c>
      <c r="H1328" s="116"/>
      <c r="I1328" s="116"/>
      <c r="L1328" s="170">
        <v>44676</v>
      </c>
      <c r="M1328" s="116">
        <v>593.9</v>
      </c>
      <c r="N1328" s="116">
        <v>602</v>
      </c>
      <c r="O1328" s="116">
        <v>591.45000000000005</v>
      </c>
      <c r="P1328" s="116">
        <v>602</v>
      </c>
      <c r="Q1328" s="116">
        <v>593.9</v>
      </c>
      <c r="R1328">
        <v>1482942</v>
      </c>
    </row>
    <row r="1329" spans="1:18" x14ac:dyDescent="0.25">
      <c r="A1329" s="170">
        <v>44677</v>
      </c>
      <c r="B1329" s="116">
        <v>603.04999999999995</v>
      </c>
      <c r="C1329" s="116">
        <v>571.85</v>
      </c>
      <c r="D1329" s="116">
        <v>570.1</v>
      </c>
      <c r="E1329" s="116">
        <v>598.4</v>
      </c>
      <c r="F1329" s="116">
        <v>571.85</v>
      </c>
      <c r="G1329">
        <v>166310</v>
      </c>
      <c r="H1329" s="116"/>
      <c r="I1329" s="116"/>
      <c r="L1329" s="170">
        <v>44677</v>
      </c>
      <c r="M1329" s="116">
        <v>572.1</v>
      </c>
      <c r="N1329" s="116">
        <v>603.20000000000005</v>
      </c>
      <c r="O1329" s="116">
        <v>570</v>
      </c>
      <c r="P1329" s="116">
        <v>597.35</v>
      </c>
      <c r="Q1329" s="116">
        <v>572.1</v>
      </c>
      <c r="R1329">
        <v>2150862</v>
      </c>
    </row>
    <row r="1330" spans="1:18" x14ac:dyDescent="0.25">
      <c r="A1330" s="170">
        <v>44678</v>
      </c>
      <c r="B1330" s="116">
        <v>585.1</v>
      </c>
      <c r="C1330" s="116">
        <v>578.79999999999995</v>
      </c>
      <c r="D1330" s="116">
        <v>557.95000000000005</v>
      </c>
      <c r="E1330" s="116">
        <v>571.79999999999995</v>
      </c>
      <c r="F1330" s="116">
        <v>578.79999999999995</v>
      </c>
      <c r="G1330">
        <v>71239</v>
      </c>
      <c r="H1330" s="116"/>
      <c r="I1330" s="116"/>
      <c r="L1330" s="170">
        <v>44678</v>
      </c>
      <c r="M1330" s="116">
        <v>579.29999999999995</v>
      </c>
      <c r="N1330" s="116">
        <v>585</v>
      </c>
      <c r="O1330" s="116">
        <v>557.54999999999995</v>
      </c>
      <c r="P1330" s="116">
        <v>569.9</v>
      </c>
      <c r="Q1330" s="116">
        <v>579.29999999999995</v>
      </c>
      <c r="R1330">
        <v>1861939</v>
      </c>
    </row>
    <row r="1331" spans="1:18" x14ac:dyDescent="0.25">
      <c r="A1331" s="170">
        <v>44679</v>
      </c>
      <c r="B1331" s="116">
        <v>595.75</v>
      </c>
      <c r="C1331" s="116">
        <v>571.9</v>
      </c>
      <c r="D1331" s="116">
        <v>561.9</v>
      </c>
      <c r="E1331" s="116">
        <v>578.79999999999995</v>
      </c>
      <c r="F1331" s="116">
        <v>571.9</v>
      </c>
      <c r="G1331">
        <v>139943</v>
      </c>
      <c r="H1331" s="116"/>
      <c r="I1331" s="116"/>
      <c r="L1331" s="170">
        <v>44679</v>
      </c>
      <c r="M1331" s="116">
        <v>571.9</v>
      </c>
      <c r="N1331" s="116">
        <v>596</v>
      </c>
      <c r="O1331" s="116">
        <v>561.29999999999995</v>
      </c>
      <c r="P1331" s="116">
        <v>581.1</v>
      </c>
      <c r="Q1331" s="116">
        <v>571.9</v>
      </c>
      <c r="R1331">
        <v>4638512</v>
      </c>
    </row>
    <row r="1332" spans="1:18" x14ac:dyDescent="0.25">
      <c r="A1332" s="170">
        <v>44680</v>
      </c>
      <c r="B1332" s="116">
        <v>588.25</v>
      </c>
      <c r="C1332" s="116">
        <v>583.65</v>
      </c>
      <c r="D1332" s="116">
        <v>555.25</v>
      </c>
      <c r="E1332" s="116">
        <v>570.25</v>
      </c>
      <c r="F1332" s="116">
        <v>583.65</v>
      </c>
      <c r="G1332">
        <v>138781</v>
      </c>
      <c r="H1332" s="116"/>
      <c r="I1332" s="116"/>
      <c r="L1332" s="170">
        <v>44680</v>
      </c>
      <c r="M1332" s="116">
        <v>583.35</v>
      </c>
      <c r="N1332" s="116">
        <v>590.20000000000005</v>
      </c>
      <c r="O1332" s="116">
        <v>555.29999999999995</v>
      </c>
      <c r="P1332" s="116">
        <v>571.9</v>
      </c>
      <c r="Q1332" s="116">
        <v>583.35</v>
      </c>
      <c r="R1332">
        <v>4171067</v>
      </c>
    </row>
    <row r="1333" spans="1:18" x14ac:dyDescent="0.25">
      <c r="A1333" s="170">
        <v>44683</v>
      </c>
      <c r="B1333" s="116">
        <v>601.5</v>
      </c>
      <c r="C1333" s="116">
        <v>592.75</v>
      </c>
      <c r="D1333" s="116">
        <v>576.95000000000005</v>
      </c>
      <c r="E1333" s="116">
        <v>582.9</v>
      </c>
      <c r="F1333" s="116">
        <v>592.75</v>
      </c>
      <c r="G1333">
        <v>172718</v>
      </c>
      <c r="H1333" s="116"/>
      <c r="I1333" s="116"/>
      <c r="L1333" s="170">
        <v>44683</v>
      </c>
      <c r="M1333" s="116">
        <v>593.35</v>
      </c>
      <c r="N1333" s="116">
        <v>601.95000000000005</v>
      </c>
      <c r="O1333" s="116">
        <v>576.95000000000005</v>
      </c>
      <c r="P1333" s="116">
        <v>582</v>
      </c>
      <c r="Q1333" s="116">
        <v>593.35</v>
      </c>
      <c r="R1333">
        <v>3004844</v>
      </c>
    </row>
    <row r="1334" spans="1:18" x14ac:dyDescent="0.25">
      <c r="A1334" s="170">
        <v>44685</v>
      </c>
      <c r="B1334" s="116">
        <v>597.29999999999995</v>
      </c>
      <c r="C1334" s="116">
        <v>578.95000000000005</v>
      </c>
      <c r="D1334" s="116">
        <v>573.20000000000005</v>
      </c>
      <c r="E1334" s="116">
        <v>597.15</v>
      </c>
      <c r="F1334" s="116">
        <v>578.95000000000005</v>
      </c>
      <c r="G1334">
        <v>439667</v>
      </c>
      <c r="H1334" s="116"/>
      <c r="I1334" s="116"/>
      <c r="L1334" s="170">
        <v>44685</v>
      </c>
      <c r="M1334" s="116">
        <v>579.4</v>
      </c>
      <c r="N1334" s="116">
        <v>597.95000000000005</v>
      </c>
      <c r="O1334" s="116">
        <v>573.04999999999995</v>
      </c>
      <c r="P1334" s="116">
        <v>596</v>
      </c>
      <c r="Q1334" s="116">
        <v>579.4</v>
      </c>
      <c r="R1334">
        <v>1338758</v>
      </c>
    </row>
    <row r="1335" spans="1:18" x14ac:dyDescent="0.25">
      <c r="A1335" s="170">
        <v>44686</v>
      </c>
      <c r="B1335" s="116">
        <v>586</v>
      </c>
      <c r="C1335" s="116">
        <v>576.15</v>
      </c>
      <c r="D1335" s="116">
        <v>574.20000000000005</v>
      </c>
      <c r="E1335" s="116">
        <v>582</v>
      </c>
      <c r="F1335" s="116">
        <v>576.15</v>
      </c>
      <c r="G1335">
        <v>29674</v>
      </c>
      <c r="H1335" s="116"/>
      <c r="I1335" s="116"/>
      <c r="L1335" s="170">
        <v>44686</v>
      </c>
      <c r="M1335" s="116">
        <v>576.15</v>
      </c>
      <c r="N1335" s="116">
        <v>585.95000000000005</v>
      </c>
      <c r="O1335" s="116">
        <v>574.15</v>
      </c>
      <c r="P1335" s="116">
        <v>582.1</v>
      </c>
      <c r="Q1335" s="116">
        <v>576.15</v>
      </c>
      <c r="R1335">
        <v>1254250</v>
      </c>
    </row>
    <row r="1336" spans="1:18" x14ac:dyDescent="0.25">
      <c r="A1336" s="170">
        <v>44687</v>
      </c>
      <c r="B1336" s="116">
        <v>571</v>
      </c>
      <c r="C1336" s="116">
        <v>563.95000000000005</v>
      </c>
      <c r="D1336" s="116">
        <v>559</v>
      </c>
      <c r="E1336" s="116">
        <v>570</v>
      </c>
      <c r="F1336" s="116">
        <v>563.95000000000005</v>
      </c>
      <c r="G1336">
        <v>96838</v>
      </c>
      <c r="H1336" s="116"/>
      <c r="I1336" s="116"/>
      <c r="L1336" s="170">
        <v>44687</v>
      </c>
      <c r="M1336" s="116">
        <v>564.54999999999995</v>
      </c>
      <c r="N1336" s="116">
        <v>571</v>
      </c>
      <c r="O1336" s="116">
        <v>558.79999999999995</v>
      </c>
      <c r="P1336" s="116">
        <v>570</v>
      </c>
      <c r="Q1336" s="116">
        <v>564.54999999999995</v>
      </c>
      <c r="R1336">
        <v>946496</v>
      </c>
    </row>
    <row r="1337" spans="1:18" x14ac:dyDescent="0.25">
      <c r="A1337" s="170">
        <v>44690</v>
      </c>
      <c r="B1337" s="116">
        <v>568</v>
      </c>
      <c r="C1337" s="116">
        <v>542.65</v>
      </c>
      <c r="D1337" s="116">
        <v>541</v>
      </c>
      <c r="E1337" s="116">
        <v>568</v>
      </c>
      <c r="F1337" s="116">
        <v>542.65</v>
      </c>
      <c r="G1337">
        <v>66530</v>
      </c>
      <c r="H1337" s="116"/>
      <c r="I1337" s="116"/>
      <c r="L1337" s="170">
        <v>44690</v>
      </c>
      <c r="M1337" s="116">
        <v>542.6</v>
      </c>
      <c r="N1337" s="116">
        <v>564.5</v>
      </c>
      <c r="O1337" s="116">
        <v>541.04999999999995</v>
      </c>
      <c r="P1337" s="116">
        <v>564.20000000000005</v>
      </c>
      <c r="Q1337" s="116">
        <v>542.6</v>
      </c>
      <c r="R1337">
        <v>1677390</v>
      </c>
    </row>
    <row r="1338" spans="1:18" x14ac:dyDescent="0.25">
      <c r="A1338" s="170">
        <v>44691</v>
      </c>
      <c r="B1338" s="116">
        <v>553</v>
      </c>
      <c r="C1338" s="116">
        <v>525.1</v>
      </c>
      <c r="D1338" s="116">
        <v>522.95000000000005</v>
      </c>
      <c r="E1338" s="116">
        <v>540</v>
      </c>
      <c r="F1338" s="116">
        <v>525.1</v>
      </c>
      <c r="G1338">
        <v>90572</v>
      </c>
      <c r="H1338" s="116"/>
      <c r="I1338" s="116"/>
      <c r="L1338" s="170">
        <v>44691</v>
      </c>
      <c r="M1338" s="116">
        <v>526.4</v>
      </c>
      <c r="N1338" s="116">
        <v>552.9</v>
      </c>
      <c r="O1338" s="116">
        <v>523.15</v>
      </c>
      <c r="P1338" s="116">
        <v>538.6</v>
      </c>
      <c r="Q1338" s="116">
        <v>526.4</v>
      </c>
      <c r="R1338">
        <v>1374894</v>
      </c>
    </row>
    <row r="1339" spans="1:18" x14ac:dyDescent="0.25">
      <c r="A1339" s="170">
        <v>44692</v>
      </c>
      <c r="B1339" s="116">
        <v>543.70000000000005</v>
      </c>
      <c r="C1339" s="116">
        <v>541</v>
      </c>
      <c r="D1339" s="116">
        <v>514</v>
      </c>
      <c r="E1339" s="116">
        <v>530</v>
      </c>
      <c r="F1339" s="116">
        <v>541</v>
      </c>
      <c r="G1339">
        <v>95966</v>
      </c>
      <c r="H1339" s="116"/>
      <c r="I1339" s="116"/>
      <c r="L1339" s="170">
        <v>44692</v>
      </c>
      <c r="M1339" s="116">
        <v>540.9</v>
      </c>
      <c r="N1339" s="116">
        <v>543.79999999999995</v>
      </c>
      <c r="O1339" s="116">
        <v>513.25</v>
      </c>
      <c r="P1339" s="116">
        <v>525</v>
      </c>
      <c r="Q1339" s="116">
        <v>540.9</v>
      </c>
      <c r="R1339">
        <v>2677284</v>
      </c>
    </row>
    <row r="1340" spans="1:18" x14ac:dyDescent="0.25">
      <c r="A1340" s="170">
        <v>44693</v>
      </c>
      <c r="B1340" s="116">
        <v>539.4</v>
      </c>
      <c r="C1340" s="116">
        <v>535.45000000000005</v>
      </c>
      <c r="D1340" s="116">
        <v>529.70000000000005</v>
      </c>
      <c r="E1340" s="116">
        <v>538.95000000000005</v>
      </c>
      <c r="F1340" s="116">
        <v>535.45000000000005</v>
      </c>
      <c r="G1340">
        <v>106764</v>
      </c>
      <c r="H1340" s="116"/>
      <c r="I1340" s="116"/>
      <c r="L1340" s="170">
        <v>44693</v>
      </c>
      <c r="M1340" s="116">
        <v>535.75</v>
      </c>
      <c r="N1340" s="116">
        <v>539.6</v>
      </c>
      <c r="O1340" s="116">
        <v>529.25</v>
      </c>
      <c r="P1340" s="116">
        <v>536</v>
      </c>
      <c r="Q1340" s="116">
        <v>535.75</v>
      </c>
      <c r="R1340">
        <v>1486405</v>
      </c>
    </row>
    <row r="1341" spans="1:18" x14ac:dyDescent="0.25">
      <c r="A1341" s="170">
        <v>44694</v>
      </c>
      <c r="B1341" s="116">
        <v>552</v>
      </c>
      <c r="C1341" s="116">
        <v>538.45000000000005</v>
      </c>
      <c r="D1341" s="116">
        <v>533.15</v>
      </c>
      <c r="E1341" s="116">
        <v>536.1</v>
      </c>
      <c r="F1341" s="116">
        <v>538.45000000000005</v>
      </c>
      <c r="G1341">
        <v>41463</v>
      </c>
      <c r="H1341" s="116"/>
      <c r="I1341" s="116"/>
      <c r="L1341" s="170">
        <v>44694</v>
      </c>
      <c r="M1341" s="116">
        <v>538.35</v>
      </c>
      <c r="N1341" s="116">
        <v>552</v>
      </c>
      <c r="O1341" s="116">
        <v>532.65</v>
      </c>
      <c r="P1341" s="116">
        <v>537</v>
      </c>
      <c r="Q1341" s="116">
        <v>538.35</v>
      </c>
      <c r="R1341">
        <v>1011181</v>
      </c>
    </row>
    <row r="1342" spans="1:18" x14ac:dyDescent="0.25">
      <c r="A1342" s="170">
        <v>44697</v>
      </c>
      <c r="B1342" s="116">
        <v>544.79999999999995</v>
      </c>
      <c r="C1342" s="116">
        <v>542.29999999999995</v>
      </c>
      <c r="D1342" s="116">
        <v>528.15</v>
      </c>
      <c r="E1342" s="116">
        <v>538.4</v>
      </c>
      <c r="F1342" s="116">
        <v>542.29999999999995</v>
      </c>
      <c r="G1342">
        <v>45100</v>
      </c>
      <c r="H1342" s="116"/>
      <c r="I1342" s="116"/>
      <c r="L1342" s="170">
        <v>44697</v>
      </c>
      <c r="M1342" s="116">
        <v>542.70000000000005</v>
      </c>
      <c r="N1342" s="116">
        <v>544.85</v>
      </c>
      <c r="O1342" s="116">
        <v>527.75</v>
      </c>
      <c r="P1342" s="116">
        <v>539</v>
      </c>
      <c r="Q1342" s="116">
        <v>542.70000000000005</v>
      </c>
      <c r="R1342">
        <v>750491</v>
      </c>
    </row>
    <row r="1343" spans="1:18" x14ac:dyDescent="0.25">
      <c r="A1343" s="170">
        <v>44698</v>
      </c>
      <c r="B1343" s="116">
        <v>560.6</v>
      </c>
      <c r="C1343" s="116">
        <v>559.1</v>
      </c>
      <c r="D1343" s="116">
        <v>542.5</v>
      </c>
      <c r="E1343" s="116">
        <v>548</v>
      </c>
      <c r="F1343" s="116">
        <v>559.1</v>
      </c>
      <c r="G1343">
        <v>31167</v>
      </c>
      <c r="H1343" s="116"/>
      <c r="I1343" s="116"/>
      <c r="L1343" s="170">
        <v>44698</v>
      </c>
      <c r="M1343" s="116">
        <v>559.20000000000005</v>
      </c>
      <c r="N1343" s="116">
        <v>560.54999999999995</v>
      </c>
      <c r="O1343" s="116">
        <v>542.75</v>
      </c>
      <c r="P1343" s="116">
        <v>546.70000000000005</v>
      </c>
      <c r="Q1343" s="116">
        <v>559.20000000000005</v>
      </c>
      <c r="R1343">
        <v>830100</v>
      </c>
    </row>
    <row r="1344" spans="1:18" x14ac:dyDescent="0.25">
      <c r="A1344" s="170">
        <v>44699</v>
      </c>
      <c r="B1344" s="116">
        <v>570</v>
      </c>
      <c r="C1344" s="116">
        <v>566.6</v>
      </c>
      <c r="D1344" s="116">
        <v>559.95000000000005</v>
      </c>
      <c r="E1344" s="116">
        <v>560</v>
      </c>
      <c r="F1344" s="116">
        <v>566.6</v>
      </c>
      <c r="G1344">
        <v>26887</v>
      </c>
      <c r="H1344" s="116"/>
      <c r="I1344" s="116"/>
      <c r="L1344" s="170">
        <v>44699</v>
      </c>
      <c r="M1344" s="116">
        <v>566.9</v>
      </c>
      <c r="N1344" s="116">
        <v>570.29999999999995</v>
      </c>
      <c r="O1344" s="116">
        <v>560.9</v>
      </c>
      <c r="P1344" s="116">
        <v>561</v>
      </c>
      <c r="Q1344" s="116">
        <v>566.9</v>
      </c>
      <c r="R1344">
        <v>901555</v>
      </c>
    </row>
    <row r="1345" spans="1:18" x14ac:dyDescent="0.25">
      <c r="A1345" s="170">
        <v>44700</v>
      </c>
      <c r="B1345" s="116">
        <v>564.6</v>
      </c>
      <c r="C1345" s="116">
        <v>560.25</v>
      </c>
      <c r="D1345" s="116">
        <v>549.9</v>
      </c>
      <c r="E1345" s="116">
        <v>561.9</v>
      </c>
      <c r="F1345" s="116">
        <v>560.25</v>
      </c>
      <c r="G1345">
        <v>27520</v>
      </c>
      <c r="H1345" s="116"/>
      <c r="I1345" s="116"/>
      <c r="L1345" s="170">
        <v>44700</v>
      </c>
      <c r="M1345" s="116">
        <v>560.15</v>
      </c>
      <c r="N1345" s="116">
        <v>564.9</v>
      </c>
      <c r="O1345" s="116">
        <v>545.04999999999995</v>
      </c>
      <c r="P1345" s="116">
        <v>545.04999999999995</v>
      </c>
      <c r="Q1345" s="116">
        <v>560.15</v>
      </c>
      <c r="R1345">
        <v>966719</v>
      </c>
    </row>
    <row r="1346" spans="1:18" x14ac:dyDescent="0.25">
      <c r="A1346" s="170">
        <v>44701</v>
      </c>
      <c r="B1346" s="116">
        <v>576</v>
      </c>
      <c r="C1346" s="116">
        <v>574.45000000000005</v>
      </c>
      <c r="D1346" s="116">
        <v>563.6</v>
      </c>
      <c r="E1346" s="116">
        <v>569.9</v>
      </c>
      <c r="F1346" s="116">
        <v>574.45000000000005</v>
      </c>
      <c r="G1346">
        <v>36107</v>
      </c>
      <c r="H1346" s="116"/>
      <c r="I1346" s="116"/>
      <c r="L1346" s="170">
        <v>44701</v>
      </c>
      <c r="M1346" s="116">
        <v>574.5</v>
      </c>
      <c r="N1346" s="116">
        <v>576.1</v>
      </c>
      <c r="O1346" s="116">
        <v>563.70000000000005</v>
      </c>
      <c r="P1346" s="116">
        <v>565</v>
      </c>
      <c r="Q1346" s="116">
        <v>574.5</v>
      </c>
      <c r="R1346">
        <v>747835</v>
      </c>
    </row>
    <row r="1347" spans="1:18" x14ac:dyDescent="0.25">
      <c r="A1347" s="170">
        <v>44704</v>
      </c>
      <c r="B1347" s="116">
        <v>579.45000000000005</v>
      </c>
      <c r="C1347" s="116">
        <v>572.54999999999995</v>
      </c>
      <c r="D1347" s="116">
        <v>570</v>
      </c>
      <c r="E1347" s="116">
        <v>579</v>
      </c>
      <c r="F1347" s="116">
        <v>572.54999999999995</v>
      </c>
      <c r="G1347">
        <v>20958</v>
      </c>
      <c r="H1347" s="116"/>
      <c r="I1347" s="116"/>
      <c r="L1347" s="170">
        <v>44704</v>
      </c>
      <c r="M1347" s="116">
        <v>572.54999999999995</v>
      </c>
      <c r="N1347" s="116">
        <v>580</v>
      </c>
      <c r="O1347" s="116">
        <v>569.25</v>
      </c>
      <c r="P1347" s="116">
        <v>576</v>
      </c>
      <c r="Q1347" s="116">
        <v>572.54999999999995</v>
      </c>
      <c r="R1347">
        <v>807755</v>
      </c>
    </row>
    <row r="1348" spans="1:18" x14ac:dyDescent="0.25">
      <c r="A1348" s="170">
        <v>44705</v>
      </c>
      <c r="B1348" s="116">
        <v>576</v>
      </c>
      <c r="C1348" s="116">
        <v>567.15</v>
      </c>
      <c r="D1348" s="116">
        <v>561.95000000000005</v>
      </c>
      <c r="E1348" s="116">
        <v>567</v>
      </c>
      <c r="F1348" s="116">
        <v>567.15</v>
      </c>
      <c r="G1348">
        <v>59806</v>
      </c>
      <c r="H1348" s="116"/>
      <c r="I1348" s="116"/>
      <c r="L1348" s="170">
        <v>44705</v>
      </c>
      <c r="M1348" s="116">
        <v>567.20000000000005</v>
      </c>
      <c r="N1348" s="116">
        <v>576.20000000000005</v>
      </c>
      <c r="O1348" s="116">
        <v>563</v>
      </c>
      <c r="P1348" s="116">
        <v>567.20000000000005</v>
      </c>
      <c r="Q1348" s="116">
        <v>567.20000000000005</v>
      </c>
      <c r="R1348">
        <v>991828</v>
      </c>
    </row>
    <row r="1349" spans="1:18" x14ac:dyDescent="0.25">
      <c r="A1349" s="170">
        <v>44706</v>
      </c>
      <c r="B1349" s="116">
        <v>569.79999999999995</v>
      </c>
      <c r="C1349" s="116">
        <v>553.95000000000005</v>
      </c>
      <c r="D1349" s="116">
        <v>550.1</v>
      </c>
      <c r="E1349" s="116">
        <v>567.20000000000005</v>
      </c>
      <c r="F1349" s="116">
        <v>553.95000000000005</v>
      </c>
      <c r="G1349">
        <v>23358</v>
      </c>
      <c r="H1349" s="116"/>
      <c r="I1349" s="116"/>
      <c r="L1349" s="170">
        <v>44706</v>
      </c>
      <c r="M1349" s="116">
        <v>553.1</v>
      </c>
      <c r="N1349" s="116">
        <v>570.4</v>
      </c>
      <c r="O1349" s="116">
        <v>550</v>
      </c>
      <c r="P1349" s="116">
        <v>567.20000000000005</v>
      </c>
      <c r="Q1349" s="116">
        <v>553.1</v>
      </c>
      <c r="R1349">
        <v>914699</v>
      </c>
    </row>
    <row r="1350" spans="1:18" x14ac:dyDescent="0.25">
      <c r="A1350" s="170">
        <v>44707</v>
      </c>
      <c r="B1350" s="116">
        <v>563.5</v>
      </c>
      <c r="C1350" s="116">
        <v>559.20000000000005</v>
      </c>
      <c r="D1350" s="116">
        <v>536.04999999999995</v>
      </c>
      <c r="E1350" s="116">
        <v>552.75</v>
      </c>
      <c r="F1350" s="116">
        <v>559.20000000000005</v>
      </c>
      <c r="G1350">
        <v>78582</v>
      </c>
      <c r="H1350" s="116"/>
      <c r="I1350" s="116"/>
      <c r="L1350" s="170">
        <v>44707</v>
      </c>
      <c r="M1350" s="116">
        <v>559.70000000000005</v>
      </c>
      <c r="N1350" s="116">
        <v>563.79999999999995</v>
      </c>
      <c r="O1350" s="116">
        <v>536.15</v>
      </c>
      <c r="P1350" s="116">
        <v>551.79999999999995</v>
      </c>
      <c r="Q1350" s="116">
        <v>559.70000000000005</v>
      </c>
      <c r="R1350">
        <v>1414051</v>
      </c>
    </row>
    <row r="1351" spans="1:18" x14ac:dyDescent="0.25">
      <c r="A1351" s="170">
        <v>44708</v>
      </c>
      <c r="B1351" s="116">
        <v>568.20000000000005</v>
      </c>
      <c r="C1351" s="116">
        <v>566.6</v>
      </c>
      <c r="D1351" s="116">
        <v>560.04999999999995</v>
      </c>
      <c r="E1351" s="116">
        <v>567</v>
      </c>
      <c r="F1351" s="116">
        <v>566.6</v>
      </c>
      <c r="G1351">
        <v>19948</v>
      </c>
      <c r="H1351" s="116"/>
      <c r="I1351" s="116"/>
      <c r="L1351" s="170">
        <v>44708</v>
      </c>
      <c r="M1351" s="116">
        <v>565.54999999999995</v>
      </c>
      <c r="N1351" s="116">
        <v>568.6</v>
      </c>
      <c r="O1351" s="116">
        <v>559.95000000000005</v>
      </c>
      <c r="P1351" s="116">
        <v>564.79999999999995</v>
      </c>
      <c r="Q1351" s="116">
        <v>565.54999999999995</v>
      </c>
      <c r="R1351">
        <v>617777</v>
      </c>
    </row>
    <row r="1352" spans="1:18" x14ac:dyDescent="0.25">
      <c r="A1352" s="170">
        <v>44711</v>
      </c>
      <c r="B1352" s="116">
        <v>572.5</v>
      </c>
      <c r="C1352" s="116">
        <v>562.85</v>
      </c>
      <c r="D1352" s="116">
        <v>561.20000000000005</v>
      </c>
      <c r="E1352" s="116">
        <v>563</v>
      </c>
      <c r="F1352" s="116">
        <v>562.85</v>
      </c>
      <c r="G1352">
        <v>33629</v>
      </c>
      <c r="H1352" s="116"/>
      <c r="I1352" s="116"/>
      <c r="L1352" s="170">
        <v>44711</v>
      </c>
      <c r="M1352" s="116">
        <v>562.79999999999995</v>
      </c>
      <c r="N1352" s="116">
        <v>573</v>
      </c>
      <c r="O1352" s="116">
        <v>560.85</v>
      </c>
      <c r="P1352" s="116">
        <v>566.1</v>
      </c>
      <c r="Q1352" s="116">
        <v>562.79999999999995</v>
      </c>
      <c r="R1352">
        <v>495982</v>
      </c>
    </row>
    <row r="1353" spans="1:18" x14ac:dyDescent="0.25">
      <c r="A1353" s="170">
        <v>44712</v>
      </c>
      <c r="B1353" s="116">
        <v>572.4</v>
      </c>
      <c r="C1353" s="116">
        <v>567.6</v>
      </c>
      <c r="D1353" s="116">
        <v>560</v>
      </c>
      <c r="E1353" s="116">
        <v>560</v>
      </c>
      <c r="F1353" s="116">
        <v>567.6</v>
      </c>
      <c r="G1353">
        <v>40317</v>
      </c>
      <c r="H1353" s="116"/>
      <c r="I1353" s="116"/>
      <c r="L1353" s="170">
        <v>44712</v>
      </c>
      <c r="M1353" s="116">
        <v>567.45000000000005</v>
      </c>
      <c r="N1353" s="116">
        <v>572.45000000000005</v>
      </c>
      <c r="O1353" s="116">
        <v>560.20000000000005</v>
      </c>
      <c r="P1353" s="116">
        <v>562.70000000000005</v>
      </c>
      <c r="Q1353" s="116">
        <v>567.45000000000005</v>
      </c>
      <c r="R1353">
        <v>835544</v>
      </c>
    </row>
    <row r="1354" spans="1:18" x14ac:dyDescent="0.25">
      <c r="A1354" s="170">
        <v>44713</v>
      </c>
      <c r="B1354" s="116">
        <v>572.65</v>
      </c>
      <c r="C1354" s="116">
        <v>560.20000000000005</v>
      </c>
      <c r="D1354" s="116">
        <v>558.9</v>
      </c>
      <c r="E1354" s="116">
        <v>569.29999999999995</v>
      </c>
      <c r="F1354" s="116">
        <v>560.20000000000005</v>
      </c>
      <c r="G1354">
        <v>26036</v>
      </c>
      <c r="H1354" s="116"/>
      <c r="I1354" s="116"/>
      <c r="L1354" s="170">
        <v>44713</v>
      </c>
      <c r="M1354" s="116">
        <v>560.25</v>
      </c>
      <c r="N1354" s="116">
        <v>572.45000000000005</v>
      </c>
      <c r="O1354" s="116">
        <v>558.70000000000005</v>
      </c>
      <c r="P1354" s="116">
        <v>565</v>
      </c>
      <c r="Q1354" s="116">
        <v>560.25</v>
      </c>
      <c r="R1354">
        <v>469874</v>
      </c>
    </row>
    <row r="1355" spans="1:18" x14ac:dyDescent="0.25">
      <c r="A1355" s="170">
        <v>44714</v>
      </c>
      <c r="B1355" s="116">
        <v>564.45000000000005</v>
      </c>
      <c r="C1355" s="116">
        <v>560.6</v>
      </c>
      <c r="D1355" s="116">
        <v>553.5</v>
      </c>
      <c r="E1355" s="116">
        <v>558.9</v>
      </c>
      <c r="F1355" s="116">
        <v>560.6</v>
      </c>
      <c r="G1355">
        <v>28035</v>
      </c>
      <c r="H1355" s="116"/>
      <c r="I1355" s="116"/>
      <c r="L1355" s="170">
        <v>44714</v>
      </c>
      <c r="M1355" s="116">
        <v>560.04999999999995</v>
      </c>
      <c r="N1355" s="116">
        <v>564.25</v>
      </c>
      <c r="O1355" s="116">
        <v>553.25</v>
      </c>
      <c r="P1355" s="116">
        <v>558.1</v>
      </c>
      <c r="Q1355" s="116">
        <v>560.04999999999995</v>
      </c>
      <c r="R1355">
        <v>682505</v>
      </c>
    </row>
    <row r="1356" spans="1:18" x14ac:dyDescent="0.25">
      <c r="A1356" s="170">
        <v>44715</v>
      </c>
      <c r="B1356" s="116">
        <v>567</v>
      </c>
      <c r="C1356" s="116">
        <v>553.85</v>
      </c>
      <c r="D1356" s="116">
        <v>552.45000000000005</v>
      </c>
      <c r="E1356" s="116">
        <v>567</v>
      </c>
      <c r="F1356" s="116">
        <v>553.85</v>
      </c>
      <c r="G1356">
        <v>38190</v>
      </c>
      <c r="H1356" s="116"/>
      <c r="I1356" s="116"/>
      <c r="L1356" s="170">
        <v>44715</v>
      </c>
      <c r="M1356" s="116">
        <v>554</v>
      </c>
      <c r="N1356" s="116">
        <v>567</v>
      </c>
      <c r="O1356" s="116">
        <v>553</v>
      </c>
      <c r="P1356" s="116">
        <v>563.95000000000005</v>
      </c>
      <c r="Q1356" s="116">
        <v>554</v>
      </c>
      <c r="R1356">
        <v>708478</v>
      </c>
    </row>
    <row r="1357" spans="1:18" x14ac:dyDescent="0.25">
      <c r="A1357" s="170">
        <v>44718</v>
      </c>
      <c r="B1357" s="116">
        <v>558.1</v>
      </c>
      <c r="C1357" s="116">
        <v>551.4</v>
      </c>
      <c r="D1357" s="116">
        <v>547.5</v>
      </c>
      <c r="E1357" s="116">
        <v>557</v>
      </c>
      <c r="F1357" s="116">
        <v>551.4</v>
      </c>
      <c r="G1357">
        <v>22865</v>
      </c>
      <c r="H1357" s="116"/>
      <c r="I1357" s="116"/>
      <c r="L1357" s="170">
        <v>44718</v>
      </c>
      <c r="M1357" s="116">
        <v>551.45000000000005</v>
      </c>
      <c r="N1357" s="116">
        <v>558</v>
      </c>
      <c r="O1357" s="116">
        <v>547.1</v>
      </c>
      <c r="P1357" s="116">
        <v>552.70000000000005</v>
      </c>
      <c r="Q1357" s="116">
        <v>551.45000000000005</v>
      </c>
      <c r="R1357">
        <v>880741</v>
      </c>
    </row>
    <row r="1358" spans="1:18" x14ac:dyDescent="0.25">
      <c r="A1358" s="170">
        <v>44719</v>
      </c>
      <c r="B1358" s="116">
        <v>551.5</v>
      </c>
      <c r="C1358" s="116">
        <v>543.85</v>
      </c>
      <c r="D1358" s="116">
        <v>533.54999999999995</v>
      </c>
      <c r="E1358" s="116">
        <v>548</v>
      </c>
      <c r="F1358" s="116">
        <v>543.85</v>
      </c>
      <c r="G1358">
        <v>35615</v>
      </c>
      <c r="H1358" s="116"/>
      <c r="I1358" s="116"/>
      <c r="L1358" s="170">
        <v>44719</v>
      </c>
      <c r="M1358" s="116">
        <v>543.95000000000005</v>
      </c>
      <c r="N1358" s="116">
        <v>551.79999999999995</v>
      </c>
      <c r="O1358" s="116">
        <v>533.65</v>
      </c>
      <c r="P1358" s="116">
        <v>550.1</v>
      </c>
      <c r="Q1358" s="116">
        <v>543.95000000000005</v>
      </c>
      <c r="R1358">
        <v>816368</v>
      </c>
    </row>
    <row r="1359" spans="1:18" x14ac:dyDescent="0.25">
      <c r="A1359" s="170">
        <v>44720</v>
      </c>
      <c r="B1359" s="116">
        <v>550.25</v>
      </c>
      <c r="C1359" s="116">
        <v>548.29999999999995</v>
      </c>
      <c r="D1359" s="116">
        <v>539.9</v>
      </c>
      <c r="E1359" s="116">
        <v>547.20000000000005</v>
      </c>
      <c r="F1359" s="116">
        <v>548.29999999999995</v>
      </c>
      <c r="G1359">
        <v>10553</v>
      </c>
      <c r="H1359" s="116"/>
      <c r="I1359" s="116"/>
      <c r="L1359" s="170">
        <v>44720</v>
      </c>
      <c r="M1359" s="116">
        <v>548.75</v>
      </c>
      <c r="N1359" s="116">
        <v>550.79999999999995</v>
      </c>
      <c r="O1359" s="116">
        <v>539.6</v>
      </c>
      <c r="P1359" s="116">
        <v>545</v>
      </c>
      <c r="Q1359" s="116">
        <v>548.75</v>
      </c>
      <c r="R1359">
        <v>639015</v>
      </c>
    </row>
    <row r="1360" spans="1:18" x14ac:dyDescent="0.25">
      <c r="A1360" s="170">
        <v>44721</v>
      </c>
      <c r="B1360" s="116">
        <v>553.75</v>
      </c>
      <c r="C1360" s="116">
        <v>549.79999999999995</v>
      </c>
      <c r="D1360" s="116">
        <v>544.79999999999995</v>
      </c>
      <c r="E1360" s="116">
        <v>549</v>
      </c>
      <c r="F1360" s="116">
        <v>549.79999999999995</v>
      </c>
      <c r="G1360">
        <v>11076</v>
      </c>
      <c r="H1360" s="116"/>
      <c r="I1360" s="116"/>
      <c r="L1360" s="170">
        <v>44721</v>
      </c>
      <c r="M1360" s="116">
        <v>550.15</v>
      </c>
      <c r="N1360" s="116">
        <v>553.79999999999995</v>
      </c>
      <c r="O1360" s="116">
        <v>545</v>
      </c>
      <c r="P1360" s="116">
        <v>545.1</v>
      </c>
      <c r="Q1360" s="116">
        <v>550.15</v>
      </c>
      <c r="R1360">
        <v>418293</v>
      </c>
    </row>
    <row r="1361" spans="1:18" x14ac:dyDescent="0.25">
      <c r="A1361" s="170">
        <v>44722</v>
      </c>
      <c r="B1361" s="116">
        <v>552.75</v>
      </c>
      <c r="C1361" s="116">
        <v>546.4</v>
      </c>
      <c r="D1361" s="116">
        <v>544.1</v>
      </c>
      <c r="E1361" s="116">
        <v>546.35</v>
      </c>
      <c r="F1361" s="116">
        <v>546.4</v>
      </c>
      <c r="G1361">
        <v>12180</v>
      </c>
      <c r="H1361" s="116"/>
      <c r="I1361" s="116"/>
      <c r="L1361" s="170">
        <v>44722</v>
      </c>
      <c r="M1361" s="116">
        <v>546.65</v>
      </c>
      <c r="N1361" s="116">
        <v>552.85</v>
      </c>
      <c r="O1361" s="116">
        <v>544.04999999999995</v>
      </c>
      <c r="P1361" s="116">
        <v>544.04999999999995</v>
      </c>
      <c r="Q1361" s="116">
        <v>546.65</v>
      </c>
      <c r="R1361">
        <v>362926</v>
      </c>
    </row>
    <row r="1362" spans="1:18" x14ac:dyDescent="0.25">
      <c r="A1362" s="170">
        <v>44725</v>
      </c>
      <c r="B1362" s="116">
        <v>542.9</v>
      </c>
      <c r="C1362" s="116">
        <v>527.54999999999995</v>
      </c>
      <c r="D1362" s="116">
        <v>525.29999999999995</v>
      </c>
      <c r="E1362" s="116">
        <v>542.9</v>
      </c>
      <c r="F1362" s="116">
        <v>527.54999999999995</v>
      </c>
      <c r="G1362">
        <v>19079</v>
      </c>
      <c r="H1362" s="116"/>
      <c r="I1362" s="116"/>
      <c r="L1362" s="170">
        <v>44725</v>
      </c>
      <c r="M1362" s="116">
        <v>527.25</v>
      </c>
      <c r="N1362" s="116">
        <v>542.79999999999995</v>
      </c>
      <c r="O1362" s="116">
        <v>525.04999999999995</v>
      </c>
      <c r="P1362" s="116">
        <v>540</v>
      </c>
      <c r="Q1362" s="116">
        <v>527.25</v>
      </c>
      <c r="R1362">
        <v>926444</v>
      </c>
    </row>
    <row r="1363" spans="1:18" x14ac:dyDescent="0.25">
      <c r="A1363" s="170">
        <v>44726</v>
      </c>
      <c r="B1363" s="116">
        <v>531.75</v>
      </c>
      <c r="C1363" s="116">
        <v>517.04999999999995</v>
      </c>
      <c r="D1363" s="116">
        <v>508.4</v>
      </c>
      <c r="E1363" s="116">
        <v>517.20000000000005</v>
      </c>
      <c r="F1363" s="116">
        <v>517.04999999999995</v>
      </c>
      <c r="G1363">
        <v>61313</v>
      </c>
      <c r="H1363" s="116"/>
      <c r="I1363" s="116"/>
      <c r="L1363" s="170">
        <v>44726</v>
      </c>
      <c r="M1363" s="116">
        <v>517.5</v>
      </c>
      <c r="N1363" s="116">
        <v>531.79999999999995</v>
      </c>
      <c r="O1363" s="116">
        <v>508.05</v>
      </c>
      <c r="P1363" s="116">
        <v>520.29999999999995</v>
      </c>
      <c r="Q1363" s="116">
        <v>517.5</v>
      </c>
      <c r="R1363">
        <v>1317541</v>
      </c>
    </row>
    <row r="1364" spans="1:18" x14ac:dyDescent="0.25">
      <c r="A1364" s="170">
        <v>44727</v>
      </c>
      <c r="B1364" s="116">
        <v>524.35</v>
      </c>
      <c r="C1364" s="116">
        <v>513.35</v>
      </c>
      <c r="D1364" s="116">
        <v>511</v>
      </c>
      <c r="E1364" s="116">
        <v>524.35</v>
      </c>
      <c r="F1364" s="116">
        <v>513.35</v>
      </c>
      <c r="G1364">
        <v>32150</v>
      </c>
      <c r="H1364" s="116"/>
      <c r="I1364" s="116"/>
      <c r="L1364" s="170">
        <v>44727</v>
      </c>
      <c r="M1364" s="116">
        <v>513.4</v>
      </c>
      <c r="N1364" s="116">
        <v>524.1</v>
      </c>
      <c r="O1364" s="116">
        <v>510.2</v>
      </c>
      <c r="P1364" s="116">
        <v>521.5</v>
      </c>
      <c r="Q1364" s="116">
        <v>513.4</v>
      </c>
      <c r="R1364">
        <v>1334525</v>
      </c>
    </row>
    <row r="1365" spans="1:18" x14ac:dyDescent="0.25">
      <c r="A1365" s="170">
        <v>44728</v>
      </c>
      <c r="B1365" s="116">
        <v>524</v>
      </c>
      <c r="C1365" s="116">
        <v>492.35</v>
      </c>
      <c r="D1365" s="116">
        <v>490.8</v>
      </c>
      <c r="E1365" s="116">
        <v>520</v>
      </c>
      <c r="F1365" s="116">
        <v>492.35</v>
      </c>
      <c r="G1365">
        <v>46509</v>
      </c>
      <c r="H1365" s="116"/>
      <c r="I1365" s="116"/>
      <c r="L1365" s="170">
        <v>44728</v>
      </c>
      <c r="M1365" s="116">
        <v>492.55</v>
      </c>
      <c r="N1365" s="116">
        <v>524.5</v>
      </c>
      <c r="O1365" s="116">
        <v>490.35</v>
      </c>
      <c r="P1365" s="116">
        <v>515.65</v>
      </c>
      <c r="Q1365" s="116">
        <v>492.55</v>
      </c>
      <c r="R1365">
        <v>1839044</v>
      </c>
    </row>
    <row r="1366" spans="1:18" x14ac:dyDescent="0.25">
      <c r="A1366" s="170">
        <v>44729</v>
      </c>
      <c r="B1366" s="116">
        <v>491.5</v>
      </c>
      <c r="C1366" s="116">
        <v>468.55</v>
      </c>
      <c r="D1366" s="116">
        <v>462</v>
      </c>
      <c r="E1366" s="116">
        <v>491.5</v>
      </c>
      <c r="F1366" s="116">
        <v>468.55</v>
      </c>
      <c r="G1366">
        <v>92940</v>
      </c>
      <c r="H1366" s="116"/>
      <c r="I1366" s="116"/>
      <c r="L1366" s="170">
        <v>44729</v>
      </c>
      <c r="M1366" s="116">
        <v>468.25</v>
      </c>
      <c r="N1366" s="116">
        <v>491</v>
      </c>
      <c r="O1366" s="116">
        <v>461</v>
      </c>
      <c r="P1366" s="116">
        <v>486.1</v>
      </c>
      <c r="Q1366" s="116">
        <v>468.25</v>
      </c>
      <c r="R1366">
        <v>4581789</v>
      </c>
    </row>
    <row r="1367" spans="1:18" x14ac:dyDescent="0.25">
      <c r="A1367" s="170">
        <v>44732</v>
      </c>
      <c r="B1367" s="116">
        <v>472.25</v>
      </c>
      <c r="C1367" s="116">
        <v>444.15</v>
      </c>
      <c r="D1367" s="116">
        <v>437</v>
      </c>
      <c r="E1367" s="116">
        <v>470</v>
      </c>
      <c r="F1367" s="116">
        <v>444.15</v>
      </c>
      <c r="G1367">
        <v>191036</v>
      </c>
      <c r="H1367" s="116"/>
      <c r="I1367" s="116"/>
      <c r="L1367" s="170">
        <v>44732</v>
      </c>
      <c r="M1367" s="116">
        <v>443.05</v>
      </c>
      <c r="N1367" s="116">
        <v>472.45</v>
      </c>
      <c r="O1367" s="116">
        <v>436.8</v>
      </c>
      <c r="P1367" s="116">
        <v>469.2</v>
      </c>
      <c r="Q1367" s="116">
        <v>443.05</v>
      </c>
      <c r="R1367">
        <v>2793759</v>
      </c>
    </row>
    <row r="1368" spans="1:18" x14ac:dyDescent="0.25">
      <c r="A1368" s="170">
        <v>44733</v>
      </c>
      <c r="B1368" s="116">
        <v>462</v>
      </c>
      <c r="C1368" s="116">
        <v>459.95</v>
      </c>
      <c r="D1368" s="116">
        <v>439.4</v>
      </c>
      <c r="E1368" s="116">
        <v>448.1</v>
      </c>
      <c r="F1368" s="116">
        <v>459.95</v>
      </c>
      <c r="G1368">
        <v>86680</v>
      </c>
      <c r="H1368" s="116"/>
      <c r="I1368" s="116"/>
      <c r="L1368" s="170">
        <v>44733</v>
      </c>
      <c r="M1368" s="116">
        <v>460.5</v>
      </c>
      <c r="N1368" s="116">
        <v>462.45</v>
      </c>
      <c r="O1368" s="116">
        <v>439</v>
      </c>
      <c r="P1368" s="116">
        <v>448.1</v>
      </c>
      <c r="Q1368" s="116">
        <v>460.5</v>
      </c>
      <c r="R1368">
        <v>1416894</v>
      </c>
    </row>
    <row r="1369" spans="1:18" x14ac:dyDescent="0.25">
      <c r="A1369" s="170">
        <v>44734</v>
      </c>
      <c r="B1369" s="116">
        <v>464.15</v>
      </c>
      <c r="C1369" s="116">
        <v>451.45</v>
      </c>
      <c r="D1369" s="116">
        <v>449.55</v>
      </c>
      <c r="E1369" s="116">
        <v>458.9</v>
      </c>
      <c r="F1369" s="116">
        <v>451.45</v>
      </c>
      <c r="G1369">
        <v>32437</v>
      </c>
      <c r="H1369" s="116"/>
      <c r="I1369" s="116"/>
      <c r="L1369" s="170">
        <v>44734</v>
      </c>
      <c r="M1369" s="116">
        <v>451.9</v>
      </c>
      <c r="N1369" s="116">
        <v>464.1</v>
      </c>
      <c r="O1369" s="116">
        <v>449</v>
      </c>
      <c r="P1369" s="116">
        <v>456.9</v>
      </c>
      <c r="Q1369" s="116">
        <v>451.9</v>
      </c>
      <c r="R1369">
        <v>1290863</v>
      </c>
    </row>
    <row r="1370" spans="1:18" x14ac:dyDescent="0.25">
      <c r="A1370" s="170">
        <v>44735</v>
      </c>
      <c r="B1370" s="116">
        <v>461</v>
      </c>
      <c r="C1370" s="116">
        <v>459.6</v>
      </c>
      <c r="D1370" s="116">
        <v>449.65</v>
      </c>
      <c r="E1370" s="116">
        <v>453.75</v>
      </c>
      <c r="F1370" s="116">
        <v>459.6</v>
      </c>
      <c r="G1370">
        <v>23111</v>
      </c>
      <c r="H1370" s="116"/>
      <c r="I1370" s="116"/>
      <c r="L1370" s="170">
        <v>44735</v>
      </c>
      <c r="M1370" s="116">
        <v>459.15</v>
      </c>
      <c r="N1370" s="116">
        <v>460.95</v>
      </c>
      <c r="O1370" s="116">
        <v>449.35</v>
      </c>
      <c r="P1370" s="116">
        <v>452.25</v>
      </c>
      <c r="Q1370" s="116">
        <v>459.15</v>
      </c>
      <c r="R1370">
        <v>953198</v>
      </c>
    </row>
    <row r="1371" spans="1:18" x14ac:dyDescent="0.25">
      <c r="A1371" s="170">
        <v>44736</v>
      </c>
      <c r="B1371" s="116">
        <v>471.15</v>
      </c>
      <c r="C1371" s="116">
        <v>466.6</v>
      </c>
      <c r="D1371" s="116">
        <v>460.9</v>
      </c>
      <c r="E1371" s="116">
        <v>464.75</v>
      </c>
      <c r="F1371" s="116">
        <v>466.6</v>
      </c>
      <c r="G1371">
        <v>44435</v>
      </c>
      <c r="H1371" s="116"/>
      <c r="I1371" s="116"/>
      <c r="L1371" s="170">
        <v>44736</v>
      </c>
      <c r="M1371" s="116">
        <v>466.65</v>
      </c>
      <c r="N1371" s="116">
        <v>471</v>
      </c>
      <c r="O1371" s="116">
        <v>460.45</v>
      </c>
      <c r="P1371" s="116">
        <v>461.5</v>
      </c>
      <c r="Q1371" s="116">
        <v>466.65</v>
      </c>
      <c r="R1371">
        <v>1348063</v>
      </c>
    </row>
    <row r="1372" spans="1:18" x14ac:dyDescent="0.25">
      <c r="A1372" s="170">
        <v>44739</v>
      </c>
      <c r="B1372" s="116">
        <v>481.85</v>
      </c>
      <c r="C1372" s="116">
        <v>467.05</v>
      </c>
      <c r="D1372" s="116">
        <v>464.3</v>
      </c>
      <c r="E1372" s="116">
        <v>481.85</v>
      </c>
      <c r="F1372" s="116">
        <v>467.05</v>
      </c>
      <c r="G1372">
        <v>21997</v>
      </c>
      <c r="H1372" s="116"/>
      <c r="I1372" s="116"/>
      <c r="L1372" s="170">
        <v>44739</v>
      </c>
      <c r="M1372" s="116">
        <v>466.75</v>
      </c>
      <c r="N1372" s="116">
        <v>474.85</v>
      </c>
      <c r="O1372" s="116">
        <v>464.45</v>
      </c>
      <c r="P1372" s="116">
        <v>474.85</v>
      </c>
      <c r="Q1372" s="116">
        <v>466.75</v>
      </c>
      <c r="R1372">
        <v>839905</v>
      </c>
    </row>
    <row r="1373" spans="1:18" x14ac:dyDescent="0.25">
      <c r="A1373" s="170">
        <v>44740</v>
      </c>
      <c r="B1373" s="116">
        <v>469.95</v>
      </c>
      <c r="C1373" s="116">
        <v>468.7</v>
      </c>
      <c r="D1373" s="116">
        <v>458.5</v>
      </c>
      <c r="E1373" s="116">
        <v>466</v>
      </c>
      <c r="F1373" s="116">
        <v>468.7</v>
      </c>
      <c r="G1373">
        <v>35942</v>
      </c>
      <c r="H1373" s="116"/>
      <c r="I1373" s="116"/>
      <c r="L1373" s="170">
        <v>44740</v>
      </c>
      <c r="M1373" s="116">
        <v>468.6</v>
      </c>
      <c r="N1373" s="116">
        <v>470</v>
      </c>
      <c r="O1373" s="116">
        <v>458.15</v>
      </c>
      <c r="P1373" s="116">
        <v>467.8</v>
      </c>
      <c r="Q1373" s="116">
        <v>468.6</v>
      </c>
      <c r="R1373">
        <v>657252</v>
      </c>
    </row>
    <row r="1374" spans="1:18" x14ac:dyDescent="0.25">
      <c r="A1374" s="170">
        <v>44741</v>
      </c>
      <c r="B1374" s="116">
        <v>469.75</v>
      </c>
      <c r="C1374" s="116">
        <v>466.6</v>
      </c>
      <c r="D1374" s="116">
        <v>455.1</v>
      </c>
      <c r="E1374" s="116">
        <v>464</v>
      </c>
      <c r="F1374" s="116">
        <v>466.6</v>
      </c>
      <c r="G1374">
        <v>39921</v>
      </c>
      <c r="H1374" s="116"/>
      <c r="I1374" s="116"/>
      <c r="L1374" s="170">
        <v>44741</v>
      </c>
      <c r="M1374" s="116">
        <v>466.6</v>
      </c>
      <c r="N1374" s="116">
        <v>469.6</v>
      </c>
      <c r="O1374" s="116">
        <v>460.15</v>
      </c>
      <c r="P1374" s="116">
        <v>460.15</v>
      </c>
      <c r="Q1374" s="116">
        <v>466.6</v>
      </c>
      <c r="R1374">
        <v>643060</v>
      </c>
    </row>
    <row r="1375" spans="1:18" x14ac:dyDescent="0.25">
      <c r="A1375" s="170">
        <v>44742</v>
      </c>
      <c r="B1375" s="116">
        <v>468.95</v>
      </c>
      <c r="C1375" s="116">
        <v>464.5</v>
      </c>
      <c r="D1375" s="116">
        <v>458.5</v>
      </c>
      <c r="E1375" s="116">
        <v>464</v>
      </c>
      <c r="F1375" s="116">
        <v>464.5</v>
      </c>
      <c r="G1375">
        <v>41520</v>
      </c>
      <c r="H1375" s="116"/>
      <c r="I1375" s="116"/>
      <c r="L1375" s="170">
        <v>44742</v>
      </c>
      <c r="M1375" s="116">
        <v>464.7</v>
      </c>
      <c r="N1375" s="116">
        <v>468.95</v>
      </c>
      <c r="O1375" s="116">
        <v>458.4</v>
      </c>
      <c r="P1375" s="116">
        <v>464.1</v>
      </c>
      <c r="Q1375" s="116">
        <v>464.7</v>
      </c>
      <c r="R1375">
        <v>748373</v>
      </c>
    </row>
    <row r="1376" spans="1:18" x14ac:dyDescent="0.25">
      <c r="A1376" s="170">
        <v>44743</v>
      </c>
      <c r="B1376" s="116">
        <v>469.9</v>
      </c>
      <c r="C1376" s="116">
        <v>466.25</v>
      </c>
      <c r="D1376" s="116">
        <v>459.7</v>
      </c>
      <c r="E1376" s="116">
        <v>469.9</v>
      </c>
      <c r="F1376" s="116">
        <v>466.25</v>
      </c>
      <c r="G1376">
        <v>12412</v>
      </c>
      <c r="H1376" s="116"/>
      <c r="I1376" s="116"/>
      <c r="L1376" s="170">
        <v>44743</v>
      </c>
      <c r="M1376" s="116">
        <v>465.1</v>
      </c>
      <c r="N1376" s="116">
        <v>467.1</v>
      </c>
      <c r="O1376" s="116">
        <v>459.5</v>
      </c>
      <c r="P1376" s="116">
        <v>464</v>
      </c>
      <c r="Q1376" s="116">
        <v>465.1</v>
      </c>
      <c r="R1376">
        <v>443092</v>
      </c>
    </row>
    <row r="1377" spans="1:18" x14ac:dyDescent="0.25">
      <c r="A1377" s="170">
        <v>44746</v>
      </c>
      <c r="B1377" s="116">
        <v>473</v>
      </c>
      <c r="C1377" s="116">
        <v>468.9</v>
      </c>
      <c r="D1377" s="116">
        <v>458.45</v>
      </c>
      <c r="E1377" s="116">
        <v>463.8</v>
      </c>
      <c r="F1377" s="116">
        <v>468.9</v>
      </c>
      <c r="G1377">
        <v>63076</v>
      </c>
      <c r="H1377" s="116"/>
      <c r="I1377" s="116"/>
      <c r="L1377" s="170">
        <v>44746</v>
      </c>
      <c r="M1377" s="116">
        <v>469.65</v>
      </c>
      <c r="N1377" s="116">
        <v>473</v>
      </c>
      <c r="O1377" s="116">
        <v>460</v>
      </c>
      <c r="P1377" s="116">
        <v>467</v>
      </c>
      <c r="Q1377" s="116">
        <v>469.65</v>
      </c>
      <c r="R1377">
        <v>617583</v>
      </c>
    </row>
    <row r="1378" spans="1:18" x14ac:dyDescent="0.25">
      <c r="A1378" s="170">
        <v>44747</v>
      </c>
      <c r="B1378" s="116">
        <v>475.3</v>
      </c>
      <c r="C1378" s="116">
        <v>463.3</v>
      </c>
      <c r="D1378" s="116">
        <v>461.25</v>
      </c>
      <c r="E1378" s="116">
        <v>475.3</v>
      </c>
      <c r="F1378" s="116">
        <v>463.3</v>
      </c>
      <c r="G1378">
        <v>14701</v>
      </c>
      <c r="H1378" s="116"/>
      <c r="I1378" s="116"/>
      <c r="L1378" s="170">
        <v>44747</v>
      </c>
      <c r="M1378" s="116">
        <v>463.15</v>
      </c>
      <c r="N1378" s="116">
        <v>472.75</v>
      </c>
      <c r="O1378" s="116">
        <v>460.95</v>
      </c>
      <c r="P1378" s="116">
        <v>472</v>
      </c>
      <c r="Q1378" s="116">
        <v>463.15</v>
      </c>
      <c r="R1378">
        <v>909784</v>
      </c>
    </row>
    <row r="1379" spans="1:18" x14ac:dyDescent="0.25">
      <c r="A1379" s="170">
        <v>44748</v>
      </c>
      <c r="B1379" s="116">
        <v>470</v>
      </c>
      <c r="C1379" s="116">
        <v>468.8</v>
      </c>
      <c r="D1379" s="116">
        <v>460</v>
      </c>
      <c r="E1379" s="116">
        <v>467.95</v>
      </c>
      <c r="F1379" s="116">
        <v>468.8</v>
      </c>
      <c r="G1379">
        <v>28303</v>
      </c>
      <c r="H1379" s="116"/>
      <c r="I1379" s="116"/>
      <c r="L1379" s="170">
        <v>44748</v>
      </c>
      <c r="M1379" s="116">
        <v>469.05</v>
      </c>
      <c r="N1379" s="116">
        <v>470.5</v>
      </c>
      <c r="O1379" s="116">
        <v>460</v>
      </c>
      <c r="P1379" s="116">
        <v>465.05</v>
      </c>
      <c r="Q1379" s="116">
        <v>469.05</v>
      </c>
      <c r="R1379">
        <v>772483</v>
      </c>
    </row>
    <row r="1380" spans="1:18" x14ac:dyDescent="0.25">
      <c r="A1380" s="170">
        <v>44749</v>
      </c>
      <c r="B1380" s="116">
        <v>497.7</v>
      </c>
      <c r="C1380" s="116">
        <v>490.75</v>
      </c>
      <c r="D1380" s="116">
        <v>469.95</v>
      </c>
      <c r="E1380" s="116">
        <v>469.95</v>
      </c>
      <c r="F1380" s="116">
        <v>490.75</v>
      </c>
      <c r="G1380">
        <v>66608</v>
      </c>
      <c r="H1380" s="116"/>
      <c r="I1380" s="116"/>
      <c r="L1380" s="170">
        <v>44749</v>
      </c>
      <c r="M1380" s="116">
        <v>490.65</v>
      </c>
      <c r="N1380" s="116">
        <v>497.8</v>
      </c>
      <c r="O1380" s="116">
        <v>470</v>
      </c>
      <c r="P1380" s="116">
        <v>471.7</v>
      </c>
      <c r="Q1380" s="116">
        <v>490.65</v>
      </c>
      <c r="R1380">
        <v>2126864</v>
      </c>
    </row>
    <row r="1381" spans="1:18" x14ac:dyDescent="0.25">
      <c r="A1381" s="170">
        <v>44750</v>
      </c>
      <c r="B1381" s="116">
        <v>492.95</v>
      </c>
      <c r="C1381" s="116">
        <v>487.4</v>
      </c>
      <c r="D1381" s="116">
        <v>483.45</v>
      </c>
      <c r="E1381" s="116">
        <v>492</v>
      </c>
      <c r="F1381" s="116">
        <v>487.4</v>
      </c>
      <c r="G1381">
        <v>34290</v>
      </c>
      <c r="H1381" s="116"/>
      <c r="I1381" s="116"/>
      <c r="L1381" s="170">
        <v>44750</v>
      </c>
      <c r="M1381" s="116">
        <v>487</v>
      </c>
      <c r="N1381" s="116">
        <v>494.7</v>
      </c>
      <c r="O1381" s="116">
        <v>483.25</v>
      </c>
      <c r="P1381" s="116">
        <v>492</v>
      </c>
      <c r="Q1381" s="116">
        <v>487</v>
      </c>
      <c r="R1381">
        <v>876733</v>
      </c>
    </row>
    <row r="1382" spans="1:18" x14ac:dyDescent="0.25">
      <c r="A1382" s="170">
        <v>44753</v>
      </c>
      <c r="B1382" s="116">
        <v>493</v>
      </c>
      <c r="C1382" s="116">
        <v>491.75</v>
      </c>
      <c r="D1382" s="116">
        <v>482.5</v>
      </c>
      <c r="E1382" s="116">
        <v>485</v>
      </c>
      <c r="F1382" s="116">
        <v>491.75</v>
      </c>
      <c r="G1382">
        <v>146978</v>
      </c>
      <c r="H1382" s="116"/>
      <c r="I1382" s="116"/>
      <c r="L1382" s="170">
        <v>44753</v>
      </c>
      <c r="M1382" s="116">
        <v>491.75</v>
      </c>
      <c r="N1382" s="116">
        <v>493.15</v>
      </c>
      <c r="O1382" s="116">
        <v>482.25</v>
      </c>
      <c r="P1382" s="116">
        <v>485</v>
      </c>
      <c r="Q1382" s="116">
        <v>491.75</v>
      </c>
      <c r="R1382">
        <v>612209</v>
      </c>
    </row>
    <row r="1383" spans="1:18" x14ac:dyDescent="0.25">
      <c r="A1383" s="170">
        <v>44754</v>
      </c>
      <c r="B1383" s="116">
        <v>501.4</v>
      </c>
      <c r="C1383" s="116">
        <v>492.1</v>
      </c>
      <c r="D1383" s="116">
        <v>485</v>
      </c>
      <c r="E1383" s="116">
        <v>492.15</v>
      </c>
      <c r="F1383" s="116">
        <v>492.1</v>
      </c>
      <c r="G1383">
        <v>52198</v>
      </c>
      <c r="H1383" s="116"/>
      <c r="I1383" s="116"/>
      <c r="L1383" s="170">
        <v>44754</v>
      </c>
      <c r="M1383" s="116">
        <v>492.55</v>
      </c>
      <c r="N1383" s="116">
        <v>501.4</v>
      </c>
      <c r="O1383" s="116">
        <v>484.05</v>
      </c>
      <c r="P1383" s="116">
        <v>491.75</v>
      </c>
      <c r="Q1383" s="116">
        <v>492.55</v>
      </c>
      <c r="R1383">
        <v>1381230</v>
      </c>
    </row>
    <row r="1384" spans="1:18" x14ac:dyDescent="0.25">
      <c r="A1384" s="170">
        <v>44755</v>
      </c>
      <c r="B1384" s="116">
        <v>514.5</v>
      </c>
      <c r="C1384" s="116">
        <v>512.54999999999995</v>
      </c>
      <c r="D1384" s="116">
        <v>493.7</v>
      </c>
      <c r="E1384" s="116">
        <v>497.95</v>
      </c>
      <c r="F1384" s="116">
        <v>512.54999999999995</v>
      </c>
      <c r="G1384">
        <v>61235</v>
      </c>
      <c r="H1384" s="116"/>
      <c r="I1384" s="116"/>
      <c r="L1384" s="170">
        <v>44755</v>
      </c>
      <c r="M1384" s="116">
        <v>512.65</v>
      </c>
      <c r="N1384" s="116">
        <v>514.79999999999995</v>
      </c>
      <c r="O1384" s="116">
        <v>493.8</v>
      </c>
      <c r="P1384" s="116">
        <v>494.6</v>
      </c>
      <c r="Q1384" s="116">
        <v>512.65</v>
      </c>
      <c r="R1384">
        <v>2626778</v>
      </c>
    </row>
    <row r="1385" spans="1:18" x14ac:dyDescent="0.25">
      <c r="A1385" s="170">
        <v>44756</v>
      </c>
      <c r="B1385" s="116">
        <v>531.75</v>
      </c>
      <c r="C1385" s="116">
        <v>521.6</v>
      </c>
      <c r="D1385" s="116">
        <v>513.29999999999995</v>
      </c>
      <c r="E1385" s="116">
        <v>517.75</v>
      </c>
      <c r="F1385" s="116">
        <v>521.6</v>
      </c>
      <c r="G1385">
        <v>60204</v>
      </c>
      <c r="H1385" s="116"/>
      <c r="I1385" s="116"/>
      <c r="L1385" s="170">
        <v>44756</v>
      </c>
      <c r="M1385" s="116">
        <v>521.65</v>
      </c>
      <c r="N1385" s="116">
        <v>531.70000000000005</v>
      </c>
      <c r="O1385" s="116">
        <v>513.5</v>
      </c>
      <c r="P1385" s="116">
        <v>516.70000000000005</v>
      </c>
      <c r="Q1385" s="116">
        <v>521.65</v>
      </c>
      <c r="R1385">
        <v>2973336</v>
      </c>
    </row>
    <row r="1386" spans="1:18" x14ac:dyDescent="0.25">
      <c r="A1386" s="170">
        <v>44757</v>
      </c>
      <c r="B1386" s="116">
        <v>528.54999999999995</v>
      </c>
      <c r="C1386" s="116">
        <v>522.54999999999995</v>
      </c>
      <c r="D1386" s="116">
        <v>518.54999999999995</v>
      </c>
      <c r="E1386" s="116">
        <v>523.85</v>
      </c>
      <c r="F1386" s="116">
        <v>522.54999999999995</v>
      </c>
      <c r="G1386">
        <v>30785</v>
      </c>
      <c r="H1386" s="116"/>
      <c r="I1386" s="116"/>
      <c r="L1386" s="170">
        <v>44757</v>
      </c>
      <c r="M1386" s="116">
        <v>522.6</v>
      </c>
      <c r="N1386" s="116">
        <v>528.5</v>
      </c>
      <c r="O1386" s="116">
        <v>518.54999999999995</v>
      </c>
      <c r="P1386" s="116">
        <v>522.70000000000005</v>
      </c>
      <c r="Q1386" s="116">
        <v>522.6</v>
      </c>
      <c r="R1386">
        <v>908155</v>
      </c>
    </row>
    <row r="1387" spans="1:18" x14ac:dyDescent="0.25">
      <c r="A1387" s="170">
        <v>44760</v>
      </c>
      <c r="B1387" s="116">
        <v>531</v>
      </c>
      <c r="C1387" s="116">
        <v>505.25</v>
      </c>
      <c r="D1387" s="116">
        <v>501.3</v>
      </c>
      <c r="E1387" s="116">
        <v>531</v>
      </c>
      <c r="F1387" s="116">
        <v>505.25</v>
      </c>
      <c r="G1387">
        <v>60066</v>
      </c>
      <c r="H1387" s="116"/>
      <c r="I1387" s="116"/>
      <c r="L1387" s="170">
        <v>44760</v>
      </c>
      <c r="M1387" s="116">
        <v>505.35</v>
      </c>
      <c r="N1387" s="116">
        <v>528.5</v>
      </c>
      <c r="O1387" s="116">
        <v>501.3</v>
      </c>
      <c r="P1387" s="116">
        <v>526.65</v>
      </c>
      <c r="Q1387" s="116">
        <v>505.35</v>
      </c>
      <c r="R1387">
        <v>1857096</v>
      </c>
    </row>
    <row r="1388" spans="1:18" x14ac:dyDescent="0.25">
      <c r="A1388" s="170">
        <v>44761</v>
      </c>
      <c r="B1388" s="116">
        <v>514.95000000000005</v>
      </c>
      <c r="C1388" s="116">
        <v>509</v>
      </c>
      <c r="D1388" s="116">
        <v>505.25</v>
      </c>
      <c r="E1388" s="116">
        <v>505.25</v>
      </c>
      <c r="F1388" s="116">
        <v>509</v>
      </c>
      <c r="G1388">
        <v>22125</v>
      </c>
      <c r="H1388" s="116"/>
      <c r="I1388" s="116"/>
      <c r="L1388" s="170">
        <v>44761</v>
      </c>
      <c r="M1388" s="116">
        <v>509.6</v>
      </c>
      <c r="N1388" s="116">
        <v>515</v>
      </c>
      <c r="O1388" s="116">
        <v>505.35</v>
      </c>
      <c r="P1388" s="116">
        <v>505.35</v>
      </c>
      <c r="Q1388" s="116">
        <v>509.6</v>
      </c>
      <c r="R1388">
        <v>1089107</v>
      </c>
    </row>
    <row r="1389" spans="1:18" x14ac:dyDescent="0.25">
      <c r="A1389" s="170">
        <v>44762</v>
      </c>
      <c r="B1389" s="116">
        <v>520</v>
      </c>
      <c r="C1389" s="116">
        <v>514.5</v>
      </c>
      <c r="D1389" s="116">
        <v>509.5</v>
      </c>
      <c r="E1389" s="116">
        <v>516.15</v>
      </c>
      <c r="F1389" s="116">
        <v>514.5</v>
      </c>
      <c r="G1389">
        <v>22163</v>
      </c>
      <c r="H1389" s="116"/>
      <c r="I1389" s="116"/>
      <c r="L1389" s="170">
        <v>44762</v>
      </c>
      <c r="M1389" s="116">
        <v>514.4</v>
      </c>
      <c r="N1389" s="116">
        <v>520</v>
      </c>
      <c r="O1389" s="116">
        <v>509</v>
      </c>
      <c r="P1389" s="116">
        <v>511.7</v>
      </c>
      <c r="Q1389" s="116">
        <v>514.4</v>
      </c>
      <c r="R1389">
        <v>933685</v>
      </c>
    </row>
    <row r="1390" spans="1:18" x14ac:dyDescent="0.25">
      <c r="A1390" s="170">
        <v>44763</v>
      </c>
      <c r="B1390" s="116">
        <v>517</v>
      </c>
      <c r="C1390" s="116">
        <v>511.9</v>
      </c>
      <c r="D1390" s="116">
        <v>507.7</v>
      </c>
      <c r="E1390" s="116">
        <v>512.6</v>
      </c>
      <c r="F1390" s="116">
        <v>511.9</v>
      </c>
      <c r="G1390">
        <v>34670</v>
      </c>
      <c r="H1390" s="116"/>
      <c r="I1390" s="116"/>
      <c r="L1390" s="170">
        <v>44763</v>
      </c>
      <c r="M1390" s="116">
        <v>512.15</v>
      </c>
      <c r="N1390" s="116">
        <v>517.04999999999995</v>
      </c>
      <c r="O1390" s="116">
        <v>507.65</v>
      </c>
      <c r="P1390" s="116">
        <v>512.6</v>
      </c>
      <c r="Q1390" s="116">
        <v>512.15</v>
      </c>
      <c r="R1390">
        <v>460261</v>
      </c>
    </row>
    <row r="1391" spans="1:18" x14ac:dyDescent="0.25">
      <c r="A1391" s="170">
        <v>44764</v>
      </c>
      <c r="B1391" s="116">
        <v>515.6</v>
      </c>
      <c r="C1391" s="116">
        <v>509</v>
      </c>
      <c r="D1391" s="116">
        <v>507.8</v>
      </c>
      <c r="E1391" s="116">
        <v>512.54999999999995</v>
      </c>
      <c r="F1391" s="116">
        <v>509</v>
      </c>
      <c r="G1391">
        <v>15798</v>
      </c>
      <c r="H1391" s="116"/>
      <c r="I1391" s="116"/>
      <c r="L1391" s="170">
        <v>44764</v>
      </c>
      <c r="M1391" s="116">
        <v>509.1</v>
      </c>
      <c r="N1391" s="116">
        <v>515.79999999999995</v>
      </c>
      <c r="O1391" s="116">
        <v>507</v>
      </c>
      <c r="P1391" s="116">
        <v>514</v>
      </c>
      <c r="Q1391" s="116">
        <v>509.1</v>
      </c>
      <c r="R1391">
        <v>689101</v>
      </c>
    </row>
    <row r="1392" spans="1:18" x14ac:dyDescent="0.25">
      <c r="A1392" s="170">
        <v>44767</v>
      </c>
      <c r="B1392" s="116">
        <v>511</v>
      </c>
      <c r="C1392" s="116">
        <v>497.1</v>
      </c>
      <c r="D1392" s="116">
        <v>494.3</v>
      </c>
      <c r="E1392" s="116">
        <v>511</v>
      </c>
      <c r="F1392" s="116">
        <v>497.1</v>
      </c>
      <c r="G1392">
        <v>80336</v>
      </c>
      <c r="H1392" s="116"/>
      <c r="I1392" s="116"/>
      <c r="L1392" s="170">
        <v>44767</v>
      </c>
      <c r="M1392" s="116">
        <v>497.05</v>
      </c>
      <c r="N1392" s="116">
        <v>509</v>
      </c>
      <c r="O1392" s="116">
        <v>494</v>
      </c>
      <c r="P1392" s="116">
        <v>509</v>
      </c>
      <c r="Q1392" s="116">
        <v>497.05</v>
      </c>
      <c r="R1392">
        <v>1876202</v>
      </c>
    </row>
    <row r="1393" spans="1:18" x14ac:dyDescent="0.25">
      <c r="A1393" s="170">
        <v>44768</v>
      </c>
      <c r="B1393" s="116">
        <v>499.45</v>
      </c>
      <c r="C1393" s="116">
        <v>484.4</v>
      </c>
      <c r="D1393" s="116">
        <v>482.75</v>
      </c>
      <c r="E1393" s="116">
        <v>496.3</v>
      </c>
      <c r="F1393" s="116">
        <v>484.4</v>
      </c>
      <c r="G1393">
        <v>90532</v>
      </c>
      <c r="H1393" s="116"/>
      <c r="I1393" s="116"/>
      <c r="L1393" s="170">
        <v>44768</v>
      </c>
      <c r="M1393" s="116">
        <v>484.1</v>
      </c>
      <c r="N1393" s="116">
        <v>499.8</v>
      </c>
      <c r="O1393" s="116">
        <v>483</v>
      </c>
      <c r="P1393" s="116">
        <v>499.4</v>
      </c>
      <c r="Q1393" s="116">
        <v>484.1</v>
      </c>
      <c r="R1393">
        <v>1152523</v>
      </c>
    </row>
    <row r="1394" spans="1:18" x14ac:dyDescent="0.25">
      <c r="A1394" s="170">
        <v>44769</v>
      </c>
      <c r="B1394" s="116">
        <v>517.4</v>
      </c>
      <c r="C1394" s="116">
        <v>514.5</v>
      </c>
      <c r="D1394" s="116">
        <v>481.6</v>
      </c>
      <c r="E1394" s="116">
        <v>486.5</v>
      </c>
      <c r="F1394" s="116">
        <v>514.5</v>
      </c>
      <c r="G1394">
        <v>191220</v>
      </c>
      <c r="H1394" s="116"/>
      <c r="I1394" s="116"/>
      <c r="L1394" s="170">
        <v>44769</v>
      </c>
      <c r="M1394" s="116">
        <v>513.79999999999995</v>
      </c>
      <c r="N1394" s="116">
        <v>517.4</v>
      </c>
      <c r="O1394" s="116">
        <v>481.2</v>
      </c>
      <c r="P1394" s="116">
        <v>485.95</v>
      </c>
      <c r="Q1394" s="116">
        <v>513.79999999999995</v>
      </c>
      <c r="R1394">
        <v>5894441</v>
      </c>
    </row>
    <row r="1395" spans="1:18" x14ac:dyDescent="0.25">
      <c r="A1395" s="170">
        <v>44770</v>
      </c>
      <c r="B1395" s="116">
        <v>539.15</v>
      </c>
      <c r="C1395" s="116">
        <v>524.70000000000005</v>
      </c>
      <c r="D1395" s="116">
        <v>496.25</v>
      </c>
      <c r="E1395" s="116">
        <v>519.20000000000005</v>
      </c>
      <c r="F1395" s="116">
        <v>524.70000000000005</v>
      </c>
      <c r="G1395">
        <v>258326</v>
      </c>
      <c r="H1395" s="116"/>
      <c r="I1395" s="116"/>
      <c r="L1395" s="170">
        <v>44770</v>
      </c>
      <c r="M1395" s="116">
        <v>525.25</v>
      </c>
      <c r="N1395" s="116">
        <v>539</v>
      </c>
      <c r="O1395" s="116">
        <v>498.75</v>
      </c>
      <c r="P1395" s="116">
        <v>520</v>
      </c>
      <c r="Q1395" s="116">
        <v>525.25</v>
      </c>
      <c r="R1395">
        <v>7418399</v>
      </c>
    </row>
    <row r="1396" spans="1:18" x14ac:dyDescent="0.25">
      <c r="A1396" s="170">
        <v>44771</v>
      </c>
      <c r="B1396" s="116">
        <v>531.45000000000005</v>
      </c>
      <c r="C1396" s="116">
        <v>522.75</v>
      </c>
      <c r="D1396" s="116">
        <v>516.04999999999995</v>
      </c>
      <c r="E1396" s="116">
        <v>529.70000000000005</v>
      </c>
      <c r="F1396" s="116">
        <v>522.75</v>
      </c>
      <c r="G1396">
        <v>64413</v>
      </c>
      <c r="H1396" s="116"/>
      <c r="I1396" s="116"/>
      <c r="L1396" s="170">
        <v>44771</v>
      </c>
      <c r="M1396" s="116">
        <v>522.70000000000005</v>
      </c>
      <c r="N1396" s="116">
        <v>531.9</v>
      </c>
      <c r="O1396" s="116">
        <v>515.6</v>
      </c>
      <c r="P1396" s="116">
        <v>525</v>
      </c>
      <c r="Q1396" s="116">
        <v>522.70000000000005</v>
      </c>
      <c r="R1396">
        <v>1908703</v>
      </c>
    </row>
    <row r="1397" spans="1:18" x14ac:dyDescent="0.25">
      <c r="A1397" s="170">
        <v>44774</v>
      </c>
      <c r="B1397" s="116">
        <v>529.79999999999995</v>
      </c>
      <c r="C1397" s="116">
        <v>525.65</v>
      </c>
      <c r="D1397" s="116">
        <v>518</v>
      </c>
      <c r="E1397" s="116">
        <v>525</v>
      </c>
      <c r="F1397" s="116">
        <v>525.65</v>
      </c>
      <c r="G1397">
        <v>78265</v>
      </c>
      <c r="H1397" s="116"/>
      <c r="I1397" s="116"/>
      <c r="L1397" s="170">
        <v>44774</v>
      </c>
      <c r="M1397" s="116">
        <v>525.79999999999995</v>
      </c>
      <c r="N1397" s="116">
        <v>530.15</v>
      </c>
      <c r="O1397" s="116">
        <v>519.15</v>
      </c>
      <c r="P1397" s="116">
        <v>525.1</v>
      </c>
      <c r="Q1397" s="116">
        <v>525.79999999999995</v>
      </c>
      <c r="R1397">
        <v>1147121</v>
      </c>
    </row>
    <row r="1398" spans="1:18" x14ac:dyDescent="0.25">
      <c r="A1398" s="170">
        <v>44775</v>
      </c>
      <c r="B1398" s="116">
        <v>528.95000000000005</v>
      </c>
      <c r="C1398" s="116">
        <v>520.9</v>
      </c>
      <c r="D1398" s="116">
        <v>518.35</v>
      </c>
      <c r="E1398" s="116">
        <v>526.1</v>
      </c>
      <c r="F1398" s="116">
        <v>520.9</v>
      </c>
      <c r="G1398">
        <v>40772</v>
      </c>
      <c r="H1398" s="116"/>
      <c r="I1398" s="116"/>
      <c r="L1398" s="170">
        <v>44775</v>
      </c>
      <c r="M1398" s="116">
        <v>522</v>
      </c>
      <c r="N1398" s="116">
        <v>529</v>
      </c>
      <c r="O1398" s="116">
        <v>518</v>
      </c>
      <c r="P1398" s="116">
        <v>527.4</v>
      </c>
      <c r="Q1398" s="116">
        <v>522</v>
      </c>
      <c r="R1398">
        <v>810908</v>
      </c>
    </row>
    <row r="1399" spans="1:18" x14ac:dyDescent="0.25">
      <c r="A1399" s="170">
        <v>44776</v>
      </c>
      <c r="B1399" s="116">
        <v>527.1</v>
      </c>
      <c r="C1399" s="116">
        <v>522.54999999999995</v>
      </c>
      <c r="D1399" s="116">
        <v>517.04999999999995</v>
      </c>
      <c r="E1399" s="116">
        <v>524</v>
      </c>
      <c r="F1399" s="116">
        <v>522.54999999999995</v>
      </c>
      <c r="G1399">
        <v>25418</v>
      </c>
      <c r="H1399" s="116"/>
      <c r="I1399" s="116"/>
      <c r="L1399" s="170">
        <v>44776</v>
      </c>
      <c r="M1399" s="116">
        <v>522.25</v>
      </c>
      <c r="N1399" s="116">
        <v>527.4</v>
      </c>
      <c r="O1399" s="116">
        <v>517.20000000000005</v>
      </c>
      <c r="P1399" s="116">
        <v>522</v>
      </c>
      <c r="Q1399" s="116">
        <v>522.25</v>
      </c>
      <c r="R1399">
        <v>910102</v>
      </c>
    </row>
    <row r="1400" spans="1:18" x14ac:dyDescent="0.25">
      <c r="A1400" s="170">
        <v>44777</v>
      </c>
      <c r="B1400" s="116">
        <v>544.5</v>
      </c>
      <c r="C1400" s="116">
        <v>543.79999999999995</v>
      </c>
      <c r="D1400" s="116">
        <v>524.25</v>
      </c>
      <c r="E1400" s="116">
        <v>525.9</v>
      </c>
      <c r="F1400" s="116">
        <v>543.79999999999995</v>
      </c>
      <c r="G1400">
        <v>174643</v>
      </c>
      <c r="H1400" s="116"/>
      <c r="I1400" s="116"/>
      <c r="L1400" s="170">
        <v>44777</v>
      </c>
      <c r="M1400" s="116">
        <v>543.85</v>
      </c>
      <c r="N1400" s="116">
        <v>544.70000000000005</v>
      </c>
      <c r="O1400" s="116">
        <v>523.1</v>
      </c>
      <c r="P1400" s="116">
        <v>523.1</v>
      </c>
      <c r="Q1400" s="116">
        <v>543.85</v>
      </c>
      <c r="R1400">
        <v>3622623</v>
      </c>
    </row>
    <row r="1401" spans="1:18" x14ac:dyDescent="0.25">
      <c r="A1401" s="170">
        <v>44778</v>
      </c>
      <c r="B1401" s="116">
        <v>556.04999999999995</v>
      </c>
      <c r="C1401" s="116">
        <v>545.25</v>
      </c>
      <c r="D1401" s="116">
        <v>543.54999999999995</v>
      </c>
      <c r="E1401" s="116">
        <v>545</v>
      </c>
      <c r="F1401" s="116">
        <v>545.25</v>
      </c>
      <c r="G1401">
        <v>55309</v>
      </c>
      <c r="H1401" s="116"/>
      <c r="I1401" s="116"/>
      <c r="L1401" s="170">
        <v>44778</v>
      </c>
      <c r="M1401" s="116">
        <v>545.1</v>
      </c>
      <c r="N1401" s="116">
        <v>555.9</v>
      </c>
      <c r="O1401" s="116">
        <v>542.1</v>
      </c>
      <c r="P1401" s="116">
        <v>546.54999999999995</v>
      </c>
      <c r="Q1401" s="116">
        <v>545.1</v>
      </c>
      <c r="R1401">
        <v>2131692</v>
      </c>
    </row>
    <row r="1402" spans="1:18" x14ac:dyDescent="0.25">
      <c r="A1402" s="170">
        <v>44781</v>
      </c>
      <c r="B1402" s="116">
        <v>554</v>
      </c>
      <c r="C1402" s="116">
        <v>550.79999999999995</v>
      </c>
      <c r="D1402" s="116">
        <v>542.25</v>
      </c>
      <c r="E1402" s="116">
        <v>548</v>
      </c>
      <c r="F1402" s="116">
        <v>550.79999999999995</v>
      </c>
      <c r="G1402">
        <v>54014</v>
      </c>
      <c r="H1402" s="116"/>
      <c r="I1402" s="116"/>
      <c r="L1402" s="170">
        <v>44781</v>
      </c>
      <c r="M1402" s="116">
        <v>551.1</v>
      </c>
      <c r="N1402" s="116">
        <v>554.75</v>
      </c>
      <c r="O1402" s="116">
        <v>542.45000000000005</v>
      </c>
      <c r="P1402" s="116">
        <v>546.1</v>
      </c>
      <c r="Q1402" s="116">
        <v>551.1</v>
      </c>
      <c r="R1402">
        <v>1126392</v>
      </c>
    </row>
    <row r="1403" spans="1:18" x14ac:dyDescent="0.25">
      <c r="A1403" s="170">
        <v>44783</v>
      </c>
      <c r="B1403" s="116">
        <v>563.5</v>
      </c>
      <c r="C1403" s="116">
        <v>558.70000000000005</v>
      </c>
      <c r="D1403" s="116">
        <v>550</v>
      </c>
      <c r="E1403" s="116">
        <v>550</v>
      </c>
      <c r="F1403" s="116">
        <v>558.70000000000005</v>
      </c>
      <c r="G1403">
        <v>40092</v>
      </c>
      <c r="H1403" s="116"/>
      <c r="I1403" s="116"/>
      <c r="L1403" s="170">
        <v>44783</v>
      </c>
      <c r="M1403" s="116">
        <v>558.85</v>
      </c>
      <c r="N1403" s="116">
        <v>563.79999999999995</v>
      </c>
      <c r="O1403" s="116">
        <v>550.65</v>
      </c>
      <c r="P1403" s="116">
        <v>551.1</v>
      </c>
      <c r="Q1403" s="116">
        <v>558.85</v>
      </c>
      <c r="R1403">
        <v>1695655</v>
      </c>
    </row>
    <row r="1404" spans="1:18" x14ac:dyDescent="0.25">
      <c r="A1404" s="170">
        <v>44784</v>
      </c>
      <c r="B1404" s="116">
        <v>570.1</v>
      </c>
      <c r="C1404" s="116">
        <v>565.04999999999995</v>
      </c>
      <c r="D1404" s="116">
        <v>561.20000000000005</v>
      </c>
      <c r="E1404" s="116">
        <v>563.04999999999995</v>
      </c>
      <c r="F1404" s="116">
        <v>565.04999999999995</v>
      </c>
      <c r="G1404">
        <v>24554</v>
      </c>
      <c r="H1404" s="116"/>
      <c r="I1404" s="116"/>
      <c r="L1404" s="170">
        <v>44784</v>
      </c>
      <c r="M1404" s="116">
        <v>565.5</v>
      </c>
      <c r="N1404" s="116">
        <v>570.5</v>
      </c>
      <c r="O1404" s="116">
        <v>561.54999999999995</v>
      </c>
      <c r="P1404" s="116">
        <v>561.70000000000005</v>
      </c>
      <c r="Q1404" s="116">
        <v>565.5</v>
      </c>
      <c r="R1404">
        <v>1455139</v>
      </c>
    </row>
    <row r="1405" spans="1:18" x14ac:dyDescent="0.25">
      <c r="A1405" s="170">
        <v>44785</v>
      </c>
      <c r="B1405" s="116">
        <v>570.54999999999995</v>
      </c>
      <c r="C1405" s="116">
        <v>565.75</v>
      </c>
      <c r="D1405" s="116">
        <v>560.6</v>
      </c>
      <c r="E1405" s="116">
        <v>568.95000000000005</v>
      </c>
      <c r="F1405" s="116">
        <v>565.75</v>
      </c>
      <c r="G1405">
        <v>25244</v>
      </c>
      <c r="H1405" s="116"/>
      <c r="I1405" s="116"/>
      <c r="L1405" s="170">
        <v>44785</v>
      </c>
      <c r="M1405" s="116">
        <v>566.15</v>
      </c>
      <c r="N1405" s="116">
        <v>570.5</v>
      </c>
      <c r="O1405" s="116">
        <v>560.25</v>
      </c>
      <c r="P1405" s="116">
        <v>565.75</v>
      </c>
      <c r="Q1405" s="116">
        <v>566.15</v>
      </c>
      <c r="R1405">
        <v>1007526</v>
      </c>
    </row>
    <row r="1406" spans="1:18" x14ac:dyDescent="0.25">
      <c r="A1406" s="170">
        <v>44789</v>
      </c>
      <c r="B1406" s="116">
        <v>579</v>
      </c>
      <c r="C1406" s="116">
        <v>577.4</v>
      </c>
      <c r="D1406" s="116">
        <v>566</v>
      </c>
      <c r="E1406" s="116">
        <v>566</v>
      </c>
      <c r="F1406" s="116">
        <v>577.4</v>
      </c>
      <c r="G1406">
        <v>52585</v>
      </c>
      <c r="H1406" s="116"/>
      <c r="I1406" s="116"/>
      <c r="L1406" s="170">
        <v>44789</v>
      </c>
      <c r="M1406" s="116">
        <v>577.29999999999995</v>
      </c>
      <c r="N1406" s="116">
        <v>579.1</v>
      </c>
      <c r="O1406" s="116">
        <v>566.20000000000005</v>
      </c>
      <c r="P1406" s="116">
        <v>566.20000000000005</v>
      </c>
      <c r="Q1406" s="116">
        <v>577.29999999999995</v>
      </c>
      <c r="R1406">
        <v>2435006</v>
      </c>
    </row>
    <row r="1407" spans="1:18" x14ac:dyDescent="0.25">
      <c r="A1407" s="170">
        <v>44790</v>
      </c>
      <c r="B1407" s="116">
        <v>603.6</v>
      </c>
      <c r="C1407" s="116">
        <v>591.45000000000005</v>
      </c>
      <c r="D1407" s="116">
        <v>579.54999999999995</v>
      </c>
      <c r="E1407" s="116">
        <v>581.95000000000005</v>
      </c>
      <c r="F1407" s="116">
        <v>591.45000000000005</v>
      </c>
      <c r="G1407">
        <v>159634</v>
      </c>
      <c r="H1407" s="116"/>
      <c r="I1407" s="116"/>
      <c r="L1407" s="170">
        <v>44790</v>
      </c>
      <c r="M1407" s="116">
        <v>590.95000000000005</v>
      </c>
      <c r="N1407" s="116">
        <v>603.75</v>
      </c>
      <c r="O1407" s="116">
        <v>578.25</v>
      </c>
      <c r="P1407" s="116">
        <v>579</v>
      </c>
      <c r="Q1407" s="116">
        <v>590.95000000000005</v>
      </c>
      <c r="R1407">
        <v>2403885</v>
      </c>
    </row>
    <row r="1408" spans="1:18" x14ac:dyDescent="0.25">
      <c r="A1408" s="170">
        <v>44791</v>
      </c>
      <c r="B1408" s="116">
        <v>605.5</v>
      </c>
      <c r="C1408" s="116">
        <v>590.25</v>
      </c>
      <c r="D1408" s="116">
        <v>588.54999999999995</v>
      </c>
      <c r="E1408" s="116">
        <v>593.04999999999995</v>
      </c>
      <c r="F1408" s="116">
        <v>590.25</v>
      </c>
      <c r="G1408">
        <v>138186</v>
      </c>
      <c r="H1408" s="116"/>
      <c r="I1408" s="116"/>
      <c r="L1408" s="170">
        <v>44791</v>
      </c>
      <c r="M1408" s="116">
        <v>590.54999999999995</v>
      </c>
      <c r="N1408" s="116">
        <v>605.5</v>
      </c>
      <c r="O1408" s="116">
        <v>589</v>
      </c>
      <c r="P1408" s="116">
        <v>594</v>
      </c>
      <c r="Q1408" s="116">
        <v>590.54999999999995</v>
      </c>
      <c r="R1408">
        <v>2067810</v>
      </c>
    </row>
    <row r="1409" spans="1:18" x14ac:dyDescent="0.25">
      <c r="A1409" s="170">
        <v>44792</v>
      </c>
      <c r="B1409" s="116">
        <v>592.4</v>
      </c>
      <c r="C1409" s="116">
        <v>581.79999999999995</v>
      </c>
      <c r="D1409" s="116">
        <v>578.6</v>
      </c>
      <c r="E1409" s="116">
        <v>592.1</v>
      </c>
      <c r="F1409" s="116">
        <v>581.79999999999995</v>
      </c>
      <c r="G1409">
        <v>46865</v>
      </c>
      <c r="H1409" s="116"/>
      <c r="I1409" s="116"/>
      <c r="L1409" s="170">
        <v>44792</v>
      </c>
      <c r="M1409" s="116">
        <v>581.9</v>
      </c>
      <c r="N1409" s="116">
        <v>593.29999999999995</v>
      </c>
      <c r="O1409" s="116">
        <v>578.5</v>
      </c>
      <c r="P1409" s="116">
        <v>590</v>
      </c>
      <c r="Q1409" s="116">
        <v>581.9</v>
      </c>
      <c r="R1409">
        <v>1563294</v>
      </c>
    </row>
    <row r="1410" spans="1:18" x14ac:dyDescent="0.25">
      <c r="A1410" s="170">
        <v>44795</v>
      </c>
      <c r="B1410" s="116">
        <v>589.20000000000005</v>
      </c>
      <c r="C1410" s="116">
        <v>571.29999999999995</v>
      </c>
      <c r="D1410" s="116">
        <v>569.54999999999995</v>
      </c>
      <c r="E1410" s="116">
        <v>579.04999999999995</v>
      </c>
      <c r="F1410" s="116">
        <v>571.29999999999995</v>
      </c>
      <c r="G1410">
        <v>43993</v>
      </c>
      <c r="H1410" s="116"/>
      <c r="I1410" s="116"/>
      <c r="L1410" s="170">
        <v>44795</v>
      </c>
      <c r="M1410" s="116">
        <v>571.5</v>
      </c>
      <c r="N1410" s="116">
        <v>589.54999999999995</v>
      </c>
      <c r="O1410" s="116">
        <v>569.20000000000005</v>
      </c>
      <c r="P1410" s="116">
        <v>582</v>
      </c>
      <c r="Q1410" s="116">
        <v>571.5</v>
      </c>
      <c r="R1410">
        <v>1327591</v>
      </c>
    </row>
    <row r="1411" spans="1:18" x14ac:dyDescent="0.25">
      <c r="A1411" s="170">
        <v>44796</v>
      </c>
      <c r="B1411" s="116">
        <v>589</v>
      </c>
      <c r="C1411" s="116">
        <v>583.4</v>
      </c>
      <c r="D1411" s="116">
        <v>561.29999999999995</v>
      </c>
      <c r="E1411" s="116">
        <v>561.29999999999995</v>
      </c>
      <c r="F1411" s="116">
        <v>583.4</v>
      </c>
      <c r="G1411">
        <v>50934</v>
      </c>
      <c r="H1411" s="116"/>
      <c r="I1411" s="116"/>
      <c r="L1411" s="170">
        <v>44796</v>
      </c>
      <c r="M1411" s="116">
        <v>587.04999999999995</v>
      </c>
      <c r="N1411" s="116">
        <v>590.04999999999995</v>
      </c>
      <c r="O1411" s="116">
        <v>562</v>
      </c>
      <c r="P1411" s="116">
        <v>562</v>
      </c>
      <c r="Q1411" s="116">
        <v>587.04999999999995</v>
      </c>
      <c r="R1411">
        <v>1239605</v>
      </c>
    </row>
    <row r="1412" spans="1:18" x14ac:dyDescent="0.25">
      <c r="A1412" s="170">
        <v>44797</v>
      </c>
      <c r="B1412" s="116">
        <v>593.4</v>
      </c>
      <c r="C1412" s="116">
        <v>582.5</v>
      </c>
      <c r="D1412" s="116">
        <v>574.45000000000005</v>
      </c>
      <c r="E1412" s="116">
        <v>588</v>
      </c>
      <c r="F1412" s="116">
        <v>582.5</v>
      </c>
      <c r="G1412">
        <v>57011</v>
      </c>
      <c r="H1412" s="116"/>
      <c r="I1412" s="116"/>
      <c r="L1412" s="170">
        <v>44797</v>
      </c>
      <c r="M1412" s="116">
        <v>577.79999999999995</v>
      </c>
      <c r="N1412" s="116">
        <v>593.45000000000005</v>
      </c>
      <c r="O1412" s="116">
        <v>574</v>
      </c>
      <c r="P1412" s="116">
        <v>587</v>
      </c>
      <c r="Q1412" s="116">
        <v>577.79999999999995</v>
      </c>
      <c r="R1412">
        <v>1329075</v>
      </c>
    </row>
    <row r="1413" spans="1:18" x14ac:dyDescent="0.25">
      <c r="A1413" s="170">
        <v>44798</v>
      </c>
      <c r="B1413" s="116">
        <v>583.1</v>
      </c>
      <c r="C1413" s="116">
        <v>573.65</v>
      </c>
      <c r="D1413" s="116">
        <v>572</v>
      </c>
      <c r="E1413" s="116">
        <v>578.5</v>
      </c>
      <c r="F1413" s="116">
        <v>573.65</v>
      </c>
      <c r="G1413">
        <v>50960</v>
      </c>
      <c r="H1413" s="116"/>
      <c r="I1413" s="116"/>
      <c r="L1413" s="170">
        <v>44798</v>
      </c>
      <c r="M1413" s="116">
        <v>573.54999999999995</v>
      </c>
      <c r="N1413" s="116">
        <v>583.25</v>
      </c>
      <c r="O1413" s="116">
        <v>571.6</v>
      </c>
      <c r="P1413" s="116">
        <v>579</v>
      </c>
      <c r="Q1413" s="116">
        <v>573.54999999999995</v>
      </c>
      <c r="R1413">
        <v>950048</v>
      </c>
    </row>
    <row r="1414" spans="1:18" x14ac:dyDescent="0.25">
      <c r="A1414" s="170">
        <v>44799</v>
      </c>
      <c r="B1414" s="116">
        <v>582.6</v>
      </c>
      <c r="C1414" s="116">
        <v>567.15</v>
      </c>
      <c r="D1414" s="116">
        <v>564.6</v>
      </c>
      <c r="E1414" s="116">
        <v>579.95000000000005</v>
      </c>
      <c r="F1414" s="116">
        <v>567.15</v>
      </c>
      <c r="G1414">
        <v>51895</v>
      </c>
      <c r="H1414" s="116"/>
      <c r="I1414" s="116"/>
      <c r="L1414" s="170">
        <v>44799</v>
      </c>
      <c r="M1414" s="116">
        <v>567.25</v>
      </c>
      <c r="N1414" s="116">
        <v>582.20000000000005</v>
      </c>
      <c r="O1414" s="116">
        <v>564.79999999999995</v>
      </c>
      <c r="P1414" s="116">
        <v>576.45000000000005</v>
      </c>
      <c r="Q1414" s="116">
        <v>567.25</v>
      </c>
      <c r="R1414">
        <v>859513</v>
      </c>
    </row>
    <row r="1415" spans="1:18" x14ac:dyDescent="0.25">
      <c r="A1415" s="170">
        <v>44802</v>
      </c>
      <c r="B1415" s="116">
        <v>578.5</v>
      </c>
      <c r="C1415" s="116">
        <v>576.4</v>
      </c>
      <c r="D1415" s="116">
        <v>549.45000000000005</v>
      </c>
      <c r="E1415" s="116">
        <v>554.79999999999995</v>
      </c>
      <c r="F1415" s="116">
        <v>576.4</v>
      </c>
      <c r="G1415">
        <v>34793</v>
      </c>
      <c r="H1415" s="116"/>
      <c r="I1415" s="116"/>
      <c r="L1415" s="170">
        <v>44802</v>
      </c>
      <c r="M1415" s="116">
        <v>576.4</v>
      </c>
      <c r="N1415" s="116">
        <v>578.6</v>
      </c>
      <c r="O1415" s="116">
        <v>548.1</v>
      </c>
      <c r="P1415" s="116">
        <v>550</v>
      </c>
      <c r="Q1415" s="116">
        <v>576.4</v>
      </c>
      <c r="R1415">
        <v>1124459</v>
      </c>
    </row>
    <row r="1416" spans="1:18" x14ac:dyDescent="0.25">
      <c r="A1416" s="170">
        <v>44803</v>
      </c>
      <c r="B1416" s="116">
        <v>582.15</v>
      </c>
      <c r="C1416" s="116">
        <v>578.75</v>
      </c>
      <c r="D1416" s="116">
        <v>571.29999999999995</v>
      </c>
      <c r="E1416" s="116">
        <v>575.04999999999995</v>
      </c>
      <c r="F1416" s="116">
        <v>578.75</v>
      </c>
      <c r="G1416">
        <v>46639</v>
      </c>
      <c r="H1416" s="116"/>
      <c r="I1416" s="116"/>
      <c r="L1416" s="170">
        <v>44803</v>
      </c>
      <c r="M1416" s="116">
        <v>579.04999999999995</v>
      </c>
      <c r="N1416" s="116">
        <v>581.4</v>
      </c>
      <c r="O1416" s="116">
        <v>571</v>
      </c>
      <c r="P1416" s="116">
        <v>579.29999999999995</v>
      </c>
      <c r="Q1416" s="116">
        <v>579.04999999999995</v>
      </c>
      <c r="R1416">
        <v>860520</v>
      </c>
    </row>
    <row r="1417" spans="1:18" x14ac:dyDescent="0.25">
      <c r="A1417" s="170">
        <v>44805</v>
      </c>
      <c r="B1417" s="116">
        <v>581.70000000000005</v>
      </c>
      <c r="C1417" s="116">
        <v>574.35</v>
      </c>
      <c r="D1417" s="116">
        <v>569.04999999999995</v>
      </c>
      <c r="E1417" s="116">
        <v>572.20000000000005</v>
      </c>
      <c r="F1417" s="116">
        <v>574.35</v>
      </c>
      <c r="G1417">
        <v>23931</v>
      </c>
      <c r="H1417" s="116"/>
      <c r="I1417" s="116"/>
      <c r="L1417" s="170">
        <v>44805</v>
      </c>
      <c r="M1417" s="116">
        <v>574.1</v>
      </c>
      <c r="N1417" s="116">
        <v>581.85</v>
      </c>
      <c r="O1417" s="116">
        <v>569.1</v>
      </c>
      <c r="P1417" s="116">
        <v>575.65</v>
      </c>
      <c r="Q1417" s="116">
        <v>574.1</v>
      </c>
      <c r="R1417">
        <v>800953</v>
      </c>
    </row>
    <row r="1418" spans="1:18" x14ac:dyDescent="0.25">
      <c r="A1418" s="170">
        <v>44806</v>
      </c>
      <c r="B1418" s="116">
        <v>578.75</v>
      </c>
      <c r="C1418" s="116">
        <v>569.6</v>
      </c>
      <c r="D1418" s="116">
        <v>567</v>
      </c>
      <c r="E1418" s="116">
        <v>571.35</v>
      </c>
      <c r="F1418" s="116">
        <v>569.6</v>
      </c>
      <c r="G1418">
        <v>63245</v>
      </c>
      <c r="H1418" s="116"/>
      <c r="I1418" s="116"/>
      <c r="L1418" s="170">
        <v>44806</v>
      </c>
      <c r="M1418" s="116">
        <v>569.04999999999995</v>
      </c>
      <c r="N1418" s="116">
        <v>578.79999999999995</v>
      </c>
      <c r="O1418" s="116">
        <v>566</v>
      </c>
      <c r="P1418" s="116">
        <v>576</v>
      </c>
      <c r="Q1418" s="116">
        <v>569.04999999999995</v>
      </c>
      <c r="R1418">
        <v>668209</v>
      </c>
    </row>
    <row r="1419" spans="1:18" x14ac:dyDescent="0.25">
      <c r="A1419" s="170">
        <v>44809</v>
      </c>
      <c r="B1419" s="116">
        <v>577</v>
      </c>
      <c r="C1419" s="116">
        <v>562.70000000000005</v>
      </c>
      <c r="D1419" s="116">
        <v>561.9</v>
      </c>
      <c r="E1419" s="116">
        <v>569.6</v>
      </c>
      <c r="F1419" s="116">
        <v>562.70000000000005</v>
      </c>
      <c r="G1419">
        <v>53368</v>
      </c>
      <c r="H1419" s="116"/>
      <c r="I1419" s="116"/>
      <c r="L1419" s="170">
        <v>44809</v>
      </c>
      <c r="M1419" s="116">
        <v>562.85</v>
      </c>
      <c r="N1419" s="116">
        <v>577</v>
      </c>
      <c r="O1419" s="116">
        <v>562</v>
      </c>
      <c r="P1419" s="116">
        <v>569.9</v>
      </c>
      <c r="Q1419" s="116">
        <v>562.85</v>
      </c>
      <c r="R1419">
        <v>760686</v>
      </c>
    </row>
    <row r="1420" spans="1:18" x14ac:dyDescent="0.25">
      <c r="A1420" s="170">
        <v>44810</v>
      </c>
      <c r="B1420" s="116">
        <v>567</v>
      </c>
      <c r="C1420" s="116">
        <v>560.70000000000005</v>
      </c>
      <c r="D1420" s="116">
        <v>559.4</v>
      </c>
      <c r="E1420" s="116">
        <v>561.1</v>
      </c>
      <c r="F1420" s="116">
        <v>560.70000000000005</v>
      </c>
      <c r="G1420">
        <v>29876</v>
      </c>
      <c r="H1420" s="116"/>
      <c r="I1420" s="116"/>
      <c r="L1420" s="170">
        <v>44810</v>
      </c>
      <c r="M1420" s="116">
        <v>560.70000000000005</v>
      </c>
      <c r="N1420" s="116">
        <v>568</v>
      </c>
      <c r="O1420" s="116">
        <v>559.04999999999995</v>
      </c>
      <c r="P1420" s="116">
        <v>563</v>
      </c>
      <c r="Q1420" s="116">
        <v>560.70000000000005</v>
      </c>
      <c r="R1420">
        <v>657221</v>
      </c>
    </row>
    <row r="1421" spans="1:18" x14ac:dyDescent="0.25">
      <c r="A1421" s="170">
        <v>44811</v>
      </c>
      <c r="B1421" s="116">
        <v>565.5</v>
      </c>
      <c r="C1421" s="116">
        <v>559.25</v>
      </c>
      <c r="D1421" s="116">
        <v>555.70000000000005</v>
      </c>
      <c r="E1421" s="116">
        <v>555.75</v>
      </c>
      <c r="F1421" s="116">
        <v>559.25</v>
      </c>
      <c r="G1421">
        <v>35765</v>
      </c>
      <c r="H1421" s="116"/>
      <c r="I1421" s="116"/>
      <c r="L1421" s="170">
        <v>44811</v>
      </c>
      <c r="M1421" s="116">
        <v>559.4</v>
      </c>
      <c r="N1421" s="116">
        <v>565.79999999999995</v>
      </c>
      <c r="O1421" s="116">
        <v>555.45000000000005</v>
      </c>
      <c r="P1421" s="116">
        <v>559.70000000000005</v>
      </c>
      <c r="Q1421" s="116">
        <v>559.4</v>
      </c>
      <c r="R1421">
        <v>1065140</v>
      </c>
    </row>
    <row r="1422" spans="1:18" x14ac:dyDescent="0.25">
      <c r="A1422" s="170">
        <v>44812</v>
      </c>
      <c r="B1422" s="116">
        <v>564</v>
      </c>
      <c r="C1422" s="116">
        <v>560.95000000000005</v>
      </c>
      <c r="D1422" s="116">
        <v>558.25</v>
      </c>
      <c r="E1422" s="116">
        <v>560</v>
      </c>
      <c r="F1422" s="116">
        <v>560.95000000000005</v>
      </c>
      <c r="G1422">
        <v>15948</v>
      </c>
      <c r="H1422" s="116"/>
      <c r="I1422" s="116"/>
      <c r="L1422" s="170">
        <v>44812</v>
      </c>
      <c r="M1422" s="116">
        <v>561.15</v>
      </c>
      <c r="N1422" s="116">
        <v>564</v>
      </c>
      <c r="O1422" s="116">
        <v>558</v>
      </c>
      <c r="P1422" s="116">
        <v>562.20000000000005</v>
      </c>
      <c r="Q1422" s="116">
        <v>561.15</v>
      </c>
      <c r="R1422">
        <v>1044980</v>
      </c>
    </row>
    <row r="1423" spans="1:18" x14ac:dyDescent="0.25">
      <c r="A1423" s="170">
        <v>44813</v>
      </c>
      <c r="B1423" s="116">
        <v>570.79999999999995</v>
      </c>
      <c r="C1423" s="116">
        <v>554.35</v>
      </c>
      <c r="D1423" s="116">
        <v>551.75</v>
      </c>
      <c r="E1423" s="116">
        <v>562</v>
      </c>
      <c r="F1423" s="116">
        <v>554.35</v>
      </c>
      <c r="G1423">
        <v>31129</v>
      </c>
      <c r="H1423" s="116"/>
      <c r="I1423" s="116"/>
      <c r="L1423" s="170">
        <v>44813</v>
      </c>
      <c r="M1423" s="116">
        <v>555.45000000000005</v>
      </c>
      <c r="N1423" s="116">
        <v>571</v>
      </c>
      <c r="O1423" s="116">
        <v>554.1</v>
      </c>
      <c r="P1423" s="116">
        <v>562</v>
      </c>
      <c r="Q1423" s="116">
        <v>555.45000000000005</v>
      </c>
      <c r="R1423">
        <v>874012</v>
      </c>
    </row>
    <row r="1424" spans="1:18" x14ac:dyDescent="0.25">
      <c r="A1424" s="170">
        <v>44816</v>
      </c>
      <c r="B1424" s="116">
        <v>558.54999999999995</v>
      </c>
      <c r="C1424" s="116">
        <v>546.75</v>
      </c>
      <c r="D1424" s="116">
        <v>545</v>
      </c>
      <c r="E1424" s="116">
        <v>555.75</v>
      </c>
      <c r="F1424" s="116">
        <v>546.75</v>
      </c>
      <c r="G1424">
        <v>28261</v>
      </c>
      <c r="H1424" s="116"/>
      <c r="I1424" s="116"/>
      <c r="L1424" s="170">
        <v>44816</v>
      </c>
      <c r="M1424" s="116">
        <v>546.70000000000005</v>
      </c>
      <c r="N1424" s="116">
        <v>558.65</v>
      </c>
      <c r="O1424" s="116">
        <v>544.9</v>
      </c>
      <c r="P1424" s="116">
        <v>558.20000000000005</v>
      </c>
      <c r="Q1424" s="116">
        <v>546.70000000000005</v>
      </c>
      <c r="R1424">
        <v>1122516</v>
      </c>
    </row>
    <row r="1425" spans="1:18" x14ac:dyDescent="0.25">
      <c r="A1425" s="170">
        <v>44817</v>
      </c>
      <c r="B1425" s="116">
        <v>557.20000000000005</v>
      </c>
      <c r="C1425" s="116">
        <v>552.75</v>
      </c>
      <c r="D1425" s="116">
        <v>548.6</v>
      </c>
      <c r="E1425" s="116">
        <v>548.9</v>
      </c>
      <c r="F1425" s="116">
        <v>552.75</v>
      </c>
      <c r="G1425">
        <v>49548</v>
      </c>
      <c r="H1425" s="116"/>
      <c r="I1425" s="116"/>
      <c r="L1425" s="170">
        <v>44817</v>
      </c>
      <c r="M1425" s="116">
        <v>552.9</v>
      </c>
      <c r="N1425" s="116">
        <v>557.4</v>
      </c>
      <c r="O1425" s="116">
        <v>548</v>
      </c>
      <c r="P1425" s="116">
        <v>548.9</v>
      </c>
      <c r="Q1425" s="116">
        <v>552.9</v>
      </c>
      <c r="R1425">
        <v>659016</v>
      </c>
    </row>
    <row r="1426" spans="1:18" x14ac:dyDescent="0.25">
      <c r="A1426" s="170">
        <v>44818</v>
      </c>
      <c r="B1426" s="116">
        <v>555</v>
      </c>
      <c r="C1426" s="116">
        <v>548.35</v>
      </c>
      <c r="D1426" s="116">
        <v>542.6</v>
      </c>
      <c r="E1426" s="116">
        <v>542.6</v>
      </c>
      <c r="F1426" s="116">
        <v>548.35</v>
      </c>
      <c r="G1426">
        <v>19949</v>
      </c>
      <c r="H1426" s="116"/>
      <c r="I1426" s="116"/>
      <c r="L1426" s="170">
        <v>44818</v>
      </c>
      <c r="M1426" s="116">
        <v>548.4</v>
      </c>
      <c r="N1426" s="116">
        <v>555.4</v>
      </c>
      <c r="O1426" s="116">
        <v>546.04999999999995</v>
      </c>
      <c r="P1426" s="116">
        <v>546.95000000000005</v>
      </c>
      <c r="Q1426" s="116">
        <v>548.4</v>
      </c>
      <c r="R1426">
        <v>721873</v>
      </c>
    </row>
    <row r="1427" spans="1:18" x14ac:dyDescent="0.25">
      <c r="A1427" s="170">
        <v>44819</v>
      </c>
      <c r="B1427" s="116">
        <v>552</v>
      </c>
      <c r="C1427" s="116">
        <v>531.15</v>
      </c>
      <c r="D1427" s="116">
        <v>529.20000000000005</v>
      </c>
      <c r="E1427" s="116">
        <v>548.4</v>
      </c>
      <c r="F1427" s="116">
        <v>531.15</v>
      </c>
      <c r="G1427">
        <v>32424</v>
      </c>
      <c r="H1427" s="116"/>
      <c r="I1427" s="116"/>
      <c r="L1427" s="170">
        <v>44819</v>
      </c>
      <c r="M1427" s="116">
        <v>530.75</v>
      </c>
      <c r="N1427" s="116">
        <v>552.54999999999995</v>
      </c>
      <c r="O1427" s="116">
        <v>528.95000000000005</v>
      </c>
      <c r="P1427" s="116">
        <v>550.5</v>
      </c>
      <c r="Q1427" s="116">
        <v>530.75</v>
      </c>
      <c r="R1427">
        <v>1206095</v>
      </c>
    </row>
    <row r="1428" spans="1:18" x14ac:dyDescent="0.25">
      <c r="A1428" s="170">
        <v>44820</v>
      </c>
      <c r="B1428" s="116">
        <v>533.4</v>
      </c>
      <c r="C1428" s="116">
        <v>516.70000000000005</v>
      </c>
      <c r="D1428" s="116">
        <v>514.65</v>
      </c>
      <c r="E1428" s="116">
        <v>530</v>
      </c>
      <c r="F1428" s="116">
        <v>516.70000000000005</v>
      </c>
      <c r="G1428">
        <v>79752</v>
      </c>
      <c r="H1428" s="116"/>
      <c r="I1428" s="116"/>
      <c r="L1428" s="170">
        <v>44820</v>
      </c>
      <c r="M1428" s="116">
        <v>516.75</v>
      </c>
      <c r="N1428" s="116">
        <v>533.45000000000005</v>
      </c>
      <c r="O1428" s="116">
        <v>514.6</v>
      </c>
      <c r="P1428" s="116">
        <v>529.9</v>
      </c>
      <c r="Q1428" s="116">
        <v>516.75</v>
      </c>
      <c r="R1428">
        <v>1514796</v>
      </c>
    </row>
    <row r="1429" spans="1:18" x14ac:dyDescent="0.25">
      <c r="A1429" s="170">
        <v>44823</v>
      </c>
      <c r="B1429" s="116">
        <v>519.95000000000005</v>
      </c>
      <c r="C1429" s="116">
        <v>507.5</v>
      </c>
      <c r="D1429" s="116">
        <v>505.6</v>
      </c>
      <c r="E1429" s="116">
        <v>519.95000000000005</v>
      </c>
      <c r="F1429" s="116">
        <v>507.5</v>
      </c>
      <c r="G1429">
        <v>393385</v>
      </c>
      <c r="H1429" s="116"/>
      <c r="I1429" s="116"/>
      <c r="L1429" s="170">
        <v>44823</v>
      </c>
      <c r="M1429" s="116">
        <v>507.45</v>
      </c>
      <c r="N1429" s="116">
        <v>517.95000000000005</v>
      </c>
      <c r="O1429" s="116">
        <v>506</v>
      </c>
      <c r="P1429" s="116">
        <v>516.75</v>
      </c>
      <c r="Q1429" s="116">
        <v>507.45</v>
      </c>
      <c r="R1429">
        <v>1026744</v>
      </c>
    </row>
    <row r="1430" spans="1:18" x14ac:dyDescent="0.25">
      <c r="A1430" s="170">
        <v>44824</v>
      </c>
      <c r="B1430" s="116">
        <v>533</v>
      </c>
      <c r="C1430" s="116">
        <v>527.54999999999995</v>
      </c>
      <c r="D1430" s="116">
        <v>508</v>
      </c>
      <c r="E1430" s="116">
        <v>508</v>
      </c>
      <c r="F1430" s="116">
        <v>527.54999999999995</v>
      </c>
      <c r="G1430">
        <v>98519</v>
      </c>
      <c r="H1430" s="116"/>
      <c r="I1430" s="116"/>
      <c r="L1430" s="170">
        <v>44824</v>
      </c>
      <c r="M1430" s="116">
        <v>527.65</v>
      </c>
      <c r="N1430" s="116">
        <v>533</v>
      </c>
      <c r="O1430" s="116">
        <v>508.4</v>
      </c>
      <c r="P1430" s="116">
        <v>508.4</v>
      </c>
      <c r="Q1430" s="116">
        <v>527.65</v>
      </c>
      <c r="R1430">
        <v>1657886</v>
      </c>
    </row>
    <row r="1431" spans="1:18" x14ac:dyDescent="0.25">
      <c r="A1431" s="170">
        <v>44825</v>
      </c>
      <c r="B1431" s="116">
        <v>531.85</v>
      </c>
      <c r="C1431" s="116">
        <v>515.75</v>
      </c>
      <c r="D1431" s="116">
        <v>514.25</v>
      </c>
      <c r="E1431" s="116">
        <v>531</v>
      </c>
      <c r="F1431" s="116">
        <v>515.75</v>
      </c>
      <c r="G1431">
        <v>37277</v>
      </c>
      <c r="H1431" s="116"/>
      <c r="I1431" s="116"/>
      <c r="L1431" s="170">
        <v>44825</v>
      </c>
      <c r="M1431" s="116">
        <v>515.9</v>
      </c>
      <c r="N1431" s="116">
        <v>532</v>
      </c>
      <c r="O1431" s="116">
        <v>514.15</v>
      </c>
      <c r="P1431" s="116">
        <v>530</v>
      </c>
      <c r="Q1431" s="116">
        <v>515.9</v>
      </c>
      <c r="R1431">
        <v>847556</v>
      </c>
    </row>
    <row r="1432" spans="1:18" x14ac:dyDescent="0.25">
      <c r="A1432" s="170">
        <v>44826</v>
      </c>
      <c r="B1432" s="116">
        <v>525</v>
      </c>
      <c r="C1432" s="116">
        <v>521.1</v>
      </c>
      <c r="D1432" s="116">
        <v>510.2</v>
      </c>
      <c r="E1432" s="116">
        <v>517.85</v>
      </c>
      <c r="F1432" s="116">
        <v>521.1</v>
      </c>
      <c r="G1432">
        <v>22339</v>
      </c>
      <c r="H1432" s="116"/>
      <c r="I1432" s="116"/>
      <c r="L1432" s="170">
        <v>44826</v>
      </c>
      <c r="M1432" s="116">
        <v>521.25</v>
      </c>
      <c r="N1432" s="116">
        <v>523.5</v>
      </c>
      <c r="O1432" s="116">
        <v>510</v>
      </c>
      <c r="P1432" s="116">
        <v>511</v>
      </c>
      <c r="Q1432" s="116">
        <v>521.25</v>
      </c>
      <c r="R1432">
        <v>795691</v>
      </c>
    </row>
    <row r="1433" spans="1:18" x14ac:dyDescent="0.25">
      <c r="A1433" s="170">
        <v>44827</v>
      </c>
      <c r="B1433" s="116">
        <v>526</v>
      </c>
      <c r="C1433" s="116">
        <v>510.5</v>
      </c>
      <c r="D1433" s="116">
        <v>509.2</v>
      </c>
      <c r="E1433" s="116">
        <v>520</v>
      </c>
      <c r="F1433" s="116">
        <v>510.5</v>
      </c>
      <c r="G1433">
        <v>23053</v>
      </c>
      <c r="H1433" s="116"/>
      <c r="I1433" s="116"/>
      <c r="L1433" s="170">
        <v>44827</v>
      </c>
      <c r="M1433" s="116">
        <v>510.3</v>
      </c>
      <c r="N1433" s="116">
        <v>527</v>
      </c>
      <c r="O1433" s="116">
        <v>509</v>
      </c>
      <c r="P1433" s="116">
        <v>521</v>
      </c>
      <c r="Q1433" s="116">
        <v>510.3</v>
      </c>
      <c r="R1433">
        <v>1018261</v>
      </c>
    </row>
    <row r="1434" spans="1:18" x14ac:dyDescent="0.25">
      <c r="A1434" s="170">
        <v>44830</v>
      </c>
      <c r="B1434" s="116">
        <v>507.1</v>
      </c>
      <c r="C1434" s="116">
        <v>495.15</v>
      </c>
      <c r="D1434" s="116">
        <v>493.25</v>
      </c>
      <c r="E1434" s="116">
        <v>505.55</v>
      </c>
      <c r="F1434" s="116">
        <v>495.15</v>
      </c>
      <c r="G1434">
        <v>90641</v>
      </c>
      <c r="H1434" s="116"/>
      <c r="I1434" s="116"/>
      <c r="L1434" s="170">
        <v>44830</v>
      </c>
      <c r="M1434" s="116">
        <v>494.85</v>
      </c>
      <c r="N1434" s="116">
        <v>509.05</v>
      </c>
      <c r="O1434" s="116">
        <v>493.3</v>
      </c>
      <c r="P1434" s="116">
        <v>508.4</v>
      </c>
      <c r="Q1434" s="116">
        <v>494.85</v>
      </c>
      <c r="R1434">
        <v>1039717</v>
      </c>
    </row>
    <row r="1435" spans="1:18" x14ac:dyDescent="0.25">
      <c r="A1435" s="170">
        <v>44831</v>
      </c>
      <c r="B1435" s="116">
        <v>511.65</v>
      </c>
      <c r="C1435" s="116">
        <v>508.1</v>
      </c>
      <c r="D1435" s="116">
        <v>490</v>
      </c>
      <c r="E1435" s="116">
        <v>496</v>
      </c>
      <c r="F1435" s="116">
        <v>508.1</v>
      </c>
      <c r="G1435">
        <v>75818</v>
      </c>
      <c r="H1435" s="116"/>
      <c r="I1435" s="116"/>
      <c r="L1435" s="170">
        <v>44831</v>
      </c>
      <c r="M1435" s="116">
        <v>508.6</v>
      </c>
      <c r="N1435" s="116">
        <v>512</v>
      </c>
      <c r="O1435" s="116">
        <v>489.95</v>
      </c>
      <c r="P1435" s="116">
        <v>497</v>
      </c>
      <c r="Q1435" s="116">
        <v>508.6</v>
      </c>
      <c r="R1435">
        <v>1423541</v>
      </c>
    </row>
    <row r="1436" spans="1:18" x14ac:dyDescent="0.25">
      <c r="A1436" s="170">
        <v>44832</v>
      </c>
      <c r="B1436" s="116">
        <v>510.15</v>
      </c>
      <c r="C1436" s="116">
        <v>501.5</v>
      </c>
      <c r="D1436" s="116">
        <v>500.25</v>
      </c>
      <c r="E1436" s="116">
        <v>504.9</v>
      </c>
      <c r="F1436" s="116">
        <v>501.5</v>
      </c>
      <c r="G1436">
        <v>22739</v>
      </c>
      <c r="H1436" s="116"/>
      <c r="I1436" s="116"/>
      <c r="L1436" s="170">
        <v>44832</v>
      </c>
      <c r="M1436" s="116">
        <v>501.95</v>
      </c>
      <c r="N1436" s="116">
        <v>510</v>
      </c>
      <c r="O1436" s="116">
        <v>500</v>
      </c>
      <c r="P1436" s="116">
        <v>504</v>
      </c>
      <c r="Q1436" s="116">
        <v>501.95</v>
      </c>
      <c r="R1436">
        <v>941042</v>
      </c>
    </row>
    <row r="1437" spans="1:18" x14ac:dyDescent="0.25">
      <c r="A1437" s="170">
        <v>44833</v>
      </c>
      <c r="B1437" s="116">
        <v>515</v>
      </c>
      <c r="C1437" s="116">
        <v>508.4</v>
      </c>
      <c r="D1437" s="116">
        <v>502.35</v>
      </c>
      <c r="E1437" s="116">
        <v>509.95</v>
      </c>
      <c r="F1437" s="116">
        <v>508.4</v>
      </c>
      <c r="G1437">
        <v>41088</v>
      </c>
      <c r="H1437" s="116"/>
      <c r="I1437" s="116"/>
      <c r="L1437" s="170">
        <v>44833</v>
      </c>
      <c r="M1437" s="116">
        <v>509.45</v>
      </c>
      <c r="N1437" s="116">
        <v>515.35</v>
      </c>
      <c r="O1437" s="116">
        <v>502.5</v>
      </c>
      <c r="P1437" s="116">
        <v>505</v>
      </c>
      <c r="Q1437" s="116">
        <v>509.45</v>
      </c>
      <c r="R1437">
        <v>1031255</v>
      </c>
    </row>
    <row r="1438" spans="1:18" x14ac:dyDescent="0.25">
      <c r="A1438" s="170">
        <v>44834</v>
      </c>
      <c r="B1438" s="116">
        <v>515</v>
      </c>
      <c r="C1438" s="116">
        <v>512.5</v>
      </c>
      <c r="D1438" s="116">
        <v>503.25</v>
      </c>
      <c r="E1438" s="116">
        <v>504.05</v>
      </c>
      <c r="F1438" s="116">
        <v>512.5</v>
      </c>
      <c r="G1438">
        <v>17834</v>
      </c>
      <c r="H1438" s="116"/>
      <c r="I1438" s="116"/>
      <c r="L1438" s="170">
        <v>44834</v>
      </c>
      <c r="M1438" s="116">
        <v>513</v>
      </c>
      <c r="N1438" s="116">
        <v>514.95000000000005</v>
      </c>
      <c r="O1438" s="116">
        <v>502.9</v>
      </c>
      <c r="P1438" s="116">
        <v>506.7</v>
      </c>
      <c r="Q1438" s="116">
        <v>513</v>
      </c>
      <c r="R1438">
        <v>591669</v>
      </c>
    </row>
    <row r="1439" spans="1:18" x14ac:dyDescent="0.25">
      <c r="A1439" s="170">
        <v>44837</v>
      </c>
      <c r="B1439" s="116">
        <v>523.5</v>
      </c>
      <c r="C1439" s="116">
        <v>512.29999999999995</v>
      </c>
      <c r="D1439" s="116">
        <v>508.1</v>
      </c>
      <c r="E1439" s="116">
        <v>508.1</v>
      </c>
      <c r="F1439" s="116">
        <v>512.29999999999995</v>
      </c>
      <c r="G1439">
        <v>24373</v>
      </c>
      <c r="H1439" s="116"/>
      <c r="I1439" s="116"/>
      <c r="L1439" s="170">
        <v>44837</v>
      </c>
      <c r="M1439" s="116">
        <v>512.35</v>
      </c>
      <c r="N1439" s="116">
        <v>523.65</v>
      </c>
      <c r="O1439" s="116">
        <v>509</v>
      </c>
      <c r="P1439" s="116">
        <v>510</v>
      </c>
      <c r="Q1439" s="116">
        <v>512.35</v>
      </c>
      <c r="R1439">
        <v>927077</v>
      </c>
    </row>
    <row r="1440" spans="1:18" x14ac:dyDescent="0.25">
      <c r="A1440" s="170">
        <v>44838</v>
      </c>
      <c r="B1440" s="116">
        <v>525</v>
      </c>
      <c r="C1440" s="116">
        <v>523.35</v>
      </c>
      <c r="D1440" s="116">
        <v>514</v>
      </c>
      <c r="E1440" s="116">
        <v>519.9</v>
      </c>
      <c r="F1440" s="116">
        <v>523.35</v>
      </c>
      <c r="G1440">
        <v>21224</v>
      </c>
      <c r="H1440" s="116"/>
      <c r="I1440" s="116"/>
      <c r="L1440" s="170">
        <v>44838</v>
      </c>
      <c r="M1440" s="116">
        <v>523.4</v>
      </c>
      <c r="N1440" s="116">
        <v>525</v>
      </c>
      <c r="O1440" s="116">
        <v>514.20000000000005</v>
      </c>
      <c r="P1440" s="116">
        <v>520.1</v>
      </c>
      <c r="Q1440" s="116">
        <v>523.4</v>
      </c>
      <c r="R1440">
        <v>900075</v>
      </c>
    </row>
    <row r="1441" spans="1:18" x14ac:dyDescent="0.25">
      <c r="A1441" s="170">
        <v>44840</v>
      </c>
      <c r="B1441" s="116">
        <v>529</v>
      </c>
      <c r="C1441" s="116">
        <v>526.29999999999995</v>
      </c>
      <c r="D1441" s="116">
        <v>521.5</v>
      </c>
      <c r="E1441" s="116">
        <v>527.25</v>
      </c>
      <c r="F1441" s="116">
        <v>526.29999999999995</v>
      </c>
      <c r="G1441">
        <v>14404</v>
      </c>
      <c r="H1441" s="116"/>
      <c r="I1441" s="116"/>
      <c r="L1441" s="170">
        <v>44840</v>
      </c>
      <c r="M1441" s="116">
        <v>526.1</v>
      </c>
      <c r="N1441" s="116">
        <v>529</v>
      </c>
      <c r="O1441" s="116">
        <v>521.5</v>
      </c>
      <c r="P1441" s="116">
        <v>525</v>
      </c>
      <c r="Q1441" s="116">
        <v>526.1</v>
      </c>
      <c r="R1441">
        <v>547862</v>
      </c>
    </row>
    <row r="1442" spans="1:18" x14ac:dyDescent="0.25">
      <c r="A1442" s="170">
        <v>44841</v>
      </c>
      <c r="B1442" s="116">
        <v>533.20000000000005</v>
      </c>
      <c r="C1442" s="116">
        <v>523.65</v>
      </c>
      <c r="D1442" s="116">
        <v>520.9</v>
      </c>
      <c r="E1442" s="116">
        <v>524.95000000000005</v>
      </c>
      <c r="F1442" s="116">
        <v>523.65</v>
      </c>
      <c r="G1442">
        <v>71247</v>
      </c>
      <c r="H1442" s="116"/>
      <c r="I1442" s="116"/>
      <c r="L1442" s="170">
        <v>44841</v>
      </c>
      <c r="M1442" s="116">
        <v>523.54999999999995</v>
      </c>
      <c r="N1442" s="116">
        <v>533.5</v>
      </c>
      <c r="O1442" s="116">
        <v>520.6</v>
      </c>
      <c r="P1442" s="116">
        <v>528.75</v>
      </c>
      <c r="Q1442" s="116">
        <v>523.54999999999995</v>
      </c>
      <c r="R1442">
        <v>1017944</v>
      </c>
    </row>
    <row r="1443" spans="1:18" x14ac:dyDescent="0.25">
      <c r="A1443" s="170">
        <v>44844</v>
      </c>
      <c r="B1443" s="116">
        <v>522</v>
      </c>
      <c r="C1443" s="116">
        <v>516.5</v>
      </c>
      <c r="D1443" s="116">
        <v>513.85</v>
      </c>
      <c r="E1443" s="116">
        <v>518.20000000000005</v>
      </c>
      <c r="F1443" s="116">
        <v>516.5</v>
      </c>
      <c r="G1443">
        <v>33135</v>
      </c>
      <c r="H1443" s="116"/>
      <c r="I1443" s="116"/>
      <c r="L1443" s="170">
        <v>44844</v>
      </c>
      <c r="M1443" s="116">
        <v>516.6</v>
      </c>
      <c r="N1443" s="116">
        <v>522.95000000000005</v>
      </c>
      <c r="O1443" s="116">
        <v>514</v>
      </c>
      <c r="P1443" s="116">
        <v>519.95000000000005</v>
      </c>
      <c r="Q1443" s="116">
        <v>516.6</v>
      </c>
      <c r="R1443">
        <v>430515</v>
      </c>
    </row>
    <row r="1444" spans="1:18" x14ac:dyDescent="0.25">
      <c r="A1444" s="170">
        <v>44845</v>
      </c>
      <c r="B1444" s="116">
        <v>526.75</v>
      </c>
      <c r="C1444" s="116">
        <v>512.25</v>
      </c>
      <c r="D1444" s="116">
        <v>511</v>
      </c>
      <c r="E1444" s="116">
        <v>517</v>
      </c>
      <c r="F1444" s="116">
        <v>512.25</v>
      </c>
      <c r="G1444">
        <v>527032</v>
      </c>
      <c r="H1444" s="116"/>
      <c r="I1444" s="116"/>
      <c r="L1444" s="170">
        <v>44845</v>
      </c>
      <c r="M1444" s="116">
        <v>512.15</v>
      </c>
      <c r="N1444" s="116">
        <v>526.75</v>
      </c>
      <c r="O1444" s="116">
        <v>510.5</v>
      </c>
      <c r="P1444" s="116">
        <v>517.29999999999995</v>
      </c>
      <c r="Q1444" s="116">
        <v>512.15</v>
      </c>
      <c r="R1444">
        <v>982551</v>
      </c>
    </row>
    <row r="1445" spans="1:18" x14ac:dyDescent="0.25">
      <c r="A1445" s="170">
        <v>44846</v>
      </c>
      <c r="B1445" s="116">
        <v>517.5</v>
      </c>
      <c r="C1445" s="116">
        <v>499.05</v>
      </c>
      <c r="D1445" s="116">
        <v>496.1</v>
      </c>
      <c r="E1445" s="116">
        <v>513.04999999999995</v>
      </c>
      <c r="F1445" s="116">
        <v>499.05</v>
      </c>
      <c r="G1445">
        <v>64280</v>
      </c>
      <c r="H1445" s="116"/>
      <c r="I1445" s="116"/>
      <c r="L1445" s="170">
        <v>44846</v>
      </c>
      <c r="M1445" s="116">
        <v>498.75</v>
      </c>
      <c r="N1445" s="116">
        <v>518</v>
      </c>
      <c r="O1445" s="116">
        <v>496</v>
      </c>
      <c r="P1445" s="116">
        <v>515.45000000000005</v>
      </c>
      <c r="Q1445" s="116">
        <v>498.75</v>
      </c>
      <c r="R1445">
        <v>1639569</v>
      </c>
    </row>
    <row r="1446" spans="1:18" x14ac:dyDescent="0.25">
      <c r="A1446" s="170">
        <v>44847</v>
      </c>
      <c r="B1446" s="116">
        <v>508.95</v>
      </c>
      <c r="C1446" s="116">
        <v>503.8</v>
      </c>
      <c r="D1446" s="116">
        <v>491.8</v>
      </c>
      <c r="E1446" s="116">
        <v>499.05</v>
      </c>
      <c r="F1446" s="116">
        <v>503.8</v>
      </c>
      <c r="G1446">
        <v>64541</v>
      </c>
      <c r="H1446" s="116"/>
      <c r="I1446" s="116"/>
      <c r="L1446" s="170">
        <v>44847</v>
      </c>
      <c r="M1446" s="116">
        <v>503.95</v>
      </c>
      <c r="N1446" s="116">
        <v>509</v>
      </c>
      <c r="O1446" s="116">
        <v>492</v>
      </c>
      <c r="P1446" s="116">
        <v>499</v>
      </c>
      <c r="Q1446" s="116">
        <v>503.95</v>
      </c>
      <c r="R1446">
        <v>1485280</v>
      </c>
    </row>
    <row r="1447" spans="1:18" x14ac:dyDescent="0.25">
      <c r="A1447" s="170">
        <v>44848</v>
      </c>
      <c r="B1447" s="116">
        <v>524</v>
      </c>
      <c r="C1447" s="116">
        <v>515.95000000000005</v>
      </c>
      <c r="D1447" s="116">
        <v>509.8</v>
      </c>
      <c r="E1447" s="116">
        <v>511.05</v>
      </c>
      <c r="F1447" s="116">
        <v>515.95000000000005</v>
      </c>
      <c r="G1447">
        <v>29898</v>
      </c>
      <c r="H1447" s="116"/>
      <c r="I1447" s="116"/>
      <c r="L1447" s="170">
        <v>44848</v>
      </c>
      <c r="M1447" s="116">
        <v>516.1</v>
      </c>
      <c r="N1447" s="116">
        <v>524.25</v>
      </c>
      <c r="O1447" s="116">
        <v>510</v>
      </c>
      <c r="P1447" s="116">
        <v>512.6</v>
      </c>
      <c r="Q1447" s="116">
        <v>516.1</v>
      </c>
      <c r="R1447">
        <v>1424227</v>
      </c>
    </row>
    <row r="1448" spans="1:18" x14ac:dyDescent="0.25">
      <c r="A1448" s="170">
        <v>44851</v>
      </c>
      <c r="B1448" s="116">
        <v>522.75</v>
      </c>
      <c r="C1448" s="116">
        <v>512.70000000000005</v>
      </c>
      <c r="D1448" s="116">
        <v>511.5</v>
      </c>
      <c r="E1448" s="116">
        <v>516</v>
      </c>
      <c r="F1448" s="116">
        <v>512.70000000000005</v>
      </c>
      <c r="G1448">
        <v>539694</v>
      </c>
      <c r="H1448" s="116"/>
      <c r="I1448" s="116"/>
      <c r="L1448" s="170">
        <v>44851</v>
      </c>
      <c r="M1448" s="116">
        <v>512.85</v>
      </c>
      <c r="N1448" s="116">
        <v>522.9</v>
      </c>
      <c r="O1448" s="116">
        <v>511.2</v>
      </c>
      <c r="P1448" s="116">
        <v>517</v>
      </c>
      <c r="Q1448" s="116">
        <v>512.85</v>
      </c>
      <c r="R1448">
        <v>699576</v>
      </c>
    </row>
    <row r="1449" spans="1:18" x14ac:dyDescent="0.25">
      <c r="A1449" s="170">
        <v>44852</v>
      </c>
      <c r="B1449" s="116">
        <v>518</v>
      </c>
      <c r="C1449" s="116">
        <v>510.55</v>
      </c>
      <c r="D1449" s="116">
        <v>506.8</v>
      </c>
      <c r="E1449" s="116">
        <v>515</v>
      </c>
      <c r="F1449" s="116">
        <v>510.55</v>
      </c>
      <c r="G1449">
        <v>21030</v>
      </c>
      <c r="H1449" s="116"/>
      <c r="I1449" s="116"/>
      <c r="L1449" s="170">
        <v>44852</v>
      </c>
      <c r="M1449" s="116">
        <v>510.7</v>
      </c>
      <c r="N1449" s="116">
        <v>518</v>
      </c>
      <c r="O1449" s="116">
        <v>507</v>
      </c>
      <c r="P1449" s="116">
        <v>515</v>
      </c>
      <c r="Q1449" s="116">
        <v>510.7</v>
      </c>
      <c r="R1449">
        <v>627200</v>
      </c>
    </row>
    <row r="1450" spans="1:18" x14ac:dyDescent="0.25">
      <c r="A1450" s="170">
        <v>44853</v>
      </c>
      <c r="B1450" s="116">
        <v>530</v>
      </c>
      <c r="C1450" s="116">
        <v>528.9</v>
      </c>
      <c r="D1450" s="116">
        <v>511.45</v>
      </c>
      <c r="E1450" s="116">
        <v>511.85</v>
      </c>
      <c r="F1450" s="116">
        <v>528.9</v>
      </c>
      <c r="G1450">
        <v>46731</v>
      </c>
      <c r="H1450" s="116"/>
      <c r="I1450" s="116"/>
      <c r="L1450" s="170">
        <v>44853</v>
      </c>
      <c r="M1450" s="116">
        <v>528.54999999999995</v>
      </c>
      <c r="N1450" s="116">
        <v>530.5</v>
      </c>
      <c r="O1450" s="116">
        <v>511.25</v>
      </c>
      <c r="P1450" s="116">
        <v>513.29999999999995</v>
      </c>
      <c r="Q1450" s="116">
        <v>528.54999999999995</v>
      </c>
      <c r="R1450">
        <v>2475875</v>
      </c>
    </row>
    <row r="1451" spans="1:18" x14ac:dyDescent="0.25">
      <c r="A1451" s="170">
        <v>44854</v>
      </c>
      <c r="B1451" s="116">
        <v>530.20000000000005</v>
      </c>
      <c r="C1451" s="116">
        <v>526.04999999999995</v>
      </c>
      <c r="D1451" s="116">
        <v>517</v>
      </c>
      <c r="E1451" s="116">
        <v>528.9</v>
      </c>
      <c r="F1451" s="116">
        <v>526.04999999999995</v>
      </c>
      <c r="G1451">
        <v>217235</v>
      </c>
      <c r="H1451" s="116"/>
      <c r="I1451" s="116"/>
      <c r="L1451" s="170">
        <v>44854</v>
      </c>
      <c r="M1451" s="116">
        <v>526.20000000000005</v>
      </c>
      <c r="N1451" s="116">
        <v>530.5</v>
      </c>
      <c r="O1451" s="116">
        <v>517</v>
      </c>
      <c r="P1451" s="116">
        <v>529.1</v>
      </c>
      <c r="Q1451" s="116">
        <v>526.20000000000005</v>
      </c>
      <c r="R1451">
        <v>1720882</v>
      </c>
    </row>
    <row r="1452" spans="1:18" x14ac:dyDescent="0.25">
      <c r="A1452" s="170">
        <v>44855</v>
      </c>
      <c r="B1452" s="116">
        <v>529.9</v>
      </c>
      <c r="C1452" s="116">
        <v>487.45</v>
      </c>
      <c r="D1452" s="116">
        <v>476</v>
      </c>
      <c r="E1452" s="116">
        <v>529.9</v>
      </c>
      <c r="F1452" s="116">
        <v>487.45</v>
      </c>
      <c r="G1452">
        <v>100628</v>
      </c>
      <c r="H1452" s="116"/>
      <c r="I1452" s="116"/>
      <c r="L1452" s="170">
        <v>44855</v>
      </c>
      <c r="M1452" s="116">
        <v>486.25</v>
      </c>
      <c r="N1452" s="116">
        <v>528.85</v>
      </c>
      <c r="O1452" s="116">
        <v>475</v>
      </c>
      <c r="P1452" s="116">
        <v>528.6</v>
      </c>
      <c r="Q1452" s="116">
        <v>486.25</v>
      </c>
      <c r="R1452">
        <v>3753381</v>
      </c>
    </row>
    <row r="1453" spans="1:18" x14ac:dyDescent="0.25">
      <c r="A1453" s="170">
        <v>44858</v>
      </c>
      <c r="B1453" s="116">
        <v>485</v>
      </c>
      <c r="C1453" s="116">
        <v>479.75</v>
      </c>
      <c r="D1453" s="116">
        <v>473.5</v>
      </c>
      <c r="E1453" s="116">
        <v>485</v>
      </c>
      <c r="F1453" s="116">
        <v>479.75</v>
      </c>
      <c r="G1453">
        <v>110130</v>
      </c>
      <c r="H1453" s="116"/>
      <c r="I1453" s="116"/>
      <c r="L1453" s="170">
        <v>44858</v>
      </c>
      <c r="M1453" s="116">
        <v>479.8</v>
      </c>
      <c r="N1453" s="116">
        <v>482.65</v>
      </c>
      <c r="O1453" s="116">
        <v>471.5</v>
      </c>
      <c r="P1453" s="116">
        <v>482</v>
      </c>
      <c r="Q1453" s="116">
        <v>479.8</v>
      </c>
      <c r="R1453">
        <v>1129030</v>
      </c>
    </row>
    <row r="1454" spans="1:18" x14ac:dyDescent="0.25">
      <c r="A1454" s="170">
        <v>44859</v>
      </c>
      <c r="B1454" s="116">
        <v>482</v>
      </c>
      <c r="C1454" s="116">
        <v>452.9</v>
      </c>
      <c r="D1454" s="116">
        <v>450</v>
      </c>
      <c r="E1454" s="116">
        <v>482</v>
      </c>
      <c r="F1454" s="116">
        <v>452.9</v>
      </c>
      <c r="G1454">
        <v>846007</v>
      </c>
      <c r="H1454" s="116"/>
      <c r="I1454" s="116"/>
      <c r="L1454" s="170">
        <v>44859</v>
      </c>
      <c r="M1454" s="116">
        <v>452.9</v>
      </c>
      <c r="N1454" s="116">
        <v>482.2</v>
      </c>
      <c r="O1454" s="116">
        <v>450</v>
      </c>
      <c r="P1454" s="116">
        <v>482.2</v>
      </c>
      <c r="Q1454" s="116">
        <v>452.9</v>
      </c>
      <c r="R1454">
        <v>6867117</v>
      </c>
    </row>
    <row r="1455" spans="1:18" x14ac:dyDescent="0.25">
      <c r="A1455" s="170">
        <v>44861</v>
      </c>
      <c r="B1455" s="116">
        <v>460</v>
      </c>
      <c r="C1455" s="116">
        <v>458.7</v>
      </c>
      <c r="D1455" s="116">
        <v>450.05</v>
      </c>
      <c r="E1455" s="116">
        <v>455.9</v>
      </c>
      <c r="F1455" s="116">
        <v>458.7</v>
      </c>
      <c r="G1455">
        <v>193773</v>
      </c>
      <c r="H1455" s="116"/>
      <c r="I1455" s="116"/>
      <c r="L1455" s="170">
        <v>44861</v>
      </c>
      <c r="M1455" s="116">
        <v>458.85</v>
      </c>
      <c r="N1455" s="116">
        <v>460</v>
      </c>
      <c r="O1455" s="116">
        <v>450.1</v>
      </c>
      <c r="P1455" s="116">
        <v>455</v>
      </c>
      <c r="Q1455" s="116">
        <v>458.85</v>
      </c>
      <c r="R1455">
        <v>1724927</v>
      </c>
    </row>
    <row r="1456" spans="1:18" x14ac:dyDescent="0.25">
      <c r="A1456" s="170">
        <v>44862</v>
      </c>
      <c r="B1456" s="116">
        <v>459.7</v>
      </c>
      <c r="C1456" s="116">
        <v>444.65</v>
      </c>
      <c r="D1456" s="116">
        <v>442.95</v>
      </c>
      <c r="E1456" s="116">
        <v>459.7</v>
      </c>
      <c r="F1456" s="116">
        <v>444.65</v>
      </c>
      <c r="G1456">
        <v>126018</v>
      </c>
      <c r="H1456" s="116"/>
      <c r="I1456" s="116"/>
      <c r="L1456" s="170">
        <v>44862</v>
      </c>
      <c r="M1456" s="116">
        <v>444.65</v>
      </c>
      <c r="N1456" s="116">
        <v>459.85</v>
      </c>
      <c r="O1456" s="116">
        <v>443</v>
      </c>
      <c r="P1456" s="116">
        <v>459</v>
      </c>
      <c r="Q1456" s="116">
        <v>444.65</v>
      </c>
      <c r="R1456">
        <v>2502423</v>
      </c>
    </row>
    <row r="1457" spans="1:18" x14ac:dyDescent="0.25">
      <c r="A1457" s="170">
        <v>44865</v>
      </c>
      <c r="B1457" s="116">
        <v>455.95</v>
      </c>
      <c r="C1457" s="116">
        <v>454.6</v>
      </c>
      <c r="D1457" s="116">
        <v>444.9</v>
      </c>
      <c r="E1457" s="116">
        <v>446.1</v>
      </c>
      <c r="F1457" s="116">
        <v>454.6</v>
      </c>
      <c r="G1457">
        <v>158433</v>
      </c>
      <c r="H1457" s="116"/>
      <c r="I1457" s="116"/>
      <c r="L1457" s="170">
        <v>44865</v>
      </c>
      <c r="M1457" s="116">
        <v>454.55</v>
      </c>
      <c r="N1457" s="116">
        <v>455.95</v>
      </c>
      <c r="O1457" s="116">
        <v>444.55</v>
      </c>
      <c r="P1457" s="116">
        <v>447.05</v>
      </c>
      <c r="Q1457" s="116">
        <v>454.55</v>
      </c>
      <c r="R1457">
        <v>3443200</v>
      </c>
    </row>
    <row r="1458" spans="1:18" x14ac:dyDescent="0.25">
      <c r="A1458" s="170">
        <v>44866</v>
      </c>
      <c r="B1458" s="116">
        <v>472</v>
      </c>
      <c r="C1458" s="116">
        <v>470.6</v>
      </c>
      <c r="D1458" s="116">
        <v>456.8</v>
      </c>
      <c r="E1458" s="116">
        <v>458.6</v>
      </c>
      <c r="F1458" s="116">
        <v>470.6</v>
      </c>
      <c r="G1458">
        <v>160994</v>
      </c>
      <c r="H1458" s="116"/>
      <c r="I1458" s="116"/>
      <c r="L1458" s="170">
        <v>44866</v>
      </c>
      <c r="M1458" s="116">
        <v>470.85</v>
      </c>
      <c r="N1458" s="116">
        <v>472</v>
      </c>
      <c r="O1458" s="116">
        <v>456.95</v>
      </c>
      <c r="P1458" s="116">
        <v>457</v>
      </c>
      <c r="Q1458" s="116">
        <v>470.85</v>
      </c>
      <c r="R1458">
        <v>2074029</v>
      </c>
    </row>
    <row r="1459" spans="1:18" x14ac:dyDescent="0.25">
      <c r="A1459" s="170">
        <v>44867</v>
      </c>
      <c r="B1459" s="116">
        <v>479.6</v>
      </c>
      <c r="C1459" s="116">
        <v>477.65</v>
      </c>
      <c r="D1459" s="116">
        <v>471.25</v>
      </c>
      <c r="E1459" s="116">
        <v>473.2</v>
      </c>
      <c r="F1459" s="116">
        <v>477.65</v>
      </c>
      <c r="G1459">
        <v>36214</v>
      </c>
      <c r="H1459" s="116"/>
      <c r="I1459" s="116"/>
      <c r="L1459" s="170">
        <v>44867</v>
      </c>
      <c r="M1459" s="116">
        <v>477.4</v>
      </c>
      <c r="N1459" s="116">
        <v>479.7</v>
      </c>
      <c r="O1459" s="116">
        <v>470.8</v>
      </c>
      <c r="P1459" s="116">
        <v>472</v>
      </c>
      <c r="Q1459" s="116">
        <v>477.4</v>
      </c>
      <c r="R1459">
        <v>1501271</v>
      </c>
    </row>
    <row r="1460" spans="1:18" x14ac:dyDescent="0.25">
      <c r="A1460" s="170">
        <v>44868</v>
      </c>
      <c r="B1460" s="116">
        <v>479.3</v>
      </c>
      <c r="C1460" s="116">
        <v>477.75</v>
      </c>
      <c r="D1460" s="116">
        <v>470</v>
      </c>
      <c r="E1460" s="116">
        <v>475</v>
      </c>
      <c r="F1460" s="116">
        <v>477.75</v>
      </c>
      <c r="G1460">
        <v>77255</v>
      </c>
      <c r="H1460" s="116"/>
      <c r="I1460" s="116"/>
      <c r="L1460" s="170">
        <v>44868</v>
      </c>
      <c r="M1460" s="116">
        <v>477.95</v>
      </c>
      <c r="N1460" s="116">
        <v>479.35</v>
      </c>
      <c r="O1460" s="116">
        <v>470.45</v>
      </c>
      <c r="P1460" s="116">
        <v>475.7</v>
      </c>
      <c r="Q1460" s="116">
        <v>477.95</v>
      </c>
      <c r="R1460">
        <v>798486</v>
      </c>
    </row>
    <row r="1461" spans="1:18" x14ac:dyDescent="0.25">
      <c r="A1461" s="170">
        <v>44869</v>
      </c>
      <c r="B1461" s="116">
        <v>479.05</v>
      </c>
      <c r="C1461" s="116">
        <v>464.7</v>
      </c>
      <c r="D1461" s="116">
        <v>462.6</v>
      </c>
      <c r="E1461" s="116">
        <v>478.1</v>
      </c>
      <c r="F1461" s="116">
        <v>464.7</v>
      </c>
      <c r="G1461">
        <v>32366</v>
      </c>
      <c r="H1461" s="116"/>
      <c r="I1461" s="116"/>
      <c r="L1461" s="170">
        <v>44869</v>
      </c>
      <c r="M1461" s="116">
        <v>464.9</v>
      </c>
      <c r="N1461" s="116">
        <v>480</v>
      </c>
      <c r="O1461" s="116">
        <v>462.5</v>
      </c>
      <c r="P1461" s="116">
        <v>478</v>
      </c>
      <c r="Q1461" s="116">
        <v>464.9</v>
      </c>
      <c r="R1461">
        <v>1503509</v>
      </c>
    </row>
    <row r="1462" spans="1:18" x14ac:dyDescent="0.25">
      <c r="A1462" s="170">
        <v>44872</v>
      </c>
      <c r="B1462" s="116">
        <v>470</v>
      </c>
      <c r="C1462" s="116">
        <v>464.15</v>
      </c>
      <c r="D1462" s="116">
        <v>460</v>
      </c>
      <c r="E1462" s="116">
        <v>465.15</v>
      </c>
      <c r="F1462" s="116">
        <v>464.15</v>
      </c>
      <c r="G1462">
        <v>27678</v>
      </c>
      <c r="H1462" s="116"/>
      <c r="I1462" s="116"/>
      <c r="L1462" s="170">
        <v>44872</v>
      </c>
      <c r="M1462" s="116">
        <v>463.9</v>
      </c>
      <c r="N1462" s="116">
        <v>470.4</v>
      </c>
      <c r="O1462" s="116">
        <v>460</v>
      </c>
      <c r="P1462" s="116">
        <v>467</v>
      </c>
      <c r="Q1462" s="116">
        <v>463.9</v>
      </c>
      <c r="R1462">
        <v>997839</v>
      </c>
    </row>
    <row r="1463" spans="1:18" x14ac:dyDescent="0.25">
      <c r="A1463" s="170">
        <v>44874</v>
      </c>
      <c r="B1463" s="116">
        <v>464.85</v>
      </c>
      <c r="C1463" s="116">
        <v>450.9</v>
      </c>
      <c r="D1463" s="116">
        <v>450</v>
      </c>
      <c r="E1463" s="116">
        <v>464.85</v>
      </c>
      <c r="F1463" s="116">
        <v>450.9</v>
      </c>
      <c r="G1463">
        <v>112836</v>
      </c>
      <c r="H1463" s="116"/>
      <c r="I1463" s="116"/>
      <c r="L1463" s="170">
        <v>44874</v>
      </c>
      <c r="M1463" s="116">
        <v>450.75</v>
      </c>
      <c r="N1463" s="116">
        <v>465</v>
      </c>
      <c r="O1463" s="116">
        <v>449.55</v>
      </c>
      <c r="P1463" s="116">
        <v>464.2</v>
      </c>
      <c r="Q1463" s="116">
        <v>450.75</v>
      </c>
      <c r="R1463">
        <v>1384106</v>
      </c>
    </row>
    <row r="1464" spans="1:18" x14ac:dyDescent="0.25">
      <c r="A1464" s="170">
        <v>44875</v>
      </c>
      <c r="B1464" s="116">
        <v>458.3</v>
      </c>
      <c r="C1464" s="116">
        <v>450.7</v>
      </c>
      <c r="D1464" s="116">
        <v>447.35</v>
      </c>
      <c r="E1464" s="116">
        <v>449.9</v>
      </c>
      <c r="F1464" s="116">
        <v>450.7</v>
      </c>
      <c r="G1464">
        <v>89675</v>
      </c>
      <c r="H1464" s="116"/>
      <c r="I1464" s="116"/>
      <c r="L1464" s="170">
        <v>44875</v>
      </c>
      <c r="M1464" s="116">
        <v>450.8</v>
      </c>
      <c r="N1464" s="116">
        <v>458.65</v>
      </c>
      <c r="O1464" s="116">
        <v>447.35</v>
      </c>
      <c r="P1464" s="116">
        <v>448</v>
      </c>
      <c r="Q1464" s="116">
        <v>450.8</v>
      </c>
      <c r="R1464">
        <v>1066312</v>
      </c>
    </row>
    <row r="1465" spans="1:18" x14ac:dyDescent="0.25">
      <c r="A1465" s="170">
        <v>44876</v>
      </c>
      <c r="B1465" s="116">
        <v>460.95</v>
      </c>
      <c r="C1465" s="116">
        <v>455.15</v>
      </c>
      <c r="D1465" s="116">
        <v>452.05</v>
      </c>
      <c r="E1465" s="116">
        <v>452.05</v>
      </c>
      <c r="F1465" s="116">
        <v>455.15</v>
      </c>
      <c r="G1465">
        <v>30466</v>
      </c>
      <c r="H1465" s="116"/>
      <c r="I1465" s="116"/>
      <c r="L1465" s="170">
        <v>44876</v>
      </c>
      <c r="M1465" s="116">
        <v>455.4</v>
      </c>
      <c r="N1465" s="116">
        <v>461.5</v>
      </c>
      <c r="O1465" s="116">
        <v>454</v>
      </c>
      <c r="P1465" s="116">
        <v>454.3</v>
      </c>
      <c r="Q1465" s="116">
        <v>455.4</v>
      </c>
      <c r="R1465">
        <v>732514</v>
      </c>
    </row>
    <row r="1466" spans="1:18" x14ac:dyDescent="0.25">
      <c r="A1466" s="170">
        <v>44879</v>
      </c>
      <c r="B1466" s="116">
        <v>469.45</v>
      </c>
      <c r="C1466" s="116">
        <v>468.85</v>
      </c>
      <c r="D1466" s="116">
        <v>452.95</v>
      </c>
      <c r="E1466" s="116">
        <v>455.45</v>
      </c>
      <c r="F1466" s="116">
        <v>468.85</v>
      </c>
      <c r="G1466">
        <v>33552</v>
      </c>
      <c r="H1466" s="116"/>
      <c r="I1466" s="116"/>
      <c r="L1466" s="170">
        <v>44879</v>
      </c>
      <c r="M1466" s="116">
        <v>468.55</v>
      </c>
      <c r="N1466" s="116">
        <v>469.5</v>
      </c>
      <c r="O1466" s="116">
        <v>453.05</v>
      </c>
      <c r="P1466" s="116">
        <v>457.7</v>
      </c>
      <c r="Q1466" s="116">
        <v>468.55</v>
      </c>
      <c r="R1466">
        <v>1222376</v>
      </c>
    </row>
    <row r="1467" spans="1:18" x14ac:dyDescent="0.25">
      <c r="A1467" s="170">
        <v>44880</v>
      </c>
      <c r="B1467" s="116">
        <v>474.15</v>
      </c>
      <c r="C1467" s="116">
        <v>470.25</v>
      </c>
      <c r="D1467" s="116">
        <v>464</v>
      </c>
      <c r="E1467" s="116">
        <v>473</v>
      </c>
      <c r="F1467" s="116">
        <v>470.25</v>
      </c>
      <c r="G1467">
        <v>86729</v>
      </c>
      <c r="H1467" s="116"/>
      <c r="I1467" s="116"/>
      <c r="L1467" s="170">
        <v>44880</v>
      </c>
      <c r="M1467" s="116">
        <v>470.4</v>
      </c>
      <c r="N1467" s="116">
        <v>474.5</v>
      </c>
      <c r="O1467" s="116">
        <v>464.05</v>
      </c>
      <c r="P1467" s="116">
        <v>470.9</v>
      </c>
      <c r="Q1467" s="116">
        <v>470.4</v>
      </c>
      <c r="R1467">
        <v>1119438</v>
      </c>
    </row>
    <row r="1468" spans="1:18" x14ac:dyDescent="0.25">
      <c r="A1468" s="170">
        <v>44881</v>
      </c>
      <c r="B1468" s="116">
        <v>474.15</v>
      </c>
      <c r="C1468" s="116">
        <v>461.55</v>
      </c>
      <c r="D1468" s="116">
        <v>459.15</v>
      </c>
      <c r="E1468" s="116">
        <v>470.25</v>
      </c>
      <c r="F1468" s="116">
        <v>461.55</v>
      </c>
      <c r="G1468">
        <v>32088</v>
      </c>
      <c r="H1468" s="116"/>
      <c r="I1468" s="116"/>
      <c r="L1468" s="170">
        <v>44881</v>
      </c>
      <c r="M1468" s="116">
        <v>461.7</v>
      </c>
      <c r="N1468" s="116">
        <v>474.1</v>
      </c>
      <c r="O1468" s="116">
        <v>459.1</v>
      </c>
      <c r="P1468" s="116">
        <v>470.3</v>
      </c>
      <c r="Q1468" s="116">
        <v>461.7</v>
      </c>
      <c r="R1468">
        <v>837043</v>
      </c>
    </row>
    <row r="1469" spans="1:18" x14ac:dyDescent="0.25">
      <c r="A1469" s="170">
        <v>44882</v>
      </c>
      <c r="B1469" s="116">
        <v>464.4</v>
      </c>
      <c r="C1469" s="116">
        <v>460.2</v>
      </c>
      <c r="D1469" s="116">
        <v>456.95</v>
      </c>
      <c r="E1469" s="116">
        <v>461.6</v>
      </c>
      <c r="F1469" s="116">
        <v>460.2</v>
      </c>
      <c r="G1469">
        <v>17682</v>
      </c>
      <c r="H1469" s="116"/>
      <c r="I1469" s="116"/>
      <c r="L1469" s="170">
        <v>44882</v>
      </c>
      <c r="M1469" s="116">
        <v>460.3</v>
      </c>
      <c r="N1469" s="116">
        <v>464.65</v>
      </c>
      <c r="O1469" s="116">
        <v>457.1</v>
      </c>
      <c r="P1469" s="116">
        <v>461.7</v>
      </c>
      <c r="Q1469" s="116">
        <v>460.3</v>
      </c>
      <c r="R1469">
        <v>483709</v>
      </c>
    </row>
    <row r="1470" spans="1:18" x14ac:dyDescent="0.25">
      <c r="A1470" s="170">
        <v>44883</v>
      </c>
      <c r="B1470" s="116">
        <v>464.85</v>
      </c>
      <c r="C1470" s="116">
        <v>450.15</v>
      </c>
      <c r="D1470" s="116">
        <v>448.7</v>
      </c>
      <c r="E1470" s="116">
        <v>464.85</v>
      </c>
      <c r="F1470" s="116">
        <v>450.15</v>
      </c>
      <c r="G1470">
        <v>28861</v>
      </c>
      <c r="H1470" s="116"/>
      <c r="I1470" s="116"/>
      <c r="L1470" s="170">
        <v>44883</v>
      </c>
      <c r="M1470" s="116">
        <v>450.05</v>
      </c>
      <c r="N1470" s="116">
        <v>463.05</v>
      </c>
      <c r="O1470" s="116">
        <v>448.8</v>
      </c>
      <c r="P1470" s="116">
        <v>463.05</v>
      </c>
      <c r="Q1470" s="116">
        <v>450.05</v>
      </c>
      <c r="R1470">
        <v>1025737</v>
      </c>
    </row>
    <row r="1471" spans="1:18" x14ac:dyDescent="0.25">
      <c r="A1471" s="170">
        <v>44886</v>
      </c>
      <c r="B1471" s="116">
        <v>456</v>
      </c>
      <c r="C1471" s="116">
        <v>454.85</v>
      </c>
      <c r="D1471" s="116">
        <v>444.4</v>
      </c>
      <c r="E1471" s="116">
        <v>449</v>
      </c>
      <c r="F1471" s="116">
        <v>454.85</v>
      </c>
      <c r="G1471">
        <v>109790</v>
      </c>
      <c r="H1471" s="116"/>
      <c r="I1471" s="116"/>
      <c r="L1471" s="170">
        <v>44886</v>
      </c>
      <c r="M1471" s="116">
        <v>454.65</v>
      </c>
      <c r="N1471" s="116">
        <v>455.4</v>
      </c>
      <c r="O1471" s="116">
        <v>445.25</v>
      </c>
      <c r="P1471" s="116">
        <v>448</v>
      </c>
      <c r="Q1471" s="116">
        <v>454.65</v>
      </c>
      <c r="R1471">
        <v>831598</v>
      </c>
    </row>
    <row r="1472" spans="1:18" x14ac:dyDescent="0.25">
      <c r="A1472" s="170">
        <v>44887</v>
      </c>
      <c r="B1472" s="116">
        <v>459.05</v>
      </c>
      <c r="C1472" s="116">
        <v>457.45</v>
      </c>
      <c r="D1472" s="116">
        <v>453.5</v>
      </c>
      <c r="E1472" s="116">
        <v>454.85</v>
      </c>
      <c r="F1472" s="116">
        <v>457.45</v>
      </c>
      <c r="G1472">
        <v>56888</v>
      </c>
      <c r="H1472" s="116"/>
      <c r="I1472" s="116"/>
      <c r="L1472" s="170">
        <v>44887</v>
      </c>
      <c r="M1472" s="116">
        <v>457.55</v>
      </c>
      <c r="N1472" s="116">
        <v>459.15</v>
      </c>
      <c r="O1472" s="116">
        <v>453.25</v>
      </c>
      <c r="P1472" s="116">
        <v>454.65</v>
      </c>
      <c r="Q1472" s="116">
        <v>457.55</v>
      </c>
      <c r="R1472">
        <v>576999</v>
      </c>
    </row>
    <row r="1473" spans="1:18" x14ac:dyDescent="0.25">
      <c r="A1473" s="170">
        <v>44888</v>
      </c>
      <c r="B1473" s="116">
        <v>461.95</v>
      </c>
      <c r="C1473" s="116">
        <v>455.7</v>
      </c>
      <c r="D1473" s="116">
        <v>452.55</v>
      </c>
      <c r="E1473" s="116">
        <v>461.95</v>
      </c>
      <c r="F1473" s="116">
        <v>455.7</v>
      </c>
      <c r="G1473">
        <v>33152</v>
      </c>
      <c r="H1473" s="116"/>
      <c r="I1473" s="116"/>
      <c r="L1473" s="170">
        <v>44888</v>
      </c>
      <c r="M1473" s="116">
        <v>456.05</v>
      </c>
      <c r="N1473" s="116">
        <v>459.8</v>
      </c>
      <c r="O1473" s="116">
        <v>452.4</v>
      </c>
      <c r="P1473" s="116">
        <v>459.8</v>
      </c>
      <c r="Q1473" s="116">
        <v>456.05</v>
      </c>
      <c r="R1473">
        <v>668974</v>
      </c>
    </row>
    <row r="1474" spans="1:18" x14ac:dyDescent="0.25">
      <c r="A1474" s="170">
        <v>44889</v>
      </c>
      <c r="B1474" s="116">
        <v>456.85</v>
      </c>
      <c r="C1474" s="116">
        <v>449.35</v>
      </c>
      <c r="D1474" s="116">
        <v>447.3</v>
      </c>
      <c r="E1474" s="116">
        <v>454.05</v>
      </c>
      <c r="F1474" s="116">
        <v>449.35</v>
      </c>
      <c r="G1474">
        <v>30589</v>
      </c>
      <c r="H1474" s="116"/>
      <c r="I1474" s="116"/>
      <c r="L1474" s="170">
        <v>44889</v>
      </c>
      <c r="M1474" s="116">
        <v>449.15</v>
      </c>
      <c r="N1474" s="116">
        <v>456.95</v>
      </c>
      <c r="O1474" s="116">
        <v>447.2</v>
      </c>
      <c r="P1474" s="116">
        <v>456</v>
      </c>
      <c r="Q1474" s="116">
        <v>449.15</v>
      </c>
      <c r="R1474">
        <v>742994</v>
      </c>
    </row>
    <row r="1475" spans="1:18" x14ac:dyDescent="0.25">
      <c r="A1475" s="170">
        <v>44890</v>
      </c>
      <c r="B1475" s="116">
        <v>459.75</v>
      </c>
      <c r="C1475" s="116">
        <v>455.05</v>
      </c>
      <c r="D1475" s="116">
        <v>450</v>
      </c>
      <c r="E1475" s="116">
        <v>453.5</v>
      </c>
      <c r="F1475" s="116">
        <v>455.05</v>
      </c>
      <c r="G1475">
        <v>71270</v>
      </c>
      <c r="H1475" s="116"/>
      <c r="I1475" s="116"/>
      <c r="L1475" s="170">
        <v>44890</v>
      </c>
      <c r="M1475" s="116">
        <v>455.2</v>
      </c>
      <c r="N1475" s="116">
        <v>459.75</v>
      </c>
      <c r="O1475" s="116">
        <v>449.45</v>
      </c>
      <c r="P1475" s="116">
        <v>452.15</v>
      </c>
      <c r="Q1475" s="116">
        <v>455.2</v>
      </c>
      <c r="R1475">
        <v>2016829</v>
      </c>
    </row>
    <row r="1476" spans="1:18" x14ac:dyDescent="0.25">
      <c r="A1476" s="170">
        <v>44893</v>
      </c>
      <c r="B1476" s="116">
        <v>457.9</v>
      </c>
      <c r="C1476" s="116">
        <v>450.5</v>
      </c>
      <c r="D1476" s="116">
        <v>449.65</v>
      </c>
      <c r="E1476" s="116">
        <v>452.55</v>
      </c>
      <c r="F1476" s="116">
        <v>450.5</v>
      </c>
      <c r="G1476">
        <v>42387</v>
      </c>
      <c r="H1476" s="116"/>
      <c r="I1476" s="116"/>
      <c r="L1476" s="170">
        <v>44893</v>
      </c>
      <c r="M1476" s="116">
        <v>450.35</v>
      </c>
      <c r="N1476" s="116">
        <v>457.9</v>
      </c>
      <c r="O1476" s="116">
        <v>449.95</v>
      </c>
      <c r="P1476" s="116">
        <v>455</v>
      </c>
      <c r="Q1476" s="116">
        <v>450.35</v>
      </c>
      <c r="R1476">
        <v>1241057</v>
      </c>
    </row>
    <row r="1477" spans="1:18" x14ac:dyDescent="0.25">
      <c r="A1477" s="170">
        <v>44894</v>
      </c>
      <c r="B1477" s="116">
        <v>446.95</v>
      </c>
      <c r="C1477" s="116">
        <v>408.45</v>
      </c>
      <c r="D1477" s="116">
        <v>407.4</v>
      </c>
      <c r="E1477" s="116">
        <v>446.95</v>
      </c>
      <c r="F1477" s="116">
        <v>408.45</v>
      </c>
      <c r="G1477">
        <v>878201</v>
      </c>
      <c r="H1477" s="116"/>
      <c r="I1477" s="116"/>
      <c r="L1477" s="170">
        <v>44894</v>
      </c>
      <c r="M1477" s="116">
        <v>408.6</v>
      </c>
      <c r="N1477" s="116">
        <v>443.9</v>
      </c>
      <c r="O1477" s="116">
        <v>407.5</v>
      </c>
      <c r="P1477" s="116">
        <v>443.9</v>
      </c>
      <c r="Q1477" s="116">
        <v>408.6</v>
      </c>
      <c r="R1477">
        <v>12659853</v>
      </c>
    </row>
    <row r="1478" spans="1:18" x14ac:dyDescent="0.25">
      <c r="A1478" s="170">
        <v>44895</v>
      </c>
      <c r="B1478" s="116">
        <v>420.4</v>
      </c>
      <c r="C1478" s="116">
        <v>417.45</v>
      </c>
      <c r="D1478" s="116">
        <v>401.45</v>
      </c>
      <c r="E1478" s="116">
        <v>405.2</v>
      </c>
      <c r="F1478" s="116">
        <v>417.45</v>
      </c>
      <c r="G1478">
        <v>215144</v>
      </c>
      <c r="H1478" s="116"/>
      <c r="I1478" s="116"/>
      <c r="L1478" s="170">
        <v>44895</v>
      </c>
      <c r="M1478" s="116">
        <v>417.45</v>
      </c>
      <c r="N1478" s="116">
        <v>420.5</v>
      </c>
      <c r="O1478" s="116">
        <v>405.2</v>
      </c>
      <c r="P1478" s="116">
        <v>406</v>
      </c>
      <c r="Q1478" s="116">
        <v>417.45</v>
      </c>
      <c r="R1478">
        <v>5920952</v>
      </c>
    </row>
    <row r="1479" spans="1:18" x14ac:dyDescent="0.25">
      <c r="A1479" s="170">
        <v>44896</v>
      </c>
      <c r="B1479" s="116">
        <v>421.95</v>
      </c>
      <c r="C1479" s="116">
        <v>418.4</v>
      </c>
      <c r="D1479" s="116">
        <v>412.85</v>
      </c>
      <c r="E1479" s="116">
        <v>418.1</v>
      </c>
      <c r="F1479" s="116">
        <v>418.4</v>
      </c>
      <c r="G1479">
        <v>238320</v>
      </c>
      <c r="H1479" s="116"/>
      <c r="I1479" s="116"/>
      <c r="L1479" s="170">
        <v>44896</v>
      </c>
      <c r="M1479" s="116">
        <v>418.55</v>
      </c>
      <c r="N1479" s="116">
        <v>422</v>
      </c>
      <c r="O1479" s="116">
        <v>413</v>
      </c>
      <c r="P1479" s="116">
        <v>419.95</v>
      </c>
      <c r="Q1479" s="116">
        <v>418.55</v>
      </c>
      <c r="R1479">
        <v>2479762</v>
      </c>
    </row>
    <row r="1480" spans="1:18" x14ac:dyDescent="0.25">
      <c r="A1480" s="170">
        <v>44897</v>
      </c>
      <c r="B1480" s="116">
        <v>426.1</v>
      </c>
      <c r="C1480" s="116">
        <v>423.7</v>
      </c>
      <c r="D1480" s="116">
        <v>413.4</v>
      </c>
      <c r="E1480" s="116">
        <v>414.95</v>
      </c>
      <c r="F1480" s="116">
        <v>423.7</v>
      </c>
      <c r="G1480">
        <v>83896</v>
      </c>
      <c r="H1480" s="116"/>
      <c r="I1480" s="116"/>
      <c r="L1480" s="170">
        <v>44897</v>
      </c>
      <c r="M1480" s="116">
        <v>423.6</v>
      </c>
      <c r="N1480" s="116">
        <v>426.3</v>
      </c>
      <c r="O1480" s="116">
        <v>413</v>
      </c>
      <c r="P1480" s="116">
        <v>413</v>
      </c>
      <c r="Q1480" s="116">
        <v>423.6</v>
      </c>
      <c r="R1480">
        <v>2167607</v>
      </c>
    </row>
    <row r="1481" spans="1:18" x14ac:dyDescent="0.25">
      <c r="A1481" s="170">
        <v>44900</v>
      </c>
      <c r="B1481" s="116">
        <v>426.45</v>
      </c>
      <c r="C1481" s="116">
        <v>420.55</v>
      </c>
      <c r="D1481" s="116">
        <v>418.1</v>
      </c>
      <c r="E1481" s="116">
        <v>423</v>
      </c>
      <c r="F1481" s="116">
        <v>420.55</v>
      </c>
      <c r="G1481">
        <v>111557</v>
      </c>
      <c r="H1481" s="116"/>
      <c r="I1481" s="116"/>
      <c r="L1481" s="170">
        <v>44900</v>
      </c>
      <c r="M1481" s="116">
        <v>420.5</v>
      </c>
      <c r="N1481" s="116">
        <v>426.15</v>
      </c>
      <c r="O1481" s="116">
        <v>418.2</v>
      </c>
      <c r="P1481" s="116">
        <v>423.5</v>
      </c>
      <c r="Q1481" s="116">
        <v>420.5</v>
      </c>
      <c r="R1481">
        <v>1609869</v>
      </c>
    </row>
    <row r="1482" spans="1:18" x14ac:dyDescent="0.25">
      <c r="A1482" s="170">
        <v>44901</v>
      </c>
      <c r="B1482" s="116">
        <v>426.7</v>
      </c>
      <c r="C1482" s="116">
        <v>419.65</v>
      </c>
      <c r="D1482" s="116">
        <v>417.25</v>
      </c>
      <c r="E1482" s="116">
        <v>420</v>
      </c>
      <c r="F1482" s="116">
        <v>419.65</v>
      </c>
      <c r="G1482">
        <v>110346</v>
      </c>
      <c r="H1482" s="116"/>
      <c r="I1482" s="116"/>
      <c r="L1482" s="170">
        <v>44901</v>
      </c>
      <c r="M1482" s="116">
        <v>419.65</v>
      </c>
      <c r="N1482" s="116">
        <v>426.7</v>
      </c>
      <c r="O1482" s="116">
        <v>417.5</v>
      </c>
      <c r="P1482" s="116">
        <v>420</v>
      </c>
      <c r="Q1482" s="116">
        <v>419.65</v>
      </c>
      <c r="R1482">
        <v>1911759</v>
      </c>
    </row>
    <row r="1483" spans="1:18" x14ac:dyDescent="0.25">
      <c r="A1483" s="170">
        <v>44902</v>
      </c>
      <c r="B1483" s="116">
        <v>422.6</v>
      </c>
      <c r="C1483" s="116">
        <v>416.4</v>
      </c>
      <c r="D1483" s="116">
        <v>415.1</v>
      </c>
      <c r="E1483" s="116">
        <v>420.05</v>
      </c>
      <c r="F1483" s="116">
        <v>416.4</v>
      </c>
      <c r="G1483">
        <v>84933</v>
      </c>
      <c r="H1483" s="116"/>
      <c r="I1483" s="116"/>
      <c r="L1483" s="170">
        <v>44902</v>
      </c>
      <c r="M1483" s="116">
        <v>416.5</v>
      </c>
      <c r="N1483" s="116">
        <v>422.2</v>
      </c>
      <c r="O1483" s="116">
        <v>415.2</v>
      </c>
      <c r="P1483" s="116">
        <v>422</v>
      </c>
      <c r="Q1483" s="116">
        <v>416.5</v>
      </c>
      <c r="R1483">
        <v>1162621</v>
      </c>
    </row>
    <row r="1484" spans="1:18" x14ac:dyDescent="0.25">
      <c r="A1484" s="170">
        <v>44903</v>
      </c>
      <c r="B1484" s="116">
        <v>418.45</v>
      </c>
      <c r="C1484" s="116">
        <v>412.55</v>
      </c>
      <c r="D1484" s="116">
        <v>411.55</v>
      </c>
      <c r="E1484" s="116">
        <v>416.7</v>
      </c>
      <c r="F1484" s="116">
        <v>412.55</v>
      </c>
      <c r="G1484">
        <v>138859</v>
      </c>
      <c r="H1484" s="116"/>
      <c r="I1484" s="116"/>
      <c r="L1484" s="170">
        <v>44903</v>
      </c>
      <c r="M1484" s="116">
        <v>412.75</v>
      </c>
      <c r="N1484" s="116">
        <v>418.55</v>
      </c>
      <c r="O1484" s="116">
        <v>411.8</v>
      </c>
      <c r="P1484" s="116">
        <v>416.9</v>
      </c>
      <c r="Q1484" s="116">
        <v>412.75</v>
      </c>
      <c r="R1484">
        <v>1427268</v>
      </c>
    </row>
    <row r="1485" spans="1:18" x14ac:dyDescent="0.25">
      <c r="A1485" s="170">
        <v>44904</v>
      </c>
      <c r="B1485" s="116">
        <v>416.55</v>
      </c>
      <c r="C1485" s="116">
        <v>412.8</v>
      </c>
      <c r="D1485" s="116">
        <v>411</v>
      </c>
      <c r="E1485" s="116">
        <v>414.95</v>
      </c>
      <c r="F1485" s="116">
        <v>412.8</v>
      </c>
      <c r="G1485">
        <v>32262</v>
      </c>
      <c r="H1485" s="116"/>
      <c r="I1485" s="116"/>
      <c r="L1485" s="170">
        <v>44904</v>
      </c>
      <c r="M1485" s="116">
        <v>412.7</v>
      </c>
      <c r="N1485" s="116">
        <v>416.75</v>
      </c>
      <c r="O1485" s="116">
        <v>411.05</v>
      </c>
      <c r="P1485" s="116">
        <v>412.75</v>
      </c>
      <c r="Q1485" s="116">
        <v>412.7</v>
      </c>
      <c r="R1485">
        <v>1415269</v>
      </c>
    </row>
    <row r="1486" spans="1:18" x14ac:dyDescent="0.25">
      <c r="A1486" s="170">
        <v>44907</v>
      </c>
      <c r="B1486" s="116">
        <v>412.8</v>
      </c>
      <c r="C1486" s="116">
        <v>404</v>
      </c>
      <c r="D1486" s="116">
        <v>402.8</v>
      </c>
      <c r="E1486" s="116">
        <v>412.75</v>
      </c>
      <c r="F1486" s="116">
        <v>404</v>
      </c>
      <c r="G1486">
        <v>156826</v>
      </c>
      <c r="H1486" s="116"/>
      <c r="I1486" s="116"/>
      <c r="L1486" s="170">
        <v>44907</v>
      </c>
      <c r="M1486" s="116">
        <v>404.25</v>
      </c>
      <c r="N1486" s="116">
        <v>412.9</v>
      </c>
      <c r="O1486" s="116">
        <v>402.65</v>
      </c>
      <c r="P1486" s="116">
        <v>412.05</v>
      </c>
      <c r="Q1486" s="116">
        <v>404.25</v>
      </c>
      <c r="R1486">
        <v>2181346</v>
      </c>
    </row>
    <row r="1487" spans="1:18" x14ac:dyDescent="0.25">
      <c r="A1487" s="170">
        <v>44908</v>
      </c>
      <c r="B1487" s="116">
        <v>405</v>
      </c>
      <c r="C1487" s="116">
        <v>390.3</v>
      </c>
      <c r="D1487" s="116">
        <v>387</v>
      </c>
      <c r="E1487" s="116">
        <v>404</v>
      </c>
      <c r="F1487" s="116">
        <v>390.3</v>
      </c>
      <c r="G1487">
        <v>349770</v>
      </c>
      <c r="H1487" s="116"/>
      <c r="I1487" s="116"/>
      <c r="L1487" s="170">
        <v>44908</v>
      </c>
      <c r="M1487" s="116">
        <v>391.05</v>
      </c>
      <c r="N1487" s="116">
        <v>405.85</v>
      </c>
      <c r="O1487" s="116">
        <v>387</v>
      </c>
      <c r="P1487" s="116">
        <v>404.5</v>
      </c>
      <c r="Q1487" s="116">
        <v>391.05</v>
      </c>
      <c r="R1487">
        <v>7155422</v>
      </c>
    </row>
    <row r="1488" spans="1:18" x14ac:dyDescent="0.25">
      <c r="A1488" s="170">
        <v>44909</v>
      </c>
      <c r="B1488" s="116">
        <v>400.75</v>
      </c>
      <c r="C1488" s="116">
        <v>396.6</v>
      </c>
      <c r="D1488" s="116">
        <v>390.2</v>
      </c>
      <c r="E1488" s="116">
        <v>390.3</v>
      </c>
      <c r="F1488" s="116">
        <v>396.6</v>
      </c>
      <c r="G1488">
        <v>150831</v>
      </c>
      <c r="H1488" s="116"/>
      <c r="I1488" s="116"/>
      <c r="L1488" s="170">
        <v>44909</v>
      </c>
      <c r="M1488" s="116">
        <v>397.1</v>
      </c>
      <c r="N1488" s="116">
        <v>400.8</v>
      </c>
      <c r="O1488" s="116">
        <v>390</v>
      </c>
      <c r="P1488" s="116">
        <v>391.15</v>
      </c>
      <c r="Q1488" s="116">
        <v>397.1</v>
      </c>
      <c r="R1488">
        <v>3047668</v>
      </c>
    </row>
    <row r="1489" spans="1:18" x14ac:dyDescent="0.25">
      <c r="A1489" s="170">
        <v>44910</v>
      </c>
      <c r="B1489" s="116">
        <v>400.05</v>
      </c>
      <c r="C1489" s="116">
        <v>395.05</v>
      </c>
      <c r="D1489" s="116">
        <v>392.6</v>
      </c>
      <c r="E1489" s="116">
        <v>397</v>
      </c>
      <c r="F1489" s="116">
        <v>395.05</v>
      </c>
      <c r="G1489">
        <v>46696</v>
      </c>
      <c r="H1489" s="116"/>
      <c r="I1489" s="116"/>
      <c r="L1489" s="170">
        <v>44910</v>
      </c>
      <c r="M1489" s="116">
        <v>394.45</v>
      </c>
      <c r="N1489" s="116">
        <v>400.75</v>
      </c>
      <c r="O1489" s="116">
        <v>392.45</v>
      </c>
      <c r="P1489" s="116">
        <v>396.5</v>
      </c>
      <c r="Q1489" s="116">
        <v>394.45</v>
      </c>
      <c r="R1489">
        <v>1135799</v>
      </c>
    </row>
    <row r="1490" spans="1:18" x14ac:dyDescent="0.25">
      <c r="A1490" s="170">
        <v>44911</v>
      </c>
      <c r="B1490" s="116">
        <v>395.35</v>
      </c>
      <c r="C1490" s="116">
        <v>388.6</v>
      </c>
      <c r="D1490" s="116">
        <v>386.5</v>
      </c>
      <c r="E1490" s="116">
        <v>390.25</v>
      </c>
      <c r="F1490" s="116">
        <v>388.6</v>
      </c>
      <c r="G1490">
        <v>103438</v>
      </c>
      <c r="H1490" s="116"/>
      <c r="I1490" s="116"/>
      <c r="L1490" s="170">
        <v>44911</v>
      </c>
      <c r="M1490" s="116">
        <v>388.3</v>
      </c>
      <c r="N1490" s="116">
        <v>395.35</v>
      </c>
      <c r="O1490" s="116">
        <v>386.6</v>
      </c>
      <c r="P1490" s="116">
        <v>391.6</v>
      </c>
      <c r="Q1490" s="116">
        <v>388.3</v>
      </c>
      <c r="R1490">
        <v>1646656</v>
      </c>
    </row>
    <row r="1491" spans="1:18" x14ac:dyDescent="0.25">
      <c r="A1491" s="170">
        <v>44914</v>
      </c>
      <c r="B1491" s="116">
        <v>391.1</v>
      </c>
      <c r="C1491" s="116">
        <v>387.8</v>
      </c>
      <c r="D1491" s="116">
        <v>382.05</v>
      </c>
      <c r="E1491" s="116">
        <v>388.65</v>
      </c>
      <c r="F1491" s="116">
        <v>387.8</v>
      </c>
      <c r="G1491">
        <v>116544</v>
      </c>
      <c r="H1491" s="116"/>
      <c r="I1491" s="116"/>
      <c r="L1491" s="170">
        <v>44914</v>
      </c>
      <c r="M1491" s="116">
        <v>387.75</v>
      </c>
      <c r="N1491" s="116">
        <v>391.4</v>
      </c>
      <c r="O1491" s="116">
        <v>382</v>
      </c>
      <c r="P1491" s="116">
        <v>390</v>
      </c>
      <c r="Q1491" s="116">
        <v>387.75</v>
      </c>
      <c r="R1491">
        <v>1530265</v>
      </c>
    </row>
    <row r="1492" spans="1:18" x14ac:dyDescent="0.25">
      <c r="A1492" s="170">
        <v>44915</v>
      </c>
      <c r="B1492" s="116">
        <v>388.3</v>
      </c>
      <c r="C1492" s="116">
        <v>384.75</v>
      </c>
      <c r="D1492" s="116">
        <v>375.6</v>
      </c>
      <c r="E1492" s="116">
        <v>387.9</v>
      </c>
      <c r="F1492" s="116">
        <v>384.75</v>
      </c>
      <c r="G1492">
        <v>174285</v>
      </c>
      <c r="H1492" s="116"/>
      <c r="I1492" s="116"/>
      <c r="L1492" s="170">
        <v>44915</v>
      </c>
      <c r="M1492" s="116">
        <v>385.05</v>
      </c>
      <c r="N1492" s="116">
        <v>389</v>
      </c>
      <c r="O1492" s="116">
        <v>375.6</v>
      </c>
      <c r="P1492" s="116">
        <v>389</v>
      </c>
      <c r="Q1492" s="116">
        <v>385.05</v>
      </c>
      <c r="R1492">
        <v>2426332</v>
      </c>
    </row>
    <row r="1493" spans="1:18" x14ac:dyDescent="0.25">
      <c r="A1493" s="170">
        <v>44916</v>
      </c>
      <c r="B1493" s="116">
        <v>401.65</v>
      </c>
      <c r="C1493" s="116">
        <v>394</v>
      </c>
      <c r="D1493" s="116">
        <v>384</v>
      </c>
      <c r="E1493" s="116">
        <v>387.15</v>
      </c>
      <c r="F1493" s="116">
        <v>394</v>
      </c>
      <c r="G1493">
        <v>114376</v>
      </c>
      <c r="H1493" s="116"/>
      <c r="I1493" s="116"/>
      <c r="L1493" s="170">
        <v>44916</v>
      </c>
      <c r="M1493" s="116">
        <v>394.2</v>
      </c>
      <c r="N1493" s="116">
        <v>401.95</v>
      </c>
      <c r="O1493" s="116">
        <v>383.65</v>
      </c>
      <c r="P1493" s="116">
        <v>387.8</v>
      </c>
      <c r="Q1493" s="116">
        <v>394.2</v>
      </c>
      <c r="R1493">
        <v>3816816</v>
      </c>
    </row>
    <row r="1494" spans="1:18" x14ac:dyDescent="0.25">
      <c r="A1494" s="170">
        <v>44917</v>
      </c>
      <c r="B1494" s="116">
        <v>399.5</v>
      </c>
      <c r="C1494" s="116">
        <v>391.1</v>
      </c>
      <c r="D1494" s="116">
        <v>384.45</v>
      </c>
      <c r="E1494" s="116">
        <v>399.5</v>
      </c>
      <c r="F1494" s="116">
        <v>391.1</v>
      </c>
      <c r="G1494">
        <v>102333</v>
      </c>
      <c r="H1494" s="116"/>
      <c r="I1494" s="116"/>
      <c r="L1494" s="170">
        <v>44917</v>
      </c>
      <c r="M1494" s="116">
        <v>391.35</v>
      </c>
      <c r="N1494" s="116">
        <v>398.8</v>
      </c>
      <c r="O1494" s="116">
        <v>384.35</v>
      </c>
      <c r="P1494" s="116">
        <v>398.8</v>
      </c>
      <c r="Q1494" s="116">
        <v>391.35</v>
      </c>
      <c r="R1494">
        <v>1833828</v>
      </c>
    </row>
    <row r="1495" spans="1:18" x14ac:dyDescent="0.25">
      <c r="A1495" s="170">
        <v>44918</v>
      </c>
      <c r="B1495" s="116">
        <v>398.55</v>
      </c>
      <c r="C1495" s="116">
        <v>384.05</v>
      </c>
      <c r="D1495" s="116">
        <v>382.25</v>
      </c>
      <c r="E1495" s="116">
        <v>390.75</v>
      </c>
      <c r="F1495" s="116">
        <v>384.05</v>
      </c>
      <c r="G1495">
        <v>91795</v>
      </c>
      <c r="H1495" s="116"/>
      <c r="I1495" s="116"/>
      <c r="L1495" s="170">
        <v>44918</v>
      </c>
      <c r="M1495" s="116">
        <v>384.1</v>
      </c>
      <c r="N1495" s="116">
        <v>398.4</v>
      </c>
      <c r="O1495" s="116">
        <v>381.95</v>
      </c>
      <c r="P1495" s="116">
        <v>388.95</v>
      </c>
      <c r="Q1495" s="116">
        <v>384.1</v>
      </c>
      <c r="R1495">
        <v>2432866</v>
      </c>
    </row>
    <row r="1496" spans="1:18" x14ac:dyDescent="0.25">
      <c r="A1496" s="170">
        <v>44921</v>
      </c>
      <c r="B1496" s="116">
        <v>386.45</v>
      </c>
      <c r="C1496" s="116">
        <v>381.85</v>
      </c>
      <c r="D1496" s="116">
        <v>379.2</v>
      </c>
      <c r="E1496" s="116">
        <v>384.05</v>
      </c>
      <c r="F1496" s="116">
        <v>381.85</v>
      </c>
      <c r="G1496">
        <v>40842</v>
      </c>
      <c r="H1496" s="116"/>
      <c r="I1496" s="116"/>
      <c r="L1496" s="170">
        <v>44921</v>
      </c>
      <c r="M1496" s="116">
        <v>381.75</v>
      </c>
      <c r="N1496" s="116">
        <v>387.1</v>
      </c>
      <c r="O1496" s="116">
        <v>379</v>
      </c>
      <c r="P1496" s="116">
        <v>384.95</v>
      </c>
      <c r="Q1496" s="116">
        <v>381.75</v>
      </c>
      <c r="R1496">
        <v>1269483</v>
      </c>
    </row>
    <row r="1497" spans="1:18" x14ac:dyDescent="0.25">
      <c r="A1497" s="170">
        <v>44922</v>
      </c>
      <c r="B1497" s="116">
        <v>381.15</v>
      </c>
      <c r="C1497" s="116">
        <v>374.6</v>
      </c>
      <c r="D1497" s="116">
        <v>368.75</v>
      </c>
      <c r="E1497" s="116">
        <v>379.95</v>
      </c>
      <c r="F1497" s="116">
        <v>374.6</v>
      </c>
      <c r="G1497">
        <v>302309</v>
      </c>
      <c r="H1497" s="116"/>
      <c r="I1497" s="116"/>
      <c r="L1497" s="170">
        <v>44922</v>
      </c>
      <c r="M1497" s="116">
        <v>374.7</v>
      </c>
      <c r="N1497" s="116">
        <v>381.2</v>
      </c>
      <c r="O1497" s="116">
        <v>368.65</v>
      </c>
      <c r="P1497" s="116">
        <v>377.7</v>
      </c>
      <c r="Q1497" s="116">
        <v>374.7</v>
      </c>
      <c r="R1497">
        <v>4359291</v>
      </c>
    </row>
    <row r="1498" spans="1:18" x14ac:dyDescent="0.25">
      <c r="A1498" s="170">
        <v>44923</v>
      </c>
      <c r="B1498" s="116">
        <v>379.8</v>
      </c>
      <c r="C1498" s="116">
        <v>373.15</v>
      </c>
      <c r="D1498" s="116">
        <v>372</v>
      </c>
      <c r="E1498" s="116">
        <v>373.05</v>
      </c>
      <c r="F1498" s="116">
        <v>373.15</v>
      </c>
      <c r="G1498">
        <v>68499</v>
      </c>
      <c r="H1498" s="116"/>
      <c r="I1498" s="116"/>
      <c r="L1498" s="170">
        <v>44923</v>
      </c>
      <c r="M1498" s="116">
        <v>373</v>
      </c>
      <c r="N1498" s="116">
        <v>379.85</v>
      </c>
      <c r="O1498" s="116">
        <v>371.35</v>
      </c>
      <c r="P1498" s="116">
        <v>373</v>
      </c>
      <c r="Q1498" s="116">
        <v>373</v>
      </c>
      <c r="R1498">
        <v>1562394</v>
      </c>
    </row>
    <row r="1499" spans="1:18" x14ac:dyDescent="0.25">
      <c r="A1499" s="170">
        <v>44924</v>
      </c>
      <c r="B1499" s="116">
        <v>375.25</v>
      </c>
      <c r="C1499" s="116">
        <v>372.9</v>
      </c>
      <c r="D1499" s="116">
        <v>370.95</v>
      </c>
      <c r="E1499" s="116">
        <v>374</v>
      </c>
      <c r="F1499" s="116">
        <v>372.9</v>
      </c>
      <c r="G1499">
        <v>92424</v>
      </c>
      <c r="H1499" s="116"/>
      <c r="I1499" s="116"/>
      <c r="L1499" s="170">
        <v>44924</v>
      </c>
      <c r="M1499" s="116">
        <v>372.8</v>
      </c>
      <c r="N1499" s="116">
        <v>375.25</v>
      </c>
      <c r="O1499" s="116">
        <v>370.75</v>
      </c>
      <c r="P1499" s="116">
        <v>373.6</v>
      </c>
      <c r="Q1499" s="116">
        <v>372.8</v>
      </c>
      <c r="R1499">
        <v>1659438</v>
      </c>
    </row>
    <row r="1500" spans="1:18" x14ac:dyDescent="0.25">
      <c r="A1500" s="170">
        <v>44925</v>
      </c>
      <c r="B1500" s="116">
        <v>377.25</v>
      </c>
      <c r="C1500" s="116">
        <v>375.15</v>
      </c>
      <c r="D1500" s="116">
        <v>373.1</v>
      </c>
      <c r="E1500" s="116">
        <v>375</v>
      </c>
      <c r="F1500" s="116">
        <v>375.15</v>
      </c>
      <c r="G1500">
        <v>73994</v>
      </c>
      <c r="H1500" s="116"/>
      <c r="I1500" s="116"/>
      <c r="L1500" s="170">
        <v>44925</v>
      </c>
      <c r="M1500" s="116">
        <v>375.25</v>
      </c>
      <c r="N1500" s="116">
        <v>377.15</v>
      </c>
      <c r="O1500" s="116">
        <v>373.05</v>
      </c>
      <c r="P1500" s="116">
        <v>374.8</v>
      </c>
      <c r="Q1500" s="116">
        <v>375.25</v>
      </c>
      <c r="R1500">
        <v>915624</v>
      </c>
    </row>
    <row r="1501" spans="1:18" x14ac:dyDescent="0.25">
      <c r="A1501" s="170">
        <v>44928</v>
      </c>
      <c r="B1501" s="116">
        <v>378.3</v>
      </c>
      <c r="C1501" s="116">
        <v>373.4</v>
      </c>
      <c r="D1501" s="116">
        <v>370.65</v>
      </c>
      <c r="E1501" s="116">
        <v>376.05</v>
      </c>
      <c r="F1501" s="116">
        <v>373.4</v>
      </c>
      <c r="G1501">
        <v>30088</v>
      </c>
      <c r="H1501" s="116"/>
      <c r="I1501" s="116"/>
      <c r="L1501" s="170">
        <v>44928</v>
      </c>
      <c r="M1501" s="116">
        <v>373.4</v>
      </c>
      <c r="N1501" s="116">
        <v>377.15</v>
      </c>
      <c r="O1501" s="116">
        <v>370.5</v>
      </c>
      <c r="P1501" s="116">
        <v>376.95</v>
      </c>
      <c r="Q1501" s="116">
        <v>373.4</v>
      </c>
      <c r="R1501">
        <v>1165654</v>
      </c>
    </row>
    <row r="1502" spans="1:18" x14ac:dyDescent="0.25">
      <c r="A1502" s="170">
        <v>44929</v>
      </c>
      <c r="B1502" s="116">
        <v>382.5</v>
      </c>
      <c r="C1502" s="116">
        <v>377.75</v>
      </c>
      <c r="D1502" s="116">
        <v>373.5</v>
      </c>
      <c r="E1502" s="116">
        <v>377</v>
      </c>
      <c r="F1502" s="116">
        <v>377.75</v>
      </c>
      <c r="G1502">
        <v>44270</v>
      </c>
      <c r="H1502" s="116"/>
      <c r="I1502" s="116"/>
      <c r="L1502" s="170">
        <v>44929</v>
      </c>
      <c r="M1502" s="116">
        <v>377.8</v>
      </c>
      <c r="N1502" s="116">
        <v>382.65</v>
      </c>
      <c r="O1502" s="116">
        <v>373.4</v>
      </c>
      <c r="P1502" s="116">
        <v>374.8</v>
      </c>
      <c r="Q1502" s="116">
        <v>377.8</v>
      </c>
      <c r="R1502">
        <v>1431363</v>
      </c>
    </row>
    <row r="1503" spans="1:18" x14ac:dyDescent="0.25">
      <c r="A1503" s="170">
        <v>44930</v>
      </c>
      <c r="B1503" s="116">
        <v>379.55</v>
      </c>
      <c r="C1503" s="116">
        <v>374.15</v>
      </c>
      <c r="D1503" s="116">
        <v>372.75</v>
      </c>
      <c r="E1503" s="116">
        <v>378</v>
      </c>
      <c r="F1503" s="116">
        <v>374.15</v>
      </c>
      <c r="G1503">
        <v>18280</v>
      </c>
      <c r="H1503" s="116"/>
      <c r="I1503" s="116"/>
      <c r="L1503" s="170">
        <v>44930</v>
      </c>
      <c r="M1503" s="116">
        <v>374.15</v>
      </c>
      <c r="N1503" s="116">
        <v>379.65</v>
      </c>
      <c r="O1503" s="116">
        <v>372.65</v>
      </c>
      <c r="P1503" s="116">
        <v>379</v>
      </c>
      <c r="Q1503" s="116">
        <v>374.15</v>
      </c>
      <c r="R1503">
        <v>620923</v>
      </c>
    </row>
    <row r="1504" spans="1:18" x14ac:dyDescent="0.25">
      <c r="A1504" s="170">
        <v>44931</v>
      </c>
      <c r="B1504" s="116">
        <v>379.45</v>
      </c>
      <c r="C1504" s="116">
        <v>378.55</v>
      </c>
      <c r="D1504" s="116">
        <v>373</v>
      </c>
      <c r="E1504" s="116">
        <v>374</v>
      </c>
      <c r="F1504" s="116">
        <v>378.55</v>
      </c>
      <c r="G1504">
        <v>92716</v>
      </c>
      <c r="H1504" s="116"/>
      <c r="I1504" s="116"/>
      <c r="L1504" s="170">
        <v>44931</v>
      </c>
      <c r="M1504" s="116">
        <v>378.55</v>
      </c>
      <c r="N1504" s="116">
        <v>379.4</v>
      </c>
      <c r="O1504" s="116">
        <v>373.1</v>
      </c>
      <c r="P1504" s="116">
        <v>373.5</v>
      </c>
      <c r="Q1504" s="116">
        <v>378.55</v>
      </c>
      <c r="R1504">
        <v>769506</v>
      </c>
    </row>
    <row r="1505" spans="1:18" x14ac:dyDescent="0.25">
      <c r="A1505" s="170">
        <v>44932</v>
      </c>
      <c r="B1505" s="116">
        <v>380.5</v>
      </c>
      <c r="C1505" s="116">
        <v>373.8</v>
      </c>
      <c r="D1505" s="116">
        <v>371.8</v>
      </c>
      <c r="E1505" s="116">
        <v>378</v>
      </c>
      <c r="F1505" s="116">
        <v>373.8</v>
      </c>
      <c r="G1505">
        <v>80721</v>
      </c>
      <c r="H1505" s="116"/>
      <c r="I1505" s="116"/>
      <c r="L1505" s="170">
        <v>44932</v>
      </c>
      <c r="M1505" s="116">
        <v>373.85</v>
      </c>
      <c r="N1505" s="116">
        <v>380.9</v>
      </c>
      <c r="O1505" s="116">
        <v>371.75</v>
      </c>
      <c r="P1505" s="116">
        <v>378.5</v>
      </c>
      <c r="Q1505" s="116">
        <v>373.85</v>
      </c>
      <c r="R1505">
        <v>565954</v>
      </c>
    </row>
    <row r="1506" spans="1:18" x14ac:dyDescent="0.25">
      <c r="A1506" s="170">
        <v>44935</v>
      </c>
      <c r="B1506" s="116">
        <v>385.95</v>
      </c>
      <c r="C1506" s="116">
        <v>378.85</v>
      </c>
      <c r="D1506" s="116">
        <v>373.85</v>
      </c>
      <c r="E1506" s="116">
        <v>373.85</v>
      </c>
      <c r="F1506" s="116">
        <v>378.85</v>
      </c>
      <c r="G1506">
        <v>53783</v>
      </c>
      <c r="H1506" s="116"/>
      <c r="I1506" s="116"/>
      <c r="L1506" s="170">
        <v>44935</v>
      </c>
      <c r="M1506" s="116">
        <v>379</v>
      </c>
      <c r="N1506" s="116">
        <v>386</v>
      </c>
      <c r="O1506" s="116">
        <v>374.25</v>
      </c>
      <c r="P1506" s="116">
        <v>374.85</v>
      </c>
      <c r="Q1506" s="116">
        <v>379</v>
      </c>
      <c r="R1506">
        <v>2509044</v>
      </c>
    </row>
    <row r="1507" spans="1:18" x14ac:dyDescent="0.25">
      <c r="A1507" s="170">
        <v>44936</v>
      </c>
      <c r="B1507" s="116">
        <v>382.05</v>
      </c>
      <c r="C1507" s="116">
        <v>378.7</v>
      </c>
      <c r="D1507" s="116">
        <v>377.85</v>
      </c>
      <c r="E1507" s="116">
        <v>379.1</v>
      </c>
      <c r="F1507" s="116">
        <v>378.7</v>
      </c>
      <c r="G1507">
        <v>21208</v>
      </c>
      <c r="H1507" s="116"/>
      <c r="I1507" s="116"/>
      <c r="L1507" s="170">
        <v>44936</v>
      </c>
      <c r="M1507" s="116">
        <v>378.85</v>
      </c>
      <c r="N1507" s="116">
        <v>382.2</v>
      </c>
      <c r="O1507" s="116">
        <v>378</v>
      </c>
      <c r="P1507" s="116">
        <v>380.9</v>
      </c>
      <c r="Q1507" s="116">
        <v>378.85</v>
      </c>
      <c r="R1507">
        <v>608941</v>
      </c>
    </row>
    <row r="1508" spans="1:18" x14ac:dyDescent="0.25">
      <c r="A1508" s="170">
        <v>44937</v>
      </c>
      <c r="B1508" s="116">
        <v>379.6</v>
      </c>
      <c r="C1508" s="116">
        <v>366.4</v>
      </c>
      <c r="D1508" s="116">
        <v>365.5</v>
      </c>
      <c r="E1508" s="116">
        <v>378.7</v>
      </c>
      <c r="F1508" s="116">
        <v>366.4</v>
      </c>
      <c r="G1508">
        <v>56864</v>
      </c>
      <c r="H1508" s="116"/>
      <c r="I1508" s="116"/>
      <c r="L1508" s="170">
        <v>44937</v>
      </c>
      <c r="M1508" s="116">
        <v>366.5</v>
      </c>
      <c r="N1508" s="116">
        <v>380</v>
      </c>
      <c r="O1508" s="116">
        <v>365.3</v>
      </c>
      <c r="P1508" s="116">
        <v>379</v>
      </c>
      <c r="Q1508" s="116">
        <v>366.5</v>
      </c>
      <c r="R1508">
        <v>1710384</v>
      </c>
    </row>
    <row r="1509" spans="1:18" x14ac:dyDescent="0.25">
      <c r="A1509" s="170">
        <v>44938</v>
      </c>
      <c r="B1509" s="116">
        <v>368.95</v>
      </c>
      <c r="C1509" s="116">
        <v>360.75</v>
      </c>
      <c r="D1509" s="116">
        <v>359.25</v>
      </c>
      <c r="E1509" s="116">
        <v>368.95</v>
      </c>
      <c r="F1509" s="116">
        <v>360.75</v>
      </c>
      <c r="G1509">
        <v>68097</v>
      </c>
      <c r="H1509" s="116"/>
      <c r="I1509" s="116"/>
      <c r="L1509" s="170">
        <v>44938</v>
      </c>
      <c r="M1509" s="116">
        <v>360.4</v>
      </c>
      <c r="N1509" s="116">
        <v>368</v>
      </c>
      <c r="O1509" s="116">
        <v>359</v>
      </c>
      <c r="P1509" s="116">
        <v>368</v>
      </c>
      <c r="Q1509" s="116">
        <v>360.4</v>
      </c>
      <c r="R1509">
        <v>1669410</v>
      </c>
    </row>
    <row r="1510" spans="1:18" x14ac:dyDescent="0.25">
      <c r="A1510" s="170">
        <v>44939</v>
      </c>
      <c r="B1510" s="116">
        <v>361.95</v>
      </c>
      <c r="C1510" s="116">
        <v>357.05</v>
      </c>
      <c r="D1510" s="116">
        <v>354.1</v>
      </c>
      <c r="E1510" s="116">
        <v>360.45</v>
      </c>
      <c r="F1510" s="116">
        <v>357.05</v>
      </c>
      <c r="G1510">
        <v>119503</v>
      </c>
      <c r="H1510" s="116"/>
      <c r="I1510" s="116"/>
      <c r="L1510" s="170">
        <v>44939</v>
      </c>
      <c r="M1510" s="116">
        <v>357.2</v>
      </c>
      <c r="N1510" s="116">
        <v>362.25</v>
      </c>
      <c r="O1510" s="116">
        <v>354</v>
      </c>
      <c r="P1510" s="116">
        <v>360.4</v>
      </c>
      <c r="Q1510" s="116">
        <v>357.2</v>
      </c>
      <c r="R1510">
        <v>1614466</v>
      </c>
    </row>
    <row r="1511" spans="1:18" x14ac:dyDescent="0.25">
      <c r="A1511" s="170">
        <v>44942</v>
      </c>
      <c r="B1511" s="116">
        <v>360.75</v>
      </c>
      <c r="C1511" s="116">
        <v>354.25</v>
      </c>
      <c r="D1511" s="116">
        <v>353.7</v>
      </c>
      <c r="E1511" s="116">
        <v>358.05</v>
      </c>
      <c r="F1511" s="116">
        <v>354.25</v>
      </c>
      <c r="G1511">
        <v>34384</v>
      </c>
      <c r="H1511" s="116"/>
      <c r="I1511" s="116"/>
      <c r="L1511" s="170">
        <v>44942</v>
      </c>
      <c r="M1511" s="116">
        <v>354.55</v>
      </c>
      <c r="N1511" s="116">
        <v>361</v>
      </c>
      <c r="O1511" s="116">
        <v>353.9</v>
      </c>
      <c r="P1511" s="116">
        <v>359.15</v>
      </c>
      <c r="Q1511" s="116">
        <v>354.55</v>
      </c>
      <c r="R1511">
        <v>1342911</v>
      </c>
    </row>
    <row r="1512" spans="1:18" x14ac:dyDescent="0.25">
      <c r="A1512" s="170">
        <v>44943</v>
      </c>
      <c r="B1512" s="116">
        <v>355.95</v>
      </c>
      <c r="C1512" s="116">
        <v>352.5</v>
      </c>
      <c r="D1512" s="116">
        <v>349.45</v>
      </c>
      <c r="E1512" s="116">
        <v>354.5</v>
      </c>
      <c r="F1512" s="116">
        <v>352.5</v>
      </c>
      <c r="G1512">
        <v>26637</v>
      </c>
      <c r="H1512" s="116"/>
      <c r="I1512" s="116"/>
      <c r="L1512" s="170">
        <v>44943</v>
      </c>
      <c r="M1512" s="116">
        <v>352.45</v>
      </c>
      <c r="N1512" s="116">
        <v>356.1</v>
      </c>
      <c r="O1512" s="116">
        <v>349.45</v>
      </c>
      <c r="P1512" s="116">
        <v>355</v>
      </c>
      <c r="Q1512" s="116">
        <v>352.45</v>
      </c>
      <c r="R1512">
        <v>920210</v>
      </c>
    </row>
    <row r="1513" spans="1:18" x14ac:dyDescent="0.25">
      <c r="A1513" s="170">
        <v>44944</v>
      </c>
      <c r="B1513" s="116">
        <v>355.85</v>
      </c>
      <c r="C1513" s="116">
        <v>354.65</v>
      </c>
      <c r="D1513" s="116">
        <v>351.7</v>
      </c>
      <c r="E1513" s="116">
        <v>352</v>
      </c>
      <c r="F1513" s="116">
        <v>354.65</v>
      </c>
      <c r="G1513">
        <v>61628</v>
      </c>
      <c r="H1513" s="116"/>
      <c r="I1513" s="116"/>
      <c r="L1513" s="170">
        <v>44944</v>
      </c>
      <c r="M1513" s="116">
        <v>354.65</v>
      </c>
      <c r="N1513" s="116">
        <v>355.95</v>
      </c>
      <c r="O1513" s="116">
        <v>351.65</v>
      </c>
      <c r="P1513" s="116">
        <v>352.45</v>
      </c>
      <c r="Q1513" s="116">
        <v>354.65</v>
      </c>
      <c r="R1513">
        <v>774157</v>
      </c>
    </row>
    <row r="1514" spans="1:18" x14ac:dyDescent="0.25">
      <c r="A1514" s="170">
        <v>44945</v>
      </c>
      <c r="B1514" s="116">
        <v>354</v>
      </c>
      <c r="C1514" s="116">
        <v>351.5</v>
      </c>
      <c r="D1514" s="116">
        <v>349.35</v>
      </c>
      <c r="E1514" s="116">
        <v>352.2</v>
      </c>
      <c r="F1514" s="116">
        <v>351.5</v>
      </c>
      <c r="G1514">
        <v>61148</v>
      </c>
      <c r="H1514" s="116"/>
      <c r="I1514" s="116"/>
      <c r="L1514" s="170">
        <v>44945</v>
      </c>
      <c r="M1514" s="116">
        <v>351.65</v>
      </c>
      <c r="N1514" s="116">
        <v>355.7</v>
      </c>
      <c r="O1514" s="116">
        <v>349.15</v>
      </c>
      <c r="P1514" s="116">
        <v>353.85</v>
      </c>
      <c r="Q1514" s="116">
        <v>351.65</v>
      </c>
      <c r="R1514">
        <v>1011397</v>
      </c>
    </row>
    <row r="1515" spans="1:18" x14ac:dyDescent="0.25">
      <c r="A1515" s="170">
        <v>44946</v>
      </c>
      <c r="B1515" s="116">
        <v>354.45</v>
      </c>
      <c r="C1515" s="116">
        <v>347.25</v>
      </c>
      <c r="D1515" s="116">
        <v>346.7</v>
      </c>
      <c r="E1515" s="116">
        <v>353.95</v>
      </c>
      <c r="F1515" s="116">
        <v>347.25</v>
      </c>
      <c r="G1515">
        <v>28688</v>
      </c>
      <c r="H1515" s="116"/>
      <c r="I1515" s="116"/>
      <c r="L1515" s="170">
        <v>44946</v>
      </c>
      <c r="M1515" s="116">
        <v>347.1</v>
      </c>
      <c r="N1515" s="116">
        <v>354.5</v>
      </c>
      <c r="O1515" s="116">
        <v>346.5</v>
      </c>
      <c r="P1515" s="116">
        <v>352.6</v>
      </c>
      <c r="Q1515" s="116">
        <v>347.1</v>
      </c>
      <c r="R1515">
        <v>952034</v>
      </c>
    </row>
    <row r="1516" spans="1:18" x14ac:dyDescent="0.25">
      <c r="A1516" s="170">
        <v>44949</v>
      </c>
      <c r="B1516" s="116">
        <v>353.5</v>
      </c>
      <c r="C1516" s="116">
        <v>348.25</v>
      </c>
      <c r="D1516" s="116">
        <v>346.3</v>
      </c>
      <c r="E1516" s="116">
        <v>348.05</v>
      </c>
      <c r="F1516" s="116">
        <v>348.25</v>
      </c>
      <c r="G1516">
        <v>70380</v>
      </c>
      <c r="H1516" s="116"/>
      <c r="I1516" s="116"/>
      <c r="L1516" s="170">
        <v>44949</v>
      </c>
      <c r="M1516" s="116">
        <v>348.9</v>
      </c>
      <c r="N1516" s="116">
        <v>353.45</v>
      </c>
      <c r="O1516" s="116">
        <v>346.3</v>
      </c>
      <c r="P1516" s="116">
        <v>348.85</v>
      </c>
      <c r="Q1516" s="116">
        <v>348.9</v>
      </c>
      <c r="R1516">
        <v>702100</v>
      </c>
    </row>
    <row r="1517" spans="1:18" x14ac:dyDescent="0.25">
      <c r="A1517" s="170">
        <v>44950</v>
      </c>
      <c r="B1517" s="116">
        <v>351</v>
      </c>
      <c r="C1517" s="116">
        <v>345.8</v>
      </c>
      <c r="D1517" s="116">
        <v>345.1</v>
      </c>
      <c r="E1517" s="116">
        <v>349.95</v>
      </c>
      <c r="F1517" s="116">
        <v>345.8</v>
      </c>
      <c r="G1517">
        <v>33541</v>
      </c>
      <c r="H1517" s="116"/>
      <c r="I1517" s="116"/>
      <c r="L1517" s="170">
        <v>44950</v>
      </c>
      <c r="M1517" s="116">
        <v>346.2</v>
      </c>
      <c r="N1517" s="116">
        <v>351.3</v>
      </c>
      <c r="O1517" s="116">
        <v>345.1</v>
      </c>
      <c r="P1517" s="116">
        <v>348.9</v>
      </c>
      <c r="Q1517" s="116">
        <v>346.2</v>
      </c>
      <c r="R1517">
        <v>873615</v>
      </c>
    </row>
    <row r="1518" spans="1:18" x14ac:dyDescent="0.25">
      <c r="A1518" s="170">
        <v>44951</v>
      </c>
      <c r="B1518" s="116">
        <v>346.55</v>
      </c>
      <c r="C1518" s="116">
        <v>342</v>
      </c>
      <c r="D1518" s="116">
        <v>339.35</v>
      </c>
      <c r="E1518" s="116">
        <v>346.2</v>
      </c>
      <c r="F1518" s="116">
        <v>342</v>
      </c>
      <c r="G1518">
        <v>34854</v>
      </c>
      <c r="H1518" s="116"/>
      <c r="I1518" s="116"/>
      <c r="L1518" s="170">
        <v>44951</v>
      </c>
      <c r="M1518" s="116">
        <v>342.2</v>
      </c>
      <c r="N1518" s="116">
        <v>346.2</v>
      </c>
      <c r="O1518" s="116">
        <v>339.4</v>
      </c>
      <c r="P1518" s="116">
        <v>346</v>
      </c>
      <c r="Q1518" s="116">
        <v>342.2</v>
      </c>
      <c r="R1518">
        <v>1569346</v>
      </c>
    </row>
    <row r="1519" spans="1:18" x14ac:dyDescent="0.25">
      <c r="A1519" s="170">
        <v>44953</v>
      </c>
      <c r="B1519" s="116">
        <v>347.3</v>
      </c>
      <c r="C1519" s="116">
        <v>341.85</v>
      </c>
      <c r="D1519" s="116">
        <v>337.25</v>
      </c>
      <c r="E1519" s="116">
        <v>340.05</v>
      </c>
      <c r="F1519" s="116">
        <v>341.85</v>
      </c>
      <c r="G1519">
        <v>30353</v>
      </c>
      <c r="H1519" s="116"/>
      <c r="I1519" s="116"/>
      <c r="L1519" s="170">
        <v>44953</v>
      </c>
      <c r="M1519" s="116">
        <v>341.85</v>
      </c>
      <c r="N1519" s="116">
        <v>347.65</v>
      </c>
      <c r="O1519" s="116">
        <v>337</v>
      </c>
      <c r="P1519" s="116">
        <v>342.2</v>
      </c>
      <c r="Q1519" s="116">
        <v>341.85</v>
      </c>
      <c r="R1519">
        <v>1075642</v>
      </c>
    </row>
    <row r="1520" spans="1:18" x14ac:dyDescent="0.25">
      <c r="A1520" s="170">
        <v>44956</v>
      </c>
      <c r="B1520" s="116">
        <v>359.95</v>
      </c>
      <c r="C1520" s="116">
        <v>341.85</v>
      </c>
      <c r="D1520" s="116">
        <v>338.6</v>
      </c>
      <c r="E1520" s="116">
        <v>342.8</v>
      </c>
      <c r="F1520" s="116">
        <v>341.85</v>
      </c>
      <c r="G1520">
        <v>337079</v>
      </c>
      <c r="H1520" s="116"/>
      <c r="I1520" s="116"/>
      <c r="L1520" s="170">
        <v>44956</v>
      </c>
      <c r="M1520" s="116">
        <v>341.8</v>
      </c>
      <c r="N1520" s="116">
        <v>360</v>
      </c>
      <c r="O1520" s="116">
        <v>338</v>
      </c>
      <c r="P1520" s="116">
        <v>342.5</v>
      </c>
      <c r="Q1520" s="116">
        <v>341.8</v>
      </c>
      <c r="R1520">
        <v>3218852</v>
      </c>
    </row>
    <row r="1521" spans="1:18" x14ac:dyDescent="0.25">
      <c r="A1521" s="170">
        <v>44957</v>
      </c>
      <c r="B1521" s="116">
        <v>342.95</v>
      </c>
      <c r="C1521" s="116">
        <v>330.4</v>
      </c>
      <c r="D1521" s="116">
        <v>324.25</v>
      </c>
      <c r="E1521" s="116">
        <v>342.95</v>
      </c>
      <c r="F1521" s="116">
        <v>330.4</v>
      </c>
      <c r="G1521">
        <v>274373</v>
      </c>
      <c r="H1521" s="116"/>
      <c r="I1521" s="116"/>
      <c r="L1521" s="170">
        <v>44957</v>
      </c>
      <c r="M1521" s="116">
        <v>330.3</v>
      </c>
      <c r="N1521" s="116">
        <v>341</v>
      </c>
      <c r="O1521" s="116">
        <v>324.05</v>
      </c>
      <c r="P1521" s="116">
        <v>341</v>
      </c>
      <c r="Q1521" s="116">
        <v>330.3</v>
      </c>
      <c r="R1521">
        <v>5434023</v>
      </c>
    </row>
    <row r="1522" spans="1:18" x14ac:dyDescent="0.25">
      <c r="A1522" s="170">
        <v>44958</v>
      </c>
      <c r="B1522" s="116">
        <v>347.5</v>
      </c>
      <c r="C1522" s="116">
        <v>334.55</v>
      </c>
      <c r="D1522" s="116">
        <v>329.2</v>
      </c>
      <c r="E1522" s="116">
        <v>330.4</v>
      </c>
      <c r="F1522" s="116">
        <v>334.55</v>
      </c>
      <c r="G1522">
        <v>271952</v>
      </c>
      <c r="H1522" s="116"/>
      <c r="I1522" s="116"/>
      <c r="L1522" s="170">
        <v>44958</v>
      </c>
      <c r="M1522" s="116">
        <v>334.1</v>
      </c>
      <c r="N1522" s="116">
        <v>347.8</v>
      </c>
      <c r="O1522" s="116">
        <v>329.2</v>
      </c>
      <c r="P1522" s="116">
        <v>330.4</v>
      </c>
      <c r="Q1522" s="116">
        <v>334.1</v>
      </c>
      <c r="R1522">
        <v>2865470</v>
      </c>
    </row>
    <row r="1523" spans="1:18" x14ac:dyDescent="0.25">
      <c r="A1523" s="170">
        <v>44959</v>
      </c>
      <c r="B1523" s="116">
        <v>343.75</v>
      </c>
      <c r="C1523" s="116">
        <v>338.8</v>
      </c>
      <c r="D1523" s="116">
        <v>333</v>
      </c>
      <c r="E1523" s="116">
        <v>334.55</v>
      </c>
      <c r="F1523" s="116">
        <v>338.8</v>
      </c>
      <c r="G1523">
        <v>257291</v>
      </c>
      <c r="H1523" s="116"/>
      <c r="I1523" s="116"/>
      <c r="L1523" s="170">
        <v>44959</v>
      </c>
      <c r="M1523" s="116">
        <v>339</v>
      </c>
      <c r="N1523" s="116">
        <v>343.9</v>
      </c>
      <c r="O1523" s="116">
        <v>332.5</v>
      </c>
      <c r="P1523" s="116">
        <v>332.5</v>
      </c>
      <c r="Q1523" s="116">
        <v>339</v>
      </c>
      <c r="R1523">
        <v>1114191</v>
      </c>
    </row>
    <row r="1524" spans="1:18" x14ac:dyDescent="0.25">
      <c r="A1524" s="170">
        <v>44960</v>
      </c>
      <c r="B1524" s="116">
        <v>339.25</v>
      </c>
      <c r="C1524" s="116">
        <v>331.2</v>
      </c>
      <c r="D1524" s="116">
        <v>327.75</v>
      </c>
      <c r="E1524" s="116">
        <v>338.25</v>
      </c>
      <c r="F1524" s="116">
        <v>331.2</v>
      </c>
      <c r="G1524">
        <v>38230</v>
      </c>
      <c r="H1524" s="116"/>
      <c r="I1524" s="116"/>
      <c r="L1524" s="170">
        <v>44960</v>
      </c>
      <c r="M1524" s="116">
        <v>331.4</v>
      </c>
      <c r="N1524" s="116">
        <v>340.9</v>
      </c>
      <c r="O1524" s="116">
        <v>327.55</v>
      </c>
      <c r="P1524" s="116">
        <v>340.9</v>
      </c>
      <c r="Q1524" s="116">
        <v>331.4</v>
      </c>
      <c r="R1524">
        <v>1382874</v>
      </c>
    </row>
    <row r="1525" spans="1:18" x14ac:dyDescent="0.25">
      <c r="A1525" s="170">
        <v>44963</v>
      </c>
      <c r="B1525" s="116">
        <v>336</v>
      </c>
      <c r="C1525" s="116">
        <v>334.1</v>
      </c>
      <c r="D1525" s="116">
        <v>328.1</v>
      </c>
      <c r="E1525" s="116">
        <v>331.25</v>
      </c>
      <c r="F1525" s="116">
        <v>334.1</v>
      </c>
      <c r="G1525">
        <v>40127</v>
      </c>
      <c r="H1525" s="116"/>
      <c r="I1525" s="116"/>
      <c r="L1525" s="170">
        <v>44963</v>
      </c>
      <c r="M1525" s="116">
        <v>333.95</v>
      </c>
      <c r="N1525" s="116">
        <v>336.2</v>
      </c>
      <c r="O1525" s="116">
        <v>328.15</v>
      </c>
      <c r="P1525" s="116">
        <v>333.1</v>
      </c>
      <c r="Q1525" s="116">
        <v>333.95</v>
      </c>
      <c r="R1525">
        <v>1070995</v>
      </c>
    </row>
    <row r="1526" spans="1:18" x14ac:dyDescent="0.25">
      <c r="A1526" s="170">
        <v>44964</v>
      </c>
      <c r="B1526" s="116">
        <v>335.3</v>
      </c>
      <c r="C1526" s="116">
        <v>330.3</v>
      </c>
      <c r="D1526" s="116">
        <v>329.35</v>
      </c>
      <c r="E1526" s="116">
        <v>332.2</v>
      </c>
      <c r="F1526" s="116">
        <v>330.3</v>
      </c>
      <c r="G1526">
        <v>76998</v>
      </c>
      <c r="H1526" s="116"/>
      <c r="I1526" s="116"/>
      <c r="L1526" s="170">
        <v>44964</v>
      </c>
      <c r="M1526" s="116">
        <v>330.35</v>
      </c>
      <c r="N1526" s="116">
        <v>335.65</v>
      </c>
      <c r="O1526" s="116">
        <v>329.1</v>
      </c>
      <c r="P1526" s="116">
        <v>334</v>
      </c>
      <c r="Q1526" s="116">
        <v>330.35</v>
      </c>
      <c r="R1526">
        <v>654100</v>
      </c>
    </row>
    <row r="1527" spans="1:18" x14ac:dyDescent="0.25">
      <c r="A1527" s="170">
        <v>44965</v>
      </c>
      <c r="B1527" s="116">
        <v>340.4</v>
      </c>
      <c r="C1527" s="116">
        <v>338.55</v>
      </c>
      <c r="D1527" s="116">
        <v>326.89999999999998</v>
      </c>
      <c r="E1527" s="116">
        <v>332.95</v>
      </c>
      <c r="F1527" s="116">
        <v>338.55</v>
      </c>
      <c r="G1527">
        <v>43455</v>
      </c>
      <c r="H1527" s="116"/>
      <c r="I1527" s="116"/>
      <c r="L1527" s="170">
        <v>44965</v>
      </c>
      <c r="M1527" s="116">
        <v>338.55</v>
      </c>
      <c r="N1527" s="116">
        <v>340.6</v>
      </c>
      <c r="O1527" s="116">
        <v>327</v>
      </c>
      <c r="P1527" s="116">
        <v>330.65</v>
      </c>
      <c r="Q1527" s="116">
        <v>338.55</v>
      </c>
      <c r="R1527">
        <v>1105621</v>
      </c>
    </row>
    <row r="1528" spans="1:18" x14ac:dyDescent="0.25">
      <c r="A1528" s="170">
        <v>44966</v>
      </c>
      <c r="B1528" s="116">
        <v>345.7</v>
      </c>
      <c r="C1528" s="116">
        <v>338.25</v>
      </c>
      <c r="D1528" s="116">
        <v>334.45</v>
      </c>
      <c r="E1528" s="116">
        <v>338.6</v>
      </c>
      <c r="F1528" s="116">
        <v>338.25</v>
      </c>
      <c r="G1528">
        <v>56898</v>
      </c>
      <c r="H1528" s="116"/>
      <c r="I1528" s="116"/>
      <c r="L1528" s="170">
        <v>44966</v>
      </c>
      <c r="M1528" s="116">
        <v>338.35</v>
      </c>
      <c r="N1528" s="116">
        <v>345.85</v>
      </c>
      <c r="O1528" s="116">
        <v>335</v>
      </c>
      <c r="P1528" s="116">
        <v>335.2</v>
      </c>
      <c r="Q1528" s="116">
        <v>338.35</v>
      </c>
      <c r="R1528">
        <v>938425</v>
      </c>
    </row>
    <row r="1529" spans="1:18" x14ac:dyDescent="0.25">
      <c r="A1529" s="170">
        <v>44967</v>
      </c>
      <c r="B1529" s="116">
        <v>342.6</v>
      </c>
      <c r="C1529" s="116">
        <v>340.25</v>
      </c>
      <c r="D1529" s="116">
        <v>334</v>
      </c>
      <c r="E1529" s="116">
        <v>339.95</v>
      </c>
      <c r="F1529" s="116">
        <v>340.25</v>
      </c>
      <c r="G1529">
        <v>23767</v>
      </c>
      <c r="H1529" s="116"/>
      <c r="I1529" s="116"/>
      <c r="L1529" s="170">
        <v>44967</v>
      </c>
      <c r="M1529" s="116">
        <v>340.05</v>
      </c>
      <c r="N1529" s="116">
        <v>342.9</v>
      </c>
      <c r="O1529" s="116">
        <v>333.75</v>
      </c>
      <c r="P1529" s="116">
        <v>339.35</v>
      </c>
      <c r="Q1529" s="116">
        <v>340.05</v>
      </c>
      <c r="R1529">
        <v>767256</v>
      </c>
    </row>
    <row r="1530" spans="1:18" x14ac:dyDescent="0.25">
      <c r="A1530" s="170">
        <v>44970</v>
      </c>
      <c r="B1530" s="116">
        <v>341.75</v>
      </c>
      <c r="C1530" s="116">
        <v>332.75</v>
      </c>
      <c r="D1530" s="116">
        <v>331.35</v>
      </c>
      <c r="E1530" s="116">
        <v>338.4</v>
      </c>
      <c r="F1530" s="116">
        <v>332.75</v>
      </c>
      <c r="G1530">
        <v>132381</v>
      </c>
      <c r="H1530" s="116"/>
      <c r="I1530" s="116"/>
      <c r="L1530" s="170">
        <v>44970</v>
      </c>
      <c r="M1530" s="116">
        <v>333.35</v>
      </c>
      <c r="N1530" s="116">
        <v>341.8</v>
      </c>
      <c r="O1530" s="116">
        <v>331.4</v>
      </c>
      <c r="P1530" s="116">
        <v>340</v>
      </c>
      <c r="Q1530" s="116">
        <v>333.35</v>
      </c>
      <c r="R1530">
        <v>900333</v>
      </c>
    </row>
    <row r="1531" spans="1:18" x14ac:dyDescent="0.25">
      <c r="A1531" s="170">
        <v>44971</v>
      </c>
      <c r="B1531" s="116">
        <v>336.15</v>
      </c>
      <c r="C1531" s="116">
        <v>331.05</v>
      </c>
      <c r="D1531" s="116">
        <v>329.65</v>
      </c>
      <c r="E1531" s="116">
        <v>333.05</v>
      </c>
      <c r="F1531" s="116">
        <v>331.05</v>
      </c>
      <c r="G1531">
        <v>22946</v>
      </c>
      <c r="H1531" s="116"/>
      <c r="I1531" s="116"/>
      <c r="L1531" s="170">
        <v>44971</v>
      </c>
      <c r="M1531" s="116">
        <v>331</v>
      </c>
      <c r="N1531" s="116">
        <v>335.15</v>
      </c>
      <c r="O1531" s="116">
        <v>329.55</v>
      </c>
      <c r="P1531" s="116">
        <v>335</v>
      </c>
      <c r="Q1531" s="116">
        <v>331</v>
      </c>
      <c r="R1531">
        <v>568434</v>
      </c>
    </row>
    <row r="1532" spans="1:18" x14ac:dyDescent="0.25">
      <c r="A1532" s="170">
        <v>44972</v>
      </c>
      <c r="B1532" s="116">
        <v>335.4</v>
      </c>
      <c r="C1532" s="116">
        <v>334.7</v>
      </c>
      <c r="D1532" s="116">
        <v>328.15</v>
      </c>
      <c r="E1532" s="116">
        <v>330.05</v>
      </c>
      <c r="F1532" s="116">
        <v>334.7</v>
      </c>
      <c r="G1532">
        <v>49595</v>
      </c>
      <c r="H1532" s="116"/>
      <c r="I1532" s="116"/>
      <c r="L1532" s="170">
        <v>44972</v>
      </c>
      <c r="M1532" s="116">
        <v>334.75</v>
      </c>
      <c r="N1532" s="116">
        <v>335.5</v>
      </c>
      <c r="O1532" s="116">
        <v>328.05</v>
      </c>
      <c r="P1532" s="116">
        <v>331</v>
      </c>
      <c r="Q1532" s="116">
        <v>334.75</v>
      </c>
      <c r="R1532">
        <v>641628</v>
      </c>
    </row>
    <row r="1533" spans="1:18" x14ac:dyDescent="0.25">
      <c r="A1533" s="170">
        <v>44973</v>
      </c>
      <c r="B1533" s="116">
        <v>338.5</v>
      </c>
      <c r="C1533" s="116">
        <v>335.35</v>
      </c>
      <c r="D1533" s="116">
        <v>334</v>
      </c>
      <c r="E1533" s="116">
        <v>334.7</v>
      </c>
      <c r="F1533" s="116">
        <v>335.35</v>
      </c>
      <c r="G1533">
        <v>15176</v>
      </c>
      <c r="H1533" s="116"/>
      <c r="I1533" s="116"/>
      <c r="L1533" s="170">
        <v>44973</v>
      </c>
      <c r="M1533" s="116">
        <v>335.4</v>
      </c>
      <c r="N1533" s="116">
        <v>338.35</v>
      </c>
      <c r="O1533" s="116">
        <v>333.9</v>
      </c>
      <c r="P1533" s="116">
        <v>335</v>
      </c>
      <c r="Q1533" s="116">
        <v>335.4</v>
      </c>
      <c r="R1533">
        <v>563021</v>
      </c>
    </row>
    <row r="1534" spans="1:18" x14ac:dyDescent="0.25">
      <c r="A1534" s="170">
        <v>44974</v>
      </c>
      <c r="B1534" s="116">
        <v>334.35</v>
      </c>
      <c r="C1534" s="116">
        <v>329.05</v>
      </c>
      <c r="D1534" s="116">
        <v>326</v>
      </c>
      <c r="E1534" s="116">
        <v>333.4</v>
      </c>
      <c r="F1534" s="116">
        <v>329.05</v>
      </c>
      <c r="G1534">
        <v>41513</v>
      </c>
      <c r="H1534" s="116"/>
      <c r="I1534" s="116"/>
      <c r="L1534" s="170">
        <v>44974</v>
      </c>
      <c r="M1534" s="116">
        <v>329.05</v>
      </c>
      <c r="N1534" s="116">
        <v>335.4</v>
      </c>
      <c r="O1534" s="116">
        <v>325.8</v>
      </c>
      <c r="P1534" s="116">
        <v>335.4</v>
      </c>
      <c r="Q1534" s="116">
        <v>329.05</v>
      </c>
      <c r="R1534">
        <v>777934</v>
      </c>
    </row>
    <row r="1535" spans="1:18" x14ac:dyDescent="0.25">
      <c r="A1535" s="170">
        <v>44977</v>
      </c>
      <c r="B1535" s="116">
        <v>337.15</v>
      </c>
      <c r="C1535" s="116">
        <v>331.9</v>
      </c>
      <c r="D1535" s="116">
        <v>325.3</v>
      </c>
      <c r="E1535" s="116">
        <v>327.55</v>
      </c>
      <c r="F1535" s="116">
        <v>331.9</v>
      </c>
      <c r="G1535">
        <v>75859</v>
      </c>
      <c r="H1535" s="116"/>
      <c r="I1535" s="116"/>
      <c r="L1535" s="170">
        <v>44977</v>
      </c>
      <c r="M1535" s="116">
        <v>331.5</v>
      </c>
      <c r="N1535" s="116">
        <v>337.2</v>
      </c>
      <c r="O1535" s="116">
        <v>325.14999999999998</v>
      </c>
      <c r="P1535" s="116">
        <v>329.05</v>
      </c>
      <c r="Q1535" s="116">
        <v>331.5</v>
      </c>
      <c r="R1535">
        <v>1130210</v>
      </c>
    </row>
    <row r="1536" spans="1:18" x14ac:dyDescent="0.25">
      <c r="A1536" s="170">
        <v>44978</v>
      </c>
      <c r="B1536" s="116">
        <v>332.55</v>
      </c>
      <c r="C1536" s="116">
        <v>326.89999999999998</v>
      </c>
      <c r="D1536" s="116">
        <v>326.3</v>
      </c>
      <c r="E1536" s="116">
        <v>331.85</v>
      </c>
      <c r="F1536" s="116">
        <v>326.89999999999998</v>
      </c>
      <c r="G1536">
        <v>63820</v>
      </c>
      <c r="H1536" s="116"/>
      <c r="I1536" s="116"/>
      <c r="L1536" s="170">
        <v>44978</v>
      </c>
      <c r="M1536" s="116">
        <v>326.85000000000002</v>
      </c>
      <c r="N1536" s="116">
        <v>332.65</v>
      </c>
      <c r="O1536" s="116">
        <v>326.10000000000002</v>
      </c>
      <c r="P1536" s="116">
        <v>331.3</v>
      </c>
      <c r="Q1536" s="116">
        <v>326.85000000000002</v>
      </c>
      <c r="R1536">
        <v>708327</v>
      </c>
    </row>
    <row r="1537" spans="1:18" x14ac:dyDescent="0.25">
      <c r="A1537" s="170">
        <v>44979</v>
      </c>
      <c r="B1537" s="116">
        <v>328.7</v>
      </c>
      <c r="C1537" s="116">
        <v>317.39999999999998</v>
      </c>
      <c r="D1537" s="116">
        <v>316.89999999999998</v>
      </c>
      <c r="E1537" s="116">
        <v>327</v>
      </c>
      <c r="F1537" s="116">
        <v>317.39999999999998</v>
      </c>
      <c r="G1537">
        <v>145777</v>
      </c>
      <c r="H1537" s="116"/>
      <c r="I1537" s="116"/>
      <c r="L1537" s="170">
        <v>44979</v>
      </c>
      <c r="M1537" s="116">
        <v>317.39999999999998</v>
      </c>
      <c r="N1537" s="116">
        <v>328.95</v>
      </c>
      <c r="O1537" s="116">
        <v>317</v>
      </c>
      <c r="P1537" s="116">
        <v>326.45</v>
      </c>
      <c r="Q1537" s="116">
        <v>317.39999999999998</v>
      </c>
      <c r="R1537">
        <v>1221792</v>
      </c>
    </row>
    <row r="1538" spans="1:18" x14ac:dyDescent="0.25">
      <c r="A1538" s="170">
        <v>44980</v>
      </c>
      <c r="B1538" s="116">
        <v>319.8</v>
      </c>
      <c r="C1538" s="116">
        <v>316.39999999999998</v>
      </c>
      <c r="D1538" s="116">
        <v>314.05</v>
      </c>
      <c r="E1538" s="116">
        <v>319.8</v>
      </c>
      <c r="F1538" s="116">
        <v>316.39999999999998</v>
      </c>
      <c r="G1538">
        <v>89829</v>
      </c>
      <c r="H1538" s="116"/>
      <c r="I1538" s="116"/>
      <c r="L1538" s="170">
        <v>44980</v>
      </c>
      <c r="M1538" s="116">
        <v>316.2</v>
      </c>
      <c r="N1538" s="116">
        <v>319.5</v>
      </c>
      <c r="O1538" s="116">
        <v>313.95</v>
      </c>
      <c r="P1538" s="116">
        <v>318.35000000000002</v>
      </c>
      <c r="Q1538" s="116">
        <v>316.2</v>
      </c>
      <c r="R1538">
        <v>1006771</v>
      </c>
    </row>
    <row r="1539" spans="1:18" x14ac:dyDescent="0.25">
      <c r="A1539" s="170">
        <v>44981</v>
      </c>
      <c r="B1539" s="116">
        <v>320.89999999999998</v>
      </c>
      <c r="C1539" s="116">
        <v>316.64999999999998</v>
      </c>
      <c r="D1539" s="116">
        <v>315.10000000000002</v>
      </c>
      <c r="E1539" s="116">
        <v>316</v>
      </c>
      <c r="F1539" s="116">
        <v>316.64999999999998</v>
      </c>
      <c r="G1539">
        <v>70437</v>
      </c>
      <c r="H1539" s="116"/>
      <c r="I1539" s="116"/>
      <c r="L1539" s="170">
        <v>44981</v>
      </c>
      <c r="M1539" s="116">
        <v>316.89999999999998</v>
      </c>
      <c r="N1539" s="116">
        <v>320.89999999999998</v>
      </c>
      <c r="O1539" s="116">
        <v>315.10000000000002</v>
      </c>
      <c r="P1539" s="116">
        <v>316.05</v>
      </c>
      <c r="Q1539" s="116">
        <v>316.89999999999998</v>
      </c>
      <c r="R1539">
        <v>850232</v>
      </c>
    </row>
    <row r="1540" spans="1:18" x14ac:dyDescent="0.25">
      <c r="A1540" s="170">
        <v>44984</v>
      </c>
      <c r="B1540" s="116">
        <v>316.89999999999998</v>
      </c>
      <c r="C1540" s="116">
        <v>315.05</v>
      </c>
      <c r="D1540" s="116">
        <v>309.85000000000002</v>
      </c>
      <c r="E1540" s="116">
        <v>316.05</v>
      </c>
      <c r="F1540" s="116">
        <v>315.05</v>
      </c>
      <c r="G1540">
        <v>32326</v>
      </c>
      <c r="H1540" s="116"/>
      <c r="I1540" s="116"/>
      <c r="L1540" s="170">
        <v>44984</v>
      </c>
      <c r="M1540" s="116">
        <v>315.14999999999998</v>
      </c>
      <c r="N1540" s="116">
        <v>317.2</v>
      </c>
      <c r="O1540" s="116">
        <v>309.60000000000002</v>
      </c>
      <c r="P1540" s="116">
        <v>316.89999999999998</v>
      </c>
      <c r="Q1540" s="116">
        <v>315.14999999999998</v>
      </c>
      <c r="R1540">
        <v>1161275</v>
      </c>
    </row>
    <row r="1541" spans="1:18" x14ac:dyDescent="0.25">
      <c r="A1541" s="170">
        <v>44985</v>
      </c>
      <c r="B1541" s="116">
        <v>318.14999999999998</v>
      </c>
      <c r="C1541" s="116">
        <v>314.14999999999998</v>
      </c>
      <c r="D1541" s="116">
        <v>312.64999999999998</v>
      </c>
      <c r="E1541" s="116">
        <v>313.14999999999998</v>
      </c>
      <c r="F1541" s="116">
        <v>314.14999999999998</v>
      </c>
      <c r="G1541">
        <v>20775</v>
      </c>
      <c r="H1541" s="116"/>
      <c r="I1541" s="116"/>
      <c r="L1541" s="170">
        <v>44985</v>
      </c>
      <c r="M1541" s="116">
        <v>314.35000000000002</v>
      </c>
      <c r="N1541" s="116">
        <v>318</v>
      </c>
      <c r="O1541" s="116">
        <v>313</v>
      </c>
      <c r="P1541" s="116">
        <v>315.14999999999998</v>
      </c>
      <c r="Q1541" s="116">
        <v>314.35000000000002</v>
      </c>
      <c r="R1541">
        <v>796465</v>
      </c>
    </row>
    <row r="1542" spans="1:18" x14ac:dyDescent="0.25">
      <c r="A1542" s="170">
        <v>44986</v>
      </c>
      <c r="B1542" s="116">
        <v>316.8</v>
      </c>
      <c r="C1542" s="116">
        <v>314.2</v>
      </c>
      <c r="D1542" s="116">
        <v>313.05</v>
      </c>
      <c r="E1542" s="116">
        <v>313.05</v>
      </c>
      <c r="F1542" s="116">
        <v>314.2</v>
      </c>
      <c r="G1542">
        <v>18895</v>
      </c>
      <c r="H1542" s="116"/>
      <c r="I1542" s="116"/>
      <c r="L1542" s="170">
        <v>44986</v>
      </c>
      <c r="M1542" s="116">
        <v>314.14999999999998</v>
      </c>
      <c r="N1542" s="116">
        <v>316.75</v>
      </c>
      <c r="O1542" s="116">
        <v>313.14999999999998</v>
      </c>
      <c r="P1542" s="116">
        <v>314.35000000000002</v>
      </c>
      <c r="Q1542" s="116">
        <v>314.14999999999998</v>
      </c>
      <c r="R1542">
        <v>546856</v>
      </c>
    </row>
    <row r="1543" spans="1:18" x14ac:dyDescent="0.25">
      <c r="A1543" s="170">
        <v>44987</v>
      </c>
      <c r="B1543" s="116">
        <v>314.14999999999998</v>
      </c>
      <c r="C1543" s="116">
        <v>306.5</v>
      </c>
      <c r="D1543" s="116">
        <v>306.05</v>
      </c>
      <c r="E1543" s="116">
        <v>313.55</v>
      </c>
      <c r="F1543" s="116">
        <v>306.5</v>
      </c>
      <c r="G1543">
        <v>87575</v>
      </c>
      <c r="H1543" s="116"/>
      <c r="I1543" s="116"/>
      <c r="L1543" s="170">
        <v>44987</v>
      </c>
      <c r="M1543" s="116">
        <v>306.39999999999998</v>
      </c>
      <c r="N1543" s="116">
        <v>314.89999999999998</v>
      </c>
      <c r="O1543" s="116">
        <v>305.89999999999998</v>
      </c>
      <c r="P1543" s="116">
        <v>314.2</v>
      </c>
      <c r="Q1543" s="116">
        <v>306.39999999999998</v>
      </c>
      <c r="R1543">
        <v>1524562</v>
      </c>
    </row>
    <row r="1544" spans="1:18" x14ac:dyDescent="0.25">
      <c r="A1544" s="170">
        <v>44988</v>
      </c>
      <c r="B1544" s="116">
        <v>314</v>
      </c>
      <c r="C1544" s="116">
        <v>311.89999999999998</v>
      </c>
      <c r="D1544" s="116">
        <v>305.10000000000002</v>
      </c>
      <c r="E1544" s="116">
        <v>307</v>
      </c>
      <c r="F1544" s="116">
        <v>311.89999999999998</v>
      </c>
      <c r="G1544">
        <v>122578</v>
      </c>
      <c r="H1544" s="116"/>
      <c r="I1544" s="116"/>
      <c r="L1544" s="170">
        <v>44988</v>
      </c>
      <c r="M1544" s="116">
        <v>311.89999999999998</v>
      </c>
      <c r="N1544" s="116">
        <v>314.14999999999998</v>
      </c>
      <c r="O1544" s="116">
        <v>305</v>
      </c>
      <c r="P1544" s="116">
        <v>307</v>
      </c>
      <c r="Q1544" s="116">
        <v>311.89999999999998</v>
      </c>
      <c r="R1544">
        <v>1250129</v>
      </c>
    </row>
    <row r="1545" spans="1:18" x14ac:dyDescent="0.25">
      <c r="A1545" s="170">
        <v>44991</v>
      </c>
      <c r="B1545" s="116">
        <v>322.60000000000002</v>
      </c>
      <c r="C1545" s="116">
        <v>320.8</v>
      </c>
      <c r="D1545" s="116">
        <v>311.14999999999998</v>
      </c>
      <c r="E1545" s="116">
        <v>311.14999999999998</v>
      </c>
      <c r="F1545" s="116">
        <v>320.8</v>
      </c>
      <c r="G1545">
        <v>145968</v>
      </c>
      <c r="H1545" s="116"/>
      <c r="I1545" s="116"/>
      <c r="L1545" s="170">
        <v>44991</v>
      </c>
      <c r="M1545" s="116">
        <v>321</v>
      </c>
      <c r="N1545" s="116">
        <v>322.75</v>
      </c>
      <c r="O1545" s="116">
        <v>311.39999999999998</v>
      </c>
      <c r="P1545" s="116">
        <v>312</v>
      </c>
      <c r="Q1545" s="116">
        <v>321</v>
      </c>
      <c r="R1545">
        <v>1510355</v>
      </c>
    </row>
    <row r="1546" spans="1:18" x14ac:dyDescent="0.25">
      <c r="A1546" s="170">
        <v>44993</v>
      </c>
      <c r="B1546" s="116">
        <v>321</v>
      </c>
      <c r="C1546" s="116">
        <v>316.39999999999998</v>
      </c>
      <c r="D1546" s="116">
        <v>314.35000000000002</v>
      </c>
      <c r="E1546" s="116">
        <v>321</v>
      </c>
      <c r="F1546" s="116">
        <v>316.39999999999998</v>
      </c>
      <c r="G1546">
        <v>54748</v>
      </c>
      <c r="H1546" s="116"/>
      <c r="I1546" s="116"/>
      <c r="L1546" s="170">
        <v>44993</v>
      </c>
      <c r="M1546" s="116">
        <v>316.45</v>
      </c>
      <c r="N1546" s="116">
        <v>320.95</v>
      </c>
      <c r="O1546" s="116">
        <v>314.35000000000002</v>
      </c>
      <c r="P1546" s="116">
        <v>320.5</v>
      </c>
      <c r="Q1546" s="116">
        <v>316.45</v>
      </c>
      <c r="R1546">
        <v>991848</v>
      </c>
    </row>
    <row r="1547" spans="1:18" x14ac:dyDescent="0.25">
      <c r="A1547" s="170">
        <v>44994</v>
      </c>
      <c r="B1547" s="116">
        <v>320.60000000000002</v>
      </c>
      <c r="C1547" s="116">
        <v>313.7</v>
      </c>
      <c r="D1547" s="116">
        <v>312.60000000000002</v>
      </c>
      <c r="E1547" s="116">
        <v>317.45</v>
      </c>
      <c r="F1547" s="116">
        <v>313.7</v>
      </c>
      <c r="G1547">
        <v>61853</v>
      </c>
      <c r="H1547" s="116"/>
      <c r="I1547" s="116"/>
      <c r="L1547" s="170">
        <v>44994</v>
      </c>
      <c r="M1547" s="116">
        <v>314.25</v>
      </c>
      <c r="N1547" s="116">
        <v>321.25</v>
      </c>
      <c r="O1547" s="116">
        <v>313</v>
      </c>
      <c r="P1547" s="116">
        <v>316.45</v>
      </c>
      <c r="Q1547" s="116">
        <v>314.25</v>
      </c>
      <c r="R1547">
        <v>1532012</v>
      </c>
    </row>
    <row r="1548" spans="1:18" x14ac:dyDescent="0.25">
      <c r="A1548" s="170">
        <v>44995</v>
      </c>
      <c r="B1548" s="116">
        <v>315.95</v>
      </c>
      <c r="C1548" s="116">
        <v>308.75</v>
      </c>
      <c r="D1548" s="116">
        <v>307.45</v>
      </c>
      <c r="E1548" s="116">
        <v>315.95</v>
      </c>
      <c r="F1548" s="116">
        <v>308.75</v>
      </c>
      <c r="G1548">
        <v>41341</v>
      </c>
      <c r="H1548" s="116"/>
      <c r="I1548" s="116"/>
      <c r="L1548" s="170">
        <v>44995</v>
      </c>
      <c r="M1548" s="116">
        <v>308.8</v>
      </c>
      <c r="N1548" s="116">
        <v>314.25</v>
      </c>
      <c r="O1548" s="116">
        <v>307.10000000000002</v>
      </c>
      <c r="P1548" s="116">
        <v>314.25</v>
      </c>
      <c r="Q1548" s="116">
        <v>308.8</v>
      </c>
      <c r="R1548">
        <v>1403128</v>
      </c>
    </row>
    <row r="1549" spans="1:18" x14ac:dyDescent="0.25">
      <c r="A1549" s="170">
        <v>44998</v>
      </c>
      <c r="B1549" s="116">
        <v>310.55</v>
      </c>
      <c r="C1549" s="116">
        <v>303.89999999999998</v>
      </c>
      <c r="D1549" s="116">
        <v>301.85000000000002</v>
      </c>
      <c r="E1549" s="116">
        <v>310</v>
      </c>
      <c r="F1549" s="116">
        <v>303.89999999999998</v>
      </c>
      <c r="G1549">
        <v>55276</v>
      </c>
      <c r="H1549" s="116"/>
      <c r="I1549" s="116"/>
      <c r="L1549" s="170">
        <v>44998</v>
      </c>
      <c r="M1549" s="116">
        <v>304.35000000000002</v>
      </c>
      <c r="N1549" s="116">
        <v>310.60000000000002</v>
      </c>
      <c r="O1549" s="116">
        <v>301.8</v>
      </c>
      <c r="P1549" s="116">
        <v>308.89999999999998</v>
      </c>
      <c r="Q1549" s="116">
        <v>304.35000000000002</v>
      </c>
      <c r="R1549">
        <v>1464443</v>
      </c>
    </row>
    <row r="1550" spans="1:18" x14ac:dyDescent="0.25">
      <c r="A1550" s="170">
        <v>44999</v>
      </c>
      <c r="B1550" s="116">
        <v>307.7</v>
      </c>
      <c r="C1550" s="116">
        <v>305.35000000000002</v>
      </c>
      <c r="D1550" s="116">
        <v>300.35000000000002</v>
      </c>
      <c r="E1550" s="116">
        <v>303.05</v>
      </c>
      <c r="F1550" s="116">
        <v>305.35000000000002</v>
      </c>
      <c r="G1550">
        <v>63010</v>
      </c>
      <c r="H1550" s="116"/>
      <c r="I1550" s="116"/>
      <c r="L1550" s="170">
        <v>44999</v>
      </c>
      <c r="M1550" s="116">
        <v>305.3</v>
      </c>
      <c r="N1550" s="116">
        <v>307.75</v>
      </c>
      <c r="O1550" s="116">
        <v>300.25</v>
      </c>
      <c r="P1550" s="116">
        <v>305.35000000000002</v>
      </c>
      <c r="Q1550" s="116">
        <v>305.3</v>
      </c>
      <c r="R1550">
        <v>1495689</v>
      </c>
    </row>
    <row r="1551" spans="1:18" x14ac:dyDescent="0.25">
      <c r="A1551" s="170">
        <v>45000</v>
      </c>
      <c r="B1551" s="116">
        <v>310.75</v>
      </c>
      <c r="C1551" s="116">
        <v>305.35000000000002</v>
      </c>
      <c r="D1551" s="116">
        <v>304.75</v>
      </c>
      <c r="E1551" s="116">
        <v>306</v>
      </c>
      <c r="F1551" s="116">
        <v>305.35000000000002</v>
      </c>
      <c r="G1551">
        <v>114804</v>
      </c>
      <c r="H1551" s="116"/>
      <c r="I1551" s="116"/>
      <c r="L1551" s="170">
        <v>45000</v>
      </c>
      <c r="M1551" s="116">
        <v>305.45</v>
      </c>
      <c r="N1551" s="116">
        <v>310.75</v>
      </c>
      <c r="O1551" s="116">
        <v>304.39999999999998</v>
      </c>
      <c r="P1551" s="116">
        <v>306.2</v>
      </c>
      <c r="Q1551" s="116">
        <v>305.45</v>
      </c>
      <c r="R1551">
        <v>1233329</v>
      </c>
    </row>
    <row r="1552" spans="1:18" x14ac:dyDescent="0.25">
      <c r="A1552" s="170">
        <v>45001</v>
      </c>
      <c r="B1552" s="116">
        <v>310.8</v>
      </c>
      <c r="C1552" s="116">
        <v>305.85000000000002</v>
      </c>
      <c r="D1552" s="116">
        <v>304.3</v>
      </c>
      <c r="E1552" s="116">
        <v>305.7</v>
      </c>
      <c r="F1552" s="116">
        <v>305.85000000000002</v>
      </c>
      <c r="G1552">
        <v>49081</v>
      </c>
      <c r="H1552" s="116"/>
      <c r="I1552" s="116"/>
      <c r="L1552" s="170">
        <v>45001</v>
      </c>
      <c r="M1552" s="116">
        <v>305.75</v>
      </c>
      <c r="N1552" s="116">
        <v>311.10000000000002</v>
      </c>
      <c r="O1552" s="116">
        <v>304</v>
      </c>
      <c r="P1552" s="116">
        <v>305.05</v>
      </c>
      <c r="Q1552" s="116">
        <v>305.75</v>
      </c>
      <c r="R1552">
        <v>1212826</v>
      </c>
    </row>
    <row r="1553" spans="1:18" x14ac:dyDescent="0.25">
      <c r="A1553" s="170">
        <v>45002</v>
      </c>
      <c r="B1553" s="116">
        <v>309</v>
      </c>
      <c r="C1553" s="116">
        <v>303.05</v>
      </c>
      <c r="D1553" s="116">
        <v>301.35000000000002</v>
      </c>
      <c r="E1553" s="116">
        <v>308.95</v>
      </c>
      <c r="F1553" s="116">
        <v>303.05</v>
      </c>
      <c r="G1553">
        <v>87511</v>
      </c>
      <c r="H1553" s="116"/>
      <c r="I1553" s="116"/>
      <c r="L1553" s="170">
        <v>45002</v>
      </c>
      <c r="M1553" s="116">
        <v>303.14999999999998</v>
      </c>
      <c r="N1553" s="116">
        <v>308.95</v>
      </c>
      <c r="O1553" s="116">
        <v>301.3</v>
      </c>
      <c r="P1553" s="116">
        <v>307</v>
      </c>
      <c r="Q1553" s="116">
        <v>303.14999999999998</v>
      </c>
      <c r="R1553">
        <v>1039809</v>
      </c>
    </row>
    <row r="1554" spans="1:18" x14ac:dyDescent="0.25">
      <c r="A1554" s="170">
        <v>45005</v>
      </c>
      <c r="B1554" s="116">
        <v>304</v>
      </c>
      <c r="C1554" s="116">
        <v>302.39999999999998</v>
      </c>
      <c r="D1554" s="116">
        <v>298.5</v>
      </c>
      <c r="E1554" s="116">
        <v>303</v>
      </c>
      <c r="F1554" s="116">
        <v>302.39999999999998</v>
      </c>
      <c r="G1554">
        <v>66997</v>
      </c>
      <c r="H1554" s="116"/>
      <c r="I1554" s="116"/>
      <c r="L1554" s="170">
        <v>45005</v>
      </c>
      <c r="M1554" s="116">
        <v>302.5</v>
      </c>
      <c r="N1554" s="116">
        <v>304.14999999999998</v>
      </c>
      <c r="O1554" s="116">
        <v>298.5</v>
      </c>
      <c r="P1554" s="116">
        <v>302</v>
      </c>
      <c r="Q1554" s="116">
        <v>302.5</v>
      </c>
      <c r="R1554">
        <v>1170574</v>
      </c>
    </row>
    <row r="1555" spans="1:18" x14ac:dyDescent="0.25">
      <c r="A1555" s="170">
        <v>45006</v>
      </c>
      <c r="B1555" s="116">
        <v>306.60000000000002</v>
      </c>
      <c r="C1555" s="116">
        <v>305.25</v>
      </c>
      <c r="D1555" s="116">
        <v>298</v>
      </c>
      <c r="E1555" s="116">
        <v>300.14999999999998</v>
      </c>
      <c r="F1555" s="116">
        <v>305.25</v>
      </c>
      <c r="G1555">
        <v>26498</v>
      </c>
      <c r="H1555" s="116"/>
      <c r="I1555" s="116"/>
      <c r="L1555" s="170">
        <v>45006</v>
      </c>
      <c r="M1555" s="116">
        <v>305.35000000000002</v>
      </c>
      <c r="N1555" s="116">
        <v>306.5</v>
      </c>
      <c r="O1555" s="116">
        <v>298.85000000000002</v>
      </c>
      <c r="P1555" s="116">
        <v>299</v>
      </c>
      <c r="Q1555" s="116">
        <v>305.35000000000002</v>
      </c>
      <c r="R1555">
        <v>1082230</v>
      </c>
    </row>
    <row r="1556" spans="1:18" x14ac:dyDescent="0.25">
      <c r="A1556" s="170">
        <v>45007</v>
      </c>
      <c r="B1556" s="116">
        <v>307.2</v>
      </c>
      <c r="C1556" s="116">
        <v>305.2</v>
      </c>
      <c r="D1556" s="116">
        <v>304</v>
      </c>
      <c r="E1556" s="116">
        <v>306</v>
      </c>
      <c r="F1556" s="116">
        <v>305.2</v>
      </c>
      <c r="G1556">
        <v>21033</v>
      </c>
      <c r="H1556" s="116"/>
      <c r="I1556" s="116"/>
      <c r="L1556" s="170">
        <v>45007</v>
      </c>
      <c r="M1556" s="116">
        <v>305.2</v>
      </c>
      <c r="N1556" s="116">
        <v>307.3</v>
      </c>
      <c r="O1556" s="116">
        <v>303.75</v>
      </c>
      <c r="P1556" s="116">
        <v>306</v>
      </c>
      <c r="Q1556" s="116">
        <v>305.2</v>
      </c>
      <c r="R1556">
        <v>648526</v>
      </c>
    </row>
    <row r="1557" spans="1:18" x14ac:dyDescent="0.25">
      <c r="A1557" s="170">
        <v>45008</v>
      </c>
      <c r="B1557" s="116">
        <v>306.7</v>
      </c>
      <c r="C1557" s="116">
        <v>303.05</v>
      </c>
      <c r="D1557" s="116">
        <v>302.35000000000002</v>
      </c>
      <c r="E1557" s="116">
        <v>305</v>
      </c>
      <c r="F1557" s="116">
        <v>303.05</v>
      </c>
      <c r="G1557">
        <v>83130</v>
      </c>
      <c r="H1557" s="116"/>
      <c r="I1557" s="116"/>
      <c r="L1557" s="170">
        <v>45008</v>
      </c>
      <c r="M1557" s="116">
        <v>303.2</v>
      </c>
      <c r="N1557" s="116">
        <v>306.89999999999998</v>
      </c>
      <c r="O1557" s="116">
        <v>302.14999999999998</v>
      </c>
      <c r="P1557" s="116">
        <v>305.85000000000002</v>
      </c>
      <c r="Q1557" s="116">
        <v>303.2</v>
      </c>
      <c r="R1557">
        <v>734526</v>
      </c>
    </row>
    <row r="1558" spans="1:18" x14ac:dyDescent="0.25">
      <c r="A1558" s="170">
        <v>45009</v>
      </c>
      <c r="B1558" s="116">
        <v>304.45</v>
      </c>
      <c r="C1558" s="116">
        <v>299.14999999999998</v>
      </c>
      <c r="D1558" s="116">
        <v>298.10000000000002</v>
      </c>
      <c r="E1558" s="116">
        <v>301</v>
      </c>
      <c r="F1558" s="116">
        <v>299.14999999999998</v>
      </c>
      <c r="G1558">
        <v>27436</v>
      </c>
      <c r="H1558" s="116"/>
      <c r="I1558" s="116"/>
      <c r="L1558" s="170">
        <v>45009</v>
      </c>
      <c r="M1558" s="116">
        <v>299.35000000000002</v>
      </c>
      <c r="N1558" s="116">
        <v>304.75</v>
      </c>
      <c r="O1558" s="116">
        <v>298</v>
      </c>
      <c r="P1558" s="116">
        <v>303.2</v>
      </c>
      <c r="Q1558" s="116">
        <v>299.35000000000002</v>
      </c>
      <c r="R1558">
        <v>1094973</v>
      </c>
    </row>
    <row r="1559" spans="1:18" x14ac:dyDescent="0.25">
      <c r="A1559" s="170">
        <v>45012</v>
      </c>
      <c r="B1559" s="116">
        <v>301.64999999999998</v>
      </c>
      <c r="C1559" s="116">
        <v>298.39999999999998</v>
      </c>
      <c r="D1559" s="116">
        <v>295</v>
      </c>
      <c r="E1559" s="116">
        <v>299.95</v>
      </c>
      <c r="F1559" s="116">
        <v>298.39999999999998</v>
      </c>
      <c r="G1559">
        <v>68421</v>
      </c>
      <c r="H1559" s="116"/>
      <c r="I1559" s="116"/>
      <c r="L1559" s="170">
        <v>45012</v>
      </c>
      <c r="M1559" s="116">
        <v>297.8</v>
      </c>
      <c r="N1559" s="116">
        <v>301.7</v>
      </c>
      <c r="O1559" s="116">
        <v>295</v>
      </c>
      <c r="P1559" s="116">
        <v>299.35000000000002</v>
      </c>
      <c r="Q1559" s="116">
        <v>297.8</v>
      </c>
      <c r="R1559">
        <v>1724856</v>
      </c>
    </row>
    <row r="1560" spans="1:18" x14ac:dyDescent="0.25">
      <c r="A1560" s="170">
        <v>45013</v>
      </c>
      <c r="B1560" s="116">
        <v>298.5</v>
      </c>
      <c r="C1560" s="116">
        <v>289.64999999999998</v>
      </c>
      <c r="D1560" s="116">
        <v>289</v>
      </c>
      <c r="E1560" s="116">
        <v>296.05</v>
      </c>
      <c r="F1560" s="116">
        <v>289.64999999999998</v>
      </c>
      <c r="G1560">
        <v>146826</v>
      </c>
      <c r="H1560" s="116"/>
      <c r="I1560" s="116"/>
      <c r="L1560" s="170">
        <v>45013</v>
      </c>
      <c r="M1560" s="116">
        <v>289.75</v>
      </c>
      <c r="N1560" s="116">
        <v>298.8</v>
      </c>
      <c r="O1560" s="116">
        <v>288.8</v>
      </c>
      <c r="P1560" s="116">
        <v>297.8</v>
      </c>
      <c r="Q1560" s="116">
        <v>289.75</v>
      </c>
      <c r="R1560">
        <v>1505740</v>
      </c>
    </row>
    <row r="1561" spans="1:18" x14ac:dyDescent="0.25">
      <c r="A1561" s="170">
        <v>45014</v>
      </c>
      <c r="B1561" s="116">
        <v>297.95</v>
      </c>
      <c r="C1561" s="116">
        <v>296.7</v>
      </c>
      <c r="D1561" s="116">
        <v>286.8</v>
      </c>
      <c r="E1561" s="116">
        <v>289.5</v>
      </c>
      <c r="F1561" s="116">
        <v>296.7</v>
      </c>
      <c r="G1561">
        <v>77566</v>
      </c>
      <c r="H1561" s="116"/>
      <c r="I1561" s="116"/>
      <c r="L1561" s="170">
        <v>45014</v>
      </c>
      <c r="M1561" s="116">
        <v>297.05</v>
      </c>
      <c r="N1561" s="116">
        <v>297.89999999999998</v>
      </c>
      <c r="O1561" s="116">
        <v>286</v>
      </c>
      <c r="P1561" s="116">
        <v>288.85000000000002</v>
      </c>
      <c r="Q1561" s="116">
        <v>297.05</v>
      </c>
      <c r="R1561">
        <v>2051696</v>
      </c>
    </row>
    <row r="1562" spans="1:18" x14ac:dyDescent="0.25">
      <c r="A1562" s="170">
        <v>45016</v>
      </c>
      <c r="B1562" s="116">
        <v>301.75</v>
      </c>
      <c r="C1562" s="116">
        <v>293</v>
      </c>
      <c r="D1562" s="116">
        <v>291.60000000000002</v>
      </c>
      <c r="E1562" s="116">
        <v>297.95</v>
      </c>
      <c r="F1562" s="116">
        <v>293</v>
      </c>
      <c r="G1562">
        <v>80174</v>
      </c>
      <c r="H1562" s="116"/>
      <c r="I1562" s="116"/>
      <c r="L1562" s="170">
        <v>45016</v>
      </c>
      <c r="M1562" s="116">
        <v>292.95</v>
      </c>
      <c r="N1562" s="116">
        <v>301.60000000000002</v>
      </c>
      <c r="O1562" s="116">
        <v>291</v>
      </c>
      <c r="P1562" s="116">
        <v>297.05</v>
      </c>
      <c r="Q1562" s="116">
        <v>292.95</v>
      </c>
      <c r="R1562">
        <v>3089556</v>
      </c>
    </row>
    <row r="1563" spans="1:18" x14ac:dyDescent="0.25">
      <c r="A1563" s="170">
        <v>45019</v>
      </c>
      <c r="B1563" s="116">
        <v>305</v>
      </c>
      <c r="C1563" s="116">
        <v>304.60000000000002</v>
      </c>
      <c r="D1563" s="116">
        <v>293.3</v>
      </c>
      <c r="E1563" s="116">
        <v>296.35000000000002</v>
      </c>
      <c r="F1563" s="116">
        <v>304.60000000000002</v>
      </c>
      <c r="G1563">
        <v>151931</v>
      </c>
      <c r="H1563" s="116"/>
      <c r="I1563" s="116"/>
      <c r="L1563" s="170">
        <v>45019</v>
      </c>
      <c r="M1563" s="116">
        <v>304.64999999999998</v>
      </c>
      <c r="N1563" s="116">
        <v>305.2</v>
      </c>
      <c r="O1563" s="116">
        <v>293.55</v>
      </c>
      <c r="P1563" s="116">
        <v>295.05</v>
      </c>
      <c r="Q1563" s="116">
        <v>304.64999999999998</v>
      </c>
      <c r="R1563">
        <v>1767319</v>
      </c>
    </row>
    <row r="1564" spans="1:18" x14ac:dyDescent="0.25">
      <c r="A1564" s="170">
        <v>45021</v>
      </c>
      <c r="B1564" s="116">
        <v>307.2</v>
      </c>
      <c r="C1564" s="116">
        <v>305.75</v>
      </c>
      <c r="D1564" s="116">
        <v>302.35000000000002</v>
      </c>
      <c r="E1564" s="116">
        <v>304.64999999999998</v>
      </c>
      <c r="F1564" s="116">
        <v>305.75</v>
      </c>
      <c r="G1564">
        <v>29643</v>
      </c>
      <c r="H1564" s="116"/>
      <c r="I1564" s="116"/>
      <c r="L1564" s="170">
        <v>45021</v>
      </c>
      <c r="M1564" s="116">
        <v>305.8</v>
      </c>
      <c r="N1564" s="116">
        <v>307</v>
      </c>
      <c r="O1564" s="116">
        <v>302.10000000000002</v>
      </c>
      <c r="P1564" s="116">
        <v>305.3</v>
      </c>
      <c r="Q1564" s="116">
        <v>305.8</v>
      </c>
      <c r="R1564">
        <v>1509491</v>
      </c>
    </row>
    <row r="1565" spans="1:18" x14ac:dyDescent="0.25">
      <c r="A1565" s="170">
        <v>45022</v>
      </c>
      <c r="B1565" s="116">
        <v>308.60000000000002</v>
      </c>
      <c r="C1565" s="116">
        <v>304.45</v>
      </c>
      <c r="D1565" s="116">
        <v>303.39999999999998</v>
      </c>
      <c r="E1565" s="116">
        <v>306</v>
      </c>
      <c r="F1565" s="116">
        <v>304.45</v>
      </c>
      <c r="G1565">
        <v>33270</v>
      </c>
      <c r="H1565" s="116"/>
      <c r="I1565" s="116"/>
      <c r="L1565" s="170">
        <v>45022</v>
      </c>
      <c r="M1565" s="116">
        <v>304.55</v>
      </c>
      <c r="N1565" s="116">
        <v>308.60000000000002</v>
      </c>
      <c r="O1565" s="116">
        <v>303.64999999999998</v>
      </c>
      <c r="P1565" s="116">
        <v>306</v>
      </c>
      <c r="Q1565" s="116">
        <v>304.55</v>
      </c>
      <c r="R1565">
        <v>1142775</v>
      </c>
    </row>
    <row r="1566" spans="1:18" x14ac:dyDescent="0.25">
      <c r="A1566" s="170">
        <v>45026</v>
      </c>
      <c r="B1566" s="116">
        <v>306.64999999999998</v>
      </c>
      <c r="C1566" s="116">
        <v>304.10000000000002</v>
      </c>
      <c r="D1566" s="116">
        <v>300.8</v>
      </c>
      <c r="E1566" s="116">
        <v>305</v>
      </c>
      <c r="F1566" s="116">
        <v>304.10000000000002</v>
      </c>
      <c r="G1566">
        <v>46261</v>
      </c>
      <c r="H1566" s="116"/>
      <c r="I1566" s="116"/>
      <c r="L1566" s="170">
        <v>45026</v>
      </c>
      <c r="M1566" s="116">
        <v>304.14999999999998</v>
      </c>
      <c r="N1566" s="116">
        <v>306.5</v>
      </c>
      <c r="O1566" s="116">
        <v>300.64999999999998</v>
      </c>
      <c r="P1566" s="116">
        <v>305</v>
      </c>
      <c r="Q1566" s="116">
        <v>304.14999999999998</v>
      </c>
      <c r="R1566">
        <v>1021922</v>
      </c>
    </row>
    <row r="1567" spans="1:18" x14ac:dyDescent="0.25">
      <c r="A1567" s="170">
        <v>45027</v>
      </c>
      <c r="B1567" s="116">
        <v>307.85000000000002</v>
      </c>
      <c r="C1567" s="116">
        <v>302.5</v>
      </c>
      <c r="D1567" s="116">
        <v>300.5</v>
      </c>
      <c r="E1567" s="116">
        <v>305</v>
      </c>
      <c r="F1567" s="116">
        <v>302.5</v>
      </c>
      <c r="G1567">
        <v>34788</v>
      </c>
      <c r="H1567" s="116"/>
      <c r="I1567" s="116"/>
      <c r="L1567" s="170">
        <v>45027</v>
      </c>
      <c r="M1567" s="116">
        <v>302.05</v>
      </c>
      <c r="N1567" s="116">
        <v>307.8</v>
      </c>
      <c r="O1567" s="116">
        <v>300.45</v>
      </c>
      <c r="P1567" s="116">
        <v>304.14999999999998</v>
      </c>
      <c r="Q1567" s="116">
        <v>302.05</v>
      </c>
      <c r="R1567">
        <v>1374476</v>
      </c>
    </row>
    <row r="1568" spans="1:18" x14ac:dyDescent="0.25">
      <c r="A1568" s="170">
        <v>45028</v>
      </c>
      <c r="B1568" s="116">
        <v>328.9</v>
      </c>
      <c r="C1568" s="116">
        <v>323</v>
      </c>
      <c r="D1568" s="116">
        <v>299.7</v>
      </c>
      <c r="E1568" s="116">
        <v>302.60000000000002</v>
      </c>
      <c r="F1568" s="116">
        <v>323</v>
      </c>
      <c r="G1568">
        <v>672885</v>
      </c>
      <c r="H1568" s="116"/>
      <c r="I1568" s="116"/>
      <c r="L1568" s="170">
        <v>45028</v>
      </c>
      <c r="M1568" s="116">
        <v>323.10000000000002</v>
      </c>
      <c r="N1568" s="116">
        <v>328.9</v>
      </c>
      <c r="O1568" s="116">
        <v>299.55</v>
      </c>
      <c r="P1568" s="116">
        <v>302.05</v>
      </c>
      <c r="Q1568" s="116">
        <v>323.10000000000002</v>
      </c>
      <c r="R1568">
        <v>15047067</v>
      </c>
    </row>
    <row r="1569" spans="1:18" x14ac:dyDescent="0.25">
      <c r="A1569" s="170">
        <v>45029</v>
      </c>
      <c r="B1569" s="116">
        <v>327.25</v>
      </c>
      <c r="C1569" s="116">
        <v>313.89999999999998</v>
      </c>
      <c r="D1569" s="116">
        <v>313.3</v>
      </c>
      <c r="E1569" s="116">
        <v>327</v>
      </c>
      <c r="F1569" s="116">
        <v>313.89999999999998</v>
      </c>
      <c r="G1569">
        <v>204774</v>
      </c>
      <c r="H1569" s="116"/>
      <c r="I1569" s="116"/>
      <c r="L1569" s="170">
        <v>45029</v>
      </c>
      <c r="M1569" s="116">
        <v>313.89999999999998</v>
      </c>
      <c r="N1569" s="116">
        <v>327.14999999999998</v>
      </c>
      <c r="O1569" s="116">
        <v>313.25</v>
      </c>
      <c r="P1569" s="116">
        <v>326.3</v>
      </c>
      <c r="Q1569" s="116">
        <v>313.89999999999998</v>
      </c>
      <c r="R1569">
        <v>6345281</v>
      </c>
    </row>
    <row r="1570" spans="1:18" x14ac:dyDescent="0.25">
      <c r="A1570" s="170">
        <v>45033</v>
      </c>
      <c r="B1570" s="116">
        <v>314.35000000000002</v>
      </c>
      <c r="C1570" s="116">
        <v>304.8</v>
      </c>
      <c r="D1570" s="116">
        <v>302.10000000000002</v>
      </c>
      <c r="E1570" s="116">
        <v>313.8</v>
      </c>
      <c r="F1570" s="116">
        <v>304.8</v>
      </c>
      <c r="G1570">
        <v>190164</v>
      </c>
      <c r="H1570" s="116"/>
      <c r="I1570" s="116"/>
      <c r="L1570" s="170">
        <v>45033</v>
      </c>
      <c r="M1570" s="116">
        <v>304.60000000000002</v>
      </c>
      <c r="N1570" s="116">
        <v>315</v>
      </c>
      <c r="O1570" s="116">
        <v>302.10000000000002</v>
      </c>
      <c r="P1570" s="116">
        <v>314</v>
      </c>
      <c r="Q1570" s="116">
        <v>304.60000000000002</v>
      </c>
      <c r="R1570">
        <v>3207244</v>
      </c>
    </row>
    <row r="1571" spans="1:18" x14ac:dyDescent="0.25">
      <c r="A1571" s="170">
        <v>45034</v>
      </c>
      <c r="B1571" s="116">
        <v>312</v>
      </c>
      <c r="C1571" s="116">
        <v>309.25</v>
      </c>
      <c r="D1571" s="116">
        <v>300.10000000000002</v>
      </c>
      <c r="E1571" s="116">
        <v>304.8</v>
      </c>
      <c r="F1571" s="116">
        <v>309.25</v>
      </c>
      <c r="G1571">
        <v>270547</v>
      </c>
      <c r="H1571" s="116"/>
      <c r="I1571" s="116"/>
      <c r="L1571" s="170">
        <v>45034</v>
      </c>
      <c r="M1571" s="116">
        <v>309.3</v>
      </c>
      <c r="N1571" s="116">
        <v>312.2</v>
      </c>
      <c r="O1571" s="116">
        <v>300.05</v>
      </c>
      <c r="P1571" s="116">
        <v>304.5</v>
      </c>
      <c r="Q1571" s="116">
        <v>309.3</v>
      </c>
      <c r="R1571">
        <v>3917807</v>
      </c>
    </row>
    <row r="1572" spans="1:18" x14ac:dyDescent="0.25">
      <c r="A1572" s="170">
        <v>45035</v>
      </c>
      <c r="B1572" s="116">
        <v>316.55</v>
      </c>
      <c r="C1572" s="116">
        <v>311.85000000000002</v>
      </c>
      <c r="D1572" s="116">
        <v>307.5</v>
      </c>
      <c r="E1572" s="116">
        <v>310.05</v>
      </c>
      <c r="F1572" s="116">
        <v>311.85000000000002</v>
      </c>
      <c r="G1572">
        <v>147492</v>
      </c>
      <c r="H1572" s="116"/>
      <c r="I1572" s="116"/>
      <c r="L1572" s="170">
        <v>45035</v>
      </c>
      <c r="M1572" s="116">
        <v>311.95</v>
      </c>
      <c r="N1572" s="116">
        <v>316.5</v>
      </c>
      <c r="O1572" s="116">
        <v>307.25</v>
      </c>
      <c r="P1572" s="116">
        <v>310.75</v>
      </c>
      <c r="Q1572" s="116">
        <v>311.95</v>
      </c>
      <c r="R1572">
        <v>3472810</v>
      </c>
    </row>
    <row r="1573" spans="1:18" x14ac:dyDescent="0.25">
      <c r="A1573" s="170">
        <v>45036</v>
      </c>
      <c r="B1573" s="116">
        <v>312.14999999999998</v>
      </c>
      <c r="C1573" s="116">
        <v>306.3</v>
      </c>
      <c r="D1573" s="116">
        <v>305.10000000000002</v>
      </c>
      <c r="E1573" s="116">
        <v>311.89999999999998</v>
      </c>
      <c r="F1573" s="116">
        <v>306.3</v>
      </c>
      <c r="G1573">
        <v>90230</v>
      </c>
      <c r="H1573" s="116"/>
      <c r="I1573" s="116"/>
      <c r="L1573" s="170">
        <v>45036</v>
      </c>
      <c r="M1573" s="116">
        <v>306.3</v>
      </c>
      <c r="N1573" s="116">
        <v>312.8</v>
      </c>
      <c r="O1573" s="116">
        <v>305.05</v>
      </c>
      <c r="P1573" s="116">
        <v>312.55</v>
      </c>
      <c r="Q1573" s="116">
        <v>306.3</v>
      </c>
      <c r="R1573">
        <v>2289820</v>
      </c>
    </row>
    <row r="1574" spans="1:18" x14ac:dyDescent="0.25">
      <c r="A1574" s="170">
        <v>45037</v>
      </c>
      <c r="B1574" s="116">
        <v>309.55</v>
      </c>
      <c r="C1574" s="116">
        <v>303.05</v>
      </c>
      <c r="D1574" s="116">
        <v>302.45</v>
      </c>
      <c r="E1574" s="116">
        <v>309.55</v>
      </c>
      <c r="F1574" s="116">
        <v>303.05</v>
      </c>
      <c r="G1574">
        <v>178008</v>
      </c>
      <c r="H1574" s="116"/>
      <c r="I1574" s="116"/>
      <c r="L1574" s="170">
        <v>45037</v>
      </c>
      <c r="M1574" s="116">
        <v>303</v>
      </c>
      <c r="N1574" s="116">
        <v>308</v>
      </c>
      <c r="O1574" s="116">
        <v>302.5</v>
      </c>
      <c r="P1574" s="116">
        <v>307</v>
      </c>
      <c r="Q1574" s="116">
        <v>303</v>
      </c>
      <c r="R1574">
        <v>1939931</v>
      </c>
    </row>
    <row r="1575" spans="1:18" x14ac:dyDescent="0.25">
      <c r="A1575" s="170">
        <v>45040</v>
      </c>
      <c r="B1575" s="116">
        <v>305</v>
      </c>
      <c r="C1575" s="116">
        <v>298.14999999999998</v>
      </c>
      <c r="D1575" s="116">
        <v>293.75</v>
      </c>
      <c r="E1575" s="116">
        <v>304.95</v>
      </c>
      <c r="F1575" s="116">
        <v>298.14999999999998</v>
      </c>
      <c r="G1575">
        <v>230480</v>
      </c>
      <c r="H1575" s="116"/>
      <c r="I1575" s="116"/>
      <c r="L1575" s="170">
        <v>45040</v>
      </c>
      <c r="M1575" s="116">
        <v>298.14999999999998</v>
      </c>
      <c r="N1575" s="116">
        <v>304.8</v>
      </c>
      <c r="O1575" s="116">
        <v>293.75</v>
      </c>
      <c r="P1575" s="116">
        <v>304.10000000000002</v>
      </c>
      <c r="Q1575" s="116">
        <v>298.14999999999998</v>
      </c>
      <c r="R1575">
        <v>2830415</v>
      </c>
    </row>
    <row r="1576" spans="1:18" x14ac:dyDescent="0.25">
      <c r="A1576" s="170">
        <v>45041</v>
      </c>
      <c r="B1576" s="116">
        <v>298.75</v>
      </c>
      <c r="C1576" s="116">
        <v>295.45</v>
      </c>
      <c r="D1576" s="116">
        <v>290.95</v>
      </c>
      <c r="E1576" s="116">
        <v>298.75</v>
      </c>
      <c r="F1576" s="116">
        <v>295.45</v>
      </c>
      <c r="G1576">
        <v>231783</v>
      </c>
      <c r="H1576" s="116"/>
      <c r="I1576" s="116"/>
      <c r="L1576" s="170">
        <v>45041</v>
      </c>
      <c r="M1576" s="116">
        <v>295.5</v>
      </c>
      <c r="N1576" s="116">
        <v>298.05</v>
      </c>
      <c r="O1576" s="116">
        <v>291.10000000000002</v>
      </c>
      <c r="P1576" s="116">
        <v>298</v>
      </c>
      <c r="Q1576" s="116">
        <v>295.5</v>
      </c>
      <c r="R1576">
        <v>2569295</v>
      </c>
    </row>
    <row r="1577" spans="1:18" x14ac:dyDescent="0.25">
      <c r="A1577" s="170">
        <v>45042</v>
      </c>
      <c r="B1577" s="116">
        <v>303</v>
      </c>
      <c r="C1577" s="116">
        <v>300.05</v>
      </c>
      <c r="D1577" s="116">
        <v>292.3</v>
      </c>
      <c r="E1577" s="116">
        <v>296</v>
      </c>
      <c r="F1577" s="116">
        <v>300.05</v>
      </c>
      <c r="G1577">
        <v>64812</v>
      </c>
      <c r="H1577" s="116"/>
      <c r="I1577" s="116"/>
      <c r="L1577" s="170">
        <v>45042</v>
      </c>
      <c r="M1577" s="116">
        <v>300</v>
      </c>
      <c r="N1577" s="116">
        <v>302.89999999999998</v>
      </c>
      <c r="O1577" s="116">
        <v>292.60000000000002</v>
      </c>
      <c r="P1577" s="116">
        <v>296.05</v>
      </c>
      <c r="Q1577" s="116">
        <v>300</v>
      </c>
      <c r="R1577">
        <v>2461607</v>
      </c>
    </row>
    <row r="1578" spans="1:18" x14ac:dyDescent="0.25">
      <c r="A1578" s="170">
        <v>45043</v>
      </c>
      <c r="B1578" s="116">
        <v>304.5</v>
      </c>
      <c r="C1578" s="116">
        <v>292.25</v>
      </c>
      <c r="D1578" s="116">
        <v>287.05</v>
      </c>
      <c r="E1578" s="116">
        <v>302</v>
      </c>
      <c r="F1578" s="116">
        <v>292.25</v>
      </c>
      <c r="G1578">
        <v>561367</v>
      </c>
      <c r="H1578" s="116"/>
      <c r="I1578" s="116"/>
      <c r="L1578" s="170">
        <v>45043</v>
      </c>
      <c r="M1578" s="116">
        <v>292.05</v>
      </c>
      <c r="N1578" s="116">
        <v>304.5</v>
      </c>
      <c r="O1578" s="116">
        <v>287.3</v>
      </c>
      <c r="P1578" s="116">
        <v>301.8</v>
      </c>
      <c r="Q1578" s="116">
        <v>292.05</v>
      </c>
      <c r="R1578">
        <v>7456550</v>
      </c>
    </row>
    <row r="1579" spans="1:18" x14ac:dyDescent="0.25">
      <c r="A1579" s="170">
        <v>45044</v>
      </c>
      <c r="B1579" s="116">
        <v>311.39999999999998</v>
      </c>
      <c r="C1579" s="116">
        <v>307.64999999999998</v>
      </c>
      <c r="D1579" s="116">
        <v>279.64999999999998</v>
      </c>
      <c r="E1579" s="116">
        <v>280</v>
      </c>
      <c r="F1579" s="116">
        <v>307.64999999999998</v>
      </c>
      <c r="G1579">
        <v>840759</v>
      </c>
      <c r="H1579" s="116"/>
      <c r="I1579" s="116"/>
      <c r="L1579" s="170">
        <v>45044</v>
      </c>
      <c r="M1579" s="116">
        <v>307.60000000000002</v>
      </c>
      <c r="N1579" s="116">
        <v>311.39999999999998</v>
      </c>
      <c r="O1579" s="116">
        <v>278.85000000000002</v>
      </c>
      <c r="P1579" s="116">
        <v>280</v>
      </c>
      <c r="Q1579" s="116">
        <v>307.60000000000002</v>
      </c>
      <c r="R1579">
        <v>15852450</v>
      </c>
    </row>
    <row r="1580" spans="1:18" x14ac:dyDescent="0.25">
      <c r="A1580" s="170">
        <v>45048</v>
      </c>
      <c r="B1580" s="116">
        <v>317.85000000000002</v>
      </c>
      <c r="C1580" s="116">
        <v>311.14999999999998</v>
      </c>
      <c r="D1580" s="116">
        <v>306</v>
      </c>
      <c r="E1580" s="116">
        <v>309.60000000000002</v>
      </c>
      <c r="F1580" s="116">
        <v>311.14999999999998</v>
      </c>
      <c r="G1580">
        <v>287859</v>
      </c>
      <c r="H1580" s="116"/>
      <c r="I1580" s="116"/>
      <c r="L1580" s="170">
        <v>45048</v>
      </c>
      <c r="M1580" s="116">
        <v>311.60000000000002</v>
      </c>
      <c r="N1580" s="116">
        <v>317.89999999999998</v>
      </c>
      <c r="O1580" s="116">
        <v>307.39999999999998</v>
      </c>
      <c r="P1580" s="116">
        <v>308</v>
      </c>
      <c r="Q1580" s="116">
        <v>311.60000000000002</v>
      </c>
      <c r="R1580">
        <v>4552472</v>
      </c>
    </row>
    <row r="1581" spans="1:18" x14ac:dyDescent="0.25">
      <c r="A1581" s="170">
        <v>45049</v>
      </c>
      <c r="B1581" s="116">
        <v>322.95</v>
      </c>
      <c r="C1581" s="116">
        <v>321.10000000000002</v>
      </c>
      <c r="D1581" s="116">
        <v>311.60000000000002</v>
      </c>
      <c r="E1581" s="116">
        <v>312.05</v>
      </c>
      <c r="F1581" s="116">
        <v>321.10000000000002</v>
      </c>
      <c r="G1581">
        <v>116595</v>
      </c>
      <c r="H1581" s="116"/>
      <c r="I1581" s="116"/>
      <c r="L1581" s="170">
        <v>45049</v>
      </c>
      <c r="M1581" s="116">
        <v>321</v>
      </c>
      <c r="N1581" s="116">
        <v>322.95</v>
      </c>
      <c r="O1581" s="116">
        <v>311.14999999999998</v>
      </c>
      <c r="P1581" s="116">
        <v>312.7</v>
      </c>
      <c r="Q1581" s="116">
        <v>321</v>
      </c>
      <c r="R1581">
        <v>3142993</v>
      </c>
    </row>
    <row r="1582" spans="1:18" x14ac:dyDescent="0.25">
      <c r="A1582" s="170">
        <v>45050</v>
      </c>
      <c r="B1582" s="116">
        <v>325</v>
      </c>
      <c r="C1582" s="116">
        <v>319.10000000000002</v>
      </c>
      <c r="D1582" s="116">
        <v>317</v>
      </c>
      <c r="E1582" s="116">
        <v>324.8</v>
      </c>
      <c r="F1582" s="116">
        <v>319.10000000000002</v>
      </c>
      <c r="G1582">
        <v>177332</v>
      </c>
      <c r="H1582" s="116"/>
      <c r="I1582" s="116"/>
      <c r="L1582" s="170">
        <v>45050</v>
      </c>
      <c r="M1582" s="116">
        <v>318.95</v>
      </c>
      <c r="N1582" s="116">
        <v>325</v>
      </c>
      <c r="O1582" s="116">
        <v>317</v>
      </c>
      <c r="P1582" s="116">
        <v>322.95</v>
      </c>
      <c r="Q1582" s="116">
        <v>318.95</v>
      </c>
      <c r="R1582">
        <v>1972368</v>
      </c>
    </row>
    <row r="1583" spans="1:18" x14ac:dyDescent="0.25">
      <c r="A1583" s="170">
        <v>45051</v>
      </c>
      <c r="B1583" s="116">
        <v>319.64999999999998</v>
      </c>
      <c r="C1583" s="116">
        <v>315.39999999999998</v>
      </c>
      <c r="D1583" s="116">
        <v>314.35000000000002</v>
      </c>
      <c r="E1583" s="116">
        <v>319</v>
      </c>
      <c r="F1583" s="116">
        <v>315.39999999999998</v>
      </c>
      <c r="G1583">
        <v>123955</v>
      </c>
      <c r="H1583" s="116"/>
      <c r="I1583" s="116"/>
      <c r="L1583" s="170">
        <v>45051</v>
      </c>
      <c r="M1583" s="116">
        <v>315.55</v>
      </c>
      <c r="N1583" s="116">
        <v>319.60000000000002</v>
      </c>
      <c r="O1583" s="116">
        <v>314.3</v>
      </c>
      <c r="P1583" s="116">
        <v>318.95</v>
      </c>
      <c r="Q1583" s="116">
        <v>315.55</v>
      </c>
      <c r="R1583">
        <v>1186954</v>
      </c>
    </row>
    <row r="1584" spans="1:18" x14ac:dyDescent="0.25">
      <c r="A1584" s="170">
        <v>45054</v>
      </c>
      <c r="B1584" s="116">
        <v>332.15</v>
      </c>
      <c r="C1584" s="116">
        <v>330.25</v>
      </c>
      <c r="D1584" s="116">
        <v>315</v>
      </c>
      <c r="E1584" s="116">
        <v>319</v>
      </c>
      <c r="F1584" s="116">
        <v>330.25</v>
      </c>
      <c r="G1584">
        <v>113323</v>
      </c>
      <c r="H1584" s="116"/>
      <c r="I1584" s="116"/>
      <c r="L1584" s="170">
        <v>45054</v>
      </c>
      <c r="M1584" s="116">
        <v>330.1</v>
      </c>
      <c r="N1584" s="116">
        <v>332.45</v>
      </c>
      <c r="O1584" s="116">
        <v>314.89999999999998</v>
      </c>
      <c r="P1584" s="116">
        <v>316</v>
      </c>
      <c r="Q1584" s="116">
        <v>330.1</v>
      </c>
      <c r="R1584">
        <v>3735876</v>
      </c>
    </row>
    <row r="1585" spans="1:18" x14ac:dyDescent="0.25">
      <c r="A1585" s="170">
        <v>45055</v>
      </c>
      <c r="B1585" s="116">
        <v>335.7</v>
      </c>
      <c r="C1585" s="116">
        <v>334.3</v>
      </c>
      <c r="D1585" s="116">
        <v>326.25</v>
      </c>
      <c r="E1585" s="116">
        <v>330.25</v>
      </c>
      <c r="F1585" s="116">
        <v>334.3</v>
      </c>
      <c r="G1585">
        <v>254326</v>
      </c>
      <c r="H1585" s="116"/>
      <c r="I1585" s="116"/>
      <c r="L1585" s="170">
        <v>45055</v>
      </c>
      <c r="M1585" s="116">
        <v>334.15</v>
      </c>
      <c r="N1585" s="116">
        <v>335.9</v>
      </c>
      <c r="O1585" s="116">
        <v>326.39999999999998</v>
      </c>
      <c r="P1585" s="116">
        <v>330.1</v>
      </c>
      <c r="Q1585" s="116">
        <v>334.15</v>
      </c>
      <c r="R1585">
        <v>3152122</v>
      </c>
    </row>
    <row r="1586" spans="1:18" x14ac:dyDescent="0.25">
      <c r="A1586" s="170">
        <v>45056</v>
      </c>
      <c r="B1586" s="116">
        <v>336.3</v>
      </c>
      <c r="C1586" s="116">
        <v>332.4</v>
      </c>
      <c r="D1586" s="116">
        <v>326.39999999999998</v>
      </c>
      <c r="E1586" s="116">
        <v>335.3</v>
      </c>
      <c r="F1586" s="116">
        <v>332.4</v>
      </c>
      <c r="G1586">
        <v>121819</v>
      </c>
      <c r="H1586" s="116"/>
      <c r="I1586" s="116"/>
      <c r="L1586" s="170">
        <v>45056</v>
      </c>
      <c r="M1586" s="116">
        <v>332.55</v>
      </c>
      <c r="N1586" s="116">
        <v>336.05</v>
      </c>
      <c r="O1586" s="116">
        <v>326</v>
      </c>
      <c r="P1586" s="116">
        <v>335.9</v>
      </c>
      <c r="Q1586" s="116">
        <v>332.55</v>
      </c>
      <c r="R1586">
        <v>2020975</v>
      </c>
    </row>
    <row r="1587" spans="1:18" x14ac:dyDescent="0.25">
      <c r="A1587" s="170">
        <v>45057</v>
      </c>
      <c r="B1587" s="116">
        <v>334.7</v>
      </c>
      <c r="C1587" s="116">
        <v>321.39999999999998</v>
      </c>
      <c r="D1587" s="116">
        <v>299.3</v>
      </c>
      <c r="E1587" s="116">
        <v>333.95</v>
      </c>
      <c r="F1587" s="116">
        <v>321.39999999999998</v>
      </c>
      <c r="G1587">
        <v>314874</v>
      </c>
      <c r="H1587" s="116"/>
      <c r="I1587" s="116"/>
      <c r="L1587" s="170">
        <v>45057</v>
      </c>
      <c r="M1587" s="116">
        <v>321.45</v>
      </c>
      <c r="N1587" s="116">
        <v>334.65</v>
      </c>
      <c r="O1587" s="116">
        <v>299.3</v>
      </c>
      <c r="P1587" s="116">
        <v>333</v>
      </c>
      <c r="Q1587" s="116">
        <v>321.45</v>
      </c>
      <c r="R1587">
        <v>8695614</v>
      </c>
    </row>
    <row r="1588" spans="1:18" x14ac:dyDescent="0.25">
      <c r="A1588" s="170">
        <v>45058</v>
      </c>
      <c r="B1588" s="116">
        <v>321.55</v>
      </c>
      <c r="C1588" s="116">
        <v>310.64999999999998</v>
      </c>
      <c r="D1588" s="116">
        <v>308.25</v>
      </c>
      <c r="E1588" s="116">
        <v>321.39999999999998</v>
      </c>
      <c r="F1588" s="116">
        <v>310.64999999999998</v>
      </c>
      <c r="G1588">
        <v>98089</v>
      </c>
      <c r="H1588" s="116"/>
      <c r="I1588" s="116"/>
      <c r="L1588" s="170">
        <v>45058</v>
      </c>
      <c r="M1588" s="116">
        <v>310.64999999999998</v>
      </c>
      <c r="N1588" s="116">
        <v>322.2</v>
      </c>
      <c r="O1588" s="116">
        <v>308.14999999999998</v>
      </c>
      <c r="P1588" s="116">
        <v>322</v>
      </c>
      <c r="Q1588" s="116">
        <v>310.64999999999998</v>
      </c>
      <c r="R1588">
        <v>4334715</v>
      </c>
    </row>
    <row r="1589" spans="1:18" x14ac:dyDescent="0.25">
      <c r="A1589" s="170">
        <v>45061</v>
      </c>
      <c r="B1589" s="116">
        <v>315.5</v>
      </c>
      <c r="C1589" s="116">
        <v>311.3</v>
      </c>
      <c r="D1589" s="116">
        <v>306.60000000000002</v>
      </c>
      <c r="E1589" s="116">
        <v>309.64999999999998</v>
      </c>
      <c r="F1589" s="116">
        <v>311.3</v>
      </c>
      <c r="G1589">
        <v>112636</v>
      </c>
      <c r="H1589" s="116"/>
      <c r="I1589" s="116"/>
      <c r="L1589" s="170">
        <v>45061</v>
      </c>
      <c r="M1589" s="116">
        <v>311.35000000000002</v>
      </c>
      <c r="N1589" s="116">
        <v>315.5</v>
      </c>
      <c r="O1589" s="116">
        <v>306.5</v>
      </c>
      <c r="P1589" s="116">
        <v>309.95</v>
      </c>
      <c r="Q1589" s="116">
        <v>311.35000000000002</v>
      </c>
      <c r="R1589">
        <v>2478819</v>
      </c>
    </row>
    <row r="1590" spans="1:18" x14ac:dyDescent="0.25">
      <c r="A1590" s="170">
        <v>45062</v>
      </c>
      <c r="B1590" s="116">
        <v>319.8</v>
      </c>
      <c r="C1590" s="116">
        <v>315</v>
      </c>
      <c r="D1590" s="116">
        <v>311.35000000000002</v>
      </c>
      <c r="E1590" s="116">
        <v>311.35000000000002</v>
      </c>
      <c r="F1590" s="116">
        <v>315</v>
      </c>
      <c r="G1590">
        <v>60555</v>
      </c>
      <c r="H1590" s="116"/>
      <c r="I1590" s="116"/>
      <c r="L1590" s="170">
        <v>45062</v>
      </c>
      <c r="M1590" s="116">
        <v>315</v>
      </c>
      <c r="N1590" s="116">
        <v>319.85000000000002</v>
      </c>
      <c r="O1590" s="116">
        <v>312</v>
      </c>
      <c r="P1590" s="116">
        <v>312</v>
      </c>
      <c r="Q1590" s="116">
        <v>315</v>
      </c>
      <c r="R1590">
        <v>2095952</v>
      </c>
    </row>
    <row r="1591" spans="1:18" x14ac:dyDescent="0.25">
      <c r="A1591" s="170">
        <v>45063</v>
      </c>
      <c r="B1591" s="116">
        <v>317.05</v>
      </c>
      <c r="C1591" s="116">
        <v>312</v>
      </c>
      <c r="D1591" s="116">
        <v>309.5</v>
      </c>
      <c r="E1591" s="116">
        <v>315.10000000000002</v>
      </c>
      <c r="F1591" s="116">
        <v>312</v>
      </c>
      <c r="G1591">
        <v>80170</v>
      </c>
      <c r="H1591" s="116"/>
      <c r="I1591" s="116"/>
      <c r="L1591" s="170">
        <v>45063</v>
      </c>
      <c r="M1591" s="116">
        <v>311.85000000000002</v>
      </c>
      <c r="N1591" s="116">
        <v>317.39999999999998</v>
      </c>
      <c r="O1591" s="116">
        <v>309.55</v>
      </c>
      <c r="P1591" s="116">
        <v>316</v>
      </c>
      <c r="Q1591" s="116">
        <v>311.85000000000002</v>
      </c>
      <c r="R1591">
        <v>1184452</v>
      </c>
    </row>
    <row r="1592" spans="1:18" x14ac:dyDescent="0.25">
      <c r="A1592" s="170">
        <v>45064</v>
      </c>
      <c r="B1592" s="116">
        <v>317</v>
      </c>
      <c r="C1592" s="116">
        <v>310.3</v>
      </c>
      <c r="D1592" s="116">
        <v>309.35000000000002</v>
      </c>
      <c r="E1592" s="116">
        <v>313.05</v>
      </c>
      <c r="F1592" s="116">
        <v>310.3</v>
      </c>
      <c r="G1592">
        <v>78068</v>
      </c>
      <c r="H1592" s="116"/>
      <c r="I1592" s="116"/>
      <c r="L1592" s="170">
        <v>45064</v>
      </c>
      <c r="M1592" s="116">
        <v>310.39999999999998</v>
      </c>
      <c r="N1592" s="116">
        <v>316.95</v>
      </c>
      <c r="O1592" s="116">
        <v>309.45</v>
      </c>
      <c r="P1592" s="116">
        <v>313.85000000000002</v>
      </c>
      <c r="Q1592" s="116">
        <v>310.39999999999998</v>
      </c>
      <c r="R1592">
        <v>1160609</v>
      </c>
    </row>
    <row r="1593" spans="1:18" x14ac:dyDescent="0.25">
      <c r="A1593" s="170">
        <v>45065</v>
      </c>
      <c r="B1593" s="116">
        <v>313.7</v>
      </c>
      <c r="C1593" s="116">
        <v>312.45</v>
      </c>
      <c r="D1593" s="116">
        <v>307.35000000000002</v>
      </c>
      <c r="E1593" s="116">
        <v>312.85000000000002</v>
      </c>
      <c r="F1593" s="116">
        <v>312.45</v>
      </c>
      <c r="G1593">
        <v>32802</v>
      </c>
      <c r="H1593" s="116"/>
      <c r="I1593" s="116"/>
      <c r="L1593" s="170">
        <v>45065</v>
      </c>
      <c r="M1593" s="116">
        <v>312.39999999999998</v>
      </c>
      <c r="N1593" s="116">
        <v>313.85000000000002</v>
      </c>
      <c r="O1593" s="116">
        <v>307</v>
      </c>
      <c r="P1593" s="116">
        <v>312.45</v>
      </c>
      <c r="Q1593" s="116">
        <v>312.39999999999998</v>
      </c>
      <c r="R1593">
        <v>929453</v>
      </c>
    </row>
    <row r="1594" spans="1:18" x14ac:dyDescent="0.25">
      <c r="A1594" s="170">
        <v>45068</v>
      </c>
      <c r="B1594" s="116">
        <v>314.95</v>
      </c>
      <c r="C1594" s="116">
        <v>311.89999999999998</v>
      </c>
      <c r="D1594" s="116">
        <v>309.95</v>
      </c>
      <c r="E1594" s="116">
        <v>310.14999999999998</v>
      </c>
      <c r="F1594" s="116">
        <v>311.89999999999998</v>
      </c>
      <c r="G1594">
        <v>92018</v>
      </c>
      <c r="H1594" s="116"/>
      <c r="I1594" s="116"/>
      <c r="L1594" s="170">
        <v>45068</v>
      </c>
      <c r="M1594" s="116">
        <v>312.10000000000002</v>
      </c>
      <c r="N1594" s="116">
        <v>314.95</v>
      </c>
      <c r="O1594" s="116">
        <v>309.60000000000002</v>
      </c>
      <c r="P1594" s="116">
        <v>312</v>
      </c>
      <c r="Q1594" s="116">
        <v>312.10000000000002</v>
      </c>
      <c r="R1594">
        <v>1106701</v>
      </c>
    </row>
    <row r="1595" spans="1:18" x14ac:dyDescent="0.25">
      <c r="A1595" s="170">
        <v>45069</v>
      </c>
      <c r="B1595" s="116">
        <v>317.89999999999998</v>
      </c>
      <c r="C1595" s="116">
        <v>314.85000000000002</v>
      </c>
      <c r="D1595" s="116">
        <v>311.55</v>
      </c>
      <c r="E1595" s="116">
        <v>314.95</v>
      </c>
      <c r="F1595" s="116">
        <v>314.85000000000002</v>
      </c>
      <c r="G1595">
        <v>45497</v>
      </c>
      <c r="H1595" s="116"/>
      <c r="I1595" s="116"/>
      <c r="L1595" s="170">
        <v>45069</v>
      </c>
      <c r="M1595" s="116">
        <v>314.45</v>
      </c>
      <c r="N1595" s="116">
        <v>317.85000000000002</v>
      </c>
      <c r="O1595" s="116">
        <v>311.55</v>
      </c>
      <c r="P1595" s="116">
        <v>313</v>
      </c>
      <c r="Q1595" s="116">
        <v>314.45</v>
      </c>
      <c r="R1595">
        <v>1409566</v>
      </c>
    </row>
    <row r="1596" spans="1:18" x14ac:dyDescent="0.25">
      <c r="A1596" s="170">
        <v>45070</v>
      </c>
      <c r="B1596" s="116">
        <v>340.8</v>
      </c>
      <c r="C1596" s="116">
        <v>334.55</v>
      </c>
      <c r="D1596" s="116">
        <v>314.2</v>
      </c>
      <c r="E1596" s="116">
        <v>316.89999999999998</v>
      </c>
      <c r="F1596" s="116">
        <v>334.55</v>
      </c>
      <c r="G1596">
        <v>599244</v>
      </c>
      <c r="H1596" s="116"/>
      <c r="I1596" s="116"/>
      <c r="L1596" s="170">
        <v>45070</v>
      </c>
      <c r="M1596" s="116">
        <v>334.8</v>
      </c>
      <c r="N1596" s="116">
        <v>341.05</v>
      </c>
      <c r="O1596" s="116">
        <v>314.10000000000002</v>
      </c>
      <c r="P1596" s="116">
        <v>315.60000000000002</v>
      </c>
      <c r="Q1596" s="116">
        <v>334.8</v>
      </c>
      <c r="R1596">
        <v>8546304</v>
      </c>
    </row>
    <row r="1597" spans="1:18" x14ac:dyDescent="0.25">
      <c r="A1597" s="170">
        <v>45071</v>
      </c>
      <c r="B1597" s="116">
        <v>338.1</v>
      </c>
      <c r="C1597" s="116">
        <v>332.95</v>
      </c>
      <c r="D1597" s="116">
        <v>330.75</v>
      </c>
      <c r="E1597" s="116">
        <v>335</v>
      </c>
      <c r="F1597" s="116">
        <v>332.95</v>
      </c>
      <c r="G1597">
        <v>78524</v>
      </c>
      <c r="H1597" s="116"/>
      <c r="I1597" s="116"/>
      <c r="L1597" s="170">
        <v>45071</v>
      </c>
      <c r="M1597" s="116">
        <v>333.4</v>
      </c>
      <c r="N1597" s="116">
        <v>338.15</v>
      </c>
      <c r="O1597" s="116">
        <v>330.55</v>
      </c>
      <c r="P1597" s="116">
        <v>334.8</v>
      </c>
      <c r="Q1597" s="116">
        <v>333.4</v>
      </c>
      <c r="R1597">
        <v>2420869</v>
      </c>
    </row>
    <row r="1598" spans="1:18" x14ac:dyDescent="0.25">
      <c r="A1598" s="170">
        <v>45072</v>
      </c>
      <c r="B1598" s="116">
        <v>336</v>
      </c>
      <c r="C1598" s="116">
        <v>335.1</v>
      </c>
      <c r="D1598" s="116">
        <v>330.1</v>
      </c>
      <c r="E1598" s="116">
        <v>333</v>
      </c>
      <c r="F1598" s="116">
        <v>335.1</v>
      </c>
      <c r="G1598">
        <v>54852</v>
      </c>
      <c r="H1598" s="116"/>
      <c r="I1598" s="116"/>
      <c r="L1598" s="170">
        <v>45072</v>
      </c>
      <c r="M1598" s="116">
        <v>334.85</v>
      </c>
      <c r="N1598" s="116">
        <v>335.85</v>
      </c>
      <c r="O1598" s="116">
        <v>330</v>
      </c>
      <c r="P1598" s="116">
        <v>334.25</v>
      </c>
      <c r="Q1598" s="116">
        <v>334.85</v>
      </c>
      <c r="R1598">
        <v>1433355</v>
      </c>
    </row>
    <row r="1599" spans="1:18" x14ac:dyDescent="0.25">
      <c r="A1599" s="170">
        <v>45075</v>
      </c>
      <c r="B1599" s="116">
        <v>337</v>
      </c>
      <c r="C1599" s="116">
        <v>334.55</v>
      </c>
      <c r="D1599" s="116">
        <v>331.85</v>
      </c>
      <c r="E1599" s="116">
        <v>335.95</v>
      </c>
      <c r="F1599" s="116">
        <v>334.55</v>
      </c>
      <c r="G1599">
        <v>110987</v>
      </c>
      <c r="H1599" s="116"/>
      <c r="I1599" s="116"/>
      <c r="L1599" s="170">
        <v>45075</v>
      </c>
      <c r="M1599" s="116">
        <v>334.65</v>
      </c>
      <c r="N1599" s="116">
        <v>337</v>
      </c>
      <c r="O1599" s="116">
        <v>332.05</v>
      </c>
      <c r="P1599" s="116">
        <v>334.85</v>
      </c>
      <c r="Q1599" s="116">
        <v>334.65</v>
      </c>
      <c r="R1599">
        <v>932053</v>
      </c>
    </row>
    <row r="1600" spans="1:18" x14ac:dyDescent="0.25">
      <c r="A1600" s="170">
        <v>45076</v>
      </c>
      <c r="B1600" s="116">
        <v>337.45</v>
      </c>
      <c r="C1600" s="116">
        <v>331.75</v>
      </c>
      <c r="D1600" s="116">
        <v>329.1</v>
      </c>
      <c r="E1600" s="116">
        <v>334.7</v>
      </c>
      <c r="F1600" s="116">
        <v>331.75</v>
      </c>
      <c r="G1600">
        <v>49283</v>
      </c>
      <c r="H1600" s="116"/>
      <c r="I1600" s="116"/>
      <c r="L1600" s="170">
        <v>45076</v>
      </c>
      <c r="M1600" s="116">
        <v>331.75</v>
      </c>
      <c r="N1600" s="116">
        <v>337.7</v>
      </c>
      <c r="O1600" s="116">
        <v>328.95</v>
      </c>
      <c r="P1600" s="116">
        <v>336.4</v>
      </c>
      <c r="Q1600" s="116">
        <v>331.75</v>
      </c>
      <c r="R1600">
        <v>1257964</v>
      </c>
    </row>
    <row r="1601" spans="1:18" x14ac:dyDescent="0.25">
      <c r="A1601" s="170">
        <v>45077</v>
      </c>
      <c r="B1601" s="116">
        <v>336.7</v>
      </c>
      <c r="C1601" s="116">
        <v>330.55</v>
      </c>
      <c r="D1601" s="116">
        <v>330</v>
      </c>
      <c r="E1601" s="116">
        <v>332</v>
      </c>
      <c r="F1601" s="116">
        <v>330.55</v>
      </c>
      <c r="G1601">
        <v>106852</v>
      </c>
      <c r="H1601" s="116"/>
      <c r="I1601" s="116"/>
      <c r="L1601" s="170">
        <v>45077</v>
      </c>
      <c r="M1601" s="116">
        <v>330.7</v>
      </c>
      <c r="N1601" s="116">
        <v>336.5</v>
      </c>
      <c r="O1601" s="116">
        <v>330</v>
      </c>
      <c r="P1601" s="116">
        <v>332</v>
      </c>
      <c r="Q1601" s="116">
        <v>330.7</v>
      </c>
      <c r="R1601">
        <v>1157152</v>
      </c>
    </row>
    <row r="1602" spans="1:18" x14ac:dyDescent="0.25">
      <c r="A1602" s="170">
        <v>45078</v>
      </c>
      <c r="B1602" s="116">
        <v>345</v>
      </c>
      <c r="C1602" s="116">
        <v>340.35</v>
      </c>
      <c r="D1602" s="116">
        <v>333</v>
      </c>
      <c r="E1602" s="116">
        <v>333</v>
      </c>
      <c r="F1602" s="116">
        <v>340.35</v>
      </c>
      <c r="G1602">
        <v>230254</v>
      </c>
      <c r="H1602" s="116"/>
      <c r="I1602" s="116"/>
      <c r="L1602" s="170">
        <v>45078</v>
      </c>
      <c r="M1602" s="116">
        <v>340.5</v>
      </c>
      <c r="N1602" s="116">
        <v>345</v>
      </c>
      <c r="O1602" s="116">
        <v>333.05</v>
      </c>
      <c r="P1602" s="116">
        <v>334.65</v>
      </c>
      <c r="Q1602" s="116">
        <v>340.5</v>
      </c>
      <c r="R1602">
        <v>6986665</v>
      </c>
    </row>
    <row r="1603" spans="1:18" x14ac:dyDescent="0.25">
      <c r="A1603" s="170">
        <v>45079</v>
      </c>
      <c r="B1603" s="116">
        <v>350.2</v>
      </c>
      <c r="C1603" s="116">
        <v>347.35</v>
      </c>
      <c r="D1603" s="116">
        <v>338.55</v>
      </c>
      <c r="E1603" s="116">
        <v>344.75</v>
      </c>
      <c r="F1603" s="116">
        <v>347.35</v>
      </c>
      <c r="G1603">
        <v>110358</v>
      </c>
      <c r="H1603" s="116"/>
      <c r="I1603" s="116"/>
      <c r="L1603" s="170">
        <v>45079</v>
      </c>
      <c r="M1603" s="116">
        <v>346.05</v>
      </c>
      <c r="N1603" s="116">
        <v>347</v>
      </c>
      <c r="O1603" s="116">
        <v>338.5</v>
      </c>
      <c r="P1603" s="116">
        <v>342.45</v>
      </c>
      <c r="Q1603" s="116">
        <v>346.05</v>
      </c>
      <c r="R1603">
        <v>2932962</v>
      </c>
    </row>
    <row r="1604" spans="1:18" x14ac:dyDescent="0.25">
      <c r="A1604" s="170">
        <v>45082</v>
      </c>
      <c r="B1604" s="116">
        <v>349.8</v>
      </c>
      <c r="C1604" s="116">
        <v>341.6</v>
      </c>
      <c r="D1604" s="116">
        <v>340.5</v>
      </c>
      <c r="E1604" s="116">
        <v>348</v>
      </c>
      <c r="F1604" s="116">
        <v>341.6</v>
      </c>
      <c r="G1604">
        <v>163697</v>
      </c>
      <c r="H1604" s="116"/>
      <c r="I1604" s="116"/>
      <c r="L1604" s="170">
        <v>45082</v>
      </c>
      <c r="M1604" s="116">
        <v>341.65</v>
      </c>
      <c r="N1604" s="116">
        <v>349.35</v>
      </c>
      <c r="O1604" s="116">
        <v>340.5</v>
      </c>
      <c r="P1604" s="116">
        <v>348</v>
      </c>
      <c r="Q1604" s="116">
        <v>341.65</v>
      </c>
      <c r="R1604">
        <v>1621295</v>
      </c>
    </row>
    <row r="1605" spans="1:18" x14ac:dyDescent="0.25">
      <c r="A1605" s="170">
        <v>45083</v>
      </c>
      <c r="B1605" s="116">
        <v>343</v>
      </c>
      <c r="C1605" s="116">
        <v>342</v>
      </c>
      <c r="D1605" s="116">
        <v>335.85</v>
      </c>
      <c r="E1605" s="116">
        <v>342.25</v>
      </c>
      <c r="F1605" s="116">
        <v>342</v>
      </c>
      <c r="G1605">
        <v>54714</v>
      </c>
      <c r="H1605" s="116"/>
      <c r="I1605" s="116"/>
      <c r="L1605" s="170">
        <v>45083</v>
      </c>
      <c r="M1605" s="116">
        <v>342.05</v>
      </c>
      <c r="N1605" s="116">
        <v>343.4</v>
      </c>
      <c r="O1605" s="116">
        <v>335.6</v>
      </c>
      <c r="P1605" s="116">
        <v>343.4</v>
      </c>
      <c r="Q1605" s="116">
        <v>342.05</v>
      </c>
      <c r="R1605">
        <v>1115441</v>
      </c>
    </row>
    <row r="1606" spans="1:18" x14ac:dyDescent="0.25">
      <c r="A1606" s="170">
        <v>45084</v>
      </c>
      <c r="B1606" s="116">
        <v>350.5</v>
      </c>
      <c r="C1606" s="116">
        <v>348.5</v>
      </c>
      <c r="D1606" s="116">
        <v>341.45</v>
      </c>
      <c r="E1606" s="116">
        <v>342.1</v>
      </c>
      <c r="F1606" s="116">
        <v>348.5</v>
      </c>
      <c r="G1606">
        <v>64096</v>
      </c>
      <c r="H1606" s="116"/>
      <c r="I1606" s="116"/>
      <c r="L1606" s="170">
        <v>45084</v>
      </c>
      <c r="M1606" s="116">
        <v>348.85</v>
      </c>
      <c r="N1606" s="116">
        <v>350.5</v>
      </c>
      <c r="O1606" s="116">
        <v>341.5</v>
      </c>
      <c r="P1606" s="116">
        <v>343</v>
      </c>
      <c r="Q1606" s="116">
        <v>348.85</v>
      </c>
      <c r="R1606">
        <v>2044259</v>
      </c>
    </row>
    <row r="1607" spans="1:18" x14ac:dyDescent="0.25">
      <c r="A1607" s="170">
        <v>45085</v>
      </c>
      <c r="B1607" s="116">
        <v>352.25</v>
      </c>
      <c r="C1607" s="116">
        <v>346.95</v>
      </c>
      <c r="D1607" s="116">
        <v>343.3</v>
      </c>
      <c r="E1607" s="116">
        <v>350</v>
      </c>
      <c r="F1607" s="116">
        <v>346.95</v>
      </c>
      <c r="G1607">
        <v>60514</v>
      </c>
      <c r="H1607" s="116"/>
      <c r="I1607" s="116"/>
      <c r="L1607" s="170">
        <v>45085</v>
      </c>
      <c r="M1607" s="116">
        <v>347.15</v>
      </c>
      <c r="N1607" s="116">
        <v>352.15</v>
      </c>
      <c r="O1607" s="116">
        <v>343.25</v>
      </c>
      <c r="P1607" s="116">
        <v>349.5</v>
      </c>
      <c r="Q1607" s="116">
        <v>347.15</v>
      </c>
      <c r="R1607">
        <v>2518174</v>
      </c>
    </row>
    <row r="1608" spans="1:18" x14ac:dyDescent="0.25">
      <c r="A1608" s="170">
        <v>45086</v>
      </c>
      <c r="B1608" s="116">
        <v>350.5</v>
      </c>
      <c r="C1608" s="116">
        <v>340.9</v>
      </c>
      <c r="D1608" s="116">
        <v>339</v>
      </c>
      <c r="E1608" s="116">
        <v>347</v>
      </c>
      <c r="F1608" s="116">
        <v>340.9</v>
      </c>
      <c r="G1608">
        <v>46649</v>
      </c>
      <c r="H1608" s="116"/>
      <c r="I1608" s="116"/>
      <c r="L1608" s="170">
        <v>45086</v>
      </c>
      <c r="M1608" s="116">
        <v>340.5</v>
      </c>
      <c r="N1608" s="116">
        <v>350.9</v>
      </c>
      <c r="O1608" s="116">
        <v>338.75</v>
      </c>
      <c r="P1608" s="116">
        <v>347.15</v>
      </c>
      <c r="Q1608" s="116">
        <v>340.5</v>
      </c>
      <c r="R1608">
        <v>1487708</v>
      </c>
    </row>
    <row r="1609" spans="1:18" x14ac:dyDescent="0.25">
      <c r="A1609" s="170">
        <v>45089</v>
      </c>
      <c r="B1609" s="116">
        <v>346.75</v>
      </c>
      <c r="C1609" s="116">
        <v>343.6</v>
      </c>
      <c r="D1609" s="116">
        <v>324.95</v>
      </c>
      <c r="E1609" s="116">
        <v>334.5</v>
      </c>
      <c r="F1609" s="116">
        <v>343.6</v>
      </c>
      <c r="G1609">
        <v>163925</v>
      </c>
      <c r="H1609" s="116"/>
      <c r="I1609" s="116"/>
      <c r="L1609" s="170">
        <v>45089</v>
      </c>
      <c r="M1609" s="116">
        <v>343.4</v>
      </c>
      <c r="N1609" s="116">
        <v>346.95</v>
      </c>
      <c r="O1609" s="116">
        <v>325.3</v>
      </c>
      <c r="P1609" s="116">
        <v>331.5</v>
      </c>
      <c r="Q1609" s="116">
        <v>343.4</v>
      </c>
      <c r="R1609">
        <v>2729906</v>
      </c>
    </row>
    <row r="1610" spans="1:18" x14ac:dyDescent="0.25">
      <c r="A1610" s="170">
        <v>45090</v>
      </c>
      <c r="B1610" s="116">
        <v>361.35</v>
      </c>
      <c r="C1610" s="116">
        <v>359.8</v>
      </c>
      <c r="D1610" s="116">
        <v>343.2</v>
      </c>
      <c r="E1610" s="116">
        <v>344</v>
      </c>
      <c r="F1610" s="116">
        <v>359.8</v>
      </c>
      <c r="G1610">
        <v>313417</v>
      </c>
      <c r="H1610" s="116"/>
      <c r="I1610" s="116"/>
      <c r="L1610" s="170">
        <v>45090</v>
      </c>
      <c r="M1610" s="116">
        <v>360.1</v>
      </c>
      <c r="N1610" s="116">
        <v>361.4</v>
      </c>
      <c r="O1610" s="116">
        <v>343.15</v>
      </c>
      <c r="P1610" s="116">
        <v>344</v>
      </c>
      <c r="Q1610" s="116">
        <v>360.1</v>
      </c>
      <c r="R1610">
        <v>4742560</v>
      </c>
    </row>
    <row r="1611" spans="1:18" x14ac:dyDescent="0.25">
      <c r="A1611" s="170">
        <v>45091</v>
      </c>
      <c r="B1611" s="116">
        <v>363.8</v>
      </c>
      <c r="C1611" s="116">
        <v>358.85</v>
      </c>
      <c r="D1611" s="116">
        <v>357.2</v>
      </c>
      <c r="E1611" s="116">
        <v>362.7</v>
      </c>
      <c r="F1611" s="116">
        <v>358.85</v>
      </c>
      <c r="G1611">
        <v>62012</v>
      </c>
      <c r="H1611" s="116"/>
      <c r="I1611" s="116"/>
      <c r="L1611" s="170">
        <v>45091</v>
      </c>
      <c r="M1611" s="116">
        <v>359</v>
      </c>
      <c r="N1611" s="116">
        <v>364.1</v>
      </c>
      <c r="O1611" s="116">
        <v>357.15</v>
      </c>
      <c r="P1611" s="116">
        <v>363</v>
      </c>
      <c r="Q1611" s="116">
        <v>359</v>
      </c>
      <c r="R1611">
        <v>2017191</v>
      </c>
    </row>
    <row r="1612" spans="1:18" x14ac:dyDescent="0.25">
      <c r="A1612" s="170">
        <v>45092</v>
      </c>
      <c r="B1612" s="116">
        <v>369.4</v>
      </c>
      <c r="C1612" s="116">
        <v>366.8</v>
      </c>
      <c r="D1612" s="116">
        <v>357.5</v>
      </c>
      <c r="E1612" s="116">
        <v>357.95</v>
      </c>
      <c r="F1612" s="116">
        <v>366.8</v>
      </c>
      <c r="G1612">
        <v>78132</v>
      </c>
      <c r="H1612" s="116"/>
      <c r="I1612" s="116"/>
      <c r="L1612" s="170">
        <v>45092</v>
      </c>
      <c r="M1612" s="116">
        <v>366.75</v>
      </c>
      <c r="N1612" s="116">
        <v>369.3</v>
      </c>
      <c r="O1612" s="116">
        <v>357.45</v>
      </c>
      <c r="P1612" s="116">
        <v>358</v>
      </c>
      <c r="Q1612" s="116">
        <v>366.75</v>
      </c>
      <c r="R1612">
        <v>3417191</v>
      </c>
    </row>
    <row r="1613" spans="1:18" x14ac:dyDescent="0.25">
      <c r="A1613" s="170">
        <v>45093</v>
      </c>
      <c r="B1613" s="116">
        <v>375</v>
      </c>
      <c r="C1613" s="116">
        <v>367.6</v>
      </c>
      <c r="D1613" s="116">
        <v>366.5</v>
      </c>
      <c r="E1613" s="116">
        <v>368.95</v>
      </c>
      <c r="F1613" s="116">
        <v>367.6</v>
      </c>
      <c r="G1613">
        <v>249313</v>
      </c>
      <c r="H1613" s="116"/>
      <c r="I1613" s="116"/>
      <c r="L1613" s="170">
        <v>45093</v>
      </c>
      <c r="M1613" s="116">
        <v>367.95</v>
      </c>
      <c r="N1613" s="116">
        <v>374.95</v>
      </c>
      <c r="O1613" s="116">
        <v>366.75</v>
      </c>
      <c r="P1613" s="116">
        <v>368.05</v>
      </c>
      <c r="Q1613" s="116">
        <v>367.95</v>
      </c>
      <c r="R1613">
        <v>2942601</v>
      </c>
    </row>
    <row r="1614" spans="1:18" x14ac:dyDescent="0.25">
      <c r="A1614" s="170">
        <v>45096</v>
      </c>
      <c r="B1614" s="116">
        <v>370.6</v>
      </c>
      <c r="C1614" s="116">
        <v>364.55</v>
      </c>
      <c r="D1614" s="116">
        <v>363.95</v>
      </c>
      <c r="E1614" s="116">
        <v>369.95</v>
      </c>
      <c r="F1614" s="116">
        <v>364.55</v>
      </c>
      <c r="G1614">
        <v>48191</v>
      </c>
      <c r="H1614" s="116"/>
      <c r="I1614" s="116"/>
      <c r="L1614" s="170">
        <v>45096</v>
      </c>
      <c r="M1614" s="116">
        <v>364.5</v>
      </c>
      <c r="N1614" s="116">
        <v>370.5</v>
      </c>
      <c r="O1614" s="116">
        <v>364</v>
      </c>
      <c r="P1614" s="116">
        <v>369</v>
      </c>
      <c r="Q1614" s="116">
        <v>364.5</v>
      </c>
      <c r="R1614">
        <v>1311863</v>
      </c>
    </row>
    <row r="1615" spans="1:18" x14ac:dyDescent="0.25">
      <c r="A1615" s="170">
        <v>45097</v>
      </c>
      <c r="B1615" s="116">
        <v>367.5</v>
      </c>
      <c r="C1615" s="116">
        <v>365.45</v>
      </c>
      <c r="D1615" s="116">
        <v>363.05</v>
      </c>
      <c r="E1615" s="116">
        <v>366</v>
      </c>
      <c r="F1615" s="116">
        <v>365.45</v>
      </c>
      <c r="G1615">
        <v>86519</v>
      </c>
      <c r="H1615" s="116"/>
      <c r="I1615" s="116"/>
      <c r="L1615" s="170">
        <v>45097</v>
      </c>
      <c r="M1615" s="116">
        <v>365.5</v>
      </c>
      <c r="N1615" s="116">
        <v>367.55</v>
      </c>
      <c r="O1615" s="116">
        <v>363</v>
      </c>
      <c r="P1615" s="116">
        <v>366.4</v>
      </c>
      <c r="Q1615" s="116">
        <v>365.5</v>
      </c>
      <c r="R1615">
        <v>1079050</v>
      </c>
    </row>
    <row r="1616" spans="1:18" x14ac:dyDescent="0.25">
      <c r="A1616" s="170">
        <v>45098</v>
      </c>
      <c r="B1616" s="116">
        <v>368.95</v>
      </c>
      <c r="C1616" s="116">
        <v>364.55</v>
      </c>
      <c r="D1616" s="116">
        <v>363.65</v>
      </c>
      <c r="E1616" s="116">
        <v>368.95</v>
      </c>
      <c r="F1616" s="116">
        <v>364.55</v>
      </c>
      <c r="G1616">
        <v>40576</v>
      </c>
      <c r="H1616" s="116"/>
      <c r="I1616" s="116"/>
      <c r="L1616" s="170">
        <v>45098</v>
      </c>
      <c r="M1616" s="116">
        <v>364.75</v>
      </c>
      <c r="N1616" s="116">
        <v>368.7</v>
      </c>
      <c r="O1616" s="116">
        <v>363.6</v>
      </c>
      <c r="P1616" s="116">
        <v>366.05</v>
      </c>
      <c r="Q1616" s="116">
        <v>364.75</v>
      </c>
      <c r="R1616">
        <v>1022200</v>
      </c>
    </row>
    <row r="1617" spans="1:18" x14ac:dyDescent="0.25">
      <c r="A1617" s="170">
        <v>45099</v>
      </c>
      <c r="B1617" s="116">
        <v>366.75</v>
      </c>
      <c r="C1617" s="116">
        <v>355.75</v>
      </c>
      <c r="D1617" s="116">
        <v>354.1</v>
      </c>
      <c r="E1617" s="116">
        <v>365.05</v>
      </c>
      <c r="F1617" s="116">
        <v>355.75</v>
      </c>
      <c r="G1617">
        <v>58966</v>
      </c>
      <c r="H1617" s="116"/>
      <c r="I1617" s="116"/>
      <c r="L1617" s="170">
        <v>45099</v>
      </c>
      <c r="M1617" s="116">
        <v>355.95</v>
      </c>
      <c r="N1617" s="116">
        <v>367.1</v>
      </c>
      <c r="O1617" s="116">
        <v>354.2</v>
      </c>
      <c r="P1617" s="116">
        <v>366.6</v>
      </c>
      <c r="Q1617" s="116">
        <v>355.95</v>
      </c>
      <c r="R1617">
        <v>2195587</v>
      </c>
    </row>
    <row r="1618" spans="1:18" x14ac:dyDescent="0.25">
      <c r="A1618" s="170">
        <v>45100</v>
      </c>
      <c r="B1618" s="116">
        <v>356.45</v>
      </c>
      <c r="C1618" s="116">
        <v>350.45</v>
      </c>
      <c r="D1618" s="116">
        <v>349.5</v>
      </c>
      <c r="E1618" s="116">
        <v>355.75</v>
      </c>
      <c r="F1618" s="116">
        <v>350.45</v>
      </c>
      <c r="G1618">
        <v>33760</v>
      </c>
      <c r="H1618" s="116"/>
      <c r="I1618" s="116"/>
      <c r="L1618" s="170">
        <v>45100</v>
      </c>
      <c r="M1618" s="116">
        <v>350.65</v>
      </c>
      <c r="N1618" s="116">
        <v>357.65</v>
      </c>
      <c r="O1618" s="116">
        <v>349.05</v>
      </c>
      <c r="P1618" s="116">
        <v>355</v>
      </c>
      <c r="Q1618" s="116">
        <v>350.65</v>
      </c>
      <c r="R1618">
        <v>1176039</v>
      </c>
    </row>
    <row r="1619" spans="1:18" x14ac:dyDescent="0.25">
      <c r="A1619" s="170">
        <v>45103</v>
      </c>
      <c r="B1619" s="116">
        <v>365.45</v>
      </c>
      <c r="C1619" s="116">
        <v>362.05</v>
      </c>
      <c r="D1619" s="116">
        <v>349.75</v>
      </c>
      <c r="E1619" s="116">
        <v>350.45</v>
      </c>
      <c r="F1619" s="116">
        <v>362.05</v>
      </c>
      <c r="G1619">
        <v>117256</v>
      </c>
      <c r="H1619" s="116"/>
      <c r="I1619" s="116"/>
      <c r="L1619" s="170">
        <v>45103</v>
      </c>
      <c r="M1619" s="116">
        <v>361.95</v>
      </c>
      <c r="N1619" s="116">
        <v>365.5</v>
      </c>
      <c r="O1619" s="116">
        <v>349.6</v>
      </c>
      <c r="P1619" s="116">
        <v>351.95</v>
      </c>
      <c r="Q1619" s="116">
        <v>361.95</v>
      </c>
      <c r="R1619">
        <v>2684715</v>
      </c>
    </row>
    <row r="1620" spans="1:18" x14ac:dyDescent="0.25">
      <c r="A1620" s="170">
        <v>45104</v>
      </c>
      <c r="B1620" s="116">
        <v>371.05</v>
      </c>
      <c r="C1620" s="116">
        <v>366.7</v>
      </c>
      <c r="D1620" s="116">
        <v>362.3</v>
      </c>
      <c r="E1620" s="116">
        <v>363.7</v>
      </c>
      <c r="F1620" s="116">
        <v>366.7</v>
      </c>
      <c r="G1620">
        <v>150624</v>
      </c>
      <c r="H1620" s="116"/>
      <c r="I1620" s="116"/>
      <c r="L1620" s="170">
        <v>45104</v>
      </c>
      <c r="M1620" s="116">
        <v>366.7</v>
      </c>
      <c r="N1620" s="116">
        <v>371.2</v>
      </c>
      <c r="O1620" s="116">
        <v>362.2</v>
      </c>
      <c r="P1620" s="116">
        <v>363.85</v>
      </c>
      <c r="Q1620" s="116">
        <v>366.7</v>
      </c>
      <c r="R1620">
        <v>2267261</v>
      </c>
    </row>
    <row r="1621" spans="1:18" x14ac:dyDescent="0.25">
      <c r="A1621" s="170">
        <v>45105</v>
      </c>
      <c r="B1621" s="116">
        <v>369.7</v>
      </c>
      <c r="C1621" s="116">
        <v>363.15</v>
      </c>
      <c r="D1621" s="116">
        <v>361.5</v>
      </c>
      <c r="E1621" s="116">
        <v>367.15</v>
      </c>
      <c r="F1621" s="116">
        <v>363.15</v>
      </c>
      <c r="G1621">
        <v>102194</v>
      </c>
      <c r="H1621" s="116"/>
      <c r="I1621" s="116"/>
      <c r="L1621" s="170">
        <v>45105</v>
      </c>
      <c r="M1621" s="116">
        <v>363.1</v>
      </c>
      <c r="N1621" s="116">
        <v>369.8</v>
      </c>
      <c r="O1621" s="116">
        <v>361.3</v>
      </c>
      <c r="P1621" s="116">
        <v>368.5</v>
      </c>
      <c r="Q1621" s="116">
        <v>363.1</v>
      </c>
      <c r="R1621">
        <v>1463803</v>
      </c>
    </row>
    <row r="1622" spans="1:18" x14ac:dyDescent="0.25">
      <c r="A1622" s="170">
        <v>45107</v>
      </c>
      <c r="B1622" s="116">
        <v>372</v>
      </c>
      <c r="C1622" s="116">
        <v>366.5</v>
      </c>
      <c r="D1622" s="116">
        <v>365</v>
      </c>
      <c r="E1622" s="116">
        <v>365</v>
      </c>
      <c r="F1622" s="116">
        <v>366.5</v>
      </c>
      <c r="G1622">
        <v>129977</v>
      </c>
      <c r="H1622" s="116"/>
      <c r="I1622" s="116"/>
      <c r="L1622" s="170">
        <v>45107</v>
      </c>
      <c r="M1622" s="116">
        <v>366.65</v>
      </c>
      <c r="N1622" s="116">
        <v>371.95</v>
      </c>
      <c r="O1622" s="116">
        <v>364.8</v>
      </c>
      <c r="P1622" s="116">
        <v>365.3</v>
      </c>
      <c r="Q1622" s="116">
        <v>366.65</v>
      </c>
      <c r="R1622">
        <v>1398672</v>
      </c>
    </row>
    <row r="1623" spans="1:18" x14ac:dyDescent="0.25">
      <c r="A1623" s="170">
        <v>45110</v>
      </c>
      <c r="B1623" s="116">
        <v>368.4</v>
      </c>
      <c r="C1623" s="116">
        <v>357.15</v>
      </c>
      <c r="D1623" s="116">
        <v>355.85</v>
      </c>
      <c r="E1623" s="116">
        <v>368.4</v>
      </c>
      <c r="F1623" s="116">
        <v>357.15</v>
      </c>
      <c r="G1623">
        <v>106007</v>
      </c>
      <c r="H1623" s="116"/>
      <c r="I1623" s="116"/>
      <c r="L1623" s="170">
        <v>45110</v>
      </c>
      <c r="M1623" s="116">
        <v>357</v>
      </c>
      <c r="N1623" s="116">
        <v>368.1</v>
      </c>
      <c r="O1623" s="116">
        <v>355.8</v>
      </c>
      <c r="P1623" s="116">
        <v>368</v>
      </c>
      <c r="Q1623" s="116">
        <v>357</v>
      </c>
      <c r="R1623">
        <v>1895993</v>
      </c>
    </row>
    <row r="1624" spans="1:18" x14ac:dyDescent="0.25">
      <c r="A1624" s="170">
        <v>45111</v>
      </c>
      <c r="B1624" s="116">
        <v>359</v>
      </c>
      <c r="C1624" s="116">
        <v>349.65</v>
      </c>
      <c r="D1624" s="116">
        <v>348.05</v>
      </c>
      <c r="E1624" s="116">
        <v>359</v>
      </c>
      <c r="F1624" s="116">
        <v>349.65</v>
      </c>
      <c r="G1624">
        <v>151053</v>
      </c>
      <c r="H1624" s="116"/>
      <c r="I1624" s="116"/>
      <c r="L1624" s="170">
        <v>45111</v>
      </c>
      <c r="M1624" s="116">
        <v>350</v>
      </c>
      <c r="N1624" s="116">
        <v>358.9</v>
      </c>
      <c r="O1624" s="116">
        <v>348.1</v>
      </c>
      <c r="P1624" s="116">
        <v>358.8</v>
      </c>
      <c r="Q1624" s="116">
        <v>350</v>
      </c>
      <c r="R1624">
        <v>2039563</v>
      </c>
    </row>
    <row r="1625" spans="1:18" x14ac:dyDescent="0.25">
      <c r="A1625" s="170">
        <v>45112</v>
      </c>
      <c r="B1625" s="116">
        <v>355.85</v>
      </c>
      <c r="C1625" s="116">
        <v>354.5</v>
      </c>
      <c r="D1625" s="116">
        <v>344.4</v>
      </c>
      <c r="E1625" s="116">
        <v>349.05</v>
      </c>
      <c r="F1625" s="116">
        <v>354.5</v>
      </c>
      <c r="G1625">
        <v>108285</v>
      </c>
      <c r="H1625" s="116"/>
      <c r="I1625" s="116"/>
      <c r="L1625" s="170">
        <v>45112</v>
      </c>
      <c r="M1625" s="116">
        <v>354.35</v>
      </c>
      <c r="N1625" s="116">
        <v>355.6</v>
      </c>
      <c r="O1625" s="116">
        <v>344.4</v>
      </c>
      <c r="P1625" s="116">
        <v>350</v>
      </c>
      <c r="Q1625" s="116">
        <v>354.35</v>
      </c>
      <c r="R1625">
        <v>2649402</v>
      </c>
    </row>
    <row r="1626" spans="1:18" x14ac:dyDescent="0.25">
      <c r="A1626" s="170">
        <v>45113</v>
      </c>
      <c r="B1626" s="116">
        <v>369.95</v>
      </c>
      <c r="C1626" s="116">
        <v>367.45</v>
      </c>
      <c r="D1626" s="116">
        <v>354.5</v>
      </c>
      <c r="E1626" s="116">
        <v>355.5</v>
      </c>
      <c r="F1626" s="116">
        <v>367.45</v>
      </c>
      <c r="G1626">
        <v>233039</v>
      </c>
      <c r="H1626" s="116"/>
      <c r="I1626" s="116"/>
      <c r="L1626" s="170">
        <v>45113</v>
      </c>
      <c r="M1626" s="116">
        <v>367.7</v>
      </c>
      <c r="N1626" s="116">
        <v>370</v>
      </c>
      <c r="O1626" s="116">
        <v>354.65</v>
      </c>
      <c r="P1626" s="116">
        <v>356.1</v>
      </c>
      <c r="Q1626" s="116">
        <v>367.7</v>
      </c>
      <c r="R1626">
        <v>3218692</v>
      </c>
    </row>
    <row r="1627" spans="1:18" x14ac:dyDescent="0.25">
      <c r="A1627" s="170">
        <v>45114</v>
      </c>
      <c r="B1627" s="116">
        <v>376.85</v>
      </c>
      <c r="C1627" s="116">
        <v>364.75</v>
      </c>
      <c r="D1627" s="116">
        <v>363.4</v>
      </c>
      <c r="E1627" s="116">
        <v>365</v>
      </c>
      <c r="F1627" s="116">
        <v>364.75</v>
      </c>
      <c r="G1627">
        <v>172849</v>
      </c>
      <c r="H1627" s="116"/>
      <c r="I1627" s="116"/>
      <c r="L1627" s="170">
        <v>45114</v>
      </c>
      <c r="M1627" s="116">
        <v>364.95</v>
      </c>
      <c r="N1627" s="116">
        <v>376.9</v>
      </c>
      <c r="O1627" s="116">
        <v>363.4</v>
      </c>
      <c r="P1627" s="116">
        <v>368</v>
      </c>
      <c r="Q1627" s="116">
        <v>364.95</v>
      </c>
      <c r="R1627">
        <v>4506526</v>
      </c>
    </row>
    <row r="1628" spans="1:18" x14ac:dyDescent="0.25">
      <c r="A1628" s="170">
        <v>45117</v>
      </c>
      <c r="B1628" s="116">
        <v>365.75</v>
      </c>
      <c r="C1628" s="116">
        <v>357.95</v>
      </c>
      <c r="D1628" s="116">
        <v>356.5</v>
      </c>
      <c r="E1628" s="116">
        <v>365.05</v>
      </c>
      <c r="F1628" s="116">
        <v>357.95</v>
      </c>
      <c r="G1628">
        <v>39578</v>
      </c>
      <c r="H1628" s="116"/>
      <c r="I1628" s="116"/>
      <c r="L1628" s="170">
        <v>45117</v>
      </c>
      <c r="M1628" s="116">
        <v>358</v>
      </c>
      <c r="N1628" s="116">
        <v>366.75</v>
      </c>
      <c r="O1628" s="116">
        <v>356.05</v>
      </c>
      <c r="P1628" s="116">
        <v>366.75</v>
      </c>
      <c r="Q1628" s="116">
        <v>358</v>
      </c>
      <c r="R1628">
        <v>1523991</v>
      </c>
    </row>
    <row r="1629" spans="1:18" x14ac:dyDescent="0.25">
      <c r="A1629" s="170">
        <v>45118</v>
      </c>
      <c r="B1629" s="116">
        <v>360.6</v>
      </c>
      <c r="C1629" s="116">
        <v>356.5</v>
      </c>
      <c r="D1629" s="116">
        <v>355.5</v>
      </c>
      <c r="E1629" s="116">
        <v>357.95</v>
      </c>
      <c r="F1629" s="116">
        <v>356.5</v>
      </c>
      <c r="G1629">
        <v>33986</v>
      </c>
      <c r="H1629" s="116"/>
      <c r="I1629" s="116"/>
      <c r="L1629" s="170">
        <v>45118</v>
      </c>
      <c r="M1629" s="116">
        <v>356.8</v>
      </c>
      <c r="N1629" s="116">
        <v>361</v>
      </c>
      <c r="O1629" s="116">
        <v>355.55</v>
      </c>
      <c r="P1629" s="116">
        <v>358.5</v>
      </c>
      <c r="Q1629" s="116">
        <v>356.8</v>
      </c>
      <c r="R1629">
        <v>1153140</v>
      </c>
    </row>
    <row r="1630" spans="1:18" x14ac:dyDescent="0.25">
      <c r="A1630" s="170">
        <v>45119</v>
      </c>
      <c r="B1630" s="116">
        <v>361.7</v>
      </c>
      <c r="C1630" s="116">
        <v>352.75</v>
      </c>
      <c r="D1630" s="116">
        <v>352.35</v>
      </c>
      <c r="E1630" s="116">
        <v>356.8</v>
      </c>
      <c r="F1630" s="116">
        <v>352.75</v>
      </c>
      <c r="G1630">
        <v>37088</v>
      </c>
      <c r="H1630" s="116"/>
      <c r="I1630" s="116"/>
      <c r="L1630" s="170">
        <v>45119</v>
      </c>
      <c r="M1630" s="116">
        <v>352.75</v>
      </c>
      <c r="N1630" s="116">
        <v>362</v>
      </c>
      <c r="O1630" s="116">
        <v>352.05</v>
      </c>
      <c r="P1630" s="116">
        <v>357.05</v>
      </c>
      <c r="Q1630" s="116">
        <v>352.75</v>
      </c>
      <c r="R1630">
        <v>1872479</v>
      </c>
    </row>
    <row r="1631" spans="1:18" x14ac:dyDescent="0.25">
      <c r="A1631" s="170">
        <v>45120</v>
      </c>
      <c r="B1631" s="116">
        <v>357.95</v>
      </c>
      <c r="C1631" s="116">
        <v>347.3</v>
      </c>
      <c r="D1631" s="116">
        <v>343.65</v>
      </c>
      <c r="E1631" s="116">
        <v>357.95</v>
      </c>
      <c r="F1631" s="116">
        <v>347.3</v>
      </c>
      <c r="G1631">
        <v>120096</v>
      </c>
      <c r="H1631" s="116"/>
      <c r="I1631" s="116"/>
      <c r="L1631" s="170">
        <v>45120</v>
      </c>
      <c r="M1631" s="116">
        <v>347.1</v>
      </c>
      <c r="N1631" s="116">
        <v>355.65</v>
      </c>
      <c r="O1631" s="116">
        <v>343.65</v>
      </c>
      <c r="P1631" s="116">
        <v>354.55</v>
      </c>
      <c r="Q1631" s="116">
        <v>347.1</v>
      </c>
      <c r="R1631">
        <v>1349936</v>
      </c>
    </row>
    <row r="1632" spans="1:18" x14ac:dyDescent="0.25">
      <c r="A1632" s="170">
        <v>45121</v>
      </c>
      <c r="B1632" s="116">
        <v>354.9</v>
      </c>
      <c r="C1632" s="116">
        <v>351.1</v>
      </c>
      <c r="D1632" s="116">
        <v>347.35</v>
      </c>
      <c r="E1632" s="116">
        <v>347.35</v>
      </c>
      <c r="F1632" s="116">
        <v>351.1</v>
      </c>
      <c r="G1632">
        <v>85957</v>
      </c>
      <c r="H1632" s="116"/>
      <c r="I1632" s="116"/>
      <c r="L1632" s="170">
        <v>45121</v>
      </c>
      <c r="M1632" s="116">
        <v>351.5</v>
      </c>
      <c r="N1632" s="116">
        <v>354.75</v>
      </c>
      <c r="O1632" s="116">
        <v>347.7</v>
      </c>
      <c r="P1632" s="116">
        <v>348.85</v>
      </c>
      <c r="Q1632" s="116">
        <v>351.5</v>
      </c>
      <c r="R1632">
        <v>1307405</v>
      </c>
    </row>
    <row r="1633" spans="1:18" x14ac:dyDescent="0.25">
      <c r="A1633" s="170">
        <v>45124</v>
      </c>
      <c r="B1633" s="116">
        <v>358.85</v>
      </c>
      <c r="C1633" s="116">
        <v>351.4</v>
      </c>
      <c r="D1633" s="116">
        <v>350.5</v>
      </c>
      <c r="E1633" s="116">
        <v>353</v>
      </c>
      <c r="F1633" s="116">
        <v>351.4</v>
      </c>
      <c r="G1633">
        <v>40976</v>
      </c>
      <c r="H1633" s="116"/>
      <c r="I1633" s="116"/>
      <c r="L1633" s="170">
        <v>45124</v>
      </c>
      <c r="M1633" s="116">
        <v>351.35</v>
      </c>
      <c r="N1633" s="116">
        <v>358.9</v>
      </c>
      <c r="O1633" s="116">
        <v>350.5</v>
      </c>
      <c r="P1633" s="116">
        <v>354.95</v>
      </c>
      <c r="Q1633" s="116">
        <v>351.35</v>
      </c>
      <c r="R1633">
        <v>1408715</v>
      </c>
    </row>
    <row r="1634" spans="1:18" x14ac:dyDescent="0.25">
      <c r="A1634" s="170">
        <v>45125</v>
      </c>
      <c r="B1634" s="116">
        <v>354.4</v>
      </c>
      <c r="C1634" s="116">
        <v>353</v>
      </c>
      <c r="D1634" s="116">
        <v>347.1</v>
      </c>
      <c r="E1634" s="116">
        <v>351.8</v>
      </c>
      <c r="F1634" s="116">
        <v>353</v>
      </c>
      <c r="G1634">
        <v>97196</v>
      </c>
      <c r="H1634" s="116"/>
      <c r="I1634" s="116"/>
      <c r="L1634" s="170">
        <v>45125</v>
      </c>
      <c r="M1634" s="116">
        <v>353.05</v>
      </c>
      <c r="N1634" s="116">
        <v>354.4</v>
      </c>
      <c r="O1634" s="116">
        <v>347.15</v>
      </c>
      <c r="P1634" s="116">
        <v>352</v>
      </c>
      <c r="Q1634" s="116">
        <v>353.05</v>
      </c>
      <c r="R1634">
        <v>1292170</v>
      </c>
    </row>
    <row r="1635" spans="1:18" x14ac:dyDescent="0.25">
      <c r="A1635" s="170">
        <v>45126</v>
      </c>
      <c r="B1635" s="116">
        <v>358</v>
      </c>
      <c r="C1635" s="116">
        <v>350.9</v>
      </c>
      <c r="D1635" s="116">
        <v>349.95</v>
      </c>
      <c r="E1635" s="116">
        <v>354.95</v>
      </c>
      <c r="F1635" s="116">
        <v>350.9</v>
      </c>
      <c r="G1635">
        <v>51630</v>
      </c>
      <c r="H1635" s="116"/>
      <c r="I1635" s="116"/>
      <c r="L1635" s="170">
        <v>45126</v>
      </c>
      <c r="M1635" s="116">
        <v>350.8</v>
      </c>
      <c r="N1635" s="116">
        <v>358.05</v>
      </c>
      <c r="O1635" s="116">
        <v>350</v>
      </c>
      <c r="P1635" s="116">
        <v>353.05</v>
      </c>
      <c r="Q1635" s="116">
        <v>350.8</v>
      </c>
      <c r="R1635">
        <v>1381188</v>
      </c>
    </row>
    <row r="1636" spans="1:18" x14ac:dyDescent="0.25">
      <c r="A1636" s="170">
        <v>45127</v>
      </c>
      <c r="B1636" s="116">
        <v>355.7</v>
      </c>
      <c r="C1636" s="116">
        <v>350.9</v>
      </c>
      <c r="D1636" s="116">
        <v>347.2</v>
      </c>
      <c r="E1636" s="116">
        <v>349</v>
      </c>
      <c r="F1636" s="116">
        <v>350.9</v>
      </c>
      <c r="G1636">
        <v>134251</v>
      </c>
      <c r="H1636" s="116"/>
      <c r="I1636" s="116"/>
      <c r="L1636" s="170">
        <v>45127</v>
      </c>
      <c r="M1636" s="116">
        <v>350.8</v>
      </c>
      <c r="N1636" s="116">
        <v>355.6</v>
      </c>
      <c r="O1636" s="116">
        <v>347.6</v>
      </c>
      <c r="P1636" s="116">
        <v>349.95</v>
      </c>
      <c r="Q1636" s="116">
        <v>350.8</v>
      </c>
      <c r="R1636">
        <v>1538823</v>
      </c>
    </row>
    <row r="1637" spans="1:18" x14ac:dyDescent="0.25">
      <c r="A1637" s="170">
        <v>45128</v>
      </c>
      <c r="B1637" s="116">
        <v>355.35</v>
      </c>
      <c r="C1637" s="116">
        <v>349.05</v>
      </c>
      <c r="D1637" s="116">
        <v>348.05</v>
      </c>
      <c r="E1637" s="116">
        <v>350.8</v>
      </c>
      <c r="F1637" s="116">
        <v>349.05</v>
      </c>
      <c r="G1637">
        <v>122960</v>
      </c>
      <c r="H1637" s="116"/>
      <c r="I1637" s="116"/>
      <c r="L1637" s="170">
        <v>45128</v>
      </c>
      <c r="M1637" s="116">
        <v>348.75</v>
      </c>
      <c r="N1637" s="116">
        <v>355.35</v>
      </c>
      <c r="O1637" s="116">
        <v>348</v>
      </c>
      <c r="P1637" s="116">
        <v>350.9</v>
      </c>
      <c r="Q1637" s="116">
        <v>348.75</v>
      </c>
      <c r="R1637">
        <v>1425521</v>
      </c>
    </row>
    <row r="1638" spans="1:18" x14ac:dyDescent="0.25">
      <c r="A1638" s="170">
        <v>45131</v>
      </c>
      <c r="B1638" s="116">
        <v>352.45</v>
      </c>
      <c r="C1638" s="116">
        <v>348.55</v>
      </c>
      <c r="D1638" s="116">
        <v>346.55</v>
      </c>
      <c r="E1638" s="116">
        <v>350.4</v>
      </c>
      <c r="F1638" s="116">
        <v>348.55</v>
      </c>
      <c r="G1638">
        <v>88108</v>
      </c>
      <c r="H1638" s="116"/>
      <c r="I1638" s="116"/>
      <c r="L1638" s="170">
        <v>45131</v>
      </c>
      <c r="M1638" s="116">
        <v>348.65</v>
      </c>
      <c r="N1638" s="116">
        <v>352.5</v>
      </c>
      <c r="O1638" s="116">
        <v>346.8</v>
      </c>
      <c r="P1638" s="116">
        <v>349.9</v>
      </c>
      <c r="Q1638" s="116">
        <v>348.65</v>
      </c>
      <c r="R1638">
        <v>1110595</v>
      </c>
    </row>
    <row r="1639" spans="1:18" x14ac:dyDescent="0.25">
      <c r="A1639" s="170">
        <v>45132</v>
      </c>
      <c r="B1639" s="116">
        <v>350.5</v>
      </c>
      <c r="C1639" s="116">
        <v>346.75</v>
      </c>
      <c r="D1639" s="116">
        <v>345.05</v>
      </c>
      <c r="E1639" s="116">
        <v>348.05</v>
      </c>
      <c r="F1639" s="116">
        <v>346.75</v>
      </c>
      <c r="G1639">
        <v>52323</v>
      </c>
      <c r="H1639" s="116"/>
      <c r="I1639" s="116"/>
      <c r="L1639" s="170">
        <v>45132</v>
      </c>
      <c r="M1639" s="116">
        <v>346.9</v>
      </c>
      <c r="N1639" s="116">
        <v>350.85</v>
      </c>
      <c r="O1639" s="116">
        <v>345</v>
      </c>
      <c r="P1639" s="116">
        <v>349.75</v>
      </c>
      <c r="Q1639" s="116">
        <v>346.9</v>
      </c>
      <c r="R1639">
        <v>946680</v>
      </c>
    </row>
    <row r="1640" spans="1:18" x14ac:dyDescent="0.25">
      <c r="A1640" s="170">
        <v>45133</v>
      </c>
      <c r="B1640" s="116">
        <v>347.6</v>
      </c>
      <c r="C1640" s="116">
        <v>341.35</v>
      </c>
      <c r="D1640" s="116">
        <v>340.2</v>
      </c>
      <c r="E1640" s="116">
        <v>346.4</v>
      </c>
      <c r="F1640" s="116">
        <v>341.35</v>
      </c>
      <c r="G1640">
        <v>90127</v>
      </c>
      <c r="H1640" s="116"/>
      <c r="I1640" s="116"/>
      <c r="L1640" s="170">
        <v>45133</v>
      </c>
      <c r="M1640" s="116">
        <v>341.15</v>
      </c>
      <c r="N1640" s="116">
        <v>349.2</v>
      </c>
      <c r="O1640" s="116">
        <v>340</v>
      </c>
      <c r="P1640" s="116">
        <v>347.5</v>
      </c>
      <c r="Q1640" s="116">
        <v>341.15</v>
      </c>
      <c r="R1640">
        <v>2214958</v>
      </c>
    </row>
    <row r="1641" spans="1:18" x14ac:dyDescent="0.25">
      <c r="A1641" s="170">
        <v>45134</v>
      </c>
      <c r="B1641" s="116">
        <v>349.8</v>
      </c>
      <c r="C1641" s="116">
        <v>343.8</v>
      </c>
      <c r="D1641" s="116">
        <v>328.15</v>
      </c>
      <c r="E1641" s="116">
        <v>340.05</v>
      </c>
      <c r="F1641" s="116">
        <v>343.8</v>
      </c>
      <c r="G1641">
        <v>542169</v>
      </c>
      <c r="H1641" s="116"/>
      <c r="I1641" s="116"/>
      <c r="L1641" s="170">
        <v>45134</v>
      </c>
      <c r="M1641" s="116">
        <v>343.9</v>
      </c>
      <c r="N1641" s="116">
        <v>350</v>
      </c>
      <c r="O1641" s="116">
        <v>328.15</v>
      </c>
      <c r="P1641" s="116">
        <v>341.15</v>
      </c>
      <c r="Q1641" s="116">
        <v>343.9</v>
      </c>
      <c r="R1641">
        <v>10793375</v>
      </c>
    </row>
    <row r="1642" spans="1:18" x14ac:dyDescent="0.25">
      <c r="A1642" s="170">
        <v>45135</v>
      </c>
      <c r="B1642" s="116">
        <v>348.6</v>
      </c>
      <c r="C1642" s="116">
        <v>338.15</v>
      </c>
      <c r="D1642" s="116">
        <v>331.5</v>
      </c>
      <c r="E1642" s="116">
        <v>333.5</v>
      </c>
      <c r="F1642" s="116">
        <v>338.15</v>
      </c>
      <c r="G1642">
        <v>308263</v>
      </c>
      <c r="H1642" s="116"/>
      <c r="I1642" s="116"/>
      <c r="L1642" s="170">
        <v>45135</v>
      </c>
      <c r="M1642" s="116">
        <v>337.8</v>
      </c>
      <c r="N1642" s="116">
        <v>348.8</v>
      </c>
      <c r="O1642" s="116">
        <v>331.5</v>
      </c>
      <c r="P1642" s="116">
        <v>338</v>
      </c>
      <c r="Q1642" s="116">
        <v>337.8</v>
      </c>
      <c r="R1642">
        <v>9684678</v>
      </c>
    </row>
    <row r="1643" spans="1:18" x14ac:dyDescent="0.25">
      <c r="A1643" s="170">
        <v>45138</v>
      </c>
      <c r="B1643" s="116">
        <v>359.25</v>
      </c>
      <c r="C1643" s="116">
        <v>352.1</v>
      </c>
      <c r="D1643" s="116">
        <v>334</v>
      </c>
      <c r="E1643" s="116">
        <v>338</v>
      </c>
      <c r="F1643" s="116">
        <v>352.1</v>
      </c>
      <c r="G1643">
        <v>485149</v>
      </c>
      <c r="H1643" s="116"/>
      <c r="I1643" s="116"/>
      <c r="L1643" s="170">
        <v>45138</v>
      </c>
      <c r="M1643" s="116">
        <v>352</v>
      </c>
      <c r="N1643" s="116">
        <v>359.5</v>
      </c>
      <c r="O1643" s="116">
        <v>334.15</v>
      </c>
      <c r="P1643" s="116">
        <v>339</v>
      </c>
      <c r="Q1643" s="116">
        <v>352</v>
      </c>
      <c r="R1643">
        <v>8139255</v>
      </c>
    </row>
    <row r="1644" spans="1:18" x14ac:dyDescent="0.25">
      <c r="A1644" s="170">
        <v>45139</v>
      </c>
      <c r="B1644" s="116">
        <v>358.95</v>
      </c>
      <c r="C1644" s="116">
        <v>358.2</v>
      </c>
      <c r="D1644" s="116">
        <v>351.95</v>
      </c>
      <c r="E1644" s="116">
        <v>352.55</v>
      </c>
      <c r="F1644" s="116">
        <v>358.2</v>
      </c>
      <c r="G1644">
        <v>168495</v>
      </c>
      <c r="H1644" s="116"/>
      <c r="I1644" s="116"/>
      <c r="L1644" s="170">
        <v>45139</v>
      </c>
      <c r="M1644" s="116">
        <v>358.3</v>
      </c>
      <c r="N1644" s="116">
        <v>359</v>
      </c>
      <c r="O1644" s="116">
        <v>352</v>
      </c>
      <c r="P1644" s="116">
        <v>353.75</v>
      </c>
      <c r="Q1644" s="116">
        <v>358.3</v>
      </c>
      <c r="R1644">
        <v>2480872</v>
      </c>
    </row>
    <row r="1645" spans="1:18" x14ac:dyDescent="0.25">
      <c r="A1645" s="170">
        <v>45140</v>
      </c>
      <c r="B1645" s="116">
        <v>367.95</v>
      </c>
      <c r="C1645" s="116">
        <v>364.8</v>
      </c>
      <c r="D1645" s="116">
        <v>356.35</v>
      </c>
      <c r="E1645" s="116">
        <v>359.05</v>
      </c>
      <c r="F1645" s="116">
        <v>364.8</v>
      </c>
      <c r="G1645">
        <v>150918</v>
      </c>
      <c r="H1645" s="116"/>
      <c r="I1645" s="116"/>
      <c r="L1645" s="170">
        <v>45140</v>
      </c>
      <c r="M1645" s="116">
        <v>364.6</v>
      </c>
      <c r="N1645" s="116">
        <v>368</v>
      </c>
      <c r="O1645" s="116">
        <v>356.1</v>
      </c>
      <c r="P1645" s="116">
        <v>359.8</v>
      </c>
      <c r="Q1645" s="116">
        <v>364.6</v>
      </c>
      <c r="R1645">
        <v>5966652</v>
      </c>
    </row>
    <row r="1646" spans="1:18" x14ac:dyDescent="0.25">
      <c r="A1646" s="170">
        <v>45141</v>
      </c>
      <c r="B1646" s="116">
        <v>385.5</v>
      </c>
      <c r="C1646" s="116">
        <v>384.25</v>
      </c>
      <c r="D1646" s="116">
        <v>364.5</v>
      </c>
      <c r="E1646" s="116">
        <v>365</v>
      </c>
      <c r="F1646" s="116">
        <v>384.25</v>
      </c>
      <c r="G1646">
        <v>624755</v>
      </c>
      <c r="H1646" s="116"/>
      <c r="I1646" s="116"/>
      <c r="L1646" s="170">
        <v>45141</v>
      </c>
      <c r="M1646" s="116">
        <v>384.35</v>
      </c>
      <c r="N1646" s="116">
        <v>385.6</v>
      </c>
      <c r="O1646" s="116">
        <v>364.6</v>
      </c>
      <c r="P1646" s="116">
        <v>365</v>
      </c>
      <c r="Q1646" s="116">
        <v>384.35</v>
      </c>
      <c r="R1646">
        <v>9680154</v>
      </c>
    </row>
    <row r="1647" spans="1:18" x14ac:dyDescent="0.25">
      <c r="A1647" s="170">
        <v>45142</v>
      </c>
      <c r="B1647" s="116">
        <v>394.25</v>
      </c>
      <c r="C1647" s="116">
        <v>392.25</v>
      </c>
      <c r="D1647" s="116">
        <v>382.6</v>
      </c>
      <c r="E1647" s="116">
        <v>390.05</v>
      </c>
      <c r="F1647" s="116">
        <v>392.25</v>
      </c>
      <c r="G1647">
        <v>218183</v>
      </c>
      <c r="H1647" s="116"/>
      <c r="I1647" s="116"/>
      <c r="L1647" s="170">
        <v>45142</v>
      </c>
      <c r="M1647" s="116">
        <v>392.3</v>
      </c>
      <c r="N1647" s="116">
        <v>394.5</v>
      </c>
      <c r="O1647" s="116">
        <v>382.5</v>
      </c>
      <c r="P1647" s="116">
        <v>390.8</v>
      </c>
      <c r="Q1647" s="116">
        <v>392.3</v>
      </c>
      <c r="R1647">
        <v>5661603</v>
      </c>
    </row>
    <row r="1648" spans="1:18" x14ac:dyDescent="0.25">
      <c r="A1648" s="170">
        <v>45145</v>
      </c>
      <c r="B1648" s="116">
        <v>403.6</v>
      </c>
      <c r="C1648" s="116">
        <v>400.3</v>
      </c>
      <c r="D1648" s="116">
        <v>390.65</v>
      </c>
      <c r="E1648" s="116">
        <v>394</v>
      </c>
      <c r="F1648" s="116">
        <v>400.3</v>
      </c>
      <c r="G1648">
        <v>156404</v>
      </c>
      <c r="H1648" s="116"/>
      <c r="I1648" s="116"/>
      <c r="L1648" s="170">
        <v>45145</v>
      </c>
      <c r="M1648" s="116">
        <v>400.15</v>
      </c>
      <c r="N1648" s="116">
        <v>403.85</v>
      </c>
      <c r="O1648" s="116">
        <v>390.25</v>
      </c>
      <c r="P1648" s="116">
        <v>393.95</v>
      </c>
      <c r="Q1648" s="116">
        <v>400.15</v>
      </c>
      <c r="R1648">
        <v>5202602</v>
      </c>
    </row>
    <row r="1649" spans="1:18" x14ac:dyDescent="0.25">
      <c r="A1649" s="170">
        <v>45146</v>
      </c>
      <c r="B1649" s="116">
        <v>412.8</v>
      </c>
      <c r="C1649" s="116">
        <v>411.45</v>
      </c>
      <c r="D1649" s="116">
        <v>400.2</v>
      </c>
      <c r="E1649" s="116">
        <v>401.1</v>
      </c>
      <c r="F1649" s="116">
        <v>411.45</v>
      </c>
      <c r="G1649">
        <v>326405</v>
      </c>
      <c r="H1649" s="116"/>
      <c r="I1649" s="116"/>
      <c r="L1649" s="170">
        <v>45146</v>
      </c>
      <c r="M1649" s="116">
        <v>411.8</v>
      </c>
      <c r="N1649" s="116">
        <v>413</v>
      </c>
      <c r="O1649" s="116">
        <v>400.15</v>
      </c>
      <c r="P1649" s="116">
        <v>401.75</v>
      </c>
      <c r="Q1649" s="116">
        <v>411.8</v>
      </c>
      <c r="R1649">
        <v>4240812</v>
      </c>
    </row>
    <row r="1650" spans="1:18" x14ac:dyDescent="0.25">
      <c r="A1650" s="170">
        <v>45147</v>
      </c>
      <c r="B1650" s="116">
        <v>417.85</v>
      </c>
      <c r="C1650" s="116">
        <v>410.35</v>
      </c>
      <c r="D1650" s="116">
        <v>406.8</v>
      </c>
      <c r="E1650" s="116">
        <v>413.75</v>
      </c>
      <c r="F1650" s="116">
        <v>410.35</v>
      </c>
      <c r="G1650">
        <v>138026</v>
      </c>
      <c r="H1650" s="116"/>
      <c r="I1650" s="116"/>
      <c r="L1650" s="170">
        <v>45147</v>
      </c>
      <c r="M1650" s="116">
        <v>410.35</v>
      </c>
      <c r="N1650" s="116">
        <v>418</v>
      </c>
      <c r="O1650" s="116">
        <v>406.35</v>
      </c>
      <c r="P1650" s="116">
        <v>412.95</v>
      </c>
      <c r="Q1650" s="116">
        <v>410.35</v>
      </c>
      <c r="R1650">
        <v>5440150</v>
      </c>
    </row>
    <row r="1651" spans="1:18" x14ac:dyDescent="0.25">
      <c r="A1651" s="170">
        <v>45148</v>
      </c>
      <c r="B1651" s="116">
        <v>413.15</v>
      </c>
      <c r="C1651" s="116">
        <v>398.15</v>
      </c>
      <c r="D1651" s="116">
        <v>395.2</v>
      </c>
      <c r="E1651" s="116">
        <v>410.3</v>
      </c>
      <c r="F1651" s="116">
        <v>398.15</v>
      </c>
      <c r="G1651">
        <v>261521</v>
      </c>
      <c r="H1651" s="116"/>
      <c r="I1651" s="116"/>
      <c r="L1651" s="170">
        <v>45148</v>
      </c>
      <c r="M1651" s="116">
        <v>398.6</v>
      </c>
      <c r="N1651" s="116">
        <v>413.65</v>
      </c>
      <c r="O1651" s="116">
        <v>395.2</v>
      </c>
      <c r="P1651" s="116">
        <v>409.95</v>
      </c>
      <c r="Q1651" s="116">
        <v>398.6</v>
      </c>
      <c r="R1651">
        <v>5297620</v>
      </c>
    </row>
    <row r="1652" spans="1:18" x14ac:dyDescent="0.25">
      <c r="A1652" s="170">
        <v>45149</v>
      </c>
      <c r="B1652" s="116">
        <v>403.7</v>
      </c>
      <c r="C1652" s="116">
        <v>388.15</v>
      </c>
      <c r="D1652" s="116">
        <v>386.75</v>
      </c>
      <c r="E1652" s="116">
        <v>399</v>
      </c>
      <c r="F1652" s="116">
        <v>388.15</v>
      </c>
      <c r="G1652">
        <v>83481</v>
      </c>
      <c r="H1652" s="116"/>
      <c r="I1652" s="116"/>
      <c r="L1652" s="170">
        <v>45149</v>
      </c>
      <c r="M1652" s="116">
        <v>388.25</v>
      </c>
      <c r="N1652" s="116">
        <v>403.9</v>
      </c>
      <c r="O1652" s="116">
        <v>386.55</v>
      </c>
      <c r="P1652" s="116">
        <v>399</v>
      </c>
      <c r="Q1652" s="116">
        <v>388.25</v>
      </c>
      <c r="R1652">
        <v>2756466</v>
      </c>
    </row>
    <row r="1653" spans="1:18" x14ac:dyDescent="0.25">
      <c r="A1653" s="170">
        <v>45152</v>
      </c>
      <c r="B1653" s="116">
        <v>389</v>
      </c>
      <c r="C1653" s="116">
        <v>384.65</v>
      </c>
      <c r="D1653" s="116">
        <v>380.15</v>
      </c>
      <c r="E1653" s="116">
        <v>389</v>
      </c>
      <c r="F1653" s="116">
        <v>384.65</v>
      </c>
      <c r="G1653">
        <v>32597</v>
      </c>
      <c r="H1653" s="116"/>
      <c r="I1653" s="116"/>
      <c r="L1653" s="170">
        <v>45152</v>
      </c>
      <c r="M1653" s="116">
        <v>384.75</v>
      </c>
      <c r="N1653" s="116">
        <v>388.6</v>
      </c>
      <c r="O1653" s="116">
        <v>380.2</v>
      </c>
      <c r="P1653" s="116">
        <v>388.2</v>
      </c>
      <c r="Q1653" s="116">
        <v>384.75</v>
      </c>
      <c r="R1653">
        <v>1483808</v>
      </c>
    </row>
    <row r="1654" spans="1:18" x14ac:dyDescent="0.25">
      <c r="A1654" s="170">
        <v>45154</v>
      </c>
      <c r="B1654" s="116">
        <v>393.35</v>
      </c>
      <c r="C1654" s="116">
        <v>390.2</v>
      </c>
      <c r="D1654" s="116">
        <v>379.45</v>
      </c>
      <c r="E1654" s="116">
        <v>382.7</v>
      </c>
      <c r="F1654" s="116">
        <v>390.2</v>
      </c>
      <c r="G1654">
        <v>88034</v>
      </c>
      <c r="H1654" s="116"/>
      <c r="I1654" s="116"/>
      <c r="L1654" s="170">
        <v>45154</v>
      </c>
      <c r="M1654" s="116">
        <v>390.25</v>
      </c>
      <c r="N1654" s="116">
        <v>393.4</v>
      </c>
      <c r="O1654" s="116">
        <v>379.1</v>
      </c>
      <c r="P1654" s="116">
        <v>384.55</v>
      </c>
      <c r="Q1654" s="116">
        <v>390.25</v>
      </c>
      <c r="R1654">
        <v>2562359</v>
      </c>
    </row>
    <row r="1655" spans="1:18" x14ac:dyDescent="0.25">
      <c r="A1655" s="170">
        <v>45155</v>
      </c>
      <c r="B1655" s="116">
        <v>395.4</v>
      </c>
      <c r="C1655" s="116">
        <v>386.8</v>
      </c>
      <c r="D1655" s="116">
        <v>385.85</v>
      </c>
      <c r="E1655" s="116">
        <v>393.95</v>
      </c>
      <c r="F1655" s="116">
        <v>386.8</v>
      </c>
      <c r="G1655">
        <v>60196</v>
      </c>
      <c r="H1655" s="116"/>
      <c r="I1655" s="116"/>
      <c r="L1655" s="170">
        <v>45155</v>
      </c>
      <c r="M1655" s="116">
        <v>386.85</v>
      </c>
      <c r="N1655" s="116">
        <v>395.25</v>
      </c>
      <c r="O1655" s="116">
        <v>386</v>
      </c>
      <c r="P1655" s="116">
        <v>392.25</v>
      </c>
      <c r="Q1655" s="116">
        <v>386.85</v>
      </c>
      <c r="R1655">
        <v>1379332</v>
      </c>
    </row>
    <row r="1656" spans="1:18" x14ac:dyDescent="0.25">
      <c r="A1656" s="170">
        <v>45156</v>
      </c>
      <c r="B1656" s="116">
        <v>390.25</v>
      </c>
      <c r="C1656" s="116">
        <v>381.25</v>
      </c>
      <c r="D1656" s="116">
        <v>380.1</v>
      </c>
      <c r="E1656" s="116">
        <v>386.8</v>
      </c>
      <c r="F1656" s="116">
        <v>381.25</v>
      </c>
      <c r="G1656">
        <v>27132</v>
      </c>
      <c r="H1656" s="116"/>
      <c r="I1656" s="116"/>
      <c r="L1656" s="170">
        <v>45156</v>
      </c>
      <c r="M1656" s="116">
        <v>381.35</v>
      </c>
      <c r="N1656" s="116">
        <v>390.2</v>
      </c>
      <c r="O1656" s="116">
        <v>380.15</v>
      </c>
      <c r="P1656" s="116">
        <v>388</v>
      </c>
      <c r="Q1656" s="116">
        <v>381.35</v>
      </c>
      <c r="R1656">
        <v>1033595</v>
      </c>
    </row>
    <row r="1657" spans="1:18" x14ac:dyDescent="0.25">
      <c r="A1657" s="170">
        <v>45159</v>
      </c>
      <c r="B1657" s="116">
        <v>390.5</v>
      </c>
      <c r="C1657" s="116">
        <v>388.4</v>
      </c>
      <c r="D1657" s="116">
        <v>381.95</v>
      </c>
      <c r="E1657" s="116">
        <v>382.35</v>
      </c>
      <c r="F1657" s="116">
        <v>388.4</v>
      </c>
      <c r="G1657">
        <v>30467</v>
      </c>
      <c r="H1657" s="116"/>
      <c r="I1657" s="116"/>
      <c r="L1657" s="170">
        <v>45159</v>
      </c>
      <c r="M1657" s="116">
        <v>388.75</v>
      </c>
      <c r="N1657" s="116">
        <v>390.5</v>
      </c>
      <c r="O1657" s="116">
        <v>381.75</v>
      </c>
      <c r="P1657" s="116">
        <v>383.5</v>
      </c>
      <c r="Q1657" s="116">
        <v>388.75</v>
      </c>
      <c r="R1657">
        <v>1399713</v>
      </c>
    </row>
    <row r="1658" spans="1:18" x14ac:dyDescent="0.25">
      <c r="A1658" s="170">
        <v>45160</v>
      </c>
      <c r="B1658" s="116">
        <v>392.6</v>
      </c>
      <c r="C1658" s="116">
        <v>391.2</v>
      </c>
      <c r="D1658" s="116">
        <v>386.6</v>
      </c>
      <c r="E1658" s="116">
        <v>388.55</v>
      </c>
      <c r="F1658" s="116">
        <v>391.2</v>
      </c>
      <c r="G1658">
        <v>46866</v>
      </c>
      <c r="H1658" s="116"/>
      <c r="I1658" s="116"/>
      <c r="L1658" s="170">
        <v>45160</v>
      </c>
      <c r="M1658" s="116">
        <v>391.25</v>
      </c>
      <c r="N1658" s="116">
        <v>392.6</v>
      </c>
      <c r="O1658" s="116">
        <v>386.7</v>
      </c>
      <c r="P1658" s="116">
        <v>389</v>
      </c>
      <c r="Q1658" s="116">
        <v>391.25</v>
      </c>
      <c r="R1658">
        <v>1358589</v>
      </c>
    </row>
    <row r="1659" spans="1:18" x14ac:dyDescent="0.25">
      <c r="A1659" s="170">
        <v>45161</v>
      </c>
      <c r="B1659" s="116">
        <v>397.85</v>
      </c>
      <c r="C1659" s="116">
        <v>395.15</v>
      </c>
      <c r="D1659" s="116">
        <v>391.25</v>
      </c>
      <c r="E1659" s="116">
        <v>392.05</v>
      </c>
      <c r="F1659" s="116">
        <v>395.15</v>
      </c>
      <c r="G1659">
        <v>35781</v>
      </c>
      <c r="H1659" s="116"/>
      <c r="I1659" s="116"/>
      <c r="L1659" s="170">
        <v>45161</v>
      </c>
      <c r="M1659" s="116">
        <v>395.2</v>
      </c>
      <c r="N1659" s="116">
        <v>397.75</v>
      </c>
      <c r="O1659" s="116">
        <v>391.25</v>
      </c>
      <c r="P1659" s="116">
        <v>393</v>
      </c>
      <c r="Q1659" s="116">
        <v>395.2</v>
      </c>
      <c r="R1659">
        <v>1251767</v>
      </c>
    </row>
    <row r="1660" spans="1:18" x14ac:dyDescent="0.25">
      <c r="A1660" s="170">
        <v>45162</v>
      </c>
      <c r="B1660" s="116">
        <v>399.95</v>
      </c>
      <c r="C1660" s="116">
        <v>390</v>
      </c>
      <c r="D1660" s="116">
        <v>389</v>
      </c>
      <c r="E1660" s="116">
        <v>399.95</v>
      </c>
      <c r="F1660" s="116">
        <v>390</v>
      </c>
      <c r="G1660">
        <v>34713</v>
      </c>
      <c r="H1660" s="116"/>
      <c r="I1660" s="116"/>
      <c r="L1660" s="170">
        <v>45162</v>
      </c>
      <c r="M1660" s="116">
        <v>390.05</v>
      </c>
      <c r="N1660" s="116">
        <v>398</v>
      </c>
      <c r="O1660" s="116">
        <v>388.55</v>
      </c>
      <c r="P1660" s="116">
        <v>397</v>
      </c>
      <c r="Q1660" s="116">
        <v>390.05</v>
      </c>
      <c r="R1660">
        <v>1122569</v>
      </c>
    </row>
    <row r="1661" spans="1:18" x14ac:dyDescent="0.25">
      <c r="A1661" s="170">
        <v>45163</v>
      </c>
      <c r="B1661" s="116">
        <v>393.55</v>
      </c>
      <c r="C1661" s="116">
        <v>387.55</v>
      </c>
      <c r="D1661" s="116">
        <v>385</v>
      </c>
      <c r="E1661" s="116">
        <v>391</v>
      </c>
      <c r="F1661" s="116">
        <v>387.55</v>
      </c>
      <c r="G1661">
        <v>25662</v>
      </c>
      <c r="H1661" s="116"/>
      <c r="I1661" s="116"/>
      <c r="L1661" s="170">
        <v>45163</v>
      </c>
      <c r="M1661" s="116">
        <v>387.55</v>
      </c>
      <c r="N1661" s="116">
        <v>393.75</v>
      </c>
      <c r="O1661" s="116">
        <v>384.75</v>
      </c>
      <c r="P1661" s="116">
        <v>389.95</v>
      </c>
      <c r="Q1661" s="116">
        <v>387.55</v>
      </c>
      <c r="R1661">
        <v>1025584</v>
      </c>
    </row>
    <row r="1662" spans="1:18" x14ac:dyDescent="0.25">
      <c r="A1662" s="170">
        <v>45166</v>
      </c>
      <c r="B1662" s="116">
        <v>392.9</v>
      </c>
      <c r="C1662" s="116">
        <v>390.05</v>
      </c>
      <c r="D1662" s="116">
        <v>383.15</v>
      </c>
      <c r="E1662" s="116">
        <v>389.95</v>
      </c>
      <c r="F1662" s="116">
        <v>390.05</v>
      </c>
      <c r="G1662">
        <v>89276</v>
      </c>
      <c r="H1662" s="116"/>
      <c r="I1662" s="116"/>
      <c r="L1662" s="170">
        <v>45166</v>
      </c>
      <c r="M1662" s="116">
        <v>391.5</v>
      </c>
      <c r="N1662" s="116">
        <v>393.2</v>
      </c>
      <c r="O1662" s="116">
        <v>385.65</v>
      </c>
      <c r="P1662" s="116">
        <v>388.95</v>
      </c>
      <c r="Q1662" s="116">
        <v>391.5</v>
      </c>
      <c r="R1662">
        <v>1055770</v>
      </c>
    </row>
    <row r="1663" spans="1:18" x14ac:dyDescent="0.25">
      <c r="A1663" s="170">
        <v>45167</v>
      </c>
      <c r="B1663" s="116">
        <v>394.95</v>
      </c>
      <c r="C1663" s="116">
        <v>390.9</v>
      </c>
      <c r="D1663" s="116">
        <v>388.4</v>
      </c>
      <c r="E1663" s="116">
        <v>394.95</v>
      </c>
      <c r="F1663" s="116">
        <v>390.9</v>
      </c>
      <c r="G1663">
        <v>22338</v>
      </c>
      <c r="H1663" s="116"/>
      <c r="I1663" s="116"/>
      <c r="L1663" s="170">
        <v>45167</v>
      </c>
      <c r="M1663" s="116">
        <v>391.05</v>
      </c>
      <c r="N1663" s="116">
        <v>392.95</v>
      </c>
      <c r="O1663" s="116">
        <v>388.5</v>
      </c>
      <c r="P1663" s="116">
        <v>392</v>
      </c>
      <c r="Q1663" s="116">
        <v>391.05</v>
      </c>
      <c r="R1663">
        <v>1089965</v>
      </c>
    </row>
    <row r="1664" spans="1:18" x14ac:dyDescent="0.25">
      <c r="A1664" s="170">
        <v>45168</v>
      </c>
      <c r="B1664" s="116">
        <v>405.6</v>
      </c>
      <c r="C1664" s="116">
        <v>400.3</v>
      </c>
      <c r="D1664" s="116">
        <v>390.9</v>
      </c>
      <c r="E1664" s="116">
        <v>390.9</v>
      </c>
      <c r="F1664" s="116">
        <v>400.3</v>
      </c>
      <c r="G1664">
        <v>87363</v>
      </c>
      <c r="H1664" s="116"/>
      <c r="I1664" s="116"/>
      <c r="L1664" s="170">
        <v>45168</v>
      </c>
      <c r="M1664" s="116">
        <v>400</v>
      </c>
      <c r="N1664" s="116">
        <v>405.65</v>
      </c>
      <c r="O1664" s="116">
        <v>390.3</v>
      </c>
      <c r="P1664" s="116">
        <v>390.95</v>
      </c>
      <c r="Q1664" s="116">
        <v>400</v>
      </c>
      <c r="R1664">
        <v>2913840</v>
      </c>
    </row>
    <row r="1665" spans="1:18" x14ac:dyDescent="0.25">
      <c r="A1665" s="170">
        <v>45169</v>
      </c>
      <c r="B1665" s="116">
        <v>401.8</v>
      </c>
      <c r="C1665" s="116">
        <v>399.7</v>
      </c>
      <c r="D1665" s="116">
        <v>394.3</v>
      </c>
      <c r="E1665" s="116">
        <v>400</v>
      </c>
      <c r="F1665" s="116">
        <v>399.7</v>
      </c>
      <c r="G1665">
        <v>83514</v>
      </c>
      <c r="H1665" s="116"/>
      <c r="I1665" s="116"/>
      <c r="L1665" s="170">
        <v>45169</v>
      </c>
      <c r="M1665" s="116">
        <v>399.6</v>
      </c>
      <c r="N1665" s="116">
        <v>401.95</v>
      </c>
      <c r="O1665" s="116">
        <v>394.15</v>
      </c>
      <c r="P1665" s="116">
        <v>400</v>
      </c>
      <c r="Q1665" s="116">
        <v>399.6</v>
      </c>
      <c r="R1665">
        <v>1653231</v>
      </c>
    </row>
    <row r="1666" spans="1:18" x14ac:dyDescent="0.25">
      <c r="A1666" s="170">
        <v>45170</v>
      </c>
      <c r="B1666" s="116">
        <v>404.05</v>
      </c>
      <c r="C1666" s="116">
        <v>396.25</v>
      </c>
      <c r="D1666" s="116">
        <v>393.1</v>
      </c>
      <c r="E1666" s="116">
        <v>400</v>
      </c>
      <c r="F1666" s="116">
        <v>396.25</v>
      </c>
      <c r="G1666">
        <v>102012</v>
      </c>
      <c r="H1666" s="116"/>
      <c r="I1666" s="116"/>
      <c r="L1666" s="170">
        <v>45170</v>
      </c>
      <c r="M1666" s="116">
        <v>396.45</v>
      </c>
      <c r="N1666" s="116">
        <v>403.75</v>
      </c>
      <c r="O1666" s="116">
        <v>393.45</v>
      </c>
      <c r="P1666" s="116">
        <v>402</v>
      </c>
      <c r="Q1666" s="116">
        <v>396.45</v>
      </c>
      <c r="R1666">
        <v>1102597</v>
      </c>
    </row>
    <row r="1667" spans="1:18" x14ac:dyDescent="0.25">
      <c r="A1667" s="170">
        <v>45173</v>
      </c>
      <c r="B1667" s="116">
        <v>399.5</v>
      </c>
      <c r="C1667" s="116">
        <v>394.55</v>
      </c>
      <c r="D1667" s="116">
        <v>390.5</v>
      </c>
      <c r="E1667" s="116">
        <v>396.3</v>
      </c>
      <c r="F1667" s="116">
        <v>394.55</v>
      </c>
      <c r="G1667">
        <v>65259</v>
      </c>
      <c r="H1667" s="116"/>
      <c r="I1667" s="116"/>
      <c r="L1667" s="170">
        <v>45173</v>
      </c>
      <c r="M1667" s="116">
        <v>394.3</v>
      </c>
      <c r="N1667" s="116">
        <v>399.3</v>
      </c>
      <c r="O1667" s="116">
        <v>390.25</v>
      </c>
      <c r="P1667" s="116">
        <v>397</v>
      </c>
      <c r="Q1667" s="116">
        <v>394.3</v>
      </c>
      <c r="R1667">
        <v>1838617</v>
      </c>
    </row>
    <row r="1668" spans="1:18" x14ac:dyDescent="0.25">
      <c r="A1668" s="170">
        <v>45174</v>
      </c>
      <c r="B1668" s="116">
        <v>410.7</v>
      </c>
      <c r="C1668" s="116">
        <v>406.4</v>
      </c>
      <c r="D1668" s="116">
        <v>394.85</v>
      </c>
      <c r="E1668" s="116">
        <v>396.95</v>
      </c>
      <c r="F1668" s="116">
        <v>406.4</v>
      </c>
      <c r="G1668">
        <v>218001</v>
      </c>
      <c r="H1668" s="116"/>
      <c r="I1668" s="116"/>
      <c r="L1668" s="170">
        <v>45174</v>
      </c>
      <c r="M1668" s="116">
        <v>406.6</v>
      </c>
      <c r="N1668" s="116">
        <v>410.95</v>
      </c>
      <c r="O1668" s="116">
        <v>394.45</v>
      </c>
      <c r="P1668" s="116">
        <v>396</v>
      </c>
      <c r="Q1668" s="116">
        <v>406.6</v>
      </c>
      <c r="R1668">
        <v>2428536</v>
      </c>
    </row>
    <row r="1669" spans="1:18" x14ac:dyDescent="0.25">
      <c r="A1669" s="170">
        <v>45175</v>
      </c>
      <c r="B1669" s="116">
        <v>411</v>
      </c>
      <c r="C1669" s="116">
        <v>407.15</v>
      </c>
      <c r="D1669" s="116">
        <v>402</v>
      </c>
      <c r="E1669" s="116">
        <v>407.05</v>
      </c>
      <c r="F1669" s="116">
        <v>407.15</v>
      </c>
      <c r="G1669">
        <v>56881</v>
      </c>
      <c r="H1669" s="116"/>
      <c r="I1669" s="116"/>
      <c r="L1669" s="170">
        <v>45175</v>
      </c>
      <c r="M1669" s="116">
        <v>407.3</v>
      </c>
      <c r="N1669" s="116">
        <v>411.4</v>
      </c>
      <c r="O1669" s="116">
        <v>401.8</v>
      </c>
      <c r="P1669" s="116">
        <v>408.4</v>
      </c>
      <c r="Q1669" s="116">
        <v>407.3</v>
      </c>
      <c r="R1669">
        <v>1939530</v>
      </c>
    </row>
    <row r="1670" spans="1:18" x14ac:dyDescent="0.25">
      <c r="A1670" s="170">
        <v>45176</v>
      </c>
      <c r="B1670" s="116">
        <v>409.6</v>
      </c>
      <c r="C1670" s="116">
        <v>405.05</v>
      </c>
      <c r="D1670" s="116">
        <v>403.7</v>
      </c>
      <c r="E1670" s="116">
        <v>408.15</v>
      </c>
      <c r="F1670" s="116">
        <v>405.05</v>
      </c>
      <c r="G1670">
        <v>23838</v>
      </c>
      <c r="H1670" s="116"/>
      <c r="I1670" s="116"/>
      <c r="L1670" s="170">
        <v>45176</v>
      </c>
      <c r="M1670" s="116">
        <v>405.2</v>
      </c>
      <c r="N1670" s="116">
        <v>409.85</v>
      </c>
      <c r="O1670" s="116">
        <v>403.6</v>
      </c>
      <c r="P1670" s="116">
        <v>409</v>
      </c>
      <c r="Q1670" s="116">
        <v>405.2</v>
      </c>
      <c r="R1670">
        <v>684985</v>
      </c>
    </row>
    <row r="1671" spans="1:18" x14ac:dyDescent="0.25">
      <c r="A1671" s="170">
        <v>45177</v>
      </c>
      <c r="B1671" s="116">
        <v>411</v>
      </c>
      <c r="C1671" s="116">
        <v>410.3</v>
      </c>
      <c r="D1671" s="116">
        <v>401.25</v>
      </c>
      <c r="E1671" s="116">
        <v>406</v>
      </c>
      <c r="F1671" s="116">
        <v>410.3</v>
      </c>
      <c r="G1671">
        <v>48028</v>
      </c>
      <c r="H1671" s="116"/>
      <c r="I1671" s="116"/>
      <c r="L1671" s="170">
        <v>45177</v>
      </c>
      <c r="M1671" s="116">
        <v>410.25</v>
      </c>
      <c r="N1671" s="116">
        <v>411.5</v>
      </c>
      <c r="O1671" s="116">
        <v>401.15</v>
      </c>
      <c r="P1671" s="116">
        <v>407.2</v>
      </c>
      <c r="Q1671" s="116">
        <v>410.25</v>
      </c>
      <c r="R1671">
        <v>2428273</v>
      </c>
    </row>
    <row r="1672" spans="1:18" x14ac:dyDescent="0.25">
      <c r="A1672" s="170">
        <v>45180</v>
      </c>
      <c r="B1672" s="116">
        <v>415.05</v>
      </c>
      <c r="C1672" s="116">
        <v>406.85</v>
      </c>
      <c r="D1672" s="116">
        <v>405.4</v>
      </c>
      <c r="E1672" s="116">
        <v>411.05</v>
      </c>
      <c r="F1672" s="116">
        <v>406.85</v>
      </c>
      <c r="G1672">
        <v>127056</v>
      </c>
      <c r="H1672" s="116"/>
      <c r="I1672" s="116"/>
      <c r="L1672" s="170">
        <v>45180</v>
      </c>
      <c r="M1672" s="116">
        <v>407.4</v>
      </c>
      <c r="N1672" s="116">
        <v>415.5</v>
      </c>
      <c r="O1672" s="116">
        <v>405.3</v>
      </c>
      <c r="P1672" s="116">
        <v>411.9</v>
      </c>
      <c r="Q1672" s="116">
        <v>407.4</v>
      </c>
      <c r="R1672">
        <v>1303882</v>
      </c>
    </row>
    <row r="1673" spans="1:18" x14ac:dyDescent="0.25">
      <c r="A1673" s="170">
        <v>45181</v>
      </c>
      <c r="B1673" s="116">
        <v>405.45</v>
      </c>
      <c r="C1673" s="116">
        <v>384.25</v>
      </c>
      <c r="D1673" s="116">
        <v>377.75</v>
      </c>
      <c r="E1673" s="116">
        <v>405</v>
      </c>
      <c r="F1673" s="116">
        <v>384.25</v>
      </c>
      <c r="G1673">
        <v>163301</v>
      </c>
      <c r="H1673" s="116"/>
      <c r="I1673" s="116"/>
      <c r="L1673" s="170">
        <v>45181</v>
      </c>
      <c r="M1673" s="116">
        <v>384.1</v>
      </c>
      <c r="N1673" s="116">
        <v>404.85</v>
      </c>
      <c r="O1673" s="116">
        <v>377.25</v>
      </c>
      <c r="P1673" s="116">
        <v>399.9</v>
      </c>
      <c r="Q1673" s="116">
        <v>384.1</v>
      </c>
      <c r="R1673">
        <v>6868926</v>
      </c>
    </row>
    <row r="1674" spans="1:18" x14ac:dyDescent="0.25">
      <c r="A1674" s="170">
        <v>45182</v>
      </c>
      <c r="B1674" s="116">
        <v>394.7</v>
      </c>
      <c r="C1674" s="116">
        <v>387.95</v>
      </c>
      <c r="D1674" s="116">
        <v>378.05</v>
      </c>
      <c r="E1674" s="116">
        <v>378.05</v>
      </c>
      <c r="F1674" s="116">
        <v>387.95</v>
      </c>
      <c r="G1674">
        <v>229283</v>
      </c>
      <c r="H1674" s="116"/>
      <c r="I1674" s="116"/>
      <c r="L1674" s="170">
        <v>45182</v>
      </c>
      <c r="M1674" s="116">
        <v>388.1</v>
      </c>
      <c r="N1674" s="116">
        <v>395</v>
      </c>
      <c r="O1674" s="116">
        <v>379.5</v>
      </c>
      <c r="P1674" s="116">
        <v>379.5</v>
      </c>
      <c r="Q1674" s="116">
        <v>388.1</v>
      </c>
      <c r="R1674">
        <v>2216349</v>
      </c>
    </row>
    <row r="1675" spans="1:18" x14ac:dyDescent="0.25">
      <c r="A1675" s="170">
        <v>45183</v>
      </c>
      <c r="B1675" s="116">
        <v>402</v>
      </c>
      <c r="C1675" s="116">
        <v>399.05</v>
      </c>
      <c r="D1675" s="116">
        <v>388</v>
      </c>
      <c r="E1675" s="116">
        <v>389.75</v>
      </c>
      <c r="F1675" s="116">
        <v>399.05</v>
      </c>
      <c r="G1675">
        <v>71848</v>
      </c>
      <c r="H1675" s="116"/>
      <c r="I1675" s="116"/>
      <c r="L1675" s="170">
        <v>45183</v>
      </c>
      <c r="M1675" s="116">
        <v>399.2</v>
      </c>
      <c r="N1675" s="116">
        <v>402.45</v>
      </c>
      <c r="O1675" s="116">
        <v>388.05</v>
      </c>
      <c r="P1675" s="116">
        <v>389.5</v>
      </c>
      <c r="Q1675" s="116">
        <v>399.2</v>
      </c>
      <c r="R1675">
        <v>1884107</v>
      </c>
    </row>
    <row r="1676" spans="1:18" x14ac:dyDescent="0.25">
      <c r="A1676" s="170">
        <v>45184</v>
      </c>
      <c r="B1676" s="116">
        <v>407.15</v>
      </c>
      <c r="C1676" s="116">
        <v>400.8</v>
      </c>
      <c r="D1676" s="116">
        <v>397.9</v>
      </c>
      <c r="E1676" s="116">
        <v>399.05</v>
      </c>
      <c r="F1676" s="116">
        <v>400.8</v>
      </c>
      <c r="G1676">
        <v>50331</v>
      </c>
      <c r="H1676" s="116"/>
      <c r="I1676" s="116"/>
      <c r="L1676" s="170">
        <v>45184</v>
      </c>
      <c r="M1676" s="116">
        <v>400.95</v>
      </c>
      <c r="N1676" s="116">
        <v>407.25</v>
      </c>
      <c r="O1676" s="116">
        <v>397.6</v>
      </c>
      <c r="P1676" s="116">
        <v>399.95</v>
      </c>
      <c r="Q1676" s="116">
        <v>400.95</v>
      </c>
      <c r="R1676">
        <v>2134121</v>
      </c>
    </row>
    <row r="1677" spans="1:18" x14ac:dyDescent="0.25">
      <c r="A1677" s="170">
        <v>45187</v>
      </c>
      <c r="B1677" s="116">
        <v>405.45</v>
      </c>
      <c r="C1677" s="116">
        <v>393.6</v>
      </c>
      <c r="D1677" s="116">
        <v>391.65</v>
      </c>
      <c r="E1677" s="116">
        <v>400.8</v>
      </c>
      <c r="F1677" s="116">
        <v>393.6</v>
      </c>
      <c r="G1677">
        <v>55100</v>
      </c>
      <c r="H1677" s="116"/>
      <c r="I1677" s="116"/>
      <c r="L1677" s="170">
        <v>45187</v>
      </c>
      <c r="M1677" s="116">
        <v>393.7</v>
      </c>
      <c r="N1677" s="116">
        <v>405.45</v>
      </c>
      <c r="O1677" s="116">
        <v>391.7</v>
      </c>
      <c r="P1677" s="116">
        <v>400.95</v>
      </c>
      <c r="Q1677" s="116">
        <v>393.7</v>
      </c>
      <c r="R1677">
        <v>1568717</v>
      </c>
    </row>
    <row r="1678" spans="1:18" x14ac:dyDescent="0.25">
      <c r="A1678" s="170">
        <v>45189</v>
      </c>
      <c r="B1678" s="116">
        <v>396</v>
      </c>
      <c r="C1678" s="116">
        <v>394.8</v>
      </c>
      <c r="D1678" s="116">
        <v>389</v>
      </c>
      <c r="E1678" s="116">
        <v>390.9</v>
      </c>
      <c r="F1678" s="116">
        <v>394.8</v>
      </c>
      <c r="G1678">
        <v>35495</v>
      </c>
      <c r="H1678" s="116"/>
      <c r="I1678" s="116"/>
      <c r="L1678" s="170">
        <v>45189</v>
      </c>
      <c r="M1678" s="116">
        <v>395.1</v>
      </c>
      <c r="N1678" s="116">
        <v>396.2</v>
      </c>
      <c r="O1678" s="116">
        <v>388.4</v>
      </c>
      <c r="P1678" s="116">
        <v>393.7</v>
      </c>
      <c r="Q1678" s="116">
        <v>395.1</v>
      </c>
      <c r="R1678">
        <v>943214</v>
      </c>
    </row>
    <row r="1679" spans="1:18" x14ac:dyDescent="0.25">
      <c r="A1679" s="170">
        <v>45190</v>
      </c>
      <c r="B1679" s="116">
        <v>397.2</v>
      </c>
      <c r="C1679" s="116">
        <v>390.55</v>
      </c>
      <c r="D1679" s="116">
        <v>389.7</v>
      </c>
      <c r="E1679" s="116">
        <v>389.7</v>
      </c>
      <c r="F1679" s="116">
        <v>390.55</v>
      </c>
      <c r="G1679">
        <v>31058</v>
      </c>
      <c r="H1679" s="116"/>
      <c r="I1679" s="116"/>
      <c r="L1679" s="170">
        <v>45190</v>
      </c>
      <c r="M1679" s="116">
        <v>390.7</v>
      </c>
      <c r="N1679" s="116">
        <v>397.75</v>
      </c>
      <c r="O1679" s="116">
        <v>389.7</v>
      </c>
      <c r="P1679" s="116">
        <v>395.6</v>
      </c>
      <c r="Q1679" s="116">
        <v>390.7</v>
      </c>
      <c r="R1679">
        <v>890350</v>
      </c>
    </row>
    <row r="1680" spans="1:18" x14ac:dyDescent="0.25">
      <c r="A1680" s="170">
        <v>45191</v>
      </c>
      <c r="B1680" s="116">
        <v>390.3</v>
      </c>
      <c r="C1680" s="116">
        <v>386.65</v>
      </c>
      <c r="D1680" s="116">
        <v>382</v>
      </c>
      <c r="E1680" s="116">
        <v>388.9</v>
      </c>
      <c r="F1680" s="116">
        <v>386.65</v>
      </c>
      <c r="G1680">
        <v>39218</v>
      </c>
      <c r="H1680" s="116"/>
      <c r="I1680" s="116"/>
      <c r="L1680" s="170">
        <v>45191</v>
      </c>
      <c r="M1680" s="116">
        <v>386.6</v>
      </c>
      <c r="N1680" s="116">
        <v>391.9</v>
      </c>
      <c r="O1680" s="116">
        <v>382.1</v>
      </c>
      <c r="P1680" s="116">
        <v>390.5</v>
      </c>
      <c r="Q1680" s="116">
        <v>386.6</v>
      </c>
      <c r="R1680">
        <v>1355645</v>
      </c>
    </row>
    <row r="1681" spans="1:18" x14ac:dyDescent="0.25">
      <c r="A1681" s="170">
        <v>45194</v>
      </c>
      <c r="B1681" s="116">
        <v>390.5</v>
      </c>
      <c r="C1681" s="116">
        <v>388.7</v>
      </c>
      <c r="D1681" s="116">
        <v>379.8</v>
      </c>
      <c r="E1681" s="116">
        <v>386.05</v>
      </c>
      <c r="F1681" s="116">
        <v>388.7</v>
      </c>
      <c r="G1681">
        <v>87549</v>
      </c>
      <c r="H1681" s="116"/>
      <c r="I1681" s="116"/>
      <c r="L1681" s="170">
        <v>45194</v>
      </c>
      <c r="M1681" s="116">
        <v>388.8</v>
      </c>
      <c r="N1681" s="116">
        <v>391</v>
      </c>
      <c r="O1681" s="116">
        <v>379.55</v>
      </c>
      <c r="P1681" s="116">
        <v>388</v>
      </c>
      <c r="Q1681" s="116">
        <v>388.8</v>
      </c>
      <c r="R1681">
        <v>1631981</v>
      </c>
    </row>
    <row r="1682" spans="1:18" x14ac:dyDescent="0.25">
      <c r="A1682" s="170">
        <v>45195</v>
      </c>
      <c r="B1682" s="116">
        <v>391.1</v>
      </c>
      <c r="C1682" s="116">
        <v>385.65</v>
      </c>
      <c r="D1682" s="116">
        <v>384.7</v>
      </c>
      <c r="E1682" s="116">
        <v>387.3</v>
      </c>
      <c r="F1682" s="116">
        <v>385.65</v>
      </c>
      <c r="G1682">
        <v>14875</v>
      </c>
      <c r="H1682" s="116"/>
      <c r="I1682" s="116"/>
      <c r="L1682" s="170">
        <v>45195</v>
      </c>
      <c r="M1682" s="116">
        <v>385.3</v>
      </c>
      <c r="N1682" s="116">
        <v>391.3</v>
      </c>
      <c r="O1682" s="116">
        <v>384.3</v>
      </c>
      <c r="P1682" s="116">
        <v>388</v>
      </c>
      <c r="Q1682" s="116">
        <v>385.3</v>
      </c>
      <c r="R1682">
        <v>674853</v>
      </c>
    </row>
    <row r="1683" spans="1:18" x14ac:dyDescent="0.25">
      <c r="A1683" s="170">
        <v>45196</v>
      </c>
      <c r="B1683" s="116">
        <v>396</v>
      </c>
      <c r="C1683" s="116">
        <v>394.6</v>
      </c>
      <c r="D1683" s="116">
        <v>384.4</v>
      </c>
      <c r="E1683" s="116">
        <v>385.95</v>
      </c>
      <c r="F1683" s="116">
        <v>394.6</v>
      </c>
      <c r="G1683">
        <v>90069</v>
      </c>
      <c r="H1683" s="116"/>
      <c r="I1683" s="116"/>
      <c r="L1683" s="170">
        <v>45196</v>
      </c>
      <c r="M1683" s="116">
        <v>394.05</v>
      </c>
      <c r="N1683" s="116">
        <v>396</v>
      </c>
      <c r="O1683" s="116">
        <v>384.25</v>
      </c>
      <c r="P1683" s="116">
        <v>384.9</v>
      </c>
      <c r="Q1683" s="116">
        <v>394.05</v>
      </c>
      <c r="R1683">
        <v>1531447</v>
      </c>
    </row>
    <row r="1684" spans="1:18" x14ac:dyDescent="0.25">
      <c r="A1684" s="170">
        <v>45197</v>
      </c>
      <c r="B1684" s="116">
        <v>401.5</v>
      </c>
      <c r="C1684" s="116">
        <v>391.1</v>
      </c>
      <c r="D1684" s="116">
        <v>390</v>
      </c>
      <c r="E1684" s="116">
        <v>397.95</v>
      </c>
      <c r="F1684" s="116">
        <v>391.1</v>
      </c>
      <c r="G1684">
        <v>118101</v>
      </c>
      <c r="H1684" s="116"/>
      <c r="I1684" s="116"/>
      <c r="L1684" s="170">
        <v>45197</v>
      </c>
      <c r="M1684" s="116">
        <v>390.9</v>
      </c>
      <c r="N1684" s="116">
        <v>401.7</v>
      </c>
      <c r="O1684" s="116">
        <v>388</v>
      </c>
      <c r="P1684" s="116">
        <v>396.95</v>
      </c>
      <c r="Q1684" s="116">
        <v>390.9</v>
      </c>
      <c r="R1684">
        <v>1768224</v>
      </c>
    </row>
    <row r="1685" spans="1:18" x14ac:dyDescent="0.25">
      <c r="A1685" s="170">
        <v>45198</v>
      </c>
      <c r="B1685" s="116">
        <v>400.5</v>
      </c>
      <c r="C1685" s="116">
        <v>395.2</v>
      </c>
      <c r="D1685" s="116">
        <v>391.15</v>
      </c>
      <c r="E1685" s="116">
        <v>391.15</v>
      </c>
      <c r="F1685" s="116">
        <v>395.2</v>
      </c>
      <c r="G1685">
        <v>119161</v>
      </c>
      <c r="H1685" s="116"/>
      <c r="I1685" s="116"/>
      <c r="L1685" s="170">
        <v>45198</v>
      </c>
      <c r="M1685" s="116">
        <v>395.4</v>
      </c>
      <c r="N1685" s="116">
        <v>400.95</v>
      </c>
      <c r="O1685" s="116">
        <v>391.75</v>
      </c>
      <c r="P1685" s="116">
        <v>393</v>
      </c>
      <c r="Q1685" s="116">
        <v>395.4</v>
      </c>
      <c r="R1685">
        <v>1846759</v>
      </c>
    </row>
    <row r="1686" spans="1:18" x14ac:dyDescent="0.25">
      <c r="A1686" s="170">
        <v>45202</v>
      </c>
      <c r="B1686" s="116">
        <v>399.65</v>
      </c>
      <c r="C1686" s="116">
        <v>397.4</v>
      </c>
      <c r="D1686" s="116">
        <v>390.05</v>
      </c>
      <c r="E1686" s="116">
        <v>390.05</v>
      </c>
      <c r="F1686" s="116">
        <v>397.4</v>
      </c>
      <c r="G1686">
        <v>18203</v>
      </c>
      <c r="H1686" s="116"/>
      <c r="I1686" s="116"/>
      <c r="L1686" s="170">
        <v>45202</v>
      </c>
      <c r="M1686" s="116">
        <v>397.45</v>
      </c>
      <c r="N1686" s="116">
        <v>399.7</v>
      </c>
      <c r="O1686" s="116">
        <v>394.25</v>
      </c>
      <c r="P1686" s="116">
        <v>395.4</v>
      </c>
      <c r="Q1686" s="116">
        <v>397.45</v>
      </c>
      <c r="R1686">
        <v>1154173</v>
      </c>
    </row>
    <row r="1687" spans="1:18" x14ac:dyDescent="0.25">
      <c r="A1687" s="170">
        <v>45203</v>
      </c>
      <c r="B1687" s="116">
        <v>396.55</v>
      </c>
      <c r="C1687" s="116">
        <v>390.65</v>
      </c>
      <c r="D1687" s="116">
        <v>386.5</v>
      </c>
      <c r="E1687" s="116">
        <v>394.05</v>
      </c>
      <c r="F1687" s="116">
        <v>390.65</v>
      </c>
      <c r="G1687">
        <v>18758</v>
      </c>
      <c r="H1687" s="116"/>
      <c r="I1687" s="116"/>
      <c r="L1687" s="170">
        <v>45203</v>
      </c>
      <c r="M1687" s="116">
        <v>391.2</v>
      </c>
      <c r="N1687" s="116">
        <v>396.95</v>
      </c>
      <c r="O1687" s="116">
        <v>386.45</v>
      </c>
      <c r="P1687" s="116">
        <v>395</v>
      </c>
      <c r="Q1687" s="116">
        <v>391.2</v>
      </c>
      <c r="R1687">
        <v>797891</v>
      </c>
    </row>
    <row r="1688" spans="1:18" x14ac:dyDescent="0.25">
      <c r="A1688" s="170">
        <v>45204</v>
      </c>
      <c r="B1688" s="116">
        <v>398.5</v>
      </c>
      <c r="C1688" s="116">
        <v>394.6</v>
      </c>
      <c r="D1688" s="116">
        <v>390.8</v>
      </c>
      <c r="E1688" s="116">
        <v>398.5</v>
      </c>
      <c r="F1688" s="116">
        <v>394.6</v>
      </c>
      <c r="G1688">
        <v>24820</v>
      </c>
      <c r="H1688" s="116"/>
      <c r="I1688" s="116"/>
      <c r="L1688" s="170">
        <v>45204</v>
      </c>
      <c r="M1688" s="116">
        <v>394.65</v>
      </c>
      <c r="N1688" s="116">
        <v>397.95</v>
      </c>
      <c r="O1688" s="116">
        <v>389.05</v>
      </c>
      <c r="P1688" s="116">
        <v>394</v>
      </c>
      <c r="Q1688" s="116">
        <v>394.65</v>
      </c>
      <c r="R1688">
        <v>889525</v>
      </c>
    </row>
    <row r="1689" spans="1:18" x14ac:dyDescent="0.25">
      <c r="A1689" s="170">
        <v>45205</v>
      </c>
      <c r="B1689" s="116">
        <v>404.2</v>
      </c>
      <c r="C1689" s="116">
        <v>398.55</v>
      </c>
      <c r="D1689" s="116">
        <v>394.05</v>
      </c>
      <c r="E1689" s="116">
        <v>394.05</v>
      </c>
      <c r="F1689" s="116">
        <v>398.55</v>
      </c>
      <c r="G1689">
        <v>35630</v>
      </c>
      <c r="H1689" s="116"/>
      <c r="I1689" s="116"/>
      <c r="L1689" s="170">
        <v>45205</v>
      </c>
      <c r="M1689" s="116">
        <v>398.45</v>
      </c>
      <c r="N1689" s="116">
        <v>404</v>
      </c>
      <c r="O1689" s="116">
        <v>394.65</v>
      </c>
      <c r="P1689" s="116">
        <v>396</v>
      </c>
      <c r="Q1689" s="116">
        <v>398.45</v>
      </c>
      <c r="R1689">
        <v>1456537</v>
      </c>
    </row>
    <row r="1690" spans="1:18" x14ac:dyDescent="0.25">
      <c r="A1690" s="170">
        <v>45208</v>
      </c>
      <c r="B1690" s="116">
        <v>402</v>
      </c>
      <c r="C1690" s="116">
        <v>398.15</v>
      </c>
      <c r="D1690" s="116">
        <v>386.15</v>
      </c>
      <c r="E1690" s="116">
        <v>386.15</v>
      </c>
      <c r="F1690" s="116">
        <v>398.15</v>
      </c>
      <c r="G1690">
        <v>120368</v>
      </c>
      <c r="H1690" s="116"/>
      <c r="I1690" s="116"/>
      <c r="L1690" s="170">
        <v>45208</v>
      </c>
      <c r="M1690" s="116">
        <v>399.15</v>
      </c>
      <c r="N1690" s="116">
        <v>402</v>
      </c>
      <c r="O1690" s="116">
        <v>393</v>
      </c>
      <c r="P1690" s="116">
        <v>394.3</v>
      </c>
      <c r="Q1690" s="116">
        <v>399.15</v>
      </c>
      <c r="R1690">
        <v>1156839</v>
      </c>
    </row>
    <row r="1691" spans="1:18" x14ac:dyDescent="0.25">
      <c r="A1691" s="170">
        <v>45209</v>
      </c>
      <c r="B1691" s="116">
        <v>405.3</v>
      </c>
      <c r="C1691" s="116">
        <v>400.15</v>
      </c>
      <c r="D1691" s="116">
        <v>398.15</v>
      </c>
      <c r="E1691" s="116">
        <v>398.15</v>
      </c>
      <c r="F1691" s="116">
        <v>400.15</v>
      </c>
      <c r="G1691">
        <v>43239</v>
      </c>
      <c r="H1691" s="116"/>
      <c r="I1691" s="116"/>
      <c r="L1691" s="170">
        <v>45209</v>
      </c>
      <c r="M1691" s="116">
        <v>400.15</v>
      </c>
      <c r="N1691" s="116">
        <v>405.35</v>
      </c>
      <c r="O1691" s="116">
        <v>399</v>
      </c>
      <c r="P1691" s="116">
        <v>399.15</v>
      </c>
      <c r="Q1691" s="116">
        <v>400.15</v>
      </c>
      <c r="R1691">
        <v>1307687</v>
      </c>
    </row>
    <row r="1692" spans="1:18" x14ac:dyDescent="0.25">
      <c r="A1692" s="170">
        <v>45210</v>
      </c>
      <c r="B1692" s="116">
        <v>407.4</v>
      </c>
      <c r="C1692" s="116">
        <v>400.4</v>
      </c>
      <c r="D1692" s="116">
        <v>399.4</v>
      </c>
      <c r="E1692" s="116">
        <v>400</v>
      </c>
      <c r="F1692" s="116">
        <v>400.4</v>
      </c>
      <c r="G1692">
        <v>119295</v>
      </c>
      <c r="H1692" s="116"/>
      <c r="I1692" s="116"/>
      <c r="L1692" s="170">
        <v>45210</v>
      </c>
      <c r="M1692" s="116">
        <v>400.3</v>
      </c>
      <c r="N1692" s="116">
        <v>407.25</v>
      </c>
      <c r="O1692" s="116">
        <v>399.75</v>
      </c>
      <c r="P1692" s="116">
        <v>401.9</v>
      </c>
      <c r="Q1692" s="116">
        <v>400.3</v>
      </c>
      <c r="R1692">
        <v>1590156</v>
      </c>
    </row>
    <row r="1693" spans="1:18" x14ac:dyDescent="0.25">
      <c r="A1693" s="170">
        <v>45211</v>
      </c>
      <c r="B1693" s="116">
        <v>402.45</v>
      </c>
      <c r="C1693" s="116">
        <v>401.4</v>
      </c>
      <c r="D1693" s="116">
        <v>395.85</v>
      </c>
      <c r="E1693" s="116">
        <v>400.45</v>
      </c>
      <c r="F1693" s="116">
        <v>401.4</v>
      </c>
      <c r="G1693">
        <v>73667</v>
      </c>
      <c r="H1693" s="116"/>
      <c r="I1693" s="116"/>
      <c r="L1693" s="170">
        <v>45211</v>
      </c>
      <c r="M1693" s="116">
        <v>401.6</v>
      </c>
      <c r="N1693" s="116">
        <v>402.5</v>
      </c>
      <c r="O1693" s="116">
        <v>395.6</v>
      </c>
      <c r="P1693" s="116">
        <v>400.3</v>
      </c>
      <c r="Q1693" s="116">
        <v>401.6</v>
      </c>
      <c r="R1693">
        <v>1166929</v>
      </c>
    </row>
    <row r="1694" spans="1:18" x14ac:dyDescent="0.25">
      <c r="A1694" s="170">
        <v>45212</v>
      </c>
      <c r="B1694" s="116">
        <v>409</v>
      </c>
      <c r="C1694" s="116">
        <v>404.1</v>
      </c>
      <c r="D1694" s="116">
        <v>399</v>
      </c>
      <c r="E1694" s="116">
        <v>399</v>
      </c>
      <c r="F1694" s="116">
        <v>404.1</v>
      </c>
      <c r="G1694">
        <v>56552</v>
      </c>
      <c r="H1694" s="116"/>
      <c r="I1694" s="116"/>
      <c r="L1694" s="170">
        <v>45212</v>
      </c>
      <c r="M1694" s="116">
        <v>404</v>
      </c>
      <c r="N1694" s="116">
        <v>408.85</v>
      </c>
      <c r="O1694" s="116">
        <v>397.6</v>
      </c>
      <c r="P1694" s="116">
        <v>398.05</v>
      </c>
      <c r="Q1694" s="116">
        <v>404</v>
      </c>
      <c r="R1694">
        <v>1330438</v>
      </c>
    </row>
    <row r="1695" spans="1:18" x14ac:dyDescent="0.25">
      <c r="A1695" s="170">
        <v>45215</v>
      </c>
      <c r="B1695" s="116">
        <v>410.55</v>
      </c>
      <c r="C1695" s="116">
        <v>398.55</v>
      </c>
      <c r="D1695" s="116">
        <v>395.8</v>
      </c>
      <c r="E1695" s="116">
        <v>407</v>
      </c>
      <c r="F1695" s="116">
        <v>398.55</v>
      </c>
      <c r="G1695">
        <v>158008</v>
      </c>
      <c r="H1695" s="116"/>
      <c r="I1695" s="116"/>
      <c r="L1695" s="170">
        <v>45215</v>
      </c>
      <c r="M1695" s="116">
        <v>398.7</v>
      </c>
      <c r="N1695" s="116">
        <v>411</v>
      </c>
      <c r="O1695" s="116">
        <v>396</v>
      </c>
      <c r="P1695" s="116">
        <v>409</v>
      </c>
      <c r="Q1695" s="116">
        <v>398.7</v>
      </c>
      <c r="R1695">
        <v>3502171</v>
      </c>
    </row>
    <row r="1696" spans="1:18" x14ac:dyDescent="0.25">
      <c r="A1696" s="170">
        <v>45216</v>
      </c>
      <c r="B1696" s="116">
        <v>403.95</v>
      </c>
      <c r="C1696" s="116">
        <v>400.15</v>
      </c>
      <c r="D1696" s="116">
        <v>398.85</v>
      </c>
      <c r="E1696" s="116">
        <v>403.95</v>
      </c>
      <c r="F1696" s="116">
        <v>400.15</v>
      </c>
      <c r="G1696">
        <v>21598</v>
      </c>
      <c r="H1696" s="116"/>
      <c r="I1696" s="116"/>
      <c r="L1696" s="170">
        <v>45216</v>
      </c>
      <c r="M1696" s="116">
        <v>400.25</v>
      </c>
      <c r="N1696" s="116">
        <v>402.75</v>
      </c>
      <c r="O1696" s="116">
        <v>398.7</v>
      </c>
      <c r="P1696" s="116">
        <v>401.05</v>
      </c>
      <c r="Q1696" s="116">
        <v>400.25</v>
      </c>
      <c r="R1696">
        <v>1408037</v>
      </c>
    </row>
    <row r="1697" spans="1:18" x14ac:dyDescent="0.25">
      <c r="A1697" s="170">
        <v>45217</v>
      </c>
      <c r="B1697" s="116">
        <v>403.3</v>
      </c>
      <c r="C1697" s="116">
        <v>399.1</v>
      </c>
      <c r="D1697" s="116">
        <v>396.9</v>
      </c>
      <c r="E1697" s="116">
        <v>399.8</v>
      </c>
      <c r="F1697" s="116">
        <v>399.1</v>
      </c>
      <c r="G1697">
        <v>38563</v>
      </c>
      <c r="H1697" s="116"/>
      <c r="I1697" s="116"/>
      <c r="L1697" s="170">
        <v>45217</v>
      </c>
      <c r="M1697" s="116">
        <v>399.05</v>
      </c>
      <c r="N1697" s="116">
        <v>403</v>
      </c>
      <c r="O1697" s="116">
        <v>396.8</v>
      </c>
      <c r="P1697" s="116">
        <v>400.25</v>
      </c>
      <c r="Q1697" s="116">
        <v>399.05</v>
      </c>
      <c r="R1697">
        <v>1964185</v>
      </c>
    </row>
    <row r="1698" spans="1:18" x14ac:dyDescent="0.25">
      <c r="A1698" s="170">
        <v>45218</v>
      </c>
      <c r="B1698" s="116">
        <v>401.65</v>
      </c>
      <c r="C1698" s="116">
        <v>395.9</v>
      </c>
      <c r="D1698" s="116">
        <v>394.1</v>
      </c>
      <c r="E1698" s="116">
        <v>396.1</v>
      </c>
      <c r="F1698" s="116">
        <v>395.9</v>
      </c>
      <c r="G1698">
        <v>59016</v>
      </c>
      <c r="H1698" s="116"/>
      <c r="I1698" s="116"/>
      <c r="L1698" s="170">
        <v>45218</v>
      </c>
      <c r="M1698" s="116">
        <v>396.4</v>
      </c>
      <c r="N1698" s="116">
        <v>401.9</v>
      </c>
      <c r="O1698" s="116">
        <v>394.5</v>
      </c>
      <c r="P1698" s="116">
        <v>398.9</v>
      </c>
      <c r="Q1698" s="116">
        <v>396.4</v>
      </c>
      <c r="R1698">
        <v>1285554</v>
      </c>
    </row>
    <row r="1699" spans="1:18" x14ac:dyDescent="0.25">
      <c r="A1699" s="170">
        <v>45219</v>
      </c>
      <c r="B1699" s="116">
        <v>411.85</v>
      </c>
      <c r="C1699" s="116">
        <v>399.65</v>
      </c>
      <c r="D1699" s="116">
        <v>386.2</v>
      </c>
      <c r="E1699" s="116">
        <v>395.05</v>
      </c>
      <c r="F1699" s="116">
        <v>399.65</v>
      </c>
      <c r="G1699">
        <v>157230</v>
      </c>
      <c r="H1699" s="116"/>
      <c r="I1699" s="116"/>
      <c r="L1699" s="170">
        <v>45219</v>
      </c>
      <c r="M1699" s="116">
        <v>400.95</v>
      </c>
      <c r="N1699" s="116">
        <v>411.4</v>
      </c>
      <c r="O1699" s="116">
        <v>386.25</v>
      </c>
      <c r="P1699" s="116">
        <v>396</v>
      </c>
      <c r="Q1699" s="116">
        <v>400.95</v>
      </c>
      <c r="R1699">
        <v>6929875</v>
      </c>
    </row>
    <row r="1700" spans="1:18" x14ac:dyDescent="0.25">
      <c r="A1700" s="170">
        <v>45222</v>
      </c>
      <c r="B1700" s="116">
        <v>400.95</v>
      </c>
      <c r="C1700" s="116">
        <v>361.6</v>
      </c>
      <c r="D1700" s="116">
        <v>355.25</v>
      </c>
      <c r="E1700" s="116">
        <v>389.9</v>
      </c>
      <c r="F1700" s="116">
        <v>361.6</v>
      </c>
      <c r="G1700">
        <v>437396</v>
      </c>
      <c r="H1700" s="116"/>
      <c r="I1700" s="116"/>
      <c r="L1700" s="170">
        <v>45222</v>
      </c>
      <c r="M1700" s="116">
        <v>362.4</v>
      </c>
      <c r="N1700" s="116">
        <v>401.65</v>
      </c>
      <c r="O1700" s="116">
        <v>355</v>
      </c>
      <c r="P1700" s="116">
        <v>388</v>
      </c>
      <c r="Q1700" s="116">
        <v>362.4</v>
      </c>
      <c r="R1700">
        <v>14689676</v>
      </c>
    </row>
    <row r="1701" spans="1:18" x14ac:dyDescent="0.25">
      <c r="A1701" s="170">
        <v>45224</v>
      </c>
      <c r="B1701" s="116">
        <v>367.85</v>
      </c>
      <c r="C1701" s="116">
        <v>356.6</v>
      </c>
      <c r="D1701" s="116">
        <v>352</v>
      </c>
      <c r="E1701" s="116">
        <v>365.15</v>
      </c>
      <c r="F1701" s="116">
        <v>356.6</v>
      </c>
      <c r="G1701">
        <v>104191</v>
      </c>
      <c r="H1701" s="116"/>
      <c r="I1701" s="116"/>
      <c r="L1701" s="170">
        <v>45224</v>
      </c>
      <c r="M1701" s="116">
        <v>356.65</v>
      </c>
      <c r="N1701" s="116">
        <v>368.1</v>
      </c>
      <c r="O1701" s="116">
        <v>351.7</v>
      </c>
      <c r="P1701" s="116">
        <v>363</v>
      </c>
      <c r="Q1701" s="116">
        <v>356.65</v>
      </c>
      <c r="R1701">
        <v>3930630</v>
      </c>
    </row>
    <row r="1702" spans="1:18" x14ac:dyDescent="0.25">
      <c r="A1702" s="170">
        <v>45225</v>
      </c>
      <c r="B1702" s="116">
        <v>362</v>
      </c>
      <c r="C1702" s="116">
        <v>359.5</v>
      </c>
      <c r="D1702" s="116">
        <v>349.8</v>
      </c>
      <c r="E1702" s="116">
        <v>355.35</v>
      </c>
      <c r="F1702" s="116">
        <v>359.5</v>
      </c>
      <c r="G1702">
        <v>74598</v>
      </c>
      <c r="H1702" s="116"/>
      <c r="I1702" s="116"/>
      <c r="L1702" s="170">
        <v>45225</v>
      </c>
      <c r="M1702" s="116">
        <v>359.1</v>
      </c>
      <c r="N1702" s="116">
        <v>362.55</v>
      </c>
      <c r="O1702" s="116">
        <v>349.4</v>
      </c>
      <c r="P1702" s="116">
        <v>353.1</v>
      </c>
      <c r="Q1702" s="116">
        <v>359.1</v>
      </c>
      <c r="R1702">
        <v>5130895</v>
      </c>
    </row>
    <row r="1703" spans="1:18" x14ac:dyDescent="0.25">
      <c r="A1703" s="170">
        <v>45226</v>
      </c>
      <c r="B1703" s="116">
        <v>363.65</v>
      </c>
      <c r="C1703" s="116">
        <v>357.05</v>
      </c>
      <c r="D1703" s="116">
        <v>356.3</v>
      </c>
      <c r="E1703" s="116">
        <v>361</v>
      </c>
      <c r="F1703" s="116">
        <v>357.05</v>
      </c>
      <c r="G1703">
        <v>71364</v>
      </c>
      <c r="H1703" s="116"/>
      <c r="I1703" s="116"/>
      <c r="L1703" s="170">
        <v>45226</v>
      </c>
      <c r="M1703" s="116">
        <v>356.8</v>
      </c>
      <c r="N1703" s="116">
        <v>363.55</v>
      </c>
      <c r="O1703" s="116">
        <v>356</v>
      </c>
      <c r="P1703" s="116">
        <v>362</v>
      </c>
      <c r="Q1703" s="116">
        <v>356.8</v>
      </c>
      <c r="R1703">
        <v>1305960</v>
      </c>
    </row>
    <row r="1704" spans="1:18" x14ac:dyDescent="0.25">
      <c r="A1704" s="170">
        <v>45229</v>
      </c>
      <c r="B1704" s="116">
        <v>364.7</v>
      </c>
      <c r="C1704" s="116">
        <v>361.8</v>
      </c>
      <c r="D1704" s="116">
        <v>353</v>
      </c>
      <c r="E1704" s="116">
        <v>358.4</v>
      </c>
      <c r="F1704" s="116">
        <v>361.8</v>
      </c>
      <c r="G1704">
        <v>92845</v>
      </c>
      <c r="H1704" s="116"/>
      <c r="I1704" s="116"/>
      <c r="L1704" s="170">
        <v>45229</v>
      </c>
      <c r="M1704" s="116">
        <v>361.35</v>
      </c>
      <c r="N1704" s="116">
        <v>364.85</v>
      </c>
      <c r="O1704" s="116">
        <v>352.85</v>
      </c>
      <c r="P1704" s="116">
        <v>358</v>
      </c>
      <c r="Q1704" s="116">
        <v>361.35</v>
      </c>
      <c r="R1704">
        <v>972811</v>
      </c>
    </row>
    <row r="1705" spans="1:18" x14ac:dyDescent="0.25">
      <c r="A1705" s="170">
        <v>45230</v>
      </c>
      <c r="B1705" s="116">
        <v>364.8</v>
      </c>
      <c r="C1705" s="116">
        <v>361.5</v>
      </c>
      <c r="D1705" s="116">
        <v>360.25</v>
      </c>
      <c r="E1705" s="116">
        <v>363.85</v>
      </c>
      <c r="F1705" s="116">
        <v>361.5</v>
      </c>
      <c r="G1705">
        <v>51098</v>
      </c>
      <c r="H1705" s="116"/>
      <c r="I1705" s="116"/>
      <c r="L1705" s="170">
        <v>45230</v>
      </c>
      <c r="M1705" s="116">
        <v>361.75</v>
      </c>
      <c r="N1705" s="116">
        <v>364.9</v>
      </c>
      <c r="O1705" s="116">
        <v>360.45</v>
      </c>
      <c r="P1705" s="116">
        <v>363.45</v>
      </c>
      <c r="Q1705" s="116">
        <v>361.75</v>
      </c>
      <c r="R1705">
        <v>706396</v>
      </c>
    </row>
    <row r="1706" spans="1:18" x14ac:dyDescent="0.25">
      <c r="A1706" s="170">
        <v>45231</v>
      </c>
      <c r="B1706" s="116">
        <v>362.2</v>
      </c>
      <c r="C1706" s="116">
        <v>359</v>
      </c>
      <c r="D1706" s="116">
        <v>357.15</v>
      </c>
      <c r="E1706" s="116">
        <v>361.55</v>
      </c>
      <c r="F1706" s="116">
        <v>359</v>
      </c>
      <c r="G1706">
        <v>21258</v>
      </c>
      <c r="H1706" s="116"/>
      <c r="I1706" s="116"/>
      <c r="L1706" s="170">
        <v>45231</v>
      </c>
      <c r="M1706" s="116">
        <v>358.9</v>
      </c>
      <c r="N1706" s="116">
        <v>363</v>
      </c>
      <c r="O1706" s="116">
        <v>356.65</v>
      </c>
      <c r="P1706" s="116">
        <v>362</v>
      </c>
      <c r="Q1706" s="116">
        <v>358.9</v>
      </c>
      <c r="R1706">
        <v>848357</v>
      </c>
    </row>
    <row r="1707" spans="1:18" x14ac:dyDescent="0.25">
      <c r="A1707" s="170">
        <v>45232</v>
      </c>
      <c r="B1707" s="116">
        <v>366.25</v>
      </c>
      <c r="C1707" s="116">
        <v>362.15</v>
      </c>
      <c r="D1707" s="116">
        <v>359.3</v>
      </c>
      <c r="E1707" s="116">
        <v>359.3</v>
      </c>
      <c r="F1707" s="116">
        <v>362.15</v>
      </c>
      <c r="G1707">
        <v>86015</v>
      </c>
      <c r="H1707" s="116"/>
      <c r="I1707" s="116"/>
      <c r="L1707" s="170">
        <v>45232</v>
      </c>
      <c r="M1707" s="116">
        <v>362.3</v>
      </c>
      <c r="N1707" s="116">
        <v>366.35</v>
      </c>
      <c r="O1707" s="116">
        <v>358</v>
      </c>
      <c r="P1707" s="116">
        <v>358.9</v>
      </c>
      <c r="Q1707" s="116">
        <v>362.3</v>
      </c>
      <c r="R1707">
        <v>899272</v>
      </c>
    </row>
    <row r="1708" spans="1:18" x14ac:dyDescent="0.25">
      <c r="A1708" s="170">
        <v>45233</v>
      </c>
      <c r="B1708" s="116">
        <v>367.9</v>
      </c>
      <c r="C1708" s="116">
        <v>363.9</v>
      </c>
      <c r="D1708" s="116">
        <v>363.05</v>
      </c>
      <c r="E1708" s="116">
        <v>364</v>
      </c>
      <c r="F1708" s="116">
        <v>363.9</v>
      </c>
      <c r="G1708">
        <v>22449</v>
      </c>
      <c r="H1708" s="116"/>
      <c r="I1708" s="116"/>
      <c r="L1708" s="170">
        <v>45233</v>
      </c>
      <c r="M1708" s="116">
        <v>364.3</v>
      </c>
      <c r="N1708" s="116">
        <v>368</v>
      </c>
      <c r="O1708" s="116">
        <v>363.05</v>
      </c>
      <c r="P1708" s="116">
        <v>364.4</v>
      </c>
      <c r="Q1708" s="116">
        <v>364.3</v>
      </c>
      <c r="R1708">
        <v>425928</v>
      </c>
    </row>
    <row r="1709" spans="1:18" x14ac:dyDescent="0.25">
      <c r="A1709" s="170">
        <v>45236</v>
      </c>
      <c r="B1709" s="116">
        <v>373.5</v>
      </c>
      <c r="C1709" s="116">
        <v>372.35</v>
      </c>
      <c r="D1709" s="116">
        <v>362.8</v>
      </c>
      <c r="E1709" s="116">
        <v>362.8</v>
      </c>
      <c r="F1709" s="116">
        <v>372.35</v>
      </c>
      <c r="G1709">
        <v>154037</v>
      </c>
      <c r="H1709" s="116"/>
      <c r="I1709" s="116"/>
      <c r="L1709" s="170">
        <v>45236</v>
      </c>
      <c r="M1709" s="116">
        <v>372.4</v>
      </c>
      <c r="N1709" s="116">
        <v>373.45</v>
      </c>
      <c r="O1709" s="116">
        <v>364.3</v>
      </c>
      <c r="P1709" s="116">
        <v>364.3</v>
      </c>
      <c r="Q1709" s="116">
        <v>372.4</v>
      </c>
      <c r="R1709">
        <v>1274993</v>
      </c>
    </row>
    <row r="1710" spans="1:18" x14ac:dyDescent="0.25">
      <c r="A1710" s="170">
        <v>45237</v>
      </c>
      <c r="B1710" s="116">
        <v>373.75</v>
      </c>
      <c r="C1710" s="116">
        <v>370.1</v>
      </c>
      <c r="D1710" s="116">
        <v>369.1</v>
      </c>
      <c r="E1710" s="116">
        <v>370.15</v>
      </c>
      <c r="F1710" s="116">
        <v>370.1</v>
      </c>
      <c r="G1710">
        <v>24982</v>
      </c>
      <c r="H1710" s="116"/>
      <c r="I1710" s="116"/>
      <c r="L1710" s="170">
        <v>45237</v>
      </c>
      <c r="M1710" s="116">
        <v>369.95</v>
      </c>
      <c r="N1710" s="116">
        <v>374.2</v>
      </c>
      <c r="O1710" s="116">
        <v>368.9</v>
      </c>
      <c r="P1710" s="116">
        <v>373.95</v>
      </c>
      <c r="Q1710" s="116">
        <v>369.95</v>
      </c>
      <c r="R1710">
        <v>499601</v>
      </c>
    </row>
    <row r="1711" spans="1:18" x14ac:dyDescent="0.25">
      <c r="A1711" s="170">
        <v>45238</v>
      </c>
      <c r="B1711" s="116">
        <v>378.5</v>
      </c>
      <c r="C1711" s="116">
        <v>371.4</v>
      </c>
      <c r="D1711" s="116">
        <v>368.05</v>
      </c>
      <c r="E1711" s="116">
        <v>368.05</v>
      </c>
      <c r="F1711" s="116">
        <v>371.4</v>
      </c>
      <c r="G1711">
        <v>72897</v>
      </c>
      <c r="H1711" s="116"/>
      <c r="I1711" s="116"/>
      <c r="L1711" s="170">
        <v>45238</v>
      </c>
      <c r="M1711" s="116">
        <v>371.65</v>
      </c>
      <c r="N1711" s="116">
        <v>378.5</v>
      </c>
      <c r="O1711" s="116">
        <v>369.4</v>
      </c>
      <c r="P1711" s="116">
        <v>369.95</v>
      </c>
      <c r="Q1711" s="116">
        <v>371.65</v>
      </c>
      <c r="R1711">
        <v>1642816</v>
      </c>
    </row>
    <row r="1712" spans="1:18" x14ac:dyDescent="0.25">
      <c r="A1712" s="170">
        <v>45239</v>
      </c>
      <c r="B1712" s="116">
        <v>375.35</v>
      </c>
      <c r="C1712" s="116">
        <v>369.7</v>
      </c>
      <c r="D1712" s="116">
        <v>368.2</v>
      </c>
      <c r="E1712" s="116">
        <v>368.2</v>
      </c>
      <c r="F1712" s="116">
        <v>369.7</v>
      </c>
      <c r="G1712">
        <v>20165</v>
      </c>
      <c r="H1712" s="116"/>
      <c r="I1712" s="116"/>
      <c r="L1712" s="170">
        <v>45239</v>
      </c>
      <c r="M1712" s="116">
        <v>369.7</v>
      </c>
      <c r="N1712" s="116">
        <v>375.4</v>
      </c>
      <c r="O1712" s="116">
        <v>368.3</v>
      </c>
      <c r="P1712" s="116">
        <v>372</v>
      </c>
      <c r="Q1712" s="116">
        <v>369.7</v>
      </c>
      <c r="R1712">
        <v>711151</v>
      </c>
    </row>
    <row r="1713" spans="1:18" x14ac:dyDescent="0.25">
      <c r="A1713" s="170">
        <v>45240</v>
      </c>
      <c r="B1713" s="116">
        <v>371.25</v>
      </c>
      <c r="C1713" s="116">
        <v>368.85</v>
      </c>
      <c r="D1713" s="116">
        <v>365.3</v>
      </c>
      <c r="E1713" s="116">
        <v>368.05</v>
      </c>
      <c r="F1713" s="116">
        <v>368.85</v>
      </c>
      <c r="G1713">
        <v>41903</v>
      </c>
      <c r="H1713" s="116"/>
      <c r="I1713" s="116"/>
      <c r="L1713" s="170">
        <v>45240</v>
      </c>
      <c r="M1713" s="116">
        <v>368.95</v>
      </c>
      <c r="N1713" s="116">
        <v>370</v>
      </c>
      <c r="O1713" s="116">
        <v>365.4</v>
      </c>
      <c r="P1713" s="116">
        <v>369.45</v>
      </c>
      <c r="Q1713" s="116">
        <v>368.95</v>
      </c>
      <c r="R1713">
        <v>383187</v>
      </c>
    </row>
    <row r="1714" spans="1:18" x14ac:dyDescent="0.25">
      <c r="A1714" s="170">
        <v>45242</v>
      </c>
      <c r="B1714" s="116">
        <v>372.95</v>
      </c>
      <c r="C1714" s="116">
        <v>371.55</v>
      </c>
      <c r="D1714" s="116">
        <v>369.05</v>
      </c>
      <c r="E1714" s="116">
        <v>369.95</v>
      </c>
      <c r="F1714" s="116">
        <v>371.55</v>
      </c>
      <c r="G1714">
        <v>10950</v>
      </c>
      <c r="H1714" s="116"/>
      <c r="I1714" s="116"/>
      <c r="L1714" s="170">
        <v>45242</v>
      </c>
      <c r="M1714" s="116">
        <v>371.3</v>
      </c>
      <c r="N1714" s="116">
        <v>372.95</v>
      </c>
      <c r="O1714" s="116">
        <v>368.95</v>
      </c>
      <c r="P1714" s="116">
        <v>368.95</v>
      </c>
      <c r="Q1714" s="116">
        <v>371.3</v>
      </c>
      <c r="R1714">
        <v>130651</v>
      </c>
    </row>
    <row r="1715" spans="1:18" x14ac:dyDescent="0.25">
      <c r="A1715" s="170">
        <v>45243</v>
      </c>
      <c r="B1715" s="116">
        <v>374</v>
      </c>
      <c r="C1715" s="116">
        <v>372.7</v>
      </c>
      <c r="D1715" s="116">
        <v>368</v>
      </c>
      <c r="E1715" s="116">
        <v>369.3</v>
      </c>
      <c r="F1715" s="116">
        <v>372.7</v>
      </c>
      <c r="G1715">
        <v>45012</v>
      </c>
      <c r="H1715" s="116"/>
      <c r="I1715" s="116"/>
      <c r="L1715" s="170">
        <v>45243</v>
      </c>
      <c r="M1715" s="116">
        <v>373.15</v>
      </c>
      <c r="N1715" s="116">
        <v>374.05</v>
      </c>
      <c r="O1715" s="116">
        <v>368.05</v>
      </c>
      <c r="P1715" s="116">
        <v>371.25</v>
      </c>
      <c r="Q1715" s="116">
        <v>373.15</v>
      </c>
      <c r="R1715">
        <v>394090</v>
      </c>
    </row>
    <row r="1716" spans="1:18" x14ac:dyDescent="0.25">
      <c r="A1716" s="170">
        <v>45245</v>
      </c>
      <c r="B1716" s="116">
        <v>375.15</v>
      </c>
      <c r="C1716" s="116">
        <v>369.85</v>
      </c>
      <c r="D1716" s="116">
        <v>368.55</v>
      </c>
      <c r="E1716" s="116">
        <v>371.05</v>
      </c>
      <c r="F1716" s="116">
        <v>369.85</v>
      </c>
      <c r="G1716">
        <v>24879</v>
      </c>
      <c r="H1716" s="116"/>
      <c r="I1716" s="116"/>
      <c r="L1716" s="170">
        <v>45245</v>
      </c>
      <c r="M1716" s="116">
        <v>369.95</v>
      </c>
      <c r="N1716" s="116">
        <v>378.9</v>
      </c>
      <c r="O1716" s="116">
        <v>368.6</v>
      </c>
      <c r="P1716" s="116">
        <v>373.4</v>
      </c>
      <c r="Q1716" s="116">
        <v>369.95</v>
      </c>
      <c r="R1716">
        <v>1673116</v>
      </c>
    </row>
    <row r="1717" spans="1:18" x14ac:dyDescent="0.25">
      <c r="A1717" s="170">
        <v>45246</v>
      </c>
      <c r="B1717" s="116">
        <v>375.8</v>
      </c>
      <c r="C1717" s="116">
        <v>373.3</v>
      </c>
      <c r="D1717" s="116">
        <v>369</v>
      </c>
      <c r="E1717" s="116">
        <v>375.8</v>
      </c>
      <c r="F1717" s="116">
        <v>373.3</v>
      </c>
      <c r="G1717">
        <v>30912</v>
      </c>
      <c r="H1717" s="116"/>
      <c r="I1717" s="116"/>
      <c r="L1717" s="170">
        <v>45246</v>
      </c>
      <c r="M1717" s="116">
        <v>373.85</v>
      </c>
      <c r="N1717" s="116">
        <v>376</v>
      </c>
      <c r="O1717" s="116">
        <v>369.05</v>
      </c>
      <c r="P1717" s="116">
        <v>372</v>
      </c>
      <c r="Q1717" s="116">
        <v>373.85</v>
      </c>
      <c r="R1717">
        <v>1629038</v>
      </c>
    </row>
    <row r="1718" spans="1:18" x14ac:dyDescent="0.25">
      <c r="A1718" s="170">
        <v>45247</v>
      </c>
      <c r="B1718" s="116">
        <v>373.95</v>
      </c>
      <c r="C1718" s="116">
        <v>369.3</v>
      </c>
      <c r="D1718" s="116">
        <v>368</v>
      </c>
      <c r="E1718" s="116">
        <v>372.5</v>
      </c>
      <c r="F1718" s="116">
        <v>369.3</v>
      </c>
      <c r="G1718">
        <v>24680</v>
      </c>
      <c r="H1718" s="116"/>
      <c r="I1718" s="116"/>
      <c r="L1718" s="170">
        <v>45247</v>
      </c>
      <c r="M1718" s="116">
        <v>369.85</v>
      </c>
      <c r="N1718" s="116">
        <v>374.5</v>
      </c>
      <c r="O1718" s="116">
        <v>368</v>
      </c>
      <c r="P1718" s="116">
        <v>373.85</v>
      </c>
      <c r="Q1718" s="116">
        <v>369.85</v>
      </c>
      <c r="R1718">
        <v>1941545</v>
      </c>
    </row>
    <row r="1719" spans="1:18" x14ac:dyDescent="0.25">
      <c r="A1719" s="170">
        <v>45250</v>
      </c>
      <c r="B1719" s="116">
        <v>372.15</v>
      </c>
      <c r="C1719" s="116">
        <v>367.85</v>
      </c>
      <c r="D1719" s="116">
        <v>366.25</v>
      </c>
      <c r="E1719" s="116">
        <v>372.15</v>
      </c>
      <c r="F1719" s="116">
        <v>367.85</v>
      </c>
      <c r="G1719">
        <v>39702</v>
      </c>
      <c r="H1719" s="116"/>
      <c r="I1719" s="116"/>
      <c r="L1719" s="170">
        <v>45250</v>
      </c>
      <c r="M1719" s="116">
        <v>368.05</v>
      </c>
      <c r="N1719" s="116">
        <v>371.9</v>
      </c>
      <c r="O1719" s="116">
        <v>366.05</v>
      </c>
      <c r="P1719" s="116">
        <v>369.6</v>
      </c>
      <c r="Q1719" s="116">
        <v>368.05</v>
      </c>
      <c r="R1719">
        <v>1079165</v>
      </c>
    </row>
    <row r="1720" spans="1:18" x14ac:dyDescent="0.25">
      <c r="A1720" s="170">
        <v>45251</v>
      </c>
      <c r="B1720" s="116">
        <v>382.8</v>
      </c>
      <c r="C1720" s="116">
        <v>373.65</v>
      </c>
      <c r="D1720" s="116">
        <v>367.85</v>
      </c>
      <c r="E1720" s="116">
        <v>368.05</v>
      </c>
      <c r="F1720" s="116">
        <v>373.65</v>
      </c>
      <c r="G1720">
        <v>73265</v>
      </c>
      <c r="H1720" s="116"/>
      <c r="I1720" s="116"/>
      <c r="L1720" s="170">
        <v>45251</v>
      </c>
      <c r="M1720" s="116">
        <v>373.7</v>
      </c>
      <c r="N1720" s="116">
        <v>382.9</v>
      </c>
      <c r="O1720" s="116">
        <v>368.1</v>
      </c>
      <c r="P1720" s="116">
        <v>368.15</v>
      </c>
      <c r="Q1720" s="116">
        <v>373.7</v>
      </c>
      <c r="R1720">
        <v>2498492</v>
      </c>
    </row>
    <row r="1721" spans="1:18" x14ac:dyDescent="0.25">
      <c r="A1721" s="170">
        <v>45252</v>
      </c>
      <c r="B1721" s="116">
        <v>378.95</v>
      </c>
      <c r="C1721" s="116">
        <v>374.3</v>
      </c>
      <c r="D1721" s="116">
        <v>371.95</v>
      </c>
      <c r="E1721" s="116">
        <v>374.95</v>
      </c>
      <c r="F1721" s="116">
        <v>374.3</v>
      </c>
      <c r="G1721">
        <v>18746</v>
      </c>
      <c r="H1721" s="116"/>
      <c r="I1721" s="116"/>
      <c r="L1721" s="170">
        <v>45252</v>
      </c>
      <c r="M1721" s="116">
        <v>374.45</v>
      </c>
      <c r="N1721" s="116">
        <v>379</v>
      </c>
      <c r="O1721" s="116">
        <v>371.65</v>
      </c>
      <c r="P1721" s="116">
        <v>373.95</v>
      </c>
      <c r="Q1721" s="116">
        <v>374.45</v>
      </c>
      <c r="R1721">
        <v>1227034</v>
      </c>
    </row>
    <row r="1722" spans="1:18" x14ac:dyDescent="0.25">
      <c r="A1722" s="170">
        <v>45253</v>
      </c>
      <c r="B1722" s="116">
        <v>375.55</v>
      </c>
      <c r="C1722" s="116">
        <v>369.35</v>
      </c>
      <c r="D1722" s="116">
        <v>368.45</v>
      </c>
      <c r="E1722" s="116">
        <v>375</v>
      </c>
      <c r="F1722" s="116">
        <v>369.35</v>
      </c>
      <c r="G1722">
        <v>17595</v>
      </c>
      <c r="H1722" s="116"/>
      <c r="I1722" s="116"/>
      <c r="L1722" s="170">
        <v>45253</v>
      </c>
      <c r="M1722" s="116">
        <v>369.35</v>
      </c>
      <c r="N1722" s="116">
        <v>375.7</v>
      </c>
      <c r="O1722" s="116">
        <v>368.2</v>
      </c>
      <c r="P1722" s="116">
        <v>374</v>
      </c>
      <c r="Q1722" s="116">
        <v>369.35</v>
      </c>
      <c r="R1722">
        <v>787952</v>
      </c>
    </row>
    <row r="1723" spans="1:18" x14ac:dyDescent="0.25">
      <c r="A1723" s="170">
        <v>45254</v>
      </c>
      <c r="B1723" s="116">
        <v>378.85</v>
      </c>
      <c r="C1723" s="116">
        <v>372.6</v>
      </c>
      <c r="D1723" s="116">
        <v>369.7</v>
      </c>
      <c r="E1723" s="116">
        <v>369.7</v>
      </c>
      <c r="F1723" s="116">
        <v>372.6</v>
      </c>
      <c r="G1723">
        <v>62583</v>
      </c>
      <c r="H1723" s="116"/>
      <c r="I1723" s="116"/>
      <c r="L1723" s="170">
        <v>45254</v>
      </c>
      <c r="M1723" s="116">
        <v>372.75</v>
      </c>
      <c r="N1723" s="116">
        <v>378.9</v>
      </c>
      <c r="O1723" s="116">
        <v>370.75</v>
      </c>
      <c r="P1723" s="116">
        <v>370.85</v>
      </c>
      <c r="Q1723" s="116">
        <v>372.75</v>
      </c>
      <c r="R1723">
        <v>1379967</v>
      </c>
    </row>
    <row r="1724" spans="1:18" x14ac:dyDescent="0.25">
      <c r="A1724" s="170">
        <v>45258</v>
      </c>
      <c r="B1724" s="116">
        <v>374.6</v>
      </c>
      <c r="C1724" s="116">
        <v>370.6</v>
      </c>
      <c r="D1724" s="116">
        <v>369.3</v>
      </c>
      <c r="E1724" s="116">
        <v>370.55</v>
      </c>
      <c r="F1724" s="116">
        <v>370.6</v>
      </c>
      <c r="G1724">
        <v>22903</v>
      </c>
      <c r="H1724" s="116"/>
      <c r="I1724" s="116"/>
      <c r="L1724" s="170">
        <v>45258</v>
      </c>
      <c r="M1724" s="116">
        <v>370.75</v>
      </c>
      <c r="N1724" s="116">
        <v>374.95</v>
      </c>
      <c r="O1724" s="116">
        <v>369.15</v>
      </c>
      <c r="P1724" s="116">
        <v>372.4</v>
      </c>
      <c r="Q1724" s="116">
        <v>370.75</v>
      </c>
      <c r="R1724">
        <v>606473</v>
      </c>
    </row>
    <row r="1725" spans="1:18" x14ac:dyDescent="0.25">
      <c r="A1725" s="170">
        <v>45259</v>
      </c>
      <c r="B1725" s="116">
        <v>376.45</v>
      </c>
      <c r="C1725" s="116">
        <v>374.75</v>
      </c>
      <c r="D1725" s="116">
        <v>372.25</v>
      </c>
      <c r="E1725" s="116">
        <v>373.55</v>
      </c>
      <c r="F1725" s="116">
        <v>374.75</v>
      </c>
      <c r="G1725">
        <v>548625</v>
      </c>
      <c r="H1725" s="116"/>
      <c r="I1725" s="116"/>
      <c r="L1725" s="170">
        <v>45259</v>
      </c>
      <c r="M1725" s="116">
        <v>374.8</v>
      </c>
      <c r="N1725" s="116">
        <v>376.75</v>
      </c>
      <c r="O1725" s="116">
        <v>372</v>
      </c>
      <c r="P1725" s="116">
        <v>373</v>
      </c>
      <c r="Q1725" s="116">
        <v>374.8</v>
      </c>
      <c r="R1725">
        <v>3412948</v>
      </c>
    </row>
    <row r="1726" spans="1:18" x14ac:dyDescent="0.25">
      <c r="A1726" s="170">
        <v>45260</v>
      </c>
      <c r="B1726" s="116">
        <v>381.75</v>
      </c>
      <c r="C1726" s="116">
        <v>380.9</v>
      </c>
      <c r="D1726" s="116">
        <v>374.7</v>
      </c>
      <c r="E1726" s="116">
        <v>377.65</v>
      </c>
      <c r="F1726" s="116">
        <v>380.9</v>
      </c>
      <c r="G1726">
        <v>31728</v>
      </c>
      <c r="H1726" s="116"/>
      <c r="I1726" s="116"/>
      <c r="L1726" s="170">
        <v>45260</v>
      </c>
      <c r="M1726" s="116">
        <v>380.85</v>
      </c>
      <c r="N1726" s="116">
        <v>381.8</v>
      </c>
      <c r="O1726" s="116">
        <v>374.3</v>
      </c>
      <c r="P1726" s="116">
        <v>375.5</v>
      </c>
      <c r="Q1726" s="116">
        <v>380.85</v>
      </c>
      <c r="R1726">
        <v>1709134</v>
      </c>
    </row>
    <row r="1727" spans="1:18" x14ac:dyDescent="0.25">
      <c r="A1727" s="170">
        <v>45261</v>
      </c>
      <c r="B1727" s="116">
        <v>386.2</v>
      </c>
      <c r="C1727" s="116">
        <v>378.75</v>
      </c>
      <c r="D1727" s="116">
        <v>378</v>
      </c>
      <c r="E1727" s="116">
        <v>380.95</v>
      </c>
      <c r="F1727" s="116">
        <v>378.75</v>
      </c>
      <c r="G1727">
        <v>65027</v>
      </c>
      <c r="H1727" s="116"/>
      <c r="I1727" s="116"/>
      <c r="L1727" s="170">
        <v>45261</v>
      </c>
      <c r="M1727" s="116">
        <v>378.75</v>
      </c>
      <c r="N1727" s="116">
        <v>386.5</v>
      </c>
      <c r="O1727" s="116">
        <v>377.6</v>
      </c>
      <c r="P1727" s="116">
        <v>383</v>
      </c>
      <c r="Q1727" s="116">
        <v>378.75</v>
      </c>
      <c r="R1727">
        <v>1091037</v>
      </c>
    </row>
    <row r="1728" spans="1:18" x14ac:dyDescent="0.25">
      <c r="A1728" s="170">
        <v>45264</v>
      </c>
      <c r="B1728" s="116">
        <v>384.95</v>
      </c>
      <c r="C1728" s="116">
        <v>379.2</v>
      </c>
      <c r="D1728" s="116">
        <v>376.8</v>
      </c>
      <c r="E1728" s="116">
        <v>384.95</v>
      </c>
      <c r="F1728" s="116">
        <v>379.2</v>
      </c>
      <c r="G1728">
        <v>23458</v>
      </c>
      <c r="H1728" s="116"/>
      <c r="I1728" s="116"/>
      <c r="L1728" s="170">
        <v>45264</v>
      </c>
      <c r="M1728" s="116">
        <v>379.25</v>
      </c>
      <c r="N1728" s="116">
        <v>384</v>
      </c>
      <c r="O1728" s="116">
        <v>376.65</v>
      </c>
      <c r="P1728" s="116">
        <v>384</v>
      </c>
      <c r="Q1728" s="116">
        <v>379.25</v>
      </c>
      <c r="R1728">
        <v>878907</v>
      </c>
    </row>
    <row r="1729" spans="1:18" x14ac:dyDescent="0.25">
      <c r="A1729" s="170">
        <v>45265</v>
      </c>
      <c r="B1729" s="116">
        <v>385.3</v>
      </c>
      <c r="C1729" s="116">
        <v>375.95</v>
      </c>
      <c r="D1729" s="116">
        <v>375</v>
      </c>
      <c r="E1729" s="116">
        <v>375</v>
      </c>
      <c r="F1729" s="116">
        <v>375.95</v>
      </c>
      <c r="G1729">
        <v>33654</v>
      </c>
      <c r="H1729" s="116"/>
      <c r="I1729" s="116"/>
      <c r="L1729" s="170">
        <v>45265</v>
      </c>
      <c r="M1729" s="116">
        <v>376.35</v>
      </c>
      <c r="N1729" s="116">
        <v>385.4</v>
      </c>
      <c r="O1729" s="116">
        <v>375.25</v>
      </c>
      <c r="P1729" s="116">
        <v>379.4</v>
      </c>
      <c r="Q1729" s="116">
        <v>376.35</v>
      </c>
      <c r="R1729">
        <v>1486569</v>
      </c>
    </row>
    <row r="1730" spans="1:18" x14ac:dyDescent="0.25">
      <c r="A1730" s="170">
        <v>45266</v>
      </c>
      <c r="B1730" s="116">
        <v>381.4</v>
      </c>
      <c r="C1730" s="116">
        <v>379.05</v>
      </c>
      <c r="D1730" s="116">
        <v>375.7</v>
      </c>
      <c r="E1730" s="116">
        <v>379.95</v>
      </c>
      <c r="F1730" s="116">
        <v>379.05</v>
      </c>
      <c r="G1730">
        <v>33356</v>
      </c>
      <c r="H1730" s="116"/>
      <c r="I1730" s="116"/>
      <c r="L1730" s="170">
        <v>45266</v>
      </c>
      <c r="M1730" s="116">
        <v>379.1</v>
      </c>
      <c r="N1730" s="116">
        <v>381.5</v>
      </c>
      <c r="O1730" s="116">
        <v>375.8</v>
      </c>
      <c r="P1730" s="116">
        <v>376.05</v>
      </c>
      <c r="Q1730" s="116">
        <v>379.1</v>
      </c>
      <c r="R1730">
        <v>1332527</v>
      </c>
    </row>
    <row r="1731" spans="1:18" x14ac:dyDescent="0.25">
      <c r="A1731" s="170">
        <v>45267</v>
      </c>
      <c r="B1731" s="116">
        <v>391.9</v>
      </c>
      <c r="C1731" s="116">
        <v>389.75</v>
      </c>
      <c r="D1731" s="116">
        <v>376</v>
      </c>
      <c r="E1731" s="116">
        <v>377.25</v>
      </c>
      <c r="F1731" s="116">
        <v>389.75</v>
      </c>
      <c r="G1731">
        <v>56524</v>
      </c>
      <c r="H1731" s="116"/>
      <c r="I1731" s="116"/>
      <c r="L1731" s="170">
        <v>45267</v>
      </c>
      <c r="M1731" s="116">
        <v>390.05</v>
      </c>
      <c r="N1731" s="116">
        <v>392</v>
      </c>
      <c r="O1731" s="116">
        <v>375.95</v>
      </c>
      <c r="P1731" s="116">
        <v>379.1</v>
      </c>
      <c r="Q1731" s="116">
        <v>390.05</v>
      </c>
      <c r="R1731">
        <v>2452034</v>
      </c>
    </row>
    <row r="1732" spans="1:18" x14ac:dyDescent="0.25">
      <c r="A1732" s="170">
        <v>45268</v>
      </c>
      <c r="B1732" s="116">
        <v>396.15</v>
      </c>
      <c r="C1732" s="116">
        <v>383.7</v>
      </c>
      <c r="D1732" s="116">
        <v>381.9</v>
      </c>
      <c r="E1732" s="116">
        <v>393.45</v>
      </c>
      <c r="F1732" s="116">
        <v>383.7</v>
      </c>
      <c r="G1732">
        <v>55287</v>
      </c>
      <c r="H1732" s="116"/>
      <c r="I1732" s="116"/>
      <c r="L1732" s="170">
        <v>45268</v>
      </c>
      <c r="M1732" s="116">
        <v>383.65</v>
      </c>
      <c r="N1732" s="116">
        <v>396.3</v>
      </c>
      <c r="O1732" s="116">
        <v>381.5</v>
      </c>
      <c r="P1732" s="116">
        <v>393</v>
      </c>
      <c r="Q1732" s="116">
        <v>383.65</v>
      </c>
      <c r="R1732">
        <v>3322977</v>
      </c>
    </row>
    <row r="1733" spans="1:18" x14ac:dyDescent="0.25">
      <c r="A1733" s="170">
        <v>45271</v>
      </c>
      <c r="B1733" s="116">
        <v>393.9</v>
      </c>
      <c r="C1733" s="116">
        <v>390.65</v>
      </c>
      <c r="D1733" s="116">
        <v>382</v>
      </c>
      <c r="E1733" s="116">
        <v>386.85</v>
      </c>
      <c r="F1733" s="116">
        <v>390.65</v>
      </c>
      <c r="G1733">
        <v>88339</v>
      </c>
      <c r="H1733" s="116"/>
      <c r="I1733" s="116"/>
      <c r="L1733" s="170">
        <v>45271</v>
      </c>
      <c r="M1733" s="116">
        <v>390.75</v>
      </c>
      <c r="N1733" s="116">
        <v>393.9</v>
      </c>
      <c r="O1733" s="116">
        <v>381.95</v>
      </c>
      <c r="P1733" s="116">
        <v>385</v>
      </c>
      <c r="Q1733" s="116">
        <v>390.75</v>
      </c>
      <c r="R1733">
        <v>1911692</v>
      </c>
    </row>
    <row r="1734" spans="1:18" x14ac:dyDescent="0.25">
      <c r="A1734" s="170">
        <v>45272</v>
      </c>
      <c r="B1734" s="116">
        <v>396.75</v>
      </c>
      <c r="C1734" s="116">
        <v>388.05</v>
      </c>
      <c r="D1734" s="116">
        <v>387.25</v>
      </c>
      <c r="E1734" s="116">
        <v>394.15</v>
      </c>
      <c r="F1734" s="116">
        <v>388.05</v>
      </c>
      <c r="G1734">
        <v>49092</v>
      </c>
      <c r="H1734" s="116"/>
      <c r="I1734" s="116"/>
      <c r="L1734" s="170">
        <v>45272</v>
      </c>
      <c r="M1734" s="116">
        <v>388.25</v>
      </c>
      <c r="N1734" s="116">
        <v>397</v>
      </c>
      <c r="O1734" s="116">
        <v>387.2</v>
      </c>
      <c r="P1734" s="116">
        <v>394.9</v>
      </c>
      <c r="Q1734" s="116">
        <v>388.25</v>
      </c>
      <c r="R1734">
        <v>1856834</v>
      </c>
    </row>
    <row r="1735" spans="1:18" x14ac:dyDescent="0.25">
      <c r="A1735" s="170">
        <v>45273</v>
      </c>
      <c r="B1735" s="116">
        <v>383.95</v>
      </c>
      <c r="C1735" s="116">
        <v>381.25</v>
      </c>
      <c r="D1735" s="116">
        <v>373.15</v>
      </c>
      <c r="E1735" s="116">
        <v>376.75</v>
      </c>
      <c r="F1735" s="116">
        <v>381.25</v>
      </c>
      <c r="G1735">
        <v>92144</v>
      </c>
      <c r="H1735" s="116"/>
      <c r="I1735" s="116"/>
      <c r="L1735" s="170">
        <v>45273</v>
      </c>
      <c r="M1735" s="116">
        <v>381.35</v>
      </c>
      <c r="N1735" s="116">
        <v>384.5</v>
      </c>
      <c r="O1735" s="116">
        <v>373.1</v>
      </c>
      <c r="P1735" s="116">
        <v>376.05</v>
      </c>
      <c r="Q1735" s="116">
        <v>381.35</v>
      </c>
      <c r="R1735">
        <v>2574239</v>
      </c>
    </row>
    <row r="1736" spans="1:18" x14ac:dyDescent="0.25">
      <c r="A1736" s="170">
        <v>45274</v>
      </c>
      <c r="B1736" s="116">
        <v>388.25</v>
      </c>
      <c r="C1736" s="116">
        <v>385.4</v>
      </c>
      <c r="D1736" s="116">
        <v>381.35</v>
      </c>
      <c r="E1736" s="116">
        <v>384.15</v>
      </c>
      <c r="F1736" s="116">
        <v>385.4</v>
      </c>
      <c r="G1736">
        <v>26951</v>
      </c>
      <c r="H1736" s="116"/>
      <c r="I1736" s="116"/>
      <c r="L1736" s="170">
        <v>45274</v>
      </c>
      <c r="M1736" s="116">
        <v>385.55</v>
      </c>
      <c r="N1736" s="116">
        <v>388.5</v>
      </c>
      <c r="O1736" s="116">
        <v>381.2</v>
      </c>
      <c r="P1736" s="116">
        <v>383.85</v>
      </c>
      <c r="Q1736" s="116">
        <v>385.55</v>
      </c>
      <c r="R1736">
        <v>1230066</v>
      </c>
    </row>
    <row r="1737" spans="1:18" x14ac:dyDescent="0.25">
      <c r="A1737" s="170">
        <v>45275</v>
      </c>
      <c r="B1737" s="116">
        <v>388.55</v>
      </c>
      <c r="C1737" s="116">
        <v>385.45</v>
      </c>
      <c r="D1737" s="116">
        <v>382.1</v>
      </c>
      <c r="E1737" s="116">
        <v>382.1</v>
      </c>
      <c r="F1737" s="116">
        <v>385.45</v>
      </c>
      <c r="G1737">
        <v>33867</v>
      </c>
      <c r="H1737" s="116"/>
      <c r="I1737" s="116"/>
      <c r="L1737" s="170">
        <v>45275</v>
      </c>
      <c r="M1737" s="116">
        <v>385.7</v>
      </c>
      <c r="N1737" s="116">
        <v>388.8</v>
      </c>
      <c r="O1737" s="116">
        <v>384</v>
      </c>
      <c r="P1737" s="116">
        <v>386</v>
      </c>
      <c r="Q1737" s="116">
        <v>385.7</v>
      </c>
      <c r="R1737">
        <v>863806</v>
      </c>
    </row>
    <row r="1738" spans="1:18" x14ac:dyDescent="0.25">
      <c r="A1738" s="170">
        <v>45278</v>
      </c>
      <c r="B1738" s="116">
        <v>401.7</v>
      </c>
      <c r="C1738" s="116">
        <v>399.25</v>
      </c>
      <c r="D1738" s="116">
        <v>385.5</v>
      </c>
      <c r="E1738" s="116">
        <v>385.5</v>
      </c>
      <c r="F1738" s="116">
        <v>399.25</v>
      </c>
      <c r="G1738">
        <v>113493</v>
      </c>
      <c r="H1738" s="116"/>
      <c r="I1738" s="116"/>
      <c r="L1738" s="170">
        <v>45278</v>
      </c>
      <c r="M1738" s="116">
        <v>399.35</v>
      </c>
      <c r="N1738" s="116">
        <v>401.95</v>
      </c>
      <c r="O1738" s="116">
        <v>385.7</v>
      </c>
      <c r="P1738" s="116">
        <v>386</v>
      </c>
      <c r="Q1738" s="116">
        <v>399.35</v>
      </c>
      <c r="R1738">
        <v>4243145</v>
      </c>
    </row>
    <row r="1739" spans="1:18" x14ac:dyDescent="0.25">
      <c r="A1739" s="170">
        <v>45279</v>
      </c>
      <c r="B1739" s="116">
        <v>402.5</v>
      </c>
      <c r="C1739" s="116">
        <v>398.35</v>
      </c>
      <c r="D1739" s="116">
        <v>394.65</v>
      </c>
      <c r="E1739" s="116">
        <v>401.55</v>
      </c>
      <c r="F1739" s="116">
        <v>398.35</v>
      </c>
      <c r="G1739">
        <v>44442</v>
      </c>
      <c r="H1739" s="116"/>
      <c r="I1739" s="116"/>
      <c r="L1739" s="170">
        <v>45279</v>
      </c>
      <c r="M1739" s="116">
        <v>398.6</v>
      </c>
      <c r="N1739" s="116">
        <v>402.5</v>
      </c>
      <c r="O1739" s="116">
        <v>394.45</v>
      </c>
      <c r="P1739" s="116">
        <v>401.95</v>
      </c>
      <c r="Q1739" s="116">
        <v>398.6</v>
      </c>
      <c r="R1739">
        <v>1357250</v>
      </c>
    </row>
    <row r="1740" spans="1:18" x14ac:dyDescent="0.25">
      <c r="A1740" s="170">
        <v>45280</v>
      </c>
      <c r="B1740" s="116">
        <v>401.5</v>
      </c>
      <c r="C1740" s="116">
        <v>387.75</v>
      </c>
      <c r="D1740" s="116">
        <v>386.4</v>
      </c>
      <c r="E1740" s="116">
        <v>400.1</v>
      </c>
      <c r="F1740" s="116">
        <v>387.75</v>
      </c>
      <c r="G1740">
        <v>58744</v>
      </c>
      <c r="H1740" s="116"/>
      <c r="I1740" s="116"/>
      <c r="L1740" s="170">
        <v>45280</v>
      </c>
      <c r="M1740" s="116">
        <v>388.3</v>
      </c>
      <c r="N1740" s="116">
        <v>401.8</v>
      </c>
      <c r="O1740" s="116">
        <v>386</v>
      </c>
      <c r="P1740" s="116">
        <v>400.5</v>
      </c>
      <c r="Q1740" s="116">
        <v>388.3</v>
      </c>
      <c r="R1740">
        <v>1472926</v>
      </c>
    </row>
    <row r="1741" spans="1:18" x14ac:dyDescent="0.25">
      <c r="A1741" s="170">
        <v>45281</v>
      </c>
      <c r="B1741" s="116">
        <v>399.15</v>
      </c>
      <c r="C1741" s="116">
        <v>397.05</v>
      </c>
      <c r="D1741" s="116">
        <v>380.35</v>
      </c>
      <c r="E1741" s="116">
        <v>381.05</v>
      </c>
      <c r="F1741" s="116">
        <v>397.05</v>
      </c>
      <c r="G1741">
        <v>46839</v>
      </c>
      <c r="H1741" s="116"/>
      <c r="I1741" s="116"/>
      <c r="L1741" s="170">
        <v>45281</v>
      </c>
      <c r="M1741" s="116">
        <v>397.15</v>
      </c>
      <c r="N1741" s="116">
        <v>399.15</v>
      </c>
      <c r="O1741" s="116">
        <v>380</v>
      </c>
      <c r="P1741" s="116">
        <v>387.3</v>
      </c>
      <c r="Q1741" s="116">
        <v>397.15</v>
      </c>
      <c r="R1741">
        <v>1246456</v>
      </c>
    </row>
    <row r="1742" spans="1:18" x14ac:dyDescent="0.25">
      <c r="A1742" s="170">
        <v>45282</v>
      </c>
      <c r="B1742" s="116">
        <v>421.9</v>
      </c>
      <c r="C1742" s="116">
        <v>415.25</v>
      </c>
      <c r="D1742" s="116">
        <v>397.65</v>
      </c>
      <c r="E1742" s="116">
        <v>397.65</v>
      </c>
      <c r="F1742" s="116">
        <v>415.25</v>
      </c>
      <c r="G1742">
        <v>237898</v>
      </c>
      <c r="H1742" s="116"/>
      <c r="I1742" s="116"/>
      <c r="L1742" s="170">
        <v>45282</v>
      </c>
      <c r="M1742" s="116">
        <v>414.55</v>
      </c>
      <c r="N1742" s="116">
        <v>422</v>
      </c>
      <c r="O1742" s="116">
        <v>397.15</v>
      </c>
      <c r="P1742" s="116">
        <v>397.15</v>
      </c>
      <c r="Q1742" s="116">
        <v>414.55</v>
      </c>
      <c r="R1742">
        <v>9517787</v>
      </c>
    </row>
    <row r="1743" spans="1:18" x14ac:dyDescent="0.25">
      <c r="A1743" s="170">
        <v>45286</v>
      </c>
      <c r="B1743" s="116">
        <v>436.5</v>
      </c>
      <c r="C1743" s="116">
        <v>435.4</v>
      </c>
      <c r="D1743" s="116">
        <v>416.45</v>
      </c>
      <c r="E1743" s="116">
        <v>419.75</v>
      </c>
      <c r="F1743" s="116">
        <v>435.4</v>
      </c>
      <c r="G1743">
        <v>570974</v>
      </c>
      <c r="H1743" s="116"/>
      <c r="I1743" s="116"/>
      <c r="L1743" s="170">
        <v>45286</v>
      </c>
      <c r="M1743" s="116">
        <v>435.45</v>
      </c>
      <c r="N1743" s="116">
        <v>436.7</v>
      </c>
      <c r="O1743" s="116">
        <v>415.85</v>
      </c>
      <c r="P1743" s="116">
        <v>418.75</v>
      </c>
      <c r="Q1743" s="116">
        <v>435.45</v>
      </c>
      <c r="R1743">
        <v>8400112</v>
      </c>
    </row>
    <row r="1744" spans="1:18" x14ac:dyDescent="0.25">
      <c r="A1744" s="170">
        <v>45287</v>
      </c>
      <c r="B1744" s="116">
        <v>439</v>
      </c>
      <c r="C1744" s="116">
        <v>432.15</v>
      </c>
      <c r="D1744" s="116">
        <v>426.25</v>
      </c>
      <c r="E1744" s="116">
        <v>438.95</v>
      </c>
      <c r="F1744" s="116">
        <v>432.15</v>
      </c>
      <c r="G1744">
        <v>166552</v>
      </c>
      <c r="H1744" s="116"/>
      <c r="I1744" s="116"/>
      <c r="L1744" s="170">
        <v>45287</v>
      </c>
      <c r="M1744" s="116">
        <v>432.3</v>
      </c>
      <c r="N1744" s="116">
        <v>438.75</v>
      </c>
      <c r="O1744" s="116">
        <v>426.35</v>
      </c>
      <c r="P1744" s="116">
        <v>438.75</v>
      </c>
      <c r="Q1744" s="116">
        <v>432.3</v>
      </c>
      <c r="R1744">
        <v>3214953</v>
      </c>
    </row>
    <row r="1745" spans="1:18" x14ac:dyDescent="0.25">
      <c r="A1745" s="170">
        <v>45288</v>
      </c>
      <c r="B1745" s="116">
        <v>434.6</v>
      </c>
      <c r="C1745" s="116">
        <v>426.65</v>
      </c>
      <c r="D1745" s="116">
        <v>423</v>
      </c>
      <c r="E1745" s="116">
        <v>432.45</v>
      </c>
      <c r="F1745" s="116">
        <v>426.65</v>
      </c>
      <c r="G1745">
        <v>82013</v>
      </c>
      <c r="H1745" s="116"/>
      <c r="I1745" s="116"/>
      <c r="L1745" s="170">
        <v>45288</v>
      </c>
      <c r="M1745" s="116">
        <v>426.75</v>
      </c>
      <c r="N1745" s="116">
        <v>434.7</v>
      </c>
      <c r="O1745" s="116">
        <v>422.6</v>
      </c>
      <c r="P1745" s="116">
        <v>433.85</v>
      </c>
      <c r="Q1745" s="116">
        <v>426.75</v>
      </c>
      <c r="R1745">
        <v>1796520</v>
      </c>
    </row>
    <row r="1746" spans="1:18" x14ac:dyDescent="0.25">
      <c r="A1746" s="170">
        <v>45289</v>
      </c>
      <c r="B1746" s="116">
        <v>432.9</v>
      </c>
      <c r="C1746" s="116">
        <v>430.15</v>
      </c>
      <c r="D1746" s="116">
        <v>424.85</v>
      </c>
      <c r="E1746" s="116">
        <v>426.65</v>
      </c>
      <c r="F1746" s="116">
        <v>430.15</v>
      </c>
      <c r="G1746">
        <v>65687</v>
      </c>
      <c r="H1746" s="116"/>
      <c r="I1746" s="116"/>
      <c r="L1746" s="170">
        <v>45289</v>
      </c>
      <c r="M1746" s="116">
        <v>430.2</v>
      </c>
      <c r="N1746" s="116">
        <v>432.75</v>
      </c>
      <c r="O1746" s="116">
        <v>424.3</v>
      </c>
      <c r="P1746" s="116">
        <v>427</v>
      </c>
      <c r="Q1746" s="116">
        <v>430.2</v>
      </c>
      <c r="R1746">
        <v>1670422</v>
      </c>
    </row>
    <row r="1747" spans="1:18" x14ac:dyDescent="0.25">
      <c r="A1747" s="170">
        <v>45292</v>
      </c>
      <c r="B1747" s="116">
        <v>441.15</v>
      </c>
      <c r="C1747" s="116">
        <v>433.3</v>
      </c>
      <c r="D1747" s="116">
        <v>429.45</v>
      </c>
      <c r="E1747" s="116">
        <v>430.5</v>
      </c>
      <c r="F1747" s="116">
        <v>433.3</v>
      </c>
      <c r="G1747">
        <v>73335</v>
      </c>
      <c r="H1747" s="116"/>
      <c r="I1747" s="116"/>
      <c r="L1747" s="170">
        <v>45292</v>
      </c>
      <c r="M1747" s="116">
        <v>433.05</v>
      </c>
      <c r="N1747" s="116">
        <v>441.35</v>
      </c>
      <c r="O1747" s="116">
        <v>429</v>
      </c>
      <c r="P1747" s="116">
        <v>431</v>
      </c>
      <c r="Q1747" s="116">
        <v>433.05</v>
      </c>
      <c r="R1747">
        <v>2368738</v>
      </c>
    </row>
    <row r="1748" spans="1:18" x14ac:dyDescent="0.25">
      <c r="A1748" s="170">
        <v>45293</v>
      </c>
      <c r="B1748" s="116">
        <v>444.5</v>
      </c>
      <c r="C1748" s="116">
        <v>435.55</v>
      </c>
      <c r="D1748" s="116">
        <v>431.25</v>
      </c>
      <c r="E1748" s="116">
        <v>432.55</v>
      </c>
      <c r="F1748" s="116">
        <v>435.55</v>
      </c>
      <c r="G1748">
        <v>176974</v>
      </c>
      <c r="H1748" s="116"/>
      <c r="I1748" s="116"/>
      <c r="L1748" s="170">
        <v>45293</v>
      </c>
      <c r="M1748" s="116">
        <v>435.65</v>
      </c>
      <c r="N1748" s="116">
        <v>444.7</v>
      </c>
      <c r="O1748" s="116">
        <v>431.1</v>
      </c>
      <c r="P1748" s="116">
        <v>433.05</v>
      </c>
      <c r="Q1748" s="116">
        <v>435.65</v>
      </c>
      <c r="R1748">
        <v>3370927</v>
      </c>
    </row>
    <row r="1749" spans="1:18" x14ac:dyDescent="0.25">
      <c r="A1749" s="170">
        <v>45294</v>
      </c>
      <c r="B1749" s="116">
        <v>437.05</v>
      </c>
      <c r="C1749" s="116">
        <v>429.75</v>
      </c>
      <c r="D1749" s="116">
        <v>425.75</v>
      </c>
      <c r="E1749" s="116">
        <v>435.7</v>
      </c>
      <c r="F1749" s="116">
        <v>429.75</v>
      </c>
      <c r="G1749">
        <v>77863</v>
      </c>
      <c r="H1749" s="116"/>
      <c r="I1749" s="116"/>
      <c r="L1749" s="170">
        <v>45294</v>
      </c>
      <c r="M1749" s="116">
        <v>429.45</v>
      </c>
      <c r="N1749" s="116">
        <v>437.2</v>
      </c>
      <c r="O1749" s="116">
        <v>425.65</v>
      </c>
      <c r="P1749" s="116">
        <v>436</v>
      </c>
      <c r="Q1749" s="116">
        <v>429.45</v>
      </c>
      <c r="R1749">
        <v>1472207</v>
      </c>
    </row>
    <row r="1750" spans="1:18" x14ac:dyDescent="0.25">
      <c r="A1750" s="170">
        <v>45295</v>
      </c>
      <c r="B1750" s="116">
        <v>434</v>
      </c>
      <c r="C1750" s="116">
        <v>430.6</v>
      </c>
      <c r="D1750" s="116">
        <v>429.05</v>
      </c>
      <c r="E1750" s="116">
        <v>430.5</v>
      </c>
      <c r="F1750" s="116">
        <v>430.6</v>
      </c>
      <c r="G1750">
        <v>75069</v>
      </c>
      <c r="H1750" s="116"/>
      <c r="I1750" s="116"/>
      <c r="L1750" s="170">
        <v>45295</v>
      </c>
      <c r="M1750" s="116">
        <v>430.55</v>
      </c>
      <c r="N1750" s="116">
        <v>433.95</v>
      </c>
      <c r="O1750" s="116">
        <v>429.05</v>
      </c>
      <c r="P1750" s="116">
        <v>431</v>
      </c>
      <c r="Q1750" s="116">
        <v>430.55</v>
      </c>
      <c r="R1750">
        <v>964779</v>
      </c>
    </row>
    <row r="1751" spans="1:18" x14ac:dyDescent="0.25">
      <c r="A1751" s="170">
        <v>45296</v>
      </c>
      <c r="B1751" s="116">
        <v>433.35</v>
      </c>
      <c r="C1751" s="116">
        <v>426.95</v>
      </c>
      <c r="D1751" s="116">
        <v>421.85</v>
      </c>
      <c r="E1751" s="116">
        <v>432.9</v>
      </c>
      <c r="F1751" s="116">
        <v>426.95</v>
      </c>
      <c r="G1751">
        <v>96957</v>
      </c>
      <c r="H1751" s="116"/>
      <c r="I1751" s="116"/>
      <c r="L1751" s="170">
        <v>45296</v>
      </c>
      <c r="M1751" s="116">
        <v>427.3</v>
      </c>
      <c r="N1751" s="116">
        <v>433.45</v>
      </c>
      <c r="O1751" s="116">
        <v>422</v>
      </c>
      <c r="P1751" s="116">
        <v>432.9</v>
      </c>
      <c r="Q1751" s="116">
        <v>427.3</v>
      </c>
      <c r="R1751">
        <v>1082064</v>
      </c>
    </row>
    <row r="1752" spans="1:18" x14ac:dyDescent="0.25">
      <c r="A1752" s="170">
        <v>45299</v>
      </c>
      <c r="B1752" s="116">
        <v>428.1</v>
      </c>
      <c r="C1752" s="116">
        <v>418.2</v>
      </c>
      <c r="D1752" s="116">
        <v>416.1</v>
      </c>
      <c r="E1752" s="116">
        <v>427.1</v>
      </c>
      <c r="F1752" s="116">
        <v>418.2</v>
      </c>
      <c r="G1752">
        <v>47062</v>
      </c>
      <c r="H1752" s="116"/>
      <c r="I1752" s="116"/>
      <c r="L1752" s="170">
        <v>45299</v>
      </c>
      <c r="M1752" s="116">
        <v>418.7</v>
      </c>
      <c r="N1752" s="116">
        <v>429.45</v>
      </c>
      <c r="O1752" s="116">
        <v>416.1</v>
      </c>
      <c r="P1752" s="116">
        <v>428</v>
      </c>
      <c r="Q1752" s="116">
        <v>418.7</v>
      </c>
      <c r="R1752">
        <v>1180037</v>
      </c>
    </row>
    <row r="1753" spans="1:18" x14ac:dyDescent="0.25">
      <c r="A1753" s="170">
        <v>45300</v>
      </c>
      <c r="B1753" s="116">
        <v>428.5</v>
      </c>
      <c r="C1753" s="116">
        <v>424.4</v>
      </c>
      <c r="D1753" s="116">
        <v>418.7</v>
      </c>
      <c r="E1753" s="116">
        <v>425.45</v>
      </c>
      <c r="F1753" s="116">
        <v>424.4</v>
      </c>
      <c r="G1753">
        <v>37867</v>
      </c>
      <c r="H1753" s="116"/>
      <c r="I1753" s="116"/>
      <c r="L1753" s="170">
        <v>45300</v>
      </c>
      <c r="M1753" s="116">
        <v>424.85</v>
      </c>
      <c r="N1753" s="116">
        <v>428.5</v>
      </c>
      <c r="O1753" s="116">
        <v>418.7</v>
      </c>
      <c r="P1753" s="116">
        <v>420</v>
      </c>
      <c r="Q1753" s="116">
        <v>424.85</v>
      </c>
      <c r="R1753">
        <v>886345</v>
      </c>
    </row>
    <row r="1754" spans="1:18" x14ac:dyDescent="0.25">
      <c r="A1754" s="170">
        <v>45301</v>
      </c>
      <c r="B1754" s="116">
        <v>430.5</v>
      </c>
      <c r="C1754" s="116">
        <v>418.95</v>
      </c>
      <c r="D1754" s="116">
        <v>415.65</v>
      </c>
      <c r="E1754" s="116">
        <v>426.55</v>
      </c>
      <c r="F1754" s="116">
        <v>418.95</v>
      </c>
      <c r="G1754">
        <v>65611</v>
      </c>
      <c r="H1754" s="116"/>
      <c r="I1754" s="116"/>
      <c r="L1754" s="170">
        <v>45301</v>
      </c>
      <c r="M1754" s="116">
        <v>419.4</v>
      </c>
      <c r="N1754" s="116">
        <v>430.65</v>
      </c>
      <c r="O1754" s="116">
        <v>415.45</v>
      </c>
      <c r="P1754" s="116">
        <v>426</v>
      </c>
      <c r="Q1754" s="116">
        <v>419.4</v>
      </c>
      <c r="R1754">
        <v>1132460</v>
      </c>
    </row>
    <row r="1755" spans="1:18" x14ac:dyDescent="0.25">
      <c r="A1755" s="170">
        <v>45302</v>
      </c>
      <c r="B1755" s="116">
        <v>425.75</v>
      </c>
      <c r="C1755" s="116">
        <v>422.8</v>
      </c>
      <c r="D1755" s="116">
        <v>418.35</v>
      </c>
      <c r="E1755" s="116">
        <v>418.35</v>
      </c>
      <c r="F1755" s="116">
        <v>422.8</v>
      </c>
      <c r="G1755">
        <v>37208</v>
      </c>
      <c r="H1755" s="116"/>
      <c r="I1755" s="116"/>
      <c r="L1755" s="170">
        <v>45302</v>
      </c>
      <c r="M1755" s="116">
        <v>423.05</v>
      </c>
      <c r="N1755" s="116">
        <v>425.95</v>
      </c>
      <c r="O1755" s="116">
        <v>420.35</v>
      </c>
      <c r="P1755" s="116">
        <v>421.85</v>
      </c>
      <c r="Q1755" s="116">
        <v>423.05</v>
      </c>
      <c r="R1755">
        <v>918509</v>
      </c>
    </row>
    <row r="1756" spans="1:18" x14ac:dyDescent="0.25">
      <c r="A1756" s="170">
        <v>45303</v>
      </c>
      <c r="B1756" s="116">
        <v>424</v>
      </c>
      <c r="C1756" s="116">
        <v>416.2</v>
      </c>
      <c r="D1756" s="116">
        <v>415.45</v>
      </c>
      <c r="E1756" s="116">
        <v>423.8</v>
      </c>
      <c r="F1756" s="116">
        <v>416.2</v>
      </c>
      <c r="G1756">
        <v>33443</v>
      </c>
      <c r="H1756" s="116"/>
      <c r="I1756" s="116"/>
      <c r="L1756" s="170">
        <v>45303</v>
      </c>
      <c r="M1756" s="116">
        <v>416.15</v>
      </c>
      <c r="N1756" s="116">
        <v>424.35</v>
      </c>
      <c r="O1756" s="116">
        <v>415.05</v>
      </c>
      <c r="P1756" s="116">
        <v>421.7</v>
      </c>
      <c r="Q1756" s="116">
        <v>416.15</v>
      </c>
      <c r="R1756">
        <v>1168483</v>
      </c>
    </row>
    <row r="1757" spans="1:18" x14ac:dyDescent="0.25">
      <c r="A1757" s="170">
        <v>45306</v>
      </c>
      <c r="B1757" s="116">
        <v>428</v>
      </c>
      <c r="C1757" s="116">
        <v>420.95</v>
      </c>
      <c r="D1757" s="116">
        <v>413.15</v>
      </c>
      <c r="E1757" s="116">
        <v>416.4</v>
      </c>
      <c r="F1757" s="116">
        <v>420.95</v>
      </c>
      <c r="G1757">
        <v>142202</v>
      </c>
      <c r="H1757" s="116"/>
      <c r="I1757" s="116"/>
      <c r="L1757" s="170">
        <v>45306</v>
      </c>
      <c r="M1757" s="116">
        <v>420.9</v>
      </c>
      <c r="N1757" s="116">
        <v>428</v>
      </c>
      <c r="O1757" s="116">
        <v>412.7</v>
      </c>
      <c r="P1757" s="116">
        <v>418</v>
      </c>
      <c r="Q1757" s="116">
        <v>420.9</v>
      </c>
      <c r="R1757">
        <v>1861319</v>
      </c>
    </row>
    <row r="1758" spans="1:18" x14ac:dyDescent="0.25">
      <c r="A1758" s="170">
        <v>45307</v>
      </c>
      <c r="B1758" s="116">
        <v>423.05</v>
      </c>
      <c r="C1758" s="116">
        <v>414.75</v>
      </c>
      <c r="D1758" s="116">
        <v>411.1</v>
      </c>
      <c r="E1758" s="116">
        <v>422.05</v>
      </c>
      <c r="F1758" s="116">
        <v>414.75</v>
      </c>
      <c r="G1758">
        <v>100602</v>
      </c>
      <c r="H1758" s="116"/>
      <c r="I1758" s="116"/>
      <c r="L1758" s="170">
        <v>45307</v>
      </c>
      <c r="M1758" s="116">
        <v>414.8</v>
      </c>
      <c r="N1758" s="116">
        <v>422.95</v>
      </c>
      <c r="O1758" s="116">
        <v>411.25</v>
      </c>
      <c r="P1758" s="116">
        <v>422.95</v>
      </c>
      <c r="Q1758" s="116">
        <v>414.8</v>
      </c>
      <c r="R1758">
        <v>1180677</v>
      </c>
    </row>
    <row r="1759" spans="1:18" x14ac:dyDescent="0.25">
      <c r="A1759" s="170">
        <v>45308</v>
      </c>
      <c r="B1759" s="116">
        <v>415.95</v>
      </c>
      <c r="C1759" s="116">
        <v>411.65</v>
      </c>
      <c r="D1759" s="116">
        <v>406.1</v>
      </c>
      <c r="E1759" s="116">
        <v>414.5</v>
      </c>
      <c r="F1759" s="116">
        <v>411.65</v>
      </c>
      <c r="G1759">
        <v>38688</v>
      </c>
      <c r="H1759" s="116"/>
      <c r="I1759" s="116"/>
      <c r="L1759" s="170">
        <v>45308</v>
      </c>
      <c r="M1759" s="116">
        <v>411.7</v>
      </c>
      <c r="N1759" s="116">
        <v>415.9</v>
      </c>
      <c r="O1759" s="116">
        <v>406.5</v>
      </c>
      <c r="P1759" s="116">
        <v>414.8</v>
      </c>
      <c r="Q1759" s="116">
        <v>411.7</v>
      </c>
      <c r="R1759">
        <v>1214218</v>
      </c>
    </row>
    <row r="1760" spans="1:18" x14ac:dyDescent="0.25">
      <c r="A1760" s="170">
        <v>45309</v>
      </c>
      <c r="B1760" s="116">
        <v>417</v>
      </c>
      <c r="C1760" s="116">
        <v>414.6</v>
      </c>
      <c r="D1760" s="116">
        <v>400.95</v>
      </c>
      <c r="E1760" s="116">
        <v>412</v>
      </c>
      <c r="F1760" s="116">
        <v>414.6</v>
      </c>
      <c r="G1760">
        <v>72397</v>
      </c>
      <c r="H1760" s="116"/>
      <c r="I1760" s="116"/>
      <c r="L1760" s="170">
        <v>45309</v>
      </c>
      <c r="M1760" s="116">
        <v>415.05</v>
      </c>
      <c r="N1760" s="116">
        <v>417.2</v>
      </c>
      <c r="O1760" s="116">
        <v>400.95</v>
      </c>
      <c r="P1760" s="116">
        <v>411.7</v>
      </c>
      <c r="Q1760" s="116">
        <v>415.05</v>
      </c>
      <c r="R1760">
        <v>1619529</v>
      </c>
    </row>
    <row r="1761" spans="1:18" x14ac:dyDescent="0.25">
      <c r="A1761" s="170">
        <v>45310</v>
      </c>
      <c r="B1761" s="116">
        <v>419.75</v>
      </c>
      <c r="C1761" s="116">
        <v>412.2</v>
      </c>
      <c r="D1761" s="116">
        <v>410.85</v>
      </c>
      <c r="E1761" s="116">
        <v>415.85</v>
      </c>
      <c r="F1761" s="116">
        <v>412.2</v>
      </c>
      <c r="G1761">
        <v>37584</v>
      </c>
      <c r="H1761" s="116"/>
      <c r="I1761" s="116"/>
      <c r="L1761" s="170">
        <v>45310</v>
      </c>
      <c r="M1761" s="116">
        <v>412.2</v>
      </c>
      <c r="N1761" s="116">
        <v>419.75</v>
      </c>
      <c r="O1761" s="116">
        <v>411.1</v>
      </c>
      <c r="P1761" s="116">
        <v>415.25</v>
      </c>
      <c r="Q1761" s="116">
        <v>412.2</v>
      </c>
      <c r="R1761">
        <v>1425537</v>
      </c>
    </row>
    <row r="1762" spans="1:18" x14ac:dyDescent="0.25">
      <c r="A1762" s="170">
        <v>45311</v>
      </c>
      <c r="B1762" s="116">
        <v>414.15</v>
      </c>
      <c r="C1762" s="116">
        <v>401.9</v>
      </c>
      <c r="D1762" s="116">
        <v>399.45</v>
      </c>
      <c r="E1762" s="116">
        <v>413.65</v>
      </c>
      <c r="F1762" s="116">
        <v>401.9</v>
      </c>
      <c r="G1762">
        <v>112472</v>
      </c>
      <c r="H1762" s="116"/>
      <c r="I1762" s="116"/>
      <c r="L1762" s="170">
        <v>45311</v>
      </c>
      <c r="M1762" s="116">
        <v>401.85</v>
      </c>
      <c r="N1762" s="116">
        <v>414.15</v>
      </c>
      <c r="O1762" s="116">
        <v>399.4</v>
      </c>
      <c r="P1762" s="116">
        <v>412</v>
      </c>
      <c r="Q1762" s="116">
        <v>401.85</v>
      </c>
      <c r="R1762">
        <v>1019091</v>
      </c>
    </row>
    <row r="1763" spans="1:18" x14ac:dyDescent="0.25">
      <c r="A1763" s="170">
        <v>45314</v>
      </c>
      <c r="B1763" s="116">
        <v>408.5</v>
      </c>
      <c r="C1763" s="116">
        <v>399.15</v>
      </c>
      <c r="D1763" s="116">
        <v>394.25</v>
      </c>
      <c r="E1763" s="116">
        <v>402.2</v>
      </c>
      <c r="F1763" s="116">
        <v>399.15</v>
      </c>
      <c r="G1763">
        <v>131261</v>
      </c>
      <c r="H1763" s="116"/>
      <c r="I1763" s="116"/>
      <c r="L1763" s="170">
        <v>45314</v>
      </c>
      <c r="M1763" s="116">
        <v>398.95</v>
      </c>
      <c r="N1763" s="116">
        <v>408.6</v>
      </c>
      <c r="O1763" s="116">
        <v>394.4</v>
      </c>
      <c r="P1763" s="116">
        <v>402.95</v>
      </c>
      <c r="Q1763" s="116">
        <v>398.95</v>
      </c>
      <c r="R1763">
        <v>1410373</v>
      </c>
    </row>
    <row r="1764" spans="1:18" x14ac:dyDescent="0.25">
      <c r="A1764" s="170">
        <v>45315</v>
      </c>
      <c r="B1764" s="116">
        <v>409.9</v>
      </c>
      <c r="C1764" s="116">
        <v>398.55</v>
      </c>
      <c r="D1764" s="116">
        <v>385</v>
      </c>
      <c r="E1764" s="116">
        <v>399.3</v>
      </c>
      <c r="F1764" s="116">
        <v>398.55</v>
      </c>
      <c r="G1764">
        <v>153480</v>
      </c>
      <c r="H1764" s="116"/>
      <c r="I1764" s="116"/>
      <c r="L1764" s="170">
        <v>45315</v>
      </c>
      <c r="M1764" s="116">
        <v>400.9</v>
      </c>
      <c r="N1764" s="116">
        <v>409.85</v>
      </c>
      <c r="O1764" s="116">
        <v>395</v>
      </c>
      <c r="P1764" s="116">
        <v>401.65</v>
      </c>
      <c r="Q1764" s="116">
        <v>400.9</v>
      </c>
      <c r="R1764">
        <v>3486729</v>
      </c>
    </row>
    <row r="1765" spans="1:18" x14ac:dyDescent="0.25">
      <c r="A1765" s="170">
        <v>45316</v>
      </c>
      <c r="B1765" s="116">
        <v>386.45</v>
      </c>
      <c r="C1765" s="116">
        <v>378.55</v>
      </c>
      <c r="D1765" s="116">
        <v>358.7</v>
      </c>
      <c r="E1765" s="116">
        <v>358.7</v>
      </c>
      <c r="F1765" s="116">
        <v>378.55</v>
      </c>
      <c r="G1765">
        <v>913453</v>
      </c>
      <c r="H1765" s="116"/>
      <c r="I1765" s="116"/>
      <c r="L1765" s="170">
        <v>45316</v>
      </c>
      <c r="M1765" s="116">
        <v>378.8</v>
      </c>
      <c r="N1765" s="116">
        <v>386.8</v>
      </c>
      <c r="O1765" s="116">
        <v>360.85</v>
      </c>
      <c r="P1765" s="116">
        <v>360.85</v>
      </c>
      <c r="Q1765" s="116">
        <v>378.8</v>
      </c>
      <c r="R1765">
        <v>22793886</v>
      </c>
    </row>
    <row r="1766" spans="1:18" x14ac:dyDescent="0.25">
      <c r="A1766" s="170">
        <v>45320</v>
      </c>
      <c r="B1766" s="116">
        <v>383.25</v>
      </c>
      <c r="C1766" s="116">
        <v>374.3</v>
      </c>
      <c r="D1766" s="116">
        <v>371.3</v>
      </c>
      <c r="E1766" s="116">
        <v>376.2</v>
      </c>
      <c r="F1766" s="116">
        <v>374.3</v>
      </c>
      <c r="G1766">
        <v>256996</v>
      </c>
      <c r="H1766" s="116"/>
      <c r="I1766" s="116"/>
      <c r="L1766" s="170">
        <v>45320</v>
      </c>
      <c r="M1766" s="116">
        <v>374.2</v>
      </c>
      <c r="N1766" s="116">
        <v>383</v>
      </c>
      <c r="O1766" s="116">
        <v>371.3</v>
      </c>
      <c r="P1766" s="116">
        <v>378.8</v>
      </c>
      <c r="Q1766" s="116">
        <v>374.2</v>
      </c>
      <c r="R1766">
        <v>2807796</v>
      </c>
    </row>
    <row r="1767" spans="1:18" x14ac:dyDescent="0.25">
      <c r="A1767" s="170">
        <v>45321</v>
      </c>
      <c r="B1767" s="116">
        <v>377.1</v>
      </c>
      <c r="C1767" s="116">
        <v>370.1</v>
      </c>
      <c r="D1767" s="116">
        <v>368.25</v>
      </c>
      <c r="E1767" s="116">
        <v>376.4</v>
      </c>
      <c r="F1767" s="116">
        <v>370.1</v>
      </c>
      <c r="G1767">
        <v>166645</v>
      </c>
      <c r="H1767" s="116"/>
      <c r="I1767" s="116"/>
      <c r="L1767" s="170">
        <v>45321</v>
      </c>
      <c r="M1767" s="116">
        <v>370.3</v>
      </c>
      <c r="N1767" s="116">
        <v>377.3</v>
      </c>
      <c r="O1767" s="116">
        <v>368.3</v>
      </c>
      <c r="P1767" s="116">
        <v>377</v>
      </c>
      <c r="Q1767" s="116">
        <v>370.3</v>
      </c>
      <c r="R1767">
        <v>2247421</v>
      </c>
    </row>
    <row r="1768" spans="1:18" x14ac:dyDescent="0.25">
      <c r="A1768" s="170">
        <v>45322</v>
      </c>
      <c r="B1768" s="116">
        <v>383.9</v>
      </c>
      <c r="C1768" s="116">
        <v>381.1</v>
      </c>
      <c r="D1768" s="116">
        <v>371.15</v>
      </c>
      <c r="E1768" s="116">
        <v>374.85</v>
      </c>
      <c r="F1768" s="116">
        <v>381.1</v>
      </c>
      <c r="G1768">
        <v>41620</v>
      </c>
      <c r="H1768" s="116"/>
      <c r="I1768" s="116"/>
      <c r="L1768" s="170">
        <v>45322</v>
      </c>
      <c r="M1768" s="116">
        <v>381.35</v>
      </c>
      <c r="N1768" s="116">
        <v>384</v>
      </c>
      <c r="O1768" s="116">
        <v>370.9</v>
      </c>
      <c r="P1768" s="116">
        <v>372</v>
      </c>
      <c r="Q1768" s="116">
        <v>381.35</v>
      </c>
      <c r="R1768">
        <v>2603015</v>
      </c>
    </row>
    <row r="1769" spans="1:18" x14ac:dyDescent="0.25">
      <c r="A1769" s="170">
        <v>45323</v>
      </c>
      <c r="B1769" s="116">
        <v>391.5</v>
      </c>
      <c r="C1769" s="116">
        <v>389.5</v>
      </c>
      <c r="D1769" s="116">
        <v>380</v>
      </c>
      <c r="E1769" s="116">
        <v>381.75</v>
      </c>
      <c r="F1769" s="116">
        <v>389.5</v>
      </c>
      <c r="G1769">
        <v>72792</v>
      </c>
      <c r="H1769" s="116"/>
      <c r="I1769" s="116"/>
      <c r="L1769" s="170">
        <v>45323</v>
      </c>
      <c r="M1769" s="116">
        <v>389.25</v>
      </c>
      <c r="N1769" s="116">
        <v>391.75</v>
      </c>
      <c r="O1769" s="116">
        <v>379.7</v>
      </c>
      <c r="P1769" s="116">
        <v>381.35</v>
      </c>
      <c r="Q1769" s="116">
        <v>389.25</v>
      </c>
      <c r="R1769">
        <v>2427481</v>
      </c>
    </row>
    <row r="1770" spans="1:18" x14ac:dyDescent="0.25">
      <c r="A1770" s="170">
        <v>45324</v>
      </c>
      <c r="B1770" s="116">
        <v>395.1</v>
      </c>
      <c r="C1770" s="116">
        <v>392.2</v>
      </c>
      <c r="D1770" s="116">
        <v>389.35</v>
      </c>
      <c r="E1770" s="116">
        <v>389.5</v>
      </c>
      <c r="F1770" s="116">
        <v>392.2</v>
      </c>
      <c r="G1770">
        <v>139350</v>
      </c>
      <c r="H1770" s="116"/>
      <c r="I1770" s="116"/>
      <c r="L1770" s="170">
        <v>45324</v>
      </c>
      <c r="M1770" s="116">
        <v>392.6</v>
      </c>
      <c r="N1770" s="116">
        <v>395.25</v>
      </c>
      <c r="O1770" s="116">
        <v>388.5</v>
      </c>
      <c r="P1770" s="116">
        <v>389.9</v>
      </c>
      <c r="Q1770" s="116">
        <v>392.6</v>
      </c>
      <c r="R1770">
        <v>1640723</v>
      </c>
    </row>
    <row r="1771" spans="1:18" x14ac:dyDescent="0.25">
      <c r="A1771" s="170">
        <v>45327</v>
      </c>
      <c r="B1771" s="116">
        <v>395.75</v>
      </c>
      <c r="C1771" s="116">
        <v>386.35</v>
      </c>
      <c r="D1771" s="116">
        <v>385.05</v>
      </c>
      <c r="E1771" s="116">
        <v>392.8</v>
      </c>
      <c r="F1771" s="116">
        <v>386.35</v>
      </c>
      <c r="G1771">
        <v>35148</v>
      </c>
      <c r="H1771" s="116"/>
      <c r="I1771" s="116"/>
      <c r="L1771" s="170">
        <v>45327</v>
      </c>
      <c r="M1771" s="116">
        <v>386.8</v>
      </c>
      <c r="N1771" s="116">
        <v>395.8</v>
      </c>
      <c r="O1771" s="116">
        <v>385</v>
      </c>
      <c r="P1771" s="116">
        <v>392</v>
      </c>
      <c r="Q1771" s="116">
        <v>386.8</v>
      </c>
      <c r="R1771">
        <v>873002</v>
      </c>
    </row>
    <row r="1772" spans="1:18" x14ac:dyDescent="0.25">
      <c r="A1772" s="170">
        <v>45328</v>
      </c>
      <c r="B1772" s="116">
        <v>399.95</v>
      </c>
      <c r="C1772" s="116">
        <v>398.85</v>
      </c>
      <c r="D1772" s="116">
        <v>387.25</v>
      </c>
      <c r="E1772" s="116">
        <v>389.95</v>
      </c>
      <c r="F1772" s="116">
        <v>398.85</v>
      </c>
      <c r="G1772">
        <v>39190</v>
      </c>
      <c r="H1772" s="116"/>
      <c r="I1772" s="116"/>
      <c r="L1772" s="170">
        <v>45328</v>
      </c>
      <c r="M1772" s="116">
        <v>398.65</v>
      </c>
      <c r="N1772" s="116">
        <v>399.9</v>
      </c>
      <c r="O1772" s="116">
        <v>386.8</v>
      </c>
      <c r="P1772" s="116">
        <v>387.15</v>
      </c>
      <c r="Q1772" s="116">
        <v>398.65</v>
      </c>
      <c r="R1772">
        <v>1418481</v>
      </c>
    </row>
    <row r="1773" spans="1:18" x14ac:dyDescent="0.25">
      <c r="A1773" s="170">
        <v>45329</v>
      </c>
      <c r="B1773" s="116">
        <v>402.5</v>
      </c>
      <c r="C1773" s="116">
        <v>398.4</v>
      </c>
      <c r="D1773" s="116">
        <v>396.2</v>
      </c>
      <c r="E1773" s="116">
        <v>400.4</v>
      </c>
      <c r="F1773" s="116">
        <v>398.4</v>
      </c>
      <c r="G1773">
        <v>84191</v>
      </c>
      <c r="H1773" s="116"/>
      <c r="I1773" s="116"/>
      <c r="L1773" s="170">
        <v>45329</v>
      </c>
      <c r="M1773" s="116">
        <v>398.65</v>
      </c>
      <c r="N1773" s="116">
        <v>402.65</v>
      </c>
      <c r="O1773" s="116">
        <v>396.3</v>
      </c>
      <c r="P1773" s="116">
        <v>400.8</v>
      </c>
      <c r="Q1773" s="116">
        <v>398.65</v>
      </c>
      <c r="R1773">
        <v>629806</v>
      </c>
    </row>
    <row r="1774" spans="1:18" x14ac:dyDescent="0.25">
      <c r="A1774" s="170">
        <v>45330</v>
      </c>
      <c r="B1774" s="116">
        <v>400</v>
      </c>
      <c r="C1774" s="116">
        <v>395.45</v>
      </c>
      <c r="D1774" s="116">
        <v>390.45</v>
      </c>
      <c r="E1774" s="116">
        <v>390.45</v>
      </c>
      <c r="F1774" s="116">
        <v>395.45</v>
      </c>
      <c r="G1774">
        <v>27739</v>
      </c>
      <c r="H1774" s="116"/>
      <c r="I1774" s="116"/>
      <c r="L1774" s="170">
        <v>45330</v>
      </c>
      <c r="M1774" s="116">
        <v>395.05</v>
      </c>
      <c r="N1774" s="116">
        <v>399.9</v>
      </c>
      <c r="O1774" s="116">
        <v>393.55</v>
      </c>
      <c r="P1774" s="116">
        <v>398.7</v>
      </c>
      <c r="Q1774" s="116">
        <v>395.05</v>
      </c>
      <c r="R1774">
        <v>650046</v>
      </c>
    </row>
    <row r="1775" spans="1:18" x14ac:dyDescent="0.25">
      <c r="A1775" s="170">
        <v>45331</v>
      </c>
      <c r="B1775" s="116">
        <v>396</v>
      </c>
      <c r="C1775" s="116">
        <v>392.6</v>
      </c>
      <c r="D1775" s="116">
        <v>385.75</v>
      </c>
      <c r="E1775" s="116">
        <v>396</v>
      </c>
      <c r="F1775" s="116">
        <v>392.6</v>
      </c>
      <c r="G1775">
        <v>81488</v>
      </c>
      <c r="H1775" s="116"/>
      <c r="I1775" s="116"/>
      <c r="L1775" s="170">
        <v>45331</v>
      </c>
      <c r="M1775" s="116">
        <v>392.5</v>
      </c>
      <c r="N1775" s="116">
        <v>396</v>
      </c>
      <c r="O1775" s="116">
        <v>386</v>
      </c>
      <c r="P1775" s="116">
        <v>396</v>
      </c>
      <c r="Q1775" s="116">
        <v>392.5</v>
      </c>
      <c r="R1775">
        <v>853538</v>
      </c>
    </row>
    <row r="1776" spans="1:18" x14ac:dyDescent="0.25">
      <c r="A1776" s="170">
        <v>45334</v>
      </c>
      <c r="B1776" s="116">
        <v>403.4</v>
      </c>
      <c r="C1776" s="116">
        <v>391.2</v>
      </c>
      <c r="D1776" s="116">
        <v>389.3</v>
      </c>
      <c r="E1776" s="116">
        <v>394.95</v>
      </c>
      <c r="F1776" s="116">
        <v>391.2</v>
      </c>
      <c r="G1776">
        <v>115100</v>
      </c>
      <c r="H1776" s="116"/>
      <c r="I1776" s="116"/>
      <c r="L1776" s="170">
        <v>45334</v>
      </c>
      <c r="M1776" s="116">
        <v>390.9</v>
      </c>
      <c r="N1776" s="116">
        <v>403.7</v>
      </c>
      <c r="O1776" s="116">
        <v>388.5</v>
      </c>
      <c r="P1776" s="116">
        <v>394.05</v>
      </c>
      <c r="Q1776" s="116">
        <v>390.9</v>
      </c>
      <c r="R1776">
        <v>1426972</v>
      </c>
    </row>
    <row r="1777" spans="1:18" x14ac:dyDescent="0.25">
      <c r="A1777" s="170">
        <v>45335</v>
      </c>
      <c r="B1777" s="116">
        <v>394</v>
      </c>
      <c r="C1777" s="116">
        <v>392.5</v>
      </c>
      <c r="D1777" s="116">
        <v>385</v>
      </c>
      <c r="E1777" s="116">
        <v>390.1</v>
      </c>
      <c r="F1777" s="116">
        <v>392.5</v>
      </c>
      <c r="G1777">
        <v>77852</v>
      </c>
      <c r="H1777" s="116"/>
      <c r="I1777" s="116"/>
      <c r="L1777" s="170">
        <v>45335</v>
      </c>
      <c r="M1777" s="116">
        <v>392.4</v>
      </c>
      <c r="N1777" s="116">
        <v>394.25</v>
      </c>
      <c r="O1777" s="116">
        <v>385.5</v>
      </c>
      <c r="P1777" s="116">
        <v>392.45</v>
      </c>
      <c r="Q1777" s="116">
        <v>392.4</v>
      </c>
      <c r="R1777">
        <v>1198771</v>
      </c>
    </row>
    <row r="1778" spans="1:18" x14ac:dyDescent="0.25">
      <c r="A1778" s="170">
        <v>45336</v>
      </c>
      <c r="B1778" s="116">
        <v>394.65</v>
      </c>
      <c r="C1778" s="116">
        <v>391.6</v>
      </c>
      <c r="D1778" s="116">
        <v>387.15</v>
      </c>
      <c r="E1778" s="116">
        <v>392.3</v>
      </c>
      <c r="F1778" s="116">
        <v>391.6</v>
      </c>
      <c r="G1778">
        <v>51619</v>
      </c>
      <c r="H1778" s="116"/>
      <c r="I1778" s="116"/>
      <c r="L1778" s="170">
        <v>45336</v>
      </c>
      <c r="M1778" s="116">
        <v>391.75</v>
      </c>
      <c r="N1778" s="116">
        <v>394.5</v>
      </c>
      <c r="O1778" s="116">
        <v>387.5</v>
      </c>
      <c r="P1778" s="116">
        <v>390.5</v>
      </c>
      <c r="Q1778" s="116">
        <v>391.75</v>
      </c>
      <c r="R1778">
        <v>699188</v>
      </c>
    </row>
    <row r="1779" spans="1:18" x14ac:dyDescent="0.25">
      <c r="A1779" s="170">
        <v>45337</v>
      </c>
      <c r="B1779" s="116">
        <v>398.3</v>
      </c>
      <c r="C1779" s="116">
        <v>392.25</v>
      </c>
      <c r="D1779" s="116">
        <v>390.9</v>
      </c>
      <c r="E1779" s="116">
        <v>391.65</v>
      </c>
      <c r="F1779" s="116">
        <v>392.25</v>
      </c>
      <c r="G1779">
        <v>26780</v>
      </c>
      <c r="H1779" s="116"/>
      <c r="I1779" s="116"/>
      <c r="L1779" s="170">
        <v>45337</v>
      </c>
      <c r="M1779" s="116">
        <v>392.55</v>
      </c>
      <c r="N1779" s="116">
        <v>398.65</v>
      </c>
      <c r="O1779" s="116">
        <v>390.75</v>
      </c>
      <c r="P1779" s="116">
        <v>392.1</v>
      </c>
      <c r="Q1779" s="116">
        <v>392.55</v>
      </c>
      <c r="R1779">
        <v>785132</v>
      </c>
    </row>
    <row r="1780" spans="1:18" x14ac:dyDescent="0.25">
      <c r="A1780" s="170">
        <v>45338</v>
      </c>
      <c r="B1780" s="116">
        <v>403</v>
      </c>
      <c r="C1780" s="116">
        <v>399.65</v>
      </c>
      <c r="D1780" s="116">
        <v>391.45</v>
      </c>
      <c r="E1780" s="116">
        <v>392.25</v>
      </c>
      <c r="F1780" s="116">
        <v>399.65</v>
      </c>
      <c r="G1780">
        <v>39076</v>
      </c>
      <c r="H1780" s="116"/>
      <c r="I1780" s="116"/>
      <c r="L1780" s="170">
        <v>45338</v>
      </c>
      <c r="M1780" s="116">
        <v>399.85</v>
      </c>
      <c r="N1780" s="116">
        <v>403.25</v>
      </c>
      <c r="O1780" s="116">
        <v>390.85</v>
      </c>
      <c r="P1780" s="116">
        <v>392</v>
      </c>
      <c r="Q1780" s="116">
        <v>399.85</v>
      </c>
      <c r="R1780">
        <v>1796973</v>
      </c>
    </row>
    <row r="1781" spans="1:18" x14ac:dyDescent="0.25">
      <c r="A1781" s="170">
        <v>45341</v>
      </c>
      <c r="B1781" s="116">
        <v>411.4</v>
      </c>
      <c r="C1781" s="116">
        <v>406.05</v>
      </c>
      <c r="D1781" s="116">
        <v>398.2</v>
      </c>
      <c r="E1781" s="116">
        <v>399.65</v>
      </c>
      <c r="F1781" s="116">
        <v>406.05</v>
      </c>
      <c r="G1781">
        <v>54009</v>
      </c>
      <c r="H1781" s="116"/>
      <c r="I1781" s="116"/>
      <c r="L1781" s="170">
        <v>45341</v>
      </c>
      <c r="M1781" s="116">
        <v>406.45</v>
      </c>
      <c r="N1781" s="116">
        <v>411.6</v>
      </c>
      <c r="O1781" s="116">
        <v>398.2</v>
      </c>
      <c r="P1781" s="116">
        <v>399.85</v>
      </c>
      <c r="Q1781" s="116">
        <v>406.45</v>
      </c>
      <c r="R1781">
        <v>2128769</v>
      </c>
    </row>
    <row r="1782" spans="1:18" x14ac:dyDescent="0.25">
      <c r="A1782" s="170">
        <v>45342</v>
      </c>
      <c r="B1782" s="116">
        <v>413.35</v>
      </c>
      <c r="C1782" s="116">
        <v>401.15</v>
      </c>
      <c r="D1782" s="116">
        <v>397.05</v>
      </c>
      <c r="E1782" s="116">
        <v>409.1</v>
      </c>
      <c r="F1782" s="116">
        <v>401.15</v>
      </c>
      <c r="G1782">
        <v>45365</v>
      </c>
      <c r="H1782" s="116"/>
      <c r="I1782" s="116"/>
      <c r="L1782" s="170">
        <v>45342</v>
      </c>
      <c r="M1782" s="116">
        <v>401.25</v>
      </c>
      <c r="N1782" s="116">
        <v>413.3</v>
      </c>
      <c r="O1782" s="116">
        <v>397</v>
      </c>
      <c r="P1782" s="116">
        <v>410</v>
      </c>
      <c r="Q1782" s="116">
        <v>401.25</v>
      </c>
      <c r="R1782">
        <v>2132811</v>
      </c>
    </row>
    <row r="1783" spans="1:18" x14ac:dyDescent="0.25">
      <c r="A1783" s="170">
        <v>45343</v>
      </c>
      <c r="B1783" s="116">
        <v>406.25</v>
      </c>
      <c r="C1783" s="116">
        <v>395.4</v>
      </c>
      <c r="D1783" s="116">
        <v>392.5</v>
      </c>
      <c r="E1783" s="116">
        <v>404.7</v>
      </c>
      <c r="F1783" s="116">
        <v>395.4</v>
      </c>
      <c r="G1783">
        <v>30849</v>
      </c>
      <c r="H1783" s="116"/>
      <c r="I1783" s="116"/>
      <c r="L1783" s="170">
        <v>45343</v>
      </c>
      <c r="M1783" s="116">
        <v>395.65</v>
      </c>
      <c r="N1783" s="116">
        <v>406.2</v>
      </c>
      <c r="O1783" s="116">
        <v>392.65</v>
      </c>
      <c r="P1783" s="116">
        <v>403.05</v>
      </c>
      <c r="Q1783" s="116">
        <v>395.65</v>
      </c>
      <c r="R1783">
        <v>1044889</v>
      </c>
    </row>
    <row r="1784" spans="1:18" x14ac:dyDescent="0.25">
      <c r="A1784" s="170">
        <v>45344</v>
      </c>
      <c r="B1784" s="116">
        <v>400.8</v>
      </c>
      <c r="C1784" s="116">
        <v>400.15</v>
      </c>
      <c r="D1784" s="116">
        <v>392.5</v>
      </c>
      <c r="E1784" s="116">
        <v>396.95</v>
      </c>
      <c r="F1784" s="116">
        <v>400.15</v>
      </c>
      <c r="G1784">
        <v>18514</v>
      </c>
      <c r="H1784" s="116"/>
      <c r="I1784" s="116"/>
      <c r="L1784" s="170">
        <v>45344</v>
      </c>
      <c r="M1784" s="116">
        <v>400</v>
      </c>
      <c r="N1784" s="116">
        <v>400.85</v>
      </c>
      <c r="O1784" s="116">
        <v>392.6</v>
      </c>
      <c r="P1784" s="116">
        <v>395.65</v>
      </c>
      <c r="Q1784" s="116">
        <v>400</v>
      </c>
      <c r="R1784">
        <v>718533</v>
      </c>
    </row>
    <row r="1785" spans="1:18" x14ac:dyDescent="0.25">
      <c r="A1785" s="170">
        <v>45345</v>
      </c>
      <c r="B1785" s="116">
        <v>404</v>
      </c>
      <c r="C1785" s="116">
        <v>398.8</v>
      </c>
      <c r="D1785" s="116">
        <v>397</v>
      </c>
      <c r="E1785" s="116">
        <v>400.55</v>
      </c>
      <c r="F1785" s="116">
        <v>398.8</v>
      </c>
      <c r="G1785">
        <v>50993</v>
      </c>
      <c r="H1785" s="116"/>
      <c r="I1785" s="116"/>
      <c r="L1785" s="170">
        <v>45345</v>
      </c>
      <c r="M1785" s="116">
        <v>398.55</v>
      </c>
      <c r="N1785" s="116">
        <v>403.75</v>
      </c>
      <c r="O1785" s="116">
        <v>397</v>
      </c>
      <c r="P1785" s="116">
        <v>400</v>
      </c>
      <c r="Q1785" s="116">
        <v>398.55</v>
      </c>
      <c r="R1785">
        <v>610439</v>
      </c>
    </row>
    <row r="1786" spans="1:18" x14ac:dyDescent="0.25">
      <c r="A1786" s="170">
        <v>45348</v>
      </c>
      <c r="B1786" s="116">
        <v>400.85</v>
      </c>
      <c r="C1786" s="116">
        <v>395.25</v>
      </c>
      <c r="D1786" s="116">
        <v>393.4</v>
      </c>
      <c r="E1786" s="116">
        <v>394.6</v>
      </c>
      <c r="F1786" s="116">
        <v>395.25</v>
      </c>
      <c r="G1786">
        <v>64239</v>
      </c>
      <c r="H1786" s="116"/>
      <c r="I1786" s="116"/>
      <c r="L1786" s="170">
        <v>45348</v>
      </c>
      <c r="M1786" s="116">
        <v>395.45</v>
      </c>
      <c r="N1786" s="116">
        <v>400.8</v>
      </c>
      <c r="O1786" s="116">
        <v>393.35</v>
      </c>
      <c r="P1786" s="116">
        <v>395.1</v>
      </c>
      <c r="Q1786" s="116">
        <v>395.45</v>
      </c>
      <c r="R1786">
        <v>624059</v>
      </c>
    </row>
    <row r="1787" spans="1:18" x14ac:dyDescent="0.25">
      <c r="A1787" s="170">
        <v>45349</v>
      </c>
      <c r="B1787" s="116">
        <v>403.4</v>
      </c>
      <c r="C1787" s="116">
        <v>400.25</v>
      </c>
      <c r="D1787" s="116">
        <v>395.15</v>
      </c>
      <c r="E1787" s="116">
        <v>395.4</v>
      </c>
      <c r="F1787" s="116">
        <v>400.25</v>
      </c>
      <c r="G1787">
        <v>23580</v>
      </c>
      <c r="H1787" s="116"/>
      <c r="I1787" s="116"/>
      <c r="L1787" s="170">
        <v>45349</v>
      </c>
      <c r="M1787" s="116">
        <v>399.95</v>
      </c>
      <c r="N1787" s="116">
        <v>403.4</v>
      </c>
      <c r="O1787" s="116">
        <v>395.2</v>
      </c>
      <c r="P1787" s="116">
        <v>397.5</v>
      </c>
      <c r="Q1787" s="116">
        <v>399.95</v>
      </c>
      <c r="R1787">
        <v>2110457</v>
      </c>
    </row>
    <row r="1788" spans="1:18" x14ac:dyDescent="0.25">
      <c r="A1788" s="170">
        <v>45350</v>
      </c>
      <c r="B1788" s="116">
        <v>408.55</v>
      </c>
      <c r="C1788" s="116">
        <v>405.05</v>
      </c>
      <c r="D1788" s="116">
        <v>396.6</v>
      </c>
      <c r="E1788" s="116">
        <v>399.8</v>
      </c>
      <c r="F1788" s="116">
        <v>405.05</v>
      </c>
      <c r="G1788">
        <v>131419</v>
      </c>
      <c r="H1788" s="116"/>
      <c r="I1788" s="116"/>
      <c r="L1788" s="170">
        <v>45350</v>
      </c>
      <c r="M1788" s="116">
        <v>405.05</v>
      </c>
      <c r="N1788" s="116">
        <v>408.6</v>
      </c>
      <c r="O1788" s="116">
        <v>397.3</v>
      </c>
      <c r="P1788" s="116">
        <v>400.1</v>
      </c>
      <c r="Q1788" s="116">
        <v>405.05</v>
      </c>
      <c r="R1788">
        <v>3995040</v>
      </c>
    </row>
    <row r="1789" spans="1:18" x14ac:dyDescent="0.25">
      <c r="A1789" s="170">
        <v>45351</v>
      </c>
      <c r="B1789" s="116">
        <v>409.6</v>
      </c>
      <c r="C1789" s="116">
        <v>406.15</v>
      </c>
      <c r="D1789" s="116">
        <v>401.45</v>
      </c>
      <c r="E1789" s="116">
        <v>405.2</v>
      </c>
      <c r="F1789" s="116">
        <v>406.15</v>
      </c>
      <c r="G1789">
        <v>103942</v>
      </c>
      <c r="H1789" s="116"/>
      <c r="I1789" s="116"/>
      <c r="L1789" s="170">
        <v>45351</v>
      </c>
      <c r="M1789" s="116">
        <v>406.05</v>
      </c>
      <c r="N1789" s="116">
        <v>409.25</v>
      </c>
      <c r="O1789" s="116">
        <v>401.3</v>
      </c>
      <c r="P1789" s="116">
        <v>408</v>
      </c>
      <c r="Q1789" s="116">
        <v>406.05</v>
      </c>
      <c r="R1789">
        <v>3626698</v>
      </c>
    </row>
    <row r="1790" spans="1:18" x14ac:dyDescent="0.25">
      <c r="A1790" s="170">
        <v>45352</v>
      </c>
      <c r="B1790" s="116">
        <v>412</v>
      </c>
      <c r="C1790" s="116">
        <v>409.6</v>
      </c>
      <c r="D1790" s="116">
        <v>405.05</v>
      </c>
      <c r="E1790" s="116">
        <v>406.15</v>
      </c>
      <c r="F1790" s="116">
        <v>409.6</v>
      </c>
      <c r="G1790">
        <v>107238</v>
      </c>
      <c r="H1790" s="116"/>
      <c r="I1790" s="116"/>
      <c r="L1790" s="170">
        <v>45352</v>
      </c>
      <c r="M1790" s="116">
        <v>409.8</v>
      </c>
      <c r="N1790" s="116">
        <v>411.7</v>
      </c>
      <c r="O1790" s="116">
        <v>405.35</v>
      </c>
      <c r="P1790" s="116">
        <v>408.25</v>
      </c>
      <c r="Q1790" s="116">
        <v>409.8</v>
      </c>
      <c r="R1790">
        <v>2045123</v>
      </c>
    </row>
    <row r="1791" spans="1:18" x14ac:dyDescent="0.25">
      <c r="A1791" s="170">
        <v>45353</v>
      </c>
      <c r="B1791" s="116">
        <v>414</v>
      </c>
      <c r="C1791" s="116">
        <v>409.25</v>
      </c>
      <c r="D1791" s="116">
        <v>390.5</v>
      </c>
      <c r="E1791" s="116">
        <v>409.85</v>
      </c>
      <c r="F1791" s="116">
        <v>409.25</v>
      </c>
      <c r="G1791">
        <v>6025</v>
      </c>
      <c r="H1791" s="116"/>
      <c r="I1791" s="116"/>
      <c r="L1791" s="170">
        <v>45353</v>
      </c>
      <c r="M1791" s="116">
        <v>408.9</v>
      </c>
      <c r="N1791" s="116">
        <v>414.1</v>
      </c>
      <c r="O1791" s="116">
        <v>408.05</v>
      </c>
      <c r="P1791" s="116">
        <v>411.7</v>
      </c>
      <c r="Q1791" s="116">
        <v>408.9</v>
      </c>
      <c r="R1791">
        <v>216122</v>
      </c>
    </row>
    <row r="1792" spans="1:18" x14ac:dyDescent="0.25">
      <c r="A1792" s="170">
        <v>45355</v>
      </c>
      <c r="B1792" s="116">
        <v>418.6</v>
      </c>
      <c r="C1792" s="116">
        <v>417.45</v>
      </c>
      <c r="D1792" s="116">
        <v>408.45</v>
      </c>
      <c r="E1792" s="116">
        <v>408.45</v>
      </c>
      <c r="F1792" s="116">
        <v>417.45</v>
      </c>
      <c r="G1792">
        <v>164088</v>
      </c>
      <c r="H1792" s="116"/>
      <c r="I1792" s="116"/>
      <c r="L1792" s="170">
        <v>45355</v>
      </c>
      <c r="M1792" s="116">
        <v>417.55</v>
      </c>
      <c r="N1792" s="116">
        <v>418.65</v>
      </c>
      <c r="O1792" s="116">
        <v>408.95</v>
      </c>
      <c r="P1792" s="116">
        <v>408.95</v>
      </c>
      <c r="Q1792" s="116">
        <v>417.55</v>
      </c>
      <c r="R1792">
        <v>2354064</v>
      </c>
    </row>
    <row r="1793" spans="1:18" x14ac:dyDescent="0.25">
      <c r="A1793" s="170">
        <v>45356</v>
      </c>
      <c r="B1793" s="116">
        <v>422.25</v>
      </c>
      <c r="C1793" s="116">
        <v>420</v>
      </c>
      <c r="D1793" s="116">
        <v>418</v>
      </c>
      <c r="E1793" s="116">
        <v>418.85</v>
      </c>
      <c r="F1793" s="116">
        <v>420</v>
      </c>
      <c r="G1793">
        <v>39628</v>
      </c>
      <c r="H1793" s="116"/>
      <c r="I1793" s="116"/>
      <c r="L1793" s="170">
        <v>45356</v>
      </c>
      <c r="M1793" s="116">
        <v>420.15</v>
      </c>
      <c r="N1793" s="116">
        <v>422.25</v>
      </c>
      <c r="O1793" s="116">
        <v>417.65</v>
      </c>
      <c r="P1793" s="116">
        <v>420</v>
      </c>
      <c r="Q1793" s="116">
        <v>420.15</v>
      </c>
      <c r="R1793">
        <v>1284788</v>
      </c>
    </row>
    <row r="1794" spans="1:18" x14ac:dyDescent="0.25">
      <c r="A1794" s="170">
        <v>45357</v>
      </c>
      <c r="B1794" s="116">
        <v>420.15</v>
      </c>
      <c r="C1794" s="116">
        <v>410.5</v>
      </c>
      <c r="D1794" s="116">
        <v>403</v>
      </c>
      <c r="E1794" s="116">
        <v>420.15</v>
      </c>
      <c r="F1794" s="116">
        <v>410.5</v>
      </c>
      <c r="G1794">
        <v>49322</v>
      </c>
      <c r="H1794" s="116"/>
      <c r="I1794" s="116"/>
      <c r="L1794" s="170">
        <v>45357</v>
      </c>
      <c r="M1794" s="116">
        <v>410.65</v>
      </c>
      <c r="N1794" s="116">
        <v>420</v>
      </c>
      <c r="O1794" s="116">
        <v>402.65</v>
      </c>
      <c r="P1794" s="116">
        <v>420</v>
      </c>
      <c r="Q1794" s="116">
        <v>410.65</v>
      </c>
      <c r="R1794">
        <v>2206218</v>
      </c>
    </row>
    <row r="1795" spans="1:18" x14ac:dyDescent="0.25">
      <c r="A1795" s="170">
        <v>45358</v>
      </c>
      <c r="B1795" s="116">
        <v>424.9</v>
      </c>
      <c r="C1795" s="116">
        <v>422.1</v>
      </c>
      <c r="D1795" s="116">
        <v>407.05</v>
      </c>
      <c r="E1795" s="116">
        <v>410.05</v>
      </c>
      <c r="F1795" s="116">
        <v>422.1</v>
      </c>
      <c r="G1795">
        <v>44375</v>
      </c>
      <c r="H1795" s="116"/>
      <c r="I1795" s="116"/>
      <c r="L1795" s="170">
        <v>45358</v>
      </c>
      <c r="M1795" s="116">
        <v>422</v>
      </c>
      <c r="N1795" s="116">
        <v>425</v>
      </c>
      <c r="O1795" s="116">
        <v>409.1</v>
      </c>
      <c r="P1795" s="116">
        <v>409.1</v>
      </c>
      <c r="Q1795" s="116">
        <v>422</v>
      </c>
      <c r="R1795">
        <v>1744671</v>
      </c>
    </row>
    <row r="1796" spans="1:18" x14ac:dyDescent="0.25">
      <c r="A1796" s="170">
        <v>45362</v>
      </c>
      <c r="B1796" s="116">
        <v>426.3</v>
      </c>
      <c r="C1796" s="116">
        <v>409.5</v>
      </c>
      <c r="D1796" s="116">
        <v>408.55</v>
      </c>
      <c r="E1796" s="116">
        <v>422.65</v>
      </c>
      <c r="F1796" s="116">
        <v>409.5</v>
      </c>
      <c r="G1796">
        <v>124219</v>
      </c>
      <c r="H1796" s="116"/>
      <c r="I1796" s="116"/>
      <c r="L1796" s="170">
        <v>45362</v>
      </c>
      <c r="M1796" s="116">
        <v>409.85</v>
      </c>
      <c r="N1796" s="116">
        <v>425.85</v>
      </c>
      <c r="O1796" s="116">
        <v>408.6</v>
      </c>
      <c r="P1796" s="116">
        <v>425</v>
      </c>
      <c r="Q1796" s="116">
        <v>409.85</v>
      </c>
      <c r="R1796">
        <v>1325931</v>
      </c>
    </row>
    <row r="1797" spans="1:18" x14ac:dyDescent="0.25">
      <c r="A1797" s="170">
        <v>45363</v>
      </c>
      <c r="B1797" s="116">
        <v>420.6</v>
      </c>
      <c r="C1797" s="116">
        <v>412.55</v>
      </c>
      <c r="D1797" s="116">
        <v>405.1</v>
      </c>
      <c r="E1797" s="116">
        <v>410.35</v>
      </c>
      <c r="F1797" s="116">
        <v>412.55</v>
      </c>
      <c r="G1797">
        <v>52805</v>
      </c>
      <c r="H1797" s="116"/>
      <c r="I1797" s="116"/>
      <c r="L1797" s="170">
        <v>45363</v>
      </c>
      <c r="M1797" s="116">
        <v>414.05</v>
      </c>
      <c r="N1797" s="116">
        <v>420.85</v>
      </c>
      <c r="O1797" s="116">
        <v>405.15</v>
      </c>
      <c r="P1797" s="116">
        <v>412.75</v>
      </c>
      <c r="Q1797" s="116">
        <v>414.05</v>
      </c>
      <c r="R1797">
        <v>2098319</v>
      </c>
    </row>
    <row r="1798" spans="1:18" x14ac:dyDescent="0.25">
      <c r="A1798" s="170">
        <v>45364</v>
      </c>
      <c r="B1798" s="116">
        <v>418.2</v>
      </c>
      <c r="C1798" s="116">
        <v>400.45</v>
      </c>
      <c r="D1798" s="116">
        <v>394</v>
      </c>
      <c r="E1798" s="116">
        <v>414.4</v>
      </c>
      <c r="F1798" s="116">
        <v>400.45</v>
      </c>
      <c r="G1798">
        <v>55164</v>
      </c>
      <c r="H1798" s="116"/>
      <c r="I1798" s="116"/>
      <c r="L1798" s="170">
        <v>45364</v>
      </c>
      <c r="M1798" s="116">
        <v>400.6</v>
      </c>
      <c r="N1798" s="116">
        <v>418.2</v>
      </c>
      <c r="O1798" s="116">
        <v>393.65</v>
      </c>
      <c r="P1798" s="116">
        <v>415</v>
      </c>
      <c r="Q1798" s="116">
        <v>400.6</v>
      </c>
      <c r="R1798">
        <v>2542891</v>
      </c>
    </row>
    <row r="1799" spans="1:18" x14ac:dyDescent="0.25">
      <c r="A1799" s="170">
        <v>45365</v>
      </c>
      <c r="B1799" s="116">
        <v>407</v>
      </c>
      <c r="C1799" s="116">
        <v>400.7</v>
      </c>
      <c r="D1799" s="116">
        <v>393.7</v>
      </c>
      <c r="E1799" s="116">
        <v>395</v>
      </c>
      <c r="F1799" s="116">
        <v>400.7</v>
      </c>
      <c r="G1799">
        <v>29793</v>
      </c>
      <c r="H1799" s="116"/>
      <c r="I1799" s="116"/>
      <c r="L1799" s="170">
        <v>45365</v>
      </c>
      <c r="M1799" s="116">
        <v>400.6</v>
      </c>
      <c r="N1799" s="116">
        <v>407.25</v>
      </c>
      <c r="O1799" s="116">
        <v>394</v>
      </c>
      <c r="P1799" s="116">
        <v>400</v>
      </c>
      <c r="Q1799" s="116">
        <v>400.6</v>
      </c>
      <c r="R1799">
        <v>767537</v>
      </c>
    </row>
    <row r="1800" spans="1:18" x14ac:dyDescent="0.25">
      <c r="A1800" s="170">
        <v>45366</v>
      </c>
      <c r="B1800" s="116">
        <v>403</v>
      </c>
      <c r="C1800" s="116">
        <v>399.85</v>
      </c>
      <c r="D1800" s="116">
        <v>389.55</v>
      </c>
      <c r="E1800" s="116">
        <v>402</v>
      </c>
      <c r="F1800" s="116">
        <v>399.85</v>
      </c>
      <c r="G1800">
        <v>86144</v>
      </c>
      <c r="H1800" s="116"/>
      <c r="I1800" s="116"/>
      <c r="L1800" s="170">
        <v>45366</v>
      </c>
      <c r="M1800" s="116">
        <v>400.9</v>
      </c>
      <c r="N1800" s="116">
        <v>403.1</v>
      </c>
      <c r="O1800" s="116">
        <v>389.5</v>
      </c>
      <c r="P1800" s="116">
        <v>402.75</v>
      </c>
      <c r="Q1800" s="116">
        <v>400.9</v>
      </c>
      <c r="R1800">
        <v>1187649</v>
      </c>
    </row>
    <row r="1801" spans="1:18" x14ac:dyDescent="0.25">
      <c r="A1801" s="170">
        <v>45369</v>
      </c>
      <c r="B1801" s="116">
        <v>400.9</v>
      </c>
      <c r="C1801" s="116">
        <v>397.25</v>
      </c>
      <c r="D1801" s="116">
        <v>394</v>
      </c>
      <c r="E1801" s="116">
        <v>400.15</v>
      </c>
      <c r="F1801" s="116">
        <v>397.25</v>
      </c>
      <c r="G1801">
        <v>27929</v>
      </c>
      <c r="H1801" s="116"/>
      <c r="I1801" s="116"/>
      <c r="L1801" s="170">
        <v>45369</v>
      </c>
      <c r="M1801" s="116">
        <v>397.5</v>
      </c>
      <c r="N1801" s="116">
        <v>401.7</v>
      </c>
      <c r="O1801" s="116">
        <v>393.7</v>
      </c>
      <c r="P1801" s="116">
        <v>400.95</v>
      </c>
      <c r="Q1801" s="116">
        <v>397.5</v>
      </c>
      <c r="R1801">
        <v>663908</v>
      </c>
    </row>
    <row r="1802" spans="1:18" x14ac:dyDescent="0.25">
      <c r="A1802" s="170">
        <v>45370</v>
      </c>
      <c r="B1802" s="116">
        <v>398.75</v>
      </c>
      <c r="C1802" s="116">
        <v>387.7</v>
      </c>
      <c r="D1802" s="116">
        <v>386.5</v>
      </c>
      <c r="E1802" s="116">
        <v>398.75</v>
      </c>
      <c r="F1802" s="116">
        <v>387.7</v>
      </c>
      <c r="G1802">
        <v>35135</v>
      </c>
      <c r="H1802" s="116"/>
      <c r="I1802" s="116"/>
      <c r="L1802" s="170">
        <v>45370</v>
      </c>
      <c r="M1802" s="116">
        <v>387.25</v>
      </c>
      <c r="N1802" s="116">
        <v>397.75</v>
      </c>
      <c r="O1802" s="116">
        <v>386.25</v>
      </c>
      <c r="P1802" s="116">
        <v>396.5</v>
      </c>
      <c r="Q1802" s="116">
        <v>387.25</v>
      </c>
      <c r="R1802">
        <v>850564</v>
      </c>
    </row>
    <row r="1803" spans="1:18" x14ac:dyDescent="0.25">
      <c r="A1803" s="170">
        <v>45371</v>
      </c>
      <c r="B1803" s="116">
        <v>390.4</v>
      </c>
      <c r="C1803" s="116">
        <v>378.9</v>
      </c>
      <c r="D1803" s="116">
        <v>372.2</v>
      </c>
      <c r="E1803" s="116">
        <v>390.4</v>
      </c>
      <c r="F1803" s="116">
        <v>378.9</v>
      </c>
      <c r="G1803">
        <v>96777</v>
      </c>
      <c r="H1803" s="116"/>
      <c r="I1803" s="116"/>
      <c r="L1803" s="170">
        <v>45371</v>
      </c>
      <c r="M1803" s="116">
        <v>379.05</v>
      </c>
      <c r="N1803" s="116">
        <v>391.3</v>
      </c>
      <c r="O1803" s="116">
        <v>373.1</v>
      </c>
      <c r="P1803" s="116">
        <v>391.3</v>
      </c>
      <c r="Q1803" s="116">
        <v>379.05</v>
      </c>
      <c r="R1803">
        <v>2264926</v>
      </c>
    </row>
    <row r="1804" spans="1:18" x14ac:dyDescent="0.25">
      <c r="A1804" s="170">
        <v>45372</v>
      </c>
      <c r="B1804" s="116">
        <v>385.55</v>
      </c>
      <c r="C1804" s="116">
        <v>383.85</v>
      </c>
      <c r="D1804" s="116">
        <v>379.7</v>
      </c>
      <c r="E1804" s="116">
        <v>380.55</v>
      </c>
      <c r="F1804" s="116">
        <v>383.85</v>
      </c>
      <c r="G1804">
        <v>37404</v>
      </c>
      <c r="H1804" s="116"/>
      <c r="I1804" s="116"/>
      <c r="L1804" s="170">
        <v>45372</v>
      </c>
      <c r="M1804" s="116">
        <v>383.9</v>
      </c>
      <c r="N1804" s="116">
        <v>385.9</v>
      </c>
      <c r="O1804" s="116">
        <v>379.65</v>
      </c>
      <c r="P1804" s="116">
        <v>382.15</v>
      </c>
      <c r="Q1804" s="116">
        <v>383.9</v>
      </c>
      <c r="R1804">
        <v>3729334</v>
      </c>
    </row>
    <row r="1805" spans="1:18" x14ac:dyDescent="0.25">
      <c r="A1805" s="170">
        <v>45373</v>
      </c>
      <c r="B1805" s="116">
        <v>400.6</v>
      </c>
      <c r="C1805" s="116">
        <v>398.35</v>
      </c>
      <c r="D1805" s="116">
        <v>383.5</v>
      </c>
      <c r="E1805" s="116">
        <v>385.05</v>
      </c>
      <c r="F1805" s="116">
        <v>398.35</v>
      </c>
      <c r="G1805">
        <v>66100</v>
      </c>
      <c r="H1805" s="116"/>
      <c r="I1805" s="116"/>
      <c r="L1805" s="170">
        <v>45373</v>
      </c>
      <c r="M1805" s="116">
        <v>397.8</v>
      </c>
      <c r="N1805" s="116">
        <v>400.95</v>
      </c>
      <c r="O1805" s="116">
        <v>381.65</v>
      </c>
      <c r="P1805" s="116">
        <v>381.75</v>
      </c>
      <c r="Q1805" s="116">
        <v>397.8</v>
      </c>
      <c r="R1805">
        <v>2124198</v>
      </c>
    </row>
    <row r="1806" spans="1:18" x14ac:dyDescent="0.25">
      <c r="A1806" s="170">
        <v>45377</v>
      </c>
      <c r="B1806" s="116">
        <v>405</v>
      </c>
      <c r="C1806" s="116">
        <v>397.35</v>
      </c>
      <c r="D1806" s="116">
        <v>395</v>
      </c>
      <c r="E1806" s="116">
        <v>398.3</v>
      </c>
      <c r="F1806" s="116">
        <v>397.35</v>
      </c>
      <c r="G1806">
        <v>125959</v>
      </c>
      <c r="H1806" s="116"/>
      <c r="I1806" s="116"/>
      <c r="L1806" s="170">
        <v>45377</v>
      </c>
      <c r="M1806" s="116">
        <v>397.65</v>
      </c>
      <c r="N1806" s="116">
        <v>404.9</v>
      </c>
      <c r="O1806" s="116">
        <v>394.95</v>
      </c>
      <c r="P1806" s="116">
        <v>397.85</v>
      </c>
      <c r="Q1806" s="116">
        <v>397.65</v>
      </c>
      <c r="R1806">
        <v>2861670</v>
      </c>
    </row>
    <row r="1807" spans="1:18" x14ac:dyDescent="0.25">
      <c r="A1807" s="170">
        <v>45378</v>
      </c>
      <c r="B1807" s="116">
        <v>399.6</v>
      </c>
      <c r="C1807" s="116">
        <v>392.2</v>
      </c>
      <c r="D1807" s="116">
        <v>390.7</v>
      </c>
      <c r="E1807" s="116">
        <v>397.4</v>
      </c>
      <c r="F1807" s="116">
        <v>392.2</v>
      </c>
      <c r="G1807">
        <v>46306</v>
      </c>
      <c r="H1807" s="116"/>
      <c r="I1807" s="116"/>
      <c r="L1807" s="170">
        <v>45378</v>
      </c>
      <c r="M1807" s="116">
        <v>392.2</v>
      </c>
      <c r="N1807" s="116">
        <v>399.6</v>
      </c>
      <c r="O1807" s="116">
        <v>390.2</v>
      </c>
      <c r="P1807" s="116">
        <v>398.8</v>
      </c>
      <c r="Q1807" s="116">
        <v>392.2</v>
      </c>
      <c r="R1807">
        <v>1786066</v>
      </c>
    </row>
    <row r="1808" spans="1:18" x14ac:dyDescent="0.25">
      <c r="A1808" s="170">
        <v>45379</v>
      </c>
      <c r="B1808" s="116">
        <v>395.95</v>
      </c>
      <c r="C1808" s="116">
        <v>391.75</v>
      </c>
      <c r="D1808" s="116">
        <v>389.45</v>
      </c>
      <c r="E1808" s="116">
        <v>392</v>
      </c>
      <c r="F1808" s="116">
        <v>391.75</v>
      </c>
      <c r="G1808">
        <v>98957</v>
      </c>
      <c r="H1808" s="116"/>
      <c r="I1808" s="116"/>
      <c r="L1808" s="170">
        <v>45379</v>
      </c>
      <c r="M1808" s="116">
        <v>392.35</v>
      </c>
      <c r="N1808" s="116">
        <v>396.25</v>
      </c>
      <c r="O1808" s="116">
        <v>389.55</v>
      </c>
      <c r="P1808" s="116">
        <v>391.55</v>
      </c>
      <c r="Q1808" s="116">
        <v>392.35</v>
      </c>
      <c r="R1808">
        <v>1534903</v>
      </c>
    </row>
    <row r="1809" spans="1:18" x14ac:dyDescent="0.25">
      <c r="A1809" s="170">
        <v>45383</v>
      </c>
      <c r="B1809" s="116">
        <v>406.1</v>
      </c>
      <c r="C1809" s="116">
        <v>405.35</v>
      </c>
      <c r="D1809" s="116">
        <v>392.75</v>
      </c>
      <c r="E1809" s="116">
        <v>392.75</v>
      </c>
      <c r="F1809" s="116">
        <v>405.35</v>
      </c>
      <c r="G1809">
        <v>24447</v>
      </c>
      <c r="H1809" s="116"/>
      <c r="I1809" s="116"/>
      <c r="L1809" s="170">
        <v>45383</v>
      </c>
      <c r="M1809" s="116">
        <v>405.25</v>
      </c>
      <c r="N1809" s="116">
        <v>406</v>
      </c>
      <c r="O1809" s="116">
        <v>393.1</v>
      </c>
      <c r="P1809" s="116">
        <v>394.5</v>
      </c>
      <c r="Q1809" s="116">
        <v>405.25</v>
      </c>
      <c r="R1809">
        <v>1061080</v>
      </c>
    </row>
    <row r="1810" spans="1:18" x14ac:dyDescent="0.25">
      <c r="A1810" s="170">
        <v>45384</v>
      </c>
      <c r="B1810" s="116">
        <v>416.85</v>
      </c>
      <c r="C1810" s="116">
        <v>415.15</v>
      </c>
      <c r="D1810" s="116">
        <v>405.35</v>
      </c>
      <c r="E1810" s="116">
        <v>405.5</v>
      </c>
      <c r="F1810" s="116">
        <v>415.15</v>
      </c>
      <c r="G1810">
        <v>97624</v>
      </c>
      <c r="H1810" s="116"/>
      <c r="I1810" s="116"/>
      <c r="L1810" s="170">
        <v>45384</v>
      </c>
      <c r="M1810" s="116">
        <v>415.25</v>
      </c>
      <c r="N1810" s="116">
        <v>416.95</v>
      </c>
      <c r="O1810" s="116">
        <v>405</v>
      </c>
      <c r="P1810" s="116">
        <v>406</v>
      </c>
      <c r="Q1810" s="116">
        <v>415.25</v>
      </c>
      <c r="R1810">
        <v>1574018</v>
      </c>
    </row>
    <row r="1811" spans="1:18" x14ac:dyDescent="0.25">
      <c r="A1811" s="170">
        <v>45385</v>
      </c>
      <c r="B1811" s="116">
        <v>448</v>
      </c>
      <c r="C1811" s="116">
        <v>439.7</v>
      </c>
      <c r="D1811" s="116">
        <v>411.7</v>
      </c>
      <c r="E1811" s="116">
        <v>417.2</v>
      </c>
      <c r="F1811" s="116">
        <v>439.7</v>
      </c>
      <c r="G1811">
        <v>163953</v>
      </c>
      <c r="H1811" s="116"/>
      <c r="I1811" s="116"/>
      <c r="L1811" s="170">
        <v>45385</v>
      </c>
      <c r="M1811" s="116">
        <v>439.85</v>
      </c>
      <c r="N1811" s="116">
        <v>448</v>
      </c>
      <c r="O1811" s="116">
        <v>412.1</v>
      </c>
      <c r="P1811" s="116">
        <v>415.25</v>
      </c>
      <c r="Q1811" s="116">
        <v>439.85</v>
      </c>
      <c r="R1811">
        <v>8562100</v>
      </c>
    </row>
    <row r="1812" spans="1:18" x14ac:dyDescent="0.25">
      <c r="A1812" s="170">
        <v>45386</v>
      </c>
      <c r="B1812" s="116">
        <v>453.5</v>
      </c>
      <c r="C1812" s="116">
        <v>437.2</v>
      </c>
      <c r="D1812" s="116">
        <v>435</v>
      </c>
      <c r="E1812" s="116">
        <v>442.95</v>
      </c>
      <c r="F1812" s="116">
        <v>437.2</v>
      </c>
      <c r="G1812">
        <v>87743</v>
      </c>
      <c r="H1812" s="116"/>
      <c r="I1812" s="116"/>
      <c r="L1812" s="170">
        <v>45386</v>
      </c>
      <c r="M1812" s="116">
        <v>437.4</v>
      </c>
      <c r="N1812" s="116">
        <v>453.4</v>
      </c>
      <c r="O1812" s="116">
        <v>435.2</v>
      </c>
      <c r="P1812" s="116">
        <v>442</v>
      </c>
      <c r="Q1812" s="116">
        <v>437.4</v>
      </c>
      <c r="R1812">
        <v>3297239</v>
      </c>
    </row>
    <row r="1813" spans="1:18" x14ac:dyDescent="0.25">
      <c r="A1813" s="170">
        <v>45387</v>
      </c>
      <c r="B1813" s="116">
        <v>445.75</v>
      </c>
      <c r="C1813" s="116">
        <v>438.65</v>
      </c>
      <c r="D1813" s="116">
        <v>431.55</v>
      </c>
      <c r="E1813" s="116">
        <v>436.95</v>
      </c>
      <c r="F1813" s="116">
        <v>438.65</v>
      </c>
      <c r="G1813">
        <v>103250</v>
      </c>
      <c r="H1813" s="116"/>
      <c r="I1813" s="116"/>
      <c r="L1813" s="170">
        <v>45387</v>
      </c>
      <c r="M1813" s="116">
        <v>439.3</v>
      </c>
      <c r="N1813" s="116">
        <v>445.8</v>
      </c>
      <c r="O1813" s="116">
        <v>431.5</v>
      </c>
      <c r="P1813" s="116">
        <v>436</v>
      </c>
      <c r="Q1813" s="116">
        <v>439.3</v>
      </c>
      <c r="R1813">
        <v>3148534</v>
      </c>
    </row>
    <row r="1814" spans="1:18" x14ac:dyDescent="0.25">
      <c r="A1814" s="170">
        <v>45390</v>
      </c>
      <c r="B1814" s="116">
        <v>466</v>
      </c>
      <c r="C1814" s="116">
        <v>461.95</v>
      </c>
      <c r="D1814" s="116">
        <v>441.05</v>
      </c>
      <c r="E1814" s="116">
        <v>441.05</v>
      </c>
      <c r="F1814" s="116">
        <v>461.95</v>
      </c>
      <c r="G1814">
        <v>160966</v>
      </c>
      <c r="H1814" s="116"/>
      <c r="I1814" s="116"/>
      <c r="L1814" s="170">
        <v>45390</v>
      </c>
      <c r="M1814" s="116">
        <v>462.45</v>
      </c>
      <c r="N1814" s="116">
        <v>466</v>
      </c>
      <c r="O1814" s="116">
        <v>439.3</v>
      </c>
      <c r="P1814" s="116">
        <v>444</v>
      </c>
      <c r="Q1814" s="116">
        <v>462.45</v>
      </c>
      <c r="R1814">
        <v>4779643</v>
      </c>
    </row>
    <row r="1815" spans="1:18" x14ac:dyDescent="0.25">
      <c r="A1815" s="170">
        <v>45391</v>
      </c>
      <c r="B1815" s="116">
        <v>468.95</v>
      </c>
      <c r="C1815" s="116">
        <v>453.9</v>
      </c>
      <c r="D1815" s="116">
        <v>451.6</v>
      </c>
      <c r="E1815" s="116">
        <v>468.95</v>
      </c>
      <c r="F1815" s="116">
        <v>453.9</v>
      </c>
      <c r="G1815">
        <v>94500</v>
      </c>
      <c r="H1815" s="116"/>
      <c r="I1815" s="116"/>
      <c r="L1815" s="170">
        <v>45391</v>
      </c>
      <c r="M1815" s="116">
        <v>454.05</v>
      </c>
      <c r="N1815" s="116">
        <v>467.9</v>
      </c>
      <c r="O1815" s="116">
        <v>451.45</v>
      </c>
      <c r="P1815" s="116">
        <v>467.9</v>
      </c>
      <c r="Q1815" s="116">
        <v>454.05</v>
      </c>
      <c r="R1815">
        <v>3112433</v>
      </c>
    </row>
    <row r="1816" spans="1:18" x14ac:dyDescent="0.25">
      <c r="A1816" s="170">
        <v>45392</v>
      </c>
      <c r="B1816" s="116">
        <v>470.9</v>
      </c>
      <c r="C1816" s="116">
        <v>458.9</v>
      </c>
      <c r="D1816" s="116">
        <v>452.9</v>
      </c>
      <c r="E1816" s="116">
        <v>454.2</v>
      </c>
      <c r="F1816" s="116">
        <v>458.9</v>
      </c>
      <c r="G1816">
        <v>86674</v>
      </c>
      <c r="H1816" s="116"/>
      <c r="I1816" s="116"/>
      <c r="L1816" s="170">
        <v>45392</v>
      </c>
      <c r="M1816" s="116">
        <v>459.5</v>
      </c>
      <c r="N1816" s="116">
        <v>471</v>
      </c>
      <c r="O1816" s="116">
        <v>452.1</v>
      </c>
      <c r="P1816" s="116">
        <v>454</v>
      </c>
      <c r="Q1816" s="116">
        <v>459.5</v>
      </c>
      <c r="R1816">
        <v>4113449</v>
      </c>
    </row>
    <row r="1817" spans="1:18" x14ac:dyDescent="0.25">
      <c r="A1817" s="170">
        <v>45394</v>
      </c>
      <c r="B1817" s="116">
        <v>456.1</v>
      </c>
      <c r="C1817" s="116">
        <v>442</v>
      </c>
      <c r="D1817" s="116">
        <v>440</v>
      </c>
      <c r="E1817" s="116">
        <v>441.35</v>
      </c>
      <c r="F1817" s="116">
        <v>442</v>
      </c>
      <c r="G1817">
        <v>149127</v>
      </c>
      <c r="H1817" s="116"/>
      <c r="I1817" s="116"/>
      <c r="L1817" s="170">
        <v>45394</v>
      </c>
      <c r="M1817" s="116">
        <v>441.9</v>
      </c>
      <c r="N1817" s="116">
        <v>456.5</v>
      </c>
      <c r="O1817" s="116">
        <v>440</v>
      </c>
      <c r="P1817" s="116">
        <v>440</v>
      </c>
      <c r="Q1817" s="116">
        <v>441.9</v>
      </c>
      <c r="R1817">
        <v>4964802</v>
      </c>
    </row>
    <row r="1818" spans="1:18" x14ac:dyDescent="0.25">
      <c r="A1818" s="170">
        <v>45397</v>
      </c>
      <c r="B1818" s="116">
        <v>439.6</v>
      </c>
      <c r="C1818" s="116">
        <v>430.05</v>
      </c>
      <c r="D1818" s="116">
        <v>415.2</v>
      </c>
      <c r="E1818" s="116">
        <v>415.2</v>
      </c>
      <c r="F1818" s="116">
        <v>430.05</v>
      </c>
      <c r="G1818">
        <v>200563</v>
      </c>
      <c r="H1818" s="116"/>
      <c r="I1818" s="116"/>
      <c r="L1818" s="170">
        <v>45397</v>
      </c>
      <c r="M1818" s="116">
        <v>429.95</v>
      </c>
      <c r="N1818" s="116">
        <v>439.85</v>
      </c>
      <c r="O1818" s="116">
        <v>424.1</v>
      </c>
      <c r="P1818" s="116">
        <v>437.95</v>
      </c>
      <c r="Q1818" s="116">
        <v>429.95</v>
      </c>
      <c r="R1818">
        <v>4040007</v>
      </c>
    </row>
    <row r="1819" spans="1:18" x14ac:dyDescent="0.25">
      <c r="A1819" s="170">
        <v>45398</v>
      </c>
      <c r="B1819" s="116">
        <v>445.1</v>
      </c>
      <c r="C1819" s="116">
        <v>442.85</v>
      </c>
      <c r="D1819" s="116">
        <v>426.5</v>
      </c>
      <c r="E1819" s="116">
        <v>428.3</v>
      </c>
      <c r="F1819" s="116">
        <v>442.85</v>
      </c>
      <c r="G1819">
        <v>114134</v>
      </c>
      <c r="H1819" s="116"/>
      <c r="I1819" s="116"/>
      <c r="L1819" s="170">
        <v>45398</v>
      </c>
      <c r="M1819" s="116">
        <v>443.15</v>
      </c>
      <c r="N1819" s="116">
        <v>445</v>
      </c>
      <c r="O1819" s="116">
        <v>426.9</v>
      </c>
      <c r="P1819" s="116">
        <v>429.6</v>
      </c>
      <c r="Q1819" s="116">
        <v>443.15</v>
      </c>
      <c r="R1819">
        <v>2633516</v>
      </c>
    </row>
    <row r="1820" spans="1:18" x14ac:dyDescent="0.25">
      <c r="A1820" s="170">
        <v>45400</v>
      </c>
      <c r="B1820" s="116">
        <v>446.2</v>
      </c>
      <c r="C1820" s="116">
        <v>431.7</v>
      </c>
      <c r="D1820" s="116">
        <v>430.1</v>
      </c>
      <c r="E1820" s="116">
        <v>443.55</v>
      </c>
      <c r="F1820" s="116">
        <v>431.7</v>
      </c>
      <c r="G1820">
        <v>52488</v>
      </c>
      <c r="H1820" s="116"/>
      <c r="I1820" s="116"/>
      <c r="L1820" s="170">
        <v>45400</v>
      </c>
      <c r="M1820" s="116">
        <v>431.4</v>
      </c>
      <c r="N1820" s="116">
        <v>446.1</v>
      </c>
      <c r="O1820" s="116">
        <v>429.8</v>
      </c>
      <c r="P1820" s="116">
        <v>444</v>
      </c>
      <c r="Q1820" s="116">
        <v>431.4</v>
      </c>
      <c r="R1820">
        <v>1453958</v>
      </c>
    </row>
    <row r="1821" spans="1:18" x14ac:dyDescent="0.25">
      <c r="A1821" s="170">
        <v>45401</v>
      </c>
      <c r="B1821" s="116">
        <v>431.45</v>
      </c>
      <c r="C1821" s="116">
        <v>426.25</v>
      </c>
      <c r="D1821" s="116">
        <v>423.2</v>
      </c>
      <c r="E1821" s="116">
        <v>429.85</v>
      </c>
      <c r="F1821" s="116">
        <v>426.25</v>
      </c>
      <c r="G1821">
        <v>83360</v>
      </c>
      <c r="H1821" s="116"/>
      <c r="I1821" s="116"/>
      <c r="L1821" s="170">
        <v>45401</v>
      </c>
      <c r="M1821" s="116">
        <v>426.5</v>
      </c>
      <c r="N1821" s="116">
        <v>431.3</v>
      </c>
      <c r="O1821" s="116">
        <v>423.5</v>
      </c>
      <c r="P1821" s="116">
        <v>429.5</v>
      </c>
      <c r="Q1821" s="116">
        <v>426.5</v>
      </c>
      <c r="R1821">
        <v>1487447</v>
      </c>
    </row>
    <row r="1822" spans="1:18" x14ac:dyDescent="0.25">
      <c r="A1822" s="170">
        <v>45404</v>
      </c>
      <c r="B1822" s="116">
        <v>437.05</v>
      </c>
      <c r="C1822" s="116">
        <v>430.1</v>
      </c>
      <c r="D1822" s="116">
        <v>428</v>
      </c>
      <c r="E1822" s="116">
        <v>434.5</v>
      </c>
      <c r="F1822" s="116">
        <v>430.1</v>
      </c>
      <c r="G1822">
        <v>34798</v>
      </c>
      <c r="H1822" s="116"/>
      <c r="I1822" s="116"/>
      <c r="L1822" s="170">
        <v>45404</v>
      </c>
      <c r="M1822" s="116">
        <v>430.05</v>
      </c>
      <c r="N1822" s="116">
        <v>435.75</v>
      </c>
      <c r="O1822" s="116">
        <v>427.8</v>
      </c>
      <c r="P1822" s="116">
        <v>434</v>
      </c>
      <c r="Q1822" s="116">
        <v>430.05</v>
      </c>
      <c r="R1822">
        <v>1200666</v>
      </c>
    </row>
    <row r="1823" spans="1:18" x14ac:dyDescent="0.25">
      <c r="A1823" s="170">
        <v>45405</v>
      </c>
      <c r="B1823" s="116">
        <v>439.2</v>
      </c>
      <c r="C1823" s="116">
        <v>433</v>
      </c>
      <c r="D1823" s="116">
        <v>430.05</v>
      </c>
      <c r="E1823" s="116">
        <v>434.3</v>
      </c>
      <c r="F1823" s="116">
        <v>433</v>
      </c>
      <c r="G1823">
        <v>87834</v>
      </c>
      <c r="H1823" s="116"/>
      <c r="I1823" s="116"/>
      <c r="L1823" s="170">
        <v>45405</v>
      </c>
      <c r="M1823" s="116">
        <v>433.1</v>
      </c>
      <c r="N1823" s="116">
        <v>439.05</v>
      </c>
      <c r="O1823" s="116">
        <v>430</v>
      </c>
      <c r="P1823" s="116">
        <v>432.2</v>
      </c>
      <c r="Q1823" s="116">
        <v>433.1</v>
      </c>
      <c r="R1823">
        <v>1185359</v>
      </c>
    </row>
    <row r="1824" spans="1:18" x14ac:dyDescent="0.25">
      <c r="A1824" s="170">
        <v>45406</v>
      </c>
      <c r="B1824" s="116">
        <v>438.2</v>
      </c>
      <c r="C1824" s="116">
        <v>434.4</v>
      </c>
      <c r="D1824" s="116">
        <v>433</v>
      </c>
      <c r="E1824" s="116">
        <v>434.45</v>
      </c>
      <c r="F1824" s="116">
        <v>434.4</v>
      </c>
      <c r="G1824">
        <v>28731</v>
      </c>
      <c r="H1824" s="116"/>
      <c r="I1824" s="116"/>
      <c r="L1824" s="170">
        <v>45406</v>
      </c>
      <c r="M1824" s="116">
        <v>434.4</v>
      </c>
      <c r="N1824" s="116">
        <v>438.4</v>
      </c>
      <c r="O1824" s="116">
        <v>432.85</v>
      </c>
      <c r="P1824" s="116">
        <v>435</v>
      </c>
      <c r="Q1824" s="116">
        <v>434.4</v>
      </c>
      <c r="R1824">
        <v>730062</v>
      </c>
    </row>
    <row r="1825" spans="1:18" x14ac:dyDescent="0.25">
      <c r="A1825" s="170">
        <v>45407</v>
      </c>
      <c r="B1825" s="116">
        <v>438.3</v>
      </c>
      <c r="C1825" s="116">
        <v>425.3</v>
      </c>
      <c r="D1825" s="116">
        <v>420.2</v>
      </c>
      <c r="E1825" s="116">
        <v>432.25</v>
      </c>
      <c r="F1825" s="116">
        <v>425.3</v>
      </c>
      <c r="G1825">
        <v>191193</v>
      </c>
      <c r="H1825" s="116"/>
      <c r="I1825" s="116"/>
      <c r="L1825" s="170">
        <v>45407</v>
      </c>
      <c r="M1825" s="116">
        <v>425.9</v>
      </c>
      <c r="N1825" s="116">
        <v>438.9</v>
      </c>
      <c r="O1825" s="116">
        <v>420.05</v>
      </c>
      <c r="P1825" s="116">
        <v>434.45</v>
      </c>
      <c r="Q1825" s="116">
        <v>425.9</v>
      </c>
      <c r="R1825">
        <v>3421872</v>
      </c>
    </row>
    <row r="1826" spans="1:18" x14ac:dyDescent="0.25">
      <c r="A1826" s="170">
        <v>45408</v>
      </c>
      <c r="B1826" s="116">
        <v>443.6</v>
      </c>
      <c r="C1826" s="116">
        <v>437.1</v>
      </c>
      <c r="D1826" s="116">
        <v>415.2</v>
      </c>
      <c r="E1826" s="116">
        <v>420.2</v>
      </c>
      <c r="F1826" s="116">
        <v>437.1</v>
      </c>
      <c r="G1826">
        <v>173551</v>
      </c>
      <c r="H1826" s="116"/>
      <c r="I1826" s="116"/>
      <c r="L1826" s="170">
        <v>45408</v>
      </c>
      <c r="M1826" s="116">
        <v>436.95</v>
      </c>
      <c r="N1826" s="116">
        <v>443.85</v>
      </c>
      <c r="O1826" s="116">
        <v>414.6</v>
      </c>
      <c r="P1826" s="116">
        <v>420.2</v>
      </c>
      <c r="Q1826" s="116">
        <v>436.95</v>
      </c>
      <c r="R1826">
        <v>8553636</v>
      </c>
    </row>
    <row r="1827" spans="1:18" x14ac:dyDescent="0.25">
      <c r="A1827" s="170">
        <v>45411</v>
      </c>
      <c r="B1827" s="116">
        <v>446</v>
      </c>
      <c r="C1827" s="116">
        <v>443.4</v>
      </c>
      <c r="D1827" s="116">
        <v>430.7</v>
      </c>
      <c r="E1827" s="116">
        <v>438</v>
      </c>
      <c r="F1827" s="116">
        <v>443.4</v>
      </c>
      <c r="G1827">
        <v>156449</v>
      </c>
      <c r="H1827" s="116"/>
      <c r="I1827" s="116"/>
      <c r="L1827" s="170">
        <v>45411</v>
      </c>
      <c r="M1827" s="116">
        <v>443.75</v>
      </c>
      <c r="N1827" s="116">
        <v>446.45</v>
      </c>
      <c r="O1827" s="116">
        <v>430.45</v>
      </c>
      <c r="P1827" s="116">
        <v>437.5</v>
      </c>
      <c r="Q1827" s="116">
        <v>443.75</v>
      </c>
      <c r="R1827">
        <v>2183161</v>
      </c>
    </row>
    <row r="1828" spans="1:18" x14ac:dyDescent="0.25">
      <c r="A1828" s="170">
        <v>45412</v>
      </c>
      <c r="B1828" s="116">
        <v>455.15</v>
      </c>
      <c r="C1828" s="116">
        <v>450.25</v>
      </c>
      <c r="D1828" s="116">
        <v>440.5</v>
      </c>
      <c r="E1828" s="116">
        <v>445.5</v>
      </c>
      <c r="F1828" s="116">
        <v>450.25</v>
      </c>
      <c r="G1828">
        <v>78955</v>
      </c>
      <c r="H1828" s="116"/>
      <c r="I1828" s="116"/>
      <c r="L1828" s="170">
        <v>45412</v>
      </c>
      <c r="M1828" s="116">
        <v>450</v>
      </c>
      <c r="N1828" s="116">
        <v>455.3</v>
      </c>
      <c r="O1828" s="116">
        <v>440.55</v>
      </c>
      <c r="P1828" s="116">
        <v>446</v>
      </c>
      <c r="Q1828" s="116">
        <v>450</v>
      </c>
      <c r="R1828">
        <v>2479566</v>
      </c>
    </row>
    <row r="1829" spans="1:18" x14ac:dyDescent="0.25">
      <c r="A1829" s="170">
        <v>45414</v>
      </c>
      <c r="B1829" s="116">
        <v>457</v>
      </c>
      <c r="C1829" s="116">
        <v>449.7</v>
      </c>
      <c r="D1829" s="116">
        <v>448.3</v>
      </c>
      <c r="E1829" s="116">
        <v>455</v>
      </c>
      <c r="F1829" s="116">
        <v>449.7</v>
      </c>
      <c r="G1829">
        <v>123159</v>
      </c>
      <c r="H1829" s="116"/>
      <c r="I1829" s="116"/>
      <c r="L1829" s="170">
        <v>45414</v>
      </c>
      <c r="M1829" s="116">
        <v>450.2</v>
      </c>
      <c r="N1829" s="116">
        <v>457.4</v>
      </c>
      <c r="O1829" s="116">
        <v>448.7</v>
      </c>
      <c r="P1829" s="116">
        <v>454.7</v>
      </c>
      <c r="Q1829" s="116">
        <v>450.2</v>
      </c>
      <c r="R1829">
        <v>1804275</v>
      </c>
    </row>
    <row r="1830" spans="1:18" x14ac:dyDescent="0.25">
      <c r="A1830" s="170">
        <v>45415</v>
      </c>
      <c r="B1830" s="116">
        <v>453.7</v>
      </c>
      <c r="C1830" s="116">
        <v>447.3</v>
      </c>
      <c r="D1830" s="116">
        <v>442.15</v>
      </c>
      <c r="E1830" s="116">
        <v>451.25</v>
      </c>
      <c r="F1830" s="116">
        <v>447.3</v>
      </c>
      <c r="G1830">
        <v>30304</v>
      </c>
      <c r="H1830" s="116"/>
      <c r="I1830" s="116"/>
      <c r="L1830" s="170">
        <v>45415</v>
      </c>
      <c r="M1830" s="116">
        <v>447.35</v>
      </c>
      <c r="N1830" s="116">
        <v>454</v>
      </c>
      <c r="O1830" s="116">
        <v>442.05</v>
      </c>
      <c r="P1830" s="116">
        <v>450.75</v>
      </c>
      <c r="Q1830" s="116">
        <v>447.35</v>
      </c>
      <c r="R1830">
        <v>1014437</v>
      </c>
    </row>
    <row r="1831" spans="1:18" x14ac:dyDescent="0.25">
      <c r="A1831" s="170">
        <v>45418</v>
      </c>
      <c r="B1831" s="116">
        <v>448.5</v>
      </c>
      <c r="C1831" s="116">
        <v>438.7</v>
      </c>
      <c r="D1831" s="116">
        <v>436.55</v>
      </c>
      <c r="E1831" s="116">
        <v>447.05</v>
      </c>
      <c r="F1831" s="116">
        <v>438.7</v>
      </c>
      <c r="G1831">
        <v>34734</v>
      </c>
      <c r="H1831" s="116"/>
      <c r="I1831" s="116"/>
      <c r="L1831" s="170">
        <v>45418</v>
      </c>
      <c r="M1831" s="116">
        <v>439.2</v>
      </c>
      <c r="N1831" s="116">
        <v>449</v>
      </c>
      <c r="O1831" s="116">
        <v>436.8</v>
      </c>
      <c r="P1831" s="116">
        <v>447.2</v>
      </c>
      <c r="Q1831" s="116">
        <v>439.2</v>
      </c>
      <c r="R1831">
        <v>782829</v>
      </c>
    </row>
    <row r="1832" spans="1:18" x14ac:dyDescent="0.25">
      <c r="A1832" s="170">
        <v>45419</v>
      </c>
      <c r="B1832" s="116">
        <v>439.9</v>
      </c>
      <c r="C1832" s="116">
        <v>429.35</v>
      </c>
      <c r="D1832" s="116">
        <v>424.5</v>
      </c>
      <c r="E1832" s="116">
        <v>439.9</v>
      </c>
      <c r="F1832" s="116">
        <v>429.35</v>
      </c>
      <c r="G1832">
        <v>32970</v>
      </c>
      <c r="H1832" s="116"/>
      <c r="I1832" s="116"/>
      <c r="L1832" s="170">
        <v>45419</v>
      </c>
      <c r="M1832" s="116">
        <v>429.45</v>
      </c>
      <c r="N1832" s="116">
        <v>441</v>
      </c>
      <c r="O1832" s="116">
        <v>424.4</v>
      </c>
      <c r="P1832" s="116">
        <v>440</v>
      </c>
      <c r="Q1832" s="116">
        <v>429.45</v>
      </c>
      <c r="R1832">
        <v>1209889</v>
      </c>
    </row>
    <row r="1833" spans="1:18" x14ac:dyDescent="0.25">
      <c r="A1833" s="170">
        <v>45420</v>
      </c>
      <c r="B1833" s="116">
        <v>435.8</v>
      </c>
      <c r="C1833" s="116">
        <v>434.15</v>
      </c>
      <c r="D1833" s="116">
        <v>425.5</v>
      </c>
      <c r="E1833" s="116">
        <v>429.9</v>
      </c>
      <c r="F1833" s="116">
        <v>434.15</v>
      </c>
      <c r="G1833">
        <v>18103</v>
      </c>
      <c r="H1833" s="116"/>
      <c r="I1833" s="116"/>
      <c r="L1833" s="170">
        <v>45420</v>
      </c>
      <c r="M1833" s="116">
        <v>434.1</v>
      </c>
      <c r="N1833" s="116">
        <v>436.35</v>
      </c>
      <c r="O1833" s="116">
        <v>424.75</v>
      </c>
      <c r="P1833" s="116">
        <v>429.45</v>
      </c>
      <c r="Q1833" s="116">
        <v>434.1</v>
      </c>
      <c r="R1833">
        <v>758203</v>
      </c>
    </row>
    <row r="1834" spans="1:18" x14ac:dyDescent="0.25">
      <c r="A1834" s="170">
        <v>45421</v>
      </c>
      <c r="B1834" s="116">
        <v>439.95</v>
      </c>
      <c r="C1834" s="116">
        <v>427.05</v>
      </c>
      <c r="D1834" s="116">
        <v>400</v>
      </c>
      <c r="E1834" s="116">
        <v>400</v>
      </c>
      <c r="F1834" s="116">
        <v>427.05</v>
      </c>
      <c r="G1834">
        <v>66358</v>
      </c>
      <c r="H1834" s="116"/>
      <c r="I1834" s="116"/>
      <c r="L1834" s="170">
        <v>45421</v>
      </c>
      <c r="M1834" s="116">
        <v>427.35</v>
      </c>
      <c r="N1834" s="116">
        <v>440</v>
      </c>
      <c r="O1834" s="116">
        <v>424.8</v>
      </c>
      <c r="P1834" s="116">
        <v>434.1</v>
      </c>
      <c r="Q1834" s="116">
        <v>427.35</v>
      </c>
      <c r="R1834">
        <v>1154427</v>
      </c>
    </row>
    <row r="1835" spans="1:18" x14ac:dyDescent="0.25">
      <c r="A1835" s="170">
        <v>45422</v>
      </c>
      <c r="B1835" s="116">
        <v>439.5</v>
      </c>
      <c r="C1835" s="116">
        <v>437.4</v>
      </c>
      <c r="D1835" s="116">
        <v>427.1</v>
      </c>
      <c r="E1835" s="116">
        <v>427.1</v>
      </c>
      <c r="F1835" s="116">
        <v>437.4</v>
      </c>
      <c r="G1835">
        <v>30903</v>
      </c>
      <c r="H1835" s="116"/>
      <c r="I1835" s="116"/>
      <c r="L1835" s="170">
        <v>45422</v>
      </c>
      <c r="M1835" s="116">
        <v>437.55</v>
      </c>
      <c r="N1835" s="116">
        <v>439.9</v>
      </c>
      <c r="O1835" s="116">
        <v>427</v>
      </c>
      <c r="P1835" s="116">
        <v>427.8</v>
      </c>
      <c r="Q1835" s="116">
        <v>437.55</v>
      </c>
      <c r="R1835">
        <v>913826</v>
      </c>
    </row>
    <row r="1836" spans="1:18" x14ac:dyDescent="0.25">
      <c r="A1836" s="170">
        <v>45425</v>
      </c>
      <c r="B1836" s="116">
        <v>435.15</v>
      </c>
      <c r="C1836" s="116">
        <v>433.1</v>
      </c>
      <c r="D1836" s="116">
        <v>425.05</v>
      </c>
      <c r="E1836" s="116">
        <v>432.2</v>
      </c>
      <c r="F1836" s="116">
        <v>433.1</v>
      </c>
      <c r="G1836">
        <v>23113</v>
      </c>
      <c r="H1836" s="116"/>
      <c r="I1836" s="116"/>
      <c r="L1836" s="170">
        <v>45425</v>
      </c>
      <c r="M1836" s="116">
        <v>433</v>
      </c>
      <c r="N1836" s="116">
        <v>435.55</v>
      </c>
      <c r="O1836" s="116">
        <v>425</v>
      </c>
      <c r="P1836" s="116">
        <v>435</v>
      </c>
      <c r="Q1836" s="116">
        <v>433</v>
      </c>
      <c r="R1836">
        <v>785428</v>
      </c>
    </row>
    <row r="1837" spans="1:18" x14ac:dyDescent="0.25">
      <c r="A1837" s="170">
        <v>45426</v>
      </c>
      <c r="B1837" s="116">
        <v>439.9</v>
      </c>
      <c r="C1837" s="116">
        <v>433.4</v>
      </c>
      <c r="D1837" s="116">
        <v>429.15</v>
      </c>
      <c r="E1837" s="116">
        <v>439.9</v>
      </c>
      <c r="F1837" s="116">
        <v>433.4</v>
      </c>
      <c r="G1837">
        <v>25503</v>
      </c>
      <c r="H1837" s="116"/>
      <c r="I1837" s="116"/>
      <c r="L1837" s="170">
        <v>45426</v>
      </c>
      <c r="M1837" s="116">
        <v>433.8</v>
      </c>
      <c r="N1837" s="116">
        <v>437.3</v>
      </c>
      <c r="O1837" s="116">
        <v>429</v>
      </c>
      <c r="P1837" s="116">
        <v>437.3</v>
      </c>
      <c r="Q1837" s="116">
        <v>433.8</v>
      </c>
      <c r="R1837">
        <v>436385</v>
      </c>
    </row>
    <row r="1838" spans="1:18" x14ac:dyDescent="0.25">
      <c r="A1838" s="170">
        <v>45427</v>
      </c>
      <c r="B1838" s="116">
        <v>440.4</v>
      </c>
      <c r="C1838" s="116">
        <v>437.55</v>
      </c>
      <c r="D1838" s="116">
        <v>430.3</v>
      </c>
      <c r="E1838" s="116">
        <v>432.65</v>
      </c>
      <c r="F1838" s="116">
        <v>437.55</v>
      </c>
      <c r="G1838">
        <v>170263</v>
      </c>
      <c r="H1838" s="116"/>
      <c r="I1838" s="116"/>
      <c r="L1838" s="170">
        <v>45427</v>
      </c>
      <c r="M1838" s="116">
        <v>437.45</v>
      </c>
      <c r="N1838" s="116">
        <v>440.75</v>
      </c>
      <c r="O1838" s="116">
        <v>430.2</v>
      </c>
      <c r="P1838" s="116">
        <v>433.85</v>
      </c>
      <c r="Q1838" s="116">
        <v>437.45</v>
      </c>
      <c r="R1838">
        <v>1176348</v>
      </c>
    </row>
    <row r="1839" spans="1:18" x14ac:dyDescent="0.25">
      <c r="A1839" s="170">
        <v>45428</v>
      </c>
      <c r="B1839" s="116">
        <v>445</v>
      </c>
      <c r="C1839" s="116">
        <v>442.75</v>
      </c>
      <c r="D1839" s="116">
        <v>436</v>
      </c>
      <c r="E1839" s="116">
        <v>439.15</v>
      </c>
      <c r="F1839" s="116">
        <v>442.75</v>
      </c>
      <c r="G1839">
        <v>57383</v>
      </c>
      <c r="H1839" s="116"/>
      <c r="I1839" s="116"/>
      <c r="L1839" s="170">
        <v>45428</v>
      </c>
      <c r="M1839" s="116">
        <v>442.75</v>
      </c>
      <c r="N1839" s="116">
        <v>445.2</v>
      </c>
      <c r="O1839" s="116">
        <v>435.8</v>
      </c>
      <c r="P1839" s="116">
        <v>437.5</v>
      </c>
      <c r="Q1839" s="116">
        <v>442.75</v>
      </c>
      <c r="R1839">
        <v>1103816</v>
      </c>
    </row>
    <row r="1840" spans="1:18" x14ac:dyDescent="0.25">
      <c r="A1840" s="170">
        <v>45429</v>
      </c>
      <c r="B1840" s="116">
        <v>447.7</v>
      </c>
      <c r="C1840" s="116">
        <v>439.95</v>
      </c>
      <c r="D1840" s="116">
        <v>437.75</v>
      </c>
      <c r="E1840" s="116">
        <v>442.05</v>
      </c>
      <c r="F1840" s="116">
        <v>439.95</v>
      </c>
      <c r="G1840">
        <v>42906</v>
      </c>
      <c r="H1840" s="116"/>
      <c r="I1840" s="116"/>
      <c r="L1840" s="170">
        <v>45429</v>
      </c>
      <c r="M1840" s="116">
        <v>440.15</v>
      </c>
      <c r="N1840" s="116">
        <v>448</v>
      </c>
      <c r="O1840" s="116">
        <v>438</v>
      </c>
      <c r="P1840" s="116">
        <v>445.1</v>
      </c>
      <c r="Q1840" s="116">
        <v>440.15</v>
      </c>
      <c r="R1840">
        <v>480593</v>
      </c>
    </row>
    <row r="1841" spans="1:18" x14ac:dyDescent="0.25">
      <c r="A1841" s="170">
        <v>45430</v>
      </c>
      <c r="B1841" s="116">
        <v>446.2</v>
      </c>
      <c r="C1841" s="116">
        <v>444.5</v>
      </c>
      <c r="D1841" s="116">
        <v>438.05</v>
      </c>
      <c r="E1841" s="116">
        <v>440.95</v>
      </c>
      <c r="F1841" s="116">
        <v>444.5</v>
      </c>
      <c r="G1841">
        <v>7133</v>
      </c>
      <c r="H1841" s="116"/>
      <c r="I1841" s="116"/>
      <c r="L1841" s="170">
        <v>45430</v>
      </c>
      <c r="M1841" s="116">
        <v>444.65</v>
      </c>
      <c r="N1841" s="116">
        <v>446.25</v>
      </c>
      <c r="O1841" s="116">
        <v>440</v>
      </c>
      <c r="P1841" s="116">
        <v>440.15</v>
      </c>
      <c r="Q1841" s="116">
        <v>444.65</v>
      </c>
      <c r="R1841">
        <v>186760</v>
      </c>
    </row>
    <row r="1842" spans="1:18" x14ac:dyDescent="0.25">
      <c r="A1842" s="170">
        <v>45433</v>
      </c>
      <c r="B1842" s="116">
        <v>455.5</v>
      </c>
      <c r="C1842" s="116">
        <v>453.4</v>
      </c>
      <c r="D1842" s="116">
        <v>440.75</v>
      </c>
      <c r="E1842" s="116">
        <v>441.1</v>
      </c>
      <c r="F1842" s="116">
        <v>453.4</v>
      </c>
      <c r="G1842">
        <v>133980</v>
      </c>
      <c r="H1842" s="116"/>
      <c r="I1842" s="116"/>
      <c r="L1842" s="170">
        <v>45433</v>
      </c>
      <c r="M1842" s="116">
        <v>453.4</v>
      </c>
      <c r="N1842" s="116">
        <v>455.5</v>
      </c>
      <c r="O1842" s="116">
        <v>441.05</v>
      </c>
      <c r="P1842" s="116">
        <v>444</v>
      </c>
      <c r="Q1842" s="116">
        <v>453.4</v>
      </c>
      <c r="R1842">
        <v>2151681</v>
      </c>
    </row>
    <row r="1843" spans="1:18" x14ac:dyDescent="0.25">
      <c r="A1843" s="170">
        <v>45434</v>
      </c>
      <c r="B1843" s="116">
        <v>460.5</v>
      </c>
      <c r="C1843" s="116">
        <v>456.5</v>
      </c>
      <c r="D1843" s="116">
        <v>451.55</v>
      </c>
      <c r="E1843" s="116">
        <v>454.75</v>
      </c>
      <c r="F1843" s="116">
        <v>456.5</v>
      </c>
      <c r="G1843">
        <v>85689</v>
      </c>
      <c r="H1843" s="116"/>
      <c r="I1843" s="116"/>
      <c r="L1843" s="170">
        <v>45434</v>
      </c>
      <c r="M1843" s="116">
        <v>456.4</v>
      </c>
      <c r="N1843" s="116">
        <v>460.45</v>
      </c>
      <c r="O1843" s="116">
        <v>451.25</v>
      </c>
      <c r="P1843" s="116">
        <v>454.05</v>
      </c>
      <c r="Q1843" s="116">
        <v>456.4</v>
      </c>
      <c r="R1843">
        <v>2216524</v>
      </c>
    </row>
    <row r="1844" spans="1:18" x14ac:dyDescent="0.25">
      <c r="A1844" s="170">
        <v>45435</v>
      </c>
      <c r="B1844" s="116">
        <v>459.75</v>
      </c>
      <c r="C1844" s="116">
        <v>449.85</v>
      </c>
      <c r="D1844" s="116">
        <v>444.8</v>
      </c>
      <c r="E1844" s="116">
        <v>459.75</v>
      </c>
      <c r="F1844" s="116">
        <v>449.85</v>
      </c>
      <c r="G1844">
        <v>79677</v>
      </c>
      <c r="H1844" s="116"/>
      <c r="I1844" s="116"/>
      <c r="L1844" s="170">
        <v>45435</v>
      </c>
      <c r="M1844" s="116">
        <v>449.9</v>
      </c>
      <c r="N1844" s="116">
        <v>457.95</v>
      </c>
      <c r="O1844" s="116">
        <v>444.5</v>
      </c>
      <c r="P1844" s="116">
        <v>457.05</v>
      </c>
      <c r="Q1844" s="116">
        <v>449.9</v>
      </c>
      <c r="R1844">
        <v>1181706</v>
      </c>
    </row>
    <row r="1845" spans="1:18" x14ac:dyDescent="0.25">
      <c r="A1845" s="170">
        <v>45436</v>
      </c>
      <c r="B1845" s="116">
        <v>450.5</v>
      </c>
      <c r="C1845" s="116">
        <v>438.45</v>
      </c>
      <c r="D1845" s="116">
        <v>430.6</v>
      </c>
      <c r="E1845" s="116">
        <v>449.75</v>
      </c>
      <c r="F1845" s="116">
        <v>438.45</v>
      </c>
      <c r="G1845">
        <v>93738</v>
      </c>
      <c r="H1845" s="116"/>
      <c r="I1845" s="116"/>
      <c r="L1845" s="170">
        <v>45436</v>
      </c>
      <c r="M1845" s="116">
        <v>438.6</v>
      </c>
      <c r="N1845" s="116">
        <v>450.65</v>
      </c>
      <c r="O1845" s="116">
        <v>430.5</v>
      </c>
      <c r="P1845" s="116">
        <v>448.05</v>
      </c>
      <c r="Q1845" s="116">
        <v>438.6</v>
      </c>
      <c r="R1845">
        <v>3641388</v>
      </c>
    </row>
    <row r="1846" spans="1:18" x14ac:dyDescent="0.25">
      <c r="A1846" s="170">
        <v>45439</v>
      </c>
      <c r="B1846" s="116">
        <v>445.2</v>
      </c>
      <c r="C1846" s="116">
        <v>440.95</v>
      </c>
      <c r="D1846" s="116">
        <v>432.85</v>
      </c>
      <c r="E1846" s="116">
        <v>432.85</v>
      </c>
      <c r="F1846" s="116">
        <v>440.95</v>
      </c>
      <c r="G1846">
        <v>25540</v>
      </c>
      <c r="H1846" s="116"/>
      <c r="I1846" s="116"/>
      <c r="L1846" s="170">
        <v>45439</v>
      </c>
      <c r="M1846" s="116">
        <v>441.15</v>
      </c>
      <c r="N1846" s="116">
        <v>445.6</v>
      </c>
      <c r="O1846" s="116">
        <v>434.75</v>
      </c>
      <c r="P1846" s="116">
        <v>435</v>
      </c>
      <c r="Q1846" s="116">
        <v>441.15</v>
      </c>
      <c r="R1846">
        <v>1036316</v>
      </c>
    </row>
    <row r="1847" spans="1:18" x14ac:dyDescent="0.25">
      <c r="A1847" s="170">
        <v>45440</v>
      </c>
      <c r="B1847" s="116">
        <v>448.95</v>
      </c>
      <c r="C1847" s="116">
        <v>446.25</v>
      </c>
      <c r="D1847" s="116">
        <v>441.4</v>
      </c>
      <c r="E1847" s="116">
        <v>444</v>
      </c>
      <c r="F1847" s="116">
        <v>446.25</v>
      </c>
      <c r="G1847">
        <v>35650</v>
      </c>
      <c r="H1847" s="116"/>
      <c r="I1847" s="116"/>
      <c r="L1847" s="170">
        <v>45440</v>
      </c>
      <c r="M1847" s="116">
        <v>446.75</v>
      </c>
      <c r="N1847" s="116">
        <v>448.95</v>
      </c>
      <c r="O1847" s="116">
        <v>441.35</v>
      </c>
      <c r="P1847" s="116">
        <v>443.75</v>
      </c>
      <c r="Q1847" s="116">
        <v>446.75</v>
      </c>
      <c r="R1847">
        <v>2100058</v>
      </c>
    </row>
    <row r="1848" spans="1:18" x14ac:dyDescent="0.25">
      <c r="A1848" s="170">
        <v>45441</v>
      </c>
      <c r="B1848" s="116">
        <v>450</v>
      </c>
      <c r="C1848" s="116">
        <v>440.15</v>
      </c>
      <c r="D1848" s="116">
        <v>439.35</v>
      </c>
      <c r="E1848" s="116">
        <v>450</v>
      </c>
      <c r="F1848" s="116">
        <v>440.15</v>
      </c>
      <c r="G1848">
        <v>11067</v>
      </c>
      <c r="H1848" s="116"/>
      <c r="I1848" s="116"/>
      <c r="L1848" s="170">
        <v>45441</v>
      </c>
      <c r="M1848" s="116">
        <v>440.5</v>
      </c>
      <c r="N1848" s="116">
        <v>448</v>
      </c>
      <c r="O1848" s="116">
        <v>439.1</v>
      </c>
      <c r="P1848" s="116">
        <v>447.5</v>
      </c>
      <c r="Q1848" s="116">
        <v>440.5</v>
      </c>
      <c r="R1848">
        <v>547931</v>
      </c>
    </row>
    <row r="1849" spans="1:18" x14ac:dyDescent="0.25">
      <c r="A1849" s="170">
        <v>45442</v>
      </c>
      <c r="B1849" s="116">
        <v>440.95</v>
      </c>
      <c r="C1849" s="116">
        <v>427.1</v>
      </c>
      <c r="D1849" s="116">
        <v>425.75</v>
      </c>
      <c r="E1849" s="116">
        <v>440.85</v>
      </c>
      <c r="F1849" s="116">
        <v>427.1</v>
      </c>
      <c r="G1849">
        <v>23451</v>
      </c>
      <c r="H1849" s="116"/>
      <c r="I1849" s="116"/>
      <c r="L1849" s="170">
        <v>45442</v>
      </c>
      <c r="M1849" s="116">
        <v>427.85</v>
      </c>
      <c r="N1849" s="116">
        <v>441.1</v>
      </c>
      <c r="O1849" s="116">
        <v>425.9</v>
      </c>
      <c r="P1849" s="116">
        <v>439</v>
      </c>
      <c r="Q1849" s="116">
        <v>427.85</v>
      </c>
      <c r="R1849">
        <v>1157636</v>
      </c>
    </row>
    <row r="1850" spans="1:18" x14ac:dyDescent="0.25">
      <c r="A1850" s="170">
        <v>45443</v>
      </c>
      <c r="B1850" s="116">
        <v>432.25</v>
      </c>
      <c r="C1850" s="116">
        <v>419.05</v>
      </c>
      <c r="D1850" s="116">
        <v>416.5</v>
      </c>
      <c r="E1850" s="116">
        <v>429.35</v>
      </c>
      <c r="F1850" s="116">
        <v>419.05</v>
      </c>
      <c r="G1850">
        <v>35451</v>
      </c>
      <c r="H1850" s="116"/>
      <c r="I1850" s="116"/>
      <c r="L1850" s="170">
        <v>45443</v>
      </c>
      <c r="M1850" s="116">
        <v>418.95</v>
      </c>
      <c r="N1850" s="116">
        <v>432.55</v>
      </c>
      <c r="O1850" s="116">
        <v>416.3</v>
      </c>
      <c r="P1850" s="116">
        <v>428.75</v>
      </c>
      <c r="Q1850" s="116">
        <v>418.95</v>
      </c>
      <c r="R1850">
        <v>1550837</v>
      </c>
    </row>
    <row r="1851" spans="1:18" x14ac:dyDescent="0.25">
      <c r="A1851" s="170">
        <v>45446</v>
      </c>
      <c r="B1851" s="116">
        <v>428.85</v>
      </c>
      <c r="C1851" s="116">
        <v>427</v>
      </c>
      <c r="D1851" s="116">
        <v>418</v>
      </c>
      <c r="E1851" s="116">
        <v>422.6</v>
      </c>
      <c r="F1851" s="116">
        <v>427</v>
      </c>
      <c r="G1851">
        <v>107283</v>
      </c>
      <c r="H1851" s="116"/>
      <c r="I1851" s="116"/>
      <c r="L1851" s="170">
        <v>45446</v>
      </c>
      <c r="M1851" s="116">
        <v>427.35</v>
      </c>
      <c r="N1851" s="116">
        <v>429.4</v>
      </c>
      <c r="O1851" s="116">
        <v>418.25</v>
      </c>
      <c r="P1851" s="116">
        <v>425.1</v>
      </c>
      <c r="Q1851" s="116">
        <v>427.35</v>
      </c>
      <c r="R1851">
        <v>3083913</v>
      </c>
    </row>
    <row r="1852" spans="1:18" x14ac:dyDescent="0.25">
      <c r="A1852" s="170">
        <v>45447</v>
      </c>
      <c r="B1852" s="116">
        <v>429.25</v>
      </c>
      <c r="C1852" s="116">
        <v>403.9</v>
      </c>
      <c r="D1852" s="116">
        <v>386.85</v>
      </c>
      <c r="E1852" s="116">
        <v>425</v>
      </c>
      <c r="F1852" s="116">
        <v>403.9</v>
      </c>
      <c r="G1852">
        <v>80791</v>
      </c>
      <c r="H1852" s="116"/>
      <c r="I1852" s="116"/>
      <c r="L1852" s="170">
        <v>45447</v>
      </c>
      <c r="M1852" s="116">
        <v>404.25</v>
      </c>
      <c r="N1852" s="116">
        <v>429.95</v>
      </c>
      <c r="O1852" s="116">
        <v>385.45</v>
      </c>
      <c r="P1852" s="116">
        <v>427.85</v>
      </c>
      <c r="Q1852" s="116">
        <v>404.25</v>
      </c>
      <c r="R1852">
        <v>2543235</v>
      </c>
    </row>
    <row r="1853" spans="1:18" x14ac:dyDescent="0.25">
      <c r="A1853" s="170">
        <v>45448</v>
      </c>
      <c r="B1853" s="116">
        <v>435</v>
      </c>
      <c r="C1853" s="116">
        <v>426.65</v>
      </c>
      <c r="D1853" s="116">
        <v>406</v>
      </c>
      <c r="E1853" s="116">
        <v>412.35</v>
      </c>
      <c r="F1853" s="116">
        <v>426.65</v>
      </c>
      <c r="G1853">
        <v>49401</v>
      </c>
      <c r="H1853" s="116"/>
      <c r="I1853" s="116"/>
      <c r="L1853" s="170">
        <v>45448</v>
      </c>
      <c r="M1853" s="116">
        <v>426.15</v>
      </c>
      <c r="N1853" s="116">
        <v>435.1</v>
      </c>
      <c r="O1853" s="116">
        <v>406</v>
      </c>
      <c r="P1853" s="116">
        <v>407</v>
      </c>
      <c r="Q1853" s="116">
        <v>426.15</v>
      </c>
      <c r="R1853">
        <v>3793484</v>
      </c>
    </row>
    <row r="1854" spans="1:18" x14ac:dyDescent="0.25">
      <c r="A1854" s="170">
        <v>45449</v>
      </c>
      <c r="B1854" s="116">
        <v>440</v>
      </c>
      <c r="C1854" s="116">
        <v>428.25</v>
      </c>
      <c r="D1854" s="116">
        <v>425.2</v>
      </c>
      <c r="E1854" s="116">
        <v>430</v>
      </c>
      <c r="F1854" s="116">
        <v>428.25</v>
      </c>
      <c r="G1854">
        <v>79163</v>
      </c>
      <c r="H1854" s="116"/>
      <c r="I1854" s="116"/>
      <c r="L1854" s="170">
        <v>45449</v>
      </c>
      <c r="M1854" s="116">
        <v>428.9</v>
      </c>
      <c r="N1854" s="116">
        <v>440</v>
      </c>
      <c r="O1854" s="116">
        <v>425.55</v>
      </c>
      <c r="P1854" s="116">
        <v>432</v>
      </c>
      <c r="Q1854" s="116">
        <v>428.9</v>
      </c>
      <c r="R1854">
        <v>4568849</v>
      </c>
    </row>
    <row r="1855" spans="1:18" x14ac:dyDescent="0.25">
      <c r="A1855" s="170">
        <v>45450</v>
      </c>
      <c r="B1855" s="116">
        <v>445.1</v>
      </c>
      <c r="C1855" s="116">
        <v>438.15</v>
      </c>
      <c r="D1855" s="116">
        <v>427.7</v>
      </c>
      <c r="E1855" s="116">
        <v>430.4</v>
      </c>
      <c r="F1855" s="116">
        <v>438.15</v>
      </c>
      <c r="G1855">
        <v>125307</v>
      </c>
      <c r="H1855" s="116"/>
      <c r="I1855" s="116"/>
      <c r="L1855" s="170">
        <v>45450</v>
      </c>
      <c r="M1855" s="116">
        <v>437.75</v>
      </c>
      <c r="N1855" s="116">
        <v>445.65</v>
      </c>
      <c r="O1855" s="116">
        <v>427.8</v>
      </c>
      <c r="P1855" s="116">
        <v>428</v>
      </c>
      <c r="Q1855" s="116">
        <v>437.75</v>
      </c>
      <c r="R1855">
        <v>2656844</v>
      </c>
    </row>
    <row r="1856" spans="1:18" x14ac:dyDescent="0.25">
      <c r="A1856" s="170">
        <v>45453</v>
      </c>
      <c r="B1856" s="116">
        <v>447.5</v>
      </c>
      <c r="C1856" s="116">
        <v>443.55</v>
      </c>
      <c r="D1856" s="116">
        <v>435.8</v>
      </c>
      <c r="E1856" s="116">
        <v>439</v>
      </c>
      <c r="F1856" s="116">
        <v>443.55</v>
      </c>
      <c r="G1856">
        <v>84175</v>
      </c>
      <c r="H1856" s="116"/>
      <c r="I1856" s="116"/>
      <c r="L1856" s="170">
        <v>45453</v>
      </c>
      <c r="M1856" s="116">
        <v>443.65</v>
      </c>
      <c r="N1856" s="116">
        <v>447.35</v>
      </c>
      <c r="O1856" s="116">
        <v>436.1</v>
      </c>
      <c r="P1856" s="116">
        <v>439</v>
      </c>
      <c r="Q1856" s="116">
        <v>443.65</v>
      </c>
      <c r="R1856">
        <v>1206982</v>
      </c>
    </row>
    <row r="1857" spans="1:18" x14ac:dyDescent="0.25">
      <c r="A1857" s="170">
        <v>45454</v>
      </c>
      <c r="B1857" s="116">
        <v>447</v>
      </c>
      <c r="C1857" s="116">
        <v>441.8</v>
      </c>
      <c r="D1857" s="116">
        <v>439.8</v>
      </c>
      <c r="E1857" s="116">
        <v>442.05</v>
      </c>
      <c r="F1857" s="116">
        <v>441.8</v>
      </c>
      <c r="G1857">
        <v>20731</v>
      </c>
      <c r="H1857" s="116"/>
      <c r="I1857" s="116"/>
      <c r="L1857" s="170">
        <v>45454</v>
      </c>
      <c r="M1857" s="116">
        <v>442.15</v>
      </c>
      <c r="N1857" s="116">
        <v>446.95</v>
      </c>
      <c r="O1857" s="116">
        <v>439.25</v>
      </c>
      <c r="P1857" s="116">
        <v>443.65</v>
      </c>
      <c r="Q1857" s="116">
        <v>442.15</v>
      </c>
      <c r="R1857">
        <v>1546836</v>
      </c>
    </row>
    <row r="1858" spans="1:18" x14ac:dyDescent="0.25">
      <c r="A1858" s="170">
        <v>45455</v>
      </c>
      <c r="B1858" s="116">
        <v>443.8</v>
      </c>
      <c r="C1858" s="116">
        <v>438.9</v>
      </c>
      <c r="D1858" s="116">
        <v>434.15</v>
      </c>
      <c r="E1858" s="116">
        <v>442</v>
      </c>
      <c r="F1858" s="116">
        <v>438.9</v>
      </c>
      <c r="G1858">
        <v>63983</v>
      </c>
      <c r="H1858" s="116"/>
      <c r="I1858" s="116"/>
      <c r="L1858" s="170">
        <v>45455</v>
      </c>
      <c r="M1858" s="116">
        <v>438.95</v>
      </c>
      <c r="N1858" s="116">
        <v>443.65</v>
      </c>
      <c r="O1858" s="116">
        <v>433.7</v>
      </c>
      <c r="P1858" s="116">
        <v>441.9</v>
      </c>
      <c r="Q1858" s="116">
        <v>438.95</v>
      </c>
      <c r="R1858">
        <v>1062344</v>
      </c>
    </row>
    <row r="1859" spans="1:18" x14ac:dyDescent="0.25">
      <c r="A1859" s="170">
        <v>45456</v>
      </c>
      <c r="B1859" s="116">
        <v>443</v>
      </c>
      <c r="C1859" s="116">
        <v>439.6</v>
      </c>
      <c r="D1859" s="116">
        <v>433.25</v>
      </c>
      <c r="E1859" s="116">
        <v>441.55</v>
      </c>
      <c r="F1859" s="116">
        <v>439.6</v>
      </c>
      <c r="G1859">
        <v>35206</v>
      </c>
      <c r="H1859" s="116"/>
      <c r="I1859" s="116"/>
      <c r="L1859" s="170">
        <v>45456</v>
      </c>
      <c r="M1859" s="116">
        <v>439.5</v>
      </c>
      <c r="N1859" s="116">
        <v>443.35</v>
      </c>
      <c r="O1859" s="116">
        <v>433.05</v>
      </c>
      <c r="P1859" s="116">
        <v>438.5</v>
      </c>
      <c r="Q1859" s="116">
        <v>439.5</v>
      </c>
      <c r="R1859">
        <v>1295787</v>
      </c>
    </row>
    <row r="1860" spans="1:18" x14ac:dyDescent="0.25">
      <c r="A1860" s="170">
        <v>45457</v>
      </c>
      <c r="B1860" s="116">
        <v>441.75</v>
      </c>
      <c r="C1860" s="116">
        <v>434.55</v>
      </c>
      <c r="D1860" s="116">
        <v>434</v>
      </c>
      <c r="E1860" s="116">
        <v>440</v>
      </c>
      <c r="F1860" s="116">
        <v>434.55</v>
      </c>
      <c r="G1860">
        <v>68741</v>
      </c>
      <c r="H1860" s="116"/>
      <c r="I1860" s="116"/>
      <c r="L1860" s="170">
        <v>45457</v>
      </c>
      <c r="M1860" s="116">
        <v>434.9</v>
      </c>
      <c r="N1860" s="116">
        <v>441.75</v>
      </c>
      <c r="O1860" s="116">
        <v>434.05</v>
      </c>
      <c r="P1860" s="116">
        <v>438.5</v>
      </c>
      <c r="Q1860" s="116">
        <v>434.9</v>
      </c>
      <c r="R1860">
        <v>1179968</v>
      </c>
    </row>
    <row r="1861" spans="1:18" x14ac:dyDescent="0.25">
      <c r="A1861" s="170">
        <v>45461</v>
      </c>
      <c r="B1861" s="116">
        <v>436</v>
      </c>
      <c r="C1861" s="116">
        <v>428</v>
      </c>
      <c r="D1861" s="116">
        <v>426.6</v>
      </c>
      <c r="E1861" s="116">
        <v>434.6</v>
      </c>
      <c r="F1861" s="116">
        <v>428</v>
      </c>
      <c r="G1861">
        <v>40251</v>
      </c>
      <c r="H1861" s="116"/>
      <c r="I1861" s="116"/>
      <c r="L1861" s="170">
        <v>45461</v>
      </c>
      <c r="M1861" s="116">
        <v>428.25</v>
      </c>
      <c r="N1861" s="116">
        <v>436.3</v>
      </c>
      <c r="O1861" s="116">
        <v>426.4</v>
      </c>
      <c r="P1861" s="116">
        <v>435.1</v>
      </c>
      <c r="Q1861" s="116">
        <v>428.25</v>
      </c>
      <c r="R1861">
        <v>1153792</v>
      </c>
    </row>
    <row r="1862" spans="1:18" x14ac:dyDescent="0.25">
      <c r="A1862" s="170">
        <v>45462</v>
      </c>
      <c r="B1862" s="116">
        <v>435.8</v>
      </c>
      <c r="C1862" s="116">
        <v>430.1</v>
      </c>
      <c r="D1862" s="116">
        <v>426.3</v>
      </c>
      <c r="E1862" s="116">
        <v>432.15</v>
      </c>
      <c r="F1862" s="116">
        <v>430.1</v>
      </c>
      <c r="G1862">
        <v>47929</v>
      </c>
      <c r="H1862" s="116"/>
      <c r="I1862" s="116"/>
      <c r="L1862" s="170">
        <v>45462</v>
      </c>
      <c r="M1862" s="116">
        <v>430.35</v>
      </c>
      <c r="N1862" s="116">
        <v>435.5</v>
      </c>
      <c r="O1862" s="116">
        <v>426</v>
      </c>
      <c r="P1862" s="116">
        <v>432.95</v>
      </c>
      <c r="Q1862" s="116">
        <v>430.35</v>
      </c>
      <c r="R1862">
        <v>1262281</v>
      </c>
    </row>
    <row r="1863" spans="1:18" x14ac:dyDescent="0.25">
      <c r="A1863" s="170">
        <v>45463</v>
      </c>
      <c r="B1863" s="116">
        <v>433.4</v>
      </c>
      <c r="C1863" s="116">
        <v>432.65</v>
      </c>
      <c r="D1863" s="116">
        <v>427.5</v>
      </c>
      <c r="E1863" s="116">
        <v>430.5</v>
      </c>
      <c r="F1863" s="116">
        <v>432.65</v>
      </c>
      <c r="G1863">
        <v>28564</v>
      </c>
      <c r="H1863" s="116"/>
      <c r="I1863" s="116"/>
      <c r="L1863" s="170">
        <v>45463</v>
      </c>
      <c r="M1863" s="116">
        <v>432.85</v>
      </c>
      <c r="N1863" s="116">
        <v>433.5</v>
      </c>
      <c r="O1863" s="116">
        <v>426.8</v>
      </c>
      <c r="P1863" s="116">
        <v>431</v>
      </c>
      <c r="Q1863" s="116">
        <v>432.85</v>
      </c>
      <c r="R1863">
        <v>690681</v>
      </c>
    </row>
    <row r="1864" spans="1:18" x14ac:dyDescent="0.25">
      <c r="A1864" s="170">
        <v>45464</v>
      </c>
      <c r="B1864" s="116">
        <v>437.65</v>
      </c>
      <c r="C1864" s="116">
        <v>429.75</v>
      </c>
      <c r="D1864" s="116">
        <v>429</v>
      </c>
      <c r="E1864" s="116">
        <v>432</v>
      </c>
      <c r="F1864" s="116">
        <v>429.75</v>
      </c>
      <c r="G1864">
        <v>17977</v>
      </c>
      <c r="H1864" s="116"/>
      <c r="I1864" s="116"/>
      <c r="L1864" s="170">
        <v>45464</v>
      </c>
      <c r="M1864" s="116">
        <v>430</v>
      </c>
      <c r="N1864" s="116">
        <v>437.7</v>
      </c>
      <c r="O1864" s="116">
        <v>428.95</v>
      </c>
      <c r="P1864" s="116">
        <v>432.85</v>
      </c>
      <c r="Q1864" s="116">
        <v>430</v>
      </c>
      <c r="R1864">
        <v>1086195</v>
      </c>
    </row>
    <row r="1865" spans="1:18" x14ac:dyDescent="0.25">
      <c r="A1865" s="170">
        <v>45467</v>
      </c>
      <c r="B1865" s="116">
        <v>431.05</v>
      </c>
      <c r="C1865" s="116">
        <v>429.3</v>
      </c>
      <c r="D1865" s="116">
        <v>423.25</v>
      </c>
      <c r="E1865" s="116">
        <v>430</v>
      </c>
      <c r="F1865" s="116">
        <v>429.3</v>
      </c>
      <c r="G1865">
        <v>13849</v>
      </c>
      <c r="H1865" s="116"/>
      <c r="I1865" s="116"/>
      <c r="L1865" s="170">
        <v>45467</v>
      </c>
      <c r="M1865" s="116">
        <v>429.35</v>
      </c>
      <c r="N1865" s="116">
        <v>431.25</v>
      </c>
      <c r="O1865" s="116">
        <v>423.15</v>
      </c>
      <c r="P1865" s="116">
        <v>427</v>
      </c>
      <c r="Q1865" s="116">
        <v>429.35</v>
      </c>
      <c r="R1865">
        <v>593559</v>
      </c>
    </row>
    <row r="1866" spans="1:18" x14ac:dyDescent="0.25">
      <c r="A1866" s="170">
        <v>45468</v>
      </c>
      <c r="B1866" s="116">
        <v>432</v>
      </c>
      <c r="C1866" s="116">
        <v>427.15</v>
      </c>
      <c r="D1866" s="116">
        <v>421.15</v>
      </c>
      <c r="E1866" s="116">
        <v>421.15</v>
      </c>
      <c r="F1866" s="116">
        <v>427.15</v>
      </c>
      <c r="G1866">
        <v>12753</v>
      </c>
      <c r="H1866" s="116"/>
      <c r="I1866" s="116"/>
      <c r="L1866" s="170">
        <v>45468</v>
      </c>
      <c r="M1866" s="116">
        <v>427.4</v>
      </c>
      <c r="N1866" s="116">
        <v>432.15</v>
      </c>
      <c r="O1866" s="116">
        <v>425.5</v>
      </c>
      <c r="P1866" s="116">
        <v>427.2</v>
      </c>
      <c r="Q1866" s="116">
        <v>427.4</v>
      </c>
      <c r="R1866">
        <v>627402</v>
      </c>
    </row>
    <row r="1867" spans="1:18" x14ac:dyDescent="0.25">
      <c r="A1867" s="170">
        <v>45469</v>
      </c>
      <c r="B1867" s="116">
        <v>433.55</v>
      </c>
      <c r="C1867" s="116">
        <v>427.25</v>
      </c>
      <c r="D1867" s="116">
        <v>423.8</v>
      </c>
      <c r="E1867" s="116">
        <v>427.15</v>
      </c>
      <c r="F1867" s="116">
        <v>427.25</v>
      </c>
      <c r="G1867">
        <v>14908</v>
      </c>
      <c r="H1867" s="116"/>
      <c r="I1867" s="116"/>
      <c r="L1867" s="170">
        <v>45469</v>
      </c>
      <c r="M1867" s="116">
        <v>427.45</v>
      </c>
      <c r="N1867" s="116">
        <v>433.9</v>
      </c>
      <c r="O1867" s="116">
        <v>423.9</v>
      </c>
      <c r="P1867" s="116">
        <v>427.4</v>
      </c>
      <c r="Q1867" s="116">
        <v>427.45</v>
      </c>
      <c r="R1867">
        <v>1354323</v>
      </c>
    </row>
    <row r="1868" spans="1:18" x14ac:dyDescent="0.25">
      <c r="A1868" s="170">
        <v>45470</v>
      </c>
      <c r="B1868" s="116">
        <v>430.55</v>
      </c>
      <c r="C1868" s="116">
        <v>423.75</v>
      </c>
      <c r="D1868" s="116">
        <v>419.95</v>
      </c>
      <c r="E1868" s="116">
        <v>430</v>
      </c>
      <c r="F1868" s="116">
        <v>423.75</v>
      </c>
      <c r="G1868">
        <v>23222</v>
      </c>
      <c r="H1868" s="116"/>
      <c r="I1868" s="116"/>
      <c r="L1868" s="170">
        <v>45470</v>
      </c>
      <c r="M1868" s="116">
        <v>423.5</v>
      </c>
      <c r="N1868" s="116">
        <v>430.85</v>
      </c>
      <c r="O1868" s="116">
        <v>419.55</v>
      </c>
      <c r="P1868" s="116">
        <v>427.8</v>
      </c>
      <c r="Q1868" s="116">
        <v>423.5</v>
      </c>
      <c r="R1868">
        <v>720200</v>
      </c>
    </row>
    <row r="1869" spans="1:18" x14ac:dyDescent="0.25">
      <c r="A1869" s="170">
        <v>45471</v>
      </c>
      <c r="B1869" s="116">
        <v>430.95</v>
      </c>
      <c r="C1869" s="116">
        <v>424.25</v>
      </c>
      <c r="D1869" s="116">
        <v>423.55</v>
      </c>
      <c r="E1869" s="116">
        <v>430.95</v>
      </c>
      <c r="F1869" s="116">
        <v>424.25</v>
      </c>
      <c r="G1869">
        <v>72341</v>
      </c>
      <c r="H1869" s="116"/>
      <c r="I1869" s="116"/>
      <c r="L1869" s="170">
        <v>45471</v>
      </c>
      <c r="M1869" s="116">
        <v>424.55</v>
      </c>
      <c r="N1869" s="116">
        <v>429.4</v>
      </c>
      <c r="O1869" s="116">
        <v>423.55</v>
      </c>
      <c r="P1869" s="116">
        <v>424.45</v>
      </c>
      <c r="Q1869" s="116">
        <v>424.55</v>
      </c>
      <c r="R1869">
        <v>793710</v>
      </c>
    </row>
    <row r="1870" spans="1:18" x14ac:dyDescent="0.25">
      <c r="A1870" s="170">
        <v>45474</v>
      </c>
      <c r="B1870" s="116">
        <v>432.25</v>
      </c>
      <c r="C1870" s="116">
        <v>431.25</v>
      </c>
      <c r="D1870" s="116">
        <v>424.9</v>
      </c>
      <c r="E1870" s="116">
        <v>429.95</v>
      </c>
      <c r="F1870" s="116">
        <v>431.25</v>
      </c>
      <c r="G1870">
        <v>21592</v>
      </c>
      <c r="H1870" s="116"/>
      <c r="I1870" s="116"/>
      <c r="L1870" s="170">
        <v>45474</v>
      </c>
      <c r="M1870" s="116">
        <v>430.8</v>
      </c>
      <c r="N1870" s="116">
        <v>432</v>
      </c>
      <c r="O1870" s="116">
        <v>425.1</v>
      </c>
      <c r="P1870" s="116">
        <v>428.9</v>
      </c>
      <c r="Q1870" s="116">
        <v>430.8</v>
      </c>
      <c r="R1870">
        <v>1413357</v>
      </c>
    </row>
    <row r="1871" spans="1:18" x14ac:dyDescent="0.25">
      <c r="A1871" s="170">
        <v>45475</v>
      </c>
      <c r="B1871" s="116">
        <v>443.4</v>
      </c>
      <c r="C1871" s="116">
        <v>437.45</v>
      </c>
      <c r="D1871" s="116">
        <v>428.6</v>
      </c>
      <c r="E1871" s="116">
        <v>432.45</v>
      </c>
      <c r="F1871" s="116">
        <v>437.45</v>
      </c>
      <c r="G1871">
        <v>155638</v>
      </c>
      <c r="H1871" s="116"/>
      <c r="I1871" s="116"/>
      <c r="L1871" s="170">
        <v>45475</v>
      </c>
      <c r="M1871" s="116">
        <v>437.75</v>
      </c>
      <c r="N1871" s="116">
        <v>443.2</v>
      </c>
      <c r="O1871" s="116">
        <v>428.7</v>
      </c>
      <c r="P1871" s="116">
        <v>435</v>
      </c>
      <c r="Q1871" s="116">
        <v>437.75</v>
      </c>
      <c r="R1871">
        <v>2463719</v>
      </c>
    </row>
    <row r="1872" spans="1:18" x14ac:dyDescent="0.25">
      <c r="A1872" s="170">
        <v>45476</v>
      </c>
      <c r="B1872" s="116">
        <v>441.35</v>
      </c>
      <c r="C1872" s="116">
        <v>436.45</v>
      </c>
      <c r="D1872" s="116">
        <v>434.45</v>
      </c>
      <c r="E1872" s="116">
        <v>440</v>
      </c>
      <c r="F1872" s="116">
        <v>436.45</v>
      </c>
      <c r="G1872">
        <v>254376</v>
      </c>
      <c r="H1872" s="116"/>
      <c r="I1872" s="116"/>
      <c r="L1872" s="170">
        <v>45476</v>
      </c>
      <c r="M1872" s="116">
        <v>436.9</v>
      </c>
      <c r="N1872" s="116">
        <v>441.6</v>
      </c>
      <c r="O1872" s="116">
        <v>434.45</v>
      </c>
      <c r="P1872" s="116">
        <v>438.4</v>
      </c>
      <c r="Q1872" s="116">
        <v>436.9</v>
      </c>
      <c r="R1872">
        <v>1964482</v>
      </c>
    </row>
    <row r="1873" spans="1:18" x14ac:dyDescent="0.25">
      <c r="A1873" s="170">
        <v>45477</v>
      </c>
      <c r="B1873" s="116">
        <v>460.4</v>
      </c>
      <c r="C1873" s="116">
        <v>454.25</v>
      </c>
      <c r="D1873" s="116">
        <v>436.4</v>
      </c>
      <c r="E1873" s="116">
        <v>438.25</v>
      </c>
      <c r="F1873" s="116">
        <v>454.25</v>
      </c>
      <c r="G1873">
        <v>212320</v>
      </c>
      <c r="H1873" s="116"/>
      <c r="I1873" s="116"/>
      <c r="L1873" s="170">
        <v>45477</v>
      </c>
      <c r="M1873" s="116">
        <v>454.45</v>
      </c>
      <c r="N1873" s="116">
        <v>460.45</v>
      </c>
      <c r="O1873" s="116">
        <v>436.05</v>
      </c>
      <c r="P1873" s="116">
        <v>437</v>
      </c>
      <c r="Q1873" s="116">
        <v>454.45</v>
      </c>
      <c r="R1873">
        <v>6529514</v>
      </c>
    </row>
    <row r="1874" spans="1:18" x14ac:dyDescent="0.25">
      <c r="A1874" s="170">
        <v>45478</v>
      </c>
      <c r="B1874" s="116">
        <v>481.6</v>
      </c>
      <c r="C1874" s="116">
        <v>477.25</v>
      </c>
      <c r="D1874" s="116">
        <v>453.8</v>
      </c>
      <c r="E1874" s="116">
        <v>457.15</v>
      </c>
      <c r="F1874" s="116">
        <v>477.25</v>
      </c>
      <c r="G1874">
        <v>314043</v>
      </c>
      <c r="H1874" s="116"/>
      <c r="I1874" s="116"/>
      <c r="L1874" s="170">
        <v>45478</v>
      </c>
      <c r="M1874" s="116">
        <v>477.15</v>
      </c>
      <c r="N1874" s="116">
        <v>481.45</v>
      </c>
      <c r="O1874" s="116">
        <v>453.75</v>
      </c>
      <c r="P1874" s="116">
        <v>456.8</v>
      </c>
      <c r="Q1874" s="116">
        <v>477.15</v>
      </c>
      <c r="R1874">
        <v>11785336</v>
      </c>
    </row>
    <row r="1875" spans="1:18" x14ac:dyDescent="0.25">
      <c r="A1875" s="170">
        <v>45481</v>
      </c>
      <c r="B1875" s="116">
        <v>484.95</v>
      </c>
      <c r="C1875" s="116">
        <v>474.65</v>
      </c>
      <c r="D1875" s="116">
        <v>464</v>
      </c>
      <c r="E1875" s="116">
        <v>484.95</v>
      </c>
      <c r="F1875" s="116">
        <v>474.65</v>
      </c>
      <c r="G1875">
        <v>221272</v>
      </c>
      <c r="H1875" s="116"/>
      <c r="I1875" s="116"/>
      <c r="L1875" s="170">
        <v>45481</v>
      </c>
      <c r="M1875" s="116">
        <v>474.45</v>
      </c>
      <c r="N1875" s="116">
        <v>482.75</v>
      </c>
      <c r="O1875" s="116">
        <v>464.15</v>
      </c>
      <c r="P1875" s="116">
        <v>480</v>
      </c>
      <c r="Q1875" s="116">
        <v>474.45</v>
      </c>
      <c r="R1875">
        <v>4153538</v>
      </c>
    </row>
    <row r="1876" spans="1:18" x14ac:dyDescent="0.25">
      <c r="A1876" s="170">
        <v>45482</v>
      </c>
      <c r="B1876" s="116">
        <v>482.6</v>
      </c>
      <c r="C1876" s="116">
        <v>479.55</v>
      </c>
      <c r="D1876" s="116">
        <v>468.2</v>
      </c>
      <c r="E1876" s="116">
        <v>477.95</v>
      </c>
      <c r="F1876" s="116">
        <v>479.55</v>
      </c>
      <c r="G1876">
        <v>164243</v>
      </c>
      <c r="H1876" s="116"/>
      <c r="I1876" s="116"/>
      <c r="L1876" s="170">
        <v>45482</v>
      </c>
      <c r="M1876" s="116">
        <v>479.9</v>
      </c>
      <c r="N1876" s="116">
        <v>482.9</v>
      </c>
      <c r="O1876" s="116">
        <v>468.3</v>
      </c>
      <c r="P1876" s="116">
        <v>475.55</v>
      </c>
      <c r="Q1876" s="116">
        <v>479.9</v>
      </c>
      <c r="R1876">
        <v>2465956</v>
      </c>
    </row>
    <row r="1877" spans="1:18" x14ac:dyDescent="0.25">
      <c r="A1877" s="170">
        <v>45483</v>
      </c>
      <c r="B1877" s="116">
        <v>484.6</v>
      </c>
      <c r="C1877" s="116">
        <v>472.5</v>
      </c>
      <c r="D1877" s="116">
        <v>464.35</v>
      </c>
      <c r="E1877" s="116">
        <v>484.05</v>
      </c>
      <c r="F1877" s="116">
        <v>472.5</v>
      </c>
      <c r="G1877">
        <v>69242</v>
      </c>
      <c r="H1877" s="116"/>
      <c r="I1877" s="116"/>
      <c r="L1877" s="170">
        <v>45483</v>
      </c>
      <c r="M1877" s="116">
        <v>472.8</v>
      </c>
      <c r="N1877" s="116">
        <v>484.3</v>
      </c>
      <c r="O1877" s="116">
        <v>464.05</v>
      </c>
      <c r="P1877" s="116">
        <v>483</v>
      </c>
      <c r="Q1877" s="116">
        <v>472.8</v>
      </c>
      <c r="R1877">
        <v>1620564</v>
      </c>
    </row>
    <row r="1878" spans="1:18" x14ac:dyDescent="0.25">
      <c r="A1878" s="170">
        <v>45484</v>
      </c>
      <c r="B1878" s="116">
        <v>475.1</v>
      </c>
      <c r="C1878" s="116">
        <v>471.35</v>
      </c>
      <c r="D1878" s="116">
        <v>468.15</v>
      </c>
      <c r="E1878" s="116">
        <v>475</v>
      </c>
      <c r="F1878" s="116">
        <v>471.35</v>
      </c>
      <c r="G1878">
        <v>66711</v>
      </c>
      <c r="H1878" s="116"/>
      <c r="I1878" s="116"/>
      <c r="L1878" s="170">
        <v>45484</v>
      </c>
      <c r="M1878" s="116">
        <v>471.55</v>
      </c>
      <c r="N1878" s="116">
        <v>475</v>
      </c>
      <c r="O1878" s="116">
        <v>468.05</v>
      </c>
      <c r="P1878" s="116">
        <v>474</v>
      </c>
      <c r="Q1878" s="116">
        <v>471.55</v>
      </c>
      <c r="R1878">
        <v>2175874</v>
      </c>
    </row>
    <row r="1879" spans="1:18" x14ac:dyDescent="0.25">
      <c r="A1879" s="170">
        <v>45485</v>
      </c>
      <c r="B1879" s="116">
        <v>474.35</v>
      </c>
      <c r="C1879" s="116">
        <v>463.3</v>
      </c>
      <c r="D1879" s="116">
        <v>461.75</v>
      </c>
      <c r="E1879" s="116">
        <v>472.3</v>
      </c>
      <c r="F1879" s="116">
        <v>463.3</v>
      </c>
      <c r="G1879">
        <v>46635</v>
      </c>
      <c r="H1879" s="116"/>
      <c r="I1879" s="116"/>
      <c r="L1879" s="170">
        <v>45485</v>
      </c>
      <c r="M1879" s="116">
        <v>463.4</v>
      </c>
      <c r="N1879" s="116">
        <v>474</v>
      </c>
      <c r="O1879" s="116">
        <v>461.9</v>
      </c>
      <c r="P1879" s="116">
        <v>473.9</v>
      </c>
      <c r="Q1879" s="116">
        <v>463.4</v>
      </c>
      <c r="R1879">
        <v>919551</v>
      </c>
    </row>
    <row r="1880" spans="1:18" x14ac:dyDescent="0.25">
      <c r="A1880" s="170">
        <v>45488</v>
      </c>
      <c r="B1880" s="116">
        <v>470.25</v>
      </c>
      <c r="C1880" s="116">
        <v>466.2</v>
      </c>
      <c r="D1880" s="116">
        <v>462.5</v>
      </c>
      <c r="E1880" s="116">
        <v>463.3</v>
      </c>
      <c r="F1880" s="116">
        <v>466.2</v>
      </c>
      <c r="G1880">
        <v>30489</v>
      </c>
      <c r="H1880" s="116"/>
      <c r="I1880" s="116"/>
      <c r="L1880" s="170">
        <v>45488</v>
      </c>
      <c r="M1880" s="116">
        <v>466.2</v>
      </c>
      <c r="N1880" s="116">
        <v>470.75</v>
      </c>
      <c r="O1880" s="116">
        <v>462.35</v>
      </c>
      <c r="P1880" s="116">
        <v>464.5</v>
      </c>
      <c r="Q1880" s="116">
        <v>466.2</v>
      </c>
      <c r="R1880">
        <v>804331</v>
      </c>
    </row>
    <row r="1881" spans="1:18" x14ac:dyDescent="0.25">
      <c r="A1881" s="170">
        <v>45489</v>
      </c>
      <c r="B1881" s="116">
        <v>469.8</v>
      </c>
      <c r="C1881" s="116">
        <v>464.8</v>
      </c>
      <c r="D1881" s="116">
        <v>463.4</v>
      </c>
      <c r="E1881" s="116">
        <v>469</v>
      </c>
      <c r="F1881" s="116">
        <v>464.8</v>
      </c>
      <c r="G1881">
        <v>66371</v>
      </c>
      <c r="H1881" s="116"/>
      <c r="I1881" s="116"/>
      <c r="L1881" s="170">
        <v>45489</v>
      </c>
      <c r="M1881" s="116">
        <v>465.05</v>
      </c>
      <c r="N1881" s="116">
        <v>470</v>
      </c>
      <c r="O1881" s="116">
        <v>463</v>
      </c>
      <c r="P1881" s="116">
        <v>467.6</v>
      </c>
      <c r="Q1881" s="116">
        <v>465.05</v>
      </c>
      <c r="R1881">
        <v>966959</v>
      </c>
    </row>
    <row r="1882" spans="1:18" x14ac:dyDescent="0.25">
      <c r="A1882" s="170">
        <v>45491</v>
      </c>
      <c r="B1882" s="116">
        <v>463.55</v>
      </c>
      <c r="C1882" s="116">
        <v>456.85</v>
      </c>
      <c r="D1882" s="116">
        <v>453</v>
      </c>
      <c r="E1882" s="116">
        <v>462.05</v>
      </c>
      <c r="F1882" s="116">
        <v>456.85</v>
      </c>
      <c r="G1882">
        <v>34351</v>
      </c>
      <c r="H1882" s="116"/>
      <c r="I1882" s="116"/>
      <c r="L1882" s="170">
        <v>45491</v>
      </c>
      <c r="M1882" s="116">
        <v>457</v>
      </c>
      <c r="N1882" s="116">
        <v>465</v>
      </c>
      <c r="O1882" s="116">
        <v>452.65</v>
      </c>
      <c r="P1882" s="116">
        <v>464</v>
      </c>
      <c r="Q1882" s="116">
        <v>457</v>
      </c>
      <c r="R1882">
        <v>1160068</v>
      </c>
    </row>
    <row r="1883" spans="1:18" x14ac:dyDescent="0.25">
      <c r="A1883" s="170">
        <v>45492</v>
      </c>
      <c r="B1883" s="116">
        <v>458.05</v>
      </c>
      <c r="C1883" s="116">
        <v>440.15</v>
      </c>
      <c r="D1883" s="116">
        <v>439.15</v>
      </c>
      <c r="E1883" s="116">
        <v>458</v>
      </c>
      <c r="F1883" s="116">
        <v>440.15</v>
      </c>
      <c r="G1883">
        <v>30722</v>
      </c>
      <c r="H1883" s="116"/>
      <c r="I1883" s="116"/>
      <c r="L1883" s="170">
        <v>45492</v>
      </c>
      <c r="M1883" s="116">
        <v>440.4</v>
      </c>
      <c r="N1883" s="116">
        <v>458.4</v>
      </c>
      <c r="O1883" s="116">
        <v>439.1</v>
      </c>
      <c r="P1883" s="116">
        <v>458.3</v>
      </c>
      <c r="Q1883" s="116">
        <v>440.4</v>
      </c>
      <c r="R1883">
        <v>2398591</v>
      </c>
    </row>
    <row r="1884" spans="1:18" x14ac:dyDescent="0.25">
      <c r="A1884" s="170">
        <v>45495</v>
      </c>
      <c r="B1884" s="116">
        <v>452</v>
      </c>
      <c r="C1884" s="116">
        <v>442.15</v>
      </c>
      <c r="D1884" s="116">
        <v>436.95</v>
      </c>
      <c r="E1884" s="116">
        <v>440</v>
      </c>
      <c r="F1884" s="116">
        <v>442.15</v>
      </c>
      <c r="G1884">
        <v>22159</v>
      </c>
      <c r="H1884" s="116"/>
      <c r="I1884" s="116"/>
      <c r="L1884" s="170">
        <v>45495</v>
      </c>
      <c r="M1884" s="116">
        <v>441.5</v>
      </c>
      <c r="N1884" s="116">
        <v>444.6</v>
      </c>
      <c r="O1884" s="116">
        <v>436.05</v>
      </c>
      <c r="P1884" s="116">
        <v>440.7</v>
      </c>
      <c r="Q1884" s="116">
        <v>441.5</v>
      </c>
      <c r="R1884">
        <v>1869261</v>
      </c>
    </row>
    <row r="1885" spans="1:18" x14ac:dyDescent="0.25">
      <c r="A1885" s="170">
        <v>45496</v>
      </c>
      <c r="B1885" s="116">
        <v>445</v>
      </c>
      <c r="C1885" s="116">
        <v>430.1</v>
      </c>
      <c r="D1885" s="116">
        <v>420.9</v>
      </c>
      <c r="E1885" s="116">
        <v>445</v>
      </c>
      <c r="F1885" s="116">
        <v>430.1</v>
      </c>
      <c r="G1885">
        <v>199947</v>
      </c>
      <c r="H1885" s="116"/>
      <c r="I1885" s="116"/>
      <c r="L1885" s="170">
        <v>45496</v>
      </c>
      <c r="M1885" s="116">
        <v>430.45</v>
      </c>
      <c r="N1885" s="116">
        <v>444.8</v>
      </c>
      <c r="O1885" s="116">
        <v>420.45</v>
      </c>
      <c r="P1885" s="116">
        <v>443</v>
      </c>
      <c r="Q1885" s="116">
        <v>430.45</v>
      </c>
      <c r="R1885">
        <v>4846935</v>
      </c>
    </row>
    <row r="1886" spans="1:18" x14ac:dyDescent="0.25">
      <c r="A1886" s="170">
        <v>45497</v>
      </c>
      <c r="B1886" s="116">
        <v>440.2</v>
      </c>
      <c r="C1886" s="116">
        <v>435.9</v>
      </c>
      <c r="D1886" s="116">
        <v>429.95</v>
      </c>
      <c r="E1886" s="116">
        <v>430.6</v>
      </c>
      <c r="F1886" s="116">
        <v>435.9</v>
      </c>
      <c r="G1886">
        <v>41313</v>
      </c>
      <c r="H1886" s="116"/>
      <c r="I1886" s="116"/>
      <c r="L1886" s="170">
        <v>45497</v>
      </c>
      <c r="M1886" s="116">
        <v>434.55</v>
      </c>
      <c r="N1886" s="116">
        <v>440</v>
      </c>
      <c r="O1886" s="116">
        <v>430</v>
      </c>
      <c r="P1886" s="116">
        <v>431.4</v>
      </c>
      <c r="Q1886" s="116">
        <v>434.55</v>
      </c>
      <c r="R1886">
        <v>4786618</v>
      </c>
    </row>
    <row r="1887" spans="1:18" x14ac:dyDescent="0.25">
      <c r="A1887" s="170">
        <v>45498</v>
      </c>
      <c r="B1887" s="116">
        <v>440.35</v>
      </c>
      <c r="C1887" s="116">
        <v>432.45</v>
      </c>
      <c r="D1887" s="116">
        <v>418.4</v>
      </c>
      <c r="E1887" s="116">
        <v>433.5</v>
      </c>
      <c r="F1887" s="116">
        <v>432.45</v>
      </c>
      <c r="G1887">
        <v>271034</v>
      </c>
      <c r="H1887" s="116"/>
      <c r="I1887" s="116"/>
      <c r="L1887" s="170">
        <v>45498</v>
      </c>
      <c r="M1887" s="116">
        <v>433.85</v>
      </c>
      <c r="N1887" s="116">
        <v>440.75</v>
      </c>
      <c r="O1887" s="116">
        <v>418.05</v>
      </c>
      <c r="P1887" s="116">
        <v>433.95</v>
      </c>
      <c r="Q1887" s="116">
        <v>433.85</v>
      </c>
      <c r="R1887">
        <v>6274662</v>
      </c>
    </row>
    <row r="1888" spans="1:18" x14ac:dyDescent="0.25">
      <c r="A1888" s="170">
        <v>45499</v>
      </c>
      <c r="B1888" s="116">
        <v>456.25</v>
      </c>
      <c r="C1888" s="116">
        <v>448.8</v>
      </c>
      <c r="D1888" s="116">
        <v>410.05</v>
      </c>
      <c r="E1888" s="116">
        <v>410.05</v>
      </c>
      <c r="F1888" s="116">
        <v>448.8</v>
      </c>
      <c r="G1888">
        <v>176686</v>
      </c>
      <c r="H1888" s="116"/>
      <c r="I1888" s="116"/>
      <c r="L1888" s="170">
        <v>45499</v>
      </c>
      <c r="M1888" s="116">
        <v>449.05</v>
      </c>
      <c r="N1888" s="116">
        <v>456.7</v>
      </c>
      <c r="O1888" s="116">
        <v>414</v>
      </c>
      <c r="P1888" s="116">
        <v>414</v>
      </c>
      <c r="Q1888" s="116">
        <v>449.05</v>
      </c>
      <c r="R1888">
        <v>7186333</v>
      </c>
    </row>
    <row r="1889" spans="1:18" x14ac:dyDescent="0.25">
      <c r="A1889" s="170">
        <v>45502</v>
      </c>
      <c r="B1889" s="116">
        <v>454.5</v>
      </c>
      <c r="C1889" s="116">
        <v>451</v>
      </c>
      <c r="D1889" s="116">
        <v>445</v>
      </c>
      <c r="E1889" s="116">
        <v>449.05</v>
      </c>
      <c r="F1889" s="116">
        <v>451</v>
      </c>
      <c r="G1889">
        <v>45215</v>
      </c>
      <c r="H1889" s="116"/>
      <c r="I1889" s="116"/>
      <c r="L1889" s="170">
        <v>45502</v>
      </c>
      <c r="M1889" s="116">
        <v>451</v>
      </c>
      <c r="N1889" s="116">
        <v>454.85</v>
      </c>
      <c r="O1889" s="116">
        <v>445.1</v>
      </c>
      <c r="P1889" s="116">
        <v>450</v>
      </c>
      <c r="Q1889" s="116">
        <v>451</v>
      </c>
      <c r="R1889">
        <v>1693940</v>
      </c>
    </row>
    <row r="1890" spans="1:18" x14ac:dyDescent="0.25">
      <c r="A1890" s="170">
        <v>45503</v>
      </c>
      <c r="B1890" s="116">
        <v>463.95</v>
      </c>
      <c r="C1890" s="116">
        <v>458.4</v>
      </c>
      <c r="D1890" s="116">
        <v>447</v>
      </c>
      <c r="E1890" s="116">
        <v>447</v>
      </c>
      <c r="F1890" s="116">
        <v>458.4</v>
      </c>
      <c r="G1890">
        <v>155733</v>
      </c>
      <c r="H1890" s="116"/>
      <c r="I1890" s="116"/>
      <c r="L1890" s="170">
        <v>45503</v>
      </c>
      <c r="M1890" s="116">
        <v>458.75</v>
      </c>
      <c r="N1890" s="116">
        <v>464.2</v>
      </c>
      <c r="O1890" s="116">
        <v>448.05</v>
      </c>
      <c r="P1890" s="116">
        <v>450</v>
      </c>
      <c r="Q1890" s="116">
        <v>458.75</v>
      </c>
      <c r="R1890">
        <v>1707738</v>
      </c>
    </row>
    <row r="1891" spans="1:18" x14ac:dyDescent="0.25">
      <c r="A1891" s="170">
        <v>45504</v>
      </c>
      <c r="B1891" s="116">
        <v>468</v>
      </c>
      <c r="C1891" s="116">
        <v>463.5</v>
      </c>
      <c r="D1891" s="116">
        <v>458.05</v>
      </c>
      <c r="E1891" s="116">
        <v>459.95</v>
      </c>
      <c r="F1891" s="116">
        <v>463.5</v>
      </c>
      <c r="G1891">
        <v>47429</v>
      </c>
      <c r="H1891" s="116"/>
      <c r="I1891" s="116"/>
      <c r="L1891" s="170">
        <v>45504</v>
      </c>
      <c r="M1891" s="116">
        <v>463.9</v>
      </c>
      <c r="N1891" s="116">
        <v>467.9</v>
      </c>
      <c r="O1891" s="116">
        <v>457.35</v>
      </c>
      <c r="P1891" s="116">
        <v>458.6</v>
      </c>
      <c r="Q1891" s="116">
        <v>463.9</v>
      </c>
      <c r="R1891">
        <v>1366937</v>
      </c>
    </row>
    <row r="1892" spans="1:18" x14ac:dyDescent="0.25">
      <c r="A1892" s="170">
        <v>45505</v>
      </c>
      <c r="B1892" s="116">
        <v>466</v>
      </c>
      <c r="C1892" s="116">
        <v>451.8</v>
      </c>
      <c r="D1892" s="116">
        <v>448.8</v>
      </c>
      <c r="E1892" s="116">
        <v>465.55</v>
      </c>
      <c r="F1892" s="116">
        <v>451.8</v>
      </c>
      <c r="G1892">
        <v>35304</v>
      </c>
      <c r="H1892" s="116"/>
      <c r="I1892" s="116"/>
      <c r="L1892" s="170">
        <v>45505</v>
      </c>
      <c r="M1892" s="116">
        <v>451.75</v>
      </c>
      <c r="N1892" s="116">
        <v>466.1</v>
      </c>
      <c r="O1892" s="116">
        <v>448.35</v>
      </c>
      <c r="P1892" s="116">
        <v>465</v>
      </c>
      <c r="Q1892" s="116">
        <v>451.75</v>
      </c>
      <c r="R1892">
        <v>2881673</v>
      </c>
    </row>
    <row r="1893" spans="1:18" x14ac:dyDescent="0.25">
      <c r="A1893" s="170">
        <v>45506</v>
      </c>
      <c r="B1893" s="116">
        <v>453.5</v>
      </c>
      <c r="C1893" s="116">
        <v>447.15</v>
      </c>
      <c r="D1893" s="116">
        <v>438.25</v>
      </c>
      <c r="E1893" s="116">
        <v>442.3</v>
      </c>
      <c r="F1893" s="116">
        <v>447.15</v>
      </c>
      <c r="G1893">
        <v>64715</v>
      </c>
      <c r="H1893" s="116"/>
      <c r="I1893" s="116"/>
      <c r="L1893" s="170">
        <v>45506</v>
      </c>
      <c r="M1893" s="116">
        <v>447.1</v>
      </c>
      <c r="N1893" s="116">
        <v>453.6</v>
      </c>
      <c r="O1893" s="116">
        <v>437</v>
      </c>
      <c r="P1893" s="116">
        <v>445</v>
      </c>
      <c r="Q1893" s="116">
        <v>447.1</v>
      </c>
      <c r="R1893">
        <v>2113511</v>
      </c>
    </row>
    <row r="1894" spans="1:18" x14ac:dyDescent="0.25">
      <c r="A1894" s="170">
        <v>45509</v>
      </c>
      <c r="B1894" s="116">
        <v>443.8</v>
      </c>
      <c r="C1894" s="116">
        <v>429.05</v>
      </c>
      <c r="D1894" s="116">
        <v>427</v>
      </c>
      <c r="E1894" s="116">
        <v>430.05</v>
      </c>
      <c r="F1894" s="116">
        <v>429.05</v>
      </c>
      <c r="G1894">
        <v>131486</v>
      </c>
      <c r="H1894" s="116"/>
      <c r="I1894" s="116"/>
      <c r="L1894" s="170">
        <v>45509</v>
      </c>
      <c r="M1894" s="116">
        <v>429.3</v>
      </c>
      <c r="N1894" s="116">
        <v>443.8</v>
      </c>
      <c r="O1894" s="116">
        <v>427.1</v>
      </c>
      <c r="P1894" s="116">
        <v>441</v>
      </c>
      <c r="Q1894" s="116">
        <v>429.3</v>
      </c>
      <c r="R1894">
        <v>3049935</v>
      </c>
    </row>
    <row r="1895" spans="1:18" x14ac:dyDescent="0.25">
      <c r="A1895" s="170">
        <v>45510</v>
      </c>
      <c r="B1895" s="116">
        <v>442.75</v>
      </c>
      <c r="C1895" s="116">
        <v>422.8</v>
      </c>
      <c r="D1895" s="116">
        <v>421.3</v>
      </c>
      <c r="E1895" s="116">
        <v>433.55</v>
      </c>
      <c r="F1895" s="116">
        <v>422.8</v>
      </c>
      <c r="G1895">
        <v>41348</v>
      </c>
      <c r="H1895" s="116"/>
      <c r="I1895" s="116"/>
      <c r="L1895" s="170">
        <v>45510</v>
      </c>
      <c r="M1895" s="116">
        <v>422.8</v>
      </c>
      <c r="N1895" s="116">
        <v>443.05</v>
      </c>
      <c r="O1895" s="116">
        <v>421.05</v>
      </c>
      <c r="P1895" s="116">
        <v>432.25</v>
      </c>
      <c r="Q1895" s="116">
        <v>422.8</v>
      </c>
      <c r="R1895">
        <v>2440293</v>
      </c>
    </row>
    <row r="1896" spans="1:18" x14ac:dyDescent="0.25">
      <c r="A1896" s="170">
        <v>45511</v>
      </c>
      <c r="B1896" s="116">
        <v>434</v>
      </c>
      <c r="C1896" s="116">
        <v>431.85</v>
      </c>
      <c r="D1896" s="116">
        <v>424.5</v>
      </c>
      <c r="E1896" s="116">
        <v>429.95</v>
      </c>
      <c r="F1896" s="116">
        <v>431.85</v>
      </c>
      <c r="G1896">
        <v>43100</v>
      </c>
      <c r="H1896" s="116"/>
      <c r="I1896" s="116"/>
      <c r="L1896" s="170">
        <v>45511</v>
      </c>
      <c r="M1896" s="116">
        <v>431.9</v>
      </c>
      <c r="N1896" s="116">
        <v>434</v>
      </c>
      <c r="O1896" s="116">
        <v>424.55</v>
      </c>
      <c r="P1896" s="116">
        <v>427.25</v>
      </c>
      <c r="Q1896" s="116">
        <v>431.9</v>
      </c>
      <c r="R1896">
        <v>3421532</v>
      </c>
    </row>
    <row r="1897" spans="1:18" x14ac:dyDescent="0.25">
      <c r="A1897" s="170">
        <v>45512</v>
      </c>
      <c r="B1897" s="116">
        <v>445.9</v>
      </c>
      <c r="C1897" s="116">
        <v>431.9</v>
      </c>
      <c r="D1897" s="116">
        <v>390.3</v>
      </c>
      <c r="E1897" s="116">
        <v>434.95</v>
      </c>
      <c r="F1897" s="116">
        <v>431.9</v>
      </c>
      <c r="G1897">
        <v>71030</v>
      </c>
      <c r="H1897" s="116"/>
      <c r="I1897" s="116"/>
      <c r="L1897" s="170">
        <v>45512</v>
      </c>
      <c r="M1897" s="116">
        <v>431.75</v>
      </c>
      <c r="N1897" s="116">
        <v>446</v>
      </c>
      <c r="O1897" s="116">
        <v>430.45</v>
      </c>
      <c r="P1897" s="116">
        <v>434</v>
      </c>
      <c r="Q1897" s="116">
        <v>431.75</v>
      </c>
      <c r="R1897">
        <v>2150488</v>
      </c>
    </row>
    <row r="1898" spans="1:18" x14ac:dyDescent="0.25">
      <c r="A1898" s="170">
        <v>45513</v>
      </c>
      <c r="B1898" s="116">
        <v>438.85</v>
      </c>
      <c r="C1898" s="116">
        <v>426.35</v>
      </c>
      <c r="D1898" s="116">
        <v>424.8</v>
      </c>
      <c r="E1898" s="116">
        <v>435</v>
      </c>
      <c r="F1898" s="116">
        <v>426.35</v>
      </c>
      <c r="G1898">
        <v>73006</v>
      </c>
      <c r="H1898" s="116"/>
      <c r="I1898" s="116"/>
      <c r="L1898" s="170">
        <v>45513</v>
      </c>
      <c r="M1898" s="116">
        <v>426.3</v>
      </c>
      <c r="N1898" s="116">
        <v>439.3</v>
      </c>
      <c r="O1898" s="116">
        <v>424.55</v>
      </c>
      <c r="P1898" s="116">
        <v>435</v>
      </c>
      <c r="Q1898" s="116">
        <v>426.3</v>
      </c>
      <c r="R1898">
        <v>3838939</v>
      </c>
    </row>
    <row r="1899" spans="1:18" x14ac:dyDescent="0.25">
      <c r="A1899" s="170">
        <v>45516</v>
      </c>
      <c r="B1899" s="116">
        <v>428.1</v>
      </c>
      <c r="C1899" s="116">
        <v>426.25</v>
      </c>
      <c r="D1899" s="116">
        <v>422.55</v>
      </c>
      <c r="E1899" s="116">
        <v>425.2</v>
      </c>
      <c r="F1899" s="116">
        <v>426.25</v>
      </c>
      <c r="G1899">
        <v>66351</v>
      </c>
      <c r="H1899" s="116"/>
      <c r="I1899" s="116"/>
      <c r="L1899" s="170">
        <v>45516</v>
      </c>
      <c r="M1899" s="116">
        <v>426.2</v>
      </c>
      <c r="N1899" s="116">
        <v>428.4</v>
      </c>
      <c r="O1899" s="116">
        <v>422.55</v>
      </c>
      <c r="P1899" s="116">
        <v>426.3</v>
      </c>
      <c r="Q1899" s="116">
        <v>426.2</v>
      </c>
      <c r="R1899">
        <v>1414056</v>
      </c>
    </row>
    <row r="1900" spans="1:18" x14ac:dyDescent="0.25">
      <c r="A1900" s="170">
        <v>45517</v>
      </c>
      <c r="B1900" s="116">
        <v>434.05</v>
      </c>
      <c r="C1900" s="116">
        <v>419.6</v>
      </c>
      <c r="D1900" s="116">
        <v>418.65</v>
      </c>
      <c r="E1900" s="116">
        <v>426.25</v>
      </c>
      <c r="F1900" s="116">
        <v>419.6</v>
      </c>
      <c r="G1900">
        <v>88180</v>
      </c>
      <c r="H1900" s="116"/>
      <c r="I1900" s="116"/>
      <c r="L1900" s="170">
        <v>45517</v>
      </c>
      <c r="M1900" s="116">
        <v>419.85</v>
      </c>
      <c r="N1900" s="116">
        <v>434</v>
      </c>
      <c r="O1900" s="116">
        <v>418.5</v>
      </c>
      <c r="P1900" s="116">
        <v>427.45</v>
      </c>
      <c r="Q1900" s="116">
        <v>419.85</v>
      </c>
      <c r="R1900">
        <v>985318</v>
      </c>
    </row>
    <row r="1901" spans="1:18" x14ac:dyDescent="0.25">
      <c r="A1901" s="170">
        <v>45518</v>
      </c>
      <c r="B1901" s="116">
        <v>439.1</v>
      </c>
      <c r="C1901" s="116">
        <v>430.9</v>
      </c>
      <c r="D1901" s="116">
        <v>417.85</v>
      </c>
      <c r="E1901" s="116">
        <v>439.1</v>
      </c>
      <c r="F1901" s="116">
        <v>430.9</v>
      </c>
      <c r="G1901">
        <v>124803</v>
      </c>
      <c r="H1901" s="116"/>
      <c r="I1901" s="116"/>
      <c r="L1901" s="170">
        <v>45518</v>
      </c>
      <c r="M1901" s="116">
        <v>428.5</v>
      </c>
      <c r="N1901" s="116">
        <v>432.8</v>
      </c>
      <c r="O1901" s="116">
        <v>417.7</v>
      </c>
      <c r="P1901" s="116">
        <v>421.7</v>
      </c>
      <c r="Q1901" s="116">
        <v>428.5</v>
      </c>
      <c r="R1901">
        <v>3003256</v>
      </c>
    </row>
    <row r="1902" spans="1:18" x14ac:dyDescent="0.25">
      <c r="A1902" s="170">
        <v>45520</v>
      </c>
      <c r="B1902" s="116">
        <v>433</v>
      </c>
      <c r="C1902" s="116">
        <v>430.2</v>
      </c>
      <c r="D1902" s="116">
        <v>426.65</v>
      </c>
      <c r="E1902" s="116">
        <v>430.6</v>
      </c>
      <c r="F1902" s="116">
        <v>430.2</v>
      </c>
      <c r="G1902">
        <v>96953</v>
      </c>
      <c r="H1902" s="116"/>
      <c r="I1902" s="116"/>
      <c r="L1902" s="170">
        <v>45520</v>
      </c>
      <c r="M1902" s="116">
        <v>429.5</v>
      </c>
      <c r="N1902" s="116">
        <v>433.25</v>
      </c>
      <c r="O1902" s="116">
        <v>426.95</v>
      </c>
      <c r="P1902" s="116">
        <v>430</v>
      </c>
      <c r="Q1902" s="116">
        <v>429.5</v>
      </c>
      <c r="R1902">
        <v>3156656</v>
      </c>
    </row>
    <row r="1903" spans="1:18" x14ac:dyDescent="0.25">
      <c r="A1903" s="170">
        <v>45523</v>
      </c>
      <c r="B1903" s="116">
        <v>437.9</v>
      </c>
      <c r="C1903" s="116">
        <v>436.45</v>
      </c>
      <c r="D1903" s="116">
        <v>426.6</v>
      </c>
      <c r="E1903" s="116">
        <v>426.6</v>
      </c>
      <c r="F1903" s="116">
        <v>436.45</v>
      </c>
      <c r="G1903">
        <v>85430</v>
      </c>
      <c r="H1903" s="116"/>
      <c r="I1903" s="116"/>
      <c r="L1903" s="170">
        <v>45523</v>
      </c>
      <c r="M1903" s="116">
        <v>436.65</v>
      </c>
      <c r="N1903" s="116">
        <v>438</v>
      </c>
      <c r="O1903" s="116">
        <v>428</v>
      </c>
      <c r="P1903" s="116">
        <v>428</v>
      </c>
      <c r="Q1903" s="116">
        <v>436.65</v>
      </c>
      <c r="R1903">
        <v>858697</v>
      </c>
    </row>
    <row r="1904" spans="1:18" x14ac:dyDescent="0.25">
      <c r="A1904" s="170">
        <v>45524</v>
      </c>
      <c r="B1904" s="116">
        <v>441.7</v>
      </c>
      <c r="C1904" s="116">
        <v>437</v>
      </c>
      <c r="D1904" s="116">
        <v>431.3</v>
      </c>
      <c r="E1904" s="116">
        <v>440.5</v>
      </c>
      <c r="F1904" s="116">
        <v>437</v>
      </c>
      <c r="G1904">
        <v>41660</v>
      </c>
      <c r="H1904" s="116"/>
      <c r="I1904" s="116"/>
      <c r="L1904" s="170">
        <v>45524</v>
      </c>
      <c r="M1904" s="116">
        <v>437.4</v>
      </c>
      <c r="N1904" s="116">
        <v>441.8</v>
      </c>
      <c r="O1904" s="116">
        <v>430.9</v>
      </c>
      <c r="P1904" s="116">
        <v>441.8</v>
      </c>
      <c r="Q1904" s="116">
        <v>437.4</v>
      </c>
      <c r="R1904">
        <v>2112829</v>
      </c>
    </row>
    <row r="1905" spans="1:18" x14ac:dyDescent="0.25">
      <c r="A1905" s="170">
        <v>45525</v>
      </c>
      <c r="B1905" s="116">
        <v>447.5</v>
      </c>
      <c r="C1905" s="116">
        <v>445.3</v>
      </c>
      <c r="D1905" s="116">
        <v>437.35</v>
      </c>
      <c r="E1905" s="116">
        <v>440</v>
      </c>
      <c r="F1905" s="116">
        <v>445.3</v>
      </c>
      <c r="G1905">
        <v>28710</v>
      </c>
      <c r="H1905" s="116"/>
      <c r="I1905" s="116"/>
      <c r="L1905" s="170">
        <v>45525</v>
      </c>
      <c r="M1905" s="116">
        <v>444.2</v>
      </c>
      <c r="N1905" s="116">
        <v>447.85</v>
      </c>
      <c r="O1905" s="116">
        <v>437</v>
      </c>
      <c r="P1905" s="116">
        <v>438.65</v>
      </c>
      <c r="Q1905" s="116">
        <v>444.2</v>
      </c>
      <c r="R1905">
        <v>1721998</v>
      </c>
    </row>
    <row r="1906" spans="1:18" x14ac:dyDescent="0.25">
      <c r="A1906" s="170">
        <v>45526</v>
      </c>
      <c r="B1906" s="116">
        <v>453</v>
      </c>
      <c r="C1906" s="116">
        <v>449.65</v>
      </c>
      <c r="D1906" s="116">
        <v>445.35</v>
      </c>
      <c r="E1906" s="116">
        <v>446.15</v>
      </c>
      <c r="F1906" s="116">
        <v>449.65</v>
      </c>
      <c r="G1906">
        <v>78661</v>
      </c>
      <c r="H1906" s="116"/>
      <c r="I1906" s="116"/>
      <c r="L1906" s="170">
        <v>45526</v>
      </c>
      <c r="M1906" s="116">
        <v>449.75</v>
      </c>
      <c r="N1906" s="116">
        <v>453.5</v>
      </c>
      <c r="O1906" s="116">
        <v>445.65</v>
      </c>
      <c r="P1906" s="116">
        <v>447.45</v>
      </c>
      <c r="Q1906" s="116">
        <v>449.75</v>
      </c>
      <c r="R1906">
        <v>1956818</v>
      </c>
    </row>
    <row r="1907" spans="1:18" x14ac:dyDescent="0.25">
      <c r="A1907" s="170">
        <v>45527</v>
      </c>
      <c r="B1907" s="116">
        <v>453.5</v>
      </c>
      <c r="C1907" s="116">
        <v>446</v>
      </c>
      <c r="D1907" s="116">
        <v>444.7</v>
      </c>
      <c r="E1907" s="116">
        <v>449.3</v>
      </c>
      <c r="F1907" s="116">
        <v>446</v>
      </c>
      <c r="G1907">
        <v>32640</v>
      </c>
      <c r="H1907" s="116"/>
      <c r="I1907" s="116"/>
      <c r="L1907" s="170">
        <v>45527</v>
      </c>
      <c r="M1907" s="116">
        <v>446.2</v>
      </c>
      <c r="N1907" s="116">
        <v>453.75</v>
      </c>
      <c r="O1907" s="116">
        <v>444.3</v>
      </c>
      <c r="P1907" s="116">
        <v>449.75</v>
      </c>
      <c r="Q1907" s="116">
        <v>446.2</v>
      </c>
      <c r="R1907">
        <v>1165399</v>
      </c>
    </row>
    <row r="1908" spans="1:18" x14ac:dyDescent="0.25">
      <c r="A1908" s="170">
        <v>45530</v>
      </c>
      <c r="B1908" s="116">
        <v>450</v>
      </c>
      <c r="C1908" s="116">
        <v>448</v>
      </c>
      <c r="D1908" s="116">
        <v>444</v>
      </c>
      <c r="E1908" s="116">
        <v>448.4</v>
      </c>
      <c r="F1908" s="116">
        <v>448</v>
      </c>
      <c r="G1908">
        <v>14660</v>
      </c>
      <c r="H1908" s="116"/>
      <c r="I1908" s="116"/>
      <c r="L1908" s="170">
        <v>45530</v>
      </c>
      <c r="M1908" s="116">
        <v>447.9</v>
      </c>
      <c r="N1908" s="116">
        <v>450.45</v>
      </c>
      <c r="O1908" s="116">
        <v>444</v>
      </c>
      <c r="P1908" s="116">
        <v>447.05</v>
      </c>
      <c r="Q1908" s="116">
        <v>447.9</v>
      </c>
      <c r="R1908">
        <v>1865236</v>
      </c>
    </row>
    <row r="1909" spans="1:18" x14ac:dyDescent="0.25">
      <c r="A1909" s="170">
        <v>45531</v>
      </c>
      <c r="B1909" s="116">
        <v>457.95</v>
      </c>
      <c r="C1909" s="116">
        <v>452.75</v>
      </c>
      <c r="D1909" s="116">
        <v>446.55</v>
      </c>
      <c r="E1909" s="116">
        <v>447.15</v>
      </c>
      <c r="F1909" s="116">
        <v>452.75</v>
      </c>
      <c r="G1909">
        <v>107153</v>
      </c>
      <c r="H1909" s="116"/>
      <c r="I1909" s="116"/>
      <c r="L1909" s="170">
        <v>45531</v>
      </c>
      <c r="M1909" s="116">
        <v>453.05</v>
      </c>
      <c r="N1909" s="116">
        <v>458.15</v>
      </c>
      <c r="O1909" s="116">
        <v>446.3</v>
      </c>
      <c r="P1909" s="116">
        <v>448.05</v>
      </c>
      <c r="Q1909" s="116">
        <v>453.05</v>
      </c>
      <c r="R1909">
        <v>1863007</v>
      </c>
    </row>
    <row r="1910" spans="1:18" x14ac:dyDescent="0.25">
      <c r="A1910" s="170">
        <v>45532</v>
      </c>
      <c r="B1910" s="116">
        <v>463.4</v>
      </c>
      <c r="C1910" s="116">
        <v>457.65</v>
      </c>
      <c r="D1910" s="116">
        <v>450.55</v>
      </c>
      <c r="E1910" s="116">
        <v>454.6</v>
      </c>
      <c r="F1910" s="116">
        <v>457.65</v>
      </c>
      <c r="G1910">
        <v>49751</v>
      </c>
      <c r="H1910" s="116"/>
      <c r="I1910" s="116"/>
      <c r="L1910" s="170">
        <v>45532</v>
      </c>
      <c r="M1910" s="116">
        <v>458.05</v>
      </c>
      <c r="N1910" s="116">
        <v>463.3</v>
      </c>
      <c r="O1910" s="116">
        <v>450.25</v>
      </c>
      <c r="P1910" s="116">
        <v>455.35</v>
      </c>
      <c r="Q1910" s="116">
        <v>458.05</v>
      </c>
      <c r="R1910">
        <v>2844798</v>
      </c>
    </row>
    <row r="1911" spans="1:18" x14ac:dyDescent="0.25">
      <c r="A1911" s="170">
        <v>45533</v>
      </c>
      <c r="B1911" s="116">
        <v>464.95</v>
      </c>
      <c r="C1911" s="116">
        <v>458.1</v>
      </c>
      <c r="D1911" s="116">
        <v>452.85</v>
      </c>
      <c r="E1911" s="116">
        <v>458</v>
      </c>
      <c r="F1911" s="116">
        <v>458.1</v>
      </c>
      <c r="G1911">
        <v>34496</v>
      </c>
      <c r="H1911" s="116"/>
      <c r="I1911" s="116"/>
      <c r="L1911" s="170">
        <v>45533</v>
      </c>
      <c r="M1911" s="116">
        <v>457.8</v>
      </c>
      <c r="N1911" s="116">
        <v>465</v>
      </c>
      <c r="O1911" s="116">
        <v>452</v>
      </c>
      <c r="P1911" s="116">
        <v>458.5</v>
      </c>
      <c r="Q1911" s="116">
        <v>457.8</v>
      </c>
      <c r="R1911">
        <v>1617710</v>
      </c>
    </row>
    <row r="1912" spans="1:18" x14ac:dyDescent="0.25">
      <c r="A1912" s="170">
        <v>45534</v>
      </c>
      <c r="B1912" s="116">
        <v>471.8</v>
      </c>
      <c r="C1912" s="116">
        <v>469.9</v>
      </c>
      <c r="D1912" s="116">
        <v>454.95</v>
      </c>
      <c r="E1912" s="116">
        <v>459.85</v>
      </c>
      <c r="F1912" s="116">
        <v>469.9</v>
      </c>
      <c r="G1912">
        <v>239071</v>
      </c>
      <c r="H1912" s="116"/>
      <c r="I1912" s="116"/>
      <c r="L1912" s="170">
        <v>45534</v>
      </c>
      <c r="M1912" s="116">
        <v>470.15</v>
      </c>
      <c r="N1912" s="116">
        <v>472</v>
      </c>
      <c r="O1912" s="116">
        <v>455.35</v>
      </c>
      <c r="P1912" s="116">
        <v>457.55</v>
      </c>
      <c r="Q1912" s="116">
        <v>470.15</v>
      </c>
      <c r="R1912">
        <v>3110536</v>
      </c>
    </row>
    <row r="1913" spans="1:18" x14ac:dyDescent="0.25">
      <c r="A1913" s="170">
        <v>45537</v>
      </c>
      <c r="B1913" s="116">
        <v>473.35</v>
      </c>
      <c r="C1913" s="116">
        <v>462.4</v>
      </c>
      <c r="D1913" s="116">
        <v>458.65</v>
      </c>
      <c r="E1913" s="116">
        <v>473.35</v>
      </c>
      <c r="F1913" s="116">
        <v>462.4</v>
      </c>
      <c r="G1913">
        <v>59367</v>
      </c>
      <c r="H1913" s="116"/>
      <c r="I1913" s="116"/>
      <c r="L1913" s="170">
        <v>45537</v>
      </c>
      <c r="M1913" s="116">
        <v>462.5</v>
      </c>
      <c r="N1913" s="116">
        <v>472.2</v>
      </c>
      <c r="O1913" s="116">
        <v>458.65</v>
      </c>
      <c r="P1913" s="116">
        <v>470.4</v>
      </c>
      <c r="Q1913" s="116">
        <v>462.5</v>
      </c>
      <c r="R1913">
        <v>1372788</v>
      </c>
    </row>
    <row r="1914" spans="1:18" x14ac:dyDescent="0.25">
      <c r="A1914" s="170">
        <v>45538</v>
      </c>
      <c r="B1914" s="116">
        <v>473</v>
      </c>
      <c r="C1914" s="116">
        <v>470.2</v>
      </c>
      <c r="D1914" s="116">
        <v>462.3</v>
      </c>
      <c r="E1914" s="116">
        <v>463.5</v>
      </c>
      <c r="F1914" s="116">
        <v>470.2</v>
      </c>
      <c r="G1914">
        <v>41265</v>
      </c>
      <c r="H1914" s="116"/>
      <c r="I1914" s="116"/>
      <c r="L1914" s="170">
        <v>45538</v>
      </c>
      <c r="M1914" s="116">
        <v>470.1</v>
      </c>
      <c r="N1914" s="116">
        <v>473</v>
      </c>
      <c r="O1914" s="116">
        <v>461.75</v>
      </c>
      <c r="P1914" s="116">
        <v>464.9</v>
      </c>
      <c r="Q1914" s="116">
        <v>470.1</v>
      </c>
      <c r="R1914">
        <v>1617741</v>
      </c>
    </row>
    <row r="1915" spans="1:18" x14ac:dyDescent="0.25">
      <c r="A1915" s="170">
        <v>45539</v>
      </c>
      <c r="B1915" s="116">
        <v>477.5</v>
      </c>
      <c r="C1915" s="116">
        <v>475.4</v>
      </c>
      <c r="D1915" s="116">
        <v>466.85</v>
      </c>
      <c r="E1915" s="116">
        <v>467</v>
      </c>
      <c r="F1915" s="116">
        <v>475.4</v>
      </c>
      <c r="G1915">
        <v>184517</v>
      </c>
      <c r="H1915" s="116"/>
      <c r="I1915" s="116"/>
      <c r="L1915" s="170">
        <v>45539</v>
      </c>
      <c r="M1915" s="116">
        <v>475.6</v>
      </c>
      <c r="N1915" s="116">
        <v>477.5</v>
      </c>
      <c r="O1915" s="116">
        <v>465.65</v>
      </c>
      <c r="P1915" s="116">
        <v>470.1</v>
      </c>
      <c r="Q1915" s="116">
        <v>475.6</v>
      </c>
      <c r="R1915">
        <v>2474724</v>
      </c>
    </row>
    <row r="1916" spans="1:18" x14ac:dyDescent="0.25">
      <c r="A1916" s="170">
        <v>45540</v>
      </c>
      <c r="B1916" s="116">
        <v>501.45</v>
      </c>
      <c r="C1916" s="116">
        <v>489</v>
      </c>
      <c r="D1916" s="116">
        <v>472.65</v>
      </c>
      <c r="E1916" s="116">
        <v>476</v>
      </c>
      <c r="F1916" s="116">
        <v>489</v>
      </c>
      <c r="G1916">
        <v>246227</v>
      </c>
      <c r="H1916" s="116"/>
      <c r="I1916" s="116"/>
      <c r="L1916" s="170">
        <v>45540</v>
      </c>
      <c r="M1916" s="116">
        <v>489</v>
      </c>
      <c r="N1916" s="116">
        <v>501.3</v>
      </c>
      <c r="O1916" s="116">
        <v>472.7</v>
      </c>
      <c r="P1916" s="116">
        <v>477.95</v>
      </c>
      <c r="Q1916" s="116">
        <v>489</v>
      </c>
      <c r="R1916">
        <v>9562335</v>
      </c>
    </row>
    <row r="1917" spans="1:18" x14ac:dyDescent="0.25">
      <c r="A1917" s="170">
        <v>45541</v>
      </c>
      <c r="B1917" s="116">
        <v>493.1</v>
      </c>
      <c r="C1917" s="116">
        <v>481.4</v>
      </c>
      <c r="D1917" s="116">
        <v>478.85</v>
      </c>
      <c r="E1917" s="116">
        <v>492.4</v>
      </c>
      <c r="F1917" s="116">
        <v>481.4</v>
      </c>
      <c r="G1917">
        <v>175820</v>
      </c>
      <c r="H1917" s="116"/>
      <c r="I1917" s="116"/>
      <c r="L1917" s="170">
        <v>45541</v>
      </c>
      <c r="M1917" s="116">
        <v>481.35</v>
      </c>
      <c r="N1917" s="116">
        <v>493.5</v>
      </c>
      <c r="O1917" s="116">
        <v>479</v>
      </c>
      <c r="P1917" s="116">
        <v>491.7</v>
      </c>
      <c r="Q1917" s="116">
        <v>481.35</v>
      </c>
      <c r="R1917">
        <v>2127362</v>
      </c>
    </row>
    <row r="1918" spans="1:18" x14ac:dyDescent="0.25">
      <c r="A1918" s="170">
        <v>45544</v>
      </c>
      <c r="B1918" s="116">
        <v>492.15</v>
      </c>
      <c r="C1918" s="116">
        <v>490.65</v>
      </c>
      <c r="D1918" s="116">
        <v>478.65</v>
      </c>
      <c r="E1918" s="116">
        <v>484.95</v>
      </c>
      <c r="F1918" s="116">
        <v>490.65</v>
      </c>
      <c r="G1918">
        <v>123697</v>
      </c>
      <c r="H1918" s="116"/>
      <c r="I1918" s="116"/>
      <c r="L1918" s="170">
        <v>45544</v>
      </c>
      <c r="M1918" s="116">
        <v>490.95</v>
      </c>
      <c r="N1918" s="116">
        <v>492.5</v>
      </c>
      <c r="O1918" s="116">
        <v>478.05</v>
      </c>
      <c r="P1918" s="116">
        <v>480.05</v>
      </c>
      <c r="Q1918" s="116">
        <v>490.95</v>
      </c>
      <c r="R1918">
        <v>1769950</v>
      </c>
    </row>
    <row r="1919" spans="1:18" x14ac:dyDescent="0.25">
      <c r="A1919" s="170">
        <v>45545</v>
      </c>
      <c r="B1919" s="116">
        <v>517.9</v>
      </c>
      <c r="C1919" s="116">
        <v>506.95</v>
      </c>
      <c r="D1919" s="116">
        <v>495</v>
      </c>
      <c r="E1919" s="116">
        <v>497.15</v>
      </c>
      <c r="F1919" s="116">
        <v>506.95</v>
      </c>
      <c r="G1919">
        <v>238457</v>
      </c>
      <c r="H1919" s="116"/>
      <c r="I1919" s="116"/>
      <c r="L1919" s="170">
        <v>45545</v>
      </c>
      <c r="M1919" s="116">
        <v>506.7</v>
      </c>
      <c r="N1919" s="116">
        <v>518</v>
      </c>
      <c r="O1919" s="116">
        <v>494.75</v>
      </c>
      <c r="P1919" s="116">
        <v>495.9</v>
      </c>
      <c r="Q1919" s="116">
        <v>506.7</v>
      </c>
      <c r="R1919">
        <v>9329478</v>
      </c>
    </row>
    <row r="1920" spans="1:18" x14ac:dyDescent="0.25">
      <c r="A1920" s="170">
        <v>45546</v>
      </c>
      <c r="B1920" s="116">
        <v>514.6</v>
      </c>
      <c r="C1920" s="116">
        <v>506.45</v>
      </c>
      <c r="D1920" s="116">
        <v>504.85</v>
      </c>
      <c r="E1920" s="116">
        <v>510.1</v>
      </c>
      <c r="F1920" s="116">
        <v>506.45</v>
      </c>
      <c r="G1920">
        <v>126830</v>
      </c>
      <c r="H1920" s="116"/>
      <c r="I1920" s="116"/>
      <c r="L1920" s="170">
        <v>45546</v>
      </c>
      <c r="M1920" s="116">
        <v>506.8</v>
      </c>
      <c r="N1920" s="116">
        <v>514.9</v>
      </c>
      <c r="O1920" s="116">
        <v>504.5</v>
      </c>
      <c r="P1920" s="116">
        <v>510</v>
      </c>
      <c r="Q1920" s="116">
        <v>506.8</v>
      </c>
      <c r="R1920">
        <v>2942855</v>
      </c>
    </row>
    <row r="1921" spans="1:18" x14ac:dyDescent="0.25">
      <c r="A1921" s="170">
        <v>45547</v>
      </c>
      <c r="B1921" s="116">
        <v>515.6</v>
      </c>
      <c r="C1921" s="116">
        <v>506.95</v>
      </c>
      <c r="D1921" s="116">
        <v>505.85</v>
      </c>
      <c r="E1921" s="116">
        <v>506.7</v>
      </c>
      <c r="F1921" s="116">
        <v>506.95</v>
      </c>
      <c r="G1921">
        <v>50830</v>
      </c>
      <c r="H1921" s="116"/>
      <c r="I1921" s="116"/>
      <c r="L1921" s="170">
        <v>45547</v>
      </c>
      <c r="M1921" s="116">
        <v>507.25</v>
      </c>
      <c r="N1921" s="116">
        <v>516</v>
      </c>
      <c r="O1921" s="116">
        <v>505.75</v>
      </c>
      <c r="P1921" s="116">
        <v>508</v>
      </c>
      <c r="Q1921" s="116">
        <v>507.25</v>
      </c>
      <c r="R1921">
        <v>2232529</v>
      </c>
    </row>
    <row r="1922" spans="1:18" x14ac:dyDescent="0.25">
      <c r="A1922" s="170">
        <v>45548</v>
      </c>
      <c r="B1922" s="116">
        <v>511.4</v>
      </c>
      <c r="C1922" s="116">
        <v>505.7</v>
      </c>
      <c r="D1922" s="116">
        <v>503</v>
      </c>
      <c r="E1922" s="116">
        <v>507.05</v>
      </c>
      <c r="F1922" s="116">
        <v>505.7</v>
      </c>
      <c r="G1922">
        <v>48404</v>
      </c>
      <c r="H1922" s="116"/>
      <c r="I1922" s="116"/>
      <c r="L1922" s="170">
        <v>45548</v>
      </c>
      <c r="M1922" s="116">
        <v>505.55</v>
      </c>
      <c r="N1922" s="116">
        <v>510</v>
      </c>
      <c r="O1922" s="116">
        <v>502.9</v>
      </c>
      <c r="P1922" s="116">
        <v>509.8</v>
      </c>
      <c r="Q1922" s="116">
        <v>505.55</v>
      </c>
      <c r="R1922">
        <v>1221370</v>
      </c>
    </row>
    <row r="1923" spans="1:18" x14ac:dyDescent="0.25">
      <c r="A1923" s="170">
        <v>45551</v>
      </c>
      <c r="B1923" s="116">
        <v>515.45000000000005</v>
      </c>
      <c r="C1923" s="116">
        <v>504.55</v>
      </c>
      <c r="D1923" s="116">
        <v>499.1</v>
      </c>
      <c r="E1923" s="116">
        <v>510.6</v>
      </c>
      <c r="F1923" s="116">
        <v>504.55</v>
      </c>
      <c r="G1923">
        <v>105006</v>
      </c>
      <c r="H1923" s="116"/>
      <c r="I1923" s="116"/>
      <c r="L1923" s="170">
        <v>45551</v>
      </c>
      <c r="M1923" s="116">
        <v>504.55</v>
      </c>
      <c r="N1923" s="116">
        <v>515.70000000000005</v>
      </c>
      <c r="O1923" s="116">
        <v>498.85</v>
      </c>
      <c r="P1923" s="116">
        <v>512.29999999999995</v>
      </c>
      <c r="Q1923" s="116">
        <v>504.55</v>
      </c>
      <c r="R1923">
        <v>1883950</v>
      </c>
    </row>
    <row r="1924" spans="1:18" x14ac:dyDescent="0.25">
      <c r="A1924" s="170">
        <v>45552</v>
      </c>
      <c r="B1924" s="116">
        <v>506.1</v>
      </c>
      <c r="C1924" s="116">
        <v>501.3</v>
      </c>
      <c r="D1924" s="116">
        <v>498.4</v>
      </c>
      <c r="E1924" s="116">
        <v>501.4</v>
      </c>
      <c r="F1924" s="116">
        <v>501.3</v>
      </c>
      <c r="G1924">
        <v>72604</v>
      </c>
      <c r="H1924" s="116"/>
      <c r="I1924" s="116"/>
      <c r="L1924" s="170">
        <v>45552</v>
      </c>
      <c r="M1924" s="116">
        <v>501.35</v>
      </c>
      <c r="N1924" s="116">
        <v>506.4</v>
      </c>
      <c r="O1924" s="116">
        <v>498.25</v>
      </c>
      <c r="P1924" s="116">
        <v>504.55</v>
      </c>
      <c r="Q1924" s="116">
        <v>501.35</v>
      </c>
      <c r="R1924">
        <v>1010574</v>
      </c>
    </row>
    <row r="1925" spans="1:18" x14ac:dyDescent="0.25">
      <c r="A1925" s="170">
        <v>45553</v>
      </c>
      <c r="B1925" s="116">
        <v>501</v>
      </c>
      <c r="C1925" s="116">
        <v>484.9</v>
      </c>
      <c r="D1925" s="116">
        <v>477.5</v>
      </c>
      <c r="E1925" s="116">
        <v>500.9</v>
      </c>
      <c r="F1925" s="116">
        <v>484.9</v>
      </c>
      <c r="G1925">
        <v>59446</v>
      </c>
      <c r="H1925" s="116"/>
      <c r="I1925" s="116"/>
      <c r="L1925" s="170">
        <v>45553</v>
      </c>
      <c r="M1925" s="116">
        <v>485.4</v>
      </c>
      <c r="N1925" s="116">
        <v>502</v>
      </c>
      <c r="O1925" s="116">
        <v>477.15</v>
      </c>
      <c r="P1925" s="116">
        <v>501.45</v>
      </c>
      <c r="Q1925" s="116">
        <v>485.4</v>
      </c>
      <c r="R1925">
        <v>2527913</v>
      </c>
    </row>
    <row r="1926" spans="1:18" x14ac:dyDescent="0.25">
      <c r="A1926" s="170">
        <v>45554</v>
      </c>
      <c r="B1926" s="116">
        <v>491.1</v>
      </c>
      <c r="C1926" s="116">
        <v>470.2</v>
      </c>
      <c r="D1926" s="116">
        <v>461</v>
      </c>
      <c r="E1926" s="116">
        <v>482.2</v>
      </c>
      <c r="F1926" s="116">
        <v>470.2</v>
      </c>
      <c r="G1926">
        <v>59195</v>
      </c>
      <c r="H1926" s="116"/>
      <c r="I1926" s="116"/>
      <c r="L1926" s="170">
        <v>45554</v>
      </c>
      <c r="M1926" s="116">
        <v>470.4</v>
      </c>
      <c r="N1926" s="116">
        <v>490.9</v>
      </c>
      <c r="O1926" s="116">
        <v>461</v>
      </c>
      <c r="P1926" s="116">
        <v>486</v>
      </c>
      <c r="Q1926" s="116">
        <v>470.4</v>
      </c>
      <c r="R1926">
        <v>3348425</v>
      </c>
    </row>
    <row r="1927" spans="1:18" x14ac:dyDescent="0.25">
      <c r="A1927" s="170">
        <v>45555</v>
      </c>
      <c r="B1927" s="116">
        <v>473.3</v>
      </c>
      <c r="C1927" s="116">
        <v>467.3</v>
      </c>
      <c r="D1927" s="116">
        <v>462</v>
      </c>
      <c r="E1927" s="116">
        <v>470.6</v>
      </c>
      <c r="F1927" s="116">
        <v>467.3</v>
      </c>
      <c r="G1927">
        <v>113782</v>
      </c>
      <c r="H1927" s="116"/>
      <c r="I1927" s="116"/>
      <c r="L1927" s="170">
        <v>45555</v>
      </c>
      <c r="M1927" s="116">
        <v>467.35</v>
      </c>
      <c r="N1927" s="116">
        <v>473.65</v>
      </c>
      <c r="O1927" s="116">
        <v>462.3</v>
      </c>
      <c r="P1927" s="116">
        <v>472</v>
      </c>
      <c r="Q1927" s="116">
        <v>467.35</v>
      </c>
      <c r="R1927">
        <v>2651519</v>
      </c>
    </row>
    <row r="1928" spans="1:18" x14ac:dyDescent="0.25">
      <c r="A1928" s="170">
        <v>45558</v>
      </c>
      <c r="B1928" s="116">
        <v>476</v>
      </c>
      <c r="C1928" s="116">
        <v>474.45</v>
      </c>
      <c r="D1928" s="116">
        <v>467</v>
      </c>
      <c r="E1928" s="116">
        <v>467.3</v>
      </c>
      <c r="F1928" s="116">
        <v>474.45</v>
      </c>
      <c r="G1928">
        <v>29482</v>
      </c>
      <c r="H1928" s="116"/>
      <c r="I1928" s="116"/>
      <c r="L1928" s="170">
        <v>45558</v>
      </c>
      <c r="M1928" s="116">
        <v>474.7</v>
      </c>
      <c r="N1928" s="116">
        <v>476.25</v>
      </c>
      <c r="O1928" s="116">
        <v>466.85</v>
      </c>
      <c r="P1928" s="116">
        <v>467.85</v>
      </c>
      <c r="Q1928" s="116">
        <v>474.7</v>
      </c>
      <c r="R1928">
        <v>1834655</v>
      </c>
    </row>
    <row r="1929" spans="1:18" x14ac:dyDescent="0.25">
      <c r="A1929" s="170">
        <v>45559</v>
      </c>
      <c r="B1929" s="116">
        <v>474.95</v>
      </c>
      <c r="C1929" s="116">
        <v>470</v>
      </c>
      <c r="D1929" s="116">
        <v>467.2</v>
      </c>
      <c r="E1929" s="116">
        <v>474.95</v>
      </c>
      <c r="F1929" s="116">
        <v>470</v>
      </c>
      <c r="G1929">
        <v>14067</v>
      </c>
      <c r="H1929" s="116"/>
      <c r="I1929" s="116"/>
      <c r="L1929" s="170">
        <v>45559</v>
      </c>
      <c r="M1929" s="116">
        <v>470.25</v>
      </c>
      <c r="N1929" s="116">
        <v>474.4</v>
      </c>
      <c r="O1929" s="116">
        <v>467.15</v>
      </c>
      <c r="P1929" s="116">
        <v>473.85</v>
      </c>
      <c r="Q1929" s="116">
        <v>470.25</v>
      </c>
      <c r="R1929">
        <v>1226139</v>
      </c>
    </row>
    <row r="1930" spans="1:18" x14ac:dyDescent="0.25">
      <c r="A1930" s="170">
        <v>45560</v>
      </c>
      <c r="B1930" s="116">
        <v>469.55</v>
      </c>
      <c r="C1930" s="116">
        <v>461.35</v>
      </c>
      <c r="D1930" s="116">
        <v>458.5</v>
      </c>
      <c r="E1930" s="116">
        <v>469.55</v>
      </c>
      <c r="F1930" s="116">
        <v>461.35</v>
      </c>
      <c r="G1930">
        <v>26710</v>
      </c>
      <c r="H1930" s="116"/>
      <c r="I1930" s="116"/>
      <c r="L1930" s="170">
        <v>45560</v>
      </c>
      <c r="M1930" s="116">
        <v>461.45</v>
      </c>
      <c r="N1930" s="116">
        <v>470.95</v>
      </c>
      <c r="O1930" s="116">
        <v>458.45</v>
      </c>
      <c r="P1930" s="116">
        <v>470.95</v>
      </c>
      <c r="Q1930" s="116">
        <v>461.45</v>
      </c>
      <c r="R1930">
        <v>1010077</v>
      </c>
    </row>
    <row r="1931" spans="1:18" x14ac:dyDescent="0.25">
      <c r="A1931" s="170">
        <v>45561</v>
      </c>
      <c r="B1931" s="116">
        <v>465</v>
      </c>
      <c r="C1931" s="116">
        <v>463.45</v>
      </c>
      <c r="D1931" s="116">
        <v>455.45</v>
      </c>
      <c r="E1931" s="116">
        <v>458.35</v>
      </c>
      <c r="F1931" s="116">
        <v>463.45</v>
      </c>
      <c r="G1931">
        <v>24479</v>
      </c>
      <c r="H1931" s="116"/>
      <c r="I1931" s="116"/>
      <c r="L1931" s="170">
        <v>45561</v>
      </c>
      <c r="M1931" s="116">
        <v>463.2</v>
      </c>
      <c r="N1931" s="116">
        <v>465</v>
      </c>
      <c r="O1931" s="116">
        <v>455.4</v>
      </c>
      <c r="P1931" s="116">
        <v>460</v>
      </c>
      <c r="Q1931" s="116">
        <v>463.2</v>
      </c>
      <c r="R1931">
        <v>1036238</v>
      </c>
    </row>
    <row r="1932" spans="1:18" x14ac:dyDescent="0.25">
      <c r="A1932" s="170">
        <v>45562</v>
      </c>
      <c r="B1932" s="116">
        <v>469.8</v>
      </c>
      <c r="C1932" s="116">
        <v>464</v>
      </c>
      <c r="D1932" s="116">
        <v>459.4</v>
      </c>
      <c r="E1932" s="116">
        <v>463.05</v>
      </c>
      <c r="F1932" s="116">
        <v>464</v>
      </c>
      <c r="G1932">
        <v>72339</v>
      </c>
      <c r="H1932" s="116"/>
      <c r="I1932" s="116"/>
      <c r="L1932" s="170">
        <v>45562</v>
      </c>
      <c r="M1932" s="116">
        <v>464.5</v>
      </c>
      <c r="N1932" s="116">
        <v>472.9</v>
      </c>
      <c r="O1932" s="116">
        <v>459.05</v>
      </c>
      <c r="P1932" s="116">
        <v>463.2</v>
      </c>
      <c r="Q1932" s="116">
        <v>464.5</v>
      </c>
      <c r="R1932">
        <v>4168385</v>
      </c>
    </row>
    <row r="1933" spans="1:18" x14ac:dyDescent="0.25">
      <c r="A1933" s="170">
        <v>45565</v>
      </c>
      <c r="B1933" s="116">
        <v>468</v>
      </c>
      <c r="C1933" s="116">
        <v>462.75</v>
      </c>
      <c r="D1933" s="116">
        <v>457.4</v>
      </c>
      <c r="E1933" s="116">
        <v>467.65</v>
      </c>
      <c r="F1933" s="116">
        <v>462.75</v>
      </c>
      <c r="G1933">
        <v>25077</v>
      </c>
      <c r="H1933" s="116"/>
      <c r="I1933" s="116"/>
      <c r="L1933" s="170">
        <v>45565</v>
      </c>
      <c r="M1933" s="116">
        <v>463.6</v>
      </c>
      <c r="N1933" s="116">
        <v>467.9</v>
      </c>
      <c r="O1933" s="116">
        <v>457.3</v>
      </c>
      <c r="P1933" s="116">
        <v>466.5</v>
      </c>
      <c r="Q1933" s="116">
        <v>463.6</v>
      </c>
      <c r="R1933">
        <v>928835</v>
      </c>
    </row>
    <row r="1934" spans="1:18" x14ac:dyDescent="0.25">
      <c r="A1934" s="170">
        <v>45566</v>
      </c>
      <c r="B1934" s="116">
        <v>472</v>
      </c>
      <c r="C1934" s="116">
        <v>468.45</v>
      </c>
      <c r="D1934" s="116">
        <v>460.5</v>
      </c>
      <c r="E1934" s="116">
        <v>462.75</v>
      </c>
      <c r="F1934" s="116">
        <v>468.45</v>
      </c>
      <c r="G1934">
        <v>31868</v>
      </c>
      <c r="H1934" s="116"/>
      <c r="I1934" s="116"/>
      <c r="L1934" s="170">
        <v>45566</v>
      </c>
      <c r="M1934" s="116">
        <v>469.3</v>
      </c>
      <c r="N1934" s="116">
        <v>472</v>
      </c>
      <c r="O1934" s="116">
        <v>460.35</v>
      </c>
      <c r="P1934" s="116">
        <v>462.95</v>
      </c>
      <c r="Q1934" s="116">
        <v>469.3</v>
      </c>
      <c r="R1934">
        <v>1219646</v>
      </c>
    </row>
    <row r="1935" spans="1:18" x14ac:dyDescent="0.25">
      <c r="A1935" s="170">
        <v>45568</v>
      </c>
      <c r="B1935" s="116">
        <v>470.8</v>
      </c>
      <c r="C1935" s="116">
        <v>460.35</v>
      </c>
      <c r="D1935" s="116">
        <v>458.05</v>
      </c>
      <c r="E1935" s="116">
        <v>458.65</v>
      </c>
      <c r="F1935" s="116">
        <v>460.35</v>
      </c>
      <c r="G1935">
        <v>40640</v>
      </c>
      <c r="H1935" s="116"/>
      <c r="I1935" s="116"/>
      <c r="L1935" s="170">
        <v>45568</v>
      </c>
      <c r="M1935" s="116">
        <v>460.8</v>
      </c>
      <c r="N1935" s="116">
        <v>470.9</v>
      </c>
      <c r="O1935" s="116">
        <v>457.85</v>
      </c>
      <c r="P1935" s="116">
        <v>461.65</v>
      </c>
      <c r="Q1935" s="116">
        <v>460.8</v>
      </c>
      <c r="R1935">
        <v>2101593</v>
      </c>
    </row>
    <row r="1936" spans="1:18" x14ac:dyDescent="0.25">
      <c r="A1936" s="170">
        <v>45569</v>
      </c>
      <c r="B1936" s="116">
        <v>464.2</v>
      </c>
      <c r="C1936" s="116">
        <v>445.35</v>
      </c>
      <c r="D1936" s="116">
        <v>443.2</v>
      </c>
      <c r="E1936" s="116">
        <v>457.55</v>
      </c>
      <c r="F1936" s="116">
        <v>445.35</v>
      </c>
      <c r="G1936">
        <v>48352</v>
      </c>
      <c r="H1936" s="116"/>
      <c r="I1936" s="116"/>
      <c r="L1936" s="170">
        <v>45569</v>
      </c>
      <c r="M1936" s="116">
        <v>445.15</v>
      </c>
      <c r="N1936" s="116">
        <v>464.5</v>
      </c>
      <c r="O1936" s="116">
        <v>442.9</v>
      </c>
      <c r="P1936" s="116">
        <v>458.95</v>
      </c>
      <c r="Q1936" s="116">
        <v>445.15</v>
      </c>
      <c r="R1936">
        <v>1775168</v>
      </c>
    </row>
    <row r="1937" spans="1:18" x14ac:dyDescent="0.25">
      <c r="A1937" s="170">
        <v>45572</v>
      </c>
      <c r="B1937" s="116">
        <v>448.95</v>
      </c>
      <c r="C1937" s="116">
        <v>431.4</v>
      </c>
      <c r="D1937" s="116">
        <v>426.9</v>
      </c>
      <c r="E1937" s="116">
        <v>445.35</v>
      </c>
      <c r="F1937" s="116">
        <v>431.4</v>
      </c>
      <c r="G1937">
        <v>123669</v>
      </c>
      <c r="H1937" s="116"/>
      <c r="I1937" s="116"/>
      <c r="L1937" s="170">
        <v>45572</v>
      </c>
      <c r="M1937" s="116">
        <v>431.3</v>
      </c>
      <c r="N1937" s="116">
        <v>448.9</v>
      </c>
      <c r="O1937" s="116">
        <v>427.05</v>
      </c>
      <c r="P1937" s="116">
        <v>445.45</v>
      </c>
      <c r="Q1937" s="116">
        <v>431.3</v>
      </c>
      <c r="R1937">
        <v>1518247</v>
      </c>
    </row>
    <row r="1938" spans="1:18" x14ac:dyDescent="0.25">
      <c r="A1938" s="170">
        <v>45573</v>
      </c>
      <c r="B1938" s="116">
        <v>441</v>
      </c>
      <c r="C1938" s="116">
        <v>439.1</v>
      </c>
      <c r="D1938" s="116">
        <v>422.7</v>
      </c>
      <c r="E1938" s="116">
        <v>422.7</v>
      </c>
      <c r="F1938" s="116">
        <v>439.1</v>
      </c>
      <c r="G1938">
        <v>44374</v>
      </c>
      <c r="H1938" s="116"/>
      <c r="I1938" s="116"/>
      <c r="L1938" s="170">
        <v>45573</v>
      </c>
      <c r="M1938" s="116">
        <v>439.25</v>
      </c>
      <c r="N1938" s="116">
        <v>442</v>
      </c>
      <c r="O1938" s="116">
        <v>429.15</v>
      </c>
      <c r="P1938" s="116">
        <v>431.6</v>
      </c>
      <c r="Q1938" s="116">
        <v>439.25</v>
      </c>
      <c r="R1938">
        <v>764460</v>
      </c>
    </row>
    <row r="1939" spans="1:18" x14ac:dyDescent="0.25">
      <c r="A1939" s="170">
        <v>45574</v>
      </c>
      <c r="B1939" s="116">
        <v>457.45</v>
      </c>
      <c r="C1939" s="116">
        <v>453.2</v>
      </c>
      <c r="D1939" s="116">
        <v>441.75</v>
      </c>
      <c r="E1939" s="116">
        <v>443.9</v>
      </c>
      <c r="F1939" s="116">
        <v>453.2</v>
      </c>
      <c r="G1939">
        <v>32638</v>
      </c>
      <c r="H1939" s="116"/>
      <c r="I1939" s="116"/>
      <c r="L1939" s="170">
        <v>45574</v>
      </c>
      <c r="M1939" s="116">
        <v>453.9</v>
      </c>
      <c r="N1939" s="116">
        <v>457.55</v>
      </c>
      <c r="O1939" s="116">
        <v>441.4</v>
      </c>
      <c r="P1939" s="116">
        <v>441.65</v>
      </c>
      <c r="Q1939" s="116">
        <v>453.9</v>
      </c>
      <c r="R1939">
        <v>2253328</v>
      </c>
    </row>
    <row r="1940" spans="1:18" x14ac:dyDescent="0.25">
      <c r="A1940" s="170">
        <v>45575</v>
      </c>
      <c r="B1940" s="116">
        <v>466.95</v>
      </c>
      <c r="C1940" s="116">
        <v>465.3</v>
      </c>
      <c r="D1940" s="116">
        <v>451.7</v>
      </c>
      <c r="E1940" s="116">
        <v>453.25</v>
      </c>
      <c r="F1940" s="116">
        <v>465.3</v>
      </c>
      <c r="G1940">
        <v>54597</v>
      </c>
      <c r="H1940" s="116"/>
      <c r="I1940" s="116"/>
      <c r="L1940" s="170">
        <v>45575</v>
      </c>
      <c r="M1940" s="116">
        <v>465.25</v>
      </c>
      <c r="N1940" s="116">
        <v>466.95</v>
      </c>
      <c r="O1940" s="116">
        <v>451.85</v>
      </c>
      <c r="P1940" s="116">
        <v>453.9</v>
      </c>
      <c r="Q1940" s="116">
        <v>465.25</v>
      </c>
      <c r="R1940">
        <v>3856561</v>
      </c>
    </row>
    <row r="1941" spans="1:18" x14ac:dyDescent="0.25">
      <c r="A1941" s="170">
        <v>45576</v>
      </c>
      <c r="B1941" s="116">
        <v>477.65</v>
      </c>
      <c r="C1941" s="116">
        <v>474.05</v>
      </c>
      <c r="D1941" s="116">
        <v>466.05</v>
      </c>
      <c r="E1941" s="116">
        <v>469.95</v>
      </c>
      <c r="F1941" s="116">
        <v>474.05</v>
      </c>
      <c r="G1941">
        <v>102179</v>
      </c>
      <c r="H1941" s="116"/>
      <c r="I1941" s="116"/>
      <c r="L1941" s="170">
        <v>45576</v>
      </c>
      <c r="M1941" s="116">
        <v>474.15</v>
      </c>
      <c r="N1941" s="116">
        <v>477.8</v>
      </c>
      <c r="O1941" s="116">
        <v>466.1</v>
      </c>
      <c r="P1941" s="116">
        <v>468.5</v>
      </c>
      <c r="Q1941" s="116">
        <v>474.15</v>
      </c>
      <c r="R1941">
        <v>3894223</v>
      </c>
    </row>
    <row r="1942" spans="1:18" x14ac:dyDescent="0.25">
      <c r="A1942" s="170">
        <v>45579</v>
      </c>
      <c r="B1942" s="116">
        <v>481.5</v>
      </c>
      <c r="C1942" s="116">
        <v>478.65</v>
      </c>
      <c r="D1942" s="116">
        <v>468.5</v>
      </c>
      <c r="E1942" s="116">
        <v>471.05</v>
      </c>
      <c r="F1942" s="116">
        <v>478.65</v>
      </c>
      <c r="G1942">
        <v>45518</v>
      </c>
      <c r="H1942" s="116"/>
      <c r="I1942" s="116"/>
      <c r="L1942" s="170">
        <v>45579</v>
      </c>
      <c r="M1942" s="116">
        <v>478.95</v>
      </c>
      <c r="N1942" s="116">
        <v>481.75</v>
      </c>
      <c r="O1942" s="116">
        <v>469</v>
      </c>
      <c r="P1942" s="116">
        <v>474.1</v>
      </c>
      <c r="Q1942" s="116">
        <v>478.95</v>
      </c>
      <c r="R1942">
        <v>1766559</v>
      </c>
    </row>
    <row r="1943" spans="1:18" x14ac:dyDescent="0.25">
      <c r="A1943" s="170">
        <v>45580</v>
      </c>
      <c r="B1943" s="116">
        <v>486.3</v>
      </c>
      <c r="C1943" s="116">
        <v>481.75</v>
      </c>
      <c r="D1943" s="116">
        <v>474.4</v>
      </c>
      <c r="E1943" s="116">
        <v>478.1</v>
      </c>
      <c r="F1943" s="116">
        <v>481.75</v>
      </c>
      <c r="G1943">
        <v>41431</v>
      </c>
      <c r="H1943" s="116"/>
      <c r="I1943" s="116"/>
      <c r="L1943" s="170">
        <v>45580</v>
      </c>
      <c r="M1943" s="116">
        <v>482</v>
      </c>
      <c r="N1943" s="116">
        <v>486.5</v>
      </c>
      <c r="O1943" s="116">
        <v>474.3</v>
      </c>
      <c r="P1943" s="116">
        <v>478.95</v>
      </c>
      <c r="Q1943" s="116">
        <v>482</v>
      </c>
      <c r="R1943">
        <v>2116380</v>
      </c>
    </row>
    <row r="1944" spans="1:18" x14ac:dyDescent="0.25">
      <c r="A1944" s="170">
        <v>45581</v>
      </c>
      <c r="B1944" s="116">
        <v>487.05</v>
      </c>
      <c r="C1944" s="116">
        <v>480.2</v>
      </c>
      <c r="D1944" s="116">
        <v>468.75</v>
      </c>
      <c r="E1944" s="116">
        <v>482.95</v>
      </c>
      <c r="F1944" s="116">
        <v>480.2</v>
      </c>
      <c r="G1944">
        <v>45853</v>
      </c>
      <c r="H1944" s="116"/>
      <c r="I1944" s="116"/>
      <c r="L1944" s="170">
        <v>45581</v>
      </c>
      <c r="M1944" s="116">
        <v>480.3</v>
      </c>
      <c r="N1944" s="116">
        <v>487.3</v>
      </c>
      <c r="O1944" s="116">
        <v>468.55</v>
      </c>
      <c r="P1944" s="116">
        <v>482</v>
      </c>
      <c r="Q1944" s="116">
        <v>480.3</v>
      </c>
      <c r="R1944">
        <v>2269419</v>
      </c>
    </row>
    <row r="1945" spans="1:18" x14ac:dyDescent="0.25">
      <c r="A1945" s="170">
        <v>45582</v>
      </c>
      <c r="B1945" s="116">
        <v>482.2</v>
      </c>
      <c r="C1945" s="116">
        <v>466.45</v>
      </c>
      <c r="D1945" s="116">
        <v>464</v>
      </c>
      <c r="E1945" s="116">
        <v>478.9</v>
      </c>
      <c r="F1945" s="116">
        <v>466.45</v>
      </c>
      <c r="G1945">
        <v>25422</v>
      </c>
      <c r="H1945" s="116"/>
      <c r="I1945" s="116"/>
      <c r="L1945" s="170">
        <v>45582</v>
      </c>
      <c r="M1945" s="116">
        <v>466.2</v>
      </c>
      <c r="N1945" s="116">
        <v>482.45</v>
      </c>
      <c r="O1945" s="116">
        <v>463.9</v>
      </c>
      <c r="P1945" s="116">
        <v>480</v>
      </c>
      <c r="Q1945" s="116">
        <v>466.2</v>
      </c>
      <c r="R1945">
        <v>1163315</v>
      </c>
    </row>
    <row r="1946" spans="1:18" x14ac:dyDescent="0.25">
      <c r="A1946" s="170">
        <v>45583</v>
      </c>
      <c r="B1946" s="116">
        <v>482.15</v>
      </c>
      <c r="C1946" s="116">
        <v>475.1</v>
      </c>
      <c r="D1946" s="116">
        <v>460.6</v>
      </c>
      <c r="E1946" s="116">
        <v>463.6</v>
      </c>
      <c r="F1946" s="116">
        <v>475.1</v>
      </c>
      <c r="G1946">
        <v>78381</v>
      </c>
      <c r="H1946" s="116"/>
      <c r="I1946" s="116"/>
      <c r="L1946" s="170">
        <v>45583</v>
      </c>
      <c r="M1946" s="116">
        <v>475.15</v>
      </c>
      <c r="N1946" s="116">
        <v>482.25</v>
      </c>
      <c r="O1946" s="116">
        <v>461</v>
      </c>
      <c r="P1946" s="116">
        <v>465.5</v>
      </c>
      <c r="Q1946" s="116">
        <v>475.15</v>
      </c>
      <c r="R1946">
        <v>3771206</v>
      </c>
    </row>
    <row r="1947" spans="1:18" x14ac:dyDescent="0.25">
      <c r="A1947" s="170">
        <v>45586</v>
      </c>
      <c r="B1947" s="116">
        <v>478.95</v>
      </c>
      <c r="C1947" s="116">
        <v>464.8</v>
      </c>
      <c r="D1947" s="116">
        <v>461.85</v>
      </c>
      <c r="E1947" s="116">
        <v>478.95</v>
      </c>
      <c r="F1947" s="116">
        <v>464.8</v>
      </c>
      <c r="G1947">
        <v>30331</v>
      </c>
      <c r="H1947" s="116"/>
      <c r="I1947" s="116"/>
      <c r="L1947" s="170">
        <v>45586</v>
      </c>
      <c r="M1947" s="116">
        <v>465.25</v>
      </c>
      <c r="N1947" s="116">
        <v>478.8</v>
      </c>
      <c r="O1947" s="116">
        <v>461.9</v>
      </c>
      <c r="P1947" s="116">
        <v>477.3</v>
      </c>
      <c r="Q1947" s="116">
        <v>465.25</v>
      </c>
      <c r="R1947">
        <v>1396466</v>
      </c>
    </row>
    <row r="1948" spans="1:18" x14ac:dyDescent="0.25">
      <c r="A1948" s="170">
        <v>45587</v>
      </c>
      <c r="B1948" s="116">
        <v>465.1</v>
      </c>
      <c r="C1948" s="116">
        <v>448.2</v>
      </c>
      <c r="D1948" s="116">
        <v>446.7</v>
      </c>
      <c r="E1948" s="116">
        <v>464</v>
      </c>
      <c r="F1948" s="116">
        <v>448.2</v>
      </c>
      <c r="G1948">
        <v>43775</v>
      </c>
      <c r="H1948" s="116"/>
      <c r="I1948" s="116"/>
      <c r="L1948" s="170">
        <v>45587</v>
      </c>
      <c r="M1948" s="116">
        <v>448.5</v>
      </c>
      <c r="N1948" s="116">
        <v>465.7</v>
      </c>
      <c r="O1948" s="116">
        <v>446.6</v>
      </c>
      <c r="P1948" s="116">
        <v>462.5</v>
      </c>
      <c r="Q1948" s="116">
        <v>448.5</v>
      </c>
      <c r="R1948">
        <v>1338360</v>
      </c>
    </row>
    <row r="1949" spans="1:18" x14ac:dyDescent="0.25">
      <c r="A1949" s="170">
        <v>45588</v>
      </c>
      <c r="B1949" s="116">
        <v>462.55</v>
      </c>
      <c r="C1949" s="116">
        <v>449.35</v>
      </c>
      <c r="D1949" s="116">
        <v>441</v>
      </c>
      <c r="E1949" s="116">
        <v>441</v>
      </c>
      <c r="F1949" s="116">
        <v>449.35</v>
      </c>
      <c r="G1949">
        <v>27800</v>
      </c>
      <c r="H1949" s="116"/>
      <c r="I1949" s="116"/>
      <c r="L1949" s="170">
        <v>45588</v>
      </c>
      <c r="M1949" s="116">
        <v>449.45</v>
      </c>
      <c r="N1949" s="116">
        <v>462.55</v>
      </c>
      <c r="O1949" s="116">
        <v>444</v>
      </c>
      <c r="P1949" s="116">
        <v>445</v>
      </c>
      <c r="Q1949" s="116">
        <v>449.45</v>
      </c>
      <c r="R1949">
        <v>1062408</v>
      </c>
    </row>
    <row r="1950" spans="1:18" x14ac:dyDescent="0.25">
      <c r="A1950" s="170">
        <v>45589</v>
      </c>
      <c r="B1950" s="116">
        <v>456.85</v>
      </c>
      <c r="C1950" s="116">
        <v>446</v>
      </c>
      <c r="D1950" s="116">
        <v>440.05</v>
      </c>
      <c r="E1950" s="116">
        <v>450</v>
      </c>
      <c r="F1950" s="116">
        <v>446</v>
      </c>
      <c r="G1950">
        <v>86295</v>
      </c>
      <c r="H1950" s="116"/>
      <c r="I1950" s="116"/>
      <c r="L1950" s="170">
        <v>45589</v>
      </c>
      <c r="M1950" s="116">
        <v>447.3</v>
      </c>
      <c r="N1950" s="116">
        <v>457</v>
      </c>
      <c r="O1950" s="116">
        <v>440.45</v>
      </c>
      <c r="P1950" s="116">
        <v>449.5</v>
      </c>
      <c r="Q1950" s="116">
        <v>447.3</v>
      </c>
      <c r="R1950">
        <v>2420152</v>
      </c>
    </row>
    <row r="1951" spans="1:18" x14ac:dyDescent="0.25">
      <c r="A1951" s="170">
        <v>45590</v>
      </c>
      <c r="B1951" s="116">
        <v>478.95</v>
      </c>
      <c r="C1951" s="116">
        <v>465.95</v>
      </c>
      <c r="D1951" s="116">
        <v>440.1</v>
      </c>
      <c r="E1951" s="116">
        <v>440.1</v>
      </c>
      <c r="F1951" s="116">
        <v>465.95</v>
      </c>
      <c r="G1951">
        <v>530844</v>
      </c>
      <c r="H1951" s="116"/>
      <c r="I1951" s="116"/>
      <c r="L1951" s="170">
        <v>45590</v>
      </c>
      <c r="M1951" s="116">
        <v>465.8</v>
      </c>
      <c r="N1951" s="116">
        <v>478.6</v>
      </c>
      <c r="O1951" s="116">
        <v>443.05</v>
      </c>
      <c r="P1951" s="116">
        <v>443.05</v>
      </c>
      <c r="Q1951" s="116">
        <v>465.8</v>
      </c>
      <c r="R1951">
        <v>19881092</v>
      </c>
    </row>
    <row r="1952" spans="1:18" x14ac:dyDescent="0.25">
      <c r="A1952" s="170">
        <v>45593</v>
      </c>
      <c r="B1952" s="116">
        <v>496</v>
      </c>
      <c r="C1952" s="116">
        <v>492.95</v>
      </c>
      <c r="D1952" s="116">
        <v>459.65</v>
      </c>
      <c r="E1952" s="116">
        <v>464.95</v>
      </c>
      <c r="F1952" s="116">
        <v>492.95</v>
      </c>
      <c r="G1952">
        <v>343025</v>
      </c>
      <c r="H1952" s="116"/>
      <c r="I1952" s="116"/>
      <c r="L1952" s="170">
        <v>45593</v>
      </c>
      <c r="M1952" s="116">
        <v>492.2</v>
      </c>
      <c r="N1952" s="116">
        <v>495.95</v>
      </c>
      <c r="O1952" s="116">
        <v>459.55</v>
      </c>
      <c r="P1952" s="116">
        <v>463.65</v>
      </c>
      <c r="Q1952" s="116">
        <v>492.2</v>
      </c>
      <c r="R1952">
        <v>5504631</v>
      </c>
    </row>
    <row r="1953" spans="1:18" x14ac:dyDescent="0.25">
      <c r="A1953" s="170">
        <v>45594</v>
      </c>
      <c r="B1953" s="116">
        <v>493.85</v>
      </c>
      <c r="C1953" s="116">
        <v>488.6</v>
      </c>
      <c r="D1953" s="116">
        <v>473.65</v>
      </c>
      <c r="E1953" s="116">
        <v>492.35</v>
      </c>
      <c r="F1953" s="116">
        <v>488.6</v>
      </c>
      <c r="G1953">
        <v>137155</v>
      </c>
      <c r="H1953" s="116"/>
      <c r="I1953" s="116"/>
      <c r="L1953" s="170">
        <v>45594</v>
      </c>
      <c r="M1953" s="116">
        <v>488.65</v>
      </c>
      <c r="N1953" s="116">
        <v>494</v>
      </c>
      <c r="O1953" s="116">
        <v>473.25</v>
      </c>
      <c r="P1953" s="116">
        <v>491</v>
      </c>
      <c r="Q1953" s="116">
        <v>488.65</v>
      </c>
      <c r="R1953">
        <v>4722963</v>
      </c>
    </row>
    <row r="1954" spans="1:18" x14ac:dyDescent="0.25">
      <c r="A1954" s="170">
        <v>45595</v>
      </c>
      <c r="B1954" s="116">
        <v>489.45</v>
      </c>
      <c r="C1954" s="116">
        <v>485.15</v>
      </c>
      <c r="D1954" s="116">
        <v>481.8</v>
      </c>
      <c r="E1954" s="116">
        <v>487.4</v>
      </c>
      <c r="F1954" s="116">
        <v>485.15</v>
      </c>
      <c r="G1954">
        <v>34716</v>
      </c>
      <c r="H1954" s="116"/>
      <c r="I1954" s="116"/>
      <c r="L1954" s="170">
        <v>45595</v>
      </c>
      <c r="M1954" s="116">
        <v>485.3</v>
      </c>
      <c r="N1954" s="116">
        <v>489.7</v>
      </c>
      <c r="O1954" s="116">
        <v>482</v>
      </c>
      <c r="P1954" s="116">
        <v>487.65</v>
      </c>
      <c r="Q1954" s="116">
        <v>485.3</v>
      </c>
      <c r="R1954">
        <v>5002816</v>
      </c>
    </row>
    <row r="1955" spans="1:18" x14ac:dyDescent="0.25">
      <c r="A1955" s="170">
        <v>45596</v>
      </c>
      <c r="B1955" s="116">
        <v>493.2</v>
      </c>
      <c r="C1955" s="116">
        <v>491.9</v>
      </c>
      <c r="D1955" s="116">
        <v>479.8</v>
      </c>
      <c r="E1955" s="116">
        <v>484.35</v>
      </c>
      <c r="F1955" s="116">
        <v>491.9</v>
      </c>
      <c r="G1955">
        <v>81234</v>
      </c>
      <c r="H1955" s="116"/>
      <c r="I1955" s="116"/>
      <c r="L1955" s="170">
        <v>45596</v>
      </c>
      <c r="M1955" s="116">
        <v>491.25</v>
      </c>
      <c r="N1955" s="116">
        <v>493</v>
      </c>
      <c r="O1955" s="116">
        <v>479.35</v>
      </c>
      <c r="P1955" s="116">
        <v>486</v>
      </c>
      <c r="Q1955" s="116">
        <v>491.25</v>
      </c>
      <c r="R1955">
        <v>1775265</v>
      </c>
    </row>
    <row r="1956" spans="1:18" x14ac:dyDescent="0.25">
      <c r="A1956" s="170">
        <v>45597</v>
      </c>
      <c r="B1956" s="116">
        <v>502.3</v>
      </c>
      <c r="C1956" s="116">
        <v>499.5</v>
      </c>
      <c r="D1956" s="116">
        <v>493</v>
      </c>
      <c r="E1956" s="116">
        <v>493</v>
      </c>
      <c r="F1956" s="116">
        <v>499.5</v>
      </c>
      <c r="G1956">
        <v>68223</v>
      </c>
      <c r="H1956" s="116"/>
      <c r="I1956" s="116"/>
      <c r="L1956" s="170">
        <v>45597</v>
      </c>
      <c r="M1956" s="116">
        <v>499.8</v>
      </c>
      <c r="N1956" s="116">
        <v>502.55</v>
      </c>
      <c r="O1956" s="116">
        <v>493.2</v>
      </c>
      <c r="P1956" s="116">
        <v>493.2</v>
      </c>
      <c r="Q1956" s="116">
        <v>499.8</v>
      </c>
      <c r="R1956">
        <v>534811</v>
      </c>
    </row>
    <row r="1957" spans="1:18" x14ac:dyDescent="0.25">
      <c r="A1957" s="170">
        <v>45600</v>
      </c>
      <c r="B1957" s="116">
        <v>504.45</v>
      </c>
      <c r="C1957" s="116">
        <v>487.5</v>
      </c>
      <c r="D1957" s="116">
        <v>484.1</v>
      </c>
      <c r="E1957" s="116">
        <v>504.45</v>
      </c>
      <c r="F1957" s="116">
        <v>487.5</v>
      </c>
      <c r="G1957">
        <v>55388</v>
      </c>
      <c r="H1957" s="116"/>
      <c r="I1957" s="116"/>
      <c r="L1957" s="170">
        <v>45600</v>
      </c>
      <c r="M1957" s="116">
        <v>487.45</v>
      </c>
      <c r="N1957" s="116">
        <v>502</v>
      </c>
      <c r="O1957" s="116">
        <v>484.05</v>
      </c>
      <c r="P1957" s="116">
        <v>502</v>
      </c>
      <c r="Q1957" s="116">
        <v>487.45</v>
      </c>
      <c r="R1957">
        <v>1862717</v>
      </c>
    </row>
    <row r="1958" spans="1:18" x14ac:dyDescent="0.25">
      <c r="A1958" s="170">
        <v>45601</v>
      </c>
      <c r="B1958" s="116">
        <v>494</v>
      </c>
      <c r="C1958" s="116">
        <v>488.85</v>
      </c>
      <c r="D1958" s="116">
        <v>480.95</v>
      </c>
      <c r="E1958" s="116">
        <v>485.45</v>
      </c>
      <c r="F1958" s="116">
        <v>488.85</v>
      </c>
      <c r="G1958">
        <v>75400</v>
      </c>
      <c r="H1958" s="116"/>
      <c r="I1958" s="116"/>
      <c r="L1958" s="170">
        <v>45601</v>
      </c>
      <c r="M1958" s="116">
        <v>489.25</v>
      </c>
      <c r="N1958" s="116">
        <v>494.25</v>
      </c>
      <c r="O1958" s="116">
        <v>481.5</v>
      </c>
      <c r="P1958" s="116">
        <v>486</v>
      </c>
      <c r="Q1958" s="116">
        <v>489.25</v>
      </c>
      <c r="R1958">
        <v>2564125</v>
      </c>
    </row>
    <row r="1959" spans="1:18" x14ac:dyDescent="0.25">
      <c r="A1959" s="170">
        <v>45602</v>
      </c>
      <c r="B1959" s="116">
        <v>498</v>
      </c>
      <c r="C1959" s="116">
        <v>496.4</v>
      </c>
      <c r="D1959" s="116">
        <v>484.65</v>
      </c>
      <c r="E1959" s="116">
        <v>489.25</v>
      </c>
      <c r="F1959" s="116">
        <v>496.4</v>
      </c>
      <c r="G1959">
        <v>86998</v>
      </c>
      <c r="H1959" s="116"/>
      <c r="I1959" s="116"/>
      <c r="L1959" s="170">
        <v>45602</v>
      </c>
      <c r="M1959" s="116">
        <v>496.45</v>
      </c>
      <c r="N1959" s="116">
        <v>498.5</v>
      </c>
      <c r="O1959" s="116">
        <v>484.25</v>
      </c>
      <c r="P1959" s="116">
        <v>489</v>
      </c>
      <c r="Q1959" s="116">
        <v>496.45</v>
      </c>
      <c r="R1959">
        <v>5554354</v>
      </c>
    </row>
    <row r="1960" spans="1:18" x14ac:dyDescent="0.25">
      <c r="A1960" s="170">
        <v>45603</v>
      </c>
      <c r="B1960" s="116">
        <v>502.15</v>
      </c>
      <c r="C1960" s="116">
        <v>494.95</v>
      </c>
      <c r="D1960" s="116">
        <v>490</v>
      </c>
      <c r="E1960" s="116">
        <v>497.95</v>
      </c>
      <c r="F1960" s="116">
        <v>494.95</v>
      </c>
      <c r="G1960">
        <v>175896</v>
      </c>
      <c r="H1960" s="116"/>
      <c r="I1960" s="116"/>
      <c r="L1960" s="170">
        <v>45603</v>
      </c>
      <c r="M1960" s="116">
        <v>494.95</v>
      </c>
      <c r="N1960" s="116">
        <v>502.45</v>
      </c>
      <c r="O1960" s="116">
        <v>489.7</v>
      </c>
      <c r="P1960" s="116">
        <v>497.5</v>
      </c>
      <c r="Q1960" s="116">
        <v>494.95</v>
      </c>
      <c r="R1960">
        <v>3389208</v>
      </c>
    </row>
    <row r="1961" spans="1:18" x14ac:dyDescent="0.25">
      <c r="A1961" s="170">
        <v>45604</v>
      </c>
      <c r="B1961" s="116">
        <v>507</v>
      </c>
      <c r="C1961" s="116">
        <v>499</v>
      </c>
      <c r="D1961" s="116">
        <v>494.3</v>
      </c>
      <c r="E1961" s="116">
        <v>499.9</v>
      </c>
      <c r="F1961" s="116">
        <v>499</v>
      </c>
      <c r="G1961">
        <v>196282</v>
      </c>
      <c r="H1961" s="116"/>
      <c r="I1961" s="116"/>
      <c r="L1961" s="170">
        <v>45604</v>
      </c>
      <c r="M1961" s="116">
        <v>499.35</v>
      </c>
      <c r="N1961" s="116">
        <v>507</v>
      </c>
      <c r="O1961" s="116">
        <v>494.15</v>
      </c>
      <c r="P1961" s="116">
        <v>496.5</v>
      </c>
      <c r="Q1961" s="116">
        <v>499.35</v>
      </c>
      <c r="R1961">
        <v>3843439</v>
      </c>
    </row>
    <row r="1962" spans="1:18" x14ac:dyDescent="0.25">
      <c r="A1962" s="170">
        <v>45607</v>
      </c>
      <c r="B1962" s="116">
        <v>499</v>
      </c>
      <c r="C1962" s="116">
        <v>494.45</v>
      </c>
      <c r="D1962" s="116">
        <v>488.8</v>
      </c>
      <c r="E1962" s="116">
        <v>499</v>
      </c>
      <c r="F1962" s="116">
        <v>494.45</v>
      </c>
      <c r="G1962">
        <v>38867</v>
      </c>
      <c r="H1962" s="116"/>
      <c r="I1962" s="116"/>
      <c r="L1962" s="170">
        <v>45607</v>
      </c>
      <c r="M1962" s="116">
        <v>494.95</v>
      </c>
      <c r="N1962" s="116">
        <v>499.85</v>
      </c>
      <c r="O1962" s="116">
        <v>489</v>
      </c>
      <c r="P1962" s="116">
        <v>499.5</v>
      </c>
      <c r="Q1962" s="116">
        <v>494.95</v>
      </c>
      <c r="R1962">
        <v>1450498</v>
      </c>
    </row>
    <row r="1963" spans="1:18" x14ac:dyDescent="0.25">
      <c r="A1963" s="170">
        <v>45608</v>
      </c>
      <c r="B1963" s="116">
        <v>503.1</v>
      </c>
      <c r="C1963" s="116">
        <v>489.95</v>
      </c>
      <c r="D1963" s="116">
        <v>481.65</v>
      </c>
      <c r="E1963" s="116">
        <v>481.65</v>
      </c>
      <c r="F1963" s="116">
        <v>489.95</v>
      </c>
      <c r="G1963">
        <v>74220</v>
      </c>
      <c r="H1963" s="116"/>
      <c r="I1963" s="116"/>
      <c r="L1963" s="170">
        <v>45608</v>
      </c>
      <c r="M1963" s="116">
        <v>489.55</v>
      </c>
      <c r="N1963" s="116">
        <v>503.2</v>
      </c>
      <c r="O1963" s="116">
        <v>488.2</v>
      </c>
      <c r="P1963" s="116">
        <v>493</v>
      </c>
      <c r="Q1963" s="116">
        <v>489.55</v>
      </c>
      <c r="R1963">
        <v>1141880</v>
      </c>
    </row>
    <row r="1964" spans="1:18" x14ac:dyDescent="0.25">
      <c r="A1964" s="170">
        <v>45609</v>
      </c>
      <c r="B1964" s="116">
        <v>489</v>
      </c>
      <c r="C1964" s="116">
        <v>476.8</v>
      </c>
      <c r="D1964" s="116">
        <v>474.25</v>
      </c>
      <c r="E1964" s="116">
        <v>488.1</v>
      </c>
      <c r="F1964" s="116">
        <v>476.8</v>
      </c>
      <c r="G1964">
        <v>135572</v>
      </c>
      <c r="H1964" s="116"/>
      <c r="I1964" s="116"/>
      <c r="L1964" s="170">
        <v>45609</v>
      </c>
      <c r="M1964" s="116">
        <v>476.65</v>
      </c>
      <c r="N1964" s="116">
        <v>489.75</v>
      </c>
      <c r="O1964" s="116">
        <v>474.05</v>
      </c>
      <c r="P1964" s="116">
        <v>489.75</v>
      </c>
      <c r="Q1964" s="116">
        <v>476.65</v>
      </c>
      <c r="R1964">
        <v>1280607</v>
      </c>
    </row>
    <row r="1965" spans="1:18" x14ac:dyDescent="0.25">
      <c r="A1965" s="170">
        <v>45610</v>
      </c>
      <c r="B1965" s="116">
        <v>487.5</v>
      </c>
      <c r="C1965" s="116">
        <v>485.75</v>
      </c>
      <c r="D1965" s="116">
        <v>477.35</v>
      </c>
      <c r="E1965" s="116">
        <v>477.35</v>
      </c>
      <c r="F1965" s="116">
        <v>485.75</v>
      </c>
      <c r="G1965">
        <v>80911</v>
      </c>
      <c r="H1965" s="116"/>
      <c r="I1965" s="116"/>
      <c r="L1965" s="170">
        <v>45610</v>
      </c>
      <c r="M1965" s="116">
        <v>486</v>
      </c>
      <c r="N1965" s="116">
        <v>487.75</v>
      </c>
      <c r="O1965" s="116">
        <v>477</v>
      </c>
      <c r="P1965" s="116">
        <v>477.9</v>
      </c>
      <c r="Q1965" s="116">
        <v>486</v>
      </c>
      <c r="R1965">
        <v>878316</v>
      </c>
    </row>
    <row r="1966" spans="1:18" x14ac:dyDescent="0.25">
      <c r="A1966" s="170">
        <v>45614</v>
      </c>
      <c r="B1966" s="116">
        <v>492.5</v>
      </c>
      <c r="C1966" s="116">
        <v>483.8</v>
      </c>
      <c r="D1966" s="116">
        <v>475.45</v>
      </c>
      <c r="E1966" s="116">
        <v>485.7</v>
      </c>
      <c r="F1966" s="116">
        <v>483.8</v>
      </c>
      <c r="G1966">
        <v>41633</v>
      </c>
      <c r="H1966" s="116"/>
      <c r="I1966" s="116"/>
      <c r="L1966" s="170">
        <v>45614</v>
      </c>
      <c r="M1966" s="116">
        <v>483.65</v>
      </c>
      <c r="N1966" s="116">
        <v>493</v>
      </c>
      <c r="O1966" s="116">
        <v>475.1</v>
      </c>
      <c r="P1966" s="116">
        <v>485.05</v>
      </c>
      <c r="Q1966" s="116">
        <v>483.65</v>
      </c>
      <c r="R1966">
        <v>1030870</v>
      </c>
    </row>
    <row r="1967" spans="1:18" x14ac:dyDescent="0.25">
      <c r="A1967" s="170">
        <v>45615</v>
      </c>
      <c r="B1967" s="116">
        <v>495.4</v>
      </c>
      <c r="C1967" s="116">
        <v>489.15</v>
      </c>
      <c r="D1967" s="116">
        <v>483.9</v>
      </c>
      <c r="E1967" s="116">
        <v>491.9</v>
      </c>
      <c r="F1967" s="116">
        <v>489.15</v>
      </c>
      <c r="G1967">
        <v>47777</v>
      </c>
      <c r="H1967" s="116"/>
      <c r="I1967" s="116"/>
      <c r="L1967" s="170">
        <v>45615</v>
      </c>
      <c r="M1967" s="116">
        <v>489</v>
      </c>
      <c r="N1967" s="116">
        <v>495.9</v>
      </c>
      <c r="O1967" s="116">
        <v>483.65</v>
      </c>
      <c r="P1967" s="116">
        <v>486</v>
      </c>
      <c r="Q1967" s="116">
        <v>489</v>
      </c>
      <c r="R1967">
        <v>650315</v>
      </c>
    </row>
    <row r="1968" spans="1:18" x14ac:dyDescent="0.25">
      <c r="A1968" s="170">
        <v>45617</v>
      </c>
      <c r="B1968" s="116">
        <v>491.65</v>
      </c>
      <c r="C1968" s="116">
        <v>489.05</v>
      </c>
      <c r="D1968" s="116">
        <v>482.45</v>
      </c>
      <c r="E1968" s="116">
        <v>486.05</v>
      </c>
      <c r="F1968" s="116">
        <v>489.05</v>
      </c>
      <c r="G1968">
        <v>74475</v>
      </c>
      <c r="H1968" s="116"/>
      <c r="I1968" s="116"/>
      <c r="L1968" s="170">
        <v>45617</v>
      </c>
      <c r="M1968" s="116">
        <v>489.15</v>
      </c>
      <c r="N1968" s="116">
        <v>491.65</v>
      </c>
      <c r="O1968" s="116">
        <v>482.6</v>
      </c>
      <c r="P1968" s="116">
        <v>488.95</v>
      </c>
      <c r="Q1968" s="116">
        <v>489.15</v>
      </c>
      <c r="R1968">
        <v>681697</v>
      </c>
    </row>
    <row r="1969" spans="1:18" x14ac:dyDescent="0.25">
      <c r="A1969" s="170">
        <v>45618</v>
      </c>
      <c r="B1969" s="116">
        <v>516.20000000000005</v>
      </c>
      <c r="C1969" s="116">
        <v>512.45000000000005</v>
      </c>
      <c r="D1969" s="116">
        <v>487.1</v>
      </c>
      <c r="E1969" s="116">
        <v>491.95</v>
      </c>
      <c r="F1969" s="116">
        <v>512.45000000000005</v>
      </c>
      <c r="G1969">
        <v>152713</v>
      </c>
      <c r="H1969" s="116"/>
      <c r="I1969" s="116"/>
      <c r="L1969" s="170">
        <v>45618</v>
      </c>
      <c r="M1969" s="116">
        <v>512.6</v>
      </c>
      <c r="N1969" s="116">
        <v>516</v>
      </c>
      <c r="O1969" s="116">
        <v>486.85</v>
      </c>
      <c r="P1969" s="116">
        <v>491.9</v>
      </c>
      <c r="Q1969" s="116">
        <v>512.6</v>
      </c>
      <c r="R1969">
        <v>4514476</v>
      </c>
    </row>
    <row r="1970" spans="1:18" x14ac:dyDescent="0.25">
      <c r="A1970" s="170">
        <v>45621</v>
      </c>
      <c r="B1970" s="116">
        <v>535.6</v>
      </c>
      <c r="C1970" s="116">
        <v>532.15</v>
      </c>
      <c r="D1970" s="116">
        <v>516.79999999999995</v>
      </c>
      <c r="E1970" s="116">
        <v>522.85</v>
      </c>
      <c r="F1970" s="116">
        <v>532.15</v>
      </c>
      <c r="G1970">
        <v>136798</v>
      </c>
      <c r="H1970" s="116"/>
      <c r="I1970" s="116"/>
      <c r="L1970" s="170">
        <v>45621</v>
      </c>
      <c r="M1970" s="116">
        <v>532.04999999999995</v>
      </c>
      <c r="N1970" s="116">
        <v>535.75</v>
      </c>
      <c r="O1970" s="116">
        <v>516.54999999999995</v>
      </c>
      <c r="P1970" s="116">
        <v>520</v>
      </c>
      <c r="Q1970" s="116">
        <v>532.04999999999995</v>
      </c>
      <c r="R1970">
        <v>4181249</v>
      </c>
    </row>
    <row r="1971" spans="1:18" x14ac:dyDescent="0.25">
      <c r="A1971" s="170">
        <v>45622</v>
      </c>
      <c r="B1971" s="116">
        <v>548.75</v>
      </c>
      <c r="C1971" s="116">
        <v>546.25</v>
      </c>
      <c r="D1971" s="116">
        <v>529.15</v>
      </c>
      <c r="E1971" s="116">
        <v>534.25</v>
      </c>
      <c r="F1971" s="116">
        <v>546.25</v>
      </c>
      <c r="G1971">
        <v>284286</v>
      </c>
      <c r="H1971" s="116"/>
      <c r="I1971" s="116"/>
      <c r="L1971" s="170">
        <v>45622</v>
      </c>
      <c r="M1971" s="116">
        <v>546.25</v>
      </c>
      <c r="N1971" s="116">
        <v>548.95000000000005</v>
      </c>
      <c r="O1971" s="116">
        <v>529</v>
      </c>
      <c r="P1971" s="116">
        <v>535.20000000000005</v>
      </c>
      <c r="Q1971" s="116">
        <v>546.25</v>
      </c>
      <c r="R1971">
        <v>3918676</v>
      </c>
    </row>
    <row r="1972" spans="1:18" x14ac:dyDescent="0.25">
      <c r="A1972" s="170">
        <v>45623</v>
      </c>
      <c r="B1972" s="116">
        <v>554.9</v>
      </c>
      <c r="C1972" s="116">
        <v>543.54999999999995</v>
      </c>
      <c r="D1972" s="116">
        <v>541.70000000000005</v>
      </c>
      <c r="E1972" s="116">
        <v>546</v>
      </c>
      <c r="F1972" s="116">
        <v>543.54999999999995</v>
      </c>
      <c r="G1972">
        <v>162600</v>
      </c>
      <c r="H1972" s="116"/>
      <c r="I1972" s="116"/>
      <c r="L1972" s="170">
        <v>45623</v>
      </c>
      <c r="M1972" s="116">
        <v>543.35</v>
      </c>
      <c r="N1972" s="116">
        <v>555</v>
      </c>
      <c r="O1972" s="116">
        <v>541.54999999999995</v>
      </c>
      <c r="P1972" s="116">
        <v>546.20000000000005</v>
      </c>
      <c r="Q1972" s="116">
        <v>543.35</v>
      </c>
      <c r="R1972">
        <v>3226911</v>
      </c>
    </row>
    <row r="1973" spans="1:18" x14ac:dyDescent="0.25">
      <c r="A1973" s="170">
        <v>45624</v>
      </c>
      <c r="B1973" s="116">
        <v>555.70000000000005</v>
      </c>
      <c r="C1973" s="116">
        <v>551.45000000000005</v>
      </c>
      <c r="D1973" s="116">
        <v>536.9</v>
      </c>
      <c r="E1973" s="116">
        <v>540.15</v>
      </c>
      <c r="F1973" s="116">
        <v>551.45000000000005</v>
      </c>
      <c r="G1973">
        <v>158644</v>
      </c>
      <c r="H1973" s="116"/>
      <c r="I1973" s="116"/>
      <c r="L1973" s="170">
        <v>45624</v>
      </c>
      <c r="M1973" s="116">
        <v>551.70000000000005</v>
      </c>
      <c r="N1973" s="116">
        <v>555.54999999999995</v>
      </c>
      <c r="O1973" s="116">
        <v>537.20000000000005</v>
      </c>
      <c r="P1973" s="116">
        <v>543.35</v>
      </c>
      <c r="Q1973" s="116">
        <v>551.70000000000005</v>
      </c>
      <c r="R1973">
        <v>3515213</v>
      </c>
    </row>
    <row r="1974" spans="1:18" x14ac:dyDescent="0.25">
      <c r="A1974" s="170">
        <v>45625</v>
      </c>
      <c r="B1974" s="116">
        <v>570.45000000000005</v>
      </c>
      <c r="C1974" s="116">
        <v>566.70000000000005</v>
      </c>
      <c r="D1974" s="116">
        <v>549.9</v>
      </c>
      <c r="E1974" s="116">
        <v>549.9</v>
      </c>
      <c r="F1974" s="116">
        <v>566.70000000000005</v>
      </c>
      <c r="G1974">
        <v>124541</v>
      </c>
      <c r="H1974" s="116"/>
      <c r="I1974" s="116"/>
      <c r="L1974" s="170">
        <v>45625</v>
      </c>
      <c r="M1974" s="116">
        <v>567.15</v>
      </c>
      <c r="N1974" s="116">
        <v>570</v>
      </c>
      <c r="O1974" s="116">
        <v>548.25</v>
      </c>
      <c r="P1974" s="116">
        <v>548.25</v>
      </c>
      <c r="Q1974" s="116">
        <v>567.15</v>
      </c>
      <c r="R1974">
        <v>5137943</v>
      </c>
    </row>
    <row r="1975" spans="1:18" x14ac:dyDescent="0.25">
      <c r="A1975" s="170">
        <v>45628</v>
      </c>
      <c r="B1975" s="116">
        <v>582.15</v>
      </c>
      <c r="C1975" s="116">
        <v>576.4</v>
      </c>
      <c r="D1975" s="116">
        <v>564.79999999999995</v>
      </c>
      <c r="E1975" s="116">
        <v>564.95000000000005</v>
      </c>
      <c r="F1975" s="116">
        <v>576.4</v>
      </c>
      <c r="G1975">
        <v>121615</v>
      </c>
      <c r="H1975" s="116"/>
      <c r="I1975" s="116"/>
      <c r="L1975" s="170">
        <v>45628</v>
      </c>
      <c r="M1975" s="116">
        <v>576.79999999999995</v>
      </c>
      <c r="N1975" s="116">
        <v>582.1</v>
      </c>
      <c r="O1975" s="116">
        <v>564</v>
      </c>
      <c r="P1975" s="116">
        <v>564</v>
      </c>
      <c r="Q1975" s="116">
        <v>576.79999999999995</v>
      </c>
      <c r="R1975">
        <v>3783522</v>
      </c>
    </row>
    <row r="1976" spans="1:18" x14ac:dyDescent="0.25">
      <c r="A1976" s="170">
        <v>45629</v>
      </c>
      <c r="B1976" s="116">
        <v>588</v>
      </c>
      <c r="C1976" s="116">
        <v>580.5</v>
      </c>
      <c r="D1976" s="116">
        <v>572</v>
      </c>
      <c r="E1976" s="116">
        <v>578.20000000000005</v>
      </c>
      <c r="F1976" s="116">
        <v>580.5</v>
      </c>
      <c r="G1976">
        <v>58409</v>
      </c>
      <c r="H1976" s="116"/>
      <c r="I1976" s="116"/>
      <c r="L1976" s="170">
        <v>45629</v>
      </c>
      <c r="M1976" s="116">
        <v>580.70000000000005</v>
      </c>
      <c r="N1976" s="116">
        <v>588</v>
      </c>
      <c r="O1976" s="116">
        <v>571.65</v>
      </c>
      <c r="P1976" s="116">
        <v>579</v>
      </c>
      <c r="Q1976" s="116">
        <v>580.70000000000005</v>
      </c>
      <c r="R1976">
        <v>1994729</v>
      </c>
    </row>
    <row r="1977" spans="1:18" x14ac:dyDescent="0.25">
      <c r="A1977" s="170">
        <v>45630</v>
      </c>
      <c r="B1977" s="116">
        <v>586.6</v>
      </c>
      <c r="C1977" s="116">
        <v>583.45000000000005</v>
      </c>
      <c r="D1977" s="116">
        <v>576.54999999999995</v>
      </c>
      <c r="E1977" s="116">
        <v>583.54999999999995</v>
      </c>
      <c r="F1977" s="116">
        <v>583.45000000000005</v>
      </c>
      <c r="G1977">
        <v>51078</v>
      </c>
      <c r="H1977" s="116"/>
      <c r="I1977" s="116"/>
      <c r="L1977" s="170">
        <v>45630</v>
      </c>
      <c r="M1977" s="116">
        <v>583.45000000000005</v>
      </c>
      <c r="N1977" s="116">
        <v>586.79999999999995</v>
      </c>
      <c r="O1977" s="116">
        <v>576.29999999999995</v>
      </c>
      <c r="P1977" s="116">
        <v>581.20000000000005</v>
      </c>
      <c r="Q1977" s="116">
        <v>583.45000000000005</v>
      </c>
      <c r="R1977">
        <v>1947256</v>
      </c>
    </row>
    <row r="1978" spans="1:18" x14ac:dyDescent="0.25">
      <c r="A1978" s="170">
        <v>45631</v>
      </c>
      <c r="B1978" s="116">
        <v>591.9</v>
      </c>
      <c r="C1978" s="116">
        <v>588.15</v>
      </c>
      <c r="D1978" s="116">
        <v>582.45000000000005</v>
      </c>
      <c r="E1978" s="116">
        <v>586</v>
      </c>
      <c r="F1978" s="116">
        <v>588.15</v>
      </c>
      <c r="G1978">
        <v>82334</v>
      </c>
      <c r="H1978" s="116"/>
      <c r="I1978" s="116"/>
      <c r="L1978" s="170">
        <v>45631</v>
      </c>
      <c r="M1978" s="116">
        <v>588.35</v>
      </c>
      <c r="N1978" s="116">
        <v>592</v>
      </c>
      <c r="O1978" s="116">
        <v>582.5</v>
      </c>
      <c r="P1978" s="116">
        <v>584.95000000000005</v>
      </c>
      <c r="Q1978" s="116">
        <v>588.35</v>
      </c>
      <c r="R1978">
        <v>1401033</v>
      </c>
    </row>
    <row r="1979" spans="1:18" x14ac:dyDescent="0.25">
      <c r="A1979" s="170">
        <v>45632</v>
      </c>
      <c r="B1979" s="116">
        <v>593</v>
      </c>
      <c r="C1979" s="116">
        <v>589.6</v>
      </c>
      <c r="D1979" s="116">
        <v>583.4</v>
      </c>
      <c r="E1979" s="116">
        <v>591.1</v>
      </c>
      <c r="F1979" s="116">
        <v>589.6</v>
      </c>
      <c r="G1979">
        <v>36081</v>
      </c>
      <c r="H1979" s="116"/>
      <c r="I1979" s="116"/>
      <c r="L1979" s="170">
        <v>45632</v>
      </c>
      <c r="M1979" s="116">
        <v>589.75</v>
      </c>
      <c r="N1979" s="116">
        <v>593</v>
      </c>
      <c r="O1979" s="116">
        <v>583.20000000000005</v>
      </c>
      <c r="P1979" s="116">
        <v>589.1</v>
      </c>
      <c r="Q1979" s="116">
        <v>589.75</v>
      </c>
      <c r="R1979">
        <v>1266265</v>
      </c>
    </row>
    <row r="1980" spans="1:18" x14ac:dyDescent="0.25">
      <c r="A1980" s="170">
        <v>45635</v>
      </c>
      <c r="B1980" s="116">
        <v>592</v>
      </c>
      <c r="C1980" s="116">
        <v>572.1</v>
      </c>
      <c r="D1980" s="116">
        <v>554.25</v>
      </c>
      <c r="E1980" s="116">
        <v>592</v>
      </c>
      <c r="F1980" s="116">
        <v>572.1</v>
      </c>
      <c r="G1980">
        <v>170080</v>
      </c>
      <c r="H1980" s="116"/>
      <c r="I1980" s="116"/>
      <c r="L1980" s="170">
        <v>45635</v>
      </c>
      <c r="M1980" s="116">
        <v>571.9</v>
      </c>
      <c r="N1980" s="116">
        <v>589.70000000000005</v>
      </c>
      <c r="O1980" s="116">
        <v>554.1</v>
      </c>
      <c r="P1980" s="116">
        <v>589.70000000000005</v>
      </c>
      <c r="Q1980" s="116">
        <v>571.9</v>
      </c>
      <c r="R1980">
        <v>8370075</v>
      </c>
    </row>
    <row r="1981" spans="1:18" x14ac:dyDescent="0.25">
      <c r="A1981" s="170">
        <v>45636</v>
      </c>
      <c r="B1981" s="116">
        <v>575.35</v>
      </c>
      <c r="C1981" s="116">
        <v>571.45000000000005</v>
      </c>
      <c r="D1981" s="116">
        <v>566.29999999999995</v>
      </c>
      <c r="E1981" s="116">
        <v>570.95000000000005</v>
      </c>
      <c r="F1981" s="116">
        <v>571.45000000000005</v>
      </c>
      <c r="G1981">
        <v>68614</v>
      </c>
      <c r="H1981" s="116"/>
      <c r="I1981" s="116"/>
      <c r="L1981" s="170">
        <v>45636</v>
      </c>
      <c r="M1981" s="116">
        <v>571.9</v>
      </c>
      <c r="N1981" s="116">
        <v>575.4</v>
      </c>
      <c r="O1981" s="116">
        <v>566.5</v>
      </c>
      <c r="P1981" s="116">
        <v>570</v>
      </c>
      <c r="Q1981" s="116">
        <v>571.9</v>
      </c>
      <c r="R1981">
        <v>1477697</v>
      </c>
    </row>
    <row r="1982" spans="1:18" x14ac:dyDescent="0.25">
      <c r="A1982" s="170">
        <v>45637</v>
      </c>
      <c r="B1982" s="116">
        <v>576.4</v>
      </c>
      <c r="C1982" s="116">
        <v>572.65</v>
      </c>
      <c r="D1982" s="116">
        <v>569.85</v>
      </c>
      <c r="E1982" s="116">
        <v>570.79999999999995</v>
      </c>
      <c r="F1982" s="116">
        <v>572.65</v>
      </c>
      <c r="G1982">
        <v>29873</v>
      </c>
      <c r="H1982" s="116"/>
      <c r="I1982" s="116"/>
      <c r="L1982" s="170">
        <v>45637</v>
      </c>
      <c r="M1982" s="116">
        <v>572.75</v>
      </c>
      <c r="N1982" s="116">
        <v>576.35</v>
      </c>
      <c r="O1982" s="116">
        <v>569.65</v>
      </c>
      <c r="P1982" s="116">
        <v>572</v>
      </c>
      <c r="Q1982" s="116">
        <v>572.75</v>
      </c>
      <c r="R1982">
        <v>1453298</v>
      </c>
    </row>
    <row r="1983" spans="1:18" x14ac:dyDescent="0.25">
      <c r="A1983" s="170">
        <v>45638</v>
      </c>
      <c r="B1983" s="116">
        <v>575.04999999999995</v>
      </c>
      <c r="C1983" s="116">
        <v>563.85</v>
      </c>
      <c r="D1983" s="116">
        <v>562.85</v>
      </c>
      <c r="E1983" s="116">
        <v>571</v>
      </c>
      <c r="F1983" s="116">
        <v>563.85</v>
      </c>
      <c r="G1983">
        <v>37750</v>
      </c>
      <c r="H1983" s="116"/>
      <c r="I1983" s="116"/>
      <c r="L1983" s="170">
        <v>45638</v>
      </c>
      <c r="M1983" s="116">
        <v>563.79999999999995</v>
      </c>
      <c r="N1983" s="116">
        <v>575.35</v>
      </c>
      <c r="O1983" s="116">
        <v>562.25</v>
      </c>
      <c r="P1983" s="116">
        <v>572</v>
      </c>
      <c r="Q1983" s="116">
        <v>563.79999999999995</v>
      </c>
      <c r="R1983">
        <v>1102649</v>
      </c>
    </row>
    <row r="1984" spans="1:18" x14ac:dyDescent="0.25">
      <c r="A1984" s="170">
        <v>45639</v>
      </c>
      <c r="B1984" s="116">
        <v>574.75</v>
      </c>
      <c r="C1984" s="116">
        <v>573.15</v>
      </c>
      <c r="D1984" s="116">
        <v>555.85</v>
      </c>
      <c r="E1984" s="116">
        <v>560</v>
      </c>
      <c r="F1984" s="116">
        <v>573.15</v>
      </c>
      <c r="G1984">
        <v>103101</v>
      </c>
      <c r="H1984" s="116"/>
      <c r="I1984" s="116"/>
      <c r="L1984" s="170">
        <v>45639</v>
      </c>
      <c r="M1984" s="116">
        <v>573.45000000000005</v>
      </c>
      <c r="N1984" s="116">
        <v>575.25</v>
      </c>
      <c r="O1984" s="116">
        <v>556.1</v>
      </c>
      <c r="P1984" s="116">
        <v>560</v>
      </c>
      <c r="Q1984" s="116">
        <v>573.45000000000005</v>
      </c>
      <c r="R1984">
        <v>1866719</v>
      </c>
    </row>
    <row r="1985" spans="1:18" x14ac:dyDescent="0.25">
      <c r="A1985" s="170">
        <v>45642</v>
      </c>
      <c r="B1985" s="116">
        <v>578</v>
      </c>
      <c r="C1985" s="116">
        <v>573.54999999999995</v>
      </c>
      <c r="D1985" s="116">
        <v>569</v>
      </c>
      <c r="E1985" s="116">
        <v>573.15</v>
      </c>
      <c r="F1985" s="116">
        <v>573.54999999999995</v>
      </c>
      <c r="G1985">
        <v>29100</v>
      </c>
      <c r="H1985" s="116"/>
      <c r="I1985" s="116"/>
      <c r="L1985" s="170">
        <v>45642</v>
      </c>
      <c r="M1985" s="116">
        <v>573.54999999999995</v>
      </c>
      <c r="N1985" s="116">
        <v>578.79999999999995</v>
      </c>
      <c r="O1985" s="116">
        <v>568.9</v>
      </c>
      <c r="P1985" s="116">
        <v>571</v>
      </c>
      <c r="Q1985" s="116">
        <v>573.54999999999995</v>
      </c>
      <c r="R1985">
        <v>1397964</v>
      </c>
    </row>
    <row r="1986" spans="1:18" x14ac:dyDescent="0.25">
      <c r="A1986" s="170">
        <v>45643</v>
      </c>
      <c r="B1986" s="116">
        <v>576.45000000000005</v>
      </c>
      <c r="C1986" s="116">
        <v>571.35</v>
      </c>
      <c r="D1986" s="116">
        <v>569</v>
      </c>
      <c r="E1986" s="116">
        <v>570.5</v>
      </c>
      <c r="F1986" s="116">
        <v>571.35</v>
      </c>
      <c r="G1986">
        <v>38734</v>
      </c>
      <c r="H1986" s="116"/>
      <c r="I1986" s="116"/>
      <c r="L1986" s="170">
        <v>45643</v>
      </c>
      <c r="M1986" s="116">
        <v>572.1</v>
      </c>
      <c r="N1986" s="116">
        <v>576.6</v>
      </c>
      <c r="O1986" s="116">
        <v>569.29999999999995</v>
      </c>
      <c r="P1986" s="116">
        <v>574</v>
      </c>
      <c r="Q1986" s="116">
        <v>572.1</v>
      </c>
      <c r="R1986">
        <v>1200140</v>
      </c>
    </row>
    <row r="1987" spans="1:18" x14ac:dyDescent="0.25">
      <c r="A1987" s="170">
        <v>45644</v>
      </c>
      <c r="B1987" s="116">
        <v>577.70000000000005</v>
      </c>
      <c r="C1987" s="116">
        <v>567.29999999999995</v>
      </c>
      <c r="D1987" s="116">
        <v>566</v>
      </c>
      <c r="E1987" s="116">
        <v>574.95000000000005</v>
      </c>
      <c r="F1987" s="116">
        <v>567.29999999999995</v>
      </c>
      <c r="G1987">
        <v>14639</v>
      </c>
      <c r="H1987" s="116"/>
      <c r="I1987" s="116"/>
      <c r="L1987" s="170">
        <v>45644</v>
      </c>
      <c r="M1987" s="116">
        <v>566.95000000000005</v>
      </c>
      <c r="N1987" s="116">
        <v>577.70000000000005</v>
      </c>
      <c r="O1987" s="116">
        <v>565.85</v>
      </c>
      <c r="P1987" s="116">
        <v>570.6</v>
      </c>
      <c r="Q1987" s="116">
        <v>566.95000000000005</v>
      </c>
      <c r="R1987">
        <v>1344188</v>
      </c>
    </row>
    <row r="1988" spans="1:18" x14ac:dyDescent="0.25">
      <c r="A1988" s="170">
        <v>45645</v>
      </c>
      <c r="B1988" s="116">
        <v>574.5</v>
      </c>
      <c r="C1988" s="116">
        <v>572.70000000000005</v>
      </c>
      <c r="D1988" s="116">
        <v>558.79999999999995</v>
      </c>
      <c r="E1988" s="116">
        <v>558.79999999999995</v>
      </c>
      <c r="F1988" s="116">
        <v>572.70000000000005</v>
      </c>
      <c r="G1988">
        <v>56058</v>
      </c>
      <c r="H1988" s="116"/>
      <c r="I1988" s="116"/>
      <c r="L1988" s="170">
        <v>45645</v>
      </c>
      <c r="M1988" s="116">
        <v>572.54999999999995</v>
      </c>
      <c r="N1988" s="116">
        <v>574.5</v>
      </c>
      <c r="O1988" s="116">
        <v>560.4</v>
      </c>
      <c r="P1988" s="116">
        <v>561.20000000000005</v>
      </c>
      <c r="Q1988" s="116">
        <v>572.54999999999995</v>
      </c>
      <c r="R1988">
        <v>1272847</v>
      </c>
    </row>
    <row r="1989" spans="1:18" x14ac:dyDescent="0.25">
      <c r="A1989" s="170">
        <v>45646</v>
      </c>
      <c r="B1989" s="116">
        <v>574.75</v>
      </c>
      <c r="C1989" s="116">
        <v>559.20000000000005</v>
      </c>
      <c r="D1989" s="116">
        <v>556.65</v>
      </c>
      <c r="E1989" s="116">
        <v>571.4</v>
      </c>
      <c r="F1989" s="116">
        <v>559.20000000000005</v>
      </c>
      <c r="G1989">
        <v>59651</v>
      </c>
      <c r="H1989" s="116"/>
      <c r="I1989" s="116"/>
      <c r="L1989" s="170">
        <v>45646</v>
      </c>
      <c r="M1989" s="116">
        <v>559.20000000000005</v>
      </c>
      <c r="N1989" s="116">
        <v>575</v>
      </c>
      <c r="O1989" s="116">
        <v>556.29999999999995</v>
      </c>
      <c r="P1989" s="116">
        <v>572.79999999999995</v>
      </c>
      <c r="Q1989" s="116">
        <v>559.20000000000005</v>
      </c>
      <c r="R1989">
        <v>1286282</v>
      </c>
    </row>
    <row r="1990" spans="1:18" x14ac:dyDescent="0.25">
      <c r="A1990" s="170">
        <v>45649</v>
      </c>
      <c r="B1990" s="116">
        <v>570.35</v>
      </c>
      <c r="C1990" s="116">
        <v>565.04999999999995</v>
      </c>
      <c r="D1990" s="116">
        <v>557.5</v>
      </c>
      <c r="E1990" s="116">
        <v>560.1</v>
      </c>
      <c r="F1990" s="116">
        <v>565.04999999999995</v>
      </c>
      <c r="G1990">
        <v>49694</v>
      </c>
      <c r="H1990" s="116"/>
      <c r="I1990" s="116"/>
      <c r="L1990" s="170">
        <v>45649</v>
      </c>
      <c r="M1990" s="116">
        <v>566.1</v>
      </c>
      <c r="N1990" s="116">
        <v>571</v>
      </c>
      <c r="O1990" s="116">
        <v>557.5</v>
      </c>
      <c r="P1990" s="116">
        <v>562.6</v>
      </c>
      <c r="Q1990" s="116">
        <v>566.1</v>
      </c>
      <c r="R1990">
        <v>892303</v>
      </c>
    </row>
    <row r="1991" spans="1:18" x14ac:dyDescent="0.25">
      <c r="A1991" s="170">
        <v>45650</v>
      </c>
      <c r="B1991" s="116">
        <v>574</v>
      </c>
      <c r="C1991" s="116">
        <v>567.15</v>
      </c>
      <c r="D1991" s="116">
        <v>561.79999999999995</v>
      </c>
      <c r="E1991" s="116">
        <v>568.25</v>
      </c>
      <c r="F1991" s="116">
        <v>567.15</v>
      </c>
      <c r="G1991">
        <v>21339</v>
      </c>
      <c r="H1991" s="116"/>
      <c r="I1991" s="116"/>
      <c r="L1991" s="170">
        <v>45650</v>
      </c>
      <c r="M1991" s="116">
        <v>567.15</v>
      </c>
      <c r="N1991" s="116">
        <v>574.20000000000005</v>
      </c>
      <c r="O1991" s="116">
        <v>562.4</v>
      </c>
      <c r="P1991" s="116">
        <v>566.1</v>
      </c>
      <c r="Q1991" s="116">
        <v>567.15</v>
      </c>
      <c r="R1991">
        <v>920626</v>
      </c>
    </row>
    <row r="1992" spans="1:18" x14ac:dyDescent="0.25">
      <c r="A1992" s="170">
        <v>45652</v>
      </c>
      <c r="B1992" s="116">
        <v>572</v>
      </c>
      <c r="C1992" s="116">
        <v>570.79999999999995</v>
      </c>
      <c r="D1992" s="116">
        <v>556.5</v>
      </c>
      <c r="E1992" s="116">
        <v>565.04999999999995</v>
      </c>
      <c r="F1992" s="116">
        <v>570.79999999999995</v>
      </c>
      <c r="G1992">
        <v>47776</v>
      </c>
      <c r="H1992" s="116"/>
      <c r="I1992" s="116"/>
      <c r="L1992" s="170">
        <v>45652</v>
      </c>
      <c r="M1992" s="116">
        <v>570.6</v>
      </c>
      <c r="N1992" s="116">
        <v>573</v>
      </c>
      <c r="O1992" s="116">
        <v>556.85</v>
      </c>
      <c r="P1992" s="116">
        <v>567.5</v>
      </c>
      <c r="Q1992" s="116">
        <v>570.6</v>
      </c>
      <c r="R1992">
        <v>831290</v>
      </c>
    </row>
    <row r="1993" spans="1:18" x14ac:dyDescent="0.25">
      <c r="A1993" s="170">
        <v>45653</v>
      </c>
      <c r="B1993" s="116">
        <v>590.79999999999995</v>
      </c>
      <c r="C1993" s="116">
        <v>586.4</v>
      </c>
      <c r="D1993" s="116">
        <v>570.04999999999995</v>
      </c>
      <c r="E1993" s="116">
        <v>570.04999999999995</v>
      </c>
      <c r="F1993" s="116">
        <v>586.4</v>
      </c>
      <c r="G1993">
        <v>178416</v>
      </c>
      <c r="H1993" s="116"/>
      <c r="I1993" s="116"/>
      <c r="L1993" s="170">
        <v>45653</v>
      </c>
      <c r="M1993" s="116">
        <v>586.70000000000005</v>
      </c>
      <c r="N1993" s="116">
        <v>590.45000000000005</v>
      </c>
      <c r="O1993" s="116">
        <v>570.5</v>
      </c>
      <c r="P1993" s="116">
        <v>573.15</v>
      </c>
      <c r="Q1993" s="116">
        <v>586.70000000000005</v>
      </c>
      <c r="R1993">
        <v>3780880</v>
      </c>
    </row>
    <row r="1994" spans="1:18" x14ac:dyDescent="0.25">
      <c r="A1994" s="170">
        <v>45656</v>
      </c>
      <c r="B1994" s="116">
        <v>595.5</v>
      </c>
      <c r="C1994" s="116">
        <v>587.54999999999995</v>
      </c>
      <c r="D1994" s="116">
        <v>582.35</v>
      </c>
      <c r="E1994" s="116">
        <v>591.95000000000005</v>
      </c>
      <c r="F1994" s="116">
        <v>587.54999999999995</v>
      </c>
      <c r="G1994">
        <v>77839</v>
      </c>
      <c r="H1994" s="116"/>
      <c r="I1994" s="116"/>
      <c r="L1994" s="170">
        <v>45656</v>
      </c>
      <c r="M1994" s="116">
        <v>587.4</v>
      </c>
      <c r="N1994" s="116">
        <v>595.65</v>
      </c>
      <c r="O1994" s="116">
        <v>582.54999999999995</v>
      </c>
      <c r="P1994" s="116">
        <v>591</v>
      </c>
      <c r="Q1994" s="116">
        <v>587.4</v>
      </c>
      <c r="R1994">
        <v>2603588</v>
      </c>
    </row>
    <row r="1995" spans="1:18" x14ac:dyDescent="0.25">
      <c r="A1995" s="170">
        <v>45657</v>
      </c>
      <c r="B1995" s="116">
        <v>604.6</v>
      </c>
      <c r="C1995" s="116">
        <v>602.35</v>
      </c>
      <c r="D1995" s="116">
        <v>584.29999999999995</v>
      </c>
      <c r="E1995" s="116">
        <v>588</v>
      </c>
      <c r="F1995" s="116">
        <v>602.35</v>
      </c>
      <c r="G1995">
        <v>142638</v>
      </c>
      <c r="H1995" s="116"/>
      <c r="I1995" s="116"/>
      <c r="L1995" s="170">
        <v>45657</v>
      </c>
      <c r="M1995" s="116">
        <v>602.70000000000005</v>
      </c>
      <c r="N1995" s="116">
        <v>604.70000000000005</v>
      </c>
      <c r="O1995" s="116">
        <v>584.45000000000005</v>
      </c>
      <c r="P1995" s="116">
        <v>587.4</v>
      </c>
      <c r="Q1995" s="116">
        <v>602.70000000000005</v>
      </c>
      <c r="R1995">
        <v>3153957</v>
      </c>
    </row>
    <row r="1996" spans="1:18" x14ac:dyDescent="0.25">
      <c r="A1996" s="170">
        <v>45658</v>
      </c>
      <c r="B1996" s="116">
        <v>618.20000000000005</v>
      </c>
      <c r="C1996" s="116">
        <v>615.04999999999995</v>
      </c>
      <c r="D1996" s="116">
        <v>598.1</v>
      </c>
      <c r="E1996" s="116">
        <v>604.20000000000005</v>
      </c>
      <c r="F1996" s="116">
        <v>615.04999999999995</v>
      </c>
      <c r="G1996">
        <v>109259</v>
      </c>
      <c r="H1996" s="116"/>
      <c r="I1996" s="116"/>
      <c r="L1996" s="170">
        <v>45658</v>
      </c>
      <c r="M1996" s="116">
        <v>615.65</v>
      </c>
      <c r="N1996" s="116">
        <v>618</v>
      </c>
      <c r="O1996" s="116">
        <v>598</v>
      </c>
      <c r="P1996" s="116">
        <v>605.04999999999995</v>
      </c>
      <c r="Q1996" s="116">
        <v>615.65</v>
      </c>
      <c r="R1996">
        <v>3014562</v>
      </c>
    </row>
    <row r="1997" spans="1:18" x14ac:dyDescent="0.25">
      <c r="A1997" s="170">
        <v>45659</v>
      </c>
      <c r="B1997" s="116">
        <v>618.65</v>
      </c>
      <c r="C1997" s="116">
        <v>613.35</v>
      </c>
      <c r="D1997" s="116">
        <v>605.85</v>
      </c>
      <c r="E1997" s="116">
        <v>617.79999999999995</v>
      </c>
      <c r="F1997" s="116">
        <v>613.35</v>
      </c>
      <c r="G1997">
        <v>36807</v>
      </c>
      <c r="H1997" s="116"/>
      <c r="I1997" s="116"/>
      <c r="L1997" s="170">
        <v>45659</v>
      </c>
      <c r="M1997" s="116">
        <v>613.1</v>
      </c>
      <c r="N1997" s="116">
        <v>618.25</v>
      </c>
      <c r="O1997" s="116">
        <v>605.70000000000005</v>
      </c>
      <c r="P1997" s="116">
        <v>617.5</v>
      </c>
      <c r="Q1997" s="116">
        <v>613.1</v>
      </c>
      <c r="R1997">
        <v>1465317</v>
      </c>
    </row>
    <row r="1998" spans="1:18" x14ac:dyDescent="0.25">
      <c r="A1998" s="170">
        <v>45660</v>
      </c>
      <c r="B1998" s="116">
        <v>617.29999999999995</v>
      </c>
      <c r="C1998" s="116">
        <v>610.79999999999995</v>
      </c>
      <c r="D1998" s="116">
        <v>600.75</v>
      </c>
      <c r="E1998" s="116">
        <v>617.29999999999995</v>
      </c>
      <c r="F1998" s="116">
        <v>610.79999999999995</v>
      </c>
      <c r="G1998">
        <v>84763</v>
      </c>
      <c r="H1998" s="116"/>
      <c r="I1998" s="116"/>
      <c r="L1998" s="170">
        <v>45660</v>
      </c>
      <c r="M1998" s="116">
        <v>611.75</v>
      </c>
      <c r="N1998" s="116">
        <v>614.95000000000005</v>
      </c>
      <c r="O1998" s="116">
        <v>600.70000000000005</v>
      </c>
      <c r="P1998" s="116">
        <v>613</v>
      </c>
      <c r="Q1998" s="116">
        <v>611.75</v>
      </c>
      <c r="R1998">
        <v>1512799</v>
      </c>
    </row>
    <row r="1999" spans="1:18" x14ac:dyDescent="0.25">
      <c r="A1999" s="170">
        <v>45663</v>
      </c>
      <c r="B1999" s="116">
        <v>615.4</v>
      </c>
      <c r="C1999" s="116">
        <v>599.75</v>
      </c>
      <c r="D1999" s="116">
        <v>594</v>
      </c>
      <c r="E1999" s="116">
        <v>612.1</v>
      </c>
      <c r="F1999" s="116">
        <v>599.75</v>
      </c>
      <c r="G1999">
        <v>40275</v>
      </c>
      <c r="H1999" s="116"/>
      <c r="I1999" s="116"/>
      <c r="L1999" s="170">
        <v>45663</v>
      </c>
      <c r="M1999" s="116">
        <v>599.54999999999995</v>
      </c>
      <c r="N1999" s="116">
        <v>615.9</v>
      </c>
      <c r="O1999" s="116">
        <v>594</v>
      </c>
      <c r="P1999" s="116">
        <v>615.29999999999995</v>
      </c>
      <c r="Q1999" s="116">
        <v>599.54999999999995</v>
      </c>
      <c r="R1999">
        <v>1622012</v>
      </c>
    </row>
    <row r="2000" spans="1:18" x14ac:dyDescent="0.25">
      <c r="A2000" s="170">
        <v>45664</v>
      </c>
      <c r="B2000" s="116">
        <v>619.5</v>
      </c>
      <c r="C2000" s="116">
        <v>612.70000000000005</v>
      </c>
      <c r="D2000" s="116">
        <v>601.70000000000005</v>
      </c>
      <c r="E2000" s="116">
        <v>604.5</v>
      </c>
      <c r="F2000" s="116">
        <v>612.70000000000005</v>
      </c>
      <c r="G2000">
        <v>106615</v>
      </c>
      <c r="H2000" s="116"/>
      <c r="I2000" s="116"/>
      <c r="L2000" s="170">
        <v>45664</v>
      </c>
      <c r="M2000" s="116">
        <v>612.45000000000005</v>
      </c>
      <c r="N2000" s="116">
        <v>619.4</v>
      </c>
      <c r="O2000" s="116">
        <v>601.29999999999995</v>
      </c>
      <c r="P2000" s="116">
        <v>603.25</v>
      </c>
      <c r="Q2000" s="116">
        <v>612.45000000000005</v>
      </c>
      <c r="R2000">
        <v>1601696</v>
      </c>
    </row>
    <row r="2001" spans="1:18" x14ac:dyDescent="0.25">
      <c r="A2001" s="170">
        <v>45665</v>
      </c>
      <c r="B2001" s="116">
        <v>616.20000000000005</v>
      </c>
      <c r="C2001" s="116">
        <v>610.85</v>
      </c>
      <c r="D2001" s="116">
        <v>604.65</v>
      </c>
      <c r="E2001" s="116">
        <v>614.04999999999995</v>
      </c>
      <c r="F2001" s="116">
        <v>610.85</v>
      </c>
      <c r="G2001">
        <v>88664</v>
      </c>
      <c r="H2001" s="116"/>
      <c r="I2001" s="116"/>
      <c r="L2001" s="170">
        <v>45665</v>
      </c>
      <c r="M2001" s="116">
        <v>611.1</v>
      </c>
      <c r="N2001" s="116">
        <v>617.9</v>
      </c>
      <c r="O2001" s="116">
        <v>605</v>
      </c>
      <c r="P2001" s="116">
        <v>615.04999999999995</v>
      </c>
      <c r="Q2001" s="116">
        <v>611.1</v>
      </c>
      <c r="R2001">
        <v>1248839</v>
      </c>
    </row>
    <row r="2002" spans="1:18" x14ac:dyDescent="0.25">
      <c r="A2002" s="170">
        <v>45666</v>
      </c>
      <c r="B2002" s="116">
        <v>616</v>
      </c>
      <c r="C2002" s="116">
        <v>613.45000000000005</v>
      </c>
      <c r="D2002" s="116">
        <v>607.95000000000005</v>
      </c>
      <c r="E2002" s="116">
        <v>610.85</v>
      </c>
      <c r="F2002" s="116">
        <v>613.45000000000005</v>
      </c>
      <c r="G2002">
        <v>37813</v>
      </c>
      <c r="H2002" s="116"/>
      <c r="I2002" s="116"/>
      <c r="L2002" s="170">
        <v>45666</v>
      </c>
      <c r="M2002" s="116">
        <v>613.04999999999995</v>
      </c>
      <c r="N2002" s="116">
        <v>616.29999999999995</v>
      </c>
      <c r="O2002" s="116">
        <v>607.35</v>
      </c>
      <c r="P2002" s="116">
        <v>608</v>
      </c>
      <c r="Q2002" s="116">
        <v>613.04999999999995</v>
      </c>
      <c r="R2002">
        <v>1400832</v>
      </c>
    </row>
    <row r="2003" spans="1:18" x14ac:dyDescent="0.25">
      <c r="A2003" s="170">
        <v>45667</v>
      </c>
      <c r="B2003" s="116">
        <v>613.6</v>
      </c>
      <c r="C2003" s="116">
        <v>583.5</v>
      </c>
      <c r="D2003" s="116">
        <v>582.1</v>
      </c>
      <c r="E2003" s="116">
        <v>613.45000000000005</v>
      </c>
      <c r="F2003" s="116">
        <v>583.5</v>
      </c>
      <c r="G2003">
        <v>126467</v>
      </c>
      <c r="H2003" s="116"/>
      <c r="I2003" s="116"/>
      <c r="L2003" s="170">
        <v>45667</v>
      </c>
      <c r="M2003" s="116">
        <v>583.70000000000005</v>
      </c>
      <c r="N2003" s="116">
        <v>614.75</v>
      </c>
      <c r="O2003" s="116">
        <v>581.95000000000005</v>
      </c>
      <c r="P2003" s="116">
        <v>613.35</v>
      </c>
      <c r="Q2003" s="116">
        <v>583.70000000000005</v>
      </c>
      <c r="R2003">
        <v>2159660</v>
      </c>
    </row>
    <row r="2004" spans="1:18" x14ac:dyDescent="0.25">
      <c r="A2004" s="170">
        <v>45670</v>
      </c>
      <c r="B2004" s="116">
        <v>585.70000000000005</v>
      </c>
      <c r="C2004" s="116">
        <v>558.79999999999995</v>
      </c>
      <c r="D2004" s="116">
        <v>556.20000000000005</v>
      </c>
      <c r="E2004" s="116">
        <v>572.5</v>
      </c>
      <c r="F2004" s="116">
        <v>558.79999999999995</v>
      </c>
      <c r="G2004">
        <v>50926</v>
      </c>
      <c r="H2004" s="116"/>
      <c r="I2004" s="116"/>
      <c r="L2004" s="170">
        <v>45670</v>
      </c>
      <c r="M2004" s="116">
        <v>559.04999999999995</v>
      </c>
      <c r="N2004" s="116">
        <v>586</v>
      </c>
      <c r="O2004" s="116">
        <v>555.9</v>
      </c>
      <c r="P2004" s="116">
        <v>577.04999999999995</v>
      </c>
      <c r="Q2004" s="116">
        <v>559.04999999999995</v>
      </c>
      <c r="R2004">
        <v>1893300</v>
      </c>
    </row>
    <row r="2005" spans="1:18" x14ac:dyDescent="0.25">
      <c r="A2005" s="170">
        <v>45671</v>
      </c>
      <c r="B2005" s="116">
        <v>572.95000000000005</v>
      </c>
      <c r="C2005" s="116">
        <v>568.25</v>
      </c>
      <c r="D2005" s="116">
        <v>556</v>
      </c>
      <c r="E2005" s="116">
        <v>556</v>
      </c>
      <c r="F2005" s="116">
        <v>568.25</v>
      </c>
      <c r="G2005">
        <v>36188</v>
      </c>
      <c r="H2005" s="116"/>
      <c r="I2005" s="116"/>
      <c r="L2005" s="170">
        <v>45671</v>
      </c>
      <c r="M2005" s="116">
        <v>568</v>
      </c>
      <c r="N2005" s="116">
        <v>570.45000000000005</v>
      </c>
      <c r="O2005" s="116">
        <v>560.1</v>
      </c>
      <c r="P2005" s="116">
        <v>560.1</v>
      </c>
      <c r="Q2005" s="116">
        <v>568</v>
      </c>
      <c r="R2005">
        <v>1049655</v>
      </c>
    </row>
    <row r="2006" spans="1:18" x14ac:dyDescent="0.25">
      <c r="A2006" s="170">
        <v>45672</v>
      </c>
      <c r="B2006" s="116">
        <v>569.79999999999995</v>
      </c>
      <c r="C2006" s="116">
        <v>556.9</v>
      </c>
      <c r="D2006" s="116">
        <v>542.04999999999995</v>
      </c>
      <c r="E2006" s="116">
        <v>560.04999999999995</v>
      </c>
      <c r="F2006" s="116">
        <v>556.9</v>
      </c>
      <c r="G2006">
        <v>120924</v>
      </c>
      <c r="H2006" s="116"/>
      <c r="I2006" s="116"/>
      <c r="L2006" s="170">
        <v>45672</v>
      </c>
      <c r="M2006" s="116">
        <v>556.9</v>
      </c>
      <c r="N2006" s="116">
        <v>570.15</v>
      </c>
      <c r="O2006" s="116">
        <v>541.70000000000005</v>
      </c>
      <c r="P2006" s="116">
        <v>568</v>
      </c>
      <c r="Q2006" s="116">
        <v>556.9</v>
      </c>
      <c r="R2006">
        <v>3183480</v>
      </c>
    </row>
    <row r="2007" spans="1:18" x14ac:dyDescent="0.25">
      <c r="A2007" s="170">
        <v>45673</v>
      </c>
      <c r="B2007" s="116">
        <v>568.95000000000005</v>
      </c>
      <c r="C2007" s="116">
        <v>557.79999999999995</v>
      </c>
      <c r="D2007" s="116">
        <v>553.95000000000005</v>
      </c>
      <c r="E2007" s="116">
        <v>557.65</v>
      </c>
      <c r="F2007" s="116">
        <v>557.79999999999995</v>
      </c>
      <c r="G2007">
        <v>54316</v>
      </c>
      <c r="H2007" s="116"/>
      <c r="I2007" s="116"/>
      <c r="L2007" s="170">
        <v>45673</v>
      </c>
      <c r="M2007" s="116">
        <v>557.79999999999995</v>
      </c>
      <c r="N2007" s="116">
        <v>568.85</v>
      </c>
      <c r="O2007" s="116">
        <v>553.5</v>
      </c>
      <c r="P2007" s="116">
        <v>560.9</v>
      </c>
      <c r="Q2007" s="116">
        <v>557.79999999999995</v>
      </c>
      <c r="R2007">
        <v>1402881</v>
      </c>
    </row>
    <row r="2008" spans="1:18" x14ac:dyDescent="0.25">
      <c r="A2008" s="170">
        <v>45674</v>
      </c>
      <c r="B2008" s="116">
        <v>569.5</v>
      </c>
      <c r="C2008" s="116">
        <v>568.04999999999995</v>
      </c>
      <c r="D2008" s="116">
        <v>551.9</v>
      </c>
      <c r="E2008" s="116">
        <v>559.9</v>
      </c>
      <c r="F2008" s="116">
        <v>568.04999999999995</v>
      </c>
      <c r="G2008">
        <v>41260</v>
      </c>
      <c r="H2008" s="116"/>
      <c r="I2008" s="116"/>
      <c r="L2008" s="170">
        <v>45674</v>
      </c>
      <c r="M2008" s="116">
        <v>567.79999999999995</v>
      </c>
      <c r="N2008" s="116">
        <v>569.65</v>
      </c>
      <c r="O2008" s="116">
        <v>551.85</v>
      </c>
      <c r="P2008" s="116">
        <v>557.79999999999995</v>
      </c>
      <c r="Q2008" s="116">
        <v>567.79999999999995</v>
      </c>
      <c r="R2008">
        <v>1251413</v>
      </c>
    </row>
    <row r="2009" spans="1:18" x14ac:dyDescent="0.25">
      <c r="A2009" s="170">
        <v>45677</v>
      </c>
      <c r="B2009" s="116">
        <v>589.6</v>
      </c>
      <c r="C2009" s="116">
        <v>584.29999999999995</v>
      </c>
      <c r="D2009" s="116">
        <v>564.04999999999995</v>
      </c>
      <c r="E2009" s="116">
        <v>571.45000000000005</v>
      </c>
      <c r="F2009" s="116">
        <v>584.29999999999995</v>
      </c>
      <c r="G2009">
        <v>72691</v>
      </c>
      <c r="H2009" s="116"/>
      <c r="I2009" s="116"/>
      <c r="L2009" s="170">
        <v>45677</v>
      </c>
      <c r="M2009" s="116">
        <v>584.25</v>
      </c>
      <c r="N2009" s="116">
        <v>590</v>
      </c>
      <c r="O2009" s="116">
        <v>564.1</v>
      </c>
      <c r="P2009" s="116">
        <v>570.5</v>
      </c>
      <c r="Q2009" s="116">
        <v>584.25</v>
      </c>
      <c r="R2009">
        <v>1836910</v>
      </c>
    </row>
    <row r="2010" spans="1:18" x14ac:dyDescent="0.25">
      <c r="A2010" s="170">
        <v>45678</v>
      </c>
      <c r="B2010" s="116">
        <v>593</v>
      </c>
      <c r="C2010" s="116">
        <v>576.9</v>
      </c>
      <c r="D2010" s="116">
        <v>575.35</v>
      </c>
      <c r="E2010" s="116">
        <v>584.45000000000005</v>
      </c>
      <c r="F2010" s="116">
        <v>576.9</v>
      </c>
      <c r="G2010">
        <v>52129</v>
      </c>
      <c r="H2010" s="116"/>
      <c r="I2010" s="116"/>
      <c r="L2010" s="170">
        <v>45678</v>
      </c>
      <c r="M2010" s="116">
        <v>576.9</v>
      </c>
      <c r="N2010" s="116">
        <v>593.20000000000005</v>
      </c>
      <c r="O2010" s="116">
        <v>575.20000000000005</v>
      </c>
      <c r="P2010" s="116">
        <v>585.1</v>
      </c>
      <c r="Q2010" s="116">
        <v>576.9</v>
      </c>
      <c r="R2010">
        <v>1132012</v>
      </c>
    </row>
    <row r="2011" spans="1:18" x14ac:dyDescent="0.25">
      <c r="A2011" s="170">
        <v>45679</v>
      </c>
      <c r="B2011" s="116">
        <v>577.85</v>
      </c>
      <c r="C2011" s="116">
        <v>571.45000000000005</v>
      </c>
      <c r="D2011" s="116">
        <v>554.65</v>
      </c>
      <c r="E2011" s="116">
        <v>577.54999999999995</v>
      </c>
      <c r="F2011" s="116">
        <v>571.45000000000005</v>
      </c>
      <c r="G2011">
        <v>124618</v>
      </c>
      <c r="H2011" s="116"/>
      <c r="I2011" s="116"/>
      <c r="L2011" s="170">
        <v>45679</v>
      </c>
      <c r="M2011" s="116">
        <v>570.85</v>
      </c>
      <c r="N2011" s="116">
        <v>582.1</v>
      </c>
      <c r="O2011" s="116">
        <v>554.54999999999995</v>
      </c>
      <c r="P2011" s="116">
        <v>580</v>
      </c>
      <c r="Q2011" s="116">
        <v>570.85</v>
      </c>
      <c r="R2011">
        <v>1598673</v>
      </c>
    </row>
    <row r="2012" spans="1:18" x14ac:dyDescent="0.25">
      <c r="A2012" s="170">
        <v>45680</v>
      </c>
      <c r="B2012" s="116">
        <v>586.29999999999995</v>
      </c>
      <c r="C2012" s="116">
        <v>584.95000000000005</v>
      </c>
      <c r="D2012" s="116">
        <v>570.5</v>
      </c>
      <c r="E2012" s="116">
        <v>574.95000000000005</v>
      </c>
      <c r="F2012" s="116">
        <v>584.95000000000005</v>
      </c>
      <c r="G2012">
        <v>90611</v>
      </c>
      <c r="H2012" s="116"/>
      <c r="I2012" s="116"/>
      <c r="L2012" s="170">
        <v>45680</v>
      </c>
      <c r="M2012" s="116">
        <v>585.15</v>
      </c>
      <c r="N2012" s="116">
        <v>587</v>
      </c>
      <c r="O2012" s="116">
        <v>569.4</v>
      </c>
      <c r="P2012" s="116">
        <v>571.04999999999995</v>
      </c>
      <c r="Q2012" s="116">
        <v>585.15</v>
      </c>
      <c r="R2012">
        <v>1495768</v>
      </c>
    </row>
    <row r="2013" spans="1:18" x14ac:dyDescent="0.25">
      <c r="A2013" s="170">
        <v>45681</v>
      </c>
      <c r="B2013" s="116">
        <v>612.35</v>
      </c>
      <c r="C2013" s="116">
        <v>601.25</v>
      </c>
      <c r="D2013" s="116">
        <v>577</v>
      </c>
      <c r="E2013" s="116">
        <v>591.75</v>
      </c>
      <c r="F2013" s="116">
        <v>601.25</v>
      </c>
      <c r="G2013">
        <v>205201</v>
      </c>
      <c r="H2013" s="116"/>
      <c r="I2013" s="116"/>
      <c r="L2013" s="170">
        <v>45681</v>
      </c>
      <c r="M2013" s="116">
        <v>602.65</v>
      </c>
      <c r="N2013" s="116">
        <v>612.65</v>
      </c>
      <c r="O2013" s="116">
        <v>577</v>
      </c>
      <c r="P2013" s="116">
        <v>590.70000000000005</v>
      </c>
      <c r="Q2013" s="116">
        <v>602.65</v>
      </c>
      <c r="R2013">
        <v>7615084</v>
      </c>
    </row>
    <row r="2014" spans="1:18" x14ac:dyDescent="0.25">
      <c r="A2014" s="170">
        <v>45684</v>
      </c>
      <c r="B2014" s="116">
        <v>610</v>
      </c>
      <c r="C2014" s="116">
        <v>535.1</v>
      </c>
      <c r="D2014" s="116">
        <v>510.6</v>
      </c>
      <c r="E2014" s="116">
        <v>610</v>
      </c>
      <c r="F2014" s="116">
        <v>535.1</v>
      </c>
      <c r="G2014">
        <v>644611</v>
      </c>
      <c r="H2014" s="116"/>
      <c r="I2014" s="116"/>
      <c r="L2014" s="170">
        <v>45684</v>
      </c>
      <c r="M2014" s="116">
        <v>534.65</v>
      </c>
      <c r="N2014" s="116">
        <v>610</v>
      </c>
      <c r="O2014" s="116">
        <v>501.15</v>
      </c>
      <c r="P2014" s="116">
        <v>610</v>
      </c>
      <c r="Q2014" s="116">
        <v>534.65</v>
      </c>
      <c r="R2014">
        <v>23508295</v>
      </c>
    </row>
    <row r="2015" spans="1:18" x14ac:dyDescent="0.25">
      <c r="A2015" s="170">
        <v>45685</v>
      </c>
      <c r="B2015" s="116">
        <v>536.75</v>
      </c>
      <c r="C2015" s="116">
        <v>510.55</v>
      </c>
      <c r="D2015" s="116">
        <v>504.3</v>
      </c>
      <c r="E2015" s="116">
        <v>534.20000000000005</v>
      </c>
      <c r="F2015" s="116">
        <v>510.55</v>
      </c>
      <c r="G2015">
        <v>396742</v>
      </c>
      <c r="H2015" s="116"/>
      <c r="I2015" s="116"/>
      <c r="L2015" s="170">
        <v>45685</v>
      </c>
      <c r="M2015" s="116">
        <v>510.75</v>
      </c>
      <c r="N2015" s="116">
        <v>537.5</v>
      </c>
      <c r="O2015" s="116">
        <v>504.5</v>
      </c>
      <c r="P2015" s="116">
        <v>535.70000000000005</v>
      </c>
      <c r="Q2015" s="116">
        <v>510.75</v>
      </c>
      <c r="R2015">
        <v>7474953</v>
      </c>
    </row>
    <row r="2016" spans="1:18" x14ac:dyDescent="0.25">
      <c r="A2016" s="170">
        <v>45686</v>
      </c>
      <c r="B2016" s="116">
        <v>553</v>
      </c>
      <c r="C2016" s="116">
        <v>545.6</v>
      </c>
      <c r="D2016" s="116">
        <v>511.6</v>
      </c>
      <c r="E2016" s="116">
        <v>512.25</v>
      </c>
      <c r="F2016" s="116">
        <v>545.6</v>
      </c>
      <c r="G2016">
        <v>120728</v>
      </c>
      <c r="H2016" s="116"/>
      <c r="I2016" s="116"/>
      <c r="L2016" s="170">
        <v>45686</v>
      </c>
      <c r="M2016" s="116">
        <v>543.79999999999995</v>
      </c>
      <c r="N2016" s="116">
        <v>552.95000000000005</v>
      </c>
      <c r="O2016" s="116">
        <v>511.8</v>
      </c>
      <c r="P2016" s="116">
        <v>515</v>
      </c>
      <c r="Q2016" s="116">
        <v>543.79999999999995</v>
      </c>
      <c r="R2016">
        <v>4394319</v>
      </c>
    </row>
    <row r="2017" spans="1:18" x14ac:dyDescent="0.25">
      <c r="A2017" s="170">
        <v>45687</v>
      </c>
      <c r="B2017" s="116">
        <v>600.15</v>
      </c>
      <c r="C2017" s="116">
        <v>588.1</v>
      </c>
      <c r="D2017" s="116">
        <v>556.79999999999995</v>
      </c>
      <c r="E2017" s="116">
        <v>562.04999999999995</v>
      </c>
      <c r="F2017" s="116">
        <v>588.1</v>
      </c>
      <c r="G2017">
        <v>671782</v>
      </c>
      <c r="H2017" s="116"/>
      <c r="I2017" s="116"/>
      <c r="L2017" s="170">
        <v>45687</v>
      </c>
      <c r="M2017" s="116">
        <v>588.45000000000005</v>
      </c>
      <c r="N2017" s="116">
        <v>598.15</v>
      </c>
      <c r="O2017" s="116">
        <v>557.4</v>
      </c>
      <c r="P2017" s="116">
        <v>565.95000000000005</v>
      </c>
      <c r="Q2017" s="116">
        <v>588.45000000000005</v>
      </c>
      <c r="R2017">
        <v>18484544</v>
      </c>
    </row>
    <row r="2018" spans="1:18" x14ac:dyDescent="0.25">
      <c r="A2018" s="170">
        <v>45688</v>
      </c>
      <c r="B2018" s="116">
        <v>595</v>
      </c>
      <c r="C2018" s="116">
        <v>583.85</v>
      </c>
      <c r="D2018" s="116">
        <v>577.6</v>
      </c>
      <c r="E2018" s="116">
        <v>585</v>
      </c>
      <c r="F2018" s="116">
        <v>583.85</v>
      </c>
      <c r="G2018">
        <v>94761</v>
      </c>
      <c r="H2018" s="116"/>
      <c r="I2018" s="116"/>
      <c r="L2018" s="170">
        <v>45688</v>
      </c>
      <c r="M2018" s="116">
        <v>584.04999999999995</v>
      </c>
      <c r="N2018" s="116">
        <v>594.79999999999995</v>
      </c>
      <c r="O2018" s="116">
        <v>578</v>
      </c>
      <c r="P2018" s="116">
        <v>585</v>
      </c>
      <c r="Q2018" s="116">
        <v>584.04999999999995</v>
      </c>
      <c r="R2018">
        <v>2815318</v>
      </c>
    </row>
    <row r="2019" spans="1:18" x14ac:dyDescent="0.25">
      <c r="A2019" s="170">
        <v>45689</v>
      </c>
      <c r="B2019" s="116">
        <v>608.85</v>
      </c>
      <c r="C2019" s="116">
        <v>595.45000000000005</v>
      </c>
      <c r="D2019" s="116">
        <v>574.25</v>
      </c>
      <c r="E2019" s="116">
        <v>580.6</v>
      </c>
      <c r="F2019" s="116">
        <v>595.45000000000005</v>
      </c>
      <c r="G2019">
        <v>93189</v>
      </c>
      <c r="H2019" s="116"/>
      <c r="I2019" s="116"/>
      <c r="L2019" s="170">
        <v>45689</v>
      </c>
      <c r="M2019" s="116">
        <v>595.6</v>
      </c>
      <c r="N2019" s="116">
        <v>608</v>
      </c>
      <c r="O2019" s="116">
        <v>574.4</v>
      </c>
      <c r="P2019" s="116">
        <v>582</v>
      </c>
      <c r="Q2019" s="116">
        <v>595.6</v>
      </c>
      <c r="R2019">
        <v>2449827</v>
      </c>
    </row>
    <row r="2020" spans="1:18" x14ac:dyDescent="0.25">
      <c r="A2020" s="170">
        <v>45691</v>
      </c>
      <c r="B2020" s="116">
        <v>595</v>
      </c>
      <c r="C2020" s="116">
        <v>586.6</v>
      </c>
      <c r="D2020" s="116">
        <v>580</v>
      </c>
      <c r="E2020" s="116">
        <v>591.1</v>
      </c>
      <c r="F2020" s="116">
        <v>586.6</v>
      </c>
      <c r="G2020">
        <v>53568</v>
      </c>
      <c r="H2020" s="116"/>
      <c r="I2020" s="116"/>
      <c r="L2020" s="170">
        <v>45691</v>
      </c>
      <c r="M2020" s="116">
        <v>586.35</v>
      </c>
      <c r="N2020" s="116">
        <v>595.35</v>
      </c>
      <c r="O2020" s="116">
        <v>580.5</v>
      </c>
      <c r="P2020" s="116">
        <v>590.1</v>
      </c>
      <c r="Q2020" s="116">
        <v>586.35</v>
      </c>
      <c r="R2020">
        <v>1648186</v>
      </c>
    </row>
    <row r="2021" spans="1:18" x14ac:dyDescent="0.25">
      <c r="A2021" s="170">
        <v>45692</v>
      </c>
      <c r="B2021" s="116">
        <v>614.45000000000005</v>
      </c>
      <c r="C2021" s="116">
        <v>612</v>
      </c>
      <c r="D2021" s="116">
        <v>586.20000000000005</v>
      </c>
      <c r="E2021" s="116">
        <v>593.9</v>
      </c>
      <c r="F2021" s="116">
        <v>612</v>
      </c>
      <c r="G2021">
        <v>202911</v>
      </c>
      <c r="H2021" s="116"/>
      <c r="I2021" s="116"/>
      <c r="L2021" s="170">
        <v>45692</v>
      </c>
      <c r="M2021" s="116">
        <v>611.95000000000005</v>
      </c>
      <c r="N2021" s="116">
        <v>614.5</v>
      </c>
      <c r="O2021" s="116">
        <v>585.75</v>
      </c>
      <c r="P2021" s="116">
        <v>590</v>
      </c>
      <c r="Q2021" s="116">
        <v>611.95000000000005</v>
      </c>
      <c r="R2021">
        <v>3655434</v>
      </c>
    </row>
    <row r="2022" spans="1:18" x14ac:dyDescent="0.25">
      <c r="A2022" s="170">
        <v>45693</v>
      </c>
      <c r="B2022" s="116">
        <v>636.35</v>
      </c>
      <c r="C2022" s="116">
        <v>631.1</v>
      </c>
      <c r="D2022" s="116">
        <v>610</v>
      </c>
      <c r="E2022" s="116">
        <v>617.9</v>
      </c>
      <c r="F2022" s="116">
        <v>631.1</v>
      </c>
      <c r="G2022">
        <v>279520</v>
      </c>
      <c r="H2022" s="116"/>
      <c r="I2022" s="116"/>
      <c r="L2022" s="170">
        <v>45693</v>
      </c>
      <c r="M2022" s="116">
        <v>631.1</v>
      </c>
      <c r="N2022" s="116">
        <v>636.35</v>
      </c>
      <c r="O2022" s="116">
        <v>609.5</v>
      </c>
      <c r="P2022" s="116">
        <v>614.79999999999995</v>
      </c>
      <c r="Q2022" s="116">
        <v>631.1</v>
      </c>
      <c r="R2022">
        <v>4484623</v>
      </c>
    </row>
    <row r="2023" spans="1:18" x14ac:dyDescent="0.25">
      <c r="A2023" s="170">
        <v>45694</v>
      </c>
      <c r="B2023" s="116">
        <v>642</v>
      </c>
      <c r="C2023" s="116">
        <v>636.25</v>
      </c>
      <c r="D2023" s="116">
        <v>631.54999999999995</v>
      </c>
      <c r="E2023" s="116">
        <v>635</v>
      </c>
      <c r="F2023" s="116">
        <v>636.25</v>
      </c>
      <c r="G2023">
        <v>162380</v>
      </c>
      <c r="H2023" s="116"/>
      <c r="I2023" s="116"/>
      <c r="L2023" s="170">
        <v>45694</v>
      </c>
      <c r="M2023" s="116">
        <v>636.79999999999995</v>
      </c>
      <c r="N2023" s="116">
        <v>642</v>
      </c>
      <c r="O2023" s="116">
        <v>631.6</v>
      </c>
      <c r="P2023" s="116">
        <v>634.85</v>
      </c>
      <c r="Q2023" s="116">
        <v>636.79999999999995</v>
      </c>
      <c r="R2023">
        <v>2671614</v>
      </c>
    </row>
    <row r="2024" spans="1:18" x14ac:dyDescent="0.25">
      <c r="A2024" s="170">
        <v>45695</v>
      </c>
      <c r="B2024" s="116">
        <v>646.25</v>
      </c>
      <c r="C2024" s="116">
        <v>641.35</v>
      </c>
      <c r="D2024" s="116">
        <v>634.70000000000005</v>
      </c>
      <c r="E2024" s="116">
        <v>636.85</v>
      </c>
      <c r="F2024" s="116">
        <v>641.35</v>
      </c>
      <c r="G2024">
        <v>51145</v>
      </c>
      <c r="H2024" s="116"/>
      <c r="I2024" s="116"/>
      <c r="L2024" s="170">
        <v>45695</v>
      </c>
      <c r="M2024" s="116">
        <v>641.35</v>
      </c>
      <c r="N2024" s="116">
        <v>646.20000000000005</v>
      </c>
      <c r="O2024" s="116">
        <v>633.9</v>
      </c>
      <c r="P2024" s="116">
        <v>636.04999999999995</v>
      </c>
      <c r="Q2024" s="116">
        <v>641.35</v>
      </c>
      <c r="R2024">
        <v>2615719</v>
      </c>
    </row>
    <row r="2025" spans="1:18" x14ac:dyDescent="0.25">
      <c r="A2025" s="170">
        <v>45698</v>
      </c>
      <c r="B2025" s="116">
        <v>640.45000000000005</v>
      </c>
      <c r="C2025" s="116">
        <v>625.5</v>
      </c>
      <c r="D2025" s="116">
        <v>608.65</v>
      </c>
      <c r="E2025" s="116">
        <v>608.65</v>
      </c>
      <c r="F2025" s="116">
        <v>625.5</v>
      </c>
      <c r="G2025">
        <v>149635</v>
      </c>
      <c r="H2025" s="116"/>
      <c r="I2025" s="116"/>
      <c r="L2025" s="170">
        <v>45698</v>
      </c>
      <c r="M2025" s="116">
        <v>626.35</v>
      </c>
      <c r="N2025" s="116">
        <v>639.85</v>
      </c>
      <c r="O2025" s="116">
        <v>617</v>
      </c>
      <c r="P2025" s="116">
        <v>637.20000000000005</v>
      </c>
      <c r="Q2025" s="116">
        <v>626.35</v>
      </c>
      <c r="R2025">
        <v>1519383</v>
      </c>
    </row>
    <row r="2026" spans="1:18" x14ac:dyDescent="0.25">
      <c r="A2026" s="170">
        <v>45699</v>
      </c>
      <c r="B2026" s="116">
        <v>630.75</v>
      </c>
      <c r="C2026" s="116">
        <v>608</v>
      </c>
      <c r="D2026" s="116">
        <v>602.65</v>
      </c>
      <c r="E2026" s="116">
        <v>630</v>
      </c>
      <c r="F2026" s="116">
        <v>608</v>
      </c>
      <c r="G2026">
        <v>89929</v>
      </c>
      <c r="H2026" s="116"/>
      <c r="I2026" s="116"/>
      <c r="L2026" s="170">
        <v>45699</v>
      </c>
      <c r="M2026" s="116">
        <v>608.20000000000005</v>
      </c>
      <c r="N2026" s="116">
        <v>634</v>
      </c>
      <c r="O2026" s="116">
        <v>602.65</v>
      </c>
      <c r="P2026" s="116">
        <v>634</v>
      </c>
      <c r="Q2026" s="116">
        <v>608.20000000000005</v>
      </c>
      <c r="R2026">
        <v>1865650</v>
      </c>
    </row>
    <row r="2027" spans="1:18" x14ac:dyDescent="0.25">
      <c r="A2027" s="170">
        <v>45700</v>
      </c>
      <c r="B2027" s="116">
        <v>609</v>
      </c>
      <c r="C2027" s="116">
        <v>602.5</v>
      </c>
      <c r="D2027" s="116">
        <v>585</v>
      </c>
      <c r="E2027" s="116">
        <v>605.04999999999995</v>
      </c>
      <c r="F2027" s="116">
        <v>602.5</v>
      </c>
      <c r="G2027">
        <v>82817</v>
      </c>
      <c r="H2027" s="116"/>
      <c r="I2027" s="116"/>
      <c r="L2027" s="170">
        <v>45700</v>
      </c>
      <c r="M2027" s="116">
        <v>601.04999999999995</v>
      </c>
      <c r="N2027" s="116">
        <v>609.75</v>
      </c>
      <c r="O2027" s="116">
        <v>585</v>
      </c>
      <c r="P2027" s="116">
        <v>607.4</v>
      </c>
      <c r="Q2027" s="116">
        <v>601.04999999999995</v>
      </c>
      <c r="R2027">
        <v>2909487</v>
      </c>
    </row>
    <row r="2028" spans="1:18" x14ac:dyDescent="0.25">
      <c r="A2028" s="170">
        <v>45701</v>
      </c>
      <c r="B2028" s="116">
        <v>618.6</v>
      </c>
      <c r="C2028" s="116">
        <v>600.85</v>
      </c>
      <c r="D2028" s="116">
        <v>597</v>
      </c>
      <c r="E2028" s="116">
        <v>612.95000000000005</v>
      </c>
      <c r="F2028" s="116">
        <v>600.85</v>
      </c>
      <c r="G2028">
        <v>137323</v>
      </c>
      <c r="H2028" s="116"/>
      <c r="I2028" s="116"/>
      <c r="L2028" s="170">
        <v>45701</v>
      </c>
      <c r="M2028" s="116">
        <v>601</v>
      </c>
      <c r="N2028" s="116">
        <v>619.20000000000005</v>
      </c>
      <c r="O2028" s="116">
        <v>595</v>
      </c>
      <c r="P2028" s="116">
        <v>610</v>
      </c>
      <c r="Q2028" s="116">
        <v>601</v>
      </c>
      <c r="R2028">
        <v>2821527</v>
      </c>
    </row>
    <row r="2029" spans="1:18" x14ac:dyDescent="0.25">
      <c r="A2029" s="170">
        <v>45702</v>
      </c>
      <c r="B2029" s="116">
        <v>602.45000000000005</v>
      </c>
      <c r="C2029" s="116">
        <v>546.54999999999995</v>
      </c>
      <c r="D2029" s="116">
        <v>540.79999999999995</v>
      </c>
      <c r="E2029" s="116">
        <v>600.9</v>
      </c>
      <c r="F2029" s="116">
        <v>546.54999999999995</v>
      </c>
      <c r="G2029">
        <v>425375</v>
      </c>
      <c r="H2029" s="116"/>
      <c r="I2029" s="116"/>
      <c r="L2029" s="170">
        <v>45702</v>
      </c>
      <c r="M2029" s="116">
        <v>546.20000000000005</v>
      </c>
      <c r="N2029" s="116">
        <v>604</v>
      </c>
      <c r="O2029" s="116">
        <v>531.54999999999995</v>
      </c>
      <c r="P2029" s="116">
        <v>602</v>
      </c>
      <c r="Q2029" s="116">
        <v>546.20000000000005</v>
      </c>
      <c r="R2029">
        <v>7236600</v>
      </c>
    </row>
    <row r="2030" spans="1:18" x14ac:dyDescent="0.25">
      <c r="A2030" s="170">
        <v>45705</v>
      </c>
      <c r="B2030" s="116">
        <v>562.65</v>
      </c>
      <c r="C2030" s="116">
        <v>555.35</v>
      </c>
      <c r="D2030" s="116">
        <v>535.20000000000005</v>
      </c>
      <c r="E2030" s="116">
        <v>546.15</v>
      </c>
      <c r="F2030" s="116">
        <v>555.35</v>
      </c>
      <c r="G2030">
        <v>170649</v>
      </c>
      <c r="H2030" s="116"/>
      <c r="I2030" s="116"/>
      <c r="L2030" s="170">
        <v>45705</v>
      </c>
      <c r="M2030" s="116">
        <v>555.5</v>
      </c>
      <c r="N2030" s="116">
        <v>562.65</v>
      </c>
      <c r="O2030" s="116">
        <v>535.85</v>
      </c>
      <c r="P2030" s="116">
        <v>544</v>
      </c>
      <c r="Q2030" s="116">
        <v>555.5</v>
      </c>
      <c r="R2030">
        <v>3278181</v>
      </c>
    </row>
    <row r="2031" spans="1:18" x14ac:dyDescent="0.25">
      <c r="A2031" s="170">
        <v>45706</v>
      </c>
      <c r="B2031" s="116">
        <v>560.95000000000005</v>
      </c>
      <c r="C2031" s="116">
        <v>545.65</v>
      </c>
      <c r="D2031" s="116">
        <v>529.29999999999995</v>
      </c>
      <c r="E2031" s="116">
        <v>560.95000000000005</v>
      </c>
      <c r="F2031" s="116">
        <v>545.65</v>
      </c>
      <c r="G2031">
        <v>97821</v>
      </c>
      <c r="H2031" s="116"/>
      <c r="I2031" s="116"/>
      <c r="L2031" s="170">
        <v>45706</v>
      </c>
      <c r="M2031" s="116">
        <v>546</v>
      </c>
      <c r="N2031" s="116">
        <v>559</v>
      </c>
      <c r="O2031" s="116">
        <v>528.65</v>
      </c>
      <c r="P2031" s="116">
        <v>559</v>
      </c>
      <c r="Q2031" s="116">
        <v>546</v>
      </c>
      <c r="R2031">
        <v>2888468</v>
      </c>
    </row>
    <row r="2032" spans="1:18" x14ac:dyDescent="0.25">
      <c r="A2032" s="170">
        <v>45707</v>
      </c>
      <c r="B2032" s="116">
        <v>557.15</v>
      </c>
      <c r="C2032" s="116">
        <v>546.45000000000005</v>
      </c>
      <c r="D2032" s="116">
        <v>528.45000000000005</v>
      </c>
      <c r="E2032" s="116">
        <v>541</v>
      </c>
      <c r="F2032" s="116">
        <v>546.45000000000005</v>
      </c>
      <c r="G2032">
        <v>75734</v>
      </c>
      <c r="H2032" s="116"/>
      <c r="I2032" s="116"/>
      <c r="L2032" s="170">
        <v>45707</v>
      </c>
      <c r="M2032" s="116">
        <v>546.75</v>
      </c>
      <c r="N2032" s="116">
        <v>557.35</v>
      </c>
      <c r="O2032" s="116">
        <v>527.5</v>
      </c>
      <c r="P2032" s="116">
        <v>539</v>
      </c>
      <c r="Q2032" s="116">
        <v>546.75</v>
      </c>
      <c r="R2032">
        <v>2110707</v>
      </c>
    </row>
    <row r="2033" spans="1:18" x14ac:dyDescent="0.25">
      <c r="A2033" s="170">
        <v>45708</v>
      </c>
      <c r="B2033" s="116">
        <v>549.04999999999995</v>
      </c>
      <c r="C2033" s="116">
        <v>536.45000000000005</v>
      </c>
      <c r="D2033" s="116">
        <v>531.29999999999995</v>
      </c>
      <c r="E2033" s="116">
        <v>539.5</v>
      </c>
      <c r="F2033" s="116">
        <v>536.45000000000005</v>
      </c>
      <c r="G2033">
        <v>40056</v>
      </c>
      <c r="H2033" s="116"/>
      <c r="I2033" s="116"/>
      <c r="L2033" s="170">
        <v>45708</v>
      </c>
      <c r="M2033" s="116">
        <v>536.75</v>
      </c>
      <c r="N2033" s="116">
        <v>549.54999999999995</v>
      </c>
      <c r="O2033" s="116">
        <v>531.5</v>
      </c>
      <c r="P2033" s="116">
        <v>541.15</v>
      </c>
      <c r="Q2033" s="116">
        <v>536.75</v>
      </c>
      <c r="R2033">
        <v>1791125</v>
      </c>
    </row>
    <row r="2034" spans="1:18" x14ac:dyDescent="0.25">
      <c r="A2034" s="170">
        <v>45709</v>
      </c>
      <c r="B2034" s="116">
        <v>541.45000000000005</v>
      </c>
      <c r="C2034" s="116">
        <v>521.04999999999995</v>
      </c>
      <c r="D2034" s="116">
        <v>518</v>
      </c>
      <c r="E2034" s="116">
        <v>536.45000000000005</v>
      </c>
      <c r="F2034" s="116">
        <v>521.04999999999995</v>
      </c>
      <c r="G2034">
        <v>68372</v>
      </c>
      <c r="H2034" s="116"/>
      <c r="I2034" s="116"/>
      <c r="L2034" s="170">
        <v>45709</v>
      </c>
      <c r="M2034" s="116">
        <v>521.45000000000005</v>
      </c>
      <c r="N2034" s="116">
        <v>541.45000000000005</v>
      </c>
      <c r="O2034" s="116">
        <v>518</v>
      </c>
      <c r="P2034" s="116">
        <v>536.75</v>
      </c>
      <c r="Q2034" s="116">
        <v>521.45000000000005</v>
      </c>
      <c r="R2034">
        <v>3104538</v>
      </c>
    </row>
    <row r="2035" spans="1:18" x14ac:dyDescent="0.25">
      <c r="A2035" s="170">
        <v>45712</v>
      </c>
      <c r="B2035" s="116">
        <v>541.85</v>
      </c>
      <c r="C2035" s="116">
        <v>537.45000000000005</v>
      </c>
      <c r="D2035" s="116">
        <v>512.04999999999995</v>
      </c>
      <c r="E2035" s="116">
        <v>512.04999999999995</v>
      </c>
      <c r="F2035" s="116">
        <v>537.45000000000005</v>
      </c>
      <c r="G2035">
        <v>46676</v>
      </c>
      <c r="H2035" s="116"/>
      <c r="I2035" s="116"/>
      <c r="L2035" s="170">
        <v>45712</v>
      </c>
      <c r="M2035" s="116">
        <v>536.75</v>
      </c>
      <c r="N2035" s="116">
        <v>542.25</v>
      </c>
      <c r="O2035" s="116">
        <v>512.35</v>
      </c>
      <c r="P2035" s="116">
        <v>513</v>
      </c>
      <c r="Q2035" s="116">
        <v>536.75</v>
      </c>
      <c r="R2035">
        <v>3627096</v>
      </c>
    </row>
    <row r="2036" spans="1:18" x14ac:dyDescent="0.25">
      <c r="A2036" s="170">
        <v>45713</v>
      </c>
      <c r="B2036" s="116">
        <v>552.25</v>
      </c>
      <c r="C2036" s="116">
        <v>550.04999999999995</v>
      </c>
      <c r="D2036" s="116">
        <v>532.75</v>
      </c>
      <c r="E2036" s="116">
        <v>536</v>
      </c>
      <c r="F2036" s="116">
        <v>550.04999999999995</v>
      </c>
      <c r="G2036">
        <v>92222</v>
      </c>
      <c r="H2036" s="116"/>
      <c r="I2036" s="116"/>
      <c r="L2036" s="170">
        <v>45713</v>
      </c>
      <c r="M2036" s="116">
        <v>550.15</v>
      </c>
      <c r="N2036" s="116">
        <v>552.6</v>
      </c>
      <c r="O2036" s="116">
        <v>532</v>
      </c>
      <c r="P2036" s="116">
        <v>536</v>
      </c>
      <c r="Q2036" s="116">
        <v>550.15</v>
      </c>
      <c r="R2036">
        <v>2927066</v>
      </c>
    </row>
    <row r="2037" spans="1:18" x14ac:dyDescent="0.25">
      <c r="A2037" s="170">
        <v>45715</v>
      </c>
      <c r="B2037" s="116">
        <v>555.79999999999995</v>
      </c>
      <c r="C2037" s="116">
        <v>542.95000000000005</v>
      </c>
      <c r="D2037" s="116">
        <v>534.54999999999995</v>
      </c>
      <c r="E2037" s="116">
        <v>555.79999999999995</v>
      </c>
      <c r="F2037" s="116">
        <v>542.95000000000005</v>
      </c>
      <c r="G2037">
        <v>59282</v>
      </c>
      <c r="H2037" s="116"/>
      <c r="I2037" s="116"/>
      <c r="L2037" s="170">
        <v>45715</v>
      </c>
      <c r="M2037" s="116">
        <v>543</v>
      </c>
      <c r="N2037" s="116">
        <v>551.6</v>
      </c>
      <c r="O2037" s="116">
        <v>534.5</v>
      </c>
      <c r="P2037" s="116">
        <v>550</v>
      </c>
      <c r="Q2037" s="116">
        <v>543</v>
      </c>
      <c r="R2037">
        <v>1501153</v>
      </c>
    </row>
    <row r="2038" spans="1:18" x14ac:dyDescent="0.25">
      <c r="A2038" s="170">
        <v>45716</v>
      </c>
      <c r="B2038" s="116">
        <v>538.20000000000005</v>
      </c>
      <c r="C2038" s="116">
        <v>527.85</v>
      </c>
      <c r="D2038" s="116">
        <v>523</v>
      </c>
      <c r="E2038" s="116">
        <v>532.15</v>
      </c>
      <c r="F2038" s="116">
        <v>527.85</v>
      </c>
      <c r="G2038">
        <v>96103</v>
      </c>
      <c r="H2038" s="116"/>
      <c r="I2038" s="116"/>
      <c r="L2038" s="170">
        <v>45716</v>
      </c>
      <c r="M2038" s="116">
        <v>527.20000000000005</v>
      </c>
      <c r="N2038" s="116">
        <v>537.9</v>
      </c>
      <c r="O2038" s="116">
        <v>522.54999999999995</v>
      </c>
      <c r="P2038" s="116">
        <v>537</v>
      </c>
      <c r="Q2038" s="116">
        <v>527.20000000000005</v>
      </c>
      <c r="R2038">
        <v>2085666</v>
      </c>
    </row>
    <row r="2039" spans="1:18" x14ac:dyDescent="0.25">
      <c r="A2039" s="170">
        <v>45719</v>
      </c>
      <c r="B2039" s="116">
        <v>534.45000000000005</v>
      </c>
      <c r="C2039" s="116">
        <v>528.29999999999995</v>
      </c>
      <c r="D2039" s="116">
        <v>518.35</v>
      </c>
      <c r="E2039" s="116">
        <v>529.54999999999995</v>
      </c>
      <c r="F2039" s="116">
        <v>528.29999999999995</v>
      </c>
      <c r="G2039">
        <v>80626</v>
      </c>
      <c r="H2039" s="116"/>
      <c r="I2039" s="116"/>
      <c r="L2039" s="170">
        <v>45719</v>
      </c>
      <c r="M2039" s="116">
        <v>528.79999999999995</v>
      </c>
      <c r="N2039" s="116">
        <v>534.85</v>
      </c>
      <c r="O2039" s="116">
        <v>518.20000000000005</v>
      </c>
      <c r="P2039" s="116">
        <v>527.95000000000005</v>
      </c>
      <c r="Q2039" s="116">
        <v>528.79999999999995</v>
      </c>
      <c r="R2039">
        <v>1677330</v>
      </c>
    </row>
    <row r="2040" spans="1:18" x14ac:dyDescent="0.25">
      <c r="A2040" s="170">
        <v>45720</v>
      </c>
      <c r="B2040" s="116">
        <v>550</v>
      </c>
      <c r="C2040" s="116">
        <v>545.29999999999995</v>
      </c>
      <c r="D2040" s="116">
        <v>522.70000000000005</v>
      </c>
      <c r="E2040" s="116">
        <v>528.95000000000005</v>
      </c>
      <c r="F2040" s="116">
        <v>545.29999999999995</v>
      </c>
      <c r="G2040">
        <v>50444</v>
      </c>
      <c r="H2040" s="116"/>
      <c r="I2040" s="116"/>
      <c r="L2040" s="170">
        <v>45720</v>
      </c>
      <c r="M2040" s="116">
        <v>545.5</v>
      </c>
      <c r="N2040" s="116">
        <v>550</v>
      </c>
      <c r="O2040" s="116">
        <v>522.75</v>
      </c>
      <c r="P2040" s="116">
        <v>527.04999999999995</v>
      </c>
      <c r="Q2040" s="116">
        <v>545.5</v>
      </c>
      <c r="R2040">
        <v>2006858</v>
      </c>
    </row>
    <row r="2041" spans="1:18" x14ac:dyDescent="0.25">
      <c r="A2041" s="170">
        <v>45721</v>
      </c>
      <c r="B2041" s="116">
        <v>568.1</v>
      </c>
      <c r="C2041" s="116">
        <v>566.54999999999995</v>
      </c>
      <c r="D2041" s="116">
        <v>536.79999999999995</v>
      </c>
      <c r="E2041" s="116">
        <v>538.54999999999995</v>
      </c>
      <c r="F2041" s="116">
        <v>566.54999999999995</v>
      </c>
      <c r="G2041">
        <v>70397</v>
      </c>
      <c r="H2041" s="116"/>
      <c r="I2041" s="116"/>
      <c r="L2041" s="170">
        <v>45721</v>
      </c>
      <c r="M2041" s="116">
        <v>566.5</v>
      </c>
      <c r="N2041" s="116">
        <v>568.25</v>
      </c>
      <c r="O2041" s="116">
        <v>536.15</v>
      </c>
      <c r="P2041" s="116">
        <v>540.1</v>
      </c>
      <c r="Q2041" s="116">
        <v>566.5</v>
      </c>
      <c r="R2041">
        <v>2486341</v>
      </c>
    </row>
    <row r="2042" spans="1:18" x14ac:dyDescent="0.25">
      <c r="A2042" s="170">
        <v>45722</v>
      </c>
      <c r="B2042" s="116">
        <v>586.25</v>
      </c>
      <c r="C2042" s="116">
        <v>580</v>
      </c>
      <c r="D2042" s="116">
        <v>570</v>
      </c>
      <c r="E2042" s="116">
        <v>574.85</v>
      </c>
      <c r="F2042" s="116">
        <v>580</v>
      </c>
      <c r="G2042">
        <v>113500</v>
      </c>
      <c r="H2042" s="116"/>
      <c r="I2042" s="116"/>
      <c r="L2042" s="170">
        <v>45722</v>
      </c>
      <c r="M2042" s="116">
        <v>580.54999999999995</v>
      </c>
      <c r="N2042" s="116">
        <v>586.54999999999995</v>
      </c>
      <c r="O2042" s="116">
        <v>569.45000000000005</v>
      </c>
      <c r="P2042" s="116">
        <v>570</v>
      </c>
      <c r="Q2042" s="116">
        <v>580.54999999999995</v>
      </c>
      <c r="R2042">
        <v>1870639</v>
      </c>
    </row>
    <row r="2043" spans="1:18" x14ac:dyDescent="0.25">
      <c r="A2043" s="170">
        <v>45723</v>
      </c>
      <c r="B2043" s="116">
        <v>585.95000000000005</v>
      </c>
      <c r="C2043" s="116">
        <v>570.5</v>
      </c>
      <c r="D2043" s="116">
        <v>567.5</v>
      </c>
      <c r="E2043" s="116">
        <v>585.95000000000005</v>
      </c>
      <c r="F2043" s="116">
        <v>570.5</v>
      </c>
      <c r="G2043">
        <v>58213</v>
      </c>
      <c r="H2043" s="116"/>
      <c r="I2043" s="116"/>
      <c r="L2043" s="170">
        <v>45723</v>
      </c>
      <c r="M2043" s="116">
        <v>570.85</v>
      </c>
      <c r="N2043" s="116">
        <v>583.79999999999995</v>
      </c>
      <c r="O2043" s="116">
        <v>567.6</v>
      </c>
      <c r="P2043" s="116">
        <v>583.79999999999995</v>
      </c>
      <c r="Q2043" s="116">
        <v>570.85</v>
      </c>
      <c r="R2043">
        <v>1692575</v>
      </c>
    </row>
    <row r="2044" spans="1:18" x14ac:dyDescent="0.25">
      <c r="A2044" s="170">
        <v>45726</v>
      </c>
      <c r="B2044" s="116">
        <v>577.25</v>
      </c>
      <c r="C2044" s="116">
        <v>558.45000000000005</v>
      </c>
      <c r="D2044" s="116">
        <v>555.9</v>
      </c>
      <c r="E2044" s="116">
        <v>570.1</v>
      </c>
      <c r="F2044" s="116">
        <v>558.45000000000005</v>
      </c>
      <c r="G2044">
        <v>46744</v>
      </c>
      <c r="H2044" s="116"/>
      <c r="I2044" s="116"/>
      <c r="L2044" s="170">
        <v>45726</v>
      </c>
      <c r="M2044" s="116">
        <v>559</v>
      </c>
      <c r="N2044" s="116">
        <v>577.9</v>
      </c>
      <c r="O2044" s="116">
        <v>556.04999999999995</v>
      </c>
      <c r="P2044" s="116">
        <v>571</v>
      </c>
      <c r="Q2044" s="116">
        <v>559</v>
      </c>
      <c r="R2044">
        <v>2659784</v>
      </c>
    </row>
    <row r="2045" spans="1:18" x14ac:dyDescent="0.25">
      <c r="A2045" s="170">
        <v>45727</v>
      </c>
      <c r="B2045" s="116">
        <v>576.65</v>
      </c>
      <c r="C2045" s="116">
        <v>574.04999999999995</v>
      </c>
      <c r="D2045" s="116">
        <v>553.04999999999995</v>
      </c>
      <c r="E2045" s="116">
        <v>555.65</v>
      </c>
      <c r="F2045" s="116">
        <v>574.04999999999995</v>
      </c>
      <c r="G2045">
        <v>81544</v>
      </c>
      <c r="H2045" s="116"/>
      <c r="I2045" s="116"/>
      <c r="L2045" s="170">
        <v>45727</v>
      </c>
      <c r="M2045" s="116">
        <v>574.15</v>
      </c>
      <c r="N2045" s="116">
        <v>576.35</v>
      </c>
      <c r="O2045" s="116">
        <v>552</v>
      </c>
      <c r="P2045" s="116">
        <v>552.29999999999995</v>
      </c>
      <c r="Q2045" s="116">
        <v>574.15</v>
      </c>
      <c r="R2045">
        <v>3578158</v>
      </c>
    </row>
    <row r="2046" spans="1:18" x14ac:dyDescent="0.25">
      <c r="A2046" s="170">
        <v>45728</v>
      </c>
      <c r="B2046" s="116">
        <v>585.6</v>
      </c>
      <c r="C2046" s="116">
        <v>584.25</v>
      </c>
      <c r="D2046" s="116">
        <v>563.35</v>
      </c>
      <c r="E2046" s="116">
        <v>576.65</v>
      </c>
      <c r="F2046" s="116">
        <v>584.25</v>
      </c>
      <c r="G2046">
        <v>44335</v>
      </c>
      <c r="H2046" s="116"/>
      <c r="I2046" s="116"/>
      <c r="L2046" s="170">
        <v>45728</v>
      </c>
      <c r="M2046" s="116">
        <v>584.35</v>
      </c>
      <c r="N2046" s="116">
        <v>585.75</v>
      </c>
      <c r="O2046" s="116">
        <v>563.15</v>
      </c>
      <c r="P2046" s="116">
        <v>577.85</v>
      </c>
      <c r="Q2046" s="116">
        <v>584.35</v>
      </c>
      <c r="R2046">
        <v>1662053</v>
      </c>
    </row>
    <row r="2047" spans="1:18" x14ac:dyDescent="0.25">
      <c r="A2047" s="170">
        <v>45729</v>
      </c>
      <c r="B2047" s="116">
        <v>586.1</v>
      </c>
      <c r="C2047" s="116">
        <v>573.45000000000005</v>
      </c>
      <c r="D2047" s="116">
        <v>572.35</v>
      </c>
      <c r="E2047" s="116">
        <v>584.35</v>
      </c>
      <c r="F2047" s="116">
        <v>573.45000000000005</v>
      </c>
      <c r="G2047">
        <v>22651</v>
      </c>
      <c r="H2047" s="116"/>
      <c r="I2047" s="116"/>
      <c r="L2047" s="170">
        <v>45729</v>
      </c>
      <c r="M2047" s="116">
        <v>574.04999999999995</v>
      </c>
      <c r="N2047" s="116">
        <v>585.5</v>
      </c>
      <c r="O2047" s="116">
        <v>572.25</v>
      </c>
      <c r="P2047" s="116">
        <v>584.35</v>
      </c>
      <c r="Q2047" s="116">
        <v>574.04999999999995</v>
      </c>
      <c r="R2047">
        <v>823232</v>
      </c>
    </row>
    <row r="2048" spans="1:18" x14ac:dyDescent="0.25">
      <c r="A2048" s="170">
        <v>45733</v>
      </c>
      <c r="B2048" s="116">
        <v>586.45000000000005</v>
      </c>
      <c r="C2048" s="116">
        <v>581.45000000000005</v>
      </c>
      <c r="D2048" s="116">
        <v>573.54999999999995</v>
      </c>
      <c r="E2048" s="116">
        <v>574.95000000000005</v>
      </c>
      <c r="F2048" s="116">
        <v>581.45000000000005</v>
      </c>
      <c r="G2048">
        <v>18862</v>
      </c>
      <c r="H2048" s="116"/>
      <c r="I2048" s="116"/>
      <c r="L2048" s="170">
        <v>45733</v>
      </c>
      <c r="M2048" s="116">
        <v>581.35</v>
      </c>
      <c r="N2048" s="116">
        <v>586.45000000000005</v>
      </c>
      <c r="O2048" s="116">
        <v>572</v>
      </c>
      <c r="P2048" s="116">
        <v>578</v>
      </c>
      <c r="Q2048" s="116">
        <v>581.35</v>
      </c>
      <c r="R2048">
        <v>853267</v>
      </c>
    </row>
    <row r="2049" spans="1:18" x14ac:dyDescent="0.25">
      <c r="A2049" s="170">
        <v>45734</v>
      </c>
      <c r="B2049" s="116">
        <v>592.5</v>
      </c>
      <c r="C2049" s="116">
        <v>586.79999999999995</v>
      </c>
      <c r="D2049" s="116">
        <v>581.4</v>
      </c>
      <c r="E2049" s="116">
        <v>588.1</v>
      </c>
      <c r="F2049" s="116">
        <v>586.79999999999995</v>
      </c>
      <c r="G2049">
        <v>54514</v>
      </c>
      <c r="H2049" s="116"/>
      <c r="I2049" s="116"/>
      <c r="L2049" s="170">
        <v>45734</v>
      </c>
      <c r="M2049" s="116">
        <v>587.15</v>
      </c>
      <c r="N2049" s="116">
        <v>592.79999999999995</v>
      </c>
      <c r="O2049" s="116">
        <v>581.04999999999995</v>
      </c>
      <c r="P2049" s="116">
        <v>585</v>
      </c>
      <c r="Q2049" s="116">
        <v>587.15</v>
      </c>
      <c r="R2049">
        <v>1396305</v>
      </c>
    </row>
    <row r="2050" spans="1:18" x14ac:dyDescent="0.25">
      <c r="A2050" s="170">
        <v>45735</v>
      </c>
      <c r="B2050" s="116">
        <v>608.4</v>
      </c>
      <c r="C2050" s="116">
        <v>605.95000000000005</v>
      </c>
      <c r="D2050" s="116">
        <v>581.35</v>
      </c>
      <c r="E2050" s="116">
        <v>591.95000000000005</v>
      </c>
      <c r="F2050" s="116">
        <v>605.95000000000005</v>
      </c>
      <c r="G2050">
        <v>50986</v>
      </c>
      <c r="H2050" s="116"/>
      <c r="I2050" s="116"/>
      <c r="L2050" s="170">
        <v>45735</v>
      </c>
      <c r="M2050" s="116">
        <v>606.1</v>
      </c>
      <c r="N2050" s="116">
        <v>609</v>
      </c>
      <c r="O2050" s="116">
        <v>580.65</v>
      </c>
      <c r="P2050" s="116">
        <v>591</v>
      </c>
      <c r="Q2050" s="116">
        <v>606.1</v>
      </c>
      <c r="R2050">
        <v>1992098</v>
      </c>
    </row>
    <row r="2051" spans="1:18" x14ac:dyDescent="0.25">
      <c r="A2051" s="170">
        <v>45736</v>
      </c>
      <c r="B2051" s="116">
        <v>608.70000000000005</v>
      </c>
      <c r="C2051" s="116">
        <v>604.20000000000005</v>
      </c>
      <c r="D2051" s="116">
        <v>597.20000000000005</v>
      </c>
      <c r="E2051" s="116">
        <v>606.15</v>
      </c>
      <c r="F2051" s="116">
        <v>604.20000000000005</v>
      </c>
      <c r="G2051">
        <v>30463</v>
      </c>
      <c r="H2051" s="116"/>
      <c r="I2051" s="116"/>
      <c r="L2051" s="170">
        <v>45736</v>
      </c>
      <c r="M2051" s="116">
        <v>604.45000000000005</v>
      </c>
      <c r="N2051" s="116">
        <v>609.1</v>
      </c>
      <c r="O2051" s="116">
        <v>597.4</v>
      </c>
      <c r="P2051" s="116">
        <v>609</v>
      </c>
      <c r="Q2051" s="116">
        <v>604.45000000000005</v>
      </c>
      <c r="R2051">
        <v>1200782</v>
      </c>
    </row>
    <row r="2052" spans="1:18" x14ac:dyDescent="0.25">
      <c r="A2052" s="170">
        <v>45737</v>
      </c>
      <c r="B2052" s="116">
        <v>616.4</v>
      </c>
      <c r="C2052" s="116">
        <v>610.9</v>
      </c>
      <c r="D2052" s="116">
        <v>600.70000000000005</v>
      </c>
      <c r="E2052" s="116">
        <v>600.70000000000005</v>
      </c>
      <c r="F2052" s="116">
        <v>610.9</v>
      </c>
      <c r="G2052">
        <v>36364</v>
      </c>
      <c r="H2052" s="116"/>
      <c r="I2052" s="116"/>
      <c r="L2052" s="170">
        <v>45737</v>
      </c>
      <c r="M2052" s="116">
        <v>611.20000000000005</v>
      </c>
      <c r="N2052" s="116">
        <v>616.75</v>
      </c>
      <c r="O2052" s="116">
        <v>602.70000000000005</v>
      </c>
      <c r="P2052" s="116">
        <v>603.6</v>
      </c>
      <c r="Q2052" s="116">
        <v>611.20000000000005</v>
      </c>
      <c r="R2052">
        <v>1704714</v>
      </c>
    </row>
    <row r="2053" spans="1:18" x14ac:dyDescent="0.25">
      <c r="A2053" s="170">
        <v>45740</v>
      </c>
      <c r="B2053" s="116">
        <v>627.9</v>
      </c>
      <c r="C2053" s="116">
        <v>623.4</v>
      </c>
      <c r="D2053" s="116">
        <v>614.35</v>
      </c>
      <c r="E2053" s="116">
        <v>620</v>
      </c>
      <c r="F2053" s="116">
        <v>623.4</v>
      </c>
      <c r="G2053">
        <v>29426</v>
      </c>
      <c r="H2053" s="116"/>
      <c r="I2053" s="116"/>
      <c r="L2053" s="170">
        <v>45740</v>
      </c>
      <c r="M2053" s="116">
        <v>623</v>
      </c>
      <c r="N2053" s="116">
        <v>628</v>
      </c>
      <c r="O2053" s="116">
        <v>612.95000000000005</v>
      </c>
      <c r="P2053" s="116">
        <v>620.95000000000005</v>
      </c>
      <c r="Q2053" s="116">
        <v>623</v>
      </c>
      <c r="R2053">
        <v>2003173</v>
      </c>
    </row>
    <row r="2054" spans="1:18" x14ac:dyDescent="0.25">
      <c r="A2054" s="170">
        <v>45741</v>
      </c>
      <c r="B2054" s="116">
        <v>626.70000000000005</v>
      </c>
      <c r="C2054" s="116">
        <v>614.70000000000005</v>
      </c>
      <c r="D2054" s="116">
        <v>609.9</v>
      </c>
      <c r="E2054" s="116">
        <v>624.04999999999995</v>
      </c>
      <c r="F2054" s="116">
        <v>614.70000000000005</v>
      </c>
      <c r="G2054">
        <v>55121</v>
      </c>
      <c r="H2054" s="116"/>
      <c r="I2054" s="116"/>
      <c r="L2054" s="170">
        <v>45741</v>
      </c>
      <c r="M2054" s="116">
        <v>615.15</v>
      </c>
      <c r="N2054" s="116">
        <v>626.75</v>
      </c>
      <c r="O2054" s="116">
        <v>610.15</v>
      </c>
      <c r="P2054" s="116">
        <v>626.70000000000005</v>
      </c>
      <c r="Q2054" s="116">
        <v>615.15</v>
      </c>
      <c r="R2054">
        <v>1273131</v>
      </c>
    </row>
    <row r="2055" spans="1:18" x14ac:dyDescent="0.25">
      <c r="A2055" s="170">
        <v>45742</v>
      </c>
      <c r="B2055" s="116">
        <v>619.45000000000005</v>
      </c>
      <c r="C2055" s="116">
        <v>614.70000000000005</v>
      </c>
      <c r="D2055" s="116">
        <v>610.35</v>
      </c>
      <c r="E2055" s="116">
        <v>610.9</v>
      </c>
      <c r="F2055" s="116">
        <v>614.70000000000005</v>
      </c>
      <c r="G2055">
        <v>30611</v>
      </c>
      <c r="H2055" s="116"/>
      <c r="I2055" s="116"/>
      <c r="L2055" s="170">
        <v>45742</v>
      </c>
      <c r="M2055" s="116">
        <v>614.79999999999995</v>
      </c>
      <c r="N2055" s="116">
        <v>619.4</v>
      </c>
      <c r="O2055" s="116">
        <v>610.5</v>
      </c>
      <c r="P2055" s="116">
        <v>614</v>
      </c>
      <c r="Q2055" s="116">
        <v>614.79999999999995</v>
      </c>
      <c r="R2055">
        <v>1044819</v>
      </c>
    </row>
    <row r="2056" spans="1:18" x14ac:dyDescent="0.25">
      <c r="A2056" s="170">
        <v>45743</v>
      </c>
      <c r="B2056" s="116">
        <v>620.4</v>
      </c>
      <c r="C2056" s="116">
        <v>617.9</v>
      </c>
      <c r="D2056" s="116">
        <v>606.4</v>
      </c>
      <c r="E2056" s="116">
        <v>618.95000000000005</v>
      </c>
      <c r="F2056" s="116">
        <v>617.9</v>
      </c>
      <c r="G2056">
        <v>31751</v>
      </c>
      <c r="H2056" s="116"/>
      <c r="I2056" s="116"/>
      <c r="L2056" s="170">
        <v>45743</v>
      </c>
      <c r="M2056" s="116">
        <v>617.70000000000005</v>
      </c>
      <c r="N2056" s="116">
        <v>621</v>
      </c>
      <c r="O2056" s="116">
        <v>606</v>
      </c>
      <c r="P2056" s="116">
        <v>614.5</v>
      </c>
      <c r="Q2056" s="116">
        <v>617.70000000000005</v>
      </c>
      <c r="R2056">
        <v>1293605</v>
      </c>
    </row>
    <row r="2057" spans="1:18" x14ac:dyDescent="0.25">
      <c r="A2057" s="170">
        <v>45744</v>
      </c>
      <c r="B2057" s="116">
        <v>625.1</v>
      </c>
      <c r="C2057" s="116">
        <v>613.79999999999995</v>
      </c>
      <c r="D2057" s="116">
        <v>606.70000000000005</v>
      </c>
      <c r="E2057" s="116">
        <v>620.6</v>
      </c>
      <c r="F2057" s="116">
        <v>613.79999999999995</v>
      </c>
      <c r="G2057">
        <v>74528</v>
      </c>
      <c r="H2057" s="116"/>
      <c r="I2057" s="116"/>
      <c r="L2057" s="170">
        <v>45744</v>
      </c>
      <c r="M2057" s="116">
        <v>613.4</v>
      </c>
      <c r="N2057" s="116">
        <v>626.65</v>
      </c>
      <c r="O2057" s="116">
        <v>606.70000000000005</v>
      </c>
      <c r="P2057" s="116">
        <v>619.9</v>
      </c>
      <c r="Q2057" s="116">
        <v>613.4</v>
      </c>
      <c r="R2057">
        <v>1528487</v>
      </c>
    </row>
    <row r="2058" spans="1:18" x14ac:dyDescent="0.25">
      <c r="A2058" s="170">
        <v>45748</v>
      </c>
      <c r="B2058" s="116">
        <v>617.1</v>
      </c>
      <c r="C2058" s="116">
        <v>598.35</v>
      </c>
      <c r="D2058" s="116">
        <v>595.04999999999995</v>
      </c>
      <c r="E2058" s="116">
        <v>608.20000000000005</v>
      </c>
      <c r="F2058" s="116">
        <v>598.35</v>
      </c>
      <c r="G2058">
        <v>64871</v>
      </c>
      <c r="H2058" s="116"/>
      <c r="I2058" s="116"/>
      <c r="L2058" s="170">
        <v>45748</v>
      </c>
      <c r="M2058" s="116">
        <v>598.9</v>
      </c>
      <c r="N2058" s="116">
        <v>617.79999999999995</v>
      </c>
      <c r="O2058" s="116">
        <v>594.95000000000005</v>
      </c>
      <c r="P2058" s="116">
        <v>611</v>
      </c>
      <c r="Q2058" s="116">
        <v>598.9</v>
      </c>
      <c r="R2058">
        <v>1348993</v>
      </c>
    </row>
    <row r="2059" spans="1:18" x14ac:dyDescent="0.25">
      <c r="A2059" s="170">
        <v>45749</v>
      </c>
      <c r="B2059" s="116">
        <v>610.4</v>
      </c>
      <c r="C2059" s="116">
        <v>608.5</v>
      </c>
      <c r="D2059" s="116">
        <v>595.15</v>
      </c>
      <c r="E2059" s="116">
        <v>599.45000000000005</v>
      </c>
      <c r="F2059" s="116">
        <v>608.5</v>
      </c>
      <c r="G2059">
        <v>22190</v>
      </c>
      <c r="H2059" s="116"/>
      <c r="I2059" s="116"/>
      <c r="L2059" s="170">
        <v>45749</v>
      </c>
      <c r="M2059" s="116">
        <v>609.04999999999995</v>
      </c>
      <c r="N2059" s="116">
        <v>610.85</v>
      </c>
      <c r="O2059" s="116">
        <v>594.5</v>
      </c>
      <c r="P2059" s="116">
        <v>604</v>
      </c>
      <c r="Q2059" s="116">
        <v>609.04999999999995</v>
      </c>
      <c r="R2059">
        <v>876865</v>
      </c>
    </row>
    <row r="2060" spans="1:18" x14ac:dyDescent="0.25">
      <c r="A2060" s="170">
        <v>45750</v>
      </c>
      <c r="B2060" s="116">
        <v>637.79999999999995</v>
      </c>
      <c r="C2060" s="116">
        <v>620.35</v>
      </c>
      <c r="D2060" s="116">
        <v>611.6</v>
      </c>
      <c r="E2060" s="116">
        <v>612.04999999999995</v>
      </c>
      <c r="F2060" s="116">
        <v>620.35</v>
      </c>
      <c r="G2060">
        <v>92618</v>
      </c>
      <c r="H2060" s="116"/>
      <c r="I2060" s="116"/>
      <c r="L2060" s="170">
        <v>45750</v>
      </c>
      <c r="M2060" s="116">
        <v>620.65</v>
      </c>
      <c r="N2060" s="116">
        <v>638.9</v>
      </c>
      <c r="O2060" s="116">
        <v>611.15</v>
      </c>
      <c r="P2060" s="116">
        <v>620.15</v>
      </c>
      <c r="Q2060" s="116">
        <v>620.65</v>
      </c>
      <c r="R2060">
        <v>3744040</v>
      </c>
    </row>
    <row r="2061" spans="1:18" x14ac:dyDescent="0.25">
      <c r="A2061" s="170">
        <v>45751</v>
      </c>
      <c r="B2061" s="116">
        <v>622</v>
      </c>
      <c r="C2061" s="116">
        <v>574.45000000000005</v>
      </c>
      <c r="D2061" s="116">
        <v>561.54999999999995</v>
      </c>
      <c r="E2061" s="116">
        <v>622</v>
      </c>
      <c r="F2061" s="116">
        <v>574.45000000000005</v>
      </c>
      <c r="G2061">
        <v>243883</v>
      </c>
      <c r="H2061" s="116"/>
      <c r="I2061" s="116"/>
      <c r="L2061" s="170">
        <v>45751</v>
      </c>
      <c r="M2061" s="116">
        <v>574.45000000000005</v>
      </c>
      <c r="N2061" s="116">
        <v>621.79999999999995</v>
      </c>
      <c r="O2061" s="116">
        <v>561.5</v>
      </c>
      <c r="P2061" s="116">
        <v>620.65</v>
      </c>
      <c r="Q2061" s="116">
        <v>574.45000000000005</v>
      </c>
      <c r="R2061">
        <v>7286175</v>
      </c>
    </row>
    <row r="2062" spans="1:18" x14ac:dyDescent="0.25">
      <c r="A2062" s="170">
        <v>45754</v>
      </c>
      <c r="B2062" s="116">
        <v>570</v>
      </c>
      <c r="C2062" s="116">
        <v>560.5</v>
      </c>
      <c r="D2062" s="116">
        <v>517.04999999999995</v>
      </c>
      <c r="E2062" s="116">
        <v>517.04999999999995</v>
      </c>
      <c r="F2062" s="116">
        <v>560.5</v>
      </c>
      <c r="G2062">
        <v>160409</v>
      </c>
      <c r="H2062" s="116"/>
      <c r="I2062" s="116"/>
      <c r="L2062" s="170">
        <v>45754</v>
      </c>
      <c r="M2062" s="116">
        <v>561.25</v>
      </c>
      <c r="N2062" s="116">
        <v>566.04999999999995</v>
      </c>
      <c r="O2062" s="116">
        <v>517.65</v>
      </c>
      <c r="P2062" s="116">
        <v>518</v>
      </c>
      <c r="Q2062" s="116">
        <v>561.25</v>
      </c>
      <c r="R2062">
        <v>3409016</v>
      </c>
    </row>
    <row r="2063" spans="1:18" x14ac:dyDescent="0.25">
      <c r="A2063" s="170">
        <v>45755</v>
      </c>
      <c r="B2063" s="116">
        <v>584.04999999999995</v>
      </c>
      <c r="C2063" s="116">
        <v>579.20000000000005</v>
      </c>
      <c r="D2063" s="116">
        <v>561.29999999999995</v>
      </c>
      <c r="E2063" s="116">
        <v>561.29999999999995</v>
      </c>
      <c r="F2063" s="116">
        <v>579.20000000000005</v>
      </c>
      <c r="G2063">
        <v>44411</v>
      </c>
      <c r="H2063" s="116"/>
      <c r="I2063" s="116"/>
      <c r="L2063" s="170">
        <v>45755</v>
      </c>
      <c r="M2063" s="116">
        <v>579.25</v>
      </c>
      <c r="N2063" s="116">
        <v>595</v>
      </c>
      <c r="O2063" s="116">
        <v>563.45000000000005</v>
      </c>
      <c r="P2063" s="116">
        <v>579</v>
      </c>
      <c r="Q2063" s="116">
        <v>579.25</v>
      </c>
      <c r="R2063">
        <v>1673248</v>
      </c>
    </row>
    <row r="2064" spans="1:18" x14ac:dyDescent="0.25">
      <c r="A2064" s="170">
        <v>45756</v>
      </c>
      <c r="B2064" s="116">
        <v>574.9</v>
      </c>
      <c r="C2064" s="116">
        <v>563.4</v>
      </c>
      <c r="D2064" s="116">
        <v>551.25</v>
      </c>
      <c r="E2064" s="116">
        <v>574.9</v>
      </c>
      <c r="F2064" s="116">
        <v>563.4</v>
      </c>
      <c r="G2064">
        <v>56365</v>
      </c>
      <c r="H2064" s="116"/>
      <c r="I2064" s="116"/>
      <c r="L2064" s="170">
        <v>45756</v>
      </c>
      <c r="M2064" s="116">
        <v>564.25</v>
      </c>
      <c r="N2064" s="116">
        <v>575.20000000000005</v>
      </c>
      <c r="O2064" s="116">
        <v>551</v>
      </c>
      <c r="P2064" s="116">
        <v>564.25</v>
      </c>
      <c r="Q2064" s="116">
        <v>564.25</v>
      </c>
      <c r="R2064">
        <v>2417850</v>
      </c>
    </row>
    <row r="2065" spans="1:18" x14ac:dyDescent="0.25">
      <c r="A2065" s="170">
        <v>45758</v>
      </c>
      <c r="B2065" s="116">
        <v>608.04999999999995</v>
      </c>
      <c r="C2065" s="116">
        <v>606.1</v>
      </c>
      <c r="D2065" s="116">
        <v>570.20000000000005</v>
      </c>
      <c r="E2065" s="116">
        <v>570.20000000000005</v>
      </c>
      <c r="F2065" s="116">
        <v>606.1</v>
      </c>
      <c r="G2065">
        <v>156659</v>
      </c>
      <c r="H2065" s="116"/>
      <c r="I2065" s="116"/>
      <c r="L2065" s="170">
        <v>45758</v>
      </c>
      <c r="M2065" s="116">
        <v>605.85</v>
      </c>
      <c r="N2065" s="116">
        <v>608</v>
      </c>
      <c r="O2065" s="116">
        <v>576.9</v>
      </c>
      <c r="P2065" s="116">
        <v>585</v>
      </c>
      <c r="Q2065" s="116">
        <v>605.85</v>
      </c>
      <c r="R2065">
        <v>3439063</v>
      </c>
    </row>
    <row r="2066" spans="1:18" x14ac:dyDescent="0.25">
      <c r="A2066" s="170">
        <v>45762</v>
      </c>
      <c r="B2066" s="116">
        <v>626.35</v>
      </c>
      <c r="C2066" s="116">
        <v>625.4</v>
      </c>
      <c r="D2066" s="116">
        <v>609</v>
      </c>
      <c r="E2066" s="116">
        <v>613.75</v>
      </c>
      <c r="F2066" s="116">
        <v>625.4</v>
      </c>
      <c r="G2066">
        <v>131621</v>
      </c>
      <c r="H2066" s="116"/>
      <c r="I2066" s="116"/>
      <c r="L2066" s="170">
        <v>45762</v>
      </c>
      <c r="M2066" s="116">
        <v>625.15</v>
      </c>
      <c r="N2066" s="116">
        <v>626.15</v>
      </c>
      <c r="O2066" s="116">
        <v>608.79999999999995</v>
      </c>
      <c r="P2066" s="116">
        <v>611.54999999999995</v>
      </c>
      <c r="Q2066" s="116">
        <v>625.15</v>
      </c>
      <c r="R2066">
        <v>1956047</v>
      </c>
    </row>
    <row r="2067" spans="1:18" x14ac:dyDescent="0.25">
      <c r="A2067" s="170">
        <v>45763</v>
      </c>
      <c r="B2067" s="116">
        <v>634</v>
      </c>
      <c r="C2067" s="116">
        <v>626.79999999999995</v>
      </c>
      <c r="D2067" s="116">
        <v>621</v>
      </c>
      <c r="E2067" s="116">
        <v>625.04999999999995</v>
      </c>
      <c r="F2067" s="116">
        <v>626.79999999999995</v>
      </c>
      <c r="G2067">
        <v>115014</v>
      </c>
      <c r="H2067" s="116"/>
      <c r="I2067" s="116"/>
      <c r="L2067" s="170">
        <v>45763</v>
      </c>
      <c r="M2067" s="116">
        <v>626.9</v>
      </c>
      <c r="N2067" s="116">
        <v>634.25</v>
      </c>
      <c r="O2067" s="116">
        <v>621</v>
      </c>
      <c r="P2067" s="116">
        <v>625.5</v>
      </c>
      <c r="Q2067" s="116">
        <v>626.9</v>
      </c>
      <c r="R2067">
        <v>1832047</v>
      </c>
    </row>
    <row r="2068" spans="1:18" x14ac:dyDescent="0.25">
      <c r="A2068" s="170">
        <v>45764</v>
      </c>
      <c r="B2068" s="116">
        <v>634.9</v>
      </c>
      <c r="C2068" s="116">
        <v>627.35</v>
      </c>
      <c r="D2068" s="116">
        <v>624</v>
      </c>
      <c r="E2068" s="116">
        <v>626.79999999999995</v>
      </c>
      <c r="F2068" s="116">
        <v>627.35</v>
      </c>
      <c r="G2068">
        <v>61542</v>
      </c>
      <c r="H2068" s="116"/>
      <c r="I2068" s="116"/>
      <c r="L2068" s="170">
        <v>45764</v>
      </c>
      <c r="M2068" s="116">
        <v>628.04999999999995</v>
      </c>
      <c r="N2068" s="116">
        <v>634.95000000000005</v>
      </c>
      <c r="O2068" s="116">
        <v>624.04999999999995</v>
      </c>
      <c r="P2068" s="116">
        <v>626.79999999999995</v>
      </c>
      <c r="Q2068" s="116">
        <v>628.04999999999995</v>
      </c>
      <c r="R2068">
        <v>1964197</v>
      </c>
    </row>
    <row r="2069" spans="1:18" x14ac:dyDescent="0.25">
      <c r="A2069" s="170">
        <v>45768</v>
      </c>
      <c r="B2069" s="116">
        <v>643.95000000000005</v>
      </c>
      <c r="C2069" s="116">
        <v>640.25</v>
      </c>
      <c r="D2069" s="116">
        <v>627.4</v>
      </c>
      <c r="E2069" s="116">
        <v>627.4</v>
      </c>
      <c r="F2069" s="116">
        <v>640.25</v>
      </c>
      <c r="G2069">
        <v>80312</v>
      </c>
      <c r="H2069" s="116"/>
      <c r="I2069" s="116"/>
      <c r="L2069" s="170">
        <v>45768</v>
      </c>
      <c r="M2069" s="116">
        <v>640.35</v>
      </c>
      <c r="N2069" s="116">
        <v>645</v>
      </c>
      <c r="O2069" s="116">
        <v>627.45000000000005</v>
      </c>
      <c r="P2069" s="116">
        <v>628.04999999999995</v>
      </c>
      <c r="Q2069" s="116">
        <v>640.35</v>
      </c>
      <c r="R2069">
        <v>1673651</v>
      </c>
    </row>
    <row r="2070" spans="1:18" x14ac:dyDescent="0.25">
      <c r="A2070" s="170">
        <v>45769</v>
      </c>
      <c r="B2070" s="116">
        <v>657.45</v>
      </c>
      <c r="C2070" s="116">
        <v>651.65</v>
      </c>
      <c r="D2070" s="116">
        <v>637.04999999999995</v>
      </c>
      <c r="E2070" s="116">
        <v>643.9</v>
      </c>
      <c r="F2070" s="116">
        <v>651.65</v>
      </c>
      <c r="G2070">
        <v>97802</v>
      </c>
      <c r="H2070" s="116"/>
      <c r="I2070" s="116"/>
      <c r="L2070" s="170">
        <v>45769</v>
      </c>
      <c r="M2070" s="116">
        <v>651.70000000000005</v>
      </c>
      <c r="N2070" s="116">
        <v>657.4</v>
      </c>
      <c r="O2070" s="116">
        <v>636.75</v>
      </c>
      <c r="P2070" s="116">
        <v>643.04999999999995</v>
      </c>
      <c r="Q2070" s="116">
        <v>651.70000000000005</v>
      </c>
      <c r="R2070">
        <v>2546683</v>
      </c>
    </row>
    <row r="2071" spans="1:18" x14ac:dyDescent="0.25">
      <c r="A2071" s="170">
        <v>45770</v>
      </c>
      <c r="B2071" s="116">
        <v>659.95</v>
      </c>
      <c r="C2071" s="116">
        <v>650.45000000000005</v>
      </c>
      <c r="D2071" s="116">
        <v>642.6</v>
      </c>
      <c r="E2071" s="116">
        <v>658.9</v>
      </c>
      <c r="F2071" s="116">
        <v>650.45000000000005</v>
      </c>
      <c r="G2071">
        <v>65425</v>
      </c>
      <c r="H2071" s="116"/>
      <c r="I2071" s="116"/>
      <c r="L2071" s="170">
        <v>45770</v>
      </c>
      <c r="M2071" s="116">
        <v>650.70000000000005</v>
      </c>
      <c r="N2071" s="116">
        <v>659.85</v>
      </c>
      <c r="O2071" s="116">
        <v>641.95000000000005</v>
      </c>
      <c r="P2071" s="116">
        <v>656.8</v>
      </c>
      <c r="Q2071" s="116">
        <v>650.70000000000005</v>
      </c>
      <c r="R2071">
        <v>2082091</v>
      </c>
    </row>
    <row r="2072" spans="1:18" x14ac:dyDescent="0.25">
      <c r="A2072" s="170">
        <v>45771</v>
      </c>
      <c r="B2072" s="116">
        <v>660.9</v>
      </c>
      <c r="C2072" s="116">
        <v>647.15</v>
      </c>
      <c r="D2072" s="116">
        <v>632</v>
      </c>
      <c r="E2072" s="116">
        <v>652.04999999999995</v>
      </c>
      <c r="F2072" s="116">
        <v>647.15</v>
      </c>
      <c r="G2072">
        <v>258425</v>
      </c>
      <c r="H2072" s="116"/>
      <c r="I2072" s="116"/>
      <c r="L2072" s="170">
        <v>45771</v>
      </c>
      <c r="M2072" s="116">
        <v>645.5</v>
      </c>
      <c r="N2072" s="116">
        <v>660.9</v>
      </c>
      <c r="O2072" s="116">
        <v>631.5</v>
      </c>
      <c r="P2072" s="116">
        <v>654</v>
      </c>
      <c r="Q2072" s="116">
        <v>645.5</v>
      </c>
      <c r="R2072">
        <v>7255100</v>
      </c>
    </row>
    <row r="2073" spans="1:18" x14ac:dyDescent="0.25">
      <c r="A2073" s="170">
        <v>45772</v>
      </c>
      <c r="B2073" s="116">
        <v>643.70000000000005</v>
      </c>
      <c r="C2073" s="116">
        <v>625.4</v>
      </c>
      <c r="D2073" s="116">
        <v>606.9</v>
      </c>
      <c r="E2073" s="116">
        <v>631.85</v>
      </c>
      <c r="F2073" s="116">
        <v>625.4</v>
      </c>
      <c r="G2073">
        <v>388489</v>
      </c>
      <c r="H2073" s="116"/>
      <c r="I2073" s="116"/>
      <c r="L2073" s="170">
        <v>45772</v>
      </c>
      <c r="M2073" s="116">
        <v>625.65</v>
      </c>
      <c r="N2073" s="116">
        <v>643.35</v>
      </c>
      <c r="O2073" s="116">
        <v>606.5</v>
      </c>
      <c r="P2073" s="116">
        <v>630</v>
      </c>
      <c r="Q2073" s="116">
        <v>625.65</v>
      </c>
      <c r="R2073">
        <v>7085561</v>
      </c>
    </row>
    <row r="2074" spans="1:18" x14ac:dyDescent="0.25">
      <c r="A2074" s="170">
        <v>45775</v>
      </c>
      <c r="B2074" s="116">
        <v>639.15</v>
      </c>
      <c r="C2074" s="116">
        <v>626.45000000000005</v>
      </c>
      <c r="D2074" s="116">
        <v>622.5</v>
      </c>
      <c r="E2074" s="116">
        <v>623.1</v>
      </c>
      <c r="F2074" s="116">
        <v>626.45000000000005</v>
      </c>
      <c r="G2074">
        <v>56892</v>
      </c>
      <c r="H2074" s="116"/>
      <c r="I2074" s="116"/>
      <c r="L2074" s="170">
        <v>45775</v>
      </c>
      <c r="M2074" s="116">
        <v>626.5</v>
      </c>
      <c r="N2074" s="116">
        <v>639.54999999999995</v>
      </c>
      <c r="O2074" s="116">
        <v>622.04999999999995</v>
      </c>
      <c r="P2074" s="116">
        <v>625.65</v>
      </c>
      <c r="Q2074" s="116">
        <v>626.5</v>
      </c>
      <c r="R2074">
        <v>2030722</v>
      </c>
    </row>
    <row r="2075" spans="1:18" x14ac:dyDescent="0.25">
      <c r="A2075" s="170">
        <v>45776</v>
      </c>
      <c r="B2075" s="116">
        <v>633.4</v>
      </c>
      <c r="C2075" s="116">
        <v>617.75</v>
      </c>
      <c r="D2075" s="116">
        <v>616</v>
      </c>
      <c r="E2075" s="116">
        <v>633.4</v>
      </c>
      <c r="F2075" s="116">
        <v>617.75</v>
      </c>
      <c r="G2075">
        <v>57755</v>
      </c>
      <c r="H2075" s="116"/>
      <c r="I2075" s="116"/>
      <c r="L2075" s="170">
        <v>45776</v>
      </c>
      <c r="M2075" s="116">
        <v>617.45000000000005</v>
      </c>
      <c r="N2075" s="116">
        <v>633</v>
      </c>
      <c r="O2075" s="116">
        <v>614.35</v>
      </c>
      <c r="P2075" s="116">
        <v>630</v>
      </c>
      <c r="Q2075" s="116">
        <v>617.45000000000005</v>
      </c>
      <c r="R2075">
        <v>2365426</v>
      </c>
    </row>
    <row r="2076" spans="1:18" x14ac:dyDescent="0.25">
      <c r="A2076" s="170">
        <v>45777</v>
      </c>
      <c r="B2076" s="116">
        <v>624.6</v>
      </c>
      <c r="C2076" s="116">
        <v>603.79999999999995</v>
      </c>
      <c r="D2076" s="116">
        <v>602</v>
      </c>
      <c r="E2076" s="116">
        <v>617.45000000000005</v>
      </c>
      <c r="F2076" s="116">
        <v>603.79999999999995</v>
      </c>
      <c r="G2076">
        <v>91054</v>
      </c>
      <c r="H2076" s="116"/>
      <c r="I2076" s="116"/>
      <c r="L2076" s="170">
        <v>45777</v>
      </c>
      <c r="M2076" s="116">
        <v>603.85</v>
      </c>
      <c r="N2076" s="116">
        <v>624.75</v>
      </c>
      <c r="O2076" s="116">
        <v>601.1</v>
      </c>
      <c r="P2076" s="116">
        <v>617.5</v>
      </c>
      <c r="Q2076" s="116">
        <v>603.85</v>
      </c>
      <c r="R2076">
        <v>4019666</v>
      </c>
    </row>
    <row r="2077" spans="1:18" x14ac:dyDescent="0.25">
      <c r="A2077" s="170">
        <v>45779</v>
      </c>
      <c r="B2077" s="116">
        <v>624.45000000000005</v>
      </c>
      <c r="C2077" s="116">
        <v>620.35</v>
      </c>
      <c r="D2077" s="116">
        <v>604.5</v>
      </c>
      <c r="E2077" s="116">
        <v>604.5</v>
      </c>
      <c r="F2077" s="116">
        <v>620.35</v>
      </c>
      <c r="G2077">
        <v>38111</v>
      </c>
      <c r="H2077" s="116"/>
      <c r="I2077" s="116"/>
      <c r="L2077" s="170">
        <v>45779</v>
      </c>
      <c r="M2077" s="116">
        <v>620.54999999999995</v>
      </c>
      <c r="N2077" s="116">
        <v>624.6</v>
      </c>
      <c r="O2077" s="116">
        <v>605</v>
      </c>
      <c r="P2077" s="116">
        <v>605.95000000000005</v>
      </c>
      <c r="Q2077" s="116">
        <v>620.54999999999995</v>
      </c>
      <c r="R2077">
        <v>2536670</v>
      </c>
    </row>
    <row r="2078" spans="1:18" x14ac:dyDescent="0.25">
      <c r="A2078" s="170">
        <v>45782</v>
      </c>
      <c r="B2078" s="116">
        <v>629.95000000000005</v>
      </c>
      <c r="C2078" s="116">
        <v>618.29999999999995</v>
      </c>
      <c r="D2078" s="116">
        <v>615.45000000000005</v>
      </c>
      <c r="E2078" s="116">
        <v>624.45000000000005</v>
      </c>
      <c r="F2078" s="116">
        <v>618.29999999999995</v>
      </c>
      <c r="G2078">
        <v>32454</v>
      </c>
      <c r="H2078" s="116"/>
      <c r="I2078" s="116"/>
      <c r="L2078" s="170">
        <v>45782</v>
      </c>
      <c r="M2078" s="116">
        <v>617.79999999999995</v>
      </c>
      <c r="N2078" s="116">
        <v>630</v>
      </c>
      <c r="O2078" s="116">
        <v>615</v>
      </c>
      <c r="P2078" s="116">
        <v>622.1</v>
      </c>
      <c r="Q2078" s="116">
        <v>617.79999999999995</v>
      </c>
      <c r="R2078">
        <v>1720414</v>
      </c>
    </row>
    <row r="2079" spans="1:18" x14ac:dyDescent="0.25">
      <c r="A2079" s="170">
        <v>45783</v>
      </c>
      <c r="B2079" s="116">
        <v>619.20000000000005</v>
      </c>
      <c r="C2079" s="116">
        <v>612.35</v>
      </c>
      <c r="D2079" s="116">
        <v>607.85</v>
      </c>
      <c r="E2079" s="116">
        <v>615.15</v>
      </c>
      <c r="F2079" s="116">
        <v>612.35</v>
      </c>
      <c r="G2079">
        <v>65441</v>
      </c>
      <c r="H2079" s="116"/>
      <c r="I2079" s="116"/>
      <c r="L2079" s="170">
        <v>45783</v>
      </c>
      <c r="M2079" s="116">
        <v>612.6</v>
      </c>
      <c r="N2079" s="116">
        <v>619.4</v>
      </c>
      <c r="O2079" s="116">
        <v>607.85</v>
      </c>
      <c r="P2079" s="116">
        <v>617.70000000000005</v>
      </c>
      <c r="Q2079" s="116">
        <v>612.6</v>
      </c>
      <c r="R2079">
        <v>1566542</v>
      </c>
    </row>
    <row r="2080" spans="1:18" x14ac:dyDescent="0.25">
      <c r="A2080" s="170">
        <v>45784</v>
      </c>
      <c r="B2080" s="116">
        <v>615.70000000000005</v>
      </c>
      <c r="C2080" s="116">
        <v>610.4</v>
      </c>
      <c r="D2080" s="116">
        <v>600.79999999999995</v>
      </c>
      <c r="E2080" s="116">
        <v>600.79999999999995</v>
      </c>
      <c r="F2080" s="116">
        <v>610.4</v>
      </c>
      <c r="G2080">
        <v>21346</v>
      </c>
      <c r="H2080" s="116"/>
      <c r="I2080" s="116"/>
      <c r="L2080" s="170">
        <v>45784</v>
      </c>
      <c r="M2080" s="116">
        <v>610.70000000000005</v>
      </c>
      <c r="N2080" s="116">
        <v>616</v>
      </c>
      <c r="O2080" s="116">
        <v>602.5</v>
      </c>
      <c r="P2080" s="116">
        <v>602.5</v>
      </c>
      <c r="Q2080" s="116">
        <v>610.70000000000005</v>
      </c>
      <c r="R2080">
        <v>1745190</v>
      </c>
    </row>
    <row r="2081" spans="1:18" x14ac:dyDescent="0.25">
      <c r="A2081" s="170">
        <v>45785</v>
      </c>
      <c r="B2081" s="116">
        <v>615</v>
      </c>
      <c r="C2081" s="116">
        <v>586</v>
      </c>
      <c r="D2081" s="116">
        <v>583</v>
      </c>
      <c r="E2081" s="116">
        <v>615</v>
      </c>
      <c r="F2081" s="116">
        <v>586</v>
      </c>
      <c r="G2081">
        <v>49368</v>
      </c>
      <c r="H2081" s="116"/>
      <c r="I2081" s="116"/>
      <c r="L2081" s="170">
        <v>45785</v>
      </c>
      <c r="M2081" s="116">
        <v>586.75</v>
      </c>
      <c r="N2081" s="116">
        <v>616.5</v>
      </c>
      <c r="O2081" s="116">
        <v>581</v>
      </c>
      <c r="P2081" s="116">
        <v>614.20000000000005</v>
      </c>
      <c r="Q2081" s="116">
        <v>586.75</v>
      </c>
      <c r="R2081">
        <v>2066342</v>
      </c>
    </row>
    <row r="2082" spans="1:18" x14ac:dyDescent="0.25">
      <c r="A2082" s="170">
        <v>45786</v>
      </c>
      <c r="B2082" s="116">
        <v>590.25</v>
      </c>
      <c r="C2082" s="116">
        <v>588.9</v>
      </c>
      <c r="D2082" s="116">
        <v>573.20000000000005</v>
      </c>
      <c r="E2082" s="116">
        <v>583.5</v>
      </c>
      <c r="F2082" s="116">
        <v>588.9</v>
      </c>
      <c r="G2082">
        <v>47503</v>
      </c>
      <c r="H2082" s="116"/>
      <c r="I2082" s="116"/>
      <c r="L2082" s="170">
        <v>45786</v>
      </c>
      <c r="M2082" s="116">
        <v>588.79999999999995</v>
      </c>
      <c r="N2082" s="116">
        <v>590</v>
      </c>
      <c r="O2082" s="116">
        <v>572.25</v>
      </c>
      <c r="P2082" s="116">
        <v>578</v>
      </c>
      <c r="Q2082" s="116">
        <v>588.79999999999995</v>
      </c>
      <c r="R2082">
        <v>1383731</v>
      </c>
    </row>
    <row r="2083" spans="1:18" x14ac:dyDescent="0.25">
      <c r="A2083" s="170">
        <v>45789</v>
      </c>
      <c r="B2083" s="116">
        <v>599</v>
      </c>
      <c r="C2083" s="116">
        <v>592.9</v>
      </c>
      <c r="D2083" s="116">
        <v>576</v>
      </c>
      <c r="E2083" s="116">
        <v>595.29999999999995</v>
      </c>
      <c r="F2083" s="116">
        <v>592.9</v>
      </c>
      <c r="G2083">
        <v>124824</v>
      </c>
      <c r="H2083" s="116"/>
      <c r="I2083" s="116"/>
      <c r="L2083" s="170">
        <v>45789</v>
      </c>
      <c r="M2083" s="116">
        <v>593.45000000000005</v>
      </c>
      <c r="N2083" s="116">
        <v>600</v>
      </c>
      <c r="O2083" s="116">
        <v>575.95000000000005</v>
      </c>
      <c r="P2083" s="116">
        <v>597.70000000000005</v>
      </c>
      <c r="Q2083" s="116">
        <v>593.45000000000005</v>
      </c>
      <c r="R2083">
        <v>2362969</v>
      </c>
    </row>
    <row r="2084" spans="1:18" x14ac:dyDescent="0.25">
      <c r="A2084" s="170">
        <v>45790</v>
      </c>
      <c r="B2084" s="116">
        <v>607.20000000000005</v>
      </c>
      <c r="C2084" s="116">
        <v>595.54999999999995</v>
      </c>
      <c r="D2084" s="116">
        <v>593</v>
      </c>
      <c r="E2084" s="116">
        <v>594</v>
      </c>
      <c r="F2084" s="116">
        <v>595.54999999999995</v>
      </c>
      <c r="G2084">
        <v>206673</v>
      </c>
      <c r="H2084" s="116"/>
      <c r="I2084" s="116"/>
      <c r="L2084" s="170">
        <v>45790</v>
      </c>
      <c r="M2084" s="116">
        <v>595.25</v>
      </c>
      <c r="N2084" s="116">
        <v>607.15</v>
      </c>
      <c r="O2084" s="116">
        <v>593</v>
      </c>
      <c r="P2084" s="116">
        <v>595.95000000000005</v>
      </c>
      <c r="Q2084" s="116">
        <v>595.25</v>
      </c>
      <c r="R2084">
        <v>1851333</v>
      </c>
    </row>
    <row r="2085" spans="1:18" x14ac:dyDescent="0.25">
      <c r="A2085" s="170">
        <v>45791</v>
      </c>
      <c r="B2085" s="116">
        <v>610</v>
      </c>
      <c r="C2085" s="116">
        <v>606</v>
      </c>
      <c r="D2085" s="116">
        <v>592.4</v>
      </c>
      <c r="E2085" s="116">
        <v>600.4</v>
      </c>
      <c r="F2085" s="116">
        <v>606</v>
      </c>
      <c r="G2085">
        <v>63312</v>
      </c>
      <c r="H2085" s="116"/>
      <c r="I2085" s="116"/>
      <c r="L2085" s="170">
        <v>45791</v>
      </c>
      <c r="M2085" s="116">
        <v>605.95000000000005</v>
      </c>
      <c r="N2085" s="116">
        <v>610.20000000000005</v>
      </c>
      <c r="O2085" s="116">
        <v>592.04999999999995</v>
      </c>
      <c r="P2085" s="116">
        <v>596.65</v>
      </c>
      <c r="Q2085" s="116">
        <v>605.95000000000005</v>
      </c>
      <c r="R2085">
        <v>2151896</v>
      </c>
    </row>
    <row r="2086" spans="1:18" x14ac:dyDescent="0.25">
      <c r="A2086" s="170">
        <v>45792</v>
      </c>
      <c r="B2086" s="116">
        <v>612.9</v>
      </c>
      <c r="C2086" s="116">
        <v>604.1</v>
      </c>
      <c r="D2086" s="116">
        <v>601.04999999999995</v>
      </c>
      <c r="E2086" s="116">
        <v>610.9</v>
      </c>
      <c r="F2086" s="116">
        <v>604.1</v>
      </c>
      <c r="G2086">
        <v>67624</v>
      </c>
      <c r="H2086" s="116"/>
      <c r="I2086" s="116"/>
      <c r="L2086" s="170">
        <v>45792</v>
      </c>
      <c r="M2086" s="116">
        <v>603.70000000000005</v>
      </c>
      <c r="N2086" s="116">
        <v>612.95000000000005</v>
      </c>
      <c r="O2086" s="116">
        <v>600.54999999999995</v>
      </c>
      <c r="P2086" s="116">
        <v>610</v>
      </c>
      <c r="Q2086" s="116">
        <v>603.70000000000005</v>
      </c>
      <c r="R2086">
        <v>1437309</v>
      </c>
    </row>
    <row r="2087" spans="1:18" x14ac:dyDescent="0.25">
      <c r="A2087" s="170">
        <v>45793</v>
      </c>
      <c r="B2087" s="116">
        <v>611.70000000000005</v>
      </c>
      <c r="C2087" s="116">
        <v>602.9</v>
      </c>
      <c r="D2087" s="116">
        <v>601</v>
      </c>
      <c r="E2087" s="116">
        <v>611.70000000000005</v>
      </c>
      <c r="F2087" s="116">
        <v>602.9</v>
      </c>
      <c r="G2087">
        <v>60288</v>
      </c>
      <c r="H2087" s="116"/>
      <c r="I2087" s="116"/>
      <c r="L2087" s="170">
        <v>45793</v>
      </c>
      <c r="M2087" s="116">
        <v>603.04999999999995</v>
      </c>
      <c r="N2087" s="116">
        <v>609.95000000000005</v>
      </c>
      <c r="O2087" s="116">
        <v>600.6</v>
      </c>
      <c r="P2087" s="116">
        <v>607.1</v>
      </c>
      <c r="Q2087" s="116">
        <v>603.04999999999995</v>
      </c>
      <c r="R2087">
        <v>1493001</v>
      </c>
    </row>
    <row r="2088" spans="1:18" x14ac:dyDescent="0.25">
      <c r="A2088" s="170">
        <v>45796</v>
      </c>
      <c r="B2088" s="116">
        <v>620</v>
      </c>
      <c r="C2088" s="116">
        <v>608.29999999999995</v>
      </c>
      <c r="D2088" s="116">
        <v>602</v>
      </c>
      <c r="E2088" s="116">
        <v>607.35</v>
      </c>
      <c r="F2088" s="116">
        <v>608.29999999999995</v>
      </c>
      <c r="G2088">
        <v>40625</v>
      </c>
      <c r="H2088" s="116"/>
      <c r="I2088" s="116"/>
      <c r="L2088" s="170">
        <v>45796</v>
      </c>
      <c r="M2088" s="116">
        <v>607.35</v>
      </c>
      <c r="N2088" s="116">
        <v>620.35</v>
      </c>
      <c r="O2088" s="116">
        <v>601.6</v>
      </c>
      <c r="P2088" s="116">
        <v>603</v>
      </c>
      <c r="Q2088" s="116">
        <v>607.35</v>
      </c>
      <c r="R2088">
        <v>2160342</v>
      </c>
    </row>
    <row r="2089" spans="1:18" x14ac:dyDescent="0.25">
      <c r="A2089" s="170">
        <v>45797</v>
      </c>
      <c r="B2089" s="116">
        <v>609.5</v>
      </c>
      <c r="C2089" s="116">
        <v>593.35</v>
      </c>
      <c r="D2089" s="116">
        <v>591.29999999999995</v>
      </c>
      <c r="E2089" s="116">
        <v>607.79999999999995</v>
      </c>
      <c r="F2089" s="116">
        <v>593.35</v>
      </c>
      <c r="G2089">
        <v>44365</v>
      </c>
      <c r="H2089" s="116"/>
      <c r="I2089" s="116"/>
      <c r="L2089" s="170">
        <v>45797</v>
      </c>
      <c r="M2089" s="116">
        <v>593.25</v>
      </c>
      <c r="N2089" s="116">
        <v>611.25</v>
      </c>
      <c r="O2089" s="116">
        <v>591.20000000000005</v>
      </c>
      <c r="P2089" s="116">
        <v>609.95000000000005</v>
      </c>
      <c r="Q2089" s="116">
        <v>593.25</v>
      </c>
      <c r="R2089">
        <v>1232093</v>
      </c>
    </row>
    <row r="2090" spans="1:18" x14ac:dyDescent="0.25">
      <c r="A2090" s="170">
        <v>45798</v>
      </c>
      <c r="B2090" s="116">
        <v>603.29999999999995</v>
      </c>
      <c r="C2090" s="116">
        <v>597.04999999999995</v>
      </c>
      <c r="D2090" s="116">
        <v>592.70000000000005</v>
      </c>
      <c r="E2090" s="116">
        <v>595.35</v>
      </c>
      <c r="F2090" s="116">
        <v>597.04999999999995</v>
      </c>
      <c r="G2090">
        <v>100027</v>
      </c>
      <c r="H2090" s="116"/>
      <c r="I2090" s="116"/>
      <c r="L2090" s="170">
        <v>45798</v>
      </c>
      <c r="M2090" s="116">
        <v>597.04999999999995</v>
      </c>
      <c r="N2090" s="116">
        <v>603.25</v>
      </c>
      <c r="O2090" s="116">
        <v>593.1</v>
      </c>
      <c r="P2090" s="116">
        <v>596</v>
      </c>
      <c r="Q2090" s="116">
        <v>597.04999999999995</v>
      </c>
      <c r="R2090">
        <v>1509612</v>
      </c>
    </row>
    <row r="2091" spans="1:18" x14ac:dyDescent="0.25">
      <c r="A2091" s="170">
        <v>45799</v>
      </c>
      <c r="B2091" s="116">
        <v>598.04999999999995</v>
      </c>
      <c r="C2091" s="116">
        <v>590.5</v>
      </c>
      <c r="D2091" s="116">
        <v>584.29999999999995</v>
      </c>
      <c r="E2091" s="116">
        <v>592.9</v>
      </c>
      <c r="F2091" s="116">
        <v>590.5</v>
      </c>
      <c r="G2091">
        <v>61487</v>
      </c>
      <c r="H2091" s="116"/>
      <c r="I2091" s="116"/>
      <c r="L2091" s="170">
        <v>45799</v>
      </c>
      <c r="M2091" s="116">
        <v>590.65</v>
      </c>
      <c r="N2091" s="116">
        <v>597.65</v>
      </c>
      <c r="O2091" s="116">
        <v>584.5</v>
      </c>
      <c r="P2091" s="116">
        <v>597</v>
      </c>
      <c r="Q2091" s="116">
        <v>590.65</v>
      </c>
      <c r="R2091">
        <v>1692111</v>
      </c>
    </row>
    <row r="2092" spans="1:18" x14ac:dyDescent="0.25">
      <c r="A2092" s="170">
        <v>45800</v>
      </c>
      <c r="B2092" s="116">
        <v>596.4</v>
      </c>
      <c r="C2092" s="116">
        <v>593.15</v>
      </c>
      <c r="D2092" s="116">
        <v>586.04999999999995</v>
      </c>
      <c r="E2092" s="116">
        <v>591.35</v>
      </c>
      <c r="F2092" s="116">
        <v>593.15</v>
      </c>
      <c r="G2092">
        <v>14220</v>
      </c>
      <c r="H2092" s="116"/>
      <c r="I2092" s="116"/>
      <c r="L2092" s="170">
        <v>45800</v>
      </c>
      <c r="M2092" s="116">
        <v>593.29999999999995</v>
      </c>
      <c r="N2092" s="116">
        <v>596.9</v>
      </c>
      <c r="O2092" s="116">
        <v>585.9</v>
      </c>
      <c r="P2092" s="116">
        <v>594</v>
      </c>
      <c r="Q2092" s="116">
        <v>593.29999999999995</v>
      </c>
      <c r="R2092">
        <v>683814</v>
      </c>
    </row>
    <row r="2093" spans="1:18" x14ac:dyDescent="0.25">
      <c r="A2093" s="170">
        <v>45803</v>
      </c>
      <c r="B2093" s="116">
        <v>602</v>
      </c>
      <c r="C2093" s="116">
        <v>594.9</v>
      </c>
      <c r="D2093" s="116">
        <v>593</v>
      </c>
      <c r="E2093" s="116">
        <v>597.29999999999995</v>
      </c>
      <c r="F2093" s="116">
        <v>594.9</v>
      </c>
      <c r="G2093">
        <v>13459</v>
      </c>
      <c r="H2093" s="116"/>
      <c r="I2093" s="116"/>
      <c r="L2093" s="170">
        <v>45803</v>
      </c>
      <c r="M2093" s="116">
        <v>595.04999999999995</v>
      </c>
      <c r="N2093" s="116">
        <v>602.6</v>
      </c>
      <c r="O2093" s="116">
        <v>591.6</v>
      </c>
      <c r="P2093" s="116">
        <v>592.9</v>
      </c>
      <c r="Q2093" s="116">
        <v>595.04999999999995</v>
      </c>
      <c r="R2093">
        <v>979622</v>
      </c>
    </row>
    <row r="2094" spans="1:18" x14ac:dyDescent="0.25">
      <c r="A2094" s="170">
        <v>45804</v>
      </c>
      <c r="B2094" s="116">
        <v>603.25</v>
      </c>
      <c r="C2094" s="116">
        <v>601.75</v>
      </c>
      <c r="D2094" s="116">
        <v>594</v>
      </c>
      <c r="E2094" s="116">
        <v>599.25</v>
      </c>
      <c r="F2094" s="116">
        <v>601.75</v>
      </c>
      <c r="G2094">
        <v>23561</v>
      </c>
      <c r="H2094" s="116"/>
      <c r="I2094" s="116"/>
      <c r="L2094" s="170">
        <v>45804</v>
      </c>
      <c r="M2094" s="116">
        <v>601.79999999999995</v>
      </c>
      <c r="N2094" s="116">
        <v>603</v>
      </c>
      <c r="O2094" s="116">
        <v>593.5</v>
      </c>
      <c r="P2094" s="116">
        <v>595.04999999999995</v>
      </c>
      <c r="Q2094" s="116">
        <v>601.79999999999995</v>
      </c>
      <c r="R2094">
        <v>904467</v>
      </c>
    </row>
    <row r="2095" spans="1:18" x14ac:dyDescent="0.25">
      <c r="A2095" s="170">
        <v>45805</v>
      </c>
      <c r="B2095" s="116">
        <v>618.6</v>
      </c>
      <c r="C2095" s="116">
        <v>610.70000000000005</v>
      </c>
      <c r="D2095" s="116">
        <v>604.04999999999995</v>
      </c>
      <c r="E2095" s="116">
        <v>608.9</v>
      </c>
      <c r="F2095" s="116">
        <v>610.70000000000005</v>
      </c>
      <c r="G2095">
        <v>47844</v>
      </c>
      <c r="H2095" s="116"/>
      <c r="I2095" s="116"/>
      <c r="L2095" s="170">
        <v>45805</v>
      </c>
      <c r="M2095" s="116">
        <v>610.5</v>
      </c>
      <c r="N2095" s="116">
        <v>618.45000000000005</v>
      </c>
      <c r="O2095" s="116">
        <v>604</v>
      </c>
      <c r="P2095" s="116">
        <v>605.4</v>
      </c>
      <c r="Q2095" s="116">
        <v>610.5</v>
      </c>
      <c r="R2095">
        <v>1820549</v>
      </c>
    </row>
    <row r="2096" spans="1:18" x14ac:dyDescent="0.25">
      <c r="A2096" s="170">
        <v>45806</v>
      </c>
      <c r="B2096" s="116">
        <v>617.95000000000005</v>
      </c>
      <c r="C2096" s="116">
        <v>614.75</v>
      </c>
      <c r="D2096" s="116">
        <v>610.20000000000005</v>
      </c>
      <c r="E2096" s="116">
        <v>617.95000000000005</v>
      </c>
      <c r="F2096" s="116">
        <v>614.75</v>
      </c>
      <c r="G2096">
        <v>69351</v>
      </c>
      <c r="H2096" s="116"/>
      <c r="I2096" s="116"/>
      <c r="L2096" s="170">
        <v>45806</v>
      </c>
      <c r="M2096" s="116">
        <v>614.5</v>
      </c>
      <c r="N2096" s="116">
        <v>616.25</v>
      </c>
      <c r="O2096" s="116">
        <v>610.25</v>
      </c>
      <c r="P2096" s="116">
        <v>614</v>
      </c>
      <c r="Q2096" s="116">
        <v>614.5</v>
      </c>
      <c r="R2096">
        <v>897856</v>
      </c>
    </row>
    <row r="2097" spans="1:18" x14ac:dyDescent="0.25">
      <c r="A2097" s="170">
        <v>45807</v>
      </c>
      <c r="B2097" s="116">
        <v>618.4</v>
      </c>
      <c r="C2097" s="116">
        <v>609.1</v>
      </c>
      <c r="D2097" s="116">
        <v>606</v>
      </c>
      <c r="E2097" s="116">
        <v>615.35</v>
      </c>
      <c r="F2097" s="116">
        <v>609.1</v>
      </c>
      <c r="G2097">
        <v>32276</v>
      </c>
      <c r="H2097" s="116"/>
      <c r="I2097" s="116"/>
      <c r="L2097" s="170">
        <v>45807</v>
      </c>
      <c r="M2097" s="116">
        <v>609.6</v>
      </c>
      <c r="N2097" s="116">
        <v>618.5</v>
      </c>
      <c r="O2097" s="116">
        <v>606.5</v>
      </c>
      <c r="P2097" s="116">
        <v>615</v>
      </c>
      <c r="Q2097" s="116">
        <v>609.6</v>
      </c>
      <c r="R2097">
        <v>791160</v>
      </c>
    </row>
    <row r="2098" spans="1:18" x14ac:dyDescent="0.25">
      <c r="A2098" s="170">
        <v>45810</v>
      </c>
      <c r="B2098" s="116">
        <v>614.15</v>
      </c>
      <c r="C2098" s="116">
        <v>611.35</v>
      </c>
      <c r="D2098" s="116">
        <v>606.6</v>
      </c>
      <c r="E2098" s="116">
        <v>610</v>
      </c>
      <c r="F2098" s="116">
        <v>611.35</v>
      </c>
      <c r="G2098">
        <v>21690</v>
      </c>
      <c r="H2098" s="116"/>
      <c r="I2098" s="116"/>
      <c r="L2098" s="170">
        <v>45810</v>
      </c>
      <c r="M2098" s="116">
        <v>611.1</v>
      </c>
      <c r="N2098" s="116">
        <v>614.1</v>
      </c>
      <c r="O2098" s="116">
        <v>606.20000000000005</v>
      </c>
      <c r="P2098" s="116">
        <v>610</v>
      </c>
      <c r="Q2098" s="116">
        <v>611.1</v>
      </c>
      <c r="R2098">
        <v>583368</v>
      </c>
    </row>
    <row r="2099" spans="1:18" x14ac:dyDescent="0.25">
      <c r="A2099" s="170">
        <v>45811</v>
      </c>
      <c r="B2099" s="116">
        <v>622.29999999999995</v>
      </c>
      <c r="C2099" s="116">
        <v>619.29999999999995</v>
      </c>
      <c r="D2099" s="116">
        <v>609.54999999999995</v>
      </c>
      <c r="E2099" s="116">
        <v>613.65</v>
      </c>
      <c r="F2099" s="116">
        <v>619.29999999999995</v>
      </c>
      <c r="G2099">
        <v>71480</v>
      </c>
      <c r="H2099" s="116"/>
      <c r="I2099" s="116"/>
      <c r="L2099" s="170">
        <v>45811</v>
      </c>
      <c r="M2099" s="116">
        <v>619.6</v>
      </c>
      <c r="N2099" s="116">
        <v>622.65</v>
      </c>
      <c r="O2099" s="116">
        <v>609.20000000000005</v>
      </c>
      <c r="P2099" s="116">
        <v>612.04999999999995</v>
      </c>
      <c r="Q2099" s="116">
        <v>619.6</v>
      </c>
      <c r="R2099">
        <v>1570254</v>
      </c>
    </row>
    <row r="2100" spans="1:18" x14ac:dyDescent="0.25">
      <c r="A2100" s="170">
        <v>45812</v>
      </c>
      <c r="B2100" s="116">
        <v>624.65</v>
      </c>
      <c r="C2100" s="116">
        <v>623.20000000000005</v>
      </c>
      <c r="D2100" s="116">
        <v>611.04999999999995</v>
      </c>
      <c r="E2100" s="116">
        <v>624.65</v>
      </c>
      <c r="F2100" s="116">
        <v>623.20000000000005</v>
      </c>
      <c r="G2100">
        <v>36337</v>
      </c>
      <c r="H2100" s="116"/>
      <c r="I2100" s="116"/>
      <c r="L2100" s="170">
        <v>45812</v>
      </c>
      <c r="M2100" s="116">
        <v>623.35</v>
      </c>
      <c r="N2100" s="116">
        <v>624.65</v>
      </c>
      <c r="O2100" s="116">
        <v>610.65</v>
      </c>
      <c r="P2100" s="116">
        <v>623.20000000000005</v>
      </c>
      <c r="Q2100" s="116">
        <v>623.35</v>
      </c>
      <c r="R2100">
        <v>1639319</v>
      </c>
    </row>
    <row r="2101" spans="1:18" x14ac:dyDescent="0.25">
      <c r="A2101" s="170">
        <v>45813</v>
      </c>
      <c r="B2101" s="116">
        <v>649.5</v>
      </c>
      <c r="C2101" s="116">
        <v>640.65</v>
      </c>
      <c r="D2101" s="116">
        <v>623.20000000000005</v>
      </c>
      <c r="E2101" s="116">
        <v>623.35</v>
      </c>
      <c r="F2101" s="116">
        <v>640.65</v>
      </c>
      <c r="G2101">
        <v>110025</v>
      </c>
      <c r="H2101" s="116"/>
      <c r="I2101" s="116"/>
      <c r="L2101" s="170">
        <v>45813</v>
      </c>
      <c r="M2101" s="116">
        <v>640.65</v>
      </c>
      <c r="N2101" s="116">
        <v>649.6</v>
      </c>
      <c r="O2101" s="116">
        <v>622.6</v>
      </c>
      <c r="P2101" s="116">
        <v>624.95000000000005</v>
      </c>
      <c r="Q2101" s="116">
        <v>640.65</v>
      </c>
      <c r="R2101">
        <v>3345250</v>
      </c>
    </row>
    <row r="2102" spans="1:18" x14ac:dyDescent="0.25">
      <c r="A2102" s="170">
        <v>45814</v>
      </c>
      <c r="B2102" s="116">
        <v>643.35</v>
      </c>
      <c r="C2102" s="116">
        <v>641.79999999999995</v>
      </c>
      <c r="D2102" s="116">
        <v>626.35</v>
      </c>
      <c r="E2102" s="116">
        <v>640</v>
      </c>
      <c r="F2102" s="116">
        <v>641.79999999999995</v>
      </c>
      <c r="G2102">
        <v>90080</v>
      </c>
      <c r="H2102" s="116"/>
      <c r="I2102" s="116"/>
      <c r="L2102" s="170">
        <v>45814</v>
      </c>
      <c r="M2102" s="116">
        <v>642.04999999999995</v>
      </c>
      <c r="N2102" s="116">
        <v>643.65</v>
      </c>
      <c r="O2102" s="116">
        <v>626.6</v>
      </c>
      <c r="P2102" s="116">
        <v>640.65</v>
      </c>
      <c r="Q2102" s="116">
        <v>642.04999999999995</v>
      </c>
      <c r="R2102">
        <v>1658783</v>
      </c>
    </row>
    <row r="2103" spans="1:18" x14ac:dyDescent="0.25">
      <c r="A2103" s="170">
        <v>45817</v>
      </c>
      <c r="B2103" s="116">
        <v>669.3</v>
      </c>
      <c r="C2103" s="116">
        <v>667.1</v>
      </c>
      <c r="D2103" s="116">
        <v>642.04999999999995</v>
      </c>
      <c r="E2103" s="116">
        <v>647.5</v>
      </c>
      <c r="F2103" s="116">
        <v>667.1</v>
      </c>
      <c r="G2103">
        <v>105168</v>
      </c>
      <c r="H2103" s="116"/>
      <c r="I2103" s="116"/>
      <c r="L2103" s="170">
        <v>45817</v>
      </c>
      <c r="M2103" s="116">
        <v>667.35</v>
      </c>
      <c r="N2103" s="116">
        <v>669.45</v>
      </c>
      <c r="O2103" s="116">
        <v>642.04999999999995</v>
      </c>
      <c r="P2103" s="116">
        <v>644</v>
      </c>
      <c r="Q2103" s="116">
        <v>667.35</v>
      </c>
      <c r="R2103">
        <v>3895711</v>
      </c>
    </row>
    <row r="2104" spans="1:18" x14ac:dyDescent="0.25">
      <c r="A2104" s="170">
        <v>45818</v>
      </c>
      <c r="B2104" s="116">
        <v>672.5</v>
      </c>
      <c r="C2104" s="116">
        <v>666.2</v>
      </c>
      <c r="D2104" s="116">
        <v>662.5</v>
      </c>
      <c r="E2104" s="116">
        <v>669.3</v>
      </c>
      <c r="F2104" s="116">
        <v>666.2</v>
      </c>
      <c r="G2104">
        <v>53385</v>
      </c>
      <c r="H2104" s="116"/>
      <c r="I2104" s="116"/>
      <c r="L2104" s="170">
        <v>45818</v>
      </c>
      <c r="M2104" s="116">
        <v>666.45</v>
      </c>
      <c r="N2104" s="116">
        <v>672.7</v>
      </c>
      <c r="O2104" s="116">
        <v>662.5</v>
      </c>
      <c r="P2104" s="116">
        <v>671.05</v>
      </c>
      <c r="Q2104" s="116">
        <v>666.45</v>
      </c>
      <c r="R2104">
        <v>1533417</v>
      </c>
    </row>
    <row r="2105" spans="1:18" x14ac:dyDescent="0.25">
      <c r="A2105" s="170">
        <v>45819</v>
      </c>
      <c r="B2105" s="116">
        <v>678.75</v>
      </c>
      <c r="C2105" s="116">
        <v>676.75</v>
      </c>
      <c r="D2105" s="116">
        <v>666.25</v>
      </c>
      <c r="E2105" s="116">
        <v>671.65</v>
      </c>
      <c r="F2105" s="116">
        <v>676.75</v>
      </c>
      <c r="G2105">
        <v>72954</v>
      </c>
      <c r="H2105" s="116"/>
      <c r="I2105" s="116"/>
      <c r="L2105" s="170">
        <v>45819</v>
      </c>
      <c r="M2105" s="116">
        <v>676.45</v>
      </c>
      <c r="N2105" s="116">
        <v>679</v>
      </c>
      <c r="O2105" s="116">
        <v>665.55</v>
      </c>
      <c r="P2105" s="116">
        <v>668</v>
      </c>
      <c r="Q2105" s="116">
        <v>676.45</v>
      </c>
      <c r="R2105">
        <v>1933439</v>
      </c>
    </row>
    <row r="2106" spans="1:18" x14ac:dyDescent="0.25">
      <c r="A2106" s="170">
        <v>45820</v>
      </c>
      <c r="B2106" s="116">
        <v>680.9</v>
      </c>
      <c r="C2106" s="116">
        <v>666.25</v>
      </c>
      <c r="D2106" s="116">
        <v>664</v>
      </c>
      <c r="E2106" s="116">
        <v>677.25</v>
      </c>
      <c r="F2106" s="116">
        <v>666.25</v>
      </c>
      <c r="G2106">
        <v>91719</v>
      </c>
      <c r="H2106" s="116"/>
      <c r="I2106" s="116"/>
      <c r="L2106" s="170">
        <v>45820</v>
      </c>
      <c r="M2106" s="116">
        <v>666.75</v>
      </c>
      <c r="N2106" s="116">
        <v>681</v>
      </c>
      <c r="O2106" s="116">
        <v>664.6</v>
      </c>
      <c r="P2106" s="116">
        <v>678.5</v>
      </c>
      <c r="Q2106" s="116">
        <v>666.75</v>
      </c>
      <c r="R2106">
        <v>2371142</v>
      </c>
    </row>
    <row r="2107" spans="1:18" x14ac:dyDescent="0.25">
      <c r="A2107" s="170">
        <v>45821</v>
      </c>
      <c r="B2107" s="116">
        <v>673.35</v>
      </c>
      <c r="C2107" s="116">
        <v>666.95</v>
      </c>
      <c r="D2107" s="116">
        <v>651.65</v>
      </c>
      <c r="E2107" s="116">
        <v>655</v>
      </c>
      <c r="F2107" s="116">
        <v>666.95</v>
      </c>
      <c r="G2107">
        <v>72114</v>
      </c>
      <c r="H2107" s="116"/>
      <c r="I2107" s="116"/>
      <c r="L2107" s="170">
        <v>45821</v>
      </c>
      <c r="M2107" s="116">
        <v>666.6</v>
      </c>
      <c r="N2107" s="116">
        <v>673.9</v>
      </c>
      <c r="O2107" s="116">
        <v>650.15</v>
      </c>
      <c r="P2107" s="116">
        <v>655.5</v>
      </c>
      <c r="Q2107" s="116">
        <v>666.6</v>
      </c>
      <c r="R2107">
        <v>1292254</v>
      </c>
    </row>
    <row r="2108" spans="1:18" x14ac:dyDescent="0.25">
      <c r="A2108" s="170">
        <v>45824</v>
      </c>
      <c r="B2108" s="116">
        <v>682.35</v>
      </c>
      <c r="C2108" s="116">
        <v>679.9</v>
      </c>
      <c r="D2108" s="116">
        <v>658.85</v>
      </c>
      <c r="E2108" s="116">
        <v>666</v>
      </c>
      <c r="F2108" s="116">
        <v>679.9</v>
      </c>
      <c r="G2108">
        <v>80252</v>
      </c>
      <c r="H2108" s="116"/>
      <c r="I2108" s="116"/>
      <c r="L2108" s="170">
        <v>45824</v>
      </c>
      <c r="M2108" s="116">
        <v>680.25</v>
      </c>
      <c r="N2108" s="116">
        <v>683</v>
      </c>
      <c r="O2108" s="116">
        <v>659.2</v>
      </c>
      <c r="P2108" s="116">
        <v>666.75</v>
      </c>
      <c r="Q2108" s="116">
        <v>680.25</v>
      </c>
      <c r="R2108">
        <v>2311916</v>
      </c>
    </row>
    <row r="2109" spans="1:18" x14ac:dyDescent="0.25">
      <c r="A2109" s="170">
        <v>45825</v>
      </c>
      <c r="B2109" s="116">
        <v>684.6</v>
      </c>
      <c r="C2109" s="116">
        <v>660.6</v>
      </c>
      <c r="D2109" s="116">
        <v>656.85</v>
      </c>
      <c r="E2109" s="116">
        <v>684.6</v>
      </c>
      <c r="F2109" s="116">
        <v>660.6</v>
      </c>
      <c r="G2109">
        <v>42515</v>
      </c>
      <c r="H2109" s="116"/>
      <c r="I2109" s="116"/>
      <c r="L2109" s="170">
        <v>45825</v>
      </c>
      <c r="M2109" s="116">
        <v>660.55</v>
      </c>
      <c r="N2109" s="116">
        <v>681.3</v>
      </c>
      <c r="O2109" s="116">
        <v>655.75</v>
      </c>
      <c r="P2109" s="116">
        <v>681</v>
      </c>
      <c r="Q2109" s="116">
        <v>660.55</v>
      </c>
      <c r="R2109">
        <v>1722958</v>
      </c>
    </row>
    <row r="2110" spans="1:18" x14ac:dyDescent="0.25">
      <c r="A2110" s="170">
        <v>45826</v>
      </c>
      <c r="B2110" s="116">
        <v>667.85</v>
      </c>
      <c r="C2110" s="116">
        <v>663.4</v>
      </c>
      <c r="D2110" s="116">
        <v>650.79999999999995</v>
      </c>
      <c r="E2110" s="116">
        <v>660.6</v>
      </c>
      <c r="F2110" s="116">
        <v>663.4</v>
      </c>
      <c r="G2110">
        <v>40662</v>
      </c>
      <c r="H2110" s="116"/>
      <c r="I2110" s="116"/>
      <c r="L2110" s="170">
        <v>45826</v>
      </c>
      <c r="M2110" s="116">
        <v>664.35</v>
      </c>
      <c r="N2110" s="116">
        <v>668</v>
      </c>
      <c r="O2110" s="116">
        <v>650.04999999999995</v>
      </c>
      <c r="P2110" s="116">
        <v>660</v>
      </c>
      <c r="Q2110" s="116">
        <v>664.35</v>
      </c>
      <c r="R2110">
        <v>1656141</v>
      </c>
    </row>
    <row r="2111" spans="1:18" x14ac:dyDescent="0.25">
      <c r="A2111" s="170">
        <v>45827</v>
      </c>
      <c r="B2111" s="116">
        <v>666.8</v>
      </c>
      <c r="C2111" s="116">
        <v>645.85</v>
      </c>
      <c r="D2111" s="116">
        <v>645.04999999999995</v>
      </c>
      <c r="E2111" s="116">
        <v>664.75</v>
      </c>
      <c r="F2111" s="116">
        <v>645.85</v>
      </c>
      <c r="G2111">
        <v>32912</v>
      </c>
      <c r="H2111" s="116"/>
      <c r="I2111" s="116"/>
      <c r="L2111" s="170">
        <v>45827</v>
      </c>
      <c r="M2111" s="116">
        <v>646.25</v>
      </c>
      <c r="N2111" s="116">
        <v>667</v>
      </c>
      <c r="O2111" s="116">
        <v>645</v>
      </c>
      <c r="P2111" s="116">
        <v>665</v>
      </c>
      <c r="Q2111" s="116">
        <v>646.25</v>
      </c>
      <c r="R2111">
        <v>1150032</v>
      </c>
    </row>
    <row r="2112" spans="1:18" x14ac:dyDescent="0.25">
      <c r="A2112" s="170">
        <v>45828</v>
      </c>
      <c r="B2112" s="116">
        <v>652.95000000000005</v>
      </c>
      <c r="C2112" s="116">
        <v>651.20000000000005</v>
      </c>
      <c r="D2112" s="116">
        <v>640.95000000000005</v>
      </c>
      <c r="E2112" s="116">
        <v>642.54999999999995</v>
      </c>
      <c r="F2112" s="116">
        <v>651.20000000000005</v>
      </c>
      <c r="G2112">
        <v>23816</v>
      </c>
      <c r="H2112" s="116"/>
      <c r="I2112" s="116"/>
      <c r="L2112" s="170">
        <v>45828</v>
      </c>
      <c r="M2112" s="116">
        <v>651</v>
      </c>
      <c r="N2112" s="116">
        <v>653</v>
      </c>
      <c r="O2112" s="116">
        <v>641.04999999999995</v>
      </c>
      <c r="P2112" s="116">
        <v>643.65</v>
      </c>
      <c r="Q2112" s="116">
        <v>651</v>
      </c>
      <c r="R2112">
        <v>2397584</v>
      </c>
    </row>
    <row r="2113" spans="1:18" x14ac:dyDescent="0.25">
      <c r="A2113" s="170">
        <v>45831</v>
      </c>
      <c r="B2113" s="116">
        <v>668.7</v>
      </c>
      <c r="C2113" s="116">
        <v>666.6</v>
      </c>
      <c r="D2113" s="116">
        <v>645.04999999999995</v>
      </c>
      <c r="E2113" s="116">
        <v>645.04999999999995</v>
      </c>
      <c r="F2113" s="116">
        <v>666.6</v>
      </c>
      <c r="G2113">
        <v>65949</v>
      </c>
      <c r="H2113" s="116"/>
      <c r="I2113" s="116"/>
      <c r="L2113" s="170">
        <v>45831</v>
      </c>
      <c r="M2113" s="116">
        <v>666.3</v>
      </c>
      <c r="N2113" s="116">
        <v>668.5</v>
      </c>
      <c r="O2113" s="116">
        <v>647</v>
      </c>
      <c r="P2113" s="116">
        <v>647</v>
      </c>
      <c r="Q2113" s="116">
        <v>666.3</v>
      </c>
      <c r="R2113">
        <v>1521710</v>
      </c>
    </row>
    <row r="2114" spans="1:18" x14ac:dyDescent="0.25">
      <c r="A2114" s="170">
        <v>45832</v>
      </c>
      <c r="B2114" s="116">
        <v>673.25</v>
      </c>
      <c r="C2114" s="116">
        <v>669.35</v>
      </c>
      <c r="D2114" s="116">
        <v>664.05</v>
      </c>
      <c r="E2114" s="116">
        <v>669.25</v>
      </c>
      <c r="F2114" s="116">
        <v>669.35</v>
      </c>
      <c r="G2114">
        <v>42240</v>
      </c>
      <c r="H2114" s="116"/>
      <c r="I2114" s="116"/>
      <c r="L2114" s="170">
        <v>45832</v>
      </c>
      <c r="M2114" s="116">
        <v>669.55</v>
      </c>
      <c r="N2114" s="116">
        <v>673.35</v>
      </c>
      <c r="O2114" s="116">
        <v>664.15</v>
      </c>
      <c r="P2114" s="116">
        <v>672</v>
      </c>
      <c r="Q2114" s="116">
        <v>669.55</v>
      </c>
      <c r="R2114">
        <v>1034160</v>
      </c>
    </row>
    <row r="2115" spans="1:18" x14ac:dyDescent="0.25">
      <c r="A2115" s="170">
        <v>45833</v>
      </c>
      <c r="B2115" s="116">
        <v>677.7</v>
      </c>
      <c r="C2115" s="116">
        <v>669.75</v>
      </c>
      <c r="D2115" s="116">
        <v>668.65</v>
      </c>
      <c r="E2115" s="116">
        <v>670.95</v>
      </c>
      <c r="F2115" s="116">
        <v>669.75</v>
      </c>
      <c r="G2115">
        <v>27069</v>
      </c>
      <c r="H2115" s="116"/>
      <c r="I2115" s="116"/>
      <c r="L2115" s="170">
        <v>45833</v>
      </c>
      <c r="M2115" s="116">
        <v>669.95</v>
      </c>
      <c r="N2115" s="116">
        <v>677.9</v>
      </c>
      <c r="O2115" s="116">
        <v>668.55</v>
      </c>
      <c r="P2115" s="116">
        <v>672</v>
      </c>
      <c r="Q2115" s="116">
        <v>669.95</v>
      </c>
      <c r="R2115">
        <v>966550</v>
      </c>
    </row>
    <row r="2116" spans="1:18" x14ac:dyDescent="0.25">
      <c r="A2116" s="170">
        <v>45834</v>
      </c>
      <c r="B2116" s="116">
        <v>685</v>
      </c>
      <c r="C2116" s="116">
        <v>680.55</v>
      </c>
      <c r="D2116" s="116">
        <v>663.3</v>
      </c>
      <c r="E2116" s="116">
        <v>668.8</v>
      </c>
      <c r="F2116" s="116">
        <v>680.55</v>
      </c>
      <c r="G2116">
        <v>52255</v>
      </c>
      <c r="H2116" s="116"/>
      <c r="I2116" s="116"/>
      <c r="L2116" s="170">
        <v>45834</v>
      </c>
      <c r="M2116" s="116">
        <v>680.35</v>
      </c>
      <c r="N2116" s="116">
        <v>685.6</v>
      </c>
      <c r="O2116" s="116">
        <v>663.05</v>
      </c>
      <c r="P2116" s="116">
        <v>671.75</v>
      </c>
      <c r="Q2116" s="116">
        <v>680.35</v>
      </c>
      <c r="R2116">
        <v>2369296</v>
      </c>
    </row>
    <row r="2117" spans="1:18" x14ac:dyDescent="0.25">
      <c r="A2117" s="170">
        <v>45835</v>
      </c>
      <c r="B2117" s="116">
        <v>704</v>
      </c>
      <c r="C2117" s="116">
        <v>701.7</v>
      </c>
      <c r="D2117" s="116">
        <v>673.6</v>
      </c>
      <c r="E2117" s="116">
        <v>682.1</v>
      </c>
      <c r="F2117" s="116">
        <v>701.7</v>
      </c>
      <c r="G2117">
        <v>176343</v>
      </c>
      <c r="H2117" s="116"/>
      <c r="I2117" s="116"/>
      <c r="L2117" s="170">
        <v>45835</v>
      </c>
      <c r="M2117" s="116">
        <v>701.8</v>
      </c>
      <c r="N2117" s="116">
        <v>704.3</v>
      </c>
      <c r="O2117" s="116">
        <v>678.7</v>
      </c>
      <c r="P2117" s="116">
        <v>683</v>
      </c>
      <c r="Q2117" s="116">
        <v>701.8</v>
      </c>
      <c r="R2117">
        <v>3178596</v>
      </c>
    </row>
    <row r="2118" spans="1:18" x14ac:dyDescent="0.25">
      <c r="A2118" s="170">
        <v>45838</v>
      </c>
      <c r="B2118" s="116">
        <v>726.9</v>
      </c>
      <c r="C2118" s="116">
        <v>724.9</v>
      </c>
      <c r="D2118" s="116">
        <v>704.3</v>
      </c>
      <c r="E2118" s="116">
        <v>711</v>
      </c>
      <c r="F2118" s="116">
        <v>724.9</v>
      </c>
      <c r="G2118">
        <v>135687</v>
      </c>
      <c r="H2118" s="116"/>
      <c r="I2118" s="116"/>
      <c r="L2118" s="170">
        <v>45838</v>
      </c>
      <c r="M2118" s="116">
        <v>724.85</v>
      </c>
      <c r="N2118" s="116">
        <v>727</v>
      </c>
      <c r="O2118" s="116">
        <v>704</v>
      </c>
      <c r="P2118" s="116">
        <v>709.8</v>
      </c>
      <c r="Q2118" s="116">
        <v>724.85</v>
      </c>
      <c r="R2118">
        <v>4837432</v>
      </c>
    </row>
    <row r="2119" spans="1:18" x14ac:dyDescent="0.25">
      <c r="A2119" s="170">
        <v>45839</v>
      </c>
      <c r="B2119" s="116">
        <v>749</v>
      </c>
      <c r="C2119" s="116">
        <v>746</v>
      </c>
      <c r="D2119" s="116">
        <v>722</v>
      </c>
      <c r="E2119" s="116">
        <v>729.8</v>
      </c>
      <c r="F2119" s="116">
        <v>746</v>
      </c>
      <c r="G2119">
        <v>313916</v>
      </c>
      <c r="H2119" s="116"/>
      <c r="I2119" s="116"/>
      <c r="L2119" s="170">
        <v>45839</v>
      </c>
      <c r="M2119" s="116">
        <v>746.05</v>
      </c>
      <c r="N2119" s="116">
        <v>750</v>
      </c>
      <c r="O2119" s="116">
        <v>721.05</v>
      </c>
      <c r="P2119" s="116">
        <v>730</v>
      </c>
      <c r="Q2119" s="116">
        <v>746.05</v>
      </c>
      <c r="R2119">
        <v>4704542</v>
      </c>
    </row>
    <row r="2120" spans="1:18" x14ac:dyDescent="0.25">
      <c r="A2120" s="170">
        <v>45840</v>
      </c>
      <c r="B2120" s="116">
        <v>761.9</v>
      </c>
      <c r="C2120" s="116">
        <v>757.6</v>
      </c>
      <c r="D2120" s="116">
        <v>742.15</v>
      </c>
      <c r="E2120" s="116">
        <v>745.8</v>
      </c>
      <c r="F2120" s="116">
        <v>757.6</v>
      </c>
      <c r="G2120">
        <v>111761</v>
      </c>
      <c r="H2120" s="116"/>
      <c r="I2120" s="116"/>
      <c r="L2120" s="170">
        <v>45840</v>
      </c>
      <c r="M2120" s="116">
        <v>756.75</v>
      </c>
      <c r="N2120" s="116">
        <v>761.75</v>
      </c>
      <c r="O2120" s="116">
        <v>742</v>
      </c>
      <c r="P2120" s="116">
        <v>746.05</v>
      </c>
      <c r="Q2120" s="116">
        <v>756.75</v>
      </c>
      <c r="R2120">
        <v>3997677</v>
      </c>
    </row>
    <row r="2121" spans="1:18" x14ac:dyDescent="0.25">
      <c r="A2121" s="170">
        <v>45841</v>
      </c>
      <c r="B2121" s="116">
        <v>764.5</v>
      </c>
      <c r="C2121" s="116">
        <v>758.1</v>
      </c>
      <c r="D2121" s="116">
        <v>752.65</v>
      </c>
      <c r="E2121" s="116">
        <v>755.75</v>
      </c>
      <c r="F2121" s="116">
        <v>758.1</v>
      </c>
      <c r="G2121">
        <v>152783</v>
      </c>
      <c r="H2121" s="116"/>
      <c r="I2121" s="116"/>
      <c r="L2121" s="170">
        <v>45841</v>
      </c>
      <c r="M2121" s="116">
        <v>758.55</v>
      </c>
      <c r="N2121" s="116">
        <v>764.45</v>
      </c>
      <c r="O2121" s="116">
        <v>752.9</v>
      </c>
      <c r="P2121" s="116">
        <v>756.75</v>
      </c>
      <c r="Q2121" s="116">
        <v>758.55</v>
      </c>
      <c r="R2121">
        <v>2481621</v>
      </c>
    </row>
    <row r="2122" spans="1:18" x14ac:dyDescent="0.25">
      <c r="A2122" s="170">
        <v>45842</v>
      </c>
      <c r="B2122" s="116">
        <v>777.9</v>
      </c>
      <c r="C2122" s="116">
        <v>776</v>
      </c>
      <c r="D2122" s="116">
        <v>758.1</v>
      </c>
      <c r="E2122" s="116">
        <v>760.3</v>
      </c>
      <c r="F2122" s="116">
        <v>776</v>
      </c>
      <c r="G2122">
        <v>88814</v>
      </c>
      <c r="H2122" s="116"/>
      <c r="I2122" s="116"/>
      <c r="L2122" s="170">
        <v>45842</v>
      </c>
      <c r="M2122" s="116">
        <v>776</v>
      </c>
      <c r="N2122" s="116">
        <v>777.9</v>
      </c>
      <c r="O2122" s="116">
        <v>756.65</v>
      </c>
      <c r="P2122" s="116">
        <v>759.8</v>
      </c>
      <c r="Q2122" s="116">
        <v>776</v>
      </c>
      <c r="R2122">
        <v>3230212</v>
      </c>
    </row>
    <row r="2123" spans="1:18" x14ac:dyDescent="0.25">
      <c r="A2123" s="170">
        <v>45845</v>
      </c>
      <c r="B2123" s="116">
        <v>779.5</v>
      </c>
      <c r="C2123" s="116">
        <v>776.7</v>
      </c>
      <c r="D2123" s="116">
        <v>763.4</v>
      </c>
      <c r="E2123" s="116">
        <v>778.55</v>
      </c>
      <c r="F2123" s="116">
        <v>776.7</v>
      </c>
      <c r="G2123">
        <v>77883</v>
      </c>
      <c r="H2123" s="116"/>
      <c r="I2123" s="116"/>
      <c r="L2123" s="170">
        <v>45845</v>
      </c>
      <c r="M2123" s="116">
        <v>776.25</v>
      </c>
      <c r="N2123" s="116">
        <v>779.45</v>
      </c>
      <c r="O2123" s="116">
        <v>763.55</v>
      </c>
      <c r="P2123" s="116">
        <v>777.7</v>
      </c>
      <c r="Q2123" s="116">
        <v>776.25</v>
      </c>
      <c r="R2123">
        <v>1174377</v>
      </c>
    </row>
    <row r="2124" spans="1:18" x14ac:dyDescent="0.25">
      <c r="A2124" s="170">
        <v>45846</v>
      </c>
      <c r="B2124" s="116">
        <v>779.85</v>
      </c>
      <c r="C2124" s="116">
        <v>778</v>
      </c>
      <c r="D2124" s="116">
        <v>761.05</v>
      </c>
      <c r="E2124" s="116">
        <v>771.2</v>
      </c>
      <c r="F2124" s="116">
        <v>778</v>
      </c>
      <c r="G2124">
        <v>63286</v>
      </c>
      <c r="H2124" s="116"/>
      <c r="I2124" s="116"/>
      <c r="L2124" s="170">
        <v>45846</v>
      </c>
      <c r="M2124" s="116">
        <v>778.3</v>
      </c>
      <c r="N2124" s="116">
        <v>779.7</v>
      </c>
      <c r="O2124" s="116">
        <v>761.2</v>
      </c>
      <c r="P2124" s="116">
        <v>775</v>
      </c>
      <c r="Q2124" s="116">
        <v>778.3</v>
      </c>
      <c r="R2124">
        <v>1558057</v>
      </c>
    </row>
    <row r="2125" spans="1:18" x14ac:dyDescent="0.25">
      <c r="A2125" s="170">
        <v>45847</v>
      </c>
      <c r="B2125" s="116">
        <v>797.9</v>
      </c>
      <c r="C2125" s="116">
        <v>793.75</v>
      </c>
      <c r="D2125" s="116">
        <v>775.4</v>
      </c>
      <c r="E2125" s="116">
        <v>777</v>
      </c>
      <c r="F2125" s="116">
        <v>793.75</v>
      </c>
      <c r="G2125">
        <v>80031</v>
      </c>
      <c r="H2125" s="116"/>
      <c r="I2125" s="116"/>
      <c r="L2125" s="170">
        <v>45847</v>
      </c>
      <c r="M2125" s="116">
        <v>794.4</v>
      </c>
      <c r="N2125" s="116">
        <v>797.8</v>
      </c>
      <c r="O2125" s="116">
        <v>775.15</v>
      </c>
      <c r="P2125" s="116">
        <v>776.85</v>
      </c>
      <c r="Q2125" s="116">
        <v>794.4</v>
      </c>
      <c r="R2125">
        <v>3672922</v>
      </c>
    </row>
    <row r="2126" spans="1:18" x14ac:dyDescent="0.25">
      <c r="A2126" s="170">
        <v>45848</v>
      </c>
      <c r="B2126" s="116">
        <v>799.4</v>
      </c>
      <c r="C2126" s="116">
        <v>793.35</v>
      </c>
      <c r="D2126" s="116">
        <v>784</v>
      </c>
      <c r="E2126" s="116">
        <v>795.1</v>
      </c>
      <c r="F2126" s="116">
        <v>793.35</v>
      </c>
      <c r="G2126">
        <v>46638</v>
      </c>
      <c r="H2126" s="116"/>
      <c r="I2126" s="116"/>
      <c r="L2126" s="170">
        <v>45848</v>
      </c>
      <c r="M2126" s="116">
        <v>793.5</v>
      </c>
      <c r="N2126" s="116">
        <v>800</v>
      </c>
      <c r="O2126" s="116">
        <v>783.15</v>
      </c>
      <c r="P2126" s="116">
        <v>798.8</v>
      </c>
      <c r="Q2126" s="116">
        <v>793.5</v>
      </c>
      <c r="R2126">
        <v>2030879</v>
      </c>
    </row>
    <row r="2127" spans="1:18" x14ac:dyDescent="0.25">
      <c r="A2127" s="170">
        <v>45849</v>
      </c>
      <c r="B2127" s="116">
        <v>797.8</v>
      </c>
      <c r="C2127" s="116">
        <v>791.05</v>
      </c>
      <c r="D2127" s="116">
        <v>787.1</v>
      </c>
      <c r="E2127" s="116">
        <v>791.85</v>
      </c>
      <c r="F2127" s="116">
        <v>791.05</v>
      </c>
      <c r="G2127">
        <v>18473</v>
      </c>
      <c r="H2127" s="116"/>
      <c r="I2127" s="116"/>
      <c r="L2127" s="170">
        <v>45849</v>
      </c>
      <c r="M2127" s="116">
        <v>790.2</v>
      </c>
      <c r="N2127" s="116">
        <v>797.6</v>
      </c>
      <c r="O2127" s="116">
        <v>787.4</v>
      </c>
      <c r="P2127" s="116">
        <v>790.2</v>
      </c>
      <c r="Q2127" s="116">
        <v>790.2</v>
      </c>
      <c r="R2127">
        <v>1476275</v>
      </c>
    </row>
    <row r="2128" spans="1:18" x14ac:dyDescent="0.25">
      <c r="A2128" s="170">
        <v>45852</v>
      </c>
      <c r="B2128" s="116">
        <v>827.9</v>
      </c>
      <c r="C2128" s="116">
        <v>824.2</v>
      </c>
      <c r="D2128" s="116">
        <v>788</v>
      </c>
      <c r="E2128" s="116">
        <v>788</v>
      </c>
      <c r="F2128" s="116">
        <v>824.2</v>
      </c>
      <c r="G2128">
        <v>214259</v>
      </c>
      <c r="H2128" s="116"/>
      <c r="I2128" s="116"/>
      <c r="L2128" s="170">
        <v>45852</v>
      </c>
      <c r="M2128" s="116">
        <v>823.85</v>
      </c>
      <c r="N2128" s="116">
        <v>827.5</v>
      </c>
      <c r="O2128" s="116">
        <v>788.2</v>
      </c>
      <c r="P2128" s="116">
        <v>788.2</v>
      </c>
      <c r="Q2128" s="116">
        <v>823.85</v>
      </c>
      <c r="R2128">
        <v>5083453</v>
      </c>
    </row>
    <row r="2129" spans="1:18" x14ac:dyDescent="0.25">
      <c r="A2129" s="170">
        <v>45853</v>
      </c>
      <c r="B2129" s="116">
        <v>834.45</v>
      </c>
      <c r="C2129" s="116">
        <v>827.1</v>
      </c>
      <c r="D2129" s="116">
        <v>820.15</v>
      </c>
      <c r="E2129" s="116">
        <v>824.35</v>
      </c>
      <c r="F2129" s="116">
        <v>827.1</v>
      </c>
      <c r="G2129">
        <v>100283</v>
      </c>
      <c r="H2129" s="116"/>
      <c r="I2129" s="116"/>
      <c r="L2129" s="170">
        <v>45853</v>
      </c>
      <c r="M2129" s="116">
        <v>827.05</v>
      </c>
      <c r="N2129" s="116">
        <v>834.35</v>
      </c>
      <c r="O2129" s="116">
        <v>820.45</v>
      </c>
      <c r="P2129" s="116">
        <v>825.75</v>
      </c>
      <c r="Q2129" s="116">
        <v>827.05</v>
      </c>
      <c r="R2129">
        <v>2080040</v>
      </c>
    </row>
    <row r="2130" spans="1:18" x14ac:dyDescent="0.25">
      <c r="A2130" s="170">
        <v>45854</v>
      </c>
      <c r="B2130" s="116">
        <v>832</v>
      </c>
      <c r="C2130" s="116">
        <v>822.1</v>
      </c>
      <c r="D2130" s="116">
        <v>819</v>
      </c>
      <c r="E2130" s="116">
        <v>821.1</v>
      </c>
      <c r="F2130" s="116">
        <v>822.1</v>
      </c>
      <c r="G2130">
        <v>73852</v>
      </c>
      <c r="H2130" s="116"/>
      <c r="I2130" s="116"/>
      <c r="L2130" s="170">
        <v>45854</v>
      </c>
      <c r="M2130" s="116">
        <v>822.55</v>
      </c>
      <c r="N2130" s="116">
        <v>832.65</v>
      </c>
      <c r="O2130" s="116">
        <v>819.25</v>
      </c>
      <c r="P2130" s="116">
        <v>821</v>
      </c>
      <c r="Q2130" s="116">
        <v>822.55</v>
      </c>
      <c r="R2130">
        <v>968965</v>
      </c>
    </row>
    <row r="2131" spans="1:18" x14ac:dyDescent="0.25">
      <c r="A2131" s="170">
        <v>45855</v>
      </c>
      <c r="B2131" s="116">
        <v>829.25</v>
      </c>
      <c r="C2131" s="116">
        <v>821.55</v>
      </c>
      <c r="D2131" s="116">
        <v>815.7</v>
      </c>
      <c r="E2131" s="116">
        <v>820.25</v>
      </c>
      <c r="F2131" s="116">
        <v>821.55</v>
      </c>
      <c r="G2131">
        <v>135970</v>
      </c>
      <c r="H2131" s="116"/>
      <c r="I2131" s="116"/>
      <c r="L2131" s="170">
        <v>45855</v>
      </c>
      <c r="M2131" s="116">
        <v>821.5</v>
      </c>
      <c r="N2131" s="116">
        <v>830</v>
      </c>
      <c r="O2131" s="116">
        <v>815.2</v>
      </c>
      <c r="P2131" s="116">
        <v>825.9</v>
      </c>
      <c r="Q2131" s="116">
        <v>821.5</v>
      </c>
      <c r="R2131">
        <v>1518302</v>
      </c>
    </row>
    <row r="2132" spans="1:18" x14ac:dyDescent="0.25">
      <c r="A2132" s="170">
        <v>45856</v>
      </c>
      <c r="B2132" s="116">
        <v>829.95</v>
      </c>
      <c r="C2132" s="116">
        <v>826.7</v>
      </c>
      <c r="D2132" s="116">
        <v>814.8</v>
      </c>
      <c r="E2132" s="116">
        <v>829.95</v>
      </c>
      <c r="F2132" s="116">
        <v>826.7</v>
      </c>
      <c r="G2132">
        <v>56821</v>
      </c>
      <c r="H2132" s="116"/>
      <c r="I2132" s="116"/>
      <c r="L2132" s="170">
        <v>45856</v>
      </c>
      <c r="M2132" s="116">
        <v>827</v>
      </c>
      <c r="N2132" s="116">
        <v>829</v>
      </c>
      <c r="O2132" s="116">
        <v>814.5</v>
      </c>
      <c r="P2132" s="116">
        <v>825.1</v>
      </c>
      <c r="Q2132" s="116">
        <v>827</v>
      </c>
      <c r="R2132">
        <v>989477</v>
      </c>
    </row>
    <row r="2133" spans="1:18" x14ac:dyDescent="0.25">
      <c r="A2133" s="170">
        <v>45859</v>
      </c>
      <c r="B2133" s="116">
        <v>833.4</v>
      </c>
      <c r="C2133" s="116">
        <v>829.4</v>
      </c>
      <c r="D2133" s="116">
        <v>824.45</v>
      </c>
      <c r="E2133" s="116">
        <v>832.75</v>
      </c>
      <c r="F2133" s="116">
        <v>829.4</v>
      </c>
      <c r="G2133">
        <v>46853</v>
      </c>
      <c r="H2133" s="116"/>
      <c r="I2133" s="116"/>
      <c r="L2133" s="170">
        <v>45859</v>
      </c>
      <c r="M2133" s="116">
        <v>829.45</v>
      </c>
      <c r="N2133" s="116">
        <v>833.9</v>
      </c>
      <c r="O2133" s="116">
        <v>824.15</v>
      </c>
      <c r="P2133" s="116">
        <v>827.2</v>
      </c>
      <c r="Q2133" s="116">
        <v>829.45</v>
      </c>
      <c r="R2133">
        <v>1216659</v>
      </c>
    </row>
    <row r="2134" spans="1:18" x14ac:dyDescent="0.25">
      <c r="A2134" s="170">
        <v>45860</v>
      </c>
      <c r="B2134" s="116">
        <v>831.95</v>
      </c>
      <c r="C2134" s="116">
        <v>823.7</v>
      </c>
      <c r="D2134" s="116">
        <v>815.05</v>
      </c>
      <c r="E2134" s="116">
        <v>831.95</v>
      </c>
      <c r="F2134" s="116">
        <v>823.7</v>
      </c>
      <c r="G2134">
        <v>39558</v>
      </c>
      <c r="H2134" s="116"/>
      <c r="I2134" s="116"/>
      <c r="L2134" s="170">
        <v>45860</v>
      </c>
      <c r="M2134" s="116">
        <v>823.35</v>
      </c>
      <c r="N2134" s="116">
        <v>832</v>
      </c>
      <c r="O2134" s="116">
        <v>815</v>
      </c>
      <c r="P2134" s="116">
        <v>831.9</v>
      </c>
      <c r="Q2134" s="116">
        <v>823.35</v>
      </c>
      <c r="R2134">
        <v>947754</v>
      </c>
    </row>
    <row r="2135" spans="1:18" x14ac:dyDescent="0.25">
      <c r="A2135" s="170">
        <v>45861</v>
      </c>
      <c r="B2135" s="116">
        <v>826</v>
      </c>
      <c r="C2135" s="116">
        <v>822.3</v>
      </c>
      <c r="D2135" s="116">
        <v>816.9</v>
      </c>
      <c r="E2135" s="116">
        <v>821.1</v>
      </c>
      <c r="F2135" s="116">
        <v>822.3</v>
      </c>
      <c r="G2135">
        <v>87477</v>
      </c>
      <c r="H2135" s="116"/>
      <c r="I2135" s="116"/>
      <c r="L2135" s="170">
        <v>45861</v>
      </c>
      <c r="M2135" s="116">
        <v>822.5</v>
      </c>
      <c r="N2135" s="116">
        <v>825.9</v>
      </c>
      <c r="O2135" s="116">
        <v>817.05</v>
      </c>
      <c r="P2135" s="116">
        <v>825</v>
      </c>
      <c r="Q2135" s="116">
        <v>822.5</v>
      </c>
      <c r="R2135">
        <v>1156632</v>
      </c>
    </row>
    <row r="2136" spans="1:18" x14ac:dyDescent="0.25">
      <c r="A2136" s="170">
        <v>45862</v>
      </c>
      <c r="B2136" s="116">
        <v>841.3</v>
      </c>
      <c r="C2136" s="116">
        <v>835.85</v>
      </c>
      <c r="D2136" s="116">
        <v>817.8</v>
      </c>
      <c r="E2136" s="116">
        <v>822.3</v>
      </c>
      <c r="F2136" s="116">
        <v>835.85</v>
      </c>
      <c r="G2136">
        <v>45231</v>
      </c>
      <c r="H2136" s="116"/>
      <c r="I2136" s="116"/>
      <c r="L2136" s="170">
        <v>45862</v>
      </c>
      <c r="M2136" s="116">
        <v>836.5</v>
      </c>
      <c r="N2136" s="116">
        <v>842</v>
      </c>
      <c r="O2136" s="116">
        <v>817.15</v>
      </c>
      <c r="P2136" s="116">
        <v>823.95</v>
      </c>
      <c r="Q2136" s="116">
        <v>836.5</v>
      </c>
      <c r="R2136">
        <v>2358313</v>
      </c>
    </row>
    <row r="2137" spans="1:18" x14ac:dyDescent="0.25">
      <c r="A2137" s="170">
        <v>45863</v>
      </c>
      <c r="B2137" s="116">
        <v>845.6</v>
      </c>
      <c r="C2137" s="116">
        <v>838.05</v>
      </c>
      <c r="D2137" s="116">
        <v>826</v>
      </c>
      <c r="E2137" s="116">
        <v>842.65</v>
      </c>
      <c r="F2137" s="116">
        <v>838.05</v>
      </c>
      <c r="G2137">
        <v>143793</v>
      </c>
      <c r="H2137" s="116"/>
      <c r="I2137" s="116"/>
      <c r="L2137" s="170">
        <v>45863</v>
      </c>
      <c r="M2137" s="116">
        <v>837.75</v>
      </c>
      <c r="N2137" s="116">
        <v>846</v>
      </c>
      <c r="O2137" s="116">
        <v>825.05</v>
      </c>
      <c r="P2137" s="116">
        <v>839.1</v>
      </c>
      <c r="Q2137" s="116">
        <v>837.75</v>
      </c>
      <c r="R2137">
        <v>5268018</v>
      </c>
    </row>
    <row r="2138" spans="1:18" x14ac:dyDescent="0.25">
      <c r="A2138" s="170">
        <v>45866</v>
      </c>
      <c r="B2138" s="116">
        <v>901</v>
      </c>
      <c r="C2138" s="116">
        <v>888.7</v>
      </c>
      <c r="D2138" s="116">
        <v>827.95</v>
      </c>
      <c r="E2138" s="116">
        <v>834</v>
      </c>
      <c r="F2138" s="116">
        <v>888.7</v>
      </c>
      <c r="G2138">
        <v>931328</v>
      </c>
      <c r="H2138" s="116"/>
      <c r="I2138" s="116"/>
      <c r="L2138" s="170">
        <v>45866</v>
      </c>
      <c r="M2138" s="116">
        <v>889.25</v>
      </c>
      <c r="N2138" s="116">
        <v>901.5</v>
      </c>
      <c r="O2138" s="116">
        <v>828.05</v>
      </c>
      <c r="P2138" s="116">
        <v>833</v>
      </c>
      <c r="Q2138" s="116">
        <v>889.25</v>
      </c>
      <c r="R2138">
        <v>17617498</v>
      </c>
    </row>
    <row r="2139" spans="1:18" x14ac:dyDescent="0.25">
      <c r="A2139" s="170">
        <v>45867</v>
      </c>
      <c r="B2139" s="116">
        <v>913.25</v>
      </c>
      <c r="C2139" s="116">
        <v>909.45</v>
      </c>
      <c r="D2139" s="116">
        <v>875.85</v>
      </c>
      <c r="E2139" s="116">
        <v>889.95</v>
      </c>
      <c r="F2139" s="116">
        <v>909.45</v>
      </c>
      <c r="G2139">
        <v>194850</v>
      </c>
      <c r="H2139" s="116"/>
      <c r="I2139" s="116"/>
      <c r="L2139" s="170">
        <v>45867</v>
      </c>
      <c r="M2139" s="116">
        <v>909.85</v>
      </c>
      <c r="N2139" s="116">
        <v>913.7</v>
      </c>
      <c r="O2139" s="116">
        <v>875.65</v>
      </c>
      <c r="P2139" s="116">
        <v>889</v>
      </c>
      <c r="Q2139" s="116">
        <v>909.85</v>
      </c>
      <c r="R2139">
        <v>4989767</v>
      </c>
    </row>
    <row r="2140" spans="1:18" x14ac:dyDescent="0.25">
      <c r="A2140" s="170">
        <v>45868</v>
      </c>
      <c r="B2140" s="116">
        <v>922.55</v>
      </c>
      <c r="C2140" s="116">
        <v>881.7</v>
      </c>
      <c r="D2140" s="116">
        <v>876.6</v>
      </c>
      <c r="E2140" s="116">
        <v>909.9</v>
      </c>
      <c r="F2140" s="116">
        <v>881.7</v>
      </c>
      <c r="G2140">
        <v>117843</v>
      </c>
      <c r="H2140" s="116"/>
      <c r="I2140" s="116"/>
      <c r="L2140" s="170">
        <v>45868</v>
      </c>
      <c r="M2140" s="116">
        <v>881.45</v>
      </c>
      <c r="N2140" s="116">
        <v>922.5</v>
      </c>
      <c r="O2140" s="116">
        <v>876.55</v>
      </c>
      <c r="P2140" s="116">
        <v>909.9</v>
      </c>
      <c r="Q2140" s="116">
        <v>881.45</v>
      </c>
      <c r="R2140">
        <v>5553033</v>
      </c>
    </row>
    <row r="2141" spans="1:18" x14ac:dyDescent="0.25">
      <c r="A2141" s="170">
        <v>45869</v>
      </c>
      <c r="B2141" s="116">
        <v>881</v>
      </c>
      <c r="C2141" s="116">
        <v>874.25</v>
      </c>
      <c r="D2141" s="116">
        <v>865.2</v>
      </c>
      <c r="E2141" s="116">
        <v>865.2</v>
      </c>
      <c r="F2141" s="116">
        <v>874.25</v>
      </c>
      <c r="G2141">
        <v>224899</v>
      </c>
      <c r="H2141" s="116"/>
      <c r="I2141" s="116"/>
      <c r="L2141" s="170">
        <v>45869</v>
      </c>
      <c r="M2141" s="116">
        <v>874.35</v>
      </c>
      <c r="N2141" s="116">
        <v>881.45</v>
      </c>
      <c r="O2141" s="116">
        <v>866.25</v>
      </c>
      <c r="P2141" s="116">
        <v>869</v>
      </c>
      <c r="Q2141" s="116">
        <v>874.35</v>
      </c>
      <c r="R2141">
        <v>3033606</v>
      </c>
    </row>
    <row r="2142" spans="1:18" x14ac:dyDescent="0.25">
      <c r="A2142" s="170">
        <v>45870</v>
      </c>
      <c r="B2142" s="116">
        <v>874.45</v>
      </c>
      <c r="C2142" s="116">
        <v>848.05</v>
      </c>
      <c r="D2142" s="116">
        <v>846</v>
      </c>
      <c r="E2142" s="116">
        <v>870.2</v>
      </c>
      <c r="F2142" s="116">
        <v>848.05</v>
      </c>
      <c r="G2142">
        <v>99013</v>
      </c>
      <c r="H2142" s="116"/>
      <c r="I2142" s="116"/>
      <c r="L2142" s="170">
        <v>45870</v>
      </c>
      <c r="M2142" s="116">
        <v>849.35</v>
      </c>
      <c r="N2142" s="116">
        <v>874.95</v>
      </c>
      <c r="O2142" s="116">
        <v>846</v>
      </c>
      <c r="P2142" s="116">
        <v>874.3</v>
      </c>
      <c r="Q2142" s="116">
        <v>849.35</v>
      </c>
      <c r="R2142">
        <v>2233515</v>
      </c>
    </row>
    <row r="2143" spans="1:18" x14ac:dyDescent="0.25">
      <c r="A2143" s="170">
        <v>45873</v>
      </c>
      <c r="B2143" s="116">
        <v>864.05</v>
      </c>
      <c r="C2143" s="116">
        <v>861.6</v>
      </c>
      <c r="D2143" s="116">
        <v>840.65</v>
      </c>
      <c r="E2143" s="116">
        <v>850</v>
      </c>
      <c r="F2143" s="116">
        <v>861.6</v>
      </c>
      <c r="G2143">
        <v>61931</v>
      </c>
      <c r="H2143" s="116"/>
      <c r="I2143" s="116"/>
      <c r="L2143" s="170">
        <v>45873</v>
      </c>
      <c r="M2143" s="116">
        <v>861.2</v>
      </c>
      <c r="N2143" s="116">
        <v>864.9</v>
      </c>
      <c r="O2143" s="116">
        <v>840.05</v>
      </c>
      <c r="P2143" s="116">
        <v>849.35</v>
      </c>
      <c r="Q2143" s="116">
        <v>861.2</v>
      </c>
      <c r="R2143">
        <v>1442403</v>
      </c>
    </row>
    <row r="2144" spans="1:18" x14ac:dyDescent="0.25">
      <c r="A2144" s="170">
        <v>45874</v>
      </c>
      <c r="B2144" s="116">
        <v>871.65</v>
      </c>
      <c r="C2144" s="116">
        <v>857.35</v>
      </c>
      <c r="D2144" s="116">
        <v>852.1</v>
      </c>
      <c r="E2144" s="116">
        <v>860.25</v>
      </c>
      <c r="F2144" s="116">
        <v>857.35</v>
      </c>
      <c r="G2144">
        <v>70554</v>
      </c>
      <c r="H2144" s="116"/>
      <c r="I2144" s="116"/>
      <c r="L2144" s="170">
        <v>45874</v>
      </c>
      <c r="M2144" s="116">
        <v>857.5</v>
      </c>
      <c r="N2144" s="116">
        <v>872</v>
      </c>
      <c r="O2144" s="116">
        <v>852.3</v>
      </c>
      <c r="P2144" s="116">
        <v>861.15</v>
      </c>
      <c r="Q2144" s="116">
        <v>857.5</v>
      </c>
      <c r="R2144">
        <v>1168162</v>
      </c>
    </row>
    <row r="2145" spans="1:18" x14ac:dyDescent="0.25">
      <c r="A2145" s="170">
        <v>45875</v>
      </c>
      <c r="B2145" s="116">
        <v>853.2</v>
      </c>
      <c r="C2145" s="116">
        <v>835.5</v>
      </c>
      <c r="D2145" s="116">
        <v>828.7</v>
      </c>
      <c r="E2145" s="116">
        <v>851.2</v>
      </c>
      <c r="F2145" s="116">
        <v>835.5</v>
      </c>
      <c r="G2145">
        <v>124275</v>
      </c>
      <c r="H2145" s="116"/>
      <c r="I2145" s="116"/>
      <c r="L2145" s="170">
        <v>45875</v>
      </c>
      <c r="M2145" s="116">
        <v>836.2</v>
      </c>
      <c r="N2145" s="116">
        <v>854.1</v>
      </c>
      <c r="O2145" s="116">
        <v>829.3</v>
      </c>
      <c r="P2145" s="116">
        <v>850.2</v>
      </c>
      <c r="Q2145" s="116">
        <v>836.2</v>
      </c>
      <c r="R2145">
        <v>2085404</v>
      </c>
    </row>
    <row r="2146" spans="1:18" x14ac:dyDescent="0.25">
      <c r="A2146" s="170">
        <v>45876</v>
      </c>
      <c r="B2146" s="116">
        <v>842</v>
      </c>
      <c r="C2146" s="116">
        <v>838.2</v>
      </c>
      <c r="D2146" s="116">
        <v>822.05</v>
      </c>
      <c r="E2146" s="116">
        <v>822.05</v>
      </c>
      <c r="F2146" s="116">
        <v>838.2</v>
      </c>
      <c r="G2146">
        <v>33303</v>
      </c>
      <c r="H2146" s="116"/>
      <c r="I2146" s="116"/>
      <c r="L2146" s="170">
        <v>45876</v>
      </c>
      <c r="M2146" s="116">
        <v>838.25</v>
      </c>
      <c r="N2146" s="116">
        <v>842.85</v>
      </c>
      <c r="O2146" s="116">
        <v>824.35</v>
      </c>
      <c r="P2146" s="116">
        <v>828</v>
      </c>
      <c r="Q2146" s="116">
        <v>838.25</v>
      </c>
      <c r="R2146">
        <v>1678103</v>
      </c>
    </row>
    <row r="2147" spans="1:18" x14ac:dyDescent="0.25">
      <c r="A2147" s="170">
        <v>45877</v>
      </c>
      <c r="B2147" s="116">
        <v>840.1</v>
      </c>
      <c r="C2147" s="116">
        <v>821.1</v>
      </c>
      <c r="D2147" s="116">
        <v>818.6</v>
      </c>
      <c r="E2147" s="116">
        <v>836.55</v>
      </c>
      <c r="F2147" s="116">
        <v>821.1</v>
      </c>
      <c r="G2147">
        <v>26337</v>
      </c>
      <c r="H2147" s="116"/>
      <c r="I2147" s="116"/>
      <c r="L2147" s="170">
        <v>45877</v>
      </c>
      <c r="M2147" s="116">
        <v>821.85</v>
      </c>
      <c r="N2147" s="116">
        <v>840.25</v>
      </c>
      <c r="O2147" s="116">
        <v>817.55</v>
      </c>
      <c r="P2147" s="116">
        <v>839</v>
      </c>
      <c r="Q2147" s="116">
        <v>821.85</v>
      </c>
      <c r="R2147">
        <v>1073904</v>
      </c>
    </row>
    <row r="2148" spans="1:18" x14ac:dyDescent="0.25">
      <c r="A2148" s="170">
        <v>45880</v>
      </c>
      <c r="B2148" s="116">
        <v>833.8</v>
      </c>
      <c r="C2148" s="116">
        <v>831.3</v>
      </c>
      <c r="D2148" s="116">
        <v>812.5</v>
      </c>
      <c r="E2148" s="116">
        <v>812.5</v>
      </c>
      <c r="F2148" s="116">
        <v>831.3</v>
      </c>
      <c r="G2148">
        <v>129332</v>
      </c>
      <c r="H2148" s="116"/>
      <c r="I2148" s="116"/>
      <c r="L2148" s="170">
        <v>45880</v>
      </c>
      <c r="M2148" s="116">
        <v>831.5</v>
      </c>
      <c r="N2148" s="116">
        <v>834</v>
      </c>
      <c r="O2148" s="116">
        <v>816.85</v>
      </c>
      <c r="P2148" s="116">
        <v>818</v>
      </c>
      <c r="Q2148" s="116">
        <v>831.5</v>
      </c>
      <c r="R2148">
        <v>1335688</v>
      </c>
    </row>
    <row r="2149" spans="1:18" x14ac:dyDescent="0.25">
      <c r="A2149" s="170">
        <v>45881</v>
      </c>
      <c r="B2149" s="116">
        <v>840.2</v>
      </c>
      <c r="C2149" s="116">
        <v>830.85</v>
      </c>
      <c r="D2149" s="116">
        <v>810.75</v>
      </c>
      <c r="E2149" s="116">
        <v>833</v>
      </c>
      <c r="F2149" s="116">
        <v>830.85</v>
      </c>
      <c r="G2149">
        <v>47088</v>
      </c>
      <c r="H2149" s="116"/>
      <c r="I2149" s="116"/>
      <c r="L2149" s="170">
        <v>45881</v>
      </c>
      <c r="M2149" s="116">
        <v>830.95</v>
      </c>
      <c r="N2149" s="116">
        <v>840.6</v>
      </c>
      <c r="O2149" s="116">
        <v>810.05</v>
      </c>
      <c r="P2149" s="116">
        <v>834</v>
      </c>
      <c r="Q2149" s="116">
        <v>830.95</v>
      </c>
      <c r="R2149">
        <v>1863616</v>
      </c>
    </row>
    <row r="2150" spans="1:18" x14ac:dyDescent="0.25">
      <c r="A2150" s="170">
        <v>45882</v>
      </c>
      <c r="B2150" s="116">
        <v>866</v>
      </c>
      <c r="C2150" s="116">
        <v>863.45</v>
      </c>
      <c r="D2150" s="116">
        <v>833.55</v>
      </c>
      <c r="E2150" s="116">
        <v>833.55</v>
      </c>
      <c r="F2150" s="116">
        <v>863.45</v>
      </c>
      <c r="G2150">
        <v>50337</v>
      </c>
      <c r="H2150" s="116"/>
      <c r="I2150" s="116"/>
      <c r="L2150" s="170">
        <v>45882</v>
      </c>
      <c r="M2150" s="116">
        <v>863.15</v>
      </c>
      <c r="N2150" s="116">
        <v>866</v>
      </c>
      <c r="O2150" s="116">
        <v>833.05</v>
      </c>
      <c r="P2150" s="116">
        <v>836.6</v>
      </c>
      <c r="Q2150" s="116">
        <v>863.15</v>
      </c>
      <c r="R2150">
        <v>2817582</v>
      </c>
    </row>
    <row r="2151" spans="1:18" x14ac:dyDescent="0.25">
      <c r="A2151" s="170">
        <v>45883</v>
      </c>
      <c r="B2151" s="116">
        <v>878.95</v>
      </c>
      <c r="C2151" s="116">
        <v>859.35</v>
      </c>
      <c r="D2151" s="116">
        <v>855.1</v>
      </c>
      <c r="E2151" s="116">
        <v>869.75</v>
      </c>
      <c r="F2151" s="116">
        <v>859.35</v>
      </c>
      <c r="G2151">
        <v>72811</v>
      </c>
      <c r="H2151" s="116"/>
      <c r="I2151" s="116"/>
      <c r="L2151" s="170">
        <v>45883</v>
      </c>
      <c r="M2151" s="116">
        <v>859.7</v>
      </c>
      <c r="N2151" s="116">
        <v>878.85</v>
      </c>
      <c r="O2151" s="116">
        <v>855.25</v>
      </c>
      <c r="P2151" s="116">
        <v>867.2</v>
      </c>
      <c r="Q2151" s="116">
        <v>859.7</v>
      </c>
      <c r="R2151">
        <v>2949617</v>
      </c>
    </row>
    <row r="2152" spans="1:18" x14ac:dyDescent="0.25">
      <c r="A2152" s="170">
        <v>45887</v>
      </c>
      <c r="B2152" s="116">
        <v>874.85</v>
      </c>
      <c r="C2152" s="116">
        <v>865.35</v>
      </c>
      <c r="D2152" s="116">
        <v>858.05</v>
      </c>
      <c r="E2152" s="116">
        <v>874.85</v>
      </c>
      <c r="F2152" s="116">
        <v>865.35</v>
      </c>
      <c r="G2152">
        <v>190450</v>
      </c>
      <c r="H2152" s="116"/>
      <c r="I2152" s="116"/>
      <c r="L2152" s="170">
        <v>45887</v>
      </c>
      <c r="M2152" s="116">
        <v>865.65</v>
      </c>
      <c r="N2152" s="116">
        <v>873</v>
      </c>
      <c r="O2152" s="116">
        <v>858.4</v>
      </c>
      <c r="P2152" s="116">
        <v>865.7</v>
      </c>
      <c r="Q2152" s="116">
        <v>865.65</v>
      </c>
      <c r="R2152">
        <v>2335154</v>
      </c>
    </row>
    <row r="2153" spans="1:18" x14ac:dyDescent="0.25">
      <c r="A2153" s="170">
        <v>45888</v>
      </c>
      <c r="B2153" s="116">
        <v>886.9</v>
      </c>
      <c r="C2153" s="116">
        <v>884.65</v>
      </c>
      <c r="D2153" s="116">
        <v>866.1</v>
      </c>
      <c r="E2153" s="116">
        <v>869</v>
      </c>
      <c r="F2153" s="116">
        <v>884.65</v>
      </c>
      <c r="G2153">
        <v>45766</v>
      </c>
      <c r="H2153" s="116"/>
      <c r="I2153" s="116"/>
      <c r="L2153" s="170">
        <v>45888</v>
      </c>
      <c r="M2153" s="116">
        <v>883.9</v>
      </c>
      <c r="N2153" s="116">
        <v>886.5</v>
      </c>
      <c r="O2153" s="116">
        <v>865.8</v>
      </c>
      <c r="P2153" s="116">
        <v>869.95</v>
      </c>
      <c r="Q2153" s="116">
        <v>883.9</v>
      </c>
      <c r="R2153">
        <v>1565331</v>
      </c>
    </row>
    <row r="2154" spans="1:18" x14ac:dyDescent="0.25">
      <c r="A2154" s="170">
        <v>45889</v>
      </c>
      <c r="B2154" s="116">
        <v>892.2</v>
      </c>
      <c r="C2154" s="116">
        <v>875.75</v>
      </c>
      <c r="D2154" s="116">
        <v>874.15</v>
      </c>
      <c r="E2154" s="116">
        <v>884.65</v>
      </c>
      <c r="F2154" s="116">
        <v>875.75</v>
      </c>
      <c r="G2154">
        <v>54733</v>
      </c>
      <c r="H2154" s="116"/>
      <c r="I2154" s="116"/>
      <c r="L2154" s="170">
        <v>45889</v>
      </c>
      <c r="M2154" s="116">
        <v>876.05</v>
      </c>
      <c r="N2154" s="116">
        <v>892.4</v>
      </c>
      <c r="O2154" s="116">
        <v>874.2</v>
      </c>
      <c r="P2154" s="116">
        <v>883.9</v>
      </c>
      <c r="Q2154" s="116">
        <v>876.05</v>
      </c>
      <c r="R2154">
        <v>1232442</v>
      </c>
    </row>
    <row r="2155" spans="1:18" x14ac:dyDescent="0.25">
      <c r="A2155" s="170">
        <v>45890</v>
      </c>
      <c r="B2155" s="116">
        <v>891.5</v>
      </c>
      <c r="C2155" s="116">
        <v>889.55</v>
      </c>
      <c r="D2155" s="116">
        <v>864.8</v>
      </c>
      <c r="E2155" s="116">
        <v>877</v>
      </c>
      <c r="F2155" s="116">
        <v>889.55</v>
      </c>
      <c r="G2155">
        <v>52574</v>
      </c>
      <c r="H2155" s="116"/>
      <c r="I2155" s="116"/>
      <c r="L2155" s="170">
        <v>45890</v>
      </c>
      <c r="M2155" s="116">
        <v>889.9</v>
      </c>
      <c r="N2155" s="116">
        <v>891.95</v>
      </c>
      <c r="O2155" s="116">
        <v>864</v>
      </c>
      <c r="P2155" s="116">
        <v>876.1</v>
      </c>
      <c r="Q2155" s="116">
        <v>889.9</v>
      </c>
      <c r="R2155">
        <v>1539571</v>
      </c>
    </row>
    <row r="2156" spans="1:18" x14ac:dyDescent="0.25">
      <c r="A2156" s="170">
        <v>45891</v>
      </c>
      <c r="B2156" s="116">
        <v>895.2</v>
      </c>
      <c r="C2156" s="116">
        <v>878.6</v>
      </c>
      <c r="D2156" s="116">
        <v>875.5</v>
      </c>
      <c r="E2156" s="116">
        <v>887.65</v>
      </c>
      <c r="F2156" s="116">
        <v>878.6</v>
      </c>
      <c r="G2156">
        <v>27839</v>
      </c>
      <c r="H2156" s="116"/>
      <c r="I2156" s="116"/>
      <c r="L2156" s="170">
        <v>45891</v>
      </c>
      <c r="M2156" s="116">
        <v>879.1</v>
      </c>
      <c r="N2156" s="116">
        <v>895.05</v>
      </c>
      <c r="O2156" s="116">
        <v>875.1</v>
      </c>
      <c r="P2156" s="116">
        <v>889.95</v>
      </c>
      <c r="Q2156" s="116">
        <v>879.1</v>
      </c>
      <c r="R2156">
        <v>1548015</v>
      </c>
    </row>
    <row r="2157" spans="1:18" x14ac:dyDescent="0.25">
      <c r="A2157" s="170">
        <v>45894</v>
      </c>
      <c r="B2157" s="116">
        <v>888.1</v>
      </c>
      <c r="C2157" s="116">
        <v>873.05</v>
      </c>
      <c r="D2157" s="116">
        <v>871</v>
      </c>
      <c r="E2157" s="116">
        <v>879.8</v>
      </c>
      <c r="F2157" s="116">
        <v>873.05</v>
      </c>
      <c r="G2157">
        <v>26661</v>
      </c>
      <c r="H2157" s="116"/>
      <c r="I2157" s="116"/>
      <c r="L2157" s="170">
        <v>45894</v>
      </c>
      <c r="M2157" s="116">
        <v>873.2</v>
      </c>
      <c r="N2157" s="116">
        <v>888.7</v>
      </c>
      <c r="O2157" s="116">
        <v>870.6</v>
      </c>
      <c r="P2157" s="116">
        <v>883.6</v>
      </c>
      <c r="Q2157" s="116">
        <v>873.2</v>
      </c>
      <c r="R2157">
        <v>1451413</v>
      </c>
    </row>
    <row r="2158" spans="1:18" x14ac:dyDescent="0.25">
      <c r="A2158" s="170">
        <v>45895</v>
      </c>
      <c r="B2158" s="116">
        <v>870.5</v>
      </c>
      <c r="C2158" s="116">
        <v>868.35</v>
      </c>
      <c r="D2158" s="116">
        <v>854.25</v>
      </c>
      <c r="E2158" s="116">
        <v>868.75</v>
      </c>
      <c r="F2158" s="116">
        <v>868.35</v>
      </c>
      <c r="G2158">
        <v>44066</v>
      </c>
      <c r="H2158" s="116"/>
      <c r="I2158" s="116"/>
      <c r="L2158" s="170">
        <v>45895</v>
      </c>
      <c r="M2158" s="116">
        <v>868.65</v>
      </c>
      <c r="N2158" s="116">
        <v>870.4</v>
      </c>
      <c r="O2158" s="116">
        <v>854.35</v>
      </c>
      <c r="P2158" s="116">
        <v>867.6</v>
      </c>
      <c r="Q2158" s="116">
        <v>868.65</v>
      </c>
      <c r="R2158">
        <v>1477730</v>
      </c>
    </row>
    <row r="2159" spans="1:18" x14ac:dyDescent="0.25">
      <c r="A2159" s="170">
        <v>45897</v>
      </c>
      <c r="B2159" s="116">
        <v>876.15</v>
      </c>
      <c r="C2159" s="116">
        <v>861.55</v>
      </c>
      <c r="D2159" s="116">
        <v>856.2</v>
      </c>
      <c r="E2159" s="116">
        <v>868.4</v>
      </c>
      <c r="F2159" s="116">
        <v>861.55</v>
      </c>
      <c r="G2159">
        <v>27123</v>
      </c>
      <c r="H2159" s="116"/>
      <c r="I2159" s="116"/>
      <c r="L2159" s="170">
        <v>45897</v>
      </c>
      <c r="M2159" s="116">
        <v>862</v>
      </c>
      <c r="N2159" s="116">
        <v>876.5</v>
      </c>
      <c r="O2159" s="116">
        <v>856.2</v>
      </c>
      <c r="P2159" s="116">
        <v>868.65</v>
      </c>
      <c r="Q2159" s="116">
        <v>862</v>
      </c>
      <c r="R2159">
        <v>1373559</v>
      </c>
    </row>
    <row r="2160" spans="1:18" x14ac:dyDescent="0.25">
      <c r="A2160" s="170">
        <v>45898</v>
      </c>
      <c r="B2160" s="116">
        <v>872.45</v>
      </c>
      <c r="C2160" s="116">
        <v>856.35</v>
      </c>
      <c r="D2160" s="116">
        <v>855</v>
      </c>
      <c r="E2160" s="116">
        <v>870</v>
      </c>
      <c r="F2160" s="116">
        <v>856.35</v>
      </c>
      <c r="G2160">
        <v>13982</v>
      </c>
      <c r="H2160" s="116"/>
      <c r="I2160" s="116"/>
      <c r="L2160" s="170">
        <v>45898</v>
      </c>
      <c r="M2160" s="116">
        <v>856.9</v>
      </c>
      <c r="N2160" s="116">
        <v>872.6</v>
      </c>
      <c r="O2160" s="116">
        <v>854.75</v>
      </c>
      <c r="P2160" s="116">
        <v>864</v>
      </c>
      <c r="Q2160" s="116">
        <v>856.9</v>
      </c>
      <c r="R2160">
        <v>646790</v>
      </c>
    </row>
    <row r="2161" spans="1:18" x14ac:dyDescent="0.25">
      <c r="A2161" s="170">
        <v>45901</v>
      </c>
      <c r="B2161" s="116">
        <v>869</v>
      </c>
      <c r="C2161" s="116">
        <v>860.2</v>
      </c>
      <c r="D2161" s="116">
        <v>855</v>
      </c>
      <c r="E2161" s="116">
        <v>857.65</v>
      </c>
      <c r="F2161" s="116">
        <v>860.2</v>
      </c>
      <c r="G2161">
        <v>104860</v>
      </c>
      <c r="H2161" s="116"/>
      <c r="I2161" s="116"/>
      <c r="L2161" s="170">
        <v>45901</v>
      </c>
      <c r="M2161" s="116">
        <v>860</v>
      </c>
      <c r="N2161" s="116">
        <v>869.75</v>
      </c>
      <c r="O2161" s="116">
        <v>854.05</v>
      </c>
      <c r="P2161" s="116">
        <v>856.75</v>
      </c>
      <c r="Q2161" s="116">
        <v>860</v>
      </c>
      <c r="R2161">
        <v>997411</v>
      </c>
    </row>
    <row r="2162" spans="1:18" x14ac:dyDescent="0.25">
      <c r="A2162" s="170">
        <v>45902</v>
      </c>
      <c r="B2162" s="116">
        <v>873.85</v>
      </c>
      <c r="C2162" s="116">
        <v>860</v>
      </c>
      <c r="D2162" s="116">
        <v>849.95</v>
      </c>
      <c r="E2162" s="116">
        <v>858.25</v>
      </c>
      <c r="F2162" s="116">
        <v>860</v>
      </c>
      <c r="G2162">
        <v>105302</v>
      </c>
      <c r="H2162" s="116"/>
      <c r="I2162" s="116"/>
      <c r="L2162" s="170">
        <v>45902</v>
      </c>
      <c r="M2162" s="116">
        <v>860.1</v>
      </c>
      <c r="N2162" s="116">
        <v>874</v>
      </c>
      <c r="O2162" s="116">
        <v>850.4</v>
      </c>
      <c r="P2162" s="116">
        <v>860.55</v>
      </c>
      <c r="Q2162" s="116">
        <v>860.1</v>
      </c>
      <c r="R2162">
        <v>1284028</v>
      </c>
    </row>
    <row r="2163" spans="1:18" x14ac:dyDescent="0.25">
      <c r="A2163" s="170">
        <v>45903</v>
      </c>
      <c r="B2163" s="116">
        <v>882.8</v>
      </c>
      <c r="C2163" s="116">
        <v>875.2</v>
      </c>
      <c r="D2163" s="116">
        <v>858.5</v>
      </c>
      <c r="E2163" s="116">
        <v>864.25</v>
      </c>
      <c r="F2163" s="116">
        <v>875.2</v>
      </c>
      <c r="G2163">
        <v>105079</v>
      </c>
      <c r="H2163" s="116"/>
      <c r="I2163" s="116"/>
      <c r="L2163" s="170">
        <v>45903</v>
      </c>
      <c r="M2163" s="116">
        <v>874.7</v>
      </c>
      <c r="N2163" s="116">
        <v>882.65</v>
      </c>
      <c r="O2163" s="116">
        <v>858.45</v>
      </c>
      <c r="P2163" s="116">
        <v>860.15</v>
      </c>
      <c r="Q2163" s="116">
        <v>874.7</v>
      </c>
      <c r="R2163">
        <v>1423174</v>
      </c>
    </row>
    <row r="2164" spans="1:18" x14ac:dyDescent="0.25">
      <c r="A2164" s="170">
        <v>45904</v>
      </c>
      <c r="B2164" s="116">
        <v>884</v>
      </c>
      <c r="C2164" s="116">
        <v>873.4</v>
      </c>
      <c r="D2164" s="116">
        <v>862.2</v>
      </c>
      <c r="E2164" s="116">
        <v>883.5</v>
      </c>
      <c r="F2164" s="116">
        <v>873.4</v>
      </c>
      <c r="G2164">
        <v>45257</v>
      </c>
      <c r="H2164" s="116"/>
      <c r="I2164" s="116"/>
      <c r="L2164" s="170">
        <v>45904</v>
      </c>
      <c r="M2164" s="116">
        <v>874.1</v>
      </c>
      <c r="N2164" s="116">
        <v>885</v>
      </c>
      <c r="O2164" s="116">
        <v>862.25</v>
      </c>
      <c r="P2164" s="116">
        <v>885</v>
      </c>
      <c r="Q2164" s="116">
        <v>874.1</v>
      </c>
      <c r="R2164">
        <v>988966</v>
      </c>
    </row>
    <row r="2165" spans="1:18" x14ac:dyDescent="0.25">
      <c r="A2165" s="170">
        <v>45905</v>
      </c>
      <c r="B2165" s="116">
        <v>886.95</v>
      </c>
      <c r="C2165" s="116">
        <v>881.05</v>
      </c>
      <c r="D2165" s="116">
        <v>872</v>
      </c>
      <c r="E2165" s="116">
        <v>876</v>
      </c>
      <c r="F2165" s="116">
        <v>881.05</v>
      </c>
      <c r="G2165">
        <v>23390</v>
      </c>
      <c r="H2165" s="116"/>
      <c r="I2165" s="116"/>
      <c r="L2165" s="170">
        <v>45905</v>
      </c>
      <c r="M2165" s="116">
        <v>880.65</v>
      </c>
      <c r="N2165" s="116">
        <v>887.95</v>
      </c>
      <c r="O2165" s="116">
        <v>871.2</v>
      </c>
      <c r="P2165" s="116">
        <v>875.6</v>
      </c>
      <c r="Q2165" s="116">
        <v>880.65</v>
      </c>
      <c r="R2165">
        <v>1035333</v>
      </c>
    </row>
    <row r="2166" spans="1:18" x14ac:dyDescent="0.25">
      <c r="A2166" s="170">
        <v>45908</v>
      </c>
      <c r="B2166" s="116">
        <v>905.85</v>
      </c>
      <c r="C2166" s="116">
        <v>895.85</v>
      </c>
      <c r="D2166" s="116">
        <v>877.85</v>
      </c>
      <c r="E2166" s="116">
        <v>882.15</v>
      </c>
      <c r="F2166" s="116">
        <v>895.85</v>
      </c>
      <c r="G2166">
        <v>95338</v>
      </c>
      <c r="H2166" s="116"/>
      <c r="I2166" s="116"/>
      <c r="L2166" s="170">
        <v>45908</v>
      </c>
      <c r="M2166" s="116">
        <v>895.2</v>
      </c>
      <c r="N2166" s="116">
        <v>905.65</v>
      </c>
      <c r="O2166" s="116">
        <v>877.85</v>
      </c>
      <c r="P2166" s="116">
        <v>883.85</v>
      </c>
      <c r="Q2166" s="116">
        <v>895.2</v>
      </c>
      <c r="R2166">
        <v>1630387</v>
      </c>
    </row>
    <row r="2167" spans="1:18" x14ac:dyDescent="0.25">
      <c r="A2167" s="170">
        <v>45909</v>
      </c>
      <c r="B2167" s="116">
        <v>904</v>
      </c>
      <c r="C2167" s="116">
        <v>902.25</v>
      </c>
      <c r="D2167" s="116">
        <v>894.8</v>
      </c>
      <c r="E2167" s="116">
        <v>901.45</v>
      </c>
      <c r="F2167" s="116">
        <v>902.25</v>
      </c>
      <c r="G2167">
        <v>112046</v>
      </c>
      <c r="H2167" s="116"/>
      <c r="I2167" s="116"/>
      <c r="L2167" s="170">
        <v>45909</v>
      </c>
      <c r="M2167" s="116">
        <v>902.3</v>
      </c>
      <c r="N2167" s="116">
        <v>904</v>
      </c>
      <c r="O2167" s="116">
        <v>894.6</v>
      </c>
      <c r="P2167" s="116">
        <v>899</v>
      </c>
      <c r="Q2167" s="116">
        <v>902.3</v>
      </c>
      <c r="R2167">
        <v>1227755</v>
      </c>
    </row>
    <row r="2168" spans="1:18" x14ac:dyDescent="0.25">
      <c r="A2168" s="170">
        <v>45910</v>
      </c>
      <c r="B2168" s="116">
        <v>913.75</v>
      </c>
      <c r="C2168" s="116">
        <v>896.7</v>
      </c>
      <c r="D2168" s="116">
        <v>890.1</v>
      </c>
      <c r="E2168" s="116">
        <v>905.6</v>
      </c>
      <c r="F2168" s="116">
        <v>896.7</v>
      </c>
      <c r="G2168">
        <v>35869</v>
      </c>
      <c r="H2168" s="116"/>
      <c r="I2168" s="116"/>
      <c r="L2168" s="170">
        <v>45910</v>
      </c>
      <c r="M2168" s="116">
        <v>896.4</v>
      </c>
      <c r="N2168" s="116">
        <v>911.45</v>
      </c>
      <c r="O2168" s="116">
        <v>889.95</v>
      </c>
      <c r="P2168" s="116">
        <v>907</v>
      </c>
      <c r="Q2168" s="116">
        <v>896.4</v>
      </c>
      <c r="R2168">
        <v>1541022</v>
      </c>
    </row>
    <row r="2169" spans="1:18" x14ac:dyDescent="0.25">
      <c r="A2169" s="170">
        <v>45911</v>
      </c>
      <c r="B2169" s="116">
        <v>904</v>
      </c>
      <c r="C2169" s="116">
        <v>894.9</v>
      </c>
      <c r="D2169" s="116">
        <v>887.3</v>
      </c>
      <c r="E2169" s="116">
        <v>895.05</v>
      </c>
      <c r="F2169" s="116">
        <v>894.9</v>
      </c>
      <c r="G2169">
        <v>47702</v>
      </c>
      <c r="H2169" s="116"/>
      <c r="I2169" s="116"/>
      <c r="L2169" s="170">
        <v>45911</v>
      </c>
      <c r="M2169" s="116">
        <v>895.6</v>
      </c>
      <c r="N2169" s="116">
        <v>904.1</v>
      </c>
      <c r="O2169" s="116">
        <v>887.4</v>
      </c>
      <c r="P2169" s="116">
        <v>899.6</v>
      </c>
      <c r="Q2169" s="116">
        <v>895.6</v>
      </c>
      <c r="R2169">
        <v>724408</v>
      </c>
    </row>
    <row r="2170" spans="1:18" x14ac:dyDescent="0.25">
      <c r="A2170" s="170">
        <v>45912</v>
      </c>
      <c r="B2170" s="116">
        <v>910.2</v>
      </c>
      <c r="C2170" s="116">
        <v>895.85</v>
      </c>
      <c r="D2170" s="116">
        <v>891.6</v>
      </c>
      <c r="E2170" s="116">
        <v>894.95</v>
      </c>
      <c r="F2170" s="116">
        <v>895.85</v>
      </c>
      <c r="G2170">
        <v>43514</v>
      </c>
      <c r="H2170" s="116"/>
      <c r="I2170" s="116"/>
      <c r="L2170" s="170">
        <v>45912</v>
      </c>
      <c r="M2170" s="116">
        <v>896.05</v>
      </c>
      <c r="N2170" s="116">
        <v>909.9</v>
      </c>
      <c r="O2170" s="116">
        <v>891.6</v>
      </c>
      <c r="P2170" s="116">
        <v>897.6</v>
      </c>
      <c r="Q2170" s="116">
        <v>896.05</v>
      </c>
      <c r="R2170">
        <v>1299814</v>
      </c>
    </row>
    <row r="2171" spans="1:18" x14ac:dyDescent="0.25">
      <c r="A2171" s="170">
        <v>45915</v>
      </c>
      <c r="B2171" s="116">
        <v>900.2</v>
      </c>
      <c r="C2171" s="116">
        <v>894</v>
      </c>
      <c r="D2171" s="116">
        <v>889.2</v>
      </c>
      <c r="E2171" s="116">
        <v>899.95</v>
      </c>
      <c r="F2171" s="116">
        <v>894</v>
      </c>
      <c r="G2171">
        <v>15576</v>
      </c>
      <c r="H2171" s="116"/>
      <c r="I2171" s="116"/>
      <c r="L2171" s="170">
        <v>45915</v>
      </c>
      <c r="M2171" s="116">
        <v>895</v>
      </c>
      <c r="N2171" s="116">
        <v>901</v>
      </c>
      <c r="O2171" s="116">
        <v>889.05</v>
      </c>
      <c r="P2171" s="116">
        <v>896.3</v>
      </c>
      <c r="Q2171" s="116">
        <v>895</v>
      </c>
      <c r="R2171">
        <v>538522</v>
      </c>
    </row>
    <row r="2172" spans="1:18" x14ac:dyDescent="0.25">
      <c r="A2172" s="170">
        <v>45916</v>
      </c>
      <c r="B2172" s="116">
        <v>906.6</v>
      </c>
      <c r="C2172" s="116">
        <v>895.15</v>
      </c>
      <c r="D2172" s="116">
        <v>892.1</v>
      </c>
      <c r="E2172" s="116">
        <v>893.35</v>
      </c>
      <c r="F2172" s="116">
        <v>895.15</v>
      </c>
      <c r="G2172">
        <v>16653</v>
      </c>
      <c r="H2172" s="116"/>
      <c r="I2172" s="116"/>
      <c r="L2172" s="170">
        <v>45916</v>
      </c>
      <c r="M2172" s="116">
        <v>894.85</v>
      </c>
      <c r="N2172" s="116">
        <v>906.55</v>
      </c>
      <c r="O2172" s="116">
        <v>892.6</v>
      </c>
      <c r="P2172" s="116">
        <v>895</v>
      </c>
      <c r="Q2172" s="116">
        <v>894.85</v>
      </c>
      <c r="R2172">
        <v>852948</v>
      </c>
    </row>
    <row r="2173" spans="1:18" x14ac:dyDescent="0.25">
      <c r="A2173" s="170">
        <v>45917</v>
      </c>
      <c r="B2173" s="116">
        <v>903.9</v>
      </c>
      <c r="C2173" s="116">
        <v>893.5</v>
      </c>
      <c r="D2173" s="116">
        <v>890</v>
      </c>
      <c r="E2173" s="116">
        <v>894.5</v>
      </c>
      <c r="F2173" s="116">
        <v>893.5</v>
      </c>
      <c r="G2173">
        <v>46387</v>
      </c>
      <c r="H2173" s="116"/>
      <c r="I2173" s="116"/>
      <c r="L2173" s="170">
        <v>45917</v>
      </c>
      <c r="M2173" s="116">
        <v>893.95</v>
      </c>
      <c r="N2173" s="116">
        <v>903.85</v>
      </c>
      <c r="O2173" s="116">
        <v>889.05</v>
      </c>
      <c r="P2173" s="116">
        <v>895.95</v>
      </c>
      <c r="Q2173" s="116">
        <v>893.95</v>
      </c>
      <c r="R2173">
        <v>1122856</v>
      </c>
    </row>
    <row r="2174" spans="1:18" x14ac:dyDescent="0.25">
      <c r="A2174" s="170">
        <v>45918</v>
      </c>
      <c r="B2174" s="116">
        <v>926.3</v>
      </c>
      <c r="C2174" s="116">
        <v>923</v>
      </c>
      <c r="D2174" s="116">
        <v>876.1</v>
      </c>
      <c r="E2174" s="116">
        <v>876.1</v>
      </c>
      <c r="F2174" s="116">
        <v>923</v>
      </c>
      <c r="G2174">
        <v>104870</v>
      </c>
      <c r="H2174" s="116"/>
      <c r="I2174" s="116"/>
      <c r="L2174" s="170">
        <v>45918</v>
      </c>
      <c r="M2174" s="116">
        <v>923.25</v>
      </c>
      <c r="N2174" s="116">
        <v>926.3</v>
      </c>
      <c r="O2174" s="116">
        <v>885.8</v>
      </c>
      <c r="P2174" s="116">
        <v>891</v>
      </c>
      <c r="Q2174" s="116">
        <v>923.25</v>
      </c>
      <c r="R2174">
        <v>3054360</v>
      </c>
    </row>
    <row r="2175" spans="1:18" x14ac:dyDescent="0.25">
      <c r="A2175" s="170">
        <v>45919</v>
      </c>
      <c r="B2175" s="116">
        <v>944</v>
      </c>
      <c r="C2175" s="116">
        <v>931.75</v>
      </c>
      <c r="D2175" s="116">
        <v>916.65</v>
      </c>
      <c r="E2175" s="116">
        <v>928.75</v>
      </c>
      <c r="F2175" s="116">
        <v>931.75</v>
      </c>
      <c r="G2175">
        <v>232341</v>
      </c>
      <c r="H2175" s="116"/>
      <c r="I2175" s="116"/>
      <c r="L2175" s="170">
        <v>45919</v>
      </c>
      <c r="M2175" s="116">
        <v>932.1</v>
      </c>
      <c r="N2175" s="116">
        <v>944</v>
      </c>
      <c r="O2175" s="116">
        <v>917.1</v>
      </c>
      <c r="P2175" s="116">
        <v>926</v>
      </c>
      <c r="Q2175" s="116">
        <v>932.1</v>
      </c>
      <c r="R2175">
        <v>3380153</v>
      </c>
    </row>
    <row r="2176" spans="1:18" x14ac:dyDescent="0.25">
      <c r="A2176" s="170">
        <v>45922</v>
      </c>
      <c r="B2176" s="116">
        <v>936.45</v>
      </c>
      <c r="C2176" s="116">
        <v>904.25</v>
      </c>
      <c r="D2176" s="116">
        <v>898.4</v>
      </c>
      <c r="E2176" s="116">
        <v>936.45</v>
      </c>
      <c r="F2176" s="116">
        <v>904.25</v>
      </c>
      <c r="G2176">
        <v>45652</v>
      </c>
      <c r="H2176" s="116"/>
      <c r="I2176" s="116"/>
      <c r="L2176" s="170">
        <v>45922</v>
      </c>
      <c r="M2176" s="116">
        <v>903.8</v>
      </c>
      <c r="N2176" s="116">
        <v>937.3</v>
      </c>
      <c r="O2176" s="116">
        <v>898.1</v>
      </c>
      <c r="P2176" s="116">
        <v>937.3</v>
      </c>
      <c r="Q2176" s="116">
        <v>903.8</v>
      </c>
      <c r="R2176">
        <v>1771352</v>
      </c>
    </row>
    <row r="2177" spans="1:18" x14ac:dyDescent="0.25">
      <c r="A2177" s="170">
        <v>45923</v>
      </c>
      <c r="B2177" s="116">
        <v>916</v>
      </c>
      <c r="C2177" s="116">
        <v>909.95</v>
      </c>
      <c r="D2177" s="116">
        <v>890.75</v>
      </c>
      <c r="E2177" s="116">
        <v>900.05</v>
      </c>
      <c r="F2177" s="116">
        <v>909.95</v>
      </c>
      <c r="G2177">
        <v>81237</v>
      </c>
      <c r="H2177" s="116"/>
      <c r="I2177" s="116"/>
      <c r="L2177" s="170">
        <v>45923</v>
      </c>
      <c r="M2177" s="116">
        <v>910.05</v>
      </c>
      <c r="N2177" s="116">
        <v>916.4</v>
      </c>
      <c r="O2177" s="116">
        <v>890.95</v>
      </c>
      <c r="P2177" s="116">
        <v>905.1</v>
      </c>
      <c r="Q2177" s="116">
        <v>910.05</v>
      </c>
      <c r="R2177">
        <v>1599124</v>
      </c>
    </row>
    <row r="2178" spans="1:18" x14ac:dyDescent="0.25">
      <c r="A2178" s="170">
        <v>45924</v>
      </c>
      <c r="B2178" s="116">
        <v>924.85</v>
      </c>
      <c r="C2178" s="116">
        <v>909.1</v>
      </c>
      <c r="D2178" s="116">
        <v>907.4</v>
      </c>
      <c r="E2178" s="116">
        <v>911</v>
      </c>
      <c r="F2178" s="116">
        <v>909.1</v>
      </c>
      <c r="G2178">
        <v>41585</v>
      </c>
      <c r="H2178" s="116"/>
      <c r="I2178" s="116"/>
      <c r="L2178" s="170">
        <v>45924</v>
      </c>
      <c r="M2178" s="116">
        <v>909.75</v>
      </c>
      <c r="N2178" s="116">
        <v>925</v>
      </c>
      <c r="O2178" s="116">
        <v>907.5</v>
      </c>
      <c r="P2178" s="116">
        <v>911.9</v>
      </c>
      <c r="Q2178" s="116">
        <v>909.75</v>
      </c>
      <c r="R2178">
        <v>1724529</v>
      </c>
    </row>
    <row r="2179" spans="1:18" x14ac:dyDescent="0.25">
      <c r="A2179" s="170">
        <v>45925</v>
      </c>
      <c r="B2179" s="116">
        <v>918.3</v>
      </c>
      <c r="C2179" s="116">
        <v>895.9</v>
      </c>
      <c r="D2179" s="116">
        <v>894.3</v>
      </c>
      <c r="E2179" s="116">
        <v>912.25</v>
      </c>
      <c r="F2179" s="116">
        <v>895.9</v>
      </c>
      <c r="G2179">
        <v>13007</v>
      </c>
      <c r="H2179" s="116"/>
      <c r="I2179" s="116"/>
      <c r="L2179" s="170">
        <v>45925</v>
      </c>
      <c r="M2179" s="116">
        <v>896.35</v>
      </c>
      <c r="N2179" s="116">
        <v>918</v>
      </c>
      <c r="O2179" s="116">
        <v>893.05</v>
      </c>
      <c r="P2179" s="116">
        <v>909.75</v>
      </c>
      <c r="Q2179" s="116">
        <v>896.35</v>
      </c>
      <c r="R2179">
        <v>965496</v>
      </c>
    </row>
    <row r="2180" spans="1:18" x14ac:dyDescent="0.25">
      <c r="A2180" s="170">
        <v>45926</v>
      </c>
      <c r="B2180" s="116">
        <v>887.2</v>
      </c>
      <c r="C2180" s="116">
        <v>832.7</v>
      </c>
      <c r="D2180" s="116">
        <v>822.85</v>
      </c>
      <c r="E2180" s="116">
        <v>880</v>
      </c>
      <c r="F2180" s="116">
        <v>832.7</v>
      </c>
      <c r="G2180">
        <v>132864</v>
      </c>
      <c r="H2180" s="116"/>
      <c r="I2180" s="116"/>
      <c r="L2180" s="170">
        <v>45926</v>
      </c>
      <c r="M2180" s="116">
        <v>832.3</v>
      </c>
      <c r="N2180" s="116">
        <v>886.85</v>
      </c>
      <c r="O2180" s="116">
        <v>823.1</v>
      </c>
      <c r="P2180" s="116">
        <v>880.3</v>
      </c>
      <c r="Q2180" s="116">
        <v>832.3</v>
      </c>
      <c r="R2180">
        <v>5612259</v>
      </c>
    </row>
    <row r="2181" spans="1:18" x14ac:dyDescent="0.25">
      <c r="A2181" s="170">
        <v>45929</v>
      </c>
      <c r="B2181" s="116">
        <v>849.95</v>
      </c>
      <c r="C2181" s="116">
        <v>841.1</v>
      </c>
      <c r="D2181" s="116">
        <v>826.25</v>
      </c>
      <c r="E2181" s="116">
        <v>832.15</v>
      </c>
      <c r="F2181" s="116">
        <v>841.1</v>
      </c>
      <c r="G2181">
        <v>98182</v>
      </c>
      <c r="H2181" s="116"/>
      <c r="I2181" s="116"/>
      <c r="L2181" s="170">
        <v>45929</v>
      </c>
      <c r="M2181" s="116">
        <v>840.95</v>
      </c>
      <c r="N2181" s="116">
        <v>849.8</v>
      </c>
      <c r="O2181" s="116">
        <v>826.2</v>
      </c>
      <c r="P2181" s="116">
        <v>833.4</v>
      </c>
      <c r="Q2181" s="116">
        <v>840.95</v>
      </c>
      <c r="R2181">
        <v>2764351</v>
      </c>
    </row>
    <row r="2182" spans="1:18" x14ac:dyDescent="0.25">
      <c r="A2182" s="170">
        <v>45930</v>
      </c>
      <c r="B2182" s="116">
        <v>844.5</v>
      </c>
      <c r="C2182" s="116">
        <v>841.95</v>
      </c>
      <c r="D2182" s="116">
        <v>827.6</v>
      </c>
      <c r="E2182" s="116">
        <v>841.1</v>
      </c>
      <c r="F2182" s="116">
        <v>841.95</v>
      </c>
      <c r="G2182">
        <v>46592</v>
      </c>
      <c r="H2182" s="116"/>
      <c r="I2182" s="116"/>
      <c r="L2182" s="170">
        <v>45930</v>
      </c>
      <c r="M2182" s="116">
        <v>841.8</v>
      </c>
      <c r="N2182" s="116">
        <v>844.85</v>
      </c>
      <c r="O2182" s="116">
        <v>827.25</v>
      </c>
      <c r="P2182" s="116">
        <v>841</v>
      </c>
      <c r="Q2182" s="116">
        <v>841.8</v>
      </c>
      <c r="R2182">
        <v>1844424</v>
      </c>
    </row>
    <row r="2183" spans="1:18" x14ac:dyDescent="0.25">
      <c r="A2183" s="170">
        <v>45931</v>
      </c>
      <c r="B2183" s="116">
        <v>874.45</v>
      </c>
      <c r="C2183" s="116">
        <v>872.05</v>
      </c>
      <c r="D2183" s="116">
        <v>838.4</v>
      </c>
      <c r="E2183" s="116">
        <v>838.4</v>
      </c>
      <c r="F2183" s="116">
        <v>872.05</v>
      </c>
      <c r="G2183">
        <v>91915</v>
      </c>
      <c r="H2183" s="116"/>
      <c r="I2183" s="116"/>
      <c r="L2183" s="170">
        <v>45931</v>
      </c>
      <c r="M2183" s="116">
        <v>872</v>
      </c>
      <c r="N2183" s="116">
        <v>874.4</v>
      </c>
      <c r="O2183" s="116">
        <v>845</v>
      </c>
      <c r="P2183" s="116">
        <v>845</v>
      </c>
      <c r="Q2183" s="116">
        <v>872</v>
      </c>
      <c r="R2183">
        <v>2074466</v>
      </c>
    </row>
    <row r="2184" spans="1:18" x14ac:dyDescent="0.25">
      <c r="A2184" s="170">
        <v>45933</v>
      </c>
      <c r="B2184" s="116">
        <v>881.2</v>
      </c>
      <c r="C2184" s="116">
        <v>866.45</v>
      </c>
      <c r="D2184" s="116">
        <v>862.45</v>
      </c>
      <c r="E2184" s="116">
        <v>872.35</v>
      </c>
      <c r="F2184" s="116">
        <v>866.45</v>
      </c>
      <c r="G2184">
        <v>57836</v>
      </c>
      <c r="H2184" s="116"/>
      <c r="I2184" s="116"/>
      <c r="L2184" s="170">
        <v>45933</v>
      </c>
      <c r="M2184" s="116">
        <v>864.4</v>
      </c>
      <c r="N2184" s="116">
        <v>881.3</v>
      </c>
      <c r="O2184" s="116">
        <v>862.3</v>
      </c>
      <c r="P2184" s="116">
        <v>872</v>
      </c>
      <c r="Q2184" s="116">
        <v>864.4</v>
      </c>
      <c r="R2184">
        <v>1995777</v>
      </c>
    </row>
    <row r="2185" spans="1:18" x14ac:dyDescent="0.25">
      <c r="A2185" s="170">
        <v>45936</v>
      </c>
      <c r="B2185" s="116">
        <v>867</v>
      </c>
      <c r="C2185" s="116">
        <v>863.4</v>
      </c>
      <c r="D2185" s="116">
        <v>857.85</v>
      </c>
      <c r="E2185" s="116">
        <v>861.55</v>
      </c>
      <c r="F2185" s="116">
        <v>863.4</v>
      </c>
      <c r="G2185">
        <v>58570</v>
      </c>
      <c r="H2185" s="116"/>
      <c r="I2185" s="116"/>
      <c r="L2185" s="170">
        <v>45936</v>
      </c>
      <c r="M2185" s="116">
        <v>863</v>
      </c>
      <c r="N2185" s="116">
        <v>868.8</v>
      </c>
      <c r="O2185" s="116">
        <v>857.45</v>
      </c>
      <c r="P2185" s="116">
        <v>866.05</v>
      </c>
      <c r="Q2185" s="116">
        <v>863</v>
      </c>
      <c r="R2185">
        <v>1494313</v>
      </c>
    </row>
    <row r="2186" spans="1:18" x14ac:dyDescent="0.25">
      <c r="A2186" s="170">
        <v>45937</v>
      </c>
      <c r="B2186" s="116">
        <v>873.2</v>
      </c>
      <c r="C2186" s="116">
        <v>863.05</v>
      </c>
      <c r="D2186" s="116">
        <v>859</v>
      </c>
      <c r="E2186" s="116">
        <v>873.2</v>
      </c>
      <c r="F2186" s="116">
        <v>863.05</v>
      </c>
      <c r="G2186">
        <v>24089</v>
      </c>
      <c r="H2186" s="116"/>
      <c r="I2186" s="116"/>
      <c r="L2186" s="170">
        <v>45937</v>
      </c>
      <c r="M2186" s="116">
        <v>863.4</v>
      </c>
      <c r="N2186" s="116">
        <v>868.5</v>
      </c>
      <c r="O2186" s="116">
        <v>858.05</v>
      </c>
      <c r="P2186" s="116">
        <v>865</v>
      </c>
      <c r="Q2186" s="116">
        <v>863.4</v>
      </c>
      <c r="R2186">
        <v>1833050</v>
      </c>
    </row>
    <row r="2187" spans="1:18" x14ac:dyDescent="0.25">
      <c r="A2187" s="170">
        <v>45938</v>
      </c>
      <c r="B2187" s="116">
        <v>872.2</v>
      </c>
      <c r="C2187" s="116">
        <v>858.25</v>
      </c>
      <c r="D2187" s="116">
        <v>851.2</v>
      </c>
      <c r="E2187" s="116">
        <v>861.9</v>
      </c>
      <c r="F2187" s="116">
        <v>858.25</v>
      </c>
      <c r="G2187">
        <v>69508</v>
      </c>
      <c r="H2187" s="116"/>
      <c r="I2187" s="116"/>
      <c r="L2187" s="170">
        <v>45938</v>
      </c>
      <c r="M2187" s="116">
        <v>853.85</v>
      </c>
      <c r="N2187" s="116">
        <v>872.65</v>
      </c>
      <c r="O2187" s="116">
        <v>850.2</v>
      </c>
      <c r="P2187" s="116">
        <v>863</v>
      </c>
      <c r="Q2187" s="116">
        <v>853.85</v>
      </c>
      <c r="R2187">
        <v>1005858</v>
      </c>
    </row>
    <row r="2188" spans="1:18" x14ac:dyDescent="0.25">
      <c r="A2188" s="170">
        <v>45939</v>
      </c>
      <c r="B2188" s="116">
        <v>875.4</v>
      </c>
      <c r="C2188" s="116">
        <v>867.45</v>
      </c>
      <c r="D2188" s="116">
        <v>848.7</v>
      </c>
      <c r="E2188" s="116">
        <v>858.25</v>
      </c>
      <c r="F2188" s="116">
        <v>867.45</v>
      </c>
      <c r="G2188">
        <v>240644</v>
      </c>
      <c r="H2188" s="116"/>
      <c r="I2188" s="116"/>
      <c r="L2188" s="170">
        <v>45939</v>
      </c>
      <c r="M2188" s="116">
        <v>865.1</v>
      </c>
      <c r="N2188" s="116">
        <v>875.3</v>
      </c>
      <c r="O2188" s="116">
        <v>845.35</v>
      </c>
      <c r="P2188" s="116">
        <v>861.1</v>
      </c>
      <c r="Q2188" s="116">
        <v>865.1</v>
      </c>
      <c r="R2188">
        <v>2609957</v>
      </c>
    </row>
    <row r="2189" spans="1:18" x14ac:dyDescent="0.25">
      <c r="A2189" s="170">
        <v>45940</v>
      </c>
      <c r="B2189" s="116">
        <v>890.95</v>
      </c>
      <c r="C2189" s="116">
        <v>876.85</v>
      </c>
      <c r="D2189" s="116">
        <v>843.3</v>
      </c>
      <c r="E2189" s="116">
        <v>873.85</v>
      </c>
      <c r="F2189" s="116">
        <v>876.85</v>
      </c>
      <c r="G2189">
        <v>149759</v>
      </c>
      <c r="H2189" s="116"/>
      <c r="I2189" s="116"/>
      <c r="L2189" s="170">
        <v>45940</v>
      </c>
      <c r="M2189" s="116">
        <v>876.75</v>
      </c>
      <c r="N2189" s="116">
        <v>891.15</v>
      </c>
      <c r="O2189" s="116">
        <v>843</v>
      </c>
      <c r="P2189" s="116">
        <v>873</v>
      </c>
      <c r="Q2189" s="116">
        <v>876.75</v>
      </c>
      <c r="R2189">
        <v>3985430</v>
      </c>
    </row>
    <row r="2190" spans="1:18" x14ac:dyDescent="0.25">
      <c r="A2190" s="170">
        <v>45943</v>
      </c>
      <c r="B2190" s="116">
        <v>885.7</v>
      </c>
      <c r="C2190" s="116">
        <v>875.85</v>
      </c>
      <c r="D2190" s="116">
        <v>869.2</v>
      </c>
      <c r="E2190" s="116">
        <v>872.65</v>
      </c>
      <c r="F2190" s="116">
        <v>875.85</v>
      </c>
      <c r="G2190">
        <v>1065953</v>
      </c>
      <c r="H2190" s="116"/>
      <c r="I2190" s="116"/>
      <c r="L2190" s="170">
        <v>45943</v>
      </c>
      <c r="M2190" s="116">
        <v>874.3</v>
      </c>
      <c r="N2190" s="116">
        <v>890.15</v>
      </c>
      <c r="O2190" s="116">
        <v>869.1</v>
      </c>
      <c r="P2190" s="116">
        <v>877.45</v>
      </c>
      <c r="Q2190" s="116">
        <v>874.3</v>
      </c>
      <c r="R2190">
        <v>1985637</v>
      </c>
    </row>
    <row r="2191" spans="1:18" x14ac:dyDescent="0.25">
      <c r="A2191" s="170">
        <v>45944</v>
      </c>
      <c r="B2191" s="116">
        <v>881.75</v>
      </c>
      <c r="C2191" s="116">
        <v>876.55</v>
      </c>
      <c r="D2191" s="116">
        <v>865</v>
      </c>
      <c r="E2191" s="116">
        <v>872.45</v>
      </c>
      <c r="F2191" s="116">
        <v>876.55</v>
      </c>
      <c r="G2191">
        <v>71379</v>
      </c>
      <c r="H2191" s="116"/>
      <c r="I2191" s="116"/>
      <c r="L2191" s="170">
        <v>45944</v>
      </c>
      <c r="M2191" s="116">
        <v>877.95</v>
      </c>
      <c r="N2191" s="116">
        <v>881.8</v>
      </c>
      <c r="O2191" s="116">
        <v>864.7</v>
      </c>
      <c r="P2191" s="116">
        <v>876.3</v>
      </c>
      <c r="Q2191" s="116">
        <v>877.95</v>
      </c>
      <c r="R2191">
        <v>3218266</v>
      </c>
    </row>
    <row r="2192" spans="1:18" x14ac:dyDescent="0.25">
      <c r="A2192" s="170">
        <v>45945</v>
      </c>
      <c r="B2192" s="116">
        <v>880</v>
      </c>
      <c r="C2192" s="116">
        <v>875.55</v>
      </c>
      <c r="D2192" s="116">
        <v>872.15</v>
      </c>
      <c r="E2192" s="116">
        <v>880</v>
      </c>
      <c r="F2192" s="116">
        <v>875.55</v>
      </c>
      <c r="G2192">
        <v>18673</v>
      </c>
      <c r="H2192" s="116"/>
      <c r="I2192" s="116"/>
      <c r="L2192" s="170">
        <v>45945</v>
      </c>
      <c r="M2192" s="116">
        <v>875.3</v>
      </c>
      <c r="N2192" s="116">
        <v>881.15</v>
      </c>
      <c r="O2192" s="116">
        <v>872.1</v>
      </c>
      <c r="P2192" s="116">
        <v>880</v>
      </c>
      <c r="Q2192" s="116">
        <v>875.3</v>
      </c>
      <c r="R2192">
        <v>781858</v>
      </c>
    </row>
    <row r="2193" spans="1:18" x14ac:dyDescent="0.25">
      <c r="A2193" s="170">
        <v>45946</v>
      </c>
      <c r="B2193" s="116">
        <v>885.6</v>
      </c>
      <c r="C2193" s="116">
        <v>873.05</v>
      </c>
      <c r="D2193" s="116">
        <v>871.75</v>
      </c>
      <c r="E2193" s="116">
        <v>878.5</v>
      </c>
      <c r="F2193" s="116">
        <v>873.05</v>
      </c>
      <c r="G2193">
        <v>53463</v>
      </c>
      <c r="H2193" s="116"/>
      <c r="I2193" s="116"/>
      <c r="L2193" s="170">
        <v>45946</v>
      </c>
      <c r="M2193" s="116">
        <v>872.85</v>
      </c>
      <c r="N2193" s="116">
        <v>886.5</v>
      </c>
      <c r="O2193" s="116">
        <v>871.45</v>
      </c>
      <c r="P2193" s="116">
        <v>877</v>
      </c>
      <c r="Q2193" s="116">
        <v>872.85</v>
      </c>
      <c r="R2193">
        <v>1018243</v>
      </c>
    </row>
    <row r="2194" spans="1:18" x14ac:dyDescent="0.25">
      <c r="A2194" s="170">
        <v>45947</v>
      </c>
      <c r="B2194" s="116">
        <v>901.25</v>
      </c>
      <c r="C2194" s="116">
        <v>899.75</v>
      </c>
      <c r="D2194" s="116">
        <v>870.05</v>
      </c>
      <c r="E2194" s="116">
        <v>870.05</v>
      </c>
      <c r="F2194" s="116">
        <v>899.75</v>
      </c>
      <c r="G2194">
        <v>108238</v>
      </c>
      <c r="H2194" s="116"/>
      <c r="I2194" s="116"/>
      <c r="L2194" s="170">
        <v>45947</v>
      </c>
      <c r="M2194" s="116">
        <v>900.05</v>
      </c>
      <c r="N2194" s="116">
        <v>902</v>
      </c>
      <c r="O2194" s="116">
        <v>870.45</v>
      </c>
      <c r="P2194" s="116">
        <v>872.85</v>
      </c>
      <c r="Q2194" s="116">
        <v>900.05</v>
      </c>
      <c r="R2194">
        <v>2517414</v>
      </c>
    </row>
    <row r="2195" spans="1:18" x14ac:dyDescent="0.25">
      <c r="A2195" s="170">
        <v>45950</v>
      </c>
      <c r="B2195" s="116">
        <v>923.15</v>
      </c>
      <c r="C2195" s="116">
        <v>920.7</v>
      </c>
      <c r="D2195" s="116">
        <v>902.15</v>
      </c>
      <c r="E2195" s="116">
        <v>906.6</v>
      </c>
      <c r="F2195" s="116">
        <v>920.7</v>
      </c>
      <c r="G2195">
        <v>152207</v>
      </c>
      <c r="H2195" s="116"/>
      <c r="I2195" s="116"/>
      <c r="L2195" s="170">
        <v>45950</v>
      </c>
      <c r="M2195" s="116">
        <v>920.65</v>
      </c>
      <c r="N2195" s="116">
        <v>923</v>
      </c>
      <c r="O2195" s="116">
        <v>901.4</v>
      </c>
      <c r="P2195" s="116">
        <v>903.05</v>
      </c>
      <c r="Q2195" s="116">
        <v>920.65</v>
      </c>
      <c r="R2195">
        <v>2200955</v>
      </c>
    </row>
    <row r="2196" spans="1:18" x14ac:dyDescent="0.25">
      <c r="A2196" s="170">
        <v>45951</v>
      </c>
      <c r="B2196" s="116">
        <v>929.95</v>
      </c>
      <c r="C2196" s="116">
        <v>923.85</v>
      </c>
      <c r="D2196" s="116">
        <v>921.15</v>
      </c>
      <c r="E2196" s="116">
        <v>921.15</v>
      </c>
      <c r="F2196" s="116">
        <v>923.85</v>
      </c>
      <c r="G2196">
        <v>37146</v>
      </c>
      <c r="H2196" s="116"/>
      <c r="I2196" s="116"/>
      <c r="L2196" s="170">
        <v>45951</v>
      </c>
      <c r="M2196" s="116">
        <v>923.9</v>
      </c>
      <c r="N2196" s="116">
        <v>929.8</v>
      </c>
      <c r="O2196" s="116">
        <v>921.15</v>
      </c>
      <c r="P2196" s="116">
        <v>925.85</v>
      </c>
      <c r="Q2196" s="116">
        <v>923.9</v>
      </c>
      <c r="R2196">
        <v>522764</v>
      </c>
    </row>
    <row r="2197" spans="1:18" x14ac:dyDescent="0.25">
      <c r="A2197" s="170">
        <v>45953</v>
      </c>
      <c r="B2197" s="116">
        <v>942.8</v>
      </c>
      <c r="C2197" s="116">
        <v>936.75</v>
      </c>
      <c r="D2197" s="116">
        <v>920.25</v>
      </c>
      <c r="E2197" s="116">
        <v>925.3</v>
      </c>
      <c r="F2197" s="116">
        <v>936.75</v>
      </c>
      <c r="G2197">
        <v>107516</v>
      </c>
      <c r="H2197" s="116"/>
      <c r="I2197" s="116"/>
      <c r="L2197" s="170">
        <v>45953</v>
      </c>
      <c r="M2197" s="116">
        <v>934.4</v>
      </c>
      <c r="N2197" s="116">
        <v>943</v>
      </c>
      <c r="O2197" s="116">
        <v>920.7</v>
      </c>
      <c r="P2197" s="116">
        <v>927.4</v>
      </c>
      <c r="Q2197" s="116">
        <v>934.4</v>
      </c>
      <c r="R2197">
        <v>4121681</v>
      </c>
    </row>
    <row r="2198" spans="1:18" x14ac:dyDescent="0.25">
      <c r="A2198" s="170">
        <v>45954</v>
      </c>
      <c r="B2198" s="116">
        <v>949.95</v>
      </c>
      <c r="C2198" s="116">
        <v>925.25</v>
      </c>
      <c r="D2198" s="116">
        <v>901.85</v>
      </c>
      <c r="E2198" s="116">
        <v>949.95</v>
      </c>
      <c r="F2198" s="116">
        <v>925.25</v>
      </c>
      <c r="G2198">
        <v>391616</v>
      </c>
      <c r="H2198" s="116"/>
      <c r="I2198" s="116"/>
      <c r="L2198" s="170">
        <v>45954</v>
      </c>
      <c r="M2198" s="116">
        <v>926.4</v>
      </c>
      <c r="N2198" s="116">
        <v>943</v>
      </c>
      <c r="O2198" s="116">
        <v>902.35</v>
      </c>
      <c r="P2198" s="116">
        <v>943</v>
      </c>
      <c r="Q2198" s="116">
        <v>926.4</v>
      </c>
      <c r="R2198">
        <v>8920106</v>
      </c>
    </row>
    <row r="2199" spans="1:18" x14ac:dyDescent="0.25">
      <c r="A2199" s="170">
        <v>45957</v>
      </c>
      <c r="B2199" s="116">
        <v>955.85</v>
      </c>
      <c r="C2199" s="116">
        <v>940.6</v>
      </c>
      <c r="D2199" s="116">
        <v>927.3</v>
      </c>
      <c r="E2199" s="116">
        <v>931.5</v>
      </c>
      <c r="F2199" s="116">
        <v>940.6</v>
      </c>
      <c r="G2199">
        <v>173356</v>
      </c>
      <c r="H2199" s="116"/>
      <c r="I2199" s="116"/>
      <c r="L2199" s="170">
        <v>45957</v>
      </c>
      <c r="M2199" s="116">
        <v>940.15</v>
      </c>
      <c r="N2199" s="116">
        <v>955.95</v>
      </c>
      <c r="O2199" s="116">
        <v>926.85</v>
      </c>
      <c r="P2199" s="116">
        <v>930.4</v>
      </c>
      <c r="Q2199" s="116">
        <v>940.15</v>
      </c>
      <c r="R2199">
        <v>4885418</v>
      </c>
    </row>
    <row r="2200" spans="1:18" x14ac:dyDescent="0.25">
      <c r="A2200" s="170">
        <v>45958</v>
      </c>
      <c r="B2200" s="116">
        <v>962.3</v>
      </c>
      <c r="C2200" s="116">
        <v>959.65</v>
      </c>
      <c r="D2200" s="116">
        <v>936.7</v>
      </c>
      <c r="E2200" s="116">
        <v>937.65</v>
      </c>
      <c r="F2200" s="116">
        <v>959.65</v>
      </c>
      <c r="G2200">
        <v>126200</v>
      </c>
      <c r="H2200" s="116"/>
      <c r="I2200" s="116"/>
      <c r="L2200" s="170">
        <v>45958</v>
      </c>
      <c r="M2200" s="116">
        <v>959.65</v>
      </c>
      <c r="N2200" s="116">
        <v>962.7</v>
      </c>
      <c r="O2200" s="116">
        <v>936.8</v>
      </c>
      <c r="P2200" s="116">
        <v>941</v>
      </c>
      <c r="Q2200" s="116">
        <v>959.65</v>
      </c>
      <c r="R2200">
        <v>2716006</v>
      </c>
    </row>
    <row r="2201" spans="1:18" x14ac:dyDescent="0.25">
      <c r="A2201" s="170">
        <v>45959</v>
      </c>
      <c r="B2201" s="116">
        <v>970</v>
      </c>
      <c r="C2201" s="116">
        <v>961.5</v>
      </c>
      <c r="D2201" s="116">
        <v>956</v>
      </c>
      <c r="E2201" s="116">
        <v>965</v>
      </c>
      <c r="F2201" s="116">
        <v>961.5</v>
      </c>
      <c r="G2201">
        <v>169362</v>
      </c>
      <c r="H2201" s="116"/>
      <c r="I2201" s="116"/>
      <c r="L2201" s="170">
        <v>45959</v>
      </c>
      <c r="M2201" s="116">
        <v>961.7</v>
      </c>
      <c r="N2201" s="116">
        <v>970</v>
      </c>
      <c r="O2201" s="116">
        <v>956.5</v>
      </c>
      <c r="P2201" s="116">
        <v>964.15</v>
      </c>
      <c r="Q2201" s="116">
        <v>961.7</v>
      </c>
      <c r="R2201">
        <v>1555478</v>
      </c>
    </row>
    <row r="2202" spans="1:18" x14ac:dyDescent="0.25">
      <c r="A2202" s="170">
        <v>45960</v>
      </c>
      <c r="B2202" s="116">
        <v>972.55</v>
      </c>
      <c r="C2202" s="116">
        <v>970</v>
      </c>
      <c r="D2202" s="116">
        <v>948.6</v>
      </c>
      <c r="E2202" s="116">
        <v>964.8</v>
      </c>
      <c r="F2202" s="116">
        <v>970</v>
      </c>
      <c r="G2202">
        <v>83030</v>
      </c>
      <c r="H2202" s="116"/>
      <c r="I2202" s="116"/>
      <c r="L2202" s="170">
        <v>45960</v>
      </c>
      <c r="M2202" s="116">
        <v>970.35</v>
      </c>
      <c r="N2202" s="116">
        <v>972.55</v>
      </c>
      <c r="O2202" s="116">
        <v>948.2</v>
      </c>
      <c r="P2202" s="116">
        <v>962.9</v>
      </c>
      <c r="Q2202" s="116">
        <v>970.35</v>
      </c>
      <c r="R2202">
        <v>2111499</v>
      </c>
    </row>
    <row r="2203" spans="1:18" x14ac:dyDescent="0.25">
      <c r="A2203" s="170">
        <v>45961</v>
      </c>
      <c r="B2203" s="116">
        <v>972.6</v>
      </c>
      <c r="C2203" s="116">
        <v>954.5</v>
      </c>
      <c r="D2203" s="116">
        <v>950.8</v>
      </c>
      <c r="E2203" s="116">
        <v>970.5</v>
      </c>
      <c r="F2203" s="116">
        <v>954.5</v>
      </c>
      <c r="G2203">
        <v>70633</v>
      </c>
      <c r="H2203" s="116"/>
      <c r="I2203" s="116"/>
      <c r="L2203" s="170">
        <v>45961</v>
      </c>
      <c r="M2203" s="116">
        <v>953.65</v>
      </c>
      <c r="N2203" s="116">
        <v>972.4</v>
      </c>
      <c r="O2203" s="116">
        <v>950.2</v>
      </c>
      <c r="P2203" s="116">
        <v>970.9</v>
      </c>
      <c r="Q2203" s="116">
        <v>953.65</v>
      </c>
      <c r="R2203">
        <v>1545420</v>
      </c>
    </row>
    <row r="2204" spans="1:18" x14ac:dyDescent="0.25">
      <c r="A2204" s="170">
        <v>45964</v>
      </c>
      <c r="B2204" s="116">
        <v>979.5</v>
      </c>
      <c r="C2204" s="116">
        <v>975.15</v>
      </c>
      <c r="D2204" s="116">
        <v>956</v>
      </c>
      <c r="E2204" s="116">
        <v>959.1</v>
      </c>
      <c r="F2204" s="116">
        <v>975.15</v>
      </c>
      <c r="G2204">
        <v>80237</v>
      </c>
      <c r="H2204" s="116"/>
      <c r="I2204" s="116"/>
      <c r="L2204" s="170">
        <v>45964</v>
      </c>
      <c r="M2204" s="116">
        <v>975.4</v>
      </c>
      <c r="N2204" s="116">
        <v>979.6</v>
      </c>
      <c r="O2204" s="116">
        <v>955.7</v>
      </c>
      <c r="P2204" s="116">
        <v>957.95</v>
      </c>
      <c r="Q2204" s="116">
        <v>975.4</v>
      </c>
      <c r="R2204">
        <v>1954182</v>
      </c>
    </row>
    <row r="2205" spans="1:18" x14ac:dyDescent="0.25">
      <c r="A2205" s="170">
        <v>45965</v>
      </c>
      <c r="B2205" s="116">
        <v>985.55</v>
      </c>
      <c r="C2205" s="116">
        <v>983.05</v>
      </c>
      <c r="D2205" s="116">
        <v>971</v>
      </c>
      <c r="E2205" s="116">
        <v>978</v>
      </c>
      <c r="F2205" s="116">
        <v>983.05</v>
      </c>
      <c r="G2205">
        <v>69193</v>
      </c>
      <c r="H2205" s="116"/>
      <c r="I2205" s="116"/>
      <c r="L2205" s="170">
        <v>45965</v>
      </c>
      <c r="M2205" s="116">
        <v>983.15</v>
      </c>
      <c r="N2205" s="116">
        <v>986</v>
      </c>
      <c r="O2205" s="116">
        <v>970.55</v>
      </c>
      <c r="P2205" s="116">
        <v>978</v>
      </c>
      <c r="Q2205" s="116">
        <v>983.15</v>
      </c>
      <c r="R2205">
        <v>2347486</v>
      </c>
    </row>
    <row r="2206" spans="1:18" x14ac:dyDescent="0.25">
      <c r="A2206" s="170">
        <v>45967</v>
      </c>
      <c r="B2206" s="116">
        <v>994.6</v>
      </c>
      <c r="C2206" s="116">
        <v>978.95</v>
      </c>
      <c r="D2206" s="116">
        <v>974.95</v>
      </c>
      <c r="E2206" s="116">
        <v>983.45</v>
      </c>
      <c r="F2206" s="116">
        <v>978.95</v>
      </c>
      <c r="G2206">
        <v>708903</v>
      </c>
      <c r="H2206" s="116"/>
      <c r="I2206" s="116"/>
      <c r="L2206" s="170">
        <v>45967</v>
      </c>
      <c r="M2206" s="116">
        <v>979.8</v>
      </c>
      <c r="N2206" s="116">
        <v>994.8</v>
      </c>
      <c r="O2206" s="116">
        <v>975.5</v>
      </c>
      <c r="P2206" s="116">
        <v>985</v>
      </c>
      <c r="Q2206" s="116">
        <v>979.8</v>
      </c>
      <c r="R2206">
        <v>1667068</v>
      </c>
    </row>
    <row r="2207" spans="1:18" x14ac:dyDescent="0.25">
      <c r="A2207" s="170">
        <v>45968</v>
      </c>
      <c r="B2207" s="116">
        <v>989.8</v>
      </c>
      <c r="C2207" s="116">
        <v>982.5</v>
      </c>
      <c r="D2207" s="116">
        <v>973.7</v>
      </c>
      <c r="E2207" s="116">
        <v>973.7</v>
      </c>
      <c r="F2207" s="116">
        <v>982.5</v>
      </c>
      <c r="G2207">
        <v>25081</v>
      </c>
      <c r="H2207" s="116"/>
      <c r="I2207" s="116"/>
      <c r="L2207" s="170">
        <v>45968</v>
      </c>
      <c r="M2207" s="116">
        <v>982.15</v>
      </c>
      <c r="N2207" s="116">
        <v>989.8</v>
      </c>
      <c r="O2207" s="116">
        <v>975</v>
      </c>
      <c r="P2207" s="116">
        <v>977</v>
      </c>
      <c r="Q2207" s="116">
        <v>982.15</v>
      </c>
      <c r="R2207">
        <v>1087182</v>
      </c>
    </row>
    <row r="2208" spans="1:18" x14ac:dyDescent="0.25">
      <c r="A2208" s="170">
        <v>45971</v>
      </c>
      <c r="B2208" s="116">
        <v>1002.65</v>
      </c>
      <c r="C2208" s="116">
        <v>1001.45</v>
      </c>
      <c r="D2208" s="116">
        <v>983.3</v>
      </c>
      <c r="E2208" s="116">
        <v>983.3</v>
      </c>
      <c r="F2208" s="116">
        <v>1001.45</v>
      </c>
      <c r="G2208">
        <v>98030</v>
      </c>
      <c r="H2208" s="116"/>
      <c r="I2208" s="116"/>
      <c r="L2208" s="170">
        <v>45971</v>
      </c>
      <c r="M2208" s="116">
        <v>1001.05</v>
      </c>
      <c r="N2208" s="116">
        <v>1004</v>
      </c>
      <c r="O2208" s="116">
        <v>983</v>
      </c>
      <c r="P2208" s="116">
        <v>985</v>
      </c>
      <c r="Q2208" s="116">
        <v>1001.05</v>
      </c>
      <c r="R2208">
        <v>1569187</v>
      </c>
    </row>
    <row r="2209" spans="1:18" x14ac:dyDescent="0.25">
      <c r="A2209" s="170">
        <v>45972</v>
      </c>
      <c r="B2209" s="116">
        <v>1005</v>
      </c>
      <c r="C2209" s="116">
        <v>985.9</v>
      </c>
      <c r="D2209" s="116">
        <v>970.05</v>
      </c>
      <c r="E2209" s="116">
        <v>1001.05</v>
      </c>
      <c r="F2209" s="116">
        <v>985.9</v>
      </c>
      <c r="G2209">
        <v>84790</v>
      </c>
      <c r="H2209" s="116"/>
      <c r="I2209" s="116"/>
      <c r="L2209" s="170">
        <v>45972</v>
      </c>
      <c r="M2209" s="116">
        <v>985.7</v>
      </c>
      <c r="N2209" s="116">
        <v>1005</v>
      </c>
      <c r="O2209" s="116">
        <v>970.35</v>
      </c>
      <c r="P2209" s="116">
        <v>1001.05</v>
      </c>
      <c r="Q2209" s="116">
        <v>985.7</v>
      </c>
      <c r="R2209">
        <v>1828103</v>
      </c>
    </row>
    <row r="2210" spans="1:18" x14ac:dyDescent="0.25">
      <c r="A2210" s="170">
        <v>45973</v>
      </c>
      <c r="B2210" s="116">
        <v>998</v>
      </c>
      <c r="C2210" s="116">
        <v>989.2</v>
      </c>
      <c r="D2210" s="116">
        <v>985</v>
      </c>
      <c r="E2210" s="116">
        <v>986.05</v>
      </c>
      <c r="F2210" s="116">
        <v>989.2</v>
      </c>
      <c r="G2210">
        <v>34881</v>
      </c>
      <c r="H2210" s="116"/>
      <c r="I2210" s="116"/>
      <c r="L2210" s="170">
        <v>45973</v>
      </c>
      <c r="M2210" s="116">
        <v>989.25</v>
      </c>
      <c r="N2210" s="116">
        <v>997.4</v>
      </c>
      <c r="O2210" s="116">
        <v>984.85</v>
      </c>
      <c r="P2210" s="116">
        <v>994</v>
      </c>
      <c r="Q2210" s="116">
        <v>989.25</v>
      </c>
      <c r="R2210">
        <v>1468376</v>
      </c>
    </row>
    <row r="2211" spans="1:18" x14ac:dyDescent="0.25">
      <c r="A2211" s="170">
        <v>45974</v>
      </c>
      <c r="B2211" s="116">
        <v>1004.55</v>
      </c>
      <c r="C2211" s="116">
        <v>997.05</v>
      </c>
      <c r="D2211" s="116">
        <v>986.1</v>
      </c>
      <c r="E2211" s="116">
        <v>988.3</v>
      </c>
      <c r="F2211" s="116">
        <v>997.05</v>
      </c>
      <c r="G2211">
        <v>22324</v>
      </c>
      <c r="H2211" s="116"/>
      <c r="I2211" s="116"/>
      <c r="L2211" s="170">
        <v>45974</v>
      </c>
      <c r="M2211" s="116">
        <v>997.05</v>
      </c>
      <c r="N2211" s="116">
        <v>1005</v>
      </c>
      <c r="O2211" s="116">
        <v>984.65</v>
      </c>
      <c r="P2211" s="116">
        <v>989.25</v>
      </c>
      <c r="Q2211" s="116">
        <v>997.05</v>
      </c>
      <c r="R2211">
        <v>1039405</v>
      </c>
    </row>
    <row r="2212" spans="1:18" x14ac:dyDescent="0.25">
      <c r="A2212" s="170">
        <v>45975</v>
      </c>
      <c r="B2212" s="116">
        <v>1014.95</v>
      </c>
      <c r="C2212" s="116">
        <v>997.85</v>
      </c>
      <c r="D2212" s="116">
        <v>992.5</v>
      </c>
      <c r="E2212" s="116">
        <v>1003.5</v>
      </c>
      <c r="F2212" s="116">
        <v>997.85</v>
      </c>
      <c r="G2212">
        <v>60495</v>
      </c>
      <c r="H2212" s="116"/>
      <c r="I2212" s="116"/>
      <c r="L2212" s="170">
        <v>45975</v>
      </c>
      <c r="M2212" s="116">
        <v>999</v>
      </c>
      <c r="N2212" s="116">
        <v>1014.4</v>
      </c>
      <c r="O2212" s="116">
        <v>992.95</v>
      </c>
      <c r="P2212" s="116">
        <v>1001.2</v>
      </c>
      <c r="Q2212" s="116">
        <v>999</v>
      </c>
      <c r="R2212">
        <v>1785705</v>
      </c>
    </row>
    <row r="2213" spans="1:18" x14ac:dyDescent="0.25">
      <c r="A2213" s="170">
        <v>45978</v>
      </c>
      <c r="B2213" s="116">
        <v>1025</v>
      </c>
      <c r="C2213" s="116">
        <v>1022.3</v>
      </c>
      <c r="D2213" s="116">
        <v>997.6</v>
      </c>
      <c r="E2213" s="116">
        <v>1004.7</v>
      </c>
      <c r="F2213" s="116">
        <v>1022.3</v>
      </c>
      <c r="G2213">
        <v>58420</v>
      </c>
      <c r="H2213" s="116"/>
      <c r="I2213" s="116"/>
      <c r="L2213" s="170">
        <v>45978</v>
      </c>
      <c r="M2213" s="116">
        <v>1021.85</v>
      </c>
      <c r="N2213" s="116">
        <v>1025</v>
      </c>
      <c r="O2213" s="116">
        <v>997.3</v>
      </c>
      <c r="P2213" s="116">
        <v>1001.05</v>
      </c>
      <c r="Q2213" s="116">
        <v>1021.85</v>
      </c>
      <c r="R2213">
        <v>1696744</v>
      </c>
    </row>
    <row r="2214" spans="1:18" x14ac:dyDescent="0.25">
      <c r="A2214" s="170">
        <v>45979</v>
      </c>
      <c r="B2214" s="116">
        <v>1033.55</v>
      </c>
      <c r="C2214" s="116">
        <v>1006</v>
      </c>
      <c r="D2214" s="116">
        <v>1000.05</v>
      </c>
      <c r="E2214" s="116">
        <v>1022.6</v>
      </c>
      <c r="F2214" s="116">
        <v>1006</v>
      </c>
      <c r="G2214">
        <v>141278</v>
      </c>
      <c r="H2214" s="116"/>
      <c r="I2214" s="116"/>
      <c r="L2214" s="170">
        <v>45979</v>
      </c>
      <c r="M2214" s="116">
        <v>1006.9</v>
      </c>
      <c r="N2214" s="116">
        <v>1033.5</v>
      </c>
      <c r="O2214" s="116">
        <v>1000.6</v>
      </c>
      <c r="P2214" s="116">
        <v>1028</v>
      </c>
      <c r="Q2214" s="116">
        <v>1006.9</v>
      </c>
      <c r="R2214">
        <v>2922214</v>
      </c>
    </row>
    <row r="2215" spans="1:18" x14ac:dyDescent="0.25">
      <c r="A2215" s="170">
        <v>45980</v>
      </c>
      <c r="B2215" s="116">
        <v>1014.45</v>
      </c>
      <c r="C2215" s="116">
        <v>987.4</v>
      </c>
      <c r="D2215" s="116">
        <v>982.2</v>
      </c>
      <c r="E2215" s="116">
        <v>1007.15</v>
      </c>
      <c r="F2215" s="116">
        <v>987.4</v>
      </c>
      <c r="G2215">
        <v>53377</v>
      </c>
      <c r="H2215" s="116"/>
      <c r="I2215" s="116"/>
      <c r="L2215" s="170">
        <v>45980</v>
      </c>
      <c r="M2215" s="116">
        <v>987.5</v>
      </c>
      <c r="N2215" s="116">
        <v>1010</v>
      </c>
      <c r="O2215" s="116">
        <v>982.15</v>
      </c>
      <c r="P2215" s="116">
        <v>1010</v>
      </c>
      <c r="Q2215" s="116">
        <v>987.5</v>
      </c>
      <c r="R2215">
        <v>1288996</v>
      </c>
    </row>
    <row r="2216" spans="1:18" x14ac:dyDescent="0.25">
      <c r="A2216" s="170">
        <v>45981</v>
      </c>
      <c r="B2216" s="116">
        <v>993.4</v>
      </c>
      <c r="C2216" s="116">
        <v>987.2</v>
      </c>
      <c r="D2216" s="116">
        <v>971</v>
      </c>
      <c r="E2216" s="116">
        <v>990.05</v>
      </c>
      <c r="F2216" s="116">
        <v>987.2</v>
      </c>
      <c r="G2216">
        <v>18000</v>
      </c>
      <c r="H2216" s="116"/>
      <c r="I2216" s="116"/>
      <c r="L2216" s="170">
        <v>45981</v>
      </c>
      <c r="M2216" s="116">
        <v>987.1</v>
      </c>
      <c r="N2216" s="116">
        <v>993.9</v>
      </c>
      <c r="O2216" s="116">
        <v>970.25</v>
      </c>
      <c r="P2216" s="116">
        <v>990</v>
      </c>
      <c r="Q2216" s="116">
        <v>987.1</v>
      </c>
      <c r="R2216">
        <v>1375536</v>
      </c>
    </row>
    <row r="2217" spans="1:18" x14ac:dyDescent="0.25">
      <c r="A2217" s="170">
        <v>45982</v>
      </c>
      <c r="B2217" s="116">
        <v>995.2</v>
      </c>
      <c r="C2217" s="116">
        <v>977.55</v>
      </c>
      <c r="D2217" s="116">
        <v>974.95</v>
      </c>
      <c r="E2217" s="116">
        <v>995.2</v>
      </c>
      <c r="F2217" s="116">
        <v>977.55</v>
      </c>
      <c r="G2217">
        <v>47563</v>
      </c>
      <c r="H2217" s="116"/>
      <c r="I2217" s="116"/>
      <c r="L2217" s="170">
        <v>45982</v>
      </c>
      <c r="M2217" s="116">
        <v>978.2</v>
      </c>
      <c r="N2217" s="116">
        <v>994.15</v>
      </c>
      <c r="O2217" s="116">
        <v>975.1</v>
      </c>
      <c r="P2217" s="116">
        <v>988.6</v>
      </c>
      <c r="Q2217" s="116">
        <v>978.2</v>
      </c>
      <c r="R2217">
        <v>1425481</v>
      </c>
    </row>
    <row r="2218" spans="1:18" x14ac:dyDescent="0.25">
      <c r="A2218" s="170">
        <v>45985</v>
      </c>
      <c r="B2218" s="116">
        <v>988</v>
      </c>
      <c r="C2218" s="116">
        <v>980.65</v>
      </c>
      <c r="D2218" s="116">
        <v>974.5</v>
      </c>
      <c r="E2218" s="116">
        <v>980</v>
      </c>
      <c r="F2218" s="116">
        <v>980.65</v>
      </c>
      <c r="G2218">
        <v>15538</v>
      </c>
      <c r="H2218" s="116"/>
      <c r="I2218" s="116"/>
      <c r="L2218" s="170">
        <v>45985</v>
      </c>
      <c r="M2218" s="116">
        <v>979.55</v>
      </c>
      <c r="N2218" s="116">
        <v>988.7</v>
      </c>
      <c r="O2218" s="116">
        <v>974.5</v>
      </c>
      <c r="P2218" s="116">
        <v>979</v>
      </c>
      <c r="Q2218" s="116">
        <v>979.55</v>
      </c>
      <c r="R2218">
        <v>1348847</v>
      </c>
    </row>
    <row r="2219" spans="1:18" x14ac:dyDescent="0.25">
      <c r="A2219" s="170">
        <v>45986</v>
      </c>
      <c r="B2219" s="116">
        <v>988.5</v>
      </c>
      <c r="C2219" s="116">
        <v>979.9</v>
      </c>
      <c r="D2219" s="116">
        <v>972.1</v>
      </c>
      <c r="E2219" s="116">
        <v>988.5</v>
      </c>
      <c r="F2219" s="116">
        <v>979.9</v>
      </c>
      <c r="G2219">
        <v>300203</v>
      </c>
      <c r="H2219" s="116"/>
      <c r="I2219" s="116"/>
      <c r="L2219" s="170">
        <v>45986</v>
      </c>
      <c r="M2219" s="116">
        <v>977.55</v>
      </c>
      <c r="N2219" s="116">
        <v>988</v>
      </c>
      <c r="O2219" s="116">
        <v>971.4</v>
      </c>
      <c r="P2219" s="116">
        <v>982</v>
      </c>
      <c r="Q2219" s="116">
        <v>977.55</v>
      </c>
      <c r="R2219">
        <v>1005154</v>
      </c>
    </row>
    <row r="2220" spans="1:18" x14ac:dyDescent="0.25">
      <c r="A2220" s="170">
        <v>45987</v>
      </c>
      <c r="B2220" s="116">
        <v>989.6</v>
      </c>
      <c r="C2220" s="116">
        <v>985.5</v>
      </c>
      <c r="D2220" s="116">
        <v>973</v>
      </c>
      <c r="E2220" s="116">
        <v>984.6</v>
      </c>
      <c r="F2220" s="116">
        <v>985.5</v>
      </c>
      <c r="G2220">
        <v>47835</v>
      </c>
      <c r="H2220" s="116"/>
      <c r="I2220" s="116"/>
      <c r="L2220" s="170">
        <v>45987</v>
      </c>
      <c r="M2220" s="116">
        <v>986.6</v>
      </c>
      <c r="N2220" s="116">
        <v>989.45</v>
      </c>
      <c r="O2220" s="116">
        <v>973.35</v>
      </c>
      <c r="P2220" s="116">
        <v>981</v>
      </c>
      <c r="Q2220" s="116">
        <v>986.6</v>
      </c>
      <c r="R2220">
        <v>2951910</v>
      </c>
    </row>
    <row r="2221" spans="1:18" x14ac:dyDescent="0.25">
      <c r="A2221" s="170">
        <v>45988</v>
      </c>
      <c r="B2221" s="116">
        <v>1011.5</v>
      </c>
      <c r="C2221" s="116">
        <v>1004.45</v>
      </c>
      <c r="D2221" s="116">
        <v>984.2</v>
      </c>
      <c r="E2221" s="116">
        <v>993.95</v>
      </c>
      <c r="F2221" s="116">
        <v>1004.45</v>
      </c>
      <c r="G2221">
        <v>48599</v>
      </c>
      <c r="H2221" s="116"/>
      <c r="I2221" s="116"/>
      <c r="L2221" s="170">
        <v>45988</v>
      </c>
      <c r="M2221" s="116">
        <v>1003.2</v>
      </c>
      <c r="N2221" s="116">
        <v>1011.9</v>
      </c>
      <c r="O2221" s="116">
        <v>981.1</v>
      </c>
      <c r="P2221" s="116">
        <v>990</v>
      </c>
      <c r="Q2221" s="116">
        <v>1003.2</v>
      </c>
      <c r="R2221">
        <v>2606483</v>
      </c>
    </row>
    <row r="2222" spans="1:18" x14ac:dyDescent="0.25">
      <c r="A2222" s="170">
        <v>45989</v>
      </c>
      <c r="B2222" s="116">
        <v>1032.55</v>
      </c>
      <c r="C2222" s="116">
        <v>1031.3499999999999</v>
      </c>
      <c r="D2222" s="116">
        <v>1008.05</v>
      </c>
      <c r="E2222" s="116">
        <v>1008.05</v>
      </c>
      <c r="F2222" s="116">
        <v>1031.3499999999999</v>
      </c>
      <c r="G2222">
        <v>151584</v>
      </c>
      <c r="H2222" s="116"/>
      <c r="I2222" s="116"/>
      <c r="L2222" s="170">
        <v>45989</v>
      </c>
      <c r="M2222" s="116">
        <v>1031.3499999999999</v>
      </c>
      <c r="N2222" s="116">
        <v>1032.75</v>
      </c>
      <c r="O2222" s="116">
        <v>1006.5</v>
      </c>
      <c r="P2222" s="116">
        <v>1007</v>
      </c>
      <c r="Q2222" s="116">
        <v>1031.3499999999999</v>
      </c>
      <c r="R2222">
        <v>2486519</v>
      </c>
    </row>
    <row r="2223" spans="1:18" x14ac:dyDescent="0.25">
      <c r="A2223" s="170">
        <v>45992</v>
      </c>
      <c r="B2223" s="116">
        <v>1040</v>
      </c>
      <c r="C2223" s="116">
        <v>1028.95</v>
      </c>
      <c r="D2223" s="116">
        <v>1006.25</v>
      </c>
      <c r="E2223" s="116">
        <v>1031.6500000000001</v>
      </c>
      <c r="F2223" s="116">
        <v>1028.95</v>
      </c>
      <c r="G2223">
        <v>171745</v>
      </c>
      <c r="H2223" s="116"/>
      <c r="I2223" s="116"/>
      <c r="L2223" s="170">
        <v>45992</v>
      </c>
      <c r="M2223" s="116">
        <v>1029.4000000000001</v>
      </c>
      <c r="N2223" s="116">
        <v>1040.2</v>
      </c>
      <c r="O2223" s="116">
        <v>1006.1</v>
      </c>
      <c r="P2223" s="116">
        <v>1035</v>
      </c>
      <c r="Q2223" s="116">
        <v>1029.4000000000001</v>
      </c>
      <c r="R2223">
        <v>2002768</v>
      </c>
    </row>
    <row r="2224" spans="1:18" x14ac:dyDescent="0.25">
      <c r="A2224" s="170">
        <v>45993</v>
      </c>
      <c r="B2224" s="116">
        <v>1036</v>
      </c>
      <c r="C2224" s="116">
        <v>1019.7</v>
      </c>
      <c r="D2224" s="116">
        <v>1015.35</v>
      </c>
      <c r="E2224" s="116">
        <v>1028.95</v>
      </c>
      <c r="F2224" s="116">
        <v>1019.7</v>
      </c>
      <c r="G2224">
        <v>27849</v>
      </c>
      <c r="H2224" s="116"/>
      <c r="I2224" s="116"/>
      <c r="L2224" s="170">
        <v>45993</v>
      </c>
      <c r="M2224" s="116">
        <v>1020.2</v>
      </c>
      <c r="N2224" s="116">
        <v>1036.9000000000001</v>
      </c>
      <c r="O2224" s="116">
        <v>1015</v>
      </c>
      <c r="P2224" s="116">
        <v>1028.2</v>
      </c>
      <c r="Q2224" s="116">
        <v>1020.2</v>
      </c>
      <c r="R2224">
        <v>1465264</v>
      </c>
    </row>
    <row r="2225" spans="1:18" x14ac:dyDescent="0.25">
      <c r="A2225" s="170">
        <v>45994</v>
      </c>
      <c r="B2225" s="116">
        <v>1026.95</v>
      </c>
      <c r="C2225" s="116">
        <v>1018.2</v>
      </c>
      <c r="D2225" s="116">
        <v>1008</v>
      </c>
      <c r="E2225" s="116">
        <v>1022.75</v>
      </c>
      <c r="F2225" s="116">
        <v>1018.2</v>
      </c>
      <c r="G2225">
        <v>11474</v>
      </c>
      <c r="H2225" s="116"/>
      <c r="I2225" s="116"/>
      <c r="L2225" s="170">
        <v>45994</v>
      </c>
      <c r="M2225" s="116">
        <v>1016.5</v>
      </c>
      <c r="N2225" s="116">
        <v>1026.9000000000001</v>
      </c>
      <c r="O2225" s="116">
        <v>1007.8</v>
      </c>
      <c r="P2225" s="116">
        <v>1023.3</v>
      </c>
      <c r="Q2225" s="116">
        <v>1016.5</v>
      </c>
      <c r="R2225">
        <v>972564</v>
      </c>
    </row>
    <row r="2226" spans="1:18" x14ac:dyDescent="0.25">
      <c r="A2226" s="170">
        <v>45995</v>
      </c>
      <c r="B2226" s="116">
        <v>1020</v>
      </c>
      <c r="C2226" s="116">
        <v>1012.65</v>
      </c>
      <c r="D2226" s="116">
        <v>1001.25</v>
      </c>
      <c r="E2226" s="116">
        <v>1015.35</v>
      </c>
      <c r="F2226" s="116">
        <v>1012.65</v>
      </c>
      <c r="G2226">
        <v>45375</v>
      </c>
      <c r="H2226" s="116"/>
      <c r="I2226" s="116"/>
      <c r="L2226" s="170">
        <v>45995</v>
      </c>
      <c r="M2226" s="116">
        <v>1013.5</v>
      </c>
      <c r="N2226" s="116">
        <v>1021.3</v>
      </c>
      <c r="O2226" s="116">
        <v>1001.6</v>
      </c>
      <c r="P2226" s="116">
        <v>1016.5</v>
      </c>
      <c r="Q2226" s="116">
        <v>1013.5</v>
      </c>
      <c r="R2226">
        <v>971897</v>
      </c>
    </row>
    <row r="2227" spans="1:18" x14ac:dyDescent="0.25">
      <c r="A2227" s="170">
        <v>45996</v>
      </c>
      <c r="B2227" s="116">
        <v>1028.9000000000001</v>
      </c>
      <c r="C2227" s="116">
        <v>1025.95</v>
      </c>
      <c r="D2227" s="116">
        <v>1005.8</v>
      </c>
      <c r="E2227" s="116">
        <v>1011.95</v>
      </c>
      <c r="F2227" s="116">
        <v>1025.95</v>
      </c>
      <c r="G2227">
        <v>18015</v>
      </c>
      <c r="H2227" s="116"/>
      <c r="I2227" s="116"/>
      <c r="L2227" s="170">
        <v>45996</v>
      </c>
      <c r="M2227" s="116">
        <v>1026.0999999999999</v>
      </c>
      <c r="N2227" s="116">
        <v>1028.5</v>
      </c>
      <c r="O2227" s="116">
        <v>1005.8</v>
      </c>
      <c r="P2227" s="116">
        <v>1017.5</v>
      </c>
      <c r="Q2227" s="116">
        <v>1026.0999999999999</v>
      </c>
      <c r="R2227">
        <v>936977</v>
      </c>
    </row>
    <row r="2228" spans="1:18" x14ac:dyDescent="0.25">
      <c r="A2228" s="170">
        <v>45999</v>
      </c>
      <c r="B2228" s="116">
        <v>1031.55</v>
      </c>
      <c r="C2228" s="116">
        <v>1004</v>
      </c>
      <c r="D2228" s="116">
        <v>996.3</v>
      </c>
      <c r="E2228" s="116">
        <v>1025.9000000000001</v>
      </c>
      <c r="F2228" s="116">
        <v>1004</v>
      </c>
      <c r="G2228">
        <v>26236</v>
      </c>
      <c r="H2228" s="116"/>
      <c r="I2228" s="116"/>
      <c r="L2228" s="170">
        <v>45999</v>
      </c>
      <c r="M2228" s="116">
        <v>1004.1</v>
      </c>
      <c r="N2228" s="116">
        <v>1032</v>
      </c>
      <c r="O2228" s="116">
        <v>996.1</v>
      </c>
      <c r="P2228" s="116">
        <v>1026</v>
      </c>
      <c r="Q2228" s="116">
        <v>1004.1</v>
      </c>
      <c r="R2228">
        <v>1382140</v>
      </c>
    </row>
    <row r="2229" spans="1:18" x14ac:dyDescent="0.25">
      <c r="A2229" s="170">
        <v>46000</v>
      </c>
      <c r="B2229" s="116">
        <v>1026.4000000000001</v>
      </c>
      <c r="C2229" s="116">
        <v>1021.45</v>
      </c>
      <c r="D2229" s="116">
        <v>985.85</v>
      </c>
      <c r="E2229" s="116">
        <v>1009.25</v>
      </c>
      <c r="F2229" s="116">
        <v>1021.45</v>
      </c>
      <c r="G2229">
        <v>24578</v>
      </c>
      <c r="H2229" s="116"/>
      <c r="I2229" s="116"/>
      <c r="L2229" s="170">
        <v>46000</v>
      </c>
      <c r="M2229" s="116">
        <v>1021.4</v>
      </c>
      <c r="N2229" s="116">
        <v>1026.9000000000001</v>
      </c>
      <c r="O2229" s="116">
        <v>985.9</v>
      </c>
      <c r="P2229" s="116">
        <v>1003.2</v>
      </c>
      <c r="Q2229" s="116">
        <v>1021.4</v>
      </c>
      <c r="R2229">
        <v>1464780</v>
      </c>
    </row>
    <row r="2230" spans="1:18" x14ac:dyDescent="0.25">
      <c r="A2230" s="170">
        <v>46001</v>
      </c>
      <c r="B2230" s="116">
        <v>1035.95</v>
      </c>
      <c r="C2230" s="116">
        <v>1018.2</v>
      </c>
      <c r="D2230" s="116">
        <v>1016.25</v>
      </c>
      <c r="E2230" s="116">
        <v>1021.5</v>
      </c>
      <c r="F2230" s="116">
        <v>1018.2</v>
      </c>
      <c r="G2230">
        <v>30342</v>
      </c>
      <c r="H2230" s="116"/>
      <c r="I2230" s="116"/>
      <c r="L2230" s="170">
        <v>46001</v>
      </c>
      <c r="M2230" s="116">
        <v>1018.4</v>
      </c>
      <c r="N2230" s="116">
        <v>1035.9000000000001</v>
      </c>
      <c r="O2230" s="116">
        <v>1015.8</v>
      </c>
      <c r="P2230" s="116">
        <v>1024</v>
      </c>
      <c r="Q2230" s="116">
        <v>1018.4</v>
      </c>
      <c r="R2230">
        <v>1186441</v>
      </c>
    </row>
    <row r="2231" spans="1:18" x14ac:dyDescent="0.25">
      <c r="A2231" s="170">
        <v>46002</v>
      </c>
      <c r="B2231" s="116">
        <v>1032.0999999999999</v>
      </c>
      <c r="C2231" s="116">
        <v>1018.1</v>
      </c>
      <c r="D2231" s="116">
        <v>1014.2</v>
      </c>
      <c r="E2231" s="116">
        <v>1024.45</v>
      </c>
      <c r="F2231" s="116">
        <v>1018.1</v>
      </c>
      <c r="G2231">
        <v>347914</v>
      </c>
      <c r="H2231" s="116"/>
      <c r="I2231" s="116"/>
      <c r="L2231" s="170">
        <v>46002</v>
      </c>
      <c r="M2231" s="116">
        <v>1019.3</v>
      </c>
      <c r="N2231" s="116">
        <v>1032.2</v>
      </c>
      <c r="O2231" s="116">
        <v>1013.4</v>
      </c>
      <c r="P2231" s="116">
        <v>1021.8</v>
      </c>
      <c r="Q2231" s="116">
        <v>1019.3</v>
      </c>
      <c r="R2231">
        <v>818322</v>
      </c>
    </row>
    <row r="2232" spans="1:18" x14ac:dyDescent="0.25">
      <c r="A2232" s="170">
        <v>46003</v>
      </c>
      <c r="B2232" s="116">
        <v>1027.5999999999999</v>
      </c>
      <c r="C2232" s="116">
        <v>1014.9</v>
      </c>
      <c r="D2232" s="116">
        <v>1006</v>
      </c>
      <c r="E2232" s="116">
        <v>1016.8</v>
      </c>
      <c r="F2232" s="116">
        <v>1014.9</v>
      </c>
      <c r="G2232">
        <v>216228</v>
      </c>
      <c r="H2232" s="116"/>
      <c r="I2232" s="116"/>
      <c r="L2232" s="170">
        <v>46003</v>
      </c>
      <c r="M2232" s="116">
        <v>1012.3</v>
      </c>
      <c r="N2232" s="116">
        <v>1027.5</v>
      </c>
      <c r="O2232" s="116">
        <v>1006.1</v>
      </c>
      <c r="P2232" s="116">
        <v>1016.1</v>
      </c>
      <c r="Q2232" s="116">
        <v>1012.3</v>
      </c>
      <c r="R2232">
        <v>1244218</v>
      </c>
    </row>
    <row r="2233" spans="1:18" x14ac:dyDescent="0.25">
      <c r="A2233" s="170">
        <v>46006</v>
      </c>
      <c r="B2233" s="116">
        <v>1010</v>
      </c>
      <c r="C2233" s="116">
        <v>1004.3</v>
      </c>
      <c r="D2233" s="116">
        <v>993.6</v>
      </c>
      <c r="E2233" s="116">
        <v>1005.9</v>
      </c>
      <c r="F2233" s="116">
        <v>1004.3</v>
      </c>
      <c r="G2233">
        <v>45504</v>
      </c>
      <c r="H2233" s="116"/>
      <c r="I2233" s="116"/>
      <c r="L2233" s="170">
        <v>46006</v>
      </c>
      <c r="M2233" s="116">
        <v>1004.9</v>
      </c>
      <c r="N2233" s="116">
        <v>1011.7</v>
      </c>
      <c r="O2233" s="116">
        <v>994.2</v>
      </c>
      <c r="P2233" s="116">
        <v>1006.9</v>
      </c>
      <c r="Q2233" s="116">
        <v>1004.9</v>
      </c>
      <c r="R2233">
        <v>895430</v>
      </c>
    </row>
    <row r="2234" spans="1:18" x14ac:dyDescent="0.25">
      <c r="A2234" s="170">
        <v>46007</v>
      </c>
      <c r="B2234" s="116">
        <v>1007.5</v>
      </c>
      <c r="C2234" s="116">
        <v>1001</v>
      </c>
      <c r="D2234" s="116">
        <v>992.45</v>
      </c>
      <c r="E2234" s="116">
        <v>998.05</v>
      </c>
      <c r="F2234" s="116">
        <v>1001</v>
      </c>
      <c r="G2234">
        <v>19155</v>
      </c>
      <c r="H2234" s="116"/>
      <c r="I2234" s="116"/>
      <c r="L2234" s="170">
        <v>46007</v>
      </c>
      <c r="M2234" s="116">
        <v>1001.3</v>
      </c>
      <c r="N2234" s="116">
        <v>1007.6</v>
      </c>
      <c r="O2234" s="116">
        <v>992.6</v>
      </c>
      <c r="P2234" s="116">
        <v>1000</v>
      </c>
      <c r="Q2234" s="116">
        <v>1001.3</v>
      </c>
      <c r="R2234">
        <v>945609</v>
      </c>
    </row>
    <row r="2235" spans="1:18" x14ac:dyDescent="0.25">
      <c r="A2235" s="170">
        <v>46008</v>
      </c>
      <c r="B2235" s="116">
        <v>1018.25</v>
      </c>
      <c r="C2235" s="116">
        <v>1009.2</v>
      </c>
      <c r="D2235" s="116">
        <v>1003.5</v>
      </c>
      <c r="E2235" s="116">
        <v>1004.05</v>
      </c>
      <c r="F2235" s="116">
        <v>1009.2</v>
      </c>
      <c r="G2235">
        <v>27441</v>
      </c>
      <c r="H2235" s="116"/>
      <c r="I2235" s="116"/>
      <c r="L2235" s="170">
        <v>46008</v>
      </c>
      <c r="M2235" s="116">
        <v>1010</v>
      </c>
      <c r="N2235" s="116">
        <v>1018.8</v>
      </c>
      <c r="O2235" s="116">
        <v>1001.6</v>
      </c>
      <c r="P2235" s="116">
        <v>1005.9</v>
      </c>
      <c r="Q2235" s="116">
        <v>1010</v>
      </c>
      <c r="R2235">
        <v>1284797</v>
      </c>
    </row>
    <row r="2236" spans="1:18" x14ac:dyDescent="0.25">
      <c r="A2236" s="170">
        <v>46009</v>
      </c>
      <c r="B2236" s="116">
        <v>1019.5</v>
      </c>
      <c r="C2236" s="116">
        <v>1015.15</v>
      </c>
      <c r="D2236" s="116">
        <v>998.15</v>
      </c>
      <c r="E2236" s="116">
        <v>1009.15</v>
      </c>
      <c r="F2236" s="116">
        <v>1015.15</v>
      </c>
      <c r="G2236">
        <v>18382</v>
      </c>
      <c r="H2236" s="116"/>
      <c r="I2236" s="116"/>
      <c r="L2236" s="170">
        <v>46009</v>
      </c>
      <c r="M2236" s="116">
        <v>1015.5</v>
      </c>
      <c r="N2236" s="116">
        <v>1020.1</v>
      </c>
      <c r="O2236" s="116">
        <v>997.4</v>
      </c>
      <c r="P2236" s="116">
        <v>1006.6</v>
      </c>
      <c r="Q2236" s="116">
        <v>1015.5</v>
      </c>
      <c r="R2236">
        <v>870778</v>
      </c>
    </row>
    <row r="2237" spans="1:18" x14ac:dyDescent="0.25">
      <c r="A2237" s="170">
        <v>46010</v>
      </c>
      <c r="B2237" s="116">
        <v>1049</v>
      </c>
      <c r="C2237" s="116">
        <v>1045.3</v>
      </c>
      <c r="D2237" s="116">
        <v>1016.8</v>
      </c>
      <c r="E2237" s="116">
        <v>1016.8</v>
      </c>
      <c r="F2237" s="116">
        <v>1045.3</v>
      </c>
      <c r="G2237">
        <v>49740</v>
      </c>
      <c r="H2237" s="116"/>
      <c r="I2237" s="116"/>
      <c r="L2237" s="170">
        <v>46010</v>
      </c>
      <c r="M2237" s="116">
        <v>1045.2</v>
      </c>
      <c r="N2237" s="116">
        <v>1049</v>
      </c>
      <c r="O2237" s="116">
        <v>1018.6</v>
      </c>
      <c r="P2237" s="116">
        <v>1020</v>
      </c>
      <c r="Q2237" s="116">
        <v>1045.2</v>
      </c>
      <c r="R2237">
        <v>2844049</v>
      </c>
    </row>
    <row r="2238" spans="1:18" x14ac:dyDescent="0.25">
      <c r="A2238" s="170">
        <v>46013</v>
      </c>
      <c r="B2238" s="116">
        <v>1069.8499999999999</v>
      </c>
      <c r="C2238" s="116">
        <v>1063.4000000000001</v>
      </c>
      <c r="D2238" s="116">
        <v>1047.05</v>
      </c>
      <c r="E2238" s="116">
        <v>1050</v>
      </c>
      <c r="F2238" s="116">
        <v>1063.4000000000001</v>
      </c>
      <c r="G2238">
        <v>96781</v>
      </c>
      <c r="H2238" s="116"/>
      <c r="I2238" s="116"/>
      <c r="L2238" s="170">
        <v>46013</v>
      </c>
      <c r="M2238" s="116">
        <v>1064.2</v>
      </c>
      <c r="N2238" s="116">
        <v>1070</v>
      </c>
      <c r="O2238" s="116">
        <v>1047.5999999999999</v>
      </c>
      <c r="P2238" s="116">
        <v>1050.7</v>
      </c>
      <c r="Q2238" s="116">
        <v>1064.2</v>
      </c>
      <c r="R2238">
        <v>1357581</v>
      </c>
    </row>
    <row r="2239" spans="1:18" x14ac:dyDescent="0.25">
      <c r="A2239" s="170">
        <v>46014</v>
      </c>
      <c r="B2239" s="116">
        <v>1072</v>
      </c>
      <c r="C2239" s="116">
        <v>1068.3499999999999</v>
      </c>
      <c r="D2239" s="116">
        <v>1055.5</v>
      </c>
      <c r="E2239" s="116">
        <v>1061.3</v>
      </c>
      <c r="F2239" s="116">
        <v>1068.3499999999999</v>
      </c>
      <c r="G2239">
        <v>25992</v>
      </c>
      <c r="H2239" s="116"/>
      <c r="I2239" s="116"/>
      <c r="L2239" s="170">
        <v>46014</v>
      </c>
      <c r="M2239" s="116">
        <v>1068.4000000000001</v>
      </c>
      <c r="N2239" s="116">
        <v>1073.0999999999999</v>
      </c>
      <c r="O2239" s="116">
        <v>1055.0999999999999</v>
      </c>
      <c r="P2239" s="116">
        <v>1068.5</v>
      </c>
      <c r="Q2239" s="116">
        <v>1068.4000000000001</v>
      </c>
      <c r="R2239">
        <v>1229233</v>
      </c>
    </row>
    <row r="2240" spans="1:18" x14ac:dyDescent="0.25">
      <c r="A2240" s="170">
        <v>46015</v>
      </c>
      <c r="B2240" s="116">
        <v>1092.5999999999999</v>
      </c>
      <c r="C2240" s="116">
        <v>1084.8499999999999</v>
      </c>
      <c r="D2240" s="116">
        <v>1071.1500000000001</v>
      </c>
      <c r="E2240" s="116">
        <v>1075</v>
      </c>
      <c r="F2240" s="116">
        <v>1084.8499999999999</v>
      </c>
      <c r="G2240">
        <v>24335</v>
      </c>
      <c r="H2240" s="116"/>
      <c r="I2240" s="116"/>
      <c r="L2240" s="170">
        <v>46015</v>
      </c>
      <c r="M2240" s="116">
        <v>1084.8</v>
      </c>
      <c r="N2240" s="116">
        <v>1092.5999999999999</v>
      </c>
      <c r="O2240" s="116">
        <v>1070.5</v>
      </c>
      <c r="P2240" s="116">
        <v>1073.9000000000001</v>
      </c>
      <c r="Q2240" s="116">
        <v>1084.8</v>
      </c>
      <c r="R2240">
        <v>1711875</v>
      </c>
    </row>
    <row r="2241" spans="1:18" x14ac:dyDescent="0.25">
      <c r="A2241" s="170">
        <v>46017</v>
      </c>
      <c r="B2241" s="116">
        <v>1088.5</v>
      </c>
      <c r="C2241" s="116">
        <v>1084.7</v>
      </c>
      <c r="D2241" s="116">
        <v>1078.25</v>
      </c>
      <c r="E2241" s="116">
        <v>1084.8</v>
      </c>
      <c r="F2241" s="116">
        <v>1084.7</v>
      </c>
      <c r="G2241">
        <v>54495</v>
      </c>
      <c r="H2241" s="116"/>
      <c r="I2241" s="116"/>
      <c r="L2241" s="170">
        <v>46017</v>
      </c>
      <c r="M2241" s="116">
        <v>1085</v>
      </c>
      <c r="N2241" s="116">
        <v>1089.0999999999999</v>
      </c>
      <c r="O2241" s="116">
        <v>1078.9000000000001</v>
      </c>
      <c r="P2241" s="116">
        <v>1086</v>
      </c>
      <c r="Q2241" s="116">
        <v>1085</v>
      </c>
      <c r="R2241">
        <v>940862</v>
      </c>
    </row>
    <row r="2242" spans="1:18" x14ac:dyDescent="0.25">
      <c r="A2242" s="170">
        <v>46020</v>
      </c>
      <c r="B2242" s="116">
        <v>1088.8499999999999</v>
      </c>
      <c r="C2242" s="116">
        <v>1082</v>
      </c>
      <c r="D2242" s="116">
        <v>1076.45</v>
      </c>
      <c r="E2242" s="116">
        <v>1084.7</v>
      </c>
      <c r="F2242" s="116">
        <v>1082</v>
      </c>
      <c r="G2242">
        <v>41794</v>
      </c>
      <c r="H2242" s="116"/>
      <c r="I2242" s="116"/>
      <c r="L2242" s="170">
        <v>46020</v>
      </c>
      <c r="M2242" s="116">
        <v>1081.4000000000001</v>
      </c>
      <c r="N2242" s="116">
        <v>1089</v>
      </c>
      <c r="O2242" s="116">
        <v>1076.3</v>
      </c>
      <c r="P2242" s="116">
        <v>1085</v>
      </c>
      <c r="Q2242" s="116">
        <v>1081.4000000000001</v>
      </c>
      <c r="R2242">
        <v>1522054</v>
      </c>
    </row>
    <row r="2243" spans="1:18" x14ac:dyDescent="0.25">
      <c r="A2243" s="170">
        <v>46021</v>
      </c>
      <c r="B2243" s="116">
        <v>1097.5</v>
      </c>
      <c r="C2243" s="116">
        <v>1090.8</v>
      </c>
      <c r="D2243" s="116">
        <v>1077.05</v>
      </c>
      <c r="E2243" s="116">
        <v>1077.05</v>
      </c>
      <c r="F2243" s="116">
        <v>1090.8</v>
      </c>
      <c r="G2243">
        <v>39071</v>
      </c>
      <c r="H2243" s="116"/>
      <c r="I2243" s="116"/>
      <c r="L2243" s="170">
        <v>46021</v>
      </c>
      <c r="M2243" s="116">
        <v>1091.9000000000001</v>
      </c>
      <c r="N2243" s="116">
        <v>1098.4000000000001</v>
      </c>
      <c r="O2243" s="116">
        <v>1077</v>
      </c>
      <c r="P2243" s="116">
        <v>1082.9000000000001</v>
      </c>
      <c r="Q2243" s="116">
        <v>1091.9000000000001</v>
      </c>
      <c r="R2243">
        <v>2806339</v>
      </c>
    </row>
    <row r="2244" spans="1:18" x14ac:dyDescent="0.25">
      <c r="A2244" s="170">
        <v>46022</v>
      </c>
      <c r="B2244" s="116">
        <v>1118.95</v>
      </c>
      <c r="C2244" s="116">
        <v>1108.2</v>
      </c>
      <c r="D2244" s="116">
        <v>1083.75</v>
      </c>
      <c r="E2244" s="116">
        <v>1096.2</v>
      </c>
      <c r="F2244" s="116">
        <v>1108.2</v>
      </c>
      <c r="G2244">
        <v>33001</v>
      </c>
      <c r="H2244" s="116"/>
      <c r="I2244" s="116"/>
      <c r="L2244" s="170">
        <v>46022</v>
      </c>
      <c r="M2244" s="116">
        <v>1108</v>
      </c>
      <c r="N2244" s="116">
        <v>1119</v>
      </c>
      <c r="O2244" s="116">
        <v>1083.9000000000001</v>
      </c>
      <c r="P2244" s="116">
        <v>1095</v>
      </c>
      <c r="Q2244" s="116">
        <v>1108</v>
      </c>
      <c r="R2244">
        <v>1585443</v>
      </c>
    </row>
    <row r="2245" spans="1:18" x14ac:dyDescent="0.25">
      <c r="A2245" s="170">
        <v>46023</v>
      </c>
      <c r="B2245" s="116">
        <v>1115</v>
      </c>
      <c r="C2245" s="116">
        <v>1110.0999999999999</v>
      </c>
      <c r="D2245" s="116">
        <v>1101.25</v>
      </c>
      <c r="E2245" s="116">
        <v>1108.3</v>
      </c>
      <c r="F2245" s="116">
        <v>1110.0999999999999</v>
      </c>
      <c r="G2245">
        <v>196446</v>
      </c>
      <c r="H2245" s="116"/>
      <c r="I2245" s="116"/>
      <c r="L2245" s="170">
        <v>46023</v>
      </c>
      <c r="M2245" s="116">
        <v>1110.4000000000001</v>
      </c>
      <c r="N2245" s="116">
        <v>1115.9000000000001</v>
      </c>
      <c r="O2245" s="116">
        <v>1101.0999999999999</v>
      </c>
      <c r="P2245" s="116">
        <v>1108</v>
      </c>
      <c r="Q2245" s="116">
        <v>1110.4000000000001</v>
      </c>
      <c r="R2245">
        <v>959580</v>
      </c>
    </row>
    <row r="2246" spans="1:18" x14ac:dyDescent="0.25">
      <c r="A2246" s="170">
        <v>46024</v>
      </c>
      <c r="B2246" s="116">
        <v>1115.75</v>
      </c>
      <c r="C2246" s="116">
        <v>1107.05</v>
      </c>
      <c r="D2246" s="116">
        <v>1103.95</v>
      </c>
      <c r="E2246" s="116">
        <v>1110.0999999999999</v>
      </c>
      <c r="F2246" s="116">
        <v>1107.05</v>
      </c>
      <c r="G2246">
        <v>26096</v>
      </c>
      <c r="H2246" s="116"/>
      <c r="I2246" s="116"/>
      <c r="L2246" s="170">
        <v>46024</v>
      </c>
      <c r="M2246" s="116">
        <v>1106.5</v>
      </c>
      <c r="N2246" s="116">
        <v>1115.9000000000001</v>
      </c>
      <c r="O2246" s="116">
        <v>1103.2</v>
      </c>
      <c r="P2246" s="116">
        <v>1110</v>
      </c>
      <c r="Q2246" s="116">
        <v>1106.5</v>
      </c>
      <c r="R2246">
        <v>953854</v>
      </c>
    </row>
    <row r="2247" spans="1:18" x14ac:dyDescent="0.25">
      <c r="A2247" s="170">
        <v>46027</v>
      </c>
      <c r="B2247" s="116">
        <v>1113</v>
      </c>
      <c r="C2247" s="116">
        <v>1102.6500000000001</v>
      </c>
      <c r="D2247" s="116">
        <v>1085.0999999999999</v>
      </c>
      <c r="E2247" s="116">
        <v>1085.0999999999999</v>
      </c>
      <c r="F2247" s="116">
        <v>1102.6500000000001</v>
      </c>
      <c r="G2247">
        <v>42826</v>
      </c>
      <c r="H2247" s="116"/>
      <c r="I2247" s="116"/>
      <c r="L2247" s="170">
        <v>46027</v>
      </c>
      <c r="M2247" s="116">
        <v>1103.2</v>
      </c>
      <c r="N2247" s="116">
        <v>1113.5</v>
      </c>
      <c r="O2247" s="116">
        <v>1096.7</v>
      </c>
      <c r="P2247" s="116">
        <v>1106.5</v>
      </c>
      <c r="Q2247" s="116">
        <v>1103.2</v>
      </c>
      <c r="R2247">
        <v>1017074</v>
      </c>
    </row>
    <row r="2248" spans="1:18" x14ac:dyDescent="0.25">
      <c r="A2248" s="170">
        <v>46028</v>
      </c>
      <c r="B2248" s="116">
        <v>1129.25</v>
      </c>
      <c r="C2248" s="116">
        <v>1115.8</v>
      </c>
      <c r="D2248" s="116">
        <v>1105.5999999999999</v>
      </c>
      <c r="E2248" s="116">
        <v>1129.25</v>
      </c>
      <c r="F2248" s="116">
        <v>1115.8</v>
      </c>
      <c r="G2248">
        <v>26094</v>
      </c>
      <c r="H2248" s="116"/>
      <c r="I2248" s="116"/>
      <c r="L2248" s="170">
        <v>46028</v>
      </c>
      <c r="M2248" s="116">
        <v>1115.9000000000001</v>
      </c>
      <c r="N2248" s="116">
        <v>1134</v>
      </c>
      <c r="O2248" s="116">
        <v>1105.2</v>
      </c>
      <c r="P2248" s="116">
        <v>1134</v>
      </c>
      <c r="Q2248" s="116">
        <v>1115.9000000000001</v>
      </c>
      <c r="R2248">
        <v>1138196</v>
      </c>
    </row>
    <row r="2249" spans="1:18" x14ac:dyDescent="0.25">
      <c r="A2249" s="170">
        <v>46029</v>
      </c>
      <c r="B2249" s="116">
        <v>1140.9000000000001</v>
      </c>
      <c r="C2249" s="116">
        <v>1128.7</v>
      </c>
      <c r="D2249" s="116">
        <v>1110.25</v>
      </c>
      <c r="E2249" s="116">
        <v>1110.25</v>
      </c>
      <c r="F2249" s="116">
        <v>1128.7</v>
      </c>
      <c r="G2249">
        <v>47519</v>
      </c>
      <c r="H2249" s="116"/>
      <c r="I2249" s="116"/>
      <c r="L2249" s="170">
        <v>46029</v>
      </c>
      <c r="M2249" s="116">
        <v>1128.5</v>
      </c>
      <c r="N2249" s="116">
        <v>1141</v>
      </c>
      <c r="O2249" s="116">
        <v>1113.8</v>
      </c>
      <c r="P2249" s="116">
        <v>1115.9000000000001</v>
      </c>
      <c r="Q2249" s="116">
        <v>1128.5</v>
      </c>
      <c r="R2249">
        <v>1358594</v>
      </c>
    </row>
    <row r="2250" spans="1:18" x14ac:dyDescent="0.25">
      <c r="A2250" s="170">
        <v>46030</v>
      </c>
      <c r="B2250" s="116">
        <v>1129.25</v>
      </c>
      <c r="C2250" s="116">
        <v>1100.8499999999999</v>
      </c>
      <c r="D2250" s="116">
        <v>1092.55</v>
      </c>
      <c r="E2250" s="116">
        <v>1128.8</v>
      </c>
      <c r="F2250" s="116">
        <v>1100.8499999999999</v>
      </c>
      <c r="G2250">
        <v>88001</v>
      </c>
      <c r="H2250" s="116"/>
      <c r="I2250" s="116"/>
      <c r="L2250" s="170">
        <v>46030</v>
      </c>
      <c r="M2250" s="116">
        <v>1100.9000000000001</v>
      </c>
      <c r="N2250" s="116">
        <v>1131.9000000000001</v>
      </c>
      <c r="O2250" s="116">
        <v>1092.7</v>
      </c>
      <c r="P2250" s="116">
        <v>1131.9000000000001</v>
      </c>
      <c r="Q2250" s="116">
        <v>1100.9000000000001</v>
      </c>
      <c r="R2250">
        <v>1379464</v>
      </c>
    </row>
    <row r="2251" spans="1:18" x14ac:dyDescent="0.25">
      <c r="A2251" s="170">
        <v>46031</v>
      </c>
      <c r="B2251" s="116">
        <v>1107.5</v>
      </c>
      <c r="C2251" s="116">
        <v>1082.3</v>
      </c>
      <c r="D2251" s="116">
        <v>1078.8</v>
      </c>
      <c r="E2251" s="116">
        <v>1078.8</v>
      </c>
      <c r="F2251" s="116">
        <v>1082.3</v>
      </c>
      <c r="G2251">
        <v>49732</v>
      </c>
      <c r="H2251" s="116"/>
      <c r="I2251" s="116"/>
      <c r="L2251" s="170">
        <v>46031</v>
      </c>
      <c r="M2251" s="116">
        <v>1083</v>
      </c>
      <c r="N2251" s="116">
        <v>1107.8</v>
      </c>
      <c r="O2251" s="116">
        <v>1079.5999999999999</v>
      </c>
      <c r="P2251" s="116">
        <v>1095</v>
      </c>
      <c r="Q2251" s="116">
        <v>1083</v>
      </c>
      <c r="R2251">
        <v>1612326</v>
      </c>
    </row>
    <row r="2252" spans="1:18" x14ac:dyDescent="0.25">
      <c r="A2252" s="170">
        <v>46034</v>
      </c>
      <c r="B2252" s="116">
        <v>1085.9000000000001</v>
      </c>
      <c r="C2252" s="116">
        <v>1042.3</v>
      </c>
      <c r="D2252" s="116">
        <v>1025.1500000000001</v>
      </c>
      <c r="E2252" s="116">
        <v>1079.9000000000001</v>
      </c>
      <c r="F2252" s="116">
        <v>1042.3</v>
      </c>
      <c r="G2252">
        <v>63642</v>
      </c>
      <c r="H2252" s="116"/>
      <c r="I2252" s="116"/>
      <c r="L2252" s="170">
        <v>46034</v>
      </c>
      <c r="M2252" s="116">
        <v>1043.2</v>
      </c>
      <c r="N2252" s="116">
        <v>1087</v>
      </c>
      <c r="O2252" s="116">
        <v>1025.3</v>
      </c>
      <c r="P2252" s="116">
        <v>1085</v>
      </c>
      <c r="Q2252" s="116">
        <v>1043.2</v>
      </c>
      <c r="R2252">
        <v>2428156</v>
      </c>
    </row>
    <row r="2253" spans="1:18" x14ac:dyDescent="0.25">
      <c r="A2253" s="170">
        <v>46035</v>
      </c>
      <c r="B2253" s="116">
        <v>1062.5999999999999</v>
      </c>
      <c r="C2253" s="116">
        <v>1057.2</v>
      </c>
      <c r="D2253" s="116">
        <v>1023.25</v>
      </c>
      <c r="E2253" s="116">
        <v>1047.55</v>
      </c>
      <c r="F2253" s="116">
        <v>1057.2</v>
      </c>
      <c r="G2253">
        <v>45803</v>
      </c>
      <c r="H2253" s="116"/>
      <c r="I2253" s="116"/>
      <c r="L2253" s="170">
        <v>46035</v>
      </c>
      <c r="M2253" s="116">
        <v>1058.3</v>
      </c>
      <c r="N2253" s="116">
        <v>1063.2</v>
      </c>
      <c r="O2253" s="116">
        <v>1023.8</v>
      </c>
      <c r="P2253" s="116">
        <v>1043.2</v>
      </c>
      <c r="Q2253" s="116">
        <v>1058.3</v>
      </c>
      <c r="R2253">
        <v>1574593</v>
      </c>
    </row>
    <row r="2254" spans="1:18" x14ac:dyDescent="0.25">
      <c r="A2254" s="170">
        <v>46036</v>
      </c>
      <c r="B2254" s="116">
        <v>1098.0999999999999</v>
      </c>
      <c r="C2254" s="116">
        <v>1091.05</v>
      </c>
      <c r="D2254" s="116">
        <v>1057.8</v>
      </c>
      <c r="E2254" s="116">
        <v>1057.8</v>
      </c>
      <c r="F2254" s="116">
        <v>1091.05</v>
      </c>
      <c r="G2254">
        <v>98679</v>
      </c>
      <c r="H2254" s="116"/>
      <c r="I2254" s="116"/>
      <c r="L2254" s="170">
        <v>46036</v>
      </c>
      <c r="M2254" s="116">
        <v>1090.5</v>
      </c>
      <c r="N2254" s="116">
        <v>1098.9000000000001</v>
      </c>
      <c r="O2254" s="116">
        <v>1057.8</v>
      </c>
      <c r="P2254" s="116">
        <v>1063</v>
      </c>
      <c r="Q2254" s="116">
        <v>1090.5</v>
      </c>
      <c r="R2254">
        <v>2383234</v>
      </c>
    </row>
    <row r="2255" spans="1:18" x14ac:dyDescent="0.25">
      <c r="A2255" s="170">
        <v>46038</v>
      </c>
      <c r="B2255" s="116">
        <v>1105.55</v>
      </c>
      <c r="C2255" s="116">
        <v>1076.3499999999999</v>
      </c>
      <c r="D2255" s="116">
        <v>1070.0999999999999</v>
      </c>
      <c r="E2255" s="116">
        <v>1105.55</v>
      </c>
      <c r="F2255" s="116">
        <v>1076.3499999999999</v>
      </c>
      <c r="G2255">
        <v>192920</v>
      </c>
      <c r="H2255" s="116"/>
      <c r="I2255" s="116"/>
      <c r="L2255" s="170">
        <v>46038</v>
      </c>
      <c r="M2255" s="116">
        <v>1076.8</v>
      </c>
      <c r="N2255" s="116">
        <v>1096.9000000000001</v>
      </c>
      <c r="O2255" s="116">
        <v>1070.4000000000001</v>
      </c>
      <c r="P2255" s="116">
        <v>1095</v>
      </c>
      <c r="Q2255" s="116">
        <v>1076.8</v>
      </c>
      <c r="R2255">
        <v>1410479</v>
      </c>
    </row>
    <row r="2256" spans="1:18" x14ac:dyDescent="0.25">
      <c r="A2256" s="170">
        <v>46041</v>
      </c>
      <c r="B2256" s="116">
        <v>1075.4000000000001</v>
      </c>
      <c r="C2256" s="116">
        <v>1062.5</v>
      </c>
      <c r="D2256" s="116">
        <v>1052</v>
      </c>
      <c r="E2256" s="116">
        <v>1065.25</v>
      </c>
      <c r="F2256" s="116">
        <v>1062.5</v>
      </c>
      <c r="G2256">
        <v>61491</v>
      </c>
      <c r="H2256" s="116"/>
      <c r="I2256" s="116"/>
      <c r="L2256" s="170">
        <v>46041</v>
      </c>
      <c r="M2256" s="116">
        <v>1062.7</v>
      </c>
      <c r="N2256" s="116">
        <v>1075.8</v>
      </c>
      <c r="O2256" s="116">
        <v>1052.2</v>
      </c>
      <c r="P2256" s="116">
        <v>1067</v>
      </c>
      <c r="Q2256" s="116">
        <v>1062.7</v>
      </c>
      <c r="R2256">
        <v>4147522</v>
      </c>
    </row>
    <row r="2257" spans="1:18" x14ac:dyDescent="0.25">
      <c r="A2257" s="170">
        <v>46042</v>
      </c>
      <c r="B2257" s="116">
        <v>1067</v>
      </c>
      <c r="C2257" s="116">
        <v>1034.9000000000001</v>
      </c>
      <c r="D2257" s="116">
        <v>1015.05</v>
      </c>
      <c r="E2257" s="116">
        <v>1067</v>
      </c>
      <c r="F2257" s="116">
        <v>1034.9000000000001</v>
      </c>
      <c r="G2257">
        <v>41174</v>
      </c>
      <c r="H2257" s="116"/>
      <c r="I2257" s="116"/>
      <c r="L2257" s="170">
        <v>46042</v>
      </c>
      <c r="M2257" s="116">
        <v>1035.5</v>
      </c>
      <c r="N2257" s="116">
        <v>1066.4000000000001</v>
      </c>
      <c r="O2257" s="116">
        <v>1015</v>
      </c>
      <c r="P2257" s="116">
        <v>1065</v>
      </c>
      <c r="Q2257" s="116">
        <v>1035.5</v>
      </c>
      <c r="R2257">
        <v>2915781</v>
      </c>
    </row>
    <row r="2258" spans="1:18" x14ac:dyDescent="0.25">
      <c r="A2258" s="170">
        <v>46043</v>
      </c>
      <c r="B2258" s="116">
        <v>1050.0999999999999</v>
      </c>
      <c r="C2258" s="116">
        <v>988.75</v>
      </c>
      <c r="D2258" s="116">
        <v>980.5</v>
      </c>
      <c r="E2258" s="116">
        <v>1034.5</v>
      </c>
      <c r="F2258" s="116">
        <v>988.75</v>
      </c>
      <c r="G2258">
        <v>139653</v>
      </c>
      <c r="H2258" s="116"/>
      <c r="I2258" s="116"/>
      <c r="L2258" s="170">
        <v>46043</v>
      </c>
      <c r="M2258" s="116">
        <v>987.9</v>
      </c>
      <c r="N2258" s="116">
        <v>1050</v>
      </c>
      <c r="O2258" s="116">
        <v>980.1</v>
      </c>
      <c r="P2258" s="116">
        <v>1033.5999999999999</v>
      </c>
      <c r="Q2258" s="116">
        <v>987.9</v>
      </c>
      <c r="R2258">
        <v>2490377</v>
      </c>
    </row>
    <row r="2259" spans="1:18" x14ac:dyDescent="0.25">
      <c r="A2259" s="170">
        <v>46044</v>
      </c>
      <c r="B2259" s="116">
        <v>1022.2</v>
      </c>
      <c r="C2259" s="116">
        <v>1004.95</v>
      </c>
      <c r="D2259" s="116">
        <v>986.5</v>
      </c>
      <c r="E2259" s="116">
        <v>1001.55</v>
      </c>
      <c r="F2259" s="116">
        <v>1004.95</v>
      </c>
      <c r="G2259">
        <v>72879</v>
      </c>
      <c r="H2259" s="116"/>
      <c r="I2259" s="116"/>
      <c r="L2259" s="170">
        <v>46044</v>
      </c>
      <c r="M2259" s="116">
        <v>1005.8</v>
      </c>
      <c r="N2259" s="116">
        <v>1021.4</v>
      </c>
      <c r="O2259" s="116">
        <v>986.1</v>
      </c>
      <c r="P2259" s="116">
        <v>1003</v>
      </c>
      <c r="Q2259" s="116">
        <v>1005.8</v>
      </c>
      <c r="R2259">
        <v>4268831</v>
      </c>
    </row>
    <row r="2260" spans="1:18" x14ac:dyDescent="0.25">
      <c r="A2260" s="170">
        <v>46045</v>
      </c>
      <c r="B2260" s="116">
        <v>1059.95</v>
      </c>
      <c r="C2260" s="116">
        <v>1017.15</v>
      </c>
      <c r="D2260" s="116">
        <v>1000.5</v>
      </c>
      <c r="E2260" s="116">
        <v>1059.95</v>
      </c>
      <c r="F2260" s="116">
        <v>1017.15</v>
      </c>
      <c r="G2260">
        <v>113408</v>
      </c>
      <c r="H2260" s="116"/>
      <c r="I2260" s="116"/>
      <c r="L2260" s="170">
        <v>46045</v>
      </c>
      <c r="M2260" s="116">
        <v>1016.4</v>
      </c>
      <c r="N2260" s="116">
        <v>1044.8</v>
      </c>
      <c r="O2260" s="116">
        <v>1000</v>
      </c>
      <c r="P2260" s="116">
        <v>1017.9</v>
      </c>
      <c r="Q2260" s="116">
        <v>1016.4</v>
      </c>
      <c r="R2260">
        <v>4200801</v>
      </c>
    </row>
    <row r="2261" spans="1:18" x14ac:dyDescent="0.25">
      <c r="A2261" s="170">
        <v>46049</v>
      </c>
      <c r="B2261" s="116">
        <v>1041.3</v>
      </c>
      <c r="C2261" s="116">
        <v>999.65</v>
      </c>
      <c r="D2261" s="116">
        <v>990.1</v>
      </c>
      <c r="E2261" s="116">
        <v>1023.35</v>
      </c>
      <c r="F2261" s="116">
        <v>999.65</v>
      </c>
      <c r="G2261">
        <v>1449790</v>
      </c>
      <c r="H2261" s="116"/>
      <c r="I2261" s="116"/>
      <c r="L2261" s="170">
        <v>46049</v>
      </c>
      <c r="M2261" s="116">
        <v>1000.2</v>
      </c>
      <c r="N2261" s="116">
        <v>1041</v>
      </c>
      <c r="O2261" s="116">
        <v>990.1</v>
      </c>
      <c r="P2261" s="116">
        <v>1030</v>
      </c>
      <c r="Q2261" s="116">
        <v>1000.2</v>
      </c>
      <c r="R2261">
        <v>5389025</v>
      </c>
    </row>
    <row r="2262" spans="1:18" x14ac:dyDescent="0.25">
      <c r="A2262" s="170">
        <v>46050</v>
      </c>
      <c r="B2262" s="116">
        <v>1013.85</v>
      </c>
      <c r="C2262" s="116">
        <v>999.1</v>
      </c>
      <c r="D2262" s="116">
        <v>987.4</v>
      </c>
      <c r="E2262" s="116">
        <v>1013.85</v>
      </c>
      <c r="F2262" s="116">
        <v>999.1</v>
      </c>
      <c r="G2262">
        <v>32539</v>
      </c>
      <c r="H2262" s="116"/>
      <c r="I2262" s="116"/>
      <c r="L2262" s="170">
        <v>46050</v>
      </c>
      <c r="M2262" s="116">
        <v>999</v>
      </c>
      <c r="N2262" s="116">
        <v>1012.6</v>
      </c>
      <c r="O2262" s="116">
        <v>987</v>
      </c>
      <c r="P2262" s="116">
        <v>1010</v>
      </c>
      <c r="Q2262" s="116">
        <v>999</v>
      </c>
      <c r="R2262">
        <v>1981540</v>
      </c>
    </row>
    <row r="2263" spans="1:18" x14ac:dyDescent="0.25">
      <c r="A2263" s="170">
        <v>46051</v>
      </c>
      <c r="B2263" s="116">
        <v>1005.7</v>
      </c>
      <c r="C2263" s="116">
        <v>971.6</v>
      </c>
      <c r="D2263" s="116">
        <v>965.9</v>
      </c>
      <c r="E2263" s="116">
        <v>999.45</v>
      </c>
      <c r="F2263" s="116">
        <v>971.6</v>
      </c>
      <c r="G2263">
        <v>83668</v>
      </c>
      <c r="H2263" s="116"/>
      <c r="I2263" s="116"/>
      <c r="L2263" s="170">
        <v>46051</v>
      </c>
      <c r="M2263" s="116">
        <v>973.3</v>
      </c>
      <c r="N2263" s="116">
        <v>1006.9</v>
      </c>
      <c r="O2263" s="116">
        <v>965.8</v>
      </c>
      <c r="P2263" s="116">
        <v>1001.7</v>
      </c>
      <c r="Q2263" s="116">
        <v>973.3</v>
      </c>
      <c r="R2263">
        <v>2161278</v>
      </c>
    </row>
    <row r="2264" spans="1:18" x14ac:dyDescent="0.25">
      <c r="A2264" s="170">
        <v>46052</v>
      </c>
      <c r="B2264" s="116">
        <v>982.4</v>
      </c>
      <c r="C2264" s="116">
        <v>965.1</v>
      </c>
      <c r="D2264" s="116">
        <v>955</v>
      </c>
      <c r="E2264" s="116">
        <v>971.2</v>
      </c>
      <c r="F2264" s="116">
        <v>965.1</v>
      </c>
      <c r="G2264">
        <v>36843</v>
      </c>
      <c r="H2264" s="116"/>
      <c r="I2264" s="116"/>
      <c r="L2264" s="170">
        <v>46052</v>
      </c>
      <c r="M2264" s="116">
        <v>965</v>
      </c>
      <c r="N2264" s="116">
        <v>983.3</v>
      </c>
      <c r="O2264" s="116">
        <v>951.8</v>
      </c>
      <c r="P2264" s="116">
        <v>974</v>
      </c>
      <c r="Q2264" s="116">
        <v>965</v>
      </c>
      <c r="R2264">
        <v>1976994</v>
      </c>
    </row>
    <row r="2265" spans="1:18" x14ac:dyDescent="0.25">
      <c r="A2265" s="170">
        <v>46054</v>
      </c>
      <c r="B2265" s="116">
        <v>970</v>
      </c>
      <c r="C2265" s="116">
        <v>925.85</v>
      </c>
      <c r="D2265" s="116">
        <v>919.4</v>
      </c>
      <c r="E2265" s="116">
        <v>969.95</v>
      </c>
      <c r="F2265" s="116">
        <v>925.85</v>
      </c>
      <c r="G2265">
        <v>100391</v>
      </c>
      <c r="H2265" s="116"/>
      <c r="I2265" s="116"/>
      <c r="L2265" s="170">
        <v>46054</v>
      </c>
      <c r="M2265" s="116">
        <v>930.2</v>
      </c>
      <c r="N2265" s="116">
        <v>973.95</v>
      </c>
      <c r="O2265" s="116">
        <v>920.4</v>
      </c>
      <c r="P2265" s="116">
        <v>970</v>
      </c>
      <c r="Q2265" s="116">
        <v>930.2</v>
      </c>
      <c r="R2265">
        <v>1707729</v>
      </c>
    </row>
    <row r="2266" spans="1:18" x14ac:dyDescent="0.25">
      <c r="A2266" s="170">
        <v>46055</v>
      </c>
      <c r="B2266" s="116">
        <v>958.4</v>
      </c>
      <c r="C2266" s="116">
        <v>953.9</v>
      </c>
      <c r="D2266" s="116">
        <v>913.35</v>
      </c>
      <c r="E2266" s="116">
        <v>913.35</v>
      </c>
      <c r="F2266" s="116">
        <v>953.9</v>
      </c>
      <c r="G2266">
        <v>77349</v>
      </c>
      <c r="H2266" s="116"/>
      <c r="I2266" s="116"/>
      <c r="L2266" s="170">
        <v>46055</v>
      </c>
      <c r="M2266" s="116">
        <v>953.95</v>
      </c>
      <c r="N2266" s="116">
        <v>958</v>
      </c>
      <c r="O2266" s="116">
        <v>917.95</v>
      </c>
      <c r="P2266" s="116">
        <v>918.85</v>
      </c>
      <c r="Q2266" s="116">
        <v>953.95</v>
      </c>
      <c r="R2266">
        <v>1745349</v>
      </c>
    </row>
    <row r="2267" spans="1:18" x14ac:dyDescent="0.25">
      <c r="A2267" s="170">
        <v>46056</v>
      </c>
      <c r="B2267" s="116">
        <v>1020</v>
      </c>
      <c r="C2267" s="116">
        <v>975.9</v>
      </c>
      <c r="D2267" s="116">
        <v>970.7</v>
      </c>
      <c r="E2267" s="116">
        <v>1005</v>
      </c>
      <c r="F2267" s="116">
        <v>975.9</v>
      </c>
      <c r="G2267">
        <v>42894</v>
      </c>
      <c r="H2267" s="116"/>
      <c r="I2267" s="116"/>
      <c r="L2267" s="170">
        <v>46056</v>
      </c>
      <c r="M2267" s="116">
        <v>975.6</v>
      </c>
      <c r="N2267" s="116">
        <v>1020</v>
      </c>
      <c r="O2267" s="116">
        <v>969.9</v>
      </c>
      <c r="P2267" s="116">
        <v>1005</v>
      </c>
      <c r="Q2267" s="116">
        <v>975.6</v>
      </c>
      <c r="R2267">
        <v>1922427</v>
      </c>
    </row>
    <row r="2268" spans="1:18" x14ac:dyDescent="0.25">
      <c r="A2268" s="170">
        <v>46057</v>
      </c>
      <c r="B2268" s="116">
        <v>994.55</v>
      </c>
      <c r="C2268" s="116">
        <v>980.65</v>
      </c>
      <c r="D2268" s="116">
        <v>973</v>
      </c>
      <c r="E2268" s="116">
        <v>983.95</v>
      </c>
      <c r="F2268" s="116">
        <v>980.65</v>
      </c>
      <c r="G2268">
        <v>56597</v>
      </c>
      <c r="H2268" s="116"/>
      <c r="I2268" s="116"/>
      <c r="L2268" s="170">
        <v>46057</v>
      </c>
      <c r="M2268" s="116">
        <v>980.3</v>
      </c>
      <c r="N2268" s="116">
        <v>995</v>
      </c>
      <c r="O2268" s="116">
        <v>971.05</v>
      </c>
      <c r="P2268" s="116">
        <v>980</v>
      </c>
      <c r="Q2268" s="116">
        <v>980.3</v>
      </c>
      <c r="R2268">
        <v>1157756</v>
      </c>
    </row>
    <row r="2269" spans="1:18" x14ac:dyDescent="0.25">
      <c r="A2269" s="170">
        <v>46058</v>
      </c>
      <c r="B2269" s="116">
        <v>994.75</v>
      </c>
      <c r="C2269" s="116">
        <v>964.85</v>
      </c>
      <c r="D2269" s="116">
        <v>956.8</v>
      </c>
      <c r="E2269" s="116">
        <v>994.75</v>
      </c>
      <c r="F2269" s="116">
        <v>964.85</v>
      </c>
      <c r="G2269">
        <v>161342</v>
      </c>
      <c r="H2269" s="116"/>
      <c r="I2269" s="116"/>
      <c r="L2269" s="170">
        <v>46058</v>
      </c>
      <c r="M2269" s="116">
        <v>963.95</v>
      </c>
      <c r="N2269" s="116">
        <v>985.2</v>
      </c>
      <c r="O2269" s="116">
        <v>956.4</v>
      </c>
      <c r="P2269" s="116">
        <v>985</v>
      </c>
      <c r="Q2269" s="116">
        <v>963.95</v>
      </c>
      <c r="R2269">
        <v>1009240</v>
      </c>
    </row>
    <row r="2270" spans="1:18" x14ac:dyDescent="0.25">
      <c r="A2270" s="170">
        <v>46059</v>
      </c>
      <c r="B2270" s="116">
        <v>968.9</v>
      </c>
      <c r="C2270" s="116">
        <v>950.6</v>
      </c>
      <c r="D2270" s="116">
        <v>939.8</v>
      </c>
      <c r="E2270" s="116">
        <v>968.9</v>
      </c>
      <c r="F2270" s="116">
        <v>950.6</v>
      </c>
      <c r="G2270">
        <v>93628</v>
      </c>
      <c r="H2270" s="116"/>
      <c r="I2270" s="116"/>
      <c r="L2270" s="170">
        <v>46059</v>
      </c>
      <c r="M2270" s="116">
        <v>950.55</v>
      </c>
      <c r="N2270" s="116">
        <v>962.75</v>
      </c>
      <c r="O2270" s="116">
        <v>939.7</v>
      </c>
      <c r="P2270" s="116">
        <v>961.75</v>
      </c>
      <c r="Q2270" s="116">
        <v>950.55</v>
      </c>
      <c r="R2270">
        <v>1261968</v>
      </c>
    </row>
    <row r="2271" spans="1:18" x14ac:dyDescent="0.25">
      <c r="A2271" s="170">
        <v>46062</v>
      </c>
      <c r="B2271" s="116">
        <v>988</v>
      </c>
      <c r="C2271" s="116">
        <v>986.1</v>
      </c>
      <c r="D2271" s="116">
        <v>949.05</v>
      </c>
      <c r="E2271" s="116">
        <v>950.9</v>
      </c>
      <c r="F2271" s="116">
        <v>986.1</v>
      </c>
      <c r="G2271">
        <v>174492</v>
      </c>
      <c r="H2271" s="116"/>
      <c r="I2271" s="116"/>
      <c r="L2271" s="170">
        <v>46062</v>
      </c>
      <c r="M2271" s="116">
        <v>985.5</v>
      </c>
      <c r="N2271" s="116">
        <v>988.2</v>
      </c>
      <c r="O2271" s="116">
        <v>949.15</v>
      </c>
      <c r="P2271" s="116">
        <v>958</v>
      </c>
      <c r="Q2271" s="116">
        <v>985.5</v>
      </c>
      <c r="R2271">
        <v>1493978</v>
      </c>
    </row>
    <row r="2272" spans="1:18" x14ac:dyDescent="0.25">
      <c r="A2272" s="170">
        <v>46063</v>
      </c>
      <c r="B2272" s="116">
        <v>993.7</v>
      </c>
      <c r="C2272" s="116">
        <v>965.65</v>
      </c>
      <c r="D2272" s="116">
        <v>964.3</v>
      </c>
      <c r="E2272" s="116">
        <v>993.35</v>
      </c>
      <c r="F2272" s="116">
        <v>965.65</v>
      </c>
      <c r="G2272">
        <v>48869</v>
      </c>
      <c r="H2272" s="116"/>
      <c r="I2272" s="116"/>
      <c r="L2272" s="170">
        <v>46063</v>
      </c>
      <c r="M2272" s="116">
        <v>966.35</v>
      </c>
      <c r="N2272" s="116">
        <v>994.95</v>
      </c>
      <c r="O2272" s="116">
        <v>964.35</v>
      </c>
      <c r="P2272" s="116">
        <v>991</v>
      </c>
      <c r="Q2272" s="116">
        <v>966.35</v>
      </c>
      <c r="R2272">
        <v>1173485</v>
      </c>
    </row>
    <row r="2273" spans="1:18" x14ac:dyDescent="0.25">
      <c r="A2273" s="170">
        <v>46064</v>
      </c>
      <c r="B2273" s="116">
        <v>1016.05</v>
      </c>
      <c r="C2273" s="116">
        <v>1013.05</v>
      </c>
      <c r="D2273" s="116">
        <v>962.3</v>
      </c>
      <c r="E2273" s="116">
        <v>967</v>
      </c>
      <c r="F2273" s="116">
        <v>1013.05</v>
      </c>
      <c r="G2273">
        <v>48923</v>
      </c>
      <c r="H2273" s="116"/>
      <c r="I2273" s="116"/>
      <c r="L2273" s="170">
        <v>46064</v>
      </c>
      <c r="M2273" s="116">
        <v>1013.65</v>
      </c>
      <c r="N2273" s="116">
        <v>1016.75</v>
      </c>
      <c r="O2273" s="116">
        <v>961.95</v>
      </c>
      <c r="P2273" s="116">
        <v>968</v>
      </c>
      <c r="Q2273" s="116">
        <v>1013.65</v>
      </c>
      <c r="R2273">
        <v>2286558</v>
      </c>
    </row>
    <row r="2274" spans="1:18" x14ac:dyDescent="0.25">
      <c r="A2274" s="170">
        <v>46065</v>
      </c>
      <c r="B2274" s="116">
        <v>1026.95</v>
      </c>
      <c r="C2274" s="116">
        <v>1018.9</v>
      </c>
      <c r="D2274" s="116">
        <v>985.55</v>
      </c>
      <c r="E2274" s="116">
        <v>1021.3</v>
      </c>
      <c r="F2274" s="116">
        <v>1018.9</v>
      </c>
      <c r="G2274">
        <v>78850</v>
      </c>
      <c r="H2274" s="116"/>
      <c r="I2274" s="116"/>
      <c r="L2274" s="170">
        <v>46065</v>
      </c>
      <c r="M2274" s="116">
        <v>1018.6</v>
      </c>
      <c r="N2274" s="116">
        <v>1026.8</v>
      </c>
      <c r="O2274" s="116">
        <v>985</v>
      </c>
      <c r="P2274" s="116">
        <v>1018.95</v>
      </c>
      <c r="Q2274" s="116">
        <v>1018.6</v>
      </c>
      <c r="R2274">
        <v>1833896</v>
      </c>
    </row>
    <row r="2275" spans="1:18" x14ac:dyDescent="0.25">
      <c r="A2275" s="170">
        <v>46066</v>
      </c>
      <c r="B2275" s="116">
        <v>1021.35</v>
      </c>
      <c r="C2275" s="116">
        <v>1010.15</v>
      </c>
      <c r="D2275" s="116">
        <v>1002</v>
      </c>
      <c r="E2275" s="116">
        <v>1009.65</v>
      </c>
      <c r="F2275" s="116">
        <v>1010.15</v>
      </c>
      <c r="G2275">
        <v>74100</v>
      </c>
      <c r="H2275" s="116"/>
      <c r="I2275" s="116"/>
      <c r="L2275" s="170">
        <v>46066</v>
      </c>
      <c r="M2275" s="116">
        <v>1010.6</v>
      </c>
      <c r="N2275" s="116">
        <v>1021.35</v>
      </c>
      <c r="O2275" s="116">
        <v>1001.8</v>
      </c>
      <c r="P2275" s="116">
        <v>1008.5</v>
      </c>
      <c r="Q2275" s="116">
        <v>1010.6</v>
      </c>
      <c r="R2275">
        <v>1053338</v>
      </c>
    </row>
    <row r="2276" spans="1:18" x14ac:dyDescent="0.25">
      <c r="A2276" s="170">
        <v>46069</v>
      </c>
      <c r="B2276" s="116">
        <v>1024</v>
      </c>
      <c r="C2276" s="116">
        <v>1012.8</v>
      </c>
      <c r="D2276" s="116">
        <v>1007.05</v>
      </c>
      <c r="E2276" s="116">
        <v>1011.35</v>
      </c>
      <c r="F2276" s="116">
        <v>1012.8</v>
      </c>
      <c r="G2276">
        <v>12236</v>
      </c>
      <c r="H2276" s="116"/>
      <c r="I2276" s="116"/>
      <c r="L2276" s="170">
        <v>46069</v>
      </c>
      <c r="M2276" s="116">
        <v>1012.45</v>
      </c>
      <c r="N2276" s="116">
        <v>1024.55</v>
      </c>
      <c r="O2276" s="116">
        <v>1006.1</v>
      </c>
      <c r="P2276" s="116">
        <v>1014.5</v>
      </c>
      <c r="Q2276" s="116">
        <v>1012.45</v>
      </c>
      <c r="R2276">
        <v>927968</v>
      </c>
    </row>
    <row r="2277" spans="1:18" x14ac:dyDescent="0.25">
      <c r="A2277" s="170">
        <v>46070</v>
      </c>
      <c r="B2277" s="116">
        <v>1021.5</v>
      </c>
      <c r="C2277" s="116">
        <v>1013.65</v>
      </c>
      <c r="D2277" s="116">
        <v>1007</v>
      </c>
      <c r="E2277" s="116">
        <v>1011.1</v>
      </c>
      <c r="F2277" s="116">
        <v>1013.65</v>
      </c>
      <c r="G2277">
        <v>28761</v>
      </c>
      <c r="H2277" s="116"/>
      <c r="I2277" s="116"/>
      <c r="L2277" s="170">
        <v>46070</v>
      </c>
      <c r="M2277" s="116">
        <v>1013.4</v>
      </c>
      <c r="N2277" s="116">
        <v>1021.7</v>
      </c>
      <c r="O2277" s="116">
        <v>1006.05</v>
      </c>
      <c r="P2277" s="116">
        <v>1012</v>
      </c>
      <c r="Q2277" s="116">
        <v>1013.4</v>
      </c>
      <c r="R2277">
        <v>600623</v>
      </c>
    </row>
    <row r="2278" spans="1:18" x14ac:dyDescent="0.25">
      <c r="A2278" s="170">
        <v>46071</v>
      </c>
      <c r="B2278" s="116">
        <v>1039.5</v>
      </c>
      <c r="C2278" s="116">
        <v>1037.7</v>
      </c>
      <c r="D2278" s="116">
        <v>1011.8</v>
      </c>
      <c r="E2278" s="116">
        <v>1016.6</v>
      </c>
      <c r="F2278" s="116">
        <v>1037.7</v>
      </c>
      <c r="G2278">
        <v>93415</v>
      </c>
      <c r="H2278" s="116"/>
      <c r="I2278" s="116"/>
      <c r="L2278" s="170">
        <v>46071</v>
      </c>
      <c r="M2278" s="116">
        <v>1037.45</v>
      </c>
      <c r="N2278" s="116">
        <v>1039.5</v>
      </c>
      <c r="O2278" s="116">
        <v>1011.45</v>
      </c>
      <c r="P2278" s="116">
        <v>1019</v>
      </c>
      <c r="Q2278" s="116">
        <v>1037.45</v>
      </c>
      <c r="R2278">
        <v>1427372</v>
      </c>
    </row>
    <row r="2279" spans="1:18" x14ac:dyDescent="0.25">
      <c r="A2279" s="170">
        <v>46072</v>
      </c>
      <c r="B2279" s="116">
        <v>1040.5999999999999</v>
      </c>
      <c r="C2279" s="116">
        <v>1021.05</v>
      </c>
      <c r="D2279" s="116">
        <v>1014.45</v>
      </c>
      <c r="E2279" s="116">
        <v>1040.45</v>
      </c>
      <c r="F2279" s="116">
        <v>1021.05</v>
      </c>
      <c r="G2279">
        <v>65752</v>
      </c>
      <c r="H2279" s="116"/>
      <c r="I2279" s="116"/>
      <c r="L2279" s="170">
        <v>46072</v>
      </c>
      <c r="M2279" s="116">
        <v>1021.2</v>
      </c>
      <c r="N2279" s="116">
        <v>1044.8</v>
      </c>
      <c r="O2279" s="116">
        <v>1016</v>
      </c>
      <c r="P2279" s="116">
        <v>1044.8</v>
      </c>
      <c r="Q2279" s="116">
        <v>1021.2</v>
      </c>
      <c r="R2279">
        <v>1153462</v>
      </c>
    </row>
    <row r="2280" spans="1:18" x14ac:dyDescent="0.25">
      <c r="A2280" s="170">
        <v>46073</v>
      </c>
      <c r="B2280" s="116">
        <v>1028.5</v>
      </c>
      <c r="C2280" s="116">
        <v>1019.45</v>
      </c>
      <c r="D2280" s="116">
        <v>1012.8</v>
      </c>
      <c r="E2280" s="116">
        <v>1020</v>
      </c>
      <c r="F2280" s="116">
        <v>1019.45</v>
      </c>
      <c r="G2280">
        <v>16706</v>
      </c>
      <c r="H2280" s="116"/>
      <c r="I2280" s="116"/>
      <c r="L2280" s="170">
        <v>46073</v>
      </c>
      <c r="M2280" s="116">
        <v>1019</v>
      </c>
      <c r="N2280" s="116">
        <v>1028.9000000000001</v>
      </c>
      <c r="O2280" s="116">
        <v>1012.9</v>
      </c>
      <c r="P2280" s="116">
        <v>1021.2</v>
      </c>
      <c r="Q2280" s="116">
        <v>1019</v>
      </c>
      <c r="R2280">
        <v>772468</v>
      </c>
    </row>
    <row r="2281" spans="1:18" x14ac:dyDescent="0.25">
      <c r="A2281" s="170">
        <v>46076</v>
      </c>
      <c r="B2281" s="116">
        <v>1032.3</v>
      </c>
      <c r="C2281" s="116">
        <v>1017</v>
      </c>
      <c r="D2281" s="116">
        <v>1009.25</v>
      </c>
      <c r="E2281" s="116">
        <v>1016.45</v>
      </c>
      <c r="F2281" s="116">
        <v>1017</v>
      </c>
      <c r="G2281">
        <v>37965</v>
      </c>
      <c r="H2281" s="116"/>
      <c r="I2281" s="116"/>
      <c r="L2281" s="170">
        <v>46076</v>
      </c>
      <c r="M2281" s="116">
        <v>1017.05</v>
      </c>
      <c r="N2281" s="116">
        <v>1032.95</v>
      </c>
      <c r="O2281" s="116">
        <v>1009</v>
      </c>
      <c r="P2281" s="116">
        <v>1024.4000000000001</v>
      </c>
      <c r="Q2281" s="116">
        <v>1017.05</v>
      </c>
      <c r="R2281">
        <v>546049</v>
      </c>
    </row>
    <row r="2282" spans="1:18" x14ac:dyDescent="0.25">
      <c r="A2282" s="170">
        <v>46077</v>
      </c>
      <c r="B2282" s="116">
        <v>1034.3</v>
      </c>
      <c r="C2282" s="116">
        <v>1029.8499999999999</v>
      </c>
      <c r="D2282" s="116">
        <v>997</v>
      </c>
      <c r="E2282" s="116">
        <v>1015.05</v>
      </c>
      <c r="F2282" s="116">
        <v>1029.8499999999999</v>
      </c>
      <c r="G2282">
        <v>31391</v>
      </c>
      <c r="H2282" s="116"/>
      <c r="I2282" s="116"/>
      <c r="L2282" s="170">
        <v>46077</v>
      </c>
      <c r="M2282" s="116">
        <v>1028.5</v>
      </c>
      <c r="N2282" s="116">
        <v>1034.8</v>
      </c>
      <c r="O2282" s="116">
        <v>996.9</v>
      </c>
      <c r="P2282" s="116">
        <v>1017.05</v>
      </c>
      <c r="Q2282" s="116">
        <v>1028.5</v>
      </c>
      <c r="R2282">
        <v>1411849</v>
      </c>
    </row>
    <row r="2283" spans="1:18" x14ac:dyDescent="0.25">
      <c r="A2283" s="170">
        <v>46078</v>
      </c>
      <c r="B2283" s="116">
        <v>1078.8499999999999</v>
      </c>
      <c r="C2283" s="116">
        <v>1075.95</v>
      </c>
      <c r="D2283" s="116">
        <v>1030.25</v>
      </c>
      <c r="E2283" s="116">
        <v>1030.25</v>
      </c>
      <c r="F2283" s="116">
        <v>1075.95</v>
      </c>
      <c r="G2283">
        <v>113834</v>
      </c>
      <c r="H2283" s="116"/>
      <c r="I2283" s="116"/>
      <c r="L2283" s="170">
        <v>46078</v>
      </c>
      <c r="M2283" s="116">
        <v>1076.3499999999999</v>
      </c>
      <c r="N2283" s="116">
        <v>1078.9000000000001</v>
      </c>
      <c r="O2283" s="116">
        <v>1032.1500000000001</v>
      </c>
      <c r="P2283" s="116">
        <v>1035</v>
      </c>
      <c r="Q2283" s="116">
        <v>1076.3499999999999</v>
      </c>
      <c r="R2283">
        <v>2096497</v>
      </c>
    </row>
    <row r="2284" spans="1:18" x14ac:dyDescent="0.25">
      <c r="A2284" s="170">
        <v>46079</v>
      </c>
      <c r="B2284" s="116">
        <v>1103.3499999999999</v>
      </c>
      <c r="C2284" s="116">
        <v>1092.45</v>
      </c>
      <c r="D2284" s="116">
        <v>1073.3</v>
      </c>
      <c r="E2284" s="116">
        <v>1077.05</v>
      </c>
      <c r="F2284" s="116">
        <v>1092.45</v>
      </c>
      <c r="G2284">
        <v>173797</v>
      </c>
      <c r="H2284" s="116"/>
      <c r="I2284" s="116"/>
      <c r="L2284" s="170">
        <v>46079</v>
      </c>
      <c r="M2284" s="116">
        <v>1092.75</v>
      </c>
      <c r="N2284" s="116">
        <v>1103.55</v>
      </c>
      <c r="O2284" s="116">
        <v>1073</v>
      </c>
      <c r="P2284" s="116">
        <v>1080</v>
      </c>
      <c r="Q2284" s="116">
        <v>1092.75</v>
      </c>
      <c r="R2284">
        <v>2451607</v>
      </c>
    </row>
    <row r="2285" spans="1:18" x14ac:dyDescent="0.25">
      <c r="A2285" s="170">
        <v>46080</v>
      </c>
      <c r="B2285" s="116">
        <v>1099.5</v>
      </c>
      <c r="C2285" s="116">
        <v>1074.75</v>
      </c>
      <c r="D2285" s="116">
        <v>1068</v>
      </c>
      <c r="E2285" s="116">
        <v>1092.4000000000001</v>
      </c>
      <c r="F2285" s="116">
        <v>1074.75</v>
      </c>
      <c r="G2285">
        <v>94643</v>
      </c>
      <c r="H2285" s="116"/>
      <c r="I2285" s="116"/>
      <c r="L2285" s="170">
        <v>46080</v>
      </c>
      <c r="M2285" s="116">
        <v>1075.8</v>
      </c>
      <c r="N2285" s="116">
        <v>1099.8499999999999</v>
      </c>
      <c r="O2285" s="116">
        <v>1067.8499999999999</v>
      </c>
      <c r="P2285" s="116">
        <v>1088.4000000000001</v>
      </c>
      <c r="Q2285" s="116">
        <v>1075.8</v>
      </c>
      <c r="R2285">
        <v>1691058</v>
      </c>
    </row>
    <row r="2286" spans="1:18" x14ac:dyDescent="0.25">
      <c r="A2286" s="170">
        <v>46083</v>
      </c>
      <c r="B2286" s="116">
        <v>1074.25</v>
      </c>
      <c r="C2286" s="116">
        <v>1064.95</v>
      </c>
      <c r="D2286" s="116">
        <v>981.25</v>
      </c>
      <c r="E2286" s="116">
        <v>981.25</v>
      </c>
      <c r="F2286" s="116">
        <v>1064.95</v>
      </c>
      <c r="G2286">
        <v>57708</v>
      </c>
      <c r="H2286" s="116"/>
      <c r="I2286" s="116"/>
      <c r="L2286" s="170">
        <v>46083</v>
      </c>
      <c r="M2286" s="116">
        <v>1065</v>
      </c>
      <c r="N2286" s="116">
        <v>1073.9000000000001</v>
      </c>
      <c r="O2286" s="116">
        <v>1030</v>
      </c>
      <c r="P2286" s="116">
        <v>1030</v>
      </c>
      <c r="Q2286" s="116">
        <v>1065</v>
      </c>
      <c r="R2286">
        <v>2261544</v>
      </c>
    </row>
    <row r="2287" spans="1:18" x14ac:dyDescent="0.25">
      <c r="A2287" s="170">
        <v>46085</v>
      </c>
      <c r="B2287" s="116">
        <v>1057.3499999999999</v>
      </c>
      <c r="C2287" s="116">
        <v>1030.25</v>
      </c>
      <c r="D2287" s="116">
        <v>1019.75</v>
      </c>
      <c r="E2287" s="116">
        <v>1045.05</v>
      </c>
      <c r="F2287" s="116">
        <v>1030.25</v>
      </c>
      <c r="G2287">
        <v>54133</v>
      </c>
      <c r="H2287" s="116"/>
      <c r="I2287" s="116"/>
      <c r="L2287" s="170">
        <v>46085</v>
      </c>
      <c r="M2287" s="116">
        <v>1030.5999999999999</v>
      </c>
      <c r="N2287" s="116">
        <v>1061</v>
      </c>
      <c r="O2287" s="116">
        <v>1019.9</v>
      </c>
      <c r="P2287" s="116">
        <v>1059</v>
      </c>
      <c r="Q2287" s="116">
        <v>1030.5999999999999</v>
      </c>
      <c r="R2287">
        <v>1499364</v>
      </c>
    </row>
    <row r="2288" spans="1:18" x14ac:dyDescent="0.25">
      <c r="A2288" s="170">
        <v>46086</v>
      </c>
      <c r="B2288" s="116">
        <v>1057.25</v>
      </c>
      <c r="C2288" s="116">
        <v>1045.9000000000001</v>
      </c>
      <c r="D2288" s="116">
        <v>1028.05</v>
      </c>
      <c r="E2288" s="116">
        <v>1028.05</v>
      </c>
      <c r="F2288" s="116">
        <v>1045.9000000000001</v>
      </c>
      <c r="G2288">
        <v>38817</v>
      </c>
      <c r="H2288" s="116"/>
      <c r="I2288" s="116"/>
      <c r="L2288" s="170">
        <v>46086</v>
      </c>
      <c r="M2288" s="116">
        <v>1045.9000000000001</v>
      </c>
      <c r="N2288" s="116">
        <v>1057.7</v>
      </c>
      <c r="O2288" s="116">
        <v>1033.7</v>
      </c>
      <c r="P2288" s="116">
        <v>1037</v>
      </c>
      <c r="Q2288" s="116">
        <v>1045.9000000000001</v>
      </c>
      <c r="R2288">
        <v>938473</v>
      </c>
    </row>
    <row r="2289" spans="1:18" x14ac:dyDescent="0.25">
      <c r="A2289" s="170">
        <v>46087</v>
      </c>
      <c r="B2289" s="116">
        <v>1051.7</v>
      </c>
      <c r="C2289" s="116">
        <v>1025.5</v>
      </c>
      <c r="D2289" s="116">
        <v>1022.05</v>
      </c>
      <c r="E2289" s="116">
        <v>1047</v>
      </c>
      <c r="F2289" s="116">
        <v>1025.5</v>
      </c>
      <c r="G2289">
        <v>46789</v>
      </c>
      <c r="H2289" s="116"/>
      <c r="I2289" s="116"/>
      <c r="L2289" s="170">
        <v>46087</v>
      </c>
      <c r="M2289" s="116">
        <v>1026.2</v>
      </c>
      <c r="N2289" s="116">
        <v>1055</v>
      </c>
      <c r="O2289" s="116">
        <v>1022.4</v>
      </c>
      <c r="P2289" s="116">
        <v>1045</v>
      </c>
      <c r="Q2289" s="116">
        <v>1026.2</v>
      </c>
      <c r="R2289">
        <v>810949</v>
      </c>
    </row>
    <row r="2290" spans="1:18" x14ac:dyDescent="0.25">
      <c r="A2290" s="170">
        <v>46090</v>
      </c>
      <c r="B2290" s="116">
        <v>1025</v>
      </c>
      <c r="C2290" s="116">
        <v>1020.9</v>
      </c>
      <c r="D2290" s="116">
        <v>984</v>
      </c>
      <c r="E2290" s="116">
        <v>1014.7</v>
      </c>
      <c r="F2290" s="116">
        <v>1020.9</v>
      </c>
      <c r="G2290">
        <v>58016</v>
      </c>
      <c r="H2290" s="116"/>
      <c r="I2290" s="116"/>
      <c r="L2290" s="170">
        <v>46090</v>
      </c>
      <c r="M2290" s="116">
        <v>1021</v>
      </c>
      <c r="N2290" s="116">
        <v>1026.0999999999999</v>
      </c>
      <c r="O2290" s="116">
        <v>975</v>
      </c>
      <c r="P2290" s="116">
        <v>1005</v>
      </c>
      <c r="Q2290" s="116">
        <v>1021</v>
      </c>
      <c r="R2290">
        <v>1955333</v>
      </c>
    </row>
    <row r="2291" spans="1:18" x14ac:dyDescent="0.25">
      <c r="A2291" s="170">
        <v>46091</v>
      </c>
      <c r="B2291" s="116">
        <v>1050.2</v>
      </c>
      <c r="C2291" s="116">
        <v>1037.3</v>
      </c>
      <c r="D2291" s="116">
        <v>1021.15</v>
      </c>
      <c r="E2291" s="116">
        <v>1022.8</v>
      </c>
      <c r="F2291" s="116">
        <v>1037.3</v>
      </c>
      <c r="G2291">
        <v>53408</v>
      </c>
      <c r="H2291" s="116"/>
      <c r="I2291" s="116"/>
      <c r="L2291" s="170">
        <v>46091</v>
      </c>
      <c r="M2291" s="116">
        <v>1038</v>
      </c>
      <c r="N2291" s="116">
        <v>1051.9000000000001</v>
      </c>
      <c r="O2291" s="116">
        <v>1030</v>
      </c>
      <c r="P2291" s="116">
        <v>1030</v>
      </c>
      <c r="Q2291" s="116">
        <v>1038</v>
      </c>
      <c r="R2291">
        <v>1367343</v>
      </c>
    </row>
    <row r="2292" spans="1:18" x14ac:dyDescent="0.25">
      <c r="A2292" s="170">
        <v>46092</v>
      </c>
      <c r="B2292" s="116">
        <v>1067.8499999999999</v>
      </c>
      <c r="C2292" s="116">
        <v>1040.1500000000001</v>
      </c>
      <c r="D2292" s="116">
        <v>1031.8</v>
      </c>
      <c r="E2292" s="116">
        <v>1050.8</v>
      </c>
      <c r="F2292" s="116">
        <v>1040.1500000000001</v>
      </c>
      <c r="G2292">
        <v>49519</v>
      </c>
      <c r="H2292" s="116"/>
      <c r="I2292" s="116"/>
      <c r="L2292" s="170">
        <v>46092</v>
      </c>
      <c r="M2292" s="116">
        <v>1041</v>
      </c>
      <c r="N2292" s="116">
        <v>1068</v>
      </c>
      <c r="O2292" s="116">
        <v>1031</v>
      </c>
      <c r="P2292" s="116">
        <v>1043.7</v>
      </c>
      <c r="Q2292" s="116">
        <v>1041</v>
      </c>
      <c r="R2292">
        <v>1839756</v>
      </c>
    </row>
    <row r="2293" spans="1:18" x14ac:dyDescent="0.25">
      <c r="A2293" s="170">
        <v>46093</v>
      </c>
      <c r="B2293" s="116">
        <v>1056.3</v>
      </c>
      <c r="C2293" s="116">
        <v>1045.8499999999999</v>
      </c>
      <c r="D2293" s="116">
        <v>1018.75</v>
      </c>
      <c r="E2293" s="116">
        <v>1037.25</v>
      </c>
      <c r="F2293" s="116">
        <v>1045.8499999999999</v>
      </c>
      <c r="G2293">
        <v>29851</v>
      </c>
      <c r="H2293" s="116"/>
      <c r="I2293" s="116"/>
      <c r="L2293" s="170">
        <v>46093</v>
      </c>
      <c r="M2293" s="116">
        <v>1046.8</v>
      </c>
      <c r="N2293" s="116">
        <v>1057</v>
      </c>
      <c r="O2293" s="116">
        <v>1017.6</v>
      </c>
      <c r="P2293" s="116">
        <v>1042</v>
      </c>
      <c r="Q2293" s="116">
        <v>1046.8</v>
      </c>
      <c r="R2293">
        <v>1300644</v>
      </c>
    </row>
    <row r="2294" spans="1:18" x14ac:dyDescent="0.25">
      <c r="A2294" s="170">
        <v>46094</v>
      </c>
      <c r="B2294" s="116">
        <v>1049</v>
      </c>
      <c r="C2294" s="116">
        <v>1003.65</v>
      </c>
      <c r="D2294" s="116">
        <v>981.3</v>
      </c>
      <c r="E2294" s="116">
        <v>1044.8499999999999</v>
      </c>
      <c r="F2294" s="116">
        <v>1003.65</v>
      </c>
      <c r="G2294">
        <v>73626</v>
      </c>
      <c r="H2294" s="116"/>
      <c r="I2294" s="116"/>
      <c r="L2294" s="170">
        <v>46094</v>
      </c>
      <c r="M2294" s="116">
        <v>1003.4</v>
      </c>
      <c r="N2294" s="116">
        <v>1050.5</v>
      </c>
      <c r="O2294" s="116">
        <v>980.8</v>
      </c>
      <c r="P2294" s="116">
        <v>1037</v>
      </c>
      <c r="Q2294" s="116">
        <v>1003.4</v>
      </c>
      <c r="R2294">
        <v>3068139</v>
      </c>
    </row>
    <row r="2295" spans="1:18" x14ac:dyDescent="0.25">
      <c r="A2295" s="170">
        <v>46097</v>
      </c>
      <c r="B2295" s="116">
        <v>1012.35</v>
      </c>
      <c r="C2295" s="116">
        <v>960.85</v>
      </c>
      <c r="D2295" s="116">
        <v>951.5</v>
      </c>
      <c r="E2295" s="116">
        <v>991.75</v>
      </c>
      <c r="F2295" s="116">
        <v>960.85</v>
      </c>
      <c r="G2295">
        <v>145320</v>
      </c>
      <c r="H2295" s="116"/>
      <c r="I2295" s="116"/>
      <c r="L2295" s="170">
        <v>46097</v>
      </c>
      <c r="M2295" s="116">
        <v>960.8</v>
      </c>
      <c r="N2295" s="116">
        <v>1013.9</v>
      </c>
      <c r="O2295" s="116">
        <v>951.8</v>
      </c>
      <c r="P2295" s="116">
        <v>997.7</v>
      </c>
      <c r="Q2295" s="116">
        <v>960.8</v>
      </c>
      <c r="R2295">
        <v>2979584</v>
      </c>
    </row>
    <row r="2296" spans="1:18" x14ac:dyDescent="0.25">
      <c r="A2296" s="170">
        <v>46098</v>
      </c>
      <c r="B2296" s="116">
        <v>985.9</v>
      </c>
      <c r="C2296" s="116">
        <v>968.25</v>
      </c>
      <c r="D2296" s="116">
        <v>961.55</v>
      </c>
      <c r="E2296" s="116">
        <v>961.55</v>
      </c>
      <c r="F2296" s="116">
        <v>968.25</v>
      </c>
      <c r="G2296">
        <v>56995</v>
      </c>
      <c r="H2296" s="116"/>
      <c r="I2296" s="116"/>
      <c r="L2296" s="170">
        <v>46098</v>
      </c>
      <c r="M2296" s="116">
        <v>968.7</v>
      </c>
      <c r="N2296" s="116">
        <v>987</v>
      </c>
      <c r="O2296" s="116">
        <v>962</v>
      </c>
      <c r="P2296" s="116">
        <v>962.9</v>
      </c>
      <c r="Q2296" s="116">
        <v>968.7</v>
      </c>
      <c r="R2296">
        <v>1580678</v>
      </c>
    </row>
    <row r="2297" spans="1:18" x14ac:dyDescent="0.25">
      <c r="A2297" s="170">
        <v>46099</v>
      </c>
      <c r="B2297" s="116">
        <v>990.8</v>
      </c>
      <c r="C2297" s="116">
        <v>983</v>
      </c>
      <c r="D2297" s="116">
        <v>969.25</v>
      </c>
      <c r="E2297" s="116">
        <v>976</v>
      </c>
      <c r="F2297" s="116">
        <v>983</v>
      </c>
      <c r="G2297">
        <v>15799</v>
      </c>
      <c r="H2297" s="116"/>
      <c r="I2297" s="116"/>
      <c r="L2297" s="170">
        <v>46099</v>
      </c>
      <c r="M2297" s="116">
        <v>983.4</v>
      </c>
      <c r="N2297" s="116">
        <v>991.8</v>
      </c>
      <c r="O2297" s="116">
        <v>968.5</v>
      </c>
      <c r="P2297" s="116">
        <v>976.9</v>
      </c>
      <c r="Q2297" s="116">
        <v>983.4</v>
      </c>
      <c r="R2297">
        <v>1187761</v>
      </c>
    </row>
    <row r="2298" spans="1:18" x14ac:dyDescent="0.25">
      <c r="A2298" s="170">
        <v>46100</v>
      </c>
      <c r="B2298" s="116">
        <v>978.55</v>
      </c>
      <c r="C2298" s="116">
        <v>947.1</v>
      </c>
      <c r="D2298" s="116">
        <v>937</v>
      </c>
      <c r="E2298" s="116">
        <v>978.55</v>
      </c>
      <c r="F2298" s="116">
        <v>947.1</v>
      </c>
      <c r="G2298">
        <v>27202</v>
      </c>
      <c r="H2298" s="116"/>
      <c r="I2298" s="116"/>
      <c r="L2298" s="170">
        <v>46100</v>
      </c>
      <c r="M2298" s="116">
        <v>944.9</v>
      </c>
      <c r="N2298" s="116">
        <v>975.2</v>
      </c>
      <c r="O2298" s="116">
        <v>936.3</v>
      </c>
      <c r="P2298" s="116">
        <v>975</v>
      </c>
      <c r="Q2298" s="116">
        <v>944.9</v>
      </c>
      <c r="R2298">
        <v>1329267</v>
      </c>
    </row>
    <row r="2299" spans="1:18" x14ac:dyDescent="0.25">
      <c r="A2299" s="170">
        <v>46101</v>
      </c>
      <c r="B2299" s="116">
        <v>990.7</v>
      </c>
      <c r="C2299" s="116">
        <v>986.75</v>
      </c>
      <c r="D2299" s="116">
        <v>956.65</v>
      </c>
      <c r="E2299" s="116">
        <v>957.7</v>
      </c>
      <c r="F2299" s="116">
        <v>986.75</v>
      </c>
      <c r="G2299">
        <v>118287</v>
      </c>
      <c r="H2299" s="116"/>
      <c r="I2299" s="116"/>
      <c r="L2299" s="170">
        <v>46101</v>
      </c>
      <c r="M2299" s="116">
        <v>987.2</v>
      </c>
      <c r="N2299" s="116">
        <v>990.9</v>
      </c>
      <c r="O2299" s="116">
        <v>953</v>
      </c>
      <c r="P2299" s="116">
        <v>960.8</v>
      </c>
      <c r="Q2299" s="116">
        <v>987.2</v>
      </c>
      <c r="R2299">
        <v>1763554</v>
      </c>
    </row>
    <row r="2300" spans="1:18" x14ac:dyDescent="0.25">
      <c r="A2300" s="170">
        <v>46104</v>
      </c>
      <c r="B2300" s="116">
        <v>984.05</v>
      </c>
      <c r="C2300" s="116">
        <v>961.55</v>
      </c>
      <c r="D2300" s="116">
        <v>958</v>
      </c>
      <c r="E2300" s="116">
        <v>984.05</v>
      </c>
      <c r="F2300" s="116">
        <v>961.55</v>
      </c>
      <c r="G2300">
        <v>47987</v>
      </c>
      <c r="H2300" s="116"/>
      <c r="I2300" s="116"/>
      <c r="L2300" s="170">
        <v>46104</v>
      </c>
      <c r="M2300" s="116">
        <v>961.4</v>
      </c>
      <c r="N2300" s="116">
        <v>981.4</v>
      </c>
      <c r="O2300" s="116">
        <v>957.4</v>
      </c>
      <c r="P2300" s="116">
        <v>979.1</v>
      </c>
      <c r="Q2300" s="116">
        <v>961.4</v>
      </c>
      <c r="R2300">
        <v>1068049</v>
      </c>
    </row>
    <row r="2301" spans="1:18" x14ac:dyDescent="0.25">
      <c r="A2301" s="170">
        <v>46105</v>
      </c>
      <c r="B2301" s="116">
        <v>1001.5</v>
      </c>
      <c r="C2301" s="116">
        <v>992.55</v>
      </c>
      <c r="D2301" s="116">
        <v>966.6</v>
      </c>
      <c r="E2301" s="116">
        <v>976.95</v>
      </c>
      <c r="F2301" s="116">
        <v>992.55</v>
      </c>
      <c r="G2301">
        <v>93500</v>
      </c>
      <c r="H2301" s="116"/>
      <c r="I2301" s="116"/>
      <c r="L2301" s="170">
        <v>46105</v>
      </c>
      <c r="M2301" s="116">
        <v>992.6</v>
      </c>
      <c r="N2301" s="116">
        <v>1001.5</v>
      </c>
      <c r="O2301" s="116">
        <v>966</v>
      </c>
      <c r="P2301" s="116">
        <v>978</v>
      </c>
      <c r="Q2301" s="116">
        <v>992.6</v>
      </c>
      <c r="R2301">
        <v>1521765</v>
      </c>
    </row>
    <row r="2302" spans="1:18" x14ac:dyDescent="0.25">
      <c r="A2302" s="170">
        <v>46106</v>
      </c>
      <c r="B2302" s="116">
        <v>1029</v>
      </c>
      <c r="C2302" s="116">
        <v>1024.55</v>
      </c>
      <c r="D2302" s="116">
        <v>997.85</v>
      </c>
      <c r="E2302" s="116">
        <v>1004.4</v>
      </c>
      <c r="F2302" s="116">
        <v>1024.55</v>
      </c>
      <c r="G2302">
        <v>35210</v>
      </c>
      <c r="H2302" s="116"/>
      <c r="I2302" s="116"/>
      <c r="L2302" s="170">
        <v>46106</v>
      </c>
      <c r="M2302" s="116">
        <v>1023.5</v>
      </c>
      <c r="N2302" s="116">
        <v>1029</v>
      </c>
      <c r="O2302" s="116">
        <v>995.4</v>
      </c>
      <c r="P2302" s="116">
        <v>1009</v>
      </c>
      <c r="Q2302" s="116">
        <v>1023.5</v>
      </c>
      <c r="R2302">
        <v>1421805</v>
      </c>
    </row>
    <row r="2303" spans="1:18" x14ac:dyDescent="0.25">
      <c r="A2303" s="170">
        <v>46108</v>
      </c>
      <c r="B2303" s="116">
        <v>1020.7</v>
      </c>
      <c r="C2303" s="116">
        <v>1009.3</v>
      </c>
      <c r="D2303" s="116">
        <v>1000.8</v>
      </c>
      <c r="E2303" s="116">
        <v>1019.5</v>
      </c>
      <c r="F2303" s="116">
        <v>1009.3</v>
      </c>
      <c r="G2303">
        <v>239345</v>
      </c>
      <c r="H2303" s="116"/>
      <c r="I2303" s="116"/>
      <c r="L2303" s="170">
        <v>46108</v>
      </c>
      <c r="M2303" s="116">
        <v>1008.8</v>
      </c>
      <c r="N2303" s="116">
        <v>1021</v>
      </c>
      <c r="O2303" s="116">
        <v>1000.5</v>
      </c>
      <c r="P2303" s="116">
        <v>1019</v>
      </c>
      <c r="Q2303" s="116">
        <v>1008.8</v>
      </c>
      <c r="R2303">
        <v>6517137</v>
      </c>
    </row>
    <row r="2304" spans="1:18" x14ac:dyDescent="0.25">
      <c r="A2304" s="170">
        <v>46111</v>
      </c>
      <c r="B2304" s="116">
        <v>1003.75</v>
      </c>
      <c r="C2304" s="116">
        <v>991.85</v>
      </c>
      <c r="D2304" s="116">
        <v>983.7</v>
      </c>
      <c r="E2304" s="116">
        <v>995.25</v>
      </c>
      <c r="F2304" s="116">
        <v>991.85</v>
      </c>
      <c r="G2304">
        <v>99249</v>
      </c>
      <c r="H2304" s="116"/>
      <c r="I2304" s="116"/>
      <c r="L2304" s="170">
        <v>46111</v>
      </c>
      <c r="M2304" s="116">
        <v>992.7</v>
      </c>
      <c r="N2304" s="116">
        <v>1003.9</v>
      </c>
      <c r="O2304" s="116">
        <v>984.7</v>
      </c>
      <c r="P2304" s="116">
        <v>1001</v>
      </c>
      <c r="Q2304" s="116">
        <v>992.7</v>
      </c>
      <c r="R2304">
        <v>1517014</v>
      </c>
    </row>
    <row r="2305" spans="1:18" x14ac:dyDescent="0.25">
      <c r="A2305" s="170">
        <v>46113</v>
      </c>
      <c r="B2305" s="116">
        <v>1044.6500000000001</v>
      </c>
      <c r="C2305" s="116">
        <v>1039.25</v>
      </c>
      <c r="D2305" s="116">
        <v>1017.55</v>
      </c>
      <c r="E2305" s="116">
        <v>1024.7</v>
      </c>
      <c r="F2305" s="116">
        <v>1039.25</v>
      </c>
      <c r="G2305">
        <v>68565</v>
      </c>
      <c r="H2305" s="116"/>
      <c r="I2305" s="116"/>
      <c r="L2305" s="170">
        <v>46113</v>
      </c>
      <c r="M2305" s="116">
        <v>1038.8</v>
      </c>
      <c r="N2305" s="116">
        <v>1044.4000000000001</v>
      </c>
      <c r="O2305" s="116">
        <v>1017.55</v>
      </c>
      <c r="P2305" s="116">
        <v>1020.1</v>
      </c>
      <c r="Q2305" s="116">
        <v>1038.8</v>
      </c>
      <c r="R2305">
        <v>2351992</v>
      </c>
    </row>
    <row r="2306" spans="1:18" x14ac:dyDescent="0.25">
      <c r="A2306" s="170">
        <v>46114</v>
      </c>
      <c r="B2306" s="116">
        <v>1050</v>
      </c>
      <c r="C2306" s="116">
        <v>1044.2</v>
      </c>
      <c r="D2306" s="116">
        <v>994.25</v>
      </c>
      <c r="E2306" s="116">
        <v>1025.05</v>
      </c>
      <c r="F2306" s="116">
        <v>1044.2</v>
      </c>
      <c r="G2306">
        <v>137714</v>
      </c>
      <c r="H2306" s="116"/>
      <c r="I2306" s="116"/>
      <c r="L2306" s="170">
        <v>46114</v>
      </c>
      <c r="M2306" s="116">
        <v>1042.9000000000001</v>
      </c>
      <c r="N2306" s="116">
        <v>1049.8</v>
      </c>
      <c r="O2306" s="116">
        <v>994.25</v>
      </c>
      <c r="P2306" s="116">
        <v>1028</v>
      </c>
      <c r="Q2306" s="116">
        <v>1042.9000000000001</v>
      </c>
      <c r="R2306">
        <v>2919766</v>
      </c>
    </row>
    <row r="2307" spans="1:18" x14ac:dyDescent="0.25">
      <c r="A2307" s="170">
        <v>46118</v>
      </c>
      <c r="B2307" s="116">
        <v>1063.5</v>
      </c>
      <c r="C2307" s="116">
        <v>1058.4000000000001</v>
      </c>
      <c r="D2307" s="116">
        <v>1014.95</v>
      </c>
      <c r="E2307" s="116">
        <v>1042.0999999999999</v>
      </c>
      <c r="F2307" s="116">
        <v>1058.4000000000001</v>
      </c>
      <c r="G2307">
        <v>130346</v>
      </c>
      <c r="H2307" s="116"/>
      <c r="I2307" s="116"/>
      <c r="L2307" s="170">
        <v>46118</v>
      </c>
      <c r="M2307" s="116">
        <v>1058.2</v>
      </c>
      <c r="N2307" s="116">
        <v>1063.55</v>
      </c>
      <c r="O2307" s="116">
        <v>1014.3</v>
      </c>
      <c r="P2307" s="116">
        <v>1042.9000000000001</v>
      </c>
      <c r="Q2307" s="116">
        <v>1058.2</v>
      </c>
      <c r="R2307">
        <v>1952469</v>
      </c>
    </row>
    <row r="2308" spans="1:18" x14ac:dyDescent="0.25">
      <c r="A2308" s="170">
        <v>46119</v>
      </c>
      <c r="B2308" s="116">
        <v>1071.45</v>
      </c>
      <c r="C2308" s="116">
        <v>1056.4000000000001</v>
      </c>
      <c r="D2308" s="116">
        <v>1045.5</v>
      </c>
      <c r="E2308" s="116">
        <v>1059</v>
      </c>
      <c r="F2308" s="116">
        <v>1056.4000000000001</v>
      </c>
      <c r="G2308">
        <v>98763</v>
      </c>
      <c r="H2308" s="116"/>
      <c r="I2308" s="116"/>
      <c r="L2308" s="170">
        <v>46119</v>
      </c>
      <c r="M2308" s="116">
        <v>1057.45</v>
      </c>
      <c r="N2308" s="116">
        <v>1071.4000000000001</v>
      </c>
      <c r="O2308" s="116">
        <v>1045</v>
      </c>
      <c r="P2308" s="116">
        <v>1059.9000000000001</v>
      </c>
      <c r="Q2308" s="116">
        <v>1057.45</v>
      </c>
      <c r="R2308">
        <v>1562842</v>
      </c>
    </row>
    <row r="2309" spans="1:18" x14ac:dyDescent="0.25">
      <c r="A2309" s="170">
        <v>46120</v>
      </c>
      <c r="B2309" s="116">
        <v>1092</v>
      </c>
      <c r="C2309" s="116">
        <v>1082.8499999999999</v>
      </c>
      <c r="D2309" s="116">
        <v>1072.0999999999999</v>
      </c>
      <c r="E2309" s="116">
        <v>1079.8499999999999</v>
      </c>
      <c r="F2309" s="116">
        <v>1082.8499999999999</v>
      </c>
      <c r="G2309">
        <v>64049</v>
      </c>
      <c r="H2309" s="116"/>
      <c r="I2309" s="116"/>
      <c r="L2309" s="170">
        <v>46120</v>
      </c>
      <c r="M2309" s="116">
        <v>1082.45</v>
      </c>
      <c r="N2309" s="116">
        <v>1092.25</v>
      </c>
      <c r="O2309" s="116">
        <v>1072.0999999999999</v>
      </c>
      <c r="P2309" s="116">
        <v>1077</v>
      </c>
      <c r="Q2309" s="116">
        <v>1082.45</v>
      </c>
      <c r="R2309">
        <v>1645757</v>
      </c>
    </row>
    <row r="2310" spans="1:18" x14ac:dyDescent="0.25">
      <c r="A2310" s="170">
        <v>46121</v>
      </c>
      <c r="B2310" s="116">
        <v>1090.75</v>
      </c>
      <c r="C2310" s="116">
        <v>1083.5</v>
      </c>
      <c r="D2310" s="116">
        <v>1071.1500000000001</v>
      </c>
      <c r="E2310" s="116">
        <v>1071.1500000000001</v>
      </c>
      <c r="F2310" s="116">
        <v>1083.5</v>
      </c>
      <c r="G2310">
        <v>63742</v>
      </c>
      <c r="H2310" s="116"/>
      <c r="I2310" s="116"/>
      <c r="L2310" s="170">
        <v>46121</v>
      </c>
      <c r="M2310" s="116">
        <v>1083.7</v>
      </c>
      <c r="N2310" s="116">
        <v>1090.9000000000001</v>
      </c>
      <c r="O2310" s="116">
        <v>1074.05</v>
      </c>
      <c r="P2310" s="116">
        <v>1081</v>
      </c>
      <c r="Q2310" s="116">
        <v>1083.7</v>
      </c>
      <c r="R2310">
        <v>974649</v>
      </c>
    </row>
    <row r="2311" spans="1:18" x14ac:dyDescent="0.25">
      <c r="A2311" s="170">
        <v>46122</v>
      </c>
      <c r="B2311" s="116">
        <v>1109</v>
      </c>
      <c r="C2311" s="116">
        <v>1097.9000000000001</v>
      </c>
      <c r="D2311" s="116">
        <v>1080.95</v>
      </c>
      <c r="E2311" s="116">
        <v>1088.9000000000001</v>
      </c>
      <c r="F2311" s="116">
        <v>1097.9000000000001</v>
      </c>
      <c r="G2311">
        <v>39078</v>
      </c>
      <c r="H2311" s="116"/>
      <c r="I2311" s="116"/>
      <c r="L2311" s="170">
        <v>46122</v>
      </c>
      <c r="M2311" s="116">
        <v>1098.3499999999999</v>
      </c>
      <c r="N2311" s="116">
        <v>1109</v>
      </c>
      <c r="O2311" s="116">
        <v>1079.5999999999999</v>
      </c>
      <c r="P2311" s="116">
        <v>1091.0999999999999</v>
      </c>
      <c r="Q2311" s="116">
        <v>1098.3499999999999</v>
      </c>
      <c r="R2311">
        <v>1769594</v>
      </c>
    </row>
    <row r="2312" spans="1:18" x14ac:dyDescent="0.25">
      <c r="A2312" s="170">
        <v>46125</v>
      </c>
      <c r="B2312" s="116">
        <v>1092.55</v>
      </c>
      <c r="C2312" s="116">
        <v>1087.95</v>
      </c>
      <c r="D2312" s="116">
        <v>1074.05</v>
      </c>
      <c r="E2312" s="116">
        <v>1092.55</v>
      </c>
      <c r="F2312" s="116">
        <v>1087.95</v>
      </c>
      <c r="G2312">
        <v>29766</v>
      </c>
      <c r="H2312" s="116"/>
      <c r="I2312" s="116"/>
      <c r="L2312" s="170">
        <v>46125</v>
      </c>
      <c r="M2312" s="116">
        <v>1087.8</v>
      </c>
      <c r="N2312" s="116">
        <v>1092.8</v>
      </c>
      <c r="O2312" s="116">
        <v>1072.55</v>
      </c>
      <c r="P2312" s="116">
        <v>1080.5999999999999</v>
      </c>
      <c r="Q2312" s="116">
        <v>1087.8</v>
      </c>
      <c r="R2312">
        <v>1313173</v>
      </c>
    </row>
    <row r="2313" spans="1:18" x14ac:dyDescent="0.25">
      <c r="A2313" s="170">
        <v>46127</v>
      </c>
      <c r="B2313" s="116">
        <v>1123.5</v>
      </c>
      <c r="C2313" s="116">
        <v>1116.95</v>
      </c>
      <c r="D2313" s="116">
        <v>1094.1500000000001</v>
      </c>
      <c r="E2313" s="116">
        <v>1111.2</v>
      </c>
      <c r="F2313" s="116">
        <v>1116.95</v>
      </c>
      <c r="G2313">
        <v>59121</v>
      </c>
      <c r="H2313" s="116"/>
      <c r="I2313" s="116"/>
      <c r="L2313" s="170">
        <v>46127</v>
      </c>
      <c r="M2313" s="116">
        <v>1117.5999999999999</v>
      </c>
      <c r="N2313" s="116">
        <v>1124</v>
      </c>
      <c r="O2313" s="116">
        <v>1093.75</v>
      </c>
      <c r="P2313" s="116">
        <v>1122</v>
      </c>
      <c r="Q2313" s="116">
        <v>1117.5999999999999</v>
      </c>
      <c r="R2313">
        <v>1723052</v>
      </c>
    </row>
    <row r="2314" spans="1:18" x14ac:dyDescent="0.25">
      <c r="A2314" s="170">
        <v>46128</v>
      </c>
      <c r="B2314" s="116">
        <v>1135.6500000000001</v>
      </c>
      <c r="C2314" s="116">
        <v>1129.5999999999999</v>
      </c>
      <c r="D2314" s="116">
        <v>1113.75</v>
      </c>
      <c r="E2314" s="116">
        <v>1129.75</v>
      </c>
      <c r="F2314" s="116">
        <v>1129.5999999999999</v>
      </c>
      <c r="G2314">
        <v>31972</v>
      </c>
      <c r="H2314" s="116"/>
      <c r="I2314" s="116"/>
      <c r="L2314" s="170">
        <v>46128</v>
      </c>
      <c r="M2314" s="116">
        <v>1128.3499999999999</v>
      </c>
      <c r="N2314" s="116">
        <v>1135.75</v>
      </c>
      <c r="O2314" s="116">
        <v>1112.8</v>
      </c>
      <c r="P2314" s="116">
        <v>1127</v>
      </c>
      <c r="Q2314" s="116">
        <v>1128.3499999999999</v>
      </c>
      <c r="R2314">
        <v>1250244</v>
      </c>
    </row>
    <row r="2315" spans="1:18" x14ac:dyDescent="0.25">
      <c r="A2315" s="170">
        <v>46129</v>
      </c>
      <c r="B2315" s="116">
        <v>1142</v>
      </c>
      <c r="C2315" s="116">
        <v>1135</v>
      </c>
      <c r="D2315" s="116">
        <v>1122.6500000000001</v>
      </c>
      <c r="E2315" s="116">
        <v>1122.9000000000001</v>
      </c>
      <c r="F2315" s="116">
        <v>1135</v>
      </c>
      <c r="G2315">
        <v>67226</v>
      </c>
      <c r="H2315" s="116"/>
      <c r="I2315" s="116"/>
      <c r="L2315" s="170">
        <v>46129</v>
      </c>
      <c r="M2315" s="116">
        <v>1135.75</v>
      </c>
      <c r="N2315" s="116">
        <v>1142.3499999999999</v>
      </c>
      <c r="O2315" s="116">
        <v>1122.55</v>
      </c>
      <c r="P2315" s="116">
        <v>1130</v>
      </c>
      <c r="Q2315" s="116">
        <v>1135.75</v>
      </c>
      <c r="R2315">
        <v>1232935</v>
      </c>
    </row>
    <row r="2316" spans="1:18" x14ac:dyDescent="0.25">
      <c r="A2316" s="170">
        <v>46132</v>
      </c>
      <c r="B2316" s="116">
        <v>1144.5</v>
      </c>
      <c r="C2316" s="116">
        <v>1129.6500000000001</v>
      </c>
      <c r="D2316" s="116">
        <v>1119.8</v>
      </c>
      <c r="E2316" s="116">
        <v>1143.25</v>
      </c>
      <c r="F2316" s="116">
        <v>1129.6500000000001</v>
      </c>
      <c r="G2316">
        <v>27166</v>
      </c>
      <c r="H2316" s="116"/>
      <c r="I2316" s="116"/>
      <c r="L2316" s="170">
        <v>46132</v>
      </c>
      <c r="M2316" s="116">
        <v>1129.5</v>
      </c>
      <c r="N2316" s="116">
        <v>1144.8499999999999</v>
      </c>
      <c r="O2316" s="116">
        <v>1118.4000000000001</v>
      </c>
      <c r="P2316" s="116">
        <v>1135.75</v>
      </c>
      <c r="Q2316" s="116">
        <v>1129.5</v>
      </c>
      <c r="R2316">
        <v>1180808</v>
      </c>
    </row>
    <row r="2317" spans="1:18" x14ac:dyDescent="0.25">
      <c r="A2317" s="170">
        <v>46133</v>
      </c>
      <c r="B2317" s="116">
        <v>1136.95</v>
      </c>
      <c r="C2317" s="116">
        <v>1114.5</v>
      </c>
      <c r="D2317" s="116">
        <v>1111</v>
      </c>
      <c r="E2317" s="116">
        <v>1129.5999999999999</v>
      </c>
      <c r="F2317" s="116">
        <v>1114.5</v>
      </c>
      <c r="G2317">
        <v>54029</v>
      </c>
      <c r="H2317" s="116"/>
      <c r="I2317" s="116"/>
      <c r="L2317" s="170">
        <v>46133</v>
      </c>
      <c r="M2317" s="116">
        <v>1114.3499999999999</v>
      </c>
      <c r="N2317" s="116">
        <v>1136.8</v>
      </c>
      <c r="O2317" s="116">
        <v>1110.05</v>
      </c>
      <c r="P2317" s="116">
        <v>1127.6500000000001</v>
      </c>
      <c r="Q2317" s="116">
        <v>1114.3499999999999</v>
      </c>
      <c r="R2317">
        <v>1493267</v>
      </c>
    </row>
    <row r="2318" spans="1:18" x14ac:dyDescent="0.25">
      <c r="A2318" s="170">
        <v>46134</v>
      </c>
      <c r="B2318" s="116">
        <v>1119.25</v>
      </c>
      <c r="C2318" s="116">
        <v>1096.05</v>
      </c>
      <c r="D2318" s="116">
        <v>1093.8499999999999</v>
      </c>
      <c r="E2318" s="116">
        <v>1106.2</v>
      </c>
      <c r="F2318" s="116">
        <v>1096.05</v>
      </c>
      <c r="G2318">
        <v>64888</v>
      </c>
      <c r="H2318" s="116"/>
      <c r="I2318" s="116"/>
      <c r="L2318" s="170">
        <v>46134</v>
      </c>
      <c r="M2318" s="116">
        <v>1096.0999999999999</v>
      </c>
      <c r="N2318" s="116">
        <v>1119.9000000000001</v>
      </c>
      <c r="O2318" s="116">
        <v>1094</v>
      </c>
      <c r="P2318" s="116">
        <v>1110</v>
      </c>
      <c r="Q2318" s="116">
        <v>1096.0999999999999</v>
      </c>
      <c r="R2318">
        <v>1916410</v>
      </c>
    </row>
    <row r="2319" spans="1:18" x14ac:dyDescent="0.25">
      <c r="A2319" s="170">
        <v>46135</v>
      </c>
      <c r="B2319" s="116">
        <v>1130</v>
      </c>
      <c r="C2319" s="116">
        <v>1128.8</v>
      </c>
      <c r="D2319" s="116">
        <v>1094.3499999999999</v>
      </c>
      <c r="E2319" s="116">
        <v>1100</v>
      </c>
      <c r="F2319" s="116">
        <v>1128.8</v>
      </c>
      <c r="G2319">
        <v>73073</v>
      </c>
      <c r="H2319" s="116"/>
      <c r="I2319" s="116"/>
      <c r="L2319" s="170">
        <v>46135</v>
      </c>
      <c r="M2319" s="116">
        <v>1129</v>
      </c>
      <c r="N2319" s="116">
        <v>1130</v>
      </c>
      <c r="O2319" s="116">
        <v>1091.0999999999999</v>
      </c>
      <c r="P2319" s="116">
        <v>1096.5</v>
      </c>
      <c r="Q2319" s="116">
        <v>1129</v>
      </c>
      <c r="R2319">
        <v>1920320</v>
      </c>
    </row>
    <row r="2320" spans="1:18" x14ac:dyDescent="0.25">
      <c r="A2320" s="170">
        <v>46136</v>
      </c>
      <c r="B2320" s="116">
        <v>1137.0999999999999</v>
      </c>
      <c r="C2320" s="116">
        <v>1113.5</v>
      </c>
      <c r="D2320" s="116">
        <v>1110.4000000000001</v>
      </c>
      <c r="E2320" s="116">
        <v>1132.55</v>
      </c>
      <c r="F2320" s="116">
        <v>1113.5</v>
      </c>
      <c r="G2320">
        <v>51396</v>
      </c>
      <c r="H2320" s="116"/>
      <c r="I2320" s="116"/>
      <c r="L2320" s="170">
        <v>46136</v>
      </c>
      <c r="M2320" s="116">
        <v>1113.45</v>
      </c>
      <c r="N2320" s="116">
        <v>1137.2</v>
      </c>
      <c r="O2320" s="116">
        <v>1110.2</v>
      </c>
      <c r="P2320" s="116">
        <v>1129.2</v>
      </c>
      <c r="Q2320" s="116">
        <v>1113.45</v>
      </c>
      <c r="R2320">
        <v>1666180</v>
      </c>
    </row>
    <row r="2321" spans="1:18" x14ac:dyDescent="0.25">
      <c r="A2321" s="170">
        <v>46139</v>
      </c>
      <c r="B2321" s="116">
        <v>1132.05</v>
      </c>
      <c r="C2321" s="116">
        <v>1123.8499999999999</v>
      </c>
      <c r="D2321" s="116">
        <v>1106.2</v>
      </c>
      <c r="E2321" s="116">
        <v>1111.5</v>
      </c>
      <c r="F2321" s="116">
        <v>1123.8499999999999</v>
      </c>
      <c r="G2321">
        <v>66213</v>
      </c>
      <c r="H2321" s="116"/>
      <c r="I2321" s="116"/>
      <c r="L2321" s="170">
        <v>46139</v>
      </c>
      <c r="M2321" s="116">
        <v>1123.55</v>
      </c>
      <c r="N2321" s="116">
        <v>1132.4000000000001</v>
      </c>
      <c r="O2321" s="116">
        <v>1106.3</v>
      </c>
      <c r="P2321" s="116">
        <v>1118.8</v>
      </c>
      <c r="Q2321" s="116">
        <v>1123.55</v>
      </c>
      <c r="R2321">
        <v>1363246</v>
      </c>
    </row>
    <row r="2322" spans="1:18" x14ac:dyDescent="0.25">
      <c r="A2322" s="170">
        <v>46140</v>
      </c>
      <c r="B2322" s="116">
        <v>1132</v>
      </c>
      <c r="C2322" s="116">
        <v>1090.4000000000001</v>
      </c>
      <c r="D2322" s="116">
        <v>1085.8499999999999</v>
      </c>
      <c r="E2322" s="116">
        <v>1131.3499999999999</v>
      </c>
      <c r="F2322" s="116">
        <v>1090.4000000000001</v>
      </c>
      <c r="G2322">
        <v>102743</v>
      </c>
      <c r="H2322" s="116"/>
      <c r="I2322" s="116"/>
      <c r="L2322" s="170">
        <v>46140</v>
      </c>
      <c r="M2322" s="116">
        <v>1090.45</v>
      </c>
      <c r="N2322" s="116">
        <v>1133</v>
      </c>
      <c r="O2322" s="116">
        <v>1085</v>
      </c>
      <c r="P2322" s="116">
        <v>1132</v>
      </c>
      <c r="Q2322" s="116">
        <v>1090.45</v>
      </c>
      <c r="R2322">
        <v>2044775</v>
      </c>
    </row>
    <row r="2323" spans="1:18" x14ac:dyDescent="0.25">
      <c r="A2323" s="170">
        <v>46141</v>
      </c>
      <c r="B2323" s="116">
        <v>1115.75</v>
      </c>
      <c r="C2323" s="116">
        <v>1105.7</v>
      </c>
      <c r="D2323" s="116">
        <v>1085.0999999999999</v>
      </c>
      <c r="E2323" s="116">
        <v>1093.5</v>
      </c>
      <c r="F2323" s="116">
        <v>1105.7</v>
      </c>
      <c r="G2323">
        <v>39632</v>
      </c>
      <c r="H2323" s="116"/>
      <c r="I2323" s="116"/>
      <c r="L2323" s="170">
        <v>46141</v>
      </c>
      <c r="M2323" s="116">
        <v>1106.0999999999999</v>
      </c>
      <c r="N2323" s="116">
        <v>1115.8</v>
      </c>
      <c r="O2323" s="116">
        <v>1085</v>
      </c>
      <c r="P2323" s="116">
        <v>1092.45</v>
      </c>
      <c r="Q2323" s="116">
        <v>1106.0999999999999</v>
      </c>
      <c r="R2323">
        <v>1747114</v>
      </c>
    </row>
    <row r="2324" spans="1:18" x14ac:dyDescent="0.25">
      <c r="A2324" s="170">
        <v>46142</v>
      </c>
      <c r="B2324" s="116">
        <v>1110.6500000000001</v>
      </c>
      <c r="C2324" s="116">
        <v>1099.0999999999999</v>
      </c>
      <c r="D2324" s="116">
        <v>1080.45</v>
      </c>
      <c r="E2324" s="116">
        <v>1085.4000000000001</v>
      </c>
      <c r="F2324" s="116">
        <v>1099.0999999999999</v>
      </c>
      <c r="G2324">
        <v>83971</v>
      </c>
      <c r="H2324" s="116"/>
      <c r="I2324" s="116"/>
      <c r="L2324" s="170">
        <v>46142</v>
      </c>
      <c r="M2324" s="116">
        <v>1100.95</v>
      </c>
      <c r="N2324" s="116">
        <v>1112.95</v>
      </c>
      <c r="O2324" s="116">
        <v>1080</v>
      </c>
      <c r="P2324" s="116">
        <v>1086.3</v>
      </c>
      <c r="Q2324" s="116">
        <v>1100.95</v>
      </c>
      <c r="R2324">
        <v>2364117</v>
      </c>
    </row>
    <row r="2325" spans="1:18" x14ac:dyDescent="0.25">
      <c r="A2325" s="170">
        <v>46146</v>
      </c>
      <c r="B2325" s="116">
        <v>1170.75</v>
      </c>
      <c r="C2325" s="116">
        <v>1166.5</v>
      </c>
      <c r="D2325" s="116">
        <v>1103.1500000000001</v>
      </c>
      <c r="E2325" s="116">
        <v>1105.2</v>
      </c>
      <c r="F2325" s="116">
        <v>1166.5</v>
      </c>
      <c r="G2325">
        <v>204767</v>
      </c>
      <c r="H2325" s="116"/>
      <c r="I2325" s="116"/>
      <c r="L2325" s="170">
        <v>46146</v>
      </c>
      <c r="M2325" s="116">
        <v>1166.4000000000001</v>
      </c>
      <c r="N2325" s="116">
        <v>1171</v>
      </c>
      <c r="O2325" s="116">
        <v>1102</v>
      </c>
      <c r="P2325" s="116">
        <v>1102.2</v>
      </c>
      <c r="Q2325" s="116">
        <v>1166.4000000000001</v>
      </c>
      <c r="R2325">
        <v>4720716</v>
      </c>
    </row>
    <row r="2326" spans="1:18" x14ac:dyDescent="0.25">
      <c r="A2326" s="170">
        <v>46147</v>
      </c>
      <c r="B2326" s="116">
        <v>1177.0999999999999</v>
      </c>
      <c r="C2326" s="116">
        <v>1164</v>
      </c>
      <c r="D2326" s="116">
        <v>1158</v>
      </c>
      <c r="E2326" s="116">
        <v>1177.0999999999999</v>
      </c>
      <c r="F2326" s="116">
        <v>1164</v>
      </c>
      <c r="G2326">
        <v>656154</v>
      </c>
      <c r="H2326" s="116"/>
      <c r="I2326" s="116"/>
      <c r="L2326" s="170">
        <v>46147</v>
      </c>
      <c r="M2326" s="116">
        <v>1164.0999999999999</v>
      </c>
      <c r="N2326" s="116">
        <v>1175.5</v>
      </c>
      <c r="O2326" s="116">
        <v>1157.7</v>
      </c>
      <c r="P2326" s="116">
        <v>1172.5</v>
      </c>
      <c r="Q2326" s="116">
        <v>1164.0999999999999</v>
      </c>
      <c r="R2326">
        <v>5271484</v>
      </c>
    </row>
    <row r="2327" spans="1:18" x14ac:dyDescent="0.25">
      <c r="A2327" s="170">
        <v>46148</v>
      </c>
      <c r="B2327" s="116">
        <v>1200</v>
      </c>
      <c r="C2327" s="116">
        <v>1176.55</v>
      </c>
      <c r="D2327" s="116">
        <v>1163.7</v>
      </c>
      <c r="E2327" s="116">
        <v>1170.3499999999999</v>
      </c>
      <c r="F2327" s="116">
        <v>1176.55</v>
      </c>
      <c r="G2327">
        <v>786421</v>
      </c>
      <c r="H2327" s="116"/>
      <c r="I2327" s="116"/>
      <c r="L2327" s="170">
        <v>46148</v>
      </c>
      <c r="M2327" s="116">
        <v>1177.5999999999999</v>
      </c>
      <c r="N2327" s="116">
        <v>1200.5999999999999</v>
      </c>
      <c r="O2327" s="116">
        <v>1164.2</v>
      </c>
      <c r="P2327" s="116">
        <v>1174</v>
      </c>
      <c r="Q2327" s="116">
        <v>1177.5999999999999</v>
      </c>
      <c r="R2327">
        <v>3550499</v>
      </c>
    </row>
    <row r="2328" spans="1:18" x14ac:dyDescent="0.25">
      <c r="A2328" s="170">
        <v>46149</v>
      </c>
      <c r="B2328" s="116">
        <v>1223</v>
      </c>
      <c r="C2328" s="116">
        <v>1206.45</v>
      </c>
      <c r="D2328" s="116">
        <v>1185</v>
      </c>
      <c r="E2328" s="116">
        <v>1192.6500000000001</v>
      </c>
      <c r="F2328" s="116">
        <v>1206.45</v>
      </c>
      <c r="G2328">
        <v>242827</v>
      </c>
      <c r="H2328" s="116"/>
      <c r="I2328" s="116"/>
      <c r="L2328" s="170">
        <v>46149</v>
      </c>
      <c r="M2328" s="116">
        <v>1206.5</v>
      </c>
      <c r="N2328" s="116">
        <v>1223.7</v>
      </c>
      <c r="O2328" s="116">
        <v>1183.7</v>
      </c>
      <c r="P2328" s="116">
        <v>1188.7</v>
      </c>
      <c r="Q2328" s="116">
        <v>1206.5</v>
      </c>
      <c r="R2328">
        <v>2528893</v>
      </c>
    </row>
    <row r="2329" spans="1:18" x14ac:dyDescent="0.25">
      <c r="A2329" s="170">
        <v>46150</v>
      </c>
      <c r="B2329" s="116">
        <v>1237.75</v>
      </c>
      <c r="C2329" s="116">
        <v>1229.45</v>
      </c>
      <c r="D2329" s="116">
        <v>1206.45</v>
      </c>
      <c r="E2329" s="116">
        <v>1217.9000000000001</v>
      </c>
      <c r="F2329" s="116">
        <v>1229.45</v>
      </c>
      <c r="G2329">
        <v>91591</v>
      </c>
      <c r="H2329" s="116"/>
      <c r="I2329" s="116"/>
      <c r="L2329" s="170">
        <v>46150</v>
      </c>
      <c r="M2329" s="116">
        <v>1228.3</v>
      </c>
      <c r="N2329" s="116">
        <v>1237.9000000000001</v>
      </c>
      <c r="O2329" s="116">
        <v>1206</v>
      </c>
      <c r="P2329" s="116">
        <v>1206</v>
      </c>
      <c r="Q2329" s="116">
        <v>1228.3</v>
      </c>
      <c r="R2329">
        <v>1958542</v>
      </c>
    </row>
    <row r="2330" spans="1:18" x14ac:dyDescent="0.25">
      <c r="A2330" s="170">
        <v>46153</v>
      </c>
      <c r="B2330" s="116">
        <v>1276.8</v>
      </c>
      <c r="C2330" s="116">
        <v>1266.55</v>
      </c>
      <c r="D2330" s="116">
        <v>1222.2</v>
      </c>
      <c r="E2330" s="116">
        <v>1228.5</v>
      </c>
      <c r="F2330" s="116">
        <v>1266.55</v>
      </c>
      <c r="G2330">
        <v>291896</v>
      </c>
      <c r="H2330" s="116"/>
      <c r="I2330" s="116"/>
      <c r="L2330" s="170">
        <v>46153</v>
      </c>
      <c r="M2330" s="116">
        <v>1266.8</v>
      </c>
      <c r="N2330" s="116">
        <v>1277.3</v>
      </c>
      <c r="O2330" s="116">
        <v>1221.4000000000001</v>
      </c>
      <c r="P2330" s="116">
        <v>1232.5</v>
      </c>
      <c r="Q2330" s="116">
        <v>1266.8</v>
      </c>
      <c r="R2330">
        <v>3026020</v>
      </c>
    </row>
    <row r="2331" spans="1:18" x14ac:dyDescent="0.25">
      <c r="A2331" s="170">
        <v>46154</v>
      </c>
      <c r="B2331" s="116">
        <v>1289</v>
      </c>
      <c r="C2331" s="116">
        <v>1269.6500000000001</v>
      </c>
      <c r="D2331" s="116">
        <v>1261.3</v>
      </c>
      <c r="E2331" s="116">
        <v>1272</v>
      </c>
      <c r="F2331" s="116">
        <v>1269.6500000000001</v>
      </c>
      <c r="G2331">
        <v>217498</v>
      </c>
      <c r="H2331" s="116"/>
      <c r="I2331" s="116"/>
      <c r="L2331" s="170">
        <v>46154</v>
      </c>
      <c r="M2331" s="116">
        <v>1268</v>
      </c>
      <c r="N2331" s="116">
        <v>1289</v>
      </c>
      <c r="O2331" s="116">
        <v>1260.0999999999999</v>
      </c>
      <c r="P2331" s="116">
        <v>1273</v>
      </c>
      <c r="Q2331" s="116">
        <v>1268</v>
      </c>
      <c r="R2331">
        <v>2330669</v>
      </c>
    </row>
    <row r="2332" spans="1:18" x14ac:dyDescent="0.25">
      <c r="A2332" s="170">
        <v>46155</v>
      </c>
      <c r="B2332" s="116">
        <v>1292.4000000000001</v>
      </c>
      <c r="C2332" s="116">
        <v>1280.4000000000001</v>
      </c>
      <c r="D2332" s="116">
        <v>1246.8499999999999</v>
      </c>
      <c r="E2332" s="116">
        <v>1275</v>
      </c>
      <c r="F2332" s="116">
        <v>1280.4000000000001</v>
      </c>
      <c r="G2332">
        <v>145147</v>
      </c>
      <c r="H2332" s="116"/>
      <c r="I2332" s="116"/>
      <c r="L2332" s="170">
        <v>46155</v>
      </c>
      <c r="M2332" s="116">
        <v>1280.5</v>
      </c>
      <c r="N2332" s="116">
        <v>1292.5</v>
      </c>
      <c r="O2332" s="116">
        <v>1246.5999999999999</v>
      </c>
      <c r="P2332" s="116">
        <v>1275</v>
      </c>
      <c r="Q2332" s="116">
        <v>1280.5</v>
      </c>
      <c r="R2332">
        <v>3171882</v>
      </c>
    </row>
    <row r="2333" spans="1:18" x14ac:dyDescent="0.25">
      <c r="A2333" s="170">
        <v>46156</v>
      </c>
      <c r="B2333" s="116">
        <v>1323.4</v>
      </c>
      <c r="C2333" s="116">
        <v>1315.55</v>
      </c>
      <c r="D2333" s="116">
        <v>1283.0999999999999</v>
      </c>
      <c r="E2333" s="116">
        <v>1301.75</v>
      </c>
      <c r="F2333" s="116">
        <v>1315.55</v>
      </c>
      <c r="G2333">
        <v>292214</v>
      </c>
      <c r="H2333" s="116"/>
      <c r="I2333" s="116"/>
      <c r="L2333" s="170">
        <v>46156</v>
      </c>
      <c r="M2333" s="116">
        <v>1315.5</v>
      </c>
      <c r="N2333" s="116">
        <v>1324.1</v>
      </c>
      <c r="O2333" s="116">
        <v>1283.0999999999999</v>
      </c>
      <c r="P2333" s="116">
        <v>1291.5</v>
      </c>
      <c r="Q2333" s="116">
        <v>1315.5</v>
      </c>
      <c r="R2333">
        <v>2384098</v>
      </c>
    </row>
    <row r="2334" spans="1:18" x14ac:dyDescent="0.25">
      <c r="A2334" s="170">
        <v>46157</v>
      </c>
      <c r="B2334" s="116">
        <v>1328.7</v>
      </c>
      <c r="C2334" s="116">
        <v>1324.45</v>
      </c>
      <c r="D2334" s="116">
        <v>1309.95</v>
      </c>
      <c r="E2334" s="116">
        <v>1328.7</v>
      </c>
      <c r="F2334" s="116">
        <v>1324.45</v>
      </c>
      <c r="G2334">
        <v>427666</v>
      </c>
      <c r="H2334" s="116"/>
      <c r="I2334" s="116"/>
      <c r="L2334" s="170">
        <v>46157</v>
      </c>
      <c r="M2334" s="116">
        <v>1323.6</v>
      </c>
      <c r="N2334" s="116">
        <v>1327.9</v>
      </c>
      <c r="O2334" s="116">
        <v>1309.9000000000001</v>
      </c>
      <c r="P2334" s="116">
        <v>1324</v>
      </c>
      <c r="Q2334" s="116">
        <v>1323.6</v>
      </c>
      <c r="R2334">
        <v>2223101</v>
      </c>
    </row>
    <row r="2335" spans="1:18" x14ac:dyDescent="0.25">
      <c r="A2335" s="170">
        <v>46160</v>
      </c>
      <c r="B2335" s="116">
        <v>1333.25</v>
      </c>
      <c r="C2335" s="116">
        <v>1327.15</v>
      </c>
      <c r="D2335" s="116">
        <v>1307.2</v>
      </c>
      <c r="E2335" s="116">
        <v>1316.55</v>
      </c>
      <c r="F2335" s="116">
        <v>1327.15</v>
      </c>
      <c r="G2335">
        <v>175505</v>
      </c>
      <c r="H2335" s="116"/>
      <c r="I2335" s="116"/>
      <c r="L2335" s="170">
        <v>46160</v>
      </c>
      <c r="M2335" s="116">
        <v>1327.3</v>
      </c>
      <c r="N2335" s="116">
        <v>1333.5</v>
      </c>
      <c r="O2335" s="116">
        <v>1307.5999999999999</v>
      </c>
      <c r="P2335" s="116">
        <v>1323.6</v>
      </c>
      <c r="Q2335" s="116">
        <v>1327.3</v>
      </c>
      <c r="R2335">
        <v>1925151</v>
      </c>
    </row>
    <row r="2336" spans="1:18" x14ac:dyDescent="0.25">
      <c r="A2336" s="170">
        <v>46161</v>
      </c>
      <c r="B2336" s="116">
        <v>1353</v>
      </c>
      <c r="C2336" s="116">
        <v>1345</v>
      </c>
      <c r="D2336" s="116">
        <v>1323</v>
      </c>
      <c r="E2336" s="116">
        <v>1338.6</v>
      </c>
      <c r="F2336" s="116">
        <v>1345</v>
      </c>
      <c r="G2336">
        <v>104867</v>
      </c>
      <c r="H2336" s="116"/>
      <c r="I2336" s="116"/>
      <c r="L2336" s="170">
        <v>46161</v>
      </c>
      <c r="M2336" s="116">
        <v>1344.9</v>
      </c>
      <c r="N2336" s="116">
        <v>1353.1</v>
      </c>
      <c r="O2336" s="116">
        <v>1322.1</v>
      </c>
      <c r="P2336" s="116">
        <v>1335</v>
      </c>
      <c r="Q2336" s="116">
        <v>1344.9</v>
      </c>
      <c r="R2336">
        <v>1880061</v>
      </c>
    </row>
    <row r="2337" spans="1:18" x14ac:dyDescent="0.25">
      <c r="A2337" s="170">
        <v>46162</v>
      </c>
      <c r="B2337" s="116">
        <v>1363.75</v>
      </c>
      <c r="C2337" s="116">
        <v>1361.3</v>
      </c>
      <c r="D2337" s="116">
        <v>1335.95</v>
      </c>
      <c r="E2337" s="116">
        <v>1335.95</v>
      </c>
      <c r="F2337" s="116">
        <v>1361.3</v>
      </c>
      <c r="G2337">
        <v>83920</v>
      </c>
      <c r="H2337" s="116"/>
      <c r="I2337" s="116"/>
      <c r="L2337" s="170">
        <v>46162</v>
      </c>
      <c r="M2337" s="116">
        <v>1361.1</v>
      </c>
      <c r="N2337" s="116">
        <v>1363.4</v>
      </c>
      <c r="O2337" s="116">
        <v>1335.6</v>
      </c>
      <c r="P2337" s="116">
        <v>1339</v>
      </c>
      <c r="Q2337" s="116">
        <v>1361.1</v>
      </c>
      <c r="R2337">
        <v>2103500</v>
      </c>
    </row>
    <row r="2338" spans="1:18" x14ac:dyDescent="0.25">
      <c r="A2338" s="170">
        <v>46163</v>
      </c>
      <c r="B2338" s="116">
        <v>1371.5</v>
      </c>
      <c r="C2338" s="116">
        <v>1350.7</v>
      </c>
      <c r="D2338" s="116">
        <v>1342.05</v>
      </c>
      <c r="E2338" s="116">
        <v>1371.5</v>
      </c>
      <c r="F2338" s="116">
        <v>1350.7</v>
      </c>
      <c r="G2338">
        <v>171246</v>
      </c>
      <c r="H2338" s="116"/>
      <c r="I2338" s="116"/>
      <c r="L2338" s="170">
        <v>46163</v>
      </c>
      <c r="M2338" s="116">
        <v>1351</v>
      </c>
      <c r="N2338" s="116">
        <v>1373.9</v>
      </c>
      <c r="O2338" s="116">
        <v>1342.2</v>
      </c>
      <c r="P2338" s="116">
        <v>1373.9</v>
      </c>
      <c r="Q2338" s="116">
        <v>1351</v>
      </c>
      <c r="R2338">
        <v>2056966</v>
      </c>
    </row>
    <row r="2339" spans="1:18" x14ac:dyDescent="0.25">
      <c r="A2339" s="170">
        <v>46164</v>
      </c>
      <c r="B2339" s="116">
        <v>1358</v>
      </c>
      <c r="C2339" s="116">
        <v>1343.3</v>
      </c>
      <c r="D2339" s="116">
        <v>1332.1</v>
      </c>
      <c r="E2339" s="116">
        <v>1358</v>
      </c>
      <c r="F2339" s="116">
        <v>1343.3</v>
      </c>
      <c r="G2339">
        <v>59474</v>
      </c>
      <c r="H2339" s="116"/>
      <c r="I2339" s="116"/>
      <c r="L2339" s="170">
        <v>46164</v>
      </c>
      <c r="M2339" s="116">
        <v>1343.5</v>
      </c>
      <c r="N2339" s="116">
        <v>1355.7</v>
      </c>
      <c r="O2339" s="116">
        <v>1332.1</v>
      </c>
      <c r="P2339" s="116">
        <v>1355.7</v>
      </c>
      <c r="Q2339" s="116">
        <v>1343.5</v>
      </c>
      <c r="R2339">
        <v>1698593</v>
      </c>
    </row>
    <row r="2340" spans="1:18" x14ac:dyDescent="0.25">
      <c r="A2340" s="170">
        <v>46167</v>
      </c>
      <c r="B2340" s="116">
        <v>1363</v>
      </c>
      <c r="C2340" s="116">
        <v>1357.7</v>
      </c>
      <c r="D2340" s="116">
        <v>1340.15</v>
      </c>
      <c r="E2340" s="116">
        <v>1343.45</v>
      </c>
      <c r="F2340" s="116">
        <v>1357.7</v>
      </c>
      <c r="G2340">
        <v>28461</v>
      </c>
      <c r="H2340" s="116"/>
      <c r="I2340" s="116"/>
      <c r="L2340" s="170">
        <v>46167</v>
      </c>
      <c r="M2340" s="116">
        <v>1356.3</v>
      </c>
      <c r="N2340" s="116">
        <v>1363.9</v>
      </c>
      <c r="O2340" s="116">
        <v>1340</v>
      </c>
      <c r="P2340" s="116">
        <v>1345</v>
      </c>
      <c r="Q2340" s="116">
        <v>1356.3</v>
      </c>
      <c r="R2340">
        <v>1632496</v>
      </c>
    </row>
    <row r="2341" spans="1:18" x14ac:dyDescent="0.25">
      <c r="A2341" s="170">
        <v>46168</v>
      </c>
      <c r="B2341" s="116">
        <v>1376.25</v>
      </c>
      <c r="C2341" s="116">
        <v>1373.8</v>
      </c>
      <c r="D2341" s="116">
        <v>1355.05</v>
      </c>
      <c r="E2341" s="116">
        <v>1355.05</v>
      </c>
      <c r="F2341" s="116">
        <v>1373.8</v>
      </c>
      <c r="G2341">
        <v>61618</v>
      </c>
      <c r="H2341" s="116"/>
      <c r="I2341" s="116"/>
      <c r="L2341" s="170">
        <v>46168</v>
      </c>
      <c r="M2341" s="116">
        <v>1373.9</v>
      </c>
      <c r="N2341" s="116">
        <v>1376.9</v>
      </c>
      <c r="O2341" s="116">
        <v>1357</v>
      </c>
      <c r="P2341" s="116">
        <v>1361</v>
      </c>
      <c r="Q2341" s="116">
        <v>1373.9</v>
      </c>
      <c r="R2341">
        <v>1754325</v>
      </c>
    </row>
    <row r="2342" spans="1:18" x14ac:dyDescent="0.25">
      <c r="A2342" s="170">
        <v>46169</v>
      </c>
      <c r="B2342" s="116">
        <v>1390.9</v>
      </c>
      <c r="C2342" s="116">
        <v>1381.15</v>
      </c>
      <c r="D2342" s="116">
        <v>1365.35</v>
      </c>
      <c r="E2342" s="116">
        <v>1371.95</v>
      </c>
      <c r="F2342" s="116">
        <v>1381.15</v>
      </c>
      <c r="G2342">
        <v>31665</v>
      </c>
      <c r="H2342" s="116"/>
      <c r="I2342" s="116"/>
      <c r="L2342" s="170">
        <v>46169</v>
      </c>
      <c r="M2342" s="116">
        <v>1381.7</v>
      </c>
      <c r="N2342" s="116">
        <v>1391.5</v>
      </c>
      <c r="O2342" s="116">
        <v>1365.1</v>
      </c>
      <c r="P2342" s="116">
        <v>1369.9</v>
      </c>
      <c r="Q2342" s="116">
        <v>1381.7</v>
      </c>
      <c r="R2342">
        <v>1311180</v>
      </c>
    </row>
    <row r="2343" spans="1:18" x14ac:dyDescent="0.25">
      <c r="A2343" s="170">
        <v>46171</v>
      </c>
      <c r="B2343" s="116">
        <v>1394</v>
      </c>
      <c r="C2343" s="116">
        <v>1361.6</v>
      </c>
      <c r="D2343" s="116">
        <v>1357</v>
      </c>
      <c r="E2343" s="116">
        <v>1382.25</v>
      </c>
      <c r="F2343" s="116">
        <v>1361.6</v>
      </c>
      <c r="G2343">
        <v>50017</v>
      </c>
      <c r="H2343" s="116"/>
      <c r="I2343" s="116"/>
      <c r="L2343" s="170">
        <v>46171</v>
      </c>
      <c r="M2343" s="116">
        <v>1362</v>
      </c>
      <c r="N2343" s="116">
        <v>1393.4</v>
      </c>
      <c r="O2343" s="116">
        <v>1356.4</v>
      </c>
      <c r="P2343" s="116">
        <v>1383</v>
      </c>
      <c r="Q2343" s="116">
        <v>1362</v>
      </c>
      <c r="R2343">
        <v>1775559</v>
      </c>
    </row>
    <row r="2344" spans="1:18" x14ac:dyDescent="0.25">
      <c r="A2344" s="170">
        <v>46174</v>
      </c>
      <c r="B2344" s="116">
        <v>1398.55</v>
      </c>
      <c r="C2344" s="116">
        <v>1388.4</v>
      </c>
      <c r="D2344" s="116">
        <v>1358.15</v>
      </c>
      <c r="E2344" s="116">
        <v>1365.8</v>
      </c>
      <c r="F2344" s="116">
        <v>1388.4</v>
      </c>
      <c r="G2344">
        <v>74915</v>
      </c>
      <c r="H2344" s="116"/>
      <c r="I2344" s="116"/>
      <c r="L2344" s="170">
        <v>46174</v>
      </c>
      <c r="M2344" s="116">
        <v>1388.4</v>
      </c>
      <c r="N2344" s="116">
        <v>1398.8</v>
      </c>
      <c r="O2344" s="116">
        <v>1358</v>
      </c>
      <c r="P2344" s="116">
        <v>1372.4</v>
      </c>
      <c r="Q2344" s="116">
        <v>1388.4</v>
      </c>
      <c r="R2344">
        <v>2996514</v>
      </c>
    </row>
    <row r="2345" spans="1:18" x14ac:dyDescent="0.25">
      <c r="A2345" s="170">
        <v>46175</v>
      </c>
      <c r="B2345" s="116">
        <v>1389.1</v>
      </c>
      <c r="C2345" s="116">
        <v>1383.2</v>
      </c>
      <c r="D2345" s="116">
        <v>1371.35</v>
      </c>
      <c r="E2345" s="116">
        <v>1388.4</v>
      </c>
      <c r="F2345" s="116">
        <v>1383.2</v>
      </c>
      <c r="G2345">
        <v>105415</v>
      </c>
      <c r="H2345" s="116"/>
      <c r="I2345" s="116"/>
      <c r="L2345" s="170">
        <v>46175</v>
      </c>
      <c r="M2345" s="116">
        <v>1382.6</v>
      </c>
      <c r="N2345" s="116">
        <v>1390.7</v>
      </c>
      <c r="O2345" s="116">
        <v>1370.5</v>
      </c>
      <c r="P2345" s="116">
        <v>1388</v>
      </c>
      <c r="Q2345" s="116">
        <v>1382.6</v>
      </c>
      <c r="R2345">
        <v>2356089</v>
      </c>
    </row>
    <row r="2346" spans="1:18" x14ac:dyDescent="0.25">
      <c r="A2346" s="170">
        <v>46176</v>
      </c>
      <c r="B2346" s="116">
        <v>1396.8</v>
      </c>
      <c r="C2346" s="116">
        <v>1394.5</v>
      </c>
      <c r="D2346" s="116">
        <v>1370.75</v>
      </c>
      <c r="E2346" s="116">
        <v>1387.5</v>
      </c>
      <c r="F2346" s="116">
        <v>1394.5</v>
      </c>
      <c r="G2346">
        <v>55407</v>
      </c>
      <c r="H2346" s="116"/>
      <c r="I2346" s="116"/>
      <c r="L2346" s="170">
        <v>46176</v>
      </c>
      <c r="M2346" s="116">
        <v>1394.3</v>
      </c>
      <c r="N2346" s="116">
        <v>1396.8</v>
      </c>
      <c r="O2346" s="116">
        <v>1371</v>
      </c>
      <c r="P2346" s="116">
        <v>1382</v>
      </c>
      <c r="Q2346" s="116">
        <v>1394.3</v>
      </c>
      <c r="R2346">
        <v>1443846</v>
      </c>
    </row>
    <row r="2347" spans="1:18" x14ac:dyDescent="0.25">
      <c r="A2347" s="170">
        <v>46177</v>
      </c>
      <c r="B2347" s="116">
        <v>1433.45</v>
      </c>
      <c r="C2347" s="116">
        <v>1427.2</v>
      </c>
      <c r="D2347" s="116">
        <v>1382.4</v>
      </c>
      <c r="E2347" s="116">
        <v>1394.5</v>
      </c>
      <c r="F2347" s="116">
        <v>1427.2</v>
      </c>
      <c r="G2347">
        <v>338957</v>
      </c>
      <c r="H2347" s="116"/>
      <c r="I2347" s="116"/>
      <c r="L2347" s="170">
        <v>46177</v>
      </c>
      <c r="M2347" s="116">
        <v>1427.2</v>
      </c>
      <c r="N2347" s="116">
        <v>1433.7</v>
      </c>
      <c r="O2347" s="116">
        <v>1384</v>
      </c>
      <c r="P2347" s="116">
        <v>1392</v>
      </c>
      <c r="Q2347" s="116">
        <v>1427.2</v>
      </c>
      <c r="R2347">
        <v>1983191</v>
      </c>
    </row>
    <row r="2348" spans="1:18" x14ac:dyDescent="0.25">
      <c r="A2348" s="170">
        <v>46178</v>
      </c>
      <c r="B2348" s="116">
        <v>1449.9</v>
      </c>
      <c r="C2348" s="116">
        <v>1447</v>
      </c>
      <c r="D2348" s="116">
        <v>1428.95</v>
      </c>
      <c r="E2348" s="116">
        <v>1442.1</v>
      </c>
      <c r="F2348" s="116">
        <v>1447</v>
      </c>
      <c r="G2348">
        <v>141643</v>
      </c>
      <c r="H2348" s="116"/>
      <c r="I2348" s="116"/>
      <c r="L2348" s="170">
        <v>46178</v>
      </c>
      <c r="M2348" s="116">
        <v>1446.8</v>
      </c>
      <c r="N2348" s="116">
        <v>1450.1</v>
      </c>
      <c r="O2348" s="116">
        <v>1428.4</v>
      </c>
      <c r="P2348" s="116">
        <v>1435</v>
      </c>
      <c r="Q2348" s="116">
        <v>1446.8</v>
      </c>
      <c r="R2348">
        <v>1515580</v>
      </c>
    </row>
    <row r="2349" spans="1:18" x14ac:dyDescent="0.25">
      <c r="A2349" s="170">
        <v>46181</v>
      </c>
      <c r="B2349" s="116">
        <v>1457</v>
      </c>
      <c r="C2349" s="116">
        <v>1404.55</v>
      </c>
      <c r="D2349" s="116">
        <v>1393.05</v>
      </c>
      <c r="E2349" s="116">
        <v>1428.85</v>
      </c>
      <c r="F2349" s="116">
        <v>1404.55</v>
      </c>
      <c r="G2349">
        <v>142405</v>
      </c>
      <c r="H2349" s="116"/>
      <c r="I2349" s="116"/>
      <c r="L2349" s="170">
        <v>46181</v>
      </c>
      <c r="M2349" s="116">
        <v>1404.7</v>
      </c>
      <c r="N2349" s="116">
        <v>1457</v>
      </c>
      <c r="O2349" s="116">
        <v>1393.2</v>
      </c>
      <c r="P2349" s="116">
        <v>1432</v>
      </c>
      <c r="Q2349" s="116">
        <v>1404.7</v>
      </c>
      <c r="R2349">
        <v>2026791</v>
      </c>
    </row>
    <row r="2350" spans="1:18" x14ac:dyDescent="0.25">
      <c r="A2350" s="170">
        <v>46182</v>
      </c>
      <c r="B2350" s="116">
        <v>1439.9</v>
      </c>
      <c r="C2350" s="116">
        <v>1424.45</v>
      </c>
      <c r="D2350" s="116">
        <v>1400.6</v>
      </c>
      <c r="E2350" s="116">
        <v>1422</v>
      </c>
      <c r="F2350" s="116">
        <v>1424.45</v>
      </c>
      <c r="G2350">
        <v>458195</v>
      </c>
      <c r="H2350" s="116"/>
      <c r="I2350" s="116"/>
      <c r="L2350" s="170">
        <v>46182</v>
      </c>
      <c r="M2350" s="116">
        <v>1424.4</v>
      </c>
      <c r="N2350" s="116">
        <v>1440</v>
      </c>
      <c r="O2350" s="116">
        <v>1399.8</v>
      </c>
      <c r="P2350" s="116">
        <v>1415</v>
      </c>
      <c r="Q2350" s="116">
        <v>1424.4</v>
      </c>
      <c r="R2350">
        <v>1727331</v>
      </c>
    </row>
    <row r="2351" spans="1:18" x14ac:dyDescent="0.25">
      <c r="A2351" s="170">
        <v>46183</v>
      </c>
      <c r="B2351" s="116">
        <v>1425.85</v>
      </c>
      <c r="C2351" s="116">
        <v>1385.05</v>
      </c>
      <c r="D2351" s="116">
        <v>1380.3</v>
      </c>
      <c r="E2351" s="116">
        <v>1424.45</v>
      </c>
      <c r="F2351" s="116">
        <v>1385.05</v>
      </c>
      <c r="G2351">
        <v>90423</v>
      </c>
      <c r="H2351" s="116"/>
      <c r="I2351" s="116"/>
      <c r="L2351" s="170">
        <v>46183</v>
      </c>
      <c r="M2351" s="116">
        <v>1385.7</v>
      </c>
      <c r="N2351" s="116">
        <v>1427</v>
      </c>
      <c r="O2351" s="116">
        <v>1380.5</v>
      </c>
      <c r="P2351" s="116">
        <v>1424.4</v>
      </c>
      <c r="Q2351" s="116">
        <v>1385.7</v>
      </c>
      <c r="R2351">
        <v>1334485</v>
      </c>
    </row>
    <row r="2352" spans="1:18" x14ac:dyDescent="0.25">
      <c r="A2352" s="170">
        <v>46184</v>
      </c>
      <c r="B2352" s="116">
        <v>1408.25</v>
      </c>
      <c r="C2352" s="116">
        <v>1390.5</v>
      </c>
      <c r="D2352" s="116">
        <v>1379.25</v>
      </c>
      <c r="E2352" s="116">
        <v>1393.2</v>
      </c>
      <c r="F2352" s="116">
        <v>1390.5</v>
      </c>
      <c r="G2352">
        <v>379288</v>
      </c>
      <c r="H2352" s="116"/>
      <c r="I2352" s="116"/>
      <c r="L2352" s="170">
        <v>46184</v>
      </c>
      <c r="M2352" s="116">
        <v>1390.8</v>
      </c>
      <c r="N2352" s="116">
        <v>1408.9</v>
      </c>
      <c r="O2352" s="116">
        <v>1376.6</v>
      </c>
      <c r="P2352" s="116">
        <v>1385</v>
      </c>
      <c r="Q2352" s="116">
        <v>1390.8</v>
      </c>
      <c r="R2352">
        <v>1505571</v>
      </c>
    </row>
    <row r="2353" spans="1:18" x14ac:dyDescent="0.25">
      <c r="A2353" s="170">
        <v>46185</v>
      </c>
      <c r="B2353" s="116">
        <v>1413.85</v>
      </c>
      <c r="C2353" s="116">
        <v>1394.1</v>
      </c>
      <c r="D2353" s="116">
        <v>1374.6</v>
      </c>
      <c r="E2353" s="116">
        <v>1413.85</v>
      </c>
      <c r="F2353" s="116">
        <v>1394.1</v>
      </c>
      <c r="G2353">
        <v>44269</v>
      </c>
      <c r="H2353" s="116"/>
      <c r="I2353" s="116"/>
      <c r="L2353" s="170">
        <v>46185</v>
      </c>
      <c r="M2353" s="116">
        <v>1394.3</v>
      </c>
      <c r="N2353" s="116">
        <v>1410</v>
      </c>
      <c r="O2353" s="116">
        <v>1373.8</v>
      </c>
      <c r="P2353" s="116">
        <v>1408</v>
      </c>
      <c r="Q2353" s="116">
        <v>1394.3</v>
      </c>
      <c r="R2353">
        <v>1207798</v>
      </c>
    </row>
    <row r="2354" spans="1:18" x14ac:dyDescent="0.25">
      <c r="A2354" s="170">
        <v>46188</v>
      </c>
      <c r="B2354" s="116">
        <v>1411.85</v>
      </c>
      <c r="C2354" s="116">
        <v>1389.3</v>
      </c>
      <c r="D2354" s="116">
        <v>1381.8</v>
      </c>
      <c r="E2354" s="116">
        <v>1411.85</v>
      </c>
      <c r="F2354" s="116">
        <v>1389.3</v>
      </c>
      <c r="G2354">
        <v>72400</v>
      </c>
      <c r="H2354" s="116"/>
      <c r="I2354" s="116"/>
      <c r="L2354" s="170">
        <v>46188</v>
      </c>
      <c r="M2354" s="116">
        <v>1389.1</v>
      </c>
      <c r="N2354" s="116">
        <v>1414</v>
      </c>
      <c r="O2354" s="116">
        <v>1381.1</v>
      </c>
      <c r="P2354" s="116">
        <v>1414</v>
      </c>
      <c r="Q2354" s="116">
        <v>1389.1</v>
      </c>
      <c r="R2354">
        <v>1241974</v>
      </c>
    </row>
    <row r="2355" spans="1:18" x14ac:dyDescent="0.25">
      <c r="A2355" s="170">
        <v>46189</v>
      </c>
      <c r="B2355" s="116">
        <v>1406</v>
      </c>
      <c r="C2355" s="116">
        <v>1375.95</v>
      </c>
      <c r="D2355" s="116">
        <v>1343</v>
      </c>
      <c r="E2355" s="116">
        <v>1400.1</v>
      </c>
      <c r="F2355" s="116">
        <v>1375.95</v>
      </c>
      <c r="G2355">
        <v>191340</v>
      </c>
      <c r="H2355" s="116"/>
      <c r="I2355" s="116"/>
      <c r="L2355" s="170">
        <v>46189</v>
      </c>
      <c r="M2355" s="116">
        <v>1376.4</v>
      </c>
      <c r="N2355" s="116">
        <v>1406</v>
      </c>
      <c r="O2355" s="116">
        <v>1342.9</v>
      </c>
      <c r="P2355" s="116">
        <v>1399.7</v>
      </c>
      <c r="Q2355" s="116">
        <v>1376.4</v>
      </c>
      <c r="R2355">
        <v>3447151</v>
      </c>
    </row>
    <row r="2356" spans="1:18" x14ac:dyDescent="0.25">
      <c r="A2356" s="170">
        <v>46190</v>
      </c>
      <c r="B2356" s="116">
        <v>1389.3</v>
      </c>
      <c r="C2356" s="116">
        <v>1368.95</v>
      </c>
      <c r="D2356" s="116">
        <v>1357.6</v>
      </c>
      <c r="E2356" s="116">
        <v>1389.3</v>
      </c>
      <c r="F2356" s="116">
        <v>1368.95</v>
      </c>
      <c r="G2356">
        <v>32832</v>
      </c>
      <c r="H2356" s="116"/>
      <c r="I2356" s="116"/>
      <c r="L2356" s="170">
        <v>46190</v>
      </c>
      <c r="M2356" s="116">
        <v>1369.8</v>
      </c>
      <c r="N2356" s="116">
        <v>1389</v>
      </c>
      <c r="O2356" s="116">
        <v>1357.1</v>
      </c>
      <c r="P2356" s="116">
        <v>1376</v>
      </c>
      <c r="Q2356" s="116">
        <v>1369.8</v>
      </c>
      <c r="R2356">
        <v>1070660</v>
      </c>
    </row>
    <row r="2357" spans="1:18" x14ac:dyDescent="0.25">
      <c r="A2357" s="170"/>
      <c r="B2357" s="116"/>
      <c r="C2357" s="116"/>
      <c r="D2357" s="116"/>
      <c r="E2357" s="116"/>
      <c r="F2357" s="116"/>
      <c r="H2357" s="116"/>
      <c r="I2357" s="116"/>
      <c r="L2357" s="170"/>
    </row>
    <row r="2358" spans="1:18" x14ac:dyDescent="0.25">
      <c r="A2358" s="170"/>
      <c r="B2358" s="116"/>
      <c r="C2358" s="116"/>
      <c r="D2358" s="116"/>
      <c r="E2358" s="116"/>
      <c r="F2358" s="116"/>
      <c r="H2358" s="116"/>
      <c r="I2358" s="116"/>
      <c r="L2358" s="170"/>
    </row>
    <row r="2359" spans="1:18" x14ac:dyDescent="0.25">
      <c r="A2359" s="170"/>
      <c r="B2359" s="116"/>
      <c r="C2359" s="116"/>
      <c r="D2359" s="116"/>
      <c r="E2359" s="116"/>
      <c r="F2359" s="116"/>
      <c r="H2359" s="116"/>
      <c r="I2359" s="116"/>
      <c r="L2359" s="170"/>
    </row>
    <row r="2360" spans="1:18" x14ac:dyDescent="0.25">
      <c r="A2360" s="170"/>
      <c r="B2360" s="116"/>
      <c r="C2360" s="116"/>
      <c r="D2360" s="116"/>
      <c r="E2360" s="116"/>
      <c r="F2360" s="116"/>
      <c r="H2360" s="116"/>
      <c r="I2360" s="116"/>
      <c r="L2360" s="170"/>
    </row>
    <row r="2361" spans="1:18" x14ac:dyDescent="0.25">
      <c r="A2361" s="170"/>
      <c r="B2361" s="116"/>
      <c r="C2361" s="116"/>
      <c r="D2361" s="116"/>
      <c r="E2361" s="116"/>
      <c r="F2361" s="116"/>
      <c r="H2361" s="116"/>
      <c r="I2361" s="116"/>
      <c r="L2361" s="170"/>
    </row>
    <row r="2362" spans="1:18" x14ac:dyDescent="0.25">
      <c r="A2362" s="170"/>
      <c r="B2362" s="116"/>
      <c r="C2362" s="116"/>
      <c r="D2362" s="116"/>
      <c r="E2362" s="116"/>
      <c r="F2362" s="116"/>
      <c r="H2362" s="116"/>
      <c r="I2362" s="116"/>
      <c r="L2362" s="170"/>
    </row>
    <row r="2363" spans="1:18" x14ac:dyDescent="0.25">
      <c r="A2363" s="170"/>
      <c r="B2363" s="116"/>
      <c r="C2363" s="116"/>
      <c r="D2363" s="116"/>
      <c r="E2363" s="116"/>
      <c r="F2363" s="116"/>
      <c r="H2363" s="116"/>
      <c r="I2363" s="116"/>
      <c r="L2363" s="170"/>
    </row>
    <row r="2364" spans="1:18" x14ac:dyDescent="0.25">
      <c r="A2364" s="170"/>
      <c r="B2364" s="116"/>
      <c r="C2364" s="116"/>
      <c r="D2364" s="116"/>
      <c r="E2364" s="116"/>
      <c r="F2364" s="116"/>
      <c r="H2364" s="116"/>
      <c r="I2364" s="116"/>
      <c r="L2364" s="170"/>
    </row>
    <row r="2365" spans="1:18" x14ac:dyDescent="0.25">
      <c r="A2365" s="170"/>
      <c r="B2365" s="116"/>
      <c r="C2365" s="116"/>
      <c r="D2365" s="116"/>
      <c r="E2365" s="116"/>
      <c r="F2365" s="116"/>
      <c r="H2365" s="116"/>
      <c r="I2365" s="116"/>
      <c r="L2365" s="170"/>
    </row>
    <row r="2366" spans="1:18" x14ac:dyDescent="0.25">
      <c r="A2366" s="170"/>
      <c r="B2366" s="116"/>
      <c r="C2366" s="116"/>
      <c r="D2366" s="116"/>
      <c r="E2366" s="116"/>
      <c r="F2366" s="116"/>
      <c r="H2366" s="116"/>
      <c r="I2366" s="116"/>
      <c r="L2366" s="170"/>
    </row>
    <row r="2367" spans="1:18" x14ac:dyDescent="0.25">
      <c r="A2367" s="170"/>
      <c r="B2367" s="116"/>
      <c r="C2367" s="116"/>
      <c r="D2367" s="116"/>
      <c r="E2367" s="116"/>
      <c r="F2367" s="116"/>
      <c r="H2367" s="116"/>
      <c r="I2367" s="116"/>
      <c r="L2367" s="170"/>
    </row>
    <row r="2368" spans="1:18" x14ac:dyDescent="0.25">
      <c r="A2368" s="170"/>
      <c r="B2368" s="116"/>
      <c r="C2368" s="116"/>
      <c r="D2368" s="116"/>
      <c r="E2368" s="116"/>
      <c r="F2368" s="116"/>
      <c r="H2368" s="116"/>
      <c r="I2368" s="116"/>
      <c r="L2368" s="170"/>
    </row>
    <row r="2369" spans="1:12" x14ac:dyDescent="0.25">
      <c r="A2369" s="170"/>
      <c r="B2369" s="116"/>
      <c r="C2369" s="116"/>
      <c r="D2369" s="116"/>
      <c r="E2369" s="116"/>
      <c r="F2369" s="116"/>
      <c r="H2369" s="116"/>
      <c r="I2369" s="116"/>
      <c r="L2369" s="170"/>
    </row>
    <row r="2370" spans="1:12" x14ac:dyDescent="0.25">
      <c r="A2370" s="170"/>
      <c r="B2370" s="116"/>
      <c r="C2370" s="116"/>
      <c r="D2370" s="116"/>
      <c r="E2370" s="116"/>
      <c r="F2370" s="116"/>
      <c r="H2370" s="116"/>
      <c r="I2370" s="116"/>
      <c r="L2370" s="170"/>
    </row>
    <row r="2371" spans="1:12" x14ac:dyDescent="0.25">
      <c r="A2371" s="170"/>
      <c r="B2371" s="116"/>
      <c r="C2371" s="116"/>
      <c r="D2371" s="116"/>
      <c r="E2371" s="116"/>
      <c r="F2371" s="116"/>
      <c r="H2371" s="116"/>
      <c r="I2371" s="116"/>
      <c r="L2371" s="170"/>
    </row>
    <row r="2372" spans="1:12" x14ac:dyDescent="0.25">
      <c r="A2372" s="170"/>
      <c r="B2372" s="116"/>
      <c r="C2372" s="116"/>
      <c r="D2372" s="116"/>
      <c r="E2372" s="116"/>
      <c r="F2372" s="116"/>
      <c r="H2372" s="116"/>
      <c r="I2372" s="116"/>
      <c r="L2372" s="170"/>
    </row>
    <row r="2373" spans="1:12" x14ac:dyDescent="0.25">
      <c r="A2373" s="170"/>
      <c r="B2373" s="116"/>
      <c r="C2373" s="116"/>
      <c r="D2373" s="116"/>
      <c r="E2373" s="116"/>
      <c r="F2373" s="116"/>
      <c r="H2373" s="116"/>
      <c r="I2373" s="116"/>
      <c r="L2373" s="170"/>
    </row>
    <row r="2374" spans="1:12" x14ac:dyDescent="0.25">
      <c r="A2374" s="170"/>
      <c r="B2374" s="116"/>
      <c r="C2374" s="116"/>
      <c r="D2374" s="116"/>
      <c r="E2374" s="116"/>
      <c r="F2374" s="116"/>
      <c r="H2374" s="116"/>
      <c r="I2374" s="116"/>
      <c r="L2374" s="170"/>
    </row>
    <row r="2375" spans="1:12" x14ac:dyDescent="0.25">
      <c r="A2375" s="170"/>
      <c r="B2375" s="116"/>
      <c r="C2375" s="116"/>
      <c r="D2375" s="116"/>
      <c r="E2375" s="116"/>
      <c r="F2375" s="116"/>
      <c r="H2375" s="116"/>
      <c r="I2375" s="116"/>
      <c r="L2375" s="170"/>
    </row>
    <row r="2376" spans="1:12" x14ac:dyDescent="0.25">
      <c r="A2376" s="170"/>
      <c r="B2376" s="116"/>
      <c r="C2376" s="116"/>
      <c r="D2376" s="116"/>
      <c r="E2376" s="116"/>
      <c r="F2376" s="116"/>
      <c r="H2376" s="116"/>
      <c r="I2376" s="116"/>
      <c r="L2376" s="170"/>
    </row>
    <row r="2377" spans="1:12" x14ac:dyDescent="0.25">
      <c r="A2377" s="170"/>
      <c r="B2377" s="116"/>
      <c r="C2377" s="116"/>
      <c r="D2377" s="116"/>
      <c r="E2377" s="116"/>
      <c r="F2377" s="116"/>
      <c r="H2377" s="116"/>
      <c r="I2377" s="116"/>
      <c r="L2377" s="170"/>
    </row>
    <row r="2378" spans="1:12" x14ac:dyDescent="0.25">
      <c r="A2378" s="170"/>
      <c r="B2378" s="116"/>
      <c r="C2378" s="116"/>
      <c r="D2378" s="116"/>
      <c r="E2378" s="116"/>
      <c r="F2378" s="116"/>
      <c r="H2378" s="116"/>
      <c r="I2378" s="116"/>
      <c r="L2378" s="170"/>
    </row>
    <row r="2379" spans="1:12" x14ac:dyDescent="0.25">
      <c r="A2379" s="170"/>
      <c r="B2379" s="116"/>
      <c r="C2379" s="116"/>
      <c r="D2379" s="116"/>
      <c r="E2379" s="116"/>
      <c r="F2379" s="116"/>
      <c r="H2379" s="116"/>
      <c r="I2379" s="116"/>
      <c r="L2379" s="170"/>
    </row>
    <row r="2380" spans="1:12" x14ac:dyDescent="0.25">
      <c r="A2380" s="170"/>
      <c r="B2380" s="116"/>
      <c r="C2380" s="116"/>
      <c r="D2380" s="116"/>
      <c r="E2380" s="116"/>
      <c r="F2380" s="116"/>
      <c r="H2380" s="116"/>
      <c r="I2380" s="116"/>
      <c r="L2380" s="170"/>
    </row>
    <row r="2381" spans="1:12" x14ac:dyDescent="0.25">
      <c r="A2381" s="170"/>
      <c r="B2381" s="116"/>
      <c r="C2381" s="116"/>
      <c r="D2381" s="116"/>
      <c r="E2381" s="116"/>
      <c r="F2381" s="116"/>
      <c r="H2381" s="116"/>
      <c r="I2381" s="116"/>
      <c r="L2381" s="170"/>
    </row>
    <row r="2382" spans="1:12" x14ac:dyDescent="0.25">
      <c r="A2382" s="170"/>
      <c r="B2382" s="116"/>
      <c r="C2382" s="116"/>
      <c r="D2382" s="116"/>
      <c r="E2382" s="116"/>
      <c r="F2382" s="116"/>
      <c r="H2382" s="116"/>
      <c r="I2382" s="116"/>
      <c r="L2382" s="170"/>
    </row>
    <row r="2383" spans="1:12" x14ac:dyDescent="0.25">
      <c r="A2383" s="170"/>
      <c r="B2383" s="116"/>
      <c r="C2383" s="116"/>
      <c r="D2383" s="116"/>
      <c r="E2383" s="116"/>
      <c r="F2383" s="116"/>
      <c r="H2383" s="116"/>
      <c r="I2383" s="116"/>
      <c r="L2383" s="170"/>
    </row>
    <row r="2384" spans="1:12" x14ac:dyDescent="0.25">
      <c r="A2384" s="170"/>
      <c r="B2384" s="116"/>
      <c r="C2384" s="116"/>
      <c r="D2384" s="116"/>
      <c r="E2384" s="116"/>
      <c r="F2384" s="116"/>
      <c r="H2384" s="116"/>
      <c r="I2384" s="116"/>
      <c r="L2384" s="170"/>
    </row>
    <row r="2385" spans="1:12" x14ac:dyDescent="0.25">
      <c r="A2385" s="170"/>
      <c r="B2385" s="116"/>
      <c r="C2385" s="116"/>
      <c r="D2385" s="116"/>
      <c r="E2385" s="116"/>
      <c r="F2385" s="116"/>
      <c r="H2385" s="116"/>
      <c r="I2385" s="116"/>
      <c r="L2385" s="170"/>
    </row>
    <row r="2386" spans="1:12" x14ac:dyDescent="0.25">
      <c r="A2386" s="170"/>
      <c r="B2386" s="116"/>
      <c r="C2386" s="116"/>
      <c r="D2386" s="116"/>
      <c r="E2386" s="116"/>
      <c r="F2386" s="116"/>
      <c r="H2386" s="116"/>
      <c r="I2386" s="116"/>
      <c r="L2386" s="170"/>
    </row>
    <row r="2387" spans="1:12" x14ac:dyDescent="0.25">
      <c r="A2387" s="170"/>
      <c r="B2387" s="116"/>
      <c r="C2387" s="116"/>
      <c r="D2387" s="116"/>
      <c r="E2387" s="116"/>
      <c r="F2387" s="116"/>
      <c r="H2387" s="116"/>
      <c r="I2387" s="116"/>
      <c r="L2387" s="170"/>
    </row>
    <row r="2388" spans="1:12" x14ac:dyDescent="0.25">
      <c r="A2388" s="170"/>
      <c r="B2388" s="116"/>
      <c r="C2388" s="116"/>
      <c r="D2388" s="116"/>
      <c r="E2388" s="116"/>
      <c r="F2388" s="116"/>
      <c r="H2388" s="116"/>
      <c r="I2388" s="116"/>
      <c r="L2388" s="170"/>
    </row>
    <row r="2389" spans="1:12" x14ac:dyDescent="0.25">
      <c r="A2389" s="170"/>
      <c r="B2389" s="116"/>
      <c r="C2389" s="116"/>
      <c r="D2389" s="116"/>
      <c r="E2389" s="116"/>
      <c r="F2389" s="116"/>
      <c r="H2389" s="116"/>
      <c r="I2389" s="116"/>
      <c r="L2389" s="170"/>
    </row>
    <row r="2390" spans="1:12" x14ac:dyDescent="0.25">
      <c r="A2390" s="170"/>
      <c r="B2390" s="116"/>
      <c r="C2390" s="116"/>
      <c r="D2390" s="116"/>
      <c r="E2390" s="116"/>
      <c r="F2390" s="116"/>
      <c r="H2390" s="116"/>
      <c r="I2390" s="116"/>
      <c r="L2390" s="170"/>
    </row>
    <row r="2391" spans="1:12" x14ac:dyDescent="0.25">
      <c r="A2391" s="170"/>
      <c r="B2391" s="116"/>
      <c r="C2391" s="116"/>
      <c r="D2391" s="116"/>
      <c r="E2391" s="116"/>
      <c r="F2391" s="116"/>
      <c r="H2391" s="116"/>
      <c r="I2391" s="116"/>
      <c r="L2391" s="170"/>
    </row>
    <row r="2392" spans="1:12" x14ac:dyDescent="0.25">
      <c r="A2392" s="170"/>
      <c r="B2392" s="116"/>
      <c r="C2392" s="116"/>
      <c r="D2392" s="116"/>
      <c r="E2392" s="116"/>
      <c r="F2392" s="116"/>
      <c r="H2392" s="116"/>
      <c r="I2392" s="116"/>
      <c r="L2392" s="170"/>
    </row>
    <row r="2393" spans="1:12" x14ac:dyDescent="0.25">
      <c r="A2393" s="170"/>
      <c r="B2393" s="116"/>
      <c r="C2393" s="116"/>
      <c r="D2393" s="116"/>
      <c r="E2393" s="116"/>
      <c r="F2393" s="116"/>
      <c r="H2393" s="116"/>
      <c r="I2393" s="116"/>
      <c r="L2393" s="170"/>
    </row>
    <row r="2394" spans="1:12" x14ac:dyDescent="0.25">
      <c r="A2394" s="170"/>
      <c r="B2394" s="116"/>
      <c r="C2394" s="116"/>
      <c r="D2394" s="116"/>
      <c r="E2394" s="116"/>
      <c r="F2394" s="116"/>
      <c r="H2394" s="116"/>
      <c r="I2394" s="116"/>
      <c r="L2394" s="170"/>
    </row>
    <row r="2395" spans="1:12" x14ac:dyDescent="0.25">
      <c r="A2395" s="170"/>
      <c r="B2395" s="116"/>
      <c r="C2395" s="116"/>
      <c r="D2395" s="116"/>
      <c r="E2395" s="116"/>
      <c r="F2395" s="116"/>
      <c r="H2395" s="116"/>
      <c r="I2395" s="116"/>
      <c r="L2395" s="170"/>
    </row>
    <row r="2396" spans="1:12" x14ac:dyDescent="0.25">
      <c r="A2396" s="170"/>
      <c r="B2396" s="116"/>
      <c r="C2396" s="116"/>
      <c r="D2396" s="116"/>
      <c r="E2396" s="116"/>
      <c r="F2396" s="116"/>
      <c r="H2396" s="116"/>
      <c r="I2396" s="116"/>
      <c r="L2396" s="170"/>
    </row>
    <row r="2397" spans="1:12" x14ac:dyDescent="0.25">
      <c r="A2397" s="170"/>
      <c r="B2397" s="116"/>
      <c r="C2397" s="116"/>
      <c r="D2397" s="116"/>
      <c r="E2397" s="116"/>
      <c r="F2397" s="116"/>
      <c r="H2397" s="116"/>
      <c r="I2397" s="116"/>
      <c r="L2397" s="170"/>
    </row>
    <row r="2398" spans="1:12" x14ac:dyDescent="0.25">
      <c r="A2398" s="170"/>
      <c r="B2398" s="116"/>
      <c r="C2398" s="116"/>
      <c r="D2398" s="116"/>
      <c r="E2398" s="116"/>
      <c r="F2398" s="116"/>
      <c r="H2398" s="116"/>
      <c r="I2398" s="116"/>
      <c r="L2398" s="170"/>
    </row>
    <row r="2399" spans="1:12" x14ac:dyDescent="0.25">
      <c r="A2399" s="170"/>
      <c r="B2399" s="116"/>
      <c r="C2399" s="116"/>
      <c r="D2399" s="116"/>
      <c r="E2399" s="116"/>
      <c r="F2399" s="116"/>
      <c r="H2399" s="116"/>
      <c r="I2399" s="116"/>
      <c r="L2399" s="170"/>
    </row>
    <row r="2400" spans="1:12" x14ac:dyDescent="0.25">
      <c r="A2400" s="170"/>
      <c r="B2400" s="116"/>
      <c r="C2400" s="116"/>
      <c r="D2400" s="116"/>
      <c r="E2400" s="116"/>
      <c r="F2400" s="116"/>
      <c r="H2400" s="116"/>
      <c r="I2400" s="116"/>
      <c r="L2400" s="170"/>
    </row>
    <row r="2401" spans="1:12" x14ac:dyDescent="0.25">
      <c r="A2401" s="170"/>
      <c r="B2401" s="116"/>
      <c r="C2401" s="116"/>
      <c r="D2401" s="116"/>
      <c r="E2401" s="116"/>
      <c r="F2401" s="116"/>
      <c r="H2401" s="116"/>
      <c r="I2401" s="116"/>
      <c r="L2401" s="170"/>
    </row>
    <row r="2402" spans="1:12" x14ac:dyDescent="0.25">
      <c r="A2402" s="170"/>
      <c r="B2402" s="116"/>
      <c r="C2402" s="116"/>
      <c r="D2402" s="116"/>
      <c r="E2402" s="116"/>
      <c r="F2402" s="116"/>
      <c r="H2402" s="116"/>
      <c r="I2402" s="116"/>
      <c r="L2402" s="170"/>
    </row>
    <row r="2403" spans="1:12" x14ac:dyDescent="0.25">
      <c r="A2403" s="170"/>
      <c r="B2403" s="116"/>
      <c r="C2403" s="116"/>
      <c r="D2403" s="116"/>
      <c r="E2403" s="116"/>
      <c r="F2403" s="116"/>
      <c r="H2403" s="116"/>
      <c r="I2403" s="116"/>
      <c r="L2403" s="170"/>
    </row>
    <row r="2404" spans="1:12" x14ac:dyDescent="0.25">
      <c r="A2404" s="170"/>
      <c r="B2404" s="116"/>
      <c r="C2404" s="116"/>
      <c r="D2404" s="116"/>
      <c r="E2404" s="116"/>
      <c r="F2404" s="116"/>
      <c r="H2404" s="116"/>
      <c r="I2404" s="116"/>
      <c r="L2404" s="170"/>
    </row>
    <row r="2405" spans="1:12" x14ac:dyDescent="0.25">
      <c r="A2405" s="170"/>
      <c r="B2405" s="116"/>
      <c r="C2405" s="116"/>
      <c r="D2405" s="116"/>
      <c r="E2405" s="116"/>
      <c r="F2405" s="116"/>
      <c r="H2405" s="116"/>
      <c r="I2405" s="116"/>
      <c r="L2405" s="170"/>
    </row>
    <row r="2406" spans="1:12" x14ac:dyDescent="0.25">
      <c r="A2406" s="170"/>
      <c r="B2406" s="116"/>
      <c r="C2406" s="116"/>
      <c r="D2406" s="116"/>
      <c r="E2406" s="116"/>
      <c r="F2406" s="116"/>
      <c r="H2406" s="116"/>
      <c r="I2406" s="116"/>
      <c r="L2406" s="170"/>
    </row>
    <row r="2407" spans="1:12" x14ac:dyDescent="0.25">
      <c r="A2407" s="170"/>
      <c r="B2407" s="116"/>
      <c r="C2407" s="116"/>
      <c r="D2407" s="116"/>
      <c r="E2407" s="116"/>
      <c r="F2407" s="116"/>
      <c r="H2407" s="116"/>
      <c r="I2407" s="116"/>
      <c r="L2407" s="170"/>
    </row>
    <row r="2408" spans="1:12" x14ac:dyDescent="0.25">
      <c r="A2408" s="170"/>
      <c r="B2408" s="116"/>
      <c r="C2408" s="116"/>
      <c r="D2408" s="116"/>
      <c r="E2408" s="116"/>
      <c r="F2408" s="116"/>
      <c r="H2408" s="116"/>
      <c r="I2408" s="116"/>
      <c r="L2408" s="170"/>
    </row>
    <row r="2409" spans="1:12" x14ac:dyDescent="0.25">
      <c r="A2409" s="170"/>
      <c r="B2409" s="116"/>
      <c r="C2409" s="116"/>
      <c r="D2409" s="116"/>
      <c r="E2409" s="116"/>
      <c r="F2409" s="116"/>
      <c r="H2409" s="116"/>
      <c r="I2409" s="116"/>
      <c r="L2409" s="170"/>
    </row>
    <row r="2410" spans="1:12" x14ac:dyDescent="0.25">
      <c r="A2410" s="170"/>
      <c r="B2410" s="116"/>
      <c r="C2410" s="116"/>
      <c r="D2410" s="116"/>
      <c r="E2410" s="116"/>
      <c r="F2410" s="116"/>
      <c r="H2410" s="116"/>
      <c r="I2410" s="116"/>
      <c r="L2410" s="170"/>
    </row>
    <row r="2411" spans="1:12" x14ac:dyDescent="0.25">
      <c r="A2411" s="170"/>
      <c r="B2411" s="116"/>
      <c r="C2411" s="116"/>
      <c r="D2411" s="116"/>
      <c r="E2411" s="116"/>
      <c r="F2411" s="116"/>
      <c r="H2411" s="116"/>
      <c r="I2411" s="116"/>
      <c r="L2411" s="170"/>
    </row>
    <row r="2412" spans="1:12" x14ac:dyDescent="0.25">
      <c r="A2412" s="170"/>
      <c r="B2412" s="116"/>
      <c r="C2412" s="116"/>
      <c r="D2412" s="116"/>
      <c r="E2412" s="116"/>
      <c r="F2412" s="116"/>
      <c r="H2412" s="116"/>
      <c r="I2412" s="116"/>
      <c r="L2412" s="170"/>
    </row>
    <row r="2413" spans="1:12" x14ac:dyDescent="0.25">
      <c r="A2413" s="170"/>
      <c r="B2413" s="116"/>
      <c r="C2413" s="116"/>
      <c r="D2413" s="116"/>
      <c r="E2413" s="116"/>
      <c r="F2413" s="116"/>
      <c r="H2413" s="116"/>
      <c r="I2413" s="116"/>
      <c r="L2413" s="170"/>
    </row>
    <row r="2414" spans="1:12" x14ac:dyDescent="0.25">
      <c r="A2414" s="170"/>
      <c r="B2414" s="116"/>
      <c r="C2414" s="116"/>
      <c r="D2414" s="116"/>
      <c r="E2414" s="116"/>
      <c r="F2414" s="116"/>
      <c r="H2414" s="116"/>
      <c r="I2414" s="116"/>
      <c r="L2414" s="170"/>
    </row>
    <row r="2415" spans="1:12" x14ac:dyDescent="0.25">
      <c r="A2415" s="170"/>
      <c r="B2415" s="116"/>
      <c r="C2415" s="116"/>
      <c r="D2415" s="116"/>
      <c r="E2415" s="116"/>
      <c r="F2415" s="116"/>
      <c r="H2415" s="116"/>
      <c r="I2415" s="116"/>
      <c r="L2415" s="170"/>
    </row>
    <row r="2416" spans="1:12" x14ac:dyDescent="0.25">
      <c r="A2416" s="170"/>
      <c r="B2416" s="116"/>
      <c r="C2416" s="116"/>
      <c r="D2416" s="116"/>
      <c r="E2416" s="116"/>
      <c r="F2416" s="116"/>
      <c r="H2416" s="116"/>
      <c r="I2416" s="116"/>
      <c r="L2416" s="170"/>
    </row>
    <row r="2417" spans="1:12" x14ac:dyDescent="0.25">
      <c r="A2417" s="170"/>
      <c r="B2417" s="116"/>
      <c r="C2417" s="116"/>
      <c r="D2417" s="116"/>
      <c r="E2417" s="116"/>
      <c r="F2417" s="116"/>
      <c r="H2417" s="116"/>
      <c r="I2417" s="116"/>
      <c r="L2417" s="170"/>
    </row>
    <row r="2418" spans="1:12" x14ac:dyDescent="0.25">
      <c r="A2418" s="170"/>
      <c r="B2418" s="116"/>
      <c r="C2418" s="116"/>
      <c r="D2418" s="116"/>
      <c r="E2418" s="116"/>
      <c r="F2418" s="116"/>
      <c r="H2418" s="116"/>
      <c r="I2418" s="116"/>
      <c r="L2418" s="170"/>
    </row>
    <row r="2419" spans="1:12" x14ac:dyDescent="0.25">
      <c r="A2419" s="170"/>
      <c r="B2419" s="116"/>
      <c r="C2419" s="116"/>
      <c r="D2419" s="116"/>
      <c r="E2419" s="116"/>
      <c r="F2419" s="116"/>
      <c r="H2419" s="116"/>
      <c r="I2419" s="116"/>
      <c r="L2419" s="170"/>
    </row>
    <row r="2420" spans="1:12" x14ac:dyDescent="0.25">
      <c r="A2420" s="170"/>
      <c r="B2420" s="116"/>
      <c r="C2420" s="116"/>
      <c r="D2420" s="116"/>
      <c r="E2420" s="116"/>
      <c r="F2420" s="116"/>
      <c r="H2420" s="116"/>
      <c r="I2420" s="116"/>
      <c r="L2420" s="170"/>
    </row>
    <row r="2421" spans="1:12" x14ac:dyDescent="0.25">
      <c r="A2421" s="170"/>
      <c r="B2421" s="116"/>
      <c r="C2421" s="116"/>
      <c r="D2421" s="116"/>
      <c r="E2421" s="116"/>
      <c r="F2421" s="116"/>
      <c r="H2421" s="116"/>
      <c r="I2421" s="116"/>
      <c r="L2421" s="170"/>
    </row>
    <row r="2422" spans="1:12" x14ac:dyDescent="0.25">
      <c r="A2422" s="170"/>
      <c r="B2422" s="116"/>
      <c r="C2422" s="116"/>
      <c r="D2422" s="116"/>
      <c r="E2422" s="116"/>
      <c r="F2422" s="116"/>
      <c r="H2422" s="116"/>
      <c r="I2422" s="116"/>
      <c r="L2422" s="170"/>
    </row>
    <row r="2423" spans="1:12" x14ac:dyDescent="0.25">
      <c r="A2423" s="170"/>
      <c r="B2423" s="116"/>
      <c r="C2423" s="116"/>
      <c r="D2423" s="116"/>
      <c r="E2423" s="116"/>
      <c r="F2423" s="116"/>
      <c r="H2423" s="116"/>
      <c r="I2423" s="116"/>
      <c r="L2423" s="170"/>
    </row>
    <row r="2424" spans="1:12" x14ac:dyDescent="0.25">
      <c r="A2424" s="170"/>
      <c r="B2424" s="116"/>
      <c r="C2424" s="116"/>
      <c r="D2424" s="116"/>
      <c r="E2424" s="116"/>
      <c r="F2424" s="116"/>
      <c r="H2424" s="116"/>
      <c r="I2424" s="116"/>
      <c r="L2424" s="170"/>
    </row>
    <row r="2425" spans="1:12" x14ac:dyDescent="0.25">
      <c r="A2425" s="170"/>
      <c r="B2425" s="116"/>
      <c r="C2425" s="116"/>
      <c r="D2425" s="116"/>
      <c r="E2425" s="116"/>
      <c r="F2425" s="116"/>
      <c r="H2425" s="116"/>
      <c r="I2425" s="116"/>
      <c r="L2425" s="170"/>
    </row>
    <row r="2426" spans="1:12" x14ac:dyDescent="0.25">
      <c r="A2426" s="170"/>
      <c r="B2426" s="116"/>
      <c r="C2426" s="116"/>
      <c r="D2426" s="116"/>
      <c r="E2426" s="116"/>
      <c r="F2426" s="116"/>
      <c r="H2426" s="116"/>
      <c r="I2426" s="116"/>
      <c r="L2426" s="170"/>
    </row>
    <row r="2427" spans="1:12" x14ac:dyDescent="0.25">
      <c r="A2427" s="170"/>
      <c r="B2427" s="116"/>
      <c r="C2427" s="116"/>
      <c r="D2427" s="116"/>
      <c r="E2427" s="116"/>
      <c r="F2427" s="116"/>
      <c r="H2427" s="116"/>
      <c r="I2427" s="116"/>
      <c r="L2427" s="170"/>
    </row>
    <row r="2428" spans="1:12" x14ac:dyDescent="0.25">
      <c r="A2428" s="170"/>
      <c r="B2428" s="116"/>
      <c r="C2428" s="116"/>
      <c r="D2428" s="116"/>
      <c r="E2428" s="116"/>
      <c r="F2428" s="116"/>
      <c r="H2428" s="116"/>
      <c r="I2428" s="116"/>
      <c r="L2428" s="170"/>
    </row>
    <row r="2429" spans="1:12" x14ac:dyDescent="0.25">
      <c r="A2429" s="170"/>
      <c r="B2429" s="116"/>
      <c r="C2429" s="116"/>
      <c r="D2429" s="116"/>
      <c r="E2429" s="116"/>
      <c r="F2429" s="116"/>
      <c r="H2429" s="116"/>
      <c r="I2429" s="116"/>
      <c r="L2429" s="170"/>
    </row>
    <row r="2430" spans="1:12" x14ac:dyDescent="0.25">
      <c r="A2430" s="170"/>
      <c r="B2430" s="116"/>
      <c r="C2430" s="116"/>
      <c r="D2430" s="116"/>
      <c r="E2430" s="116"/>
      <c r="F2430" s="116"/>
      <c r="H2430" s="116"/>
      <c r="I2430" s="116"/>
      <c r="L2430" s="170"/>
    </row>
    <row r="2431" spans="1:12" x14ac:dyDescent="0.25">
      <c r="A2431" s="170"/>
      <c r="B2431" s="116"/>
      <c r="C2431" s="116"/>
      <c r="D2431" s="116"/>
      <c r="E2431" s="116"/>
      <c r="F2431" s="116"/>
      <c r="H2431" s="116"/>
      <c r="I2431" s="116"/>
      <c r="L2431" s="170"/>
    </row>
    <row r="2432" spans="1:12" x14ac:dyDescent="0.25">
      <c r="A2432" s="170"/>
      <c r="B2432" s="116"/>
      <c r="C2432" s="116"/>
      <c r="D2432" s="116"/>
      <c r="E2432" s="116"/>
      <c r="F2432" s="116"/>
      <c r="H2432" s="116"/>
      <c r="I2432" s="116"/>
      <c r="L2432" s="170"/>
    </row>
    <row r="2433" spans="1:12" x14ac:dyDescent="0.25">
      <c r="A2433" s="170"/>
      <c r="B2433" s="116"/>
      <c r="C2433" s="116"/>
      <c r="D2433" s="116"/>
      <c r="E2433" s="116"/>
      <c r="F2433" s="116"/>
      <c r="H2433" s="116"/>
      <c r="I2433" s="116"/>
      <c r="L2433" s="170"/>
    </row>
    <row r="2434" spans="1:12" x14ac:dyDescent="0.25">
      <c r="A2434" s="170"/>
      <c r="B2434" s="116"/>
      <c r="C2434" s="116"/>
      <c r="D2434" s="116"/>
      <c r="E2434" s="116"/>
      <c r="F2434" s="116"/>
      <c r="H2434" s="116"/>
      <c r="I2434" s="116"/>
      <c r="L2434" s="170"/>
    </row>
    <row r="2435" spans="1:12" x14ac:dyDescent="0.25">
      <c r="A2435" s="170"/>
      <c r="B2435" s="116"/>
      <c r="C2435" s="116"/>
      <c r="D2435" s="116"/>
      <c r="E2435" s="116"/>
      <c r="F2435" s="116"/>
      <c r="H2435" s="116"/>
      <c r="I2435" s="116"/>
      <c r="L2435" s="170"/>
    </row>
    <row r="2436" spans="1:12" x14ac:dyDescent="0.25">
      <c r="A2436" s="170"/>
      <c r="B2436" s="116"/>
      <c r="C2436" s="116"/>
      <c r="D2436" s="116"/>
      <c r="E2436" s="116"/>
      <c r="F2436" s="116"/>
      <c r="H2436" s="116"/>
      <c r="I2436" s="116"/>
      <c r="L2436" s="170"/>
    </row>
    <row r="2437" spans="1:12" x14ac:dyDescent="0.25">
      <c r="A2437" s="170"/>
      <c r="B2437" s="116"/>
      <c r="C2437" s="116"/>
      <c r="D2437" s="116"/>
      <c r="E2437" s="116"/>
      <c r="F2437" s="116"/>
      <c r="H2437" s="116"/>
      <c r="I2437" s="116"/>
      <c r="L2437" s="170"/>
    </row>
    <row r="2438" spans="1:12" x14ac:dyDescent="0.25">
      <c r="A2438" s="170"/>
      <c r="B2438" s="116"/>
      <c r="C2438" s="116"/>
      <c r="D2438" s="116"/>
      <c r="E2438" s="116"/>
      <c r="F2438" s="116"/>
      <c r="H2438" s="116"/>
      <c r="I2438" s="116"/>
      <c r="L2438" s="170"/>
    </row>
    <row r="2439" spans="1:12" x14ac:dyDescent="0.25">
      <c r="A2439" s="170"/>
      <c r="B2439" s="116"/>
      <c r="C2439" s="116"/>
      <c r="D2439" s="116"/>
      <c r="E2439" s="116"/>
      <c r="F2439" s="116"/>
      <c r="H2439" s="116"/>
      <c r="I2439" s="116"/>
      <c r="L2439" s="170"/>
    </row>
    <row r="2440" spans="1:12" x14ac:dyDescent="0.25">
      <c r="A2440" s="170"/>
      <c r="B2440" s="116"/>
      <c r="C2440" s="116"/>
      <c r="D2440" s="116"/>
      <c r="E2440" s="116"/>
      <c r="F2440" s="116"/>
      <c r="H2440" s="116"/>
      <c r="I2440" s="116"/>
      <c r="L2440" s="170"/>
    </row>
    <row r="2441" spans="1:12" x14ac:dyDescent="0.25">
      <c r="A2441" s="170"/>
      <c r="B2441" s="116"/>
      <c r="C2441" s="116"/>
      <c r="D2441" s="116"/>
      <c r="E2441" s="116"/>
      <c r="F2441" s="116"/>
      <c r="H2441" s="116"/>
      <c r="I2441" s="116"/>
      <c r="L2441" s="170"/>
    </row>
    <row r="2442" spans="1:12" x14ac:dyDescent="0.25">
      <c r="A2442" s="170"/>
      <c r="B2442" s="116"/>
      <c r="C2442" s="116"/>
      <c r="D2442" s="116"/>
      <c r="E2442" s="116"/>
      <c r="F2442" s="116"/>
      <c r="H2442" s="116"/>
      <c r="I2442" s="116"/>
      <c r="L2442" s="170"/>
    </row>
    <row r="2443" spans="1:12" x14ac:dyDescent="0.25">
      <c r="A2443" s="170"/>
      <c r="B2443" s="116"/>
      <c r="C2443" s="116"/>
      <c r="D2443" s="116"/>
      <c r="E2443" s="116"/>
      <c r="F2443" s="116"/>
      <c r="H2443" s="116"/>
      <c r="I2443" s="116"/>
      <c r="L2443" s="170"/>
    </row>
    <row r="2444" spans="1:12" x14ac:dyDescent="0.25">
      <c r="A2444" s="170"/>
      <c r="B2444" s="116"/>
      <c r="C2444" s="116"/>
      <c r="D2444" s="116"/>
      <c r="E2444" s="116"/>
      <c r="F2444" s="116"/>
      <c r="H2444" s="116"/>
      <c r="I2444" s="116"/>
      <c r="L2444" s="170"/>
    </row>
    <row r="2445" spans="1:12" x14ac:dyDescent="0.25">
      <c r="A2445" s="170"/>
      <c r="B2445" s="116"/>
      <c r="C2445" s="116"/>
      <c r="D2445" s="116"/>
      <c r="E2445" s="116"/>
      <c r="F2445" s="116"/>
      <c r="H2445" s="116"/>
      <c r="I2445" s="116"/>
      <c r="L2445" s="170"/>
    </row>
    <row r="2446" spans="1:12" x14ac:dyDescent="0.25">
      <c r="A2446" s="170"/>
      <c r="B2446" s="116"/>
      <c r="C2446" s="116"/>
      <c r="D2446" s="116"/>
      <c r="E2446" s="116"/>
      <c r="F2446" s="116"/>
      <c r="H2446" s="116"/>
      <c r="I2446" s="116"/>
      <c r="L2446" s="170"/>
    </row>
    <row r="2447" spans="1:12" x14ac:dyDescent="0.25">
      <c r="A2447" s="170"/>
      <c r="B2447" s="116"/>
      <c r="C2447" s="116"/>
      <c r="D2447" s="116"/>
      <c r="E2447" s="116"/>
      <c r="F2447" s="116"/>
      <c r="H2447" s="116"/>
      <c r="I2447" s="116"/>
      <c r="L2447" s="170"/>
    </row>
    <row r="2448" spans="1:12" x14ac:dyDescent="0.25">
      <c r="A2448" s="170"/>
      <c r="B2448" s="116"/>
      <c r="C2448" s="116"/>
      <c r="D2448" s="116"/>
      <c r="E2448" s="116"/>
      <c r="F2448" s="116"/>
      <c r="H2448" s="116"/>
      <c r="I2448" s="116"/>
      <c r="L2448" s="170"/>
    </row>
    <row r="2449" spans="1:12" x14ac:dyDescent="0.25">
      <c r="A2449" s="170"/>
      <c r="B2449" s="116"/>
      <c r="C2449" s="116"/>
      <c r="D2449" s="116"/>
      <c r="E2449" s="116"/>
      <c r="F2449" s="116"/>
      <c r="H2449" s="116"/>
      <c r="I2449" s="116"/>
      <c r="L2449" s="170"/>
    </row>
    <row r="2450" spans="1:12" x14ac:dyDescent="0.25">
      <c r="A2450" s="170"/>
      <c r="B2450" s="116"/>
      <c r="C2450" s="116"/>
      <c r="D2450" s="116"/>
      <c r="E2450" s="116"/>
      <c r="F2450" s="116"/>
      <c r="H2450" s="116"/>
      <c r="I2450" s="116"/>
      <c r="L2450" s="170"/>
    </row>
    <row r="2451" spans="1:12" x14ac:dyDescent="0.25">
      <c r="A2451" s="170"/>
      <c r="B2451" s="116"/>
      <c r="C2451" s="116"/>
      <c r="D2451" s="116"/>
      <c r="E2451" s="116"/>
      <c r="F2451" s="116"/>
      <c r="H2451" s="116"/>
      <c r="I2451" s="116"/>
      <c r="L2451" s="170"/>
    </row>
    <row r="2452" spans="1:12" x14ac:dyDescent="0.25">
      <c r="A2452" s="170"/>
      <c r="B2452" s="116"/>
      <c r="C2452" s="116"/>
      <c r="D2452" s="116"/>
      <c r="E2452" s="116"/>
      <c r="F2452" s="116"/>
      <c r="H2452" s="116"/>
      <c r="I2452" s="116"/>
      <c r="L2452" s="170"/>
    </row>
    <row r="2453" spans="1:12" x14ac:dyDescent="0.25">
      <c r="A2453" s="170"/>
      <c r="B2453" s="116"/>
      <c r="C2453" s="116"/>
      <c r="D2453" s="116"/>
      <c r="E2453" s="116"/>
      <c r="F2453" s="116"/>
      <c r="H2453" s="116"/>
      <c r="I2453" s="116"/>
      <c r="L2453" s="170"/>
    </row>
    <row r="2454" spans="1:12" x14ac:dyDescent="0.25">
      <c r="A2454" s="170"/>
      <c r="B2454" s="116"/>
      <c r="C2454" s="116"/>
      <c r="D2454" s="116"/>
      <c r="E2454" s="116"/>
      <c r="F2454" s="116"/>
      <c r="H2454" s="116"/>
      <c r="I2454" s="116"/>
      <c r="L2454" s="170"/>
    </row>
    <row r="2455" spans="1:12" x14ac:dyDescent="0.25">
      <c r="A2455" s="170"/>
      <c r="B2455" s="116"/>
      <c r="C2455" s="116"/>
      <c r="D2455" s="116"/>
      <c r="E2455" s="116"/>
      <c r="F2455" s="116"/>
      <c r="H2455" s="116"/>
      <c r="I2455" s="116"/>
      <c r="L2455" s="170"/>
    </row>
    <row r="2456" spans="1:12" x14ac:dyDescent="0.25">
      <c r="A2456" s="170"/>
      <c r="B2456" s="116"/>
      <c r="C2456" s="116"/>
      <c r="D2456" s="116"/>
      <c r="E2456" s="116"/>
      <c r="F2456" s="116"/>
      <c r="H2456" s="116"/>
      <c r="I2456" s="116"/>
      <c r="L2456" s="170"/>
    </row>
    <row r="2457" spans="1:12" x14ac:dyDescent="0.25">
      <c r="A2457" s="170"/>
      <c r="B2457" s="116"/>
      <c r="C2457" s="116"/>
      <c r="D2457" s="116"/>
      <c r="E2457" s="116"/>
      <c r="F2457" s="116"/>
      <c r="H2457" s="116"/>
      <c r="I2457" s="116"/>
      <c r="L2457" s="170"/>
    </row>
    <row r="2458" spans="1:12" x14ac:dyDescent="0.25">
      <c r="A2458" s="170"/>
      <c r="B2458" s="116"/>
      <c r="C2458" s="116"/>
      <c r="D2458" s="116"/>
      <c r="E2458" s="116"/>
      <c r="F2458" s="116"/>
      <c r="H2458" s="116"/>
      <c r="I2458" s="116"/>
      <c r="L2458" s="170"/>
    </row>
    <row r="2459" spans="1:12" x14ac:dyDescent="0.25">
      <c r="A2459" s="170"/>
      <c r="B2459" s="116"/>
      <c r="C2459" s="116"/>
      <c r="D2459" s="116"/>
      <c r="E2459" s="116"/>
      <c r="F2459" s="116"/>
      <c r="H2459" s="116"/>
      <c r="I2459" s="116"/>
      <c r="L2459" s="170"/>
    </row>
    <row r="2460" spans="1:12" x14ac:dyDescent="0.25">
      <c r="A2460" s="170"/>
      <c r="B2460" s="116"/>
      <c r="C2460" s="116"/>
      <c r="D2460" s="116"/>
      <c r="E2460" s="116"/>
      <c r="F2460" s="116"/>
      <c r="H2460" s="116"/>
      <c r="I2460" s="116"/>
      <c r="L2460" s="170"/>
    </row>
    <row r="2461" spans="1:12" x14ac:dyDescent="0.25">
      <c r="A2461" s="170"/>
      <c r="B2461" s="116"/>
      <c r="C2461" s="116"/>
      <c r="D2461" s="116"/>
      <c r="E2461" s="116"/>
      <c r="F2461" s="116"/>
      <c r="H2461" s="116"/>
      <c r="I2461" s="116"/>
      <c r="L2461" s="170"/>
    </row>
    <row r="2462" spans="1:12" x14ac:dyDescent="0.25">
      <c r="A2462" s="170"/>
      <c r="B2462" s="116"/>
      <c r="C2462" s="116"/>
      <c r="D2462" s="116"/>
      <c r="E2462" s="116"/>
      <c r="F2462" s="116"/>
      <c r="H2462" s="116"/>
      <c r="I2462" s="116"/>
      <c r="L2462" s="170"/>
    </row>
    <row r="2463" spans="1:12" x14ac:dyDescent="0.25">
      <c r="A2463" s="170"/>
      <c r="B2463" s="116"/>
      <c r="C2463" s="116"/>
      <c r="D2463" s="116"/>
      <c r="E2463" s="116"/>
      <c r="F2463" s="116"/>
      <c r="H2463" s="116"/>
      <c r="I2463" s="116"/>
      <c r="L2463" s="170"/>
    </row>
    <row r="2464" spans="1:12" x14ac:dyDescent="0.25">
      <c r="A2464" s="170"/>
      <c r="B2464" s="116"/>
      <c r="C2464" s="116"/>
      <c r="D2464" s="116"/>
      <c r="E2464" s="116"/>
      <c r="F2464" s="116"/>
      <c r="H2464" s="116"/>
      <c r="I2464" s="116"/>
      <c r="L2464" s="170"/>
    </row>
    <row r="2465" spans="1:12" x14ac:dyDescent="0.25">
      <c r="A2465" s="170"/>
      <c r="B2465" s="116"/>
      <c r="C2465" s="116"/>
      <c r="D2465" s="116"/>
      <c r="E2465" s="116"/>
      <c r="F2465" s="116"/>
      <c r="H2465" s="116"/>
      <c r="I2465" s="116"/>
      <c r="L2465" s="170"/>
    </row>
    <row r="2466" spans="1:12" x14ac:dyDescent="0.25">
      <c r="A2466" s="170"/>
      <c r="B2466" s="116"/>
      <c r="C2466" s="116"/>
      <c r="D2466" s="116"/>
      <c r="E2466" s="116"/>
      <c r="F2466" s="116"/>
      <c r="H2466" s="116"/>
      <c r="I2466" s="116"/>
      <c r="L2466" s="170"/>
    </row>
    <row r="2467" spans="1:12" x14ac:dyDescent="0.25">
      <c r="A2467" s="170"/>
      <c r="B2467" s="116"/>
      <c r="C2467" s="116"/>
      <c r="D2467" s="116"/>
      <c r="E2467" s="116"/>
      <c r="F2467" s="116"/>
      <c r="H2467" s="116"/>
      <c r="I2467" s="116"/>
      <c r="L2467" s="170"/>
    </row>
    <row r="2468" spans="1:12" x14ac:dyDescent="0.25">
      <c r="A2468" s="170"/>
      <c r="B2468" s="116"/>
      <c r="C2468" s="116"/>
      <c r="D2468" s="116"/>
      <c r="E2468" s="116"/>
      <c r="F2468" s="116"/>
      <c r="H2468" s="116"/>
      <c r="I2468" s="116"/>
      <c r="L2468" s="170"/>
    </row>
    <row r="2469" spans="1:12" x14ac:dyDescent="0.25">
      <c r="A2469" s="170"/>
      <c r="B2469" s="116"/>
      <c r="C2469" s="116"/>
      <c r="D2469" s="116"/>
      <c r="E2469" s="116"/>
      <c r="F2469" s="116"/>
      <c r="H2469" s="116"/>
      <c r="I2469" s="116"/>
      <c r="L2469" s="170"/>
    </row>
    <row r="2470" spans="1:12" x14ac:dyDescent="0.25">
      <c r="A2470" s="170"/>
      <c r="B2470" s="116"/>
      <c r="C2470" s="116"/>
      <c r="D2470" s="116"/>
      <c r="E2470" s="116"/>
      <c r="F2470" s="116"/>
      <c r="H2470" s="116"/>
      <c r="I2470" s="116"/>
      <c r="L2470" s="170"/>
    </row>
    <row r="2471" spans="1:12" x14ac:dyDescent="0.25">
      <c r="A2471" s="170"/>
      <c r="B2471" s="116"/>
      <c r="C2471" s="116"/>
      <c r="D2471" s="116"/>
      <c r="E2471" s="116"/>
      <c r="F2471" s="116"/>
      <c r="H2471" s="116"/>
      <c r="I2471" s="116"/>
      <c r="L2471" s="170"/>
    </row>
    <row r="2472" spans="1:12" x14ac:dyDescent="0.25">
      <c r="A2472" s="170"/>
      <c r="B2472" s="116"/>
      <c r="C2472" s="116"/>
      <c r="D2472" s="116"/>
      <c r="E2472" s="116"/>
      <c r="F2472" s="116"/>
      <c r="H2472" s="116"/>
      <c r="I2472" s="116"/>
      <c r="L2472" s="170"/>
    </row>
    <row r="2473" spans="1:12" x14ac:dyDescent="0.25">
      <c r="A2473" s="170"/>
      <c r="B2473" s="116"/>
      <c r="C2473" s="116"/>
      <c r="D2473" s="116"/>
      <c r="E2473" s="116"/>
      <c r="F2473" s="116"/>
      <c r="H2473" s="116"/>
      <c r="I2473" s="116"/>
      <c r="L2473" s="170"/>
    </row>
    <row r="2474" spans="1:12" x14ac:dyDescent="0.25">
      <c r="A2474" s="170"/>
      <c r="B2474" s="116"/>
      <c r="C2474" s="116"/>
      <c r="D2474" s="116"/>
      <c r="E2474" s="116"/>
      <c r="F2474" s="116"/>
      <c r="H2474" s="116"/>
      <c r="I2474" s="116"/>
      <c r="L2474" s="170"/>
    </row>
    <row r="2475" spans="1:12" x14ac:dyDescent="0.25">
      <c r="A2475" s="170"/>
      <c r="B2475" s="116"/>
      <c r="C2475" s="116"/>
      <c r="D2475" s="116"/>
      <c r="E2475" s="116"/>
      <c r="F2475" s="116"/>
      <c r="H2475" s="116"/>
      <c r="I2475" s="116"/>
      <c r="L2475" s="170"/>
    </row>
    <row r="2476" spans="1:12" x14ac:dyDescent="0.25">
      <c r="A2476" s="170"/>
      <c r="B2476" s="116"/>
      <c r="C2476" s="116"/>
      <c r="D2476" s="116"/>
      <c r="E2476" s="116"/>
      <c r="F2476" s="116"/>
      <c r="H2476" s="116"/>
      <c r="I2476" s="116"/>
      <c r="L2476" s="170"/>
    </row>
    <row r="2477" spans="1:12" x14ac:dyDescent="0.25">
      <c r="A2477" s="170"/>
      <c r="B2477" s="116"/>
      <c r="C2477" s="116"/>
      <c r="D2477" s="116"/>
      <c r="E2477" s="116"/>
      <c r="F2477" s="116"/>
      <c r="H2477" s="116"/>
      <c r="I2477" s="116"/>
      <c r="L2477" s="170"/>
    </row>
    <row r="2478" spans="1:12" x14ac:dyDescent="0.25">
      <c r="A2478" s="170"/>
      <c r="B2478" s="116"/>
      <c r="C2478" s="116"/>
      <c r="D2478" s="116"/>
      <c r="E2478" s="116"/>
      <c r="F2478" s="116"/>
      <c r="H2478" s="116"/>
      <c r="I2478" s="116"/>
      <c r="L2478" s="170"/>
    </row>
    <row r="2479" spans="1:12" x14ac:dyDescent="0.25">
      <c r="A2479" s="170"/>
      <c r="B2479" s="116"/>
      <c r="C2479" s="116"/>
      <c r="D2479" s="116"/>
      <c r="E2479" s="116"/>
      <c r="F2479" s="116"/>
      <c r="H2479" s="116"/>
      <c r="I2479" s="116"/>
      <c r="L2479" s="170"/>
    </row>
    <row r="2480" spans="1:12" x14ac:dyDescent="0.25">
      <c r="A2480" s="170"/>
      <c r="B2480" s="116"/>
      <c r="C2480" s="116"/>
      <c r="D2480" s="116"/>
      <c r="E2480" s="116"/>
      <c r="F2480" s="116"/>
      <c r="H2480" s="116"/>
      <c r="I2480" s="116"/>
      <c r="L2480" s="170"/>
    </row>
    <row r="2481" spans="1:12" x14ac:dyDescent="0.25">
      <c r="A2481" s="170"/>
      <c r="B2481" s="116"/>
      <c r="C2481" s="116"/>
      <c r="D2481" s="116"/>
      <c r="E2481" s="116"/>
      <c r="F2481" s="116"/>
      <c r="H2481" s="116"/>
      <c r="I2481" s="116"/>
      <c r="L2481" s="170"/>
    </row>
    <row r="2482" spans="1:12" x14ac:dyDescent="0.25">
      <c r="A2482" s="170"/>
      <c r="B2482" s="116"/>
      <c r="C2482" s="116"/>
      <c r="D2482" s="116"/>
      <c r="E2482" s="116"/>
      <c r="F2482" s="116"/>
      <c r="H2482" s="116"/>
      <c r="I2482" s="116"/>
      <c r="L2482" s="170"/>
    </row>
    <row r="2483" spans="1:12" x14ac:dyDescent="0.25">
      <c r="A2483" s="170"/>
      <c r="B2483" s="116"/>
      <c r="C2483" s="116"/>
      <c r="D2483" s="116"/>
      <c r="E2483" s="116"/>
      <c r="F2483" s="116"/>
      <c r="H2483" s="116"/>
      <c r="I2483" s="116"/>
      <c r="L2483" s="170"/>
    </row>
    <row r="2484" spans="1:12" x14ac:dyDescent="0.25">
      <c r="A2484" s="170"/>
      <c r="B2484" s="116"/>
      <c r="C2484" s="116"/>
      <c r="D2484" s="116"/>
      <c r="E2484" s="116"/>
      <c r="F2484" s="116"/>
      <c r="H2484" s="116"/>
      <c r="I2484" s="116"/>
      <c r="L2484" s="170"/>
    </row>
    <row r="2485" spans="1:12" x14ac:dyDescent="0.25">
      <c r="A2485" s="170"/>
      <c r="B2485" s="116"/>
      <c r="C2485" s="116"/>
      <c r="D2485" s="116"/>
      <c r="E2485" s="116"/>
      <c r="F2485" s="116"/>
      <c r="H2485" s="116"/>
      <c r="I2485" s="116"/>
      <c r="L2485" s="170"/>
    </row>
    <row r="2486" spans="1:12" x14ac:dyDescent="0.25">
      <c r="A2486" s="170"/>
      <c r="B2486" s="116"/>
      <c r="C2486" s="116"/>
      <c r="D2486" s="116"/>
      <c r="E2486" s="116"/>
      <c r="F2486" s="116"/>
      <c r="H2486" s="116"/>
      <c r="I2486" s="116"/>
      <c r="L2486" s="170"/>
    </row>
    <row r="2487" spans="1:12" x14ac:dyDescent="0.25">
      <c r="A2487" s="170"/>
      <c r="B2487" s="116"/>
      <c r="C2487" s="116"/>
      <c r="D2487" s="116"/>
      <c r="E2487" s="116"/>
      <c r="F2487" s="116"/>
      <c r="H2487" s="116"/>
      <c r="I2487" s="116"/>
      <c r="L2487" s="170"/>
    </row>
    <row r="2488" spans="1:12" x14ac:dyDescent="0.25">
      <c r="A2488" s="170"/>
      <c r="B2488" s="116"/>
      <c r="C2488" s="116"/>
      <c r="D2488" s="116"/>
      <c r="E2488" s="116"/>
      <c r="F2488" s="116"/>
      <c r="H2488" s="116"/>
      <c r="I2488" s="116"/>
      <c r="L2488" s="170"/>
    </row>
    <row r="2489" spans="1:12" x14ac:dyDescent="0.25">
      <c r="A2489" s="170"/>
      <c r="B2489" s="116"/>
      <c r="C2489" s="116"/>
      <c r="D2489" s="116"/>
      <c r="E2489" s="116"/>
      <c r="F2489" s="116"/>
      <c r="H2489" s="116"/>
      <c r="I2489" s="116"/>
      <c r="L2489" s="170"/>
    </row>
    <row r="2490" spans="1:12" x14ac:dyDescent="0.25">
      <c r="A2490" s="170"/>
      <c r="B2490" s="116"/>
      <c r="C2490" s="116"/>
      <c r="D2490" s="116"/>
      <c r="E2490" s="116"/>
      <c r="F2490" s="116"/>
      <c r="H2490" s="116"/>
      <c r="I2490" s="116"/>
      <c r="L2490" s="170"/>
    </row>
    <row r="2491" spans="1:12" x14ac:dyDescent="0.25">
      <c r="A2491" s="170"/>
      <c r="B2491" s="116"/>
      <c r="C2491" s="116"/>
      <c r="D2491" s="116"/>
      <c r="E2491" s="116"/>
      <c r="F2491" s="116"/>
      <c r="H2491" s="116"/>
      <c r="I2491" s="116"/>
      <c r="L2491" s="170"/>
    </row>
    <row r="2492" spans="1:12" x14ac:dyDescent="0.25">
      <c r="A2492" s="170"/>
      <c r="B2492" s="116"/>
      <c r="C2492" s="116"/>
      <c r="D2492" s="116"/>
      <c r="E2492" s="116"/>
      <c r="F2492" s="116"/>
      <c r="H2492" s="116"/>
      <c r="I2492" s="116"/>
      <c r="L2492" s="170"/>
    </row>
    <row r="2493" spans="1:12" x14ac:dyDescent="0.25">
      <c r="A2493" s="170"/>
      <c r="B2493" s="116"/>
      <c r="C2493" s="116"/>
      <c r="D2493" s="116"/>
      <c r="E2493" s="116"/>
      <c r="F2493" s="116"/>
      <c r="H2493" s="116"/>
      <c r="I2493" s="116"/>
      <c r="L2493" s="170"/>
    </row>
    <row r="2494" spans="1:12" x14ac:dyDescent="0.25">
      <c r="A2494" s="170"/>
      <c r="B2494" s="116"/>
      <c r="C2494" s="116"/>
      <c r="D2494" s="116"/>
      <c r="E2494" s="116"/>
      <c r="F2494" s="116"/>
      <c r="H2494" s="116"/>
      <c r="I2494" s="116"/>
      <c r="L2494" s="170"/>
    </row>
    <row r="2495" spans="1:12" x14ac:dyDescent="0.25">
      <c r="A2495" s="170"/>
      <c r="B2495" s="116"/>
      <c r="C2495" s="116"/>
      <c r="D2495" s="116"/>
      <c r="E2495" s="116"/>
      <c r="F2495" s="116"/>
      <c r="H2495" s="116"/>
      <c r="I2495" s="116"/>
      <c r="L2495" s="170"/>
    </row>
    <row r="2496" spans="1:12" x14ac:dyDescent="0.25">
      <c r="A2496" s="170"/>
      <c r="B2496" s="116"/>
      <c r="C2496" s="116"/>
      <c r="D2496" s="116"/>
      <c r="E2496" s="116"/>
      <c r="F2496" s="116"/>
      <c r="H2496" s="116"/>
      <c r="I2496" s="116"/>
      <c r="L2496" s="170"/>
    </row>
    <row r="2497" spans="1:18" x14ac:dyDescent="0.25">
      <c r="A2497" s="170"/>
      <c r="B2497" s="116"/>
      <c r="C2497" s="116"/>
      <c r="D2497" s="116"/>
      <c r="E2497" s="116"/>
      <c r="F2497" s="116"/>
      <c r="H2497" s="116"/>
      <c r="I2497" s="116"/>
      <c r="L2497" s="170"/>
    </row>
    <row r="2498" spans="1:18" x14ac:dyDescent="0.25">
      <c r="A2498" s="170"/>
      <c r="B2498" s="116"/>
      <c r="C2498" s="116"/>
      <c r="D2498" s="116"/>
      <c r="E2498" s="116"/>
      <c r="F2498" s="116"/>
      <c r="H2498" s="116"/>
      <c r="I2498" s="116"/>
      <c r="L2498" s="170"/>
    </row>
    <row r="2499" spans="1:18" x14ac:dyDescent="0.25">
      <c r="A2499" s="170"/>
      <c r="B2499" s="116"/>
      <c r="C2499" s="116"/>
      <c r="D2499" s="116"/>
      <c r="E2499" s="116"/>
      <c r="F2499" s="116"/>
      <c r="H2499" s="116"/>
      <c r="I2499" s="116"/>
      <c r="L2499" s="170"/>
    </row>
    <row r="2500" spans="1:18" x14ac:dyDescent="0.25">
      <c r="A2500" s="170"/>
      <c r="B2500" s="116"/>
      <c r="C2500" s="116"/>
      <c r="D2500" s="116"/>
      <c r="E2500" s="116"/>
      <c r="F2500" s="116"/>
      <c r="H2500" s="116"/>
      <c r="I2500" s="116"/>
      <c r="L2500" s="170"/>
    </row>
    <row r="2501" spans="1:18" x14ac:dyDescent="0.25">
      <c r="A2501" s="170"/>
      <c r="B2501" s="116"/>
      <c r="C2501" s="116"/>
      <c r="D2501" s="116"/>
      <c r="E2501" s="116"/>
      <c r="F2501" s="116"/>
      <c r="H2501" s="116"/>
      <c r="I2501" s="116"/>
      <c r="L2501" s="170"/>
    </row>
    <row r="2502" spans="1:18" x14ac:dyDescent="0.25">
      <c r="A2502" s="170"/>
      <c r="B2502" s="116"/>
      <c r="C2502" s="116"/>
      <c r="D2502" s="116"/>
      <c r="E2502" s="116"/>
      <c r="F2502" s="116"/>
      <c r="H2502" s="116"/>
      <c r="I2502" s="116"/>
      <c r="L2502" s="170"/>
    </row>
    <row r="2503" spans="1:18" x14ac:dyDescent="0.25">
      <c r="A2503" s="170"/>
      <c r="B2503" s="116"/>
      <c r="C2503" s="116"/>
      <c r="D2503" s="116"/>
      <c r="E2503" s="116"/>
      <c r="F2503" s="116"/>
      <c r="H2503" s="116"/>
      <c r="I2503" s="116"/>
      <c r="L2503" s="170"/>
    </row>
    <row r="2504" spans="1:18" x14ac:dyDescent="0.25">
      <c r="A2504" s="170"/>
      <c r="B2504" s="116"/>
      <c r="C2504" s="116"/>
      <c r="D2504" s="116"/>
      <c r="E2504" s="116"/>
      <c r="F2504" s="116"/>
      <c r="H2504" s="116"/>
      <c r="I2504" s="116"/>
      <c r="L2504" s="170"/>
    </row>
    <row r="2505" spans="1:18" x14ac:dyDescent="0.25">
      <c r="A2505" s="170"/>
      <c r="B2505" s="116"/>
      <c r="C2505" s="116"/>
      <c r="D2505" s="116"/>
      <c r="E2505" s="116"/>
      <c r="F2505" s="116"/>
      <c r="H2505" s="116"/>
      <c r="I2505" s="116"/>
      <c r="L2505" s="170"/>
    </row>
    <row r="2506" spans="1:18" x14ac:dyDescent="0.25">
      <c r="A2506" s="170"/>
      <c r="B2506" s="116"/>
      <c r="C2506" s="116"/>
      <c r="D2506" s="116"/>
      <c r="E2506" s="116"/>
      <c r="F2506" s="116"/>
      <c r="H2506" s="116"/>
      <c r="I2506" s="116"/>
      <c r="L2506" s="170"/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2026-06-17T15:32:58Z</dcterms:modified>
  <cp:category/>
  <cp:contentStatus/>
</cp:coreProperties>
</file>