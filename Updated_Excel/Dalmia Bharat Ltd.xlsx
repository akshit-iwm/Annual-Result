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7DCF0EE-E962-4E5E-859E-86C6E5458F60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1" i="1" l="1"/>
  <c r="CL5" i="1"/>
  <c r="CL251" i="1"/>
  <c r="CM4" i="1"/>
  <c r="CQ4" i="1" s="1"/>
  <c r="CU4" i="1" s="1"/>
  <c r="CY4" i="1" s="1"/>
  <c r="CN4" i="1"/>
  <c r="CR4" i="1" s="1"/>
  <c r="CV4" i="1" s="1"/>
  <c r="CZ4" i="1" s="1"/>
  <c r="CK5" i="1"/>
  <c r="Z4" i="1"/>
  <c r="Y4" i="1"/>
  <c r="X4" i="1"/>
  <c r="W4" i="1"/>
  <c r="V4" i="1"/>
  <c r="U4" i="1"/>
  <c r="T4" i="1"/>
  <c r="S4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CJ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8" i="1"/>
  <c r="AB21" i="1"/>
  <c r="AC21" i="1"/>
  <c r="AD21" i="1"/>
  <c r="AE21" i="1"/>
  <c r="AB34" i="1"/>
  <c r="AC34" i="1"/>
  <c r="AD34" i="1"/>
  <c r="AE34" i="1"/>
  <c r="AE33" i="1"/>
  <c r="AD33" i="1"/>
  <c r="AC33" i="1"/>
  <c r="AB33" i="1"/>
  <c r="AJ221" i="1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C8" i="2"/>
  <c r="AC74" i="2"/>
  <c r="AC98" i="2"/>
  <c r="AB94" i="2"/>
  <c r="AE77" i="2"/>
  <c r="AC77" i="2"/>
  <c r="AF110" i="2"/>
  <c r="AF80" i="2"/>
  <c r="AC78" i="2"/>
  <c r="AE81" i="2"/>
  <c r="AE109" i="2"/>
  <c r="AB57" i="2"/>
  <c r="AD63" i="2"/>
  <c r="AE52" i="2"/>
  <c r="AC67" i="2"/>
  <c r="AC79" i="2"/>
  <c r="AB16" i="2"/>
  <c r="AC47" i="2"/>
  <c r="AB76" i="2"/>
  <c r="AC16" i="2"/>
  <c r="AB66" i="2"/>
  <c r="AF60" i="2"/>
  <c r="AE35" i="2"/>
  <c r="AB70" i="2"/>
  <c r="AB86" i="2"/>
  <c r="AF47" i="2"/>
  <c r="AB105" i="2"/>
  <c r="AE33" i="2"/>
  <c r="AE98" i="2"/>
  <c r="AF66" i="2"/>
  <c r="AD49" i="2"/>
  <c r="AD57" i="2"/>
  <c r="AE53" i="2"/>
  <c r="AF85" i="2"/>
  <c r="AC10" i="2"/>
  <c r="AE84" i="2"/>
  <c r="AF30" i="2"/>
  <c r="AE87" i="2"/>
  <c r="AB23" i="2"/>
  <c r="AC73" i="2"/>
  <c r="AB84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E11" i="2"/>
  <c r="AE105" i="2"/>
  <c r="AC89" i="2"/>
  <c r="AD11" i="2"/>
  <c r="AC28" i="2"/>
  <c r="AF90" i="2"/>
  <c r="AC96" i="2"/>
  <c r="AC60" i="2"/>
  <c r="AC24" i="2"/>
  <c r="AC106" i="2"/>
  <c r="AD90" i="2"/>
  <c r="AF34" i="2"/>
  <c r="AC91" i="2"/>
  <c r="AB51" i="2"/>
  <c r="AC76" i="2"/>
  <c r="AB98" i="2"/>
  <c r="AE85" i="2"/>
  <c r="AB24" i="2"/>
  <c r="AE65" i="2"/>
  <c r="AC40" i="2"/>
  <c r="AB69" i="2"/>
  <c r="AB93" i="2"/>
  <c r="AB47" i="2"/>
  <c r="AC71" i="2"/>
  <c r="AF82" i="2"/>
  <c r="AC84" i="2"/>
  <c r="AF88" i="2"/>
  <c r="AD41" i="2"/>
  <c r="AB42" i="2"/>
  <c r="AC54" i="2"/>
  <c r="AD62" i="2"/>
  <c r="AE13" i="2"/>
  <c r="AB32" i="2"/>
  <c r="AE61" i="2"/>
  <c r="AB110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B28" i="2"/>
  <c r="AB60" i="2"/>
  <c r="AE21" i="2"/>
  <c r="AE48" i="2"/>
  <c r="AC65" i="2"/>
  <c r="AD46" i="2"/>
  <c r="AF74" i="2"/>
  <c r="AC72" i="2"/>
  <c r="AF96" i="2"/>
  <c r="AD82" i="2"/>
  <c r="AD110" i="2"/>
  <c r="AC104" i="2"/>
  <c r="AC43" i="2"/>
  <c r="AC82" i="2"/>
  <c r="AE46" i="2"/>
  <c r="AC86" i="2"/>
  <c r="AC64" i="2"/>
  <c r="AE83" i="2"/>
  <c r="AF108" i="2"/>
  <c r="AD30" i="2"/>
  <c r="AD29" i="2"/>
  <c r="AF93" i="2"/>
  <c r="AC93" i="2"/>
  <c r="AE54" i="2"/>
  <c r="AE69" i="2"/>
  <c r="AB7" i="2"/>
  <c r="AC42" i="2"/>
  <c r="AD70" i="2"/>
  <c r="AF18" i="2"/>
  <c r="AE40" i="2"/>
  <c r="AC85" i="2"/>
  <c r="AF64" i="2"/>
  <c r="AB104" i="2"/>
  <c r="AC70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D111" i="2"/>
  <c r="AE75" i="2"/>
  <c r="AE99" i="2"/>
  <c r="AE63" i="2"/>
  <c r="AD81" i="2"/>
  <c r="AD97" i="2"/>
  <c r="AE27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D66" i="2"/>
  <c r="AD74" i="2"/>
  <c r="AD98" i="2"/>
  <c r="AE25" i="2"/>
  <c r="AB92" i="2"/>
  <c r="AB82" i="2"/>
  <c r="AC110" i="2"/>
  <c r="AB80" i="2"/>
  <c r="AE7" i="2"/>
  <c r="AF29" i="2"/>
  <c r="AC52" i="2"/>
  <c r="AF28" i="2"/>
  <c r="AB77" i="2"/>
  <c r="AC83" i="2"/>
  <c r="AF98" i="2"/>
  <c r="AC20" i="2"/>
  <c r="AC66" i="2"/>
  <c r="AD22" i="2"/>
  <c r="AE41" i="2"/>
  <c r="AF69" i="2"/>
  <c r="AC99" i="2"/>
  <c r="AD83" i="2"/>
  <c r="AD89" i="2"/>
  <c r="AB50" i="2"/>
  <c r="AB49" i="2"/>
  <c r="AD78" i="2"/>
  <c r="AB90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D48" i="2"/>
  <c r="AD67" i="2"/>
  <c r="AD109" i="2"/>
  <c r="AB31" i="2"/>
  <c r="AC61" i="2"/>
  <c r="AB68" i="2"/>
  <c r="AC88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C62" i="2"/>
  <c r="AE89" i="2"/>
  <c r="AF5" i="2"/>
  <c r="AF72" i="2"/>
  <c r="AD14" i="2"/>
  <c r="AE14" i="2"/>
  <c r="AF61" i="2"/>
  <c r="AC34" i="2"/>
  <c r="AD73" i="2"/>
  <c r="AE93" i="2"/>
  <c r="AB15" i="2"/>
  <c r="AC27" i="2"/>
  <c r="AB14" i="2"/>
  <c r="AD106" i="2"/>
  <c r="AE96" i="2"/>
  <c r="AC36" i="2"/>
  <c r="AC94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F10" i="2"/>
  <c r="AF45" i="2"/>
  <c r="AC6" i="2"/>
  <c r="AC30" i="2"/>
  <c r="AC57" i="2"/>
  <c r="AE70" i="2"/>
  <c r="AE82" i="2"/>
  <c r="AC95" i="2"/>
  <c r="AB96" i="2"/>
  <c r="AB106" i="2"/>
  <c r="AF21" i="2"/>
  <c r="AF48" i="2"/>
  <c r="AC25" i="2"/>
  <c r="AB12" i="2"/>
  <c r="AC59" i="2"/>
  <c r="AD61" i="2"/>
  <c r="AC51" i="2"/>
  <c r="AC90" i="2"/>
  <c r="AE26" i="2"/>
  <c r="AF105" i="2"/>
  <c r="AD15" i="2"/>
  <c r="AD50" i="2"/>
  <c r="AE72" i="2"/>
  <c r="AB62" i="2"/>
  <c r="AE23" i="2"/>
  <c r="AC15" i="2"/>
  <c r="AB30" i="2"/>
  <c r="AD86" i="2"/>
  <c r="AD94" i="2"/>
  <c r="AF53" i="2"/>
  <c r="AB74" i="2"/>
  <c r="AB58" i="2"/>
  <c r="AE106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E73" i="2"/>
  <c r="AE97" i="2"/>
  <c r="AF104" i="2"/>
  <c r="AF13" i="2"/>
  <c r="AF40" i="2"/>
  <c r="AF56" i="2"/>
  <c r="AC13" i="2"/>
  <c r="AF12" i="2"/>
  <c r="AB61" i="2"/>
  <c r="AB85" i="2"/>
  <c r="AF113" i="2"/>
  <c r="AE9" i="2"/>
  <c r="AD27" i="2"/>
  <c r="AD6" i="2"/>
  <c r="AD13" i="2"/>
  <c r="AF77" i="2"/>
  <c r="AE60" i="2"/>
  <c r="AD99" i="2"/>
  <c r="AA139" i="1" l="1"/>
  <c r="AA90" i="1"/>
  <c r="AA59" i="1"/>
  <c r="AA48" i="1"/>
  <c r="AA36" i="1"/>
  <c r="AA33" i="1"/>
  <c r="AA21" i="1"/>
  <c r="AA184" i="1"/>
  <c r="AA176" i="1"/>
  <c r="AA175" i="1"/>
  <c r="AA167" i="1"/>
  <c r="AA163" i="1"/>
  <c r="AA161" i="1"/>
  <c r="AA157" i="1"/>
  <c r="AA155" i="1"/>
  <c r="AA149" i="1"/>
  <c r="AA147" i="1"/>
  <c r="AA144" i="1"/>
  <c r="AA143" i="1"/>
  <c r="AA137" i="1"/>
  <c r="AA134" i="1"/>
  <c r="AA130" i="1"/>
  <c r="AA91" i="1"/>
  <c r="AA63" i="1"/>
  <c r="AA57" i="1"/>
  <c r="AA47" i="1"/>
  <c r="AA37" i="1"/>
  <c r="AA34" i="1"/>
  <c r="AA27" i="1"/>
  <c r="AA20" i="1"/>
  <c r="AA183" i="1"/>
  <c r="AA182" i="1"/>
  <c r="AA172" i="1"/>
  <c r="AA171" i="1"/>
  <c r="AA165" i="1"/>
  <c r="AA162" i="1"/>
  <c r="AA159" i="1"/>
  <c r="AA158" i="1"/>
  <c r="AA156" i="1"/>
  <c r="AA154" i="1"/>
  <c r="AA152" i="1"/>
  <c r="AA148" i="1"/>
  <c r="AA145" i="1"/>
  <c r="AA138" i="1"/>
  <c r="AA136" i="1"/>
  <c r="AA131" i="1"/>
  <c r="AA129" i="1"/>
  <c r="AA89" i="1"/>
  <c r="AA79" i="1"/>
  <c r="AA58" i="1"/>
  <c r="AA51" i="1"/>
  <c r="AA44" i="1"/>
  <c r="AA35" i="1"/>
  <c r="AA32" i="1"/>
  <c r="AA25" i="1"/>
  <c r="AA243" i="1"/>
  <c r="AA264" i="1"/>
  <c r="AA206" i="1"/>
  <c r="AA173" i="1"/>
  <c r="AA22" i="1"/>
  <c r="AA192" i="1"/>
  <c r="AA185" i="1"/>
  <c r="AA166" i="1"/>
  <c r="AA168" i="1" s="1"/>
  <c r="AA146" i="1"/>
  <c r="AA150" i="1" s="1"/>
  <c r="AA140" i="1"/>
  <c r="AA132" i="1"/>
  <c r="AF111" i="2"/>
  <c r="AF112" i="2"/>
  <c r="AB111" i="2"/>
  <c r="AB113" i="2"/>
  <c r="AA86" i="1" s="1"/>
  <c r="CP4" i="1"/>
  <c r="CN5" i="1"/>
  <c r="CO4" i="1"/>
  <c r="CS4" i="1" s="1"/>
  <c r="CW4" i="1" s="1"/>
  <c r="DA4" i="1" s="1"/>
  <c r="CM5" i="1"/>
  <c r="CZ5" i="1"/>
  <c r="CR5" i="1"/>
  <c r="Y5" i="1"/>
  <c r="V5" i="1"/>
  <c r="AA4" i="1"/>
  <c r="AA5" i="1" s="1"/>
  <c r="Z5" i="1"/>
  <c r="W5" i="1"/>
  <c r="T5" i="1"/>
  <c r="U5" i="1"/>
  <c r="X5" i="1"/>
  <c r="CV5" i="1"/>
  <c r="B1" i="9"/>
  <c r="AB112" i="2"/>
  <c r="AA85" i="1" s="1"/>
  <c r="AE112" i="2"/>
  <c r="L1" i="9"/>
  <c r="AE111" i="2"/>
  <c r="AE113" i="2"/>
  <c r="A1" i="9"/>
  <c r="AC112" i="2"/>
  <c r="AD113" i="2"/>
  <c r="AC111" i="2"/>
  <c r="AD112" i="2"/>
  <c r="AA49" i="1" l="1"/>
  <c r="AA265" i="1"/>
  <c r="AA195" i="1"/>
  <c r="AA191" i="1"/>
  <c r="AA160" i="1"/>
  <c r="AA45" i="1"/>
  <c r="AA38" i="1"/>
  <c r="AA39" i="1" s="1"/>
  <c r="AA169" i="1"/>
  <c r="AA194" i="1"/>
  <c r="AA260" i="1"/>
  <c r="AA258" i="1"/>
  <c r="AA256" i="1"/>
  <c r="AA28" i="1"/>
  <c r="AA110" i="1"/>
  <c r="AA197" i="1"/>
  <c r="AA196" i="1" s="1"/>
  <c r="AA141" i="1"/>
  <c r="AA180" i="1"/>
  <c r="AA121" i="1" s="1"/>
  <c r="AA187" i="1"/>
  <c r="CT4" i="1"/>
  <c r="AC4" i="1" s="1"/>
  <c r="CP5" i="1"/>
  <c r="AB4" i="1"/>
  <c r="AB5" i="1" s="1"/>
  <c r="CU5" i="1"/>
  <c r="CQ5" i="1"/>
  <c r="CO5" i="1"/>
  <c r="CS5" i="1"/>
  <c r="CY5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K251" i="1"/>
  <c r="CK148" i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H164" i="1"/>
  <c r="CJ251" i="1"/>
  <c r="Z251" i="1"/>
  <c r="AA177" i="1" l="1"/>
  <c r="AA178" i="1" s="1"/>
  <c r="AA198" i="1"/>
  <c r="AA193" i="1"/>
  <c r="AA40" i="1"/>
  <c r="AA29" i="1"/>
  <c r="CT5" i="1"/>
  <c r="CX4" i="1"/>
  <c r="AC5" i="1"/>
  <c r="AD4" i="1"/>
  <c r="AD5" i="1" s="1"/>
  <c r="CW5" i="1"/>
  <c r="CI251" i="1"/>
  <c r="CG148" i="1"/>
  <c r="CG251" i="1"/>
  <c r="CH251" i="1"/>
  <c r="AB25" i="1"/>
  <c r="AC25" i="1"/>
  <c r="AD25" i="1"/>
  <c r="AE25" i="1"/>
  <c r="AB26" i="1"/>
  <c r="AC26" i="1"/>
  <c r="AD26" i="1"/>
  <c r="AE26" i="1"/>
  <c r="AB36" i="1"/>
  <c r="AC36" i="1"/>
  <c r="AD36" i="1"/>
  <c r="AE36" i="1"/>
  <c r="AB37" i="1"/>
  <c r="AC37" i="1"/>
  <c r="AD37" i="1"/>
  <c r="AE37" i="1"/>
  <c r="AB59" i="1"/>
  <c r="AC59" i="1"/>
  <c r="AD59" i="1"/>
  <c r="AE59" i="1"/>
  <c r="AB171" i="1"/>
  <c r="AC171" i="1"/>
  <c r="AD171" i="1"/>
  <c r="AE171" i="1"/>
  <c r="AB185" i="1"/>
  <c r="AC185" i="1"/>
  <c r="AD185" i="1"/>
  <c r="AE185" i="1"/>
  <c r="CE148" i="1"/>
  <c r="CE251" i="1"/>
  <c r="CF251" i="1"/>
  <c r="AI209" i="1"/>
  <c r="AI214" i="1"/>
  <c r="AI218" i="1"/>
  <c r="AI221" i="1"/>
  <c r="AI251" i="1"/>
  <c r="Y251" i="1"/>
  <c r="AM148" i="1"/>
  <c r="AO148" i="1"/>
  <c r="AQ148" i="1"/>
  <c r="AS148" i="1"/>
  <c r="AU148" i="1"/>
  <c r="AW148" i="1"/>
  <c r="AY148" i="1"/>
  <c r="BA148" i="1"/>
  <c r="BC148" i="1"/>
  <c r="BE148" i="1"/>
  <c r="BG148" i="1"/>
  <c r="BI148" i="1"/>
  <c r="BK148" i="1"/>
  <c r="BM148" i="1"/>
  <c r="BO148" i="1"/>
  <c r="BQ148" i="1"/>
  <c r="BS148" i="1"/>
  <c r="BU148" i="1"/>
  <c r="BW148" i="1"/>
  <c r="BY148" i="1"/>
  <c r="CA148" i="1"/>
  <c r="CC148" i="1"/>
  <c r="CD251" i="1"/>
  <c r="CC251" i="1"/>
  <c r="AJ251" i="1"/>
  <c r="AK251" i="1"/>
  <c r="AL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1" i="1" l="1"/>
  <c r="AA46" i="1"/>
  <c r="AA244" i="1"/>
  <c r="AA245" i="1" s="1"/>
  <c r="AA124" i="1"/>
  <c r="DB4" i="1"/>
  <c r="DB5" i="1" s="1"/>
  <c r="CX5" i="1"/>
  <c r="DA5" i="1"/>
  <c r="Y1" i="1"/>
  <c r="Z1" i="1" s="1"/>
  <c r="AA50" i="1" l="1"/>
  <c r="AA67" i="1"/>
  <c r="AE4" i="1"/>
  <c r="AE5" i="1" s="1"/>
  <c r="AA1" i="1"/>
  <c r="AB1" i="1" s="1"/>
  <c r="AC1" i="1" s="1"/>
  <c r="AD1" i="1" s="1"/>
  <c r="AE1" i="1" s="1"/>
  <c r="AA53" i="1" l="1"/>
  <c r="AA52" i="1"/>
  <c r="A1" i="3"/>
  <c r="AA54" i="1" l="1"/>
  <c r="AA257" i="1" s="1"/>
  <c r="AA60" i="1"/>
  <c r="AA246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26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F8" i="3"/>
  <c r="BF16" i="3"/>
  <c r="CL32" i="1" s="1"/>
  <c r="CL11" i="1" s="1"/>
  <c r="BT25" i="3"/>
  <c r="BP28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J14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N20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A34" i="3"/>
  <c r="BD15" i="3"/>
  <c r="AA75" i="2"/>
  <c r="EX16" i="4" a="1"/>
  <c r="FF14" i="4" a="1"/>
  <c r="FF9" i="4" a="1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20" i="1" s="1"/>
  <c r="BH25" i="3"/>
  <c r="BL45" i="3"/>
  <c r="BH27" i="3"/>
  <c r="BH35" i="3"/>
  <c r="BT45" i="3"/>
  <c r="BG40" i="3"/>
  <c r="BF17" i="3"/>
  <c r="CL33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D24" i="3"/>
  <c r="Z33" i="2"/>
  <c r="Y54" i="2"/>
  <c r="Z69" i="2"/>
  <c r="Y87" i="2"/>
  <c r="FD7" i="4" a="1"/>
  <c r="FF12" i="4" a="1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57" i="1" s="1"/>
  <c r="BL7" i="3"/>
  <c r="BN26" i="3"/>
  <c r="BJ46" i="3"/>
  <c r="BL33" i="3"/>
  <c r="BL41" i="3"/>
  <c r="BT8" i="3"/>
  <c r="BM25" i="3"/>
  <c r="BI41" i="3"/>
  <c r="BL18" i="3"/>
  <c r="BF35" i="3"/>
  <c r="CL58" i="1" s="1"/>
  <c r="BG11" i="3"/>
  <c r="BE28" i="3"/>
  <c r="BJ8" i="3"/>
  <c r="BF28" i="3"/>
  <c r="CL44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Z81" i="2"/>
  <c r="BB18" i="3"/>
  <c r="AA73" i="2"/>
  <c r="Z106" i="2"/>
  <c r="Z74" i="2"/>
  <c r="AA70" i="2"/>
  <c r="BD41" i="3"/>
  <c r="BB26" i="3"/>
  <c r="Z32" i="2"/>
  <c r="Y89" i="2"/>
  <c r="Y110" i="2"/>
  <c r="BB11" i="3"/>
  <c r="FA6" i="4" a="1"/>
  <c r="FC5" i="4" a="1"/>
  <c r="EY5" i="4" a="1"/>
  <c r="FB5" i="4" a="1"/>
  <c r="EX8" i="4" a="1"/>
  <c r="Z15" i="2"/>
  <c r="BC19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4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63" i="1" s="1"/>
  <c r="BH9" i="3"/>
  <c r="BJ28" i="3"/>
  <c r="BJ6" i="3"/>
  <c r="BF40" i="3"/>
  <c r="BH11" i="3"/>
  <c r="BT1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Y106" i="2"/>
  <c r="Y25" i="2"/>
  <c r="BA39" i="3"/>
  <c r="BD30" i="3"/>
  <c r="AA74" i="2"/>
  <c r="Y82" i="2"/>
  <c r="Y56" i="2"/>
  <c r="BB42" i="3"/>
  <c r="BC30" i="3"/>
  <c r="BB10" i="3"/>
  <c r="Z34" i="2"/>
  <c r="BB39" i="3"/>
  <c r="Z51" i="2"/>
  <c r="FE12" i="4" a="1"/>
  <c r="FD11" i="4" a="1"/>
  <c r="EZ6" i="4" a="1"/>
  <c r="Z91" i="2"/>
  <c r="BB14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5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47" i="1" s="1"/>
  <c r="BG5" i="3"/>
  <c r="BG66" i="3" s="1"/>
  <c r="BK25" i="3"/>
  <c r="BF18" i="3"/>
  <c r="CL37" i="1" s="1"/>
  <c r="BP92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N12" i="3"/>
  <c r="BM46" i="3"/>
  <c r="BJ30" i="3"/>
  <c r="BT30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G30" i="3"/>
  <c r="BK31" i="3"/>
  <c r="AA62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2" i="3"/>
  <c r="BP33" i="3"/>
  <c r="BP13" i="3"/>
  <c r="BG8" i="3"/>
  <c r="BE13" i="3"/>
  <c r="BM17" i="3"/>
  <c r="BK22" i="3"/>
  <c r="BK36" i="3"/>
  <c r="BF15" i="3"/>
  <c r="CL36" i="1" s="1"/>
  <c r="BH34" i="3"/>
  <c r="BM14" i="3"/>
  <c r="BG35" i="3"/>
  <c r="BH15" i="3"/>
  <c r="BJ12" i="3"/>
  <c r="BL31" i="3"/>
  <c r="BH19" i="3"/>
  <c r="BG79" i="3"/>
  <c r="BG45" i="3"/>
  <c r="BT42" i="3"/>
  <c r="BJ5" i="3"/>
  <c r="BH22" i="3"/>
  <c r="BF39" i="3"/>
  <c r="BK15" i="3"/>
  <c r="BN22" i="3"/>
  <c r="BK45" i="3"/>
  <c r="Y14" i="2"/>
  <c r="Z55" i="2"/>
  <c r="AA53" i="2"/>
  <c r="AA68" i="2"/>
  <c r="AA44" i="2"/>
  <c r="Y24" i="2"/>
  <c r="BD42" i="3"/>
  <c r="AY29" i="3"/>
  <c r="BC25" i="3"/>
  <c r="BC11" i="3"/>
  <c r="Z40" i="2"/>
  <c r="Z14" i="2"/>
  <c r="AA91" i="2"/>
  <c r="AA11" i="2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U9" i="3"/>
  <c r="BU15" i="3"/>
  <c r="BU21" i="3"/>
  <c r="BU27" i="3"/>
  <c r="BU33" i="3"/>
  <c r="BU39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76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27" i="1" s="1"/>
  <c r="BL34" i="3"/>
  <c r="BE14" i="3"/>
  <c r="BM34" i="3"/>
  <c r="BL5" i="3"/>
  <c r="BT28" i="3"/>
  <c r="BP15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E46" i="3"/>
  <c r="BL9" i="3"/>
  <c r="BT19" i="3"/>
  <c r="BP26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BS11" i="3"/>
  <c r="BM27" i="3"/>
  <c r="BI32" i="3"/>
  <c r="BP23" i="3"/>
  <c r="BM23" i="3"/>
  <c r="BE20" i="3"/>
  <c r="BJ36" i="3"/>
  <c r="BP20" i="3"/>
  <c r="BF45" i="3"/>
  <c r="CL75" i="1" s="1"/>
  <c r="CL77" i="1" s="1"/>
  <c r="C4" i="2"/>
  <c r="BD18" i="3"/>
  <c r="AA66" i="2"/>
  <c r="AA58" i="2"/>
  <c r="BA35" i="3"/>
  <c r="Z46" i="2"/>
  <c r="AA34" i="2"/>
  <c r="Y7" i="2"/>
  <c r="AA43" i="2"/>
  <c r="BA38" i="3"/>
  <c r="Z17" i="2"/>
  <c r="FE5" i="4" a="1"/>
  <c r="FD15" i="4" a="1"/>
  <c r="FE8" i="4" a="1"/>
  <c r="EY15" i="4" a="1"/>
  <c r="EZ5" i="4" a="1"/>
  <c r="AA97" i="2"/>
  <c r="BD27" i="3"/>
  <c r="FC14" i="4" a="1"/>
  <c r="FB14" i="4" a="1"/>
  <c r="EZ13" i="4" a="1"/>
  <c r="BS23" i="3"/>
  <c r="BH37" i="3"/>
  <c r="BE9" i="3"/>
  <c r="BM38" i="3"/>
  <c r="BG32" i="3"/>
  <c r="Y13" i="2"/>
  <c r="BB25" i="3"/>
  <c r="Y78" i="2"/>
  <c r="Y16" i="2"/>
  <c r="BD28" i="3"/>
  <c r="AA69" i="2"/>
  <c r="FB6" i="4" a="1"/>
  <c r="BJ38" i="3"/>
  <c r="BK19" i="3"/>
  <c r="BB30" i="3"/>
  <c r="AA30" i="2"/>
  <c r="AA84" i="2"/>
  <c r="Z87" i="2"/>
  <c r="Z28" i="2"/>
  <c r="BB29" i="3"/>
  <c r="FD16" i="4" a="1"/>
  <c r="BI13" i="3"/>
  <c r="BF7" i="3"/>
  <c r="AA93" i="2"/>
  <c r="BK9" i="3"/>
  <c r="BA42" i="3"/>
  <c r="BC9" i="3"/>
  <c r="FC15" i="4" a="1"/>
  <c r="BB8" i="3"/>
  <c r="EZ8" i="4" a="1"/>
  <c r="BH33" i="3"/>
  <c r="Y68" i="2"/>
  <c r="C5" i="2"/>
  <c r="AA60" i="2"/>
  <c r="EZ11" i="4" a="1"/>
  <c r="BI18" i="3"/>
  <c r="BP14" i="3"/>
  <c r="BB17" i="3"/>
  <c r="AA52" i="2"/>
  <c r="Y41" i="2"/>
  <c r="FA9" i="4" a="1"/>
  <c r="BS17" i="3"/>
  <c r="BH6" i="3"/>
  <c r="BN30" i="3"/>
  <c r="BK8" i="3"/>
  <c r="BG38" i="3"/>
  <c r="BM36" i="3"/>
  <c r="BL25" i="3"/>
  <c r="BE31" i="3"/>
  <c r="BM16" i="3"/>
  <c r="AA55" i="2"/>
  <c r="Z109" i="2"/>
  <c r="BA9" i="3"/>
  <c r="AA36" i="2"/>
  <c r="Z68" i="2"/>
  <c r="BC45" i="3"/>
  <c r="Z90" i="2"/>
  <c r="AA21" i="2"/>
  <c r="Z71" i="2"/>
  <c r="Y29" i="2"/>
  <c r="FB8" i="4" a="1"/>
  <c r="FF8" i="4" a="1"/>
  <c r="BN7" i="3"/>
  <c r="BM39" i="3"/>
  <c r="BF32" i="3"/>
  <c r="BE18" i="3"/>
  <c r="Y72" i="2"/>
  <c r="AA8" i="2"/>
  <c r="AA64" i="2"/>
  <c r="Z84" i="2"/>
  <c r="Y40" i="2"/>
  <c r="BD34" i="3"/>
  <c r="FC12" i="4" a="1"/>
  <c r="FC8" i="4" a="1"/>
  <c r="EZ16" i="4" a="1"/>
  <c r="EX12" i="4" a="1"/>
  <c r="AA29" i="2"/>
  <c r="BC31" i="3"/>
  <c r="BA30" i="3"/>
  <c r="FA8" i="4" a="1"/>
  <c r="FE6" i="4" a="1"/>
  <c r="BF29" i="3"/>
  <c r="CL51" i="1" s="1"/>
  <c r="BL17" i="3"/>
  <c r="BA22" i="3"/>
  <c r="Z96" i="2"/>
  <c r="Z57" i="2"/>
  <c r="BA14" i="3"/>
  <c r="Y69" i="2"/>
  <c r="BD40" i="3"/>
  <c r="BB40" i="3"/>
  <c r="EZ12" i="4" a="1"/>
  <c r="FE9" i="4" a="1"/>
  <c r="FF5" i="4" a="1"/>
  <c r="FE14" i="4" a="1"/>
  <c r="BP41" i="3"/>
  <c r="BN23" i="3"/>
  <c r="BD32" i="3"/>
  <c r="Z47" i="2"/>
  <c r="Y98" i="2"/>
  <c r="Y77" i="2"/>
  <c r="EY7" i="4" a="1"/>
  <c r="BP21" i="3"/>
  <c r="BT9" i="3"/>
  <c r="BD33" i="3"/>
  <c r="AA95" i="2"/>
  <c r="FA7" i="4" a="1"/>
  <c r="BI16" i="3"/>
  <c r="Y15" i="2"/>
  <c r="Y93" i="2"/>
  <c r="BD14" i="3"/>
  <c r="EX7" i="4" a="1"/>
  <c r="BI23" i="3"/>
  <c r="BD45" i="3"/>
  <c r="AA31" i="2"/>
  <c r="FD6" i="4" a="1"/>
  <c r="AA108" i="2"/>
  <c r="EX13" i="4" a="1"/>
  <c r="EZ9" i="4" a="1"/>
  <c r="BT16" i="3"/>
  <c r="BL21" i="3"/>
  <c r="BG33" i="3"/>
  <c r="BG18" i="3"/>
  <c r="BP6" i="3"/>
  <c r="BA40" i="3"/>
  <c r="BB12" i="3"/>
  <c r="Z43" i="2"/>
  <c r="FA13" i="4" a="1"/>
  <c r="BT21" i="3"/>
  <c r="BL35" i="3"/>
  <c r="Z25" i="2"/>
  <c r="Y84" i="2"/>
  <c r="BP42" i="3"/>
  <c r="BA31" i="3"/>
  <c r="Z41" i="2"/>
  <c r="FC16" i="4" a="1"/>
  <c r="BG26" i="3"/>
  <c r="BN34" i="3"/>
  <c r="Y10" i="2"/>
  <c r="BB36" i="3"/>
  <c r="BS24" i="3"/>
  <c r="BJ9" i="3"/>
  <c r="BN46" i="3"/>
  <c r="BI9" i="3"/>
  <c r="BK40" i="3"/>
  <c r="BI40" i="3"/>
  <c r="BI33" i="3"/>
  <c r="Y83" i="2"/>
  <c r="BA15" i="3"/>
  <c r="AA24" i="2"/>
  <c r="BC14" i="3"/>
  <c r="Y86" i="2"/>
  <c r="EX5" i="4" a="1"/>
  <c r="EY8" i="4" a="1"/>
  <c r="FA12" i="4" a="1"/>
  <c r="FE7" i="4" a="1"/>
  <c r="BN35" i="3"/>
  <c r="BH29" i="3"/>
  <c r="Z18" i="2"/>
  <c r="AA25" i="2"/>
  <c r="FD8" i="4" a="1"/>
  <c r="BN37" i="3"/>
  <c r="AA104" i="2"/>
  <c r="EZ7" i="4" a="1"/>
  <c r="BC24" i="3"/>
  <c r="EX15" i="4" a="1"/>
  <c r="BG29" i="3"/>
  <c r="Y42" i="2"/>
  <c r="Z19" i="2"/>
  <c r="FD14" i="4" a="1"/>
  <c r="BS29" i="3"/>
  <c r="BL16" i="3"/>
  <c r="AA96" i="2"/>
  <c r="BS38" i="3"/>
  <c r="BF14" i="3"/>
  <c r="CL35" i="1" s="1"/>
  <c r="AA72" i="2"/>
  <c r="AA15" i="2"/>
  <c r="FE15" i="4" a="1"/>
  <c r="BL15" i="3"/>
  <c r="BF25" i="3"/>
  <c r="CL48" i="1" s="1"/>
  <c r="AA77" i="2"/>
  <c r="Z79" i="2"/>
  <c r="BA21" i="3"/>
  <c r="Y97" i="2"/>
  <c r="Z7" i="2"/>
  <c r="FA11" i="4" a="1"/>
  <c r="EX14" i="4" a="1"/>
  <c r="BE23" i="3"/>
  <c r="BL40" i="3"/>
  <c r="BA27" i="3"/>
  <c r="Y70" i="2"/>
  <c r="FF13" i="4" a="1"/>
  <c r="BM30" i="3"/>
  <c r="Y11" i="2"/>
  <c r="BS30" i="3"/>
  <c r="BF31" i="3"/>
  <c r="BT20" i="3"/>
  <c r="BM13" i="3"/>
  <c r="BH18" i="3"/>
  <c r="BL29" i="3"/>
  <c r="BF24" i="3"/>
  <c r="BL8" i="3"/>
  <c r="BI34" i="3"/>
  <c r="AA19" i="2"/>
  <c r="Y32" i="2"/>
  <c r="BD23" i="3"/>
  <c r="Z44" i="2"/>
  <c r="BD6" i="3"/>
  <c r="Z23" i="2"/>
  <c r="Y45" i="2"/>
  <c r="BB33" i="3"/>
  <c r="Y66" i="2"/>
  <c r="Z26" i="2"/>
  <c r="BC35" i="3"/>
  <c r="AA57" i="2"/>
  <c r="FF16" i="4" a="1"/>
  <c r="FA15" i="4" a="1"/>
  <c r="EX9" i="4" a="1"/>
  <c r="EY9" i="4" a="1"/>
  <c r="FB15" i="4" a="1"/>
  <c r="BO36" i="3"/>
  <c r="BF33" i="3"/>
  <c r="BT24" i="3"/>
  <c r="BG14" i="3"/>
  <c r="BH20" i="3"/>
  <c r="BF36" i="3"/>
  <c r="BN36" i="3"/>
  <c r="BN9" i="3"/>
  <c r="BK35" i="3"/>
  <c r="Y88" i="2"/>
  <c r="Z13" i="2"/>
  <c r="BC12" i="3"/>
  <c r="Y62" i="2"/>
  <c r="BA32" i="3"/>
  <c r="Z75" i="2"/>
  <c r="AA22" i="2"/>
  <c r="BD7" i="3"/>
  <c r="BB6" i="3"/>
  <c r="Z97" i="2"/>
  <c r="Z93" i="2"/>
  <c r="Y53" i="2"/>
  <c r="EX11" i="4" a="1"/>
  <c r="FF7" i="4" a="1"/>
  <c r="BI8" i="3"/>
  <c r="BB35" i="3"/>
  <c r="FB12" i="4" a="1"/>
  <c r="BK18" i="3"/>
  <c r="Y107" i="2"/>
  <c r="FB7" i="4" a="1"/>
  <c r="FE13" i="4" a="1"/>
  <c r="Z56" i="2"/>
  <c r="BP29" i="3"/>
  <c r="BP8" i="3"/>
  <c r="FC13" i="4" a="1"/>
  <c r="BP7" i="3"/>
  <c r="BH42" i="3"/>
  <c r="Y44" i="2"/>
  <c r="FC6" i="4" a="1"/>
  <c r="FA5" i="4" a="1"/>
  <c r="BT33" i="3"/>
  <c r="BI12" i="3"/>
  <c r="BP37" i="3"/>
  <c r="BE19" i="3"/>
  <c r="BJ39" i="3"/>
  <c r="BH17" i="3"/>
  <c r="BT13" i="3"/>
  <c r="BH26" i="3"/>
  <c r="BJ40" i="3"/>
  <c r="Y28" i="2"/>
  <c r="BA45" i="3"/>
  <c r="AA87" i="2"/>
  <c r="Z61" i="2"/>
  <c r="BA41" i="3"/>
  <c r="Z35" i="2"/>
  <c r="Y81" i="2"/>
  <c r="BC22" i="3"/>
  <c r="FB16" i="4" a="1"/>
  <c r="EY6" i="4" a="1"/>
  <c r="Z24" i="2"/>
  <c r="FE16" i="4" a="1"/>
  <c r="BG59" i="3" l="1"/>
  <c r="BQ56" i="3"/>
  <c r="BQ62" i="3"/>
  <c r="AA64" i="1"/>
  <c r="AA205" i="1"/>
  <c r="AA207" i="1" s="1"/>
  <c r="AA66" i="1"/>
  <c r="CL21" i="1"/>
  <c r="CL59" i="1"/>
  <c r="CL38" i="1"/>
  <c r="CL22" i="1"/>
  <c r="CL8" i="1" s="1"/>
  <c r="CL243" i="1"/>
  <c r="CL206" i="1"/>
  <c r="CL265" i="1"/>
  <c r="CL264" i="1"/>
  <c r="CK47" i="1"/>
  <c r="Z59" i="1"/>
  <c r="CK37" i="1"/>
  <c r="CK21" i="1"/>
  <c r="CK76" i="1"/>
  <c r="CK63" i="1"/>
  <c r="CK35" i="1"/>
  <c r="CK26" i="1"/>
  <c r="CK75" i="1"/>
  <c r="CK59" i="1"/>
  <c r="CK51" i="1"/>
  <c r="CK58" i="1"/>
  <c r="CK33" i="1"/>
  <c r="CK44" i="1"/>
  <c r="CK25" i="1"/>
  <c r="CK34" i="1"/>
  <c r="CK20" i="1"/>
  <c r="CK22" i="1" s="1"/>
  <c r="CL24" i="1" s="1"/>
  <c r="CK27" i="1"/>
  <c r="CK48" i="1"/>
  <c r="CK36" i="1"/>
  <c r="CK32" i="1"/>
  <c r="CK11" i="1" s="1"/>
  <c r="CK57" i="1"/>
  <c r="CH57" i="1"/>
  <c r="CH27" i="1"/>
  <c r="X138" i="1"/>
  <c r="X166" i="1" s="1"/>
  <c r="Z134" i="1"/>
  <c r="CH134" i="1" s="1"/>
  <c r="CI134" i="1" s="1"/>
  <c r="Z35" i="1"/>
  <c r="Z167" i="1"/>
  <c r="CH167" i="1" s="1"/>
  <c r="CH51" i="1"/>
  <c r="CJ57" i="1"/>
  <c r="CJ21" i="1"/>
  <c r="X79" i="1"/>
  <c r="Y130" i="1"/>
  <c r="X59" i="1"/>
  <c r="Y33" i="1"/>
  <c r="X144" i="1"/>
  <c r="X129" i="1"/>
  <c r="Y129" i="1"/>
  <c r="Y21" i="1"/>
  <c r="Z183" i="1"/>
  <c r="Z90" i="1"/>
  <c r="Y162" i="1"/>
  <c r="Y144" i="1"/>
  <c r="X165" i="1"/>
  <c r="Y131" i="1"/>
  <c r="Y184" i="1"/>
  <c r="CI58" i="1"/>
  <c r="Y172" i="1"/>
  <c r="Z171" i="1"/>
  <c r="X37" i="1"/>
  <c r="CH44" i="1"/>
  <c r="CH206" i="1" s="1"/>
  <c r="CJ35" i="1"/>
  <c r="CI59" i="1"/>
  <c r="CJ36" i="1"/>
  <c r="CH47" i="1"/>
  <c r="CG48" i="1"/>
  <c r="X158" i="1"/>
  <c r="Y139" i="1"/>
  <c r="X90" i="1"/>
  <c r="Z48" i="1"/>
  <c r="Z176" i="1"/>
  <c r="CH176" i="1" s="1"/>
  <c r="CI176" i="1" s="1"/>
  <c r="X183" i="1"/>
  <c r="Y58" i="1"/>
  <c r="Z175" i="1"/>
  <c r="CH175" i="1" s="1"/>
  <c r="CI175" i="1" s="1"/>
  <c r="Y163" i="1"/>
  <c r="X163" i="1"/>
  <c r="X44" i="1"/>
  <c r="Z149" i="1"/>
  <c r="CH149" i="1" s="1"/>
  <c r="CI149" i="1" s="1"/>
  <c r="CH25" i="1"/>
  <c r="CG37" i="1"/>
  <c r="CJ33" i="1"/>
  <c r="Y44" i="1"/>
  <c r="Y152" i="1"/>
  <c r="Z131" i="1"/>
  <c r="CJ26" i="1"/>
  <c r="CG57" i="1"/>
  <c r="CG47" i="1"/>
  <c r="CI20" i="1"/>
  <c r="CG25" i="1"/>
  <c r="CG34" i="1"/>
  <c r="CH58" i="1"/>
  <c r="CH20" i="1"/>
  <c r="CH63" i="1"/>
  <c r="CG27" i="1"/>
  <c r="CJ48" i="1"/>
  <c r="CI57" i="1"/>
  <c r="CJ32" i="1"/>
  <c r="X147" i="1"/>
  <c r="X143" i="1" s="1"/>
  <c r="Y138" i="1"/>
  <c r="Y166" i="1" s="1"/>
  <c r="Z47" i="1"/>
  <c r="Y57" i="1"/>
  <c r="X149" i="1"/>
  <c r="Y176" i="1"/>
  <c r="X21" i="1"/>
  <c r="X184" i="1"/>
  <c r="Z44" i="1"/>
  <c r="Z206" i="1" s="1"/>
  <c r="X139" i="1"/>
  <c r="X137" i="1"/>
  <c r="CI47" i="1"/>
  <c r="CH26" i="1"/>
  <c r="CI34" i="1"/>
  <c r="CH59" i="1"/>
  <c r="CJ76" i="1"/>
  <c r="CI76" i="1" s="1"/>
  <c r="CH76" i="1" s="1"/>
  <c r="CG76" i="1" s="1"/>
  <c r="CF76" i="1" s="1"/>
  <c r="CE76" i="1" s="1"/>
  <c r="CD76" i="1" s="1"/>
  <c r="CC76" i="1" s="1"/>
  <c r="CB76" i="1" s="1"/>
  <c r="CA76" i="1" s="1"/>
  <c r="BZ76" i="1" s="1"/>
  <c r="BY76" i="1" s="1"/>
  <c r="BX76" i="1" s="1"/>
  <c r="BW76" i="1" s="1"/>
  <c r="BV76" i="1" s="1"/>
  <c r="BU76" i="1" s="1"/>
  <c r="BT76" i="1" s="1"/>
  <c r="BS76" i="1" s="1"/>
  <c r="BR76" i="1" s="1"/>
  <c r="BQ76" i="1" s="1"/>
  <c r="BP76" i="1" s="1"/>
  <c r="BO76" i="1" s="1"/>
  <c r="BN76" i="1" s="1"/>
  <c r="BM76" i="1" s="1"/>
  <c r="BL76" i="1" s="1"/>
  <c r="BK76" i="1" s="1"/>
  <c r="BJ76" i="1" s="1"/>
  <c r="BI76" i="1" s="1"/>
  <c r="BH76" i="1" s="1"/>
  <c r="BG76" i="1" s="1"/>
  <c r="BF76" i="1" s="1"/>
  <c r="BE76" i="1" s="1"/>
  <c r="BD76" i="1" s="1"/>
  <c r="BC76" i="1" s="1"/>
  <c r="BB76" i="1" s="1"/>
  <c r="BA76" i="1" s="1"/>
  <c r="AZ76" i="1" s="1"/>
  <c r="AY76" i="1" s="1"/>
  <c r="AX76" i="1" s="1"/>
  <c r="AW76" i="1" s="1"/>
  <c r="AV76" i="1" s="1"/>
  <c r="AU76" i="1" s="1"/>
  <c r="AT76" i="1" s="1"/>
  <c r="AS76" i="1" s="1"/>
  <c r="AR76" i="1" s="1"/>
  <c r="AQ76" i="1" s="1"/>
  <c r="AP76" i="1" s="1"/>
  <c r="AO76" i="1" s="1"/>
  <c r="AN76" i="1" s="1"/>
  <c r="AM76" i="1" s="1"/>
  <c r="AL76" i="1" s="1"/>
  <c r="AK76" i="1" s="1"/>
  <c r="AJ76" i="1" s="1"/>
  <c r="AI76" i="1" s="1"/>
  <c r="CG35" i="1"/>
  <c r="CJ44" i="1"/>
  <c r="CG26" i="1"/>
  <c r="Z58" i="1"/>
  <c r="Z163" i="1"/>
  <c r="CH163" i="1" s="1"/>
  <c r="X51" i="1"/>
  <c r="Z57" i="1"/>
  <c r="X157" i="1"/>
  <c r="Y134" i="1"/>
  <c r="X167" i="1"/>
  <c r="Z36" i="1"/>
  <c r="X134" i="1"/>
  <c r="Z145" i="1"/>
  <c r="CH145" i="1" s="1"/>
  <c r="CI145" i="1" s="1"/>
  <c r="Z152" i="1"/>
  <c r="AA214" i="1" s="1"/>
  <c r="Z27" i="1"/>
  <c r="X25" i="1"/>
  <c r="Y89" i="1"/>
  <c r="Y182" i="1"/>
  <c r="Z182" i="1"/>
  <c r="X136" i="1"/>
  <c r="Y63" i="1"/>
  <c r="Y37" i="1"/>
  <c r="Y171" i="1"/>
  <c r="Z130" i="1"/>
  <c r="CH130" i="1" s="1"/>
  <c r="CI130" i="1" s="1"/>
  <c r="Y47" i="1"/>
  <c r="Y167" i="1"/>
  <c r="Z91" i="1"/>
  <c r="Z155" i="1"/>
  <c r="CH155" i="1" s="1"/>
  <c r="Z139" i="1"/>
  <c r="CH139" i="1" s="1"/>
  <c r="CI139" i="1" s="1"/>
  <c r="Y155" i="1"/>
  <c r="Y20" i="1"/>
  <c r="Y243" i="1" s="1"/>
  <c r="CG58" i="1"/>
  <c r="CJ75" i="1"/>
  <c r="CI75" i="1" s="1"/>
  <c r="CH75" i="1" s="1"/>
  <c r="CG75" i="1" s="1"/>
  <c r="CF75" i="1" s="1"/>
  <c r="CE75" i="1" s="1"/>
  <c r="CD75" i="1" s="1"/>
  <c r="CC75" i="1" s="1"/>
  <c r="CB75" i="1" s="1"/>
  <c r="CA75" i="1" s="1"/>
  <c r="BZ75" i="1" s="1"/>
  <c r="BY75" i="1" s="1"/>
  <c r="BX75" i="1" s="1"/>
  <c r="BW75" i="1" s="1"/>
  <c r="BV75" i="1" s="1"/>
  <c r="BU75" i="1" s="1"/>
  <c r="BT75" i="1" s="1"/>
  <c r="BS75" i="1" s="1"/>
  <c r="BR75" i="1" s="1"/>
  <c r="BQ75" i="1" s="1"/>
  <c r="BP75" i="1" s="1"/>
  <c r="BO75" i="1" s="1"/>
  <c r="BN75" i="1" s="1"/>
  <c r="BM75" i="1" s="1"/>
  <c r="BL75" i="1" s="1"/>
  <c r="BK75" i="1" s="1"/>
  <c r="BJ75" i="1" s="1"/>
  <c r="BI75" i="1" s="1"/>
  <c r="BH75" i="1" s="1"/>
  <c r="BG75" i="1" s="1"/>
  <c r="BF75" i="1" s="1"/>
  <c r="BE75" i="1" s="1"/>
  <c r="BD75" i="1" s="1"/>
  <c r="BC75" i="1" s="1"/>
  <c r="BB75" i="1" s="1"/>
  <c r="BA75" i="1" s="1"/>
  <c r="AZ75" i="1" s="1"/>
  <c r="AY75" i="1" s="1"/>
  <c r="AX75" i="1" s="1"/>
  <c r="AW75" i="1" s="1"/>
  <c r="AV75" i="1" s="1"/>
  <c r="AU75" i="1" s="1"/>
  <c r="AT75" i="1" s="1"/>
  <c r="AS75" i="1" s="1"/>
  <c r="AR75" i="1" s="1"/>
  <c r="AQ75" i="1" s="1"/>
  <c r="AP75" i="1" s="1"/>
  <c r="AO75" i="1" s="1"/>
  <c r="AN75" i="1" s="1"/>
  <c r="AM75" i="1" s="1"/>
  <c r="AL75" i="1" s="1"/>
  <c r="AK75" i="1" s="1"/>
  <c r="AJ75" i="1" s="1"/>
  <c r="AI75" i="1" s="1"/>
  <c r="CH37" i="1"/>
  <c r="CH34" i="1"/>
  <c r="CJ58" i="1"/>
  <c r="CG44" i="1"/>
  <c r="CI63" i="1"/>
  <c r="CI51" i="1"/>
  <c r="CG63" i="1"/>
  <c r="CH35" i="1"/>
  <c r="CJ20" i="1"/>
  <c r="CI35" i="1"/>
  <c r="CJ27" i="1"/>
  <c r="CJ25" i="1"/>
  <c r="CG20" i="1"/>
  <c r="CG243" i="1" s="1"/>
  <c r="CI33" i="1"/>
  <c r="CH32" i="1"/>
  <c r="CI44" i="1"/>
  <c r="CI206" i="1" s="1"/>
  <c r="CG36" i="1"/>
  <c r="X172" i="1"/>
  <c r="Y148" i="1"/>
  <c r="Y35" i="1"/>
  <c r="Z129" i="1"/>
  <c r="CH129" i="1" s="1"/>
  <c r="CI129" i="1" s="1"/>
  <c r="X48" i="1"/>
  <c r="Y147" i="1"/>
  <c r="Y143" i="1" s="1"/>
  <c r="Y59" i="1"/>
  <c r="Y27" i="1"/>
  <c r="X152" i="1"/>
  <c r="Y34" i="1"/>
  <c r="X35" i="1"/>
  <c r="X161" i="1"/>
  <c r="X89" i="1"/>
  <c r="Y159" i="1"/>
  <c r="Y183" i="1"/>
  <c r="Z156" i="1"/>
  <c r="Z144" i="1"/>
  <c r="CH144" i="1" s="1"/>
  <c r="Y158" i="1"/>
  <c r="Z25" i="1"/>
  <c r="Z20" i="1"/>
  <c r="Z243" i="1" s="1"/>
  <c r="Y157" i="1"/>
  <c r="Z63" i="1"/>
  <c r="Z161" i="1"/>
  <c r="CH161" i="1" s="1"/>
  <c r="Z147" i="1"/>
  <c r="CH147" i="1" s="1"/>
  <c r="CI147" i="1" s="1"/>
  <c r="Y25" i="1"/>
  <c r="Y175" i="1"/>
  <c r="X58" i="1"/>
  <c r="X159" i="1"/>
  <c r="Z158" i="1"/>
  <c r="CH158" i="1" s="1"/>
  <c r="Z51" i="1"/>
  <c r="Y32" i="1"/>
  <c r="Y11" i="1" s="1"/>
  <c r="X175" i="1"/>
  <c r="Z137" i="1"/>
  <c r="CH137" i="1" s="1"/>
  <c r="CI137" i="1" s="1"/>
  <c r="X91" i="1"/>
  <c r="X34" i="1"/>
  <c r="X130" i="1"/>
  <c r="Y79" i="1"/>
  <c r="Z89" i="1"/>
  <c r="X33" i="1"/>
  <c r="X131" i="1"/>
  <c r="Y90" i="1"/>
  <c r="Z138" i="1"/>
  <c r="CH138" i="1" s="1"/>
  <c r="CI138" i="1" s="1"/>
  <c r="Y48" i="1"/>
  <c r="Y136" i="1"/>
  <c r="X20" i="1"/>
  <c r="X243" i="1" s="1"/>
  <c r="CI36" i="1"/>
  <c r="CJ51" i="1"/>
  <c r="CH36" i="1"/>
  <c r="CI26" i="1"/>
  <c r="CJ47" i="1"/>
  <c r="CI27" i="1"/>
  <c r="CI25" i="1"/>
  <c r="CG51" i="1"/>
  <c r="CG32" i="1"/>
  <c r="CH48" i="1"/>
  <c r="CI48" i="1"/>
  <c r="CI32" i="1"/>
  <c r="CJ34" i="1"/>
  <c r="CJ37" i="1"/>
  <c r="CH33" i="1"/>
  <c r="CE51" i="1"/>
  <c r="CG59" i="1"/>
  <c r="CJ59" i="1"/>
  <c r="CG21" i="1"/>
  <c r="CG33" i="1"/>
  <c r="CI37" i="1"/>
  <c r="CJ63" i="1"/>
  <c r="CH21" i="1"/>
  <c r="CI21" i="1"/>
  <c r="Y154" i="1"/>
  <c r="X63" i="1"/>
  <c r="Z136" i="1"/>
  <c r="CH136" i="1" s="1"/>
  <c r="CI136" i="1" s="1"/>
  <c r="Y145" i="1"/>
  <c r="Y36" i="1"/>
  <c r="X57" i="1"/>
  <c r="Z184" i="1"/>
  <c r="X27" i="1"/>
  <c r="Y161" i="1"/>
  <c r="Z172" i="1"/>
  <c r="CH172" i="1" s="1"/>
  <c r="X154" i="1"/>
  <c r="Y165" i="1"/>
  <c r="Y51" i="1"/>
  <c r="Z21" i="1"/>
  <c r="Z162" i="1"/>
  <c r="CH162" i="1" s="1"/>
  <c r="Y91" i="1"/>
  <c r="X47" i="1"/>
  <c r="X148" i="1"/>
  <c r="Z148" i="1"/>
  <c r="CH148" i="1" s="1"/>
  <c r="CI148" i="1" s="1"/>
  <c r="Z159" i="1"/>
  <c r="CH159" i="1" s="1"/>
  <c r="X145" i="1"/>
  <c r="Z32" i="1"/>
  <c r="Z11" i="1" s="1"/>
  <c r="Z157" i="1"/>
  <c r="CH157" i="1" s="1"/>
  <c r="Z154" i="1"/>
  <c r="CH154" i="1" s="1"/>
  <c r="X171" i="1"/>
  <c r="X162" i="1"/>
  <c r="Y137" i="1"/>
  <c r="Z33" i="1"/>
  <c r="Z34" i="1"/>
  <c r="Z79" i="1"/>
  <c r="Z37" i="1"/>
  <c r="X156" i="1"/>
  <c r="Y149" i="1"/>
  <c r="Y156" i="1"/>
  <c r="X176" i="1"/>
  <c r="X36" i="1"/>
  <c r="X32" i="1"/>
  <c r="X11" i="1" s="1"/>
  <c r="Z165" i="1"/>
  <c r="CH165" i="1" s="1"/>
  <c r="X155" i="1"/>
  <c r="X182" i="1"/>
  <c r="JP9" i="4" s="1"/>
  <c r="JP16" i="4" s="1"/>
  <c r="JO16" i="4" s="1"/>
  <c r="JO9" i="4" s="1"/>
  <c r="JN9" i="4" s="1"/>
  <c r="JN16" i="4" s="1"/>
  <c r="BK70" i="3"/>
  <c r="BF87" i="3"/>
  <c r="CL164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6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36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FG14" i="4" a="1"/>
  <c r="BP67" i="3"/>
  <c r="BF79" i="3"/>
  <c r="CL155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6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0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5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4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47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BK84" i="3"/>
  <c r="BP60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5" i="1" s="1"/>
  <c r="BQ86" i="3"/>
  <c r="BQ64" i="3"/>
  <c r="BQ95" i="3"/>
  <c r="BR93" i="3"/>
  <c r="BV77" i="3"/>
  <c r="BT94" i="3"/>
  <c r="BN65" i="3"/>
  <c r="BO80" i="3"/>
  <c r="BH62" i="3"/>
  <c r="BP57" i="3"/>
  <c r="BP48" i="3"/>
  <c r="BJ86" i="3"/>
  <c r="BA59" i="3"/>
  <c r="BA85" i="3"/>
  <c r="BQ85" i="3"/>
  <c r="BH81" i="3"/>
  <c r="BL97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1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2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BH61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8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2" i="1" s="1"/>
  <c r="BF82" i="3"/>
  <c r="CL157" i="1" s="1"/>
  <c r="CL192" i="1" s="1"/>
  <c r="CM192" i="1" s="1"/>
  <c r="CN192" i="1" s="1"/>
  <c r="CO192" i="1" s="1"/>
  <c r="CP192" i="1" s="1"/>
  <c r="CQ192" i="1" s="1"/>
  <c r="CR192" i="1" s="1"/>
  <c r="CS192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V48" i="3"/>
  <c r="BT49" i="3"/>
  <c r="BH5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2" i="1" s="1"/>
  <c r="BB65" i="3"/>
  <c r="BB74" i="3"/>
  <c r="BB78" i="3"/>
  <c r="BG77" i="3"/>
  <c r="BH68" i="3"/>
  <c r="BF88" i="3"/>
  <c r="CL139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U58" i="3"/>
  <c r="BL81" i="3"/>
  <c r="BC47" i="3"/>
  <c r="BG85" i="3"/>
  <c r="BF60" i="3"/>
  <c r="CL134" i="1" s="1"/>
  <c r="BB67" i="3"/>
  <c r="BP86" i="3"/>
  <c r="BI89" i="3"/>
  <c r="BA47" i="3"/>
  <c r="BH67" i="3"/>
  <c r="BL94" i="3"/>
  <c r="BE97" i="3"/>
  <c r="BQ93" i="3"/>
  <c r="BR62" i="3"/>
  <c r="BT90" i="3"/>
  <c r="BO87" i="3"/>
  <c r="BS82" i="3"/>
  <c r="BU77" i="3"/>
  <c r="BR75" i="3"/>
  <c r="BV91" i="3"/>
  <c r="BT67" i="3"/>
  <c r="BN86" i="3"/>
  <c r="BN47" i="3"/>
  <c r="BF81" i="3"/>
  <c r="CL156" i="1" s="1"/>
  <c r="CL191" i="1" s="1"/>
  <c r="CM191" i="1" s="1"/>
  <c r="CN191" i="1" s="1"/>
  <c r="CO191" i="1" s="1"/>
  <c r="CP191" i="1" s="1"/>
  <c r="CQ191" i="1" s="1"/>
  <c r="CR191" i="1" s="1"/>
  <c r="CS191" i="1" s="1"/>
  <c r="CT191" i="1" s="1"/>
  <c r="BO83" i="3"/>
  <c r="BG48" i="3"/>
  <c r="BE67" i="3"/>
  <c r="BM75" i="3"/>
  <c r="BJ74" i="3"/>
  <c r="BJ48" i="3"/>
  <c r="BJ81" i="3"/>
  <c r="BK76" i="3"/>
  <c r="GT14" i="4" a="1"/>
  <c r="FO8" i="4" a="1"/>
  <c r="GX9" i="4" a="1"/>
  <c r="FO5" i="4" a="1"/>
  <c r="FY6" i="4" a="1"/>
  <c r="FQ12" i="4" a="1"/>
  <c r="FK6" i="4" a="1"/>
  <c r="GZ9" i="4" a="1"/>
  <c r="GO9" i="4" a="1"/>
  <c r="GS8" i="4" a="1"/>
  <c r="HD5" i="4" a="1"/>
  <c r="FZ5" i="4" a="1"/>
  <c r="GU5" i="4" a="1"/>
  <c r="GY7" i="4" a="1"/>
  <c r="GD5" i="4" a="1"/>
  <c r="GN5" i="4" a="1"/>
  <c r="FS7" i="4" a="1"/>
  <c r="FO11" i="4" a="1"/>
  <c r="FW12" i="4" a="1"/>
  <c r="FY13" i="4" a="1"/>
  <c r="FP9" i="4" a="1"/>
  <c r="GF12" i="4" a="1"/>
  <c r="GH13" i="4" a="1"/>
  <c r="GJ14" i="4" a="1"/>
  <c r="FQ11" i="4" a="1"/>
  <c r="GP14" i="4" a="1"/>
  <c r="GX15" i="4" a="1"/>
  <c r="FX16" i="4" a="1"/>
  <c r="GZ16" i="4" a="1"/>
  <c r="GP6" i="4" a="1"/>
  <c r="FM13" i="4" a="1"/>
  <c r="FT15" i="4" a="1"/>
  <c r="HH8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Z112" i="2"/>
  <c r="GA12" i="4" a="1"/>
  <c r="BP70" i="3"/>
  <c r="BL47" i="3"/>
  <c r="BQ71" i="3"/>
  <c r="BO84" i="3"/>
  <c r="BU57" i="3"/>
  <c r="BR81" i="3"/>
  <c r="BT79" i="3"/>
  <c r="BN87" i="3"/>
  <c r="BL73" i="3"/>
  <c r="FX6" i="4" a="1"/>
  <c r="HH6" i="4" a="1"/>
  <c r="HE12" i="4" a="1"/>
  <c r="HB9" i="4" a="1"/>
  <c r="FS13" i="4" a="1"/>
  <c r="BL84" i="3"/>
  <c r="BC72" i="3"/>
  <c r="BG91" i="3"/>
  <c r="BB96" i="3"/>
  <c r="BG58" i="3"/>
  <c r="BD75" i="3"/>
  <c r="BI88" i="3"/>
  <c r="BA88" i="3"/>
  <c r="BH74" i="3"/>
  <c r="BL65" i="3"/>
  <c r="BI58" i="3"/>
  <c r="BQ84" i="3"/>
  <c r="BR91" i="3"/>
  <c r="BN76" i="3"/>
  <c r="BO90" i="3"/>
  <c r="BS72" i="3"/>
  <c r="BU91" i="3"/>
  <c r="BR84" i="3"/>
  <c r="BV90" i="3"/>
  <c r="BT72" i="3"/>
  <c r="BN82" i="3"/>
  <c r="BN56" i="3"/>
  <c r="BF67" i="3"/>
  <c r="BO78" i="3"/>
  <c r="BG62" i="3"/>
  <c r="BE69" i="3"/>
  <c r="BM47" i="3"/>
  <c r="BJ82" i="3"/>
  <c r="BJ55" i="3"/>
  <c r="BK69" i="3"/>
  <c r="BK86" i="3"/>
  <c r="GE15" i="4" a="1"/>
  <c r="FY8" i="4" a="1"/>
  <c r="HH9" i="4" a="1"/>
  <c r="GA5" i="4" a="1"/>
  <c r="GG6" i="4" a="1"/>
  <c r="GC14" i="4" a="1"/>
  <c r="GI6" i="4" a="1"/>
  <c r="FV11" i="4" a="1"/>
  <c r="GI5" i="4" a="1"/>
  <c r="FL6" i="4" a="1"/>
  <c r="GM11" i="4" a="1"/>
  <c r="GJ5" i="4" a="1"/>
  <c r="FT6" i="4" a="1"/>
  <c r="FY12" i="4" a="1"/>
  <c r="GY5" i="4" a="1"/>
  <c r="GW6" i="4" a="1"/>
  <c r="FL12" i="4" a="1"/>
  <c r="FS11" i="4" a="1"/>
  <c r="FZ12" i="4" a="1"/>
  <c r="GB13" i="4" a="1"/>
  <c r="GI11" i="4" a="1"/>
  <c r="GK12" i="4" a="1"/>
  <c r="GM13" i="4" a="1"/>
  <c r="GO14" i="4" a="1"/>
  <c r="GG11" i="4" a="1"/>
  <c r="FL15" i="4" a="1"/>
  <c r="GZ15" i="4" a="1"/>
  <c r="FZ16" i="4" a="1"/>
  <c r="HB16" i="4" a="1"/>
  <c r="GJ7" i="4" a="1"/>
  <c r="FX13" i="4" a="1"/>
  <c r="FX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GA14" i="4" a="1"/>
  <c r="BC61" i="3"/>
  <c r="BA49" i="3"/>
  <c r="BU50" i="3"/>
  <c r="BG54" i="3"/>
  <c r="BB50" i="3"/>
  <c r="BG64" i="3"/>
  <c r="BD82" i="3"/>
  <c r="BI92" i="3"/>
  <c r="BC56" i="3"/>
  <c r="BH92" i="3"/>
  <c r="BL59" i="3"/>
  <c r="BI90" i="3"/>
  <c r="BQ79" i="3"/>
  <c r="BR50" i="3"/>
  <c r="BO97" i="3"/>
  <c r="BS80" i="3"/>
  <c r="BS69" i="3"/>
  <c r="BU92" i="3"/>
  <c r="BR82" i="3"/>
  <c r="BV76" i="3"/>
  <c r="BT64" i="3"/>
  <c r="BN77" i="3"/>
  <c r="BN68" i="3"/>
  <c r="BF73" i="3"/>
  <c r="BO93" i="3"/>
  <c r="BG84" i="3"/>
  <c r="BE73" i="3"/>
  <c r="BM83" i="3"/>
  <c r="BJ84" i="3"/>
  <c r="BJ64" i="3"/>
  <c r="BK82" i="3"/>
  <c r="BK90" i="3"/>
  <c r="FM5" i="4" a="1"/>
  <c r="GK8" i="4" a="1"/>
  <c r="HE8" i="4" a="1"/>
  <c r="FH5" i="4" a="1"/>
  <c r="FL9" i="4" a="1"/>
  <c r="HD14" i="4" a="1"/>
  <c r="HB6" i="4" a="1"/>
  <c r="GS5" i="4" a="1"/>
  <c r="GF5" i="4" a="1"/>
  <c r="FR6" i="4" a="1"/>
  <c r="FI12" i="4" a="1"/>
  <c r="FM6" i="4" a="1"/>
  <c r="GR6" i="4" a="1"/>
  <c r="GZ12" i="4" a="1"/>
  <c r="FU6" i="4" a="1"/>
  <c r="HB7" i="4" a="1"/>
  <c r="GR12" i="4" a="1"/>
  <c r="FW11" i="4" a="1"/>
  <c r="GE12" i="4" a="1"/>
  <c r="GG13" i="4" a="1"/>
  <c r="GL11" i="4" a="1"/>
  <c r="GN12" i="4" a="1"/>
  <c r="GP13" i="4" a="1"/>
  <c r="GR14" i="4" a="1"/>
  <c r="GR11" i="4" a="1"/>
  <c r="FP15" i="4" a="1"/>
  <c r="HB15" i="4" a="1"/>
  <c r="GB16" i="4" a="1"/>
  <c r="HD16" i="4" a="1"/>
  <c r="FV8" i="4" a="1"/>
  <c r="GS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FK7" i="4" a="1"/>
  <c r="GG12" i="4" a="1"/>
  <c r="FG7" i="4" a="1"/>
  <c r="GL7" i="4" a="1"/>
  <c r="FV13" i="4" a="1"/>
  <c r="FR7" i="4" a="1"/>
  <c r="GS12" i="4" a="1"/>
  <c r="GW14" i="4" a="1"/>
  <c r="GQ12" i="4" a="1"/>
  <c r="HB8" i="4" a="1"/>
  <c r="FM11" i="4" a="1"/>
  <c r="GW11" i="4" a="1"/>
  <c r="GM14" i="4" a="1"/>
  <c r="GQ15" i="4" a="1"/>
  <c r="FM16" i="4" a="1"/>
  <c r="GK16" i="4" a="1"/>
  <c r="BC81" i="3"/>
  <c r="BC91" i="3"/>
  <c r="BV89" i="3"/>
  <c r="BI65" i="3"/>
  <c r="BF68" i="3"/>
  <c r="CL146" i="1" s="1"/>
  <c r="HG5" i="4" a="1"/>
  <c r="GR7" i="4" a="1"/>
  <c r="GB12" i="4" a="1"/>
  <c r="HC6" i="4" a="1"/>
  <c r="FX8" i="4" a="1"/>
  <c r="FL8" i="4" a="1"/>
  <c r="FM14" i="4" a="1"/>
  <c r="GX12" i="4" a="1"/>
  <c r="GY11" i="4" a="1"/>
  <c r="FU13" i="4" a="1"/>
  <c r="HH15" i="4" a="1"/>
  <c r="GO11" i="4" a="1"/>
  <c r="HC14" i="4" a="1"/>
  <c r="BC76" i="3"/>
  <c r="BD66" i="3"/>
  <c r="BH55" i="3"/>
  <c r="BE84" i="3"/>
  <c r="BV47" i="3"/>
  <c r="BS68" i="3"/>
  <c r="BR87" i="3"/>
  <c r="BV92" i="3"/>
  <c r="BN64" i="3"/>
  <c r="BS81" i="3"/>
  <c r="BI71" i="3"/>
  <c r="BF74" i="3"/>
  <c r="BJ76" i="3"/>
  <c r="BJ67" i="3"/>
  <c r="BK65" i="3"/>
  <c r="FG5" i="4" a="1"/>
  <c r="BA68" i="3"/>
  <c r="BM91" i="3"/>
  <c r="BM93" i="3"/>
  <c r="BB92" i="3"/>
  <c r="BG93" i="3"/>
  <c r="BD62" i="3"/>
  <c r="BI84" i="3"/>
  <c r="BD92" i="3"/>
  <c r="BH84" i="3"/>
  <c r="BL69" i="3"/>
  <c r="BI54" i="3"/>
  <c r="BQ74" i="3"/>
  <c r="BR57" i="3"/>
  <c r="BO63" i="3"/>
  <c r="BS63" i="3"/>
  <c r="BS56" i="3"/>
  <c r="BU65" i="3"/>
  <c r="BR80" i="3"/>
  <c r="BV58" i="3"/>
  <c r="BT70" i="3"/>
  <c r="BN95" i="3"/>
  <c r="BN72" i="3"/>
  <c r="BF55" i="3"/>
  <c r="BS62" i="3"/>
  <c r="BH97" i="3"/>
  <c r="BE81" i="3"/>
  <c r="BM63" i="3"/>
  <c r="BJ47" i="3"/>
  <c r="BJ92" i="3"/>
  <c r="BK77" i="3"/>
  <c r="BK95" i="3"/>
  <c r="FS5" i="4" a="1"/>
  <c r="GM5" i="4" a="1"/>
  <c r="GI9" i="4" a="1"/>
  <c r="FV5" i="4" a="1"/>
  <c r="GJ9" i="4" a="1"/>
  <c r="FW15" i="4" a="1"/>
  <c r="GM8" i="4" a="1"/>
  <c r="GK5" i="4" a="1"/>
  <c r="GT5" i="4" a="1"/>
  <c r="FT9" i="4" a="1"/>
  <c r="FN13" i="4" a="1"/>
  <c r="GE11" i="4" a="1"/>
  <c r="GH12" i="4" a="1"/>
  <c r="GR13" i="4" a="1"/>
  <c r="GQ11" i="4" a="1"/>
  <c r="GU13" i="4" a="1"/>
  <c r="FS15" i="4" a="1"/>
  <c r="HD15" i="4" a="1"/>
  <c r="GD16" i="4" a="1"/>
  <c r="HF16" i="4" a="1"/>
  <c r="FK14" i="4" a="1"/>
  <c r="GL8" i="4" a="1"/>
  <c r="BC70" i="3"/>
  <c r="BD87" i="3"/>
  <c r="BD71" i="3"/>
  <c r="BR94" i="3"/>
  <c r="BL85" i="3"/>
  <c r="GJ12" i="4" a="1"/>
  <c r="GX7" i="4" a="1"/>
  <c r="GS9" i="4" a="1"/>
  <c r="FO7" i="4" a="1"/>
  <c r="HC7" i="4" a="1"/>
  <c r="GJ8" i="4" a="1"/>
  <c r="GN11" i="4" a="1"/>
  <c r="GZ13" i="4" a="1"/>
  <c r="HC13" i="4" a="1"/>
  <c r="GH16" i="4" a="1"/>
  <c r="HG9" i="4" a="1"/>
  <c r="GC13" i="4" a="1"/>
  <c r="FQ16" i="4" a="1"/>
  <c r="GY9" i="4" a="1"/>
  <c r="BD97" i="3"/>
  <c r="BA92" i="3"/>
  <c r="BQ50" i="3"/>
  <c r="BF89" i="3"/>
  <c r="CL165" i="1" s="1"/>
  <c r="CL195" i="1" s="1"/>
  <c r="Y111" i="2"/>
  <c r="BK75" i="3"/>
  <c r="GW5" i="4" a="1"/>
  <c r="GB6" i="4" a="1"/>
  <c r="BA82" i="3"/>
  <c r="BM64" i="3"/>
  <c r="BM70" i="3"/>
  <c r="BB95" i="3"/>
  <c r="BG97" i="3"/>
  <c r="BD94" i="3"/>
  <c r="BI96" i="3"/>
  <c r="BD50" i="3"/>
  <c r="BH48" i="3"/>
  <c r="BL61" i="3"/>
  <c r="BI81" i="3"/>
  <c r="BQ97" i="3"/>
  <c r="BV64" i="3"/>
  <c r="BO66" i="3"/>
  <c r="BS83" i="3"/>
  <c r="BS50" i="3"/>
  <c r="BU84" i="3"/>
  <c r="BR90" i="3"/>
  <c r="BV86" i="3"/>
  <c r="BT57" i="3"/>
  <c r="BN59" i="3"/>
  <c r="BN63" i="3"/>
  <c r="BF48" i="3"/>
  <c r="BS66" i="3"/>
  <c r="BH93" i="3"/>
  <c r="BI63" i="3"/>
  <c r="BM89" i="3"/>
  <c r="BJ70" i="3"/>
  <c r="BJ94" i="3"/>
  <c r="BK88" i="3"/>
  <c r="BK91" i="3"/>
  <c r="GC5" i="4" a="1"/>
  <c r="FI6" i="4" a="1"/>
  <c r="GX11" i="4" a="1"/>
  <c r="GE7" i="4" a="1"/>
  <c r="GX6" i="4" a="1"/>
  <c r="GX8" i="4" a="1"/>
  <c r="GY8" i="4" a="1"/>
  <c r="FH8" i="4" a="1"/>
  <c r="FP6" i="4" a="1"/>
  <c r="HG7" i="4" a="1"/>
  <c r="HH12" i="4" a="1"/>
  <c r="FZ7" i="4" a="1"/>
  <c r="GG7" i="4" a="1"/>
  <c r="GT13" i="4" a="1"/>
  <c r="GM7" i="4" a="1"/>
  <c r="FK8" i="4" a="1"/>
  <c r="GL13" i="4" a="1"/>
  <c r="GK11" i="4" a="1"/>
  <c r="GM12" i="4" a="1"/>
  <c r="GW13" i="4" a="1"/>
  <c r="GT11" i="4" a="1"/>
  <c r="GV12" i="4" a="1"/>
  <c r="GX13" i="4" a="1"/>
  <c r="GZ14" i="4" a="1"/>
  <c r="HB12" i="4" a="1"/>
  <c r="GC15" i="4" a="1"/>
  <c r="HF15" i="4" a="1"/>
  <c r="GF16" i="4" a="1"/>
  <c r="HH16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BA58" i="3"/>
  <c r="BM65" i="3"/>
  <c r="BM68" i="3"/>
  <c r="BB59" i="3"/>
  <c r="BH77" i="3"/>
  <c r="BD54" i="3"/>
  <c r="BB61" i="3"/>
  <c r="BQ48" i="3"/>
  <c r="BL49" i="3"/>
  <c r="BE95" i="3"/>
  <c r="BI67" i="3"/>
  <c r="BQ66" i="3"/>
  <c r="BV49" i="3"/>
  <c r="BO81" i="3"/>
  <c r="BS88" i="3"/>
  <c r="BU56" i="3"/>
  <c r="BU81" i="3"/>
  <c r="BT78" i="3"/>
  <c r="BN75" i="3"/>
  <c r="BN85" i="3"/>
  <c r="Y112" i="2"/>
  <c r="BS79" i="3"/>
  <c r="BJ72" i="3"/>
  <c r="BJ50" i="3"/>
  <c r="BK83" i="3"/>
  <c r="BK54" i="3"/>
  <c r="FG6" i="4" a="1"/>
  <c r="GX5" i="4" a="1"/>
  <c r="GD13" i="4" a="1"/>
  <c r="FP14" i="4" a="1"/>
  <c r="HA12" i="4" a="1"/>
  <c r="FO6" i="4" a="1"/>
  <c r="GF15" i="4" a="1"/>
  <c r="GU15" i="4" a="1"/>
  <c r="GO16" i="4" a="1"/>
  <c r="BC95" i="3"/>
  <c r="BM84" i="3"/>
  <c r="BB71" i="3"/>
  <c r="BD93" i="3"/>
  <c r="BB77" i="3"/>
  <c r="BA60" i="3"/>
  <c r="BP71" i="3"/>
  <c r="BM61" i="3"/>
  <c r="BB85" i="3"/>
  <c r="BH76" i="3"/>
  <c r="BU55" i="3"/>
  <c r="BB75" i="3"/>
  <c r="BQ60" i="3"/>
  <c r="BL66" i="3"/>
  <c r="BE93" i="3"/>
  <c r="BF92" i="3"/>
  <c r="CL167" i="1" s="1"/>
  <c r="BQ83" i="3"/>
  <c r="BV83" i="3"/>
  <c r="BO50" i="3"/>
  <c r="BS95" i="3"/>
  <c r="BU59" i="3"/>
  <c r="BR88" i="3"/>
  <c r="BR68" i="3"/>
  <c r="BV55" i="3"/>
  <c r="BT85" i="3"/>
  <c r="BN61" i="3"/>
  <c r="BN91" i="3"/>
  <c r="BO47" i="3"/>
  <c r="BS87" i="3"/>
  <c r="BL50" i="3"/>
  <c r="BI60" i="3"/>
  <c r="BF58" i="3"/>
  <c r="CL131" i="1" s="1"/>
  <c r="BJ80" i="3"/>
  <c r="BJ69" i="3"/>
  <c r="BK59" i="3"/>
  <c r="BK97" i="3"/>
  <c r="GN6" i="4" a="1"/>
  <c r="FQ7" i="4" a="1"/>
  <c r="GA13" i="4" a="1"/>
  <c r="GQ6" i="4" a="1"/>
  <c r="FL11" i="4" a="1"/>
  <c r="FU5" i="4" a="1"/>
  <c r="FV7" i="4" a="1"/>
  <c r="GY13" i="4" a="1"/>
  <c r="FI8" i="4" a="1"/>
  <c r="HD8" i="4" a="1"/>
  <c r="GV14" i="4" a="1"/>
  <c r="FM7" i="4" a="1"/>
  <c r="FU9" i="4" a="1"/>
  <c r="GE6" i="4" a="1"/>
  <c r="GN7" i="4" a="1"/>
  <c r="GC9" i="4" a="1"/>
  <c r="GV5" i="4" a="1"/>
  <c r="HD11" i="4" a="1"/>
  <c r="HF12" i="4" a="1"/>
  <c r="FN7" i="4" a="1"/>
  <c r="HG11" i="4" a="1"/>
  <c r="FG13" i="4" a="1"/>
  <c r="FQ14" i="4" a="1"/>
  <c r="FN8" i="4" a="1"/>
  <c r="HA13" i="4" a="1"/>
  <c r="GJ15" i="4" a="1"/>
  <c r="FJ16" i="4" a="1"/>
  <c r="GP16" i="4" a="1"/>
  <c r="FH13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FJ14" i="4" a="1"/>
  <c r="HE11" i="4" a="1"/>
  <c r="FH15" i="4" a="1"/>
  <c r="FU15" i="4" a="1"/>
  <c r="HA15" i="4" a="1"/>
  <c r="GU16" i="4" a="1"/>
  <c r="BC73" i="3"/>
  <c r="BC80" i="3"/>
  <c r="BD69" i="3"/>
  <c r="BC48" i="3"/>
  <c r="GG15" i="4" a="1"/>
  <c r="BC79" i="3"/>
  <c r="BD81" i="3"/>
  <c r="BB93" i="3"/>
  <c r="BK78" i="3"/>
  <c r="BF63" i="3"/>
  <c r="CL137" i="1" s="1"/>
  <c r="BB89" i="3"/>
  <c r="BF90" i="3"/>
  <c r="CL138" i="1" s="1"/>
  <c r="BI83" i="3"/>
  <c r="BH69" i="3"/>
  <c r="BE92" i="3"/>
  <c r="BU87" i="3"/>
  <c r="BT91" i="3"/>
  <c r="BO74" i="3"/>
  <c r="BS96" i="3"/>
  <c r="BU96" i="3"/>
  <c r="BM69" i="3"/>
  <c r="BF50" i="3"/>
  <c r="CL86" i="1" s="1"/>
  <c r="BJ79" i="3"/>
  <c r="BK62" i="3"/>
  <c r="GH9" i="4" a="1"/>
  <c r="FY9" i="4" a="1"/>
  <c r="HC5" i="4" a="1"/>
  <c r="GK9" i="4" a="1"/>
  <c r="GG8" i="4" a="1"/>
  <c r="GI8" i="4" a="1"/>
  <c r="FR5" i="4" a="1"/>
  <c r="GO6" i="4" a="1"/>
  <c r="FT13" i="4" a="1"/>
  <c r="GE13" i="4" a="1"/>
  <c r="HC9" i="4" a="1"/>
  <c r="GX16" i="4" a="1"/>
  <c r="FV15" i="4" a="1"/>
  <c r="HD13" i="4" a="1"/>
  <c r="HG15" i="4" a="1"/>
  <c r="BC55" i="3"/>
  <c r="BD58" i="3"/>
  <c r="BP88" i="3"/>
  <c r="BP84" i="3"/>
  <c r="BM71" i="3"/>
  <c r="BB63" i="3"/>
  <c r="BE55" i="3"/>
  <c r="BU61" i="3"/>
  <c r="BB54" i="3"/>
  <c r="BQ73" i="3"/>
  <c r="BL68" i="3"/>
  <c r="BE60" i="3"/>
  <c r="BF94" i="3"/>
  <c r="BQ69" i="3"/>
  <c r="BV85" i="3"/>
  <c r="BO57" i="3"/>
  <c r="BS60" i="3"/>
  <c r="BU67" i="3"/>
  <c r="BR76" i="3"/>
  <c r="BR67" i="3"/>
  <c r="BV70" i="3"/>
  <c r="BT86" i="3"/>
  <c r="BN90" i="3"/>
  <c r="BP54" i="3"/>
  <c r="BO69" i="3"/>
  <c r="BS49" i="3"/>
  <c r="BE47" i="3"/>
  <c r="BI87" i="3"/>
  <c r="BF64" i="3"/>
  <c r="CL161" i="1" s="1"/>
  <c r="BJ96" i="3"/>
  <c r="BJ71" i="3"/>
  <c r="BK80" i="3"/>
  <c r="BK47" i="3"/>
  <c r="GH7" i="4" a="1"/>
  <c r="HH7" i="4" a="1"/>
  <c r="GQ13" i="4" a="1"/>
  <c r="HG6" i="4" a="1"/>
  <c r="GB11" i="4" a="1"/>
  <c r="GF6" i="4" a="1"/>
  <c r="HF8" i="4" a="1"/>
  <c r="FU14" i="4" a="1"/>
  <c r="HE5" i="4" a="1"/>
  <c r="FZ9" i="4" a="1"/>
  <c r="FZ15" i="4" a="1"/>
  <c r="GF7" i="4" a="1"/>
  <c r="GR9" i="4" a="1"/>
  <c r="FZ8" i="4" a="1"/>
  <c r="FJ8" i="4" a="1"/>
  <c r="GV9" i="4" a="1"/>
  <c r="FR8" i="4" a="1"/>
  <c r="FG12" i="4" a="1"/>
  <c r="FI13" i="4" a="1"/>
  <c r="GI7" i="4" a="1"/>
  <c r="FH12" i="4" a="1"/>
  <c r="FJ13" i="4" a="1"/>
  <c r="FT14" i="4" a="1"/>
  <c r="GT8" i="4" a="1"/>
  <c r="GL15" i="4" a="1"/>
  <c r="FL16" i="4" a="1"/>
  <c r="GR16" i="4" a="1"/>
  <c r="FN14" i="4" a="1"/>
  <c r="HB14" i="4" a="1"/>
  <c r="FP13" i="4" a="1"/>
  <c r="FW16" i="4" a="1"/>
  <c r="GY12" i="4" a="1"/>
  <c r="BC89" i="3"/>
  <c r="BD64" i="3"/>
  <c r="GA16" i="4" a="1"/>
  <c r="BD48" i="3"/>
  <c r="BG67" i="3"/>
  <c r="BL92" i="3"/>
  <c r="BF85" i="3"/>
  <c r="CL159" i="1" s="1"/>
  <c r="BR60" i="3"/>
  <c r="BV68" i="3"/>
  <c r="BT48" i="3"/>
  <c r="BP85" i="3"/>
  <c r="BO64" i="3"/>
  <c r="BG68" i="3"/>
  <c r="BE89" i="3"/>
  <c r="BJ54" i="3"/>
  <c r="BP64" i="3"/>
  <c r="BG88" i="3"/>
  <c r="BM94" i="3"/>
  <c r="BB88" i="3"/>
  <c r="BM96" i="3"/>
  <c r="BP68" i="3"/>
  <c r="BA94" i="3"/>
  <c r="BH57" i="3"/>
  <c r="BL70" i="3"/>
  <c r="BE71" i="3"/>
  <c r="BF54" i="3"/>
  <c r="BU78" i="3"/>
  <c r="BT93" i="3"/>
  <c r="BO70" i="3"/>
  <c r="BS55" i="3"/>
  <c r="BU69" i="3"/>
  <c r="BR55" i="3"/>
  <c r="BV54" i="3"/>
  <c r="BV66" i="3"/>
  <c r="BT87" i="3"/>
  <c r="BN58" i="3"/>
  <c r="BP95" i="3"/>
  <c r="BO85" i="3"/>
  <c r="BS94" i="3"/>
  <c r="BE79" i="3"/>
  <c r="BI91" i="3"/>
  <c r="BF70" i="3"/>
  <c r="CL145" i="1" s="1"/>
  <c r="BJ95" i="3"/>
  <c r="BJ75" i="3"/>
  <c r="BK66" i="3"/>
  <c r="BK96" i="3"/>
  <c r="HF7" i="4" a="1"/>
  <c r="GB8" i="4" a="1"/>
  <c r="FT7" i="4" a="1"/>
  <c r="GC7" i="4" a="1"/>
  <c r="GD7" i="4" a="1"/>
  <c r="HA6" i="4" a="1"/>
  <c r="GB9" i="4" a="1"/>
  <c r="FO15" i="4" a="1"/>
  <c r="GK7" i="4" a="1"/>
  <c r="HF9" i="4" a="1"/>
  <c r="GZ7" i="4" a="1"/>
  <c r="FG8" i="4" a="1"/>
  <c r="FN11" i="4" a="1"/>
  <c r="GD9" i="4" a="1"/>
  <c r="GA8" i="4" a="1"/>
  <c r="FT11" i="4" a="1"/>
  <c r="FN9" i="4" a="1"/>
  <c r="FJ12" i="4" a="1"/>
  <c r="FL13" i="4" a="1"/>
  <c r="GT7" i="4" a="1"/>
  <c r="FM12" i="4" a="1"/>
  <c r="FW13" i="4" a="1"/>
  <c r="FY14" i="4" a="1"/>
  <c r="FQ9" i="4" a="1"/>
  <c r="FO14" i="4" a="1"/>
  <c r="GN15" i="4" a="1"/>
  <c r="FR16" i="4" a="1"/>
  <c r="GT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Y113" i="2"/>
  <c r="FI15" i="4" a="1"/>
  <c r="HF6" i="4" a="1"/>
  <c r="GV13" i="4" a="1"/>
  <c r="HE15" i="4" a="1"/>
  <c r="GY16" i="4" a="1"/>
  <c r="FS14" i="4" a="1"/>
  <c r="BC64" i="3"/>
  <c r="BD57" i="3"/>
  <c r="BH66" i="3"/>
  <c r="BA79" i="3"/>
  <c r="BN96" i="3"/>
  <c r="BK61" i="3"/>
  <c r="GU11" i="4" a="1"/>
  <c r="GP8" i="4" a="1"/>
  <c r="FN5" i="4" a="1"/>
  <c r="HA8" i="4" a="1"/>
  <c r="FR12" i="4" a="1"/>
  <c r="FK9" i="4" a="1"/>
  <c r="GG14" i="4" a="1"/>
  <c r="GE14" i="4" a="1"/>
  <c r="FV16" i="4" a="1"/>
  <c r="GC16" i="4" a="1"/>
  <c r="BC69" i="3"/>
  <c r="BA65" i="3"/>
  <c r="BK64" i="3"/>
  <c r="BH86" i="3"/>
  <c r="BG50" i="3"/>
  <c r="BM57" i="3"/>
  <c r="BB94" i="3"/>
  <c r="BM88" i="3"/>
  <c r="BP59" i="3"/>
  <c r="BA66" i="3"/>
  <c r="BH60" i="3"/>
  <c r="BL96" i="3"/>
  <c r="BE61" i="3"/>
  <c r="BF66" i="3"/>
  <c r="CL163" i="1" s="1"/>
  <c r="BU72" i="3"/>
  <c r="BT92" i="3"/>
  <c r="BO72" i="3"/>
  <c r="BS97" i="3"/>
  <c r="BU83" i="3"/>
  <c r="BR64" i="3"/>
  <c r="BV57" i="3"/>
  <c r="BT71" i="3"/>
  <c r="BT89" i="3"/>
  <c r="BN60" i="3"/>
  <c r="BP90" i="3"/>
  <c r="BO56" i="3"/>
  <c r="BS58" i="3"/>
  <c r="BE54" i="3"/>
  <c r="BI50" i="3"/>
  <c r="BF56" i="3"/>
  <c r="CL129" i="1" s="1"/>
  <c r="BJ89" i="3"/>
  <c r="BJ77" i="3"/>
  <c r="BK60" i="3"/>
  <c r="BK93" i="3"/>
  <c r="GR5" i="4" a="1"/>
  <c r="FR9" i="4" a="1"/>
  <c r="GH8" i="4" a="1"/>
  <c r="HA7" i="4" a="1"/>
  <c r="FX9" i="4" a="1"/>
  <c r="FW7" i="4" a="1"/>
  <c r="FJ9" i="4" a="1"/>
  <c r="FI7" i="4" a="1"/>
  <c r="FU8" i="4" a="1"/>
  <c r="FP11" i="4" a="1"/>
  <c r="GE5" i="4" a="1"/>
  <c r="FW8" i="4" a="1"/>
  <c r="GF11" i="4" a="1"/>
  <c r="FJ5" i="4" a="1"/>
  <c r="GO8" i="4" a="1"/>
  <c r="GD11" i="4" a="1"/>
  <c r="FG11" i="4" a="1"/>
  <c r="FO12" i="4" a="1"/>
  <c r="FQ13" i="4" a="1"/>
  <c r="FM8" i="4" a="1"/>
  <c r="FP12" i="4" a="1"/>
  <c r="FZ13" i="4" a="1"/>
  <c r="GB14" i="4" a="1"/>
  <c r="GL9" i="4" a="1"/>
  <c r="FZ14" i="4" a="1"/>
  <c r="GP15" i="4" a="1"/>
  <c r="FT16" i="4" a="1"/>
  <c r="GV16" i="4" a="1"/>
  <c r="GY14" i="4" a="1"/>
  <c r="GI12" i="4" a="1"/>
  <c r="BT68" i="3"/>
  <c r="FN6" i="4" a="1"/>
  <c r="GO5" i="4" a="1"/>
  <c r="FX11" i="4" a="1"/>
  <c r="GZ6" i="4" a="1"/>
  <c r="FK11" i="4" a="1"/>
  <c r="GC12" i="4" a="1"/>
  <c r="GV15" i="4" a="1"/>
  <c r="GT12" i="4" a="1"/>
  <c r="FM15" i="4" a="1"/>
  <c r="GD8" i="4" a="1"/>
  <c r="GI15" i="4" a="1"/>
  <c r="HA16" i="4" a="1"/>
  <c r="BC84" i="3"/>
  <c r="BD84" i="3"/>
  <c r="BD95" i="3"/>
  <c r="FX14" i="4" a="1"/>
  <c r="HF13" i="4" a="1"/>
  <c r="GW15" i="4" a="1"/>
  <c r="GZ5" i="4" a="1"/>
  <c r="FY7" i="4" a="1"/>
  <c r="FS16" i="4" a="1"/>
  <c r="GP7" i="4" a="1"/>
  <c r="GV8" i="4" a="1"/>
  <c r="GF13" i="4" a="1"/>
  <c r="GQ16" i="4" a="1"/>
  <c r="HB11" i="4" a="1"/>
  <c r="FJ15" i="4" a="1"/>
  <c r="GH15" i="4" a="1"/>
  <c r="GC11" i="4" a="1"/>
  <c r="HH5" i="4" a="1"/>
  <c r="FH16" i="4" a="1"/>
  <c r="BC92" i="3"/>
  <c r="HC12" i="4" a="1"/>
  <c r="HE6" i="4" a="1"/>
  <c r="HG8" i="4" a="1"/>
  <c r="GJ16" i="4" a="1"/>
  <c r="BC59" i="3"/>
  <c r="GL12" i="4" a="1"/>
  <c r="FG15" i="4" a="1"/>
  <c r="FS12" i="4" a="1"/>
  <c r="BC97" i="3"/>
  <c r="FU11" i="4" a="1"/>
  <c r="GL14" i="4" a="1"/>
  <c r="HE13" i="4" a="1"/>
  <c r="GS11" i="4" a="1"/>
  <c r="BD56" i="3"/>
  <c r="BD77" i="3"/>
  <c r="GF8" i="4" a="1"/>
  <c r="HD12" i="4" a="1"/>
  <c r="FN15" i="4" a="1"/>
  <c r="CK77" i="1" l="1"/>
  <c r="CL140" i="1"/>
  <c r="CL149" i="1"/>
  <c r="Y264" i="1"/>
  <c r="CH152" i="1"/>
  <c r="CI152" i="1" s="1"/>
  <c r="CL110" i="1"/>
  <c r="CL111" i="1" s="1"/>
  <c r="CL160" i="1"/>
  <c r="CL39" i="1"/>
  <c r="CL28" i="1"/>
  <c r="CL10" i="1" s="1"/>
  <c r="Y195" i="1"/>
  <c r="Y191" i="1"/>
  <c r="CH156" i="1"/>
  <c r="CH191" i="1" s="1"/>
  <c r="CI191" i="1" s="1"/>
  <c r="Z191" i="1"/>
  <c r="CL194" i="1"/>
  <c r="CL173" i="1"/>
  <c r="CL180" i="1" s="1"/>
  <c r="CL121" i="1" s="1"/>
  <c r="CL132" i="1"/>
  <c r="CL141" i="1" s="1"/>
  <c r="CL150" i="1"/>
  <c r="CL168" i="1"/>
  <c r="X22" i="1"/>
  <c r="X8" i="1" s="1"/>
  <c r="Z265" i="1"/>
  <c r="CK38" i="1"/>
  <c r="CK39" i="1" s="1"/>
  <c r="Z192" i="1"/>
  <c r="X192" i="1"/>
  <c r="X160" i="1"/>
  <c r="CJ152" i="1"/>
  <c r="CJ214" i="1" s="1"/>
  <c r="CJ129" i="1"/>
  <c r="JZ16" i="4" s="1"/>
  <c r="CJ176" i="1"/>
  <c r="CK176" i="1" s="1"/>
  <c r="CM176" i="1" s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CJ158" i="1"/>
  <c r="KD16" i="4" s="1"/>
  <c r="JV9" i="4" s="1"/>
  <c r="JT9" i="4" s="1"/>
  <c r="CJ130" i="1"/>
  <c r="CK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KE16" i="4" s="1"/>
  <c r="CJ146" i="1"/>
  <c r="CK45" i="1" s="1"/>
  <c r="CJ166" i="1"/>
  <c r="JT16" i="4" s="1"/>
  <c r="JX9" i="4" s="1"/>
  <c r="JW16" i="4" s="1"/>
  <c r="CJ161" i="1"/>
  <c r="JR16" i="4" s="1"/>
  <c r="CJ131" i="1"/>
  <c r="CJ156" i="1"/>
  <c r="CJ191" i="1" s="1"/>
  <c r="CK191" i="1" s="1"/>
  <c r="CJ171" i="1"/>
  <c r="CJ162" i="1"/>
  <c r="KC16" i="4" s="1"/>
  <c r="JU16" i="4" s="1"/>
  <c r="KB16" i="4" s="1"/>
  <c r="JZ15" i="4" s="1"/>
  <c r="JU9" i="4" s="1"/>
  <c r="X85" i="1"/>
  <c r="JY9" i="4" s="1"/>
  <c r="KA16" i="4" s="1"/>
  <c r="JS16" i="4" s="1"/>
  <c r="KH16" i="4" s="1"/>
  <c r="JY7" i="4" s="1"/>
  <c r="CJ86" i="1"/>
  <c r="KE9" i="4" s="1"/>
  <c r="KC9" i="4" s="1"/>
  <c r="CJ164" i="1"/>
  <c r="JX16" i="4" s="1"/>
  <c r="JZ9" i="4" s="1"/>
  <c r="CJ167" i="1"/>
  <c r="CJ136" i="1"/>
  <c r="CK136" i="1" s="1"/>
  <c r="CJ163" i="1"/>
  <c r="JS14" i="4" s="1"/>
  <c r="KE14" i="4" s="1"/>
  <c r="CJ175" i="1"/>
  <c r="CK175" i="1" s="1"/>
  <c r="CM175" i="1" s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JR9" i="4" s="1"/>
  <c r="CJ157" i="1"/>
  <c r="CJ192" i="1" s="1"/>
  <c r="CK192" i="1" s="1"/>
  <c r="CH86" i="1"/>
  <c r="CG85" i="1"/>
  <c r="CJ137" i="1"/>
  <c r="CK137" i="1" s="1"/>
  <c r="CJ134" i="1"/>
  <c r="CK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KG16" i="4" s="1"/>
  <c r="JY16" i="4" s="1"/>
  <c r="JQ16" i="4" s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JV16" i="4" s="1"/>
  <c r="CJ85" i="1"/>
  <c r="CG86" i="1"/>
  <c r="CJ145" i="1"/>
  <c r="CK145" i="1" s="1"/>
  <c r="CM145" i="1" s="1"/>
  <c r="CN145" i="1" s="1"/>
  <c r="CO145" i="1" s="1"/>
  <c r="CP145" i="1" s="1"/>
  <c r="CI85" i="1"/>
  <c r="CK85" i="1"/>
  <c r="CJ139" i="1"/>
  <c r="CK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KB9" i="4" s="1"/>
  <c r="Z86" i="1"/>
  <c r="CJ165" i="1"/>
  <c r="CJ195" i="1" s="1"/>
  <c r="CK195" i="1" s="1"/>
  <c r="CJ159" i="1"/>
  <c r="Y86" i="1"/>
  <c r="CI86" i="1"/>
  <c r="KG9" i="4" s="1"/>
  <c r="Z85" i="1"/>
  <c r="CJ172" i="1"/>
  <c r="JW9" i="4" s="1"/>
  <c r="KA9" i="4" s="1"/>
  <c r="JS9" i="4" s="1"/>
  <c r="JQ9" i="4" s="1"/>
  <c r="CK86" i="1"/>
  <c r="CJ154" i="1"/>
  <c r="CH85" i="1"/>
  <c r="Z143" i="1"/>
  <c r="Z146" i="1" s="1"/>
  <c r="X264" i="1"/>
  <c r="Y38" i="1"/>
  <c r="Z166" i="1"/>
  <c r="CH166" i="1" s="1"/>
  <c r="CH168" i="1" s="1"/>
  <c r="CH197" i="1" s="1"/>
  <c r="Z195" i="1"/>
  <c r="Y160" i="1"/>
  <c r="Y194" i="1" s="1"/>
  <c r="Z160" i="1"/>
  <c r="AA208" i="1" s="1"/>
  <c r="CK28" i="1"/>
  <c r="CK8" i="1"/>
  <c r="CK110" i="1"/>
  <c r="CK111" i="1" s="1"/>
  <c r="X191" i="1"/>
  <c r="CN32" i="1"/>
  <c r="CJ11" i="1"/>
  <c r="CH11" i="1"/>
  <c r="CG11" i="1"/>
  <c r="CM32" i="1"/>
  <c r="CI11" i="1"/>
  <c r="X195" i="1"/>
  <c r="Y185" i="1"/>
  <c r="Y173" i="1"/>
  <c r="Z221" i="1" s="1"/>
  <c r="Z264" i="1"/>
  <c r="Y146" i="1"/>
  <c r="Y22" i="1"/>
  <c r="Y8" i="1" s="1"/>
  <c r="CJ149" i="1"/>
  <c r="CJ155" i="1"/>
  <c r="X185" i="1"/>
  <c r="CH171" i="1"/>
  <c r="CH173" i="1" s="1"/>
  <c r="CI221" i="1" s="1"/>
  <c r="Z173" i="1"/>
  <c r="AA221" i="1" s="1"/>
  <c r="X206" i="1"/>
  <c r="X265" i="1"/>
  <c r="Y206" i="1"/>
  <c r="Y265" i="1"/>
  <c r="CH131" i="1"/>
  <c r="CH132" i="1" s="1"/>
  <c r="Z132" i="1"/>
  <c r="AA219" i="1" s="1"/>
  <c r="CG206" i="1"/>
  <c r="CG265" i="1"/>
  <c r="Y168" i="1"/>
  <c r="CH265" i="1"/>
  <c r="CG264" i="1"/>
  <c r="X146" i="1"/>
  <c r="CI243" i="1"/>
  <c r="CI22" i="1"/>
  <c r="CJ110" i="1"/>
  <c r="Y214" i="1"/>
  <c r="Y192" i="1"/>
  <c r="CG22" i="1"/>
  <c r="CK23" i="1" s="1"/>
  <c r="Z185" i="1"/>
  <c r="Z22" i="1"/>
  <c r="X168" i="1"/>
  <c r="Y132" i="1"/>
  <c r="X140" i="1"/>
  <c r="X173" i="1"/>
  <c r="X132" i="1"/>
  <c r="X187" i="1" s="1"/>
  <c r="Y140" i="1"/>
  <c r="Z38" i="1"/>
  <c r="X38" i="1"/>
  <c r="CI144" i="1"/>
  <c r="CJ144" i="1" s="1"/>
  <c r="CH264" i="1"/>
  <c r="CJ38" i="1"/>
  <c r="CI140" i="1"/>
  <c r="CG38" i="1"/>
  <c r="CH22" i="1"/>
  <c r="CH38" i="1"/>
  <c r="CI264" i="1"/>
  <c r="CJ265" i="1"/>
  <c r="CH243" i="1"/>
  <c r="CJ243" i="1"/>
  <c r="CI265" i="1"/>
  <c r="CH192" i="1"/>
  <c r="CI192" i="1" s="1"/>
  <c r="CH195" i="1"/>
  <c r="CI195" i="1" s="1"/>
  <c r="CJ264" i="1"/>
  <c r="CJ22" i="1"/>
  <c r="Y85" i="1"/>
  <c r="X86" i="1"/>
  <c r="Z214" i="1"/>
  <c r="CI38" i="1"/>
  <c r="CI77" i="1"/>
  <c r="CJ206" i="1"/>
  <c r="Z140" i="1"/>
  <c r="CH77" i="1"/>
  <c r="CG77" i="1"/>
  <c r="CJ77" i="1"/>
  <c r="CH140" i="1"/>
  <c r="JP15" i="4"/>
  <c r="JP14" i="4"/>
  <c r="JP8" i="4"/>
  <c r="JP7" i="4"/>
  <c r="CM136" i="1"/>
  <c r="JP21" i="4"/>
  <c r="CJ89" i="1" s="1"/>
  <c r="JO21" i="4"/>
  <c r="CI89" i="1" s="1"/>
  <c r="JO7" i="4"/>
  <c r="JO15" i="4"/>
  <c r="JO14" i="4"/>
  <c r="JO8" i="4"/>
  <c r="JN21" i="4"/>
  <c r="CH89" i="1" s="1"/>
  <c r="JN15" i="4"/>
  <c r="JN14" i="4"/>
  <c r="JN7" i="4"/>
  <c r="JN8" i="4"/>
  <c r="CB25" i="1"/>
  <c r="AA23" i="1" l="1"/>
  <c r="AA200" i="1"/>
  <c r="AA218" i="1"/>
  <c r="AA217" i="1" s="1"/>
  <c r="AA261" i="1"/>
  <c r="JQ21" i="4"/>
  <c r="CK89" i="1" s="1"/>
  <c r="KF16" i="4" s="1"/>
  <c r="KH9" i="4" s="1"/>
  <c r="KF9" i="4" s="1"/>
  <c r="JR21" i="4"/>
  <c r="CL89" i="1" s="1"/>
  <c r="KD9" i="4" s="1"/>
  <c r="CL31" i="1"/>
  <c r="CH160" i="1"/>
  <c r="CH194" i="1" s="1"/>
  <c r="CI214" i="1"/>
  <c r="X194" i="1"/>
  <c r="Y23" i="1"/>
  <c r="X110" i="1"/>
  <c r="X28" i="1"/>
  <c r="X10" i="1" s="1"/>
  <c r="Z208" i="1"/>
  <c r="CL9" i="1"/>
  <c r="Z194" i="1"/>
  <c r="Z187" i="1"/>
  <c r="Z8" i="1"/>
  <c r="JW7" i="4"/>
  <c r="JV14" i="4"/>
  <c r="KD21" i="4"/>
  <c r="JX14" i="4"/>
  <c r="JZ8" i="4"/>
  <c r="JY14" i="4"/>
  <c r="KG15" i="4"/>
  <c r="JX15" i="4"/>
  <c r="KF7" i="4"/>
  <c r="KH7" i="4"/>
  <c r="JW15" i="4"/>
  <c r="JV15" i="4"/>
  <c r="CJ173" i="1"/>
  <c r="CK221" i="1" s="1"/>
  <c r="KC14" i="4"/>
  <c r="JS8" i="4"/>
  <c r="CL237" i="1"/>
  <c r="JS21" i="4"/>
  <c r="KF14" i="4"/>
  <c r="KE8" i="4"/>
  <c r="KG7" i="4"/>
  <c r="CL40" i="1"/>
  <c r="CL13" i="1" s="1"/>
  <c r="CL12" i="1" s="1"/>
  <c r="CL29" i="1"/>
  <c r="CL193" i="1"/>
  <c r="CL260" i="1"/>
  <c r="CL258" i="1"/>
  <c r="CL104" i="1"/>
  <c r="KH8" i="4"/>
  <c r="KD8" i="4"/>
  <c r="JS15" i="4"/>
  <c r="KH15" i="4"/>
  <c r="JX21" i="4"/>
  <c r="JU15" i="4"/>
  <c r="JZ21" i="4"/>
  <c r="JR8" i="4"/>
  <c r="JQ7" i="4"/>
  <c r="KG8" i="4"/>
  <c r="JY21" i="4"/>
  <c r="JV21" i="4"/>
  <c r="KE15" i="4"/>
  <c r="JZ14" i="4"/>
  <c r="KB15" i="4"/>
  <c r="KA14" i="4"/>
  <c r="KD7" i="4"/>
  <c r="KB8" i="4"/>
  <c r="JX8" i="4"/>
  <c r="JX7" i="4"/>
  <c r="JY8" i="4"/>
  <c r="JW21" i="4"/>
  <c r="JU8" i="4"/>
  <c r="CK40" i="1"/>
  <c r="X169" i="1"/>
  <c r="X39" i="1"/>
  <c r="JQ8" i="4"/>
  <c r="JU14" i="4"/>
  <c r="JU21" i="4"/>
  <c r="CL197" i="1"/>
  <c r="CL169" i="1"/>
  <c r="CL177" i="1" s="1"/>
  <c r="CL178" i="1" s="1"/>
  <c r="CL114" i="1"/>
  <c r="CL200" i="1"/>
  <c r="CL23" i="1"/>
  <c r="CK24" i="1"/>
  <c r="CL256" i="1"/>
  <c r="JQ14" i="4"/>
  <c r="JQ19" i="4" s="1"/>
  <c r="CK90" i="1" s="1"/>
  <c r="JT8" i="4"/>
  <c r="KF15" i="4"/>
  <c r="JS7" i="4"/>
  <c r="KA7" i="4"/>
  <c r="KA19" i="4" s="1"/>
  <c r="KE21" i="4"/>
  <c r="JV8" i="4"/>
  <c r="CJ132" i="1"/>
  <c r="CK152" i="1"/>
  <c r="KG14" i="4"/>
  <c r="KB21" i="4"/>
  <c r="Z168" i="1"/>
  <c r="AA209" i="1" s="1"/>
  <c r="AA210" i="1" s="1"/>
  <c r="AA211" i="1" s="1"/>
  <c r="CJ160" i="1"/>
  <c r="CJ194" i="1" s="1"/>
  <c r="KH14" i="4"/>
  <c r="KE7" i="4"/>
  <c r="KE19" i="4" s="1"/>
  <c r="KB7" i="4"/>
  <c r="KB14" i="4"/>
  <c r="KB19" i="4" s="1"/>
  <c r="KF21" i="4"/>
  <c r="JW14" i="4"/>
  <c r="JT7" i="4"/>
  <c r="KC7" i="4"/>
  <c r="CJ168" i="1"/>
  <c r="CJ197" i="1" s="1"/>
  <c r="CJ196" i="1" s="1"/>
  <c r="CK196" i="1" s="1"/>
  <c r="KH21" i="4"/>
  <c r="JR14" i="4"/>
  <c r="JZ7" i="4"/>
  <c r="KA15" i="4"/>
  <c r="JU7" i="4"/>
  <c r="JT21" i="4"/>
  <c r="KF8" i="4"/>
  <c r="JV7" i="4"/>
  <c r="JV19" i="4" s="1"/>
  <c r="JQ15" i="4"/>
  <c r="JQ20" i="4" s="1"/>
  <c r="CK91" i="1" s="1"/>
  <c r="KA21" i="4"/>
  <c r="KD14" i="4"/>
  <c r="KD19" i="4" s="1"/>
  <c r="KD15" i="4"/>
  <c r="KD20" i="4" s="1"/>
  <c r="KC8" i="4"/>
  <c r="KA8" i="4"/>
  <c r="JW8" i="4"/>
  <c r="JW20" i="4" s="1"/>
  <c r="CH143" i="1"/>
  <c r="KC15" i="4"/>
  <c r="KC20" i="4" s="1"/>
  <c r="KG21" i="4"/>
  <c r="JT14" i="4"/>
  <c r="JR15" i="4"/>
  <c r="JR7" i="4"/>
  <c r="JT15" i="4"/>
  <c r="KC21" i="4"/>
  <c r="JY15" i="4"/>
  <c r="CJ140" i="1"/>
  <c r="CJ261" i="1" s="1"/>
  <c r="CK129" i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J143" i="1"/>
  <c r="CK143" i="1" s="1"/>
  <c r="Y39" i="1"/>
  <c r="Y28" i="1"/>
  <c r="Y10" i="1" s="1"/>
  <c r="Y9" i="1" s="1"/>
  <c r="Y200" i="1"/>
  <c r="Y110" i="1"/>
  <c r="Y208" i="1"/>
  <c r="CK10" i="1"/>
  <c r="CK29" i="1"/>
  <c r="CK114" i="1"/>
  <c r="CG8" i="1"/>
  <c r="CH8" i="1"/>
  <c r="CL15" i="1" s="1"/>
  <c r="CJ8" i="1"/>
  <c r="CN11" i="1"/>
  <c r="CR32" i="1"/>
  <c r="CP32" i="1"/>
  <c r="CO32" i="1"/>
  <c r="CM11" i="1"/>
  <c r="CQ32" i="1"/>
  <c r="Y15" i="1"/>
  <c r="CI28" i="1"/>
  <c r="CI40" i="1" s="1"/>
  <c r="CI8" i="1"/>
  <c r="CM8" i="1" s="1"/>
  <c r="Z260" i="1"/>
  <c r="Z39" i="1"/>
  <c r="Y150" i="1"/>
  <c r="Y45" i="1"/>
  <c r="CK149" i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CJ150" i="1"/>
  <c r="AB145" i="1"/>
  <c r="CQ145" i="1"/>
  <c r="CR145" i="1" s="1"/>
  <c r="CS145" i="1" s="1"/>
  <c r="CT145" i="1" s="1"/>
  <c r="CG39" i="1"/>
  <c r="CG28" i="1"/>
  <c r="X141" i="1"/>
  <c r="CI39" i="1"/>
  <c r="Y193" i="1"/>
  <c r="Y197" i="1"/>
  <c r="Y169" i="1"/>
  <c r="X150" i="1"/>
  <c r="X45" i="1"/>
  <c r="CH196" i="1"/>
  <c r="CI196" i="1" s="1"/>
  <c r="X260" i="1"/>
  <c r="Y221" i="1"/>
  <c r="Z200" i="1"/>
  <c r="Z23" i="1"/>
  <c r="Z28" i="1"/>
  <c r="AA30" i="1" s="1"/>
  <c r="Z110" i="1"/>
  <c r="Y187" i="1"/>
  <c r="Y260" i="1"/>
  <c r="X49" i="1"/>
  <c r="X180" i="1"/>
  <c r="X121" i="1" s="1"/>
  <c r="CH104" i="1"/>
  <c r="CH106" i="1" s="1"/>
  <c r="CI218" i="1"/>
  <c r="X197" i="1"/>
  <c r="Y209" i="1"/>
  <c r="Y261" i="1"/>
  <c r="Y218" i="1"/>
  <c r="Y180" i="1"/>
  <c r="Y121" i="1" s="1"/>
  <c r="CK140" i="1"/>
  <c r="Y49" i="1"/>
  <c r="Y141" i="1"/>
  <c r="Z180" i="1"/>
  <c r="Z121" i="1" s="1"/>
  <c r="Z218" i="1"/>
  <c r="CI24" i="1"/>
  <c r="CJ28" i="1"/>
  <c r="CJ111" i="1"/>
  <c r="CJ114" i="1" s="1"/>
  <c r="CH39" i="1"/>
  <c r="CJ237" i="1"/>
  <c r="CJ24" i="1"/>
  <c r="CJ39" i="1"/>
  <c r="CH28" i="1"/>
  <c r="CH24" i="1"/>
  <c r="Z141" i="1"/>
  <c r="Z49" i="1"/>
  <c r="Z261" i="1"/>
  <c r="CH180" i="1"/>
  <c r="CI261" i="1"/>
  <c r="CH260" i="1"/>
  <c r="Z150" i="1"/>
  <c r="AA215" i="1" s="1"/>
  <c r="AA213" i="1" s="1"/>
  <c r="AA222" i="1" s="1"/>
  <c r="AA223" i="1" s="1"/>
  <c r="Z45" i="1"/>
  <c r="CH141" i="1"/>
  <c r="CN136" i="1"/>
  <c r="CM195" i="1"/>
  <c r="CX175" i="1"/>
  <c r="JP20" i="4"/>
  <c r="CJ91" i="1" s="1"/>
  <c r="JP19" i="4"/>
  <c r="CJ90" i="1" s="1"/>
  <c r="JO19" i="4"/>
  <c r="CI90" i="1" s="1"/>
  <c r="JO20" i="4"/>
  <c r="CI91" i="1" s="1"/>
  <c r="JN20" i="4"/>
  <c r="CH91" i="1" s="1"/>
  <c r="JN19" i="4"/>
  <c r="CH90" i="1" s="1"/>
  <c r="JV20" i="4" l="1"/>
  <c r="CM39" i="1"/>
  <c r="CN39" i="1" s="1"/>
  <c r="AA225" i="1"/>
  <c r="JR20" i="4"/>
  <c r="CL91" i="1" s="1"/>
  <c r="JX20" i="4"/>
  <c r="JX19" i="4"/>
  <c r="Z193" i="1"/>
  <c r="CL106" i="1"/>
  <c r="KG19" i="4"/>
  <c r="KH19" i="4"/>
  <c r="JW19" i="4"/>
  <c r="KC19" i="4"/>
  <c r="KF20" i="4"/>
  <c r="JT19" i="4"/>
  <c r="JT20" i="4"/>
  <c r="JY20" i="4"/>
  <c r="Z15" i="1"/>
  <c r="CO39" i="1"/>
  <c r="JS20" i="4"/>
  <c r="KE20" i="4"/>
  <c r="JZ19" i="4"/>
  <c r="CN8" i="1"/>
  <c r="X9" i="1"/>
  <c r="CH198" i="1"/>
  <c r="KG20" i="4"/>
  <c r="JZ20" i="4"/>
  <c r="JS19" i="4"/>
  <c r="CH169" i="1"/>
  <c r="CH193" i="1"/>
  <c r="CI193" i="1" s="1"/>
  <c r="JY19" i="4"/>
  <c r="Y210" i="1"/>
  <c r="JU20" i="4"/>
  <c r="KB20" i="4"/>
  <c r="KH20" i="4"/>
  <c r="KF19" i="4"/>
  <c r="X40" i="1"/>
  <c r="X13" i="1" s="1"/>
  <c r="X12" i="1" s="1"/>
  <c r="X29" i="1"/>
  <c r="X193" i="1"/>
  <c r="Z197" i="1"/>
  <c r="Z29" i="1"/>
  <c r="JU19" i="4"/>
  <c r="CJ141" i="1"/>
  <c r="CK46" i="1"/>
  <c r="CK50" i="1" s="1"/>
  <c r="CK41" i="1"/>
  <c r="CL196" i="1"/>
  <c r="CL198" i="1"/>
  <c r="CL262" i="1"/>
  <c r="CL46" i="1"/>
  <c r="CL50" i="1" s="1"/>
  <c r="CL244" i="1"/>
  <c r="CL245" i="1" s="1"/>
  <c r="CL41" i="1"/>
  <c r="CL43" i="1"/>
  <c r="CK13" i="1"/>
  <c r="CK12" i="1" s="1"/>
  <c r="JR19" i="4"/>
  <c r="CL90" i="1" s="1"/>
  <c r="CK214" i="1"/>
  <c r="CL214" i="1"/>
  <c r="CI143" i="1"/>
  <c r="CI146" i="1" s="1"/>
  <c r="CH146" i="1"/>
  <c r="CL261" i="1"/>
  <c r="CL218" i="1"/>
  <c r="CH10" i="1"/>
  <c r="CL30" i="1"/>
  <c r="CJ104" i="1"/>
  <c r="CJ260" i="1"/>
  <c r="Z169" i="1"/>
  <c r="Z177" i="1" s="1"/>
  <c r="Z178" i="1" s="1"/>
  <c r="CJ169" i="1"/>
  <c r="CJ177" i="1" s="1"/>
  <c r="Z209" i="1"/>
  <c r="Z210" i="1" s="1"/>
  <c r="CJ218" i="1"/>
  <c r="KA20" i="4"/>
  <c r="Z40" i="1"/>
  <c r="Y29" i="1"/>
  <c r="CI13" i="1"/>
  <c r="Y40" i="1"/>
  <c r="Y13" i="1" s="1"/>
  <c r="Y12" i="1" s="1"/>
  <c r="Y30" i="1"/>
  <c r="CM15" i="1"/>
  <c r="CK9" i="1"/>
  <c r="Y258" i="1"/>
  <c r="Y256" i="1"/>
  <c r="CG10" i="1"/>
  <c r="CG9" i="1" s="1"/>
  <c r="CK30" i="1"/>
  <c r="CK116" i="1"/>
  <c r="CK120" i="1"/>
  <c r="CK115" i="1"/>
  <c r="CK119" i="1"/>
  <c r="CJ10" i="1"/>
  <c r="CJ9" i="1" s="1"/>
  <c r="CK31" i="1"/>
  <c r="CI10" i="1"/>
  <c r="CI29" i="1"/>
  <c r="CO11" i="1"/>
  <c r="CS32" i="1"/>
  <c r="CR11" i="1"/>
  <c r="CV32" i="1"/>
  <c r="CP11" i="1"/>
  <c r="CT32" i="1"/>
  <c r="CQ11" i="1"/>
  <c r="CU32" i="1"/>
  <c r="Z30" i="1"/>
  <c r="Z10" i="1"/>
  <c r="Y177" i="1"/>
  <c r="Y178" i="1" s="1"/>
  <c r="CJ256" i="1"/>
  <c r="CJ258" i="1"/>
  <c r="CU145" i="1"/>
  <c r="CV145" i="1" s="1"/>
  <c r="CW145" i="1" s="1"/>
  <c r="CX145" i="1" s="1"/>
  <c r="AC145" i="1"/>
  <c r="X256" i="1"/>
  <c r="X258" i="1"/>
  <c r="X177" i="1"/>
  <c r="X178" i="1" s="1"/>
  <c r="Y215" i="1"/>
  <c r="Y213" i="1" s="1"/>
  <c r="CH108" i="1"/>
  <c r="CG40" i="1"/>
  <c r="CG29" i="1"/>
  <c r="CK197" i="1"/>
  <c r="Y196" i="1"/>
  <c r="Y198" i="1"/>
  <c r="CI197" i="1"/>
  <c r="CI164" i="1"/>
  <c r="CM152" i="1"/>
  <c r="CJ193" i="1"/>
  <c r="CK193" i="1" s="1"/>
  <c r="CJ198" i="1"/>
  <c r="CH107" i="1"/>
  <c r="CI31" i="1"/>
  <c r="CH29" i="1"/>
  <c r="X196" i="1"/>
  <c r="X198" i="1"/>
  <c r="CM137" i="1"/>
  <c r="CJ31" i="1"/>
  <c r="CJ40" i="1"/>
  <c r="CJ29" i="1"/>
  <c r="CK218" i="1"/>
  <c r="CK261" i="1"/>
  <c r="CH40" i="1"/>
  <c r="CH31" i="1"/>
  <c r="CI49" i="1"/>
  <c r="CH121" i="1"/>
  <c r="Z215" i="1"/>
  <c r="Z213" i="1" s="1"/>
  <c r="Z258" i="1"/>
  <c r="Z256" i="1"/>
  <c r="CJ120" i="1"/>
  <c r="CJ116" i="1"/>
  <c r="CH120" i="1"/>
  <c r="CI119" i="1"/>
  <c r="CH119" i="1"/>
  <c r="CI120" i="1"/>
  <c r="CJ119" i="1"/>
  <c r="CJ115" i="1"/>
  <c r="CO136" i="1"/>
  <c r="CN195" i="1"/>
  <c r="CY129" i="1"/>
  <c r="CY175" i="1"/>
  <c r="CI46" i="1"/>
  <c r="CI244" i="1"/>
  <c r="CI245" i="1" s="1"/>
  <c r="CI41" i="1"/>
  <c r="AA42" i="1" l="1"/>
  <c r="AA262" i="1"/>
  <c r="AA263" i="1" s="1"/>
  <c r="CL116" i="1"/>
  <c r="CL120" i="1"/>
  <c r="CL123" i="1" s="1"/>
  <c r="CL108" i="1"/>
  <c r="CO8" i="1"/>
  <c r="CP39" i="1"/>
  <c r="CL201" i="1"/>
  <c r="CI194" i="1"/>
  <c r="Z198" i="1"/>
  <c r="AA201" i="1" s="1"/>
  <c r="AA202" i="1" s="1"/>
  <c r="CI158" i="1"/>
  <c r="Z196" i="1"/>
  <c r="Z262" i="1"/>
  <c r="Z263" i="1" s="1"/>
  <c r="Z46" i="1"/>
  <c r="CJ178" i="1"/>
  <c r="CK52" i="1"/>
  <c r="CK53" i="1"/>
  <c r="CH9" i="1"/>
  <c r="X244" i="1"/>
  <c r="X245" i="1" s="1"/>
  <c r="X46" i="1"/>
  <c r="X124" i="1"/>
  <c r="X41" i="1"/>
  <c r="Y42" i="1"/>
  <c r="CI45" i="1"/>
  <c r="CH150" i="1"/>
  <c r="Z13" i="1"/>
  <c r="CJ106" i="1"/>
  <c r="CJ108" i="1"/>
  <c r="CJ107" i="1"/>
  <c r="CL263" i="1"/>
  <c r="CL52" i="1"/>
  <c r="CL53" i="1"/>
  <c r="CL115" i="1"/>
  <c r="CL107" i="1"/>
  <c r="CL119" i="1"/>
  <c r="CL122" i="1" s="1"/>
  <c r="CJ45" i="1"/>
  <c r="CI150" i="1"/>
  <c r="CL124" i="1"/>
  <c r="CL238" i="1"/>
  <c r="CK124" i="1"/>
  <c r="CL42" i="1"/>
  <c r="CI50" i="1"/>
  <c r="Y41" i="1"/>
  <c r="Z42" i="1"/>
  <c r="Y244" i="1"/>
  <c r="Y245" i="1" s="1"/>
  <c r="Z244" i="1"/>
  <c r="Z245" i="1" s="1"/>
  <c r="Z41" i="1"/>
  <c r="Y46" i="1"/>
  <c r="Y50" i="1" s="1"/>
  <c r="Y262" i="1"/>
  <c r="Y263" i="1" s="1"/>
  <c r="Y124" i="1"/>
  <c r="Z124" i="1"/>
  <c r="CK15" i="1"/>
  <c r="CI9" i="1"/>
  <c r="CI12" i="1"/>
  <c r="CG13" i="1"/>
  <c r="CG12" i="1" s="1"/>
  <c r="CK42" i="1"/>
  <c r="CJ13" i="1"/>
  <c r="CJ12" i="1" s="1"/>
  <c r="CK43" i="1"/>
  <c r="CW32" i="1"/>
  <c r="CS11" i="1"/>
  <c r="CV11" i="1"/>
  <c r="CZ32" i="1"/>
  <c r="CZ11" i="1" s="1"/>
  <c r="CT11" i="1"/>
  <c r="CX32" i="1"/>
  <c r="CU11" i="1"/>
  <c r="CY32" i="1"/>
  <c r="CY11" i="1" s="1"/>
  <c r="Z9" i="1"/>
  <c r="CI262" i="1"/>
  <c r="CI263" i="1" s="1"/>
  <c r="CH13" i="1"/>
  <c r="CH12" i="1" s="1"/>
  <c r="CM214" i="1"/>
  <c r="CN152" i="1"/>
  <c r="Y201" i="1"/>
  <c r="Y202" i="1" s="1"/>
  <c r="CY145" i="1"/>
  <c r="CZ145" i="1" s="1"/>
  <c r="DA145" i="1" s="1"/>
  <c r="DB145" i="1" s="1"/>
  <c r="AE145" i="1" s="1"/>
  <c r="AD145" i="1"/>
  <c r="CG41" i="1"/>
  <c r="CG244" i="1"/>
  <c r="CG245" i="1" s="1"/>
  <c r="CG46" i="1"/>
  <c r="CG50" i="1" s="1"/>
  <c r="CK194" i="1"/>
  <c r="CK198" i="1" s="1"/>
  <c r="CM196" i="1"/>
  <c r="CJ43" i="1"/>
  <c r="CJ262" i="1"/>
  <c r="CJ263" i="1" s="1"/>
  <c r="CJ244" i="1"/>
  <c r="CJ245" i="1" s="1"/>
  <c r="CH41" i="1"/>
  <c r="CH46" i="1"/>
  <c r="CH50" i="1" s="1"/>
  <c r="CH43" i="1"/>
  <c r="CH262" i="1"/>
  <c r="CI43" i="1"/>
  <c r="CH244" i="1"/>
  <c r="CH245" i="1" s="1"/>
  <c r="CJ238" i="1"/>
  <c r="CJ124" i="1"/>
  <c r="CJ41" i="1"/>
  <c r="CJ46" i="1"/>
  <c r="CJ50" i="1" s="1"/>
  <c r="CN137" i="1"/>
  <c r="CM140" i="1"/>
  <c r="CM261" i="1" s="1"/>
  <c r="CH122" i="1"/>
  <c r="CH123" i="1"/>
  <c r="CK206" i="1"/>
  <c r="CK144" i="1"/>
  <c r="CP136" i="1"/>
  <c r="CO195" i="1"/>
  <c r="CZ175" i="1"/>
  <c r="CZ129" i="1"/>
  <c r="CM57" i="1"/>
  <c r="CN57" i="1" s="1"/>
  <c r="CO57" i="1" s="1"/>
  <c r="CP57" i="1" s="1"/>
  <c r="CQ57" i="1" s="1"/>
  <c r="CR57" i="1" s="1"/>
  <c r="CS57" i="1" s="1"/>
  <c r="CT57" i="1" s="1"/>
  <c r="CU57" i="1" s="1"/>
  <c r="CM58" i="1"/>
  <c r="CP8" i="1" l="1"/>
  <c r="CL126" i="1"/>
  <c r="CL67" i="1"/>
  <c r="CK54" i="1"/>
  <c r="Z201" i="1"/>
  <c r="Z202" i="1" s="1"/>
  <c r="CK60" i="1"/>
  <c r="CQ39" i="1"/>
  <c r="CQ8" i="1"/>
  <c r="Z12" i="1"/>
  <c r="Z50" i="1"/>
  <c r="Z67" i="1"/>
  <c r="CH258" i="1"/>
  <c r="CH177" i="1"/>
  <c r="CH178" i="1" s="1"/>
  <c r="X50" i="1"/>
  <c r="X67" i="1"/>
  <c r="CI53" i="1"/>
  <c r="CI52" i="1"/>
  <c r="CM52" i="1" s="1"/>
  <c r="CL56" i="1"/>
  <c r="CL246" i="1"/>
  <c r="CL54" i="1"/>
  <c r="CL257" i="1" s="1"/>
  <c r="CL60" i="1"/>
  <c r="CL125" i="1"/>
  <c r="CJ215" i="1"/>
  <c r="CJ213" i="1" s="1"/>
  <c r="CI215" i="1"/>
  <c r="CI213" i="1" s="1"/>
  <c r="CK146" i="1"/>
  <c r="CL144" i="1"/>
  <c r="CL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Y67" i="1"/>
  <c r="CM20" i="1"/>
  <c r="CW11" i="1"/>
  <c r="DA32" i="1"/>
  <c r="DA11" i="1" s="1"/>
  <c r="CX11" i="1"/>
  <c r="DB32" i="1"/>
  <c r="DB11" i="1" s="1"/>
  <c r="CN214" i="1"/>
  <c r="CO152" i="1"/>
  <c r="CH53" i="1"/>
  <c r="CL55" i="1" s="1"/>
  <c r="CH52" i="1"/>
  <c r="CJ53" i="1"/>
  <c r="CJ52" i="1"/>
  <c r="CG53" i="1"/>
  <c r="CK55" i="1" s="1"/>
  <c r="CG52" i="1"/>
  <c r="CN196" i="1"/>
  <c r="CM197" i="1"/>
  <c r="CM193" i="1"/>
  <c r="CO137" i="1"/>
  <c r="CN140" i="1"/>
  <c r="CN261" i="1" s="1"/>
  <c r="CM218" i="1"/>
  <c r="Y52" i="1"/>
  <c r="Y53" i="1"/>
  <c r="CP195" i="1"/>
  <c r="CQ136" i="1"/>
  <c r="DA129" i="1"/>
  <c r="DA175" i="1"/>
  <c r="CE77" i="1"/>
  <c r="AB57" i="1"/>
  <c r="AC57" i="1"/>
  <c r="CV57" i="1"/>
  <c r="CW57" i="1" s="1"/>
  <c r="CX57" i="1" s="1"/>
  <c r="CY57" i="1" s="1"/>
  <c r="AB47" i="1"/>
  <c r="CN58" i="1"/>
  <c r="CO58" i="1" s="1"/>
  <c r="CP58" i="1" s="1"/>
  <c r="CQ58" i="1" s="1"/>
  <c r="CR39" i="1" l="1"/>
  <c r="CR8" i="1"/>
  <c r="Z53" i="1"/>
  <c r="AA55" i="1" s="1"/>
  <c r="Z52" i="1"/>
  <c r="CK64" i="1"/>
  <c r="CK78" i="1"/>
  <c r="CS39" i="1"/>
  <c r="CN52" i="1"/>
  <c r="CS8" i="1"/>
  <c r="CT8" i="1"/>
  <c r="CL239" i="1"/>
  <c r="X52" i="1"/>
  <c r="X53" i="1"/>
  <c r="CI54" i="1"/>
  <c r="CI257" i="1" s="1"/>
  <c r="CI246" i="1"/>
  <c r="CI60" i="1"/>
  <c r="CL45" i="1"/>
  <c r="CN45" i="1" s="1"/>
  <c r="CO45" i="1" s="1"/>
  <c r="CP45" i="1" s="1"/>
  <c r="CQ45" i="1" s="1"/>
  <c r="CR45" i="1" s="1"/>
  <c r="CS45" i="1" s="1"/>
  <c r="CT45" i="1" s="1"/>
  <c r="CU45" i="1" s="1"/>
  <c r="CV45" i="1" s="1"/>
  <c r="CW45" i="1" s="1"/>
  <c r="CX45" i="1" s="1"/>
  <c r="CY45" i="1" s="1"/>
  <c r="CZ45" i="1" s="1"/>
  <c r="DA45" i="1" s="1"/>
  <c r="DB45" i="1" s="1"/>
  <c r="CK150" i="1"/>
  <c r="CL205" i="1"/>
  <c r="CL207" i="1" s="1"/>
  <c r="CL78" i="1"/>
  <c r="CL64" i="1"/>
  <c r="CK215" i="1"/>
  <c r="CK213" i="1" s="1"/>
  <c r="CL215" i="1"/>
  <c r="CL213" i="1" s="1"/>
  <c r="CI131" i="1"/>
  <c r="CP152" i="1"/>
  <c r="CO214" i="1"/>
  <c r="CK56" i="1"/>
  <c r="CJ56" i="1"/>
  <c r="CM29" i="1"/>
  <c r="CM9" i="1"/>
  <c r="CI56" i="1"/>
  <c r="CH60" i="1"/>
  <c r="CH54" i="1"/>
  <c r="CH257" i="1" s="1"/>
  <c r="CH246" i="1"/>
  <c r="CJ54" i="1"/>
  <c r="CJ257" i="1" s="1"/>
  <c r="CJ246" i="1"/>
  <c r="CJ60" i="1"/>
  <c r="CL66" i="1" s="1"/>
  <c r="CN197" i="1"/>
  <c r="CO196" i="1"/>
  <c r="CJ239" i="1"/>
  <c r="CG54" i="1"/>
  <c r="CG257" i="1" s="1"/>
  <c r="CG246" i="1"/>
  <c r="CG60" i="1"/>
  <c r="CH56" i="1"/>
  <c r="CM194" i="1"/>
  <c r="CM198" i="1" s="1"/>
  <c r="CN193" i="1"/>
  <c r="CP137" i="1"/>
  <c r="CO140" i="1"/>
  <c r="CO261" i="1" s="1"/>
  <c r="CN218" i="1"/>
  <c r="X246" i="1"/>
  <c r="X54" i="1"/>
  <c r="X257" i="1" s="1"/>
  <c r="Y55" i="1"/>
  <c r="X60" i="1"/>
  <c r="Y246" i="1"/>
  <c r="Z55" i="1"/>
  <c r="Y54" i="1"/>
  <c r="Y257" i="1" s="1"/>
  <c r="Y60" i="1"/>
  <c r="Z60" i="1"/>
  <c r="Z54" i="1"/>
  <c r="Z257" i="1" s="1"/>
  <c r="Z246" i="1"/>
  <c r="CB77" i="1"/>
  <c r="BL77" i="1"/>
  <c r="CR136" i="1"/>
  <c r="CQ195" i="1"/>
  <c r="CC77" i="1"/>
  <c r="DB129" i="1"/>
  <c r="DB175" i="1"/>
  <c r="AL77" i="1"/>
  <c r="CF77" i="1"/>
  <c r="CD77" i="1"/>
  <c r="BY77" i="1"/>
  <c r="BZ77" i="1"/>
  <c r="CA77" i="1"/>
  <c r="CI132" i="1"/>
  <c r="CI64" i="1"/>
  <c r="CI78" i="1"/>
  <c r="CI205" i="1"/>
  <c r="CI207" i="1" s="1"/>
  <c r="AD57" i="1"/>
  <c r="AB58" i="1"/>
  <c r="CZ57" i="1"/>
  <c r="DA57" i="1" s="1"/>
  <c r="DB57" i="1" s="1"/>
  <c r="AE57" i="1" s="1"/>
  <c r="AC47" i="1"/>
  <c r="CR58" i="1"/>
  <c r="CS58" i="1" s="1"/>
  <c r="CT58" i="1" s="1"/>
  <c r="CU58" i="1" s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F46" i="3"/>
  <c r="AZ9" i="3"/>
  <c r="AO6" i="6" a="1"/>
  <c r="AT32" i="3"/>
  <c r="AA6" i="6" a="1"/>
  <c r="L5" i="6" a="1"/>
  <c r="AR5" i="3"/>
  <c r="AZ32" i="3"/>
  <c r="AZ27" i="3"/>
  <c r="EM13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T7" i="4" a="1"/>
  <c r="EL15" i="4" a="1"/>
  <c r="AC5" i="6" a="1"/>
  <c r="AT36" i="3"/>
  <c r="EP13" i="4" a="1"/>
  <c r="EL9" i="4" a="1"/>
  <c r="EN11" i="4" a="1"/>
  <c r="EV8" i="4" a="1"/>
  <c r="AU26" i="3"/>
  <c r="AB5" i="6" a="1"/>
  <c r="AP7" i="3"/>
  <c r="EO7" i="4" a="1"/>
  <c r="EU6" i="4" a="1"/>
  <c r="EN9" i="4" a="1"/>
  <c r="L6" i="6" a="1"/>
  <c r="AS8" i="3"/>
  <c r="C5" i="3"/>
  <c r="AX42" i="3"/>
  <c r="AU7" i="3"/>
  <c r="EM11" i="4" a="1"/>
  <c r="EV9" i="4" a="1"/>
  <c r="EV16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ES13" i="4" a="1"/>
  <c r="EM14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AS10" i="3"/>
  <c r="EW15" i="4" a="1"/>
  <c r="EM12" i="4" a="1"/>
  <c r="AS22" i="3"/>
  <c r="AV13" i="3"/>
  <c r="AV12" i="3"/>
  <c r="EP15" i="4" a="1"/>
  <c r="EV7" i="4" a="1"/>
  <c r="EU5" i="4" a="1"/>
  <c r="AT10" i="3"/>
  <c r="AU10" i="3"/>
  <c r="AV26" i="3"/>
  <c r="AU16" i="3"/>
  <c r="AY15" i="3"/>
  <c r="ET12" i="4" a="1"/>
  <c r="EW9" i="4" a="1"/>
  <c r="AU30" i="3"/>
  <c r="AM5" i="6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AT24" i="3"/>
  <c r="AQ6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V6" i="6" a="1"/>
  <c r="EQ15" i="4" a="1"/>
  <c r="ER8" i="4" a="1"/>
  <c r="ER5" i="4" a="1"/>
  <c r="EV12" i="4" a="1"/>
  <c r="ER9" i="4" a="1"/>
  <c r="AW10" i="3"/>
  <c r="AT6" i="6" a="1"/>
  <c r="AV27" i="3"/>
  <c r="AF5" i="6" a="1"/>
  <c r="EU14" i="4" a="1"/>
  <c r="EO9" i="4" a="1"/>
  <c r="EN16" i="4" a="1"/>
  <c r="EM8" i="4" a="1"/>
  <c r="AW5" i="6" a="1"/>
  <c r="AX6" i="3"/>
  <c r="AW28" i="3"/>
  <c r="AY25" i="3"/>
  <c r="J6" i="6" a="1"/>
  <c r="AZ46" i="3"/>
  <c r="AY42" i="3"/>
  <c r="AZ26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T29" i="3"/>
  <c r="AZ7" i="3"/>
  <c r="AT5" i="6" a="1"/>
  <c r="K5" i="6" a="1"/>
  <c r="AZ37" i="3"/>
  <c r="AY23" i="3"/>
  <c r="AS41" i="3"/>
  <c r="AS6" i="3"/>
  <c r="AF34" i="3"/>
  <c r="AS13" i="3"/>
  <c r="AU40" i="3"/>
  <c r="AD6" i="6" a="1"/>
  <c r="AZ34" i="3"/>
  <c r="EN12" i="4" a="1"/>
  <c r="R6" i="6" a="1"/>
  <c r="AU27" i="3"/>
  <c r="AU19" i="3"/>
  <c r="AU5" i="3"/>
  <c r="AZ24" i="3"/>
  <c r="AX46" i="3"/>
  <c r="ER11" i="4" a="1"/>
  <c r="EQ8" i="4" a="1"/>
  <c r="X5" i="6" a="1"/>
  <c r="EQ12" i="4" a="1"/>
  <c r="ES1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EP12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U45" i="3"/>
  <c r="F46" i="3"/>
  <c r="AZ25" i="3"/>
  <c r="AX5" i="6" a="1"/>
  <c r="AW15" i="3"/>
  <c r="AT33" i="3"/>
  <c r="ES5" i="4" a="1"/>
  <c r="EP11" i="4" a="1"/>
  <c r="ER6" i="4" a="1"/>
  <c r="ES12" i="4" a="1"/>
  <c r="EM6" i="4" a="1"/>
  <c r="EV11" i="4" a="1"/>
  <c r="AF10" i="3"/>
  <c r="AU42" i="3"/>
  <c r="AZ41" i="3"/>
  <c r="AU15" i="3"/>
  <c r="AV40" i="3"/>
  <c r="AW23" i="3"/>
  <c r="AT35" i="3"/>
  <c r="AX9" i="3"/>
  <c r="AU12" i="3"/>
  <c r="AY37" i="3"/>
  <c r="EM5" i="4" a="1"/>
  <c r="EN7" i="4" a="1"/>
  <c r="ET15" i="4" a="1"/>
  <c r="EL13" i="4" a="1"/>
  <c r="EO6" i="4" a="1"/>
  <c r="AF23" i="3"/>
  <c r="AF17" i="3"/>
  <c r="ER16" i="4" a="1"/>
  <c r="ET8" i="4" a="1"/>
  <c r="EL14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F42" i="3"/>
  <c r="AS28" i="3"/>
  <c r="AS5" i="6" a="1"/>
  <c r="AX13" i="3"/>
  <c r="EO12" i="4" a="1"/>
  <c r="EL6" i="4" a="1"/>
  <c r="EU7" i="4" a="1"/>
  <c r="ER7" i="4" a="1"/>
  <c r="EL12" i="4" a="1"/>
  <c r="AW12" i="3"/>
  <c r="T5" i="6" a="1"/>
  <c r="AJ5" i="6" a="1"/>
  <c r="AZ11" i="3"/>
  <c r="EV13" i="4" a="1"/>
  <c r="CT39" i="1" l="1"/>
  <c r="CO52" i="1"/>
  <c r="CU39" i="1"/>
  <c r="AB143" i="1"/>
  <c r="CN20" i="1"/>
  <c r="CN15" i="1"/>
  <c r="CP214" i="1"/>
  <c r="CQ152" i="1"/>
  <c r="CH205" i="1"/>
  <c r="CH207" i="1" s="1"/>
  <c r="CH78" i="1"/>
  <c r="CH64" i="1"/>
  <c r="CJ66" i="1"/>
  <c r="CG205" i="1"/>
  <c r="CG207" i="1" s="1"/>
  <c r="CJ78" i="1"/>
  <c r="CL81" i="1" s="1"/>
  <c r="CJ205" i="1"/>
  <c r="CJ207" i="1" s="1"/>
  <c r="CJ64" i="1"/>
  <c r="CN29" i="1"/>
  <c r="CO29" i="1" s="1"/>
  <c r="CG78" i="1"/>
  <c r="CG64" i="1"/>
  <c r="CN9" i="1"/>
  <c r="CO9" i="1" s="1"/>
  <c r="CP196" i="1"/>
  <c r="CO197" i="1"/>
  <c r="CN194" i="1"/>
  <c r="CN198" i="1" s="1"/>
  <c r="CO193" i="1"/>
  <c r="CQ137" i="1"/>
  <c r="CP140" i="1"/>
  <c r="CP261" i="1" s="1"/>
  <c r="CO218" i="1"/>
  <c r="BY34" i="1"/>
  <c r="CA21" i="1"/>
  <c r="CE34" i="1"/>
  <c r="CA34" i="1"/>
  <c r="CF34" i="1"/>
  <c r="CD34" i="1"/>
  <c r="BZ34" i="1"/>
  <c r="BL34" i="1"/>
  <c r="CC34" i="1"/>
  <c r="CB34" i="1"/>
  <c r="CF21" i="1"/>
  <c r="CD21" i="1"/>
  <c r="BY21" i="1"/>
  <c r="CE21" i="1"/>
  <c r="BZ21" i="1"/>
  <c r="CC21" i="1"/>
  <c r="CB21" i="1"/>
  <c r="BL21" i="1"/>
  <c r="Y205" i="1"/>
  <c r="Y207" i="1" s="1"/>
  <c r="Y211" i="1" s="1"/>
  <c r="Y225" i="1" s="1"/>
  <c r="Y219" i="1"/>
  <c r="Y217" i="1" s="1"/>
  <c r="Y66" i="1"/>
  <c r="Y64" i="1"/>
  <c r="X205" i="1"/>
  <c r="X207" i="1" s="1"/>
  <c r="X64" i="1"/>
  <c r="X66" i="1"/>
  <c r="Z205" i="1"/>
  <c r="Z207" i="1" s="1"/>
  <c r="Z211" i="1" s="1"/>
  <c r="Z225" i="1" s="1"/>
  <c r="Z219" i="1"/>
  <c r="Z217" i="1" s="1"/>
  <c r="Z66" i="1"/>
  <c r="Z64" i="1"/>
  <c r="CD37" i="1"/>
  <c r="CC57" i="1"/>
  <c r="CA20" i="1"/>
  <c r="CA243" i="1" s="1"/>
  <c r="CD51" i="1"/>
  <c r="AH7" i="6" s="1"/>
  <c r="CD47" i="1"/>
  <c r="CF48" i="1"/>
  <c r="BY57" i="1"/>
  <c r="BL57" i="1"/>
  <c r="CD58" i="1"/>
  <c r="AV7" i="6" s="1"/>
  <c r="CB32" i="1"/>
  <c r="CB11" i="1" s="1"/>
  <c r="R7" i="6" s="1"/>
  <c r="X7" i="6" s="1"/>
  <c r="CD57" i="1"/>
  <c r="CD27" i="1"/>
  <c r="V7" i="6" s="1"/>
  <c r="BY27" i="1"/>
  <c r="CB20" i="1"/>
  <c r="CB243" i="1" s="1"/>
  <c r="BY63" i="1"/>
  <c r="BL20" i="1"/>
  <c r="AW7" i="6" s="1"/>
  <c r="BY33" i="1"/>
  <c r="CA25" i="1"/>
  <c r="CB35" i="1"/>
  <c r="BZ48" i="1"/>
  <c r="O7" i="6" s="1"/>
  <c r="BL59" i="1"/>
  <c r="AQ7" i="6" s="1"/>
  <c r="CF20" i="1"/>
  <c r="JJ9" i="4" s="1"/>
  <c r="BY58" i="1"/>
  <c r="AM7" i="6" s="1"/>
  <c r="JM16" i="4" s="1"/>
  <c r="CF59" i="1"/>
  <c r="CA36" i="1"/>
  <c r="BL35" i="1"/>
  <c r="BL58" i="1"/>
  <c r="CF47" i="1"/>
  <c r="BL48" i="1"/>
  <c r="BZ57" i="1"/>
  <c r="CC37" i="1"/>
  <c r="CC33" i="1"/>
  <c r="JM9" i="4" s="1"/>
  <c r="CA33" i="1"/>
  <c r="JL16" i="4" s="1"/>
  <c r="BZ36" i="1"/>
  <c r="CB33" i="1"/>
  <c r="CC25" i="1"/>
  <c r="JK16" i="4" s="1"/>
  <c r="CA63" i="1"/>
  <c r="BZ26" i="1"/>
  <c r="CE27" i="1"/>
  <c r="CC26" i="1"/>
  <c r="C7" i="6" s="1"/>
  <c r="T7" i="6" s="1"/>
  <c r="BY36" i="1"/>
  <c r="CC58" i="1"/>
  <c r="CC20" i="1"/>
  <c r="CC243" i="1" s="1"/>
  <c r="CB47" i="1"/>
  <c r="JL9" i="4" s="1"/>
  <c r="CF51" i="1"/>
  <c r="AL7" i="6" s="1"/>
  <c r="BZ44" i="1"/>
  <c r="BZ206" i="1" s="1"/>
  <c r="BZ47" i="1"/>
  <c r="J7" i="6" s="1"/>
  <c r="BY59" i="1"/>
  <c r="Z7" i="6" s="1"/>
  <c r="BL32" i="1"/>
  <c r="BL11" i="1" s="1"/>
  <c r="CF25" i="1"/>
  <c r="CF35" i="1"/>
  <c r="BZ25" i="1"/>
  <c r="CA27" i="1"/>
  <c r="CD26" i="1"/>
  <c r="BL33" i="1"/>
  <c r="BY26" i="1"/>
  <c r="CE44" i="1"/>
  <c r="CE206" i="1" s="1"/>
  <c r="AD7" i="6" s="1"/>
  <c r="CF37" i="1"/>
  <c r="CE32" i="1"/>
  <c r="CE11" i="1" s="1"/>
  <c r="CA59" i="1"/>
  <c r="CD48" i="1"/>
  <c r="CB36" i="1"/>
  <c r="CD59" i="1"/>
  <c r="AP7" i="6" s="1"/>
  <c r="Y7" i="6" s="1"/>
  <c r="CA37" i="1"/>
  <c r="AA7" i="6" s="1"/>
  <c r="AJ7" i="6" s="1"/>
  <c r="BY20" i="1"/>
  <c r="BY35" i="1"/>
  <c r="CB51" i="1"/>
  <c r="CE37" i="1"/>
  <c r="I7" i="6" s="1"/>
  <c r="AK7" i="6" s="1"/>
  <c r="CE26" i="1"/>
  <c r="K7" i="6" s="1"/>
  <c r="F7" i="6" s="1"/>
  <c r="CB57" i="1"/>
  <c r="CF36" i="1"/>
  <c r="AC7" i="6" s="1"/>
  <c r="AE7" i="6" s="1"/>
  <c r="M7" i="6" s="1"/>
  <c r="Q7" i="6" s="1"/>
  <c r="CA58" i="1"/>
  <c r="BZ58" i="1"/>
  <c r="CA48" i="1"/>
  <c r="CF58" i="1"/>
  <c r="AU7" i="6" s="1"/>
  <c r="BL27" i="1"/>
  <c r="CE36" i="1"/>
  <c r="CB44" i="1"/>
  <c r="CB206" i="1" s="1"/>
  <c r="CC59" i="1"/>
  <c r="CC63" i="1"/>
  <c r="AX7" i="6" s="1"/>
  <c r="BZ35" i="1"/>
  <c r="AT7" i="6" s="1"/>
  <c r="S7" i="6" s="1"/>
  <c r="BY25" i="1"/>
  <c r="CE47" i="1"/>
  <c r="CA57" i="1"/>
  <c r="CB59" i="1"/>
  <c r="CA47" i="1"/>
  <c r="CF63" i="1"/>
  <c r="CF33" i="1"/>
  <c r="CA32" i="1"/>
  <c r="CA11" i="1" s="1"/>
  <c r="AN7" i="6" s="1"/>
  <c r="CE58" i="1"/>
  <c r="CC27" i="1"/>
  <c r="CE63" i="1"/>
  <c r="CF27" i="1"/>
  <c r="G7" i="6" s="1"/>
  <c r="BL44" i="1"/>
  <c r="AF7" i="6" s="1"/>
  <c r="CC32" i="1"/>
  <c r="CC11" i="1" s="1"/>
  <c r="CD32" i="1"/>
  <c r="CD11" i="1" s="1"/>
  <c r="JJ16" i="4" s="1"/>
  <c r="BY37" i="1"/>
  <c r="CB58" i="1"/>
  <c r="CE20" i="1"/>
  <c r="AB7" i="6" s="1"/>
  <c r="BL26" i="1"/>
  <c r="CD63" i="1"/>
  <c r="BY32" i="1"/>
  <c r="BY11" i="1" s="1"/>
  <c r="BZ27" i="1"/>
  <c r="CD33" i="1"/>
  <c r="L7" i="6" s="1"/>
  <c r="BL51" i="1"/>
  <c r="BZ20" i="1"/>
  <c r="BZ243" i="1" s="1"/>
  <c r="CA44" i="1"/>
  <c r="BZ51" i="1"/>
  <c r="BY44" i="1"/>
  <c r="BY206" i="1" s="1"/>
  <c r="AI7" i="6" s="1"/>
  <c r="CC51" i="1"/>
  <c r="D7" i="6" s="1"/>
  <c r="BZ33" i="1"/>
  <c r="AG7" i="6" s="1"/>
  <c r="BZ32" i="1"/>
  <c r="BZ11" i="1" s="1"/>
  <c r="BL63" i="1"/>
  <c r="W7" i="6" s="1"/>
  <c r="CB63" i="1"/>
  <c r="CE59" i="1"/>
  <c r="CF32" i="1"/>
  <c r="CF11" i="1" s="1"/>
  <c r="CC35" i="1"/>
  <c r="CD35" i="1"/>
  <c r="CE25" i="1"/>
  <c r="BY47" i="1"/>
  <c r="CC47" i="1"/>
  <c r="BZ63" i="1"/>
  <c r="AS7" i="6" s="1"/>
  <c r="BZ59" i="1"/>
  <c r="CE48" i="1"/>
  <c r="CD25" i="1"/>
  <c r="BL47" i="1"/>
  <c r="CB26" i="1"/>
  <c r="CC44" i="1"/>
  <c r="CC206" i="1" s="1"/>
  <c r="BY51" i="1"/>
  <c r="H7" i="6" s="1"/>
  <c r="CA35" i="1"/>
  <c r="BZ37" i="1"/>
  <c r="CD20" i="1"/>
  <c r="CD243" i="1" s="1"/>
  <c r="AR7" i="6" s="1"/>
  <c r="CF26" i="1"/>
  <c r="BL25" i="1"/>
  <c r="BL36" i="1"/>
  <c r="JK9" i="4" s="1"/>
  <c r="AO7" i="6" s="1"/>
  <c r="CA51" i="1"/>
  <c r="BL37" i="1"/>
  <c r="CA26" i="1"/>
  <c r="CE57" i="1"/>
  <c r="CD36" i="1"/>
  <c r="P7" i="6" s="1"/>
  <c r="E7" i="6" s="1"/>
  <c r="U7" i="6" s="1"/>
  <c r="CC36" i="1"/>
  <c r="AY7" i="6" s="1"/>
  <c r="CD44" i="1"/>
  <c r="CB27" i="1"/>
  <c r="CC48" i="1"/>
  <c r="CB48" i="1"/>
  <c r="CE35" i="1"/>
  <c r="CE33" i="1"/>
  <c r="CF44" i="1"/>
  <c r="CF206" i="1" s="1"/>
  <c r="CB37" i="1"/>
  <c r="BY48" i="1"/>
  <c r="CF57" i="1"/>
  <c r="N7" i="6" s="1"/>
  <c r="CI141" i="1"/>
  <c r="CI104" i="1"/>
  <c r="CS136" i="1"/>
  <c r="CR195" i="1"/>
  <c r="CJ219" i="1"/>
  <c r="CJ217" i="1" s="1"/>
  <c r="CJ67" i="1"/>
  <c r="CI219" i="1"/>
  <c r="CI217" i="1" s="1"/>
  <c r="AC58" i="1"/>
  <c r="CV58" i="1"/>
  <c r="CW58" i="1" s="1"/>
  <c r="CX58" i="1" s="1"/>
  <c r="CY58" i="1" s="1"/>
  <c r="AD47" i="1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T78" i="3"/>
  <c r="AV58" i="3"/>
  <c r="C61" i="3"/>
  <c r="C74" i="3"/>
  <c r="AW55" i="3"/>
  <c r="AW65" i="3"/>
  <c r="AT83" i="3"/>
  <c r="AF76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66" i="3"/>
  <c r="AY84" i="3"/>
  <c r="C84" i="3"/>
  <c r="AV66" i="3"/>
  <c r="AV92" i="3"/>
  <c r="AZ68" i="3"/>
  <c r="AF92" i="3"/>
  <c r="AX57" i="3"/>
  <c r="AF59" i="3"/>
  <c r="AW88" i="3"/>
  <c r="AS50" i="3"/>
  <c r="AU69" i="3"/>
  <c r="AT62" i="3"/>
  <c r="AF61" i="3"/>
  <c r="AF95" i="3"/>
  <c r="AZ67" i="3"/>
  <c r="AX60" i="3"/>
  <c r="AV67" i="3"/>
  <c r="AZ76" i="3"/>
  <c r="AT71" i="3"/>
  <c r="AT80" i="3"/>
  <c r="AX68" i="3"/>
  <c r="AX50" i="3"/>
  <c r="AF93" i="3"/>
  <c r="AX58" i="3"/>
  <c r="AY56" i="3"/>
  <c r="AS55" i="3"/>
  <c r="AU81" i="3"/>
  <c r="AT57" i="3"/>
  <c r="AS48" i="3"/>
  <c r="AZ75" i="3"/>
  <c r="C88" i="3"/>
  <c r="AZ66" i="3"/>
  <c r="AF83" i="3"/>
  <c r="AW67" i="3"/>
  <c r="AF64" i="3"/>
  <c r="AZ74" i="3"/>
  <c r="AS70" i="3"/>
  <c r="AS65" i="3"/>
  <c r="AS63" i="3"/>
  <c r="AU71" i="3"/>
  <c r="AF74" i="3"/>
  <c r="AT91" i="3"/>
  <c r="AS56" i="3"/>
  <c r="C57" i="3"/>
  <c r="AZ50" i="3"/>
  <c r="AT75" i="3"/>
  <c r="AS73" i="3"/>
  <c r="AF49" i="3"/>
  <c r="AW59" i="3"/>
  <c r="AV64" i="3"/>
  <c r="AU73" i="3"/>
  <c r="AX69" i="3"/>
  <c r="AF58" i="3"/>
  <c r="AY48" i="3"/>
  <c r="AW74" i="3"/>
  <c r="AV84" i="3"/>
  <c r="AZ55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80" i="3"/>
  <c r="AW85" i="3"/>
  <c r="AS68" i="3"/>
  <c r="AV65" i="3"/>
  <c r="AX93" i="3"/>
  <c r="AT76" i="3"/>
  <c r="AV88" i="3"/>
  <c r="AW78" i="3"/>
  <c r="AU56" i="3"/>
  <c r="AX81" i="3"/>
  <c r="AW69" i="3"/>
  <c r="AV55" i="3"/>
  <c r="AV85" i="3"/>
  <c r="AV89" i="3"/>
  <c r="AZ82" i="3"/>
  <c r="C77" i="3"/>
  <c r="C6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U83" i="3"/>
  <c r="AU87" i="3"/>
  <c r="AT97" i="3"/>
  <c r="AV70" i="3"/>
  <c r="AZ65" i="3"/>
  <c r="C86" i="3"/>
  <c r="AS74" i="3"/>
  <c r="AV47" i="3"/>
  <c r="AT67" i="3"/>
  <c r="AX71" i="3"/>
  <c r="AW60" i="3"/>
  <c r="AZ70" i="3"/>
  <c r="AY78" i="3"/>
  <c r="AF80" i="3"/>
  <c r="AY62" i="3"/>
  <c r="AS58" i="3"/>
  <c r="AT87" i="3"/>
  <c r="AX63" i="3"/>
  <c r="AX49" i="3"/>
  <c r="AS86" i="3"/>
  <c r="AS67" i="3"/>
  <c r="AW75" i="3"/>
  <c r="AY76" i="3"/>
  <c r="AW76" i="3"/>
  <c r="AY94" i="3"/>
  <c r="AT59" i="3"/>
  <c r="AX74" i="3"/>
  <c r="AW96" i="3"/>
  <c r="AX66" i="3"/>
  <c r="AW63" i="3"/>
  <c r="AY55" i="3"/>
  <c r="AZ84" i="3"/>
  <c r="AY71" i="3"/>
  <c r="AX89" i="3"/>
  <c r="AY82" i="3"/>
  <c r="AW48" i="3"/>
  <c r="AZ73" i="3"/>
  <c r="AT69" i="3"/>
  <c r="AS76" i="3"/>
  <c r="C70" i="3"/>
  <c r="AU47" i="3"/>
  <c r="C94" i="3"/>
  <c r="AF85" i="3"/>
  <c r="AU58" i="3"/>
  <c r="AT92" i="3"/>
  <c r="AV97" i="3"/>
  <c r="AU77" i="3"/>
  <c r="AY85" i="3"/>
  <c r="AX70" i="3"/>
  <c r="AT7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Y65" i="3"/>
  <c r="AS87" i="3"/>
  <c r="AX76" i="3"/>
  <c r="AT82" i="3"/>
  <c r="AW58" i="3"/>
  <c r="AU80" i="3"/>
  <c r="AY68" i="3"/>
  <c r="AV77" i="3"/>
  <c r="AX84" i="3"/>
  <c r="AY87" i="3"/>
  <c r="AT84" i="3"/>
  <c r="AT49" i="3"/>
  <c r="AZ71" i="3"/>
  <c r="AX67" i="3"/>
  <c r="AZ49" i="3"/>
  <c r="AT65" i="3"/>
  <c r="AX75" i="3"/>
  <c r="AY73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U59" i="3"/>
  <c r="AU96" i="3"/>
  <c r="C62" i="3"/>
  <c r="AW72" i="3"/>
  <c r="AX92" i="3"/>
  <c r="AY88" i="3"/>
  <c r="C66" i="3"/>
  <c r="AZ64" i="3"/>
  <c r="AF91" i="3"/>
  <c r="AV74" i="3"/>
  <c r="AV59" i="3"/>
  <c r="C85" i="3"/>
  <c r="AT89" i="3"/>
  <c r="AZ54" i="3"/>
  <c r="C93" i="3"/>
  <c r="AU95" i="3"/>
  <c r="AS83" i="3"/>
  <c r="AT96" i="3"/>
  <c r="AV81" i="3"/>
  <c r="AZ88" i="3"/>
  <c r="AU91" i="3"/>
  <c r="AF56" i="3"/>
  <c r="AY47" i="3"/>
  <c r="AU66" i="3"/>
  <c r="AY93" i="3"/>
  <c r="AF94" i="3"/>
  <c r="AS84" i="3"/>
  <c r="AS66" i="3"/>
  <c r="AU92" i="3"/>
  <c r="AY89" i="3"/>
  <c r="AU60" i="3"/>
  <c r="AW70" i="3"/>
  <c r="AF86" i="3"/>
  <c r="AU72" i="3"/>
  <c r="AW89" i="3"/>
  <c r="AZ61" i="3"/>
  <c r="C56" i="3"/>
  <c r="AF69" i="3"/>
  <c r="AW54" i="3"/>
  <c r="AZ9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C90" i="3"/>
  <c r="AW7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Z62" i="3"/>
  <c r="AU84" i="3"/>
  <c r="AS75" i="3"/>
  <c r="AU48" i="3"/>
  <c r="AZ90" i="3"/>
  <c r="AX82" i="3"/>
  <c r="AS89" i="3"/>
  <c r="AU57" i="3"/>
  <c r="AF55" i="3"/>
  <c r="CP52" i="1" l="1"/>
  <c r="CV39" i="1"/>
  <c r="CQ52" i="1"/>
  <c r="CQ214" i="1"/>
  <c r="CR152" i="1"/>
  <c r="CR214" i="1" s="1"/>
  <c r="AC143" i="1"/>
  <c r="CL97" i="1"/>
  <c r="CL99" i="1"/>
  <c r="CL98" i="1"/>
  <c r="CJ81" i="1"/>
  <c r="CP20" i="1"/>
  <c r="CP15" i="1"/>
  <c r="CO15" i="1"/>
  <c r="CO20" i="1"/>
  <c r="CK81" i="1"/>
  <c r="CP29" i="1"/>
  <c r="CQ29" i="1" s="1"/>
  <c r="CP9" i="1"/>
  <c r="CQ196" i="1"/>
  <c r="CP197" i="1"/>
  <c r="CO194" i="1"/>
  <c r="CO198" i="1" s="1"/>
  <c r="CP193" i="1"/>
  <c r="CR137" i="1"/>
  <c r="CQ140" i="1"/>
  <c r="CQ261" i="1" s="1"/>
  <c r="CP218" i="1"/>
  <c r="BZ137" i="1"/>
  <c r="CA137" i="1" s="1"/>
  <c r="BL85" i="1"/>
  <c r="CF86" i="1"/>
  <c r="CB158" i="1"/>
  <c r="CC158" i="1" s="1"/>
  <c r="CD165" i="1"/>
  <c r="CD195" i="1" s="1"/>
  <c r="CE195" i="1" s="1"/>
  <c r="CB176" i="1"/>
  <c r="CC176" i="1" s="1"/>
  <c r="BL136" i="1"/>
  <c r="BM136" i="1" s="1"/>
  <c r="CD145" i="1"/>
  <c r="CD136" i="1"/>
  <c r="CE136" i="1" s="1"/>
  <c r="CF139" i="1"/>
  <c r="CG139" i="1" s="1"/>
  <c r="CB139" i="1"/>
  <c r="CC139" i="1" s="1"/>
  <c r="CB164" i="1"/>
  <c r="CC164" i="1" s="1"/>
  <c r="CB156" i="1"/>
  <c r="CB191" i="1" s="1"/>
  <c r="CC191" i="1" s="1"/>
  <c r="BZ165" i="1"/>
  <c r="BZ195" i="1" s="1"/>
  <c r="CA195" i="1" s="1"/>
  <c r="BZ176" i="1"/>
  <c r="CA176" i="1" s="1"/>
  <c r="BZ166" i="1"/>
  <c r="CA166" i="1" s="1"/>
  <c r="BZ172" i="1"/>
  <c r="BZ162" i="1"/>
  <c r="CA162" i="1" s="1"/>
  <c r="BZ144" i="1"/>
  <c r="BL157" i="1"/>
  <c r="BL192" i="1" s="1"/>
  <c r="BM192" i="1" s="1"/>
  <c r="BL165" i="1"/>
  <c r="BL195" i="1" s="1"/>
  <c r="BM195" i="1" s="1"/>
  <c r="BL134" i="1"/>
  <c r="BM134" i="1" s="1"/>
  <c r="CA85" i="1"/>
  <c r="CF85" i="1"/>
  <c r="CF158" i="1"/>
  <c r="CG158" i="1" s="1"/>
  <c r="CF145" i="1"/>
  <c r="CB86" i="1"/>
  <c r="CF156" i="1"/>
  <c r="CF191" i="1" s="1"/>
  <c r="CG191" i="1" s="1"/>
  <c r="CG156" i="1" s="1"/>
  <c r="CF134" i="1"/>
  <c r="CG134" i="1" s="1"/>
  <c r="CB161" i="1"/>
  <c r="CC161" i="1" s="1"/>
  <c r="CF176" i="1"/>
  <c r="CG176" i="1" s="1"/>
  <c r="CB137" i="1"/>
  <c r="CC137" i="1" s="1"/>
  <c r="CB175" i="1"/>
  <c r="CC175" i="1" s="1"/>
  <c r="CD86" i="1"/>
  <c r="CB171" i="1"/>
  <c r="CD157" i="1"/>
  <c r="CD192" i="1" s="1"/>
  <c r="CE192" i="1" s="1"/>
  <c r="CD134" i="1"/>
  <c r="CE134" i="1" s="1"/>
  <c r="BL137" i="1"/>
  <c r="CD143" i="1"/>
  <c r="CD163" i="1"/>
  <c r="CE163" i="1" s="1"/>
  <c r="CD171" i="1"/>
  <c r="CD154" i="1"/>
  <c r="CE154" i="1" s="1"/>
  <c r="CF152" i="1"/>
  <c r="CF138" i="1"/>
  <c r="CG138" i="1" s="1"/>
  <c r="CB154" i="1"/>
  <c r="CC154" i="1" s="1"/>
  <c r="BL166" i="1"/>
  <c r="BM166" i="1" s="1"/>
  <c r="BL175" i="1"/>
  <c r="BM175" i="1" s="1"/>
  <c r="BL176" i="1"/>
  <c r="CB138" i="1"/>
  <c r="CC138" i="1" s="1"/>
  <c r="CE86" i="1"/>
  <c r="BZ171" i="1"/>
  <c r="BZ175" i="1"/>
  <c r="CA175" i="1" s="1"/>
  <c r="BZ131" i="1"/>
  <c r="BZ139" i="1"/>
  <c r="CA139" i="1" s="1"/>
  <c r="CF157" i="1"/>
  <c r="CF192" i="1" s="1"/>
  <c r="CG192" i="1" s="1"/>
  <c r="CG157" i="1" s="1"/>
  <c r="CF144" i="1"/>
  <c r="CF161" i="1"/>
  <c r="CB131" i="1"/>
  <c r="CB157" i="1"/>
  <c r="CB192" i="1" s="1"/>
  <c r="CC192" i="1" s="1"/>
  <c r="CD172" i="1"/>
  <c r="CD164" i="1"/>
  <c r="CE164" i="1" s="1"/>
  <c r="CB85" i="1"/>
  <c r="BZ167" i="1"/>
  <c r="CA167" i="1" s="1"/>
  <c r="BZ145" i="1"/>
  <c r="BZ129" i="1"/>
  <c r="BZ159" i="1"/>
  <c r="CA159" i="1" s="1"/>
  <c r="BZ86" i="1"/>
  <c r="BZ136" i="1"/>
  <c r="CA136" i="1" s="1"/>
  <c r="BZ138" i="1"/>
  <c r="CA138" i="1" s="1"/>
  <c r="BZ154" i="1"/>
  <c r="CA154" i="1" s="1"/>
  <c r="BZ143" i="1"/>
  <c r="BL145" i="1"/>
  <c r="BL161" i="1"/>
  <c r="BM161" i="1" s="1"/>
  <c r="CF136" i="1"/>
  <c r="CF165" i="1"/>
  <c r="CF195" i="1" s="1"/>
  <c r="CG195" i="1" s="1"/>
  <c r="CG165" i="1" s="1"/>
  <c r="CD166" i="1"/>
  <c r="CE166" i="1" s="1"/>
  <c r="CF166" i="1"/>
  <c r="CG166" i="1" s="1"/>
  <c r="CB143" i="1"/>
  <c r="CB166" i="1"/>
  <c r="CC166" i="1" s="1"/>
  <c r="BY86" i="1"/>
  <c r="CD175" i="1"/>
  <c r="CE175" i="1" s="1"/>
  <c r="CD147" i="1"/>
  <c r="CE147" i="1" s="1"/>
  <c r="BL172" i="1"/>
  <c r="CB165" i="1"/>
  <c r="CB195" i="1" s="1"/>
  <c r="CC195" i="1" s="1"/>
  <c r="CB130" i="1"/>
  <c r="CC130" i="1" s="1"/>
  <c r="BL162" i="1"/>
  <c r="BM162" i="1" s="1"/>
  <c r="CD139" i="1"/>
  <c r="CE139" i="1" s="1"/>
  <c r="CD159" i="1"/>
  <c r="CE159" i="1" s="1"/>
  <c r="CD131" i="1"/>
  <c r="CD158" i="1"/>
  <c r="CE158" i="1" s="1"/>
  <c r="CD167" i="1"/>
  <c r="CE167" i="1" s="1"/>
  <c r="CD152" i="1"/>
  <c r="CE152" i="1" s="1"/>
  <c r="CF129" i="1"/>
  <c r="CF130" i="1"/>
  <c r="CG130" i="1" s="1"/>
  <c r="CF163" i="1"/>
  <c r="CG163" i="1" s="1"/>
  <c r="CF175" i="1"/>
  <c r="CG175" i="1" s="1"/>
  <c r="CB172" i="1"/>
  <c r="CB152" i="1"/>
  <c r="AI86" i="1"/>
  <c r="BL159" i="1"/>
  <c r="BM159" i="1" s="1"/>
  <c r="BL147" i="1"/>
  <c r="BM147" i="1" s="1"/>
  <c r="BL138" i="1"/>
  <c r="BM138" i="1" s="1"/>
  <c r="CB136" i="1"/>
  <c r="CC136" i="1" s="1"/>
  <c r="BL158" i="1"/>
  <c r="BM158" i="1" s="1"/>
  <c r="BZ147" i="1"/>
  <c r="CA147" i="1" s="1"/>
  <c r="BZ85" i="1"/>
  <c r="BL164" i="1"/>
  <c r="BM164" i="1" s="1"/>
  <c r="CB144" i="1"/>
  <c r="CF159" i="1"/>
  <c r="CG159" i="1" s="1"/>
  <c r="CB159" i="1"/>
  <c r="CC159" i="1" s="1"/>
  <c r="CD85" i="1"/>
  <c r="CC86" i="1"/>
  <c r="CD130" i="1"/>
  <c r="CE130" i="1" s="1"/>
  <c r="BL131" i="1"/>
  <c r="CD137" i="1"/>
  <c r="CE137" i="1" s="1"/>
  <c r="CF171" i="1"/>
  <c r="CF164" i="1"/>
  <c r="CG164" i="1" s="1"/>
  <c r="CE85" i="1"/>
  <c r="BZ157" i="1"/>
  <c r="BZ192" i="1" s="1"/>
  <c r="CA192" i="1" s="1"/>
  <c r="BZ134" i="1"/>
  <c r="CA134" i="1" s="1"/>
  <c r="BZ156" i="1"/>
  <c r="BZ191" i="1" s="1"/>
  <c r="CA191" i="1" s="1"/>
  <c r="BZ130" i="1"/>
  <c r="CA130" i="1" s="1"/>
  <c r="BZ161" i="1"/>
  <c r="BZ163" i="1"/>
  <c r="CA163" i="1" s="1"/>
  <c r="BZ158" i="1"/>
  <c r="CA158" i="1" s="1"/>
  <c r="BZ152" i="1"/>
  <c r="CA152" i="1" s="1"/>
  <c r="BZ164" i="1"/>
  <c r="CA164" i="1" s="1"/>
  <c r="BL167" i="1"/>
  <c r="BM167" i="1" s="1"/>
  <c r="BL156" i="1"/>
  <c r="BL191" i="1" s="1"/>
  <c r="BM191" i="1" s="1"/>
  <c r="BL143" i="1"/>
  <c r="BL144" i="1"/>
  <c r="CA86" i="1"/>
  <c r="CF167" i="1"/>
  <c r="CG167" i="1" s="1"/>
  <c r="CF162" i="1"/>
  <c r="CG162" i="1" s="1"/>
  <c r="CF172" i="1"/>
  <c r="CB129" i="1"/>
  <c r="CC129" i="1" s="1"/>
  <c r="CF143" i="1"/>
  <c r="CF131" i="1"/>
  <c r="CG131" i="1" s="1"/>
  <c r="CF137" i="1"/>
  <c r="CG137" i="1" s="1"/>
  <c r="CD138" i="1"/>
  <c r="CE138" i="1" s="1"/>
  <c r="CB167" i="1"/>
  <c r="CC167" i="1" s="1"/>
  <c r="CB147" i="1"/>
  <c r="CC147" i="1" s="1"/>
  <c r="CB163" i="1"/>
  <c r="CC163" i="1" s="1"/>
  <c r="CD129" i="1"/>
  <c r="BL152" i="1"/>
  <c r="CB145" i="1"/>
  <c r="BL139" i="1"/>
  <c r="BM139" i="1" s="1"/>
  <c r="CD144" i="1"/>
  <c r="CD156" i="1"/>
  <c r="CD191" i="1" s="1"/>
  <c r="CE191" i="1" s="1"/>
  <c r="CD162" i="1"/>
  <c r="CE162" i="1" s="1"/>
  <c r="CD161" i="1"/>
  <c r="CE161" i="1" s="1"/>
  <c r="CD176" i="1"/>
  <c r="CE176" i="1" s="1"/>
  <c r="CF147" i="1"/>
  <c r="CG147" i="1" s="1"/>
  <c r="CF154" i="1"/>
  <c r="CG154" i="1" s="1"/>
  <c r="CC85" i="1"/>
  <c r="CB162" i="1"/>
  <c r="CC162" i="1" s="1"/>
  <c r="CB134" i="1"/>
  <c r="CC134" i="1" s="1"/>
  <c r="BL171" i="1"/>
  <c r="BL129" i="1"/>
  <c r="BM129" i="1" s="1"/>
  <c r="BL163" i="1"/>
  <c r="BM163" i="1" s="1"/>
  <c r="BL154" i="1"/>
  <c r="BM154" i="1" s="1"/>
  <c r="BL130" i="1"/>
  <c r="BM130" i="1" s="1"/>
  <c r="BL265" i="1"/>
  <c r="CH110" i="1"/>
  <c r="CH111" i="1" s="1"/>
  <c r="CB149" i="1"/>
  <c r="CC149" i="1" s="1"/>
  <c r="CF149" i="1"/>
  <c r="CG149" i="1" s="1"/>
  <c r="CD149" i="1"/>
  <c r="CE149" i="1" s="1"/>
  <c r="BL149" i="1"/>
  <c r="BM149" i="1" s="1"/>
  <c r="BZ149" i="1"/>
  <c r="CA149" i="1" s="1"/>
  <c r="BL155" i="1"/>
  <c r="CD155" i="1"/>
  <c r="CB155" i="1"/>
  <c r="CF155" i="1"/>
  <c r="BZ155" i="1"/>
  <c r="CA264" i="1"/>
  <c r="JJ21" i="4"/>
  <c r="CD89" i="1" s="1"/>
  <c r="CA22" i="1"/>
  <c r="JK14" i="4"/>
  <c r="BL22" i="1"/>
  <c r="BY22" i="1"/>
  <c r="BL206" i="1"/>
  <c r="CF22" i="1"/>
  <c r="AA70" i="1" s="1"/>
  <c r="CF264" i="1"/>
  <c r="JL21" i="4"/>
  <c r="CF89" i="1" s="1"/>
  <c r="Y222" i="1"/>
  <c r="Y223" i="1" s="1"/>
  <c r="CF110" i="1"/>
  <c r="CF111" i="1" s="1"/>
  <c r="CB38" i="1"/>
  <c r="CE243" i="1"/>
  <c r="CC265" i="1"/>
  <c r="CA38" i="1"/>
  <c r="CE264" i="1"/>
  <c r="CC264" i="1"/>
  <c r="JM7" i="4"/>
  <c r="CA265" i="1"/>
  <c r="JJ8" i="4"/>
  <c r="Z222" i="1"/>
  <c r="Z223" i="1" s="1"/>
  <c r="CF38" i="1"/>
  <c r="BZ264" i="1"/>
  <c r="BZ22" i="1"/>
  <c r="BZ8" i="1" s="1"/>
  <c r="CA206" i="1"/>
  <c r="CD265" i="1"/>
  <c r="CB110" i="1"/>
  <c r="CB111" i="1" s="1"/>
  <c r="JK21" i="4"/>
  <c r="CE89" i="1" s="1"/>
  <c r="JK15" i="4"/>
  <c r="CD264" i="1"/>
  <c r="JL14" i="4"/>
  <c r="CC38" i="1"/>
  <c r="BY38" i="1"/>
  <c r="CI110" i="1"/>
  <c r="CI111" i="1" s="1"/>
  <c r="CI114" i="1" s="1"/>
  <c r="CF243" i="1"/>
  <c r="BY265" i="1"/>
  <c r="JL8" i="4"/>
  <c r="CE38" i="1"/>
  <c r="BL264" i="1"/>
  <c r="CE110" i="1"/>
  <c r="CE111" i="1" s="1"/>
  <c r="CD22" i="1"/>
  <c r="CC22" i="1"/>
  <c r="CC8" i="1" s="1"/>
  <c r="CD206" i="1"/>
  <c r="CE22" i="1"/>
  <c r="CE8" i="1" s="1"/>
  <c r="CG110" i="1"/>
  <c r="CG111" i="1" s="1"/>
  <c r="CD110" i="1"/>
  <c r="CD111" i="1" s="1"/>
  <c r="CB22" i="1"/>
  <c r="CB264" i="1"/>
  <c r="CC110" i="1"/>
  <c r="CC111" i="1" s="1"/>
  <c r="JJ15" i="4"/>
  <c r="CB265" i="1"/>
  <c r="BY264" i="1"/>
  <c r="CD38" i="1"/>
  <c r="JM8" i="4"/>
  <c r="JL7" i="4"/>
  <c r="CF265" i="1"/>
  <c r="JJ7" i="4"/>
  <c r="JK8" i="4"/>
  <c r="JM21" i="4"/>
  <c r="CG89" i="1" s="1"/>
  <c r="BZ265" i="1"/>
  <c r="CE265" i="1"/>
  <c r="JK7" i="4"/>
  <c r="BL38" i="1"/>
  <c r="JL15" i="4"/>
  <c r="BZ38" i="1"/>
  <c r="JM14" i="4"/>
  <c r="JM15" i="4"/>
  <c r="JJ14" i="4"/>
  <c r="CI106" i="1"/>
  <c r="CI108" i="1"/>
  <c r="CI107" i="1"/>
  <c r="CS195" i="1"/>
  <c r="CT136" i="1"/>
  <c r="AD58" i="1"/>
  <c r="CZ58" i="1"/>
  <c r="DA58" i="1" s="1"/>
  <c r="DB58" i="1" s="1"/>
  <c r="AE47" i="1"/>
  <c r="U20" i="1"/>
  <c r="V20" i="1"/>
  <c r="W20" i="1"/>
  <c r="CJ99" i="1" l="1"/>
  <c r="CJ97" i="1"/>
  <c r="CJ98" i="1"/>
  <c r="CS152" i="1"/>
  <c r="CS214" i="1" s="1"/>
  <c r="CR52" i="1"/>
  <c r="CW39" i="1"/>
  <c r="CX39" i="1" s="1"/>
  <c r="CY39" i="1" s="1"/>
  <c r="CF8" i="1"/>
  <c r="AD143" i="1"/>
  <c r="AE143" i="1"/>
  <c r="CQ20" i="1"/>
  <c r="CQ15" i="1"/>
  <c r="CK98" i="1"/>
  <c r="CK99" i="1"/>
  <c r="CK97" i="1"/>
  <c r="CR29" i="1"/>
  <c r="CQ9" i="1"/>
  <c r="CR9" i="1" s="1"/>
  <c r="CA28" i="1"/>
  <c r="CA40" i="1" s="1"/>
  <c r="CA8" i="1"/>
  <c r="CE15" i="1" s="1"/>
  <c r="BL28" i="1"/>
  <c r="BL10" i="1" s="1"/>
  <c r="BL8" i="1"/>
  <c r="BY28" i="1"/>
  <c r="BY10" i="1" s="1"/>
  <c r="BY8" i="1"/>
  <c r="CC15" i="1" s="1"/>
  <c r="CJ15" i="1"/>
  <c r="CD28" i="1"/>
  <c r="CD8" i="1"/>
  <c r="CG15" i="1"/>
  <c r="CI15" i="1"/>
  <c r="CB28" i="1"/>
  <c r="CB8" i="1"/>
  <c r="CR196" i="1"/>
  <c r="CQ197" i="1"/>
  <c r="CP194" i="1"/>
  <c r="CP198" i="1" s="1"/>
  <c r="CQ193" i="1"/>
  <c r="CS137" i="1"/>
  <c r="CR140" i="1"/>
  <c r="CR261" i="1" s="1"/>
  <c r="CQ218" i="1"/>
  <c r="BZ173" i="1"/>
  <c r="BL173" i="1"/>
  <c r="CB214" i="1"/>
  <c r="CA129" i="1"/>
  <c r="BZ132" i="1"/>
  <c r="BZ104" i="1" s="1"/>
  <c r="BL132" i="1"/>
  <c r="BL104" i="1" s="1"/>
  <c r="CB173" i="1"/>
  <c r="CC221" i="1" s="1"/>
  <c r="CG136" i="1"/>
  <c r="CG140" i="1" s="1"/>
  <c r="CF140" i="1"/>
  <c r="CD146" i="1"/>
  <c r="CE45" i="1" s="1"/>
  <c r="CC152" i="1"/>
  <c r="CD214" i="1" s="1"/>
  <c r="CE129" i="1"/>
  <c r="CD132" i="1"/>
  <c r="CD104" i="1" s="1"/>
  <c r="CD106" i="1" s="1"/>
  <c r="BM152" i="1"/>
  <c r="BM214" i="1"/>
  <c r="CD173" i="1"/>
  <c r="CF214" i="1"/>
  <c r="CE140" i="1"/>
  <c r="BM137" i="1"/>
  <c r="BM140" i="1" s="1"/>
  <c r="BL140" i="1"/>
  <c r="CG152" i="1"/>
  <c r="CG161" i="1"/>
  <c r="CG168" i="1" s="1"/>
  <c r="CF168" i="1"/>
  <c r="CF197" i="1" s="1"/>
  <c r="CF196" i="1" s="1"/>
  <c r="CG129" i="1"/>
  <c r="CG132" i="1" s="1"/>
  <c r="CF132" i="1"/>
  <c r="CF104" i="1" s="1"/>
  <c r="CF106" i="1" s="1"/>
  <c r="CA161" i="1"/>
  <c r="BZ168" i="1"/>
  <c r="BZ197" i="1" s="1"/>
  <c r="BZ196" i="1" s="1"/>
  <c r="BZ146" i="1"/>
  <c r="BZ150" i="1" s="1"/>
  <c r="CA140" i="1"/>
  <c r="CB146" i="1"/>
  <c r="CF173" i="1"/>
  <c r="BL146" i="1"/>
  <c r="CF146" i="1"/>
  <c r="CF150" i="1" s="1"/>
  <c r="CC140" i="1"/>
  <c r="CB140" i="1"/>
  <c r="CE214" i="1"/>
  <c r="BZ140" i="1"/>
  <c r="CB168" i="1"/>
  <c r="CB197" i="1" s="1"/>
  <c r="CB196" i="1" s="1"/>
  <c r="BL168" i="1"/>
  <c r="BL197" i="1" s="1"/>
  <c r="BL196" i="1" s="1"/>
  <c r="CD168" i="1"/>
  <c r="CD197" i="1" s="1"/>
  <c r="CD196" i="1" s="1"/>
  <c r="CB132" i="1"/>
  <c r="CD140" i="1"/>
  <c r="CH114" i="1"/>
  <c r="CH115" i="1"/>
  <c r="CH116" i="1"/>
  <c r="BM155" i="1"/>
  <c r="BL160" i="1"/>
  <c r="CE155" i="1"/>
  <c r="CD160" i="1"/>
  <c r="CC155" i="1"/>
  <c r="CB160" i="1"/>
  <c r="CG155" i="1"/>
  <c r="CG160" i="1" s="1"/>
  <c r="CG194" i="1" s="1"/>
  <c r="CG193" i="1" s="1"/>
  <c r="CF160" i="1"/>
  <c r="CA155" i="1"/>
  <c r="BZ160" i="1"/>
  <c r="CD114" i="1"/>
  <c r="CA39" i="1"/>
  <c r="CA24" i="1"/>
  <c r="JK19" i="4"/>
  <c r="CE90" i="1" s="1"/>
  <c r="BL39" i="1"/>
  <c r="CC23" i="1"/>
  <c r="CC39" i="1"/>
  <c r="CI237" i="1"/>
  <c r="CF28" i="1"/>
  <c r="AA71" i="1" s="1"/>
  <c r="CG24" i="1"/>
  <c r="CJ23" i="1"/>
  <c r="BY39" i="1"/>
  <c r="JL20" i="4"/>
  <c r="CF91" i="1" s="1"/>
  <c r="CF116" i="1" s="1"/>
  <c r="BZ28" i="1"/>
  <c r="CF39" i="1"/>
  <c r="Y70" i="1"/>
  <c r="JJ19" i="4"/>
  <c r="CD90" i="1" s="1"/>
  <c r="CD119" i="1" s="1"/>
  <c r="JM20" i="4"/>
  <c r="CG91" i="1" s="1"/>
  <c r="CD39" i="1"/>
  <c r="JM19" i="4"/>
  <c r="CG90" i="1" s="1"/>
  <c r="CE165" i="1"/>
  <c r="CE168" i="1" s="1"/>
  <c r="CE197" i="1" s="1"/>
  <c r="CE196" i="1" s="1"/>
  <c r="CF114" i="1"/>
  <c r="JJ20" i="4"/>
  <c r="CD91" i="1" s="1"/>
  <c r="CD120" i="1" s="1"/>
  <c r="JL19" i="4"/>
  <c r="CF90" i="1" s="1"/>
  <c r="JK20" i="4"/>
  <c r="CE91" i="1" s="1"/>
  <c r="CE120" i="1" s="1"/>
  <c r="CD200" i="1"/>
  <c r="CD23" i="1"/>
  <c r="BZ24" i="1"/>
  <c r="CD237" i="1"/>
  <c r="BZ39" i="1"/>
  <c r="CE156" i="1"/>
  <c r="CE200" i="1"/>
  <c r="CG200" i="1"/>
  <c r="CF23" i="1"/>
  <c r="CH237" i="1"/>
  <c r="CJ200" i="1"/>
  <c r="CE39" i="1"/>
  <c r="CC28" i="1"/>
  <c r="CF237" i="1"/>
  <c r="CB24" i="1"/>
  <c r="CH256" i="1"/>
  <c r="Z70" i="1"/>
  <c r="CE23" i="1"/>
  <c r="CG114" i="1"/>
  <c r="CE114" i="1"/>
  <c r="CG237" i="1"/>
  <c r="CF24" i="1"/>
  <c r="CF200" i="1"/>
  <c r="CE237" i="1"/>
  <c r="CC24" i="1"/>
  <c r="CC237" i="1"/>
  <c r="CE157" i="1"/>
  <c r="CB39" i="1"/>
  <c r="CD24" i="1"/>
  <c r="CH23" i="1"/>
  <c r="CI200" i="1"/>
  <c r="CI115" i="1"/>
  <c r="CE28" i="1"/>
  <c r="CI23" i="1"/>
  <c r="CI116" i="1"/>
  <c r="CG23" i="1"/>
  <c r="CE24" i="1"/>
  <c r="CH200" i="1"/>
  <c r="CA214" i="1"/>
  <c r="CT195" i="1"/>
  <c r="CU136" i="1"/>
  <c r="CT192" i="1"/>
  <c r="AE58" i="1"/>
  <c r="V243" i="1"/>
  <c r="W243" i="1"/>
  <c r="U243" i="1"/>
  <c r="CT152" i="1" l="1"/>
  <c r="CT214" i="1" s="1"/>
  <c r="CS52" i="1"/>
  <c r="CT52" i="1"/>
  <c r="CS29" i="1"/>
  <c r="CF15" i="1"/>
  <c r="BY29" i="1"/>
  <c r="BY40" i="1"/>
  <c r="BY13" i="1" s="1"/>
  <c r="BY12" i="1" s="1"/>
  <c r="BL40" i="1"/>
  <c r="BL13" i="1" s="1"/>
  <c r="BL12" i="1" s="1"/>
  <c r="BL29" i="1"/>
  <c r="CC214" i="1"/>
  <c r="CR15" i="1"/>
  <c r="CR20" i="1"/>
  <c r="CT29" i="1"/>
  <c r="CD40" i="1"/>
  <c r="CD29" i="1"/>
  <c r="CB10" i="1"/>
  <c r="CB9" i="1" s="1"/>
  <c r="CB29" i="1"/>
  <c r="CB40" i="1"/>
  <c r="CB13" i="1" s="1"/>
  <c r="CB31" i="1"/>
  <c r="CS9" i="1"/>
  <c r="CT9" i="1" s="1"/>
  <c r="CA10" i="1"/>
  <c r="CA9" i="1" s="1"/>
  <c r="CA29" i="1"/>
  <c r="BL9" i="1"/>
  <c r="BY9" i="1"/>
  <c r="CD10" i="1"/>
  <c r="CD9" i="1" s="1"/>
  <c r="CH30" i="1"/>
  <c r="CH15" i="1"/>
  <c r="CD15" i="1"/>
  <c r="CF40" i="1"/>
  <c r="AA72" i="1" s="1"/>
  <c r="CF10" i="1"/>
  <c r="CD30" i="1"/>
  <c r="BZ10" i="1"/>
  <c r="CA244" i="1"/>
  <c r="CA245" i="1" s="1"/>
  <c r="CA13" i="1"/>
  <c r="CC31" i="1"/>
  <c r="CC10" i="1"/>
  <c r="CE31" i="1"/>
  <c r="CE10" i="1"/>
  <c r="CG261" i="1"/>
  <c r="CS196" i="1"/>
  <c r="CR197" i="1"/>
  <c r="CQ194" i="1"/>
  <c r="CQ198" i="1" s="1"/>
  <c r="CR193" i="1"/>
  <c r="CH214" i="1"/>
  <c r="CG214" i="1"/>
  <c r="CA221" i="1"/>
  <c r="BZ260" i="1"/>
  <c r="CT137" i="1"/>
  <c r="CS140" i="1"/>
  <c r="CS261" i="1" s="1"/>
  <c r="CD218" i="1"/>
  <c r="CF261" i="1"/>
  <c r="BM221" i="1"/>
  <c r="BL260" i="1"/>
  <c r="CF218" i="1"/>
  <c r="CF141" i="1"/>
  <c r="CR218" i="1"/>
  <c r="BL141" i="1"/>
  <c r="BL180" i="1"/>
  <c r="BL121" i="1" s="1"/>
  <c r="CA45" i="1"/>
  <c r="CA146" i="1"/>
  <c r="CB150" i="1"/>
  <c r="CC45" i="1"/>
  <c r="CC146" i="1"/>
  <c r="BZ180" i="1"/>
  <c r="BZ141" i="1"/>
  <c r="CF107" i="1"/>
  <c r="CD150" i="1"/>
  <c r="CE146" i="1"/>
  <c r="CE221" i="1"/>
  <c r="CD260" i="1"/>
  <c r="CA261" i="1"/>
  <c r="CA218" i="1"/>
  <c r="BM218" i="1"/>
  <c r="BM261" i="1"/>
  <c r="CH219" i="1"/>
  <c r="CG104" i="1"/>
  <c r="CG107" i="1" s="1"/>
  <c r="CG219" i="1"/>
  <c r="CG221" i="1"/>
  <c r="CF180" i="1"/>
  <c r="CF260" i="1"/>
  <c r="BM146" i="1"/>
  <c r="BM150" i="1" s="1"/>
  <c r="BL150" i="1"/>
  <c r="BL258" i="1" s="1"/>
  <c r="CG45" i="1"/>
  <c r="CG146" i="1"/>
  <c r="CH261" i="1"/>
  <c r="CH263" i="1" s="1"/>
  <c r="CH218" i="1"/>
  <c r="CG141" i="1"/>
  <c r="CG218" i="1"/>
  <c r="CB261" i="1"/>
  <c r="CB141" i="1"/>
  <c r="CB180" i="1"/>
  <c r="CB218" i="1"/>
  <c r="CB104" i="1"/>
  <c r="CB260" i="1"/>
  <c r="CC261" i="1"/>
  <c r="CC218" i="1"/>
  <c r="CE218" i="1"/>
  <c r="CD261" i="1"/>
  <c r="CD141" i="1"/>
  <c r="CD180" i="1"/>
  <c r="CE261" i="1"/>
  <c r="BL194" i="1"/>
  <c r="BL169" i="1"/>
  <c r="CD194" i="1"/>
  <c r="CD169" i="1"/>
  <c r="CB194" i="1"/>
  <c r="CB169" i="1"/>
  <c r="CF194" i="1"/>
  <c r="CF169" i="1"/>
  <c r="CF177" i="1" s="1"/>
  <c r="BZ194" i="1"/>
  <c r="BZ169" i="1"/>
  <c r="BZ177" i="1" s="1"/>
  <c r="CE115" i="1"/>
  <c r="CE119" i="1"/>
  <c r="BZ31" i="1"/>
  <c r="BZ40" i="1"/>
  <c r="BZ13" i="1" s="1"/>
  <c r="BZ29" i="1"/>
  <c r="CA31" i="1"/>
  <c r="CG197" i="1"/>
  <c r="CH209" i="1"/>
  <c r="CG209" i="1"/>
  <c r="CJ30" i="1"/>
  <c r="CF29" i="1"/>
  <c r="CG31" i="1"/>
  <c r="CF30" i="1"/>
  <c r="BZ258" i="1"/>
  <c r="CF258" i="1"/>
  <c r="CF256" i="1"/>
  <c r="CF120" i="1"/>
  <c r="CF108" i="1"/>
  <c r="CG120" i="1"/>
  <c r="CG116" i="1"/>
  <c r="CG119" i="1"/>
  <c r="CG115" i="1"/>
  <c r="CF119" i="1"/>
  <c r="CF115" i="1"/>
  <c r="CG30" i="1"/>
  <c r="CC29" i="1"/>
  <c r="Y71" i="1"/>
  <c r="CC40" i="1"/>
  <c r="CD31" i="1"/>
  <c r="CC30" i="1"/>
  <c r="CD108" i="1"/>
  <c r="CD115" i="1"/>
  <c r="CE160" i="1"/>
  <c r="CD107" i="1"/>
  <c r="CE209" i="1"/>
  <c r="CG208" i="1"/>
  <c r="CD116" i="1"/>
  <c r="CF209" i="1"/>
  <c r="CA46" i="1"/>
  <c r="CA50" i="1" s="1"/>
  <c r="CA53" i="1" s="1"/>
  <c r="CA60" i="1" s="1"/>
  <c r="CA205" i="1" s="1"/>
  <c r="CA207" i="1" s="1"/>
  <c r="CA41" i="1"/>
  <c r="CE116" i="1"/>
  <c r="CG169" i="1"/>
  <c r="CH208" i="1"/>
  <c r="CF31" i="1"/>
  <c r="CE30" i="1"/>
  <c r="CI30" i="1"/>
  <c r="Z71" i="1"/>
  <c r="CE40" i="1"/>
  <c r="CE29" i="1"/>
  <c r="CZ39" i="1"/>
  <c r="CU191" i="1"/>
  <c r="CV136" i="1"/>
  <c r="CU192" i="1"/>
  <c r="CU195" i="1"/>
  <c r="AB162" i="1"/>
  <c r="A1" i="1"/>
  <c r="CU152" i="1" l="1"/>
  <c r="CU52" i="1"/>
  <c r="CV52" i="1"/>
  <c r="BL46" i="1"/>
  <c r="BL50" i="1" s="1"/>
  <c r="BY46" i="1"/>
  <c r="BY50" i="1" s="1"/>
  <c r="BL41" i="1"/>
  <c r="BY41" i="1"/>
  <c r="CD41" i="1"/>
  <c r="CD244" i="1"/>
  <c r="CD245" i="1" s="1"/>
  <c r="CD46" i="1"/>
  <c r="CD50" i="1" s="1"/>
  <c r="CD53" i="1" s="1"/>
  <c r="CD246" i="1" s="1"/>
  <c r="CF13" i="1"/>
  <c r="CD13" i="1"/>
  <c r="CH42" i="1"/>
  <c r="CB46" i="1"/>
  <c r="CB50" i="1" s="1"/>
  <c r="CB53" i="1" s="1"/>
  <c r="CG262" i="1"/>
  <c r="CB41" i="1"/>
  <c r="CB244" i="1"/>
  <c r="CB245" i="1" s="1"/>
  <c r="CG263" i="1"/>
  <c r="CB262" i="1"/>
  <c r="CB263" i="1" s="1"/>
  <c r="CB43" i="1"/>
  <c r="CF42" i="1"/>
  <c r="CI238" i="1"/>
  <c r="CI124" i="1"/>
  <c r="CJ42" i="1"/>
  <c r="CF46" i="1"/>
  <c r="CI67" i="1" s="1"/>
  <c r="CG43" i="1"/>
  <c r="CF244" i="1"/>
  <c r="CF245" i="1" s="1"/>
  <c r="CF41" i="1"/>
  <c r="CB12" i="1"/>
  <c r="CU9" i="1"/>
  <c r="CV9" i="1" s="1"/>
  <c r="CS20" i="1"/>
  <c r="CU8" i="1"/>
  <c r="CS15" i="1"/>
  <c r="CU29" i="1"/>
  <c r="CV29" i="1" s="1"/>
  <c r="CW29" i="1" s="1"/>
  <c r="CX29" i="1" s="1"/>
  <c r="CF9" i="1"/>
  <c r="BZ9" i="1"/>
  <c r="BZ12" i="1"/>
  <c r="CC9" i="1"/>
  <c r="CE9" i="1"/>
  <c r="CD12" i="1"/>
  <c r="CF178" i="1"/>
  <c r="CA12" i="1"/>
  <c r="CT196" i="1"/>
  <c r="CS197" i="1"/>
  <c r="CC46" i="1"/>
  <c r="CC13" i="1"/>
  <c r="CC12" i="1" s="1"/>
  <c r="CG238" i="1"/>
  <c r="CE13" i="1"/>
  <c r="CE12" i="1" s="1"/>
  <c r="CR194" i="1"/>
  <c r="CR198" i="1" s="1"/>
  <c r="CS193" i="1"/>
  <c r="CA150" i="1"/>
  <c r="CB45" i="1"/>
  <c r="CB177" i="1"/>
  <c r="CB178" i="1" s="1"/>
  <c r="CD177" i="1"/>
  <c r="CD178" i="1" s="1"/>
  <c r="CU137" i="1"/>
  <c r="CT140" i="1"/>
  <c r="CT261" i="1" s="1"/>
  <c r="CB258" i="1"/>
  <c r="CB256" i="1"/>
  <c r="CE150" i="1"/>
  <c r="CF45" i="1"/>
  <c r="CS218" i="1"/>
  <c r="CG217" i="1"/>
  <c r="BZ178" i="1"/>
  <c r="CD45" i="1"/>
  <c r="CC150" i="1"/>
  <c r="BZ121" i="1"/>
  <c r="CA49" i="1"/>
  <c r="CD256" i="1"/>
  <c r="CD258" i="1"/>
  <c r="CH217" i="1"/>
  <c r="CG106" i="1"/>
  <c r="CG108" i="1"/>
  <c r="CF121" i="1"/>
  <c r="CG49" i="1"/>
  <c r="CH45" i="1"/>
  <c r="CG150" i="1"/>
  <c r="CB121" i="1"/>
  <c r="CC49" i="1"/>
  <c r="CD121" i="1"/>
  <c r="CE49" i="1"/>
  <c r="CF193" i="1"/>
  <c r="CF198" i="1"/>
  <c r="CJ201" i="1" s="1"/>
  <c r="BL198" i="1"/>
  <c r="BL193" i="1"/>
  <c r="CD198" i="1"/>
  <c r="CD193" i="1"/>
  <c r="CB198" i="1"/>
  <c r="CB193" i="1"/>
  <c r="BZ193" i="1"/>
  <c r="BZ198" i="1"/>
  <c r="CG210" i="1"/>
  <c r="CG211" i="1" s="1"/>
  <c r="BZ41" i="1"/>
  <c r="BZ46" i="1"/>
  <c r="CA262" i="1"/>
  <c r="CA263" i="1" s="1"/>
  <c r="CA43" i="1"/>
  <c r="BZ244" i="1"/>
  <c r="BZ245" i="1" s="1"/>
  <c r="CD42" i="1"/>
  <c r="BZ43" i="1"/>
  <c r="BZ262" i="1"/>
  <c r="CB124" i="1"/>
  <c r="CH210" i="1"/>
  <c r="CH211" i="1" s="1"/>
  <c r="CD124" i="1"/>
  <c r="CC262" i="1"/>
  <c r="CC263" i="1" s="1"/>
  <c r="CE208" i="1"/>
  <c r="CE210" i="1" s="1"/>
  <c r="CE169" i="1"/>
  <c r="CG196" i="1"/>
  <c r="CG198" i="1"/>
  <c r="CC244" i="1"/>
  <c r="CC245" i="1" s="1"/>
  <c r="CG42" i="1"/>
  <c r="Y72" i="1"/>
  <c r="CC41" i="1"/>
  <c r="CC238" i="1"/>
  <c r="CD262" i="1"/>
  <c r="CD263" i="1" s="1"/>
  <c r="CC124" i="1"/>
  <c r="CD238" i="1"/>
  <c r="CC43" i="1"/>
  <c r="CD43" i="1"/>
  <c r="CC42" i="1"/>
  <c r="CE194" i="1"/>
  <c r="CF208" i="1"/>
  <c r="CF210" i="1" s="1"/>
  <c r="CA52" i="1"/>
  <c r="CA78" i="1"/>
  <c r="CA131" i="1"/>
  <c r="CA132" i="1" s="1"/>
  <c r="CA104" i="1" s="1"/>
  <c r="CA64" i="1"/>
  <c r="CA246" i="1"/>
  <c r="CA54" i="1"/>
  <c r="CA257" i="1" s="1"/>
  <c r="CF124" i="1"/>
  <c r="CE43" i="1"/>
  <c r="CE124" i="1"/>
  <c r="CE238" i="1"/>
  <c r="CE262" i="1"/>
  <c r="CE263" i="1" s="1"/>
  <c r="CF262" i="1"/>
  <c r="CF263" i="1" s="1"/>
  <c r="CE244" i="1"/>
  <c r="CE245" i="1" s="1"/>
  <c r="Z72" i="1"/>
  <c r="CE42" i="1"/>
  <c r="CH124" i="1"/>
  <c r="CE41" i="1"/>
  <c r="CG124" i="1"/>
  <c r="CE46" i="1"/>
  <c r="CH238" i="1"/>
  <c r="CF43" i="1"/>
  <c r="CI42" i="1"/>
  <c r="CF238" i="1"/>
  <c r="DA39" i="1"/>
  <c r="DB39" i="1" s="1"/>
  <c r="CV152" i="1"/>
  <c r="CW136" i="1"/>
  <c r="CV191" i="1"/>
  <c r="CV195" i="1"/>
  <c r="CU214" i="1"/>
  <c r="CV192" i="1"/>
  <c r="AC162" i="1"/>
  <c r="CF12" i="1" l="1"/>
  <c r="CW52" i="1"/>
  <c r="CX52" i="1"/>
  <c r="CH55" i="1"/>
  <c r="CD52" i="1"/>
  <c r="CD54" i="1"/>
  <c r="CD257" i="1" s="1"/>
  <c r="CD60" i="1"/>
  <c r="CD64" i="1" s="1"/>
  <c r="BL53" i="1"/>
  <c r="BL52" i="1"/>
  <c r="BY52" i="1"/>
  <c r="BY53" i="1"/>
  <c r="CF50" i="1"/>
  <c r="CB52" i="1"/>
  <c r="CU15" i="1"/>
  <c r="CU20" i="1"/>
  <c r="CV8" i="1"/>
  <c r="CW8" i="1" s="1"/>
  <c r="CW15" i="1" s="1"/>
  <c r="CT20" i="1"/>
  <c r="CT15" i="1"/>
  <c r="CC50" i="1"/>
  <c r="CD67" i="1"/>
  <c r="CU196" i="1"/>
  <c r="CT197" i="1"/>
  <c r="CW9" i="1"/>
  <c r="CX9" i="1" s="1"/>
  <c r="CD123" i="1"/>
  <c r="CD126" i="1" s="1"/>
  <c r="CD122" i="1"/>
  <c r="CD125" i="1" s="1"/>
  <c r="CS194" i="1"/>
  <c r="CS198" i="1" s="1"/>
  <c r="CT193" i="1"/>
  <c r="CA215" i="1"/>
  <c r="CA213" i="1" s="1"/>
  <c r="CB215" i="1"/>
  <c r="CB213" i="1" s="1"/>
  <c r="CE215" i="1"/>
  <c r="CE213" i="1" s="1"/>
  <c r="CF215" i="1"/>
  <c r="CF213" i="1" s="1"/>
  <c r="CH215" i="1"/>
  <c r="CH213" i="1" s="1"/>
  <c r="CH225" i="1" s="1"/>
  <c r="CG215" i="1"/>
  <c r="CG213" i="1" s="1"/>
  <c r="CV137" i="1"/>
  <c r="CU140" i="1"/>
  <c r="CU261" i="1" s="1"/>
  <c r="CT218" i="1"/>
  <c r="CD215" i="1"/>
  <c r="CD213" i="1" s="1"/>
  <c r="CC215" i="1"/>
  <c r="CC213" i="1" s="1"/>
  <c r="CF201" i="1"/>
  <c r="CF122" i="1"/>
  <c r="CF125" i="1" s="1"/>
  <c r="CF123" i="1"/>
  <c r="CF126" i="1" s="1"/>
  <c r="CD201" i="1"/>
  <c r="CH201" i="1"/>
  <c r="BZ50" i="1"/>
  <c r="CB67" i="1"/>
  <c r="CE193" i="1"/>
  <c r="CE198" i="1"/>
  <c r="CA219" i="1"/>
  <c r="CA217" i="1" s="1"/>
  <c r="CA141" i="1"/>
  <c r="CD205" i="1"/>
  <c r="CD207" i="1" s="1"/>
  <c r="CD78" i="1"/>
  <c r="CH125" i="1"/>
  <c r="CH126" i="1"/>
  <c r="CF67" i="1"/>
  <c r="CH67" i="1"/>
  <c r="CG67" i="1"/>
  <c r="CE50" i="1"/>
  <c r="CB60" i="1"/>
  <c r="CB56" i="1"/>
  <c r="CB246" i="1"/>
  <c r="CB54" i="1"/>
  <c r="CB257" i="1" s="1"/>
  <c r="CM76" i="1"/>
  <c r="CN76" i="1" s="1"/>
  <c r="CO76" i="1" s="1"/>
  <c r="CP76" i="1" s="1"/>
  <c r="CQ76" i="1" s="1"/>
  <c r="CR76" i="1" s="1"/>
  <c r="CS76" i="1" s="1"/>
  <c r="CT76" i="1" s="1"/>
  <c r="CU76" i="1" s="1"/>
  <c r="CV76" i="1" s="1"/>
  <c r="CW76" i="1" s="1"/>
  <c r="CX76" i="1" s="1"/>
  <c r="CY76" i="1" s="1"/>
  <c r="CZ76" i="1" s="1"/>
  <c r="DA76" i="1" s="1"/>
  <c r="DB76" i="1" s="1"/>
  <c r="CY29" i="1"/>
  <c r="CZ29" i="1" s="1"/>
  <c r="CX136" i="1"/>
  <c r="CW192" i="1"/>
  <c r="CW191" i="1"/>
  <c r="CW152" i="1"/>
  <c r="CW195" i="1"/>
  <c r="CV214" i="1"/>
  <c r="AE162" i="1"/>
  <c r="AD162" i="1"/>
  <c r="CF53" i="1" l="1"/>
  <c r="AA73" i="1" s="1"/>
  <c r="CF52" i="1"/>
  <c r="BL60" i="1"/>
  <c r="BL54" i="1"/>
  <c r="BL257" i="1" s="1"/>
  <c r="BY54" i="1"/>
  <c r="BY257" i="1" s="1"/>
  <c r="BY60" i="1"/>
  <c r="CF246" i="1"/>
  <c r="CV15" i="1"/>
  <c r="CV20" i="1"/>
  <c r="CX8" i="1"/>
  <c r="CY8" i="1" s="1"/>
  <c r="CY15" i="1" s="1"/>
  <c r="CW20" i="1"/>
  <c r="CC52" i="1"/>
  <c r="CC53" i="1"/>
  <c r="CV196" i="1"/>
  <c r="CU197" i="1"/>
  <c r="CY9" i="1"/>
  <c r="CG225" i="1"/>
  <c r="CG222" i="1"/>
  <c r="CG172" i="1" s="1"/>
  <c r="CG173" i="1" s="1"/>
  <c r="CG223" i="1" s="1"/>
  <c r="CT194" i="1"/>
  <c r="CT198" i="1" s="1"/>
  <c r="CU193" i="1"/>
  <c r="CW137" i="1"/>
  <c r="CV140" i="1"/>
  <c r="CV261" i="1" s="1"/>
  <c r="CU218" i="1"/>
  <c r="BZ53" i="1"/>
  <c r="BZ52" i="1"/>
  <c r="CJ55" i="1"/>
  <c r="CG56" i="1"/>
  <c r="CI239" i="1"/>
  <c r="CF60" i="1"/>
  <c r="CB78" i="1"/>
  <c r="CB64" i="1"/>
  <c r="CB205" i="1"/>
  <c r="CB207" i="1" s="1"/>
  <c r="CB219" i="1"/>
  <c r="CB217" i="1" s="1"/>
  <c r="CE53" i="1"/>
  <c r="CE52" i="1"/>
  <c r="CY52" i="1"/>
  <c r="CZ52" i="1" s="1"/>
  <c r="DA29" i="1"/>
  <c r="DB29" i="1" s="1"/>
  <c r="CX195" i="1"/>
  <c r="CX192" i="1"/>
  <c r="CX191" i="1"/>
  <c r="CX152" i="1"/>
  <c r="CY136" i="1"/>
  <c r="CW214" i="1"/>
  <c r="AB138" i="1"/>
  <c r="AB148" i="1"/>
  <c r="AB147" i="1"/>
  <c r="AB139" i="1"/>
  <c r="AB134" i="1"/>
  <c r="AB163" i="1"/>
  <c r="AB155" i="1"/>
  <c r="AB130" i="1"/>
  <c r="CF55" i="1" l="1"/>
  <c r="CF54" i="1"/>
  <c r="CF257" i="1" s="1"/>
  <c r="BY205" i="1"/>
  <c r="BY207" i="1" s="1"/>
  <c r="BY64" i="1"/>
  <c r="BY78" i="1"/>
  <c r="BL205" i="1"/>
  <c r="BL207" i="1" s="1"/>
  <c r="BL78" i="1"/>
  <c r="BL64" i="1"/>
  <c r="CX20" i="1"/>
  <c r="CZ8" i="1"/>
  <c r="CZ20" i="1" s="1"/>
  <c r="CY20" i="1"/>
  <c r="CX15" i="1"/>
  <c r="Y73" i="1"/>
  <c r="CC56" i="1"/>
  <c r="CC54" i="1"/>
  <c r="CC257" i="1" s="1"/>
  <c r="CC246" i="1"/>
  <c r="CG55" i="1"/>
  <c r="CD239" i="1"/>
  <c r="CD56" i="1"/>
  <c r="CC60" i="1"/>
  <c r="CC55" i="1"/>
  <c r="CW196" i="1"/>
  <c r="CV197" i="1"/>
  <c r="CZ9" i="1"/>
  <c r="DA9" i="1" s="1"/>
  <c r="DB9" i="1" s="1"/>
  <c r="CU194" i="1"/>
  <c r="CU198" i="1" s="1"/>
  <c r="CV193" i="1"/>
  <c r="CX137" i="1"/>
  <c r="CW140" i="1"/>
  <c r="CW261" i="1" s="1"/>
  <c r="CV218" i="1"/>
  <c r="BZ54" i="1"/>
  <c r="BZ257" i="1" s="1"/>
  <c r="BZ56" i="1"/>
  <c r="CC239" i="1"/>
  <c r="BZ60" i="1"/>
  <c r="BZ246" i="1"/>
  <c r="CD55" i="1"/>
  <c r="CA56" i="1"/>
  <c r="CG260" i="1"/>
  <c r="CH221" i="1"/>
  <c r="CH222" i="1" s="1"/>
  <c r="CH223" i="1" s="1"/>
  <c r="CG256" i="1"/>
  <c r="CG258" i="1"/>
  <c r="CG177" i="1"/>
  <c r="CG178" i="1" s="1"/>
  <c r="CG180" i="1"/>
  <c r="CF205" i="1"/>
  <c r="CF207" i="1" s="1"/>
  <c r="CF211" i="1" s="1"/>
  <c r="CF225" i="1" s="1"/>
  <c r="CF64" i="1"/>
  <c r="CF78" i="1"/>
  <c r="CI81" i="1" s="1"/>
  <c r="CI66" i="1"/>
  <c r="CG239" i="1"/>
  <c r="CI55" i="1"/>
  <c r="CH239" i="1"/>
  <c r="CE56" i="1"/>
  <c r="CE54" i="1"/>
  <c r="CE257" i="1" s="1"/>
  <c r="CE55" i="1"/>
  <c r="CF56" i="1"/>
  <c r="CE60" i="1"/>
  <c r="CF239" i="1"/>
  <c r="CE239" i="1"/>
  <c r="Z73" i="1"/>
  <c r="CE246" i="1"/>
  <c r="DA52" i="1"/>
  <c r="DB52" i="1" s="1"/>
  <c r="CY192" i="1"/>
  <c r="CZ136" i="1"/>
  <c r="CY191" i="1"/>
  <c r="CY152" i="1"/>
  <c r="CY214" i="1" s="1"/>
  <c r="CX214" i="1"/>
  <c r="CY195" i="1"/>
  <c r="AC148" i="1"/>
  <c r="AC138" i="1"/>
  <c r="AB176" i="1"/>
  <c r="AC134" i="1"/>
  <c r="AC163" i="1"/>
  <c r="AB159" i="1"/>
  <c r="AB166" i="1"/>
  <c r="AC155" i="1"/>
  <c r="AC139" i="1"/>
  <c r="AB167" i="1"/>
  <c r="AC130" i="1"/>
  <c r="AC147" i="1"/>
  <c r="DA8" i="1" l="1"/>
  <c r="DA15" i="1" s="1"/>
  <c r="CZ15" i="1"/>
  <c r="DB8" i="1"/>
  <c r="DA20" i="1"/>
  <c r="CC205" i="1"/>
  <c r="CC207" i="1" s="1"/>
  <c r="CC78" i="1"/>
  <c r="CD81" i="1" s="1"/>
  <c r="CC131" i="1"/>
  <c r="CC132" i="1" s="1"/>
  <c r="CC64" i="1"/>
  <c r="CD66" i="1"/>
  <c r="CW197" i="1"/>
  <c r="CX196" i="1"/>
  <c r="CV194" i="1"/>
  <c r="CV198" i="1" s="1"/>
  <c r="CW193" i="1"/>
  <c r="CY137" i="1"/>
  <c r="CX140" i="1"/>
  <c r="CX261" i="1" s="1"/>
  <c r="CW218" i="1"/>
  <c r="CB66" i="1"/>
  <c r="BZ78" i="1"/>
  <c r="BZ64" i="1"/>
  <c r="BZ205" i="1"/>
  <c r="BZ207" i="1" s="1"/>
  <c r="CH49" i="1"/>
  <c r="CG121" i="1"/>
  <c r="CI99" i="1"/>
  <c r="CI97" i="1"/>
  <c r="CI98" i="1"/>
  <c r="CL102" i="1" s="1"/>
  <c r="CE64" i="1"/>
  <c r="CE131" i="1"/>
  <c r="CE132" i="1" s="1"/>
  <c r="CE66" i="1" s="1"/>
  <c r="CE205" i="1"/>
  <c r="CE207" i="1" s="1"/>
  <c r="CE211" i="1" s="1"/>
  <c r="CE225" i="1" s="1"/>
  <c r="CE78" i="1"/>
  <c r="CF66" i="1"/>
  <c r="CG66" i="1"/>
  <c r="CH66" i="1"/>
  <c r="DA136" i="1"/>
  <c r="CZ152" i="1"/>
  <c r="CZ214" i="1" s="1"/>
  <c r="CZ195" i="1"/>
  <c r="CZ192" i="1"/>
  <c r="CZ191" i="1"/>
  <c r="AE148" i="1"/>
  <c r="AD148" i="1"/>
  <c r="AE138" i="1"/>
  <c r="AD138" i="1"/>
  <c r="AC176" i="1"/>
  <c r="AE163" i="1"/>
  <c r="AD163" i="1"/>
  <c r="AE155" i="1"/>
  <c r="AD155" i="1"/>
  <c r="AD130" i="1"/>
  <c r="AE130" i="1"/>
  <c r="AC166" i="1"/>
  <c r="AE139" i="1"/>
  <c r="AD139" i="1"/>
  <c r="AE147" i="1"/>
  <c r="AD147" i="1"/>
  <c r="AC167" i="1"/>
  <c r="AC159" i="1"/>
  <c r="AE134" i="1"/>
  <c r="AD134" i="1"/>
  <c r="DB20" i="1" l="1"/>
  <c r="DB15" i="1"/>
  <c r="CD219" i="1"/>
  <c r="CD217" i="1" s="1"/>
  <c r="CC141" i="1"/>
  <c r="CC67" i="1" s="1"/>
  <c r="CC104" i="1"/>
  <c r="CC66" i="1"/>
  <c r="CC219" i="1"/>
  <c r="CC217" i="1" s="1"/>
  <c r="CD98" i="1"/>
  <c r="CD97" i="1"/>
  <c r="CD99" i="1"/>
  <c r="CY196" i="1"/>
  <c r="CX197" i="1"/>
  <c r="CW194" i="1"/>
  <c r="CW198" i="1" s="1"/>
  <c r="CX193" i="1"/>
  <c r="CZ137" i="1"/>
  <c r="CY140" i="1"/>
  <c r="CX218" i="1"/>
  <c r="CC81" i="1"/>
  <c r="CB81" i="1"/>
  <c r="CG123" i="1"/>
  <c r="CG126" i="1" s="1"/>
  <c r="CG122" i="1"/>
  <c r="CG125" i="1" s="1"/>
  <c r="CF81" i="1"/>
  <c r="CH81" i="1"/>
  <c r="CL82" i="1" s="1"/>
  <c r="CG81" i="1"/>
  <c r="CK82" i="1" s="1"/>
  <c r="CE81" i="1"/>
  <c r="CE104" i="1"/>
  <c r="CF219" i="1"/>
  <c r="CF217" i="1" s="1"/>
  <c r="CE141" i="1"/>
  <c r="CE67" i="1" s="1"/>
  <c r="CE219" i="1"/>
  <c r="CE217" i="1" s="1"/>
  <c r="CE222" i="1" s="1"/>
  <c r="CE172" i="1" s="1"/>
  <c r="CE173" i="1" s="1"/>
  <c r="CE177" i="1" s="1"/>
  <c r="DA191" i="1"/>
  <c r="DA192" i="1"/>
  <c r="DA152" i="1"/>
  <c r="DB152" i="1" s="1"/>
  <c r="DB214" i="1" s="1"/>
  <c r="DA195" i="1"/>
  <c r="DB136" i="1"/>
  <c r="AE176" i="1"/>
  <c r="AD176" i="1"/>
  <c r="AE166" i="1"/>
  <c r="AD166" i="1"/>
  <c r="AE167" i="1"/>
  <c r="AD167" i="1"/>
  <c r="AE159" i="1"/>
  <c r="AD159" i="1"/>
  <c r="BY243" i="1"/>
  <c r="CZ196" i="1" l="1"/>
  <c r="CY197" i="1"/>
  <c r="DA137" i="1"/>
  <c r="CZ140" i="1"/>
  <c r="CY261" i="1"/>
  <c r="CX194" i="1"/>
  <c r="CX198" i="1" s="1"/>
  <c r="CY193" i="1"/>
  <c r="CY218" i="1"/>
  <c r="CE106" i="1"/>
  <c r="CE107" i="1"/>
  <c r="CE108" i="1"/>
  <c r="CE256" i="1"/>
  <c r="CE97" i="1"/>
  <c r="CE98" i="1"/>
  <c r="CI82" i="1"/>
  <c r="CE99" i="1"/>
  <c r="CE260" i="1"/>
  <c r="CG82" i="1"/>
  <c r="CG97" i="1"/>
  <c r="CG99" i="1"/>
  <c r="CG98" i="1"/>
  <c r="CE180" i="1"/>
  <c r="CE121" i="1" s="1"/>
  <c r="CE123" i="1" s="1"/>
  <c r="CE126" i="1" s="1"/>
  <c r="CF221" i="1"/>
  <c r="CF222" i="1" s="1"/>
  <c r="CF223" i="1" s="1"/>
  <c r="CE258" i="1"/>
  <c r="CH82" i="1"/>
  <c r="CH98" i="1"/>
  <c r="CK102" i="1" s="1"/>
  <c r="CH97" i="1"/>
  <c r="CH99" i="1"/>
  <c r="CE223" i="1"/>
  <c r="CF82" i="1"/>
  <c r="CJ82" i="1"/>
  <c r="CF99" i="1"/>
  <c r="CF97" i="1"/>
  <c r="CF98" i="1"/>
  <c r="DA214" i="1"/>
  <c r="DB192" i="1"/>
  <c r="DB191" i="1"/>
  <c r="DB195" i="1"/>
  <c r="CE178" i="1"/>
  <c r="AB32" i="1"/>
  <c r="AB11" i="1" s="1"/>
  <c r="AA11" i="1"/>
  <c r="CZ197" i="1" l="1"/>
  <c r="DA196" i="1"/>
  <c r="CZ218" i="1"/>
  <c r="CZ261" i="1"/>
  <c r="DB137" i="1"/>
  <c r="DB140" i="1" s="1"/>
  <c r="DA140" i="1"/>
  <c r="CY194" i="1"/>
  <c r="CY198" i="1" s="1"/>
  <c r="CZ193" i="1"/>
  <c r="CJ102" i="1"/>
  <c r="CH102" i="1"/>
  <c r="CF49" i="1"/>
  <c r="CI102" i="1"/>
  <c r="CG102" i="1"/>
  <c r="CE122" i="1"/>
  <c r="CE125" i="1" s="1"/>
  <c r="AC32" i="1"/>
  <c r="AC11" i="1" s="1"/>
  <c r="BY244" i="1"/>
  <c r="BY245" i="1" s="1"/>
  <c r="DB196" i="1" l="1"/>
  <c r="DB197" i="1" s="1"/>
  <c r="DA197" i="1"/>
  <c r="DB218" i="1"/>
  <c r="DB261" i="1"/>
  <c r="DA218" i="1"/>
  <c r="DA261" i="1"/>
  <c r="CZ194" i="1"/>
  <c r="CZ198" i="1" s="1"/>
  <c r="DA193" i="1"/>
  <c r="AD32" i="1"/>
  <c r="AD11" i="1" s="1"/>
  <c r="BY246" i="1"/>
  <c r="DA194" i="1" l="1"/>
  <c r="DA198" i="1" s="1"/>
  <c r="DB193" i="1"/>
  <c r="DB194" i="1" s="1"/>
  <c r="DB198" i="1" s="1"/>
  <c r="AE32" i="1"/>
  <c r="AE11" i="1" s="1"/>
  <c r="BI77" i="1" l="1"/>
  <c r="AT77" i="1"/>
  <c r="BT77" i="1"/>
  <c r="AV77" i="1"/>
  <c r="AX77" i="1"/>
  <c r="AR77" i="1"/>
  <c r="AO77" i="1" l="1"/>
  <c r="BK77" i="1"/>
  <c r="AN77" i="1"/>
  <c r="AW77" i="1"/>
  <c r="BB77" i="1"/>
  <c r="BM77" i="1"/>
  <c r="BQ77" i="1"/>
  <c r="AJ77" i="1"/>
  <c r="BS77" i="1"/>
  <c r="BR77" i="1"/>
  <c r="BO77" i="1"/>
  <c r="AM77" i="1"/>
  <c r="AI77" i="1"/>
  <c r="AP77" i="1"/>
  <c r="AZ77" i="1"/>
  <c r="AS77" i="1"/>
  <c r="BN77" i="1"/>
  <c r="BU77" i="1"/>
  <c r="BA77" i="1"/>
  <c r="BC77" i="1"/>
  <c r="AU77" i="1"/>
  <c r="BW77" i="1"/>
  <c r="BP77" i="1"/>
  <c r="BJ77" i="1"/>
  <c r="BH77" i="1"/>
  <c r="BX77" i="1"/>
  <c r="BG77" i="1"/>
  <c r="AQ77" i="1"/>
  <c r="AY77" i="1"/>
  <c r="AK77" i="1"/>
  <c r="BE77" i="1"/>
  <c r="BD77" i="1"/>
  <c r="BV77" i="1"/>
  <c r="BF77" i="1"/>
  <c r="BL243" i="1" l="1"/>
  <c r="AB152" i="1" l="1"/>
  <c r="CN89" i="1" l="1"/>
  <c r="AB214" i="1"/>
  <c r="CO89" i="1" l="1"/>
  <c r="CM75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M14" i="2"/>
  <c r="I14" i="2"/>
  <c r="D8" i="2"/>
  <c r="K10" i="2"/>
  <c r="R21" i="2"/>
  <c r="N31" i="2"/>
  <c r="L18" i="2"/>
  <c r="S8" i="2"/>
  <c r="J32" i="2"/>
  <c r="AR69" i="3"/>
  <c r="W70" i="2"/>
  <c r="M30" i="2"/>
  <c r="I11" i="2"/>
  <c r="E22" i="2"/>
  <c r="G7" i="3"/>
  <c r="AR12" i="3"/>
  <c r="AR33" i="3"/>
  <c r="E23" i="3"/>
  <c r="E33" i="3"/>
  <c r="E13" i="3"/>
  <c r="AO46" i="3"/>
  <c r="F21" i="3"/>
  <c r="F40" i="3"/>
  <c r="EH5" i="4" a="1"/>
  <c r="DA11" i="4" a="1"/>
  <c r="CC11" i="4" a="1"/>
  <c r="J9" i="4" a="1"/>
  <c r="E14" i="4" a="1"/>
  <c r="DK5" i="4" a="1"/>
  <c r="DR16" i="4" a="1"/>
  <c r="CN11" i="4" a="1"/>
  <c r="AM7" i="4" a="1"/>
  <c r="CT14" i="4" a="1"/>
  <c r="DR5" i="4" a="1"/>
  <c r="BY13" i="4" a="1"/>
  <c r="CY16" i="4" a="1"/>
  <c r="W5" i="4" a="1"/>
  <c r="T35" i="2"/>
  <c r="N9" i="2"/>
  <c r="F6" i="2"/>
  <c r="P23" i="2"/>
  <c r="N14" i="2"/>
  <c r="D10" i="2"/>
  <c r="H27" i="2"/>
  <c r="Q20" i="2"/>
  <c r="P25" i="2"/>
  <c r="AR55" i="3"/>
  <c r="R26" i="2"/>
  <c r="E20" i="2"/>
  <c r="M9" i="2"/>
  <c r="C30" i="2"/>
  <c r="AJ46" i="3"/>
  <c r="AR36" i="3"/>
  <c r="L46" i="3"/>
  <c r="AR32" i="3"/>
  <c r="Z45" i="3"/>
  <c r="G10" i="3"/>
  <c r="E16" i="3"/>
  <c r="AD16" i="3"/>
  <c r="I45" i="3"/>
  <c r="CI14" i="4" a="1"/>
  <c r="BF9" i="4" a="1"/>
  <c r="AG7" i="4" a="1"/>
  <c r="AT14" i="4" a="1"/>
  <c r="BI13" i="4" a="1"/>
  <c r="DL14" i="4" a="1"/>
  <c r="CG16" i="4" a="1"/>
  <c r="DP14" i="4" a="1"/>
  <c r="BG5" i="4" a="1"/>
  <c r="BK13" i="4" a="1"/>
  <c r="CG12" i="4" a="1"/>
  <c r="EE14" i="4" a="1"/>
  <c r="ED14" i="4" a="1"/>
  <c r="BK6" i="4" a="1"/>
  <c r="AA12" i="4" a="1"/>
  <c r="K14" i="4" a="1"/>
  <c r="CJ9" i="4" a="1"/>
  <c r="AI13" i="4" a="1"/>
  <c r="AM5" i="4" a="1"/>
  <c r="DX6" i="4" a="1"/>
  <c r="AD7" i="4" a="1"/>
  <c r="EF13" i="4" a="1"/>
  <c r="ED9" i="4" a="1"/>
  <c r="CP13" i="4" a="1"/>
  <c r="BS12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Q69" i="2"/>
  <c r="F75" i="2"/>
  <c r="O15" i="2"/>
  <c r="O12" i="2"/>
  <c r="R23" i="2"/>
  <c r="K16" i="2"/>
  <c r="T19" i="2"/>
  <c r="H15" i="2"/>
  <c r="S18" i="2"/>
  <c r="AF50" i="3"/>
  <c r="W74" i="2"/>
  <c r="AR74" i="3"/>
  <c r="X35" i="2"/>
  <c r="U32" i="2"/>
  <c r="G17" i="3"/>
  <c r="D36" i="3"/>
  <c r="AI45" i="3"/>
  <c r="D10" i="3"/>
  <c r="AQ45" i="3"/>
  <c r="D22" i="3"/>
  <c r="F5" i="3"/>
  <c r="AR29" i="3"/>
  <c r="J45" i="3"/>
  <c r="ED16" i="4" a="1"/>
  <c r="CI7" i="4" a="1"/>
  <c r="AK9" i="4" a="1"/>
  <c r="CT11" i="4" a="1"/>
  <c r="DL15" i="4" a="1"/>
  <c r="AG12" i="4" a="1"/>
  <c r="BQ7" i="4" a="1"/>
  <c r="DV7" i="4" a="1"/>
  <c r="CO6" i="4" a="1"/>
  <c r="AZ7" i="4" a="1"/>
  <c r="EK5" i="4" a="1"/>
  <c r="R13" i="4" a="1"/>
  <c r="AK13" i="4" a="1"/>
  <c r="CN8" i="4" a="1"/>
  <c r="BH12" i="4" a="1"/>
  <c r="R11" i="4" a="1"/>
  <c r="CD8" i="4" a="1"/>
  <c r="CC8" i="4" a="1"/>
  <c r="AY7" i="4" a="1"/>
  <c r="AK7" i="4" a="1"/>
  <c r="DX13" i="4" a="1"/>
  <c r="DW6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X19" i="2"/>
  <c r="D32" i="2"/>
  <c r="I31" i="2"/>
  <c r="K17" i="2"/>
  <c r="C22" i="2"/>
  <c r="X63" i="2"/>
  <c r="L21" i="2"/>
  <c r="G11" i="2"/>
  <c r="R27" i="2"/>
  <c r="C10" i="2"/>
  <c r="R19" i="2"/>
  <c r="AR75" i="3"/>
  <c r="K27" i="2"/>
  <c r="U31" i="2"/>
  <c r="F39" i="3"/>
  <c r="E41" i="3"/>
  <c r="AD13" i="3"/>
  <c r="AR27" i="3"/>
  <c r="G18" i="3"/>
  <c r="E36" i="3"/>
  <c r="AR18" i="3"/>
  <c r="G20" i="3"/>
  <c r="G22" i="3"/>
  <c r="DO5" i="4" a="1"/>
  <c r="DM5" i="4" a="1"/>
  <c r="BC9" i="4" a="1"/>
  <c r="Z15" i="4" a="1"/>
  <c r="EG12" i="4" a="1"/>
  <c r="BE11" i="4" a="1"/>
  <c r="BD6" i="4" a="1"/>
  <c r="D6" i="4" a="1"/>
  <c r="BW15" i="4" a="1"/>
  <c r="DH12" i="4" a="1"/>
  <c r="BN11" i="4" a="1"/>
  <c r="DN9" i="4" a="1"/>
  <c r="J5" i="4" a="1"/>
  <c r="BL12" i="4" a="1"/>
  <c r="DZ16" i="4" a="1"/>
  <c r="BP11" i="4" a="1"/>
  <c r="CH7" i="4" a="1"/>
  <c r="CA8" i="4" a="1"/>
  <c r="X5" i="4" a="1"/>
  <c r="AF9" i="4" a="1"/>
  <c r="BI16" i="4" a="1"/>
  <c r="DL11" i="4" a="1"/>
  <c r="CN7" i="4" a="1"/>
  <c r="AH5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T26" i="2"/>
  <c r="L17" i="2"/>
  <c r="R29" i="2"/>
  <c r="I20" i="2"/>
  <c r="G32" i="2"/>
  <c r="V36" i="2"/>
  <c r="M32" i="2"/>
  <c r="J20" i="2"/>
  <c r="R17" i="2"/>
  <c r="T8" i="2"/>
  <c r="E5" i="2"/>
  <c r="AR54" i="3"/>
  <c r="I34" i="2"/>
  <c r="L27" i="2"/>
  <c r="J46" i="3"/>
  <c r="F19" i="3"/>
  <c r="D29" i="3"/>
  <c r="K46" i="3"/>
  <c r="AD46" i="3"/>
  <c r="E31" i="3"/>
  <c r="E12" i="3"/>
  <c r="F7" i="3"/>
  <c r="F26" i="3"/>
  <c r="AZ15" i="4" a="1"/>
  <c r="DZ14" i="4" a="1"/>
  <c r="AI9" i="4" a="1"/>
  <c r="DK7" i="4" a="1"/>
  <c r="AS6" i="4" a="1"/>
  <c r="DG8" i="4" a="1"/>
  <c r="C15" i="4" a="1"/>
  <c r="DY11" i="4" a="1"/>
  <c r="CF9" i="4" a="1"/>
  <c r="CB13" i="4" a="1"/>
  <c r="AP9" i="4" a="1"/>
  <c r="EG16" i="4" a="1"/>
  <c r="U16" i="4" a="1"/>
  <c r="BX16" i="4" a="1"/>
  <c r="V12" i="4" a="1"/>
  <c r="P14" i="4" a="1"/>
  <c r="AQ15" i="4" a="1"/>
  <c r="DQ8" i="4" a="1"/>
  <c r="DI16" i="4" a="1"/>
  <c r="DQ9" i="4" a="1"/>
  <c r="AK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T5" i="2"/>
  <c r="Q16" i="2"/>
  <c r="T12" i="2"/>
  <c r="I19" i="2"/>
  <c r="O22" i="2"/>
  <c r="U13" i="2"/>
  <c r="D33" i="2"/>
  <c r="L6" i="2"/>
  <c r="R36" i="2"/>
  <c r="M24" i="2"/>
  <c r="C26" i="2"/>
  <c r="AR95" i="3"/>
  <c r="X29" i="2"/>
  <c r="AR86" i="3"/>
  <c r="H45" i="3"/>
  <c r="E26" i="3"/>
  <c r="W46" i="3"/>
  <c r="C46" i="3"/>
  <c r="G6" i="3"/>
  <c r="AD12" i="3"/>
  <c r="E29" i="3"/>
  <c r="Y45" i="3"/>
  <c r="L45" i="3"/>
  <c r="BB8" i="4" a="1"/>
  <c r="K26" i="2"/>
  <c r="P7" i="2"/>
  <c r="V28" i="2"/>
  <c r="D24" i="2"/>
  <c r="J19" i="2"/>
  <c r="V18" i="2"/>
  <c r="K59" i="2"/>
  <c r="I25" i="2"/>
  <c r="E36" i="2"/>
  <c r="AR97" i="3"/>
  <c r="N13" i="2"/>
  <c r="AR58" i="3"/>
  <c r="N32" i="2"/>
  <c r="AR82" i="3"/>
  <c r="AR22" i="3"/>
  <c r="C45" i="3"/>
  <c r="F42" i="3"/>
  <c r="E42" i="3"/>
  <c r="G15" i="3"/>
  <c r="N46" i="3"/>
  <c r="G12" i="3"/>
  <c r="Q46" i="3"/>
  <c r="D28" i="3"/>
  <c r="DT7" i="4" a="1"/>
  <c r="BN7" i="4" a="1"/>
  <c r="BV14" i="4" a="1"/>
  <c r="AN7" i="4" a="1"/>
  <c r="DV5" i="4" a="1"/>
  <c r="BH5" i="4" a="1"/>
  <c r="W11" i="4" a="1"/>
  <c r="CX14" i="4" a="1"/>
  <c r="CS14" i="4" a="1"/>
  <c r="T16" i="4" a="1"/>
  <c r="EG5" i="4" a="1"/>
  <c r="AR11" i="4" a="1"/>
  <c r="DH8" i="4" a="1"/>
  <c r="AG15" i="4" a="1"/>
  <c r="DC12" i="4" a="1"/>
  <c r="CV6" i="4" a="1"/>
  <c r="DY8" i="4" a="1"/>
  <c r="BE8" i="4" a="1"/>
  <c r="J7" i="4" a="1"/>
  <c r="BZ9" i="4" a="1"/>
  <c r="CP14" i="4" a="1"/>
  <c r="BH14" i="4" a="1"/>
  <c r="EK8" i="4" a="1"/>
  <c r="DQ11" i="4" a="1"/>
  <c r="DG5" i="4" a="1"/>
  <c r="DP12" i="4" a="1"/>
  <c r="AR12" i="4" a="1"/>
  <c r="EF5" i="4" a="1"/>
  <c r="CC16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D19" i="2"/>
  <c r="Q56" i="2"/>
  <c r="U25" i="2"/>
  <c r="W12" i="2"/>
  <c r="J7" i="2"/>
  <c r="I24" i="2"/>
  <c r="F19" i="2"/>
  <c r="E23" i="2"/>
  <c r="V11" i="2"/>
  <c r="J11" i="2"/>
  <c r="F32" i="2"/>
  <c r="F22" i="2"/>
  <c r="D14" i="2"/>
  <c r="V15" i="2"/>
  <c r="S46" i="3"/>
  <c r="AD15" i="3"/>
  <c r="R46" i="3"/>
  <c r="AD8" i="3"/>
  <c r="D8" i="3"/>
  <c r="D6" i="3"/>
  <c r="D20" i="3"/>
  <c r="U46" i="3"/>
  <c r="AR16" i="3"/>
  <c r="AF7" i="4" a="1"/>
  <c r="Z8" i="4" a="1"/>
  <c r="CF16" i="4" a="1"/>
  <c r="AI14" i="4" a="1"/>
  <c r="BX8" i="4" a="1"/>
  <c r="AD8" i="4" a="1"/>
  <c r="BZ8" i="4" a="1"/>
  <c r="CD5" i="4" a="1"/>
  <c r="EI14" i="4" a="1"/>
  <c r="V15" i="4" a="1"/>
  <c r="AH8" i="4" a="1"/>
  <c r="EA5" i="4" a="1"/>
  <c r="R6" i="4" a="1"/>
  <c r="M5" i="4" a="1"/>
  <c r="AO11" i="4" a="1"/>
  <c r="DA7" i="4" a="1"/>
  <c r="BR5" i="4" a="1"/>
  <c r="AG9" i="4" a="1"/>
  <c r="CX15" i="4" a="1"/>
  <c r="AX6" i="4" a="1"/>
  <c r="BQ9" i="4" a="1"/>
  <c r="CF14" i="4" a="1"/>
  <c r="EA13" i="4" a="1"/>
  <c r="DN12" i="4" a="1"/>
  <c r="EE11" i="4" a="1"/>
  <c r="CF12" i="4" a="1"/>
  <c r="ED6" i="4" a="1"/>
  <c r="CH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G23" i="2"/>
  <c r="O17" i="2"/>
  <c r="D20" i="2"/>
  <c r="D7" i="2"/>
  <c r="C59" i="2"/>
  <c r="G27" i="2"/>
  <c r="P35" i="2"/>
  <c r="U5" i="2"/>
  <c r="Q59" i="2"/>
  <c r="F26" i="2"/>
  <c r="R11" i="2"/>
  <c r="V19" i="2"/>
  <c r="H35" i="2"/>
  <c r="O14" i="2"/>
  <c r="F22" i="3"/>
  <c r="AA45" i="3"/>
  <c r="V45" i="3"/>
  <c r="O45" i="3"/>
  <c r="F11" i="3"/>
  <c r="AD9" i="3"/>
  <c r="E34" i="3"/>
  <c r="D31" i="3"/>
  <c r="AD11" i="3"/>
  <c r="CX7" i="4" a="1"/>
  <c r="BK8" i="4" a="1"/>
  <c r="BJ12" i="4" a="1"/>
  <c r="CM16" i="4" a="1"/>
  <c r="DU7" i="4" a="1"/>
  <c r="BO8" i="4" a="1"/>
  <c r="BP7" i="4" a="1"/>
  <c r="AF16" i="4" a="1"/>
  <c r="CN16" i="4" a="1"/>
  <c r="AC16" i="4" a="1"/>
  <c r="BN16" i="4" a="1"/>
  <c r="DM15" i="4" a="1"/>
  <c r="BU8" i="4" a="1"/>
  <c r="CV9" i="4" a="1"/>
  <c r="CO9" i="4" a="1"/>
  <c r="AC15" i="4" a="1"/>
  <c r="CU6" i="4" a="1"/>
  <c r="P9" i="4" a="1"/>
  <c r="X15" i="4" a="1"/>
  <c r="CI13" i="4" a="1"/>
  <c r="BR13" i="4" a="1"/>
  <c r="O6" i="4" a="1"/>
  <c r="CM6" i="4" a="1"/>
  <c r="DR11" i="4" a="1"/>
  <c r="EJ7" i="4" a="1"/>
  <c r="CE5" i="4" a="1"/>
  <c r="CG8" i="4" a="1"/>
  <c r="DA8" i="4" a="1"/>
  <c r="BB6" i="4" a="1"/>
  <c r="CT7" i="4" a="1"/>
  <c r="AX16" i="4" a="1"/>
  <c r="G17" i="2"/>
  <c r="K33" i="2"/>
  <c r="U11" i="2"/>
  <c r="D28" i="2"/>
  <c r="S15" i="2"/>
  <c r="G24" i="2"/>
  <c r="H11" i="2"/>
  <c r="C14" i="2"/>
  <c r="T11" i="2"/>
  <c r="V20" i="2"/>
  <c r="C65" i="2"/>
  <c r="X26" i="2"/>
  <c r="I21" i="2"/>
  <c r="I26" i="2"/>
  <c r="E25" i="3"/>
  <c r="E20" i="3"/>
  <c r="D15" i="3"/>
  <c r="E35" i="3"/>
  <c r="P45" i="3"/>
  <c r="AJ45" i="3"/>
  <c r="F15" i="3"/>
  <c r="AR23" i="3"/>
  <c r="F28" i="3"/>
  <c r="DO14" i="4" a="1"/>
  <c r="AK11" i="4" a="1"/>
  <c r="AO12" i="4" a="1"/>
  <c r="AX11" i="4" a="1"/>
  <c r="AC11" i="4" a="1"/>
  <c r="BU7" i="4" a="1"/>
  <c r="AJ14" i="4" a="1"/>
  <c r="EC7" i="4" a="1"/>
  <c r="DC9" i="4" a="1"/>
  <c r="AK14" i="4" a="1"/>
  <c r="K15" i="4" a="1"/>
  <c r="Q6" i="2"/>
  <c r="X21" i="2"/>
  <c r="I13" i="2"/>
  <c r="AR45" i="3"/>
  <c r="CK15" i="4" a="1"/>
  <c r="AK8" i="4" a="1"/>
  <c r="T7" i="4" a="1"/>
  <c r="DF7" i="4" a="1"/>
  <c r="AE7" i="4" a="1"/>
  <c r="BI6" i="4" a="1"/>
  <c r="DP16" i="4" a="1"/>
  <c r="BK12" i="4" a="1"/>
  <c r="AH15" i="4" a="1"/>
  <c r="F8" i="4" a="1"/>
  <c r="BG12" i="4" a="1"/>
  <c r="BA7" i="4" a="1"/>
  <c r="DJ6" i="4" a="1"/>
  <c r="L6" i="4" a="1"/>
  <c r="BE5" i="4" a="1"/>
  <c r="DH6" i="4" a="1"/>
  <c r="O11" i="4" a="1"/>
  <c r="DT6" i="4" a="1"/>
  <c r="CI16" i="4" a="1"/>
  <c r="BF14" i="4" a="1"/>
  <c r="F9" i="4" a="1"/>
  <c r="CJ12" i="4" a="1"/>
  <c r="DB12" i="4" a="1"/>
  <c r="CE7" i="4" a="1"/>
  <c r="BP15" i="4" a="1"/>
  <c r="O8" i="4" a="1"/>
  <c r="DO8" i="4" a="1"/>
  <c r="CF13" i="4" a="1"/>
  <c r="AW12" i="4" a="1"/>
  <c r="E12" i="4" a="1"/>
  <c r="ED11" i="4" a="1"/>
  <c r="AE13" i="4" a="1"/>
  <c r="BE9" i="4" a="1"/>
  <c r="X14" i="4" a="1"/>
  <c r="CM9" i="4" a="1"/>
  <c r="AA8" i="4" a="1"/>
  <c r="DA13" i="4" a="1"/>
  <c r="AT13" i="4" a="1"/>
  <c r="DU6" i="4" a="1"/>
  <c r="BD14" i="4" a="1"/>
  <c r="EB11" i="4" a="1"/>
  <c r="DQ6" i="4" a="1"/>
  <c r="BD9" i="4" a="1"/>
  <c r="M13" i="4" a="1"/>
  <c r="AW9" i="4" a="1"/>
  <c r="CX8" i="4" a="1"/>
  <c r="CC7" i="4" a="1"/>
  <c r="Z6" i="4" a="1"/>
  <c r="AS16" i="4" a="1"/>
  <c r="EB12" i="4" a="1"/>
  <c r="BG13" i="4" a="1"/>
  <c r="CR11" i="4" a="1"/>
  <c r="F5" i="4" a="1"/>
  <c r="Q15" i="4" a="1"/>
  <c r="X12" i="4" a="1"/>
  <c r="DB9" i="4" a="1"/>
  <c r="DW11" i="4" a="1"/>
  <c r="DH16" i="4" a="1"/>
  <c r="H11" i="4" a="1"/>
  <c r="AO8" i="4" a="1"/>
  <c r="EF12" i="4" a="1"/>
  <c r="BQ14" i="4" a="1"/>
  <c r="S16" i="4" a="1"/>
  <c r="EK6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BR9" i="4" a="1"/>
  <c r="DJ13" i="4" a="1"/>
  <c r="Q7" i="4" a="1"/>
  <c r="DZ15" i="4" a="1"/>
  <c r="P15" i="4" a="1"/>
  <c r="BA12" i="4" a="1"/>
  <c r="CO8" i="4" a="1"/>
  <c r="CL14" i="4" a="1"/>
  <c r="CE16" i="4" a="1"/>
  <c r="BC6" i="4" a="1"/>
  <c r="DK12" i="4" a="1"/>
  <c r="DJ12" i="4" a="1"/>
  <c r="DA16" i="4" a="1"/>
  <c r="AP12" i="4" a="1"/>
  <c r="BP13" i="4" a="1"/>
  <c r="C12" i="4" a="1"/>
  <c r="Q16" i="4" a="1"/>
  <c r="EI15" i="4" a="1"/>
  <c r="CN5" i="4" a="1"/>
  <c r="CL8" i="4" a="1"/>
  <c r="DC6" i="4" a="1"/>
  <c r="BI12" i="4" a="1"/>
  <c r="CP11" i="4" a="1"/>
  <c r="AE8" i="4" a="1"/>
  <c r="BF6" i="4" a="1"/>
  <c r="EJ8" i="4" a="1"/>
  <c r="DV13" i="4" a="1"/>
  <c r="DV14" i="4" a="1"/>
  <c r="BT9" i="4" a="1"/>
  <c r="AI5" i="4" a="1"/>
  <c r="CC13" i="4" a="1"/>
  <c r="EE16" i="4" a="1"/>
  <c r="AV8" i="4" a="1"/>
  <c r="BQ11" i="4" a="1"/>
  <c r="BP16" i="4" a="1"/>
  <c r="AN15" i="4" a="1"/>
  <c r="AG11" i="4" a="1"/>
  <c r="CP9" i="4" a="1"/>
  <c r="DC14" i="4" a="1"/>
  <c r="CB15" i="4" a="1"/>
  <c r="AB16" i="4" a="1"/>
  <c r="N11" i="2"/>
  <c r="P32" i="2"/>
  <c r="K15" i="2"/>
  <c r="P46" i="3"/>
  <c r="BF13" i="4" a="1"/>
  <c r="AN8" i="4" a="1"/>
  <c r="BG8" i="4" a="1"/>
  <c r="CX6" i="4" a="1"/>
  <c r="CO13" i="4" a="1"/>
  <c r="BY5" i="4" a="1"/>
  <c r="DD13" i="4" a="1"/>
  <c r="DB16" i="4" a="1"/>
  <c r="DG16" i="4" a="1"/>
  <c r="CF6" i="4" a="1"/>
  <c r="DZ6" i="4" a="1"/>
  <c r="BA6" i="4" a="1"/>
  <c r="V16" i="4" a="1"/>
  <c r="Z5" i="4" a="1"/>
  <c r="EH13" i="4" a="1"/>
  <c r="BT16" i="4" a="1"/>
  <c r="N12" i="4" a="1"/>
  <c r="BX12" i="4" a="1"/>
  <c r="G11" i="4" a="1"/>
  <c r="BU14" i="4" a="1"/>
  <c r="DN6" i="4" a="1"/>
  <c r="AR9" i="4" a="1"/>
  <c r="V8" i="4" a="1"/>
  <c r="BW6" i="4" a="1"/>
  <c r="AE15" i="4" a="1"/>
  <c r="CR16" i="4" a="1"/>
  <c r="C16" i="4" a="1"/>
  <c r="DL16" i="4" a="1"/>
  <c r="Y7" i="4" a="1"/>
  <c r="CE11" i="4" a="1"/>
  <c r="BN6" i="4" a="1"/>
  <c r="AV12" i="4" a="1"/>
  <c r="AF11" i="4" a="1"/>
  <c r="AQ9" i="4" a="1"/>
  <c r="DU16" i="4" a="1"/>
  <c r="BT14" i="4" a="1"/>
  <c r="F6" i="4" a="1"/>
  <c r="EH9" i="4" a="1"/>
  <c r="BZ14" i="4" a="1"/>
  <c r="CW5" i="4" a="1"/>
  <c r="EJ6" i="4" a="1"/>
  <c r="X16" i="4" a="1"/>
  <c r="DD8" i="4" a="1"/>
  <c r="Y9" i="4" a="1"/>
  <c r="CH12" i="4" a="1"/>
  <c r="T5" i="4" a="1"/>
  <c r="DZ8" i="4" a="1"/>
  <c r="AT9" i="4" a="1"/>
  <c r="EK7" i="4" a="1"/>
  <c r="AZ16" i="4" a="1"/>
  <c r="P13" i="4" a="1"/>
  <c r="BX7" i="4" a="1"/>
  <c r="R12" i="4" a="1"/>
  <c r="BA11" i="4" a="1"/>
  <c r="AP6" i="4" a="1"/>
  <c r="CW12" i="4" a="1"/>
  <c r="H8" i="4" a="1"/>
  <c r="CV16" i="4" a="1"/>
  <c r="E5" i="4" a="1"/>
  <c r="AH16" i="4" a="1"/>
  <c r="BD13" i="4" a="1"/>
  <c r="AM16" i="4" a="1"/>
  <c r="EJ15" i="4" a="1"/>
  <c r="DI12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DB13" i="4" a="1"/>
  <c r="CD11" i="4" a="1"/>
  <c r="BX13" i="4" a="1"/>
  <c r="BZ7" i="4" a="1"/>
  <c r="AE9" i="4" a="1"/>
  <c r="CY9" i="4" a="1"/>
  <c r="H12" i="4" a="1"/>
  <c r="EB15" i="4" a="1"/>
  <c r="P5" i="4" a="1"/>
  <c r="AY14" i="4" a="1"/>
  <c r="M9" i="4" a="1"/>
  <c r="CD7" i="4" a="1"/>
  <c r="AH6" i="4" a="1"/>
  <c r="S5" i="4" a="1"/>
  <c r="BZ12" i="4" a="1"/>
  <c r="T13" i="4" a="1"/>
  <c r="EH6" i="4" a="1"/>
  <c r="EG9" i="4" a="1"/>
  <c r="CK8" i="4" a="1"/>
  <c r="DH7" i="4" a="1"/>
  <c r="CS16" i="4" a="1"/>
  <c r="ED8" i="4" a="1"/>
  <c r="EE9" i="4" a="1"/>
  <c r="CR15" i="4" a="1"/>
  <c r="BQ13" i="4" a="1"/>
  <c r="DB5" i="4" a="1"/>
  <c r="DE5" i="4" a="1"/>
  <c r="AV7" i="4" a="1"/>
  <c r="DU12" i="4" a="1"/>
  <c r="EG15" i="4" a="1"/>
  <c r="L8" i="4" a="1"/>
  <c r="AG5" i="4" a="1"/>
  <c r="EH11" i="4" a="1"/>
  <c r="BS8" i="4" a="1"/>
  <c r="EE5" i="4" a="1"/>
  <c r="AQ11" i="4" a="1"/>
  <c r="Q11" i="4" a="1"/>
  <c r="K32" i="2"/>
  <c r="Q25" i="2"/>
  <c r="G13" i="2"/>
  <c r="D38" i="3"/>
  <c r="AJ12" i="4" a="1"/>
  <c r="DB14" i="4" a="1"/>
  <c r="DI14" i="4" a="1"/>
  <c r="BT13" i="4" a="1"/>
  <c r="BH6" i="4" a="1"/>
  <c r="Y8" i="4" a="1"/>
  <c r="DD9" i="4" a="1"/>
  <c r="BC5" i="4" a="1"/>
  <c r="AI8" i="4" a="1"/>
  <c r="BB16" i="4" a="1"/>
  <c r="DP15" i="4" a="1"/>
  <c r="DC15" i="4" a="1"/>
  <c r="DG14" i="4" a="1"/>
  <c r="V6" i="4" a="1"/>
  <c r="AB5" i="4" a="1"/>
  <c r="DJ16" i="4" a="1"/>
  <c r="AN13" i="4" a="1"/>
  <c r="BO16" i="4" a="1"/>
  <c r="EB6" i="4" a="1"/>
  <c r="J14" i="4" a="1"/>
  <c r="AX15" i="4" a="1"/>
  <c r="AP7" i="4" a="1"/>
  <c r="DG7" i="4" a="1"/>
  <c r="AR16" i="4" a="1"/>
  <c r="BJ7" i="4" a="1"/>
  <c r="CV5" i="4" a="1"/>
  <c r="BT5" i="4" a="1"/>
  <c r="CN12" i="4" a="1"/>
  <c r="BP9" i="4" a="1"/>
  <c r="AC9" i="4" a="1"/>
  <c r="CF11" i="4" a="1"/>
  <c r="EI5" i="4" a="1"/>
  <c r="AY5" i="4" a="1"/>
  <c r="R33" i="2"/>
  <c r="O23" i="2"/>
  <c r="AG45" i="3"/>
  <c r="AR14" i="3"/>
  <c r="AM11" i="4" a="1"/>
  <c r="L9" i="4" a="1"/>
  <c r="CT8" i="4" a="1"/>
  <c r="AE16" i="4" a="1"/>
  <c r="AO5" i="4" a="1"/>
  <c r="CB9" i="4" a="1"/>
  <c r="CU9" i="4" a="1"/>
  <c r="AU11" i="4" a="1"/>
  <c r="CR5" i="4" a="1"/>
  <c r="DR12" i="4" a="1"/>
  <c r="BX5" i="4" a="1"/>
  <c r="AN11" i="4" a="1"/>
  <c r="H6" i="4" a="1"/>
  <c r="DF12" i="4" a="1"/>
  <c r="K9" i="4" a="1"/>
  <c r="CD6" i="4" a="1"/>
  <c r="AZ12" i="4" a="1"/>
  <c r="CZ8" i="4" a="1"/>
  <c r="AS15" i="4" a="1"/>
  <c r="DO16" i="4" a="1"/>
  <c r="BM9" i="4" a="1"/>
  <c r="CI8" i="4" a="1"/>
  <c r="P6" i="4" a="1"/>
  <c r="CI12" i="4" a="1"/>
  <c r="U6" i="4" a="1"/>
  <c r="EF7" i="4" a="1"/>
  <c r="DX11" i="4" a="1"/>
  <c r="CF8" i="4" a="1"/>
  <c r="DH13" i="4" a="1"/>
  <c r="DZ13" i="4" a="1"/>
  <c r="N11" i="4" a="1"/>
  <c r="DC16" i="4" a="1"/>
  <c r="DJ9" i="4" a="1"/>
  <c r="AY16" i="4" a="1"/>
  <c r="J13" i="4" a="1"/>
  <c r="CC6" i="4" a="1"/>
  <c r="AA7" i="4" a="1"/>
  <c r="CO16" i="4" a="1"/>
  <c r="DK9" i="4" a="1"/>
  <c r="P12" i="4" a="1"/>
  <c r="CX16" i="4" a="1"/>
  <c r="S7" i="4" a="1"/>
  <c r="DV8" i="4" a="1"/>
  <c r="BF5" i="4" a="1"/>
  <c r="AG13" i="4" a="1"/>
  <c r="BX14" i="4" a="1"/>
  <c r="DN7" i="4" a="1"/>
  <c r="EK9" i="4" a="1"/>
  <c r="DV12" i="4" a="1"/>
  <c r="AM8" i="4" a="1"/>
  <c r="DY7" i="4" a="1"/>
  <c r="EI11" i="4" a="1"/>
  <c r="O14" i="4" a="1"/>
  <c r="AM13" i="4" a="1"/>
  <c r="AR14" i="4" a="1"/>
  <c r="CB6" i="4" a="1"/>
  <c r="O16" i="4" a="1"/>
  <c r="BW14" i="4" a="1"/>
  <c r="AL16" i="4" a="1"/>
  <c r="AG6" i="4" a="1"/>
  <c r="Q9" i="4" a="1"/>
  <c r="BL6" i="4" a="1"/>
  <c r="DT15" i="4" a="1"/>
  <c r="BI5" i="4" a="1"/>
  <c r="C7" i="4" a="1"/>
  <c r="BO5" i="4" a="1"/>
  <c r="AZ8" i="4" a="1"/>
  <c r="DP5" i="4" a="1"/>
  <c r="CW9" i="4" a="1"/>
  <c r="EF14" i="4" a="1"/>
  <c r="CZ9" i="4" a="1"/>
  <c r="V24" i="2"/>
  <c r="AR70" i="3"/>
  <c r="F36" i="3"/>
  <c r="AR28" i="3"/>
  <c r="BX9" i="4" a="1"/>
  <c r="AI11" i="4" a="1"/>
  <c r="BZ5" i="4" a="1"/>
  <c r="BS7" i="4" a="1"/>
  <c r="U34" i="2"/>
  <c r="AR60" i="3"/>
  <c r="F20" i="3"/>
  <c r="G29" i="3"/>
  <c r="CF7" i="4" a="1"/>
  <c r="BL9" i="4" a="1"/>
  <c r="BA5" i="4" a="1"/>
  <c r="DO12" i="4" a="1"/>
  <c r="CN14" i="4" a="1"/>
  <c r="C8" i="4" a="1"/>
  <c r="BF12" i="4" a="1"/>
  <c r="AP16" i="4" a="1"/>
  <c r="CL9" i="4" a="1"/>
  <c r="CR9" i="4" a="1"/>
  <c r="D7" i="4" a="1"/>
  <c r="AW14" i="4" a="1"/>
  <c r="BP5" i="4" a="1"/>
  <c r="D9" i="4" a="1"/>
  <c r="EI12" i="4" a="1"/>
  <c r="BS14" i="4" a="1"/>
  <c r="AA13" i="4" a="1"/>
  <c r="BD11" i="4" a="1"/>
  <c r="CB12" i="4" a="1"/>
  <c r="AL6" i="4" a="1"/>
  <c r="EB5" i="4" a="1"/>
  <c r="CQ11" i="4" a="1"/>
  <c r="CV14" i="4" a="1"/>
  <c r="EE6" i="4" a="1"/>
  <c r="CQ15" i="4" a="1"/>
  <c r="CC14" i="4" a="1"/>
  <c r="DG9" i="4" a="1"/>
  <c r="DC11" i="4" a="1"/>
  <c r="AE11" i="4" a="1"/>
  <c r="AZ13" i="4" a="1"/>
  <c r="BP14" i="4" a="1"/>
  <c r="CI11" i="4" a="1"/>
  <c r="BZ6" i="4" a="1"/>
  <c r="G9" i="4" a="1"/>
  <c r="DR7" i="4" a="1"/>
  <c r="CJ14" i="4" a="1"/>
  <c r="BL7" i="4" a="1"/>
  <c r="E13" i="4" a="1"/>
  <c r="CU14" i="4" a="1"/>
  <c r="BB12" i="4" a="1"/>
  <c r="AW13" i="4" a="1"/>
  <c r="CR12" i="4" a="1"/>
  <c r="G8" i="4" a="1"/>
  <c r="C14" i="4" a="1"/>
  <c r="DR9" i="4" a="1"/>
  <c r="F14" i="4" a="1"/>
  <c r="N15" i="4" a="1"/>
  <c r="CJ7" i="4" a="1"/>
  <c r="G13" i="4" a="1"/>
  <c r="BH15" i="4" a="1"/>
  <c r="CL13" i="4" a="1"/>
  <c r="CT16" i="4" a="1"/>
  <c r="BF16" i="4" a="1"/>
  <c r="BO7" i="4" a="1"/>
  <c r="EH15" i="4" a="1"/>
  <c r="AY15" i="4" a="1"/>
  <c r="DV11" i="4" a="1"/>
  <c r="AM14" i="4" a="1"/>
  <c r="EA12" i="4" a="1"/>
  <c r="AT11" i="4" a="1"/>
  <c r="Y15" i="4" a="1"/>
  <c r="BG14" i="4" a="1"/>
  <c r="EB13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CE14" i="4" a="1"/>
  <c r="CK9" i="4" a="1"/>
  <c r="EI8" i="4" a="1"/>
  <c r="AB7" i="4" a="1"/>
  <c r="M15" i="4" a="1"/>
  <c r="CP5" i="4" a="1"/>
  <c r="AF14" i="4" a="1"/>
  <c r="S8" i="4" a="1"/>
  <c r="BS5" i="4" a="1"/>
  <c r="DD7" i="4" a="1"/>
  <c r="BR16" i="4" a="1"/>
  <c r="H9" i="4" a="1"/>
  <c r="H7" i="4" a="1"/>
  <c r="CC15" i="4" a="1"/>
  <c r="AN6" i="4" a="1"/>
  <c r="CA14" i="4" a="1"/>
  <c r="AN16" i="4" a="1"/>
  <c r="EJ9" i="4" a="1"/>
  <c r="EG13" i="4" a="1"/>
  <c r="AM9" i="4" a="1"/>
  <c r="CE15" i="4" a="1"/>
  <c r="ED12" i="4" a="1"/>
  <c r="CI6" i="4" a="1"/>
  <c r="CU13" i="4" a="1"/>
  <c r="W16" i="4" a="1"/>
  <c r="DM7" i="4" a="1"/>
  <c r="V7" i="4" a="1"/>
  <c r="ED15" i="4" a="1"/>
  <c r="EK11" i="4" a="1"/>
  <c r="AC7" i="4" a="1"/>
  <c r="AJ6" i="4" a="1"/>
  <c r="CH9" i="4" a="1"/>
  <c r="AH14" i="4" a="1"/>
  <c r="CY8" i="4" a="1"/>
  <c r="AX9" i="4" a="1"/>
  <c r="BR14" i="4" a="1"/>
  <c r="H5" i="4" a="1"/>
  <c r="DJ8" i="4" a="1"/>
  <c r="BN8" i="4" a="1"/>
  <c r="W7" i="4" a="1"/>
  <c r="EC5" i="4" a="1"/>
  <c r="CA16" i="4" a="1"/>
  <c r="CW16" i="4" a="1"/>
  <c r="BL15" i="4" a="1"/>
  <c r="W31" i="2"/>
  <c r="J8" i="2"/>
  <c r="T46" i="3"/>
  <c r="D35" i="3"/>
  <c r="CB7" i="4" a="1"/>
  <c r="BV13" i="4" a="1"/>
  <c r="AB11" i="4" a="1"/>
  <c r="DU8" i="4" a="1"/>
  <c r="DE15" i="4" a="1"/>
  <c r="BO12" i="4" a="1"/>
  <c r="BL8" i="4" a="1"/>
  <c r="X6" i="4" a="1"/>
  <c r="DU5" i="4" a="1"/>
  <c r="CE6" i="4" a="1"/>
  <c r="T12" i="4" a="1"/>
  <c r="AY11" i="4" a="1"/>
  <c r="CJ13" i="4" a="1"/>
  <c r="U12" i="4" a="1"/>
  <c r="BY14" i="4" a="1"/>
  <c r="AA6" i="4" a="1"/>
  <c r="CK5" i="4" a="1"/>
  <c r="E9" i="4" a="1"/>
  <c r="AK15" i="4" a="1"/>
  <c r="DN15" i="4" a="1"/>
  <c r="AQ5" i="4" a="1"/>
  <c r="AO7" i="4" a="1"/>
  <c r="AS8" i="4" a="1"/>
  <c r="BN9" i="4" a="1"/>
  <c r="Y11" i="4" a="1"/>
  <c r="AZ5" i="4" a="1"/>
  <c r="BM5" i="4" a="1"/>
  <c r="C13" i="4" a="1"/>
  <c r="DP6" i="4" a="1"/>
  <c r="AP13" i="4" a="1"/>
  <c r="V9" i="4" a="1"/>
  <c r="EE15" i="4" a="1"/>
  <c r="S12" i="4" a="1"/>
  <c r="DO11" i="4" a="1"/>
  <c r="DJ7" i="4" a="1"/>
  <c r="DI5" i="4" a="1"/>
  <c r="I9" i="4" a="1"/>
  <c r="DB6" i="4" a="1"/>
  <c r="BG6" i="4" a="1"/>
  <c r="U15" i="4" a="1"/>
  <c r="M12" i="4" a="1"/>
  <c r="CC5" i="4" a="1"/>
  <c r="U7" i="4" a="1"/>
  <c r="BH8" i="4" a="1"/>
  <c r="EF9" i="4" a="1"/>
  <c r="AW8" i="4" a="1"/>
  <c r="AX12" i="4" a="1"/>
  <c r="CC9" i="4" a="1"/>
  <c r="AN14" i="4" a="1"/>
  <c r="BI11" i="4" a="1"/>
  <c r="AO15" i="4" a="1"/>
  <c r="DR13" i="4" a="1"/>
  <c r="DI6" i="4" a="1"/>
  <c r="CM5" i="4" a="1"/>
  <c r="G5" i="4" a="1"/>
  <c r="BM7" i="4" a="1"/>
  <c r="DY13" i="4" a="1"/>
  <c r="CO12" i="4" a="1"/>
  <c r="AQ6" i="4" a="1"/>
  <c r="T11" i="4" a="1"/>
  <c r="G16" i="4" a="1"/>
  <c r="EB14" i="4" a="1"/>
  <c r="H13" i="4" a="1"/>
  <c r="CQ16" i="4" a="1"/>
  <c r="AM15" i="4" a="1"/>
  <c r="BK14" i="4" a="1"/>
  <c r="DA6" i="4" a="1"/>
  <c r="CO11" i="4" a="1"/>
  <c r="BA16" i="4" a="1"/>
  <c r="BX15" i="4" a="1"/>
  <c r="CK16" i="4" a="1"/>
  <c r="DN11" i="4" a="1"/>
  <c r="S6" i="4" a="1"/>
  <c r="DD16" i="4" a="1"/>
  <c r="DO7" i="4" a="1"/>
  <c r="AS12" i="4" a="1"/>
  <c r="BN15" i="4" a="1"/>
  <c r="BR8" i="4" a="1"/>
  <c r="AQ14" i="4" a="1"/>
  <c r="CU12" i="4" a="1"/>
  <c r="AE5" i="4" a="1"/>
  <c r="BD8" i="4" a="1"/>
  <c r="AF15" i="4" a="1"/>
  <c r="CE12" i="4" a="1"/>
  <c r="BM11" i="4" a="1"/>
  <c r="N35" i="2"/>
  <c r="U33" i="2"/>
  <c r="E32" i="3"/>
  <c r="E19" i="3"/>
  <c r="BW11" i="4" a="1"/>
  <c r="Q12" i="4" a="1"/>
  <c r="AQ12" i="4" a="1"/>
  <c r="AQ13" i="4" a="1"/>
  <c r="AV16" i="4" a="1"/>
  <c r="CW7" i="4" a="1"/>
  <c r="BE7" i="4" a="1"/>
  <c r="BE6" i="4" a="1"/>
  <c r="CM7" i="4" a="1"/>
  <c r="EG6" i="4" a="1"/>
  <c r="DF16" i="4" a="1"/>
  <c r="BM14" i="4" a="1"/>
  <c r="EI9" i="4" a="1"/>
  <c r="AT8" i="4" a="1"/>
  <c r="DX8" i="4" a="1"/>
  <c r="F15" i="4" a="1"/>
  <c r="CH15" i="4" a="1"/>
  <c r="EG7" i="4" a="1"/>
  <c r="AU5" i="4" a="1"/>
  <c r="L16" i="4" a="1"/>
  <c r="BJ15" i="4" a="1"/>
  <c r="BD12" i="4" a="1"/>
  <c r="BB11" i="4" a="1"/>
  <c r="BC13" i="4" a="1"/>
  <c r="DM16" i="4" a="1"/>
  <c r="DC13" i="4" a="1"/>
  <c r="J12" i="4" a="1"/>
  <c r="AU15" i="4" a="1"/>
  <c r="AQ16" i="4" a="1"/>
  <c r="CS6" i="4" a="1"/>
  <c r="DR14" i="4" a="1"/>
  <c r="BY11" i="4" a="1"/>
  <c r="BX6" i="4" a="1"/>
  <c r="K6" i="4" a="1"/>
  <c r="AN12" i="4" a="1"/>
  <c r="H15" i="4" a="1"/>
  <c r="AV14" i="4" a="1"/>
  <c r="BT8" i="4" a="1"/>
  <c r="CW11" i="4" a="1"/>
  <c r="DL12" i="4" a="1"/>
  <c r="P11" i="4" a="1"/>
  <c r="DD11" i="4" a="1"/>
  <c r="CH5" i="4" a="1"/>
  <c r="DU9" i="4" a="1"/>
  <c r="AT16" i="4" a="1"/>
  <c r="CL5" i="4" a="1"/>
  <c r="CU16" i="4" a="1"/>
  <c r="BN13" i="4" a="1"/>
  <c r="DI9" i="4" a="1"/>
  <c r="EC16" i="4" a="1"/>
  <c r="DQ12" i="4" a="1"/>
  <c r="S14" i="4" a="1"/>
  <c r="AM12" i="4" a="1"/>
  <c r="BH13" i="4" a="1"/>
  <c r="EF16" i="4" a="1"/>
  <c r="DM9" i="4" a="1"/>
  <c r="CY5" i="4" a="1"/>
  <c r="DI11" i="4" a="1"/>
  <c r="CU7" i="4" a="1"/>
  <c r="AO16" i="4" a="1"/>
  <c r="CU15" i="4" a="1"/>
  <c r="Z12" i="4" a="1"/>
  <c r="AO6" i="4" a="1"/>
  <c r="DE13" i="4" a="1"/>
  <c r="BS9" i="4" a="1"/>
  <c r="CS9" i="4" a="1"/>
  <c r="DA15" i="4" a="1"/>
  <c r="EC6" i="4" a="1"/>
  <c r="CJ15" i="4" a="1"/>
  <c r="DT8" i="4" a="1"/>
  <c r="CN6" i="4" a="1"/>
  <c r="CB16" i="4" a="1"/>
  <c r="BQ6" i="4" a="1"/>
  <c r="CW8" i="4" a="1"/>
  <c r="AF6" i="4" a="1"/>
  <c r="AV13" i="4" a="1"/>
  <c r="D5" i="4" a="1"/>
  <c r="BC16" i="4" a="1"/>
  <c r="BC14" i="4" a="1"/>
  <c r="DX9" i="4" a="1"/>
  <c r="BB5" i="4" a="1"/>
  <c r="CM11" i="4" a="1"/>
  <c r="CG5" i="4" a="1"/>
  <c r="AR7" i="4" a="1"/>
  <c r="AI6" i="4" a="1"/>
  <c r="BJ13" i="4" a="1"/>
  <c r="N19" i="2"/>
  <c r="I6" i="2"/>
  <c r="E21" i="3"/>
  <c r="F35" i="3"/>
  <c r="BU12" i="4" a="1"/>
  <c r="DF5" i="4" a="1"/>
  <c r="Q14" i="4" a="1"/>
  <c r="V14" i="4" a="1"/>
  <c r="DE12" i="4" a="1"/>
  <c r="W13" i="4" a="1"/>
  <c r="BD5" i="4" a="1"/>
  <c r="EI6" i="4" a="1"/>
  <c r="AU13" i="4" a="1"/>
  <c r="BK11" i="4" a="1"/>
  <c r="DQ5" i="4" a="1"/>
  <c r="BH7" i="4" a="1"/>
  <c r="DY14" i="4" a="1"/>
  <c r="AT6" i="4" a="1"/>
  <c r="AJ9" i="4" a="1"/>
  <c r="Q13" i="4" a="1"/>
  <c r="I7" i="4" a="1"/>
  <c r="EA16" i="4" a="1"/>
  <c r="DB7" i="4" a="1"/>
  <c r="BQ15" i="4" a="1"/>
  <c r="CE13" i="4" a="1"/>
  <c r="EC8" i="4" a="1"/>
  <c r="BG15" i="4" a="1"/>
  <c r="DQ7" i="4" a="1"/>
  <c r="T9" i="4" a="1"/>
  <c r="AJ7" i="4" a="1"/>
  <c r="CQ5" i="4" a="1"/>
  <c r="AX14" i="4" a="1"/>
  <c r="AQ7" i="4" a="1"/>
  <c r="EC14" i="4" a="1"/>
  <c r="W15" i="4" a="1"/>
  <c r="BK9" i="4" a="1"/>
  <c r="CO5" i="4" a="1"/>
  <c r="CP7" i="4" a="1"/>
  <c r="D16" i="4" a="1"/>
  <c r="CQ7" i="4" a="1"/>
  <c r="EA14" i="4" a="1"/>
  <c r="DR8" i="4" a="1"/>
  <c r="DA9" i="4" a="1"/>
  <c r="N6" i="4" a="1"/>
  <c r="M11" i="4" a="1"/>
  <c r="S9" i="4" a="1"/>
  <c r="J15" i="4" a="1"/>
  <c r="CD13" i="4" a="1"/>
  <c r="R9" i="4" a="1"/>
  <c r="BG16" i="4" a="1"/>
  <c r="DM14" i="4" a="1"/>
  <c r="DY6" i="4" a="1"/>
  <c r="CR7" i="4" a="1"/>
  <c r="AV6" i="4" a="1"/>
  <c r="DU13" i="4" a="1"/>
  <c r="CS11" i="4" a="1"/>
  <c r="CX9" i="4" a="1"/>
  <c r="CC12" i="4" a="1"/>
  <c r="BU11" i="4" a="1"/>
  <c r="BW8" i="4" a="1"/>
  <c r="AF5" i="4" a="1"/>
  <c r="DY12" i="4" a="1"/>
  <c r="DU15" i="4" a="1"/>
  <c r="BA13" i="4" a="1"/>
  <c r="BQ12" i="4" a="1"/>
  <c r="DB11" i="4" a="1"/>
  <c r="AB8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DO15" i="4" a="1"/>
  <c r="AP5" i="4" a="1"/>
  <c r="EA11" i="4" a="1"/>
  <c r="CB8" i="4" a="1"/>
  <c r="M8" i="4" a="1"/>
  <c r="CH11" i="4" a="1"/>
  <c r="V10" i="2"/>
  <c r="M31" i="2"/>
  <c r="G45" i="3"/>
  <c r="G25" i="3"/>
  <c r="AH13" i="4" a="1"/>
  <c r="CQ14" i="4" a="1"/>
  <c r="BM15" i="4" a="1"/>
  <c r="DL6" i="4" a="1"/>
  <c r="DG11" i="4" a="1"/>
  <c r="AD5" i="4" a="1"/>
  <c r="EC11" i="4" a="1"/>
  <c r="DK13" i="4" a="1"/>
  <c r="DS6" i="4" a="1"/>
  <c r="CA12" i="4" a="1"/>
  <c r="CP12" i="4" a="1"/>
  <c r="U5" i="4" a="1"/>
  <c r="BI9" i="4" a="1"/>
  <c r="AD16" i="4" a="1"/>
  <c r="AR13" i="4" a="1"/>
  <c r="AA16" i="4" a="1"/>
  <c r="BV11" i="4" a="1"/>
  <c r="AL13" i="4" a="1"/>
  <c r="CS5" i="4" a="1"/>
  <c r="CM15" i="4" a="1"/>
  <c r="EB16" i="4" a="1"/>
  <c r="EA9" i="4" a="1"/>
  <c r="F13" i="4" a="1"/>
  <c r="L11" i="4" a="1"/>
  <c r="AB6" i="4" a="1"/>
  <c r="CP15" i="4" a="1"/>
  <c r="CV13" i="4" a="1"/>
  <c r="K12" i="4" a="1"/>
  <c r="BJ14" i="4" a="1"/>
  <c r="CO15" i="4" a="1"/>
  <c r="AF13" i="4" a="1"/>
  <c r="DS8" i="4" a="1"/>
  <c r="DT13" i="4" a="1"/>
  <c r="DW13" i="4" a="1"/>
  <c r="AB14" i="4" a="1"/>
  <c r="O9" i="4" a="1"/>
  <c r="EF6" i="4" a="1"/>
  <c r="AD6" i="4" a="1"/>
  <c r="BA14" i="4" a="1"/>
  <c r="CS13" i="4" a="1"/>
  <c r="DX16" i="4" a="1"/>
  <c r="CH16" i="4" a="1"/>
  <c r="AD15" i="4" a="1"/>
  <c r="AY8" i="4" a="1"/>
  <c r="AG8" i="4" a="1"/>
  <c r="BB7" i="4" a="1"/>
  <c r="CL7" i="4" a="1"/>
  <c r="AN5" i="4" a="1"/>
  <c r="DE6" i="4" a="1"/>
  <c r="BN5" i="4" a="1"/>
  <c r="CZ7" i="4" a="1"/>
  <c r="CY11" i="4" a="1"/>
  <c r="ED13" i="4" a="1"/>
  <c r="BL5" i="4" a="1"/>
  <c r="G15" i="4" a="1"/>
  <c r="AJ11" i="4" a="1"/>
  <c r="DZ5" i="4" a="1"/>
  <c r="AJ15" i="4" a="1"/>
  <c r="EG8" i="4" a="1"/>
  <c r="AX7" i="4" a="1"/>
  <c r="AU6" i="4" a="1"/>
  <c r="AU8" i="4" a="1"/>
  <c r="AA15" i="4" a="1"/>
  <c r="E10" i="2"/>
  <c r="AR79" i="3"/>
  <c r="F6" i="3"/>
  <c r="AL12" i="4" a="1"/>
  <c r="CR8" i="4" a="1"/>
  <c r="EG14" i="4" a="1"/>
  <c r="R14" i="4" a="1"/>
  <c r="I11" i="4" a="1"/>
  <c r="O7" i="4" a="1"/>
  <c r="DL13" i="4" a="1"/>
  <c r="DZ12" i="4" a="1"/>
  <c r="AP15" i="4" a="1"/>
  <c r="DJ14" i="4" a="1"/>
  <c r="EJ16" i="4" a="1"/>
  <c r="EJ12" i="4" a="1"/>
  <c r="CS7" i="4" a="1"/>
  <c r="DP7" i="4" a="1"/>
  <c r="CL12" i="4" a="1"/>
  <c r="BJ6" i="4" a="1"/>
  <c r="BV9" i="4" a="1"/>
  <c r="BW12" i="4" a="1"/>
  <c r="BS13" i="4" a="1"/>
  <c r="Y12" i="4" a="1"/>
  <c r="DT11" i="4" a="1"/>
  <c r="D12" i="4" a="1"/>
  <c r="DX5" i="4" a="1"/>
  <c r="CL6" i="4" a="1"/>
  <c r="G7" i="4" a="1"/>
  <c r="DX12" i="4" a="1"/>
  <c r="EH8" i="4" a="1"/>
  <c r="R5" i="4" a="1"/>
  <c r="EK12" i="4" a="1"/>
  <c r="DD6" i="4" a="1"/>
  <c r="AL7" i="4" a="1"/>
  <c r="AP14" i="4" a="1"/>
  <c r="DY5" i="4" a="1"/>
  <c r="DC8" i="4" a="1"/>
  <c r="AS11" i="4" a="1"/>
  <c r="DN8" i="4" a="1"/>
  <c r="AH7" i="4" a="1"/>
  <c r="CY13" i="4" a="1"/>
  <c r="EE13" i="4" a="1"/>
  <c r="CZ5" i="4" a="1"/>
  <c r="BD16" i="4" a="1"/>
  <c r="BH9" i="4" a="1"/>
  <c r="CE8" i="4" a="1"/>
  <c r="DC5" i="4" a="1"/>
  <c r="DH5" i="4" a="1"/>
  <c r="BC7" i="4" a="1"/>
  <c r="AE14" i="4" a="1"/>
  <c r="CZ13" i="4" a="1"/>
  <c r="L15" i="4" a="1"/>
  <c r="BY6" i="4" a="1"/>
  <c r="L12" i="4" a="1"/>
  <c r="K13" i="4" a="1"/>
  <c r="BO6" i="4" a="1"/>
  <c r="AI12" i="4" a="1"/>
  <c r="AV11" i="4" a="1"/>
  <c r="U8" i="4" a="1"/>
  <c r="H14" i="4" a="1"/>
  <c r="O12" i="4" a="1"/>
  <c r="AF12" i="4" a="1"/>
  <c r="DY9" i="4" a="1"/>
  <c r="G25" i="2"/>
  <c r="K14" i="2"/>
  <c r="AR38" i="3"/>
  <c r="AX8" i="4" a="1"/>
  <c r="DT12" i="4" a="1"/>
  <c r="DH15" i="4" a="1"/>
  <c r="X7" i="4" a="1"/>
  <c r="D13" i="4" a="1"/>
  <c r="M14" i="4" a="1"/>
  <c r="AL5" i="4" a="1"/>
  <c r="CM13" i="4" a="1"/>
  <c r="G12" i="4" a="1"/>
  <c r="AY6" i="4" a="1"/>
  <c r="CT12" i="4" a="1"/>
  <c r="CP8" i="4" a="1"/>
  <c r="DL5" i="4" a="1"/>
  <c r="AZ6" i="4" a="1"/>
  <c r="DS5" i="4" a="1"/>
  <c r="BH16" i="4" a="1"/>
  <c r="T6" i="4" a="1"/>
  <c r="EA7" i="4" a="1"/>
  <c r="D11" i="4" a="1"/>
  <c r="AO9" i="4" a="1"/>
  <c r="CD15" i="4" a="1"/>
  <c r="BO15" i="4" a="1"/>
  <c r="R8" i="4" a="1"/>
  <c r="AJ8" i="4" a="1"/>
  <c r="EK14" i="4" a="1"/>
  <c r="BE13" i="4" a="1"/>
  <c r="CZ11" i="4" a="1"/>
  <c r="Z13" i="4" a="1"/>
  <c r="DU14" i="4" a="1"/>
  <c r="AV5" i="4" a="1"/>
  <c r="AY13" i="4" a="1"/>
  <c r="AU9" i="4" a="1"/>
  <c r="BP6" i="4" a="1"/>
  <c r="Y13" i="4" a="1"/>
  <c r="BK16" i="4" a="1"/>
  <c r="CZ6" i="4" a="1"/>
  <c r="CM14" i="4" a="1"/>
  <c r="CK7" i="4" a="1"/>
  <c r="CA13" i="4" a="1"/>
  <c r="AU14" i="4" a="1"/>
  <c r="EH12" i="4" a="1"/>
  <c r="DW9" i="4" a="1"/>
  <c r="BI8" i="4" a="1"/>
  <c r="DJ5" i="4" a="1"/>
  <c r="BH11" i="4" a="1"/>
  <c r="DS15" i="4" a="1"/>
  <c r="DH11" i="4" a="1"/>
  <c r="CV7" i="4" a="1"/>
  <c r="BF8" i="4" a="1"/>
  <c r="CL15" i="4" a="1"/>
  <c r="X11" i="4" a="1"/>
  <c r="EH14" i="4" a="1"/>
  <c r="I12" i="4" a="1"/>
  <c r="BY9" i="4" a="1"/>
  <c r="CP16" i="4" a="1"/>
  <c r="BU16" i="4" a="1"/>
  <c r="BY12" i="4" a="1"/>
  <c r="EI7" i="4" a="1"/>
  <c r="EJ11" i="4" a="1"/>
  <c r="CG15" i="4" a="1"/>
  <c r="CY14" i="4" a="1"/>
  <c r="U13" i="4" a="1"/>
  <c r="AQ8" i="4" a="1"/>
  <c r="DS11" i="4" a="1"/>
  <c r="J11" i="4" a="1"/>
  <c r="T14" i="4" a="1"/>
  <c r="DM8" i="4" a="1"/>
  <c r="DO13" i="4" a="1"/>
  <c r="J6" i="4" a="1"/>
  <c r="DW16" i="4" a="1"/>
  <c r="O15" i="4" a="1"/>
  <c r="CW6" i="4" a="1"/>
  <c r="EB9" i="4" a="1"/>
  <c r="DD14" i="4" a="1"/>
  <c r="DK11" i="4" a="1"/>
  <c r="CX12" i="4" a="1"/>
  <c r="BZ16" i="4" a="1"/>
  <c r="BT11" i="4" a="1"/>
  <c r="CJ16" i="4" a="1"/>
  <c r="DE7" i="4" a="1"/>
  <c r="CO7" i="4" a="1"/>
  <c r="CW15" i="4" a="1"/>
  <c r="DW8" i="4" a="1"/>
  <c r="Q6" i="4" a="1"/>
  <c r="DJ15" i="4" a="1"/>
  <c r="DS14" i="4" a="1"/>
  <c r="BR7" i="4" a="1"/>
  <c r="BY16" i="4" a="1"/>
  <c r="CE9" i="4" a="1"/>
  <c r="EB7" i="4" a="1"/>
  <c r="EE7" i="4" a="1"/>
  <c r="R15" i="4" a="1"/>
  <c r="CU5" i="4" a="1"/>
  <c r="N5" i="4" a="1"/>
  <c r="CP6" i="4" a="1"/>
  <c r="BK5" i="4" a="1"/>
  <c r="CA7" i="4" a="1"/>
  <c r="BW5" i="4" a="1"/>
  <c r="AH11" i="4" a="1"/>
  <c r="DS9" i="4" a="1"/>
  <c r="AT12" i="4" a="1"/>
  <c r="E95" i="3"/>
  <c r="D94" i="3"/>
  <c r="AD89" i="3"/>
  <c r="AD97" i="3"/>
  <c r="D56" i="3"/>
  <c r="E70" i="3"/>
  <c r="E90" i="3"/>
  <c r="D69" i="3"/>
  <c r="F85" i="3"/>
  <c r="F57" i="3"/>
  <c r="F90" i="3"/>
  <c r="AD84" i="3"/>
  <c r="AD60" i="3"/>
  <c r="AD70" i="3"/>
  <c r="E58" i="3"/>
  <c r="E85" i="3"/>
  <c r="D93" i="3"/>
  <c r="AD72" i="3"/>
  <c r="F89" i="3"/>
  <c r="E74" i="3"/>
  <c r="D88" i="3"/>
  <c r="D79" i="3"/>
  <c r="E78" i="3"/>
  <c r="D96" i="3"/>
  <c r="E75" i="3"/>
  <c r="AD71" i="3"/>
  <c r="D97" i="3"/>
  <c r="E91" i="3"/>
  <c r="G72" i="3"/>
  <c r="F77" i="3"/>
  <c r="AD65" i="3"/>
  <c r="E67" i="3"/>
  <c r="D63" i="3"/>
  <c r="AD61" i="3"/>
  <c r="E56" i="3"/>
  <c r="D91" i="3"/>
  <c r="AD93" i="3"/>
  <c r="E65" i="3"/>
  <c r="D85" i="3"/>
  <c r="D73" i="3"/>
  <c r="AD86" i="3"/>
  <c r="E55" i="3"/>
  <c r="D84" i="3"/>
  <c r="AD87" i="3"/>
  <c r="E96" i="3"/>
  <c r="G87" i="3"/>
  <c r="D78" i="3"/>
  <c r="G74" i="3"/>
  <c r="E77" i="3"/>
  <c r="D55" i="3"/>
  <c r="AD80" i="3"/>
  <c r="D62" i="3"/>
  <c r="F82" i="3"/>
  <c r="AD54" i="3"/>
  <c r="E73" i="3"/>
  <c r="E80" i="3"/>
  <c r="D77" i="3"/>
  <c r="AD57" i="3"/>
  <c r="G80" i="3"/>
  <c r="E61" i="3"/>
  <c r="D58" i="3"/>
  <c r="AD77" i="3"/>
  <c r="AD90" i="3"/>
  <c r="D87" i="3"/>
  <c r="G78" i="3"/>
  <c r="AD76" i="3"/>
  <c r="D83" i="3"/>
  <c r="E57" i="3"/>
  <c r="D57" i="3"/>
  <c r="F93" i="3"/>
  <c r="E87" i="3"/>
  <c r="D90" i="3"/>
  <c r="G71" i="3"/>
  <c r="E81" i="3"/>
  <c r="D74" i="3"/>
  <c r="F81" i="3"/>
  <c r="G91" i="3"/>
  <c r="E92" i="3"/>
  <c r="AD82" i="3"/>
  <c r="G70" i="3"/>
  <c r="D71" i="3"/>
  <c r="D65" i="3"/>
  <c r="G60" i="3"/>
  <c r="E63" i="3"/>
  <c r="AD75" i="3"/>
  <c r="E71" i="3"/>
  <c r="D67" i="3"/>
  <c r="F88" i="3"/>
  <c r="D81" i="3"/>
  <c r="G57" i="3"/>
  <c r="E59" i="3"/>
  <c r="AD68" i="3"/>
  <c r="AD62" i="3"/>
  <c r="AD59" i="3"/>
  <c r="AD64" i="3"/>
  <c r="G97" i="3"/>
  <c r="E88" i="3"/>
  <c r="AD96" i="3"/>
  <c r="G61" i="3"/>
  <c r="D72" i="3"/>
  <c r="AD73" i="3"/>
  <c r="F69" i="3"/>
  <c r="G56" i="3"/>
  <c r="D54" i="3"/>
  <c r="AD69" i="3"/>
  <c r="F84" i="3"/>
  <c r="G75" i="3"/>
  <c r="E68" i="3"/>
  <c r="F47" i="3"/>
  <c r="E94" i="3"/>
  <c r="AD85" i="3"/>
  <c r="F68" i="3"/>
  <c r="G62" i="3"/>
  <c r="AD88" i="3"/>
  <c r="F92" i="3"/>
  <c r="D89" i="3"/>
  <c r="G89" i="3"/>
  <c r="D68" i="3"/>
  <c r="AD67" i="3"/>
  <c r="F62" i="3"/>
  <c r="G79" i="3"/>
  <c r="F56" i="3"/>
  <c r="AD78" i="3"/>
  <c r="F71" i="3"/>
  <c r="G90" i="3"/>
  <c r="D61" i="3"/>
  <c r="F70" i="3"/>
  <c r="E60" i="3"/>
  <c r="F75" i="3"/>
  <c r="AD83" i="3"/>
  <c r="F78" i="3"/>
  <c r="G92" i="3"/>
  <c r="D80" i="3"/>
  <c r="AD66" i="3"/>
  <c r="F91" i="3"/>
  <c r="F65" i="3"/>
  <c r="D76" i="3"/>
  <c r="E84" i="3"/>
  <c r="D66" i="3"/>
  <c r="E82" i="3"/>
  <c r="E62" i="3"/>
  <c r="AD55" i="3"/>
  <c r="G88" i="3"/>
  <c r="E76" i="3"/>
  <c r="F86" i="3"/>
  <c r="D75" i="3"/>
  <c r="AD56" i="3"/>
  <c r="E89" i="3"/>
  <c r="AD63" i="3"/>
  <c r="F61" i="3"/>
  <c r="AD58" i="3"/>
  <c r="E93" i="3"/>
  <c r="D86" i="3"/>
  <c r="AD74" i="3"/>
  <c r="G68" i="3"/>
  <c r="AD79" i="3"/>
  <c r="G63" i="3"/>
  <c r="F94" i="3"/>
  <c r="F58" i="3"/>
  <c r="E83" i="3"/>
  <c r="G82" i="3"/>
  <c r="AD81" i="3"/>
  <c r="AD95" i="3"/>
  <c r="E66" i="3"/>
  <c r="D60" i="3"/>
  <c r="E69" i="3"/>
  <c r="E79" i="3"/>
  <c r="D82" i="3"/>
  <c r="F60" i="3"/>
  <c r="G96" i="3"/>
  <c r="G77" i="3"/>
  <c r="AD91" i="3"/>
  <c r="G73" i="3"/>
  <c r="E86" i="3"/>
  <c r="F50" i="3"/>
  <c r="D64" i="3"/>
  <c r="D92" i="3"/>
  <c r="E72" i="3"/>
  <c r="D70" i="3"/>
  <c r="AD92" i="3"/>
  <c r="D59" i="3"/>
  <c r="E54" i="3"/>
  <c r="F87" i="3"/>
  <c r="AD94" i="3"/>
  <c r="F95" i="3"/>
  <c r="D95" i="3"/>
  <c r="E97" i="3"/>
  <c r="E64" i="3"/>
  <c r="G84" i="3"/>
  <c r="G64" i="3" l="1"/>
  <c r="G54" i="3"/>
  <c r="F66" i="3"/>
  <c r="G55" i="3"/>
  <c r="F64" i="3"/>
  <c r="F73" i="3"/>
  <c r="G81" i="3"/>
  <c r="G65" i="3"/>
  <c r="G83" i="3"/>
  <c r="F74" i="3"/>
  <c r="G67" i="3"/>
  <c r="F79" i="3"/>
  <c r="F63" i="3"/>
  <c r="G58" i="3"/>
  <c r="F59" i="3"/>
  <c r="F80" i="3"/>
  <c r="F54" i="3"/>
  <c r="F72" i="3"/>
  <c r="G66" i="3"/>
  <c r="F97" i="3"/>
  <c r="G93" i="3"/>
  <c r="G76" i="3"/>
  <c r="F67" i="3"/>
  <c r="G95" i="3"/>
  <c r="G86" i="3"/>
  <c r="G69" i="3"/>
  <c r="G59" i="3"/>
  <c r="F76" i="3"/>
  <c r="F48" i="3"/>
  <c r="F96" i="3"/>
  <c r="F83" i="3"/>
  <c r="F49" i="3"/>
  <c r="F55" i="3"/>
  <c r="G85" i="3"/>
  <c r="G94" i="3"/>
  <c r="JC9" i="4" s="1"/>
  <c r="IN16" i="4" s="1"/>
  <c r="JF9" i="4" s="1"/>
  <c r="II16" i="4" s="1"/>
  <c r="IH16" i="4" s="1"/>
  <c r="J32" i="1"/>
  <c r="F48" i="1"/>
  <c r="JE9" i="4" s="1"/>
  <c r="IH9" i="4" s="1"/>
  <c r="AL20" i="1"/>
  <c r="BX155" i="1"/>
  <c r="BY155" i="1" s="1"/>
  <c r="HS9" i="4" s="1"/>
  <c r="JF16" i="4" s="1"/>
  <c r="HW16" i="4" s="1"/>
  <c r="HX16" i="4" s="1"/>
  <c r="AM48" i="1"/>
  <c r="IQ9" i="4" s="1"/>
  <c r="IV9" i="4" s="1"/>
  <c r="HT9" i="4" s="1"/>
  <c r="IW9" i="4" s="1"/>
  <c r="II9" i="4" s="1"/>
  <c r="HZ9" i="4" s="1"/>
  <c r="AL58" i="1"/>
  <c r="AK34" i="1"/>
  <c r="H20" i="1"/>
  <c r="H243" i="1" s="1"/>
  <c r="M34" i="1"/>
  <c r="JA9" i="4" s="1"/>
  <c r="IU16" i="4" s="1"/>
  <c r="JA16" i="4" s="1"/>
  <c r="HR16" i="4" s="1"/>
  <c r="ID16" i="4" s="1"/>
  <c r="T58" i="1"/>
  <c r="M63" i="1"/>
  <c r="IX16" i="4" s="1"/>
  <c r="IO9" i="4" s="1"/>
  <c r="HQ9" i="4" s="1"/>
  <c r="IJ9" i="4" s="1"/>
  <c r="AJ58" i="1"/>
  <c r="IA9" i="4" s="1"/>
  <c r="IM9" i="4" s="1"/>
  <c r="HW14" i="4" s="1"/>
  <c r="IY9" i="4" s="1"/>
  <c r="IT9" i="4" s="1"/>
  <c r="IR9" i="4" s="1"/>
  <c r="IB16" i="4" s="1"/>
  <c r="AM51" i="1"/>
  <c r="AL21" i="1"/>
  <c r="BX134" i="1"/>
  <c r="BY134" i="1" s="1"/>
  <c r="BX44" i="1"/>
  <c r="BX206" i="1" s="1"/>
  <c r="BX145" i="1"/>
  <c r="HS16" i="4" s="1"/>
  <c r="JI9" i="4" s="1"/>
  <c r="IV16" i="4" s="1"/>
  <c r="IS16" i="4" s="1"/>
  <c r="IE16" i="4" s="1"/>
  <c r="IZ9" i="4" s="1"/>
  <c r="IU9" i="4" s="1"/>
  <c r="HR9" i="4" s="1"/>
  <c r="BX35" i="1"/>
  <c r="N47" i="1"/>
  <c r="Q58" i="1"/>
  <c r="IZ16" i="4" s="1"/>
  <c r="IZ21" i="4" s="1"/>
  <c r="BT89" i="1" s="1"/>
  <c r="IF16" i="4" s="1"/>
  <c r="IX9" i="4" s="1"/>
  <c r="F36" i="1"/>
  <c r="P48" i="1"/>
  <c r="J57" i="1"/>
  <c r="JG9" i="4" s="1"/>
  <c r="IZ7" i="4" s="1"/>
  <c r="IA16" i="4" s="1"/>
  <c r="IA21" i="4" s="1"/>
  <c r="AU89" i="1" s="1"/>
  <c r="HV16" i="4" s="1"/>
  <c r="JH9" i="4" s="1"/>
  <c r="IT16" i="4" s="1"/>
  <c r="IT21" i="4" s="1"/>
  <c r="BN89" i="1" s="1"/>
  <c r="IL16" i="4" s="1"/>
  <c r="IY16" i="4" s="1"/>
  <c r="J35" i="1"/>
  <c r="O57" i="1"/>
  <c r="M25" i="1"/>
  <c r="JG16" i="4" s="1"/>
  <c r="IL9" i="4" s="1"/>
  <c r="IW16" i="4" s="1"/>
  <c r="IC16" i="4" s="1"/>
  <c r="IG9" i="4" s="1"/>
  <c r="JB8" i="4" s="1"/>
  <c r="HP9" i="4" s="1"/>
  <c r="IQ16" i="4" s="1"/>
  <c r="JB16" i="4" s="1"/>
  <c r="H36" i="1"/>
  <c r="P20" i="1"/>
  <c r="AL44" i="1"/>
  <c r="AL206" i="1" s="1"/>
  <c r="BX47" i="1"/>
  <c r="AL36" i="1"/>
  <c r="AK58" i="1"/>
  <c r="AJ36" i="1"/>
  <c r="AK21" i="1"/>
  <c r="AK48" i="1"/>
  <c r="S25" i="1"/>
  <c r="B32" i="1"/>
  <c r="G25" i="1"/>
  <c r="R35" i="1"/>
  <c r="T25" i="1"/>
  <c r="J58" i="1"/>
  <c r="F33" i="1"/>
  <c r="IS9" i="4" s="1"/>
  <c r="IM8" i="4" s="1"/>
  <c r="IJ16" i="4" s="1"/>
  <c r="IV7" i="4" s="1"/>
  <c r="BJ27" i="1"/>
  <c r="AK57" i="1"/>
  <c r="AL27" i="1"/>
  <c r="N32" i="1"/>
  <c r="G63" i="1"/>
  <c r="U34" i="1"/>
  <c r="Q25" i="1"/>
  <c r="O63" i="1"/>
  <c r="F44" i="1"/>
  <c r="C21" i="1"/>
  <c r="N33" i="1"/>
  <c r="F47" i="1"/>
  <c r="IM16" i="4" s="1"/>
  <c r="HV9" i="4" s="1"/>
  <c r="IK9" i="4" s="1"/>
  <c r="HY9" i="4" s="1"/>
  <c r="IP16" i="4" s="1"/>
  <c r="BX32" i="1"/>
  <c r="BX11" i="1" s="1"/>
  <c r="AJ21" i="1"/>
  <c r="AJ20" i="1"/>
  <c r="AJ243" i="1" s="1"/>
  <c r="BJ36" i="1"/>
  <c r="U35" i="1"/>
  <c r="C32" i="1"/>
  <c r="E57" i="1"/>
  <c r="I25" i="1"/>
  <c r="U25" i="1"/>
  <c r="D47" i="1"/>
  <c r="E34" i="1"/>
  <c r="I21" i="1"/>
  <c r="V27" i="1"/>
  <c r="T48" i="1"/>
  <c r="P139" i="1"/>
  <c r="C34" i="1"/>
  <c r="IO16" i="4" s="1"/>
  <c r="IH14" i="4" s="1"/>
  <c r="IT14" i="4" s="1"/>
  <c r="IN9" i="4" s="1"/>
  <c r="IU14" i="4" s="1"/>
  <c r="AJ44" i="1"/>
  <c r="AJ206" i="1" s="1"/>
  <c r="AM26" i="1"/>
  <c r="AM36" i="1"/>
  <c r="AK63" i="1"/>
  <c r="AL63" i="1"/>
  <c r="BX157" i="1"/>
  <c r="M57" i="1"/>
  <c r="BX131" i="1"/>
  <c r="BY131" i="1" s="1"/>
  <c r="M36" i="1"/>
  <c r="H48" i="1"/>
  <c r="U37" i="1"/>
  <c r="I34" i="1"/>
  <c r="O21" i="1"/>
  <c r="AK51" i="1"/>
  <c r="BJ26" i="1"/>
  <c r="AM20" i="1"/>
  <c r="AK59" i="1"/>
  <c r="W59" i="1"/>
  <c r="BX176" i="1"/>
  <c r="BY176" i="1" s="1"/>
  <c r="K20" i="1"/>
  <c r="K243" i="1" s="1"/>
  <c r="C58" i="1"/>
  <c r="T36" i="1"/>
  <c r="H34" i="1"/>
  <c r="S27" i="1"/>
  <c r="HW9" i="4" s="1"/>
  <c r="IR16" i="4" s="1"/>
  <c r="HP15" i="4" s="1"/>
  <c r="IE9" i="4" s="1"/>
  <c r="JC8" i="4" s="1"/>
  <c r="HU16" i="4" s="1"/>
  <c r="IB9" i="4" s="1"/>
  <c r="IP9" i="4" s="1"/>
  <c r="AL59" i="1"/>
  <c r="AK26" i="1"/>
  <c r="AJ51" i="1"/>
  <c r="K44" i="1"/>
  <c r="K206" i="1" s="1"/>
  <c r="Q33" i="1"/>
  <c r="L57" i="1"/>
  <c r="F57" i="1"/>
  <c r="Q59" i="1"/>
  <c r="K33" i="1"/>
  <c r="IK16" i="4" s="1"/>
  <c r="JI16" i="4" s="1"/>
  <c r="IC9" i="4" s="1"/>
  <c r="AM21" i="1"/>
  <c r="BX37" i="1"/>
  <c r="AM37" i="1"/>
  <c r="J44" i="1"/>
  <c r="J206" i="1" s="1"/>
  <c r="Q34" i="1"/>
  <c r="Q44" i="1"/>
  <c r="Q206" i="1" s="1"/>
  <c r="F25" i="1"/>
  <c r="W144" i="1"/>
  <c r="J33" i="1"/>
  <c r="C57" i="1"/>
  <c r="W34" i="1"/>
  <c r="JC16" i="4" s="1"/>
  <c r="HZ16" i="4" s="1"/>
  <c r="HQ16" i="4" s="1"/>
  <c r="BX51" i="1"/>
  <c r="AJ25" i="1"/>
  <c r="AM33" i="1"/>
  <c r="T57" i="1"/>
  <c r="W63" i="1"/>
  <c r="BX149" i="1"/>
  <c r="BY149" i="1" s="1"/>
  <c r="BL86" i="1"/>
  <c r="R37" i="1"/>
  <c r="G35" i="1"/>
  <c r="S34" i="1"/>
  <c r="Q47" i="1"/>
  <c r="N27" i="1"/>
  <c r="N35" i="1"/>
  <c r="E171" i="1"/>
  <c r="JD9" i="4" s="1"/>
  <c r="IG16" i="4" s="1"/>
  <c r="IF9" i="4" s="1"/>
  <c r="HY16" i="4" s="1"/>
  <c r="HU9" i="4" s="1"/>
  <c r="BJ32" i="1"/>
  <c r="BJ11" i="1" s="1"/>
  <c r="AK32" i="1"/>
  <c r="AM25" i="1"/>
  <c r="B51" i="1"/>
  <c r="O48" i="1"/>
  <c r="G44" i="1"/>
  <c r="G206" i="1" s="1"/>
  <c r="M32" i="1"/>
  <c r="O47" i="1"/>
  <c r="E20" i="1"/>
  <c r="E243" i="1" s="1"/>
  <c r="S63" i="1"/>
  <c r="AL34" i="1"/>
  <c r="AK47" i="1"/>
  <c r="BX26" i="1"/>
  <c r="H25" i="1"/>
  <c r="L51" i="1"/>
  <c r="BX144" i="1"/>
  <c r="I57" i="1"/>
  <c r="K37" i="1"/>
  <c r="H32" i="1"/>
  <c r="L32" i="1"/>
  <c r="BJ37" i="1"/>
  <c r="AJ59" i="1"/>
  <c r="AM27" i="1"/>
  <c r="D134" i="1"/>
  <c r="BX166" i="1"/>
  <c r="BY166" i="1" s="1"/>
  <c r="Q21" i="1"/>
  <c r="B47" i="1"/>
  <c r="I47" i="1"/>
  <c r="C25" i="1"/>
  <c r="BX85" i="1"/>
  <c r="I33" i="1"/>
  <c r="S20" i="1"/>
  <c r="S243" i="1" s="1"/>
  <c r="B37" i="1"/>
  <c r="V35" i="1"/>
  <c r="M20" i="1"/>
  <c r="M243" i="1" s="1"/>
  <c r="S32" i="1"/>
  <c r="S11" i="1" s="1"/>
  <c r="M21" i="1"/>
  <c r="W44" i="1"/>
  <c r="N25" i="1"/>
  <c r="O20" i="1"/>
  <c r="O243" i="1" s="1"/>
  <c r="G20" i="1"/>
  <c r="G243" i="1" s="1"/>
  <c r="K57" i="1"/>
  <c r="I48" i="1"/>
  <c r="S51" i="1"/>
  <c r="I35" i="1"/>
  <c r="E63" i="1"/>
  <c r="J47" i="1"/>
  <c r="F58" i="1"/>
  <c r="P51" i="1"/>
  <c r="K27" i="1"/>
  <c r="R48" i="1"/>
  <c r="L37" i="1"/>
  <c r="T27" i="1"/>
  <c r="JD16" i="4" s="1"/>
  <c r="BX58" i="1"/>
  <c r="BX25" i="1"/>
  <c r="AM47" i="1"/>
  <c r="AM34" i="1"/>
  <c r="BX36" i="1"/>
  <c r="AM35" i="1"/>
  <c r="AL26" i="1"/>
  <c r="AL48" i="1"/>
  <c r="BJ25" i="1"/>
  <c r="BX57" i="1"/>
  <c r="M35" i="1"/>
  <c r="W27" i="1"/>
  <c r="C48" i="1"/>
  <c r="P165" i="1"/>
  <c r="G58" i="1"/>
  <c r="V34" i="1"/>
  <c r="BX171" i="1"/>
  <c r="P167" i="1"/>
  <c r="J37" i="1"/>
  <c r="D21" i="1"/>
  <c r="BY85" i="1"/>
  <c r="D33" i="1"/>
  <c r="L25" i="1"/>
  <c r="L21" i="1"/>
  <c r="O36" i="1"/>
  <c r="F32" i="1"/>
  <c r="G47" i="1"/>
  <c r="S59" i="1"/>
  <c r="V51" i="1"/>
  <c r="M58" i="1"/>
  <c r="Q36" i="1"/>
  <c r="N48" i="1"/>
  <c r="S35" i="1"/>
  <c r="M44" i="1"/>
  <c r="M206" i="1" s="1"/>
  <c r="N34" i="1"/>
  <c r="V33" i="1"/>
  <c r="U63" i="1"/>
  <c r="N20" i="1"/>
  <c r="N243" i="1" s="1"/>
  <c r="N21" i="1"/>
  <c r="N22" i="1" s="1"/>
  <c r="J25" i="1"/>
  <c r="P37" i="1"/>
  <c r="T34" i="1"/>
  <c r="E36" i="1"/>
  <c r="D27" i="1"/>
  <c r="W51" i="1"/>
  <c r="E59" i="1"/>
  <c r="L36" i="1"/>
  <c r="Q32" i="1"/>
  <c r="F63" i="1"/>
  <c r="H33" i="1"/>
  <c r="H63" i="1"/>
  <c r="P44" i="1"/>
  <c r="P206" i="1" s="1"/>
  <c r="R34" i="1"/>
  <c r="J21" i="1"/>
  <c r="K34" i="1"/>
  <c r="U47" i="1"/>
  <c r="V63" i="1"/>
  <c r="R33" i="1"/>
  <c r="P32" i="1"/>
  <c r="C59" i="1"/>
  <c r="K58" i="1"/>
  <c r="J36" i="1"/>
  <c r="D34" i="1"/>
  <c r="T51" i="1"/>
  <c r="R27" i="1"/>
  <c r="B20" i="1"/>
  <c r="W25" i="1"/>
  <c r="K47" i="1"/>
  <c r="P172" i="1"/>
  <c r="N57" i="1"/>
  <c r="T59" i="1"/>
  <c r="T44" i="1"/>
  <c r="T206" i="1" s="1"/>
  <c r="E47" i="1"/>
  <c r="AL32" i="1"/>
  <c r="AL57" i="1"/>
  <c r="BX27" i="1"/>
  <c r="AJ26" i="1"/>
  <c r="AJ32" i="1"/>
  <c r="F37" i="1"/>
  <c r="B27" i="1"/>
  <c r="L20" i="1"/>
  <c r="L243" i="1" s="1"/>
  <c r="E32" i="1"/>
  <c r="D44" i="1"/>
  <c r="BX164" i="1"/>
  <c r="BY164" i="1" s="1"/>
  <c r="D37" i="1"/>
  <c r="P21" i="1"/>
  <c r="L33" i="1"/>
  <c r="H21" i="1"/>
  <c r="V21" i="1"/>
  <c r="V22" i="1" s="1"/>
  <c r="C37" i="1"/>
  <c r="U36" i="1"/>
  <c r="P59" i="1"/>
  <c r="H51" i="1"/>
  <c r="R20" i="1"/>
  <c r="R243" i="1" s="1"/>
  <c r="S37" i="1"/>
  <c r="F51" i="1"/>
  <c r="C63" i="1"/>
  <c r="M33" i="1"/>
  <c r="C35" i="1"/>
  <c r="V57" i="1"/>
  <c r="O32" i="1"/>
  <c r="G175" i="1"/>
  <c r="T63" i="1"/>
  <c r="O35" i="1"/>
  <c r="V36" i="1"/>
  <c r="N63" i="1"/>
  <c r="F34" i="1"/>
  <c r="T35" i="1"/>
  <c r="F20" i="1"/>
  <c r="F243" i="1" s="1"/>
  <c r="D58" i="1"/>
  <c r="W21" i="1"/>
  <c r="W22" i="1" s="1"/>
  <c r="W8" i="1" s="1"/>
  <c r="X15" i="1" s="1"/>
  <c r="AJ48" i="1"/>
  <c r="BJ35" i="1"/>
  <c r="AJ27" i="1"/>
  <c r="AK37" i="1"/>
  <c r="BJ33" i="1"/>
  <c r="BX156" i="1"/>
  <c r="G48" i="1"/>
  <c r="B25" i="1"/>
  <c r="O27" i="1"/>
  <c r="BX172" i="1"/>
  <c r="J34" i="1"/>
  <c r="G32" i="1"/>
  <c r="U33" i="1"/>
  <c r="O37" i="1"/>
  <c r="BX130" i="1"/>
  <c r="BY130" i="1" s="1"/>
  <c r="B21" i="1"/>
  <c r="P57" i="1"/>
  <c r="V32" i="1"/>
  <c r="V11" i="1" s="1"/>
  <c r="C36" i="1"/>
  <c r="D35" i="1"/>
  <c r="L35" i="1"/>
  <c r="R21" i="1"/>
  <c r="O51" i="1"/>
  <c r="G37" i="1"/>
  <c r="G21" i="1"/>
  <c r="S36" i="1"/>
  <c r="O58" i="1"/>
  <c r="V59" i="1"/>
  <c r="V25" i="1"/>
  <c r="T21" i="1"/>
  <c r="G165" i="1"/>
  <c r="C27" i="1"/>
  <c r="G36" i="1"/>
  <c r="H35" i="1"/>
  <c r="P27" i="1"/>
  <c r="R36" i="1"/>
  <c r="E33" i="1"/>
  <c r="P58" i="1"/>
  <c r="T37" i="1"/>
  <c r="I58" i="1"/>
  <c r="F59" i="1"/>
  <c r="M37" i="1"/>
  <c r="T47" i="1"/>
  <c r="T32" i="1"/>
  <c r="T11" i="1" s="1"/>
  <c r="P34" i="1"/>
  <c r="H47" i="1"/>
  <c r="U59" i="1"/>
  <c r="JE16" i="4" s="1"/>
  <c r="JE21" i="4" s="1"/>
  <c r="BY89" i="1" s="1"/>
  <c r="HS7" i="4" s="1"/>
  <c r="JB9" i="4" s="1"/>
  <c r="ID9" i="4" s="1"/>
  <c r="HT16" i="4" s="1"/>
  <c r="AK36" i="1"/>
  <c r="BX20" i="1"/>
  <c r="BX48" i="1"/>
  <c r="AJ34" i="1"/>
  <c r="AK35" i="1"/>
  <c r="AL51" i="1"/>
  <c r="BX175" i="1"/>
  <c r="BY175" i="1" s="1"/>
  <c r="U48" i="1"/>
  <c r="U264" i="1" s="1"/>
  <c r="S33" i="1"/>
  <c r="B35" i="1"/>
  <c r="BX158" i="1"/>
  <c r="BY158" i="1" s="1"/>
  <c r="W57" i="1"/>
  <c r="BX143" i="1"/>
  <c r="BX86" i="1"/>
  <c r="BX138" i="1"/>
  <c r="BY138" i="1" s="1"/>
  <c r="K25" i="1"/>
  <c r="BX165" i="1"/>
  <c r="B48" i="1"/>
  <c r="B63" i="1"/>
  <c r="V58" i="1"/>
  <c r="L27" i="1"/>
  <c r="K35" i="1"/>
  <c r="I27" i="1"/>
  <c r="D59" i="1"/>
  <c r="S21" i="1"/>
  <c r="N51" i="1"/>
  <c r="C33" i="1"/>
  <c r="D32" i="1"/>
  <c r="J59" i="1"/>
  <c r="B33" i="1"/>
  <c r="Q165" i="1"/>
  <c r="W47" i="1"/>
  <c r="C136" i="1"/>
  <c r="U27" i="1"/>
  <c r="T20" i="1"/>
  <c r="T243" i="1" s="1"/>
  <c r="W129" i="1"/>
  <c r="R63" i="1"/>
  <c r="IK8" i="4" s="1"/>
  <c r="JC14" i="4" s="1"/>
  <c r="HP16" i="4" s="1"/>
  <c r="AJ35" i="1"/>
  <c r="AJ37" i="1"/>
  <c r="BX59" i="1"/>
  <c r="BX33" i="1"/>
  <c r="BX63" i="1"/>
  <c r="AJ57" i="1"/>
  <c r="AK44" i="1"/>
  <c r="AK206" i="1" s="1"/>
  <c r="AL33" i="1"/>
  <c r="BX154" i="1"/>
  <c r="BY154" i="1" s="1"/>
  <c r="BX152" i="1"/>
  <c r="BY152" i="1" s="1"/>
  <c r="BZ214" i="1" s="1"/>
  <c r="I51" i="1"/>
  <c r="E35" i="1"/>
  <c r="B36" i="1"/>
  <c r="BX162" i="1"/>
  <c r="BY162" i="1" s="1"/>
  <c r="I32" i="1"/>
  <c r="S57" i="1"/>
  <c r="BX147" i="1"/>
  <c r="BY147" i="1" s="1"/>
  <c r="BX139" i="1"/>
  <c r="BY139" i="1" s="1"/>
  <c r="BX129" i="1"/>
  <c r="BY129" i="1" s="1"/>
  <c r="G57" i="1"/>
  <c r="K51" i="1"/>
  <c r="J20" i="1"/>
  <c r="B57" i="1"/>
  <c r="E58" i="1"/>
  <c r="L59" i="1"/>
  <c r="Q35" i="1"/>
  <c r="S44" i="1"/>
  <c r="S206" i="1" s="1"/>
  <c r="E48" i="1"/>
  <c r="W35" i="1"/>
  <c r="I20" i="1"/>
  <c r="I243" i="1" s="1"/>
  <c r="E25" i="1"/>
  <c r="H57" i="1"/>
  <c r="U58" i="1"/>
  <c r="Q20" i="1"/>
  <c r="Q37" i="1"/>
  <c r="J27" i="1"/>
  <c r="E44" i="1"/>
  <c r="E206" i="1" s="1"/>
  <c r="O44" i="1"/>
  <c r="O206" i="1" s="1"/>
  <c r="U21" i="1"/>
  <c r="U22" i="1" s="1"/>
  <c r="U8" i="1" s="1"/>
  <c r="G59" i="1"/>
  <c r="W32" i="1"/>
  <c r="W11" i="1" s="1"/>
  <c r="R44" i="1"/>
  <c r="I37" i="1"/>
  <c r="H44" i="1"/>
  <c r="H206" i="1" s="1"/>
  <c r="W58" i="1"/>
  <c r="HT7" i="4" s="1"/>
  <c r="IV14" i="4" s="1"/>
  <c r="IY14" i="4" s="1"/>
  <c r="JH16" i="4" s="1"/>
  <c r="IQ15" i="4" s="1"/>
  <c r="HX9" i="4" s="1"/>
  <c r="BJ20" i="1"/>
  <c r="BJ243" i="1" s="1"/>
  <c r="AL47" i="1"/>
  <c r="BX21" i="1"/>
  <c r="AJ47" i="1"/>
  <c r="AK20" i="1"/>
  <c r="AJ33" i="1"/>
  <c r="BX34" i="1"/>
  <c r="AL37" i="1"/>
  <c r="BX163" i="1"/>
  <c r="BY163" i="1" s="1"/>
  <c r="R25" i="1"/>
  <c r="U44" i="1"/>
  <c r="B58" i="1"/>
  <c r="F27" i="1"/>
  <c r="C51" i="1"/>
  <c r="BX159" i="1"/>
  <c r="BY159" i="1" s="1"/>
  <c r="S48" i="1"/>
  <c r="BX167" i="1"/>
  <c r="BY167" i="1" s="1"/>
  <c r="BX161" i="1"/>
  <c r="BY161" i="1" s="1"/>
  <c r="L47" i="1"/>
  <c r="K48" i="1"/>
  <c r="K32" i="1"/>
  <c r="D20" i="1"/>
  <c r="J131" i="1"/>
  <c r="D25" i="1"/>
  <c r="P47" i="1"/>
  <c r="V44" i="1"/>
  <c r="V265" i="1" s="1"/>
  <c r="E27" i="1"/>
  <c r="W37" i="1"/>
  <c r="W48" i="1"/>
  <c r="W264" i="1" s="1"/>
  <c r="E21" i="1"/>
  <c r="H59" i="1"/>
  <c r="R51" i="1"/>
  <c r="L44" i="1"/>
  <c r="V37" i="1"/>
  <c r="L48" i="1"/>
  <c r="D51" i="1"/>
  <c r="Q57" i="1"/>
  <c r="G34" i="1"/>
  <c r="V47" i="1"/>
  <c r="L34" i="1"/>
  <c r="W36" i="1"/>
  <c r="K63" i="1"/>
  <c r="Q27" i="1"/>
  <c r="Q48" i="1"/>
  <c r="R58" i="1"/>
  <c r="Q63" i="1"/>
  <c r="F35" i="1"/>
  <c r="T33" i="1"/>
  <c r="F21" i="1"/>
  <c r="R57" i="1"/>
  <c r="U57" i="1"/>
  <c r="I63" i="1"/>
  <c r="C44" i="1"/>
  <c r="C206" i="1" s="1"/>
  <c r="P36" i="1"/>
  <c r="M51" i="1"/>
  <c r="D48" i="1"/>
  <c r="O25" i="1"/>
  <c r="L63" i="1"/>
  <c r="O34" i="1"/>
  <c r="C47" i="1"/>
  <c r="J63" i="1"/>
  <c r="N37" i="1"/>
  <c r="B44" i="1"/>
  <c r="B34" i="1"/>
  <c r="L58" i="1"/>
  <c r="P33" i="1"/>
  <c r="N58" i="1"/>
  <c r="H37" i="1"/>
  <c r="G51" i="1"/>
  <c r="K21" i="1"/>
  <c r="P63" i="1"/>
  <c r="I36" i="1"/>
  <c r="D57" i="1"/>
  <c r="K59" i="1"/>
  <c r="N36" i="1"/>
  <c r="G33" i="1"/>
  <c r="AM32" i="1"/>
  <c r="AM44" i="1"/>
  <c r="AM206" i="1" s="1"/>
  <c r="AJ63" i="1"/>
  <c r="AK33" i="1"/>
  <c r="AL35" i="1"/>
  <c r="AK25" i="1"/>
  <c r="AK27" i="1"/>
  <c r="AL25" i="1"/>
  <c r="E37" i="1"/>
  <c r="E51" i="1"/>
  <c r="Q51" i="1"/>
  <c r="D36" i="1"/>
  <c r="BX137" i="1"/>
  <c r="BY137" i="1" s="1"/>
  <c r="R59" i="1"/>
  <c r="R32" i="1"/>
  <c r="U51" i="1"/>
  <c r="M27" i="1"/>
  <c r="I59" i="1"/>
  <c r="BX136" i="1"/>
  <c r="BY136" i="1" s="1"/>
  <c r="S47" i="1"/>
  <c r="M47" i="1"/>
  <c r="B59" i="1"/>
  <c r="W33" i="1"/>
  <c r="H58" i="1"/>
  <c r="O59" i="1"/>
  <c r="P35" i="1"/>
  <c r="N59" i="1"/>
  <c r="J51" i="1"/>
  <c r="O33" i="1"/>
  <c r="J48" i="1"/>
  <c r="D63" i="1"/>
  <c r="R47" i="1"/>
  <c r="U32" i="1"/>
  <c r="U11" i="1" s="1"/>
  <c r="H27" i="1"/>
  <c r="S58" i="1"/>
  <c r="P25" i="1"/>
  <c r="M48" i="1"/>
  <c r="M59" i="1"/>
  <c r="N44" i="1"/>
  <c r="N206" i="1" s="1"/>
  <c r="K36" i="1"/>
  <c r="I44" i="1"/>
  <c r="I206" i="1" s="1"/>
  <c r="G27" i="1"/>
  <c r="C20" i="1"/>
  <c r="V48" i="1"/>
  <c r="V264" i="1" s="1"/>
  <c r="AL167" i="1"/>
  <c r="AM167" i="1" s="1"/>
  <c r="AL86" i="1"/>
  <c r="BJ175" i="1"/>
  <c r="BK175" i="1" s="1"/>
  <c r="BJ166" i="1"/>
  <c r="BK166" i="1" s="1"/>
  <c r="BJ156" i="1"/>
  <c r="AJ136" i="1"/>
  <c r="AK136" i="1" s="1"/>
  <c r="AJ175" i="1"/>
  <c r="AK175" i="1" s="1"/>
  <c r="AJ139" i="1"/>
  <c r="AK139" i="1" s="1"/>
  <c r="AJ171" i="1"/>
  <c r="BJ139" i="1"/>
  <c r="BK139" i="1" s="1"/>
  <c r="AJ134" i="1"/>
  <c r="AK134" i="1" s="1"/>
  <c r="AL157" i="1"/>
  <c r="AL162" i="1"/>
  <c r="AM162" i="1" s="1"/>
  <c r="AL154" i="1"/>
  <c r="AM154" i="1" s="1"/>
  <c r="AL143" i="1"/>
  <c r="AL176" i="1"/>
  <c r="AM176" i="1" s="1"/>
  <c r="AL131" i="1"/>
  <c r="BJ171" i="1"/>
  <c r="BJ172" i="1"/>
  <c r="BJ159" i="1"/>
  <c r="BK159" i="1" s="1"/>
  <c r="BJ161" i="1"/>
  <c r="AJ162" i="1"/>
  <c r="AK162" i="1" s="1"/>
  <c r="AJ165" i="1"/>
  <c r="AJ163" i="1"/>
  <c r="AK163" i="1" s="1"/>
  <c r="BJ167" i="1"/>
  <c r="BK167" i="1" s="1"/>
  <c r="AJ161" i="1"/>
  <c r="AK161" i="1" s="1"/>
  <c r="BJ136" i="1"/>
  <c r="BK136" i="1" s="1"/>
  <c r="AL145" i="1"/>
  <c r="BJ143" i="1"/>
  <c r="BJ157" i="1"/>
  <c r="BJ176" i="1"/>
  <c r="AJ164" i="1"/>
  <c r="AK164" i="1" s="1"/>
  <c r="AJ154" i="1"/>
  <c r="AK154" i="1" s="1"/>
  <c r="AJ166" i="1"/>
  <c r="AK166" i="1" s="1"/>
  <c r="BJ131" i="1"/>
  <c r="AL134" i="1"/>
  <c r="AM134" i="1" s="1"/>
  <c r="BJ138" i="1"/>
  <c r="BK138" i="1" s="1"/>
  <c r="AL165" i="1"/>
  <c r="AL158" i="1"/>
  <c r="AM158" i="1" s="1"/>
  <c r="AL164" i="1"/>
  <c r="AM164" i="1" s="1"/>
  <c r="AL156" i="1"/>
  <c r="BJ152" i="1"/>
  <c r="BK152" i="1" s="1"/>
  <c r="BL214" i="1" s="1"/>
  <c r="BJ164" i="1"/>
  <c r="BK164" i="1" s="1"/>
  <c r="BJ147" i="1"/>
  <c r="BK147" i="1" s="1"/>
  <c r="BJ137" i="1"/>
  <c r="BK137" i="1" s="1"/>
  <c r="BJ154" i="1"/>
  <c r="BK154" i="1" s="1"/>
  <c r="BJ144" i="1"/>
  <c r="AJ145" i="1"/>
  <c r="AJ156" i="1"/>
  <c r="AJ157" i="1"/>
  <c r="AJ172" i="1"/>
  <c r="AJ131" i="1"/>
  <c r="AJ158" i="1"/>
  <c r="AK158" i="1" s="1"/>
  <c r="AJ137" i="1"/>
  <c r="AK137" i="1" s="1"/>
  <c r="AL166" i="1"/>
  <c r="AM166" i="1" s="1"/>
  <c r="AL129" i="1"/>
  <c r="AM129" i="1" s="1"/>
  <c r="BJ158" i="1"/>
  <c r="BK158" i="1" s="1"/>
  <c r="AJ129" i="1"/>
  <c r="AK129" i="1" s="1"/>
  <c r="AL138" i="1"/>
  <c r="AM138" i="1" s="1"/>
  <c r="AL130" i="1"/>
  <c r="AM130" i="1" s="1"/>
  <c r="AL136" i="1"/>
  <c r="AM136" i="1" s="1"/>
  <c r="AL144" i="1"/>
  <c r="AL139" i="1"/>
  <c r="AM139" i="1" s="1"/>
  <c r="AL159" i="1"/>
  <c r="AM159" i="1" s="1"/>
  <c r="BJ130" i="1"/>
  <c r="BK130" i="1" s="1"/>
  <c r="BJ165" i="1"/>
  <c r="BJ162" i="1"/>
  <c r="BK162" i="1" s="1"/>
  <c r="BJ145" i="1"/>
  <c r="BJ163" i="1"/>
  <c r="BK163" i="1" s="1"/>
  <c r="AJ176" i="1"/>
  <c r="AK176" i="1" s="1"/>
  <c r="AJ138" i="1"/>
  <c r="AK138" i="1" s="1"/>
  <c r="AJ144" i="1"/>
  <c r="AJ167" i="1"/>
  <c r="AK167" i="1" s="1"/>
  <c r="AJ130" i="1"/>
  <c r="AK130" i="1" s="1"/>
  <c r="AJ152" i="1"/>
  <c r="AK152" i="1" s="1"/>
  <c r="AL152" i="1"/>
  <c r="AM152" i="1" s="1"/>
  <c r="AM214" i="1" s="1"/>
  <c r="BJ134" i="1"/>
  <c r="BK134" i="1" s="1"/>
  <c r="BJ129" i="1"/>
  <c r="AJ143" i="1"/>
  <c r="AJ147" i="1"/>
  <c r="AK147" i="1" s="1"/>
  <c r="AJ159" i="1"/>
  <c r="AK159" i="1" s="1"/>
  <c r="AJ155" i="1"/>
  <c r="AK155" i="1" s="1"/>
  <c r="AJ149" i="1"/>
  <c r="AK149" i="1" s="1"/>
  <c r="BJ149" i="1"/>
  <c r="BK149" i="1" s="1"/>
  <c r="BJ155" i="1"/>
  <c r="IC14" i="4"/>
  <c r="JE15" i="4"/>
  <c r="JG15" i="4"/>
  <c r="HQ8" i="4"/>
  <c r="IF7" i="4"/>
  <c r="IL8" i="4"/>
  <c r="HV7" i="4"/>
  <c r="HR8" i="4"/>
  <c r="IN7" i="4"/>
  <c r="IG7" i="4"/>
  <c r="JH7" i="4"/>
  <c r="JD7" i="4"/>
  <c r="IS15" i="4"/>
  <c r="IX14" i="4"/>
  <c r="IC15" i="4"/>
  <c r="HY8" i="4"/>
  <c r="IX15" i="4"/>
  <c r="IH15" i="4"/>
  <c r="IO15" i="4"/>
  <c r="HX7" i="4"/>
  <c r="IN8" i="4"/>
  <c r="IA14" i="4"/>
  <c r="JA7" i="4"/>
  <c r="HS14" i="4"/>
  <c r="JI15" i="4"/>
  <c r="IL7" i="4"/>
  <c r="HU8" i="4"/>
  <c r="JE14" i="4"/>
  <c r="IM7" i="4"/>
  <c r="IP8" i="4"/>
  <c r="IB7" i="4"/>
  <c r="HX14" i="4"/>
  <c r="IR7" i="4"/>
  <c r="HX8" i="4"/>
  <c r="HQ14" i="4"/>
  <c r="IK15" i="4"/>
  <c r="HZ7" i="4"/>
  <c r="JI8" i="4"/>
  <c r="JD14" i="4"/>
  <c r="JB15" i="4"/>
  <c r="JE8" i="4"/>
  <c r="HU14" i="4"/>
  <c r="IE8" i="4"/>
  <c r="HZ15" i="4"/>
  <c r="IO14" i="4"/>
  <c r="IA8" i="4"/>
  <c r="HT14" i="4"/>
  <c r="IY15" i="4"/>
  <c r="IO7" i="4"/>
  <c r="IA15" i="4"/>
  <c r="HW8" i="4"/>
  <c r="IY7" i="4"/>
  <c r="IJ8" i="4"/>
  <c r="IG14" i="4"/>
  <c r="HY15" i="4"/>
  <c r="HR15" i="4"/>
  <c r="IV8" i="4"/>
  <c r="IH8" i="4"/>
  <c r="HX15" i="4"/>
  <c r="IJ15" i="4"/>
  <c r="IC8" i="4"/>
  <c r="II14" i="4"/>
  <c r="IA7" i="4"/>
  <c r="IE15" i="4"/>
  <c r="JG8" i="4"/>
  <c r="HS15" i="4"/>
  <c r="HP7" i="4"/>
  <c r="ID7" i="4"/>
  <c r="JH8" i="4"/>
  <c r="HZ8" i="4"/>
  <c r="IR15" i="4"/>
  <c r="JF8" i="4"/>
  <c r="HT15" i="4"/>
  <c r="IX8" i="4"/>
  <c r="IJ7" i="4"/>
  <c r="IT8" i="4"/>
  <c r="IQ14" i="4"/>
  <c r="IU7" i="4"/>
  <c r="IM14" i="4"/>
  <c r="IT7" i="4"/>
  <c r="IS8" i="4"/>
  <c r="IQ7" i="4"/>
  <c r="IH7" i="4"/>
  <c r="JF14" i="4"/>
  <c r="IF8" i="4"/>
  <c r="IP7" i="4"/>
  <c r="HV8" i="4"/>
  <c r="IM15" i="4"/>
  <c r="HS8" i="4"/>
  <c r="JH14" i="4"/>
  <c r="CP89" i="1"/>
  <c r="CN75" i="1"/>
  <c r="CM77" i="1"/>
  <c r="Q264" i="1" l="1"/>
  <c r="AL137" i="1"/>
  <c r="AM137" i="1" s="1"/>
  <c r="AL161" i="1"/>
  <c r="AM161" i="1" s="1"/>
  <c r="AL147" i="1"/>
  <c r="AM147" i="1" s="1"/>
  <c r="AL175" i="1"/>
  <c r="AM175" i="1" s="1"/>
  <c r="AL163" i="1"/>
  <c r="AM163" i="1" s="1"/>
  <c r="AL171" i="1"/>
  <c r="AL172" i="1"/>
  <c r="AL85" i="1"/>
  <c r="AL149" i="1"/>
  <c r="AM149" i="1" s="1"/>
  <c r="AL155" i="1"/>
  <c r="BX264" i="1"/>
  <c r="W38" i="1"/>
  <c r="W39" i="1" s="1"/>
  <c r="HP21" i="4"/>
  <c r="AJ89" i="1" s="1"/>
  <c r="IN15" i="4" s="1"/>
  <c r="IF14" i="4" s="1"/>
  <c r="D264" i="1"/>
  <c r="W200" i="1"/>
  <c r="X23" i="1"/>
  <c r="W23" i="1"/>
  <c r="X200" i="1"/>
  <c r="Q243" i="1"/>
  <c r="V23" i="1"/>
  <c r="L264" i="1"/>
  <c r="W110" i="1"/>
  <c r="U265" i="1"/>
  <c r="U206" i="1"/>
  <c r="BX22" i="1"/>
  <c r="BX8" i="1" s="1"/>
  <c r="D243" i="1"/>
  <c r="L38" i="1"/>
  <c r="D22" i="1"/>
  <c r="II21" i="4"/>
  <c r="BC89" i="1" s="1"/>
  <c r="IY21" i="4"/>
  <c r="BS89" i="1" s="1"/>
  <c r="HV21" i="4"/>
  <c r="AP89" i="1" s="1"/>
  <c r="AL264" i="1"/>
  <c r="IJ21" i="4"/>
  <c r="BD89" i="1" s="1"/>
  <c r="JD21" i="4"/>
  <c r="BX89" i="1" s="1"/>
  <c r="IW21" i="4"/>
  <c r="BQ89" i="1" s="1"/>
  <c r="AL265" i="1"/>
  <c r="M38" i="1"/>
  <c r="BX195" i="1"/>
  <c r="BY195" i="1" s="1"/>
  <c r="HZ21" i="4"/>
  <c r="AT89" i="1" s="1"/>
  <c r="J38" i="1"/>
  <c r="IH21" i="4"/>
  <c r="BB89" i="1" s="1"/>
  <c r="ID21" i="4"/>
  <c r="AX89" i="1" s="1"/>
  <c r="H22" i="1"/>
  <c r="IV21" i="4"/>
  <c r="BP89" i="1" s="1"/>
  <c r="HS21" i="4"/>
  <c r="AM89" i="1" s="1"/>
  <c r="IN21" i="4"/>
  <c r="BH89" i="1" s="1"/>
  <c r="IK21" i="4"/>
  <c r="BE89" i="1" s="1"/>
  <c r="JI21" i="4"/>
  <c r="CC89" i="1" s="1"/>
  <c r="CC97" i="1" s="1"/>
  <c r="HR21" i="4"/>
  <c r="AL89" i="1" s="1"/>
  <c r="P243" i="1"/>
  <c r="P22" i="1"/>
  <c r="Q22" i="1"/>
  <c r="JC21" i="4"/>
  <c r="BW89" i="1" s="1"/>
  <c r="G195" i="1"/>
  <c r="G22" i="1"/>
  <c r="G264" i="1"/>
  <c r="IB21" i="4"/>
  <c r="AV89" i="1" s="1"/>
  <c r="S264" i="1"/>
  <c r="AJ49" i="1"/>
  <c r="AK22" i="1"/>
  <c r="K264" i="1"/>
  <c r="S22" i="1"/>
  <c r="S8" i="1" s="1"/>
  <c r="B264" i="1"/>
  <c r="IF21" i="4"/>
  <c r="AZ89" i="1" s="1"/>
  <c r="IR21" i="4"/>
  <c r="BL89" i="1" s="1"/>
  <c r="BL106" i="1" s="1"/>
  <c r="IG21" i="4"/>
  <c r="BA89" i="1" s="1"/>
  <c r="JF21" i="4"/>
  <c r="BZ89" i="1" s="1"/>
  <c r="BZ106" i="1" s="1"/>
  <c r="BX173" i="1"/>
  <c r="BY221" i="1" s="1"/>
  <c r="IO21" i="4"/>
  <c r="BI89" i="1" s="1"/>
  <c r="AM264" i="1"/>
  <c r="HT21" i="4"/>
  <c r="AN89" i="1" s="1"/>
  <c r="JA21" i="4"/>
  <c r="BU89" i="1" s="1"/>
  <c r="M22" i="1"/>
  <c r="M265" i="1"/>
  <c r="F206" i="1"/>
  <c r="R206" i="1"/>
  <c r="R265" i="1"/>
  <c r="JB21" i="4"/>
  <c r="BV89" i="1" s="1"/>
  <c r="N38" i="1"/>
  <c r="AL243" i="1"/>
  <c r="CA110" i="1"/>
  <c r="CA111" i="1" s="1"/>
  <c r="BX243" i="1"/>
  <c r="JH21" i="4"/>
  <c r="CB89" i="1" s="1"/>
  <c r="S38" i="1"/>
  <c r="Q195" i="1"/>
  <c r="AL22" i="1"/>
  <c r="AL28" i="1" s="1"/>
  <c r="AL29" i="1" s="1"/>
  <c r="P264" i="1"/>
  <c r="H264" i="1"/>
  <c r="IS21" i="4"/>
  <c r="BM89" i="1" s="1"/>
  <c r="P195" i="1"/>
  <c r="IX21" i="4"/>
  <c r="BR89" i="1" s="1"/>
  <c r="IQ21" i="4"/>
  <c r="BK89" i="1" s="1"/>
  <c r="IL21" i="4"/>
  <c r="BF89" i="1" s="1"/>
  <c r="IE21" i="4"/>
  <c r="AY89" i="1" s="1"/>
  <c r="R38" i="1"/>
  <c r="K265" i="1"/>
  <c r="W265" i="1"/>
  <c r="W206" i="1"/>
  <c r="O22" i="1"/>
  <c r="AM22" i="1"/>
  <c r="AM28" i="1" s="1"/>
  <c r="C243" i="1"/>
  <c r="K22" i="1"/>
  <c r="R264" i="1"/>
  <c r="T264" i="1"/>
  <c r="I265" i="1"/>
  <c r="T265" i="1"/>
  <c r="F265" i="1"/>
  <c r="IU21" i="4"/>
  <c r="BO89" i="1" s="1"/>
  <c r="JF15" i="4"/>
  <c r="JA15" i="4"/>
  <c r="W28" i="1"/>
  <c r="W10" i="1" s="1"/>
  <c r="L22" i="1"/>
  <c r="N264" i="1"/>
  <c r="C22" i="1"/>
  <c r="BX192" i="1"/>
  <c r="BY192" i="1" s="1"/>
  <c r="IS7" i="4"/>
  <c r="JA8" i="4"/>
  <c r="JA20" i="4" s="1"/>
  <c r="BU91" i="1" s="1"/>
  <c r="BU120" i="1" s="1"/>
  <c r="IP15" i="4"/>
  <c r="IP20" i="4" s="1"/>
  <c r="BJ91" i="1" s="1"/>
  <c r="BJ120" i="1" s="1"/>
  <c r="HY14" i="4"/>
  <c r="HQ7" i="4"/>
  <c r="HQ19" i="4" s="1"/>
  <c r="AK90" i="1" s="1"/>
  <c r="ID8" i="4"/>
  <c r="IT15" i="4"/>
  <c r="HW21" i="4"/>
  <c r="AQ89" i="1" s="1"/>
  <c r="IW7" i="4"/>
  <c r="JG14" i="4"/>
  <c r="IE14" i="4"/>
  <c r="HV14" i="4"/>
  <c r="HV19" i="4" s="1"/>
  <c r="AP90" i="1" s="1"/>
  <c r="AP119" i="1" s="1"/>
  <c r="IC7" i="4"/>
  <c r="IC19" i="4" s="1"/>
  <c r="AW90" i="1" s="1"/>
  <c r="AW119" i="1" s="1"/>
  <c r="HQ15" i="4"/>
  <c r="HQ20" i="4" s="1"/>
  <c r="AK91" i="1" s="1"/>
  <c r="JB7" i="4"/>
  <c r="IN14" i="4"/>
  <c r="IN19" i="4" s="1"/>
  <c r="BH90" i="1" s="1"/>
  <c r="BH119" i="1" s="1"/>
  <c r="IW14" i="4"/>
  <c r="IW19" i="4" s="1"/>
  <c r="BQ90" i="1" s="1"/>
  <c r="BQ119" i="1" s="1"/>
  <c r="JH15" i="4"/>
  <c r="JH20" i="4" s="1"/>
  <c r="CB91" i="1" s="1"/>
  <c r="JD15" i="4"/>
  <c r="JD20" i="4" s="1"/>
  <c r="BX91" i="1" s="1"/>
  <c r="BX120" i="1" s="1"/>
  <c r="IU8" i="4"/>
  <c r="IZ14" i="4"/>
  <c r="IZ19" i="4" s="1"/>
  <c r="BT90" i="1" s="1"/>
  <c r="BT119" i="1" s="1"/>
  <c r="IG8" i="4"/>
  <c r="IB8" i="4"/>
  <c r="JG21" i="4"/>
  <c r="CA89" i="1" s="1"/>
  <c r="HY7" i="4"/>
  <c r="HU7" i="4"/>
  <c r="HU19" i="4" s="1"/>
  <c r="AO90" i="1" s="1"/>
  <c r="AO119" i="1" s="1"/>
  <c r="IP21" i="4"/>
  <c r="BJ89" i="1" s="1"/>
  <c r="I22" i="1"/>
  <c r="IJ14" i="4"/>
  <c r="IJ19" i="4" s="1"/>
  <c r="BD90" i="1" s="1"/>
  <c r="BD119" i="1" s="1"/>
  <c r="HT8" i="4"/>
  <c r="HT20" i="4" s="1"/>
  <c r="AN91" i="1" s="1"/>
  <c r="AN120" i="1" s="1"/>
  <c r="IO8" i="4"/>
  <c r="IO20" i="4" s="1"/>
  <c r="BI91" i="1" s="1"/>
  <c r="BI120" i="1" s="1"/>
  <c r="HW15" i="4"/>
  <c r="HW20" i="4" s="1"/>
  <c r="AQ91" i="1" s="1"/>
  <c r="AQ120" i="1" s="1"/>
  <c r="IZ15" i="4"/>
  <c r="JF7" i="4"/>
  <c r="JE7" i="4"/>
  <c r="JE19" i="4" s="1"/>
  <c r="BY90" i="1" s="1"/>
  <c r="IE7" i="4"/>
  <c r="IK7" i="4"/>
  <c r="JC7" i="4"/>
  <c r="JC19" i="4" s="1"/>
  <c r="BW90" i="1" s="1"/>
  <c r="BW119" i="1" s="1"/>
  <c r="JC15" i="4"/>
  <c r="JC20" i="4" s="1"/>
  <c r="BW91" i="1" s="1"/>
  <c r="BW120" i="1" s="1"/>
  <c r="HP8" i="4"/>
  <c r="HP20" i="4" s="1"/>
  <c r="AJ91" i="1" s="1"/>
  <c r="HY21" i="4"/>
  <c r="AS89" i="1" s="1"/>
  <c r="JA14" i="4"/>
  <c r="JA19" i="4" s="1"/>
  <c r="BU90" i="1" s="1"/>
  <c r="BU119" i="1" s="1"/>
  <c r="IY8" i="4"/>
  <c r="IY20" i="4" s="1"/>
  <c r="BS91" i="1" s="1"/>
  <c r="BS120" i="1" s="1"/>
  <c r="II15" i="4"/>
  <c r="HR14" i="4"/>
  <c r="JB14" i="4"/>
  <c r="ID14" i="4"/>
  <c r="ID19" i="4" s="1"/>
  <c r="AX90" i="1" s="1"/>
  <c r="AX119" i="1" s="1"/>
  <c r="O264" i="1"/>
  <c r="I264" i="1"/>
  <c r="IG15" i="4"/>
  <c r="J22" i="1"/>
  <c r="B265" i="1"/>
  <c r="IW15" i="4"/>
  <c r="IW20" i="4" s="1"/>
  <c r="BQ91" i="1" s="1"/>
  <c r="BQ120" i="1" s="1"/>
  <c r="D265" i="1"/>
  <c r="BX191" i="1"/>
  <c r="BY191" i="1" s="1"/>
  <c r="BY132" i="1"/>
  <c r="T22" i="1"/>
  <c r="C38" i="1"/>
  <c r="C39" i="1" s="1"/>
  <c r="B38" i="1"/>
  <c r="AL38" i="1"/>
  <c r="AM38" i="1"/>
  <c r="AK38" i="1"/>
  <c r="AK39" i="1" s="1"/>
  <c r="BY140" i="1"/>
  <c r="M264" i="1"/>
  <c r="BJ195" i="1"/>
  <c r="BK195" i="1" s="1"/>
  <c r="AM243" i="1"/>
  <c r="AM265" i="1"/>
  <c r="V110" i="1"/>
  <c r="V8" i="1"/>
  <c r="J243" i="1"/>
  <c r="J264" i="1"/>
  <c r="L265" i="1"/>
  <c r="L206" i="1"/>
  <c r="BX146" i="1"/>
  <c r="K38" i="1"/>
  <c r="AK243" i="1"/>
  <c r="E22" i="1"/>
  <c r="BX38" i="1"/>
  <c r="BX39" i="1" s="1"/>
  <c r="Q38" i="1"/>
  <c r="AJ38" i="1"/>
  <c r="V28" i="1"/>
  <c r="D38" i="1"/>
  <c r="IK14" i="4"/>
  <c r="T38" i="1"/>
  <c r="I38" i="1"/>
  <c r="IU15" i="4"/>
  <c r="IV15" i="4"/>
  <c r="IV20" i="4" s="1"/>
  <c r="BP91" i="1" s="1"/>
  <c r="BP120" i="1" s="1"/>
  <c r="IF15" i="4"/>
  <c r="IF20" i="4" s="1"/>
  <c r="AZ91" i="1" s="1"/>
  <c r="AZ120" i="1" s="1"/>
  <c r="HU21" i="4"/>
  <c r="AO89" i="1" s="1"/>
  <c r="HR7" i="4"/>
  <c r="HV15" i="4"/>
  <c r="HV20" i="4" s="1"/>
  <c r="AP91" i="1" s="1"/>
  <c r="AP120" i="1" s="1"/>
  <c r="IP14" i="4"/>
  <c r="IP19" i="4" s="1"/>
  <c r="BJ90" i="1" s="1"/>
  <c r="BJ119" i="1" s="1"/>
  <c r="JI7" i="4"/>
  <c r="IR14" i="4"/>
  <c r="IR19" i="4" s="1"/>
  <c r="BL90" i="1" s="1"/>
  <c r="IR8" i="4"/>
  <c r="IR20" i="4" s="1"/>
  <c r="BL91" i="1" s="1"/>
  <c r="BL108" i="1" s="1"/>
  <c r="IL14" i="4"/>
  <c r="IL19" i="4" s="1"/>
  <c r="BF90" i="1" s="1"/>
  <c r="BF119" i="1" s="1"/>
  <c r="II7" i="4"/>
  <c r="II19" i="4" s="1"/>
  <c r="BC90" i="1" s="1"/>
  <c r="BC119" i="1" s="1"/>
  <c r="HW7" i="4"/>
  <c r="HW19" i="4" s="1"/>
  <c r="AQ90" i="1" s="1"/>
  <c r="AQ119" i="1" s="1"/>
  <c r="IS14" i="4"/>
  <c r="IX7" i="4"/>
  <c r="IX19" i="4" s="1"/>
  <c r="BR90" i="1" s="1"/>
  <c r="BR119" i="1" s="1"/>
  <c r="IW8" i="4"/>
  <c r="HQ21" i="4"/>
  <c r="AK89" i="1" s="1"/>
  <c r="IB14" i="4"/>
  <c r="IB19" i="4" s="1"/>
  <c r="AV90" i="1" s="1"/>
  <c r="AV119" i="1" s="1"/>
  <c r="JD8" i="4"/>
  <c r="HX21" i="4"/>
  <c r="AR89" i="1" s="1"/>
  <c r="IB15" i="4"/>
  <c r="II8" i="4"/>
  <c r="JG7" i="4"/>
  <c r="P38" i="1"/>
  <c r="HP14" i="4"/>
  <c r="HP19" i="4" s="1"/>
  <c r="AJ90" i="1" s="1"/>
  <c r="JI14" i="4"/>
  <c r="JI19" i="4" s="1"/>
  <c r="CC90" i="1" s="1"/>
  <c r="E38" i="1"/>
  <c r="S265" i="1"/>
  <c r="BX168" i="1"/>
  <c r="BX197" i="1" s="1"/>
  <c r="AL192" i="1"/>
  <c r="AM192" i="1" s="1"/>
  <c r="AL191" i="1"/>
  <c r="AM191" i="1" s="1"/>
  <c r="HU15" i="4"/>
  <c r="HU20" i="4" s="1"/>
  <c r="AO91" i="1" s="1"/>
  <c r="AO120" i="1" s="1"/>
  <c r="G38" i="1"/>
  <c r="O38" i="1"/>
  <c r="C264" i="1"/>
  <c r="IC21" i="4"/>
  <c r="AW89" i="1" s="1"/>
  <c r="IL15" i="4"/>
  <c r="IL20" i="4" s="1"/>
  <c r="BF91" i="1" s="1"/>
  <c r="BF120" i="1" s="1"/>
  <c r="IM21" i="4"/>
  <c r="BG89" i="1" s="1"/>
  <c r="IZ8" i="4"/>
  <c r="HZ14" i="4"/>
  <c r="HZ19" i="4" s="1"/>
  <c r="AT90" i="1" s="1"/>
  <c r="AT119" i="1" s="1"/>
  <c r="IQ8" i="4"/>
  <c r="IQ20" i="4" s="1"/>
  <c r="BK91" i="1" s="1"/>
  <c r="BK120" i="1" s="1"/>
  <c r="ID15" i="4"/>
  <c r="F38" i="1"/>
  <c r="V38" i="1"/>
  <c r="V39" i="1" s="1"/>
  <c r="BX140" i="1"/>
  <c r="R22" i="1"/>
  <c r="H38" i="1"/>
  <c r="B243" i="1"/>
  <c r="D206" i="1"/>
  <c r="AL195" i="1"/>
  <c r="AM195" i="1" s="1"/>
  <c r="B22" i="1"/>
  <c r="AJ195" i="1"/>
  <c r="F22" i="1"/>
  <c r="N265" i="1"/>
  <c r="U38" i="1"/>
  <c r="AJ22" i="1"/>
  <c r="AM110" i="1"/>
  <c r="AM111" i="1" s="1"/>
  <c r="BX132" i="1"/>
  <c r="BX104" i="1" s="1"/>
  <c r="BJ192" i="1"/>
  <c r="BK192" i="1" s="1"/>
  <c r="BX265" i="1"/>
  <c r="AJ191" i="1"/>
  <c r="BX160" i="1"/>
  <c r="BX194" i="1" s="1"/>
  <c r="U110" i="1"/>
  <c r="V200" i="1"/>
  <c r="U28" i="1"/>
  <c r="C265" i="1"/>
  <c r="V206" i="1"/>
  <c r="Q265" i="1"/>
  <c r="P265" i="1"/>
  <c r="G265" i="1"/>
  <c r="J265" i="1"/>
  <c r="F264" i="1"/>
  <c r="BJ191" i="1"/>
  <c r="BK191" i="1" s="1"/>
  <c r="O265" i="1"/>
  <c r="AJ45" i="1"/>
  <c r="H265" i="1"/>
  <c r="CB15" i="1"/>
  <c r="BJ173" i="1"/>
  <c r="BK221" i="1" s="1"/>
  <c r="BJ146" i="1"/>
  <c r="BK140" i="1"/>
  <c r="BK129" i="1"/>
  <c r="BJ132" i="1"/>
  <c r="AJ173" i="1"/>
  <c r="AK221" i="1" s="1"/>
  <c r="AM140" i="1"/>
  <c r="AL173" i="1"/>
  <c r="AM221" i="1" s="1"/>
  <c r="BJ168" i="1"/>
  <c r="BJ197" i="1" s="1"/>
  <c r="AL146" i="1"/>
  <c r="AM146" i="1" s="1"/>
  <c r="AM150" i="1" s="1"/>
  <c r="BK161" i="1"/>
  <c r="BJ140" i="1"/>
  <c r="AJ140" i="1"/>
  <c r="AL168" i="1"/>
  <c r="AL197" i="1" s="1"/>
  <c r="AJ214" i="1"/>
  <c r="AL132" i="1"/>
  <c r="AL140" i="1"/>
  <c r="AI208" i="1"/>
  <c r="AI210" i="1" s="1"/>
  <c r="AJ146" i="1"/>
  <c r="AK45" i="1" s="1"/>
  <c r="AJ160" i="1"/>
  <c r="AJ192" i="1"/>
  <c r="AK192" i="1" s="1"/>
  <c r="AK140" i="1"/>
  <c r="AJ132" i="1"/>
  <c r="AJ168" i="1"/>
  <c r="BK155" i="1"/>
  <c r="BJ160" i="1"/>
  <c r="AM155" i="1"/>
  <c r="AL160" i="1"/>
  <c r="HX20" i="4"/>
  <c r="AR91" i="1" s="1"/>
  <c r="AR120" i="1" s="1"/>
  <c r="JF19" i="4"/>
  <c r="BZ90" i="1" s="1"/>
  <c r="HR20" i="4"/>
  <c r="AL91" i="1" s="1"/>
  <c r="HS19" i="4"/>
  <c r="AM90" i="1" s="1"/>
  <c r="HX19" i="4"/>
  <c r="AR90" i="1" s="1"/>
  <c r="AR119" i="1" s="1"/>
  <c r="JD19" i="4"/>
  <c r="BX90" i="1" s="1"/>
  <c r="JE20" i="4"/>
  <c r="BY91" i="1" s="1"/>
  <c r="BY120" i="1" s="1"/>
  <c r="IA19" i="4"/>
  <c r="AU90" i="1" s="1"/>
  <c r="AU119" i="1" s="1"/>
  <c r="IS20" i="4"/>
  <c r="BM91" i="1" s="1"/>
  <c r="BM120" i="1" s="1"/>
  <c r="IH20" i="4"/>
  <c r="BB91" i="1" s="1"/>
  <c r="BB120" i="1" s="1"/>
  <c r="JG20" i="4"/>
  <c r="CA91" i="1" s="1"/>
  <c r="JH19" i="4"/>
  <c r="CB90" i="1" s="1"/>
  <c r="N110" i="1"/>
  <c r="N28" i="1"/>
  <c r="HY20" i="4"/>
  <c r="AS91" i="1" s="1"/>
  <c r="AS120" i="1" s="1"/>
  <c r="IM20" i="4"/>
  <c r="BG91" i="1" s="1"/>
  <c r="BG120" i="1" s="1"/>
  <c r="JB20" i="4"/>
  <c r="BV91" i="1" s="1"/>
  <c r="BV120" i="1" s="1"/>
  <c r="IV19" i="4"/>
  <c r="BP90" i="1" s="1"/>
  <c r="BP119" i="1" s="1"/>
  <c r="IX20" i="4"/>
  <c r="BR91" i="1" s="1"/>
  <c r="BR120" i="1" s="1"/>
  <c r="IC20" i="4"/>
  <c r="AW91" i="1" s="1"/>
  <c r="AW120" i="1" s="1"/>
  <c r="HT19" i="4"/>
  <c r="AN90" i="1" s="1"/>
  <c r="AN119" i="1" s="1"/>
  <c r="JI20" i="4"/>
  <c r="CC91" i="1" s="1"/>
  <c r="IJ20" i="4"/>
  <c r="BD91" i="1" s="1"/>
  <c r="BD120" i="1" s="1"/>
  <c r="IG19" i="4"/>
  <c r="BA90" i="1" s="1"/>
  <c r="BA119" i="1" s="1"/>
  <c r="IK20" i="4"/>
  <c r="BE91" i="1" s="1"/>
  <c r="BE120" i="1" s="1"/>
  <c r="IE20" i="4"/>
  <c r="AY91" i="1" s="1"/>
  <c r="AY120" i="1" s="1"/>
  <c r="IY19" i="4"/>
  <c r="BS90" i="1" s="1"/>
  <c r="BS119" i="1" s="1"/>
  <c r="IU19" i="4"/>
  <c r="BO90" i="1" s="1"/>
  <c r="BO119" i="1" s="1"/>
  <c r="IQ19" i="4"/>
  <c r="BK90" i="1" s="1"/>
  <c r="BK119" i="1" s="1"/>
  <c r="IO19" i="4"/>
  <c r="BI90" i="1" s="1"/>
  <c r="BI119" i="1" s="1"/>
  <c r="HZ20" i="4"/>
  <c r="AT91" i="1" s="1"/>
  <c r="AT120" i="1" s="1"/>
  <c r="IM19" i="4"/>
  <c r="BG90" i="1" s="1"/>
  <c r="BG119" i="1" s="1"/>
  <c r="HS20" i="4"/>
  <c r="AM91" i="1" s="1"/>
  <c r="IH19" i="4"/>
  <c r="BB90" i="1" s="1"/>
  <c r="BB119" i="1" s="1"/>
  <c r="IA20" i="4"/>
  <c r="AU91" i="1" s="1"/>
  <c r="AU120" i="1" s="1"/>
  <c r="IT19" i="4"/>
  <c r="BN90" i="1" s="1"/>
  <c r="BN119" i="1" s="1"/>
  <c r="AL214" i="1"/>
  <c r="AK214" i="1"/>
  <c r="BK214" i="1"/>
  <c r="BY214" i="1"/>
  <c r="CM44" i="1"/>
  <c r="AB89" i="1"/>
  <c r="CQ89" i="1"/>
  <c r="AC152" i="1"/>
  <c r="CN77" i="1"/>
  <c r="CO75" i="1"/>
  <c r="IF19" i="4" l="1"/>
  <c r="AZ90" i="1" s="1"/>
  <c r="AZ119" i="1" s="1"/>
  <c r="S110" i="1"/>
  <c r="S28" i="1"/>
  <c r="L28" i="1"/>
  <c r="L110" i="1"/>
  <c r="M200" i="1"/>
  <c r="H28" i="1"/>
  <c r="H29" i="1" s="1"/>
  <c r="IS19" i="4"/>
  <c r="BM90" i="1" s="1"/>
  <c r="BM119" i="1" s="1"/>
  <c r="IN20" i="4"/>
  <c r="BH91" i="1" s="1"/>
  <c r="BH120" i="1" s="1"/>
  <c r="BY24" i="1"/>
  <c r="CB23" i="1"/>
  <c r="CC200" i="1"/>
  <c r="BX28" i="1"/>
  <c r="BX10" i="1" s="1"/>
  <c r="D39" i="1"/>
  <c r="JG19" i="4"/>
  <c r="CA90" i="1" s="1"/>
  <c r="IZ20" i="4"/>
  <c r="BT91" i="1" s="1"/>
  <c r="BT120" i="1" s="1"/>
  <c r="JB19" i="4"/>
  <c r="BV90" i="1" s="1"/>
  <c r="BV119" i="1" s="1"/>
  <c r="IG20" i="4"/>
  <c r="BA91" i="1" s="1"/>
  <c r="BA120" i="1" s="1"/>
  <c r="IK19" i="4"/>
  <c r="BE90" i="1" s="1"/>
  <c r="BE119" i="1" s="1"/>
  <c r="IU20" i="4"/>
  <c r="BO91" i="1" s="1"/>
  <c r="BO120" i="1" s="1"/>
  <c r="ID20" i="4"/>
  <c r="AX91" i="1" s="1"/>
  <c r="AX120" i="1" s="1"/>
  <c r="AM114" i="1"/>
  <c r="BX106" i="1"/>
  <c r="CB106" i="1"/>
  <c r="CB114" i="1"/>
  <c r="CB97" i="1"/>
  <c r="M28" i="1"/>
  <c r="M29" i="1" s="1"/>
  <c r="N23" i="1"/>
  <c r="BX196" i="1"/>
  <c r="W9" i="1"/>
  <c r="P200" i="1"/>
  <c r="O28" i="1"/>
  <c r="O29" i="1" s="1"/>
  <c r="O110" i="1"/>
  <c r="O23" i="1"/>
  <c r="CC114" i="1"/>
  <c r="CC106" i="1"/>
  <c r="H110" i="1"/>
  <c r="H23" i="1"/>
  <c r="G110" i="1"/>
  <c r="G28" i="1"/>
  <c r="H200" i="1"/>
  <c r="Q200" i="1"/>
  <c r="Q28" i="1"/>
  <c r="Q29" i="1" s="1"/>
  <c r="Q110" i="1"/>
  <c r="Q23" i="1"/>
  <c r="P110" i="1"/>
  <c r="P28" i="1"/>
  <c r="D28" i="1"/>
  <c r="B39" i="1"/>
  <c r="JF20" i="4"/>
  <c r="BZ91" i="1" s="1"/>
  <c r="IT20" i="4"/>
  <c r="BN91" i="1" s="1"/>
  <c r="BN120" i="1" s="1"/>
  <c r="AM31" i="1"/>
  <c r="HY19" i="4"/>
  <c r="AS90" i="1" s="1"/>
  <c r="AS119" i="1" s="1"/>
  <c r="M23" i="1"/>
  <c r="I200" i="1"/>
  <c r="M110" i="1"/>
  <c r="N200" i="1"/>
  <c r="X30" i="1"/>
  <c r="W29" i="1"/>
  <c r="W40" i="1"/>
  <c r="W13" i="1" s="1"/>
  <c r="W12" i="1" s="1"/>
  <c r="AL24" i="1"/>
  <c r="AK28" i="1"/>
  <c r="K110" i="1"/>
  <c r="K28" i="1"/>
  <c r="L200" i="1"/>
  <c r="AM29" i="1"/>
  <c r="AM24" i="1"/>
  <c r="P23" i="1"/>
  <c r="O200" i="1"/>
  <c r="L23" i="1"/>
  <c r="IE19" i="4"/>
  <c r="AY90" i="1" s="1"/>
  <c r="AY119" i="1" s="1"/>
  <c r="HR19" i="4"/>
  <c r="AL90" i="1" s="1"/>
  <c r="AL119" i="1" s="1"/>
  <c r="IB20" i="4"/>
  <c r="AV91" i="1" s="1"/>
  <c r="AV120" i="1" s="1"/>
  <c r="II20" i="4"/>
  <c r="BC91" i="1" s="1"/>
  <c r="BC120" i="1" s="1"/>
  <c r="E39" i="1"/>
  <c r="BY218" i="1"/>
  <c r="BX193" i="1"/>
  <c r="C28" i="1"/>
  <c r="D200" i="1"/>
  <c r="D23" i="1"/>
  <c r="K200" i="1"/>
  <c r="J28" i="1"/>
  <c r="J110" i="1"/>
  <c r="K23" i="1"/>
  <c r="BJ196" i="1"/>
  <c r="AL196" i="1"/>
  <c r="CA106" i="1"/>
  <c r="CA114" i="1"/>
  <c r="I23" i="1"/>
  <c r="I28" i="1"/>
  <c r="I110" i="1"/>
  <c r="J23" i="1"/>
  <c r="J200" i="1"/>
  <c r="BZ219" i="1"/>
  <c r="BY104" i="1"/>
  <c r="T8" i="1"/>
  <c r="U200" i="1"/>
  <c r="T23" i="1"/>
  <c r="T110" i="1"/>
  <c r="T28" i="1"/>
  <c r="U23" i="1"/>
  <c r="T200" i="1"/>
  <c r="AL40" i="1"/>
  <c r="AL39" i="1"/>
  <c r="AM39" i="1"/>
  <c r="AM40" i="1"/>
  <c r="BY141" i="1"/>
  <c r="BZ218" i="1"/>
  <c r="BZ217" i="1" s="1"/>
  <c r="BZ261" i="1"/>
  <c r="BZ263" i="1" s="1"/>
  <c r="BY261" i="1"/>
  <c r="W15" i="1"/>
  <c r="V15" i="1"/>
  <c r="BY146" i="1"/>
  <c r="BY45" i="1"/>
  <c r="BX150" i="1"/>
  <c r="BX258" i="1" s="1"/>
  <c r="E200" i="1"/>
  <c r="E110" i="1"/>
  <c r="E23" i="1"/>
  <c r="E28" i="1"/>
  <c r="V29" i="1"/>
  <c r="V10" i="1"/>
  <c r="V9" i="1" s="1"/>
  <c r="W30" i="1"/>
  <c r="V40" i="1"/>
  <c r="R110" i="1"/>
  <c r="S200" i="1"/>
  <c r="B28" i="1"/>
  <c r="C200" i="1"/>
  <c r="C23" i="1"/>
  <c r="F28" i="1"/>
  <c r="F29" i="1" s="1"/>
  <c r="F200" i="1"/>
  <c r="F23" i="1"/>
  <c r="F110" i="1"/>
  <c r="G23" i="1"/>
  <c r="AJ28" i="1"/>
  <c r="AM237" i="1"/>
  <c r="U10" i="1"/>
  <c r="U9" i="1" s="1"/>
  <c r="U29" i="1"/>
  <c r="V30" i="1"/>
  <c r="BX180" i="1"/>
  <c r="S23" i="1"/>
  <c r="R28" i="1"/>
  <c r="R23" i="1"/>
  <c r="R200" i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M116" i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BY219" i="1"/>
  <c r="AK24" i="1"/>
  <c r="BK261" i="1"/>
  <c r="BX260" i="1"/>
  <c r="BX141" i="1"/>
  <c r="G200" i="1"/>
  <c r="BX198" i="1"/>
  <c r="CB201" i="1" s="1"/>
  <c r="AJ39" i="1"/>
  <c r="BX107" i="1"/>
  <c r="BX169" i="1"/>
  <c r="AJ141" i="1"/>
  <c r="AK218" i="1"/>
  <c r="AM261" i="1"/>
  <c r="BK146" i="1"/>
  <c r="BJ150" i="1"/>
  <c r="BJ258" i="1" s="1"/>
  <c r="BL218" i="1"/>
  <c r="BL261" i="1"/>
  <c r="BJ104" i="1"/>
  <c r="BJ260" i="1"/>
  <c r="AJ180" i="1"/>
  <c r="AK49" i="1" s="1"/>
  <c r="AJ218" i="1"/>
  <c r="AM45" i="1"/>
  <c r="AL150" i="1"/>
  <c r="AL104" i="1"/>
  <c r="AL108" i="1" s="1"/>
  <c r="AL260" i="1"/>
  <c r="AL218" i="1"/>
  <c r="AM218" i="1"/>
  <c r="AJ209" i="1"/>
  <c r="AJ197" i="1"/>
  <c r="AK146" i="1"/>
  <c r="AL180" i="1"/>
  <c r="AJ169" i="1"/>
  <c r="BJ141" i="1"/>
  <c r="BJ180" i="1"/>
  <c r="BJ121" i="1" s="1"/>
  <c r="AJ150" i="1"/>
  <c r="BK218" i="1"/>
  <c r="AL261" i="1"/>
  <c r="AL141" i="1"/>
  <c r="AJ208" i="1"/>
  <c r="AJ194" i="1"/>
  <c r="BJ194" i="1"/>
  <c r="BJ169" i="1"/>
  <c r="AL194" i="1"/>
  <c r="AL169" i="1"/>
  <c r="AL120" i="1"/>
  <c r="AM115" i="1"/>
  <c r="AM119" i="1"/>
  <c r="BZ107" i="1"/>
  <c r="BZ101" i="1"/>
  <c r="BZ119" i="1"/>
  <c r="BZ122" i="1" s="1"/>
  <c r="AM120" i="1"/>
  <c r="AM116" i="1"/>
  <c r="BX101" i="1"/>
  <c r="BX119" i="1"/>
  <c r="BL119" i="1"/>
  <c r="BL122" i="1" s="1"/>
  <c r="BL107" i="1"/>
  <c r="CA108" i="1"/>
  <c r="CA120" i="1"/>
  <c r="CA116" i="1"/>
  <c r="CB98" i="1"/>
  <c r="CB115" i="1"/>
  <c r="CB107" i="1"/>
  <c r="CB119" i="1"/>
  <c r="CB122" i="1" s="1"/>
  <c r="CB125" i="1" s="1"/>
  <c r="N29" i="1"/>
  <c r="CC107" i="1"/>
  <c r="CC119" i="1"/>
  <c r="CC115" i="1"/>
  <c r="CC98" i="1"/>
  <c r="CF102" i="1" s="1"/>
  <c r="CC108" i="1"/>
  <c r="CC116" i="1"/>
  <c r="CC120" i="1"/>
  <c r="CB108" i="1"/>
  <c r="CB120" i="1"/>
  <c r="CB123" i="1" s="1"/>
  <c r="CB126" i="1" s="1"/>
  <c r="CC99" i="1"/>
  <c r="BX108" i="1"/>
  <c r="CB116" i="1"/>
  <c r="BL120" i="1"/>
  <c r="BL123" i="1" s="1"/>
  <c r="CB99" i="1"/>
  <c r="BY119" i="1"/>
  <c r="BY101" i="1"/>
  <c r="CM206" i="1"/>
  <c r="CM144" i="1"/>
  <c r="CM146" i="1" s="1"/>
  <c r="CM150" i="1" s="1"/>
  <c r="CM215" i="1" s="1"/>
  <c r="CM213" i="1" s="1"/>
  <c r="CR89" i="1"/>
  <c r="AC214" i="1"/>
  <c r="AB161" i="1"/>
  <c r="AB129" i="1"/>
  <c r="CO77" i="1"/>
  <c r="CP75" i="1"/>
  <c r="CA237" i="1"/>
  <c r="S29" i="1" l="1"/>
  <c r="S10" i="1"/>
  <c r="L29" i="1"/>
  <c r="BX9" i="1"/>
  <c r="BX29" i="1"/>
  <c r="BY31" i="1"/>
  <c r="CB30" i="1"/>
  <c r="BX40" i="1"/>
  <c r="BX13" i="1" s="1"/>
  <c r="BX12" i="1" s="1"/>
  <c r="M30" i="1"/>
  <c r="Q30" i="1"/>
  <c r="P29" i="1"/>
  <c r="H30" i="1"/>
  <c r="N30" i="1"/>
  <c r="O30" i="1"/>
  <c r="P30" i="1"/>
  <c r="CA115" i="1"/>
  <c r="CA119" i="1"/>
  <c r="CA107" i="1"/>
  <c r="D29" i="1"/>
  <c r="D40" i="1"/>
  <c r="E30" i="1"/>
  <c r="G29" i="1"/>
  <c r="R29" i="1"/>
  <c r="AL31" i="1"/>
  <c r="AK31" i="1"/>
  <c r="X42" i="1"/>
  <c r="W46" i="1"/>
  <c r="W50" i="1" s="1"/>
  <c r="W41" i="1"/>
  <c r="K29" i="1"/>
  <c r="L30" i="1"/>
  <c r="G30" i="1"/>
  <c r="BZ120" i="1"/>
  <c r="BZ123" i="1" s="1"/>
  <c r="BZ108" i="1"/>
  <c r="AK40" i="1"/>
  <c r="AK29" i="1"/>
  <c r="W244" i="1"/>
  <c r="W245" i="1" s="1"/>
  <c r="X262" i="1"/>
  <c r="W124" i="1"/>
  <c r="I29" i="1"/>
  <c r="I30" i="1"/>
  <c r="T10" i="1"/>
  <c r="T9" i="1" s="1"/>
  <c r="U30" i="1"/>
  <c r="T30" i="1"/>
  <c r="T29" i="1"/>
  <c r="AJ29" i="1"/>
  <c r="AJ40" i="1"/>
  <c r="S30" i="1"/>
  <c r="R30" i="1"/>
  <c r="BY217" i="1"/>
  <c r="BX177" i="1"/>
  <c r="BX178" i="1" s="1"/>
  <c r="C30" i="1"/>
  <c r="D30" i="1"/>
  <c r="C29" i="1"/>
  <c r="C40" i="1"/>
  <c r="J29" i="1"/>
  <c r="J30" i="1"/>
  <c r="K30" i="1"/>
  <c r="AM41" i="1"/>
  <c r="AM262" i="1"/>
  <c r="AM263" i="1" s="1"/>
  <c r="AM46" i="1"/>
  <c r="AM50" i="1" s="1"/>
  <c r="AM244" i="1"/>
  <c r="AM245" i="1" s="1"/>
  <c r="V46" i="1"/>
  <c r="V50" i="1" s="1"/>
  <c r="V124" i="1"/>
  <c r="V244" i="1"/>
  <c r="V245" i="1" s="1"/>
  <c r="V41" i="1"/>
  <c r="BX121" i="1"/>
  <c r="BY49" i="1"/>
  <c r="T15" i="1"/>
  <c r="U15" i="1"/>
  <c r="BZ45" i="1"/>
  <c r="BY150" i="1"/>
  <c r="B40" i="1"/>
  <c r="B29" i="1"/>
  <c r="BY106" i="1"/>
  <c r="BY107" i="1"/>
  <c r="BY108" i="1"/>
  <c r="AL244" i="1"/>
  <c r="AL245" i="1" s="1"/>
  <c r="AM43" i="1"/>
  <c r="AL46" i="1"/>
  <c r="AL50" i="1" s="1"/>
  <c r="AL41" i="1"/>
  <c r="E40" i="1"/>
  <c r="F30" i="1"/>
  <c r="E29" i="1"/>
  <c r="V13" i="1"/>
  <c r="V12" i="1" s="1"/>
  <c r="W42" i="1"/>
  <c r="W262" i="1"/>
  <c r="AJ177" i="1"/>
  <c r="AJ178" i="1" s="1"/>
  <c r="S9" i="1"/>
  <c r="AJ210" i="1"/>
  <c r="AL177" i="1"/>
  <c r="AL178" i="1" s="1"/>
  <c r="BL45" i="1"/>
  <c r="BK150" i="1"/>
  <c r="BL215" i="1" s="1"/>
  <c r="BL213" i="1" s="1"/>
  <c r="BJ106" i="1"/>
  <c r="BJ107" i="1"/>
  <c r="BJ108" i="1"/>
  <c r="AM215" i="1"/>
  <c r="AM213" i="1" s="1"/>
  <c r="AL258" i="1"/>
  <c r="AK150" i="1"/>
  <c r="AL45" i="1"/>
  <c r="BJ122" i="1"/>
  <c r="BJ123" i="1"/>
  <c r="AL106" i="1"/>
  <c r="AL107" i="1"/>
  <c r="AL121" i="1"/>
  <c r="AM49" i="1"/>
  <c r="AJ215" i="1"/>
  <c r="AJ213" i="1" s="1"/>
  <c r="BJ198" i="1"/>
  <c r="BJ193" i="1"/>
  <c r="AL193" i="1"/>
  <c r="AL198" i="1"/>
  <c r="CE102" i="1"/>
  <c r="CN44" i="1"/>
  <c r="CS89" i="1"/>
  <c r="AB175" i="1"/>
  <c r="CP77" i="1"/>
  <c r="CQ75" i="1"/>
  <c r="AC129" i="1"/>
  <c r="AC161" i="1"/>
  <c r="CB237" i="1"/>
  <c r="BQ1" i="1"/>
  <c r="BR1" i="1" s="1"/>
  <c r="BS1" i="1" s="1"/>
  <c r="BT1" i="1" s="1"/>
  <c r="BX41" i="1" l="1"/>
  <c r="BX46" i="1"/>
  <c r="CB42" i="1"/>
  <c r="CA124" i="1"/>
  <c r="BX244" i="1"/>
  <c r="BX245" i="1" s="1"/>
  <c r="BY43" i="1"/>
  <c r="BY262" i="1"/>
  <c r="BY263" i="1" s="1"/>
  <c r="D46" i="1"/>
  <c r="D50" i="1" s="1"/>
  <c r="AM238" i="1"/>
  <c r="D41" i="1"/>
  <c r="D244" i="1"/>
  <c r="D245" i="1" s="1"/>
  <c r="D124" i="1"/>
  <c r="AM124" i="1"/>
  <c r="AK43" i="1"/>
  <c r="AL262" i="1"/>
  <c r="AL263" i="1" s="1"/>
  <c r="W53" i="1"/>
  <c r="W52" i="1"/>
  <c r="AK244" i="1"/>
  <c r="AK245" i="1" s="1"/>
  <c r="AL43" i="1"/>
  <c r="AK41" i="1"/>
  <c r="AK46" i="1"/>
  <c r="AK50" i="1" s="1"/>
  <c r="AJ46" i="1"/>
  <c r="AJ50" i="1" s="1"/>
  <c r="AJ244" i="1"/>
  <c r="AJ245" i="1" s="1"/>
  <c r="AJ41" i="1"/>
  <c r="C42" i="1"/>
  <c r="D262" i="1"/>
  <c r="C262" i="1"/>
  <c r="C41" i="1"/>
  <c r="D42" i="1"/>
  <c r="AM53" i="1"/>
  <c r="AM54" i="1" s="1"/>
  <c r="AM257" i="1" s="1"/>
  <c r="AM52" i="1"/>
  <c r="V52" i="1"/>
  <c r="V53" i="1"/>
  <c r="BX122" i="1"/>
  <c r="BX123" i="1"/>
  <c r="AL53" i="1"/>
  <c r="AL60" i="1" s="1"/>
  <c r="AL52" i="1"/>
  <c r="E41" i="1"/>
  <c r="E42" i="1"/>
  <c r="BY215" i="1"/>
  <c r="BY213" i="1" s="1"/>
  <c r="BZ215" i="1"/>
  <c r="BZ213" i="1" s="1"/>
  <c r="B124" i="1"/>
  <c r="B41" i="1"/>
  <c r="AK215" i="1"/>
  <c r="AK213" i="1" s="1"/>
  <c r="AL215" i="1"/>
  <c r="AL213" i="1" s="1"/>
  <c r="AL123" i="1"/>
  <c r="AL122" i="1"/>
  <c r="CN144" i="1"/>
  <c r="CN146" i="1" s="1"/>
  <c r="CO44" i="1" s="1"/>
  <c r="CT89" i="1"/>
  <c r="AB149" i="1"/>
  <c r="AD161" i="1"/>
  <c r="AE161" i="1"/>
  <c r="AD129" i="1"/>
  <c r="AE129" i="1"/>
  <c r="CQ77" i="1"/>
  <c r="CR75" i="1"/>
  <c r="AC175" i="1"/>
  <c r="BU1" i="1"/>
  <c r="Q39" i="1"/>
  <c r="P39" i="1"/>
  <c r="O39" i="1"/>
  <c r="I39" i="1"/>
  <c r="H39" i="1"/>
  <c r="G39" i="1"/>
  <c r="U39" i="1"/>
  <c r="T39" i="1"/>
  <c r="S39" i="1"/>
  <c r="R39" i="1"/>
  <c r="N39" i="1"/>
  <c r="M39" i="1"/>
  <c r="L39" i="1"/>
  <c r="K39" i="1"/>
  <c r="J39" i="1"/>
  <c r="F39" i="1"/>
  <c r="BX50" i="1" l="1"/>
  <c r="CA67" i="1"/>
  <c r="D53" i="1"/>
  <c r="D52" i="1"/>
  <c r="W55" i="1"/>
  <c r="AK53" i="1"/>
  <c r="AK52" i="1"/>
  <c r="W60" i="1"/>
  <c r="W64" i="1" s="1"/>
  <c r="W246" i="1"/>
  <c r="W54" i="1"/>
  <c r="W257" i="1" s="1"/>
  <c r="X55" i="1"/>
  <c r="AJ52" i="1"/>
  <c r="AJ53" i="1"/>
  <c r="V54" i="1"/>
  <c r="V257" i="1" s="1"/>
  <c r="V60" i="1"/>
  <c r="AL246" i="1"/>
  <c r="AM56" i="1"/>
  <c r="AL54" i="1"/>
  <c r="AL257" i="1" s="1"/>
  <c r="AL205" i="1"/>
  <c r="AL207" i="1" s="1"/>
  <c r="AL78" i="1"/>
  <c r="AL64" i="1"/>
  <c r="CO206" i="1"/>
  <c r="CO144" i="1"/>
  <c r="CN150" i="1"/>
  <c r="CN206" i="1"/>
  <c r="AC89" i="1"/>
  <c r="CU89" i="1"/>
  <c r="AD175" i="1"/>
  <c r="AE175" i="1"/>
  <c r="AD152" i="1"/>
  <c r="CR77" i="1"/>
  <c r="CS75" i="1"/>
  <c r="AC149" i="1"/>
  <c r="BV1" i="1"/>
  <c r="BW1" i="1" s="1"/>
  <c r="BX1" i="1" s="1"/>
  <c r="AM246" i="1"/>
  <c r="B244" i="1"/>
  <c r="B245" i="1" s="1"/>
  <c r="BL244" i="1"/>
  <c r="BL245" i="1" s="1"/>
  <c r="G40" i="1"/>
  <c r="O40" i="1"/>
  <c r="H40" i="1"/>
  <c r="P40" i="1"/>
  <c r="I40" i="1"/>
  <c r="Q40" i="1"/>
  <c r="J40" i="1"/>
  <c r="R40" i="1"/>
  <c r="K40" i="1"/>
  <c r="S40" i="1"/>
  <c r="S13" i="1" s="1"/>
  <c r="S12" i="1" s="1"/>
  <c r="L40" i="1"/>
  <c r="T40" i="1"/>
  <c r="T13" i="1" s="1"/>
  <c r="T12" i="1" s="1"/>
  <c r="M40" i="1"/>
  <c r="U40" i="1"/>
  <c r="U13" i="1" s="1"/>
  <c r="U12" i="1" s="1"/>
  <c r="F40" i="1"/>
  <c r="F262" i="1" s="1"/>
  <c r="N40" i="1"/>
  <c r="AK60" i="1" l="1"/>
  <c r="AK131" i="1" s="1"/>
  <c r="AK132" i="1" s="1"/>
  <c r="AK141" i="1" s="1"/>
  <c r="D54" i="1"/>
  <c r="BX52" i="1"/>
  <c r="BX53" i="1"/>
  <c r="AK54" i="1"/>
  <c r="AL56" i="1"/>
  <c r="D246" i="1"/>
  <c r="D60" i="1"/>
  <c r="AK246" i="1"/>
  <c r="AK56" i="1"/>
  <c r="AM239" i="1"/>
  <c r="AJ246" i="1"/>
  <c r="AJ60" i="1"/>
  <c r="AJ54" i="1"/>
  <c r="T262" i="1"/>
  <c r="P262" i="1"/>
  <c r="D205" i="1"/>
  <c r="D207" i="1" s="1"/>
  <c r="D64" i="1"/>
  <c r="CB55" i="1"/>
  <c r="BX246" i="1"/>
  <c r="BX54" i="1"/>
  <c r="BX257" i="1" s="1"/>
  <c r="BX60" i="1"/>
  <c r="AK78" i="1"/>
  <c r="AK64" i="1"/>
  <c r="M262" i="1"/>
  <c r="R262" i="1"/>
  <c r="I262" i="1"/>
  <c r="K262" i="1"/>
  <c r="G262" i="1"/>
  <c r="H262" i="1"/>
  <c r="L262" i="1"/>
  <c r="S262" i="1"/>
  <c r="O262" i="1"/>
  <c r="J262" i="1"/>
  <c r="N262" i="1"/>
  <c r="U262" i="1"/>
  <c r="V262" i="1"/>
  <c r="Q262" i="1"/>
  <c r="R124" i="1"/>
  <c r="S42" i="1"/>
  <c r="T124" i="1"/>
  <c r="U42" i="1"/>
  <c r="U124" i="1"/>
  <c r="V42" i="1"/>
  <c r="P124" i="1"/>
  <c r="Q42" i="1"/>
  <c r="Q124" i="1"/>
  <c r="R42" i="1"/>
  <c r="I124" i="1"/>
  <c r="J42" i="1"/>
  <c r="S124" i="1"/>
  <c r="T42" i="1"/>
  <c r="H124" i="1"/>
  <c r="I42" i="1"/>
  <c r="E124" i="1"/>
  <c r="F42" i="1"/>
  <c r="L124" i="1"/>
  <c r="M42" i="1"/>
  <c r="O124" i="1"/>
  <c r="P42" i="1"/>
  <c r="N124" i="1"/>
  <c r="O42" i="1"/>
  <c r="K124" i="1"/>
  <c r="L42" i="1"/>
  <c r="F124" i="1"/>
  <c r="G42" i="1"/>
  <c r="G124" i="1"/>
  <c r="H42" i="1"/>
  <c r="M124" i="1"/>
  <c r="N42" i="1"/>
  <c r="J124" i="1"/>
  <c r="K42" i="1"/>
  <c r="CN215" i="1"/>
  <c r="CN213" i="1" s="1"/>
  <c r="CO146" i="1"/>
  <c r="CV89" i="1"/>
  <c r="AD214" i="1"/>
  <c r="AB154" i="1"/>
  <c r="AE149" i="1"/>
  <c r="AD149" i="1"/>
  <c r="CT75" i="1"/>
  <c r="CS77" i="1"/>
  <c r="C124" i="1"/>
  <c r="BY1" i="1"/>
  <c r="L41" i="1"/>
  <c r="N41" i="1"/>
  <c r="F41" i="1"/>
  <c r="O41" i="1"/>
  <c r="U46" i="1"/>
  <c r="U50" i="1" s="1"/>
  <c r="U41" i="1"/>
  <c r="G41" i="1"/>
  <c r="S41" i="1"/>
  <c r="M41" i="1"/>
  <c r="R41" i="1"/>
  <c r="J41" i="1"/>
  <c r="I41" i="1"/>
  <c r="P41" i="1"/>
  <c r="H41" i="1"/>
  <c r="K41" i="1"/>
  <c r="T41" i="1"/>
  <c r="Q41" i="1"/>
  <c r="T244" i="1"/>
  <c r="T245" i="1" s="1"/>
  <c r="Q244" i="1"/>
  <c r="Q245" i="1" s="1"/>
  <c r="K244" i="1"/>
  <c r="K245" i="1" s="1"/>
  <c r="O244" i="1"/>
  <c r="O245" i="1" s="1"/>
  <c r="U244" i="1"/>
  <c r="U245" i="1" s="1"/>
  <c r="L244" i="1"/>
  <c r="L245" i="1" s="1"/>
  <c r="C244" i="1"/>
  <c r="C245" i="1" s="1"/>
  <c r="I244" i="1"/>
  <c r="I245" i="1" s="1"/>
  <c r="G244" i="1"/>
  <c r="G245" i="1" s="1"/>
  <c r="R244" i="1"/>
  <c r="R245" i="1" s="1"/>
  <c r="P244" i="1"/>
  <c r="P245" i="1" s="1"/>
  <c r="F244" i="1"/>
  <c r="F245" i="1" s="1"/>
  <c r="M244" i="1"/>
  <c r="M245" i="1" s="1"/>
  <c r="N244" i="1"/>
  <c r="N245" i="1" s="1"/>
  <c r="E244" i="1"/>
  <c r="E245" i="1" s="1"/>
  <c r="S244" i="1"/>
  <c r="S245" i="1" s="1"/>
  <c r="J244" i="1"/>
  <c r="J245" i="1" s="1"/>
  <c r="H244" i="1"/>
  <c r="H245" i="1" s="1"/>
  <c r="B46" i="1"/>
  <c r="L46" i="1"/>
  <c r="Q46" i="1"/>
  <c r="T46" i="1"/>
  <c r="N46" i="1"/>
  <c r="S46" i="1"/>
  <c r="F46" i="1"/>
  <c r="K46" i="1"/>
  <c r="H46" i="1"/>
  <c r="I46" i="1"/>
  <c r="P46" i="1"/>
  <c r="C46" i="1"/>
  <c r="O46" i="1"/>
  <c r="R46" i="1"/>
  <c r="M46" i="1"/>
  <c r="G46" i="1"/>
  <c r="E46" i="1"/>
  <c r="J46" i="1"/>
  <c r="AK205" i="1" l="1"/>
  <c r="AK207" i="1" s="1"/>
  <c r="BY56" i="1"/>
  <c r="AJ64" i="1"/>
  <c r="AJ78" i="1"/>
  <c r="AJ219" i="1"/>
  <c r="AJ217" i="1" s="1"/>
  <c r="AJ205" i="1"/>
  <c r="AJ207" i="1" s="1"/>
  <c r="AJ211" i="1" s="1"/>
  <c r="AJ225" i="1" s="1"/>
  <c r="CA66" i="1"/>
  <c r="BX78" i="1"/>
  <c r="CA81" i="1" s="1"/>
  <c r="BX205" i="1"/>
  <c r="BX207" i="1" s="1"/>
  <c r="BX64" i="1"/>
  <c r="AK219" i="1"/>
  <c r="AK217" i="1" s="1"/>
  <c r="AL219" i="1"/>
  <c r="AL217" i="1" s="1"/>
  <c r="BK176" i="1"/>
  <c r="BM176" i="1"/>
  <c r="CO150" i="1"/>
  <c r="CP44" i="1"/>
  <c r="CW89" i="1"/>
  <c r="AE152" i="1"/>
  <c r="AE214" i="1" s="1"/>
  <c r="CT77" i="1"/>
  <c r="CU75" i="1"/>
  <c r="BZ1" i="1"/>
  <c r="U53" i="1"/>
  <c r="V55" i="1" s="1"/>
  <c r="U52" i="1"/>
  <c r="P50" i="1"/>
  <c r="P53" i="1" s="1"/>
  <c r="R50" i="1"/>
  <c r="R53" i="1" s="1"/>
  <c r="E50" i="1"/>
  <c r="S50" i="1"/>
  <c r="S52" i="1" s="1"/>
  <c r="G50" i="1"/>
  <c r="G53" i="1" s="1"/>
  <c r="K50" i="1"/>
  <c r="K53" i="1" s="1"/>
  <c r="B50" i="1"/>
  <c r="O50" i="1"/>
  <c r="O53" i="1" s="1"/>
  <c r="H50" i="1"/>
  <c r="H53" i="1" s="1"/>
  <c r="N50" i="1"/>
  <c r="N53" i="1" s="1"/>
  <c r="L50" i="1"/>
  <c r="L52" i="1" s="1"/>
  <c r="C50" i="1"/>
  <c r="M50" i="1"/>
  <c r="M52" i="1" s="1"/>
  <c r="T50" i="1"/>
  <c r="T53" i="1" s="1"/>
  <c r="F50" i="1"/>
  <c r="F52" i="1" s="1"/>
  <c r="J50" i="1"/>
  <c r="J52" i="1" s="1"/>
  <c r="I50" i="1"/>
  <c r="I52" i="1" s="1"/>
  <c r="Q50" i="1"/>
  <c r="Q53" i="1" s="1"/>
  <c r="V246" i="1"/>
  <c r="AJ222" i="1" l="1"/>
  <c r="AJ223" i="1" s="1"/>
  <c r="R55" i="1"/>
  <c r="CE82" i="1"/>
  <c r="CA99" i="1"/>
  <c r="CA98" i="1"/>
  <c r="CD102" i="1" s="1"/>
  <c r="BW101" i="1"/>
  <c r="CA97" i="1"/>
  <c r="U55" i="1"/>
  <c r="O55" i="1"/>
  <c r="AB44" i="1"/>
  <c r="B53" i="1"/>
  <c r="B52" i="1"/>
  <c r="C53" i="1"/>
  <c r="C52" i="1"/>
  <c r="E53" i="1"/>
  <c r="E60" i="1" s="1"/>
  <c r="E52" i="1"/>
  <c r="P55" i="1"/>
  <c r="H55" i="1"/>
  <c r="Q55" i="1"/>
  <c r="BJ177" i="1"/>
  <c r="BJ178" i="1" s="1"/>
  <c r="BL177" i="1"/>
  <c r="BL178" i="1" s="1"/>
  <c r="CP206" i="1"/>
  <c r="CP144" i="1"/>
  <c r="CO215" i="1"/>
  <c r="CO213" i="1" s="1"/>
  <c r="CX89" i="1"/>
  <c r="CV75" i="1"/>
  <c r="CU77" i="1"/>
  <c r="CA1" i="1"/>
  <c r="CB1" i="1" s="1"/>
  <c r="O52" i="1"/>
  <c r="BL246" i="1"/>
  <c r="S53" i="1"/>
  <c r="U54" i="1"/>
  <c r="U257" i="1" s="1"/>
  <c r="P54" i="1"/>
  <c r="P257" i="1" s="1"/>
  <c r="Q60" i="1"/>
  <c r="Q54" i="1"/>
  <c r="Q257" i="1" s="1"/>
  <c r="L53" i="1"/>
  <c r="P52" i="1"/>
  <c r="H54" i="1"/>
  <c r="H257" i="1" s="1"/>
  <c r="G54" i="1"/>
  <c r="G257" i="1" s="1"/>
  <c r="U60" i="1"/>
  <c r="N54" i="1"/>
  <c r="N257" i="1" s="1"/>
  <c r="R54" i="1"/>
  <c r="R257" i="1" s="1"/>
  <c r="K54" i="1"/>
  <c r="K257" i="1" s="1"/>
  <c r="O60" i="1"/>
  <c r="O54" i="1"/>
  <c r="O257" i="1" s="1"/>
  <c r="T60" i="1"/>
  <c r="T54" i="1"/>
  <c r="T257" i="1" s="1"/>
  <c r="R52" i="1"/>
  <c r="K52" i="1"/>
  <c r="N52" i="1"/>
  <c r="G52" i="1"/>
  <c r="H52" i="1"/>
  <c r="J53" i="1"/>
  <c r="K55" i="1" s="1"/>
  <c r="M53" i="1"/>
  <c r="N55" i="1" s="1"/>
  <c r="T52" i="1"/>
  <c r="F53" i="1"/>
  <c r="G55" i="1" s="1"/>
  <c r="I53" i="1"/>
  <c r="I55" i="1" s="1"/>
  <c r="O246" i="1"/>
  <c r="Q52" i="1"/>
  <c r="P246" i="1"/>
  <c r="P60" i="1"/>
  <c r="K246" i="1"/>
  <c r="K60" i="1"/>
  <c r="H246" i="1"/>
  <c r="H60" i="1"/>
  <c r="R60" i="1"/>
  <c r="N60" i="1"/>
  <c r="G60" i="1"/>
  <c r="G246" i="1"/>
  <c r="R246" i="1"/>
  <c r="N246" i="1"/>
  <c r="Q246" i="1"/>
  <c r="U246" i="1"/>
  <c r="T246" i="1"/>
  <c r="V64" i="1"/>
  <c r="V205" i="1"/>
  <c r="V207" i="1" s="1"/>
  <c r="E246" i="1" l="1"/>
  <c r="AB206" i="1"/>
  <c r="E54" i="1"/>
  <c r="E257" i="1" s="1"/>
  <c r="E55" i="1"/>
  <c r="D55" i="1"/>
  <c r="C54" i="1"/>
  <c r="B54" i="1"/>
  <c r="C55" i="1"/>
  <c r="F55" i="1"/>
  <c r="M55" i="1"/>
  <c r="S54" i="1"/>
  <c r="S257" i="1" s="1"/>
  <c r="T55" i="1"/>
  <c r="L55" i="1"/>
  <c r="J55" i="1"/>
  <c r="S55" i="1"/>
  <c r="AB144" i="1"/>
  <c r="AB146" i="1" s="1"/>
  <c r="AB45" i="1" s="1"/>
  <c r="CP146" i="1"/>
  <c r="AD89" i="1"/>
  <c r="CY89" i="1"/>
  <c r="CV77" i="1"/>
  <c r="CW75" i="1"/>
  <c r="CC1" i="1"/>
  <c r="K64" i="1"/>
  <c r="G64" i="1"/>
  <c r="E64" i="1"/>
  <c r="S60" i="1"/>
  <c r="S246" i="1"/>
  <c r="L246" i="1"/>
  <c r="L60" i="1"/>
  <c r="O205" i="1"/>
  <c r="O207" i="1" s="1"/>
  <c r="O64" i="1"/>
  <c r="B246" i="1"/>
  <c r="B60" i="1"/>
  <c r="M60" i="1"/>
  <c r="M54" i="1"/>
  <c r="M257" i="1" s="1"/>
  <c r="C246" i="1"/>
  <c r="I60" i="1"/>
  <c r="I54" i="1"/>
  <c r="I257" i="1" s="1"/>
  <c r="J60" i="1"/>
  <c r="J54" i="1"/>
  <c r="J257" i="1" s="1"/>
  <c r="F60" i="1"/>
  <c r="F54" i="1"/>
  <c r="F257" i="1" s="1"/>
  <c r="L54" i="1"/>
  <c r="L257" i="1" s="1"/>
  <c r="J246" i="1"/>
  <c r="E205" i="1"/>
  <c r="E207" i="1" s="1"/>
  <c r="R205" i="1"/>
  <c r="R207" i="1" s="1"/>
  <c r="M246" i="1"/>
  <c r="R64" i="1"/>
  <c r="I246" i="1"/>
  <c r="H64" i="1"/>
  <c r="H205" i="1"/>
  <c r="H207" i="1" s="1"/>
  <c r="F246" i="1"/>
  <c r="C60" i="1"/>
  <c r="N205" i="1"/>
  <c r="N207" i="1" s="1"/>
  <c r="N64" i="1"/>
  <c r="G205" i="1"/>
  <c r="G207" i="1" s="1"/>
  <c r="P64" i="1"/>
  <c r="K205" i="1"/>
  <c r="K207" i="1" s="1"/>
  <c r="P205" i="1"/>
  <c r="P207" i="1" s="1"/>
  <c r="U64" i="1"/>
  <c r="U205" i="1"/>
  <c r="U207" i="1" s="1"/>
  <c r="Q64" i="1"/>
  <c r="Q205" i="1"/>
  <c r="Q207" i="1" s="1"/>
  <c r="T64" i="1"/>
  <c r="T205" i="1"/>
  <c r="T207" i="1" s="1"/>
  <c r="CP150" i="1" l="1"/>
  <c r="CP215" i="1" s="1"/>
  <c r="CP213" i="1" s="1"/>
  <c r="CQ44" i="1"/>
  <c r="CZ89" i="1"/>
  <c r="AC154" i="1"/>
  <c r="CX75" i="1"/>
  <c r="CW77" i="1"/>
  <c r="CD1" i="1"/>
  <c r="CE1" i="1" s="1"/>
  <c r="CF1" i="1" s="1"/>
  <c r="CG1" i="1" s="1"/>
  <c r="CH1" i="1" s="1"/>
  <c r="CI1" i="1" s="1"/>
  <c r="CJ1" i="1" s="1"/>
  <c r="CK1" i="1" s="1"/>
  <c r="CL1" i="1" s="1"/>
  <c r="L205" i="1"/>
  <c r="L207" i="1" s="1"/>
  <c r="J205" i="1"/>
  <c r="J207" i="1" s="1"/>
  <c r="M205" i="1"/>
  <c r="M207" i="1" s="1"/>
  <c r="B64" i="1"/>
  <c r="F64" i="1"/>
  <c r="I64" i="1"/>
  <c r="C64" i="1"/>
  <c r="L64" i="1"/>
  <c r="S64" i="1"/>
  <c r="J64" i="1"/>
  <c r="S205" i="1"/>
  <c r="S207" i="1" s="1"/>
  <c r="M64" i="1"/>
  <c r="I205" i="1"/>
  <c r="I207" i="1" s="1"/>
  <c r="F205" i="1"/>
  <c r="F207" i="1" s="1"/>
  <c r="C205" i="1"/>
  <c r="C207" i="1" s="1"/>
  <c r="CQ206" i="1" l="1"/>
  <c r="CQ144" i="1"/>
  <c r="DA89" i="1"/>
  <c r="CX77" i="1"/>
  <c r="CY75" i="1"/>
  <c r="AB136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H107" i="2"/>
  <c r="E109" i="2"/>
  <c r="J92" i="2"/>
  <c r="V106" i="2"/>
  <c r="R67" i="2"/>
  <c r="H104" i="2"/>
  <c r="O48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Q62" i="2"/>
  <c r="E95" i="2"/>
  <c r="E90" i="2"/>
  <c r="N51" i="2"/>
  <c r="P91" i="2"/>
  <c r="T64" i="2"/>
  <c r="U105" i="2"/>
  <c r="D70" i="2"/>
  <c r="J78" i="2"/>
  <c r="T67" i="2"/>
  <c r="R106" i="2"/>
  <c r="T99" i="2"/>
  <c r="J55" i="2"/>
  <c r="G48" i="2"/>
  <c r="P111" i="2"/>
  <c r="E58" i="2"/>
  <c r="E67" i="2"/>
  <c r="H46" i="2"/>
  <c r="D79" i="2"/>
  <c r="S84" i="2"/>
  <c r="F68" i="2"/>
  <c r="I47" i="2"/>
  <c r="K67" i="2"/>
  <c r="U83" i="2"/>
  <c r="H79" i="2"/>
  <c r="N52" i="2"/>
  <c r="P108" i="2"/>
  <c r="Q79" i="2"/>
  <c r="V99" i="2"/>
  <c r="U90" i="2"/>
  <c r="T82" i="2"/>
  <c r="J70" i="2"/>
  <c r="T83" i="2"/>
  <c r="L96" i="2"/>
  <c r="J44" i="2"/>
  <c r="X56" i="2"/>
  <c r="N69" i="2"/>
  <c r="E56" i="2"/>
  <c r="O64" i="2"/>
  <c r="N91" i="2"/>
  <c r="U93" i="2"/>
  <c r="H61" i="2"/>
  <c r="R43" i="2"/>
  <c r="H108" i="2"/>
  <c r="H80" i="2"/>
  <c r="Q60" i="2"/>
  <c r="F85" i="2"/>
  <c r="G74" i="2"/>
  <c r="N110" i="2"/>
  <c r="P110" i="2"/>
  <c r="R68" i="2"/>
  <c r="K83" i="2"/>
  <c r="H45" i="2"/>
  <c r="W79" i="2"/>
  <c r="I40" i="2"/>
  <c r="W52" i="2"/>
  <c r="H76" i="2"/>
  <c r="S95" i="2"/>
  <c r="M108" i="2"/>
  <c r="O47" i="2"/>
  <c r="M47" i="2"/>
  <c r="L83" i="2"/>
  <c r="AP84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AP17" i="3"/>
  <c r="X22" i="3"/>
  <c r="AG34" i="3"/>
  <c r="AD40" i="3"/>
  <c r="Q30" i="3"/>
  <c r="Z21" i="3"/>
  <c r="P37" i="3"/>
  <c r="AI37" i="3"/>
  <c r="AN42" i="3"/>
  <c r="X37" i="3"/>
  <c r="N31" i="3"/>
  <c r="H26" i="3"/>
  <c r="W25" i="3"/>
  <c r="D48" i="3"/>
  <c r="T40" i="3"/>
  <c r="AA15" i="3"/>
  <c r="AI17" i="3"/>
  <c r="AE40" i="3"/>
  <c r="P12" i="3"/>
  <c r="AG13" i="3"/>
  <c r="P36" i="3"/>
  <c r="J26" i="3"/>
  <c r="Q39" i="3"/>
  <c r="N22" i="3"/>
  <c r="AH6" i="3"/>
  <c r="X6" i="3"/>
  <c r="C18" i="3"/>
  <c r="AI26" i="3"/>
  <c r="AO40" i="3"/>
  <c r="AC5" i="3"/>
  <c r="Z7" i="3"/>
  <c r="L15" i="3"/>
  <c r="R13" i="3"/>
  <c r="I12" i="3"/>
  <c r="X17" i="3"/>
  <c r="AM31" i="3"/>
  <c r="AN11" i="3"/>
  <c r="K12" i="3"/>
  <c r="K27" i="3"/>
  <c r="S15" i="3"/>
  <c r="S37" i="3"/>
  <c r="AP39" i="3"/>
  <c r="Q13" i="3"/>
  <c r="N12" i="3"/>
  <c r="Y27" i="3"/>
  <c r="AN13" i="3"/>
  <c r="I5" i="3"/>
  <c r="U16" i="3"/>
  <c r="W48" i="2"/>
  <c r="G66" i="2"/>
  <c r="O84" i="2"/>
  <c r="F40" i="2"/>
  <c r="E52" i="2"/>
  <c r="K49" i="2"/>
  <c r="F99" i="2"/>
  <c r="V65" i="2"/>
  <c r="F41" i="2"/>
  <c r="H84" i="2"/>
  <c r="C49" i="2"/>
  <c r="E104" i="2"/>
  <c r="I66" i="2"/>
  <c r="N72" i="2"/>
  <c r="R85" i="2"/>
  <c r="L77" i="2"/>
  <c r="U55" i="2"/>
  <c r="W94" i="2"/>
  <c r="N80" i="2"/>
  <c r="J99" i="2"/>
  <c r="R82" i="2"/>
  <c r="G91" i="2"/>
  <c r="K66" i="2"/>
  <c r="X51" i="2"/>
  <c r="W80" i="2"/>
  <c r="X67" i="2"/>
  <c r="J73" i="2"/>
  <c r="C86" i="2"/>
  <c r="H71" i="2"/>
  <c r="X55" i="2"/>
  <c r="O60" i="2"/>
  <c r="V112" i="2"/>
  <c r="R72" i="2"/>
  <c r="O93" i="2"/>
  <c r="M72" i="2"/>
  <c r="U46" i="2"/>
  <c r="I45" i="2"/>
  <c r="M109" i="2"/>
  <c r="K65" i="2"/>
  <c r="H67" i="2"/>
  <c r="R73" i="2"/>
  <c r="D73" i="2"/>
  <c r="K78" i="2"/>
  <c r="T86" i="2"/>
  <c r="W64" i="2"/>
  <c r="J51" i="2"/>
  <c r="M56" i="2"/>
  <c r="M64" i="2"/>
  <c r="R104" i="2"/>
  <c r="T62" i="2"/>
  <c r="N46" i="2"/>
  <c r="G76" i="2"/>
  <c r="H77" i="2"/>
  <c r="N55" i="2"/>
  <c r="X54" i="2"/>
  <c r="H59" i="2"/>
  <c r="I73" i="2"/>
  <c r="O108" i="2"/>
  <c r="L97" i="2"/>
  <c r="E42" i="2"/>
  <c r="AB8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I18" i="3"/>
  <c r="N30" i="3"/>
  <c r="AN29" i="3"/>
  <c r="AD21" i="3"/>
  <c r="AQ26" i="3"/>
  <c r="Z18" i="3"/>
  <c r="H39" i="3"/>
  <c r="AD41" i="3"/>
  <c r="V10" i="3"/>
  <c r="W39" i="3"/>
  <c r="M14" i="3"/>
  <c r="AJ9" i="3"/>
  <c r="V37" i="3"/>
  <c r="AK16" i="3"/>
  <c r="X23" i="3"/>
  <c r="AJ6" i="3"/>
  <c r="N41" i="3"/>
  <c r="H22" i="3"/>
  <c r="AO27" i="3"/>
  <c r="L39" i="3"/>
  <c r="H10" i="3"/>
  <c r="I6" i="3"/>
  <c r="M12" i="3"/>
  <c r="AQ15" i="3"/>
  <c r="Z38" i="3"/>
  <c r="Q15" i="3"/>
  <c r="AH38" i="3"/>
  <c r="N23" i="3"/>
  <c r="U18" i="3"/>
  <c r="O14" i="3"/>
  <c r="K31" i="3"/>
  <c r="AD42" i="3"/>
  <c r="AC35" i="3"/>
  <c r="AQ10" i="3"/>
  <c r="AD22" i="3"/>
  <c r="T36" i="3"/>
  <c r="U57" i="2"/>
  <c r="L84" i="2"/>
  <c r="E84" i="2"/>
  <c r="X73" i="2"/>
  <c r="F105" i="2"/>
  <c r="K76" i="2"/>
  <c r="X50" i="2"/>
  <c r="G96" i="2"/>
  <c r="S86" i="2"/>
  <c r="F71" i="2"/>
  <c r="R55" i="2"/>
  <c r="H70" i="2"/>
  <c r="W83" i="2"/>
  <c r="C89" i="2"/>
  <c r="W95" i="2"/>
  <c r="L69" i="2"/>
  <c r="M69" i="2"/>
  <c r="V90" i="2"/>
  <c r="S68" i="2"/>
  <c r="I53" i="2"/>
  <c r="C45" i="2"/>
  <c r="L58" i="2"/>
  <c r="K53" i="2"/>
  <c r="I97" i="2"/>
  <c r="H89" i="2"/>
  <c r="D46" i="2"/>
  <c r="C62" i="2"/>
  <c r="N53" i="2"/>
  <c r="U61" i="2"/>
  <c r="Q75" i="2"/>
  <c r="E107" i="2"/>
  <c r="F107" i="2"/>
  <c r="H62" i="2"/>
  <c r="G63" i="2"/>
  <c r="V93" i="2"/>
  <c r="U69" i="2"/>
  <c r="L64" i="2"/>
  <c r="D104" i="2"/>
  <c r="P86" i="2"/>
  <c r="P93" i="2"/>
  <c r="X87" i="2"/>
  <c r="P58" i="2"/>
  <c r="W45" i="2"/>
  <c r="E113" i="2"/>
  <c r="J96" i="2"/>
  <c r="U43" i="2"/>
  <c r="X97" i="2"/>
  <c r="N54" i="2"/>
  <c r="T74" i="2"/>
  <c r="P48" i="2"/>
  <c r="Q44" i="2"/>
  <c r="G55" i="2"/>
  <c r="R40" i="2"/>
  <c r="R97" i="2"/>
  <c r="I79" i="2"/>
  <c r="N61" i="2"/>
  <c r="O109" i="2"/>
  <c r="F97" i="2"/>
  <c r="H55" i="2"/>
  <c r="V95" i="2"/>
  <c r="AP56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U17" i="3"/>
  <c r="Z29" i="3"/>
  <c r="AH28" i="3"/>
  <c r="AL28" i="3"/>
  <c r="Y29" i="3"/>
  <c r="AC11" i="3"/>
  <c r="O40" i="3"/>
  <c r="AJ40" i="3"/>
  <c r="G47" i="3"/>
  <c r="I17" i="3"/>
  <c r="AN15" i="3"/>
  <c r="L21" i="3"/>
  <c r="N27" i="3"/>
  <c r="K8" i="3"/>
  <c r="AO5" i="3"/>
  <c r="L35" i="3"/>
  <c r="AK39" i="3"/>
  <c r="Z13" i="3"/>
  <c r="AK42" i="3"/>
  <c r="C29" i="3"/>
  <c r="M19" i="3"/>
  <c r="AE13" i="3"/>
  <c r="U8" i="3"/>
  <c r="T45" i="2"/>
  <c r="J109" i="2"/>
  <c r="S44" i="2"/>
  <c r="T77" i="2"/>
  <c r="G107" i="2"/>
  <c r="R78" i="2"/>
  <c r="U82" i="2"/>
  <c r="M105" i="2"/>
  <c r="O81" i="2"/>
  <c r="G81" i="2"/>
  <c r="X90" i="2"/>
  <c r="O83" i="2"/>
  <c r="O105" i="2"/>
  <c r="H41" i="2"/>
  <c r="X99" i="2"/>
  <c r="X113" i="2"/>
  <c r="U47" i="2"/>
  <c r="K42" i="2"/>
  <c r="X110" i="2"/>
  <c r="U67" i="2"/>
  <c r="S49" i="2"/>
  <c r="U94" i="2"/>
  <c r="S107" i="2"/>
  <c r="L57" i="2"/>
  <c r="U109" i="2"/>
  <c r="S45" i="2"/>
  <c r="L56" i="2"/>
  <c r="T106" i="2"/>
  <c r="D71" i="2"/>
  <c r="N95" i="2"/>
  <c r="J87" i="2"/>
  <c r="L104" i="2"/>
  <c r="J97" i="2"/>
  <c r="S41" i="2"/>
  <c r="E88" i="2"/>
  <c r="D82" i="2"/>
  <c r="K71" i="2"/>
  <c r="E74" i="2"/>
  <c r="H47" i="2"/>
  <c r="S47" i="2"/>
  <c r="T91" i="2"/>
  <c r="V53" i="2"/>
  <c r="H106" i="2"/>
  <c r="V59" i="2"/>
  <c r="R94" i="2"/>
  <c r="T52" i="2"/>
  <c r="N71" i="2"/>
  <c r="K41" i="2"/>
  <c r="S111" i="2"/>
  <c r="J45" i="2"/>
  <c r="G78" i="2"/>
  <c r="J95" i="2"/>
  <c r="N70" i="2"/>
  <c r="K106" i="2"/>
  <c r="K64" i="2"/>
  <c r="U65" i="2"/>
  <c r="N92" i="2"/>
  <c r="U40" i="2"/>
  <c r="C91" i="2"/>
  <c r="F88" i="2"/>
  <c r="AB58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67" i="3" s="1"/>
  <c r="W35" i="3"/>
  <c r="T12" i="3"/>
  <c r="AJ13" i="3"/>
  <c r="R33" i="3"/>
  <c r="Q12" i="3"/>
  <c r="T18" i="3"/>
  <c r="AO19" i="3"/>
  <c r="Y41" i="3"/>
  <c r="M40" i="3"/>
  <c r="M38" i="3"/>
  <c r="AB35" i="3"/>
  <c r="AB36" i="3"/>
  <c r="Q6" i="3"/>
  <c r="T7" i="3"/>
  <c r="E106" i="2"/>
  <c r="O95" i="2"/>
  <c r="M62" i="2"/>
  <c r="L81" i="2"/>
  <c r="O68" i="2"/>
  <c r="D85" i="2"/>
  <c r="G47" i="2"/>
  <c r="M82" i="2"/>
  <c r="O98" i="2"/>
  <c r="W60" i="2"/>
  <c r="R81" i="2"/>
  <c r="D72" i="2"/>
  <c r="G82" i="2"/>
  <c r="R91" i="2"/>
  <c r="L44" i="2"/>
  <c r="L110" i="2"/>
  <c r="N90" i="2"/>
  <c r="R74" i="2"/>
  <c r="J63" i="2"/>
  <c r="Q88" i="2"/>
  <c r="U63" i="2"/>
  <c r="F51" i="2"/>
  <c r="O86" i="2"/>
  <c r="W69" i="2"/>
  <c r="X89" i="2"/>
  <c r="S71" i="2"/>
  <c r="K84" i="2"/>
  <c r="E98" i="2"/>
  <c r="U77" i="2"/>
  <c r="J105" i="2"/>
  <c r="I43" i="2"/>
  <c r="R76" i="2"/>
  <c r="O65" i="2"/>
  <c r="N106" i="2"/>
  <c r="J69" i="2"/>
  <c r="N113" i="2"/>
  <c r="V81" i="2"/>
  <c r="N109" i="2"/>
  <c r="F56" i="2"/>
  <c r="O79" i="2"/>
  <c r="C97" i="2"/>
  <c r="M51" i="2"/>
  <c r="Q72" i="2"/>
  <c r="C110" i="2"/>
  <c r="T109" i="2"/>
  <c r="O91" i="2"/>
  <c r="V44" i="2"/>
  <c r="D68" i="2"/>
  <c r="I88" i="2"/>
  <c r="S58" i="2"/>
  <c r="M67" i="2"/>
  <c r="U85" i="2"/>
  <c r="I44" i="2"/>
  <c r="G69" i="2"/>
  <c r="G51" i="2"/>
  <c r="E77" i="2"/>
  <c r="T110" i="2"/>
  <c r="F67" i="2"/>
  <c r="U51" i="2"/>
  <c r="C63" i="2"/>
  <c r="AP96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AA30" i="3"/>
  <c r="AC22" i="3"/>
  <c r="AP23" i="3"/>
  <c r="M23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I36" i="3"/>
  <c r="U23" i="3"/>
  <c r="AN5" i="3"/>
  <c r="P11" i="3"/>
  <c r="R39" i="3"/>
  <c r="AC26" i="3"/>
  <c r="V6" i="3"/>
  <c r="N6" i="3"/>
  <c r="AD27" i="3"/>
  <c r="AQ25" i="3"/>
  <c r="AH30" i="3"/>
  <c r="AQ16" i="3"/>
  <c r="K33" i="3"/>
  <c r="M21" i="3"/>
  <c r="AE12" i="3"/>
  <c r="S69" i="2"/>
  <c r="E46" i="2"/>
  <c r="U74" i="2"/>
  <c r="N88" i="2"/>
  <c r="M110" i="2"/>
  <c r="J50" i="2"/>
  <c r="O54" i="2"/>
  <c r="J65" i="2"/>
  <c r="Q66" i="2"/>
  <c r="C72" i="2"/>
  <c r="J47" i="2"/>
  <c r="Q68" i="2"/>
  <c r="S63" i="2"/>
  <c r="C69" i="2"/>
  <c r="F109" i="2"/>
  <c r="E81" i="2"/>
  <c r="P99" i="2"/>
  <c r="T48" i="2"/>
  <c r="G53" i="2"/>
  <c r="N66" i="2"/>
  <c r="K72" i="2"/>
  <c r="R89" i="2"/>
  <c r="W89" i="2"/>
  <c r="R111" i="2"/>
  <c r="C107" i="2"/>
  <c r="R83" i="2"/>
  <c r="F44" i="2"/>
  <c r="J40" i="2"/>
  <c r="P44" i="2"/>
  <c r="G88" i="2"/>
  <c r="V41" i="2"/>
  <c r="U89" i="2"/>
  <c r="E72" i="2"/>
  <c r="O55" i="2"/>
  <c r="N42" i="2"/>
  <c r="D60" i="2"/>
  <c r="U59" i="2"/>
  <c r="D59" i="2"/>
  <c r="J48" i="2"/>
  <c r="S83" i="2"/>
  <c r="X91" i="2"/>
  <c r="I81" i="2"/>
  <c r="M68" i="2"/>
  <c r="T112" i="2"/>
  <c r="H63" i="2"/>
  <c r="E97" i="2"/>
  <c r="P52" i="2"/>
  <c r="H88" i="2"/>
  <c r="K73" i="2"/>
  <c r="U70" i="2"/>
  <c r="N67" i="2"/>
  <c r="N63" i="2"/>
  <c r="C79" i="2"/>
  <c r="H93" i="2"/>
  <c r="J67" i="2"/>
  <c r="C56" i="2"/>
  <c r="U64" i="2"/>
  <c r="D42" i="2"/>
  <c r="R60" i="2"/>
  <c r="AB65" i="3"/>
  <c r="AP75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G37" i="3"/>
  <c r="AH22" i="3"/>
  <c r="P26" i="3"/>
  <c r="AA38" i="3"/>
  <c r="AI14" i="3"/>
  <c r="AJ7" i="3"/>
  <c r="D99" i="2"/>
  <c r="L85" i="2"/>
  <c r="E110" i="2"/>
  <c r="H64" i="2"/>
  <c r="J56" i="2"/>
  <c r="S77" i="2"/>
  <c r="W57" i="2"/>
  <c r="V40" i="2"/>
  <c r="Q87" i="2"/>
  <c r="R110" i="2"/>
  <c r="J75" i="2"/>
  <c r="G84" i="2"/>
  <c r="W40" i="2"/>
  <c r="K95" i="2"/>
  <c r="W56" i="2"/>
  <c r="H44" i="2"/>
  <c r="E99" i="2"/>
  <c r="L62" i="2"/>
  <c r="E89" i="2"/>
  <c r="W66" i="2"/>
  <c r="M94" i="2"/>
  <c r="V94" i="2"/>
  <c r="Q94" i="2"/>
  <c r="G52" i="2"/>
  <c r="N62" i="2"/>
  <c r="P82" i="2"/>
  <c r="C82" i="2"/>
  <c r="P43" i="2"/>
  <c r="V63" i="2"/>
  <c r="O44" i="2"/>
  <c r="K81" i="2"/>
  <c r="J58" i="2"/>
  <c r="M58" i="2"/>
  <c r="N99" i="2"/>
  <c r="X52" i="2"/>
  <c r="K89" i="2"/>
  <c r="E59" i="2"/>
  <c r="K69" i="2"/>
  <c r="S113" i="2"/>
  <c r="S52" i="2"/>
  <c r="S110" i="2"/>
  <c r="T96" i="2"/>
  <c r="C44" i="2"/>
  <c r="V108" i="2"/>
  <c r="R45" i="2"/>
  <c r="L106" i="2"/>
  <c r="X86" i="2"/>
  <c r="J90" i="2"/>
  <c r="L42" i="2"/>
  <c r="D94" i="2"/>
  <c r="C51" i="2"/>
  <c r="U107" i="2"/>
  <c r="K58" i="2"/>
  <c r="N98" i="2"/>
  <c r="K63" i="2"/>
  <c r="O61" i="2"/>
  <c r="O62" i="2"/>
  <c r="L109" i="2"/>
  <c r="L78" i="2"/>
  <c r="AP68" i="3"/>
  <c r="AB57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P88" i="2"/>
  <c r="I49" i="2"/>
  <c r="F70" i="2"/>
  <c r="U84" i="2"/>
  <c r="F113" i="2"/>
  <c r="M53" i="2"/>
  <c r="D108" i="2"/>
  <c r="T42" i="2"/>
  <c r="F95" i="2"/>
  <c r="T90" i="2"/>
  <c r="Q74" i="2"/>
  <c r="T40" i="2"/>
  <c r="I107" i="2"/>
  <c r="F72" i="2"/>
  <c r="P98" i="2"/>
  <c r="T75" i="2"/>
  <c r="U88" i="2"/>
  <c r="H50" i="2"/>
  <c r="O72" i="2"/>
  <c r="G95" i="2"/>
  <c r="R49" i="2"/>
  <c r="O46" i="2"/>
  <c r="E111" i="2"/>
  <c r="R84" i="2"/>
  <c r="E108" i="2"/>
  <c r="R80" i="2"/>
  <c r="O59" i="2"/>
  <c r="N43" i="2"/>
  <c r="U60" i="2"/>
  <c r="F61" i="2"/>
  <c r="E105" i="2"/>
  <c r="V47" i="2"/>
  <c r="U112" i="2"/>
  <c r="L80" i="2"/>
  <c r="W78" i="2"/>
  <c r="C93" i="2"/>
  <c r="M90" i="2"/>
  <c r="R71" i="2"/>
  <c r="H42" i="2"/>
  <c r="V109" i="2"/>
  <c r="H68" i="2"/>
  <c r="J49" i="2"/>
  <c r="P49" i="2"/>
  <c r="V77" i="2"/>
  <c r="V68" i="2"/>
  <c r="H57" i="2"/>
  <c r="S90" i="2"/>
  <c r="H90" i="2"/>
  <c r="R65" i="2"/>
  <c r="T105" i="2"/>
  <c r="K77" i="2"/>
  <c r="L46" i="2"/>
  <c r="F62" i="2"/>
  <c r="O50" i="2"/>
  <c r="G60" i="2"/>
  <c r="J81" i="2"/>
  <c r="X68" i="2"/>
  <c r="E96" i="2"/>
  <c r="X45" i="2"/>
  <c r="AB61" i="3"/>
  <c r="AB59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B24" i="3"/>
  <c r="H25" i="3"/>
  <c r="T10" i="3"/>
  <c r="AB29" i="3"/>
  <c r="AB13" i="3"/>
  <c r="AC16" i="3"/>
  <c r="AP22" i="3"/>
  <c r="AD48" i="3"/>
  <c r="L27" i="3"/>
  <c r="Z23" i="3"/>
  <c r="H23" i="3"/>
  <c r="D109" i="2"/>
  <c r="M93" i="2"/>
  <c r="L95" i="2"/>
  <c r="T84" i="2"/>
  <c r="N84" i="2"/>
  <c r="V74" i="2"/>
  <c r="D50" i="2"/>
  <c r="I83" i="2"/>
  <c r="I76" i="2"/>
  <c r="C71" i="2"/>
  <c r="J57" i="2"/>
  <c r="H95" i="2"/>
  <c r="X79" i="2"/>
  <c r="K99" i="2"/>
  <c r="U62" i="2"/>
  <c r="D76" i="2"/>
  <c r="G112" i="2"/>
  <c r="L74" i="2"/>
  <c r="J91" i="2"/>
  <c r="Q81" i="2"/>
  <c r="E55" i="2"/>
  <c r="X95" i="2"/>
  <c r="T81" i="2"/>
  <c r="J89" i="2"/>
  <c r="D87" i="2"/>
  <c r="W67" i="2"/>
  <c r="C106" i="2"/>
  <c r="T41" i="2"/>
  <c r="D112" i="2"/>
  <c r="F43" i="2"/>
  <c r="E50" i="2"/>
  <c r="G105" i="2"/>
  <c r="E91" i="2"/>
  <c r="X107" i="2"/>
  <c r="M79" i="2"/>
  <c r="Q61" i="2"/>
  <c r="M75" i="2"/>
  <c r="Q42" i="2"/>
  <c r="N79" i="2"/>
  <c r="C83" i="2"/>
  <c r="K112" i="2"/>
  <c r="X53" i="2"/>
  <c r="M63" i="2"/>
  <c r="C78" i="2"/>
  <c r="R107" i="2"/>
  <c r="U110" i="2"/>
  <c r="G67" i="2"/>
  <c r="I75" i="2"/>
  <c r="P74" i="2"/>
  <c r="D41" i="2"/>
  <c r="G70" i="2"/>
  <c r="D113" i="2"/>
  <c r="U108" i="2"/>
  <c r="S66" i="2"/>
  <c r="Q47" i="2"/>
  <c r="M111" i="2"/>
  <c r="V83" i="2"/>
  <c r="X84" i="2"/>
  <c r="V79" i="2"/>
  <c r="AB81" i="3"/>
  <c r="AP93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K15" i="3"/>
  <c r="AN24" i="3"/>
  <c r="M30" i="3"/>
  <c r="Z36" i="3"/>
  <c r="AJ32" i="3"/>
  <c r="Y36" i="3"/>
  <c r="R37" i="3"/>
  <c r="O26" i="3"/>
  <c r="AB27" i="3"/>
  <c r="Y33" i="3"/>
  <c r="AD30" i="3"/>
  <c r="J20" i="3"/>
  <c r="AN38" i="3"/>
  <c r="M48" i="2"/>
  <c r="R90" i="2"/>
  <c r="R44" i="2"/>
  <c r="X75" i="2"/>
  <c r="W63" i="2"/>
  <c r="G73" i="2"/>
  <c r="S104" i="2"/>
  <c r="M76" i="2"/>
  <c r="R79" i="2"/>
  <c r="K45" i="2"/>
  <c r="F87" i="2"/>
  <c r="W62" i="2"/>
  <c r="W68" i="2"/>
  <c r="E41" i="2"/>
  <c r="O87" i="2"/>
  <c r="H87" i="2"/>
  <c r="E92" i="2"/>
  <c r="V105" i="2"/>
  <c r="V89" i="2"/>
  <c r="C55" i="2"/>
  <c r="H111" i="2"/>
  <c r="O96" i="2"/>
  <c r="J76" i="2"/>
  <c r="V69" i="2"/>
  <c r="R113" i="2"/>
  <c r="W51" i="2"/>
  <c r="S72" i="2"/>
  <c r="U95" i="2"/>
  <c r="L98" i="2"/>
  <c r="O92" i="2"/>
  <c r="X76" i="2"/>
  <c r="C54" i="2"/>
  <c r="H69" i="2"/>
  <c r="O112" i="2"/>
  <c r="C52" i="2"/>
  <c r="M70" i="2"/>
  <c r="X61" i="2"/>
  <c r="I55" i="2"/>
  <c r="E40" i="2"/>
  <c r="K57" i="2"/>
  <c r="S59" i="2"/>
  <c r="F98" i="2"/>
  <c r="T93" i="2"/>
  <c r="D40" i="2"/>
  <c r="U86" i="2"/>
  <c r="O88" i="2"/>
  <c r="V97" i="2"/>
  <c r="O70" i="2"/>
  <c r="T49" i="2"/>
  <c r="C66" i="2"/>
  <c r="G79" i="2"/>
  <c r="J98" i="2"/>
  <c r="G62" i="2"/>
  <c r="S54" i="2"/>
  <c r="E78" i="2"/>
  <c r="C108" i="2"/>
  <c r="L105" i="2"/>
  <c r="L40" i="2"/>
  <c r="I95" i="2"/>
  <c r="M85" i="2"/>
  <c r="X65" i="2"/>
  <c r="P64" i="2"/>
  <c r="L93" i="2"/>
  <c r="K52" i="2"/>
  <c r="U75" i="2"/>
  <c r="D45" i="2"/>
  <c r="X108" i="2"/>
  <c r="R62" i="2"/>
  <c r="W75" i="2"/>
  <c r="M86" i="2"/>
  <c r="W59" i="2"/>
  <c r="T80" i="2"/>
  <c r="U78" i="2"/>
  <c r="X72" i="2"/>
  <c r="E85" i="2"/>
  <c r="W107" i="2"/>
  <c r="U111" i="2"/>
  <c r="J79" i="2"/>
  <c r="E71" i="2"/>
  <c r="W61" i="2"/>
  <c r="C60" i="2"/>
  <c r="G68" i="2"/>
  <c r="W106" i="2"/>
  <c r="M112" i="2"/>
  <c r="E54" i="2"/>
  <c r="E68" i="2"/>
  <c r="G50" i="2"/>
  <c r="O99" i="2"/>
  <c r="O53" i="2"/>
  <c r="M83" i="2"/>
  <c r="K40" i="2"/>
  <c r="K92" i="2"/>
  <c r="Q107" i="2"/>
  <c r="V82" i="2"/>
  <c r="X48" i="2"/>
  <c r="G56" i="2"/>
  <c r="K55" i="2"/>
  <c r="F58" i="2"/>
  <c r="G49" i="2"/>
  <c r="D43" i="2"/>
  <c r="Q98" i="2"/>
  <c r="I51" i="2"/>
  <c r="V91" i="2"/>
  <c r="S65" i="2"/>
  <c r="D75" i="2"/>
  <c r="I93" i="2"/>
  <c r="E112" i="2"/>
  <c r="T57" i="2"/>
  <c r="N44" i="2"/>
  <c r="I58" i="2"/>
  <c r="H97" i="2"/>
  <c r="X109" i="2"/>
  <c r="R50" i="2"/>
  <c r="N57" i="2"/>
  <c r="X85" i="2"/>
  <c r="G83" i="2"/>
  <c r="U113" i="2"/>
  <c r="AB60" i="3"/>
  <c r="AP66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I75" i="3" s="1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I108" i="2"/>
  <c r="R109" i="2"/>
  <c r="T88" i="2"/>
  <c r="V107" i="2"/>
  <c r="O41" i="2"/>
  <c r="R95" i="2"/>
  <c r="H112" i="2"/>
  <c r="W73" i="2"/>
  <c r="J80" i="2"/>
  <c r="K82" i="2"/>
  <c r="P87" i="2"/>
  <c r="M99" i="2"/>
  <c r="S108" i="2"/>
  <c r="S92" i="2"/>
  <c r="V110" i="2"/>
  <c r="W105" i="2"/>
  <c r="I56" i="2"/>
  <c r="T68" i="2"/>
  <c r="M89" i="2"/>
  <c r="X69" i="2"/>
  <c r="G110" i="2"/>
  <c r="S93" i="2"/>
  <c r="K51" i="2"/>
  <c r="V50" i="2"/>
  <c r="O63" i="2"/>
  <c r="J74" i="2"/>
  <c r="L60" i="2"/>
  <c r="T87" i="2"/>
  <c r="F112" i="2"/>
  <c r="F54" i="2"/>
  <c r="M81" i="2"/>
  <c r="K96" i="2"/>
  <c r="I42" i="2"/>
  <c r="T89" i="2"/>
  <c r="W53" i="2"/>
  <c r="C77" i="2"/>
  <c r="U106" i="2"/>
  <c r="C90" i="2"/>
  <c r="N49" i="2"/>
  <c r="C104" i="2"/>
  <c r="X111" i="2"/>
  <c r="G80" i="2"/>
  <c r="D67" i="2"/>
  <c r="S56" i="2"/>
  <c r="I105" i="2"/>
  <c r="F77" i="2"/>
  <c r="F45" i="2"/>
  <c r="F66" i="2"/>
  <c r="X78" i="2"/>
  <c r="E87" i="2"/>
  <c r="T70" i="2"/>
  <c r="O66" i="2"/>
  <c r="V45" i="2"/>
  <c r="P92" i="2"/>
  <c r="C95" i="2"/>
  <c r="D107" i="2"/>
  <c r="T63" i="2"/>
  <c r="F69" i="2"/>
  <c r="N47" i="2"/>
  <c r="AB89" i="3"/>
  <c r="AB80" i="3"/>
  <c r="AB93" i="3"/>
  <c r="AP65" i="3"/>
  <c r="AP81" i="3"/>
  <c r="AP85" i="3"/>
  <c r="AP77" i="3"/>
  <c r="AP73" i="3"/>
  <c r="S7" i="3"/>
  <c r="O22" i="3"/>
  <c r="AC18" i="3"/>
  <c r="AK5" i="3"/>
  <c r="AK68" i="3" s="1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J11" i="3"/>
  <c r="T11" i="3"/>
  <c r="K6" i="3"/>
  <c r="AL7" i="3"/>
  <c r="K10" i="3"/>
  <c r="AO9" i="3"/>
  <c r="M8" i="3"/>
  <c r="U25" i="3"/>
  <c r="U9" i="3"/>
  <c r="U14" i="3"/>
  <c r="P15" i="3"/>
  <c r="AO12" i="3"/>
  <c r="L17" i="3"/>
  <c r="AG20" i="3"/>
  <c r="AK40" i="3"/>
  <c r="M42" i="3"/>
  <c r="AL32" i="3"/>
  <c r="Y42" i="3"/>
  <c r="AJ42" i="3"/>
  <c r="N17" i="3"/>
  <c r="U32" i="3"/>
  <c r="L34" i="3"/>
  <c r="G34" i="3"/>
  <c r="R7" i="3"/>
  <c r="T6" i="3"/>
  <c r="Y21" i="3"/>
  <c r="AK28" i="3"/>
  <c r="AM36" i="3"/>
  <c r="X41" i="3"/>
  <c r="J22" i="3"/>
  <c r="V19" i="3"/>
  <c r="AO16" i="3"/>
  <c r="N9" i="3"/>
  <c r="AH25" i="3"/>
  <c r="P31" i="3"/>
  <c r="AA22" i="3"/>
  <c r="V21" i="3"/>
  <c r="AC32" i="3"/>
  <c r="AI40" i="3"/>
  <c r="AJ27" i="3"/>
  <c r="AG40" i="3"/>
  <c r="AQ7" i="3"/>
  <c r="V20" i="3"/>
  <c r="J19" i="3"/>
  <c r="T31" i="3"/>
  <c r="AA23" i="3"/>
  <c r="J9" i="3"/>
  <c r="L13" i="3"/>
  <c r="U7" i="3"/>
  <c r="K26" i="3"/>
  <c r="N77" i="2"/>
  <c r="AJ17" i="3"/>
  <c r="AM25" i="3"/>
  <c r="J25" i="3"/>
  <c r="AC19" i="3"/>
  <c r="U33" i="3"/>
  <c r="AE41" i="3"/>
  <c r="M37" i="3"/>
  <c r="X32" i="3"/>
  <c r="AI22" i="3"/>
  <c r="AA7" i="3"/>
  <c r="C31" i="3"/>
  <c r="W17" i="3"/>
  <c r="K17" i="3"/>
  <c r="T29" i="3"/>
  <c r="AL5" i="3"/>
  <c r="R11" i="3"/>
  <c r="X11" i="3"/>
  <c r="R16" i="3"/>
  <c r="J35" i="3"/>
  <c r="AA39" i="3"/>
  <c r="AQ20" i="3"/>
  <c r="AH8" i="3"/>
  <c r="C11" i="3"/>
  <c r="S14" i="3"/>
  <c r="AP21" i="3"/>
  <c r="W8" i="3"/>
  <c r="L12" i="3"/>
  <c r="V28" i="3"/>
  <c r="AE27" i="3"/>
  <c r="AP32" i="3"/>
  <c r="AM17" i="3"/>
  <c r="AB9" i="3"/>
  <c r="X19" i="3"/>
  <c r="AO37" i="3"/>
  <c r="AQ17" i="3"/>
  <c r="X42" i="3"/>
  <c r="AQ24" i="3"/>
  <c r="Y15" i="3"/>
  <c r="AL35" i="3"/>
  <c r="AG25" i="3"/>
  <c r="AB68" i="3"/>
  <c r="AP25" i="3"/>
  <c r="I16" i="3"/>
  <c r="AC37" i="3"/>
  <c r="Z24" i="3"/>
  <c r="AA5" i="3"/>
  <c r="AO38" i="3"/>
  <c r="AI20" i="3"/>
  <c r="AL36" i="3"/>
  <c r="AD36" i="3"/>
  <c r="C20" i="3"/>
  <c r="AN21" i="3"/>
  <c r="Y35" i="3"/>
  <c r="L40" i="3"/>
  <c r="N16" i="3"/>
  <c r="AK26" i="3"/>
  <c r="R5" i="3"/>
  <c r="AM15" i="3"/>
  <c r="Z17" i="3"/>
  <c r="K25" i="3"/>
  <c r="W32" i="3"/>
  <c r="AD31" i="3"/>
  <c r="AC38" i="3"/>
  <c r="AM38" i="3"/>
  <c r="AK18" i="3"/>
  <c r="AA24" i="3"/>
  <c r="AN30" i="3"/>
  <c r="P28" i="3"/>
  <c r="U5" i="3"/>
  <c r="K32" i="3"/>
  <c r="H7" i="3"/>
  <c r="AM7" i="3"/>
  <c r="R27" i="3"/>
  <c r="X8" i="3"/>
  <c r="I31" i="3"/>
  <c r="R12" i="3"/>
  <c r="AA27" i="3"/>
  <c r="C26" i="3"/>
  <c r="AC15" i="3"/>
  <c r="C6" i="3"/>
  <c r="AO35" i="3"/>
  <c r="AG41" i="3"/>
  <c r="O12" i="3"/>
  <c r="AO22" i="3"/>
  <c r="C48" i="3"/>
  <c r="W26" i="3"/>
  <c r="AE25" i="3"/>
  <c r="AL9" i="3"/>
  <c r="L16" i="3"/>
  <c r="O30" i="3"/>
  <c r="N42" i="3"/>
  <c r="H15" i="3"/>
  <c r="AO28" i="3"/>
  <c r="W42" i="3"/>
  <c r="J6" i="3"/>
  <c r="N7" i="3"/>
  <c r="Q24" i="3"/>
  <c r="J30" i="3"/>
  <c r="V5" i="3"/>
  <c r="Z16" i="3"/>
  <c r="AB16" i="3"/>
  <c r="S13" i="3"/>
  <c r="AP42" i="3"/>
  <c r="AQ35" i="3"/>
  <c r="T15" i="3"/>
  <c r="AH20" i="3"/>
  <c r="AA19" i="3"/>
  <c r="AJ26" i="3"/>
  <c r="S29" i="3"/>
  <c r="AN39" i="3"/>
  <c r="V26" i="3"/>
  <c r="U20" i="3"/>
  <c r="Z31" i="3"/>
  <c r="AM34" i="3"/>
  <c r="V35" i="3"/>
  <c r="Q17" i="3"/>
  <c r="AP90" i="3"/>
  <c r="AQ29" i="3"/>
  <c r="Q33" i="3"/>
  <c r="AE11" i="3"/>
  <c r="AJ20" i="3"/>
  <c r="D50" i="3"/>
  <c r="N28" i="3"/>
  <c r="J32" i="3"/>
  <c r="AD25" i="3"/>
  <c r="Y8" i="3"/>
  <c r="Z32" i="3"/>
  <c r="AE26" i="3"/>
  <c r="AE22" i="3"/>
  <c r="Z5" i="3"/>
  <c r="K34" i="3"/>
  <c r="AC40" i="3"/>
  <c r="AB94" i="3"/>
  <c r="U30" i="3"/>
  <c r="AM11" i="3"/>
  <c r="O8" i="3"/>
  <c r="AC33" i="3"/>
  <c r="U6" i="3"/>
  <c r="R10" i="3"/>
  <c r="AD33" i="3"/>
  <c r="T19" i="3"/>
  <c r="AP47" i="3"/>
  <c r="AN31" i="3"/>
  <c r="AH15" i="3"/>
  <c r="P20" i="3"/>
  <c r="AP15" i="3"/>
  <c r="W27" i="3"/>
  <c r="C39" i="3"/>
  <c r="G49" i="3"/>
  <c r="AL29" i="3"/>
  <c r="J5" i="3"/>
  <c r="O32" i="3"/>
  <c r="V22" i="3"/>
  <c r="AE35" i="3"/>
  <c r="AA18" i="3"/>
  <c r="AM19" i="3"/>
  <c r="U38" i="3"/>
  <c r="Z14" i="3"/>
  <c r="T27" i="3"/>
  <c r="AJ21" i="3"/>
  <c r="Z27" i="3"/>
  <c r="Q25" i="3"/>
  <c r="P33" i="3"/>
  <c r="V15" i="3"/>
  <c r="AH35" i="3"/>
  <c r="AJ18" i="3"/>
  <c r="AC12" i="3"/>
  <c r="T38" i="3"/>
  <c r="H33" i="3"/>
  <c r="L9" i="3"/>
  <c r="AH18" i="3"/>
  <c r="AP74" i="3"/>
  <c r="H5" i="3"/>
  <c r="T34" i="3"/>
  <c r="V29" i="3"/>
  <c r="P23" i="3"/>
  <c r="C35" i="3"/>
  <c r="O33" i="3"/>
  <c r="AE15" i="3"/>
  <c r="AP72" i="3"/>
  <c r="AJ25" i="3"/>
  <c r="Y34" i="3"/>
  <c r="N35" i="3"/>
  <c r="AI23" i="3"/>
  <c r="N29" i="3"/>
  <c r="AE28" i="3"/>
  <c r="M27" i="3"/>
  <c r="Z20" i="3"/>
  <c r="AG31" i="3"/>
  <c r="J40" i="3"/>
  <c r="AJ35" i="3"/>
  <c r="AQ31" i="3"/>
  <c r="C13" i="3"/>
  <c r="S22" i="3"/>
  <c r="O31" i="3"/>
  <c r="H8" i="3"/>
  <c r="W30" i="3"/>
  <c r="AD23" i="3"/>
  <c r="W14" i="3"/>
  <c r="T5" i="3"/>
  <c r="AI33" i="3"/>
  <c r="Z33" i="3"/>
  <c r="Y5" i="3"/>
  <c r="W20" i="3"/>
  <c r="Q8" i="3"/>
  <c r="L24" i="3"/>
  <c r="Y14" i="3"/>
  <c r="R31" i="3"/>
  <c r="AP60" i="3"/>
  <c r="AP41" i="3"/>
  <c r="AK17" i="3"/>
  <c r="N21" i="3"/>
  <c r="K21" i="3"/>
  <c r="AI42" i="3"/>
  <c r="AC31" i="3"/>
  <c r="AM23" i="3"/>
  <c r="X40" i="3"/>
  <c r="C14" i="3"/>
  <c r="Y26" i="3"/>
  <c r="AA20" i="3"/>
  <c r="AB8" i="3"/>
  <c r="AG14" i="3"/>
  <c r="C16" i="3"/>
  <c r="AG29" i="3"/>
  <c r="W41" i="3"/>
  <c r="AE36" i="3"/>
  <c r="AM6" i="3"/>
  <c r="AA35" i="3"/>
  <c r="C21" i="3"/>
  <c r="Q27" i="3"/>
  <c r="M36" i="3"/>
  <c r="AQ32" i="3"/>
  <c r="AO31" i="3"/>
  <c r="Y7" i="3"/>
  <c r="AJ12" i="3"/>
  <c r="J23" i="3"/>
  <c r="L42" i="3"/>
  <c r="AL26" i="3"/>
  <c r="T37" i="3"/>
  <c r="T9" i="3"/>
  <c r="AQ5" i="3"/>
  <c r="J28" i="3"/>
  <c r="AJ19" i="3"/>
  <c r="AI13" i="3"/>
  <c r="AG9" i="3"/>
  <c r="O34" i="3"/>
  <c r="AG22" i="3"/>
  <c r="V40" i="3"/>
  <c r="AM42" i="3"/>
  <c r="AG11" i="3"/>
  <c r="U13" i="3"/>
  <c r="AK35" i="3"/>
  <c r="W23" i="3"/>
  <c r="R34" i="3"/>
  <c r="AA29" i="3"/>
  <c r="M16" i="3"/>
  <c r="Q32" i="3"/>
  <c r="AD29" i="3"/>
  <c r="J14" i="3"/>
  <c r="N40" i="3"/>
  <c r="AP12" i="3"/>
  <c r="E47" i="3"/>
  <c r="AA17" i="3"/>
  <c r="J8" i="3"/>
  <c r="R42" i="3"/>
  <c r="AE20" i="3"/>
  <c r="AA33" i="3"/>
  <c r="S39" i="3"/>
  <c r="AH26" i="3"/>
  <c r="AC30" i="3"/>
  <c r="AG16" i="3"/>
  <c r="N37" i="3"/>
  <c r="AQ34" i="3"/>
  <c r="AB15" i="3"/>
  <c r="K20" i="3"/>
  <c r="V16" i="3"/>
  <c r="L5" i="3"/>
  <c r="AL10" i="3"/>
  <c r="AK96" i="3"/>
  <c r="L82" i="3"/>
  <c r="O47" i="3"/>
  <c r="AJ61" i="3"/>
  <c r="P58" i="3"/>
  <c r="L69" i="3"/>
  <c r="AI64" i="3"/>
  <c r="AK56" i="3"/>
  <c r="AI58" i="3"/>
  <c r="AK60" i="3"/>
  <c r="AK95" i="3"/>
  <c r="AI90" i="3"/>
  <c r="AC83" i="3"/>
  <c r="AA89" i="3"/>
  <c r="AA58" i="3"/>
  <c r="N49" i="3"/>
  <c r="AI89" i="3"/>
  <c r="N94" i="3"/>
  <c r="L61" i="3"/>
  <c r="AE80" i="3"/>
  <c r="I50" i="3"/>
  <c r="AI65" i="3"/>
  <c r="N69" i="3"/>
  <c r="AE61" i="3"/>
  <c r="AI85" i="3"/>
  <c r="P71" i="3"/>
  <c r="O54" i="3"/>
  <c r="AI60" i="3"/>
  <c r="L92" i="3"/>
  <c r="O66" i="3"/>
  <c r="L77" i="3"/>
  <c r="AE82" i="3"/>
  <c r="I79" i="3"/>
  <c r="N47" i="3"/>
  <c r="AG81" i="3"/>
  <c r="AJ96" i="3"/>
  <c r="S54" i="3"/>
  <c r="Y75" i="3"/>
  <c r="I47" i="3"/>
  <c r="AN74" i="3"/>
  <c r="AQ47" i="3"/>
  <c r="P68" i="3"/>
  <c r="AN92" i="3"/>
  <c r="N95" i="3"/>
  <c r="AG92" i="3"/>
  <c r="AQ67" i="3"/>
  <c r="AA57" i="3"/>
  <c r="AI93" i="3"/>
  <c r="AK57" i="3"/>
  <c r="AJ91" i="3"/>
  <c r="P75" i="3"/>
  <c r="P57" i="3"/>
  <c r="AN85" i="3"/>
  <c r="AN65" i="3"/>
  <c r="AN79" i="3"/>
  <c r="AA50" i="3"/>
  <c r="V65" i="3"/>
  <c r="W66" i="3"/>
  <c r="AK71" i="3"/>
  <c r="AA54" i="3"/>
  <c r="S78" i="3"/>
  <c r="AG87" i="3"/>
  <c r="S57" i="3"/>
  <c r="Y49" i="3"/>
  <c r="AQ76" i="3"/>
  <c r="N65" i="3"/>
  <c r="I88" i="3"/>
  <c r="AC59" i="3"/>
  <c r="K50" i="3"/>
  <c r="T97" i="3"/>
  <c r="AA71" i="3"/>
  <c r="AK66" i="3"/>
  <c r="AG63" i="3"/>
  <c r="K67" i="3"/>
  <c r="AC61" i="3"/>
  <c r="O65" i="3"/>
  <c r="AK55" i="3"/>
  <c r="O49" i="3"/>
  <c r="L89" i="3"/>
  <c r="AI72" i="3"/>
  <c r="P90" i="3"/>
  <c r="AE48" i="3"/>
  <c r="N81" i="3"/>
  <c r="AG48" i="3"/>
  <c r="Y55" i="3"/>
  <c r="AN81" i="3"/>
  <c r="AK90" i="3"/>
  <c r="AK64" i="3"/>
  <c r="AJ77" i="3"/>
  <c r="W90" i="3"/>
  <c r="AG78" i="3"/>
  <c r="S90" i="3"/>
  <c r="AQ49" i="3"/>
  <c r="AN50" i="3"/>
  <c r="AG50" i="3"/>
  <c r="Y72" i="3"/>
  <c r="AE94" i="3"/>
  <c r="W91" i="3"/>
  <c r="AJ71" i="3"/>
  <c r="Y66" i="3"/>
  <c r="T87" i="3"/>
  <c r="AK77" i="3"/>
  <c r="O95" i="3"/>
  <c r="L72" i="3"/>
  <c r="O69" i="3"/>
  <c r="O88" i="3"/>
  <c r="AI74" i="3"/>
  <c r="AC68" i="3"/>
  <c r="W77" i="3"/>
  <c r="N62" i="3"/>
  <c r="AC55" i="3"/>
  <c r="AG68" i="3"/>
  <c r="AN57" i="3"/>
  <c r="V80" i="3"/>
  <c r="S94" i="3"/>
  <c r="Y73" i="3"/>
  <c r="I56" i="3"/>
  <c r="Y78" i="3"/>
  <c r="AN95" i="3"/>
  <c r="AC95" i="3"/>
  <c r="V81" i="3"/>
  <c r="AK58" i="3"/>
  <c r="S88" i="3"/>
  <c r="V63" i="3"/>
  <c r="AC93" i="3"/>
  <c r="I96" i="3"/>
  <c r="P82" i="3"/>
  <c r="AK74" i="3"/>
  <c r="AK83" i="3"/>
  <c r="AI73" i="3"/>
  <c r="O67" i="3"/>
  <c r="T86" i="3"/>
  <c r="AA96" i="3"/>
  <c r="AA90" i="3"/>
  <c r="T64" i="3"/>
  <c r="N58" i="3"/>
  <c r="K48" i="3"/>
  <c r="W60" i="3"/>
  <c r="AK82" i="3"/>
  <c r="AA61" i="3"/>
  <c r="S61" i="3"/>
  <c r="K74" i="3"/>
  <c r="Y95" i="3"/>
  <c r="P91" i="3"/>
  <c r="AC96" i="3"/>
  <c r="S89" i="3"/>
  <c r="I71" i="3"/>
  <c r="AE62" i="3"/>
  <c r="AK50" i="3"/>
  <c r="K81" i="3"/>
  <c r="I94" i="3"/>
  <c r="I85" i="3"/>
  <c r="V82" i="3"/>
  <c r="P83" i="3"/>
  <c r="AK75" i="3"/>
  <c r="P49" i="3"/>
  <c r="P95" i="3"/>
  <c r="AK70" i="3"/>
  <c r="O73" i="3"/>
  <c r="AJ86" i="3"/>
  <c r="AQ90" i="3"/>
  <c r="N74" i="3"/>
  <c r="AG72" i="3"/>
  <c r="K88" i="3"/>
  <c r="AQ69" i="3"/>
  <c r="I82" i="3"/>
  <c r="N60" i="3"/>
  <c r="W54" i="3"/>
  <c r="P81" i="3"/>
  <c r="L85" i="3"/>
  <c r="L87" i="3"/>
  <c r="L71" i="3"/>
  <c r="T81" i="3"/>
  <c r="AN55" i="3"/>
  <c r="AN56" i="3"/>
  <c r="AC62" i="3"/>
  <c r="P63" i="3"/>
  <c r="P65" i="3"/>
  <c r="V47" i="3"/>
  <c r="AG91" i="3"/>
  <c r="S83" i="3"/>
  <c r="Y48" i="3"/>
  <c r="AK69" i="3"/>
  <c r="O60" i="3"/>
  <c r="P60" i="3"/>
  <c r="AC82" i="3"/>
  <c r="P86" i="3"/>
  <c r="S72" i="3"/>
  <c r="AC84" i="3"/>
  <c r="W87" i="3"/>
  <c r="N83" i="3"/>
  <c r="T80" i="3"/>
  <c r="AG88" i="3"/>
  <c r="AN86" i="3"/>
  <c r="V55" i="3"/>
  <c r="S97" i="3"/>
  <c r="AQ62" i="3"/>
  <c r="I59" i="3"/>
  <c r="AQ59" i="3"/>
  <c r="T59" i="3"/>
  <c r="T48" i="3"/>
  <c r="Y86" i="3"/>
  <c r="T79" i="3"/>
  <c r="O77" i="3"/>
  <c r="O97" i="3"/>
  <c r="AK67" i="3"/>
  <c r="AK62" i="3"/>
  <c r="AI92" i="3"/>
  <c r="AC50" i="3"/>
  <c r="AI66" i="3"/>
  <c r="AC90" i="3"/>
  <c r="AC91" i="3"/>
  <c r="V78" i="3"/>
  <c r="N76" i="3"/>
  <c r="K73" i="3"/>
  <c r="W93" i="3"/>
  <c r="AK87" i="3"/>
  <c r="AC47" i="3"/>
  <c r="K87" i="3"/>
  <c r="Y65" i="3"/>
  <c r="O82" i="3"/>
  <c r="T88" i="3"/>
  <c r="I90" i="3"/>
  <c r="AN61" i="3"/>
  <c r="V89" i="3"/>
  <c r="AI62" i="3"/>
  <c r="AK84" i="3"/>
  <c r="AQ68" i="3"/>
  <c r="P77" i="3"/>
  <c r="AK73" i="3"/>
  <c r="W95" i="3"/>
  <c r="I83" i="3"/>
  <c r="K65" i="3"/>
  <c r="AA65" i="3"/>
  <c r="O87" i="3"/>
  <c r="AE75" i="3"/>
  <c r="O81" i="3"/>
  <c r="AE55" i="3"/>
  <c r="T63" i="3"/>
  <c r="W55" i="3"/>
  <c r="N59" i="3"/>
  <c r="AG76" i="3"/>
  <c r="AC77" i="3"/>
  <c r="S66" i="3"/>
  <c r="AQ56" i="3"/>
  <c r="I97" i="3"/>
  <c r="AQ88" i="3"/>
  <c r="T50" i="3"/>
  <c r="AE88" i="3"/>
  <c r="O75" i="3"/>
  <c r="T62" i="3"/>
  <c r="K97" i="3"/>
  <c r="I76" i="3"/>
  <c r="L90" i="3"/>
  <c r="AA60" i="3"/>
  <c r="N79" i="3"/>
  <c r="N73" i="3"/>
  <c r="L75" i="3"/>
  <c r="L50" i="3"/>
  <c r="AQ54" i="3"/>
  <c r="V70" i="3"/>
  <c r="AA47" i="3"/>
  <c r="AC72" i="3"/>
  <c r="AG65" i="3"/>
  <c r="W71" i="3"/>
  <c r="K84" i="3"/>
  <c r="AC54" i="3"/>
  <c r="K68" i="3"/>
  <c r="Y81" i="3"/>
  <c r="T61" i="3"/>
  <c r="V74" i="3"/>
  <c r="I67" i="3"/>
  <c r="V91" i="3"/>
  <c r="W83" i="3"/>
  <c r="L55" i="3"/>
  <c r="AJ73" i="3"/>
  <c r="AI48" i="3"/>
  <c r="AK92" i="3"/>
  <c r="V68" i="3"/>
  <c r="AA78" i="3"/>
  <c r="P74" i="3"/>
  <c r="I55" i="3"/>
  <c r="N86" i="3"/>
  <c r="Y60" i="3"/>
  <c r="T73" i="3"/>
  <c r="AN64" i="3"/>
  <c r="P92" i="3"/>
  <c r="AE72" i="3"/>
  <c r="O50" i="3"/>
  <c r="AJ94" i="3"/>
  <c r="W86" i="3"/>
  <c r="N77" i="3"/>
  <c r="V92" i="3"/>
  <c r="AG61" i="3"/>
  <c r="V54" i="3"/>
  <c r="S96" i="3"/>
  <c r="AQ87" i="3"/>
  <c r="W78" i="3"/>
  <c r="K90" i="3"/>
  <c r="T67" i="3"/>
  <c r="AN49" i="3"/>
  <c r="AG74" i="3"/>
  <c r="S80" i="3"/>
  <c r="I92" i="3"/>
  <c r="K60" i="3"/>
  <c r="L96" i="3"/>
  <c r="T74" i="3"/>
  <c r="AI82" i="3"/>
  <c r="N67" i="3"/>
  <c r="L54" i="3"/>
  <c r="AE59" i="3"/>
  <c r="AC74" i="3"/>
  <c r="L48" i="3"/>
  <c r="AE89" i="3"/>
  <c r="T95" i="3"/>
  <c r="Y59" i="3"/>
  <c r="W92" i="3"/>
  <c r="AE91" i="3"/>
  <c r="AG96" i="3"/>
  <c r="T66" i="3"/>
  <c r="K83" i="3"/>
  <c r="Y76" i="3"/>
  <c r="AE57" i="3"/>
  <c r="I60" i="3"/>
  <c r="S67" i="3"/>
  <c r="I95" i="3"/>
  <c r="O61" i="3"/>
  <c r="T60" i="3"/>
  <c r="AA69" i="3"/>
  <c r="T90" i="3"/>
  <c r="K96" i="3"/>
  <c r="AI55" i="3"/>
  <c r="K66" i="3"/>
  <c r="AK78" i="3"/>
  <c r="AK91" i="3"/>
  <c r="AI59" i="3"/>
  <c r="O68" i="3"/>
  <c r="AI81" i="3"/>
  <c r="AE78" i="3"/>
  <c r="P64" i="3"/>
  <c r="AC88" i="3"/>
  <c r="AG57" i="3"/>
  <c r="S92" i="3"/>
  <c r="I70" i="3"/>
  <c r="AI67" i="3"/>
  <c r="O85" i="3"/>
  <c r="V90" i="3"/>
  <c r="S91" i="3"/>
  <c r="Y68" i="3"/>
  <c r="T85" i="3"/>
  <c r="AC80" i="3"/>
  <c r="N80" i="3"/>
  <c r="K70" i="3"/>
  <c r="T83" i="3"/>
  <c r="AA75" i="3"/>
  <c r="AQ71" i="3"/>
  <c r="AE87" i="3"/>
  <c r="T68" i="3"/>
  <c r="V76" i="3"/>
  <c r="W79" i="3"/>
  <c r="AC66" i="3"/>
  <c r="W63" i="3"/>
  <c r="AQ93" i="3"/>
  <c r="I49" i="3"/>
  <c r="K64" i="3"/>
  <c r="AJ75" i="3"/>
  <c r="AQ78" i="3"/>
  <c r="AC57" i="3"/>
  <c r="N48" i="3"/>
  <c r="K91" i="3"/>
  <c r="AA85" i="3"/>
  <c r="S76" i="3"/>
  <c r="S48" i="3"/>
  <c r="AI71" i="3"/>
  <c r="L93" i="3"/>
  <c r="AK97" i="3"/>
  <c r="AK54" i="3"/>
  <c r="AI94" i="3"/>
  <c r="L62" i="3"/>
  <c r="L78" i="3"/>
  <c r="AJ69" i="3"/>
  <c r="I58" i="3"/>
  <c r="S70" i="3"/>
  <c r="AN59" i="3"/>
  <c r="S60" i="3"/>
  <c r="AI84" i="3"/>
  <c r="AE84" i="3"/>
  <c r="AN71" i="3"/>
  <c r="AE79" i="3"/>
  <c r="AN60" i="3"/>
  <c r="W59" i="3"/>
  <c r="N71" i="3"/>
  <c r="V79" i="3"/>
  <c r="S87" i="3"/>
  <c r="AG73" i="3"/>
  <c r="S73" i="3"/>
  <c r="Y96" i="3"/>
  <c r="AQ72" i="3"/>
  <c r="W75" i="3"/>
  <c r="I80" i="3"/>
  <c r="K89" i="3"/>
  <c r="I48" i="3"/>
  <c r="N50" i="3"/>
  <c r="K62" i="3"/>
  <c r="AA88" i="3"/>
  <c r="AG56" i="3"/>
  <c r="S47" i="3"/>
  <c r="S69" i="3"/>
  <c r="AK93" i="3"/>
  <c r="AI97" i="3"/>
  <c r="L94" i="3"/>
  <c r="AE68" i="3"/>
  <c r="P50" i="3"/>
  <c r="L63" i="3"/>
  <c r="Y47" i="3"/>
  <c r="AQ94" i="3"/>
  <c r="N56" i="3"/>
  <c r="AJ47" i="3"/>
  <c r="AG85" i="3"/>
  <c r="AJ59" i="3"/>
  <c r="K55" i="3"/>
  <c r="Y87" i="3"/>
  <c r="L66" i="3"/>
  <c r="O78" i="3"/>
  <c r="AE85" i="3"/>
  <c r="P61" i="3"/>
  <c r="AJ67" i="3"/>
  <c r="AA95" i="3"/>
  <c r="V87" i="3"/>
  <c r="W56" i="3"/>
  <c r="AK89" i="3"/>
  <c r="AA87" i="3"/>
  <c r="AG49" i="3"/>
  <c r="Y84" i="3"/>
  <c r="P69" i="3"/>
  <c r="AC86" i="3"/>
  <c r="S85" i="3"/>
  <c r="I77" i="3"/>
  <c r="AQ58" i="3"/>
  <c r="S71" i="3"/>
  <c r="K54" i="3"/>
  <c r="AI87" i="3"/>
  <c r="O63" i="3"/>
  <c r="S58" i="3"/>
  <c r="AI69" i="3"/>
  <c r="P88" i="3"/>
  <c r="O83" i="3"/>
  <c r="P84" i="3"/>
  <c r="AC75" i="3"/>
  <c r="O86" i="3"/>
  <c r="AI88" i="3"/>
  <c r="W89" i="3"/>
  <c r="N91" i="3"/>
  <c r="AM91" i="3"/>
  <c r="AN94" i="3"/>
  <c r="AG70" i="3"/>
  <c r="U69" i="3"/>
  <c r="AJ66" i="3"/>
  <c r="S65" i="3"/>
  <c r="Y64" i="3"/>
  <c r="I54" i="3"/>
  <c r="S93" i="3"/>
  <c r="AJ50" i="3"/>
  <c r="V61" i="3"/>
  <c r="AQ82" i="3"/>
  <c r="AE90" i="3"/>
  <c r="Q97" i="3"/>
  <c r="AG95" i="3"/>
  <c r="AE56" i="3"/>
  <c r="AJ48" i="3"/>
  <c r="U94" i="3"/>
  <c r="Y91" i="3"/>
  <c r="AI49" i="3"/>
  <c r="AN88" i="3"/>
  <c r="N54" i="3"/>
  <c r="N89" i="3"/>
  <c r="AM56" i="3"/>
  <c r="L79" i="3"/>
  <c r="AE83" i="3"/>
  <c r="L58" i="3"/>
  <c r="V67" i="3"/>
  <c r="AA63" i="3"/>
  <c r="K94" i="3"/>
  <c r="Q89" i="3"/>
  <c r="N70" i="3"/>
  <c r="AM64" i="3"/>
  <c r="O70" i="3"/>
  <c r="AA86" i="3"/>
  <c r="AQ66" i="3"/>
  <c r="AG94" i="3"/>
  <c r="U93" i="3"/>
  <c r="L67" i="3"/>
  <c r="AE64" i="3"/>
  <c r="Q87" i="3"/>
  <c r="AJ95" i="3"/>
  <c r="AJ72" i="3"/>
  <c r="O90" i="3"/>
  <c r="AN78" i="3"/>
  <c r="AN90" i="3"/>
  <c r="AA59" i="3"/>
  <c r="K80" i="3"/>
  <c r="W96" i="3"/>
  <c r="AK85" i="3"/>
  <c r="AA76" i="3"/>
  <c r="S79" i="3"/>
  <c r="AC65" i="3"/>
  <c r="K72" i="3"/>
  <c r="Y94" i="3"/>
  <c r="O71" i="3"/>
  <c r="T58" i="3"/>
  <c r="V97" i="3"/>
  <c r="I57" i="3"/>
  <c r="AJ65" i="3"/>
  <c r="AJ54" i="3"/>
  <c r="W65" i="3"/>
  <c r="AN62" i="3"/>
  <c r="AJ74" i="3"/>
  <c r="Y63" i="3"/>
  <c r="AC69" i="3"/>
  <c r="AI56" i="3"/>
  <c r="AI95" i="3"/>
  <c r="L64" i="3"/>
  <c r="AI57" i="3"/>
  <c r="P87" i="3"/>
  <c r="AA83" i="3"/>
  <c r="P62" i="3"/>
  <c r="O57" i="3"/>
  <c r="O48" i="3"/>
  <c r="T75" i="3"/>
  <c r="AA91" i="3"/>
  <c r="O62" i="3"/>
  <c r="AE69" i="3"/>
  <c r="S95" i="3"/>
  <c r="AC71" i="3"/>
  <c r="W81" i="3"/>
  <c r="N97" i="3"/>
  <c r="AM96" i="3"/>
  <c r="Z97" i="3"/>
  <c r="AG90" i="3"/>
  <c r="AJ76" i="3"/>
  <c r="V66" i="3"/>
  <c r="S75" i="3"/>
  <c r="U84" i="3"/>
  <c r="Y61" i="3"/>
  <c r="I93" i="3"/>
  <c r="AN48" i="3"/>
  <c r="Z72" i="3"/>
  <c r="AQ92" i="3"/>
  <c r="Z68" i="3"/>
  <c r="W76" i="3"/>
  <c r="Z82" i="3"/>
  <c r="Y69" i="3"/>
  <c r="I87" i="3"/>
  <c r="T47" i="3"/>
  <c r="AI54" i="3"/>
  <c r="P66" i="3"/>
  <c r="AI96" i="3"/>
  <c r="N64" i="3"/>
  <c r="L84" i="3"/>
  <c r="P47" i="3"/>
  <c r="AN67" i="3"/>
  <c r="P56" i="3"/>
  <c r="Y74" i="3"/>
  <c r="AJ82" i="3"/>
  <c r="AN89" i="3"/>
  <c r="Z54" i="3"/>
  <c r="AI68" i="3"/>
  <c r="AA81" i="3"/>
  <c r="V69" i="3"/>
  <c r="Q93" i="3"/>
  <c r="AC79" i="3"/>
  <c r="Z57" i="3"/>
  <c r="O92" i="3"/>
  <c r="AJ81" i="3"/>
  <c r="U95" i="3"/>
  <c r="AQ95" i="3"/>
  <c r="Z96" i="3"/>
  <c r="AG71" i="3"/>
  <c r="Q66" i="3"/>
  <c r="W94" i="3"/>
  <c r="AG83" i="3"/>
  <c r="S84" i="3"/>
  <c r="Q64" i="3"/>
  <c r="I86" i="3"/>
  <c r="Y90" i="3"/>
  <c r="Z63" i="3"/>
  <c r="AA92" i="3"/>
  <c r="AE58" i="3"/>
  <c r="AI78" i="3"/>
  <c r="AN96" i="3"/>
  <c r="T49" i="3"/>
  <c r="N85" i="3"/>
  <c r="Z49" i="3"/>
  <c r="K79" i="3"/>
  <c r="W48" i="3"/>
  <c r="AK48" i="3"/>
  <c r="U60" i="3"/>
  <c r="Q76" i="3"/>
  <c r="AC76" i="3"/>
  <c r="K63" i="3"/>
  <c r="Y80" i="3"/>
  <c r="AG58" i="3"/>
  <c r="T54" i="3"/>
  <c r="U66" i="3"/>
  <c r="V96" i="3"/>
  <c r="I81" i="3"/>
  <c r="W50" i="3"/>
  <c r="AN76" i="3"/>
  <c r="AQ97" i="3"/>
  <c r="T84" i="3"/>
  <c r="AK80" i="3"/>
  <c r="AI63" i="3"/>
  <c r="AI47" i="3"/>
  <c r="L88" i="3"/>
  <c r="O74" i="3"/>
  <c r="AJ70" i="3"/>
  <c r="L56" i="3"/>
  <c r="Q55" i="3"/>
  <c r="P79" i="3"/>
  <c r="AE47" i="3"/>
  <c r="Q60" i="3"/>
  <c r="O84" i="3"/>
  <c r="AE49" i="3"/>
  <c r="U85" i="3"/>
  <c r="T65" i="3"/>
  <c r="W74" i="3"/>
  <c r="N84" i="3"/>
  <c r="AM75" i="3"/>
  <c r="AC58" i="3"/>
  <c r="AG47" i="3"/>
  <c r="AN83" i="3"/>
  <c r="V64" i="3"/>
  <c r="S59" i="3"/>
  <c r="U67" i="3"/>
  <c r="Y89" i="3"/>
  <c r="I66" i="3"/>
  <c r="Y88" i="3"/>
  <c r="AN72" i="3"/>
  <c r="Z89" i="3"/>
  <c r="AQ81" i="3"/>
  <c r="AJ79" i="3"/>
  <c r="AN58" i="3"/>
  <c r="W80" i="3"/>
  <c r="V71" i="3"/>
  <c r="Z86" i="3"/>
  <c r="Y79" i="3"/>
  <c r="Q61" i="3"/>
  <c r="AK59" i="3"/>
  <c r="AA74" i="3"/>
  <c r="AN77" i="3"/>
  <c r="AI83" i="3"/>
  <c r="AM62" i="3"/>
  <c r="L60" i="3"/>
  <c r="AJ55" i="3"/>
  <c r="P80" i="3"/>
  <c r="AA56" i="3"/>
  <c r="AA48" i="3"/>
  <c r="W62" i="3"/>
  <c r="AC87" i="3"/>
  <c r="U83" i="3"/>
  <c r="AC48" i="3"/>
  <c r="P67" i="3"/>
  <c r="O55" i="3"/>
  <c r="AC67" i="3"/>
  <c r="I84" i="3"/>
  <c r="Z56" i="3"/>
  <c r="L76" i="3"/>
  <c r="AN84" i="3"/>
  <c r="Y93" i="3"/>
  <c r="I74" i="3"/>
  <c r="AQ48" i="3"/>
  <c r="AG55" i="3"/>
  <c r="N66" i="3"/>
  <c r="W61" i="3"/>
  <c r="U92" i="3"/>
  <c r="AN66" i="3"/>
  <c r="W47" i="3"/>
  <c r="Y92" i="3"/>
  <c r="K78" i="3"/>
  <c r="AC85" i="3"/>
  <c r="AK94" i="3"/>
  <c r="AI50" i="3"/>
  <c r="L57" i="3"/>
  <c r="K47" i="3"/>
  <c r="W84" i="3"/>
  <c r="AC81" i="3"/>
  <c r="U80" i="3"/>
  <c r="V84" i="3"/>
  <c r="I75" i="3"/>
  <c r="P85" i="3"/>
  <c r="AA70" i="3"/>
  <c r="AG80" i="3"/>
  <c r="AQ75" i="3"/>
  <c r="T78" i="3"/>
  <c r="N61" i="3"/>
  <c r="Q80" i="3"/>
  <c r="U78" i="3"/>
  <c r="AN68" i="3"/>
  <c r="AJ83" i="3"/>
  <c r="AA80" i="3"/>
  <c r="U61" i="3"/>
  <c r="AC94" i="3"/>
  <c r="AN69" i="3"/>
  <c r="AK61" i="3"/>
  <c r="L86" i="3"/>
  <c r="AJ63" i="3"/>
  <c r="AJ84" i="3"/>
  <c r="W70" i="3"/>
  <c r="AG97" i="3"/>
  <c r="AM82" i="3"/>
  <c r="AJ80" i="3"/>
  <c r="W49" i="3"/>
  <c r="Y57" i="3"/>
  <c r="AK63" i="3"/>
  <c r="O72" i="3"/>
  <c r="AI91" i="3"/>
  <c r="AG77" i="3"/>
  <c r="AQ63" i="3"/>
  <c r="O80" i="3"/>
  <c r="AE63" i="3"/>
  <c r="Q77" i="3"/>
  <c r="I91" i="3"/>
  <c r="W72" i="3"/>
  <c r="V59" i="3"/>
  <c r="AE77" i="3"/>
  <c r="T56" i="3"/>
  <c r="S74" i="3"/>
  <c r="AE71" i="3"/>
  <c r="U55" i="3"/>
  <c r="AJ68" i="3"/>
  <c r="K76" i="3"/>
  <c r="N55" i="3"/>
  <c r="AA67" i="3"/>
  <c r="S50" i="3"/>
  <c r="AN97" i="3"/>
  <c r="V75" i="3"/>
  <c r="AK88" i="3"/>
  <c r="AQ91" i="3"/>
  <c r="V72" i="3"/>
  <c r="K93" i="3"/>
  <c r="K58" i="3"/>
  <c r="K85" i="3"/>
  <c r="Q90" i="3"/>
  <c r="L95" i="3"/>
  <c r="AM83" i="3"/>
  <c r="O96" i="3"/>
  <c r="L80" i="3"/>
  <c r="AN75" i="3"/>
  <c r="AA97" i="3"/>
  <c r="Z73" i="3"/>
  <c r="AA55" i="3"/>
  <c r="N96" i="3"/>
  <c r="Z47" i="3"/>
  <c r="AJ57" i="3"/>
  <c r="AG86" i="3"/>
  <c r="W82" i="3"/>
  <c r="AM71" i="3"/>
  <c r="AE93" i="3"/>
  <c r="K86" i="3"/>
  <c r="U74" i="3"/>
  <c r="Q81" i="3"/>
  <c r="AC73" i="3"/>
  <c r="K75" i="3"/>
  <c r="Y56" i="3"/>
  <c r="AE65" i="3"/>
  <c r="I68" i="3"/>
  <c r="AQ57" i="3"/>
  <c r="P76" i="3"/>
  <c r="V85" i="3"/>
  <c r="Z55" i="3"/>
  <c r="W85" i="3"/>
  <c r="AN63" i="3"/>
  <c r="U79" i="3"/>
  <c r="P94" i="3"/>
  <c r="V49" i="3"/>
  <c r="N93" i="3"/>
  <c r="AE74" i="3"/>
  <c r="AM74" i="3"/>
  <c r="AK49" i="3"/>
  <c r="AI77" i="3"/>
  <c r="P96" i="3"/>
  <c r="AE96" i="3"/>
  <c r="AN82" i="3"/>
  <c r="AJ60" i="3"/>
  <c r="AA72" i="3"/>
  <c r="T96" i="3"/>
  <c r="W67" i="3"/>
  <c r="N92" i="3"/>
  <c r="AG84" i="3"/>
  <c r="T69" i="3"/>
  <c r="AG59" i="3"/>
  <c r="AN91" i="3"/>
  <c r="V86" i="3"/>
  <c r="S82" i="3"/>
  <c r="U91" i="3"/>
  <c r="AQ73" i="3"/>
  <c r="I62" i="3"/>
  <c r="AQ70" i="3"/>
  <c r="AC63" i="3"/>
  <c r="P54" i="3"/>
  <c r="W97" i="3"/>
  <c r="T94" i="3"/>
  <c r="Y82" i="3"/>
  <c r="AJ89" i="3"/>
  <c r="V77" i="3"/>
  <c r="AJ64" i="3"/>
  <c r="AI61" i="3"/>
  <c r="O94" i="3"/>
  <c r="AA82" i="3"/>
  <c r="AE54" i="3"/>
  <c r="V88" i="3"/>
  <c r="AQ85" i="3"/>
  <c r="T93" i="3"/>
  <c r="AK86" i="3"/>
  <c r="AE73" i="3"/>
  <c r="AE97" i="3"/>
  <c r="V50" i="3"/>
  <c r="T76" i="3"/>
  <c r="K49" i="3"/>
  <c r="P73" i="3"/>
  <c r="N68" i="3"/>
  <c r="Z85" i="3"/>
  <c r="I65" i="3"/>
  <c r="T89" i="3"/>
  <c r="S81" i="3"/>
  <c r="Q48" i="3"/>
  <c r="Y85" i="3"/>
  <c r="AM50" i="3"/>
  <c r="L73" i="3"/>
  <c r="AJ93" i="3"/>
  <c r="Q63" i="3"/>
  <c r="W68" i="3"/>
  <c r="N88" i="3"/>
  <c r="Z61" i="3"/>
  <c r="AQ65" i="3"/>
  <c r="AC60" i="3"/>
  <c r="T72" i="3"/>
  <c r="W73" i="3"/>
  <c r="AN47" i="3"/>
  <c r="V73" i="3"/>
  <c r="I73" i="3"/>
  <c r="T91" i="3"/>
  <c r="Z50" i="3"/>
  <c r="Z95" i="3"/>
  <c r="S64" i="3"/>
  <c r="AM70" i="3"/>
  <c r="L74" i="3"/>
  <c r="O89" i="3"/>
  <c r="AK47" i="3"/>
  <c r="AQ89" i="3"/>
  <c r="T82" i="3"/>
  <c r="N63" i="3"/>
  <c r="AJ62" i="3"/>
  <c r="K95" i="3"/>
  <c r="AE60" i="3"/>
  <c r="K57" i="3"/>
  <c r="AC64" i="3"/>
  <c r="Y77" i="3"/>
  <c r="O76" i="3"/>
  <c r="S63" i="3"/>
  <c r="Y67" i="3"/>
  <c r="K92" i="3"/>
  <c r="AG82" i="3"/>
  <c r="P55" i="3"/>
  <c r="AM80" i="3"/>
  <c r="L68" i="3"/>
  <c r="AI70" i="3"/>
  <c r="Q57" i="3"/>
  <c r="AC97" i="3"/>
  <c r="AC78" i="3"/>
  <c r="V57" i="3"/>
  <c r="AC56" i="3"/>
  <c r="W57" i="3"/>
  <c r="AM76" i="3"/>
  <c r="AJ97" i="3"/>
  <c r="AG67" i="3"/>
  <c r="U65" i="3"/>
  <c r="AE70" i="3"/>
  <c r="K77" i="3"/>
  <c r="Y70" i="3"/>
  <c r="K61" i="3"/>
  <c r="AE92" i="3"/>
  <c r="AQ80" i="3"/>
  <c r="W64" i="3"/>
  <c r="K59" i="3"/>
  <c r="Z81" i="3"/>
  <c r="Y58" i="3"/>
  <c r="AE50" i="3"/>
  <c r="AQ84" i="3"/>
  <c r="L47" i="3"/>
  <c r="AM69" i="3"/>
  <c r="AK81" i="3"/>
  <c r="L97" i="3"/>
  <c r="L65" i="3"/>
  <c r="AI80" i="3"/>
  <c r="O59" i="3"/>
  <c r="AE81" i="3"/>
  <c r="AE66" i="3"/>
  <c r="P93" i="3"/>
  <c r="AE95" i="3"/>
  <c r="AA79" i="3"/>
  <c r="AN54" i="3"/>
  <c r="Z60" i="3"/>
  <c r="W69" i="3"/>
  <c r="N82" i="3"/>
  <c r="U77" i="3"/>
  <c r="AG60" i="3"/>
  <c r="T57" i="3"/>
  <c r="S49" i="3"/>
  <c r="U76" i="3"/>
  <c r="AQ61" i="3"/>
  <c r="I69" i="3"/>
  <c r="AQ64" i="3"/>
  <c r="K82" i="3"/>
  <c r="T92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O56" i="3"/>
  <c r="AJ56" i="3"/>
  <c r="AN80" i="3"/>
  <c r="W58" i="3"/>
  <c r="Y97" i="3"/>
  <c r="I89" i="3"/>
  <c r="S86" i="3"/>
  <c r="AK79" i="3"/>
  <c r="P48" i="3"/>
  <c r="AI86" i="3"/>
  <c r="K69" i="3"/>
  <c r="V62" i="3"/>
  <c r="AE86" i="3"/>
  <c r="O93" i="3"/>
  <c r="Z62" i="3"/>
  <c r="AG79" i="3"/>
  <c r="I72" i="3"/>
  <c r="N75" i="3"/>
  <c r="V93" i="3"/>
  <c r="U90" i="3"/>
  <c r="T71" i="3"/>
  <c r="AM77" i="3"/>
  <c r="U82" i="3"/>
  <c r="I64" i="3"/>
  <c r="AQ86" i="3"/>
  <c r="N87" i="3"/>
  <c r="AQ96" i="3"/>
  <c r="P78" i="3"/>
  <c r="AJ87" i="3"/>
  <c r="AG66" i="3"/>
  <c r="U87" i="3"/>
  <c r="AQ79" i="3"/>
  <c r="K56" i="3"/>
  <c r="Q78" i="3"/>
  <c r="N72" i="3"/>
  <c r="Z83" i="3"/>
  <c r="L81" i="3"/>
  <c r="AK72" i="3"/>
  <c r="AA66" i="3"/>
  <c r="S68" i="3"/>
  <c r="AJ49" i="3"/>
  <c r="AJ78" i="3"/>
  <c r="AN87" i="3"/>
  <c r="AA68" i="3"/>
  <c r="I63" i="3"/>
  <c r="AN93" i="3"/>
  <c r="AA62" i="3"/>
  <c r="Q83" i="3"/>
  <c r="AJ92" i="3"/>
  <c r="V58" i="3"/>
  <c r="AC89" i="3"/>
  <c r="AA84" i="3"/>
  <c r="AJ58" i="3"/>
  <c r="AK65" i="3"/>
  <c r="AJ88" i="3"/>
  <c r="P72" i="3"/>
  <c r="AI76" i="3"/>
  <c r="L59" i="3"/>
  <c r="P59" i="3"/>
  <c r="L70" i="3"/>
  <c r="V56" i="3"/>
  <c r="AG62" i="3"/>
  <c r="AA93" i="3"/>
  <c r="T55" i="3"/>
  <c r="Z92" i="3"/>
  <c r="Y54" i="3"/>
  <c r="N78" i="3"/>
  <c r="AM60" i="3"/>
  <c r="AN70" i="3"/>
  <c r="AG93" i="3"/>
  <c r="U47" i="3"/>
  <c r="AJ85" i="3"/>
  <c r="S55" i="3"/>
  <c r="Y62" i="3"/>
  <c r="V95" i="3"/>
  <c r="Z88" i="3"/>
  <c r="AG75" i="3"/>
  <c r="O91" i="3"/>
  <c r="V60" i="3"/>
  <c r="AG64" i="3"/>
  <c r="S56" i="3"/>
  <c r="T70" i="3"/>
  <c r="L83" i="3"/>
  <c r="L91" i="3"/>
  <c r="AQ83" i="3"/>
  <c r="AG69" i="3"/>
  <c r="V83" i="3"/>
  <c r="AQ74" i="3"/>
  <c r="AA73" i="3"/>
  <c r="W88" i="3"/>
  <c r="S77" i="3"/>
  <c r="AA49" i="3"/>
  <c r="AC92" i="3"/>
  <c r="AK76" i="3"/>
  <c r="Y71" i="3"/>
  <c r="AQ50" i="3"/>
  <c r="AG89" i="3"/>
  <c r="S62" i="3"/>
  <c r="AA77" i="3"/>
  <c r="K71" i="3"/>
  <c r="I61" i="3"/>
  <c r="AJ90" i="3"/>
  <c r="T77" i="3"/>
  <c r="AM54" i="3"/>
  <c r="Y50" i="3"/>
  <c r="U89" i="3"/>
  <c r="V94" i="3"/>
  <c r="AE76" i="3"/>
  <c r="AC49" i="3"/>
  <c r="O58" i="3"/>
  <c r="Y83" i="3"/>
  <c r="O64" i="3"/>
  <c r="I78" i="3"/>
  <c r="AQ60" i="3"/>
  <c r="AO69" i="3" l="1"/>
  <c r="AO74" i="3"/>
  <c r="AO48" i="3"/>
  <c r="AO70" i="3"/>
  <c r="AO66" i="3"/>
  <c r="AO75" i="3"/>
  <c r="AO87" i="3"/>
  <c r="AO61" i="3"/>
  <c r="AO90" i="3"/>
  <c r="AO93" i="3"/>
  <c r="AO72" i="3"/>
  <c r="AO67" i="3"/>
  <c r="AO79" i="3"/>
  <c r="AO54" i="3"/>
  <c r="AO86" i="3"/>
  <c r="AO60" i="3"/>
  <c r="AO83" i="3"/>
  <c r="AO96" i="3"/>
  <c r="AO68" i="3"/>
  <c r="AO57" i="3"/>
  <c r="AO58" i="3"/>
  <c r="AO77" i="3"/>
  <c r="AO49" i="3"/>
  <c r="BU85" i="1" s="1"/>
  <c r="AO88" i="3"/>
  <c r="AO64" i="3"/>
  <c r="AO63" i="3"/>
  <c r="AO62" i="3"/>
  <c r="AO65" i="3"/>
  <c r="AO73" i="3"/>
  <c r="AO82" i="3"/>
  <c r="AO91" i="3"/>
  <c r="AO94" i="3"/>
  <c r="AO84" i="3"/>
  <c r="AO85" i="3"/>
  <c r="AO95" i="3"/>
  <c r="AO89" i="3"/>
  <c r="AO56" i="3"/>
  <c r="AO80" i="3"/>
  <c r="AO81" i="3"/>
  <c r="AO76" i="3"/>
  <c r="AO92" i="3"/>
  <c r="AO97" i="3"/>
  <c r="AO71" i="3"/>
  <c r="AO59" i="3"/>
  <c r="AO55" i="3"/>
  <c r="AO78" i="3"/>
  <c r="AO50" i="3"/>
  <c r="BU86" i="1" s="1"/>
  <c r="AO47" i="3"/>
  <c r="M63" i="3"/>
  <c r="M57" i="3"/>
  <c r="M72" i="3"/>
  <c r="M94" i="3"/>
  <c r="M97" i="3"/>
  <c r="M95" i="3"/>
  <c r="M59" i="3"/>
  <c r="M66" i="3"/>
  <c r="M92" i="3"/>
  <c r="M60" i="3"/>
  <c r="M88" i="3"/>
  <c r="M69" i="3"/>
  <c r="M76" i="3"/>
  <c r="M81" i="3"/>
  <c r="M64" i="3"/>
  <c r="M87" i="3"/>
  <c r="M74" i="3"/>
  <c r="M62" i="3"/>
  <c r="M80" i="3"/>
  <c r="M61" i="3"/>
  <c r="M91" i="3"/>
  <c r="M50" i="3"/>
  <c r="AS86" i="1" s="1"/>
  <c r="M65" i="3"/>
  <c r="M71" i="3"/>
  <c r="M78" i="3"/>
  <c r="M58" i="3"/>
  <c r="M54" i="3"/>
  <c r="M93" i="3"/>
  <c r="M68" i="3"/>
  <c r="M89" i="3"/>
  <c r="M55" i="3"/>
  <c r="M82" i="3"/>
  <c r="M49" i="3"/>
  <c r="AS85" i="1" s="1"/>
  <c r="M47" i="3"/>
  <c r="M73" i="3"/>
  <c r="M84" i="3"/>
  <c r="M96" i="3"/>
  <c r="M48" i="3"/>
  <c r="M83" i="3"/>
  <c r="M85" i="3"/>
  <c r="M79" i="3"/>
  <c r="M86" i="3"/>
  <c r="M67" i="3"/>
  <c r="M75" i="3"/>
  <c r="M56" i="3"/>
  <c r="M77" i="3"/>
  <c r="M70" i="3"/>
  <c r="M90" i="3"/>
  <c r="X48" i="3"/>
  <c r="X66" i="3"/>
  <c r="BD163" i="1" s="1"/>
  <c r="BE163" i="1" s="1"/>
  <c r="X86" i="3"/>
  <c r="X62" i="3"/>
  <c r="BD136" i="1" s="1"/>
  <c r="BE136" i="1" s="1"/>
  <c r="X94" i="3"/>
  <c r="X57" i="3"/>
  <c r="BD130" i="1" s="1"/>
  <c r="BE130" i="1" s="1"/>
  <c r="X90" i="3"/>
  <c r="BD138" i="1" s="1"/>
  <c r="BE138" i="1" s="1"/>
  <c r="X61" i="3"/>
  <c r="X93" i="3"/>
  <c r="X97" i="3"/>
  <c r="X89" i="3"/>
  <c r="BD165" i="1" s="1"/>
  <c r="X69" i="3"/>
  <c r="BD144" i="1" s="1"/>
  <c r="X92" i="3"/>
  <c r="BD167" i="1" s="1"/>
  <c r="BE167" i="1" s="1"/>
  <c r="X67" i="3"/>
  <c r="X81" i="3"/>
  <c r="BD156" i="1" s="1"/>
  <c r="X77" i="3"/>
  <c r="BD152" i="1" s="1"/>
  <c r="BE152" i="1" s="1"/>
  <c r="X79" i="3"/>
  <c r="X50" i="3"/>
  <c r="BD86" i="1" s="1"/>
  <c r="X73" i="3"/>
  <c r="X71" i="3"/>
  <c r="X56" i="3"/>
  <c r="BD129" i="1" s="1"/>
  <c r="X83" i="3"/>
  <c r="BD172" i="1" s="1"/>
  <c r="X65" i="3"/>
  <c r="BD162" i="1" s="1"/>
  <c r="BE162" i="1" s="1"/>
  <c r="X96" i="3"/>
  <c r="BD175" i="1" s="1"/>
  <c r="BE175" i="1" s="1"/>
  <c r="X49" i="3"/>
  <c r="BD85" i="1" s="1"/>
  <c r="X55" i="3"/>
  <c r="X91" i="3"/>
  <c r="BD166" i="1" s="1"/>
  <c r="BE166" i="1" s="1"/>
  <c r="X78" i="3"/>
  <c r="BD154" i="1" s="1"/>
  <c r="BE154" i="1" s="1"/>
  <c r="X72" i="3"/>
  <c r="BD147" i="1" s="1"/>
  <c r="BE147" i="1" s="1"/>
  <c r="X80" i="3"/>
  <c r="BD171" i="1" s="1"/>
  <c r="X64" i="3"/>
  <c r="BD161" i="1" s="1"/>
  <c r="BE161" i="1" s="1"/>
  <c r="X74" i="3"/>
  <c r="X87" i="3"/>
  <c r="BD164" i="1" s="1"/>
  <c r="BE164" i="1" s="1"/>
  <c r="X85" i="3"/>
  <c r="BD159" i="1" s="1"/>
  <c r="BE159" i="1" s="1"/>
  <c r="X54" i="3"/>
  <c r="X95" i="3"/>
  <c r="BD176" i="1" s="1"/>
  <c r="BE176" i="1" s="1"/>
  <c r="X84" i="3"/>
  <c r="BD158" i="1" s="1"/>
  <c r="BE158" i="1" s="1"/>
  <c r="X68" i="3"/>
  <c r="BD143" i="1" s="1"/>
  <c r="X82" i="3"/>
  <c r="BD157" i="1" s="1"/>
  <c r="X58" i="3"/>
  <c r="BD131" i="1" s="1"/>
  <c r="X88" i="3"/>
  <c r="BD139" i="1" s="1"/>
  <c r="BE139" i="1" s="1"/>
  <c r="X70" i="3"/>
  <c r="BD145" i="1" s="1"/>
  <c r="X47" i="3"/>
  <c r="X63" i="3"/>
  <c r="BD137" i="1" s="1"/>
  <c r="BE137" i="1" s="1"/>
  <c r="X60" i="3"/>
  <c r="BD134" i="1" s="1"/>
  <c r="BE134" i="1" s="1"/>
  <c r="X76" i="3"/>
  <c r="X59" i="3"/>
  <c r="X75" i="3"/>
  <c r="Q58" i="3"/>
  <c r="Q82" i="3"/>
  <c r="Q91" i="3"/>
  <c r="Q68" i="3"/>
  <c r="Q79" i="3"/>
  <c r="Q71" i="3"/>
  <c r="Q86" i="3"/>
  <c r="Q73" i="3"/>
  <c r="Q96" i="3"/>
  <c r="Q94" i="3"/>
  <c r="Q88" i="3"/>
  <c r="Q75" i="3"/>
  <c r="Q70" i="3"/>
  <c r="Q47" i="3"/>
  <c r="Q74" i="3"/>
  <c r="Q92" i="3"/>
  <c r="Q67" i="3"/>
  <c r="Q72" i="3"/>
  <c r="Q56" i="3"/>
  <c r="Q65" i="3"/>
  <c r="Q49" i="3"/>
  <c r="AW85" i="1" s="1"/>
  <c r="Q85" i="3"/>
  <c r="Q62" i="3"/>
  <c r="Q54" i="3"/>
  <c r="Q69" i="3"/>
  <c r="Q59" i="3"/>
  <c r="Q50" i="3"/>
  <c r="AW86" i="1" s="1"/>
  <c r="Q84" i="3"/>
  <c r="Q95" i="3"/>
  <c r="AH96" i="3"/>
  <c r="BN175" i="1" s="1"/>
  <c r="BO175" i="1" s="1"/>
  <c r="AH92" i="3"/>
  <c r="BN167" i="1" s="1"/>
  <c r="BO167" i="1" s="1"/>
  <c r="AH60" i="3"/>
  <c r="BN134" i="1" s="1"/>
  <c r="BO134" i="1" s="1"/>
  <c r="AH67" i="3"/>
  <c r="AH57" i="3"/>
  <c r="BN130" i="1" s="1"/>
  <c r="BO130" i="1" s="1"/>
  <c r="AH48" i="3"/>
  <c r="AH74" i="3"/>
  <c r="AH63" i="3"/>
  <c r="BN137" i="1" s="1"/>
  <c r="BO137" i="1" s="1"/>
  <c r="AH56" i="3"/>
  <c r="BN129" i="1" s="1"/>
  <c r="BO129" i="1" s="1"/>
  <c r="AH58" i="3"/>
  <c r="BN131" i="1" s="1"/>
  <c r="AH68" i="3"/>
  <c r="BN143" i="1" s="1"/>
  <c r="AH88" i="3"/>
  <c r="BN139" i="1" s="1"/>
  <c r="BO139" i="1" s="1"/>
  <c r="AH81" i="3"/>
  <c r="BN156" i="1" s="1"/>
  <c r="AH64" i="3"/>
  <c r="BN161" i="1" s="1"/>
  <c r="BO161" i="1" s="1"/>
  <c r="AH95" i="3"/>
  <c r="BN176" i="1" s="1"/>
  <c r="BO176" i="1" s="1"/>
  <c r="AH59" i="3"/>
  <c r="AH79" i="3"/>
  <c r="AH86" i="3"/>
  <c r="AH55" i="3"/>
  <c r="AH84" i="3"/>
  <c r="BN158" i="1" s="1"/>
  <c r="BO158" i="1" s="1"/>
  <c r="AH85" i="3"/>
  <c r="BN159" i="1" s="1"/>
  <c r="BO159" i="1" s="1"/>
  <c r="AH76" i="3"/>
  <c r="AH61" i="3"/>
  <c r="AH54" i="3"/>
  <c r="AH91" i="3"/>
  <c r="BN166" i="1" s="1"/>
  <c r="BO166" i="1" s="1"/>
  <c r="AH49" i="3"/>
  <c r="BN85" i="1" s="1"/>
  <c r="AH69" i="3"/>
  <c r="BN144" i="1" s="1"/>
  <c r="AH78" i="3"/>
  <c r="BN154" i="1" s="1"/>
  <c r="BO154" i="1" s="1"/>
  <c r="AH70" i="3"/>
  <c r="BN145" i="1" s="1"/>
  <c r="AH65" i="3"/>
  <c r="BN162" i="1" s="1"/>
  <c r="BO162" i="1" s="1"/>
  <c r="AH47" i="3"/>
  <c r="AH94" i="3"/>
  <c r="AH83" i="3"/>
  <c r="BN172" i="1" s="1"/>
  <c r="AH93" i="3"/>
  <c r="AH90" i="3"/>
  <c r="BN138" i="1" s="1"/>
  <c r="BO138" i="1" s="1"/>
  <c r="AH77" i="3"/>
  <c r="BN152" i="1" s="1"/>
  <c r="AH87" i="3"/>
  <c r="BN164" i="1" s="1"/>
  <c r="BO164" i="1" s="1"/>
  <c r="AH89" i="3"/>
  <c r="BN165" i="1" s="1"/>
  <c r="AH50" i="3"/>
  <c r="BN86" i="1" s="1"/>
  <c r="AH80" i="3"/>
  <c r="BN171" i="1" s="1"/>
  <c r="AH73" i="3"/>
  <c r="AH66" i="3"/>
  <c r="BN163" i="1" s="1"/>
  <c r="BO163" i="1" s="1"/>
  <c r="AH71" i="3"/>
  <c r="AH97" i="3"/>
  <c r="AH75" i="3"/>
  <c r="AH72" i="3"/>
  <c r="BN147" i="1" s="1"/>
  <c r="BO147" i="1" s="1"/>
  <c r="AH82" i="3"/>
  <c r="BN157" i="1" s="1"/>
  <c r="AH62" i="3"/>
  <c r="BN136" i="1" s="1"/>
  <c r="AM47" i="3"/>
  <c r="AM59" i="3"/>
  <c r="AM84" i="3"/>
  <c r="AM79" i="3"/>
  <c r="AM61" i="3"/>
  <c r="AM55" i="3"/>
  <c r="AM93" i="3"/>
  <c r="AM85" i="3"/>
  <c r="AM73" i="3"/>
  <c r="AM58" i="3"/>
  <c r="AM89" i="3"/>
  <c r="AM66" i="3"/>
  <c r="AM57" i="3"/>
  <c r="AM90" i="3"/>
  <c r="AM97" i="3"/>
  <c r="AM86" i="3"/>
  <c r="AM78" i="3"/>
  <c r="AM63" i="3"/>
  <c r="AM88" i="3"/>
  <c r="AM49" i="3"/>
  <c r="BS85" i="1" s="1"/>
  <c r="AM67" i="3"/>
  <c r="AM94" i="3"/>
  <c r="AM72" i="3"/>
  <c r="AM87" i="3"/>
  <c r="AM81" i="3"/>
  <c r="AM92" i="3"/>
  <c r="AM48" i="3"/>
  <c r="AM68" i="3"/>
  <c r="AM65" i="3"/>
  <c r="AM95" i="3"/>
  <c r="AL57" i="3"/>
  <c r="BR130" i="1" s="1"/>
  <c r="BS130" i="1" s="1"/>
  <c r="AL49" i="3"/>
  <c r="BR85" i="1" s="1"/>
  <c r="AL64" i="3"/>
  <c r="BR161" i="1" s="1"/>
  <c r="BS161" i="1" s="1"/>
  <c r="AL80" i="3"/>
  <c r="BR171" i="1" s="1"/>
  <c r="AL79" i="3"/>
  <c r="AL96" i="3"/>
  <c r="BR175" i="1" s="1"/>
  <c r="BS175" i="1" s="1"/>
  <c r="AL84" i="3"/>
  <c r="BR158" i="1" s="1"/>
  <c r="BS158" i="1" s="1"/>
  <c r="AL59" i="3"/>
  <c r="AL94" i="3"/>
  <c r="AL66" i="3"/>
  <c r="BR163" i="1" s="1"/>
  <c r="BS163" i="1" s="1"/>
  <c r="AL68" i="3"/>
  <c r="BR143" i="1" s="1"/>
  <c r="AL50" i="3"/>
  <c r="BR86" i="1" s="1"/>
  <c r="AL69" i="3"/>
  <c r="BR144" i="1" s="1"/>
  <c r="AL47" i="3"/>
  <c r="AL90" i="3"/>
  <c r="BR138" i="1" s="1"/>
  <c r="BS138" i="1" s="1"/>
  <c r="AL74" i="3"/>
  <c r="AL73" i="3"/>
  <c r="AL78" i="3"/>
  <c r="BR154" i="1" s="1"/>
  <c r="BS154" i="1" s="1"/>
  <c r="AL85" i="3"/>
  <c r="BR159" i="1" s="1"/>
  <c r="BS159" i="1" s="1"/>
  <c r="AL77" i="3"/>
  <c r="BR152" i="1" s="1"/>
  <c r="AL86" i="3"/>
  <c r="U81" i="3"/>
  <c r="U59" i="3"/>
  <c r="U97" i="3"/>
  <c r="U63" i="3"/>
  <c r="U56" i="3"/>
  <c r="U68" i="3"/>
  <c r="U54" i="3"/>
  <c r="U48" i="3"/>
  <c r="U73" i="3"/>
  <c r="U71" i="3"/>
  <c r="U58" i="3"/>
  <c r="U64" i="3"/>
  <c r="U50" i="3"/>
  <c r="BA86" i="1" s="1"/>
  <c r="U75" i="3"/>
  <c r="U57" i="3"/>
  <c r="U88" i="3"/>
  <c r="U62" i="3"/>
  <c r="U70" i="3"/>
  <c r="U72" i="3"/>
  <c r="U86" i="3"/>
  <c r="U96" i="3"/>
  <c r="U49" i="3"/>
  <c r="BA85" i="1" s="1"/>
  <c r="H78" i="3"/>
  <c r="AN154" i="1" s="1"/>
  <c r="H66" i="3"/>
  <c r="AN163" i="1" s="1"/>
  <c r="AO163" i="1" s="1"/>
  <c r="H81" i="3"/>
  <c r="AN156" i="1" s="1"/>
  <c r="H88" i="3"/>
  <c r="AN139" i="1" s="1"/>
  <c r="AO139" i="1" s="1"/>
  <c r="H76" i="3"/>
  <c r="H54" i="3"/>
  <c r="H84" i="3"/>
  <c r="AN158" i="1" s="1"/>
  <c r="AO158" i="1" s="1"/>
  <c r="H69" i="3"/>
  <c r="AN144" i="1" s="1"/>
  <c r="H77" i="3"/>
  <c r="AN152" i="1" s="1"/>
  <c r="H82" i="3"/>
  <c r="AN157" i="1" s="1"/>
  <c r="H86" i="3"/>
  <c r="H71" i="3"/>
  <c r="H79" i="3"/>
  <c r="AN155" i="1" s="1"/>
  <c r="AO155" i="1" s="1"/>
  <c r="H80" i="3"/>
  <c r="AN171" i="1" s="1"/>
  <c r="H58" i="3"/>
  <c r="AN131" i="1" s="1"/>
  <c r="H60" i="3"/>
  <c r="AN134" i="1" s="1"/>
  <c r="AO134" i="1" s="1"/>
  <c r="H65" i="3"/>
  <c r="AN162" i="1" s="1"/>
  <c r="AO162" i="1" s="1"/>
  <c r="H91" i="3"/>
  <c r="AN166" i="1" s="1"/>
  <c r="AO166" i="1" s="1"/>
  <c r="H74" i="3"/>
  <c r="H83" i="3"/>
  <c r="AN172" i="1" s="1"/>
  <c r="H55" i="3"/>
  <c r="H50" i="3"/>
  <c r="AN86" i="1" s="1"/>
  <c r="H92" i="3"/>
  <c r="AN167" i="1" s="1"/>
  <c r="AO167" i="1" s="1"/>
  <c r="H48" i="3"/>
  <c r="H67" i="3"/>
  <c r="H94" i="3"/>
  <c r="H72" i="3"/>
  <c r="AN147" i="1" s="1"/>
  <c r="AO147" i="1" s="1"/>
  <c r="H61" i="3"/>
  <c r="H62" i="3"/>
  <c r="AN136" i="1" s="1"/>
  <c r="H49" i="3"/>
  <c r="AN85" i="1" s="1"/>
  <c r="H47" i="3"/>
  <c r="H93" i="3"/>
  <c r="H56" i="3"/>
  <c r="AN129" i="1" s="1"/>
  <c r="H90" i="3"/>
  <c r="AN138" i="1" s="1"/>
  <c r="AO138" i="1" s="1"/>
  <c r="H89" i="3"/>
  <c r="AN165" i="1" s="1"/>
  <c r="H57" i="3"/>
  <c r="AN130" i="1" s="1"/>
  <c r="AO130" i="1" s="1"/>
  <c r="H59" i="3"/>
  <c r="H97" i="3"/>
  <c r="H87" i="3"/>
  <c r="AN164" i="1" s="1"/>
  <c r="AO164" i="1" s="1"/>
  <c r="H70" i="3"/>
  <c r="AN145" i="1" s="1"/>
  <c r="H95" i="3"/>
  <c r="AN176" i="1" s="1"/>
  <c r="AO176" i="1" s="1"/>
  <c r="H96" i="3"/>
  <c r="AN175" i="1" s="1"/>
  <c r="AO175" i="1" s="1"/>
  <c r="H85" i="3"/>
  <c r="AN159" i="1" s="1"/>
  <c r="AO159" i="1" s="1"/>
  <c r="H63" i="3"/>
  <c r="AN137" i="1" s="1"/>
  <c r="AO137" i="1" s="1"/>
  <c r="H75" i="3"/>
  <c r="H68" i="3"/>
  <c r="AN143" i="1" s="1"/>
  <c r="H64" i="3"/>
  <c r="AN161" i="1" s="1"/>
  <c r="AO161" i="1" s="1"/>
  <c r="H73" i="3"/>
  <c r="AL55" i="3"/>
  <c r="AL92" i="3"/>
  <c r="BR167" i="1" s="1"/>
  <c r="BS167" i="1" s="1"/>
  <c r="AL72" i="3"/>
  <c r="BR147" i="1" s="1"/>
  <c r="BS147" i="1" s="1"/>
  <c r="AL56" i="3"/>
  <c r="BR129" i="1" s="1"/>
  <c r="AL54" i="3"/>
  <c r="AL60" i="3"/>
  <c r="BR134" i="1" s="1"/>
  <c r="BS134" i="1" s="1"/>
  <c r="AL65" i="3"/>
  <c r="BR162" i="1" s="1"/>
  <c r="BS162" i="1" s="1"/>
  <c r="AL87" i="3"/>
  <c r="BR164" i="1" s="1"/>
  <c r="BS164" i="1" s="1"/>
  <c r="AL67" i="3"/>
  <c r="AL48" i="3"/>
  <c r="AL91" i="3"/>
  <c r="BR166" i="1" s="1"/>
  <c r="BS166" i="1" s="1"/>
  <c r="AL97" i="3"/>
  <c r="AL82" i="3"/>
  <c r="BR157" i="1" s="1"/>
  <c r="AL81" i="3"/>
  <c r="BR156" i="1" s="1"/>
  <c r="AL83" i="3"/>
  <c r="BR172" i="1" s="1"/>
  <c r="AL75" i="3"/>
  <c r="AL58" i="3"/>
  <c r="BR131" i="1" s="1"/>
  <c r="AL88" i="3"/>
  <c r="BR139" i="1" s="1"/>
  <c r="BS139" i="1" s="1"/>
  <c r="AL61" i="3"/>
  <c r="AL63" i="3"/>
  <c r="BR137" i="1" s="1"/>
  <c r="BS137" i="1" s="1"/>
  <c r="AL95" i="3"/>
  <c r="BR176" i="1" s="1"/>
  <c r="BS176" i="1" s="1"/>
  <c r="AL71" i="3"/>
  <c r="AL76" i="3"/>
  <c r="AL89" i="3"/>
  <c r="BR165" i="1" s="1"/>
  <c r="AL62" i="3"/>
  <c r="BR136" i="1" s="1"/>
  <c r="BS136" i="1" s="1"/>
  <c r="AL93" i="3"/>
  <c r="AL70" i="3"/>
  <c r="BR145" i="1" s="1"/>
  <c r="R65" i="3"/>
  <c r="AX162" i="1" s="1"/>
  <c r="AY162" i="1" s="1"/>
  <c r="R83" i="3"/>
  <c r="AX172" i="1" s="1"/>
  <c r="R49" i="3"/>
  <c r="AX85" i="1" s="1"/>
  <c r="R47" i="3"/>
  <c r="R89" i="3"/>
  <c r="AX165" i="1" s="1"/>
  <c r="R78" i="3"/>
  <c r="AX154" i="1" s="1"/>
  <c r="AY154" i="1" s="1"/>
  <c r="R58" i="3"/>
  <c r="AX131" i="1" s="1"/>
  <c r="R92" i="3"/>
  <c r="AX167" i="1" s="1"/>
  <c r="AY167" i="1" s="1"/>
  <c r="R73" i="3"/>
  <c r="R60" i="3"/>
  <c r="AX134" i="1" s="1"/>
  <c r="AY134" i="1" s="1"/>
  <c r="R87" i="3"/>
  <c r="AX164" i="1" s="1"/>
  <c r="AY164" i="1" s="1"/>
  <c r="R79" i="3"/>
  <c r="R48" i="3"/>
  <c r="R63" i="3"/>
  <c r="AX137" i="1" s="1"/>
  <c r="AY137" i="1" s="1"/>
  <c r="R50" i="3"/>
  <c r="AX86" i="1" s="1"/>
  <c r="R84" i="3"/>
  <c r="AX158" i="1" s="1"/>
  <c r="AY158" i="1" s="1"/>
  <c r="R91" i="3"/>
  <c r="AX166" i="1" s="1"/>
  <c r="AY166" i="1" s="1"/>
  <c r="R55" i="3"/>
  <c r="R96" i="3"/>
  <c r="AX175" i="1" s="1"/>
  <c r="AY175" i="1" s="1"/>
  <c r="R67" i="3"/>
  <c r="R57" i="3"/>
  <c r="AX130" i="1" s="1"/>
  <c r="AY130" i="1" s="1"/>
  <c r="R75" i="3"/>
  <c r="R81" i="3"/>
  <c r="AX156" i="1" s="1"/>
  <c r="R86" i="3"/>
  <c r="R90" i="3"/>
  <c r="AX138" i="1" s="1"/>
  <c r="AY138" i="1" s="1"/>
  <c r="R82" i="3"/>
  <c r="AX157" i="1" s="1"/>
  <c r="R66" i="3"/>
  <c r="AX163" i="1" s="1"/>
  <c r="AY163" i="1" s="1"/>
  <c r="R72" i="3"/>
  <c r="AX147" i="1" s="1"/>
  <c r="AY147" i="1" s="1"/>
  <c r="R88" i="3"/>
  <c r="AX139" i="1" s="1"/>
  <c r="AY139" i="1" s="1"/>
  <c r="R95" i="3"/>
  <c r="AX176" i="1" s="1"/>
  <c r="AY176" i="1" s="1"/>
  <c r="R70" i="3"/>
  <c r="AX145" i="1" s="1"/>
  <c r="R56" i="3"/>
  <c r="AX129" i="1" s="1"/>
  <c r="R71" i="3"/>
  <c r="R94" i="3"/>
  <c r="R69" i="3"/>
  <c r="AX144" i="1" s="1"/>
  <c r="R76" i="3"/>
  <c r="R61" i="3"/>
  <c r="R59" i="3"/>
  <c r="R77" i="3"/>
  <c r="AX152" i="1" s="1"/>
  <c r="AY152" i="1" s="1"/>
  <c r="R64" i="3"/>
  <c r="AX161" i="1" s="1"/>
  <c r="R68" i="3"/>
  <c r="AX143" i="1" s="1"/>
  <c r="R93" i="3"/>
  <c r="R80" i="3"/>
  <c r="AX171" i="1" s="1"/>
  <c r="R62" i="3"/>
  <c r="AX136" i="1" s="1"/>
  <c r="R54" i="3"/>
  <c r="R97" i="3"/>
  <c r="R74" i="3"/>
  <c r="AX149" i="1" s="1"/>
  <c r="AY149" i="1" s="1"/>
  <c r="R85" i="3"/>
  <c r="AX159" i="1" s="1"/>
  <c r="AY159" i="1" s="1"/>
  <c r="Z93" i="3"/>
  <c r="Z80" i="3"/>
  <c r="BF171" i="1" s="1"/>
  <c r="Z74" i="3"/>
  <c r="Z84" i="3"/>
  <c r="BF158" i="1" s="1"/>
  <c r="BG158" i="1" s="1"/>
  <c r="Z78" i="3"/>
  <c r="BF154" i="1" s="1"/>
  <c r="BG154" i="1" s="1"/>
  <c r="Z66" i="3"/>
  <c r="BF163" i="1" s="1"/>
  <c r="BG163" i="1" s="1"/>
  <c r="Z64" i="3"/>
  <c r="BF161" i="1" s="1"/>
  <c r="BG161" i="1" s="1"/>
  <c r="Z87" i="3"/>
  <c r="BF164" i="1" s="1"/>
  <c r="BG164" i="1" s="1"/>
  <c r="Z90" i="3"/>
  <c r="BF138" i="1" s="1"/>
  <c r="BG138" i="1" s="1"/>
  <c r="Z77" i="3"/>
  <c r="BF152" i="1" s="1"/>
  <c r="BG152" i="1" s="1"/>
  <c r="Z67" i="3"/>
  <c r="Z79" i="3"/>
  <c r="Z94" i="3"/>
  <c r="Z91" i="3"/>
  <c r="BF166" i="1" s="1"/>
  <c r="BG166" i="1" s="1"/>
  <c r="Z59" i="3"/>
  <c r="Z70" i="3"/>
  <c r="BF145" i="1" s="1"/>
  <c r="Z75" i="3"/>
  <c r="Z58" i="3"/>
  <c r="BF131" i="1" s="1"/>
  <c r="Z76" i="3"/>
  <c r="Z48" i="3"/>
  <c r="Z65" i="3"/>
  <c r="BF162" i="1" s="1"/>
  <c r="BG162" i="1" s="1"/>
  <c r="Z69" i="3"/>
  <c r="BF144" i="1" s="1"/>
  <c r="Z71" i="3"/>
  <c r="J72" i="3"/>
  <c r="AP147" i="1" s="1"/>
  <c r="AQ147" i="1" s="1"/>
  <c r="J87" i="3"/>
  <c r="AP164" i="1" s="1"/>
  <c r="AQ164" i="1" s="1"/>
  <c r="J71" i="3"/>
  <c r="J89" i="3"/>
  <c r="AP165" i="1" s="1"/>
  <c r="J74" i="3"/>
  <c r="J80" i="3"/>
  <c r="AP171" i="1" s="1"/>
  <c r="J97" i="3"/>
  <c r="J95" i="3"/>
  <c r="AP176" i="1" s="1"/>
  <c r="AQ176" i="1" s="1"/>
  <c r="J75" i="3"/>
  <c r="J57" i="3"/>
  <c r="AP130" i="1" s="1"/>
  <c r="AQ130" i="1" s="1"/>
  <c r="J73" i="3"/>
  <c r="J70" i="3"/>
  <c r="AP145" i="1" s="1"/>
  <c r="J59" i="3"/>
  <c r="J68" i="3"/>
  <c r="AP143" i="1" s="1"/>
  <c r="J85" i="3"/>
  <c r="AP159" i="1" s="1"/>
  <c r="AQ159" i="1" s="1"/>
  <c r="J48" i="3"/>
  <c r="J66" i="3"/>
  <c r="AP163" i="1" s="1"/>
  <c r="AQ163" i="1" s="1"/>
  <c r="J81" i="3"/>
  <c r="AP156" i="1" s="1"/>
  <c r="J69" i="3"/>
  <c r="AP144" i="1" s="1"/>
  <c r="J82" i="3"/>
  <c r="AP157" i="1" s="1"/>
  <c r="J77" i="3"/>
  <c r="AP152" i="1" s="1"/>
  <c r="J86" i="3"/>
  <c r="J93" i="3"/>
  <c r="J56" i="3"/>
  <c r="AP129" i="1" s="1"/>
  <c r="AQ129" i="1" s="1"/>
  <c r="J55" i="3"/>
  <c r="J54" i="3"/>
  <c r="J65" i="3"/>
  <c r="AP162" i="1" s="1"/>
  <c r="AQ162" i="1" s="1"/>
  <c r="J64" i="3"/>
  <c r="AP161" i="1" s="1"/>
  <c r="AQ161" i="1" s="1"/>
  <c r="J83" i="3"/>
  <c r="AP172" i="1" s="1"/>
  <c r="J79" i="3"/>
  <c r="J94" i="3"/>
  <c r="J50" i="3"/>
  <c r="AP86" i="1" s="1"/>
  <c r="J92" i="3"/>
  <c r="AP167" i="1" s="1"/>
  <c r="AQ167" i="1" s="1"/>
  <c r="J76" i="3"/>
  <c r="J90" i="3"/>
  <c r="AP138" i="1" s="1"/>
  <c r="AQ138" i="1" s="1"/>
  <c r="J60" i="3"/>
  <c r="AP134" i="1" s="1"/>
  <c r="AQ134" i="1" s="1"/>
  <c r="J96" i="3"/>
  <c r="AP175" i="1" s="1"/>
  <c r="AQ175" i="1" s="1"/>
  <c r="J58" i="3"/>
  <c r="AP131" i="1" s="1"/>
  <c r="J91" i="3"/>
  <c r="AP166" i="1" s="1"/>
  <c r="AQ166" i="1" s="1"/>
  <c r="J49" i="3"/>
  <c r="AP85" i="1" s="1"/>
  <c r="J47" i="3"/>
  <c r="J61" i="3"/>
  <c r="J78" i="3"/>
  <c r="AP154" i="1" s="1"/>
  <c r="J88" i="3"/>
  <c r="AP139" i="1" s="1"/>
  <c r="AQ139" i="1" s="1"/>
  <c r="J62" i="3"/>
  <c r="AP136" i="1" s="1"/>
  <c r="AQ136" i="1" s="1"/>
  <c r="J84" i="3"/>
  <c r="AP158" i="1" s="1"/>
  <c r="AQ158" i="1" s="1"/>
  <c r="J67" i="3"/>
  <c r="J63" i="3"/>
  <c r="AP137" i="1" s="1"/>
  <c r="AQ137" i="1" s="1"/>
  <c r="BR25" i="1"/>
  <c r="BB32" i="1"/>
  <c r="AQ21" i="1"/>
  <c r="BH36" i="1"/>
  <c r="BW57" i="1"/>
  <c r="BM32" i="1"/>
  <c r="BM11" i="1" s="1"/>
  <c r="BN59" i="1"/>
  <c r="BK21" i="1"/>
  <c r="AX63" i="1"/>
  <c r="BG33" i="1"/>
  <c r="BV26" i="1"/>
  <c r="AP35" i="1"/>
  <c r="BJ51" i="1"/>
  <c r="AS32" i="1"/>
  <c r="BG51" i="1"/>
  <c r="AX57" i="1"/>
  <c r="BC47" i="1"/>
  <c r="BQ58" i="1"/>
  <c r="BM27" i="1"/>
  <c r="BS63" i="1"/>
  <c r="AU57" i="1"/>
  <c r="AP44" i="1"/>
  <c r="BR59" i="1"/>
  <c r="AR63" i="1"/>
  <c r="AP47" i="1"/>
  <c r="BP26" i="1"/>
  <c r="AI34" i="1"/>
  <c r="BG58" i="1"/>
  <c r="BS20" i="1"/>
  <c r="BS243" i="1" s="1"/>
  <c r="BM51" i="1"/>
  <c r="AI32" i="1"/>
  <c r="BM35" i="1"/>
  <c r="BG21" i="1"/>
  <c r="BE59" i="1"/>
  <c r="AI35" i="1"/>
  <c r="BS47" i="1"/>
  <c r="BO63" i="1"/>
  <c r="AQ34" i="1"/>
  <c r="AT34" i="1"/>
  <c r="BQ33" i="1"/>
  <c r="BV134" i="1"/>
  <c r="BW134" i="1" s="1"/>
  <c r="BE35" i="1"/>
  <c r="BC21" i="1"/>
  <c r="BC35" i="1"/>
  <c r="BJ47" i="1"/>
  <c r="BP58" i="1"/>
  <c r="BF21" i="1"/>
  <c r="BK44" i="1"/>
  <c r="AT51" i="1"/>
  <c r="BO47" i="1"/>
  <c r="AT58" i="1"/>
  <c r="BE57" i="1"/>
  <c r="BP48" i="1"/>
  <c r="BV147" i="1"/>
  <c r="BW147" i="1" s="1"/>
  <c r="BK36" i="1"/>
  <c r="AI58" i="1"/>
  <c r="AV47" i="1"/>
  <c r="BB51" i="1"/>
  <c r="AZ57" i="1"/>
  <c r="BV149" i="1"/>
  <c r="BW149" i="1" s="1"/>
  <c r="BN37" i="1"/>
  <c r="BI26" i="1"/>
  <c r="BP37" i="1"/>
  <c r="BN58" i="1"/>
  <c r="BB36" i="1"/>
  <c r="AW48" i="1"/>
  <c r="BP34" i="1"/>
  <c r="BF35" i="1"/>
  <c r="BG37" i="1"/>
  <c r="BK58" i="1"/>
  <c r="BR51" i="1"/>
  <c r="AM85" i="1"/>
  <c r="BV36" i="1"/>
  <c r="AV21" i="1"/>
  <c r="BN36" i="1"/>
  <c r="AX25" i="1"/>
  <c r="BA20" i="1"/>
  <c r="BA243" i="1" s="1"/>
  <c r="BS27" i="1"/>
  <c r="AQ57" i="1"/>
  <c r="BK59" i="1"/>
  <c r="BJ48" i="1"/>
  <c r="BJ264" i="1" s="1"/>
  <c r="AT44" i="1"/>
  <c r="AT206" i="1" s="1"/>
  <c r="AJ86" i="1"/>
  <c r="BP21" i="1"/>
  <c r="BK27" i="1"/>
  <c r="BW51" i="1"/>
  <c r="BV138" i="1"/>
  <c r="BW138" i="1" s="1"/>
  <c r="AW33" i="1"/>
  <c r="BB58" i="1"/>
  <c r="BS57" i="1"/>
  <c r="BA21" i="1"/>
  <c r="BB59" i="1"/>
  <c r="AY51" i="1"/>
  <c r="BP59" i="1"/>
  <c r="BN21" i="1"/>
  <c r="AZ36" i="1"/>
  <c r="BW58" i="1"/>
  <c r="BV63" i="1"/>
  <c r="BH32" i="1"/>
  <c r="BH11" i="1" s="1"/>
  <c r="BF32" i="1"/>
  <c r="BF11" i="1" s="1"/>
  <c r="AP20" i="1"/>
  <c r="AP243" i="1" s="1"/>
  <c r="BC63" i="1"/>
  <c r="BU44" i="1"/>
  <c r="AN36" i="1"/>
  <c r="AT63" i="1"/>
  <c r="AR32" i="1"/>
  <c r="BK48" i="1"/>
  <c r="BC59" i="1"/>
  <c r="AU26" i="1"/>
  <c r="BU58" i="1"/>
  <c r="AI20" i="1"/>
  <c r="BI36" i="1"/>
  <c r="AI59" i="1"/>
  <c r="AX26" i="1"/>
  <c r="AV44" i="1"/>
  <c r="AV206" i="1" s="1"/>
  <c r="BQ37" i="1"/>
  <c r="AQ48" i="1"/>
  <c r="BF33" i="1"/>
  <c r="BS36" i="1"/>
  <c r="BQ59" i="1"/>
  <c r="AT32" i="1"/>
  <c r="BE58" i="1"/>
  <c r="BT34" i="1"/>
  <c r="AI21" i="1"/>
  <c r="BO21" i="1"/>
  <c r="AO32" i="1"/>
  <c r="BV48" i="1"/>
  <c r="BH143" i="1"/>
  <c r="BM48" i="1"/>
  <c r="BR58" i="1"/>
  <c r="BE36" i="1"/>
  <c r="BD63" i="1"/>
  <c r="BW33" i="1"/>
  <c r="BS33" i="1"/>
  <c r="BB44" i="1"/>
  <c r="AR26" i="1"/>
  <c r="BV34" i="1"/>
  <c r="AY35" i="1"/>
  <c r="AI27" i="1"/>
  <c r="BW21" i="1"/>
  <c r="AP58" i="1"/>
  <c r="AX32" i="1"/>
  <c r="BD27" i="1"/>
  <c r="AX27" i="1"/>
  <c r="AZ51" i="1"/>
  <c r="AQ33" i="1"/>
  <c r="BC33" i="1"/>
  <c r="AP48" i="1"/>
  <c r="BS48" i="1"/>
  <c r="BP33" i="1"/>
  <c r="M157" i="1"/>
  <c r="M192" i="1" s="1"/>
  <c r="AQ59" i="1"/>
  <c r="BG47" i="1"/>
  <c r="BB21" i="1"/>
  <c r="BB34" i="1"/>
  <c r="BN48" i="1"/>
  <c r="BU32" i="1"/>
  <c r="BU11" i="1" s="1"/>
  <c r="BQ44" i="1"/>
  <c r="BQ206" i="1" s="1"/>
  <c r="BE34" i="1"/>
  <c r="AZ20" i="1"/>
  <c r="AM57" i="1"/>
  <c r="AR57" i="1"/>
  <c r="AT33" i="1"/>
  <c r="BP63" i="1"/>
  <c r="BE63" i="1"/>
  <c r="AS63" i="1"/>
  <c r="BM21" i="1"/>
  <c r="AR33" i="1"/>
  <c r="BU26" i="1"/>
  <c r="AV36" i="1"/>
  <c r="BA35" i="1"/>
  <c r="BA48" i="1"/>
  <c r="AQ25" i="1"/>
  <c r="AQ20" i="1"/>
  <c r="AQ243" i="1" s="1"/>
  <c r="AZ27" i="1"/>
  <c r="AP27" i="1"/>
  <c r="AS37" i="1"/>
  <c r="AR25" i="1"/>
  <c r="AT37" i="1"/>
  <c r="AP25" i="1"/>
  <c r="AW37" i="1"/>
  <c r="BI57" i="1"/>
  <c r="AY25" i="1"/>
  <c r="BG44" i="1"/>
  <c r="BG206" i="1" s="1"/>
  <c r="BB63" i="1"/>
  <c r="AW63" i="1"/>
  <c r="AQ35" i="1"/>
  <c r="AW34" i="1"/>
  <c r="BA25" i="1"/>
  <c r="AY20" i="1"/>
  <c r="BQ35" i="1"/>
  <c r="BR20" i="1"/>
  <c r="BR243" i="1" s="1"/>
  <c r="BJ59" i="1"/>
  <c r="BR33" i="1"/>
  <c r="AN32" i="1"/>
  <c r="BK47" i="1"/>
  <c r="BU33" i="1"/>
  <c r="BE47" i="1"/>
  <c r="AV51" i="1"/>
  <c r="BG25" i="1"/>
  <c r="BC25" i="1"/>
  <c r="AR37" i="1"/>
  <c r="BP27" i="1"/>
  <c r="BR63" i="1"/>
  <c r="AV32" i="1"/>
  <c r="AZ59" i="1"/>
  <c r="BW26" i="1"/>
  <c r="AV58" i="1"/>
  <c r="AR47" i="1"/>
  <c r="BU27" i="1"/>
  <c r="AR35" i="1"/>
  <c r="AV20" i="1"/>
  <c r="AV243" i="1" s="1"/>
  <c r="AZ44" i="1"/>
  <c r="BP36" i="1"/>
  <c r="AU37" i="1"/>
  <c r="AR20" i="1"/>
  <c r="AR243" i="1" s="1"/>
  <c r="AU58" i="1"/>
  <c r="BD36" i="1"/>
  <c r="BD25" i="1"/>
  <c r="AN27" i="1"/>
  <c r="BW20" i="1"/>
  <c r="AW58" i="1"/>
  <c r="BU21" i="1"/>
  <c r="BC34" i="1"/>
  <c r="AU33" i="1"/>
  <c r="BF57" i="1"/>
  <c r="AS57" i="1"/>
  <c r="BI21" i="1"/>
  <c r="BI37" i="1"/>
  <c r="BV152" i="1"/>
  <c r="BV159" i="1"/>
  <c r="BW159" i="1" s="1"/>
  <c r="BV156" i="1"/>
  <c r="BV162" i="1"/>
  <c r="BW162" i="1" s="1"/>
  <c r="BH171" i="1"/>
  <c r="BH165" i="1"/>
  <c r="M136" i="1"/>
  <c r="S144" i="1"/>
  <c r="C90" i="1"/>
  <c r="B183" i="1"/>
  <c r="U134" i="1"/>
  <c r="D138" i="1"/>
  <c r="D166" i="1" s="1"/>
  <c r="W172" i="1"/>
  <c r="E134" i="1"/>
  <c r="E157" i="1"/>
  <c r="E192" i="1" s="1"/>
  <c r="R139" i="1"/>
  <c r="C149" i="1"/>
  <c r="F159" i="1"/>
  <c r="B75" i="1"/>
  <c r="M175" i="1"/>
  <c r="T89" i="1"/>
  <c r="B157" i="1"/>
  <c r="B192" i="1" s="1"/>
  <c r="H130" i="1"/>
  <c r="E165" i="1"/>
  <c r="E195" i="1" s="1"/>
  <c r="E85" i="1"/>
  <c r="S138" i="1"/>
  <c r="S166" i="1" s="1"/>
  <c r="N144" i="1"/>
  <c r="U161" i="1"/>
  <c r="J162" i="1"/>
  <c r="R184" i="1"/>
  <c r="F79" i="1"/>
  <c r="S148" i="1"/>
  <c r="H139" i="1"/>
  <c r="U79" i="1"/>
  <c r="R91" i="1"/>
  <c r="O138" i="1"/>
  <c r="O166" i="1" s="1"/>
  <c r="I159" i="1"/>
  <c r="V155" i="1"/>
  <c r="G85" i="1"/>
  <c r="Q183" i="1"/>
  <c r="N129" i="1"/>
  <c r="U90" i="1"/>
  <c r="H91" i="1"/>
  <c r="AZ34" i="1"/>
  <c r="AV33" i="1"/>
  <c r="BW63" i="1"/>
  <c r="BB27" i="1"/>
  <c r="BD51" i="1"/>
  <c r="BU47" i="1"/>
  <c r="AZ35" i="1"/>
  <c r="BR36" i="1"/>
  <c r="AX44" i="1"/>
  <c r="AX206" i="1" s="1"/>
  <c r="AU20" i="1"/>
  <c r="BI48" i="1"/>
  <c r="AI57" i="1"/>
  <c r="BV44" i="1"/>
  <c r="BV206" i="1" s="1"/>
  <c r="AX33" i="1"/>
  <c r="AI33" i="1"/>
  <c r="BS26" i="1"/>
  <c r="BM36" i="1"/>
  <c r="BP32" i="1"/>
  <c r="BP11" i="1" s="1"/>
  <c r="BM44" i="1"/>
  <c r="BT26" i="1"/>
  <c r="BC51" i="1"/>
  <c r="BO34" i="1"/>
  <c r="BJ21" i="1"/>
  <c r="BJ22" i="1" s="1"/>
  <c r="BM33" i="1"/>
  <c r="BK34" i="1"/>
  <c r="BO32" i="1"/>
  <c r="BO11" i="1" s="1"/>
  <c r="BD26" i="1"/>
  <c r="BE33" i="1"/>
  <c r="BK25" i="1"/>
  <c r="BR21" i="1"/>
  <c r="AX37" i="1"/>
  <c r="AX51" i="1"/>
  <c r="BV144" i="1"/>
  <c r="BH145" i="1"/>
  <c r="BV167" i="1"/>
  <c r="BW167" i="1" s="1"/>
  <c r="BH86" i="1"/>
  <c r="BV172" i="1"/>
  <c r="BV163" i="1"/>
  <c r="BW163" i="1" s="1"/>
  <c r="BH134" i="1"/>
  <c r="BI134" i="1" s="1"/>
  <c r="T86" i="1"/>
  <c r="F176" i="1"/>
  <c r="W182" i="1"/>
  <c r="M167" i="1"/>
  <c r="Q161" i="1"/>
  <c r="S167" i="1"/>
  <c r="D85" i="1"/>
  <c r="H184" i="1"/>
  <c r="C171" i="1"/>
  <c r="H162" i="1"/>
  <c r="C131" i="1"/>
  <c r="F175" i="1"/>
  <c r="F139" i="1"/>
  <c r="W137" i="1"/>
  <c r="P90" i="1"/>
  <c r="L176" i="1"/>
  <c r="F161" i="1"/>
  <c r="D148" i="1"/>
  <c r="D165" i="1"/>
  <c r="D195" i="1" s="1"/>
  <c r="L85" i="1"/>
  <c r="V89" i="1"/>
  <c r="F148" i="1"/>
  <c r="D152" i="1"/>
  <c r="I158" i="1"/>
  <c r="V90" i="1"/>
  <c r="D182" i="1"/>
  <c r="W154" i="1"/>
  <c r="T172" i="1"/>
  <c r="S159" i="1"/>
  <c r="L147" i="1"/>
  <c r="L143" i="1" s="1"/>
  <c r="V171" i="1"/>
  <c r="W91" i="1"/>
  <c r="C134" i="1"/>
  <c r="T171" i="1"/>
  <c r="T173" i="1" s="1"/>
  <c r="J163" i="1"/>
  <c r="K184" i="1"/>
  <c r="O145" i="1"/>
  <c r="L182" i="1"/>
  <c r="H183" i="1"/>
  <c r="B91" i="1"/>
  <c r="D172" i="1"/>
  <c r="R165" i="1"/>
  <c r="R195" i="1" s="1"/>
  <c r="F158" i="1"/>
  <c r="S175" i="1"/>
  <c r="T147" i="1"/>
  <c r="T143" i="1" s="1"/>
  <c r="S184" i="1"/>
  <c r="J167" i="1"/>
  <c r="B163" i="1"/>
  <c r="N85" i="1"/>
  <c r="B165" i="1"/>
  <c r="B195" i="1" s="1"/>
  <c r="W156" i="1"/>
  <c r="T183" i="1"/>
  <c r="R154" i="1"/>
  <c r="V162" i="1"/>
  <c r="Q86" i="1"/>
  <c r="I156" i="1"/>
  <c r="I191" i="1" s="1"/>
  <c r="G138" i="1"/>
  <c r="G166" i="1" s="1"/>
  <c r="N138" i="1"/>
  <c r="N166" i="1" s="1"/>
  <c r="D129" i="1"/>
  <c r="V148" i="1"/>
  <c r="E138" i="1"/>
  <c r="E166" i="1" s="1"/>
  <c r="J134" i="1"/>
  <c r="Q158" i="1"/>
  <c r="L156" i="1"/>
  <c r="L191" i="1" s="1"/>
  <c r="F155" i="1"/>
  <c r="V144" i="1"/>
  <c r="W171" i="1"/>
  <c r="L137" i="1"/>
  <c r="AP21" i="1"/>
  <c r="AU59" i="1"/>
  <c r="AQ36" i="1"/>
  <c r="BM47" i="1"/>
  <c r="AM86" i="1"/>
  <c r="AX59" i="1"/>
  <c r="BU57" i="1"/>
  <c r="AU21" i="1"/>
  <c r="AU22" i="1" s="1"/>
  <c r="BT20" i="1"/>
  <c r="BQ27" i="1"/>
  <c r="BV59" i="1"/>
  <c r="AW51" i="1"/>
  <c r="BO25" i="1"/>
  <c r="BF26" i="1"/>
  <c r="BD44" i="1"/>
  <c r="BD206" i="1" s="1"/>
  <c r="AY58" i="1"/>
  <c r="BG26" i="1"/>
  <c r="BO27" i="1"/>
  <c r="AN35" i="1"/>
  <c r="AO47" i="1"/>
  <c r="AV25" i="1"/>
  <c r="BM63" i="1"/>
  <c r="AY32" i="1"/>
  <c r="AN33" i="1"/>
  <c r="BV176" i="1"/>
  <c r="BW176" i="1" s="1"/>
  <c r="BH137" i="1"/>
  <c r="BI137" i="1" s="1"/>
  <c r="BV139" i="1"/>
  <c r="BW139" i="1" s="1"/>
  <c r="BH156" i="1"/>
  <c r="U158" i="1"/>
  <c r="U176" i="1"/>
  <c r="P136" i="1"/>
  <c r="T91" i="1"/>
  <c r="C86" i="1"/>
  <c r="C129" i="1"/>
  <c r="H171" i="1"/>
  <c r="F149" i="1"/>
  <c r="T79" i="1"/>
  <c r="Q90" i="1"/>
  <c r="B172" i="1"/>
  <c r="L144" i="1"/>
  <c r="J85" i="1"/>
  <c r="B176" i="1"/>
  <c r="M158" i="1"/>
  <c r="P130" i="1"/>
  <c r="L171" i="1"/>
  <c r="L158" i="1"/>
  <c r="W90" i="1"/>
  <c r="D161" i="1"/>
  <c r="E131" i="1"/>
  <c r="C85" i="1"/>
  <c r="S129" i="1"/>
  <c r="B89" i="1"/>
  <c r="V149" i="1"/>
  <c r="C138" i="1"/>
  <c r="C166" i="1" s="1"/>
  <c r="W183" i="1"/>
  <c r="F85" i="1"/>
  <c r="C156" i="1"/>
  <c r="C191" i="1" s="1"/>
  <c r="W158" i="1"/>
  <c r="G183" i="1"/>
  <c r="I167" i="1"/>
  <c r="B152" i="1"/>
  <c r="H156" i="1"/>
  <c r="H191" i="1" s="1"/>
  <c r="H176" i="1"/>
  <c r="C161" i="1"/>
  <c r="K183" i="1"/>
  <c r="L184" i="1"/>
  <c r="AN47" i="1"/>
  <c r="BF47" i="1"/>
  <c r="BI32" i="1"/>
  <c r="BI11" i="1" s="1"/>
  <c r="BH51" i="1"/>
  <c r="AZ25" i="1"/>
  <c r="AN48" i="1"/>
  <c r="AT48" i="1"/>
  <c r="BM58" i="1"/>
  <c r="AW27" i="1"/>
  <c r="AY37" i="1"/>
  <c r="BN26" i="1"/>
  <c r="AV35" i="1"/>
  <c r="BQ48" i="1"/>
  <c r="BT59" i="1"/>
  <c r="BB35" i="1"/>
  <c r="BU63" i="1"/>
  <c r="BR47" i="1"/>
  <c r="AJ85" i="1"/>
  <c r="BM26" i="1"/>
  <c r="BT37" i="1"/>
  <c r="AQ27" i="1"/>
  <c r="BH44" i="1"/>
  <c r="BH206" i="1" s="1"/>
  <c r="BA57" i="1"/>
  <c r="BO48" i="1"/>
  <c r="BI44" i="1"/>
  <c r="AV63" i="1"/>
  <c r="AU48" i="1"/>
  <c r="BO37" i="1"/>
  <c r="BH48" i="1"/>
  <c r="BP44" i="1"/>
  <c r="BA59" i="1"/>
  <c r="BS51" i="1"/>
  <c r="BD34" i="1"/>
  <c r="AY34" i="1"/>
  <c r="BF59" i="1"/>
  <c r="BK20" i="1"/>
  <c r="AO63" i="1"/>
  <c r="BW35" i="1"/>
  <c r="BP57" i="1"/>
  <c r="BC32" i="1"/>
  <c r="BI20" i="1"/>
  <c r="BI243" i="1" s="1"/>
  <c r="AP33" i="1"/>
  <c r="BV35" i="1"/>
  <c r="AO36" i="1"/>
  <c r="BE44" i="1"/>
  <c r="BE206" i="1" s="1"/>
  <c r="BP47" i="1"/>
  <c r="AY27" i="1"/>
  <c r="AU63" i="1"/>
  <c r="AI26" i="1"/>
  <c r="BT21" i="1"/>
  <c r="BE48" i="1"/>
  <c r="AX36" i="1"/>
  <c r="AY63" i="1"/>
  <c r="BC57" i="1"/>
  <c r="BD35" i="1"/>
  <c r="BF48" i="1"/>
  <c r="AP26" i="1"/>
  <c r="BG57" i="1"/>
  <c r="AN44" i="1"/>
  <c r="AN206" i="1" s="1"/>
  <c r="AY26" i="1"/>
  <c r="AU51" i="1"/>
  <c r="BC44" i="1"/>
  <c r="BC206" i="1" s="1"/>
  <c r="AU47" i="1"/>
  <c r="BA34" i="1"/>
  <c r="BO26" i="1"/>
  <c r="AN57" i="1"/>
  <c r="BV161" i="1"/>
  <c r="BW161" i="1" s="1"/>
  <c r="BV86" i="1"/>
  <c r="BH157" i="1"/>
  <c r="BH155" i="1"/>
  <c r="BI155" i="1" s="1"/>
  <c r="W134" i="1"/>
  <c r="W148" i="1"/>
  <c r="N161" i="1"/>
  <c r="J157" i="1"/>
  <c r="J192" i="1" s="1"/>
  <c r="G167" i="1"/>
  <c r="U148" i="1"/>
  <c r="U157" i="1"/>
  <c r="U192" i="1" s="1"/>
  <c r="O175" i="1"/>
  <c r="I175" i="1"/>
  <c r="G148" i="1"/>
  <c r="G130" i="1"/>
  <c r="Q152" i="1"/>
  <c r="B184" i="1"/>
  <c r="V172" i="1"/>
  <c r="K159" i="1"/>
  <c r="T85" i="1"/>
  <c r="U136" i="1"/>
  <c r="D76" i="1"/>
  <c r="M131" i="1"/>
  <c r="Q159" i="1"/>
  <c r="D91" i="1"/>
  <c r="Q175" i="1"/>
  <c r="F183" i="1"/>
  <c r="N154" i="1"/>
  <c r="G161" i="1"/>
  <c r="S171" i="1"/>
  <c r="E154" i="1"/>
  <c r="H90" i="1"/>
  <c r="E183" i="1"/>
  <c r="S130" i="1"/>
  <c r="C91" i="1"/>
  <c r="E86" i="1"/>
  <c r="H175" i="1"/>
  <c r="AN37" i="1"/>
  <c r="BH59" i="1"/>
  <c r="BW34" i="1"/>
  <c r="BQ57" i="1"/>
  <c r="AX35" i="1"/>
  <c r="BA44" i="1"/>
  <c r="BM34" i="1"/>
  <c r="AQ63" i="1"/>
  <c r="BB48" i="1"/>
  <c r="AS59" i="1"/>
  <c r="AY33" i="1"/>
  <c r="BT47" i="1"/>
  <c r="BB57" i="1"/>
  <c r="AQ47" i="1"/>
  <c r="AW59" i="1"/>
  <c r="BT58" i="1"/>
  <c r="BF58" i="1"/>
  <c r="BH47" i="1"/>
  <c r="BC36" i="1"/>
  <c r="BO36" i="1"/>
  <c r="AS36" i="1"/>
  <c r="AV48" i="1"/>
  <c r="BD57" i="1"/>
  <c r="AS27" i="1"/>
  <c r="BE20" i="1"/>
  <c r="BE243" i="1" s="1"/>
  <c r="BN34" i="1"/>
  <c r="AS25" i="1"/>
  <c r="AZ33" i="1"/>
  <c r="AI44" i="1"/>
  <c r="AI206" i="1" s="1"/>
  <c r="BV85" i="1"/>
  <c r="BV131" i="1"/>
  <c r="BH130" i="1"/>
  <c r="BI130" i="1" s="1"/>
  <c r="BV143" i="1"/>
  <c r="K172" i="1"/>
  <c r="J144" i="1"/>
  <c r="T90" i="1"/>
  <c r="B162" i="1"/>
  <c r="K130" i="1"/>
  <c r="W147" i="1"/>
  <c r="W143" i="1" s="1"/>
  <c r="K89" i="1"/>
  <c r="Q134" i="1"/>
  <c r="U91" i="1"/>
  <c r="R79" i="1"/>
  <c r="R163" i="1"/>
  <c r="R86" i="1"/>
  <c r="W163" i="1"/>
  <c r="U144" i="1"/>
  <c r="O131" i="1"/>
  <c r="F163" i="1"/>
  <c r="V139" i="1"/>
  <c r="J183" i="1"/>
  <c r="I171" i="1"/>
  <c r="Q79" i="1"/>
  <c r="P138" i="1"/>
  <c r="P166" i="1" s="1"/>
  <c r="V167" i="1"/>
  <c r="R157" i="1"/>
  <c r="R192" i="1" s="1"/>
  <c r="I139" i="1"/>
  <c r="G145" i="1"/>
  <c r="D79" i="1"/>
  <c r="K182" i="1"/>
  <c r="BO35" i="1"/>
  <c r="AV59" i="1"/>
  <c r="BN33" i="1"/>
  <c r="AX58" i="1"/>
  <c r="AM63" i="1"/>
  <c r="BJ86" i="1"/>
  <c r="AS33" i="1"/>
  <c r="AI47" i="1"/>
  <c r="AS58" i="1"/>
  <c r="BO20" i="1"/>
  <c r="AZ47" i="1"/>
  <c r="BH163" i="1"/>
  <c r="BI163" i="1" s="1"/>
  <c r="AI85" i="1"/>
  <c r="BH164" i="1"/>
  <c r="BI164" i="1" s="1"/>
  <c r="BV166" i="1"/>
  <c r="BW166" i="1" s="1"/>
  <c r="BV154" i="1"/>
  <c r="BW154" i="1" s="1"/>
  <c r="BH147" i="1"/>
  <c r="BI147" i="1" s="1"/>
  <c r="BH162" i="1"/>
  <c r="BI162" i="1" s="1"/>
  <c r="C130" i="1"/>
  <c r="T145" i="1"/>
  <c r="B139" i="1"/>
  <c r="I149" i="1"/>
  <c r="G184" i="1"/>
  <c r="B158" i="1"/>
  <c r="M144" i="1"/>
  <c r="M149" i="1"/>
  <c r="J155" i="1"/>
  <c r="O163" i="1"/>
  <c r="G144" i="1"/>
  <c r="S85" i="1"/>
  <c r="L148" i="1"/>
  <c r="R176" i="1"/>
  <c r="I137" i="1"/>
  <c r="M130" i="1"/>
  <c r="D154" i="1"/>
  <c r="U129" i="1"/>
  <c r="Q176" i="1"/>
  <c r="B90" i="1"/>
  <c r="J154" i="1"/>
  <c r="S137" i="1"/>
  <c r="R144" i="1"/>
  <c r="P148" i="1"/>
  <c r="I136" i="1"/>
  <c r="B154" i="1"/>
  <c r="N165" i="1"/>
  <c r="N195" i="1" s="1"/>
  <c r="I161" i="1"/>
  <c r="L79" i="1"/>
  <c r="BK26" i="1"/>
  <c r="AS34" i="1"/>
  <c r="BW32" i="1"/>
  <c r="BW11" i="1" s="1"/>
  <c r="BW48" i="1"/>
  <c r="AT20" i="1"/>
  <c r="BB20" i="1"/>
  <c r="BI59" i="1"/>
  <c r="AV27" i="1"/>
  <c r="BA47" i="1"/>
  <c r="BV37" i="1"/>
  <c r="BR57" i="1"/>
  <c r="AO35" i="1"/>
  <c r="BN51" i="1"/>
  <c r="BC27" i="1"/>
  <c r="AS20" i="1"/>
  <c r="AS243" i="1" s="1"/>
  <c r="BM20" i="1"/>
  <c r="BU48" i="1"/>
  <c r="BT35" i="1"/>
  <c r="AZ32" i="1"/>
  <c r="AP36" i="1"/>
  <c r="BH26" i="1"/>
  <c r="BK37" i="1"/>
  <c r="BH25" i="1"/>
  <c r="BM59" i="1"/>
  <c r="AP37" i="1"/>
  <c r="BU35" i="1"/>
  <c r="AS48" i="1"/>
  <c r="AS264" i="1" s="1"/>
  <c r="BD32" i="1"/>
  <c r="AM58" i="1"/>
  <c r="AS47" i="1"/>
  <c r="BV47" i="1"/>
  <c r="BB47" i="1"/>
  <c r="AQ32" i="1"/>
  <c r="BU59" i="1"/>
  <c r="BQ36" i="1"/>
  <c r="BR27" i="1"/>
  <c r="BU20" i="1"/>
  <c r="BJ85" i="1"/>
  <c r="BD21" i="1"/>
  <c r="AY44" i="1"/>
  <c r="AY206" i="1" s="1"/>
  <c r="BD37" i="1"/>
  <c r="AN51" i="1"/>
  <c r="BH33" i="1"/>
  <c r="BA63" i="1"/>
  <c r="AY48" i="1"/>
  <c r="BK32" i="1"/>
  <c r="BO51" i="1"/>
  <c r="BP25" i="1"/>
  <c r="BS44" i="1"/>
  <c r="BS206" i="1" s="1"/>
  <c r="AS44" i="1"/>
  <c r="AS265" i="1" s="1"/>
  <c r="BQ20" i="1"/>
  <c r="BA51" i="1"/>
  <c r="BR37" i="1"/>
  <c r="BT25" i="1"/>
  <c r="AO21" i="1"/>
  <c r="BA58" i="1"/>
  <c r="AU25" i="1"/>
  <c r="BG35" i="1"/>
  <c r="AW44" i="1"/>
  <c r="AW206" i="1" s="1"/>
  <c r="BN57" i="1"/>
  <c r="AP51" i="1"/>
  <c r="AY47" i="1"/>
  <c r="BI35" i="1"/>
  <c r="BU51" i="1"/>
  <c r="AP34" i="1"/>
  <c r="AO58" i="1"/>
  <c r="BS21" i="1"/>
  <c r="BH20" i="1"/>
  <c r="AN58" i="1"/>
  <c r="AR59" i="1"/>
  <c r="BW47" i="1"/>
  <c r="AR44" i="1"/>
  <c r="AR206" i="1" s="1"/>
  <c r="AV37" i="1"/>
  <c r="BH34" i="1"/>
  <c r="AP57" i="1"/>
  <c r="BH27" i="1"/>
  <c r="BV32" i="1"/>
  <c r="BV11" i="1" s="1"/>
  <c r="BB37" i="1"/>
  <c r="BN35" i="1"/>
  <c r="AZ58" i="1"/>
  <c r="BE37" i="1"/>
  <c r="BC26" i="1"/>
  <c r="BH57" i="1"/>
  <c r="AN20" i="1"/>
  <c r="BB26" i="1"/>
  <c r="AW32" i="1"/>
  <c r="BF36" i="1"/>
  <c r="BQ26" i="1"/>
  <c r="AV57" i="1"/>
  <c r="AT36" i="1"/>
  <c r="AN21" i="1"/>
  <c r="BH166" i="1"/>
  <c r="BI166" i="1" s="1"/>
  <c r="BV175" i="1"/>
  <c r="BW175" i="1" s="1"/>
  <c r="B144" i="1"/>
  <c r="T162" i="1"/>
  <c r="E149" i="1"/>
  <c r="S79" i="1"/>
  <c r="D157" i="1"/>
  <c r="D192" i="1" s="1"/>
  <c r="F162" i="1"/>
  <c r="T182" i="1"/>
  <c r="L149" i="1"/>
  <c r="C148" i="1"/>
  <c r="B79" i="1"/>
  <c r="P154" i="1"/>
  <c r="L162" i="1"/>
  <c r="N158" i="1"/>
  <c r="E139" i="1"/>
  <c r="M86" i="1"/>
  <c r="M89" i="1"/>
  <c r="Q156" i="1"/>
  <c r="Q191" i="1" s="1"/>
  <c r="H131" i="1"/>
  <c r="T157" i="1"/>
  <c r="T192" i="1" s="1"/>
  <c r="R152" i="1"/>
  <c r="N147" i="1"/>
  <c r="N143" i="1" s="1"/>
  <c r="E162" i="1"/>
  <c r="T144" i="1"/>
  <c r="I144" i="1"/>
  <c r="K79" i="1"/>
  <c r="C154" i="1"/>
  <c r="F136" i="1"/>
  <c r="C182" i="1"/>
  <c r="N148" i="1"/>
  <c r="N183" i="1"/>
  <c r="D89" i="1"/>
  <c r="AW20" i="1"/>
  <c r="BH58" i="1"/>
  <c r="AZ37" i="1"/>
  <c r="AW26" i="1"/>
  <c r="AZ26" i="1"/>
  <c r="BC58" i="1"/>
  <c r="BI47" i="1"/>
  <c r="BO44" i="1"/>
  <c r="AU27" i="1"/>
  <c r="BG34" i="1"/>
  <c r="AX21" i="1"/>
  <c r="BM25" i="1"/>
  <c r="AU32" i="1"/>
  <c r="BT48" i="1"/>
  <c r="AP63" i="1"/>
  <c r="BE27" i="1"/>
  <c r="BS34" i="1"/>
  <c r="BK57" i="1"/>
  <c r="BD58" i="1"/>
  <c r="BA36" i="1"/>
  <c r="BG48" i="1"/>
  <c r="BF20" i="1"/>
  <c r="AX48" i="1"/>
  <c r="AW57" i="1"/>
  <c r="BH149" i="1"/>
  <c r="BI149" i="1" s="1"/>
  <c r="BH85" i="1"/>
  <c r="BV164" i="1"/>
  <c r="BW164" i="1" s="1"/>
  <c r="BH175" i="1"/>
  <c r="BI175" i="1" s="1"/>
  <c r="BH152" i="1"/>
  <c r="BH131" i="1"/>
  <c r="J145" i="1"/>
  <c r="J89" i="1"/>
  <c r="I183" i="1"/>
  <c r="F172" i="1"/>
  <c r="I134" i="1"/>
  <c r="J129" i="1"/>
  <c r="M152" i="1"/>
  <c r="S163" i="1"/>
  <c r="G89" i="1"/>
  <c r="R136" i="1"/>
  <c r="G136" i="1"/>
  <c r="J152" i="1"/>
  <c r="R129" i="1"/>
  <c r="I138" i="1"/>
  <c r="I166" i="1" s="1"/>
  <c r="M183" i="1"/>
  <c r="C152" i="1"/>
  <c r="S89" i="1"/>
  <c r="K139" i="1"/>
  <c r="R134" i="1"/>
  <c r="K167" i="1"/>
  <c r="R90" i="1"/>
  <c r="R175" i="1"/>
  <c r="T149" i="1"/>
  <c r="W79" i="1"/>
  <c r="J130" i="1"/>
  <c r="T136" i="1"/>
  <c r="W86" i="1"/>
  <c r="G129" i="1"/>
  <c r="N176" i="1"/>
  <c r="Q172" i="1"/>
  <c r="F90" i="1"/>
  <c r="S157" i="1"/>
  <c r="S192" i="1" s="1"/>
  <c r="S134" i="1"/>
  <c r="AI51" i="1"/>
  <c r="BQ63" i="1"/>
  <c r="AR58" i="1"/>
  <c r="AR34" i="1"/>
  <c r="BT36" i="1"/>
  <c r="AO33" i="1"/>
  <c r="BI27" i="1"/>
  <c r="BE51" i="1"/>
  <c r="BR44" i="1"/>
  <c r="BR206" i="1" s="1"/>
  <c r="BN44" i="1"/>
  <c r="BN45" i="1" s="1"/>
  <c r="BF51" i="1"/>
  <c r="BA33" i="1"/>
  <c r="BB33" i="1"/>
  <c r="BJ57" i="1"/>
  <c r="BR35" i="1"/>
  <c r="AW21" i="1"/>
  <c r="AI25" i="1"/>
  <c r="BV51" i="1"/>
  <c r="BE25" i="1"/>
  <c r="BE26" i="1"/>
  <c r="BF63" i="1"/>
  <c r="BS25" i="1"/>
  <c r="BH35" i="1"/>
  <c r="BR48" i="1"/>
  <c r="BV21" i="1"/>
  <c r="AW35" i="1"/>
  <c r="AX34" i="1"/>
  <c r="AX47" i="1"/>
  <c r="BK33" i="1"/>
  <c r="BE21" i="1"/>
  <c r="AO25" i="1"/>
  <c r="BG27" i="1"/>
  <c r="BR34" i="1"/>
  <c r="BQ21" i="1"/>
  <c r="BD59" i="1"/>
  <c r="AK86" i="1"/>
  <c r="BD48" i="1"/>
  <c r="AO34" i="1"/>
  <c r="BH63" i="1"/>
  <c r="BV27" i="1"/>
  <c r="BE32" i="1"/>
  <c r="BE11" i="1" s="1"/>
  <c r="AI36" i="1"/>
  <c r="BC20" i="1"/>
  <c r="BK63" i="1"/>
  <c r="AW47" i="1"/>
  <c r="AR21" i="1"/>
  <c r="AN34" i="1"/>
  <c r="AU36" i="1"/>
  <c r="BS59" i="1"/>
  <c r="BQ51" i="1"/>
  <c r="BV57" i="1"/>
  <c r="BI51" i="1"/>
  <c r="BU34" i="1"/>
  <c r="AO59" i="1"/>
  <c r="BF27" i="1"/>
  <c r="BA27" i="1"/>
  <c r="AR51" i="1"/>
  <c r="AT35" i="1"/>
  <c r="BN32" i="1"/>
  <c r="BN11" i="1" s="1"/>
  <c r="BJ58" i="1"/>
  <c r="AO44" i="1"/>
  <c r="AO206" i="1" s="1"/>
  <c r="AK85" i="1"/>
  <c r="BV25" i="1"/>
  <c r="BN47" i="1"/>
  <c r="BH176" i="1"/>
  <c r="BI176" i="1" s="1"/>
  <c r="BH161" i="1"/>
  <c r="BI161" i="1" s="1"/>
  <c r="BV157" i="1"/>
  <c r="BV137" i="1"/>
  <c r="BW137" i="1" s="1"/>
  <c r="BV129" i="1"/>
  <c r="U183" i="1"/>
  <c r="H158" i="1"/>
  <c r="O137" i="1"/>
  <c r="M165" i="1"/>
  <c r="M195" i="1" s="1"/>
  <c r="T131" i="1"/>
  <c r="D86" i="1"/>
  <c r="V134" i="1"/>
  <c r="W138" i="1"/>
  <c r="W166" i="1" s="1"/>
  <c r="O184" i="1"/>
  <c r="O147" i="1"/>
  <c r="O143" i="1" s="1"/>
  <c r="C75" i="1"/>
  <c r="K145" i="1"/>
  <c r="U184" i="1"/>
  <c r="F144" i="1"/>
  <c r="E90" i="1"/>
  <c r="D90" i="1"/>
  <c r="P171" i="1"/>
  <c r="P173" i="1" s="1"/>
  <c r="Q221" i="1" s="1"/>
  <c r="B143" i="1"/>
  <c r="B134" i="1"/>
  <c r="R148" i="1"/>
  <c r="V183" i="1"/>
  <c r="V176" i="1"/>
  <c r="E152" i="1"/>
  <c r="R147" i="1"/>
  <c r="R143" i="1" s="1"/>
  <c r="W161" i="1"/>
  <c r="J156" i="1"/>
  <c r="J191" i="1" s="1"/>
  <c r="W155" i="1"/>
  <c r="T167" i="1"/>
  <c r="BW25" i="1"/>
  <c r="BI58" i="1"/>
  <c r="BJ63" i="1"/>
  <c r="AU35" i="1"/>
  <c r="BA37" i="1"/>
  <c r="AT47" i="1"/>
  <c r="AW36" i="1"/>
  <c r="BW36" i="1"/>
  <c r="AS26" i="1"/>
  <c r="AO20" i="1"/>
  <c r="AN25" i="1"/>
  <c r="BP20" i="1"/>
  <c r="BP243" i="1" s="1"/>
  <c r="BD47" i="1"/>
  <c r="BQ32" i="1"/>
  <c r="BQ11" i="1" s="1"/>
  <c r="AS35" i="1"/>
  <c r="BB25" i="1"/>
  <c r="BF37" i="1"/>
  <c r="BW59" i="1"/>
  <c r="BJ34" i="1"/>
  <c r="BJ38" i="1" s="1"/>
  <c r="BT51" i="1"/>
  <c r="AO37" i="1"/>
  <c r="BI33" i="1"/>
  <c r="AN63" i="1"/>
  <c r="BO57" i="1"/>
  <c r="BR32" i="1"/>
  <c r="BR11" i="1" s="1"/>
  <c r="AX20" i="1"/>
  <c r="BG20" i="1"/>
  <c r="BN27" i="1"/>
  <c r="AI48" i="1"/>
  <c r="BV20" i="1"/>
  <c r="AS21" i="1"/>
  <c r="AY57" i="1"/>
  <c r="BN63" i="1"/>
  <c r="BW37" i="1"/>
  <c r="AT57" i="1"/>
  <c r="AQ51" i="1"/>
  <c r="BJ44" i="1"/>
  <c r="AS51" i="1"/>
  <c r="BH21" i="1"/>
  <c r="BQ34" i="1"/>
  <c r="AR48" i="1"/>
  <c r="BF25" i="1"/>
  <c r="BS32" i="1"/>
  <c r="BS11" i="1" s="1"/>
  <c r="BH158" i="1"/>
  <c r="BI158" i="1" s="1"/>
  <c r="BH144" i="1"/>
  <c r="BH129" i="1"/>
  <c r="BH136" i="1"/>
  <c r="BI136" i="1" s="1"/>
  <c r="BV155" i="1"/>
  <c r="BW155" i="1" s="1"/>
  <c r="BH167" i="1"/>
  <c r="BI167" i="1" s="1"/>
  <c r="BH139" i="1"/>
  <c r="BI139" i="1" s="1"/>
  <c r="D130" i="1"/>
  <c r="N91" i="1"/>
  <c r="H155" i="1"/>
  <c r="W165" i="1"/>
  <c r="G157" i="1"/>
  <c r="G192" i="1" s="1"/>
  <c r="F156" i="1"/>
  <c r="F191" i="1" s="1"/>
  <c r="L145" i="1"/>
  <c r="L139" i="1"/>
  <c r="I162" i="1"/>
  <c r="V145" i="1"/>
  <c r="S147" i="1"/>
  <c r="S143" i="1" s="1"/>
  <c r="J172" i="1"/>
  <c r="C155" i="1"/>
  <c r="Q155" i="1"/>
  <c r="G149" i="1"/>
  <c r="H134" i="1"/>
  <c r="L154" i="1"/>
  <c r="N184" i="1"/>
  <c r="Q154" i="1"/>
  <c r="U85" i="1"/>
  <c r="G152" i="1"/>
  <c r="B147" i="1"/>
  <c r="I155" i="1"/>
  <c r="W149" i="1"/>
  <c r="V159" i="1"/>
  <c r="W162" i="1"/>
  <c r="M159" i="1"/>
  <c r="K157" i="1"/>
  <c r="K192" i="1" s="1"/>
  <c r="Q182" i="1"/>
  <c r="M154" i="1"/>
  <c r="D75" i="1"/>
  <c r="B175" i="1"/>
  <c r="E129" i="1"/>
  <c r="J175" i="1"/>
  <c r="D163" i="1"/>
  <c r="V137" i="1"/>
  <c r="BA32" i="1"/>
  <c r="AT26" i="1"/>
  <c r="AY36" i="1"/>
  <c r="AQ26" i="1"/>
  <c r="BT27" i="1"/>
  <c r="BD33" i="1"/>
  <c r="AO26" i="1"/>
  <c r="AR36" i="1"/>
  <c r="BO59" i="1"/>
  <c r="AI37" i="1"/>
  <c r="BD20" i="1"/>
  <c r="BN20" i="1"/>
  <c r="AP59" i="1"/>
  <c r="AV26" i="1"/>
  <c r="BO33" i="1"/>
  <c r="BG36" i="1"/>
  <c r="BC48" i="1"/>
  <c r="AN59" i="1"/>
  <c r="BT63" i="1"/>
  <c r="BF34" i="1"/>
  <c r="BM57" i="1"/>
  <c r="BV33" i="1"/>
  <c r="BP51" i="1"/>
  <c r="AW25" i="1"/>
  <c r="BW27" i="1"/>
  <c r="BW44" i="1"/>
  <c r="BW206" i="1" s="1"/>
  <c r="BG59" i="1"/>
  <c r="AN26" i="1"/>
  <c r="AY21" i="1"/>
  <c r="AQ44" i="1"/>
  <c r="BQ47" i="1"/>
  <c r="BS37" i="1"/>
  <c r="BV58" i="1"/>
  <c r="BI25" i="1"/>
  <c r="AT27" i="1"/>
  <c r="AZ63" i="1"/>
  <c r="AO27" i="1"/>
  <c r="BS58" i="1"/>
  <c r="BT32" i="1"/>
  <c r="BT11" i="1" s="1"/>
  <c r="BI34" i="1"/>
  <c r="AZ21" i="1"/>
  <c r="BG32" i="1"/>
  <c r="BG11" i="1" s="1"/>
  <c r="BO58" i="1"/>
  <c r="BU37" i="1"/>
  <c r="BT44" i="1"/>
  <c r="AY59" i="1"/>
  <c r="BR26" i="1"/>
  <c r="BK51" i="1"/>
  <c r="BQ25" i="1"/>
  <c r="AQ37" i="1"/>
  <c r="AO57" i="1"/>
  <c r="BM37" i="1"/>
  <c r="BU25" i="1"/>
  <c r="BN25" i="1"/>
  <c r="AO51" i="1"/>
  <c r="AV34" i="1"/>
  <c r="BT33" i="1"/>
  <c r="AI63" i="1"/>
  <c r="AO48" i="1"/>
  <c r="BA26" i="1"/>
  <c r="BT57" i="1"/>
  <c r="BP35" i="1"/>
  <c r="AT21" i="1"/>
  <c r="AM59" i="1"/>
  <c r="BH37" i="1"/>
  <c r="BG63" i="1"/>
  <c r="AT25" i="1"/>
  <c r="BF44" i="1"/>
  <c r="BF206" i="1" s="1"/>
  <c r="BI63" i="1"/>
  <c r="AQ58" i="1"/>
  <c r="BS35" i="1"/>
  <c r="BK35" i="1"/>
  <c r="BC37" i="1"/>
  <c r="AR27" i="1"/>
  <c r="AU44" i="1"/>
  <c r="AU206" i="1" s="1"/>
  <c r="BU36" i="1"/>
  <c r="AU34" i="1"/>
  <c r="AZ48" i="1"/>
  <c r="AP32" i="1"/>
  <c r="AT59" i="1"/>
  <c r="BH159" i="1"/>
  <c r="BI159" i="1" s="1"/>
  <c r="BV165" i="1"/>
  <c r="BV171" i="1"/>
  <c r="BV136" i="1"/>
  <c r="BW136" i="1" s="1"/>
  <c r="BV130" i="1"/>
  <c r="BW130" i="1" s="1"/>
  <c r="BH138" i="1"/>
  <c r="BI138" i="1" s="1"/>
  <c r="BV158" i="1"/>
  <c r="BW158" i="1" s="1"/>
  <c r="K176" i="1"/>
  <c r="L136" i="1"/>
  <c r="N136" i="1"/>
  <c r="L91" i="1"/>
  <c r="R183" i="1"/>
  <c r="G156" i="1"/>
  <c r="G191" i="1" s="1"/>
  <c r="V163" i="1"/>
  <c r="V158" i="1"/>
  <c r="G134" i="1"/>
  <c r="J176" i="1"/>
  <c r="Q148" i="1"/>
  <c r="O79" i="1"/>
  <c r="M79" i="1"/>
  <c r="E182" i="1"/>
  <c r="G159" i="1"/>
  <c r="G91" i="1"/>
  <c r="Q131" i="1"/>
  <c r="T184" i="1"/>
  <c r="N145" i="1"/>
  <c r="D139" i="1"/>
  <c r="W139" i="1"/>
  <c r="S176" i="1"/>
  <c r="P158" i="1"/>
  <c r="O91" i="1"/>
  <c r="M163" i="1"/>
  <c r="G158" i="1"/>
  <c r="T176" i="1"/>
  <c r="J149" i="1"/>
  <c r="H136" i="1"/>
  <c r="E148" i="1"/>
  <c r="C158" i="1"/>
  <c r="D149" i="1"/>
  <c r="F137" i="1"/>
  <c r="Q89" i="1"/>
  <c r="S149" i="1"/>
  <c r="I172" i="1"/>
  <c r="S145" i="1"/>
  <c r="M162" i="1"/>
  <c r="D183" i="1"/>
  <c r="K91" i="1"/>
  <c r="D162" i="1"/>
  <c r="C165" i="1"/>
  <c r="C195" i="1" s="1"/>
  <c r="T138" i="1"/>
  <c r="T166" i="1" s="1"/>
  <c r="P184" i="1"/>
  <c r="Q145" i="1"/>
  <c r="U152" i="1"/>
  <c r="K134" i="1"/>
  <c r="G182" i="1"/>
  <c r="Q162" i="1"/>
  <c r="O136" i="1"/>
  <c r="L172" i="1"/>
  <c r="J138" i="1"/>
  <c r="J166" i="1" s="1"/>
  <c r="B130" i="1"/>
  <c r="D158" i="1"/>
  <c r="L134" i="1"/>
  <c r="U159" i="1"/>
  <c r="U155" i="1"/>
  <c r="C79" i="1"/>
  <c r="K161" i="1"/>
  <c r="Q139" i="1"/>
  <c r="W184" i="1"/>
  <c r="T148" i="1"/>
  <c r="O90" i="1"/>
  <c r="E167" i="1"/>
  <c r="K85" i="1"/>
  <c r="D145" i="1"/>
  <c r="H159" i="1"/>
  <c r="U171" i="1"/>
  <c r="M161" i="1"/>
  <c r="H89" i="1"/>
  <c r="O148" i="1"/>
  <c r="Q147" i="1"/>
  <c r="Q143" i="1" s="1"/>
  <c r="J161" i="1"/>
  <c r="H172" i="1"/>
  <c r="M145" i="1"/>
  <c r="E161" i="1"/>
  <c r="C172" i="1"/>
  <c r="C159" i="1"/>
  <c r="K147" i="1"/>
  <c r="K143" i="1" s="1"/>
  <c r="N157" i="1"/>
  <c r="N192" i="1" s="1"/>
  <c r="V138" i="1"/>
  <c r="V166" i="1" s="1"/>
  <c r="P156" i="1"/>
  <c r="P191" i="1" s="1"/>
  <c r="K162" i="1"/>
  <c r="H86" i="1"/>
  <c r="N172" i="1"/>
  <c r="S161" i="1"/>
  <c r="C144" i="1"/>
  <c r="M85" i="1"/>
  <c r="S183" i="1"/>
  <c r="S131" i="1"/>
  <c r="L167" i="1"/>
  <c r="C143" i="1"/>
  <c r="O144" i="1"/>
  <c r="D147" i="1"/>
  <c r="S172" i="1"/>
  <c r="D143" i="1"/>
  <c r="V184" i="1"/>
  <c r="V91" i="1"/>
  <c r="T154" i="1"/>
  <c r="W176" i="1"/>
  <c r="I131" i="1"/>
  <c r="J165" i="1"/>
  <c r="J195" i="1" s="1"/>
  <c r="R89" i="1"/>
  <c r="S91" i="1"/>
  <c r="L152" i="1"/>
  <c r="U149" i="1"/>
  <c r="O161" i="1"/>
  <c r="BH172" i="1"/>
  <c r="E184" i="1"/>
  <c r="R145" i="1"/>
  <c r="O134" i="1"/>
  <c r="K149" i="1"/>
  <c r="W85" i="1"/>
  <c r="O157" i="1"/>
  <c r="O192" i="1" s="1"/>
  <c r="D137" i="1"/>
  <c r="F145" i="1"/>
  <c r="F147" i="1"/>
  <c r="F143" i="1" s="1"/>
  <c r="N149" i="1"/>
  <c r="H79" i="1"/>
  <c r="P147" i="1"/>
  <c r="P143" i="1" s="1"/>
  <c r="I157" i="1"/>
  <c r="I192" i="1" s="1"/>
  <c r="D159" i="1"/>
  <c r="F138" i="1"/>
  <c r="F166" i="1" s="1"/>
  <c r="S152" i="1"/>
  <c r="S139" i="1"/>
  <c r="H138" i="1"/>
  <c r="H166" i="1" s="1"/>
  <c r="E158" i="1"/>
  <c r="L183" i="1"/>
  <c r="L131" i="1"/>
  <c r="D184" i="1"/>
  <c r="U139" i="1"/>
  <c r="V129" i="1"/>
  <c r="I130" i="1"/>
  <c r="D176" i="1"/>
  <c r="J137" i="1"/>
  <c r="N79" i="1"/>
  <c r="K158" i="1"/>
  <c r="M91" i="1"/>
  <c r="I148" i="1"/>
  <c r="W130" i="1"/>
  <c r="G139" i="1"/>
  <c r="H147" i="1"/>
  <c r="H143" i="1" s="1"/>
  <c r="Q85" i="1"/>
  <c r="C147" i="1"/>
  <c r="V165" i="1"/>
  <c r="V195" i="1" s="1"/>
  <c r="V130" i="1"/>
  <c r="Q144" i="1"/>
  <c r="B136" i="1"/>
  <c r="E175" i="1"/>
  <c r="Q138" i="1"/>
  <c r="Q166" i="1" s="1"/>
  <c r="O129" i="1"/>
  <c r="K129" i="1"/>
  <c r="E89" i="1"/>
  <c r="N89" i="1"/>
  <c r="R158" i="1"/>
  <c r="E130" i="1"/>
  <c r="H157" i="1"/>
  <c r="H192" i="1" s="1"/>
  <c r="R131" i="1"/>
  <c r="K137" i="1"/>
  <c r="O130" i="1"/>
  <c r="Q137" i="1"/>
  <c r="J91" i="1"/>
  <c r="U154" i="1"/>
  <c r="B149" i="1"/>
  <c r="I184" i="1"/>
  <c r="P144" i="1"/>
  <c r="H182" i="1"/>
  <c r="I152" i="1"/>
  <c r="G79" i="1"/>
  <c r="U175" i="1"/>
  <c r="E91" i="1"/>
  <c r="B129" i="1"/>
  <c r="M134" i="1"/>
  <c r="P182" i="1"/>
  <c r="F152" i="1"/>
  <c r="T159" i="1"/>
  <c r="O156" i="1"/>
  <c r="O191" i="1" s="1"/>
  <c r="S156" i="1"/>
  <c r="S191" i="1" s="1"/>
  <c r="O176" i="1"/>
  <c r="R159" i="1"/>
  <c r="N86" i="1"/>
  <c r="N137" i="1"/>
  <c r="Q149" i="1"/>
  <c r="U89" i="1"/>
  <c r="G90" i="1"/>
  <c r="C76" i="1"/>
  <c r="P183" i="1"/>
  <c r="L86" i="1"/>
  <c r="T139" i="1"/>
  <c r="R85" i="1"/>
  <c r="P157" i="1"/>
  <c r="P192" i="1" s="1"/>
  <c r="E163" i="1"/>
  <c r="V157" i="1"/>
  <c r="V192" i="1" s="1"/>
  <c r="P175" i="1"/>
  <c r="C167" i="1"/>
  <c r="P149" i="1"/>
  <c r="U131" i="1"/>
  <c r="M172" i="1"/>
  <c r="K163" i="1"/>
  <c r="B182" i="1"/>
  <c r="R182" i="1"/>
  <c r="J158" i="1"/>
  <c r="E159" i="1"/>
  <c r="R162" i="1"/>
  <c r="J184" i="1"/>
  <c r="F157" i="1"/>
  <c r="F192" i="1" s="1"/>
  <c r="J147" i="1"/>
  <c r="J143" i="1" s="1"/>
  <c r="D144" i="1"/>
  <c r="R149" i="1"/>
  <c r="O155" i="1"/>
  <c r="F154" i="1"/>
  <c r="D171" i="1"/>
  <c r="D173" i="1" s="1"/>
  <c r="O162" i="1"/>
  <c r="G162" i="1"/>
  <c r="T175" i="1"/>
  <c r="P131" i="1"/>
  <c r="J86" i="1"/>
  <c r="L129" i="1"/>
  <c r="U156" i="1"/>
  <c r="U191" i="1" s="1"/>
  <c r="G154" i="1"/>
  <c r="E137" i="1"/>
  <c r="S90" i="1"/>
  <c r="P89" i="1"/>
  <c r="Q157" i="1"/>
  <c r="Q192" i="1" s="1"/>
  <c r="C163" i="1"/>
  <c r="M156" i="1"/>
  <c r="M191" i="1" s="1"/>
  <c r="U86" i="1"/>
  <c r="V136" i="1"/>
  <c r="R172" i="1"/>
  <c r="K86" i="1"/>
  <c r="K154" i="1"/>
  <c r="J159" i="1"/>
  <c r="L165" i="1"/>
  <c r="L195" i="1" s="1"/>
  <c r="V152" i="1"/>
  <c r="V86" i="1"/>
  <c r="M90" i="1"/>
  <c r="O152" i="1"/>
  <c r="O149" i="1"/>
  <c r="C176" i="1"/>
  <c r="F134" i="1"/>
  <c r="N175" i="1"/>
  <c r="W175" i="1"/>
  <c r="N156" i="1"/>
  <c r="N191" i="1" s="1"/>
  <c r="H149" i="1"/>
  <c r="F89" i="1"/>
  <c r="I85" i="1"/>
  <c r="K171" i="1"/>
  <c r="I90" i="1"/>
  <c r="T130" i="1"/>
  <c r="T158" i="1"/>
  <c r="J90" i="1"/>
  <c r="O182" i="1"/>
  <c r="P176" i="1"/>
  <c r="J171" i="1"/>
  <c r="N139" i="1"/>
  <c r="L89" i="1"/>
  <c r="BH154" i="1"/>
  <c r="BV145" i="1"/>
  <c r="B138" i="1"/>
  <c r="B166" i="1" s="1"/>
  <c r="L130" i="1"/>
  <c r="V85" i="1"/>
  <c r="P162" i="1"/>
  <c r="P155" i="1"/>
  <c r="O139" i="1"/>
  <c r="F130" i="1"/>
  <c r="O167" i="1"/>
  <c r="C139" i="1"/>
  <c r="P161" i="1"/>
  <c r="V147" i="1"/>
  <c r="V143" i="1" s="1"/>
  <c r="N163" i="1"/>
  <c r="V79" i="1"/>
  <c r="W131" i="1"/>
  <c r="F165" i="1"/>
  <c r="F195" i="1" s="1"/>
  <c r="E145" i="1"/>
  <c r="C183" i="1"/>
  <c r="M147" i="1"/>
  <c r="M143" i="1" s="1"/>
  <c r="J148" i="1"/>
  <c r="I86" i="1"/>
  <c r="B76" i="1"/>
  <c r="N162" i="1"/>
  <c r="S136" i="1"/>
  <c r="Q184" i="1"/>
  <c r="F184" i="1"/>
  <c r="R137" i="1"/>
  <c r="T155" i="1"/>
  <c r="B167" i="1"/>
  <c r="E147" i="1"/>
  <c r="E143" i="1" s="1"/>
  <c r="S158" i="1"/>
  <c r="B131" i="1"/>
  <c r="V175" i="1"/>
  <c r="F167" i="1"/>
  <c r="T134" i="1"/>
  <c r="W136" i="1"/>
  <c r="O154" i="1"/>
  <c r="Q167" i="1"/>
  <c r="G147" i="1"/>
  <c r="G143" i="1" s="1"/>
  <c r="T152" i="1"/>
  <c r="R155" i="1"/>
  <c r="D131" i="1"/>
  <c r="N167" i="1"/>
  <c r="I163" i="1"/>
  <c r="O158" i="1"/>
  <c r="H129" i="1"/>
  <c r="I129" i="1"/>
  <c r="N90" i="1"/>
  <c r="G86" i="1"/>
  <c r="P91" i="1"/>
  <c r="R167" i="1"/>
  <c r="N155" i="1"/>
  <c r="W89" i="1"/>
  <c r="U182" i="1"/>
  <c r="C184" i="1"/>
  <c r="W152" i="1"/>
  <c r="X214" i="1" s="1"/>
  <c r="T165" i="1"/>
  <c r="T195" i="1" s="1"/>
  <c r="F131" i="1"/>
  <c r="K165" i="1"/>
  <c r="K195" i="1" s="1"/>
  <c r="U130" i="1"/>
  <c r="I165" i="1"/>
  <c r="I195" i="1" s="1"/>
  <c r="M171" i="1"/>
  <c r="I182" i="1"/>
  <c r="C145" i="1"/>
  <c r="B148" i="1"/>
  <c r="N159" i="1"/>
  <c r="P85" i="1"/>
  <c r="K155" i="1"/>
  <c r="K175" i="1"/>
  <c r="P145" i="1"/>
  <c r="Q136" i="1"/>
  <c r="R156" i="1"/>
  <c r="R191" i="1" s="1"/>
  <c r="D167" i="1"/>
  <c r="N134" i="1"/>
  <c r="K156" i="1"/>
  <c r="K191" i="1" s="1"/>
  <c r="T161" i="1"/>
  <c r="G155" i="1"/>
  <c r="U165" i="1"/>
  <c r="U195" i="1" s="1"/>
  <c r="H144" i="1"/>
  <c r="L175" i="1"/>
  <c r="V182" i="1"/>
  <c r="P137" i="1"/>
  <c r="Q171" i="1"/>
  <c r="I79" i="1"/>
  <c r="C175" i="1"/>
  <c r="Q91" i="1"/>
  <c r="V154" i="1"/>
  <c r="S182" i="1"/>
  <c r="J136" i="1"/>
  <c r="U162" i="1"/>
  <c r="M137" i="1"/>
  <c r="U172" i="1"/>
  <c r="O85" i="1"/>
  <c r="D136" i="1"/>
  <c r="S154" i="1"/>
  <c r="E176" i="1"/>
  <c r="D175" i="1"/>
  <c r="K148" i="1"/>
  <c r="B155" i="1"/>
  <c r="W167" i="1"/>
  <c r="F86" i="1"/>
  <c r="C137" i="1"/>
  <c r="S162" i="1"/>
  <c r="H165" i="1"/>
  <c r="H195" i="1" s="1"/>
  <c r="U138" i="1"/>
  <c r="U166" i="1" s="1"/>
  <c r="L159" i="1"/>
  <c r="H137" i="1"/>
  <c r="L138" i="1"/>
  <c r="L166" i="1" s="1"/>
  <c r="B161" i="1"/>
  <c r="H148" i="1"/>
  <c r="G171" i="1"/>
  <c r="K90" i="1"/>
  <c r="M148" i="1"/>
  <c r="S155" i="1"/>
  <c r="H145" i="1"/>
  <c r="F91" i="1"/>
  <c r="H167" i="1"/>
  <c r="G131" i="1"/>
  <c r="P86" i="1"/>
  <c r="T163" i="1"/>
  <c r="G176" i="1"/>
  <c r="R130" i="1"/>
  <c r="W159" i="1"/>
  <c r="C89" i="1"/>
  <c r="D155" i="1"/>
  <c r="F182" i="1"/>
  <c r="B159" i="1"/>
  <c r="J182" i="1"/>
  <c r="V156" i="1"/>
  <c r="V191" i="1" s="1"/>
  <c r="P159" i="1"/>
  <c r="B171" i="1"/>
  <c r="B173" i="1" s="1"/>
  <c r="C221" i="1" s="1"/>
  <c r="I147" i="1"/>
  <c r="I143" i="1" s="1"/>
  <c r="R171" i="1"/>
  <c r="C157" i="1"/>
  <c r="C192" i="1" s="1"/>
  <c r="L90" i="1"/>
  <c r="G163" i="1"/>
  <c r="I145" i="1"/>
  <c r="M176" i="1"/>
  <c r="L155" i="1"/>
  <c r="H85" i="1"/>
  <c r="P129" i="1"/>
  <c r="R161" i="1"/>
  <c r="M155" i="1"/>
  <c r="J79" i="1"/>
  <c r="L163" i="1"/>
  <c r="H161" i="1"/>
  <c r="I89" i="1"/>
  <c r="U137" i="1"/>
  <c r="L157" i="1"/>
  <c r="L192" i="1" s="1"/>
  <c r="O159" i="1"/>
  <c r="K152" i="1"/>
  <c r="K136" i="1"/>
  <c r="E156" i="1"/>
  <c r="E191" i="1" s="1"/>
  <c r="N182" i="1"/>
  <c r="M129" i="1"/>
  <c r="O171" i="1"/>
  <c r="S165" i="1"/>
  <c r="S195" i="1" s="1"/>
  <c r="O89" i="1"/>
  <c r="O165" i="1"/>
  <c r="O195" i="1" s="1"/>
  <c r="N131" i="1"/>
  <c r="T137" i="1"/>
  <c r="Q130" i="1"/>
  <c r="P152" i="1"/>
  <c r="I176" i="1"/>
  <c r="V131" i="1"/>
  <c r="E144" i="1"/>
  <c r="H152" i="1"/>
  <c r="T156" i="1"/>
  <c r="T191" i="1" s="1"/>
  <c r="N171" i="1"/>
  <c r="U145" i="1"/>
  <c r="E79" i="1"/>
  <c r="M139" i="1"/>
  <c r="P79" i="1"/>
  <c r="Q163" i="1"/>
  <c r="M182" i="1"/>
  <c r="Q129" i="1"/>
  <c r="E155" i="1"/>
  <c r="R138" i="1"/>
  <c r="R166" i="1" s="1"/>
  <c r="F171" i="1"/>
  <c r="V161" i="1"/>
  <c r="P134" i="1"/>
  <c r="M138" i="1"/>
  <c r="M166" i="1" s="1"/>
  <c r="U167" i="1"/>
  <c r="I91" i="1"/>
  <c r="H154" i="1"/>
  <c r="B145" i="1"/>
  <c r="U147" i="1"/>
  <c r="U143" i="1" s="1"/>
  <c r="O172" i="1"/>
  <c r="B156" i="1"/>
  <c r="B191" i="1" s="1"/>
  <c r="N130" i="1"/>
  <c r="K131" i="1"/>
  <c r="U163" i="1"/>
  <c r="P163" i="1"/>
  <c r="N152" i="1"/>
  <c r="T129" i="1"/>
  <c r="H163" i="1"/>
  <c r="W145" i="1"/>
  <c r="G172" i="1"/>
  <c r="L161" i="1"/>
  <c r="M184" i="1"/>
  <c r="B137" i="1"/>
  <c r="G137" i="1"/>
  <c r="I154" i="1"/>
  <c r="E172" i="1"/>
  <c r="E173" i="1" s="1"/>
  <c r="F221" i="1" s="1"/>
  <c r="D156" i="1"/>
  <c r="D191" i="1" s="1"/>
  <c r="K138" i="1"/>
  <c r="K166" i="1" s="1"/>
  <c r="S86" i="1"/>
  <c r="E136" i="1"/>
  <c r="K144" i="1"/>
  <c r="C162" i="1"/>
  <c r="W157" i="1"/>
  <c r="O183" i="1"/>
  <c r="O86" i="1"/>
  <c r="F129" i="1"/>
  <c r="J139" i="1"/>
  <c r="AZ165" i="1"/>
  <c r="AZ166" i="1"/>
  <c r="BA166" i="1" s="1"/>
  <c r="BT143" i="1"/>
  <c r="BP167" i="1"/>
  <c r="BQ167" i="1" s="1"/>
  <c r="BP85" i="1"/>
  <c r="BF137" i="1"/>
  <c r="BG137" i="1" s="1"/>
  <c r="BI85" i="1"/>
  <c r="BF86" i="1"/>
  <c r="AZ164" i="1"/>
  <c r="BA164" i="1" s="1"/>
  <c r="AZ129" i="1"/>
  <c r="BA129" i="1" s="1"/>
  <c r="BF159" i="1"/>
  <c r="BG159" i="1" s="1"/>
  <c r="BT163" i="1"/>
  <c r="BU163" i="1" s="1"/>
  <c r="BW86" i="1"/>
  <c r="AT143" i="1"/>
  <c r="AZ143" i="1"/>
  <c r="AV147" i="1"/>
  <c r="AW147" i="1" s="1"/>
  <c r="BB147" i="1"/>
  <c r="BC147" i="1" s="1"/>
  <c r="AR176" i="1"/>
  <c r="AS176" i="1" s="1"/>
  <c r="AQ85" i="1"/>
  <c r="AT163" i="1"/>
  <c r="AU163" i="1" s="1"/>
  <c r="BP139" i="1"/>
  <c r="BQ139" i="1" s="1"/>
  <c r="BF136" i="1"/>
  <c r="BG136" i="1" s="1"/>
  <c r="BF175" i="1"/>
  <c r="BG175" i="1" s="1"/>
  <c r="AZ172" i="1"/>
  <c r="BP138" i="1"/>
  <c r="BQ138" i="1" s="1"/>
  <c r="BG85" i="1"/>
  <c r="AZ154" i="1"/>
  <c r="BA154" i="1" s="1"/>
  <c r="BT129" i="1"/>
  <c r="BU129" i="1" s="1"/>
  <c r="BT164" i="1"/>
  <c r="BU164" i="1" s="1"/>
  <c r="BM86" i="1"/>
  <c r="BP156" i="1"/>
  <c r="AT171" i="1"/>
  <c r="BF176" i="1"/>
  <c r="BG176" i="1" s="1"/>
  <c r="AZ147" i="1"/>
  <c r="BA147" i="1" s="1"/>
  <c r="BT158" i="1"/>
  <c r="BU158" i="1" s="1"/>
  <c r="BP136" i="1"/>
  <c r="BQ136" i="1" s="1"/>
  <c r="BP154" i="1"/>
  <c r="BQ154" i="1" s="1"/>
  <c r="BT86" i="1"/>
  <c r="AR155" i="1"/>
  <c r="AS155" i="1" s="1"/>
  <c r="BF130" i="1"/>
  <c r="BG130" i="1" s="1"/>
  <c r="BB136" i="1"/>
  <c r="BF129" i="1"/>
  <c r="BG129" i="1" s="1"/>
  <c r="AZ159" i="1"/>
  <c r="BA159" i="1" s="1"/>
  <c r="BP143" i="1"/>
  <c r="AV156" i="1"/>
  <c r="BW85" i="1"/>
  <c r="BP131" i="1"/>
  <c r="BB86" i="1"/>
  <c r="AT137" i="1"/>
  <c r="AU137" i="1" s="1"/>
  <c r="BB158" i="1"/>
  <c r="BC158" i="1" s="1"/>
  <c r="AT134" i="1"/>
  <c r="AU134" i="1" s="1"/>
  <c r="BB144" i="1"/>
  <c r="BB138" i="1"/>
  <c r="BC138" i="1" s="1"/>
  <c r="BP152" i="1"/>
  <c r="BQ152" i="1" s="1"/>
  <c r="AV152" i="1"/>
  <c r="AV162" i="1"/>
  <c r="AW162" i="1" s="1"/>
  <c r="BE86" i="1"/>
  <c r="BB131" i="1"/>
  <c r="AZ157" i="1"/>
  <c r="BT156" i="1"/>
  <c r="AT145" i="1"/>
  <c r="AY86" i="1"/>
  <c r="BB172" i="1"/>
  <c r="BT165" i="1"/>
  <c r="BB139" i="1"/>
  <c r="BC139" i="1" s="1"/>
  <c r="BP157" i="1"/>
  <c r="AT156" i="1"/>
  <c r="BC85" i="1"/>
  <c r="BT171" i="1"/>
  <c r="AV161" i="1"/>
  <c r="AW161" i="1" s="1"/>
  <c r="AZ156" i="1"/>
  <c r="BP129" i="1"/>
  <c r="BQ129" i="1" s="1"/>
  <c r="BP144" i="1"/>
  <c r="AV171" i="1"/>
  <c r="AV129" i="1"/>
  <c r="AW129" i="1" s="1"/>
  <c r="AR131" i="1"/>
  <c r="AR154" i="1"/>
  <c r="AS154" i="1" s="1"/>
  <c r="AZ152" i="1"/>
  <c r="BA152" i="1" s="1"/>
  <c r="AV137" i="1"/>
  <c r="AW137" i="1" s="1"/>
  <c r="AV138" i="1"/>
  <c r="AW138" i="1" s="1"/>
  <c r="AR166" i="1"/>
  <c r="AS166" i="1" s="1"/>
  <c r="AV145" i="1"/>
  <c r="AR130" i="1"/>
  <c r="AS130" i="1" s="1"/>
  <c r="AR164" i="1"/>
  <c r="AS164" i="1" s="1"/>
  <c r="BP171" i="1"/>
  <c r="AR136" i="1"/>
  <c r="AV176" i="1"/>
  <c r="AW176" i="1" s="1"/>
  <c r="AR165" i="1"/>
  <c r="AR134" i="1"/>
  <c r="AS134" i="1" s="1"/>
  <c r="AR158" i="1"/>
  <c r="AS158" i="1" s="1"/>
  <c r="BB143" i="1"/>
  <c r="AV85" i="1"/>
  <c r="AU85" i="1"/>
  <c r="AR172" i="1"/>
  <c r="AV165" i="1"/>
  <c r="AT161" i="1"/>
  <c r="AU161" i="1" s="1"/>
  <c r="AT165" i="1"/>
  <c r="AR85" i="1"/>
  <c r="BO86" i="1"/>
  <c r="BT152" i="1"/>
  <c r="AV172" i="1"/>
  <c r="AR156" i="1"/>
  <c r="BP161" i="1"/>
  <c r="BQ161" i="1" s="1"/>
  <c r="AV163" i="1"/>
  <c r="AW163" i="1" s="1"/>
  <c r="BT139" i="1"/>
  <c r="BU139" i="1" s="1"/>
  <c r="AR159" i="1"/>
  <c r="AS159" i="1" s="1"/>
  <c r="BB157" i="1"/>
  <c r="AT130" i="1"/>
  <c r="AU130" i="1" s="1"/>
  <c r="BO85" i="1"/>
  <c r="BB152" i="1"/>
  <c r="BC152" i="1" s="1"/>
  <c r="BB165" i="1"/>
  <c r="BF172" i="1"/>
  <c r="BP165" i="1"/>
  <c r="AZ138" i="1"/>
  <c r="BA138" i="1" s="1"/>
  <c r="BF157" i="1"/>
  <c r="BQ86" i="1"/>
  <c r="AT147" i="1"/>
  <c r="AU147" i="1" s="1"/>
  <c r="AT138" i="1"/>
  <c r="AU138" i="1" s="1"/>
  <c r="AZ134" i="1"/>
  <c r="BA134" i="1" s="1"/>
  <c r="BT131" i="1"/>
  <c r="BB166" i="1"/>
  <c r="BC166" i="1" s="1"/>
  <c r="BF143" i="1"/>
  <c r="AZ145" i="1"/>
  <c r="AZ167" i="1"/>
  <c r="BA167" i="1" s="1"/>
  <c r="BF165" i="1"/>
  <c r="BF147" i="1"/>
  <c r="BG147" i="1" s="1"/>
  <c r="AQ86" i="1"/>
  <c r="AZ139" i="1"/>
  <c r="BA139" i="1" s="1"/>
  <c r="BT147" i="1"/>
  <c r="BU147" i="1" s="1"/>
  <c r="BP86" i="1"/>
  <c r="AV166" i="1"/>
  <c r="AW166" i="1" s="1"/>
  <c r="AT162" i="1"/>
  <c r="AO85" i="1"/>
  <c r="BE85" i="1"/>
  <c r="AY85" i="1"/>
  <c r="BB161" i="1"/>
  <c r="BC161" i="1" s="1"/>
  <c r="BB163" i="1"/>
  <c r="BC163" i="1" s="1"/>
  <c r="AZ163" i="1"/>
  <c r="BA163" i="1" s="1"/>
  <c r="BT166" i="1"/>
  <c r="BU166" i="1" s="1"/>
  <c r="BT172" i="1"/>
  <c r="BP155" i="1"/>
  <c r="BQ155" i="1" s="1"/>
  <c r="BP163" i="1"/>
  <c r="BQ163" i="1" s="1"/>
  <c r="AZ130" i="1"/>
  <c r="BA130" i="1" s="1"/>
  <c r="BB134" i="1"/>
  <c r="BC134" i="1" s="1"/>
  <c r="AZ144" i="1"/>
  <c r="AT139" i="1"/>
  <c r="AU139" i="1" s="1"/>
  <c r="AT157" i="1"/>
  <c r="AT167" i="1"/>
  <c r="AU167" i="1" s="1"/>
  <c r="AT158" i="1"/>
  <c r="AU158" i="1" s="1"/>
  <c r="AT166" i="1"/>
  <c r="AU166" i="1" s="1"/>
  <c r="AT129" i="1"/>
  <c r="BB162" i="1"/>
  <c r="BC162" i="1" s="1"/>
  <c r="AZ175" i="1"/>
  <c r="BA175" i="1" s="1"/>
  <c r="AZ162" i="1"/>
  <c r="BA162" i="1" s="1"/>
  <c r="BG86" i="1"/>
  <c r="BF134" i="1"/>
  <c r="BG134" i="1" s="1"/>
  <c r="AZ176" i="1"/>
  <c r="BA176" i="1" s="1"/>
  <c r="BP134" i="1"/>
  <c r="BQ134" i="1" s="1"/>
  <c r="BK85" i="1"/>
  <c r="AT155" i="1"/>
  <c r="AU155" i="1" s="1"/>
  <c r="AT131" i="1"/>
  <c r="BB145" i="1"/>
  <c r="BB154" i="1"/>
  <c r="BC154" i="1" s="1"/>
  <c r="AZ161" i="1"/>
  <c r="BA161" i="1" s="1"/>
  <c r="BP158" i="1"/>
  <c r="BQ158" i="1" s="1"/>
  <c r="BT157" i="1"/>
  <c r="BT162" i="1"/>
  <c r="BU162" i="1" s="1"/>
  <c r="AZ149" i="1"/>
  <c r="BA149" i="1" s="1"/>
  <c r="BP137" i="1"/>
  <c r="BQ137" i="1" s="1"/>
  <c r="AV158" i="1"/>
  <c r="AW158" i="1" s="1"/>
  <c r="AR137" i="1"/>
  <c r="AS137" i="1" s="1"/>
  <c r="AR86" i="1"/>
  <c r="BT159" i="1"/>
  <c r="BU159" i="1" s="1"/>
  <c r="BP164" i="1"/>
  <c r="BQ164" i="1" s="1"/>
  <c r="AV86" i="1"/>
  <c r="AV130" i="1"/>
  <c r="AW130" i="1" s="1"/>
  <c r="AV175" i="1"/>
  <c r="AW175" i="1" s="1"/>
  <c r="AR129" i="1"/>
  <c r="AV136" i="1"/>
  <c r="BP145" i="1"/>
  <c r="AR149" i="1"/>
  <c r="AS149" i="1" s="1"/>
  <c r="BI86" i="1"/>
  <c r="AR162" i="1"/>
  <c r="AS162" i="1" s="1"/>
  <c r="AV139" i="1"/>
  <c r="AW139" i="1" s="1"/>
  <c r="BP166" i="1"/>
  <c r="BQ166" i="1" s="1"/>
  <c r="AR139" i="1"/>
  <c r="AS139" i="1" s="1"/>
  <c r="AV164" i="1"/>
  <c r="AW164" i="1" s="1"/>
  <c r="BQ85" i="1"/>
  <c r="BS86" i="1"/>
  <c r="AR161" i="1"/>
  <c r="AS161" i="1" s="1"/>
  <c r="AV154" i="1"/>
  <c r="AW154" i="1" s="1"/>
  <c r="AR175" i="1"/>
  <c r="AS175" i="1" s="1"/>
  <c r="AV157" i="1"/>
  <c r="AR138" i="1"/>
  <c r="AS138" i="1" s="1"/>
  <c r="BB85" i="1"/>
  <c r="AZ158" i="1"/>
  <c r="BA158" i="1" s="1"/>
  <c r="BT144" i="1"/>
  <c r="BK86" i="1"/>
  <c r="BB137" i="1"/>
  <c r="BC137" i="1" s="1"/>
  <c r="BF156" i="1"/>
  <c r="BT137" i="1"/>
  <c r="BU137" i="1" s="1"/>
  <c r="BT136" i="1"/>
  <c r="AT176" i="1"/>
  <c r="AU176" i="1" s="1"/>
  <c r="AT164" i="1"/>
  <c r="AU164" i="1" s="1"/>
  <c r="BC86" i="1"/>
  <c r="AZ136" i="1"/>
  <c r="BA136" i="1" s="1"/>
  <c r="AT86" i="1"/>
  <c r="BB156" i="1"/>
  <c r="BT167" i="1"/>
  <c r="BU167" i="1" s="1"/>
  <c r="BB159" i="1"/>
  <c r="BC159" i="1" s="1"/>
  <c r="BP162" i="1"/>
  <c r="BQ162" i="1" s="1"/>
  <c r="BT85" i="1"/>
  <c r="AV143" i="1"/>
  <c r="BB175" i="1"/>
  <c r="BC175" i="1" s="1"/>
  <c r="AZ86" i="1"/>
  <c r="BF139" i="1"/>
  <c r="BG139" i="1" s="1"/>
  <c r="BB176" i="1"/>
  <c r="BC176" i="1" s="1"/>
  <c r="AZ131" i="1"/>
  <c r="BT176" i="1"/>
  <c r="BU176" i="1" s="1"/>
  <c r="BP172" i="1"/>
  <c r="AV144" i="1"/>
  <c r="BB171" i="1"/>
  <c r="BT130" i="1"/>
  <c r="BU130" i="1" s="1"/>
  <c r="BP175" i="1"/>
  <c r="BQ175" i="1" s="1"/>
  <c r="BP159" i="1"/>
  <c r="BQ159" i="1" s="1"/>
  <c r="BM85" i="1"/>
  <c r="BB167" i="1"/>
  <c r="BC167" i="1" s="1"/>
  <c r="AZ171" i="1"/>
  <c r="BT145" i="1"/>
  <c r="AT152" i="1"/>
  <c r="AU152" i="1" s="1"/>
  <c r="AT172" i="1"/>
  <c r="AT136" i="1"/>
  <c r="AU136" i="1" s="1"/>
  <c r="AT154" i="1"/>
  <c r="BB164" i="1"/>
  <c r="BC164" i="1" s="1"/>
  <c r="AZ137" i="1"/>
  <c r="BA137" i="1" s="1"/>
  <c r="BF167" i="1"/>
  <c r="BG167" i="1" s="1"/>
  <c r="BP130" i="1"/>
  <c r="BQ130" i="1" s="1"/>
  <c r="BF85" i="1"/>
  <c r="BT134" i="1"/>
  <c r="BU134" i="1" s="1"/>
  <c r="AT175" i="1"/>
  <c r="AU175" i="1" s="1"/>
  <c r="AT159" i="1"/>
  <c r="AU159" i="1" s="1"/>
  <c r="BT138" i="1"/>
  <c r="BU138" i="1" s="1"/>
  <c r="AU86" i="1"/>
  <c r="BB130" i="1"/>
  <c r="BC130" i="1" s="1"/>
  <c r="AZ85" i="1"/>
  <c r="BT154" i="1"/>
  <c r="BU154" i="1" s="1"/>
  <c r="BB129" i="1"/>
  <c r="BT175" i="1"/>
  <c r="BU175" i="1" s="1"/>
  <c r="BP147" i="1"/>
  <c r="BQ147" i="1" s="1"/>
  <c r="BP176" i="1"/>
  <c r="BQ176" i="1" s="1"/>
  <c r="AV134" i="1"/>
  <c r="AW134" i="1" s="1"/>
  <c r="AR147" i="1"/>
  <c r="AS147" i="1" s="1"/>
  <c r="AR152" i="1"/>
  <c r="AS152" i="1" s="1"/>
  <c r="AR145" i="1"/>
  <c r="AV167" i="1"/>
  <c r="AW167" i="1" s="1"/>
  <c r="AR144" i="1"/>
  <c r="AR143" i="1"/>
  <c r="AR171" i="1"/>
  <c r="AV131" i="1"/>
  <c r="AR157" i="1"/>
  <c r="BT161" i="1"/>
  <c r="BU161" i="1" s="1"/>
  <c r="AR167" i="1"/>
  <c r="AS167" i="1" s="1"/>
  <c r="AR163" i="1"/>
  <c r="AS163" i="1" s="1"/>
  <c r="AT144" i="1"/>
  <c r="AT85" i="1"/>
  <c r="AO86" i="1"/>
  <c r="AV159" i="1"/>
  <c r="AW159" i="1" s="1"/>
  <c r="AV149" i="1"/>
  <c r="AW149" i="1" s="1"/>
  <c r="AV155" i="1"/>
  <c r="AT149" i="1"/>
  <c r="AU149" i="1" s="1"/>
  <c r="BP149" i="1"/>
  <c r="BQ149" i="1" s="1"/>
  <c r="BT149" i="1"/>
  <c r="BU149" i="1" s="1"/>
  <c r="BB149" i="1"/>
  <c r="BC149" i="1" s="1"/>
  <c r="BT155" i="1"/>
  <c r="BB155" i="1"/>
  <c r="AZ155" i="1"/>
  <c r="BM215" i="1"/>
  <c r="BM213" i="1" s="1"/>
  <c r="BM45" i="1"/>
  <c r="BM206" i="1"/>
  <c r="BP206" i="1"/>
  <c r="BK243" i="1"/>
  <c r="AU243" i="1"/>
  <c r="BW243" i="1"/>
  <c r="BZ110" i="1"/>
  <c r="BZ111" i="1" s="1"/>
  <c r="BW264" i="1"/>
  <c r="BI265" i="1"/>
  <c r="BI206" i="1"/>
  <c r="BB243" i="1"/>
  <c r="AZ206" i="1"/>
  <c r="BT243" i="1"/>
  <c r="AU264" i="1"/>
  <c r="CQ146" i="1"/>
  <c r="DB89" i="1"/>
  <c r="CY77" i="1"/>
  <c r="CZ75" i="1"/>
  <c r="AN191" i="1" l="1"/>
  <c r="AO191" i="1" s="1"/>
  <c r="AN192" i="1"/>
  <c r="AO192" i="1" s="1"/>
  <c r="AN195" i="1"/>
  <c r="AO195" i="1" s="1"/>
  <c r="BH214" i="1"/>
  <c r="E146" i="1"/>
  <c r="BP265" i="1"/>
  <c r="BG243" i="1"/>
  <c r="AX243" i="1"/>
  <c r="AO243" i="1"/>
  <c r="M140" i="1"/>
  <c r="BD38" i="1"/>
  <c r="C160" i="1"/>
  <c r="T140" i="1"/>
  <c r="H185" i="1"/>
  <c r="O173" i="1"/>
  <c r="BC38" i="1"/>
  <c r="L173" i="1"/>
  <c r="W185" i="1"/>
  <c r="H173" i="1"/>
  <c r="G214" i="1"/>
  <c r="BD191" i="1"/>
  <c r="BE191" i="1" s="1"/>
  <c r="BD155" i="1"/>
  <c r="BD149" i="1"/>
  <c r="BE149" i="1" s="1"/>
  <c r="BN149" i="1"/>
  <c r="BO149" i="1" s="1"/>
  <c r="BN155" i="1"/>
  <c r="BR149" i="1"/>
  <c r="BS149" i="1" s="1"/>
  <c r="BR155" i="1"/>
  <c r="AX195" i="1"/>
  <c r="AY195" i="1" s="1"/>
  <c r="AX155" i="1"/>
  <c r="AX191" i="1"/>
  <c r="AX192" i="1"/>
  <c r="AY192" i="1" s="1"/>
  <c r="BF149" i="1"/>
  <c r="BG149" i="1" s="1"/>
  <c r="BF155" i="1"/>
  <c r="AP195" i="1"/>
  <c r="AQ195" i="1" s="1"/>
  <c r="AP149" i="1"/>
  <c r="AQ149" i="1" s="1"/>
  <c r="AP191" i="1"/>
  <c r="AQ191" i="1" s="1"/>
  <c r="AP192" i="1"/>
  <c r="AQ192" i="1" s="1"/>
  <c r="AP155" i="1"/>
  <c r="AQ155" i="1" s="1"/>
  <c r="V173" i="1"/>
  <c r="W221" i="1" s="1"/>
  <c r="AP22" i="1"/>
  <c r="BT265" i="1"/>
  <c r="S173" i="1"/>
  <c r="T221" i="1" s="1"/>
  <c r="BV146" i="1"/>
  <c r="S140" i="1"/>
  <c r="AS38" i="1"/>
  <c r="AT264" i="1"/>
  <c r="BM265" i="1"/>
  <c r="BD22" i="1"/>
  <c r="AY264" i="1"/>
  <c r="BR110" i="1"/>
  <c r="BR111" i="1" s="1"/>
  <c r="AO22" i="1"/>
  <c r="BS22" i="1"/>
  <c r="BS8" i="1" s="1"/>
  <c r="BN38" i="1"/>
  <c r="BF38" i="1"/>
  <c r="N146" i="1"/>
  <c r="N45" i="1" s="1"/>
  <c r="AX22" i="1"/>
  <c r="BT264" i="1"/>
  <c r="BA38" i="1"/>
  <c r="BD264" i="1"/>
  <c r="AQ265" i="1"/>
  <c r="AZ264" i="1"/>
  <c r="V214" i="1"/>
  <c r="N173" i="1"/>
  <c r="M173" i="1"/>
  <c r="N221" i="1" s="1"/>
  <c r="F132" i="1"/>
  <c r="T132" i="1"/>
  <c r="BI154" i="1"/>
  <c r="AZ22" i="1"/>
  <c r="AP264" i="1"/>
  <c r="BI264" i="1"/>
  <c r="BK22" i="1"/>
  <c r="BK8" i="1" s="1"/>
  <c r="AP206" i="1"/>
  <c r="AP265" i="1"/>
  <c r="AZ243" i="1"/>
  <c r="AI195" i="1"/>
  <c r="AI197" i="1"/>
  <c r="AI194" i="1"/>
  <c r="AO265" i="1"/>
  <c r="BA22" i="1"/>
  <c r="BA28" i="1" s="1"/>
  <c r="BW265" i="1"/>
  <c r="BP264" i="1"/>
  <c r="BB206" i="1"/>
  <c r="BN243" i="1"/>
  <c r="BD243" i="1"/>
  <c r="AI215" i="1"/>
  <c r="AI213" i="1" s="1"/>
  <c r="BK49" i="1"/>
  <c r="BA264" i="1"/>
  <c r="AI22" i="1"/>
  <c r="BG265" i="1"/>
  <c r="AL110" i="1"/>
  <c r="AL111" i="1" s="1"/>
  <c r="AL116" i="1" s="1"/>
  <c r="BS264" i="1"/>
  <c r="AO264" i="1"/>
  <c r="AI192" i="1"/>
  <c r="BE264" i="1"/>
  <c r="BL110" i="1"/>
  <c r="BL111" i="1" s="1"/>
  <c r="AI45" i="1"/>
  <c r="AX265" i="1"/>
  <c r="AQ22" i="1"/>
  <c r="BT206" i="1"/>
  <c r="BU206" i="1"/>
  <c r="BN22" i="1"/>
  <c r="BN8" i="1" s="1"/>
  <c r="AV265" i="1"/>
  <c r="BE265" i="1"/>
  <c r="BB264" i="1"/>
  <c r="BJ265" i="1"/>
  <c r="BJ206" i="1"/>
  <c r="AZ265" i="1"/>
  <c r="BT22" i="1"/>
  <c r="BT8" i="1" s="1"/>
  <c r="BA265" i="1"/>
  <c r="BA206" i="1"/>
  <c r="AI191" i="1"/>
  <c r="AI243" i="1"/>
  <c r="AN149" i="1"/>
  <c r="AO149" i="1" s="1"/>
  <c r="BM49" i="1"/>
  <c r="BI22" i="1"/>
  <c r="BI8" i="1" s="1"/>
  <c r="BH195" i="1"/>
  <c r="BI195" i="1" s="1"/>
  <c r="D185" i="1"/>
  <c r="L185" i="1"/>
  <c r="BH38" i="1"/>
  <c r="D168" i="1"/>
  <c r="B185" i="1"/>
  <c r="U132" i="1"/>
  <c r="I140" i="1"/>
  <c r="BR38" i="1"/>
  <c r="BW140" i="1"/>
  <c r="C77" i="1"/>
  <c r="L146" i="1"/>
  <c r="Q185" i="1"/>
  <c r="D77" i="1"/>
  <c r="D119" i="1" s="1"/>
  <c r="BC264" i="1"/>
  <c r="BM38" i="1"/>
  <c r="BU38" i="1"/>
  <c r="AP38" i="1"/>
  <c r="L140" i="1"/>
  <c r="N140" i="1"/>
  <c r="E185" i="1"/>
  <c r="G185" i="1"/>
  <c r="Q168" i="1"/>
  <c r="Q146" i="1"/>
  <c r="E168" i="1"/>
  <c r="S168" i="1"/>
  <c r="S197" i="1" s="1"/>
  <c r="S196" i="1" s="1"/>
  <c r="C146" i="1"/>
  <c r="J214" i="1"/>
  <c r="P185" i="1"/>
  <c r="K173" i="1"/>
  <c r="V146" i="1"/>
  <c r="W140" i="1"/>
  <c r="G146" i="1"/>
  <c r="U214" i="1"/>
  <c r="I132" i="1"/>
  <c r="V185" i="1"/>
  <c r="Q173" i="1"/>
  <c r="G173" i="1"/>
  <c r="G132" i="1"/>
  <c r="I146" i="1"/>
  <c r="P132" i="1"/>
  <c r="M160" i="1"/>
  <c r="M194" i="1" s="1"/>
  <c r="M193" i="1" s="1"/>
  <c r="N185" i="1"/>
  <c r="M132" i="1"/>
  <c r="M66" i="1" s="1"/>
  <c r="I214" i="1"/>
  <c r="E160" i="1"/>
  <c r="F173" i="1"/>
  <c r="H160" i="1"/>
  <c r="U146" i="1"/>
  <c r="U45" i="1" s="1"/>
  <c r="N132" i="1"/>
  <c r="O214" i="1"/>
  <c r="L168" i="1"/>
  <c r="G140" i="1"/>
  <c r="I160" i="1"/>
  <c r="I194" i="1" s="1"/>
  <c r="I193" i="1" s="1"/>
  <c r="BT192" i="1"/>
  <c r="BU192" i="1" s="1"/>
  <c r="AV192" i="1"/>
  <c r="AW192" i="1" s="1"/>
  <c r="BB191" i="1"/>
  <c r="BC191" i="1" s="1"/>
  <c r="BJ28" i="1"/>
  <c r="BJ10" i="1" s="1"/>
  <c r="BJ8" i="1"/>
  <c r="BO22" i="1"/>
  <c r="BO8" i="1" s="1"/>
  <c r="BO264" i="1"/>
  <c r="BO243" i="1"/>
  <c r="BD110" i="1"/>
  <c r="BD111" i="1" s="1"/>
  <c r="BC110" i="1"/>
  <c r="BC111" i="1" s="1"/>
  <c r="BB265" i="1"/>
  <c r="BU243" i="1"/>
  <c r="BU265" i="1"/>
  <c r="BU22" i="1"/>
  <c r="BU8" i="1" s="1"/>
  <c r="BK11" i="1"/>
  <c r="BK38" i="1"/>
  <c r="BH243" i="1"/>
  <c r="BK110" i="1"/>
  <c r="BK111" i="1" s="1"/>
  <c r="BK116" i="1" s="1"/>
  <c r="BH22" i="1"/>
  <c r="BH8" i="1" s="1"/>
  <c r="BL15" i="1" s="1"/>
  <c r="BH264" i="1"/>
  <c r="BJ110" i="1"/>
  <c r="BJ111" i="1" s="1"/>
  <c r="BJ114" i="1" s="1"/>
  <c r="AO110" i="1"/>
  <c r="AO111" i="1" s="1"/>
  <c r="AN110" i="1"/>
  <c r="AN111" i="1" s="1"/>
  <c r="AN243" i="1"/>
  <c r="AN22" i="1"/>
  <c r="AN264" i="1"/>
  <c r="AP110" i="1"/>
  <c r="AP111" i="1" s="1"/>
  <c r="AQ110" i="1"/>
  <c r="AQ111" i="1" s="1"/>
  <c r="AQ116" i="1" s="1"/>
  <c r="BO206" i="1"/>
  <c r="BO265" i="1"/>
  <c r="BH110" i="1"/>
  <c r="BH111" i="1" s="1"/>
  <c r="BH115" i="1" s="1"/>
  <c r="BF265" i="1"/>
  <c r="BC243" i="1"/>
  <c r="BF110" i="1"/>
  <c r="BF111" i="1" s="1"/>
  <c r="BC265" i="1"/>
  <c r="BW152" i="1"/>
  <c r="BX214" i="1" s="1"/>
  <c r="BW214" i="1"/>
  <c r="BI152" i="1"/>
  <c r="BJ214" i="1" s="1"/>
  <c r="BI214" i="1"/>
  <c r="BV243" i="1"/>
  <c r="BV22" i="1"/>
  <c r="BY110" i="1"/>
  <c r="BY111" i="1" s="1"/>
  <c r="BH132" i="1"/>
  <c r="BH104" i="1" s="1"/>
  <c r="BH108" i="1" s="1"/>
  <c r="BI129" i="1"/>
  <c r="BG22" i="1"/>
  <c r="BG8" i="1" s="1"/>
  <c r="BK265" i="1"/>
  <c r="BP22" i="1"/>
  <c r="BP8" i="1" s="1"/>
  <c r="AN38" i="1"/>
  <c r="BK264" i="1"/>
  <c r="AQ264" i="1"/>
  <c r="BW22" i="1"/>
  <c r="BW8" i="1" s="1"/>
  <c r="AX38" i="1"/>
  <c r="BB22" i="1"/>
  <c r="BB38" i="1"/>
  <c r="BN264" i="1"/>
  <c r="AR38" i="1"/>
  <c r="AY22" i="1"/>
  <c r="BQ38" i="1"/>
  <c r="BP38" i="1"/>
  <c r="H132" i="1"/>
  <c r="H66" i="1" s="1"/>
  <c r="AV38" i="1"/>
  <c r="BE38" i="1"/>
  <c r="BV173" i="1"/>
  <c r="BW221" i="1" s="1"/>
  <c r="C173" i="1"/>
  <c r="H168" i="1"/>
  <c r="H197" i="1" s="1"/>
  <c r="H196" i="1" s="1"/>
  <c r="C132" i="1"/>
  <c r="C66" i="1" s="1"/>
  <c r="AM60" i="1"/>
  <c r="T185" i="1"/>
  <c r="F140" i="1"/>
  <c r="T146" i="1"/>
  <c r="D132" i="1"/>
  <c r="AQ38" i="1"/>
  <c r="BH191" i="1"/>
  <c r="BI191" i="1" s="1"/>
  <c r="S132" i="1"/>
  <c r="K185" i="1"/>
  <c r="AY38" i="1"/>
  <c r="BH192" i="1"/>
  <c r="BI192" i="1" s="1"/>
  <c r="F185" i="1"/>
  <c r="N160" i="1"/>
  <c r="AZ38" i="1"/>
  <c r="W146" i="1"/>
  <c r="BU264" i="1"/>
  <c r="AY110" i="1"/>
  <c r="AY111" i="1" s="1"/>
  <c r="AU38" i="1"/>
  <c r="AU39" i="1" s="1"/>
  <c r="BG264" i="1"/>
  <c r="BF264" i="1"/>
  <c r="AX264" i="1"/>
  <c r="I185" i="1"/>
  <c r="J132" i="1"/>
  <c r="N214" i="1"/>
  <c r="BQ22" i="1"/>
  <c r="AT38" i="1"/>
  <c r="BV132" i="1"/>
  <c r="K146" i="1"/>
  <c r="BJ39" i="1"/>
  <c r="AO38" i="1"/>
  <c r="AI49" i="1"/>
  <c r="BH146" i="1"/>
  <c r="BH150" i="1" s="1"/>
  <c r="Q160" i="1"/>
  <c r="T160" i="1"/>
  <c r="T194" i="1" s="1"/>
  <c r="BH173" i="1"/>
  <c r="F146" i="1"/>
  <c r="T214" i="1"/>
  <c r="B140" i="1"/>
  <c r="R132" i="1"/>
  <c r="O132" i="1"/>
  <c r="P219" i="1" s="1"/>
  <c r="B132" i="1"/>
  <c r="R160" i="1"/>
  <c r="R185" i="1"/>
  <c r="J146" i="1"/>
  <c r="L132" i="1"/>
  <c r="G160" i="1"/>
  <c r="H208" i="1" s="1"/>
  <c r="R173" i="1"/>
  <c r="K160" i="1"/>
  <c r="J173" i="1"/>
  <c r="C140" i="1"/>
  <c r="P168" i="1"/>
  <c r="I168" i="1"/>
  <c r="Q140" i="1"/>
  <c r="P140" i="1"/>
  <c r="U173" i="1"/>
  <c r="D140" i="1"/>
  <c r="S160" i="1"/>
  <c r="U168" i="1"/>
  <c r="H140" i="1"/>
  <c r="P160" i="1"/>
  <c r="Q132" i="1"/>
  <c r="AZ195" i="1"/>
  <c r="BA195" i="1" s="1"/>
  <c r="BP191" i="1"/>
  <c r="BQ191" i="1" s="1"/>
  <c r="AZ192" i="1"/>
  <c r="BA192" i="1" s="1"/>
  <c r="BT191" i="1"/>
  <c r="BU191" i="1" s="1"/>
  <c r="BT195" i="1"/>
  <c r="BU195" i="1" s="1"/>
  <c r="BP192" i="1"/>
  <c r="BQ192" i="1" s="1"/>
  <c r="AZ191" i="1"/>
  <c r="BA191" i="1" s="1"/>
  <c r="BB192" i="1"/>
  <c r="BC192" i="1" s="1"/>
  <c r="BB195" i="1"/>
  <c r="BC195" i="1" s="1"/>
  <c r="BP195" i="1"/>
  <c r="BQ195" i="1" s="1"/>
  <c r="BN191" i="1"/>
  <c r="BO191" i="1" s="1"/>
  <c r="BN192" i="1"/>
  <c r="BO192" i="1" s="1"/>
  <c r="BD192" i="1"/>
  <c r="BE192" i="1" s="1"/>
  <c r="BN195" i="1"/>
  <c r="BO195" i="1" s="1"/>
  <c r="BD195" i="1"/>
  <c r="BE195" i="1" s="1"/>
  <c r="E214" i="1"/>
  <c r="F214" i="1"/>
  <c r="K214" i="1"/>
  <c r="L214" i="1"/>
  <c r="N168" i="1"/>
  <c r="G168" i="1"/>
  <c r="R168" i="1"/>
  <c r="BW129" i="1"/>
  <c r="BN265" i="1"/>
  <c r="AQ206" i="1"/>
  <c r="M146" i="1"/>
  <c r="V132" i="1"/>
  <c r="AI38" i="1"/>
  <c r="C185" i="1"/>
  <c r="B77" i="1"/>
  <c r="BE110" i="1"/>
  <c r="BE111" i="1" s="1"/>
  <c r="BV195" i="1"/>
  <c r="BW195" i="1" s="1"/>
  <c r="BV265" i="1"/>
  <c r="BQ264" i="1"/>
  <c r="BH140" i="1"/>
  <c r="U185" i="1"/>
  <c r="B168" i="1"/>
  <c r="B197" i="1" s="1"/>
  <c r="B196" i="1" s="1"/>
  <c r="Q214" i="1"/>
  <c r="O185" i="1"/>
  <c r="BS265" i="1"/>
  <c r="BF243" i="1"/>
  <c r="BQ110" i="1"/>
  <c r="BQ111" i="1" s="1"/>
  <c r="BO110" i="1"/>
  <c r="BO111" i="1" s="1"/>
  <c r="BO114" i="1" s="1"/>
  <c r="BI140" i="1"/>
  <c r="C168" i="1"/>
  <c r="C197" i="1" s="1"/>
  <c r="F168" i="1"/>
  <c r="K132" i="1"/>
  <c r="D214" i="1"/>
  <c r="S146" i="1"/>
  <c r="V140" i="1"/>
  <c r="C214" i="1"/>
  <c r="AS206" i="1"/>
  <c r="BI110" i="1"/>
  <c r="BI111" i="1" s="1"/>
  <c r="BI115" i="1" s="1"/>
  <c r="BS38" i="1"/>
  <c r="BT38" i="1"/>
  <c r="BH160" i="1"/>
  <c r="BH194" i="1" s="1"/>
  <c r="R140" i="1"/>
  <c r="E140" i="1"/>
  <c r="U140" i="1"/>
  <c r="S185" i="1"/>
  <c r="P214" i="1"/>
  <c r="O168" i="1"/>
  <c r="O197" i="1" s="1"/>
  <c r="M214" i="1"/>
  <c r="B146" i="1"/>
  <c r="B150" i="1" s="1"/>
  <c r="J160" i="1"/>
  <c r="AW243" i="1"/>
  <c r="BP110" i="1"/>
  <c r="BP111" i="1" s="1"/>
  <c r="BP115" i="1" s="1"/>
  <c r="J185" i="1"/>
  <c r="J168" i="1"/>
  <c r="J197" i="1" s="1"/>
  <c r="O146" i="1"/>
  <c r="BC22" i="1"/>
  <c r="BM243" i="1"/>
  <c r="O140" i="1"/>
  <c r="BM264" i="1"/>
  <c r="BV140" i="1"/>
  <c r="BD265" i="1"/>
  <c r="BW38" i="1"/>
  <c r="T168" i="1"/>
  <c r="BR22" i="1"/>
  <c r="R214" i="1"/>
  <c r="K140" i="1"/>
  <c r="BN110" i="1"/>
  <c r="BN111" i="1" s="1"/>
  <c r="H146" i="1"/>
  <c r="P146" i="1"/>
  <c r="BB110" i="1"/>
  <c r="BB111" i="1" s="1"/>
  <c r="AV264" i="1"/>
  <c r="BM110" i="1"/>
  <c r="BM111" i="1" s="1"/>
  <c r="BM116" i="1" s="1"/>
  <c r="BQ265" i="1"/>
  <c r="AS22" i="1"/>
  <c r="AY265" i="1"/>
  <c r="BQ243" i="1"/>
  <c r="D160" i="1"/>
  <c r="BM22" i="1"/>
  <c r="BI38" i="1"/>
  <c r="AW38" i="1"/>
  <c r="D146" i="1"/>
  <c r="BO38" i="1"/>
  <c r="BA110" i="1"/>
  <c r="BA111" i="1" s="1"/>
  <c r="BA116" i="1" s="1"/>
  <c r="BV168" i="1"/>
  <c r="BV197" i="1" s="1"/>
  <c r="AV22" i="1"/>
  <c r="BV264" i="1"/>
  <c r="BF192" i="1"/>
  <c r="BG192" i="1" s="1"/>
  <c r="V168" i="1"/>
  <c r="S214" i="1"/>
  <c r="L160" i="1"/>
  <c r="BE22" i="1"/>
  <c r="BH265" i="1"/>
  <c r="BF22" i="1"/>
  <c r="AY243" i="1"/>
  <c r="BG38" i="1"/>
  <c r="BF191" i="1"/>
  <c r="BG191" i="1" s="1"/>
  <c r="W214" i="1"/>
  <c r="I221" i="1"/>
  <c r="P221" i="1"/>
  <c r="U221" i="1"/>
  <c r="AW264" i="1"/>
  <c r="BR265" i="1"/>
  <c r="AW265" i="1"/>
  <c r="BV160" i="1"/>
  <c r="BV194" i="1" s="1"/>
  <c r="AT22" i="1"/>
  <c r="AW22" i="1"/>
  <c r="M168" i="1"/>
  <c r="R146" i="1"/>
  <c r="AV110" i="1"/>
  <c r="AV111" i="1" s="1"/>
  <c r="AV114" i="1" s="1"/>
  <c r="AX110" i="1"/>
  <c r="AX111" i="1" s="1"/>
  <c r="BT110" i="1"/>
  <c r="BT111" i="1" s="1"/>
  <c r="BT116" i="1" s="1"/>
  <c r="AT191" i="1"/>
  <c r="AU191" i="1" s="1"/>
  <c r="J140" i="1"/>
  <c r="M185" i="1"/>
  <c r="AT110" i="1"/>
  <c r="AT111" i="1" s="1"/>
  <c r="AT116" i="1" s="1"/>
  <c r="K168" i="1"/>
  <c r="H214" i="1"/>
  <c r="T180" i="1"/>
  <c r="T121" i="1" s="1"/>
  <c r="I173" i="1"/>
  <c r="AR264" i="1"/>
  <c r="AN265" i="1"/>
  <c r="AW110" i="1"/>
  <c r="AW111" i="1" s="1"/>
  <c r="AW114" i="1" s="1"/>
  <c r="AZ110" i="1"/>
  <c r="AZ111" i="1" s="1"/>
  <c r="AZ114" i="1" s="1"/>
  <c r="AN45" i="1"/>
  <c r="AR195" i="1"/>
  <c r="AS195" i="1" s="1"/>
  <c r="O160" i="1"/>
  <c r="BN206" i="1"/>
  <c r="BV110" i="1"/>
  <c r="BV111" i="1" s="1"/>
  <c r="BV114" i="1" s="1"/>
  <c r="AR22" i="1"/>
  <c r="BW110" i="1"/>
  <c r="BW111" i="1" s="1"/>
  <c r="BW115" i="1" s="1"/>
  <c r="V160" i="1"/>
  <c r="F160" i="1"/>
  <c r="AT192" i="1"/>
  <c r="AU192" i="1" s="1"/>
  <c r="AT195" i="1"/>
  <c r="AU195" i="1" s="1"/>
  <c r="U160" i="1"/>
  <c r="AT243" i="1"/>
  <c r="BV38" i="1"/>
  <c r="BR264" i="1"/>
  <c r="BK215" i="1"/>
  <c r="BK213" i="1" s="1"/>
  <c r="AS110" i="1"/>
  <c r="AS111" i="1" s="1"/>
  <c r="BX110" i="1"/>
  <c r="BX111" i="1" s="1"/>
  <c r="BX114" i="1" s="1"/>
  <c r="BU110" i="1"/>
  <c r="BU111" i="1" s="1"/>
  <c r="BU115" i="1" s="1"/>
  <c r="BG110" i="1"/>
  <c r="BG111" i="1" s="1"/>
  <c r="BG116" i="1" s="1"/>
  <c r="BS110" i="1"/>
  <c r="BS111" i="1" s="1"/>
  <c r="BS116" i="1" s="1"/>
  <c r="BK45" i="1"/>
  <c r="BV192" i="1"/>
  <c r="BW192" i="1" s="1"/>
  <c r="AT265" i="1"/>
  <c r="BV191" i="1"/>
  <c r="BW191" i="1" s="1"/>
  <c r="AR265" i="1"/>
  <c r="BH168" i="1"/>
  <c r="BH197" i="1" s="1"/>
  <c r="AV195" i="1"/>
  <c r="AW195" i="1" s="1"/>
  <c r="AV191" i="1"/>
  <c r="AW191" i="1" s="1"/>
  <c r="BK206" i="1"/>
  <c r="AR110" i="1"/>
  <c r="AR111" i="1" s="1"/>
  <c r="AU265" i="1"/>
  <c r="AU110" i="1"/>
  <c r="AU111" i="1" s="1"/>
  <c r="BR195" i="1"/>
  <c r="BS195" i="1" s="1"/>
  <c r="BF195" i="1"/>
  <c r="BG195" i="1" s="1"/>
  <c r="BR191" i="1"/>
  <c r="BS191" i="1" s="1"/>
  <c r="B160" i="1"/>
  <c r="C208" i="1" s="1"/>
  <c r="E132" i="1"/>
  <c r="AR191" i="1"/>
  <c r="AS191" i="1" s="1"/>
  <c r="BR192" i="1"/>
  <c r="BS192" i="1" s="1"/>
  <c r="AR146" i="1"/>
  <c r="E221" i="1"/>
  <c r="BD173" i="1"/>
  <c r="BE221" i="1" s="1"/>
  <c r="E45" i="1"/>
  <c r="E150" i="1"/>
  <c r="C194" i="1"/>
  <c r="C193" i="1" s="1"/>
  <c r="T49" i="1"/>
  <c r="AN173" i="1"/>
  <c r="AO221" i="1" s="1"/>
  <c r="AV173" i="1"/>
  <c r="AW221" i="1" s="1"/>
  <c r="BN173" i="1"/>
  <c r="BO221" i="1" s="1"/>
  <c r="BR146" i="1"/>
  <c r="AX173" i="1"/>
  <c r="AY221" i="1" s="1"/>
  <c r="BS140" i="1"/>
  <c r="M221" i="1"/>
  <c r="M49" i="1"/>
  <c r="AZ146" i="1"/>
  <c r="BP146" i="1"/>
  <c r="BT173" i="1"/>
  <c r="BU221" i="1" s="1"/>
  <c r="BP173" i="1"/>
  <c r="BQ221" i="1" s="1"/>
  <c r="BB173" i="1"/>
  <c r="AZ173" i="1"/>
  <c r="BA221" i="1" s="1"/>
  <c r="BE140" i="1"/>
  <c r="AR173" i="1"/>
  <c r="AS221" i="1" s="1"/>
  <c r="AQ152" i="1"/>
  <c r="AW152" i="1"/>
  <c r="AX214" i="1" s="1"/>
  <c r="AQ154" i="1"/>
  <c r="AS136" i="1"/>
  <c r="AS140" i="1" s="1"/>
  <c r="AR140" i="1"/>
  <c r="AU129" i="1"/>
  <c r="AT132" i="1"/>
  <c r="AT104" i="1" s="1"/>
  <c r="AS129" i="1"/>
  <c r="AR132" i="1"/>
  <c r="AX132" i="1"/>
  <c r="AY129" i="1"/>
  <c r="AY136" i="1"/>
  <c r="AY140" i="1" s="1"/>
  <c r="AX140" i="1"/>
  <c r="BO152" i="1"/>
  <c r="BN214" i="1"/>
  <c r="BT146" i="1"/>
  <c r="AT146" i="1"/>
  <c r="BF173" i="1"/>
  <c r="BG221" i="1" s="1"/>
  <c r="BF146" i="1"/>
  <c r="AV146" i="1"/>
  <c r="BD146" i="1"/>
  <c r="AP146" i="1"/>
  <c r="AU154" i="1"/>
  <c r="AT160" i="1"/>
  <c r="BC129" i="1"/>
  <c r="BB132" i="1"/>
  <c r="BB104" i="1" s="1"/>
  <c r="AO136" i="1"/>
  <c r="AO140" i="1" s="1"/>
  <c r="AN140" i="1"/>
  <c r="AR192" i="1"/>
  <c r="AS192" i="1" s="1"/>
  <c r="AR160" i="1"/>
  <c r="AR194" i="1" s="1"/>
  <c r="AO129" i="1"/>
  <c r="AN132" i="1"/>
  <c r="BC136" i="1"/>
  <c r="BC140" i="1" s="1"/>
  <c r="BB140" i="1"/>
  <c r="BU152" i="1"/>
  <c r="BV214" i="1" s="1"/>
  <c r="BE129" i="1"/>
  <c r="BD132" i="1"/>
  <c r="AU162" i="1"/>
  <c r="AT168" i="1"/>
  <c r="AT197" i="1" s="1"/>
  <c r="AY161" i="1"/>
  <c r="AX168" i="1"/>
  <c r="AX197" i="1" s="1"/>
  <c r="BO136" i="1"/>
  <c r="BO140" i="1" s="1"/>
  <c r="BN140" i="1"/>
  <c r="AW136" i="1"/>
  <c r="AW140" i="1" s="1"/>
  <c r="AV140" i="1"/>
  <c r="AO154" i="1"/>
  <c r="AN160" i="1"/>
  <c r="BS152" i="1"/>
  <c r="BR214" i="1"/>
  <c r="BU136" i="1"/>
  <c r="BU140" i="1" s="1"/>
  <c r="BT140" i="1"/>
  <c r="AO152" i="1"/>
  <c r="AN214" i="1"/>
  <c r="BS129" i="1"/>
  <c r="BR132" i="1"/>
  <c r="BR104" i="1" s="1"/>
  <c r="BF214" i="1"/>
  <c r="AQ140" i="1"/>
  <c r="AT214" i="1"/>
  <c r="AN146" i="1"/>
  <c r="AP173" i="1"/>
  <c r="BT168" i="1"/>
  <c r="BT197" i="1" s="1"/>
  <c r="BN146" i="1"/>
  <c r="AX146" i="1"/>
  <c r="BB146" i="1"/>
  <c r="AT173" i="1"/>
  <c r="AU221" i="1" s="1"/>
  <c r="AZ132" i="1"/>
  <c r="BR173" i="1"/>
  <c r="AR168" i="1"/>
  <c r="BN132" i="1"/>
  <c r="AS214" i="1"/>
  <c r="BP168" i="1"/>
  <c r="BP197" i="1" s="1"/>
  <c r="BT132" i="1"/>
  <c r="BF140" i="1"/>
  <c r="BE214" i="1"/>
  <c r="BR168" i="1"/>
  <c r="BR197" i="1" s="1"/>
  <c r="BP160" i="1"/>
  <c r="BP194" i="1" s="1"/>
  <c r="AZ140" i="1"/>
  <c r="BQ214" i="1"/>
  <c r="BB168" i="1"/>
  <c r="BB197" i="1" s="1"/>
  <c r="AP140" i="1"/>
  <c r="AP132" i="1"/>
  <c r="AP104" i="1" s="1"/>
  <c r="BD168" i="1"/>
  <c r="BD197" i="1" s="1"/>
  <c r="BP132" i="1"/>
  <c r="BP104" i="1" s="1"/>
  <c r="BP106" i="1" s="1"/>
  <c r="BN168" i="1"/>
  <c r="BN197" i="1" s="1"/>
  <c r="AN168" i="1"/>
  <c r="AN197" i="1" s="1"/>
  <c r="BP140" i="1"/>
  <c r="BG140" i="1"/>
  <c r="BA140" i="1"/>
  <c r="AT140" i="1"/>
  <c r="AP168" i="1"/>
  <c r="BF168" i="1"/>
  <c r="BF197" i="1" s="1"/>
  <c r="AV168" i="1"/>
  <c r="AV197" i="1" s="1"/>
  <c r="BF132" i="1"/>
  <c r="BQ140" i="1"/>
  <c r="BR140" i="1"/>
  <c r="BR261" i="1" s="1"/>
  <c r="BD140" i="1"/>
  <c r="AZ168" i="1"/>
  <c r="AZ197" i="1" s="1"/>
  <c r="AV132" i="1"/>
  <c r="AU140" i="1"/>
  <c r="AW155" i="1"/>
  <c r="AV160" i="1"/>
  <c r="BC155" i="1"/>
  <c r="BB160" i="1"/>
  <c r="BG155" i="1"/>
  <c r="BF160" i="1"/>
  <c r="BE155" i="1"/>
  <c r="BD160" i="1"/>
  <c r="BO155" i="1"/>
  <c r="BN160" i="1"/>
  <c r="BU155" i="1"/>
  <c r="BT160" i="1"/>
  <c r="AY155" i="1"/>
  <c r="AX160" i="1"/>
  <c r="BS155" i="1"/>
  <c r="BR160" i="1"/>
  <c r="BA155" i="1"/>
  <c r="AZ160" i="1"/>
  <c r="AU214" i="1"/>
  <c r="AV214" i="1"/>
  <c r="BB214" i="1"/>
  <c r="BA214" i="1"/>
  <c r="AY214" i="1"/>
  <c r="AZ214" i="1"/>
  <c r="BC214" i="1"/>
  <c r="BD214" i="1"/>
  <c r="AU28" i="1"/>
  <c r="BG214" i="1"/>
  <c r="BZ115" i="1"/>
  <c r="BZ114" i="1"/>
  <c r="BZ116" i="1"/>
  <c r="AO23" i="1"/>
  <c r="AO28" i="1"/>
  <c r="BV150" i="1"/>
  <c r="BW45" i="1"/>
  <c r="BW146" i="1"/>
  <c r="BH198" i="1"/>
  <c r="BL201" i="1" s="1"/>
  <c r="CQ150" i="1"/>
  <c r="CR44" i="1"/>
  <c r="AE89" i="1"/>
  <c r="AB137" i="1"/>
  <c r="AB140" i="1" s="1"/>
  <c r="AB261" i="1" s="1"/>
  <c r="AD154" i="1"/>
  <c r="CZ77" i="1"/>
  <c r="DA75" i="1"/>
  <c r="BK15" i="1" l="1"/>
  <c r="AW214" i="1"/>
  <c r="AP200" i="1"/>
  <c r="AX28" i="1"/>
  <c r="AS23" i="1"/>
  <c r="BH28" i="1"/>
  <c r="BH10" i="1" s="1"/>
  <c r="BL23" i="1"/>
  <c r="AV24" i="1"/>
  <c r="AP116" i="1"/>
  <c r="AP115" i="1"/>
  <c r="AO114" i="1"/>
  <c r="AO116" i="1"/>
  <c r="AO115" i="1"/>
  <c r="AN200" i="1"/>
  <c r="AX196" i="1"/>
  <c r="AI196" i="1"/>
  <c r="BM24" i="1"/>
  <c r="AN23" i="1"/>
  <c r="AO237" i="1"/>
  <c r="AN28" i="1"/>
  <c r="AN24" i="1"/>
  <c r="AN237" i="1"/>
  <c r="AO24" i="1"/>
  <c r="BG39" i="1"/>
  <c r="BH24" i="1"/>
  <c r="BG28" i="1"/>
  <c r="BG10" i="1" s="1"/>
  <c r="AP114" i="1"/>
  <c r="AZ28" i="1"/>
  <c r="AI39" i="1"/>
  <c r="AP160" i="1"/>
  <c r="AP194" i="1" s="1"/>
  <c r="O70" i="1"/>
  <c r="BK24" i="1"/>
  <c r="BL24" i="1"/>
  <c r="BK28" i="1"/>
  <c r="BK10" i="1" s="1"/>
  <c r="AP237" i="1"/>
  <c r="AQ24" i="1"/>
  <c r="AP28" i="1"/>
  <c r="AP23" i="1"/>
  <c r="BJ115" i="1"/>
  <c r="BJ116" i="1"/>
  <c r="BA39" i="1"/>
  <c r="AQ200" i="1"/>
  <c r="BM237" i="1"/>
  <c r="BR114" i="1"/>
  <c r="BR116" i="1"/>
  <c r="BR115" i="1"/>
  <c r="BA24" i="1"/>
  <c r="BV39" i="1"/>
  <c r="AY191" i="1"/>
  <c r="BG114" i="1"/>
  <c r="AT23" i="1"/>
  <c r="AU24" i="1"/>
  <c r="BV115" i="1"/>
  <c r="AY23" i="1"/>
  <c r="BW23" i="1"/>
  <c r="BS28" i="1"/>
  <c r="BS10" i="1" s="1"/>
  <c r="BT24" i="1"/>
  <c r="BY116" i="1"/>
  <c r="BY114" i="1"/>
  <c r="BK237" i="1"/>
  <c r="T70" i="1"/>
  <c r="BL200" i="1"/>
  <c r="AY24" i="1"/>
  <c r="BZ23" i="1"/>
  <c r="BY115" i="1"/>
  <c r="W70" i="1"/>
  <c r="AN39" i="1"/>
  <c r="BV237" i="1"/>
  <c r="AP24" i="1"/>
  <c r="BA237" i="1"/>
  <c r="BP23" i="1"/>
  <c r="AX39" i="1"/>
  <c r="AL114" i="1"/>
  <c r="AL115" i="1"/>
  <c r="AQ237" i="1"/>
  <c r="AQ115" i="1"/>
  <c r="BL116" i="1"/>
  <c r="BL114" i="1"/>
  <c r="BL115" i="1"/>
  <c r="BB24" i="1"/>
  <c r="R70" i="1"/>
  <c r="BD237" i="1"/>
  <c r="BB28" i="1"/>
  <c r="BN23" i="1"/>
  <c r="BN28" i="1"/>
  <c r="BN10" i="1" s="1"/>
  <c r="BR23" i="1"/>
  <c r="AN114" i="1"/>
  <c r="AN115" i="1"/>
  <c r="AN116" i="1"/>
  <c r="U70" i="1"/>
  <c r="BQ237" i="1"/>
  <c r="BO24" i="1"/>
  <c r="AQ114" i="1"/>
  <c r="BB39" i="1"/>
  <c r="BX23" i="1"/>
  <c r="BU24" i="1"/>
  <c r="BT28" i="1"/>
  <c r="BT10" i="1" s="1"/>
  <c r="BW237" i="1"/>
  <c r="BB23" i="1"/>
  <c r="AQ28" i="1"/>
  <c r="AQ23" i="1"/>
  <c r="BH116" i="1"/>
  <c r="BH114" i="1"/>
  <c r="BC24" i="1"/>
  <c r="BC237" i="1"/>
  <c r="BO237" i="1"/>
  <c r="AO200" i="1"/>
  <c r="BH196" i="1"/>
  <c r="CA200" i="1"/>
  <c r="CB200" i="1"/>
  <c r="X70" i="1"/>
  <c r="BW28" i="1"/>
  <c r="BW10" i="1" s="1"/>
  <c r="BZ256" i="1"/>
  <c r="CA23" i="1"/>
  <c r="BW24" i="1"/>
  <c r="BY237" i="1"/>
  <c r="BZ237" i="1"/>
  <c r="BX24" i="1"/>
  <c r="AS114" i="1"/>
  <c r="AS116" i="1"/>
  <c r="AS115" i="1"/>
  <c r="BI24" i="1"/>
  <c r="BT23" i="1"/>
  <c r="BN39" i="1"/>
  <c r="BC200" i="1"/>
  <c r="BI116" i="1"/>
  <c r="BB237" i="1"/>
  <c r="BI114" i="1"/>
  <c r="BN237" i="1"/>
  <c r="BJ237" i="1"/>
  <c r="BJ256" i="1"/>
  <c r="BW200" i="1"/>
  <c r="BW39" i="1"/>
  <c r="BD24" i="1"/>
  <c r="BG23" i="1"/>
  <c r="AQ39" i="1"/>
  <c r="T208" i="1"/>
  <c r="D66" i="1"/>
  <c r="D187" i="1"/>
  <c r="D219" i="1"/>
  <c r="S45" i="1"/>
  <c r="S150" i="1"/>
  <c r="BK23" i="1"/>
  <c r="BF116" i="1"/>
  <c r="BF114" i="1"/>
  <c r="BH106" i="1"/>
  <c r="AY28" i="1"/>
  <c r="BN115" i="1"/>
  <c r="BN116" i="1"/>
  <c r="BN114" i="1"/>
  <c r="BQ24" i="1"/>
  <c r="BP114" i="1"/>
  <c r="AS28" i="1"/>
  <c r="BC39" i="1"/>
  <c r="BV23" i="1"/>
  <c r="BU237" i="1"/>
  <c r="BP237" i="1"/>
  <c r="BB115" i="1"/>
  <c r="AV39" i="1"/>
  <c r="BF115" i="1"/>
  <c r="BH107" i="1"/>
  <c r="AZ24" i="1"/>
  <c r="BQ23" i="1"/>
  <c r="BM28" i="1"/>
  <c r="BM10" i="1" s="1"/>
  <c r="BS24" i="1"/>
  <c r="BN200" i="1"/>
  <c r="BN24" i="1"/>
  <c r="BB116" i="1"/>
  <c r="BB114" i="1"/>
  <c r="AV28" i="1"/>
  <c r="AZ23" i="1"/>
  <c r="BA115" i="1"/>
  <c r="N208" i="1"/>
  <c r="M187" i="1"/>
  <c r="BS39" i="1"/>
  <c r="C187" i="1"/>
  <c r="BH193" i="1"/>
  <c r="R261" i="1"/>
  <c r="R263" i="1" s="1"/>
  <c r="BW218" i="1"/>
  <c r="E208" i="1"/>
  <c r="BI39" i="1"/>
  <c r="N150" i="1"/>
  <c r="I66" i="1"/>
  <c r="I219" i="1"/>
  <c r="I187" i="1"/>
  <c r="F49" i="1"/>
  <c r="F141" i="1"/>
  <c r="F67" i="1" s="1"/>
  <c r="N187" i="1"/>
  <c r="N66" i="1"/>
  <c r="N219" i="1"/>
  <c r="C49" i="1"/>
  <c r="C141" i="1"/>
  <c r="C67" i="1" s="1"/>
  <c r="D261" i="1"/>
  <c r="D263" i="1" s="1"/>
  <c r="J150" i="1"/>
  <c r="J45" i="1"/>
  <c r="C150" i="1"/>
  <c r="C45" i="1"/>
  <c r="L187" i="1"/>
  <c r="L66" i="1"/>
  <c r="H260" i="1"/>
  <c r="S180" i="1"/>
  <c r="S121" i="1" s="1"/>
  <c r="S49" i="1"/>
  <c r="O260" i="1"/>
  <c r="O221" i="1"/>
  <c r="N260" i="1"/>
  <c r="T260" i="1"/>
  <c r="O187" i="1"/>
  <c r="O66" i="1"/>
  <c r="O219" i="1"/>
  <c r="V180" i="1"/>
  <c r="V121" i="1" s="1"/>
  <c r="B120" i="1"/>
  <c r="B78" i="1"/>
  <c r="B80" i="1" s="1"/>
  <c r="B119" i="1"/>
  <c r="L45" i="1"/>
  <c r="L150" i="1"/>
  <c r="L258" i="1" s="1"/>
  <c r="D218" i="1"/>
  <c r="F45" i="1"/>
  <c r="F150" i="1"/>
  <c r="S194" i="1"/>
  <c r="S169" i="1"/>
  <c r="T45" i="1"/>
  <c r="T150" i="1"/>
  <c r="T256" i="1" s="1"/>
  <c r="P209" i="1"/>
  <c r="R221" i="1"/>
  <c r="Q260" i="1"/>
  <c r="M219" i="1"/>
  <c r="T187" i="1"/>
  <c r="M260" i="1"/>
  <c r="J141" i="1"/>
  <c r="J67" i="1" s="1"/>
  <c r="I180" i="1"/>
  <c r="I121" i="1" s="1"/>
  <c r="P208" i="1"/>
  <c r="T66" i="1"/>
  <c r="AR237" i="1"/>
  <c r="M218" i="1"/>
  <c r="E209" i="1"/>
  <c r="I141" i="1"/>
  <c r="I67" i="1" s="1"/>
  <c r="Q45" i="1"/>
  <c r="Q150" i="1"/>
  <c r="P187" i="1"/>
  <c r="G49" i="1"/>
  <c r="Q197" i="1"/>
  <c r="H221" i="1"/>
  <c r="G260" i="1"/>
  <c r="N141" i="1"/>
  <c r="N67" i="1" s="1"/>
  <c r="N49" i="1"/>
  <c r="L180" i="1"/>
  <c r="L121" i="1" s="1"/>
  <c r="L49" i="1"/>
  <c r="P66" i="1"/>
  <c r="P260" i="1"/>
  <c r="N194" i="1"/>
  <c r="U197" i="1"/>
  <c r="M180" i="1"/>
  <c r="M121" i="1" s="1"/>
  <c r="V45" i="1"/>
  <c r="R169" i="1"/>
  <c r="BC114" i="1"/>
  <c r="BC115" i="1"/>
  <c r="AM64" i="1"/>
  <c r="AM131" i="1"/>
  <c r="AM132" i="1" s="1"/>
  <c r="AM141" i="1" s="1"/>
  <c r="BO116" i="1"/>
  <c r="BU39" i="1"/>
  <c r="BU200" i="1"/>
  <c r="F256" i="1"/>
  <c r="AY116" i="1"/>
  <c r="BI221" i="1"/>
  <c r="AO39" i="1"/>
  <c r="BJ29" i="1"/>
  <c r="F219" i="1"/>
  <c r="U150" i="1"/>
  <c r="BJ40" i="1"/>
  <c r="R66" i="1"/>
  <c r="T218" i="1"/>
  <c r="U219" i="1"/>
  <c r="O141" i="1"/>
  <c r="O67" i="1" s="1"/>
  <c r="T219" i="1"/>
  <c r="J208" i="1"/>
  <c r="O218" i="1"/>
  <c r="H187" i="1"/>
  <c r="C119" i="1"/>
  <c r="C120" i="1"/>
  <c r="C78" i="1"/>
  <c r="C80" i="1" s="1"/>
  <c r="R141" i="1"/>
  <c r="R67" i="1" s="1"/>
  <c r="R187" i="1"/>
  <c r="D180" i="1"/>
  <c r="D121" i="1" s="1"/>
  <c r="D122" i="1" s="1"/>
  <c r="D125" i="1" s="1"/>
  <c r="D260" i="1"/>
  <c r="K221" i="1"/>
  <c r="J260" i="1"/>
  <c r="G187" i="1"/>
  <c r="G219" i="1"/>
  <c r="G66" i="1"/>
  <c r="H219" i="1"/>
  <c r="G194" i="1"/>
  <c r="G193" i="1" s="1"/>
  <c r="BX15" i="1"/>
  <c r="F187" i="1"/>
  <c r="F66" i="1"/>
  <c r="U66" i="1"/>
  <c r="G150" i="1"/>
  <c r="G45" i="1"/>
  <c r="I45" i="1"/>
  <c r="I150" i="1"/>
  <c r="L197" i="1"/>
  <c r="L196" i="1" s="1"/>
  <c r="L221" i="1"/>
  <c r="T141" i="1"/>
  <c r="T67" i="1" s="1"/>
  <c r="T261" i="1"/>
  <c r="T263" i="1" s="1"/>
  <c r="W49" i="1"/>
  <c r="X261" i="1"/>
  <c r="X263" i="1" s="1"/>
  <c r="X218" i="1"/>
  <c r="U187" i="1"/>
  <c r="H194" i="1"/>
  <c r="I208" i="1"/>
  <c r="D78" i="1"/>
  <c r="D120" i="1"/>
  <c r="I49" i="1"/>
  <c r="D197" i="1"/>
  <c r="G141" i="1"/>
  <c r="G67" i="1" s="1"/>
  <c r="G180" i="1"/>
  <c r="G121" i="1" s="1"/>
  <c r="H169" i="1"/>
  <c r="N261" i="1"/>
  <c r="N263" i="1" s="1"/>
  <c r="N218" i="1"/>
  <c r="N180" i="1"/>
  <c r="N121" i="1" s="1"/>
  <c r="E197" i="1"/>
  <c r="E169" i="1"/>
  <c r="M261" i="1"/>
  <c r="M263" i="1" s="1"/>
  <c r="M141" i="1"/>
  <c r="M67" i="1" s="1"/>
  <c r="V150" i="1"/>
  <c r="AZ196" i="1"/>
  <c r="BK39" i="1"/>
  <c r="AM205" i="1"/>
  <c r="AM207" i="1" s="1"/>
  <c r="AM78" i="1"/>
  <c r="AM81" i="1" s="1"/>
  <c r="AY39" i="1"/>
  <c r="BM39" i="1"/>
  <c r="BU23" i="1"/>
  <c r="BQ28" i="1"/>
  <c r="BU28" i="1"/>
  <c r="BU10" i="1" s="1"/>
  <c r="BV260" i="1"/>
  <c r="BH39" i="1"/>
  <c r="BY23" i="1"/>
  <c r="BH260" i="1"/>
  <c r="BO200" i="1"/>
  <c r="R197" i="1"/>
  <c r="AI198" i="1"/>
  <c r="AZ39" i="1"/>
  <c r="BC116" i="1"/>
  <c r="BQ39" i="1"/>
  <c r="AP39" i="1"/>
  <c r="BM23" i="1"/>
  <c r="BO115" i="1"/>
  <c r="BV104" i="1"/>
  <c r="BT237" i="1"/>
  <c r="BY200" i="1"/>
  <c r="AY114" i="1"/>
  <c r="BD23" i="1"/>
  <c r="BE24" i="1"/>
  <c r="BH23" i="1"/>
  <c r="BD28" i="1"/>
  <c r="BD39" i="1"/>
  <c r="BD200" i="1"/>
  <c r="BO23" i="1"/>
  <c r="BP24" i="1"/>
  <c r="BO39" i="1"/>
  <c r="BO28" i="1"/>
  <c r="BO10" i="1" s="1"/>
  <c r="BR237" i="1"/>
  <c r="V70" i="1"/>
  <c r="BX218" i="1"/>
  <c r="BX261" i="1"/>
  <c r="AT200" i="1"/>
  <c r="BR39" i="1"/>
  <c r="N70" i="1"/>
  <c r="AL256" i="1"/>
  <c r="AJ24" i="1"/>
  <c r="AM23" i="1"/>
  <c r="AL237" i="1"/>
  <c r="AI28" i="1"/>
  <c r="BA40" i="1"/>
  <c r="BA29" i="1"/>
  <c r="BI28" i="1"/>
  <c r="BI10" i="1" s="1"/>
  <c r="BL256" i="1"/>
  <c r="BL237" i="1"/>
  <c r="BP28" i="1"/>
  <c r="BP10" i="1" s="1"/>
  <c r="BP200" i="1"/>
  <c r="BX200" i="1"/>
  <c r="BD114" i="1"/>
  <c r="BD115" i="1"/>
  <c r="BD116" i="1"/>
  <c r="AZ40" i="1"/>
  <c r="BK115" i="1"/>
  <c r="BK114" i="1"/>
  <c r="BS23" i="1"/>
  <c r="BT200" i="1"/>
  <c r="AZ29" i="1"/>
  <c r="BP39" i="1"/>
  <c r="AI193" i="1"/>
  <c r="BZ200" i="1"/>
  <c r="AU23" i="1"/>
  <c r="BJ24" i="1"/>
  <c r="BT39" i="1"/>
  <c r="BR200" i="1"/>
  <c r="BI146" i="1"/>
  <c r="AY115" i="1"/>
  <c r="BX256" i="1"/>
  <c r="BX237" i="1"/>
  <c r="BI45" i="1"/>
  <c r="E194" i="1"/>
  <c r="F208" i="1"/>
  <c r="G221" i="1"/>
  <c r="F260" i="1"/>
  <c r="BJ9" i="1"/>
  <c r="BN15" i="1"/>
  <c r="BO15" i="1"/>
  <c r="BS15" i="1"/>
  <c r="BY15" i="1"/>
  <c r="BV28" i="1"/>
  <c r="BV8" i="1"/>
  <c r="BP15" i="1"/>
  <c r="BT15" i="1"/>
  <c r="CA15" i="1"/>
  <c r="BW15" i="1"/>
  <c r="C260" i="1"/>
  <c r="D221" i="1"/>
  <c r="F180" i="1"/>
  <c r="F121" i="1" s="1"/>
  <c r="G218" i="1"/>
  <c r="G261" i="1"/>
  <c r="G263" i="1" s="1"/>
  <c r="S187" i="1"/>
  <c r="S260" i="1"/>
  <c r="S66" i="1"/>
  <c r="S219" i="1"/>
  <c r="S141" i="1"/>
  <c r="S67" i="1" s="1"/>
  <c r="W45" i="1"/>
  <c r="W150" i="1"/>
  <c r="J219" i="1"/>
  <c r="J187" i="1"/>
  <c r="J66" i="1"/>
  <c r="K150" i="1"/>
  <c r="K45" i="1"/>
  <c r="R208" i="1"/>
  <c r="Q194" i="1"/>
  <c r="Q169" i="1"/>
  <c r="B49" i="1"/>
  <c r="B180" i="1"/>
  <c r="B121" i="1" s="1"/>
  <c r="B141" i="1"/>
  <c r="B67" i="1" s="1"/>
  <c r="R219" i="1"/>
  <c r="C219" i="1"/>
  <c r="B260" i="1"/>
  <c r="B187" i="1"/>
  <c r="B66" i="1"/>
  <c r="S208" i="1"/>
  <c r="R194" i="1"/>
  <c r="L141" i="1"/>
  <c r="L67" i="1" s="1"/>
  <c r="L219" i="1"/>
  <c r="L260" i="1"/>
  <c r="S221" i="1"/>
  <c r="R260" i="1"/>
  <c r="K194" i="1"/>
  <c r="L208" i="1"/>
  <c r="C180" i="1"/>
  <c r="C121" i="1" s="1"/>
  <c r="C218" i="1"/>
  <c r="C217" i="1" s="1"/>
  <c r="P197" i="1"/>
  <c r="P196" i="1" s="1"/>
  <c r="Q209" i="1"/>
  <c r="I197" i="1"/>
  <c r="I209" i="1"/>
  <c r="I169" i="1"/>
  <c r="J209" i="1"/>
  <c r="Q180" i="1"/>
  <c r="Q121" i="1" s="1"/>
  <c r="Q261" i="1"/>
  <c r="Q263" i="1" s="1"/>
  <c r="Q218" i="1"/>
  <c r="Q141" i="1"/>
  <c r="Q67" i="1" s="1"/>
  <c r="Q49" i="1"/>
  <c r="P49" i="1"/>
  <c r="P141" i="1"/>
  <c r="P67" i="1" s="1"/>
  <c r="P218" i="1"/>
  <c r="P217" i="1" s="1"/>
  <c r="P180" i="1"/>
  <c r="P121" i="1" s="1"/>
  <c r="P261" i="1"/>
  <c r="P263" i="1" s="1"/>
  <c r="V221" i="1"/>
  <c r="U260" i="1"/>
  <c r="H180" i="1"/>
  <c r="H121" i="1" s="1"/>
  <c r="H218" i="1"/>
  <c r="H49" i="1"/>
  <c r="I261" i="1"/>
  <c r="I263" i="1" s="1"/>
  <c r="H261" i="1"/>
  <c r="H263" i="1" s="1"/>
  <c r="I218" i="1"/>
  <c r="H141" i="1"/>
  <c r="H67" i="1" s="1"/>
  <c r="Q208" i="1"/>
  <c r="P169" i="1"/>
  <c r="P194" i="1"/>
  <c r="Q66" i="1"/>
  <c r="Q187" i="1"/>
  <c r="Q219" i="1"/>
  <c r="N197" i="1"/>
  <c r="N196" i="1" s="1"/>
  <c r="N169" i="1"/>
  <c r="O209" i="1"/>
  <c r="G197" i="1"/>
  <c r="G169" i="1"/>
  <c r="H209" i="1"/>
  <c r="H210" i="1" s="1"/>
  <c r="H211" i="1" s="1"/>
  <c r="R209" i="1"/>
  <c r="S209" i="1"/>
  <c r="V66" i="1"/>
  <c r="F209" i="1"/>
  <c r="F197" i="1"/>
  <c r="K66" i="1"/>
  <c r="K187" i="1"/>
  <c r="K260" i="1"/>
  <c r="K219" i="1"/>
  <c r="W261" i="1"/>
  <c r="W263" i="1" s="1"/>
  <c r="V218" i="1"/>
  <c r="U261" i="1"/>
  <c r="U263" i="1" s="1"/>
  <c r="U49" i="1"/>
  <c r="U141" i="1"/>
  <c r="U67" i="1" s="1"/>
  <c r="J169" i="1"/>
  <c r="J194" i="1"/>
  <c r="K208" i="1"/>
  <c r="O45" i="1"/>
  <c r="O150" i="1"/>
  <c r="O180" i="1"/>
  <c r="O121" i="1" s="1"/>
  <c r="O49" i="1"/>
  <c r="O261" i="1"/>
  <c r="O263" i="1" s="1"/>
  <c r="T209" i="1"/>
  <c r="T197" i="1"/>
  <c r="H45" i="1"/>
  <c r="H150" i="1"/>
  <c r="P45" i="1"/>
  <c r="P150" i="1"/>
  <c r="D150" i="1"/>
  <c r="D45" i="1"/>
  <c r="V197" i="1"/>
  <c r="V209" i="1"/>
  <c r="L169" i="1"/>
  <c r="L194" i="1"/>
  <c r="M208" i="1"/>
  <c r="N209" i="1"/>
  <c r="M169" i="1"/>
  <c r="K209" i="1"/>
  <c r="L209" i="1"/>
  <c r="K197" i="1"/>
  <c r="K196" i="1" s="1"/>
  <c r="V194" i="1"/>
  <c r="V169" i="1"/>
  <c r="F194" i="1"/>
  <c r="F193" i="1" s="1"/>
  <c r="G208" i="1"/>
  <c r="U194" i="1"/>
  <c r="U193" i="1" s="1"/>
  <c r="V208" i="1"/>
  <c r="V210" i="1" s="1"/>
  <c r="V211" i="1" s="1"/>
  <c r="U169" i="1"/>
  <c r="AU115" i="1"/>
  <c r="AU116" i="1"/>
  <c r="AU114" i="1"/>
  <c r="BV24" i="1"/>
  <c r="BV200" i="1"/>
  <c r="BI218" i="1"/>
  <c r="BJ261" i="1"/>
  <c r="BJ218" i="1"/>
  <c r="BI261" i="1"/>
  <c r="AR114" i="1"/>
  <c r="AR115" i="1"/>
  <c r="AR116" i="1"/>
  <c r="AS146" i="1"/>
  <c r="AR150" i="1"/>
  <c r="C261" i="1"/>
  <c r="C263" i="1" s="1"/>
  <c r="E218" i="1"/>
  <c r="K261" i="1"/>
  <c r="K263" i="1" s="1"/>
  <c r="BV198" i="1"/>
  <c r="BZ201" i="1" s="1"/>
  <c r="BT196" i="1"/>
  <c r="BP196" i="1"/>
  <c r="BR196" i="1"/>
  <c r="BP193" i="1"/>
  <c r="BB196" i="1"/>
  <c r="BD196" i="1"/>
  <c r="BH218" i="1"/>
  <c r="BQ8" i="1"/>
  <c r="BS237" i="1"/>
  <c r="BQ200" i="1"/>
  <c r="D141" i="1"/>
  <c r="D67" i="1" s="1"/>
  <c r="D49" i="1"/>
  <c r="M45" i="1"/>
  <c r="M150" i="1"/>
  <c r="BE116" i="1"/>
  <c r="BE115" i="1"/>
  <c r="BE114" i="1"/>
  <c r="BH141" i="1"/>
  <c r="BH180" i="1"/>
  <c r="BQ114" i="1"/>
  <c r="BQ116" i="1"/>
  <c r="R49" i="1"/>
  <c r="R180" i="1"/>
  <c r="R121" i="1" s="1"/>
  <c r="BH200" i="1"/>
  <c r="BC28" i="1"/>
  <c r="BF237" i="1"/>
  <c r="BC23" i="1"/>
  <c r="BR8" i="1"/>
  <c r="BR15" i="1" s="1"/>
  <c r="BR24" i="1"/>
  <c r="BS200" i="1"/>
  <c r="BR28" i="1"/>
  <c r="AS39" i="1"/>
  <c r="AV237" i="1"/>
  <c r="BM8" i="1"/>
  <c r="BM15" i="1" s="1"/>
  <c r="BM200" i="1"/>
  <c r="AX237" i="1"/>
  <c r="AZ200" i="1"/>
  <c r="AY237" i="1"/>
  <c r="BE8" i="1"/>
  <c r="BI15" i="1" s="1"/>
  <c r="BE39" i="1"/>
  <c r="BI200" i="1"/>
  <c r="BE28" i="1"/>
  <c r="BI23" i="1"/>
  <c r="BE23" i="1"/>
  <c r="BE200" i="1"/>
  <c r="BH237" i="1"/>
  <c r="BE237" i="1"/>
  <c r="BF8" i="1"/>
  <c r="BJ15" i="1" s="1"/>
  <c r="BK200" i="1"/>
  <c r="AT28" i="1"/>
  <c r="AT24" i="1"/>
  <c r="AU200" i="1"/>
  <c r="AY200" i="1"/>
  <c r="AT39" i="1"/>
  <c r="AX23" i="1"/>
  <c r="AW28" i="1"/>
  <c r="AW29" i="1" s="1"/>
  <c r="BA23" i="1"/>
  <c r="AX200" i="1"/>
  <c r="AX24" i="1"/>
  <c r="AZ237" i="1"/>
  <c r="AW24" i="1"/>
  <c r="BA200" i="1"/>
  <c r="AX114" i="1"/>
  <c r="AX116" i="1"/>
  <c r="AX115" i="1"/>
  <c r="BT114" i="1"/>
  <c r="BT115" i="1"/>
  <c r="C169" i="1"/>
  <c r="D209" i="1"/>
  <c r="G209" i="1"/>
  <c r="BV193" i="1"/>
  <c r="F169" i="1"/>
  <c r="F177" i="1" s="1"/>
  <c r="BW261" i="1"/>
  <c r="BV141" i="1"/>
  <c r="BV180" i="1"/>
  <c r="B45" i="1"/>
  <c r="M197" i="1"/>
  <c r="M196" i="1" s="1"/>
  <c r="BA114" i="1"/>
  <c r="AR39" i="1"/>
  <c r="BX116" i="1"/>
  <c r="BP116" i="1"/>
  <c r="D169" i="1"/>
  <c r="BF200" i="1"/>
  <c r="BJ200" i="1"/>
  <c r="D194" i="1"/>
  <c r="D208" i="1"/>
  <c r="BB200" i="1"/>
  <c r="S70" i="1"/>
  <c r="AV200" i="1"/>
  <c r="BV196" i="1"/>
  <c r="AW39" i="1"/>
  <c r="J49" i="1"/>
  <c r="B169" i="1"/>
  <c r="B177" i="1" s="1"/>
  <c r="BI237" i="1"/>
  <c r="AW237" i="1"/>
  <c r="M209" i="1"/>
  <c r="R218" i="1"/>
  <c r="E49" i="1"/>
  <c r="U180" i="1"/>
  <c r="U121" i="1" s="1"/>
  <c r="V260" i="1"/>
  <c r="K180" i="1"/>
  <c r="K121" i="1" s="1"/>
  <c r="F261" i="1"/>
  <c r="F263" i="1" s="1"/>
  <c r="V261" i="1"/>
  <c r="V263" i="1" s="1"/>
  <c r="V49" i="1"/>
  <c r="U208" i="1"/>
  <c r="BQ115" i="1"/>
  <c r="BG24" i="1"/>
  <c r="BF39" i="1"/>
  <c r="BF28" i="1"/>
  <c r="E180" i="1"/>
  <c r="E121" i="1" s="1"/>
  <c r="U218" i="1"/>
  <c r="V219" i="1"/>
  <c r="K49" i="1"/>
  <c r="E141" i="1"/>
  <c r="E67" i="1" s="1"/>
  <c r="BF23" i="1"/>
  <c r="BV169" i="1"/>
  <c r="BV177" i="1" s="1"/>
  <c r="AV115" i="1"/>
  <c r="BM115" i="1"/>
  <c r="Q70" i="1"/>
  <c r="BJ23" i="1"/>
  <c r="V187" i="1"/>
  <c r="L218" i="1"/>
  <c r="F218" i="1"/>
  <c r="K141" i="1"/>
  <c r="K67" i="1" s="1"/>
  <c r="AZ116" i="1"/>
  <c r="AW116" i="1"/>
  <c r="AV116" i="1"/>
  <c r="BM114" i="1"/>
  <c r="BU114" i="1"/>
  <c r="BV116" i="1"/>
  <c r="AS237" i="1"/>
  <c r="AW23" i="1"/>
  <c r="V141" i="1"/>
  <c r="V67" i="1" s="1"/>
  <c r="L261" i="1"/>
  <c r="L263" i="1" s="1"/>
  <c r="J218" i="1"/>
  <c r="W218" i="1"/>
  <c r="K218" i="1"/>
  <c r="U209" i="1"/>
  <c r="S218" i="1"/>
  <c r="BG237" i="1"/>
  <c r="C209" i="1"/>
  <c r="C210" i="1" s="1"/>
  <c r="C211" i="1" s="1"/>
  <c r="BG200" i="1"/>
  <c r="BF24" i="1"/>
  <c r="AS24" i="1"/>
  <c r="BU214" i="1"/>
  <c r="T169" i="1"/>
  <c r="S261" i="1"/>
  <c r="S263" i="1" s="1"/>
  <c r="AT115" i="1"/>
  <c r="J180" i="1"/>
  <c r="J121" i="1" s="1"/>
  <c r="R150" i="1"/>
  <c r="R45" i="1"/>
  <c r="AR24" i="1"/>
  <c r="B194" i="1"/>
  <c r="B198" i="1" s="1"/>
  <c r="BX115" i="1"/>
  <c r="BS115" i="1"/>
  <c r="O169" i="1"/>
  <c r="AW115" i="1"/>
  <c r="AZ115" i="1"/>
  <c r="AS45" i="1"/>
  <c r="BS114" i="1"/>
  <c r="O194" i="1"/>
  <c r="K169" i="1"/>
  <c r="AU237" i="1"/>
  <c r="AT196" i="1"/>
  <c r="AW200" i="1"/>
  <c r="AR28" i="1"/>
  <c r="BU116" i="1"/>
  <c r="L256" i="1"/>
  <c r="O208" i="1"/>
  <c r="AV23" i="1"/>
  <c r="AR200" i="1"/>
  <c r="AT237" i="1"/>
  <c r="J221" i="1"/>
  <c r="I260" i="1"/>
  <c r="S198" i="1"/>
  <c r="S193" i="1"/>
  <c r="AS200" i="1"/>
  <c r="BW116" i="1"/>
  <c r="AT114" i="1"/>
  <c r="BG115" i="1"/>
  <c r="AV196" i="1"/>
  <c r="J261" i="1"/>
  <c r="J263" i="1" s="1"/>
  <c r="BW114" i="1"/>
  <c r="AR23" i="1"/>
  <c r="P70" i="1"/>
  <c r="BH169" i="1"/>
  <c r="BH177" i="1" s="1"/>
  <c r="BF196" i="1"/>
  <c r="E66" i="1"/>
  <c r="E219" i="1"/>
  <c r="E217" i="1" s="1"/>
  <c r="E187" i="1"/>
  <c r="AR193" i="1"/>
  <c r="BK9" i="1"/>
  <c r="BS9" i="1"/>
  <c r="BN9" i="1"/>
  <c r="BT9" i="1"/>
  <c r="BH9" i="1"/>
  <c r="BG9" i="1"/>
  <c r="E256" i="1"/>
  <c r="E258" i="1"/>
  <c r="F215" i="1"/>
  <c r="F213" i="1" s="1"/>
  <c r="AR214" i="1"/>
  <c r="AQ214" i="1"/>
  <c r="BB180" i="1"/>
  <c r="J196" i="1"/>
  <c r="AV180" i="1"/>
  <c r="C196" i="1"/>
  <c r="C198" i="1"/>
  <c r="BS45" i="1"/>
  <c r="BS146" i="1"/>
  <c r="BR150" i="1"/>
  <c r="AQ261" i="1"/>
  <c r="AN104" i="1"/>
  <c r="AN107" i="1" s="1"/>
  <c r="AN260" i="1"/>
  <c r="AV261" i="1"/>
  <c r="AR218" i="1"/>
  <c r="AR261" i="1"/>
  <c r="AO146" i="1"/>
  <c r="AO45" i="1"/>
  <c r="AN150" i="1"/>
  <c r="AN258" i="1" s="1"/>
  <c r="BC45" i="1"/>
  <c r="BB150" i="1"/>
  <c r="BC146" i="1"/>
  <c r="AV218" i="1"/>
  <c r="BT141" i="1"/>
  <c r="BN180" i="1"/>
  <c r="BN141" i="1"/>
  <c r="BC218" i="1"/>
  <c r="BC261" i="1"/>
  <c r="T193" i="1"/>
  <c r="O196" i="1"/>
  <c r="BB141" i="1"/>
  <c r="AT260" i="1"/>
  <c r="AS218" i="1"/>
  <c r="AS261" i="1"/>
  <c r="AR180" i="1"/>
  <c r="AS49" i="1" s="1"/>
  <c r="AR141" i="1"/>
  <c r="AR104" i="1"/>
  <c r="AX104" i="1"/>
  <c r="AX260" i="1"/>
  <c r="BU45" i="1"/>
  <c r="BT150" i="1"/>
  <c r="BU146" i="1"/>
  <c r="BG146" i="1"/>
  <c r="BG45" i="1"/>
  <c r="BF150" i="1"/>
  <c r="AW45" i="1"/>
  <c r="AV150" i="1"/>
  <c r="AW146" i="1"/>
  <c r="BE45" i="1"/>
  <c r="BE146" i="1"/>
  <c r="BD150" i="1"/>
  <c r="AQ146" i="1"/>
  <c r="AP150" i="1"/>
  <c r="AQ45" i="1"/>
  <c r="AT194" i="1"/>
  <c r="AT169" i="1"/>
  <c r="BB107" i="1"/>
  <c r="BB108" i="1"/>
  <c r="BB106" i="1"/>
  <c r="AO261" i="1"/>
  <c r="AO218" i="1"/>
  <c r="AN261" i="1"/>
  <c r="AN218" i="1"/>
  <c r="AN141" i="1"/>
  <c r="AN180" i="1"/>
  <c r="BN150" i="1"/>
  <c r="BO146" i="1"/>
  <c r="BO45" i="1"/>
  <c r="AY146" i="1"/>
  <c r="AX150" i="1"/>
  <c r="AY45" i="1"/>
  <c r="AR197" i="1"/>
  <c r="AR169" i="1"/>
  <c r="BN260" i="1"/>
  <c r="BN104" i="1"/>
  <c r="BF218" i="1"/>
  <c r="BF180" i="1"/>
  <c r="BP261" i="1"/>
  <c r="BP218" i="1"/>
  <c r="BP180" i="1"/>
  <c r="BR141" i="1"/>
  <c r="BS261" i="1"/>
  <c r="BS218" i="1"/>
  <c r="BR180" i="1"/>
  <c r="BA146" i="1"/>
  <c r="BA45" i="1"/>
  <c r="AZ150" i="1"/>
  <c r="BQ45" i="1"/>
  <c r="BP150" i="1"/>
  <c r="BQ146" i="1"/>
  <c r="BC221" i="1"/>
  <c r="BB260" i="1"/>
  <c r="AR260" i="1"/>
  <c r="AX218" i="1"/>
  <c r="AX180" i="1"/>
  <c r="AX141" i="1"/>
  <c r="AX261" i="1"/>
  <c r="BO214" i="1"/>
  <c r="BP214" i="1"/>
  <c r="AT150" i="1"/>
  <c r="AU45" i="1"/>
  <c r="AU146" i="1"/>
  <c r="BD104" i="1"/>
  <c r="BD260" i="1"/>
  <c r="BO218" i="1"/>
  <c r="BO261" i="1"/>
  <c r="BN261" i="1"/>
  <c r="BN218" i="1"/>
  <c r="AW261" i="1"/>
  <c r="AW218" i="1"/>
  <c r="AN194" i="1"/>
  <c r="AN169" i="1"/>
  <c r="BT214" i="1"/>
  <c r="BS214" i="1"/>
  <c r="BV261" i="1"/>
  <c r="BU261" i="1"/>
  <c r="BU218" i="1"/>
  <c r="BV218" i="1"/>
  <c r="BT180" i="1"/>
  <c r="BT261" i="1"/>
  <c r="BT218" i="1"/>
  <c r="AP214" i="1"/>
  <c r="AO214" i="1"/>
  <c r="AZ180" i="1"/>
  <c r="AZ261" i="1"/>
  <c r="AZ141" i="1"/>
  <c r="AZ218" i="1"/>
  <c r="AN196" i="1"/>
  <c r="AT141" i="1"/>
  <c r="AT261" i="1"/>
  <c r="AT218" i="1"/>
  <c r="AT180" i="1"/>
  <c r="BD218" i="1"/>
  <c r="BD141" i="1"/>
  <c r="BE261" i="1"/>
  <c r="BE218" i="1"/>
  <c r="BD180" i="1"/>
  <c r="BD261" i="1"/>
  <c r="AV104" i="1"/>
  <c r="AV260" i="1"/>
  <c r="AQ218" i="1"/>
  <c r="AP218" i="1"/>
  <c r="AP261" i="1"/>
  <c r="BG261" i="1"/>
  <c r="BH261" i="1"/>
  <c r="BB218" i="1"/>
  <c r="BA261" i="1"/>
  <c r="BB261" i="1"/>
  <c r="BA218" i="1"/>
  <c r="AU218" i="1"/>
  <c r="AU261" i="1"/>
  <c r="BP198" i="1"/>
  <c r="BP201" i="1" s="1"/>
  <c r="BR218" i="1"/>
  <c r="AY218" i="1"/>
  <c r="AY261" i="1"/>
  <c r="AQ221" i="1"/>
  <c r="AP260" i="1"/>
  <c r="AZ104" i="1"/>
  <c r="AZ260" i="1"/>
  <c r="BS221" i="1"/>
  <c r="BR260" i="1"/>
  <c r="BT104" i="1"/>
  <c r="BT260" i="1"/>
  <c r="BF261" i="1"/>
  <c r="BF141" i="1"/>
  <c r="AP180" i="1"/>
  <c r="AP141" i="1"/>
  <c r="AP107" i="1"/>
  <c r="AP106" i="1"/>
  <c r="AP108" i="1"/>
  <c r="AP197" i="1"/>
  <c r="BF104" i="1"/>
  <c r="BF260" i="1"/>
  <c r="BP108" i="1"/>
  <c r="AV141" i="1"/>
  <c r="BQ261" i="1"/>
  <c r="BP260" i="1"/>
  <c r="BP141" i="1"/>
  <c r="BP169" i="1"/>
  <c r="BG218" i="1"/>
  <c r="BQ218" i="1"/>
  <c r="BP107" i="1"/>
  <c r="AV194" i="1"/>
  <c r="AV198" i="1" s="1"/>
  <c r="AV169" i="1"/>
  <c r="BB194" i="1"/>
  <c r="BB169" i="1"/>
  <c r="BD194" i="1"/>
  <c r="BD169" i="1"/>
  <c r="AX194" i="1"/>
  <c r="AX169" i="1"/>
  <c r="BF194" i="1"/>
  <c r="BF169" i="1"/>
  <c r="BT194" i="1"/>
  <c r="BT169" i="1"/>
  <c r="BR194" i="1"/>
  <c r="BR198" i="1" s="1"/>
  <c r="BR169" i="1"/>
  <c r="BN194" i="1"/>
  <c r="BN169" i="1"/>
  <c r="AZ194" i="1"/>
  <c r="AZ169" i="1"/>
  <c r="BN196" i="1"/>
  <c r="AU40" i="1"/>
  <c r="AU29" i="1"/>
  <c r="AT107" i="1"/>
  <c r="AT108" i="1"/>
  <c r="AT106" i="1"/>
  <c r="BW150" i="1"/>
  <c r="BX45" i="1"/>
  <c r="BV256" i="1"/>
  <c r="BV258" i="1"/>
  <c r="BR108" i="1"/>
  <c r="BR106" i="1"/>
  <c r="BR107" i="1"/>
  <c r="AO30" i="1"/>
  <c r="AO40" i="1"/>
  <c r="AO29" i="1"/>
  <c r="BH258" i="1"/>
  <c r="BH256" i="1"/>
  <c r="CR206" i="1"/>
  <c r="CR144" i="1"/>
  <c r="CQ215" i="1"/>
  <c r="CQ213" i="1" s="1"/>
  <c r="AB218" i="1"/>
  <c r="DB75" i="1"/>
  <c r="DB77" i="1" s="1"/>
  <c r="DA77" i="1"/>
  <c r="F258" i="1" l="1"/>
  <c r="U256" i="1"/>
  <c r="BA31" i="1"/>
  <c r="AP31" i="1"/>
  <c r="BL31" i="1"/>
  <c r="BK29" i="1"/>
  <c r="BK40" i="1"/>
  <c r="BK13" i="1" s="1"/>
  <c r="BK12" i="1" s="1"/>
  <c r="BK31" i="1"/>
  <c r="AP40" i="1"/>
  <c r="AP30" i="1"/>
  <c r="AP29" i="1"/>
  <c r="BP30" i="1"/>
  <c r="BC31" i="1"/>
  <c r="BT31" i="1"/>
  <c r="AU30" i="1"/>
  <c r="BS40" i="1"/>
  <c r="BS13" i="1" s="1"/>
  <c r="BS12" i="1" s="1"/>
  <c r="BS29" i="1"/>
  <c r="AQ31" i="1"/>
  <c r="BH40" i="1"/>
  <c r="BH13" i="1" s="1"/>
  <c r="BH12" i="1" s="1"/>
  <c r="BH29" i="1"/>
  <c r="BL30" i="1"/>
  <c r="BB30" i="1"/>
  <c r="AX29" i="1"/>
  <c r="AX40" i="1"/>
  <c r="BN30" i="1"/>
  <c r="BR30" i="1"/>
  <c r="BN40" i="1"/>
  <c r="BN13" i="1" s="1"/>
  <c r="BN12" i="1" s="1"/>
  <c r="BN29" i="1"/>
  <c r="BG29" i="1"/>
  <c r="BH31" i="1"/>
  <c r="BK30" i="1"/>
  <c r="T71" i="1"/>
  <c r="BG40" i="1"/>
  <c r="BG13" i="1" s="1"/>
  <c r="BG12" i="1" s="1"/>
  <c r="AN40" i="1"/>
  <c r="AO31" i="1"/>
  <c r="AN30" i="1"/>
  <c r="AR30" i="1"/>
  <c r="AN31" i="1"/>
  <c r="AN29" i="1"/>
  <c r="AV40" i="1"/>
  <c r="AV29" i="1"/>
  <c r="AW31" i="1"/>
  <c r="AZ30" i="1"/>
  <c r="BU31" i="1"/>
  <c r="BT40" i="1"/>
  <c r="BT13" i="1" s="1"/>
  <c r="BT12" i="1" s="1"/>
  <c r="BX30" i="1"/>
  <c r="BT29" i="1"/>
  <c r="AY31" i="1"/>
  <c r="BI31" i="1"/>
  <c r="AS30" i="1"/>
  <c r="O71" i="1"/>
  <c r="AQ40" i="1"/>
  <c r="P71" i="1"/>
  <c r="AQ30" i="1"/>
  <c r="AQ29" i="1"/>
  <c r="AR31" i="1"/>
  <c r="BB29" i="1"/>
  <c r="R71" i="1"/>
  <c r="BB40" i="1"/>
  <c r="BF30" i="1"/>
  <c r="BB31" i="1"/>
  <c r="BX31" i="1"/>
  <c r="BW29" i="1"/>
  <c r="X71" i="1"/>
  <c r="AP169" i="1"/>
  <c r="BW30" i="1"/>
  <c r="CA30" i="1"/>
  <c r="BW40" i="1"/>
  <c r="BW13" i="1" s="1"/>
  <c r="BW12" i="1" s="1"/>
  <c r="S258" i="1"/>
  <c r="AP193" i="1"/>
  <c r="BW9" i="1"/>
  <c r="AY30" i="1"/>
  <c r="BC30" i="1"/>
  <c r="U71" i="1"/>
  <c r="BN31" i="1"/>
  <c r="N258" i="1"/>
  <c r="N256" i="1"/>
  <c r="C215" i="1"/>
  <c r="C213" i="1" s="1"/>
  <c r="S256" i="1"/>
  <c r="O210" i="1"/>
  <c r="O211" i="1" s="1"/>
  <c r="S177" i="1"/>
  <c r="B81" i="1"/>
  <c r="B99" i="1" s="1"/>
  <c r="R177" i="1"/>
  <c r="T210" i="1"/>
  <c r="T211" i="1" s="1"/>
  <c r="BF40" i="1"/>
  <c r="BF10" i="1"/>
  <c r="BE30" i="1"/>
  <c r="G258" i="1"/>
  <c r="I256" i="1"/>
  <c r="I258" i="1"/>
  <c r="J215" i="1"/>
  <c r="J213" i="1" s="1"/>
  <c r="AT30" i="1"/>
  <c r="AT31" i="1"/>
  <c r="AW30" i="1"/>
  <c r="BM31" i="1"/>
  <c r="BD30" i="1"/>
  <c r="Q71" i="1"/>
  <c r="BO30" i="1"/>
  <c r="AV31" i="1"/>
  <c r="BO31" i="1"/>
  <c r="BG31" i="1"/>
  <c r="Q210" i="1"/>
  <c r="Q211" i="1" s="1"/>
  <c r="P210" i="1"/>
  <c r="P211" i="1" s="1"/>
  <c r="U215" i="1"/>
  <c r="U213" i="1" s="1"/>
  <c r="T217" i="1"/>
  <c r="U258" i="1"/>
  <c r="T258" i="1"/>
  <c r="T177" i="1"/>
  <c r="E210" i="1"/>
  <c r="E211" i="1" s="1"/>
  <c r="R215" i="1"/>
  <c r="R213" i="1" s="1"/>
  <c r="BH178" i="1"/>
  <c r="D210" i="1"/>
  <c r="D211" i="1" s="1"/>
  <c r="D123" i="1"/>
  <c r="D126" i="1" s="1"/>
  <c r="BQ40" i="1"/>
  <c r="BQ10" i="1"/>
  <c r="BU9" i="1"/>
  <c r="BM9" i="1"/>
  <c r="BO9" i="1"/>
  <c r="BI9" i="1"/>
  <c r="BP9" i="1"/>
  <c r="BE10" i="1"/>
  <c r="BV30" i="1"/>
  <c r="BR10" i="1"/>
  <c r="L215" i="1"/>
  <c r="L213" i="1" s="1"/>
  <c r="K215" i="1"/>
  <c r="K213" i="1" s="1"/>
  <c r="E177" i="1"/>
  <c r="G215" i="1"/>
  <c r="G213" i="1" s="1"/>
  <c r="G256" i="1"/>
  <c r="H193" i="1"/>
  <c r="H198" i="1"/>
  <c r="D196" i="1"/>
  <c r="N210" i="1"/>
  <c r="N211" i="1" s="1"/>
  <c r="D81" i="1"/>
  <c r="D80" i="1"/>
  <c r="V215" i="1"/>
  <c r="V213" i="1" s="1"/>
  <c r="V256" i="1"/>
  <c r="V258" i="1"/>
  <c r="Q258" i="1"/>
  <c r="Q256" i="1"/>
  <c r="BV108" i="1"/>
  <c r="BV107" i="1"/>
  <c r="BV106" i="1"/>
  <c r="BA262" i="1"/>
  <c r="AY40" i="1"/>
  <c r="AY29" i="1"/>
  <c r="AZ31" i="1"/>
  <c r="AS29" i="1"/>
  <c r="AS40" i="1"/>
  <c r="BI29" i="1"/>
  <c r="BM30" i="1"/>
  <c r="BI40" i="1"/>
  <c r="BI13" i="1" s="1"/>
  <c r="BI12" i="1" s="1"/>
  <c r="BJ31" i="1"/>
  <c r="BP40" i="1"/>
  <c r="BP13" i="1" s="1"/>
  <c r="BP12" i="1" s="1"/>
  <c r="BP29" i="1"/>
  <c r="BQ31" i="1"/>
  <c r="BM29" i="1"/>
  <c r="BQ30" i="1"/>
  <c r="BM40" i="1"/>
  <c r="BM13" i="1" s="1"/>
  <c r="BM12" i="1" s="1"/>
  <c r="BE31" i="1"/>
  <c r="BD29" i="1"/>
  <c r="BD40" i="1"/>
  <c r="BD42" i="1" s="1"/>
  <c r="BO40" i="1"/>
  <c r="BO13" i="1" s="1"/>
  <c r="BO12" i="1" s="1"/>
  <c r="V71" i="1"/>
  <c r="BP31" i="1"/>
  <c r="BS30" i="1"/>
  <c r="BO29" i="1"/>
  <c r="AJ31" i="1"/>
  <c r="AI29" i="1"/>
  <c r="AM30" i="1"/>
  <c r="AI40" i="1"/>
  <c r="N71" i="1"/>
  <c r="BA41" i="1"/>
  <c r="BA244" i="1"/>
  <c r="BA245" i="1" s="1"/>
  <c r="BA46" i="1"/>
  <c r="BA50" i="1" s="1"/>
  <c r="BA43" i="1"/>
  <c r="AZ41" i="1"/>
  <c r="AZ244" i="1"/>
  <c r="AZ245" i="1" s="1"/>
  <c r="AZ46" i="1"/>
  <c r="AZ50" i="1" s="1"/>
  <c r="BH30" i="1"/>
  <c r="BT30" i="1"/>
  <c r="BJ45" i="1"/>
  <c r="BI150" i="1"/>
  <c r="BJ215" i="1" s="1"/>
  <c r="BJ213" i="1" s="1"/>
  <c r="BJ46" i="1"/>
  <c r="BJ50" i="1" s="1"/>
  <c r="BJ244" i="1"/>
  <c r="BJ245" i="1" s="1"/>
  <c r="BJ41" i="1"/>
  <c r="BJ13" i="1"/>
  <c r="BJ12" i="1" s="1"/>
  <c r="J258" i="1"/>
  <c r="J256" i="1"/>
  <c r="N217" i="1"/>
  <c r="F210" i="1"/>
  <c r="F211" i="1" s="1"/>
  <c r="BU15" i="1"/>
  <c r="G217" i="1"/>
  <c r="R210" i="1"/>
  <c r="R211" i="1" s="1"/>
  <c r="Q177" i="1"/>
  <c r="Q178" i="1" s="1"/>
  <c r="R217" i="1"/>
  <c r="S210" i="1"/>
  <c r="S211" i="1" s="1"/>
  <c r="L210" i="1"/>
  <c r="L211" i="1" s="1"/>
  <c r="I210" i="1"/>
  <c r="I211" i="1" s="1"/>
  <c r="I177" i="1"/>
  <c r="I178" i="1" s="1"/>
  <c r="J210" i="1"/>
  <c r="J211" i="1" s="1"/>
  <c r="Q217" i="1"/>
  <c r="H217" i="1"/>
  <c r="I217" i="1"/>
  <c r="P177" i="1"/>
  <c r="P178" i="1" s="1"/>
  <c r="N177" i="1"/>
  <c r="N178" i="1" s="1"/>
  <c r="G177" i="1"/>
  <c r="G178" i="1" s="1"/>
  <c r="K210" i="1"/>
  <c r="K211" i="1" s="1"/>
  <c r="M210" i="1"/>
  <c r="M211" i="1" s="1"/>
  <c r="U177" i="1"/>
  <c r="U178" i="1" s="1"/>
  <c r="D217" i="1"/>
  <c r="O217" i="1"/>
  <c r="M217" i="1"/>
  <c r="J177" i="1"/>
  <c r="J178" i="1" s="1"/>
  <c r="L177" i="1"/>
  <c r="L178" i="1" s="1"/>
  <c r="M177" i="1"/>
  <c r="M178" i="1" s="1"/>
  <c r="V177" i="1"/>
  <c r="V178" i="1" s="1"/>
  <c r="G210" i="1"/>
  <c r="G211" i="1" s="1"/>
  <c r="BQ15" i="1"/>
  <c r="T215" i="1"/>
  <c r="T213" i="1" s="1"/>
  <c r="U217" i="1"/>
  <c r="BV178" i="1"/>
  <c r="BA30" i="1"/>
  <c r="F217" i="1"/>
  <c r="C177" i="1"/>
  <c r="C256" i="1" s="1"/>
  <c r="AW40" i="1"/>
  <c r="F178" i="1"/>
  <c r="C81" i="1"/>
  <c r="B101" i="1" s="1"/>
  <c r="Q196" i="1"/>
  <c r="E196" i="1"/>
  <c r="U196" i="1"/>
  <c r="U198" i="1"/>
  <c r="V196" i="1"/>
  <c r="N198" i="1"/>
  <c r="N193" i="1"/>
  <c r="AR258" i="1"/>
  <c r="R196" i="1"/>
  <c r="AR177" i="1"/>
  <c r="AR256" i="1"/>
  <c r="BV201" i="1"/>
  <c r="AM66" i="1"/>
  <c r="AM219" i="1"/>
  <c r="AM217" i="1" s="1"/>
  <c r="AM67" i="1"/>
  <c r="AM104" i="1"/>
  <c r="AM98" i="1"/>
  <c r="AM97" i="1"/>
  <c r="AM99" i="1"/>
  <c r="BQ29" i="1"/>
  <c r="BU30" i="1"/>
  <c r="BU40" i="1"/>
  <c r="BU13" i="1" s="1"/>
  <c r="BU12" i="1" s="1"/>
  <c r="BY30" i="1"/>
  <c r="BU29" i="1"/>
  <c r="AS150" i="1"/>
  <c r="AT45" i="1"/>
  <c r="BI30" i="1"/>
  <c r="BF29" i="1"/>
  <c r="BJ30" i="1"/>
  <c r="BS31" i="1"/>
  <c r="BE40" i="1"/>
  <c r="BE13" i="1" s="1"/>
  <c r="BE29" i="1"/>
  <c r="BF31" i="1"/>
  <c r="AU31" i="1"/>
  <c r="BD31" i="1"/>
  <c r="S71" i="1"/>
  <c r="BC40" i="1"/>
  <c r="BC29" i="1"/>
  <c r="BR40" i="1"/>
  <c r="BR13" i="1" s="1"/>
  <c r="BR31" i="1"/>
  <c r="BR29" i="1"/>
  <c r="AX31" i="1"/>
  <c r="AX30" i="1"/>
  <c r="BG30" i="1"/>
  <c r="AV30" i="1"/>
  <c r="V217" i="1"/>
  <c r="L217" i="1"/>
  <c r="J217" i="1"/>
  <c r="K217" i="1"/>
  <c r="S217" i="1"/>
  <c r="O177" i="1"/>
  <c r="O178" i="1" s="1"/>
  <c r="K177" i="1"/>
  <c r="K178" i="1" s="1"/>
  <c r="E193" i="1"/>
  <c r="E198" i="1"/>
  <c r="BV29" i="1"/>
  <c r="BZ30" i="1"/>
  <c r="BV40" i="1"/>
  <c r="BV31" i="1"/>
  <c r="BW31" i="1"/>
  <c r="BV10" i="1"/>
  <c r="BV9" i="1" s="1"/>
  <c r="BV15" i="1"/>
  <c r="BZ15" i="1"/>
  <c r="X215" i="1"/>
  <c r="X213" i="1" s="1"/>
  <c r="W215" i="1"/>
  <c r="W213" i="1" s="1"/>
  <c r="K256" i="1"/>
  <c r="K258" i="1"/>
  <c r="Q193" i="1"/>
  <c r="Q198" i="1"/>
  <c r="B123" i="1"/>
  <c r="B126" i="1" s="1"/>
  <c r="B122" i="1"/>
  <c r="B125" i="1" s="1"/>
  <c r="R193" i="1"/>
  <c r="R198" i="1"/>
  <c r="K193" i="1"/>
  <c r="K198" i="1"/>
  <c r="C123" i="1"/>
  <c r="C126" i="1" s="1"/>
  <c r="C122" i="1"/>
  <c r="C125" i="1" s="1"/>
  <c r="I198" i="1"/>
  <c r="I196" i="1"/>
  <c r="P198" i="1"/>
  <c r="P193" i="1"/>
  <c r="G198" i="1"/>
  <c r="G196" i="1"/>
  <c r="F198" i="1"/>
  <c r="F196" i="1"/>
  <c r="J193" i="1"/>
  <c r="J198" i="1"/>
  <c r="K201" i="1" s="1"/>
  <c r="K202" i="1" s="1"/>
  <c r="O256" i="1"/>
  <c r="O215" i="1"/>
  <c r="O213" i="1" s="1"/>
  <c r="O258" i="1"/>
  <c r="P215" i="1"/>
  <c r="P213" i="1" s="1"/>
  <c r="T196" i="1"/>
  <c r="T198" i="1"/>
  <c r="I215" i="1"/>
  <c r="I213" i="1" s="1"/>
  <c r="H215" i="1"/>
  <c r="H213" i="1" s="1"/>
  <c r="H256" i="1"/>
  <c r="H258" i="1"/>
  <c r="H177" i="1"/>
  <c r="H178" i="1" s="1"/>
  <c r="P256" i="1"/>
  <c r="Q215" i="1"/>
  <c r="Q213" i="1" s="1"/>
  <c r="P258" i="1"/>
  <c r="E215" i="1"/>
  <c r="E213" i="1" s="1"/>
  <c r="D177" i="1"/>
  <c r="D215" i="1"/>
  <c r="D213" i="1" s="1"/>
  <c r="L193" i="1"/>
  <c r="L198" i="1"/>
  <c r="V193" i="1"/>
  <c r="V198" i="1"/>
  <c r="N215" i="1"/>
  <c r="N213" i="1" s="1"/>
  <c r="M258" i="1"/>
  <c r="M215" i="1"/>
  <c r="M213" i="1" s="1"/>
  <c r="M256" i="1"/>
  <c r="AT29" i="1"/>
  <c r="AT40" i="1"/>
  <c r="D193" i="1"/>
  <c r="D198" i="1"/>
  <c r="O193" i="1"/>
  <c r="O198" i="1"/>
  <c r="AR40" i="1"/>
  <c r="AR29" i="1"/>
  <c r="AS31" i="1"/>
  <c r="BH121" i="1"/>
  <c r="BI49" i="1"/>
  <c r="BW49" i="1"/>
  <c r="BV121" i="1"/>
  <c r="B256" i="1"/>
  <c r="B178" i="1"/>
  <c r="M198" i="1"/>
  <c r="C178" i="1"/>
  <c r="C98" i="1"/>
  <c r="C97" i="1"/>
  <c r="U210" i="1"/>
  <c r="U211" i="1" s="1"/>
  <c r="C99" i="1"/>
  <c r="D222" i="1"/>
  <c r="D223" i="1" s="1"/>
  <c r="B193" i="1"/>
  <c r="R258" i="1"/>
  <c r="S215" i="1"/>
  <c r="S213" i="1" s="1"/>
  <c r="R256" i="1"/>
  <c r="BQ13" i="1"/>
  <c r="BQ12" i="1" s="1"/>
  <c r="BQ41" i="1"/>
  <c r="BQ244" i="1"/>
  <c r="BQ245" i="1" s="1"/>
  <c r="BQ46" i="1"/>
  <c r="BQ50" i="1" s="1"/>
  <c r="BQ9" i="1"/>
  <c r="BE9" i="1"/>
  <c r="BR9" i="1"/>
  <c r="G225" i="1"/>
  <c r="AW49" i="1"/>
  <c r="AV121" i="1"/>
  <c r="BS150" i="1"/>
  <c r="BT45" i="1"/>
  <c r="BR258" i="1"/>
  <c r="BR256" i="1"/>
  <c r="V222" i="1"/>
  <c r="V223" i="1" s="1"/>
  <c r="V225" i="1"/>
  <c r="AP45" i="1"/>
  <c r="AO150" i="1"/>
  <c r="AN106" i="1"/>
  <c r="AN108" i="1"/>
  <c r="BR177" i="1"/>
  <c r="BR178" i="1" s="1"/>
  <c r="BB121" i="1"/>
  <c r="BC49" i="1"/>
  <c r="AN177" i="1"/>
  <c r="AN178" i="1" s="1"/>
  <c r="BP177" i="1"/>
  <c r="BP178" i="1" s="1"/>
  <c r="BN121" i="1"/>
  <c r="BO49" i="1"/>
  <c r="AZ45" i="1"/>
  <c r="AY150" i="1"/>
  <c r="BN215" i="1"/>
  <c r="BN213" i="1" s="1"/>
  <c r="BN258" i="1"/>
  <c r="BN256" i="1"/>
  <c r="BN108" i="1"/>
  <c r="BN107" i="1"/>
  <c r="BN106" i="1"/>
  <c r="BP121" i="1"/>
  <c r="BQ49" i="1"/>
  <c r="C201" i="1"/>
  <c r="C202" i="1" s="1"/>
  <c r="BB177" i="1"/>
  <c r="BB178" i="1" s="1"/>
  <c r="BF177" i="1"/>
  <c r="BF178" i="1" s="1"/>
  <c r="BT177" i="1"/>
  <c r="BT178" i="1" s="1"/>
  <c r="BF258" i="1"/>
  <c r="BF256" i="1"/>
  <c r="AP258" i="1"/>
  <c r="AP256" i="1"/>
  <c r="BG49" i="1"/>
  <c r="BF121" i="1"/>
  <c r="BD45" i="1"/>
  <c r="BC150" i="1"/>
  <c r="BN177" i="1"/>
  <c r="BN178" i="1" s="1"/>
  <c r="AZ177" i="1"/>
  <c r="AZ178" i="1" s="1"/>
  <c r="AN256" i="1"/>
  <c r="AN215" i="1"/>
  <c r="AN213" i="1" s="1"/>
  <c r="BT258" i="1"/>
  <c r="BT256" i="1"/>
  <c r="AW150" i="1"/>
  <c r="AX45" i="1"/>
  <c r="BS49" i="1"/>
  <c r="BR121" i="1"/>
  <c r="BA150" i="1"/>
  <c r="BB45" i="1"/>
  <c r="AZ256" i="1"/>
  <c r="AZ258" i="1"/>
  <c r="BR45" i="1"/>
  <c r="BQ150" i="1"/>
  <c r="AN193" i="1"/>
  <c r="AN198" i="1"/>
  <c r="BB258" i="1"/>
  <c r="BB256" i="1"/>
  <c r="BG150" i="1"/>
  <c r="BH45" i="1"/>
  <c r="AV256" i="1"/>
  <c r="AV258" i="1"/>
  <c r="BE150" i="1"/>
  <c r="BF45" i="1"/>
  <c r="BD256" i="1"/>
  <c r="BD258" i="1"/>
  <c r="AX258" i="1"/>
  <c r="AX256" i="1"/>
  <c r="AU49" i="1"/>
  <c r="AT121" i="1"/>
  <c r="BD177" i="1"/>
  <c r="BD178" i="1" s="1"/>
  <c r="AR106" i="1"/>
  <c r="AR108" i="1"/>
  <c r="AR107" i="1"/>
  <c r="AX108" i="1"/>
  <c r="AX107" i="1"/>
  <c r="AX106" i="1"/>
  <c r="BV45" i="1"/>
  <c r="BU150" i="1"/>
  <c r="AQ150" i="1"/>
  <c r="AR45" i="1"/>
  <c r="AT198" i="1"/>
  <c r="AT193" i="1"/>
  <c r="AO49" i="1"/>
  <c r="AN121" i="1"/>
  <c r="AR198" i="1"/>
  <c r="AR196" i="1"/>
  <c r="AV45" i="1"/>
  <c r="AU150" i="1"/>
  <c r="BD107" i="1"/>
  <c r="BD106" i="1"/>
  <c r="BD108" i="1"/>
  <c r="BU49" i="1"/>
  <c r="BT121" i="1"/>
  <c r="BE49" i="1"/>
  <c r="BD121" i="1"/>
  <c r="AV108" i="1"/>
  <c r="AV106" i="1"/>
  <c r="AV107" i="1"/>
  <c r="AV177" i="1"/>
  <c r="AV178" i="1" s="1"/>
  <c r="AX177" i="1"/>
  <c r="AX178" i="1" s="1"/>
  <c r="BP45" i="1"/>
  <c r="BO150" i="1"/>
  <c r="BP258" i="1"/>
  <c r="BP256" i="1"/>
  <c r="AY49" i="1"/>
  <c r="AX121" i="1"/>
  <c r="AT177" i="1"/>
  <c r="AT178" i="1" s="1"/>
  <c r="AT258" i="1"/>
  <c r="AT256" i="1"/>
  <c r="AP121" i="1"/>
  <c r="AQ49" i="1"/>
  <c r="AZ121" i="1"/>
  <c r="BA49" i="1"/>
  <c r="AZ107" i="1"/>
  <c r="AZ108" i="1"/>
  <c r="AZ106" i="1"/>
  <c r="AP198" i="1"/>
  <c r="AP201" i="1" s="1"/>
  <c r="AP196" i="1"/>
  <c r="AX193" i="1"/>
  <c r="AX198" i="1"/>
  <c r="BF193" i="1"/>
  <c r="BF198" i="1"/>
  <c r="BJ201" i="1" s="1"/>
  <c r="BT108" i="1"/>
  <c r="BT107" i="1"/>
  <c r="BT106" i="1"/>
  <c r="BF107" i="1"/>
  <c r="BF108" i="1"/>
  <c r="BF106" i="1"/>
  <c r="AV193" i="1"/>
  <c r="BR193" i="1"/>
  <c r="BN193" i="1"/>
  <c r="BN198" i="1"/>
  <c r="BB198" i="1"/>
  <c r="BB193" i="1"/>
  <c r="BD193" i="1"/>
  <c r="BD198" i="1"/>
  <c r="BT198" i="1"/>
  <c r="BT193" i="1"/>
  <c r="BX215" i="1"/>
  <c r="BX213" i="1" s="1"/>
  <c r="BW215" i="1"/>
  <c r="BW213" i="1" s="1"/>
  <c r="AZ198" i="1"/>
  <c r="AZ201" i="1" s="1"/>
  <c r="AZ193" i="1"/>
  <c r="AP43" i="1"/>
  <c r="AU244" i="1"/>
  <c r="AU245" i="1" s="1"/>
  <c r="AU41" i="1"/>
  <c r="AU46" i="1"/>
  <c r="AU50" i="1" s="1"/>
  <c r="BS46" i="1"/>
  <c r="BS50" i="1" s="1"/>
  <c r="BS41" i="1"/>
  <c r="BS244" i="1"/>
  <c r="BS245" i="1" s="1"/>
  <c r="AP262" i="1"/>
  <c r="AP263" i="1" s="1"/>
  <c r="BL42" i="1"/>
  <c r="BH41" i="1"/>
  <c r="BH46" i="1"/>
  <c r="BH50" i="1" s="1"/>
  <c r="BH244" i="1"/>
  <c r="BH245" i="1" s="1"/>
  <c r="BH262" i="1"/>
  <c r="BH263" i="1" s="1"/>
  <c r="AN262" i="1"/>
  <c r="AN263" i="1" s="1"/>
  <c r="AN46" i="1"/>
  <c r="AO238" i="1"/>
  <c r="AN43" i="1"/>
  <c r="AN41" i="1"/>
  <c r="AN244" i="1"/>
  <c r="AN245" i="1" s="1"/>
  <c r="AN238" i="1"/>
  <c r="AO124" i="1"/>
  <c r="AN124" i="1"/>
  <c r="AO43" i="1"/>
  <c r="AN42" i="1"/>
  <c r="BN46" i="1"/>
  <c r="BN41" i="1"/>
  <c r="BN244" i="1"/>
  <c r="BN245" i="1" s="1"/>
  <c r="BN42" i="1"/>
  <c r="AX244" i="1"/>
  <c r="AX245" i="1" s="1"/>
  <c r="BB42" i="1"/>
  <c r="AX46" i="1"/>
  <c r="AX41" i="1"/>
  <c r="BB46" i="1"/>
  <c r="BB244" i="1"/>
  <c r="BB245" i="1" s="1"/>
  <c r="BB41" i="1"/>
  <c r="BB262" i="1"/>
  <c r="BB263" i="1" s="1"/>
  <c r="BB43" i="1"/>
  <c r="BW244" i="1"/>
  <c r="BW245" i="1" s="1"/>
  <c r="BX43" i="1"/>
  <c r="X72" i="1"/>
  <c r="BW41" i="1"/>
  <c r="BZ124" i="1"/>
  <c r="BZ238" i="1"/>
  <c r="BW46" i="1"/>
  <c r="CA42" i="1"/>
  <c r="BX262" i="1"/>
  <c r="BX263" i="1" s="1"/>
  <c r="AQ41" i="1"/>
  <c r="AQ244" i="1"/>
  <c r="AQ245" i="1" s="1"/>
  <c r="AQ46" i="1"/>
  <c r="AQ42" i="1"/>
  <c r="AO244" i="1"/>
  <c r="AO245" i="1" s="1"/>
  <c r="AO46" i="1"/>
  <c r="AO50" i="1" s="1"/>
  <c r="AO52" i="1" s="1"/>
  <c r="AO262" i="1"/>
  <c r="AO263" i="1" s="1"/>
  <c r="AO42" i="1"/>
  <c r="AO41" i="1"/>
  <c r="BT46" i="1"/>
  <c r="BT41" i="1"/>
  <c r="BX42" i="1"/>
  <c r="BT244" i="1"/>
  <c r="BT245" i="1" s="1"/>
  <c r="CR146" i="1"/>
  <c r="AE154" i="1"/>
  <c r="AC136" i="1"/>
  <c r="F201" i="1" l="1"/>
  <c r="F202" i="1" s="1"/>
  <c r="D97" i="1"/>
  <c r="D98" i="1"/>
  <c r="D99" i="1"/>
  <c r="C101" i="1"/>
  <c r="R178" i="1"/>
  <c r="T225" i="1"/>
  <c r="T178" i="1"/>
  <c r="S178" i="1"/>
  <c r="AT42" i="1"/>
  <c r="D225" i="1"/>
  <c r="C82" i="1"/>
  <c r="E178" i="1"/>
  <c r="U225" i="1"/>
  <c r="T222" i="1"/>
  <c r="T223" i="1" s="1"/>
  <c r="B98" i="1"/>
  <c r="B97" i="1"/>
  <c r="BF41" i="1"/>
  <c r="BF46" i="1"/>
  <c r="BF50" i="1" s="1"/>
  <c r="BF244" i="1"/>
  <c r="BF245" i="1" s="1"/>
  <c r="BF13" i="1"/>
  <c r="BF12" i="1" s="1"/>
  <c r="BJ42" i="1"/>
  <c r="BF9" i="1"/>
  <c r="K225" i="1"/>
  <c r="J222" i="1"/>
  <c r="J223" i="1" s="1"/>
  <c r="C222" i="1"/>
  <c r="C223" i="1" s="1"/>
  <c r="C225" i="1"/>
  <c r="R222" i="1"/>
  <c r="R223" i="1" s="1"/>
  <c r="R225" i="1"/>
  <c r="L225" i="1"/>
  <c r="L222" i="1"/>
  <c r="L223" i="1" s="1"/>
  <c r="AQ262" i="1"/>
  <c r="AQ263" i="1" s="1"/>
  <c r="AQ43" i="1"/>
  <c r="BK42" i="1"/>
  <c r="BK43" i="1"/>
  <c r="BK41" i="1"/>
  <c r="BL43" i="1"/>
  <c r="BK244" i="1"/>
  <c r="BK245" i="1" s="1"/>
  <c r="BK46" i="1"/>
  <c r="BK50" i="1" s="1"/>
  <c r="BK262" i="1"/>
  <c r="BK263" i="1" s="1"/>
  <c r="BL262" i="1"/>
  <c r="BL263" i="1" s="1"/>
  <c r="AP41" i="1"/>
  <c r="AP42" i="1"/>
  <c r="AP244" i="1"/>
  <c r="AP245" i="1" s="1"/>
  <c r="AP46" i="1"/>
  <c r="AP50" i="1" s="1"/>
  <c r="O72" i="1"/>
  <c r="BT262" i="1"/>
  <c r="BT263" i="1" s="1"/>
  <c r="AY42" i="1"/>
  <c r="AV43" i="1"/>
  <c r="AV262" i="1"/>
  <c r="AV263" i="1" s="1"/>
  <c r="AU42" i="1"/>
  <c r="AQ238" i="1"/>
  <c r="AQ124" i="1"/>
  <c r="BT43" i="1"/>
  <c r="AP238" i="1"/>
  <c r="AP124" i="1"/>
  <c r="AV46" i="1"/>
  <c r="AZ42" i="1"/>
  <c r="AV41" i="1"/>
  <c r="AV244" i="1"/>
  <c r="AV245" i="1" s="1"/>
  <c r="BG41" i="1"/>
  <c r="BG46" i="1"/>
  <c r="BG244" i="1"/>
  <c r="BG245" i="1" s="1"/>
  <c r="BH43" i="1"/>
  <c r="BW42" i="1"/>
  <c r="AP177" i="1"/>
  <c r="AP178" i="1" s="1"/>
  <c r="BA238" i="1"/>
  <c r="BL124" i="1"/>
  <c r="BS238" i="1"/>
  <c r="BO42" i="1"/>
  <c r="AX238" i="1"/>
  <c r="D82" i="1"/>
  <c r="H222" i="1"/>
  <c r="H223" i="1" s="1"/>
  <c r="J225" i="1"/>
  <c r="N225" i="1"/>
  <c r="M225" i="1"/>
  <c r="BE12" i="1"/>
  <c r="BR12" i="1"/>
  <c r="V201" i="1"/>
  <c r="V202" i="1" s="1"/>
  <c r="D256" i="1"/>
  <c r="D178" i="1"/>
  <c r="H225" i="1"/>
  <c r="BN124" i="1"/>
  <c r="BN238" i="1"/>
  <c r="BA124" i="1"/>
  <c r="AX124" i="1"/>
  <c r="AY124" i="1"/>
  <c r="AY238" i="1"/>
  <c r="AY43" i="1"/>
  <c r="AY262" i="1"/>
  <c r="AY263" i="1" s="1"/>
  <c r="AZ124" i="1"/>
  <c r="BT124" i="1"/>
  <c r="AR238" i="1"/>
  <c r="BG262" i="1"/>
  <c r="BG263" i="1" s="1"/>
  <c r="BG43" i="1"/>
  <c r="AR42" i="1"/>
  <c r="AX262" i="1"/>
  <c r="AX263" i="1" s="1"/>
  <c r="AX42" i="1"/>
  <c r="AZ238" i="1"/>
  <c r="AX43" i="1"/>
  <c r="BF42" i="1"/>
  <c r="BB124" i="1"/>
  <c r="BC262" i="1"/>
  <c r="BC263" i="1" s="1"/>
  <c r="BE238" i="1"/>
  <c r="BE124" i="1"/>
  <c r="AT238" i="1"/>
  <c r="P72" i="1"/>
  <c r="AR43" i="1"/>
  <c r="AR262" i="1"/>
  <c r="AR263" i="1" s="1"/>
  <c r="AT124" i="1"/>
  <c r="AR124" i="1"/>
  <c r="AS42" i="1"/>
  <c r="BU262" i="1"/>
  <c r="BU263" i="1" s="1"/>
  <c r="BU43" i="1"/>
  <c r="BT42" i="1"/>
  <c r="BW124" i="1"/>
  <c r="BU124" i="1"/>
  <c r="AV42" i="1"/>
  <c r="BA53" i="1"/>
  <c r="BA52" i="1"/>
  <c r="L201" i="1"/>
  <c r="L202" i="1" s="1"/>
  <c r="P225" i="1"/>
  <c r="S225" i="1"/>
  <c r="K222" i="1"/>
  <c r="K223" i="1" s="1"/>
  <c r="BV13" i="1"/>
  <c r="BV12" i="1" s="1"/>
  <c r="BV244" i="1"/>
  <c r="BV245" i="1" s="1"/>
  <c r="BZ42" i="1"/>
  <c r="BV41" i="1"/>
  <c r="BV46" i="1"/>
  <c r="BV50" i="1" s="1"/>
  <c r="P222" i="1"/>
  <c r="P223" i="1" s="1"/>
  <c r="G222" i="1"/>
  <c r="G223" i="1" s="1"/>
  <c r="F225" i="1"/>
  <c r="F222" i="1"/>
  <c r="F223" i="1" s="1"/>
  <c r="O225" i="1"/>
  <c r="J201" i="1"/>
  <c r="J202" i="1" s="1"/>
  <c r="Q201" i="1"/>
  <c r="Q202" i="1" s="1"/>
  <c r="O222" i="1"/>
  <c r="O223" i="1" s="1"/>
  <c r="AR178" i="1"/>
  <c r="BA263" i="1"/>
  <c r="AY41" i="1"/>
  <c r="AY244" i="1"/>
  <c r="AY245" i="1" s="1"/>
  <c r="AY46" i="1"/>
  <c r="AY50" i="1" s="1"/>
  <c r="AZ262" i="1"/>
  <c r="AZ263" i="1" s="1"/>
  <c r="AZ43" i="1"/>
  <c r="BM124" i="1"/>
  <c r="BM238" i="1"/>
  <c r="BU42" i="1"/>
  <c r="BK124" i="1"/>
  <c r="U72" i="1"/>
  <c r="AS244" i="1"/>
  <c r="AS245" i="1" s="1"/>
  <c r="AS46" i="1"/>
  <c r="AS50" i="1" s="1"/>
  <c r="AW42" i="1"/>
  <c r="AT43" i="1"/>
  <c r="AS41" i="1"/>
  <c r="AS238" i="1"/>
  <c r="AS124" i="1"/>
  <c r="BE42" i="1"/>
  <c r="BI244" i="1"/>
  <c r="BI245" i="1" s="1"/>
  <c r="BI46" i="1"/>
  <c r="BI41" i="1"/>
  <c r="BL238" i="1"/>
  <c r="BJ43" i="1"/>
  <c r="BJ262" i="1"/>
  <c r="BJ263" i="1" s="1"/>
  <c r="BQ43" i="1"/>
  <c r="BP41" i="1"/>
  <c r="BP42" i="1"/>
  <c r="BP244" i="1"/>
  <c r="BP245" i="1" s="1"/>
  <c r="BP46" i="1"/>
  <c r="BP50" i="1" s="1"/>
  <c r="BQ262" i="1"/>
  <c r="BQ263" i="1" s="1"/>
  <c r="BM46" i="1"/>
  <c r="BM50" i="1" s="1"/>
  <c r="BM41" i="1"/>
  <c r="BQ42" i="1"/>
  <c r="BM43" i="1"/>
  <c r="BM42" i="1"/>
  <c r="BM244" i="1"/>
  <c r="BM245" i="1" s="1"/>
  <c r="BM262" i="1"/>
  <c r="BM263" i="1" s="1"/>
  <c r="BE43" i="1"/>
  <c r="BD46" i="1"/>
  <c r="BD50" i="1" s="1"/>
  <c r="BD41" i="1"/>
  <c r="BD244" i="1"/>
  <c r="BD245" i="1" s="1"/>
  <c r="BO41" i="1"/>
  <c r="BO46" i="1"/>
  <c r="BO50" i="1" s="1"/>
  <c r="BO244" i="1"/>
  <c r="BO245" i="1" s="1"/>
  <c r="BP43" i="1"/>
  <c r="BP262" i="1"/>
  <c r="BP263" i="1" s="1"/>
  <c r="BC43" i="1"/>
  <c r="AJ43" i="1"/>
  <c r="AL124" i="1"/>
  <c r="AI41" i="1"/>
  <c r="AM42" i="1"/>
  <c r="AI46" i="1"/>
  <c r="N72" i="1"/>
  <c r="AL238" i="1"/>
  <c r="AI244" i="1"/>
  <c r="AI245" i="1" s="1"/>
  <c r="AV238" i="1"/>
  <c r="BS42" i="1"/>
  <c r="BS262" i="1"/>
  <c r="BS263" i="1" s="1"/>
  <c r="BD43" i="1"/>
  <c r="BG42" i="1"/>
  <c r="BF124" i="1"/>
  <c r="BC46" i="1"/>
  <c r="BC41" i="1"/>
  <c r="BC244" i="1"/>
  <c r="BC245" i="1" s="1"/>
  <c r="BF238" i="1"/>
  <c r="BC42" i="1"/>
  <c r="BV42" i="1"/>
  <c r="BS124" i="1"/>
  <c r="BT238" i="1"/>
  <c r="AZ53" i="1"/>
  <c r="AZ52" i="1"/>
  <c r="BV238" i="1"/>
  <c r="BR262" i="1"/>
  <c r="BR263" i="1" s="1"/>
  <c r="BR41" i="1"/>
  <c r="BR43" i="1"/>
  <c r="BS43" i="1"/>
  <c r="V72" i="1"/>
  <c r="BR238" i="1"/>
  <c r="BR244" i="1"/>
  <c r="BR245" i="1" s="1"/>
  <c r="BR124" i="1"/>
  <c r="BR46" i="1"/>
  <c r="BV124" i="1"/>
  <c r="BK238" i="1"/>
  <c r="BX124" i="1"/>
  <c r="AV124" i="1"/>
  <c r="Q72" i="1"/>
  <c r="BI215" i="1"/>
  <c r="BI213" i="1" s="1"/>
  <c r="BD238" i="1"/>
  <c r="BC124" i="1"/>
  <c r="BC238" i="1"/>
  <c r="BB238" i="1"/>
  <c r="R72" i="1"/>
  <c r="AW262" i="1"/>
  <c r="AW263" i="1" s="1"/>
  <c r="AW43" i="1"/>
  <c r="BH238" i="1"/>
  <c r="T72" i="1"/>
  <c r="BG124" i="1"/>
  <c r="BJ124" i="1"/>
  <c r="BI238" i="1"/>
  <c r="BI124" i="1"/>
  <c r="BH124" i="1"/>
  <c r="BJ238" i="1"/>
  <c r="BG238" i="1"/>
  <c r="BH42" i="1"/>
  <c r="BI262" i="1"/>
  <c r="BI263" i="1" s="1"/>
  <c r="BI43" i="1"/>
  <c r="BW43" i="1"/>
  <c r="BP238" i="1"/>
  <c r="BO238" i="1"/>
  <c r="BR42" i="1"/>
  <c r="BQ124" i="1"/>
  <c r="BO43" i="1"/>
  <c r="BN43" i="1"/>
  <c r="BO262" i="1"/>
  <c r="BO263" i="1" s="1"/>
  <c r="BN262" i="1"/>
  <c r="BN263" i="1" s="1"/>
  <c r="BP124" i="1"/>
  <c r="BQ238" i="1"/>
  <c r="BO124" i="1"/>
  <c r="BD124" i="1"/>
  <c r="BW238" i="1"/>
  <c r="BW262" i="1"/>
  <c r="BW263" i="1" s="1"/>
  <c r="BY124" i="1"/>
  <c r="BY238" i="1"/>
  <c r="S201" i="1"/>
  <c r="S202" i="1" s="1"/>
  <c r="R201" i="1"/>
  <c r="R202" i="1" s="1"/>
  <c r="BJ52" i="1"/>
  <c r="BJ53" i="1"/>
  <c r="AW46" i="1"/>
  <c r="AW50" i="1" s="1"/>
  <c r="AW41" i="1"/>
  <c r="AW244" i="1"/>
  <c r="AW245" i="1" s="1"/>
  <c r="BA42" i="1"/>
  <c r="Q225" i="1"/>
  <c r="Q222" i="1"/>
  <c r="Q223" i="1" s="1"/>
  <c r="I222" i="1"/>
  <c r="I223" i="1" s="1"/>
  <c r="I225" i="1"/>
  <c r="N222" i="1"/>
  <c r="N223" i="1" s="1"/>
  <c r="M222" i="1"/>
  <c r="M223" i="1" s="1"/>
  <c r="I201" i="1"/>
  <c r="I202" i="1" s="1"/>
  <c r="E222" i="1"/>
  <c r="E223" i="1" s="1"/>
  <c r="E225" i="1"/>
  <c r="T201" i="1"/>
  <c r="T202" i="1" s="1"/>
  <c r="U201" i="1"/>
  <c r="U202" i="1" s="1"/>
  <c r="P201" i="1"/>
  <c r="P202" i="1" s="1"/>
  <c r="O201" i="1"/>
  <c r="O202" i="1" s="1"/>
  <c r="BX238" i="1"/>
  <c r="AM106" i="1"/>
  <c r="AM107" i="1"/>
  <c r="AM108" i="1"/>
  <c r="BV262" i="1"/>
  <c r="BV263" i="1" s="1"/>
  <c r="BV43" i="1"/>
  <c r="BU41" i="1"/>
  <c r="BU244" i="1"/>
  <c r="BU245" i="1" s="1"/>
  <c r="BY42" i="1"/>
  <c r="BU46" i="1"/>
  <c r="BU50" i="1" s="1"/>
  <c r="S72" i="1"/>
  <c r="AS215" i="1"/>
  <c r="AS213" i="1" s="1"/>
  <c r="AT215" i="1"/>
  <c r="AT213" i="1" s="1"/>
  <c r="AS262" i="1"/>
  <c r="AS263" i="1" s="1"/>
  <c r="AT262" i="1"/>
  <c r="AT263" i="1" s="1"/>
  <c r="BF262" i="1"/>
  <c r="BF263" i="1" s="1"/>
  <c r="BD262" i="1"/>
  <c r="BD263" i="1" s="1"/>
  <c r="BE262" i="1"/>
  <c r="BE263" i="1" s="1"/>
  <c r="BI42" i="1"/>
  <c r="BE244" i="1"/>
  <c r="BE245" i="1" s="1"/>
  <c r="BE41" i="1"/>
  <c r="BE46" i="1"/>
  <c r="BE50" i="1" s="1"/>
  <c r="BF43" i="1"/>
  <c r="AW238" i="1"/>
  <c r="AU238" i="1"/>
  <c r="AW124" i="1"/>
  <c r="AU43" i="1"/>
  <c r="AU262" i="1"/>
  <c r="AU263" i="1" s="1"/>
  <c r="AU124" i="1"/>
  <c r="AR244" i="1"/>
  <c r="AR245" i="1" s="1"/>
  <c r="AR46" i="1"/>
  <c r="AR50" i="1" s="1"/>
  <c r="AT41" i="1"/>
  <c r="AT244" i="1"/>
  <c r="AT245" i="1" s="1"/>
  <c r="AT46" i="1"/>
  <c r="AS43" i="1"/>
  <c r="AR41" i="1"/>
  <c r="H201" i="1"/>
  <c r="H202" i="1" s="1"/>
  <c r="G201" i="1"/>
  <c r="G202" i="1" s="1"/>
  <c r="E201" i="1"/>
  <c r="E202" i="1" s="1"/>
  <c r="D201" i="1"/>
  <c r="D202" i="1" s="1"/>
  <c r="BH122" i="1"/>
  <c r="BH123" i="1"/>
  <c r="BV122" i="1"/>
  <c r="BV123" i="1"/>
  <c r="M201" i="1"/>
  <c r="M202" i="1" s="1"/>
  <c r="N201" i="1"/>
  <c r="N202" i="1" s="1"/>
  <c r="U222" i="1"/>
  <c r="U223" i="1" s="1"/>
  <c r="S222" i="1"/>
  <c r="S223" i="1" s="1"/>
  <c r="BQ52" i="1"/>
  <c r="BQ53" i="1"/>
  <c r="AV122" i="1"/>
  <c r="AV123" i="1"/>
  <c r="BT215" i="1"/>
  <c r="BT213" i="1" s="1"/>
  <c r="BS215" i="1"/>
  <c r="BS213" i="1" s="1"/>
  <c r="AP215" i="1"/>
  <c r="AP213" i="1" s="1"/>
  <c r="AO215" i="1"/>
  <c r="AO213" i="1" s="1"/>
  <c r="BB123" i="1"/>
  <c r="BB122" i="1"/>
  <c r="BN123" i="1"/>
  <c r="BN122" i="1"/>
  <c r="BP122" i="1"/>
  <c r="BP123" i="1"/>
  <c r="AY215" i="1"/>
  <c r="AY213" i="1" s="1"/>
  <c r="AZ215" i="1"/>
  <c r="AZ213" i="1" s="1"/>
  <c r="BF123" i="1"/>
  <c r="BF122" i="1"/>
  <c r="BC215" i="1"/>
  <c r="BC213" i="1" s="1"/>
  <c r="BD215" i="1"/>
  <c r="BD213" i="1" s="1"/>
  <c r="AX215" i="1"/>
  <c r="AX213" i="1" s="1"/>
  <c r="AW215" i="1"/>
  <c r="AW213" i="1" s="1"/>
  <c r="BB215" i="1"/>
  <c r="BB213" i="1" s="1"/>
  <c r="BA215" i="1"/>
  <c r="BA213" i="1" s="1"/>
  <c r="BR215" i="1"/>
  <c r="BR213" i="1" s="1"/>
  <c r="BQ215" i="1"/>
  <c r="BQ213" i="1" s="1"/>
  <c r="BH215" i="1"/>
  <c r="BH213" i="1" s="1"/>
  <c r="BG215" i="1"/>
  <c r="BG213" i="1" s="1"/>
  <c r="AR215" i="1"/>
  <c r="AR213" i="1" s="1"/>
  <c r="AQ215" i="1"/>
  <c r="AQ213" i="1" s="1"/>
  <c r="AR201" i="1"/>
  <c r="AV201" i="1"/>
  <c r="BR122" i="1"/>
  <c r="BR123" i="1"/>
  <c r="BE215" i="1"/>
  <c r="BE213" i="1" s="1"/>
  <c r="BF215" i="1"/>
  <c r="BF213" i="1" s="1"/>
  <c r="AT123" i="1"/>
  <c r="AT122" i="1"/>
  <c r="AN123" i="1"/>
  <c r="AN126" i="1" s="1"/>
  <c r="AN122" i="1"/>
  <c r="AN125" i="1" s="1"/>
  <c r="AT201" i="1"/>
  <c r="AX201" i="1"/>
  <c r="BV215" i="1"/>
  <c r="BV213" i="1" s="1"/>
  <c r="BU215" i="1"/>
  <c r="BU213" i="1" s="1"/>
  <c r="AV215" i="1"/>
  <c r="AV213" i="1" s="1"/>
  <c r="AU215" i="1"/>
  <c r="AU213" i="1" s="1"/>
  <c r="BT123" i="1"/>
  <c r="BT122" i="1"/>
  <c r="BD123" i="1"/>
  <c r="BD122" i="1"/>
  <c r="BO215" i="1"/>
  <c r="BO213" i="1" s="1"/>
  <c r="BP215" i="1"/>
  <c r="BP213" i="1" s="1"/>
  <c r="AX122" i="1"/>
  <c r="AX123" i="1"/>
  <c r="AP122" i="1"/>
  <c r="AP123" i="1"/>
  <c r="AZ122" i="1"/>
  <c r="AZ123" i="1"/>
  <c r="BH201" i="1"/>
  <c r="BD201" i="1"/>
  <c r="BN201" i="1"/>
  <c r="BR201" i="1"/>
  <c r="BB201" i="1"/>
  <c r="BF201" i="1"/>
  <c r="BT201" i="1"/>
  <c r="BX201" i="1"/>
  <c r="BE52" i="1"/>
  <c r="BE53" i="1"/>
  <c r="AU53" i="1"/>
  <c r="AU52" i="1"/>
  <c r="AO53" i="1"/>
  <c r="AX50" i="1"/>
  <c r="BN50" i="1"/>
  <c r="BH53" i="1"/>
  <c r="BH52" i="1"/>
  <c r="AQ50" i="1"/>
  <c r="BZ67" i="1"/>
  <c r="BW50" i="1"/>
  <c r="BB50" i="1"/>
  <c r="AN67" i="1"/>
  <c r="AN50" i="1"/>
  <c r="BT50" i="1"/>
  <c r="BZ125" i="1"/>
  <c r="BZ126" i="1"/>
  <c r="BS52" i="1"/>
  <c r="BS53" i="1"/>
  <c r="CR150" i="1"/>
  <c r="CS44" i="1"/>
  <c r="AP67" i="1" l="1"/>
  <c r="AX67" i="1"/>
  <c r="BG50" i="1"/>
  <c r="BF53" i="1"/>
  <c r="BF52" i="1"/>
  <c r="AP125" i="1"/>
  <c r="AP126" i="1"/>
  <c r="BL125" i="1"/>
  <c r="BL126" i="1"/>
  <c r="BK53" i="1"/>
  <c r="BK52" i="1"/>
  <c r="AP52" i="1"/>
  <c r="AP53" i="1"/>
  <c r="AP55" i="1" s="1"/>
  <c r="AR67" i="1"/>
  <c r="AV50" i="1"/>
  <c r="BT67" i="1"/>
  <c r="BH67" i="1"/>
  <c r="BP125" i="1"/>
  <c r="BP126" i="1"/>
  <c r="BD126" i="1"/>
  <c r="BD125" i="1"/>
  <c r="BV52" i="1"/>
  <c r="BB126" i="1"/>
  <c r="BN126" i="1"/>
  <c r="BF126" i="1"/>
  <c r="AT126" i="1"/>
  <c r="BT125" i="1"/>
  <c r="AX126" i="1"/>
  <c r="AZ125" i="1"/>
  <c r="BO53" i="1"/>
  <c r="BO52" i="1"/>
  <c r="AL126" i="1"/>
  <c r="AL125" i="1"/>
  <c r="AL67" i="1"/>
  <c r="AZ67" i="1"/>
  <c r="BJ67" i="1"/>
  <c r="BA54" i="1"/>
  <c r="BA257" i="1" s="1"/>
  <c r="BA60" i="1"/>
  <c r="BV53" i="1"/>
  <c r="BB125" i="1"/>
  <c r="BN125" i="1"/>
  <c r="BF125" i="1"/>
  <c r="AT125" i="1"/>
  <c r="BT126" i="1"/>
  <c r="AX125" i="1"/>
  <c r="AZ126" i="1"/>
  <c r="AI50" i="1"/>
  <c r="AT67" i="1"/>
  <c r="BB67" i="1"/>
  <c r="BN67" i="1"/>
  <c r="BY67" i="1"/>
  <c r="BA246" i="1"/>
  <c r="BA56" i="1"/>
  <c r="BH125" i="1"/>
  <c r="BH126" i="1"/>
  <c r="BV125" i="1"/>
  <c r="AV125" i="1"/>
  <c r="AV126" i="1"/>
  <c r="BR125" i="1"/>
  <c r="BR126" i="1"/>
  <c r="AY52" i="1"/>
  <c r="AY53" i="1"/>
  <c r="BU53" i="1"/>
  <c r="BY55" i="1" s="1"/>
  <c r="BU52" i="1"/>
  <c r="AS52" i="1"/>
  <c r="AS53" i="1"/>
  <c r="BP52" i="1"/>
  <c r="BP53" i="1"/>
  <c r="BI50" i="1"/>
  <c r="BL67" i="1"/>
  <c r="BM52" i="1"/>
  <c r="BM53" i="1"/>
  <c r="BD67" i="1"/>
  <c r="BV67" i="1"/>
  <c r="BD52" i="1"/>
  <c r="BD53" i="1"/>
  <c r="BC50" i="1"/>
  <c r="BF67" i="1"/>
  <c r="BX125" i="1"/>
  <c r="BX126" i="1"/>
  <c r="AZ246" i="1"/>
  <c r="AZ60" i="1"/>
  <c r="AZ54" i="1"/>
  <c r="AZ257" i="1" s="1"/>
  <c r="BR50" i="1"/>
  <c r="BR67" i="1"/>
  <c r="BV126" i="1"/>
  <c r="BP67" i="1"/>
  <c r="BX67" i="1"/>
  <c r="BJ125" i="1"/>
  <c r="BJ126" i="1"/>
  <c r="BJ246" i="1"/>
  <c r="BJ60" i="1"/>
  <c r="BJ54" i="1"/>
  <c r="BJ257" i="1" s="1"/>
  <c r="AW52" i="1"/>
  <c r="AW53" i="1"/>
  <c r="AR53" i="1"/>
  <c r="AR52" i="1"/>
  <c r="AT50" i="1"/>
  <c r="AV67" i="1"/>
  <c r="BQ54" i="1"/>
  <c r="BQ257" i="1" s="1"/>
  <c r="BQ60" i="1"/>
  <c r="BQ246" i="1"/>
  <c r="BF246" i="1"/>
  <c r="BF54" i="1"/>
  <c r="BF257" i="1" s="1"/>
  <c r="BF60" i="1"/>
  <c r="BF78" i="1" s="1"/>
  <c r="BJ55" i="1"/>
  <c r="BL56" i="1"/>
  <c r="BK60" i="1"/>
  <c r="BK54" i="1"/>
  <c r="BK257" i="1" s="1"/>
  <c r="AP246" i="1"/>
  <c r="AP60" i="1"/>
  <c r="AP54" i="1"/>
  <c r="AP257" i="1" s="1"/>
  <c r="BK56" i="1"/>
  <c r="BK246" i="1"/>
  <c r="BE54" i="1"/>
  <c r="BE257" i="1" s="1"/>
  <c r="BE60" i="1"/>
  <c r="BE246" i="1"/>
  <c r="BF56" i="1"/>
  <c r="BE55" i="1"/>
  <c r="AU54" i="1"/>
  <c r="AU257" i="1" s="1"/>
  <c r="AU246" i="1"/>
  <c r="AU60" i="1"/>
  <c r="AP56" i="1"/>
  <c r="AO60" i="1"/>
  <c r="AO55" i="1"/>
  <c r="AO246" i="1"/>
  <c r="AO54" i="1"/>
  <c r="AO257" i="1" s="1"/>
  <c r="BW53" i="1"/>
  <c r="BW55" i="1" s="1"/>
  <c r="BW52" i="1"/>
  <c r="BN53" i="1"/>
  <c r="BN52" i="1"/>
  <c r="AQ53" i="1"/>
  <c r="AQ52" i="1"/>
  <c r="BT53" i="1"/>
  <c r="BT52" i="1"/>
  <c r="AN53" i="1"/>
  <c r="AN52" i="1"/>
  <c r="BH60" i="1"/>
  <c r="BL55" i="1"/>
  <c r="BH246" i="1"/>
  <c r="BH54" i="1"/>
  <c r="BH257" i="1" s="1"/>
  <c r="AX53" i="1"/>
  <c r="AX52" i="1"/>
  <c r="BG52" i="1"/>
  <c r="BG53" i="1"/>
  <c r="BB53" i="1"/>
  <c r="BB52" i="1"/>
  <c r="BS246" i="1"/>
  <c r="BS54" i="1"/>
  <c r="BS257" i="1" s="1"/>
  <c r="BS60" i="1"/>
  <c r="CS206" i="1"/>
  <c r="CS144" i="1"/>
  <c r="CR215" i="1"/>
  <c r="CR213" i="1" s="1"/>
  <c r="AC137" i="1"/>
  <c r="AC140" i="1" s="1"/>
  <c r="AC261" i="1" s="1"/>
  <c r="AV52" i="1" l="1"/>
  <c r="AV53" i="1"/>
  <c r="BQ56" i="1"/>
  <c r="BV54" i="1"/>
  <c r="BV257" i="1" s="1"/>
  <c r="BV60" i="1"/>
  <c r="BV246" i="1"/>
  <c r="BZ55" i="1"/>
  <c r="BV56" i="1"/>
  <c r="BU55" i="1"/>
  <c r="AS246" i="1"/>
  <c r="BP60" i="1"/>
  <c r="BP55" i="1"/>
  <c r="BP246" i="1"/>
  <c r="BS55" i="1"/>
  <c r="BO246" i="1"/>
  <c r="BA131" i="1"/>
  <c r="BA132" i="1" s="1"/>
  <c r="BO54" i="1"/>
  <c r="BO257" i="1" s="1"/>
  <c r="BO60" i="1"/>
  <c r="BP56" i="1"/>
  <c r="BO55" i="1"/>
  <c r="AI53" i="1"/>
  <c r="AI52" i="1"/>
  <c r="BR53" i="1"/>
  <c r="BR52" i="1"/>
  <c r="AS55" i="1"/>
  <c r="BA64" i="1"/>
  <c r="BA205" i="1"/>
  <c r="BA207" i="1" s="1"/>
  <c r="BA78" i="1"/>
  <c r="AY246" i="1"/>
  <c r="AY54" i="1"/>
  <c r="AY257" i="1" s="1"/>
  <c r="AZ56" i="1"/>
  <c r="AY60" i="1"/>
  <c r="BU54" i="1"/>
  <c r="BU257" i="1" s="1"/>
  <c r="BU246" i="1"/>
  <c r="BU60" i="1"/>
  <c r="AS60" i="1"/>
  <c r="AS54" i="1"/>
  <c r="AS257" i="1" s="1"/>
  <c r="AW55" i="1"/>
  <c r="BE56" i="1"/>
  <c r="BP54" i="1"/>
  <c r="BP257" i="1" s="1"/>
  <c r="BI53" i="1"/>
  <c r="BI56" i="1" s="1"/>
  <c r="BI52" i="1"/>
  <c r="BM60" i="1"/>
  <c r="BM56" i="1"/>
  <c r="BM246" i="1"/>
  <c r="BM239" i="1"/>
  <c r="BQ55" i="1"/>
  <c r="BM54" i="1"/>
  <c r="BM257" i="1" s="1"/>
  <c r="BC53" i="1"/>
  <c r="BC52" i="1"/>
  <c r="BD60" i="1"/>
  <c r="BD246" i="1"/>
  <c r="BD54" i="1"/>
  <c r="BD257" i="1" s="1"/>
  <c r="BD55" i="1"/>
  <c r="AY55" i="1"/>
  <c r="AZ78" i="1"/>
  <c r="AZ64" i="1"/>
  <c r="AZ205" i="1"/>
  <c r="AZ207" i="1" s="1"/>
  <c r="BH55" i="1"/>
  <c r="BJ64" i="1"/>
  <c r="BJ205" i="1"/>
  <c r="BJ207" i="1" s="1"/>
  <c r="BJ78" i="1"/>
  <c r="AW246" i="1"/>
  <c r="AW54" i="1"/>
  <c r="AW257" i="1" s="1"/>
  <c r="AW60" i="1"/>
  <c r="BA55" i="1"/>
  <c r="AR246" i="1"/>
  <c r="AR60" i="1"/>
  <c r="AS56" i="1"/>
  <c r="AR54" i="1"/>
  <c r="AR257" i="1" s="1"/>
  <c r="AT52" i="1"/>
  <c r="AT53" i="1"/>
  <c r="BF205" i="1"/>
  <c r="BF207" i="1" s="1"/>
  <c r="BF64" i="1"/>
  <c r="BV205" i="1"/>
  <c r="BV207" i="1" s="1"/>
  <c r="BV78" i="1"/>
  <c r="BV64" i="1"/>
  <c r="BQ205" i="1"/>
  <c r="BQ207" i="1" s="1"/>
  <c r="BQ131" i="1"/>
  <c r="BQ132" i="1" s="1"/>
  <c r="BQ78" i="1"/>
  <c r="BQ64" i="1"/>
  <c r="BK64" i="1"/>
  <c r="BK205" i="1"/>
  <c r="BK207" i="1" s="1"/>
  <c r="BK131" i="1"/>
  <c r="BK132" i="1" s="1"/>
  <c r="BK78" i="1"/>
  <c r="AP205" i="1"/>
  <c r="AP207" i="1" s="1"/>
  <c r="AP78" i="1"/>
  <c r="AP64" i="1"/>
  <c r="BP64" i="1"/>
  <c r="BP205" i="1"/>
  <c r="BP207" i="1" s="1"/>
  <c r="BP78" i="1"/>
  <c r="BE78" i="1"/>
  <c r="BE205" i="1"/>
  <c r="BE207" i="1" s="1"/>
  <c r="BE64" i="1"/>
  <c r="BE131" i="1"/>
  <c r="BE132" i="1" s="1"/>
  <c r="AU64" i="1"/>
  <c r="AU78" i="1"/>
  <c r="AU205" i="1"/>
  <c r="AU207" i="1" s="1"/>
  <c r="AU131" i="1"/>
  <c r="AU132" i="1" s="1"/>
  <c r="AO205" i="1"/>
  <c r="AO207" i="1" s="1"/>
  <c r="AO78" i="1"/>
  <c r="AO131" i="1"/>
  <c r="AO132" i="1" s="1"/>
  <c r="AO64" i="1"/>
  <c r="AN54" i="1"/>
  <c r="AN257" i="1" s="1"/>
  <c r="AQ239" i="1"/>
  <c r="AO56" i="1"/>
  <c r="AN239" i="1"/>
  <c r="AN55" i="1"/>
  <c r="AP239" i="1"/>
  <c r="AR55" i="1"/>
  <c r="AO239" i="1"/>
  <c r="AN60" i="1"/>
  <c r="AN56" i="1"/>
  <c r="AN246" i="1"/>
  <c r="BX55" i="1"/>
  <c r="BT54" i="1"/>
  <c r="BT257" i="1" s="1"/>
  <c r="BT246" i="1"/>
  <c r="BT60" i="1"/>
  <c r="BU56" i="1"/>
  <c r="BT55" i="1"/>
  <c r="BW239" i="1"/>
  <c r="BV239" i="1"/>
  <c r="AZ55" i="1"/>
  <c r="AV54" i="1"/>
  <c r="AV257" i="1" s="1"/>
  <c r="AV246" i="1"/>
  <c r="AY239" i="1"/>
  <c r="AW56" i="1"/>
  <c r="AV55" i="1"/>
  <c r="AV56" i="1"/>
  <c r="AX239" i="1"/>
  <c r="AR56" i="1"/>
  <c r="AQ55" i="1"/>
  <c r="AQ246" i="1"/>
  <c r="AQ60" i="1"/>
  <c r="AQ54" i="1"/>
  <c r="AQ257" i="1" s="1"/>
  <c r="AQ56" i="1"/>
  <c r="AU55" i="1"/>
  <c r="AS239" i="1"/>
  <c r="AR239" i="1"/>
  <c r="BN246" i="1"/>
  <c r="BN60" i="1"/>
  <c r="BN55" i="1"/>
  <c r="BN54" i="1"/>
  <c r="BN257" i="1" s="1"/>
  <c r="BO56" i="1"/>
  <c r="BN239" i="1"/>
  <c r="BQ239" i="1"/>
  <c r="BN56" i="1"/>
  <c r="BO239" i="1"/>
  <c r="BP239" i="1"/>
  <c r="BB54" i="1"/>
  <c r="BB257" i="1" s="1"/>
  <c r="BF55" i="1"/>
  <c r="BB246" i="1"/>
  <c r="BB60" i="1"/>
  <c r="BB239" i="1"/>
  <c r="BB56" i="1"/>
  <c r="BB55" i="1"/>
  <c r="AX60" i="1"/>
  <c r="AX246" i="1"/>
  <c r="AX54" i="1"/>
  <c r="AX257" i="1" s="1"/>
  <c r="AZ239" i="1"/>
  <c r="AX56" i="1"/>
  <c r="AY56" i="1"/>
  <c r="BA239" i="1"/>
  <c r="BH64" i="1"/>
  <c r="BH78" i="1"/>
  <c r="BH205" i="1"/>
  <c r="BH207" i="1" s="1"/>
  <c r="BT56" i="1"/>
  <c r="BK55" i="1"/>
  <c r="BG60" i="1"/>
  <c r="BH239" i="1"/>
  <c r="BG54" i="1"/>
  <c r="BG257" i="1" s="1"/>
  <c r="BH56" i="1"/>
  <c r="BG239" i="1"/>
  <c r="BG246" i="1"/>
  <c r="BG56" i="1"/>
  <c r="BX239" i="1"/>
  <c r="BW246" i="1"/>
  <c r="BW56" i="1"/>
  <c r="BX56" i="1"/>
  <c r="BW60" i="1"/>
  <c r="X73" i="1"/>
  <c r="BY239" i="1"/>
  <c r="CA55" i="1"/>
  <c r="BW54" i="1"/>
  <c r="BW257" i="1" s="1"/>
  <c r="BZ239" i="1"/>
  <c r="BS205" i="1"/>
  <c r="BS207" i="1" s="1"/>
  <c r="BS64" i="1"/>
  <c r="BS131" i="1"/>
  <c r="BS132" i="1" s="1"/>
  <c r="BS78" i="1"/>
  <c r="CS146" i="1"/>
  <c r="AC218" i="1"/>
  <c r="CA238" i="1"/>
  <c r="CB238" i="1"/>
  <c r="BU238" i="1"/>
  <c r="AV60" i="1" l="1"/>
  <c r="BC55" i="1"/>
  <c r="BC60" i="1"/>
  <c r="BC246" i="1"/>
  <c r="BC54" i="1"/>
  <c r="BC257" i="1" s="1"/>
  <c r="BD64" i="1"/>
  <c r="BA219" i="1"/>
  <c r="BA217" i="1" s="1"/>
  <c r="BA104" i="1"/>
  <c r="BA141" i="1"/>
  <c r="BA67" i="1" s="1"/>
  <c r="BU131" i="1"/>
  <c r="BU132" i="1" s="1"/>
  <c r="BU64" i="1"/>
  <c r="BU205" i="1"/>
  <c r="BU207" i="1" s="1"/>
  <c r="BU78" i="1"/>
  <c r="BS56" i="1"/>
  <c r="BS239" i="1"/>
  <c r="AY205" i="1"/>
  <c r="AY207" i="1" s="1"/>
  <c r="AY78" i="1"/>
  <c r="AY131" i="1"/>
  <c r="AY132" i="1" s="1"/>
  <c r="AY64" i="1"/>
  <c r="AS64" i="1"/>
  <c r="AS131" i="1"/>
  <c r="AS132" i="1" s="1"/>
  <c r="AS78" i="1"/>
  <c r="BI55" i="1"/>
  <c r="BK239" i="1"/>
  <c r="BM78" i="1"/>
  <c r="BM64" i="1"/>
  <c r="BM55" i="1"/>
  <c r="BL239" i="1"/>
  <c r="BI60" i="1"/>
  <c r="BI246" i="1"/>
  <c r="BJ56" i="1"/>
  <c r="BI54" i="1"/>
  <c r="BI257" i="1" s="1"/>
  <c r="BM131" i="1"/>
  <c r="BM132" i="1" s="1"/>
  <c r="BM205" i="1"/>
  <c r="BM207" i="1" s="1"/>
  <c r="BF239" i="1"/>
  <c r="BD56" i="1"/>
  <c r="BD205" i="1"/>
  <c r="BD207" i="1" s="1"/>
  <c r="BD78" i="1"/>
  <c r="BO64" i="1"/>
  <c r="BO78" i="1"/>
  <c r="BO205" i="1"/>
  <c r="BO207" i="1" s="1"/>
  <c r="BO131" i="1"/>
  <c r="BO132" i="1" s="1"/>
  <c r="AI54" i="1"/>
  <c r="AI246" i="1"/>
  <c r="AJ56" i="1"/>
  <c r="AM55" i="1"/>
  <c r="AI60" i="1"/>
  <c r="AL239" i="1"/>
  <c r="BR54" i="1"/>
  <c r="BR257" i="1" s="1"/>
  <c r="BR246" i="1"/>
  <c r="BR60" i="1"/>
  <c r="BV55" i="1"/>
  <c r="BR56" i="1"/>
  <c r="BR239" i="1"/>
  <c r="BR55" i="1"/>
  <c r="BB219" i="1"/>
  <c r="BB217" i="1" s="1"/>
  <c r="BC56" i="1"/>
  <c r="BD239" i="1"/>
  <c r="BC239" i="1"/>
  <c r="BE239" i="1"/>
  <c r="BJ239" i="1"/>
  <c r="BI239" i="1"/>
  <c r="BT239" i="1"/>
  <c r="BG55" i="1"/>
  <c r="AS205" i="1"/>
  <c r="AS207" i="1" s="1"/>
  <c r="AW64" i="1"/>
  <c r="AW131" i="1"/>
  <c r="AW132" i="1" s="1"/>
  <c r="AW78" i="1"/>
  <c r="AW205" i="1"/>
  <c r="AW207" i="1" s="1"/>
  <c r="AR78" i="1"/>
  <c r="AR205" i="1"/>
  <c r="AR207" i="1" s="1"/>
  <c r="AR64" i="1"/>
  <c r="AT55" i="1"/>
  <c r="AU56" i="1"/>
  <c r="AU239" i="1"/>
  <c r="AT56" i="1"/>
  <c r="AT54" i="1"/>
  <c r="AT257" i="1" s="1"/>
  <c r="AT246" i="1"/>
  <c r="AT60" i="1"/>
  <c r="AT239" i="1"/>
  <c r="AX55" i="1"/>
  <c r="AW239" i="1"/>
  <c r="AV239" i="1"/>
  <c r="BQ66" i="1"/>
  <c r="BQ219" i="1"/>
  <c r="BQ217" i="1" s="1"/>
  <c r="BQ141" i="1"/>
  <c r="BQ67" i="1" s="1"/>
  <c r="BQ104" i="1"/>
  <c r="BK104" i="1"/>
  <c r="BL219" i="1"/>
  <c r="BL217" i="1" s="1"/>
  <c r="BK219" i="1"/>
  <c r="BK217" i="1" s="1"/>
  <c r="BK141" i="1"/>
  <c r="BK67" i="1" s="1"/>
  <c r="AO66" i="1"/>
  <c r="BA66" i="1"/>
  <c r="BF219" i="1"/>
  <c r="BF217" i="1" s="1"/>
  <c r="BE104" i="1"/>
  <c r="BE141" i="1"/>
  <c r="BE67" i="1" s="1"/>
  <c r="BE219" i="1"/>
  <c r="BE217" i="1" s="1"/>
  <c r="S73" i="1"/>
  <c r="BF66" i="1"/>
  <c r="BC78" i="1"/>
  <c r="BC131" i="1"/>
  <c r="BC132" i="1" s="1"/>
  <c r="BC205" i="1"/>
  <c r="BC207" i="1" s="1"/>
  <c r="BC64" i="1"/>
  <c r="AU104" i="1"/>
  <c r="AU219" i="1"/>
  <c r="AU217" i="1" s="1"/>
  <c r="AU141" i="1"/>
  <c r="AU67" i="1" s="1"/>
  <c r="AP219" i="1"/>
  <c r="AP217" i="1" s="1"/>
  <c r="AO104" i="1"/>
  <c r="AO141" i="1"/>
  <c r="AO67" i="1" s="1"/>
  <c r="AO219" i="1"/>
  <c r="AO217" i="1" s="1"/>
  <c r="AV219" i="1"/>
  <c r="AV217" i="1" s="1"/>
  <c r="BV66" i="1"/>
  <c r="BX66" i="1"/>
  <c r="BW131" i="1"/>
  <c r="BW132" i="1" s="1"/>
  <c r="BY66" i="1"/>
  <c r="BW205" i="1"/>
  <c r="BW207" i="1" s="1"/>
  <c r="BW64" i="1"/>
  <c r="BZ66" i="1"/>
  <c r="BW78" i="1"/>
  <c r="BN64" i="1"/>
  <c r="BN78" i="1"/>
  <c r="BN205" i="1"/>
  <c r="BN207" i="1" s="1"/>
  <c r="BN66" i="1"/>
  <c r="U73" i="1"/>
  <c r="BP66" i="1"/>
  <c r="AV205" i="1"/>
  <c r="AV207" i="1" s="1"/>
  <c r="AV64" i="1"/>
  <c r="AV78" i="1"/>
  <c r="Q73" i="1"/>
  <c r="AX66" i="1"/>
  <c r="BT205" i="1"/>
  <c r="BT207" i="1" s="1"/>
  <c r="BT64" i="1"/>
  <c r="BT78" i="1"/>
  <c r="AX64" i="1"/>
  <c r="AX78" i="1"/>
  <c r="AX205" i="1"/>
  <c r="AX207" i="1" s="1"/>
  <c r="AZ66" i="1"/>
  <c r="BB78" i="1"/>
  <c r="BB64" i="1"/>
  <c r="BB205" i="1"/>
  <c r="BB207" i="1" s="1"/>
  <c r="BB66" i="1"/>
  <c r="R73" i="1"/>
  <c r="BD66" i="1"/>
  <c r="BE66" i="1"/>
  <c r="AQ131" i="1"/>
  <c r="AQ132" i="1" s="1"/>
  <c r="AQ205" i="1"/>
  <c r="AQ207" i="1" s="1"/>
  <c r="AQ64" i="1"/>
  <c r="AQ78" i="1"/>
  <c r="AR66" i="1"/>
  <c r="BG64" i="1"/>
  <c r="BG78" i="1"/>
  <c r="BG131" i="1"/>
  <c r="BG132" i="1" s="1"/>
  <c r="BH66" i="1"/>
  <c r="BG205" i="1"/>
  <c r="BG207" i="1" s="1"/>
  <c r="AN64" i="1"/>
  <c r="AP66" i="1"/>
  <c r="AN78" i="1"/>
  <c r="AN205" i="1"/>
  <c r="AN207" i="1" s="1"/>
  <c r="AN66" i="1"/>
  <c r="O73" i="1"/>
  <c r="AN219" i="1"/>
  <c r="AN217" i="1" s="1"/>
  <c r="BT219" i="1"/>
  <c r="BT217" i="1" s="1"/>
  <c r="BS104" i="1"/>
  <c r="BS141" i="1"/>
  <c r="BS67" i="1" s="1"/>
  <c r="BS219" i="1"/>
  <c r="BS217" i="1" s="1"/>
  <c r="BA106" i="1"/>
  <c r="BA108" i="1"/>
  <c r="CS150" i="1"/>
  <c r="CT44" i="1"/>
  <c r="AD136" i="1"/>
  <c r="W71" i="1"/>
  <c r="BV81" i="1" l="1"/>
  <c r="BR101" i="1" s="1"/>
  <c r="BR219" i="1"/>
  <c r="BR217" i="1" s="1"/>
  <c r="AX219" i="1"/>
  <c r="AX217" i="1" s="1"/>
  <c r="BF81" i="1"/>
  <c r="AI78" i="1"/>
  <c r="AL81" i="1" s="1"/>
  <c r="AI64" i="1"/>
  <c r="AL66" i="1"/>
  <c r="N73" i="1"/>
  <c r="AI219" i="1"/>
  <c r="AI217" i="1" s="1"/>
  <c r="AI205" i="1"/>
  <c r="AI207" i="1" s="1"/>
  <c r="AI211" i="1" s="1"/>
  <c r="AI225" i="1" s="1"/>
  <c r="BT66" i="1"/>
  <c r="BR64" i="1"/>
  <c r="BR205" i="1"/>
  <c r="BR207" i="1" s="1"/>
  <c r="BR78" i="1"/>
  <c r="BR66" i="1"/>
  <c r="V73" i="1"/>
  <c r="BS66" i="1"/>
  <c r="BM81" i="1"/>
  <c r="BI101" i="1" s="1"/>
  <c r="BA107" i="1"/>
  <c r="BK66" i="1"/>
  <c r="BV219" i="1"/>
  <c r="BV217" i="1" s="1"/>
  <c r="BU219" i="1"/>
  <c r="BU217" i="1" s="1"/>
  <c r="BU104" i="1"/>
  <c r="BU141" i="1"/>
  <c r="BU67" i="1" s="1"/>
  <c r="AY104" i="1"/>
  <c r="AY219" i="1"/>
  <c r="AY217" i="1" s="1"/>
  <c r="AY141" i="1"/>
  <c r="AY67" i="1" s="1"/>
  <c r="AZ219" i="1"/>
  <c r="AZ217" i="1" s="1"/>
  <c r="AS219" i="1"/>
  <c r="AS217" i="1" s="1"/>
  <c r="AS104" i="1"/>
  <c r="AS141" i="1"/>
  <c r="AS67" i="1" s="1"/>
  <c r="AT219" i="1"/>
  <c r="AT217" i="1" s="1"/>
  <c r="BL66" i="1"/>
  <c r="BI64" i="1"/>
  <c r="BI205" i="1"/>
  <c r="BI207" i="1" s="1"/>
  <c r="BI78" i="1"/>
  <c r="BI131" i="1"/>
  <c r="BI132" i="1" s="1"/>
  <c r="BM66" i="1"/>
  <c r="BM219" i="1"/>
  <c r="BM217" i="1" s="1"/>
  <c r="BM141" i="1"/>
  <c r="BM67" i="1" s="1"/>
  <c r="BM104" i="1"/>
  <c r="BO219" i="1"/>
  <c r="BO217" i="1" s="1"/>
  <c r="BO141" i="1"/>
  <c r="BO67" i="1" s="1"/>
  <c r="BP219" i="1"/>
  <c r="BP217" i="1" s="1"/>
  <c r="BO104" i="1"/>
  <c r="AY66" i="1"/>
  <c r="BO66" i="1"/>
  <c r="BN219" i="1"/>
  <c r="BN217" i="1" s="1"/>
  <c r="BU66" i="1"/>
  <c r="AS66" i="1"/>
  <c r="T73" i="1"/>
  <c r="BJ66" i="1"/>
  <c r="AW104" i="1"/>
  <c r="AW219" i="1"/>
  <c r="AW217" i="1" s="1"/>
  <c r="AW141" i="1"/>
  <c r="AW67" i="1" s="1"/>
  <c r="AT64" i="1"/>
  <c r="AT205" i="1"/>
  <c r="AT207" i="1" s="1"/>
  <c r="AT78" i="1"/>
  <c r="AU81" i="1" s="1"/>
  <c r="AU66" i="1"/>
  <c r="AW66" i="1"/>
  <c r="AV66" i="1"/>
  <c r="AT66" i="1"/>
  <c r="P73" i="1"/>
  <c r="BQ106" i="1"/>
  <c r="BQ107" i="1"/>
  <c r="BQ108" i="1"/>
  <c r="BK108" i="1"/>
  <c r="BK106" i="1"/>
  <c r="BK107" i="1"/>
  <c r="BE106" i="1"/>
  <c r="BE108" i="1"/>
  <c r="BE107" i="1"/>
  <c r="BC219" i="1"/>
  <c r="BC217" i="1" s="1"/>
  <c r="BC141" i="1"/>
  <c r="BC67" i="1" s="1"/>
  <c r="BC104" i="1"/>
  <c r="BC66" i="1"/>
  <c r="BD219" i="1"/>
  <c r="BD217" i="1" s="1"/>
  <c r="AU107" i="1"/>
  <c r="AU108" i="1"/>
  <c r="AU106" i="1"/>
  <c r="AO108" i="1"/>
  <c r="AO106" i="1"/>
  <c r="AO107" i="1"/>
  <c r="BA81" i="1"/>
  <c r="AZ81" i="1"/>
  <c r="AY81" i="1"/>
  <c r="AY98" i="1" s="1"/>
  <c r="AX81" i="1"/>
  <c r="AR81" i="1"/>
  <c r="AS81" i="1"/>
  <c r="BQ81" i="1"/>
  <c r="BO81" i="1"/>
  <c r="BN81" i="1"/>
  <c r="BP81" i="1"/>
  <c r="AQ81" i="1"/>
  <c r="AN81" i="1"/>
  <c r="AP81" i="1"/>
  <c r="AO81" i="1"/>
  <c r="BG81" i="1"/>
  <c r="BH81" i="1"/>
  <c r="BE81" i="1"/>
  <c r="BE98" i="1" s="1"/>
  <c r="BD81" i="1"/>
  <c r="BB81" i="1"/>
  <c r="BC81" i="1"/>
  <c r="BZ81" i="1"/>
  <c r="BX81" i="1"/>
  <c r="BY81" i="1"/>
  <c r="BW81" i="1"/>
  <c r="BG219" i="1"/>
  <c r="BG217" i="1" s="1"/>
  <c r="BG141" i="1"/>
  <c r="BG67" i="1" s="1"/>
  <c r="BG104" i="1"/>
  <c r="BG66" i="1"/>
  <c r="BH219" i="1"/>
  <c r="BH217" i="1" s="1"/>
  <c r="AQ141" i="1"/>
  <c r="AQ67" i="1" s="1"/>
  <c r="AQ219" i="1"/>
  <c r="AQ217" i="1" s="1"/>
  <c r="AQ104" i="1"/>
  <c r="AR219" i="1"/>
  <c r="AR217" i="1" s="1"/>
  <c r="AQ66" i="1"/>
  <c r="BW219" i="1"/>
  <c r="BW217" i="1" s="1"/>
  <c r="BX219" i="1"/>
  <c r="BX217" i="1" s="1"/>
  <c r="BW141" i="1"/>
  <c r="BW67" i="1" s="1"/>
  <c r="BW66" i="1"/>
  <c r="BW104" i="1"/>
  <c r="BV99" i="1"/>
  <c r="BV98" i="1"/>
  <c r="BV97" i="1"/>
  <c r="BS106" i="1"/>
  <c r="BS107" i="1"/>
  <c r="BS108" i="1"/>
  <c r="AC44" i="1"/>
  <c r="CT206" i="1"/>
  <c r="CT144" i="1"/>
  <c r="CS215" i="1"/>
  <c r="CS213" i="1" s="1"/>
  <c r="W72" i="1"/>
  <c r="BM97" i="1" l="1"/>
  <c r="BM99" i="1"/>
  <c r="BM98" i="1"/>
  <c r="AY106" i="1"/>
  <c r="AY107" i="1"/>
  <c r="AY108" i="1"/>
  <c r="BL81" i="1"/>
  <c r="BK81" i="1"/>
  <c r="BR81" i="1"/>
  <c r="BR98" i="1" s="1"/>
  <c r="BB101" i="1"/>
  <c r="BF97" i="1"/>
  <c r="BF99" i="1"/>
  <c r="BF98" i="1"/>
  <c r="AL97" i="1"/>
  <c r="BJ81" i="1"/>
  <c r="BF101" i="1" s="1"/>
  <c r="BI81" i="1"/>
  <c r="BU106" i="1"/>
  <c r="BU108" i="1"/>
  <c r="BU107" i="1"/>
  <c r="BT81" i="1"/>
  <c r="BS81" i="1"/>
  <c r="AS107" i="1"/>
  <c r="AS108" i="1"/>
  <c r="AS106" i="1"/>
  <c r="BI104" i="1"/>
  <c r="BI141" i="1"/>
  <c r="BI67" i="1" s="1"/>
  <c r="BI219" i="1"/>
  <c r="BI217" i="1" s="1"/>
  <c r="BI66" i="1"/>
  <c r="BJ219" i="1"/>
  <c r="BJ217" i="1" s="1"/>
  <c r="AI222" i="1"/>
  <c r="AI223" i="1" s="1"/>
  <c r="BM106" i="1"/>
  <c r="BU81" i="1"/>
  <c r="BU97" i="1" s="1"/>
  <c r="BO106" i="1"/>
  <c r="BO107" i="1"/>
  <c r="BO108" i="1"/>
  <c r="AL98" i="1"/>
  <c r="AL99" i="1"/>
  <c r="AV81" i="1"/>
  <c r="AT81" i="1"/>
  <c r="BM107" i="1"/>
  <c r="BM108" i="1"/>
  <c r="AU99" i="1"/>
  <c r="AU98" i="1"/>
  <c r="AW81" i="1"/>
  <c r="AW108" i="1"/>
  <c r="AW106" i="1"/>
  <c r="AW107" i="1"/>
  <c r="AQ101" i="1"/>
  <c r="AU97" i="1"/>
  <c r="BL97" i="1"/>
  <c r="BL98" i="1"/>
  <c r="BN101" i="1"/>
  <c r="BR97" i="1"/>
  <c r="BR99" i="1"/>
  <c r="BV82" i="1"/>
  <c r="BH101" i="1"/>
  <c r="BL99" i="1"/>
  <c r="BK97" i="1"/>
  <c r="BK98" i="1"/>
  <c r="BK99" i="1"/>
  <c r="BG101" i="1"/>
  <c r="BV101" i="1"/>
  <c r="BZ82" i="1"/>
  <c r="BW97" i="1"/>
  <c r="BW82" i="1"/>
  <c r="BC107" i="1"/>
  <c r="BC106" i="1"/>
  <c r="BC108" i="1"/>
  <c r="AW101" i="1"/>
  <c r="BE82" i="1"/>
  <c r="BQ98" i="1"/>
  <c r="BM101" i="1"/>
  <c r="AQ98" i="1"/>
  <c r="AQ97" i="1"/>
  <c r="BA99" i="1"/>
  <c r="CD82" i="1"/>
  <c r="BZ99" i="1"/>
  <c r="BX98" i="1"/>
  <c r="BT101" i="1"/>
  <c r="BX99" i="1"/>
  <c r="CB82" i="1"/>
  <c r="BX97" i="1"/>
  <c r="AN99" i="1"/>
  <c r="AR82" i="1"/>
  <c r="AN98" i="1"/>
  <c r="AN97" i="1"/>
  <c r="BO97" i="1"/>
  <c r="BK101" i="1"/>
  <c r="BO98" i="1"/>
  <c r="BO82" i="1"/>
  <c r="BO99" i="1"/>
  <c r="CA82" i="1"/>
  <c r="BS101" i="1"/>
  <c r="BW99" i="1"/>
  <c r="BE99" i="1"/>
  <c r="BI82" i="1"/>
  <c r="BE97" i="1"/>
  <c r="BJ98" i="1"/>
  <c r="BJ82" i="1"/>
  <c r="BJ97" i="1"/>
  <c r="AU82" i="1"/>
  <c r="AQ82" i="1"/>
  <c r="AQ99" i="1"/>
  <c r="BQ97" i="1"/>
  <c r="BQ82" i="1"/>
  <c r="BQ99" i="1"/>
  <c r="AV101" i="1"/>
  <c r="AZ99" i="1"/>
  <c r="AZ98" i="1"/>
  <c r="BD82" i="1"/>
  <c r="AZ97" i="1"/>
  <c r="AZ101" i="1"/>
  <c r="BD97" i="1"/>
  <c r="BH82" i="1"/>
  <c r="BD99" i="1"/>
  <c r="BD98" i="1"/>
  <c r="AY99" i="1"/>
  <c r="AU101" i="1"/>
  <c r="BC82" i="1"/>
  <c r="AY82" i="1"/>
  <c r="BJ99" i="1"/>
  <c r="BW98" i="1"/>
  <c r="AM101" i="1"/>
  <c r="BS82" i="1"/>
  <c r="BC99" i="1"/>
  <c r="AY101" i="1"/>
  <c r="BG82" i="1"/>
  <c r="BC98" i="1"/>
  <c r="BC97" i="1"/>
  <c r="BM82" i="1"/>
  <c r="BI99" i="1"/>
  <c r="BI97" i="1"/>
  <c r="BI98" i="1"/>
  <c r="BE101" i="1"/>
  <c r="AO99" i="1"/>
  <c r="AO97" i="1"/>
  <c r="AS82" i="1"/>
  <c r="AO98" i="1"/>
  <c r="BP82" i="1"/>
  <c r="BL101" i="1"/>
  <c r="BP98" i="1"/>
  <c r="BP99" i="1"/>
  <c r="BP97" i="1"/>
  <c r="AS98" i="1"/>
  <c r="AO101" i="1"/>
  <c r="AS99" i="1"/>
  <c r="AS97" i="1"/>
  <c r="BA97" i="1"/>
  <c r="BA98" i="1"/>
  <c r="BC101" i="1"/>
  <c r="BG97" i="1"/>
  <c r="BG98" i="1"/>
  <c r="BG99" i="1"/>
  <c r="BK82" i="1"/>
  <c r="AY97" i="1"/>
  <c r="BZ98" i="1"/>
  <c r="CC102" i="1" s="1"/>
  <c r="BA101" i="1"/>
  <c r="BN82" i="1"/>
  <c r="BZ97" i="1"/>
  <c r="CC82" i="1"/>
  <c r="BY99" i="1"/>
  <c r="BU101" i="1"/>
  <c r="BY98" i="1"/>
  <c r="BY97" i="1"/>
  <c r="AX101" i="1"/>
  <c r="BF82" i="1"/>
  <c r="BB99" i="1"/>
  <c r="BB98" i="1"/>
  <c r="BB97" i="1"/>
  <c r="BH99" i="1"/>
  <c r="BH97" i="1"/>
  <c r="BD101" i="1"/>
  <c r="BL82" i="1"/>
  <c r="BH98" i="1"/>
  <c r="AT82" i="1"/>
  <c r="AP99" i="1"/>
  <c r="AP82" i="1"/>
  <c r="AL101" i="1"/>
  <c r="AP98" i="1"/>
  <c r="AP97" i="1"/>
  <c r="BJ101" i="1"/>
  <c r="BN99" i="1"/>
  <c r="BN97" i="1"/>
  <c r="BN98" i="1"/>
  <c r="AN101" i="1"/>
  <c r="AR99" i="1"/>
  <c r="AR98" i="1"/>
  <c r="AR97" i="1"/>
  <c r="AX98" i="1"/>
  <c r="BB82" i="1"/>
  <c r="AX97" i="1"/>
  <c r="AT101" i="1"/>
  <c r="AX99" i="1"/>
  <c r="BX82" i="1"/>
  <c r="BW106" i="1"/>
  <c r="BW108" i="1"/>
  <c r="BW107" i="1"/>
  <c r="BG106" i="1"/>
  <c r="BG108" i="1"/>
  <c r="BG107" i="1"/>
  <c r="AQ107" i="1"/>
  <c r="AQ108" i="1"/>
  <c r="AQ106" i="1"/>
  <c r="AC206" i="1"/>
  <c r="AC144" i="1"/>
  <c r="AC146" i="1" s="1"/>
  <c r="AC45" i="1" s="1"/>
  <c r="CT146" i="1"/>
  <c r="AD137" i="1"/>
  <c r="AD140" i="1" s="1"/>
  <c r="AD261" i="1" s="1"/>
  <c r="AR121" i="1"/>
  <c r="W73" i="1"/>
  <c r="BR82" i="1" l="1"/>
  <c r="BP101" i="1"/>
  <c r="BT99" i="1"/>
  <c r="BT97" i="1"/>
  <c r="BT98" i="1"/>
  <c r="BS99" i="1"/>
  <c r="BO101" i="1"/>
  <c r="BS98" i="1"/>
  <c r="BS97" i="1"/>
  <c r="BT82" i="1"/>
  <c r="BY82" i="1"/>
  <c r="BI107" i="1"/>
  <c r="BI108" i="1"/>
  <c r="BI106" i="1"/>
  <c r="BQ101" i="1"/>
  <c r="BU99" i="1"/>
  <c r="BU98" i="1"/>
  <c r="BU82" i="1"/>
  <c r="AX82" i="1"/>
  <c r="AP101" i="1"/>
  <c r="AT98" i="1"/>
  <c r="AV98" i="1"/>
  <c r="AV97" i="1"/>
  <c r="AZ82" i="1"/>
  <c r="AV99" i="1"/>
  <c r="AR101" i="1"/>
  <c r="AT99" i="1"/>
  <c r="AT97" i="1"/>
  <c r="AV82" i="1"/>
  <c r="AW82" i="1"/>
  <c r="AW97" i="1"/>
  <c r="AW98" i="1"/>
  <c r="AS101" i="1"/>
  <c r="BA82" i="1"/>
  <c r="AW99" i="1"/>
  <c r="CB102" i="1"/>
  <c r="BT102" i="1"/>
  <c r="BH102" i="1"/>
  <c r="BM102" i="1"/>
  <c r="BG102" i="1"/>
  <c r="BN102" i="1"/>
  <c r="BB102" i="1"/>
  <c r="BI102" i="1"/>
  <c r="BL102" i="1"/>
  <c r="BY102" i="1"/>
  <c r="AZ102" i="1"/>
  <c r="AR102" i="1"/>
  <c r="AV102" i="1"/>
  <c r="BJ102" i="1"/>
  <c r="BE102" i="1"/>
  <c r="AS102" i="1"/>
  <c r="AU102" i="1"/>
  <c r="BA102" i="1"/>
  <c r="AT102" i="1"/>
  <c r="AQ102" i="1"/>
  <c r="AP102" i="1"/>
  <c r="AO102" i="1"/>
  <c r="BP102" i="1"/>
  <c r="BO102" i="1"/>
  <c r="AX102" i="1"/>
  <c r="CA102" i="1"/>
  <c r="BR102" i="1"/>
  <c r="BC102" i="1"/>
  <c r="BZ102" i="1"/>
  <c r="BF102" i="1"/>
  <c r="BS102" i="1"/>
  <c r="BD102" i="1"/>
  <c r="BK102" i="1"/>
  <c r="BQ102" i="1"/>
  <c r="BX102" i="1"/>
  <c r="BW102" i="1"/>
  <c r="BV102" i="1"/>
  <c r="BU102" i="1"/>
  <c r="CU44" i="1"/>
  <c r="CT150" i="1"/>
  <c r="AD218" i="1"/>
  <c r="AB150" i="1"/>
  <c r="AR122" i="1"/>
  <c r="AR125" i="1" s="1"/>
  <c r="AR123" i="1"/>
  <c r="AR126" i="1" s="1"/>
  <c r="CA239" i="1"/>
  <c r="CB239" i="1"/>
  <c r="W205" i="1"/>
  <c r="W207" i="1" s="1"/>
  <c r="BU239" i="1"/>
  <c r="AW102" i="1" l="1"/>
  <c r="AY102" i="1"/>
  <c r="CT215" i="1"/>
  <c r="CT213" i="1" s="1"/>
  <c r="CU206" i="1"/>
  <c r="CU144" i="1"/>
  <c r="AB215" i="1"/>
  <c r="AB213" i="1" s="1"/>
  <c r="AE136" i="1"/>
  <c r="CA101" i="1"/>
  <c r="CU146" i="1" l="1"/>
  <c r="CF101" i="1"/>
  <c r="CU150" i="1" l="1"/>
  <c r="CV44" i="1"/>
  <c r="AE137" i="1"/>
  <c r="AE140" i="1" s="1"/>
  <c r="AE261" i="1" s="1"/>
  <c r="CV206" i="1" l="1"/>
  <c r="CV144" i="1"/>
  <c r="CU215" i="1"/>
  <c r="CU213" i="1" s="1"/>
  <c r="AE218" i="1"/>
  <c r="AC150" i="1"/>
  <c r="W132" i="1"/>
  <c r="CV146" i="1" l="1"/>
  <c r="W66" i="1"/>
  <c r="AC215" i="1"/>
  <c r="AC213" i="1" s="1"/>
  <c r="X219" i="1"/>
  <c r="X217" i="1" s="1"/>
  <c r="W219" i="1"/>
  <c r="W217" i="1" s="1"/>
  <c r="W141" i="1"/>
  <c r="W67" i="1" s="1"/>
  <c r="W187" i="1"/>
  <c r="CW44" i="1" l="1"/>
  <c r="CV150" i="1"/>
  <c r="CV215" i="1" l="1"/>
  <c r="CV213" i="1" s="1"/>
  <c r="CW206" i="1"/>
  <c r="CW144" i="1"/>
  <c r="CW146" i="1" l="1"/>
  <c r="CW150" i="1" l="1"/>
  <c r="CX44" i="1"/>
  <c r="AD44" i="1" l="1"/>
  <c r="CX206" i="1"/>
  <c r="CX144" i="1"/>
  <c r="CW215" i="1"/>
  <c r="CW213" i="1" s="1"/>
  <c r="AD206" i="1" l="1"/>
  <c r="AD144" i="1"/>
  <c r="AD146" i="1" s="1"/>
  <c r="CX146" i="1"/>
  <c r="AD150" i="1" l="1"/>
  <c r="AD215" i="1" s="1"/>
  <c r="AD213" i="1" s="1"/>
  <c r="AD45" i="1"/>
  <c r="CX150" i="1"/>
  <c r="CY44" i="1"/>
  <c r="CY206" i="1" l="1"/>
  <c r="CY144" i="1"/>
  <c r="CX215" i="1"/>
  <c r="CX213" i="1" s="1"/>
  <c r="CY146" i="1" l="1"/>
  <c r="W192" i="1"/>
  <c r="CY150" i="1" l="1"/>
  <c r="CZ44" i="1"/>
  <c r="W195" i="1"/>
  <c r="W168" i="1"/>
  <c r="X209" i="1" s="1"/>
  <c r="CZ206" i="1" l="1"/>
  <c r="CZ144" i="1"/>
  <c r="CY215" i="1"/>
  <c r="CY213" i="1" s="1"/>
  <c r="W197" i="1"/>
  <c r="W196" i="1" s="1"/>
  <c r="W209" i="1"/>
  <c r="W160" i="1"/>
  <c r="X208" i="1" s="1"/>
  <c r="X210" i="1" s="1"/>
  <c r="X211" i="1" s="1"/>
  <c r="X225" i="1" s="1"/>
  <c r="W191" i="1"/>
  <c r="CZ146" i="1" l="1"/>
  <c r="W194" i="1"/>
  <c r="W169" i="1"/>
  <c r="W208" i="1"/>
  <c r="W210" i="1" s="1"/>
  <c r="W211" i="1" s="1"/>
  <c r="CZ150" i="1" l="1"/>
  <c r="CZ215" i="1" s="1"/>
  <c r="CZ213" i="1" s="1"/>
  <c r="DA44" i="1"/>
  <c r="W193" i="1"/>
  <c r="W198" i="1"/>
  <c r="W222" i="1"/>
  <c r="W225" i="1"/>
  <c r="DA206" i="1" l="1"/>
  <c r="DA144" i="1"/>
  <c r="W201" i="1"/>
  <c r="W202" i="1" s="1"/>
  <c r="X201" i="1"/>
  <c r="X202" i="1" s="1"/>
  <c r="DA146" i="1" l="1"/>
  <c r="W173" i="1"/>
  <c r="X221" i="1" l="1"/>
  <c r="X222" i="1" s="1"/>
  <c r="X223" i="1" s="1"/>
  <c r="W258" i="1"/>
  <c r="W260" i="1"/>
  <c r="W256" i="1"/>
  <c r="DA150" i="1"/>
  <c r="DA215" i="1" s="1"/>
  <c r="DA213" i="1" s="1"/>
  <c r="DB44" i="1"/>
  <c r="W180" i="1"/>
  <c r="W121" i="1" s="1"/>
  <c r="W177" i="1"/>
  <c r="W223" i="1"/>
  <c r="AE44" i="1" l="1"/>
  <c r="AE206" i="1" s="1"/>
  <c r="DB206" i="1"/>
  <c r="DB144" i="1"/>
  <c r="W178" i="1"/>
  <c r="DB146" i="1" l="1"/>
  <c r="DB150" i="1" s="1"/>
  <c r="DB215" i="1" s="1"/>
  <c r="DB213" i="1" s="1"/>
  <c r="AE144" i="1"/>
  <c r="AE146" i="1" s="1"/>
  <c r="C113" i="2"/>
  <c r="C112" i="2"/>
  <c r="C111" i="2"/>
  <c r="AE150" i="1" l="1"/>
  <c r="AE215" i="1" s="1"/>
  <c r="AE213" i="1" s="1"/>
  <c r="AE45" i="1"/>
  <c r="B85" i="1"/>
  <c r="B86" i="1"/>
  <c r="AK191" i="1" l="1"/>
  <c r="AK156" i="1" s="1"/>
  <c r="AM156" i="1" l="1"/>
  <c r="AO156" i="1" l="1"/>
  <c r="AQ156" i="1" l="1"/>
  <c r="AS156" i="1" l="1"/>
  <c r="AU156" i="1" l="1"/>
  <c r="AW156" i="1" l="1"/>
  <c r="AY156" i="1" l="1"/>
  <c r="BA156" i="1" l="1"/>
  <c r="BC156" i="1" l="1"/>
  <c r="BE156" i="1" l="1"/>
  <c r="BG156" i="1" l="1"/>
  <c r="BI156" i="1" l="1"/>
  <c r="BK156" i="1" l="1"/>
  <c r="BM156" i="1" l="1"/>
  <c r="BO156" i="1" l="1"/>
  <c r="BQ156" i="1" l="1"/>
  <c r="BS156" i="1" l="1"/>
  <c r="BU156" i="1" l="1"/>
  <c r="BW156" i="1" l="1"/>
  <c r="BY156" i="1" l="1"/>
  <c r="AK157" i="1" l="1"/>
  <c r="AK160" i="1" s="1"/>
  <c r="AL208" i="1" l="1"/>
  <c r="AK208" i="1"/>
  <c r="AK194" i="1"/>
  <c r="AM157" i="1"/>
  <c r="AM160" i="1" s="1"/>
  <c r="AM194" i="1" l="1"/>
  <c r="AM193" i="1" s="1"/>
  <c r="AN208" i="1"/>
  <c r="AM208" i="1"/>
  <c r="AJ193" i="1"/>
  <c r="AK193" i="1"/>
  <c r="AO157" i="1" l="1"/>
  <c r="AO160" i="1" s="1"/>
  <c r="AP208" i="1" l="1"/>
  <c r="AO194" i="1"/>
  <c r="AO193" i="1" s="1"/>
  <c r="AO208" i="1"/>
  <c r="AQ157" i="1" l="1"/>
  <c r="AQ160" i="1" s="1"/>
  <c r="AQ194" i="1" l="1"/>
  <c r="AQ193" i="1" s="1"/>
  <c r="AR208" i="1"/>
  <c r="AQ208" i="1"/>
  <c r="AS157" i="1" l="1"/>
  <c r="AS160" i="1" s="1"/>
  <c r="AT208" i="1" l="1"/>
  <c r="AS194" i="1"/>
  <c r="AS193" i="1" s="1"/>
  <c r="AS208" i="1"/>
  <c r="AU157" i="1" l="1"/>
  <c r="AU160" i="1" s="1"/>
  <c r="AU194" i="1" l="1"/>
  <c r="AU193" i="1" s="1"/>
  <c r="AV208" i="1"/>
  <c r="AU208" i="1"/>
  <c r="AW157" i="1" l="1"/>
  <c r="AW160" i="1" s="1"/>
  <c r="AW194" i="1" l="1"/>
  <c r="AW193" i="1" s="1"/>
  <c r="AX208" i="1"/>
  <c r="AW208" i="1"/>
  <c r="AY157" i="1" l="1"/>
  <c r="AY160" i="1" s="1"/>
  <c r="AY194" i="1" l="1"/>
  <c r="AY193" i="1" s="1"/>
  <c r="AZ208" i="1"/>
  <c r="AY208" i="1"/>
  <c r="BA157" i="1" l="1"/>
  <c r="BA160" i="1" s="1"/>
  <c r="BB208" i="1" l="1"/>
  <c r="BA194" i="1"/>
  <c r="BA193" i="1" s="1"/>
  <c r="BA208" i="1"/>
  <c r="BC157" i="1" l="1"/>
  <c r="BC160" i="1" s="1"/>
  <c r="BD208" i="1" l="1"/>
  <c r="BC194" i="1"/>
  <c r="BC193" i="1" s="1"/>
  <c r="BC208" i="1"/>
  <c r="BE157" i="1" l="1"/>
  <c r="BE160" i="1" s="1"/>
  <c r="BF208" i="1" l="1"/>
  <c r="BE194" i="1"/>
  <c r="BE193" i="1" s="1"/>
  <c r="BE208" i="1"/>
  <c r="BG157" i="1" l="1"/>
  <c r="BG160" i="1" s="1"/>
  <c r="BG194" i="1" l="1"/>
  <c r="BG193" i="1" s="1"/>
  <c r="BH208" i="1"/>
  <c r="BG208" i="1"/>
  <c r="BI157" i="1" l="1"/>
  <c r="BI160" i="1" s="1"/>
  <c r="BJ208" i="1" l="1"/>
  <c r="BI194" i="1"/>
  <c r="BI193" i="1" s="1"/>
  <c r="BI208" i="1"/>
  <c r="BK157" i="1" l="1"/>
  <c r="BK160" i="1" s="1"/>
  <c r="BL208" i="1" l="1"/>
  <c r="BK194" i="1"/>
  <c r="BK193" i="1" s="1"/>
  <c r="BK208" i="1"/>
  <c r="BM157" i="1" l="1"/>
  <c r="BM160" i="1" s="1"/>
  <c r="BM194" i="1" l="1"/>
  <c r="BM193" i="1" s="1"/>
  <c r="BN208" i="1"/>
  <c r="BM208" i="1"/>
  <c r="BO157" i="1" l="1"/>
  <c r="BO160" i="1" s="1"/>
  <c r="BO194" i="1" l="1"/>
  <c r="BO193" i="1" s="1"/>
  <c r="BP208" i="1"/>
  <c r="BO208" i="1"/>
  <c r="BQ157" i="1" l="1"/>
  <c r="BQ160" i="1" s="1"/>
  <c r="BR208" i="1" l="1"/>
  <c r="BQ194" i="1"/>
  <c r="BQ193" i="1" s="1"/>
  <c r="BQ208" i="1"/>
  <c r="BS157" i="1" l="1"/>
  <c r="BS160" i="1" s="1"/>
  <c r="BT208" i="1" l="1"/>
  <c r="BS194" i="1"/>
  <c r="BS193" i="1" s="1"/>
  <c r="BS208" i="1"/>
  <c r="BU157" i="1" l="1"/>
  <c r="BU160" i="1" s="1"/>
  <c r="BU194" i="1" l="1"/>
  <c r="BU193" i="1" s="1"/>
  <c r="BV208" i="1"/>
  <c r="BU208" i="1"/>
  <c r="BW157" i="1" l="1"/>
  <c r="BW160" i="1" s="1"/>
  <c r="BW194" i="1" l="1"/>
  <c r="BW193" i="1" s="1"/>
  <c r="BX208" i="1"/>
  <c r="BW208" i="1"/>
  <c r="BY157" i="1" l="1"/>
  <c r="BY160" i="1" s="1"/>
  <c r="BZ208" i="1" l="1"/>
  <c r="BY194" i="1"/>
  <c r="BY193" i="1" s="1"/>
  <c r="BY208" i="1"/>
  <c r="AK195" i="1" l="1"/>
  <c r="AK165" i="1" s="1"/>
  <c r="AK168" i="1" s="1"/>
  <c r="AK169" i="1" l="1"/>
  <c r="AK197" i="1"/>
  <c r="AL209" i="1"/>
  <c r="AL210" i="1" s="1"/>
  <c r="AL211" i="1" s="1"/>
  <c r="AL225" i="1" s="1"/>
  <c r="AK209" i="1"/>
  <c r="AK210" i="1" s="1"/>
  <c r="AK211" i="1" s="1"/>
  <c r="AM165" i="1"/>
  <c r="AM168" i="1" s="1"/>
  <c r="AK225" i="1" l="1"/>
  <c r="AK222" i="1"/>
  <c r="AK172" i="1" s="1"/>
  <c r="AK173" i="1" s="1"/>
  <c r="AK177" i="1" s="1"/>
  <c r="AK178" i="1" s="1"/>
  <c r="AN209" i="1"/>
  <c r="AN210" i="1" s="1"/>
  <c r="AN211" i="1" s="1"/>
  <c r="AN225" i="1" s="1"/>
  <c r="AM197" i="1"/>
  <c r="AM196" i="1" s="1"/>
  <c r="AM209" i="1"/>
  <c r="AM210" i="1" s="1"/>
  <c r="AM211" i="1" s="1"/>
  <c r="AM169" i="1"/>
  <c r="AJ196" i="1"/>
  <c r="AJ198" i="1"/>
  <c r="AN201" i="1" s="1"/>
  <c r="AK196" i="1"/>
  <c r="AK198" i="1"/>
  <c r="AO165" i="1"/>
  <c r="AO168" i="1" s="1"/>
  <c r="AM198" i="1" l="1"/>
  <c r="AO197" i="1"/>
  <c r="AO196" i="1" s="1"/>
  <c r="AP209" i="1"/>
  <c r="AP210" i="1" s="1"/>
  <c r="AP211" i="1" s="1"/>
  <c r="AP225" i="1" s="1"/>
  <c r="AO209" i="1"/>
  <c r="AO210" i="1" s="1"/>
  <c r="AO211" i="1" s="1"/>
  <c r="AM225" i="1"/>
  <c r="AM222" i="1"/>
  <c r="AO169" i="1"/>
  <c r="AL221" i="1" l="1"/>
  <c r="AL222" i="1" s="1"/>
  <c r="AL223" i="1" s="1"/>
  <c r="AK223" i="1"/>
  <c r="AO198" i="1"/>
  <c r="AO201" i="1" s="1"/>
  <c r="AO225" i="1"/>
  <c r="AO222" i="1"/>
  <c r="AQ165" i="1"/>
  <c r="AQ168" i="1" s="1"/>
  <c r="AK180" i="1"/>
  <c r="AL49" i="1" s="1"/>
  <c r="AM172" i="1"/>
  <c r="AM173" i="1" s="1"/>
  <c r="AM177" i="1" s="1"/>
  <c r="AN221" i="1" l="1"/>
  <c r="AN222" i="1" s="1"/>
  <c r="AN223" i="1" s="1"/>
  <c r="AM260" i="1"/>
  <c r="AM258" i="1"/>
  <c r="AM256" i="1"/>
  <c r="AQ197" i="1"/>
  <c r="AQ196" i="1" s="1"/>
  <c r="AR209" i="1"/>
  <c r="AR210" i="1" s="1"/>
  <c r="AR211" i="1" s="1"/>
  <c r="AR225" i="1" s="1"/>
  <c r="AQ209" i="1"/>
  <c r="AQ210" i="1" s="1"/>
  <c r="AQ211" i="1" s="1"/>
  <c r="AM223" i="1"/>
  <c r="AQ169" i="1"/>
  <c r="AO172" i="1"/>
  <c r="AO173" i="1" s="1"/>
  <c r="AM180" i="1"/>
  <c r="AO258" i="1" l="1"/>
  <c r="AO260" i="1"/>
  <c r="AO256" i="1"/>
  <c r="AM121" i="1"/>
  <c r="AM122" i="1" s="1"/>
  <c r="AM125" i="1" s="1"/>
  <c r="AN49" i="1"/>
  <c r="AQ198" i="1"/>
  <c r="AQ201" i="1" s="1"/>
  <c r="AQ225" i="1"/>
  <c r="AQ222" i="1"/>
  <c r="AP221" i="1"/>
  <c r="AP222" i="1" s="1"/>
  <c r="AP223" i="1" s="1"/>
  <c r="AO223" i="1"/>
  <c r="AS165" i="1"/>
  <c r="AS168" i="1" s="1"/>
  <c r="AO180" i="1"/>
  <c r="AO177" i="1"/>
  <c r="AM178" i="1"/>
  <c r="AM123" i="1" l="1"/>
  <c r="AM126" i="1" s="1"/>
  <c r="AO121" i="1"/>
  <c r="AO123" i="1" s="1"/>
  <c r="AO126" i="1" s="1"/>
  <c r="AP49" i="1"/>
  <c r="AS197" i="1"/>
  <c r="AS196" i="1" s="1"/>
  <c r="AT209" i="1"/>
  <c r="AT210" i="1" s="1"/>
  <c r="AT211" i="1" s="1"/>
  <c r="AT225" i="1" s="1"/>
  <c r="AS209" i="1"/>
  <c r="AS210" i="1" s="1"/>
  <c r="AS211" i="1" s="1"/>
  <c r="AO178" i="1"/>
  <c r="AS169" i="1"/>
  <c r="AQ172" i="1"/>
  <c r="AQ173" i="1" s="1"/>
  <c r="AQ258" i="1" l="1"/>
  <c r="AQ260" i="1"/>
  <c r="AQ256" i="1"/>
  <c r="AO122" i="1"/>
  <c r="AO125" i="1" s="1"/>
  <c r="AS198" i="1"/>
  <c r="AS201" i="1" s="1"/>
  <c r="AS225" i="1"/>
  <c r="AS222" i="1"/>
  <c r="AR221" i="1"/>
  <c r="AR222" i="1" s="1"/>
  <c r="AR223" i="1" s="1"/>
  <c r="AQ223" i="1"/>
  <c r="AQ177" i="1"/>
  <c r="AQ180" i="1"/>
  <c r="AU165" i="1"/>
  <c r="AU168" i="1" s="1"/>
  <c r="AQ121" i="1" l="1"/>
  <c r="AQ122" i="1" s="1"/>
  <c r="AQ125" i="1" s="1"/>
  <c r="AR49" i="1"/>
  <c r="AU197" i="1"/>
  <c r="AU196" i="1" s="1"/>
  <c r="AV209" i="1"/>
  <c r="AV210" i="1" s="1"/>
  <c r="AV211" i="1" s="1"/>
  <c r="AV225" i="1" s="1"/>
  <c r="AU209" i="1"/>
  <c r="AU210" i="1" s="1"/>
  <c r="AU211" i="1" s="1"/>
  <c r="AU169" i="1"/>
  <c r="AS172" i="1"/>
  <c r="AS173" i="1" s="1"/>
  <c r="AQ178" i="1"/>
  <c r="AS260" i="1" l="1"/>
  <c r="AS258" i="1"/>
  <c r="AS256" i="1"/>
  <c r="AQ123" i="1"/>
  <c r="AQ126" i="1" s="1"/>
  <c r="AU198" i="1"/>
  <c r="AU201" i="1" s="1"/>
  <c r="AU225" i="1"/>
  <c r="AU222" i="1"/>
  <c r="AT221" i="1"/>
  <c r="AT222" i="1" s="1"/>
  <c r="AT223" i="1" s="1"/>
  <c r="AS223" i="1"/>
  <c r="AS180" i="1"/>
  <c r="AS177" i="1"/>
  <c r="AW165" i="1"/>
  <c r="AW168" i="1" s="1"/>
  <c r="AS121" i="1" l="1"/>
  <c r="AS122" i="1" s="1"/>
  <c r="AS125" i="1" s="1"/>
  <c r="AT49" i="1"/>
  <c r="AW197" i="1"/>
  <c r="AW198" i="1" s="1"/>
  <c r="AW201" i="1" s="1"/>
  <c r="AX209" i="1"/>
  <c r="AX210" i="1" s="1"/>
  <c r="AX211" i="1" s="1"/>
  <c r="AX225" i="1" s="1"/>
  <c r="AW209" i="1"/>
  <c r="AW210" i="1" s="1"/>
  <c r="AW211" i="1" s="1"/>
  <c r="AU172" i="1"/>
  <c r="AU173" i="1" s="1"/>
  <c r="AS178" i="1"/>
  <c r="AW169" i="1"/>
  <c r="AU260" i="1" l="1"/>
  <c r="AU258" i="1"/>
  <c r="AU256" i="1"/>
  <c r="AS123" i="1"/>
  <c r="AS126" i="1" s="1"/>
  <c r="AW196" i="1"/>
  <c r="AW225" i="1"/>
  <c r="AW222" i="1"/>
  <c r="AV221" i="1"/>
  <c r="AV222" i="1" s="1"/>
  <c r="AV223" i="1" s="1"/>
  <c r="AU223" i="1"/>
  <c r="AU180" i="1"/>
  <c r="AU177" i="1"/>
  <c r="AY165" i="1"/>
  <c r="AY168" i="1" s="1"/>
  <c r="AU121" i="1" l="1"/>
  <c r="AU123" i="1" s="1"/>
  <c r="AU126" i="1" s="1"/>
  <c r="AV49" i="1"/>
  <c r="AY197" i="1"/>
  <c r="AY196" i="1" s="1"/>
  <c r="AZ209" i="1"/>
  <c r="AZ210" i="1" s="1"/>
  <c r="AZ211" i="1" s="1"/>
  <c r="AZ225" i="1" s="1"/>
  <c r="AY209" i="1"/>
  <c r="AY210" i="1" s="1"/>
  <c r="AY211" i="1" s="1"/>
  <c r="AW172" i="1"/>
  <c r="AW173" i="1" s="1"/>
  <c r="AY169" i="1"/>
  <c r="AU178" i="1"/>
  <c r="AW258" i="1" l="1"/>
  <c r="AW260" i="1"/>
  <c r="AW256" i="1"/>
  <c r="AU122" i="1"/>
  <c r="AU125" i="1" s="1"/>
  <c r="AY198" i="1"/>
  <c r="AY201" i="1" s="1"/>
  <c r="AY225" i="1"/>
  <c r="AY222" i="1"/>
  <c r="AX221" i="1"/>
  <c r="AX222" i="1" s="1"/>
  <c r="AX223" i="1" s="1"/>
  <c r="AW223" i="1"/>
  <c r="BA165" i="1"/>
  <c r="BA168" i="1" s="1"/>
  <c r="AW177" i="1"/>
  <c r="AW180" i="1"/>
  <c r="AW121" i="1" l="1"/>
  <c r="AW123" i="1" s="1"/>
  <c r="AW126" i="1" s="1"/>
  <c r="AX49" i="1"/>
  <c r="BB209" i="1"/>
  <c r="BB210" i="1" s="1"/>
  <c r="BB211" i="1" s="1"/>
  <c r="BB225" i="1" s="1"/>
  <c r="BA197" i="1"/>
  <c r="BA196" i="1" s="1"/>
  <c r="BA209" i="1"/>
  <c r="BA210" i="1" s="1"/>
  <c r="BA211" i="1" s="1"/>
  <c r="AW178" i="1"/>
  <c r="BA169" i="1"/>
  <c r="AY172" i="1"/>
  <c r="AY173" i="1" s="1"/>
  <c r="AY258" i="1" l="1"/>
  <c r="AY260" i="1"/>
  <c r="AY256" i="1"/>
  <c r="AW122" i="1"/>
  <c r="AW125" i="1" s="1"/>
  <c r="BA198" i="1"/>
  <c r="BA201" i="1" s="1"/>
  <c r="BA225" i="1"/>
  <c r="BA222" i="1"/>
  <c r="AZ221" i="1"/>
  <c r="AZ222" i="1" s="1"/>
  <c r="AZ223" i="1" s="1"/>
  <c r="AY223" i="1"/>
  <c r="AY177" i="1"/>
  <c r="AY180" i="1"/>
  <c r="BC165" i="1"/>
  <c r="BC168" i="1" s="1"/>
  <c r="AY121" i="1" l="1"/>
  <c r="AY123" i="1" s="1"/>
  <c r="AY126" i="1" s="1"/>
  <c r="AZ49" i="1"/>
  <c r="BC197" i="1"/>
  <c r="BC196" i="1" s="1"/>
  <c r="BD209" i="1"/>
  <c r="BD210" i="1" s="1"/>
  <c r="BD211" i="1" s="1"/>
  <c r="BD225" i="1" s="1"/>
  <c r="BC209" i="1"/>
  <c r="BC210" i="1" s="1"/>
  <c r="BC211" i="1" s="1"/>
  <c r="AY178" i="1"/>
  <c r="BC169" i="1"/>
  <c r="BA172" i="1"/>
  <c r="BA173" i="1" s="1"/>
  <c r="BA260" i="1" l="1"/>
  <c r="BA258" i="1"/>
  <c r="BA256" i="1"/>
  <c r="AY122" i="1"/>
  <c r="AY125" i="1" s="1"/>
  <c r="BC198" i="1"/>
  <c r="BC201" i="1" s="1"/>
  <c r="BC225" i="1"/>
  <c r="BC222" i="1"/>
  <c r="BB221" i="1"/>
  <c r="BB222" i="1" s="1"/>
  <c r="BB223" i="1" s="1"/>
  <c r="BA223" i="1"/>
  <c r="BE165" i="1"/>
  <c r="BE168" i="1" s="1"/>
  <c r="BA180" i="1"/>
  <c r="BA177" i="1"/>
  <c r="BA121" i="1" l="1"/>
  <c r="BA122" i="1" s="1"/>
  <c r="BA125" i="1" s="1"/>
  <c r="BB49" i="1"/>
  <c r="BE197" i="1"/>
  <c r="BE196" i="1" s="1"/>
  <c r="BF209" i="1"/>
  <c r="BF210" i="1" s="1"/>
  <c r="BF211" i="1" s="1"/>
  <c r="BF225" i="1" s="1"/>
  <c r="BE209" i="1"/>
  <c r="BE210" i="1" s="1"/>
  <c r="BE211" i="1" s="1"/>
  <c r="BC172" i="1"/>
  <c r="BC173" i="1" s="1"/>
  <c r="BA178" i="1"/>
  <c r="BE169" i="1"/>
  <c r="BC260" i="1" l="1"/>
  <c r="BC258" i="1"/>
  <c r="BC256" i="1"/>
  <c r="BA123" i="1"/>
  <c r="BA126" i="1" s="1"/>
  <c r="BE198" i="1"/>
  <c r="BE201" i="1" s="1"/>
  <c r="BE225" i="1"/>
  <c r="BE222" i="1"/>
  <c r="BD221" i="1"/>
  <c r="BD222" i="1" s="1"/>
  <c r="BD223" i="1" s="1"/>
  <c r="BC223" i="1"/>
  <c r="BG165" i="1"/>
  <c r="BG168" i="1" s="1"/>
  <c r="BC177" i="1"/>
  <c r="BC180" i="1"/>
  <c r="BC121" i="1" l="1"/>
  <c r="BC122" i="1" s="1"/>
  <c r="BC125" i="1" s="1"/>
  <c r="BD49" i="1"/>
  <c r="BG197" i="1"/>
  <c r="BG198" i="1" s="1"/>
  <c r="BG201" i="1" s="1"/>
  <c r="BH209" i="1"/>
  <c r="BH210" i="1" s="1"/>
  <c r="BH211" i="1" s="1"/>
  <c r="BH225" i="1" s="1"/>
  <c r="BG209" i="1"/>
  <c r="BG210" i="1" s="1"/>
  <c r="BG211" i="1" s="1"/>
  <c r="BC178" i="1"/>
  <c r="BE172" i="1"/>
  <c r="BE173" i="1" s="1"/>
  <c r="BG169" i="1"/>
  <c r="BE258" i="1" l="1"/>
  <c r="BE260" i="1"/>
  <c r="BE256" i="1"/>
  <c r="BC123" i="1"/>
  <c r="BC126" i="1" s="1"/>
  <c r="BG196" i="1"/>
  <c r="BG225" i="1"/>
  <c r="BG222" i="1"/>
  <c r="BF221" i="1"/>
  <c r="BF222" i="1" s="1"/>
  <c r="BF223" i="1" s="1"/>
  <c r="BE223" i="1"/>
  <c r="BE180" i="1"/>
  <c r="BE177" i="1"/>
  <c r="BI165" i="1"/>
  <c r="BI168" i="1" s="1"/>
  <c r="BE121" i="1" l="1"/>
  <c r="BE122" i="1" s="1"/>
  <c r="BE125" i="1" s="1"/>
  <c r="BF49" i="1"/>
  <c r="BI197" i="1"/>
  <c r="BI196" i="1" s="1"/>
  <c r="BJ209" i="1"/>
  <c r="BJ210" i="1" s="1"/>
  <c r="BJ211" i="1" s="1"/>
  <c r="BJ225" i="1" s="1"/>
  <c r="BI209" i="1"/>
  <c r="BI210" i="1" s="1"/>
  <c r="BI211" i="1" s="1"/>
  <c r="BE178" i="1"/>
  <c r="BG172" i="1"/>
  <c r="BG173" i="1" s="1"/>
  <c r="BI169" i="1"/>
  <c r="BG258" i="1" l="1"/>
  <c r="BG260" i="1"/>
  <c r="BG256" i="1"/>
  <c r="BE123" i="1"/>
  <c r="BE126" i="1" s="1"/>
  <c r="BI198" i="1"/>
  <c r="BI201" i="1" s="1"/>
  <c r="BI225" i="1"/>
  <c r="BI222" i="1"/>
  <c r="BH221" i="1"/>
  <c r="BH222" i="1" s="1"/>
  <c r="BH223" i="1" s="1"/>
  <c r="BG223" i="1"/>
  <c r="BG177" i="1"/>
  <c r="BG180" i="1"/>
  <c r="BK165" i="1"/>
  <c r="BK168" i="1" s="1"/>
  <c r="BG121" i="1" l="1"/>
  <c r="BG122" i="1" s="1"/>
  <c r="BG125" i="1" s="1"/>
  <c r="BH49" i="1"/>
  <c r="BL209" i="1"/>
  <c r="BL210" i="1" s="1"/>
  <c r="BL211" i="1" s="1"/>
  <c r="BL225" i="1" s="1"/>
  <c r="BK197" i="1"/>
  <c r="BK196" i="1" s="1"/>
  <c r="BK209" i="1"/>
  <c r="BK210" i="1" s="1"/>
  <c r="BK211" i="1" s="1"/>
  <c r="BK169" i="1"/>
  <c r="BG178" i="1"/>
  <c r="BI172" i="1"/>
  <c r="BI173" i="1" s="1"/>
  <c r="BI260" i="1" l="1"/>
  <c r="BI258" i="1"/>
  <c r="BI256" i="1"/>
  <c r="BG123" i="1"/>
  <c r="BG126" i="1" s="1"/>
  <c r="BK198" i="1"/>
  <c r="BK201" i="1" s="1"/>
  <c r="BK225" i="1"/>
  <c r="BK222" i="1"/>
  <c r="BJ221" i="1"/>
  <c r="BJ222" i="1" s="1"/>
  <c r="BJ223" i="1" s="1"/>
  <c r="BI223" i="1"/>
  <c r="BI180" i="1"/>
  <c r="BI177" i="1"/>
  <c r="BM165" i="1"/>
  <c r="BM168" i="1" s="1"/>
  <c r="BI121" i="1" l="1"/>
  <c r="BI123" i="1" s="1"/>
  <c r="BI126" i="1" s="1"/>
  <c r="BJ49" i="1"/>
  <c r="BM197" i="1"/>
  <c r="BM196" i="1" s="1"/>
  <c r="BN209" i="1"/>
  <c r="BN210" i="1" s="1"/>
  <c r="BN211" i="1" s="1"/>
  <c r="BN225" i="1" s="1"/>
  <c r="BM209" i="1"/>
  <c r="BM210" i="1" s="1"/>
  <c r="BM211" i="1" s="1"/>
  <c r="BM169" i="1"/>
  <c r="BI178" i="1"/>
  <c r="BK172" i="1"/>
  <c r="BK173" i="1" s="1"/>
  <c r="BK260" i="1" l="1"/>
  <c r="BK258" i="1"/>
  <c r="BK256" i="1"/>
  <c r="BI122" i="1"/>
  <c r="BI125" i="1" s="1"/>
  <c r="BM198" i="1"/>
  <c r="BM201" i="1" s="1"/>
  <c r="BM225" i="1"/>
  <c r="BM222" i="1"/>
  <c r="BL221" i="1"/>
  <c r="BL222" i="1" s="1"/>
  <c r="BL223" i="1" s="1"/>
  <c r="BK223" i="1"/>
  <c r="BK180" i="1"/>
  <c r="BK177" i="1"/>
  <c r="BO165" i="1"/>
  <c r="BO168" i="1" s="1"/>
  <c r="BK121" i="1" l="1"/>
  <c r="BK123" i="1" s="1"/>
  <c r="BK126" i="1" s="1"/>
  <c r="BL49" i="1"/>
  <c r="BO197" i="1"/>
  <c r="BO196" i="1" s="1"/>
  <c r="BP209" i="1"/>
  <c r="BP210" i="1" s="1"/>
  <c r="BP211" i="1" s="1"/>
  <c r="BP225" i="1" s="1"/>
  <c r="BO209" i="1"/>
  <c r="BO210" i="1" s="1"/>
  <c r="BO211" i="1" s="1"/>
  <c r="BM172" i="1"/>
  <c r="BM173" i="1" s="1"/>
  <c r="BK178" i="1"/>
  <c r="BO169" i="1"/>
  <c r="BM258" i="1" l="1"/>
  <c r="BM260" i="1"/>
  <c r="BM256" i="1"/>
  <c r="BK122" i="1"/>
  <c r="BK125" i="1" s="1"/>
  <c r="BO198" i="1"/>
  <c r="BO201" i="1" s="1"/>
  <c r="BO225" i="1"/>
  <c r="BO222" i="1"/>
  <c r="BN221" i="1"/>
  <c r="BN222" i="1" s="1"/>
  <c r="BN223" i="1" s="1"/>
  <c r="BM223" i="1"/>
  <c r="BM177" i="1"/>
  <c r="BM180" i="1"/>
  <c r="BQ165" i="1"/>
  <c r="BQ168" i="1" s="1"/>
  <c r="BM121" i="1" l="1"/>
  <c r="BM122" i="1" s="1"/>
  <c r="BM125" i="1" s="1"/>
  <c r="BN49" i="1"/>
  <c r="BQ197" i="1"/>
  <c r="BQ196" i="1" s="1"/>
  <c r="BR209" i="1"/>
  <c r="BR210" i="1" s="1"/>
  <c r="BR211" i="1" s="1"/>
  <c r="BR225" i="1" s="1"/>
  <c r="BQ209" i="1"/>
  <c r="BQ210" i="1" s="1"/>
  <c r="BQ211" i="1" s="1"/>
  <c r="BO172" i="1"/>
  <c r="BO173" i="1" s="1"/>
  <c r="BQ169" i="1"/>
  <c r="BM178" i="1"/>
  <c r="BO258" i="1" l="1"/>
  <c r="BO260" i="1"/>
  <c r="BO256" i="1"/>
  <c r="BM123" i="1"/>
  <c r="BM126" i="1" s="1"/>
  <c r="BQ198" i="1"/>
  <c r="BQ201" i="1" s="1"/>
  <c r="BQ225" i="1"/>
  <c r="BQ222" i="1"/>
  <c r="BP221" i="1"/>
  <c r="BP222" i="1" s="1"/>
  <c r="BP223" i="1" s="1"/>
  <c r="BO223" i="1"/>
  <c r="BS165" i="1"/>
  <c r="BS168" i="1" s="1"/>
  <c r="BO177" i="1"/>
  <c r="BO180" i="1"/>
  <c r="BO121" i="1" l="1"/>
  <c r="BO122" i="1" s="1"/>
  <c r="BO125" i="1" s="1"/>
  <c r="BP49" i="1"/>
  <c r="BS197" i="1"/>
  <c r="BS196" i="1" s="1"/>
  <c r="BT209" i="1"/>
  <c r="BT210" i="1" s="1"/>
  <c r="BT211" i="1" s="1"/>
  <c r="BT225" i="1" s="1"/>
  <c r="BS209" i="1"/>
  <c r="BS210" i="1" s="1"/>
  <c r="BS211" i="1" s="1"/>
  <c r="BO178" i="1"/>
  <c r="BS169" i="1"/>
  <c r="BQ172" i="1"/>
  <c r="BQ173" i="1" s="1"/>
  <c r="BQ260" i="1" l="1"/>
  <c r="BQ258" i="1"/>
  <c r="BQ256" i="1"/>
  <c r="BO123" i="1"/>
  <c r="BO126" i="1" s="1"/>
  <c r="BS198" i="1"/>
  <c r="BS201" i="1" s="1"/>
  <c r="BS225" i="1"/>
  <c r="BS222" i="1"/>
  <c r="BR221" i="1"/>
  <c r="BR222" i="1" s="1"/>
  <c r="BR223" i="1" s="1"/>
  <c r="BQ223" i="1"/>
  <c r="BQ177" i="1"/>
  <c r="BQ180" i="1"/>
  <c r="BU165" i="1"/>
  <c r="BU168" i="1" s="1"/>
  <c r="BQ121" i="1" l="1"/>
  <c r="BQ122" i="1" s="1"/>
  <c r="BQ125" i="1" s="1"/>
  <c r="BR49" i="1"/>
  <c r="BU197" i="1"/>
  <c r="BU196" i="1" s="1"/>
  <c r="BV209" i="1"/>
  <c r="BV210" i="1" s="1"/>
  <c r="BV211" i="1" s="1"/>
  <c r="BV225" i="1" s="1"/>
  <c r="BU209" i="1"/>
  <c r="BU210" i="1" s="1"/>
  <c r="BU211" i="1" s="1"/>
  <c r="BS172" i="1"/>
  <c r="BS173" i="1" s="1"/>
  <c r="BQ178" i="1"/>
  <c r="BU169" i="1"/>
  <c r="BS260" i="1" l="1"/>
  <c r="BS258" i="1"/>
  <c r="BS256" i="1"/>
  <c r="BQ123" i="1"/>
  <c r="BQ126" i="1" s="1"/>
  <c r="BU198" i="1"/>
  <c r="BU201" i="1" s="1"/>
  <c r="BU225" i="1"/>
  <c r="BU222" i="1"/>
  <c r="BT221" i="1"/>
  <c r="BT222" i="1" s="1"/>
  <c r="BT223" i="1" s="1"/>
  <c r="BS223" i="1"/>
  <c r="BS177" i="1"/>
  <c r="BS180" i="1"/>
  <c r="BW165" i="1"/>
  <c r="BW168" i="1" s="1"/>
  <c r="BS121" i="1" l="1"/>
  <c r="BS123" i="1" s="1"/>
  <c r="BS126" i="1" s="1"/>
  <c r="BT49" i="1"/>
  <c r="BW197" i="1"/>
  <c r="BW196" i="1" s="1"/>
  <c r="BX209" i="1"/>
  <c r="BX210" i="1" s="1"/>
  <c r="BX211" i="1" s="1"/>
  <c r="BX225" i="1" s="1"/>
  <c r="BW209" i="1"/>
  <c r="BW210" i="1" s="1"/>
  <c r="BW211" i="1" s="1"/>
  <c r="BW169" i="1"/>
  <c r="BS178" i="1"/>
  <c r="BU172" i="1"/>
  <c r="BU173" i="1" s="1"/>
  <c r="BU258" i="1" l="1"/>
  <c r="BU260" i="1"/>
  <c r="BU256" i="1"/>
  <c r="BS122" i="1"/>
  <c r="BS125" i="1" s="1"/>
  <c r="BW198" i="1"/>
  <c r="BW201" i="1" s="1"/>
  <c r="BW225" i="1"/>
  <c r="BW222" i="1"/>
  <c r="BV221" i="1"/>
  <c r="BV222" i="1" s="1"/>
  <c r="BV223" i="1" s="1"/>
  <c r="BU223" i="1"/>
  <c r="BU177" i="1"/>
  <c r="BU180" i="1"/>
  <c r="BY165" i="1"/>
  <c r="BY168" i="1" s="1"/>
  <c r="BU121" i="1" l="1"/>
  <c r="BU123" i="1" s="1"/>
  <c r="BU126" i="1" s="1"/>
  <c r="BV49" i="1"/>
  <c r="BZ209" i="1"/>
  <c r="BZ210" i="1" s="1"/>
  <c r="BZ211" i="1" s="1"/>
  <c r="BZ225" i="1" s="1"/>
  <c r="BY197" i="1"/>
  <c r="BY196" i="1" s="1"/>
  <c r="BY209" i="1"/>
  <c r="BY210" i="1" s="1"/>
  <c r="BY211" i="1" s="1"/>
  <c r="BW172" i="1"/>
  <c r="BW173" i="1" s="1"/>
  <c r="BY169" i="1"/>
  <c r="BU178" i="1"/>
  <c r="BW258" i="1" l="1"/>
  <c r="BW260" i="1"/>
  <c r="BW256" i="1"/>
  <c r="BU122" i="1"/>
  <c r="BU125" i="1" s="1"/>
  <c r="BY198" i="1"/>
  <c r="BY201" i="1" s="1"/>
  <c r="BY225" i="1"/>
  <c r="BY222" i="1"/>
  <c r="BX221" i="1"/>
  <c r="BX222" i="1" s="1"/>
  <c r="BX223" i="1" s="1"/>
  <c r="BW223" i="1"/>
  <c r="BW177" i="1"/>
  <c r="BW180" i="1"/>
  <c r="BW121" i="1" l="1"/>
  <c r="BW123" i="1" s="1"/>
  <c r="BW126" i="1" s="1"/>
  <c r="BX49" i="1"/>
  <c r="BW178" i="1"/>
  <c r="BY172" i="1"/>
  <c r="BY173" i="1" s="1"/>
  <c r="BY260" i="1" l="1"/>
  <c r="BY258" i="1"/>
  <c r="BY256" i="1"/>
  <c r="BW122" i="1"/>
  <c r="BW125" i="1" s="1"/>
  <c r="BZ221" i="1"/>
  <c r="BZ222" i="1" s="1"/>
  <c r="BZ223" i="1" s="1"/>
  <c r="BY223" i="1"/>
  <c r="BY180" i="1"/>
  <c r="BY177" i="1"/>
  <c r="BY121" i="1" l="1"/>
  <c r="BY122" i="1" s="1"/>
  <c r="BY125" i="1" s="1"/>
  <c r="BZ49" i="1"/>
  <c r="BY178" i="1"/>
  <c r="CC157" i="1"/>
  <c r="CC156" i="1"/>
  <c r="CA156" i="1"/>
  <c r="CA165" i="1"/>
  <c r="CA168" i="1" s="1"/>
  <c r="CA157" i="1"/>
  <c r="BY123" i="1" l="1"/>
  <c r="BY126" i="1" s="1"/>
  <c r="CA160" i="1"/>
  <c r="CA194" i="1" s="1"/>
  <c r="CA193" i="1" s="1"/>
  <c r="CB209" i="1"/>
  <c r="CA197" i="1"/>
  <c r="CA196" i="1" s="1"/>
  <c r="CA209" i="1"/>
  <c r="CC165" i="1"/>
  <c r="CC168" i="1" s="1"/>
  <c r="CC160" i="1"/>
  <c r="CA169" i="1" l="1"/>
  <c r="CA208" i="1"/>
  <c r="CA210" i="1" s="1"/>
  <c r="CA211" i="1" s="1"/>
  <c r="CA225" i="1" s="1"/>
  <c r="CB208" i="1"/>
  <c r="CB210" i="1" s="1"/>
  <c r="CB211" i="1" s="1"/>
  <c r="CB225" i="1" s="1"/>
  <c r="CA198" i="1"/>
  <c r="CD208" i="1"/>
  <c r="CC194" i="1"/>
  <c r="CC193" i="1" s="1"/>
  <c r="CC208" i="1"/>
  <c r="CC197" i="1"/>
  <c r="CC196" i="1" s="1"/>
  <c r="CD209" i="1"/>
  <c r="CC209" i="1"/>
  <c r="CC169" i="1"/>
  <c r="CA201" i="1" l="1"/>
  <c r="CE201" i="1"/>
  <c r="CC210" i="1"/>
  <c r="CC211" i="1" s="1"/>
  <c r="CC225" i="1" s="1"/>
  <c r="CD210" i="1"/>
  <c r="CD211" i="1" s="1"/>
  <c r="CD225" i="1" s="1"/>
  <c r="CA222" i="1"/>
  <c r="CA172" i="1" s="1"/>
  <c r="CA173" i="1" s="1"/>
  <c r="CC198" i="1"/>
  <c r="CA260" i="1" l="1"/>
  <c r="CA258" i="1"/>
  <c r="CA256" i="1"/>
  <c r="CC201" i="1"/>
  <c r="CG201" i="1"/>
  <c r="CC222" i="1"/>
  <c r="CC172" i="1" s="1"/>
  <c r="CC173" i="1" s="1"/>
  <c r="CB221" i="1"/>
  <c r="CB222" i="1" s="1"/>
  <c r="CB223" i="1" s="1"/>
  <c r="CA223" i="1"/>
  <c r="CA180" i="1"/>
  <c r="CA177" i="1"/>
  <c r="CC258" i="1" l="1"/>
  <c r="CC260" i="1"/>
  <c r="CC256" i="1"/>
  <c r="CA121" i="1"/>
  <c r="CA122" i="1" s="1"/>
  <c r="CA125" i="1" s="1"/>
  <c r="CB49" i="1"/>
  <c r="CD221" i="1"/>
  <c r="CD222" i="1" s="1"/>
  <c r="CD223" i="1" s="1"/>
  <c r="CC223" i="1"/>
  <c r="CC177" i="1"/>
  <c r="CC180" i="1"/>
  <c r="CA178" i="1"/>
  <c r="CA123" i="1" l="1"/>
  <c r="CA126" i="1" s="1"/>
  <c r="CC121" i="1"/>
  <c r="CC122" i="1" s="1"/>
  <c r="CC125" i="1" s="1"/>
  <c r="CD49" i="1"/>
  <c r="CC178" i="1"/>
  <c r="CC123" i="1" l="1"/>
  <c r="CC126" i="1" s="1"/>
  <c r="CE101" i="1"/>
  <c r="CD101" i="1"/>
  <c r="CC101" i="1"/>
  <c r="CB101" i="1"/>
  <c r="CI157" i="1" l="1"/>
  <c r="CI165" i="1"/>
  <c r="CI168" i="1" s="1"/>
  <c r="CI156" i="1"/>
  <c r="CJ209" i="1" l="1"/>
  <c r="CI160" i="1"/>
  <c r="CI209" i="1"/>
  <c r="CJ208" i="1" l="1"/>
  <c r="CJ210" i="1" s="1"/>
  <c r="CJ211" i="1" s="1"/>
  <c r="CJ225" i="1" s="1"/>
  <c r="CI169" i="1"/>
  <c r="CI208" i="1"/>
  <c r="CI210" i="1" s="1"/>
  <c r="CI211" i="1" s="1"/>
  <c r="CI225" i="1" s="1"/>
  <c r="CI198" i="1" l="1"/>
  <c r="CI201" i="1" s="1"/>
  <c r="CI222" i="1"/>
  <c r="CI172" i="1" s="1"/>
  <c r="CI173" i="1" s="1"/>
  <c r="CI260" i="1" l="1"/>
  <c r="CI258" i="1"/>
  <c r="CI256" i="1"/>
  <c r="CI223" i="1"/>
  <c r="CJ221" i="1"/>
  <c r="CJ222" i="1" s="1"/>
  <c r="CI180" i="1"/>
  <c r="CI177" i="1"/>
  <c r="CI121" i="1" l="1"/>
  <c r="CI123" i="1" s="1"/>
  <c r="CI126" i="1" s="1"/>
  <c r="CJ49" i="1"/>
  <c r="CJ223" i="1"/>
  <c r="CI178" i="1"/>
  <c r="CI122" i="1" l="1"/>
  <c r="CI125" i="1" s="1"/>
  <c r="CJ180" i="1"/>
  <c r="CJ121" i="1" l="1"/>
  <c r="CK49" i="1"/>
  <c r="CN49" i="1"/>
  <c r="CO49" i="1" s="1"/>
  <c r="CR49" i="1" s="1"/>
  <c r="CS49" i="1" s="1"/>
  <c r="CV49" i="1" l="1"/>
  <c r="CW49" i="1" s="1"/>
  <c r="CX49" i="1" s="1"/>
  <c r="CY49" i="1" s="1"/>
  <c r="CZ49" i="1" s="1"/>
  <c r="DA49" i="1" s="1"/>
  <c r="DB49" i="1" s="1"/>
  <c r="CJ122" i="1"/>
  <c r="CJ125" i="1" s="1"/>
  <c r="CJ123" i="1"/>
  <c r="CJ126" i="1" s="1"/>
  <c r="CK243" i="1"/>
  <c r="CK265" i="1"/>
  <c r="CK264" i="1"/>
  <c r="CN22" i="1"/>
  <c r="CN265" i="1"/>
  <c r="CM22" i="1"/>
  <c r="CM265" i="1"/>
  <c r="CN243" i="1"/>
  <c r="CM243" i="1"/>
  <c r="CM110" i="1"/>
  <c r="CM111" i="1" s="1"/>
  <c r="CM114" i="1" s="1"/>
  <c r="CN110" i="1"/>
  <c r="CN111" i="1" s="1"/>
  <c r="CN114" i="1" s="1"/>
  <c r="CN23" i="1" l="1"/>
  <c r="CM23" i="1"/>
  <c r="CM158" i="1"/>
  <c r="CQ265" i="1"/>
  <c r="CO22" i="1"/>
  <c r="CO23" i="1" s="1"/>
  <c r="CN38" i="1"/>
  <c r="CN35" i="1" s="1"/>
  <c r="CR265" i="1"/>
  <c r="CN157" i="1"/>
  <c r="CN28" i="1"/>
  <c r="CN10" i="1" s="1"/>
  <c r="CN156" i="1"/>
  <c r="CN165" i="1"/>
  <c r="CM38" i="1"/>
  <c r="CM35" i="1" s="1"/>
  <c r="CM165" i="1"/>
  <c r="CN24" i="1"/>
  <c r="CN164" i="1"/>
  <c r="CN158" i="1"/>
  <c r="CM157" i="1"/>
  <c r="CM24" i="1"/>
  <c r="CM28" i="1"/>
  <c r="CM164" i="1"/>
  <c r="CM156" i="1"/>
  <c r="CK156" i="1"/>
  <c r="CK165" i="1"/>
  <c r="CK157" i="1"/>
  <c r="CM237" i="1"/>
  <c r="CK164" i="1"/>
  <c r="CK237" i="1"/>
  <c r="CK158" i="1"/>
  <c r="CN237" i="1"/>
  <c r="AA8" i="1" l="1"/>
  <c r="AA15" i="1" s="1"/>
  <c r="CM27" i="1"/>
  <c r="CM10" i="1"/>
  <c r="CO237" i="1"/>
  <c r="CM168" i="1"/>
  <c r="CK168" i="1"/>
  <c r="CN27" i="1"/>
  <c r="CN30" i="1"/>
  <c r="CN40" i="1"/>
  <c r="CN13" i="1" s="1"/>
  <c r="CN12" i="1" s="1"/>
  <c r="CN160" i="1"/>
  <c r="CM160" i="1"/>
  <c r="CN168" i="1"/>
  <c r="CR22" i="1"/>
  <c r="CM30" i="1"/>
  <c r="CR243" i="1"/>
  <c r="CQ22" i="1"/>
  <c r="CQ243" i="1"/>
  <c r="CM40" i="1"/>
  <c r="CM13" i="1" s="1"/>
  <c r="CR110" i="1"/>
  <c r="CR111" i="1" s="1"/>
  <c r="CR114" i="1" s="1"/>
  <c r="CP265" i="1"/>
  <c r="CN31" i="1"/>
  <c r="CO110" i="1"/>
  <c r="CO111" i="1" s="1"/>
  <c r="CO114" i="1" s="1"/>
  <c r="CO265" i="1"/>
  <c r="CO243" i="1"/>
  <c r="CK160" i="1"/>
  <c r="CM31" i="1"/>
  <c r="CP243" i="1"/>
  <c r="CP22" i="1"/>
  <c r="CQ110" i="1"/>
  <c r="CQ111" i="1" s="1"/>
  <c r="CQ114" i="1" s="1"/>
  <c r="AB20" i="1"/>
  <c r="AB265" i="1" s="1"/>
  <c r="CP110" i="1"/>
  <c r="CP111" i="1" s="1"/>
  <c r="CP114" i="1" s="1"/>
  <c r="CO156" i="1"/>
  <c r="CO28" i="1"/>
  <c r="CO10" i="1" s="1"/>
  <c r="CO164" i="1"/>
  <c r="CO165" i="1"/>
  <c r="CO38" i="1"/>
  <c r="CO35" i="1" s="1"/>
  <c r="CO157" i="1"/>
  <c r="CO158" i="1"/>
  <c r="CO24" i="1"/>
  <c r="CK209" i="1" l="1"/>
  <c r="CL209" i="1"/>
  <c r="CK208" i="1"/>
  <c r="CL208" i="1"/>
  <c r="CL210" i="1" s="1"/>
  <c r="CL211" i="1" s="1"/>
  <c r="CL225" i="1" s="1"/>
  <c r="CR23" i="1"/>
  <c r="CQ23" i="1"/>
  <c r="CP23" i="1"/>
  <c r="CM12" i="1"/>
  <c r="CN262" i="1"/>
  <c r="CN263" i="1" s="1"/>
  <c r="CN209" i="1"/>
  <c r="CN41" i="1"/>
  <c r="CN244" i="1"/>
  <c r="CN245" i="1" s="1"/>
  <c r="CN42" i="1"/>
  <c r="CN46" i="1"/>
  <c r="CN169" i="1"/>
  <c r="CM169" i="1"/>
  <c r="CN208" i="1"/>
  <c r="CR164" i="1"/>
  <c r="CR28" i="1"/>
  <c r="CR10" i="1" s="1"/>
  <c r="CR156" i="1"/>
  <c r="CR157" i="1"/>
  <c r="CR24" i="1"/>
  <c r="CR158" i="1"/>
  <c r="CR38" i="1"/>
  <c r="CR35" i="1" s="1"/>
  <c r="CR165" i="1"/>
  <c r="CQ24" i="1"/>
  <c r="CQ38" i="1"/>
  <c r="CQ35" i="1" s="1"/>
  <c r="CQ158" i="1"/>
  <c r="CQ157" i="1"/>
  <c r="CQ164" i="1"/>
  <c r="CQ165" i="1"/>
  <c r="CQ156" i="1"/>
  <c r="CN43" i="1"/>
  <c r="CM42" i="1"/>
  <c r="CM244" i="1"/>
  <c r="CM245" i="1" s="1"/>
  <c r="CM41" i="1"/>
  <c r="CM46" i="1"/>
  <c r="CQ28" i="1"/>
  <c r="CQ10" i="1" s="1"/>
  <c r="CK169" i="1"/>
  <c r="CK262" i="1"/>
  <c r="CK263" i="1" s="1"/>
  <c r="CS110" i="1"/>
  <c r="CS111" i="1" s="1"/>
  <c r="CS114" i="1" s="1"/>
  <c r="CS265" i="1"/>
  <c r="CM262" i="1"/>
  <c r="CM263" i="1" s="1"/>
  <c r="CK244" i="1"/>
  <c r="CK245" i="1" s="1"/>
  <c r="CK238" i="1"/>
  <c r="CN238" i="1"/>
  <c r="CR237" i="1"/>
  <c r="CP237" i="1"/>
  <c r="AB22" i="1"/>
  <c r="CO168" i="1"/>
  <c r="CS22" i="1"/>
  <c r="CS243" i="1"/>
  <c r="CO160" i="1"/>
  <c r="CM124" i="1"/>
  <c r="CN124" i="1"/>
  <c r="CM209" i="1"/>
  <c r="CP157" i="1"/>
  <c r="AB157" i="1" s="1"/>
  <c r="AB192" i="1" s="1"/>
  <c r="CP156" i="1"/>
  <c r="CP164" i="1"/>
  <c r="CP28" i="1"/>
  <c r="CP165" i="1"/>
  <c r="AB165" i="1" s="1"/>
  <c r="AB195" i="1" s="1"/>
  <c r="CP158" i="1"/>
  <c r="AB158" i="1" s="1"/>
  <c r="CP24" i="1"/>
  <c r="CP38" i="1"/>
  <c r="CP35" i="1" s="1"/>
  <c r="CT265" i="1"/>
  <c r="CO40" i="1"/>
  <c r="CO13" i="1" s="1"/>
  <c r="CO12" i="1" s="1"/>
  <c r="CO30" i="1"/>
  <c r="CO31" i="1"/>
  <c r="CM208" i="1"/>
  <c r="CQ237" i="1"/>
  <c r="CO27" i="1"/>
  <c r="CM238" i="1"/>
  <c r="CM43" i="1"/>
  <c r="CK210" i="1" l="1"/>
  <c r="AA10" i="1"/>
  <c r="AA9" i="1" s="1"/>
  <c r="CS23" i="1"/>
  <c r="AB8" i="1"/>
  <c r="AB15" i="1" s="1"/>
  <c r="AA13" i="1"/>
  <c r="CP27" i="1"/>
  <c r="AB27" i="1" s="1"/>
  <c r="AB28" i="1" s="1"/>
  <c r="AB10" i="1" s="1"/>
  <c r="CP10" i="1"/>
  <c r="CU265" i="1"/>
  <c r="CU243" i="1"/>
  <c r="CU22" i="1"/>
  <c r="CS237" i="1"/>
  <c r="CW265" i="1"/>
  <c r="CR160" i="1"/>
  <c r="CQ168" i="1"/>
  <c r="AB35" i="1"/>
  <c r="AB38" i="1" s="1"/>
  <c r="AB39" i="1" s="1"/>
  <c r="CN210" i="1"/>
  <c r="CR168" i="1"/>
  <c r="CR30" i="1"/>
  <c r="CR31" i="1"/>
  <c r="CR40" i="1"/>
  <c r="CR13" i="1" s="1"/>
  <c r="CR12" i="1" s="1"/>
  <c r="CR27" i="1"/>
  <c r="CV265" i="1"/>
  <c r="CV243" i="1"/>
  <c r="CV22" i="1"/>
  <c r="CQ27" i="1"/>
  <c r="CQ30" i="1"/>
  <c r="CQ40" i="1"/>
  <c r="CQ13" i="1" s="1"/>
  <c r="CQ12" i="1" s="1"/>
  <c r="CQ160" i="1"/>
  <c r="CO124" i="1"/>
  <c r="CO262" i="1"/>
  <c r="CO263" i="1" s="1"/>
  <c r="AB110" i="1"/>
  <c r="AB200" i="1"/>
  <c r="CQ31" i="1"/>
  <c r="CM210" i="1"/>
  <c r="CO169" i="1"/>
  <c r="CO208" i="1"/>
  <c r="CO238" i="1"/>
  <c r="AC20" i="1"/>
  <c r="AC265" i="1" s="1"/>
  <c r="CV110" i="1"/>
  <c r="CV111" i="1" s="1"/>
  <c r="CV114" i="1" s="1"/>
  <c r="AB23" i="1"/>
  <c r="AB70" i="1"/>
  <c r="AB156" i="1"/>
  <c r="CP160" i="1"/>
  <c r="CS156" i="1"/>
  <c r="CS28" i="1"/>
  <c r="CS164" i="1"/>
  <c r="CS24" i="1"/>
  <c r="CS157" i="1"/>
  <c r="CS165" i="1"/>
  <c r="CS158" i="1"/>
  <c r="CS38" i="1"/>
  <c r="CS35" i="1" s="1"/>
  <c r="CT110" i="1"/>
  <c r="CT111" i="1" s="1"/>
  <c r="CT114" i="1" s="1"/>
  <c r="CO209" i="1"/>
  <c r="CO42" i="1"/>
  <c r="CO244" i="1"/>
  <c r="CO245" i="1" s="1"/>
  <c r="CO46" i="1"/>
  <c r="CO43" i="1"/>
  <c r="CO41" i="1"/>
  <c r="CP30" i="1"/>
  <c r="CP40" i="1"/>
  <c r="CP13" i="1" s="1"/>
  <c r="CP31" i="1"/>
  <c r="CT243" i="1"/>
  <c r="CT22" i="1"/>
  <c r="AB164" i="1"/>
  <c r="AB168" i="1" s="1"/>
  <c r="CP168" i="1"/>
  <c r="CU110" i="1"/>
  <c r="CU111" i="1" s="1"/>
  <c r="CU114" i="1" s="1"/>
  <c r="AA12" i="1" l="1"/>
  <c r="CU23" i="1"/>
  <c r="CV23" i="1"/>
  <c r="CT23" i="1"/>
  <c r="CP12" i="1"/>
  <c r="AB9" i="1"/>
  <c r="CS27" i="1"/>
  <c r="CS10" i="1"/>
  <c r="CU38" i="1"/>
  <c r="CU35" i="1" s="1"/>
  <c r="CU156" i="1"/>
  <c r="CU28" i="1"/>
  <c r="CU10" i="1" s="1"/>
  <c r="CU164" i="1"/>
  <c r="CU157" i="1"/>
  <c r="CU165" i="1"/>
  <c r="CU158" i="1"/>
  <c r="CU24" i="1"/>
  <c r="CQ209" i="1"/>
  <c r="CV156" i="1"/>
  <c r="CV28" i="1"/>
  <c r="CV164" i="1"/>
  <c r="CR209" i="1"/>
  <c r="CR169" i="1"/>
  <c r="CR244" i="1"/>
  <c r="CR245" i="1" s="1"/>
  <c r="CR41" i="1"/>
  <c r="CR46" i="1"/>
  <c r="CR42" i="1"/>
  <c r="CV158" i="1"/>
  <c r="CV157" i="1"/>
  <c r="CV38" i="1"/>
  <c r="CV35" i="1" s="1"/>
  <c r="CV24" i="1"/>
  <c r="CV165" i="1"/>
  <c r="CQ46" i="1"/>
  <c r="CQ41" i="1"/>
  <c r="CQ42" i="1"/>
  <c r="CR43" i="1"/>
  <c r="CR262" i="1"/>
  <c r="CR263" i="1" s="1"/>
  <c r="CQ244" i="1"/>
  <c r="CQ245" i="1" s="1"/>
  <c r="CR208" i="1"/>
  <c r="CQ169" i="1"/>
  <c r="AB30" i="1"/>
  <c r="CP124" i="1"/>
  <c r="CP262" i="1"/>
  <c r="CP263" i="1" s="1"/>
  <c r="CQ262" i="1"/>
  <c r="CQ263" i="1" s="1"/>
  <c r="CS168" i="1"/>
  <c r="CS209" i="1" s="1"/>
  <c r="CV237" i="1"/>
  <c r="CP209" i="1"/>
  <c r="CP244" i="1"/>
  <c r="CP245" i="1" s="1"/>
  <c r="CP42" i="1"/>
  <c r="CP43" i="1"/>
  <c r="CP41" i="1"/>
  <c r="CP46" i="1"/>
  <c r="CT237" i="1"/>
  <c r="CP238" i="1"/>
  <c r="CU237" i="1"/>
  <c r="CR238" i="1"/>
  <c r="CQ238" i="1"/>
  <c r="CS40" i="1"/>
  <c r="CS30" i="1"/>
  <c r="CS31" i="1"/>
  <c r="AC22" i="1"/>
  <c r="CO210" i="1"/>
  <c r="CW243" i="1"/>
  <c r="CW22" i="1"/>
  <c r="CQ124" i="1"/>
  <c r="CW110" i="1"/>
  <c r="CW111" i="1" s="1"/>
  <c r="CW114" i="1" s="1"/>
  <c r="CS160" i="1"/>
  <c r="CT156" i="1"/>
  <c r="CT165" i="1"/>
  <c r="AC165" i="1" s="1"/>
  <c r="AC195" i="1" s="1"/>
  <c r="CT28" i="1"/>
  <c r="CT157" i="1"/>
  <c r="AC157" i="1" s="1"/>
  <c r="AC192" i="1" s="1"/>
  <c r="CT164" i="1"/>
  <c r="CT38" i="1"/>
  <c r="CT35" i="1" s="1"/>
  <c r="CT24" i="1"/>
  <c r="CT158" i="1"/>
  <c r="AC158" i="1" s="1"/>
  <c r="AB71" i="1"/>
  <c r="AB29" i="1"/>
  <c r="AB40" i="1"/>
  <c r="CQ43" i="1"/>
  <c r="CQ208" i="1"/>
  <c r="CP169" i="1"/>
  <c r="CP208" i="1"/>
  <c r="AB197" i="1"/>
  <c r="AB196" i="1" s="1"/>
  <c r="AB209" i="1"/>
  <c r="CR124" i="1"/>
  <c r="AB160" i="1"/>
  <c r="AB191" i="1"/>
  <c r="CW23" i="1" l="1"/>
  <c r="AC8" i="1"/>
  <c r="AC15" i="1" s="1"/>
  <c r="CV30" i="1"/>
  <c r="CV10" i="1"/>
  <c r="CS262" i="1"/>
  <c r="CS263" i="1" s="1"/>
  <c r="CS13" i="1"/>
  <c r="CS12" i="1" s="1"/>
  <c r="CT27" i="1"/>
  <c r="AC27" i="1" s="1"/>
  <c r="AC28" i="1" s="1"/>
  <c r="AC10" i="1" s="1"/>
  <c r="CT10" i="1"/>
  <c r="AB262" i="1"/>
  <c r="AB263" i="1" s="1"/>
  <c r="AB13" i="1"/>
  <c r="AB12" i="1" s="1"/>
  <c r="CY265" i="1"/>
  <c r="CY22" i="1"/>
  <c r="CY243" i="1"/>
  <c r="CU168" i="1"/>
  <c r="CU160" i="1"/>
  <c r="CU27" i="1"/>
  <c r="CU40" i="1"/>
  <c r="CU13" i="1" s="1"/>
  <c r="CU12" i="1" s="1"/>
  <c r="CU30" i="1"/>
  <c r="CW237" i="1"/>
  <c r="DA265" i="1"/>
  <c r="CQ210" i="1"/>
  <c r="AC35" i="1"/>
  <c r="AC38" i="1" s="1"/>
  <c r="AC39" i="1" s="1"/>
  <c r="CV160" i="1"/>
  <c r="CV27" i="1"/>
  <c r="CV31" i="1"/>
  <c r="CV168" i="1"/>
  <c r="CV40" i="1"/>
  <c r="CV13" i="1" s="1"/>
  <c r="CZ265" i="1"/>
  <c r="CZ243" i="1"/>
  <c r="CZ22" i="1"/>
  <c r="CR210" i="1"/>
  <c r="CX110" i="1"/>
  <c r="CX111" i="1" s="1"/>
  <c r="CX114" i="1" s="1"/>
  <c r="CX265" i="1"/>
  <c r="CP210" i="1"/>
  <c r="AC110" i="1"/>
  <c r="AC200" i="1"/>
  <c r="AB42" i="1"/>
  <c r="CT160" i="1"/>
  <c r="CT208" i="1" s="1"/>
  <c r="AC156" i="1"/>
  <c r="CS169" i="1"/>
  <c r="CS208" i="1"/>
  <c r="CS210" i="1" s="1"/>
  <c r="CY110" i="1"/>
  <c r="CY111" i="1" s="1"/>
  <c r="CY114" i="1" s="1"/>
  <c r="CS43" i="1"/>
  <c r="CS41" i="1"/>
  <c r="CS46" i="1"/>
  <c r="CS244" i="1"/>
  <c r="CS245" i="1" s="1"/>
  <c r="CS42" i="1"/>
  <c r="AB169" i="1"/>
  <c r="AB194" i="1"/>
  <c r="AB208" i="1"/>
  <c r="AB210" i="1" s="1"/>
  <c r="AB72" i="1"/>
  <c r="AB46" i="1"/>
  <c r="AB124" i="1"/>
  <c r="AB41" i="1"/>
  <c r="CW28" i="1"/>
  <c r="CW164" i="1"/>
  <c r="CW156" i="1"/>
  <c r="CW24" i="1"/>
  <c r="CW158" i="1"/>
  <c r="CW157" i="1"/>
  <c r="CW165" i="1"/>
  <c r="CW38" i="1"/>
  <c r="CW35" i="1" s="1"/>
  <c r="CT168" i="1"/>
  <c r="AC164" i="1"/>
  <c r="AC168" i="1" s="1"/>
  <c r="CS124" i="1"/>
  <c r="CK257" i="1"/>
  <c r="CK239" i="1"/>
  <c r="CK246" i="1"/>
  <c r="CS238" i="1"/>
  <c r="CT31" i="1"/>
  <c r="CT30" i="1"/>
  <c r="CT40" i="1"/>
  <c r="CT13" i="1" s="1"/>
  <c r="AC23" i="1"/>
  <c r="AC70" i="1"/>
  <c r="CX243" i="1"/>
  <c r="CX22" i="1"/>
  <c r="CZ110" i="1"/>
  <c r="CZ111" i="1" s="1"/>
  <c r="CZ114" i="1" s="1"/>
  <c r="CU31" i="1"/>
  <c r="AD20" i="1"/>
  <c r="AD265" i="1" s="1"/>
  <c r="CY157" i="1" l="1"/>
  <c r="CY156" i="1"/>
  <c r="CV208" i="1"/>
  <c r="CY23" i="1"/>
  <c r="CY28" i="1"/>
  <c r="CY27" i="1" s="1"/>
  <c r="CY165" i="1"/>
  <c r="CY158" i="1"/>
  <c r="CY160" i="1" s="1"/>
  <c r="CY164" i="1"/>
  <c r="CY38" i="1"/>
  <c r="CY35" i="1" s="1"/>
  <c r="CZ165" i="1"/>
  <c r="CZ23" i="1"/>
  <c r="CX23" i="1"/>
  <c r="CU169" i="1"/>
  <c r="CV12" i="1"/>
  <c r="CT12" i="1"/>
  <c r="CW27" i="1"/>
  <c r="CW10" i="1"/>
  <c r="AC9" i="1"/>
  <c r="CU46" i="1"/>
  <c r="CU42" i="1"/>
  <c r="CU41" i="1"/>
  <c r="CU244" i="1"/>
  <c r="CU245" i="1" s="1"/>
  <c r="CZ237" i="1"/>
  <c r="CV262" i="1"/>
  <c r="CV263" i="1" s="1"/>
  <c r="CV46" i="1"/>
  <c r="CV244" i="1"/>
  <c r="CV245" i="1" s="1"/>
  <c r="CV41" i="1"/>
  <c r="CV43" i="1"/>
  <c r="CV42" i="1"/>
  <c r="CZ38" i="1"/>
  <c r="CZ35" i="1" s="1"/>
  <c r="CZ156" i="1"/>
  <c r="CZ24" i="1"/>
  <c r="CZ164" i="1"/>
  <c r="CZ158" i="1"/>
  <c r="CZ157" i="1"/>
  <c r="CZ28" i="1"/>
  <c r="CZ10" i="1" s="1"/>
  <c r="CV169" i="1"/>
  <c r="CV209" i="1"/>
  <c r="AC30" i="1"/>
  <c r="CU124" i="1"/>
  <c r="CT262" i="1"/>
  <c r="CT263" i="1" s="1"/>
  <c r="CU262" i="1"/>
  <c r="CU263" i="1" s="1"/>
  <c r="CW168" i="1"/>
  <c r="CW209" i="1" s="1"/>
  <c r="CX237" i="1"/>
  <c r="CY237" i="1"/>
  <c r="CY24" i="1"/>
  <c r="CU209" i="1"/>
  <c r="CT209" i="1"/>
  <c r="CT210" i="1" s="1"/>
  <c r="CK205" i="1"/>
  <c r="CK207" i="1" s="1"/>
  <c r="CK211" i="1" s="1"/>
  <c r="CK225" i="1" s="1"/>
  <c r="CK131" i="1"/>
  <c r="CV238" i="1"/>
  <c r="AC40" i="1"/>
  <c r="AC71" i="1"/>
  <c r="AC29" i="1"/>
  <c r="CW160" i="1"/>
  <c r="CT238" i="1"/>
  <c r="AC191" i="1"/>
  <c r="AC160" i="1"/>
  <c r="DA243" i="1"/>
  <c r="DA22" i="1"/>
  <c r="CT169" i="1"/>
  <c r="CU208" i="1"/>
  <c r="CX156" i="1"/>
  <c r="CX157" i="1"/>
  <c r="AD157" i="1" s="1"/>
  <c r="AD192" i="1" s="1"/>
  <c r="CX28" i="1"/>
  <c r="CX165" i="1"/>
  <c r="AD165" i="1" s="1"/>
  <c r="AD195" i="1" s="1"/>
  <c r="CX164" i="1"/>
  <c r="CX24" i="1"/>
  <c r="CX38" i="1"/>
  <c r="CX35" i="1" s="1"/>
  <c r="CX158" i="1"/>
  <c r="AD158" i="1" s="1"/>
  <c r="CT46" i="1"/>
  <c r="CT42" i="1"/>
  <c r="CT41" i="1"/>
  <c r="CT244" i="1"/>
  <c r="CT245" i="1" s="1"/>
  <c r="CT43" i="1"/>
  <c r="CW31" i="1"/>
  <c r="CW30" i="1"/>
  <c r="CW40" i="1"/>
  <c r="CW13" i="1" s="1"/>
  <c r="CU238" i="1"/>
  <c r="CU43" i="1"/>
  <c r="AD22" i="1"/>
  <c r="AD8" i="1" s="1"/>
  <c r="DA110" i="1"/>
  <c r="DA111" i="1" s="1"/>
  <c r="DA114" i="1" s="1"/>
  <c r="AC197" i="1"/>
  <c r="AC196" i="1" s="1"/>
  <c r="AC209" i="1"/>
  <c r="AB193" i="1"/>
  <c r="AB198" i="1"/>
  <c r="AB201" i="1" s="1"/>
  <c r="AB202" i="1" s="1"/>
  <c r="CT124" i="1"/>
  <c r="CV124" i="1"/>
  <c r="CY168" i="1" l="1"/>
  <c r="CY10" i="1"/>
  <c r="CV210" i="1"/>
  <c r="CZ168" i="1"/>
  <c r="CZ209" i="1" s="1"/>
  <c r="CY30" i="1"/>
  <c r="CY40" i="1"/>
  <c r="DA237" i="1"/>
  <c r="DA23" i="1"/>
  <c r="CW12" i="1"/>
  <c r="AC262" i="1"/>
  <c r="AC263" i="1" s="1"/>
  <c r="AC13" i="1"/>
  <c r="AC12" i="1" s="1"/>
  <c r="CY31" i="1"/>
  <c r="CX10" i="1"/>
  <c r="AD15" i="1"/>
  <c r="AD35" i="1"/>
  <c r="AD38" i="1" s="1"/>
  <c r="AD39" i="1" s="1"/>
  <c r="CZ160" i="1"/>
  <c r="CZ27" i="1"/>
  <c r="CZ30" i="1"/>
  <c r="CZ40" i="1"/>
  <c r="CZ13" i="1" s="1"/>
  <c r="CZ12" i="1" s="1"/>
  <c r="CZ31" i="1"/>
  <c r="CW238" i="1"/>
  <c r="CW262" i="1"/>
  <c r="CW263" i="1" s="1"/>
  <c r="DB110" i="1"/>
  <c r="DB111" i="1" s="1"/>
  <c r="DB114" i="1" s="1"/>
  <c r="DB265" i="1"/>
  <c r="AD110" i="1"/>
  <c r="AD200" i="1"/>
  <c r="CU210" i="1"/>
  <c r="AC42" i="1"/>
  <c r="AD164" i="1"/>
  <c r="AD168" i="1" s="1"/>
  <c r="CX168" i="1"/>
  <c r="CY169" i="1"/>
  <c r="DA164" i="1"/>
  <c r="DA165" i="1"/>
  <c r="DA157" i="1"/>
  <c r="DA28" i="1"/>
  <c r="DA10" i="1" s="1"/>
  <c r="DA156" i="1"/>
  <c r="DA38" i="1"/>
  <c r="DA35" i="1" s="1"/>
  <c r="DA24" i="1"/>
  <c r="DA158" i="1"/>
  <c r="CK132" i="1"/>
  <c r="CL219" i="1" s="1"/>
  <c r="CL217" i="1" s="1"/>
  <c r="CX31" i="1"/>
  <c r="CX40" i="1"/>
  <c r="CX30" i="1"/>
  <c r="AC194" i="1"/>
  <c r="AC169" i="1"/>
  <c r="AC208" i="1"/>
  <c r="AC210" i="1" s="1"/>
  <c r="AC46" i="1"/>
  <c r="AC72" i="1"/>
  <c r="AC41" i="1"/>
  <c r="AC124" i="1"/>
  <c r="DB22" i="1"/>
  <c r="DB243" i="1"/>
  <c r="CW169" i="1"/>
  <c r="CW208" i="1"/>
  <c r="CW210" i="1" s="1"/>
  <c r="AD156" i="1"/>
  <c r="CX160" i="1"/>
  <c r="AD70" i="1"/>
  <c r="AD23" i="1"/>
  <c r="CW46" i="1"/>
  <c r="CW42" i="1"/>
  <c r="CW244" i="1"/>
  <c r="CW245" i="1" s="1"/>
  <c r="CW43" i="1"/>
  <c r="CW41" i="1"/>
  <c r="CW124" i="1"/>
  <c r="CX27" i="1"/>
  <c r="AD27" i="1" s="1"/>
  <c r="AD28" i="1" s="1"/>
  <c r="AD10" i="1" s="1"/>
  <c r="AE20" i="1"/>
  <c r="AE265" i="1" s="1"/>
  <c r="CY13" i="1" l="1"/>
  <c r="CY12" i="1" s="1"/>
  <c r="CY46" i="1"/>
  <c r="CY42" i="1"/>
  <c r="CY41" i="1"/>
  <c r="CY244" i="1"/>
  <c r="CY245" i="1" s="1"/>
  <c r="CK66" i="1"/>
  <c r="CK104" i="1"/>
  <c r="DB237" i="1"/>
  <c r="DB23" i="1"/>
  <c r="CY262" i="1"/>
  <c r="CY263" i="1" s="1"/>
  <c r="CX13" i="1"/>
  <c r="CX12" i="1" s="1"/>
  <c r="AD9" i="1"/>
  <c r="CZ208" i="1"/>
  <c r="CZ210" i="1" s="1"/>
  <c r="CZ169" i="1"/>
  <c r="CZ262" i="1"/>
  <c r="CZ263" i="1" s="1"/>
  <c r="CZ41" i="1"/>
  <c r="CZ244" i="1"/>
  <c r="CZ245" i="1" s="1"/>
  <c r="CZ43" i="1"/>
  <c r="CZ46" i="1"/>
  <c r="CZ42" i="1"/>
  <c r="AD30" i="1"/>
  <c r="CZ124" i="1"/>
  <c r="CX262" i="1"/>
  <c r="CX263" i="1" s="1"/>
  <c r="CY238" i="1"/>
  <c r="CY43" i="1"/>
  <c r="CZ238" i="1"/>
  <c r="CX238" i="1"/>
  <c r="CY124" i="1"/>
  <c r="CX124" i="1"/>
  <c r="DA160" i="1"/>
  <c r="DA208" i="1" s="1"/>
  <c r="AD29" i="1"/>
  <c r="AD71" i="1"/>
  <c r="AD40" i="1"/>
  <c r="CY208" i="1"/>
  <c r="CX169" i="1"/>
  <c r="CY209" i="1"/>
  <c r="CX209" i="1"/>
  <c r="AD197" i="1"/>
  <c r="AD196" i="1" s="1"/>
  <c r="AD209" i="1"/>
  <c r="CG101" i="1"/>
  <c r="DA31" i="1"/>
  <c r="DA30" i="1"/>
  <c r="DA40" i="1"/>
  <c r="CX208" i="1"/>
  <c r="CX46" i="1"/>
  <c r="CX42" i="1"/>
  <c r="CX41" i="1"/>
  <c r="CX244" i="1"/>
  <c r="CX245" i="1" s="1"/>
  <c r="CX43" i="1"/>
  <c r="AD191" i="1"/>
  <c r="AD160" i="1"/>
  <c r="CK219" i="1"/>
  <c r="CK217" i="1" s="1"/>
  <c r="CK222" i="1" s="1"/>
  <c r="CK141" i="1"/>
  <c r="CK67" i="1" s="1"/>
  <c r="AC193" i="1"/>
  <c r="AC198" i="1"/>
  <c r="AC201" i="1" s="1"/>
  <c r="AC202" i="1" s="1"/>
  <c r="DA27" i="1"/>
  <c r="DB157" i="1"/>
  <c r="AE157" i="1" s="1"/>
  <c r="AE192" i="1" s="1"/>
  <c r="DB28" i="1"/>
  <c r="DB156" i="1"/>
  <c r="DB38" i="1"/>
  <c r="DB35" i="1" s="1"/>
  <c r="DB165" i="1"/>
  <c r="AE165" i="1" s="1"/>
  <c r="AE195" i="1" s="1"/>
  <c r="DB24" i="1"/>
  <c r="DB158" i="1"/>
  <c r="AE158" i="1" s="1"/>
  <c r="DB164" i="1"/>
  <c r="AE22" i="1"/>
  <c r="AE8" i="1" s="1"/>
  <c r="DA168" i="1"/>
  <c r="CK108" i="1" l="1"/>
  <c r="CK107" i="1"/>
  <c r="CK106" i="1"/>
  <c r="AD262" i="1"/>
  <c r="AD263" i="1" s="1"/>
  <c r="AD13" i="1"/>
  <c r="AD12" i="1" s="1"/>
  <c r="DA262" i="1"/>
  <c r="DA263" i="1" s="1"/>
  <c r="DA13" i="1"/>
  <c r="DA12" i="1" s="1"/>
  <c r="DB27" i="1"/>
  <c r="AE27" i="1" s="1"/>
  <c r="AE28" i="1" s="1"/>
  <c r="DB10" i="1"/>
  <c r="AE15" i="1"/>
  <c r="AE35" i="1"/>
  <c r="AE38" i="1" s="1"/>
  <c r="AE39" i="1" s="1"/>
  <c r="AE110" i="1"/>
  <c r="AE200" i="1"/>
  <c r="AD42" i="1"/>
  <c r="DA169" i="1"/>
  <c r="CK172" i="1"/>
  <c r="CK173" i="1" s="1"/>
  <c r="CL221" i="1" s="1"/>
  <c r="CL222" i="1" s="1"/>
  <c r="CL223" i="1" s="1"/>
  <c r="DB31" i="1"/>
  <c r="DB40" i="1"/>
  <c r="DB30" i="1"/>
  <c r="CX210" i="1"/>
  <c r="CY210" i="1"/>
  <c r="AD169" i="1"/>
  <c r="AD194" i="1"/>
  <c r="AD208" i="1"/>
  <c r="AD210" i="1" s="1"/>
  <c r="DB160" i="1"/>
  <c r="AE156" i="1"/>
  <c r="DA46" i="1"/>
  <c r="DA41" i="1"/>
  <c r="DA42" i="1"/>
  <c r="DA43" i="1"/>
  <c r="DA244" i="1"/>
  <c r="DA245" i="1" s="1"/>
  <c r="AD46" i="1"/>
  <c r="AD41" i="1"/>
  <c r="AD124" i="1"/>
  <c r="AD72" i="1"/>
  <c r="AE23" i="1"/>
  <c r="AE70" i="1"/>
  <c r="DA124" i="1"/>
  <c r="DA238" i="1"/>
  <c r="AE164" i="1"/>
  <c r="AE168" i="1" s="1"/>
  <c r="DB168" i="1"/>
  <c r="DB209" i="1" s="1"/>
  <c r="DA209" i="1"/>
  <c r="DA210" i="1" s="1"/>
  <c r="DB262" i="1" l="1"/>
  <c r="DB263" i="1" s="1"/>
  <c r="DB13" i="1"/>
  <c r="DB12" i="1" s="1"/>
  <c r="AE30" i="1"/>
  <c r="AE10" i="1"/>
  <c r="CK223" i="1"/>
  <c r="CK260" i="1"/>
  <c r="CK256" i="1"/>
  <c r="CK258" i="1"/>
  <c r="AE40" i="1"/>
  <c r="AE13" i="1" s="1"/>
  <c r="AE29" i="1"/>
  <c r="AE71" i="1"/>
  <c r="DB46" i="1"/>
  <c r="DB43" i="1"/>
  <c r="DB244" i="1"/>
  <c r="DB245" i="1" s="1"/>
  <c r="DB41" i="1"/>
  <c r="DB42" i="1"/>
  <c r="DB124" i="1"/>
  <c r="AD198" i="1"/>
  <c r="AD201" i="1" s="1"/>
  <c r="AD202" i="1" s="1"/>
  <c r="AD193" i="1"/>
  <c r="AE160" i="1"/>
  <c r="AE191" i="1"/>
  <c r="CK177" i="1"/>
  <c r="CK180" i="1"/>
  <c r="DB169" i="1"/>
  <c r="DB208" i="1"/>
  <c r="DB210" i="1" s="1"/>
  <c r="AE197" i="1"/>
  <c r="AE196" i="1" s="1"/>
  <c r="AE209" i="1"/>
  <c r="DB238" i="1"/>
  <c r="CK121" i="1" l="1"/>
  <c r="CK123" i="1" s="1"/>
  <c r="CK126" i="1" s="1"/>
  <c r="CL49" i="1"/>
  <c r="AE9" i="1"/>
  <c r="AE12" i="1"/>
  <c r="AE42" i="1"/>
  <c r="AE262" i="1"/>
  <c r="AE263" i="1" s="1"/>
  <c r="CK178" i="1"/>
  <c r="AE169" i="1"/>
  <c r="AE194" i="1"/>
  <c r="AE208" i="1"/>
  <c r="AE210" i="1" s="1"/>
  <c r="AE46" i="1"/>
  <c r="AE41" i="1"/>
  <c r="AE72" i="1"/>
  <c r="AE124" i="1"/>
  <c r="CK122" i="1" l="1"/>
  <c r="CK125" i="1" s="1"/>
  <c r="AE198" i="1"/>
  <c r="AE201" i="1" s="1"/>
  <c r="AE202" i="1" s="1"/>
  <c r="AE193" i="1"/>
  <c r="CM99" i="1" l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DB99" i="1" s="1"/>
  <c r="CM108" i="1"/>
  <c r="CN108" i="1" s="1"/>
  <c r="CO108" i="1" s="1"/>
  <c r="CP108" i="1" s="1"/>
  <c r="CQ108" i="1" s="1"/>
  <c r="CR108" i="1" s="1"/>
  <c r="CS108" i="1" s="1"/>
  <c r="CT108" i="1" s="1"/>
  <c r="CU108" i="1" s="1"/>
  <c r="CV108" i="1" s="1"/>
  <c r="CW108" i="1" s="1"/>
  <c r="CX108" i="1" s="1"/>
  <c r="CY108" i="1" s="1"/>
  <c r="CZ108" i="1" s="1"/>
  <c r="DA108" i="1" s="1"/>
  <c r="DB108" i="1" s="1"/>
  <c r="CM107" i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H101" i="1"/>
  <c r="CM98" i="1" l="1"/>
  <c r="CN98" i="1" s="1"/>
  <c r="CO98" i="1" s="1"/>
  <c r="CP98" i="1" s="1"/>
  <c r="CQ98" i="1" s="1"/>
  <c r="CR98" i="1" s="1"/>
  <c r="CS98" i="1" s="1"/>
  <c r="CT98" i="1" s="1"/>
  <c r="CU98" i="1" s="1"/>
  <c r="CV98" i="1" s="1"/>
  <c r="CW98" i="1" s="1"/>
  <c r="CX98" i="1" s="1"/>
  <c r="CY98" i="1" s="1"/>
  <c r="CZ98" i="1" s="1"/>
  <c r="DA98" i="1" s="1"/>
  <c r="DB98" i="1" s="1"/>
  <c r="CM221" i="1" l="1"/>
  <c r="AB221" i="1"/>
  <c r="CM48" i="1" l="1"/>
  <c r="CM264" i="1" s="1"/>
  <c r="CM50" i="1" l="1"/>
  <c r="CM51" i="1" l="1"/>
  <c r="CM53" i="1" l="1"/>
  <c r="CM55" i="1" l="1"/>
  <c r="CM56" i="1"/>
  <c r="CM246" i="1"/>
  <c r="CM60" i="1"/>
  <c r="CM54" i="1"/>
  <c r="CM257" i="1" s="1"/>
  <c r="CM239" i="1"/>
  <c r="CM205" i="1" l="1"/>
  <c r="CM207" i="1" s="1"/>
  <c r="CM211" i="1" s="1"/>
  <c r="CM225" i="1" s="1"/>
  <c r="CM78" i="1"/>
  <c r="CM131" i="1"/>
  <c r="CM132" i="1" l="1"/>
  <c r="CM81" i="1"/>
  <c r="CM82" i="1" l="1"/>
  <c r="CM90" i="1"/>
  <c r="CI101" i="1"/>
  <c r="CM97" i="1"/>
  <c r="CM91" i="1"/>
  <c r="CM141" i="1"/>
  <c r="CM67" i="1" s="1"/>
  <c r="CM104" i="1"/>
  <c r="CM106" i="1" s="1"/>
  <c r="CM219" i="1"/>
  <c r="CM217" i="1" s="1"/>
  <c r="CM222" i="1" s="1"/>
  <c r="CM66" i="1"/>
  <c r="CM172" i="1" l="1"/>
  <c r="CM173" i="1" s="1"/>
  <c r="CM94" i="1"/>
  <c r="CM120" i="1"/>
  <c r="CM93" i="1"/>
  <c r="CM119" i="1"/>
  <c r="CM118" i="1" s="1"/>
  <c r="CM223" i="1" l="1"/>
  <c r="CM260" i="1"/>
  <c r="CM258" i="1"/>
  <c r="CM256" i="1"/>
  <c r="CN221" i="1"/>
  <c r="CM177" i="1"/>
  <c r="CM180" i="1"/>
  <c r="CM178" i="1" l="1"/>
  <c r="CN48" i="1"/>
  <c r="CN264" i="1" s="1"/>
  <c r="CM121" i="1"/>
  <c r="CM122" i="1" l="1"/>
  <c r="CM125" i="1" s="1"/>
  <c r="CM123" i="1"/>
  <c r="CM126" i="1" s="1"/>
  <c r="CN50" i="1"/>
  <c r="CN51" i="1" l="1"/>
  <c r="CN53" i="1" s="1"/>
  <c r="CN55" i="1" l="1"/>
  <c r="CN56" i="1"/>
  <c r="CN60" i="1"/>
  <c r="CN246" i="1"/>
  <c r="CN54" i="1"/>
  <c r="CN257" i="1" s="1"/>
  <c r="CN239" i="1"/>
  <c r="CN78" i="1" l="1"/>
  <c r="CN205" i="1"/>
  <c r="CN207" i="1" s="1"/>
  <c r="CN211" i="1" s="1"/>
  <c r="CN225" i="1" s="1"/>
  <c r="CN131" i="1"/>
  <c r="CN81" i="1" l="1"/>
  <c r="CN132" i="1"/>
  <c r="CN82" i="1" l="1"/>
  <c r="CN141" i="1"/>
  <c r="CN67" i="1" s="1"/>
  <c r="CN219" i="1"/>
  <c r="CN217" i="1" s="1"/>
  <c r="CN222" i="1" s="1"/>
  <c r="CN104" i="1"/>
  <c r="CN106" i="1" s="1"/>
  <c r="CN66" i="1"/>
  <c r="CN97" i="1"/>
  <c r="CN90" i="1"/>
  <c r="CN91" i="1"/>
  <c r="CJ101" i="1"/>
  <c r="CN93" i="1" l="1"/>
  <c r="CN119" i="1"/>
  <c r="CN118" i="1" s="1"/>
  <c r="CN172" i="1"/>
  <c r="CN173" i="1" s="1"/>
  <c r="CN120" i="1"/>
  <c r="CN94" i="1"/>
  <c r="CN223" i="1" l="1"/>
  <c r="CN260" i="1"/>
  <c r="CN258" i="1"/>
  <c r="CN256" i="1"/>
  <c r="CN177" i="1"/>
  <c r="CN180" i="1"/>
  <c r="CO221" i="1"/>
  <c r="CN178" i="1" l="1"/>
  <c r="CO48" i="1"/>
  <c r="CO264" i="1" s="1"/>
  <c r="CN121" i="1"/>
  <c r="CO50" i="1" l="1"/>
  <c r="CN123" i="1"/>
  <c r="CN126" i="1" s="1"/>
  <c r="CN122" i="1"/>
  <c r="CN125" i="1" s="1"/>
  <c r="CO51" i="1" l="1"/>
  <c r="CO53" i="1" l="1"/>
  <c r="CO54" i="1" l="1"/>
  <c r="CO257" i="1" s="1"/>
  <c r="CO56" i="1"/>
  <c r="CO55" i="1"/>
  <c r="CO246" i="1"/>
  <c r="CO60" i="1"/>
  <c r="CO239" i="1"/>
  <c r="CO78" i="1" l="1"/>
  <c r="CO205" i="1"/>
  <c r="CO207" i="1" s="1"/>
  <c r="CO211" i="1" s="1"/>
  <c r="CO225" i="1" s="1"/>
  <c r="CO131" i="1"/>
  <c r="CO132" i="1" l="1"/>
  <c r="CO81" i="1"/>
  <c r="CK101" i="1" s="1"/>
  <c r="CO82" i="1" l="1"/>
  <c r="CO91" i="1"/>
  <c r="CO97" i="1"/>
  <c r="CO90" i="1"/>
  <c r="CO104" i="1"/>
  <c r="CO106" i="1" s="1"/>
  <c r="CO219" i="1"/>
  <c r="CO217" i="1" s="1"/>
  <c r="CO222" i="1" s="1"/>
  <c r="CO141" i="1"/>
  <c r="CO67" i="1" s="1"/>
  <c r="CO66" i="1"/>
  <c r="CO172" i="1" l="1"/>
  <c r="CO173" i="1" s="1"/>
  <c r="CO93" i="1"/>
  <c r="CO119" i="1"/>
  <c r="CO118" i="1" s="1"/>
  <c r="CO120" i="1"/>
  <c r="CO94" i="1"/>
  <c r="CO223" i="1" l="1"/>
  <c r="CO258" i="1"/>
  <c r="CO256" i="1"/>
  <c r="CO260" i="1"/>
  <c r="CO177" i="1"/>
  <c r="CO180" i="1"/>
  <c r="CP221" i="1"/>
  <c r="CP48" i="1" l="1"/>
  <c r="CP264" i="1" s="1"/>
  <c r="CO121" i="1"/>
  <c r="CO178" i="1"/>
  <c r="CO123" i="1" l="1"/>
  <c r="CO126" i="1" s="1"/>
  <c r="CO122" i="1"/>
  <c r="CO125" i="1" s="1"/>
  <c r="CP50" i="1"/>
  <c r="AB48" i="1"/>
  <c r="AB49" i="1" l="1"/>
  <c r="AB264" i="1"/>
  <c r="AB50" i="1"/>
  <c r="CP51" i="1"/>
  <c r="AB51" i="1" s="1"/>
  <c r="AB52" i="1" l="1"/>
  <c r="CP53" i="1"/>
  <c r="CP54" i="1" s="1"/>
  <c r="CP257" i="1" s="1"/>
  <c r="AB53" i="1"/>
  <c r="CP55" i="1" l="1"/>
  <c r="CP239" i="1"/>
  <c r="CP246" i="1"/>
  <c r="CP60" i="1"/>
  <c r="CP131" i="1" s="1"/>
  <c r="CP56" i="1"/>
  <c r="AB55" i="1"/>
  <c r="AB60" i="1"/>
  <c r="AB54" i="1"/>
  <c r="AB257" i="1" s="1"/>
  <c r="AB73" i="1"/>
  <c r="CP205" i="1" l="1"/>
  <c r="CP207" i="1" s="1"/>
  <c r="CP211" i="1" s="1"/>
  <c r="CP225" i="1" s="1"/>
  <c r="CP78" i="1"/>
  <c r="CP81" i="1" s="1"/>
  <c r="AB131" i="1"/>
  <c r="AB132" i="1" s="1"/>
  <c r="AB66" i="1" s="1"/>
  <c r="CP132" i="1"/>
  <c r="AB63" i="1"/>
  <c r="AB64" i="1" s="1"/>
  <c r="AB205" i="1"/>
  <c r="AB207" i="1" s="1"/>
  <c r="AB211" i="1" s="1"/>
  <c r="AB225" i="1" s="1"/>
  <c r="CL101" i="1" l="1"/>
  <c r="CP84" i="1"/>
  <c r="CP82" i="1"/>
  <c r="AB141" i="1"/>
  <c r="AB67" i="1" s="1"/>
  <c r="AB187" i="1"/>
  <c r="AB219" i="1"/>
  <c r="AB217" i="1" s="1"/>
  <c r="AB222" i="1" s="1"/>
  <c r="CP90" i="1"/>
  <c r="CP97" i="1"/>
  <c r="CP91" i="1"/>
  <c r="CP219" i="1"/>
  <c r="CP217" i="1" s="1"/>
  <c r="CP222" i="1" s="1"/>
  <c r="CP141" i="1"/>
  <c r="CP67" i="1" s="1"/>
  <c r="CP104" i="1"/>
  <c r="CP106" i="1" s="1"/>
  <c r="CP66" i="1"/>
  <c r="CP172" i="1" l="1"/>
  <c r="CP93" i="1"/>
  <c r="CP119" i="1"/>
  <c r="CP118" i="1" s="1"/>
  <c r="AB90" i="1"/>
  <c r="CP120" i="1"/>
  <c r="CP94" i="1"/>
  <c r="AB91" i="1"/>
  <c r="AB94" i="1" l="1"/>
  <c r="CP173" i="1"/>
  <c r="AB172" i="1"/>
  <c r="AB173" i="1" s="1"/>
  <c r="AB93" i="1"/>
  <c r="AB260" i="1" l="1"/>
  <c r="AB258" i="1"/>
  <c r="AB256" i="1"/>
  <c r="CP258" i="1"/>
  <c r="CP256" i="1"/>
  <c r="CP260" i="1"/>
  <c r="CP177" i="1"/>
  <c r="CQ221" i="1"/>
  <c r="CP180" i="1"/>
  <c r="CP223" i="1"/>
  <c r="AB180" i="1"/>
  <c r="AB121" i="1" s="1"/>
  <c r="AB177" i="1"/>
  <c r="AC221" i="1"/>
  <c r="AB223" i="1"/>
  <c r="AB178" i="1" l="1"/>
  <c r="CP121" i="1"/>
  <c r="CQ48" i="1"/>
  <c r="CQ264" i="1" s="1"/>
  <c r="CP178" i="1"/>
  <c r="CQ50" i="1" l="1"/>
  <c r="CP122" i="1"/>
  <c r="CP125" i="1" s="1"/>
  <c r="CP123" i="1"/>
  <c r="CP126" i="1" s="1"/>
  <c r="CQ51" i="1" l="1"/>
  <c r="CQ53" i="1" s="1"/>
  <c r="CQ60" i="1" l="1"/>
  <c r="CQ54" i="1"/>
  <c r="CQ257" i="1" s="1"/>
  <c r="CQ55" i="1"/>
  <c r="CQ56" i="1"/>
  <c r="CQ246" i="1"/>
  <c r="CQ239" i="1"/>
  <c r="CQ78" i="1" l="1"/>
  <c r="CQ205" i="1"/>
  <c r="CQ207" i="1" s="1"/>
  <c r="CQ211" i="1" s="1"/>
  <c r="CQ225" i="1" s="1"/>
  <c r="CQ131" i="1"/>
  <c r="CQ132" i="1" l="1"/>
  <c r="CQ81" i="1"/>
  <c r="CQ82" i="1" l="1"/>
  <c r="CQ91" i="1"/>
  <c r="CQ90" i="1"/>
  <c r="CQ97" i="1"/>
  <c r="CQ141" i="1"/>
  <c r="CQ67" i="1" s="1"/>
  <c r="CQ219" i="1"/>
  <c r="CQ217" i="1" s="1"/>
  <c r="CQ222" i="1" s="1"/>
  <c r="CQ104" i="1"/>
  <c r="CQ106" i="1" s="1"/>
  <c r="CQ66" i="1"/>
  <c r="CQ172" i="1" l="1"/>
  <c r="CQ173" i="1" s="1"/>
  <c r="CQ223" i="1" s="1"/>
  <c r="CQ119" i="1"/>
  <c r="CQ118" i="1" s="1"/>
  <c r="CQ93" i="1"/>
  <c r="CQ120" i="1"/>
  <c r="CQ94" i="1"/>
  <c r="CQ260" i="1" l="1"/>
  <c r="CQ258" i="1"/>
  <c r="CQ256" i="1"/>
  <c r="CQ180" i="1"/>
  <c r="CR221" i="1"/>
  <c r="CQ177" i="1"/>
  <c r="CQ178" i="1" l="1"/>
  <c r="CQ121" i="1"/>
  <c r="CR48" i="1"/>
  <c r="CR264" i="1" s="1"/>
  <c r="CR50" i="1" l="1"/>
  <c r="CQ122" i="1"/>
  <c r="CQ125" i="1" s="1"/>
  <c r="CQ123" i="1"/>
  <c r="CQ126" i="1" s="1"/>
  <c r="CR51" i="1" l="1"/>
  <c r="CR53" i="1" s="1"/>
  <c r="CR246" i="1" l="1"/>
  <c r="CR54" i="1"/>
  <c r="CR257" i="1" s="1"/>
  <c r="CR60" i="1"/>
  <c r="CR55" i="1"/>
  <c r="CR56" i="1"/>
  <c r="CR239" i="1"/>
  <c r="CR78" i="1" l="1"/>
  <c r="CR205" i="1"/>
  <c r="CR207" i="1" s="1"/>
  <c r="CR211" i="1" s="1"/>
  <c r="CR225" i="1" s="1"/>
  <c r="CR131" i="1"/>
  <c r="CR132" i="1" l="1"/>
  <c r="CR81" i="1"/>
  <c r="CR82" i="1" l="1"/>
  <c r="CR97" i="1"/>
  <c r="CR90" i="1"/>
  <c r="CR91" i="1"/>
  <c r="CR141" i="1"/>
  <c r="CR67" i="1" s="1"/>
  <c r="CR219" i="1"/>
  <c r="CR217" i="1" s="1"/>
  <c r="CR222" i="1" s="1"/>
  <c r="CR104" i="1"/>
  <c r="CR106" i="1" s="1"/>
  <c r="CR66" i="1"/>
  <c r="CR172" i="1" l="1"/>
  <c r="CR173" i="1" s="1"/>
  <c r="CR120" i="1"/>
  <c r="CR94" i="1"/>
  <c r="CR119" i="1"/>
  <c r="CR118" i="1" s="1"/>
  <c r="CR93" i="1"/>
  <c r="CR260" i="1" l="1"/>
  <c r="CR258" i="1"/>
  <c r="CR256" i="1"/>
  <c r="CS221" i="1"/>
  <c r="CR180" i="1"/>
  <c r="CR177" i="1"/>
  <c r="CR223" i="1"/>
  <c r="CR178" i="1" l="1"/>
  <c r="CR121" i="1"/>
  <c r="CS48" i="1"/>
  <c r="CS264" i="1" s="1"/>
  <c r="CS50" i="1" l="1"/>
  <c r="CR122" i="1"/>
  <c r="CR125" i="1" s="1"/>
  <c r="CR123" i="1"/>
  <c r="CR126" i="1" s="1"/>
  <c r="CS51" i="1" l="1"/>
  <c r="CS53" i="1" l="1"/>
  <c r="CS60" i="1" l="1"/>
  <c r="CS56" i="1"/>
  <c r="CS246" i="1"/>
  <c r="CS55" i="1"/>
  <c r="CS54" i="1"/>
  <c r="CS257" i="1" s="1"/>
  <c r="CS239" i="1"/>
  <c r="CS78" i="1" l="1"/>
  <c r="CS205" i="1"/>
  <c r="CS207" i="1" s="1"/>
  <c r="CS211" i="1" s="1"/>
  <c r="CS225" i="1" s="1"/>
  <c r="CS131" i="1"/>
  <c r="CS132" i="1" l="1"/>
  <c r="CS81" i="1"/>
  <c r="CS82" i="1" l="1"/>
  <c r="CS90" i="1"/>
  <c r="CS91" i="1"/>
  <c r="CS97" i="1"/>
  <c r="CS141" i="1"/>
  <c r="CS67" i="1" s="1"/>
  <c r="CS104" i="1"/>
  <c r="CS106" i="1" s="1"/>
  <c r="CS219" i="1"/>
  <c r="CS217" i="1" s="1"/>
  <c r="CS222" i="1" s="1"/>
  <c r="CS66" i="1"/>
  <c r="CS172" i="1" l="1"/>
  <c r="CS173" i="1" s="1"/>
  <c r="CS120" i="1"/>
  <c r="CS94" i="1"/>
  <c r="CS119" i="1"/>
  <c r="CS118" i="1" s="1"/>
  <c r="CS93" i="1"/>
  <c r="CS258" i="1" l="1"/>
  <c r="CS260" i="1"/>
  <c r="CS256" i="1"/>
  <c r="CT221" i="1"/>
  <c r="CS177" i="1"/>
  <c r="CS180" i="1"/>
  <c r="CS223" i="1"/>
  <c r="CT48" i="1" l="1"/>
  <c r="CT264" i="1" s="1"/>
  <c r="CS121" i="1"/>
  <c r="CS178" i="1"/>
  <c r="CS123" i="1" l="1"/>
  <c r="CS126" i="1" s="1"/>
  <c r="CS122" i="1"/>
  <c r="CS125" i="1" s="1"/>
  <c r="CT50" i="1"/>
  <c r="AC48" i="1"/>
  <c r="AC49" i="1" l="1"/>
  <c r="AC264" i="1"/>
  <c r="AC50" i="1"/>
  <c r="CT51" i="1"/>
  <c r="AC51" i="1" s="1"/>
  <c r="AC52" i="1" l="1"/>
  <c r="CT53" i="1"/>
  <c r="CT56" i="1" s="1"/>
  <c r="AC53" i="1"/>
  <c r="CT55" i="1" l="1"/>
  <c r="CT60" i="1"/>
  <c r="CT246" i="1"/>
  <c r="CT239" i="1"/>
  <c r="CT54" i="1"/>
  <c r="CT257" i="1" s="1"/>
  <c r="AC55" i="1"/>
  <c r="AC54" i="1"/>
  <c r="AC257" i="1" s="1"/>
  <c r="AC73" i="1"/>
  <c r="AC60" i="1"/>
  <c r="CT131" i="1" l="1"/>
  <c r="CT78" i="1"/>
  <c r="CT81" i="1" s="1"/>
  <c r="CT84" i="1" s="1"/>
  <c r="CT205" i="1"/>
  <c r="CT207" i="1" s="1"/>
  <c r="CT211" i="1" s="1"/>
  <c r="CT225" i="1" s="1"/>
  <c r="AC63" i="1"/>
  <c r="AC64" i="1" s="1"/>
  <c r="AC205" i="1"/>
  <c r="AC207" i="1" s="1"/>
  <c r="AC211" i="1" s="1"/>
  <c r="AC225" i="1" s="1"/>
  <c r="CT132" i="1" l="1"/>
  <c r="AC131" i="1"/>
  <c r="AC132" i="1" s="1"/>
  <c r="AC141" i="1" s="1"/>
  <c r="AC67" i="1" s="1"/>
  <c r="CT82" i="1"/>
  <c r="CT97" i="1"/>
  <c r="CT90" i="1"/>
  <c r="CT91" i="1"/>
  <c r="CT141" i="1" l="1"/>
  <c r="CT67" i="1" s="1"/>
  <c r="CT104" i="1"/>
  <c r="CT106" i="1" s="1"/>
  <c r="CT219" i="1"/>
  <c r="CT217" i="1" s="1"/>
  <c r="CT222" i="1" s="1"/>
  <c r="CT172" i="1" s="1"/>
  <c r="CT66" i="1"/>
  <c r="AC66" i="1"/>
  <c r="AC219" i="1"/>
  <c r="AC217" i="1" s="1"/>
  <c r="AC222" i="1" s="1"/>
  <c r="AC187" i="1"/>
  <c r="CT119" i="1"/>
  <c r="CT118" i="1" s="1"/>
  <c r="CT93" i="1"/>
  <c r="AC90" i="1"/>
  <c r="CT120" i="1"/>
  <c r="CT94" i="1"/>
  <c r="AC91" i="1"/>
  <c r="AC93" i="1" l="1"/>
  <c r="CT173" i="1"/>
  <c r="AC172" i="1"/>
  <c r="AC173" i="1" s="1"/>
  <c r="AC94" i="1"/>
  <c r="CT258" i="1" l="1"/>
  <c r="CT260" i="1"/>
  <c r="CT256" i="1"/>
  <c r="AC260" i="1"/>
  <c r="AC258" i="1"/>
  <c r="AC256" i="1"/>
  <c r="CU221" i="1"/>
  <c r="CT177" i="1"/>
  <c r="CT180" i="1"/>
  <c r="CT223" i="1"/>
  <c r="AD221" i="1"/>
  <c r="AC180" i="1"/>
  <c r="AC121" i="1" s="1"/>
  <c r="AC177" i="1"/>
  <c r="AC223" i="1"/>
  <c r="AC178" i="1" l="1"/>
  <c r="CT178" i="1"/>
  <c r="CT121" i="1"/>
  <c r="CU48" i="1"/>
  <c r="CU264" i="1" s="1"/>
  <c r="CU50" i="1" l="1"/>
  <c r="CT122" i="1"/>
  <c r="CT125" i="1" s="1"/>
  <c r="CT123" i="1"/>
  <c r="CT126" i="1" s="1"/>
  <c r="CU51" i="1" l="1"/>
  <c r="CU53" i="1" s="1"/>
  <c r="CU54" i="1" l="1"/>
  <c r="CU257" i="1" s="1"/>
  <c r="CU55" i="1"/>
  <c r="CU56" i="1"/>
  <c r="CU60" i="1"/>
  <c r="CU246" i="1"/>
  <c r="CU239" i="1"/>
  <c r="CU205" i="1" l="1"/>
  <c r="CU207" i="1" s="1"/>
  <c r="CU211" i="1" s="1"/>
  <c r="CU225" i="1" s="1"/>
  <c r="CU78" i="1"/>
  <c r="CU131" i="1"/>
  <c r="CU132" i="1" l="1"/>
  <c r="CU81" i="1"/>
  <c r="CU82" i="1" l="1"/>
  <c r="CU97" i="1"/>
  <c r="CU91" i="1"/>
  <c r="CU90" i="1"/>
  <c r="CU141" i="1"/>
  <c r="CU67" i="1" s="1"/>
  <c r="CU219" i="1"/>
  <c r="CU217" i="1" s="1"/>
  <c r="CU222" i="1" s="1"/>
  <c r="CU104" i="1"/>
  <c r="CU106" i="1" s="1"/>
  <c r="CU66" i="1"/>
  <c r="CU172" i="1" l="1"/>
  <c r="CU173" i="1" s="1"/>
  <c r="CU119" i="1"/>
  <c r="CU93" i="1"/>
  <c r="CU120" i="1"/>
  <c r="CU94" i="1"/>
  <c r="CU260" i="1" l="1"/>
  <c r="CU256" i="1"/>
  <c r="CU258" i="1"/>
  <c r="CU177" i="1"/>
  <c r="CU180" i="1"/>
  <c r="CV221" i="1"/>
  <c r="CU223" i="1"/>
  <c r="CU178" i="1" l="1"/>
  <c r="CV48" i="1"/>
  <c r="CV264" i="1" s="1"/>
  <c r="CU121" i="1"/>
  <c r="CU122" i="1" l="1"/>
  <c r="CU125" i="1" s="1"/>
  <c r="CU123" i="1"/>
  <c r="CU126" i="1" s="1"/>
  <c r="CV50" i="1"/>
  <c r="CV51" i="1" l="1"/>
  <c r="CV53" i="1" l="1"/>
  <c r="CV60" i="1" l="1"/>
  <c r="CV246" i="1"/>
  <c r="CV54" i="1"/>
  <c r="CV257" i="1" s="1"/>
  <c r="CV56" i="1"/>
  <c r="CV55" i="1"/>
  <c r="CV239" i="1"/>
  <c r="CV205" i="1" l="1"/>
  <c r="CV207" i="1" s="1"/>
  <c r="CV211" i="1" s="1"/>
  <c r="CV225" i="1" s="1"/>
  <c r="CV78" i="1"/>
  <c r="CV131" i="1"/>
  <c r="CV132" i="1" l="1"/>
  <c r="CV81" i="1"/>
  <c r="CV82" i="1" l="1"/>
  <c r="CV90" i="1"/>
  <c r="CV91" i="1"/>
  <c r="CV97" i="1"/>
  <c r="CV104" i="1"/>
  <c r="CV106" i="1" s="1"/>
  <c r="CV141" i="1"/>
  <c r="CV67" i="1" s="1"/>
  <c r="CV219" i="1"/>
  <c r="CV217" i="1" s="1"/>
  <c r="CV222" i="1" s="1"/>
  <c r="CV66" i="1"/>
  <c r="CV172" i="1" l="1"/>
  <c r="CV173" i="1" s="1"/>
  <c r="CV120" i="1"/>
  <c r="CV94" i="1"/>
  <c r="CV119" i="1"/>
  <c r="CV93" i="1"/>
  <c r="CV258" i="1" l="1"/>
  <c r="CV256" i="1"/>
  <c r="CV260" i="1"/>
  <c r="CV180" i="1"/>
  <c r="CW221" i="1"/>
  <c r="CV177" i="1"/>
  <c r="CV223" i="1"/>
  <c r="CV178" i="1" l="1"/>
  <c r="CV121" i="1"/>
  <c r="CW48" i="1"/>
  <c r="CW264" i="1" s="1"/>
  <c r="CW50" i="1" l="1"/>
  <c r="CV123" i="1"/>
  <c r="CV126" i="1" s="1"/>
  <c r="CV122" i="1"/>
  <c r="CV125" i="1" s="1"/>
  <c r="CW51" i="1" l="1"/>
  <c r="CW53" i="1" l="1"/>
  <c r="CW54" i="1" l="1"/>
  <c r="CW257" i="1" s="1"/>
  <c r="CW56" i="1"/>
  <c r="CW60" i="1"/>
  <c r="CW55" i="1"/>
  <c r="CW246" i="1"/>
  <c r="CW239" i="1"/>
  <c r="CW205" i="1" l="1"/>
  <c r="CW207" i="1" s="1"/>
  <c r="CW211" i="1" s="1"/>
  <c r="CW225" i="1" s="1"/>
  <c r="CW78" i="1"/>
  <c r="CW131" i="1"/>
  <c r="CW132" i="1" l="1"/>
  <c r="CW81" i="1"/>
  <c r="CW82" i="1" l="1"/>
  <c r="CW97" i="1"/>
  <c r="CW91" i="1"/>
  <c r="CW90" i="1"/>
  <c r="CW219" i="1"/>
  <c r="CW217" i="1" s="1"/>
  <c r="CW222" i="1" s="1"/>
  <c r="CW141" i="1"/>
  <c r="CW67" i="1" s="1"/>
  <c r="CW104" i="1"/>
  <c r="CW106" i="1" s="1"/>
  <c r="CW66" i="1"/>
  <c r="CW172" i="1" l="1"/>
  <c r="CW173" i="1" s="1"/>
  <c r="CW119" i="1"/>
  <c r="CW93" i="1"/>
  <c r="CW120" i="1"/>
  <c r="CW94" i="1"/>
  <c r="CW258" i="1" l="1"/>
  <c r="CW256" i="1"/>
  <c r="CW260" i="1"/>
  <c r="CW177" i="1"/>
  <c r="CX221" i="1"/>
  <c r="CW180" i="1"/>
  <c r="CW223" i="1"/>
  <c r="CX48" i="1" l="1"/>
  <c r="CX264" i="1" s="1"/>
  <c r="CW121" i="1"/>
  <c r="CW178" i="1"/>
  <c r="CW122" i="1" l="1"/>
  <c r="CW125" i="1" s="1"/>
  <c r="CW123" i="1"/>
  <c r="CW126" i="1" s="1"/>
  <c r="CX50" i="1"/>
  <c r="AD48" i="1"/>
  <c r="AD49" i="1" l="1"/>
  <c r="AD264" i="1"/>
  <c r="AD50" i="1"/>
  <c r="CX51" i="1"/>
  <c r="AD51" i="1" s="1"/>
  <c r="AD52" i="1" l="1"/>
  <c r="CX53" i="1"/>
  <c r="CX239" i="1" s="1"/>
  <c r="AD53" i="1"/>
  <c r="CX56" i="1" l="1"/>
  <c r="CX246" i="1"/>
  <c r="CX60" i="1"/>
  <c r="CX54" i="1"/>
  <c r="CX257" i="1" s="1"/>
  <c r="CX55" i="1"/>
  <c r="AD55" i="1"/>
  <c r="AD73" i="1"/>
  <c r="AD60" i="1"/>
  <c r="AD54" i="1"/>
  <c r="AD257" i="1" s="1"/>
  <c r="CX78" i="1" l="1"/>
  <c r="CX81" i="1" s="1"/>
  <c r="CX84" i="1" s="1"/>
  <c r="CX205" i="1"/>
  <c r="CX207" i="1" s="1"/>
  <c r="CX211" i="1" s="1"/>
  <c r="CX225" i="1" s="1"/>
  <c r="CX131" i="1"/>
  <c r="AD63" i="1"/>
  <c r="AD64" i="1" s="1"/>
  <c r="AD205" i="1"/>
  <c r="AD207" i="1" s="1"/>
  <c r="AD211" i="1" s="1"/>
  <c r="AD225" i="1" s="1"/>
  <c r="AD131" i="1" l="1"/>
  <c r="AD132" i="1" s="1"/>
  <c r="CX132" i="1"/>
  <c r="CX219" i="1" s="1"/>
  <c r="CX217" i="1" s="1"/>
  <c r="CX222" i="1" s="1"/>
  <c r="CX82" i="1"/>
  <c r="CX90" i="1"/>
  <c r="CX97" i="1"/>
  <c r="CX91" i="1"/>
  <c r="AD187" i="1" l="1"/>
  <c r="AD141" i="1"/>
  <c r="AD67" i="1" s="1"/>
  <c r="AD66" i="1"/>
  <c r="AD219" i="1"/>
  <c r="AD217" i="1" s="1"/>
  <c r="AD222" i="1" s="1"/>
  <c r="CX141" i="1"/>
  <c r="CX67" i="1" s="1"/>
  <c r="CX104" i="1"/>
  <c r="CX106" i="1" s="1"/>
  <c r="CX66" i="1"/>
  <c r="CX172" i="1"/>
  <c r="CX94" i="1"/>
  <c r="CX120" i="1"/>
  <c r="AD91" i="1"/>
  <c r="CX119" i="1"/>
  <c r="CX93" i="1"/>
  <c r="AD90" i="1"/>
  <c r="AD94" i="1" l="1"/>
  <c r="AD93" i="1"/>
  <c r="CX173" i="1"/>
  <c r="AD172" i="1"/>
  <c r="AD173" i="1" s="1"/>
  <c r="AD260" i="1" l="1"/>
  <c r="AD258" i="1"/>
  <c r="AD256" i="1"/>
  <c r="CX260" i="1"/>
  <c r="CX258" i="1"/>
  <c r="CX256" i="1"/>
  <c r="AE221" i="1"/>
  <c r="AD177" i="1"/>
  <c r="AD180" i="1"/>
  <c r="AD121" i="1" s="1"/>
  <c r="AD223" i="1"/>
  <c r="CY221" i="1"/>
  <c r="CX177" i="1"/>
  <c r="CX180" i="1"/>
  <c r="CX223" i="1"/>
  <c r="AD178" i="1" l="1"/>
  <c r="CX121" i="1"/>
  <c r="CY48" i="1"/>
  <c r="CY264" i="1" s="1"/>
  <c r="CX178" i="1"/>
  <c r="CY50" i="1" l="1"/>
  <c r="CX122" i="1"/>
  <c r="CX125" i="1" s="1"/>
  <c r="CX123" i="1"/>
  <c r="CX126" i="1" s="1"/>
  <c r="CY51" i="1" l="1"/>
  <c r="CY53" i="1" l="1"/>
  <c r="CY54" i="1" l="1"/>
  <c r="CY257" i="1" s="1"/>
  <c r="CY246" i="1"/>
  <c r="CY55" i="1"/>
  <c r="CY56" i="1"/>
  <c r="CY60" i="1"/>
  <c r="CY239" i="1"/>
  <c r="CY78" i="1" l="1"/>
  <c r="CY205" i="1"/>
  <c r="CY207" i="1" s="1"/>
  <c r="CY211" i="1" s="1"/>
  <c r="CY225" i="1" s="1"/>
  <c r="CY131" i="1"/>
  <c r="CY132" i="1" l="1"/>
  <c r="CY81" i="1"/>
  <c r="CY82" i="1" s="1"/>
  <c r="CY90" i="1" l="1"/>
  <c r="CY97" i="1"/>
  <c r="CY91" i="1"/>
  <c r="CY104" i="1"/>
  <c r="CY106" i="1" s="1"/>
  <c r="CY141" i="1"/>
  <c r="CY67" i="1" s="1"/>
  <c r="CY219" i="1"/>
  <c r="CY217" i="1" s="1"/>
  <c r="CY222" i="1" s="1"/>
  <c r="CY66" i="1"/>
  <c r="CY172" i="1" l="1"/>
  <c r="CY173" i="1" s="1"/>
  <c r="CY120" i="1"/>
  <c r="CY94" i="1"/>
  <c r="CY93" i="1"/>
  <c r="CY119" i="1"/>
  <c r="CY223" i="1" l="1"/>
  <c r="CY260" i="1"/>
  <c r="CY258" i="1"/>
  <c r="CY256" i="1"/>
  <c r="CZ221" i="1"/>
  <c r="CY177" i="1"/>
  <c r="CY180" i="1"/>
  <c r="CY178" i="1" l="1"/>
  <c r="CZ48" i="1"/>
  <c r="CZ264" i="1" s="1"/>
  <c r="CY121" i="1"/>
  <c r="CY123" i="1" l="1"/>
  <c r="CY126" i="1" s="1"/>
  <c r="CY122" i="1"/>
  <c r="CY125" i="1" s="1"/>
  <c r="CZ50" i="1"/>
  <c r="CZ51" i="1" l="1"/>
  <c r="CZ53" i="1" l="1"/>
  <c r="CZ246" i="1" l="1"/>
  <c r="CZ55" i="1"/>
  <c r="CZ54" i="1"/>
  <c r="CZ257" i="1" s="1"/>
  <c r="CZ56" i="1"/>
  <c r="CZ60" i="1"/>
  <c r="CZ239" i="1"/>
  <c r="CZ205" i="1" l="1"/>
  <c r="CZ207" i="1" s="1"/>
  <c r="CZ211" i="1" s="1"/>
  <c r="CZ225" i="1" s="1"/>
  <c r="CZ78" i="1"/>
  <c r="CZ131" i="1"/>
  <c r="CZ132" i="1" l="1"/>
  <c r="CZ81" i="1"/>
  <c r="CZ82" i="1" s="1"/>
  <c r="CZ97" i="1" l="1"/>
  <c r="CZ91" i="1"/>
  <c r="CZ90" i="1"/>
  <c r="CZ141" i="1"/>
  <c r="CZ67" i="1" s="1"/>
  <c r="CZ219" i="1"/>
  <c r="CZ217" i="1" s="1"/>
  <c r="CZ222" i="1" s="1"/>
  <c r="CZ104" i="1"/>
  <c r="CZ106" i="1" s="1"/>
  <c r="CZ66" i="1"/>
  <c r="CZ172" i="1" l="1"/>
  <c r="CZ173" i="1" s="1"/>
  <c r="CZ119" i="1"/>
  <c r="CZ93" i="1"/>
  <c r="CZ94" i="1"/>
  <c r="CZ120" i="1"/>
  <c r="CZ258" i="1" l="1"/>
  <c r="CZ256" i="1"/>
  <c r="CZ260" i="1"/>
  <c r="CZ177" i="1"/>
  <c r="CZ180" i="1"/>
  <c r="DA221" i="1"/>
  <c r="CZ223" i="1"/>
  <c r="CZ121" i="1" l="1"/>
  <c r="DA48" i="1"/>
  <c r="DA264" i="1" s="1"/>
  <c r="CZ178" i="1"/>
  <c r="DA50" i="1" l="1"/>
  <c r="CZ122" i="1"/>
  <c r="CZ125" i="1" s="1"/>
  <c r="CZ123" i="1"/>
  <c r="CZ126" i="1" s="1"/>
  <c r="DA51" i="1" l="1"/>
  <c r="DA53" i="1" l="1"/>
  <c r="DA246" i="1" l="1"/>
  <c r="DA60" i="1"/>
  <c r="DA55" i="1"/>
  <c r="DA56" i="1"/>
  <c r="DA54" i="1"/>
  <c r="DA257" i="1" s="1"/>
  <c r="DA239" i="1"/>
  <c r="DA78" i="1" l="1"/>
  <c r="DA205" i="1"/>
  <c r="DA207" i="1" s="1"/>
  <c r="DA211" i="1" s="1"/>
  <c r="DA225" i="1" s="1"/>
  <c r="DA131" i="1"/>
  <c r="DA132" i="1" l="1"/>
  <c r="DA81" i="1"/>
  <c r="DA82" i="1" s="1"/>
  <c r="DA91" i="1" l="1"/>
  <c r="DA90" i="1"/>
  <c r="DA97" i="1"/>
  <c r="DA141" i="1"/>
  <c r="DA67" i="1" s="1"/>
  <c r="DA219" i="1"/>
  <c r="DA217" i="1" s="1"/>
  <c r="DA222" i="1" s="1"/>
  <c r="DA104" i="1"/>
  <c r="DA106" i="1" s="1"/>
  <c r="DA66" i="1"/>
  <c r="DA172" i="1" l="1"/>
  <c r="DA173" i="1" s="1"/>
  <c r="DA119" i="1"/>
  <c r="DA93" i="1"/>
  <c r="DA94" i="1"/>
  <c r="DA120" i="1"/>
  <c r="DA223" i="1" l="1"/>
  <c r="DA260" i="1"/>
  <c r="DA256" i="1"/>
  <c r="DA258" i="1"/>
  <c r="DA180" i="1"/>
  <c r="DB221" i="1"/>
  <c r="DA177" i="1"/>
  <c r="DA178" i="1" l="1"/>
  <c r="DA121" i="1"/>
  <c r="DB48" i="1"/>
  <c r="DB264" i="1" s="1"/>
  <c r="DA123" i="1" l="1"/>
  <c r="DA126" i="1" s="1"/>
  <c r="DA122" i="1"/>
  <c r="DA125" i="1" s="1"/>
  <c r="DB50" i="1"/>
  <c r="AE48" i="1"/>
  <c r="AE49" i="1" l="1"/>
  <c r="AE264" i="1"/>
  <c r="AE50" i="1"/>
  <c r="DB51" i="1"/>
  <c r="AE51" i="1" s="1"/>
  <c r="AE52" i="1" l="1"/>
  <c r="DB53" i="1"/>
  <c r="AE53" i="1"/>
  <c r="AE55" i="1" s="1"/>
  <c r="AE54" i="1" l="1"/>
  <c r="AE257" i="1" s="1"/>
  <c r="AE60" i="1"/>
  <c r="AE73" i="1"/>
  <c r="DB55" i="1"/>
  <c r="DB56" i="1"/>
  <c r="DB246" i="1"/>
  <c r="DB54" i="1"/>
  <c r="DB257" i="1" s="1"/>
  <c r="DB60" i="1"/>
  <c r="DB239" i="1"/>
  <c r="AE63" i="1" l="1"/>
  <c r="AE64" i="1" s="1"/>
  <c r="AE205" i="1"/>
  <c r="AE207" i="1" s="1"/>
  <c r="AE211" i="1" s="1"/>
  <c r="AE225" i="1" s="1"/>
  <c r="DB205" i="1"/>
  <c r="DB207" i="1" s="1"/>
  <c r="DB211" i="1" s="1"/>
  <c r="DB225" i="1" s="1"/>
  <c r="DB78" i="1"/>
  <c r="DB81" i="1" s="1"/>
  <c r="DB82" i="1" s="1"/>
  <c r="DB131" i="1"/>
  <c r="AE131" i="1" l="1"/>
  <c r="AE132" i="1" s="1"/>
  <c r="DB132" i="1"/>
  <c r="DB91" i="1"/>
  <c r="DB90" i="1"/>
  <c r="DB97" i="1"/>
  <c r="DB119" i="1" l="1"/>
  <c r="DB93" i="1"/>
  <c r="AE90" i="1"/>
  <c r="DB120" i="1"/>
  <c r="DB94" i="1"/>
  <c r="AE91" i="1"/>
  <c r="DB219" i="1"/>
  <c r="DB217" i="1" s="1"/>
  <c r="DB222" i="1" s="1"/>
  <c r="DB141" i="1"/>
  <c r="DB67" i="1" s="1"/>
  <c r="DB104" i="1"/>
  <c r="DB106" i="1" s="1"/>
  <c r="DB66" i="1"/>
  <c r="AE219" i="1"/>
  <c r="AE217" i="1" s="1"/>
  <c r="AE222" i="1" s="1"/>
  <c r="AE141" i="1"/>
  <c r="AE67" i="1" s="1"/>
  <c r="AE187" i="1"/>
  <c r="AE66" i="1"/>
  <c r="AE94" i="1" l="1"/>
  <c r="AE93" i="1"/>
  <c r="DB172" i="1"/>
  <c r="AE172" i="1" l="1"/>
  <c r="AE173" i="1" s="1"/>
  <c r="DB173" i="1"/>
  <c r="DB256" i="1" l="1"/>
  <c r="DB260" i="1"/>
  <c r="DB258" i="1"/>
  <c r="AE258" i="1"/>
  <c r="AE256" i="1"/>
  <c r="AE260" i="1"/>
  <c r="DB177" i="1"/>
  <c r="DB180" i="1"/>
  <c r="DB121" i="1" s="1"/>
  <c r="DB223" i="1"/>
  <c r="AE180" i="1"/>
  <c r="AE121" i="1" s="1"/>
  <c r="AE177" i="1"/>
  <c r="AE223" i="1"/>
  <c r="AE178" i="1" l="1"/>
  <c r="DB122" i="1"/>
  <c r="DB125" i="1" s="1"/>
  <c r="DB123" i="1"/>
  <c r="DB126" i="1" s="1"/>
  <c r="DB178" i="1"/>
  <c r="AB75" i="1" l="1"/>
  <c r="AA75" i="1"/>
  <c r="Z75" i="1"/>
  <c r="Y75" i="1"/>
  <c r="X75" i="1"/>
  <c r="W75" i="1"/>
  <c r="V75" i="1"/>
  <c r="U75" i="1"/>
  <c r="T75" i="1"/>
  <c r="T77" i="1"/>
  <c r="T104" i="1"/>
  <c r="T106" i="1"/>
  <c r="T108" i="1"/>
  <c r="S75" i="1"/>
  <c r="R75" i="1"/>
  <c r="Q75" i="1"/>
  <c r="P75" i="1"/>
  <c r="O75" i="1"/>
  <c r="N75" i="1"/>
  <c r="M75" i="1"/>
  <c r="L75" i="1"/>
  <c r="K75" i="1"/>
  <c r="J75" i="1"/>
  <c r="J77" i="1"/>
  <c r="J78" i="1"/>
  <c r="J81" i="1"/>
  <c r="U77" i="1"/>
  <c r="U120" i="1"/>
  <c r="U123" i="1"/>
  <c r="I75" i="1"/>
  <c r="H75" i="1"/>
  <c r="G75" i="1"/>
  <c r="G77" i="1"/>
  <c r="G104" i="1"/>
  <c r="G106" i="1"/>
  <c r="H77" i="1"/>
  <c r="H78" i="1"/>
  <c r="H81" i="1"/>
  <c r="H98" i="1"/>
  <c r="AA76" i="1"/>
  <c r="AB76" i="1"/>
  <c r="Z76" i="1"/>
  <c r="Y76" i="1"/>
  <c r="X76" i="1"/>
  <c r="W76" i="1"/>
  <c r="V76" i="1"/>
  <c r="U76" i="1"/>
  <c r="T76" i="1"/>
  <c r="S76" i="1"/>
  <c r="R76" i="1"/>
  <c r="Q76" i="1"/>
  <c r="P76" i="1"/>
  <c r="L77" i="1"/>
  <c r="L111" i="1"/>
  <c r="L116" i="1"/>
  <c r="T78" i="1"/>
  <c r="T81" i="1"/>
  <c r="S101" i="1"/>
  <c r="AC75" i="1"/>
  <c r="AD75" i="1"/>
  <c r="AE75" i="1"/>
  <c r="AE77" i="1"/>
  <c r="AE78" i="1"/>
  <c r="AE80" i="1"/>
  <c r="W77" i="1"/>
  <c r="W78" i="1"/>
  <c r="W81" i="1"/>
  <c r="W97" i="1"/>
  <c r="K77" i="1"/>
  <c r="K78" i="1"/>
  <c r="K81" i="1"/>
  <c r="J101" i="1"/>
  <c r="L78" i="1"/>
  <c r="L81" i="1"/>
  <c r="L98" i="1"/>
  <c r="W82" i="1"/>
  <c r="S77" i="1"/>
  <c r="S78" i="1"/>
  <c r="S81" i="1"/>
  <c r="S97" i="1"/>
  <c r="Z77" i="1"/>
  <c r="Z111" i="1"/>
  <c r="Z115" i="1"/>
  <c r="AC77" i="1"/>
  <c r="AC78" i="1"/>
  <c r="AC81" i="1"/>
  <c r="H104" i="1"/>
  <c r="L120" i="1"/>
  <c r="L123" i="1"/>
  <c r="L126" i="1"/>
  <c r="K104" i="1"/>
  <c r="K108" i="1"/>
  <c r="Q77" i="1"/>
  <c r="Q104" i="1"/>
  <c r="Q107" i="1"/>
  <c r="N77" i="1"/>
  <c r="N78" i="1"/>
  <c r="H120" i="1"/>
  <c r="O77" i="1"/>
  <c r="O120" i="1"/>
  <c r="O123" i="1"/>
  <c r="O126" i="1"/>
  <c r="AC97" i="1"/>
  <c r="L115" i="1"/>
  <c r="O76" i="1"/>
  <c r="N76" i="1"/>
  <c r="M76" i="1"/>
  <c r="L76" i="1"/>
  <c r="K76" i="1"/>
  <c r="J76" i="1"/>
  <c r="I76" i="1"/>
  <c r="N104" i="1"/>
  <c r="V77" i="1"/>
  <c r="V104" i="1"/>
  <c r="V106" i="1"/>
  <c r="Q119" i="1"/>
  <c r="W120" i="1"/>
  <c r="H108" i="1"/>
  <c r="T120" i="1"/>
  <c r="N106" i="1"/>
  <c r="AC104" i="1"/>
  <c r="W80" i="1"/>
  <c r="K82" i="1"/>
  <c r="Z120" i="1"/>
  <c r="K119" i="1"/>
  <c r="H123" i="1"/>
  <c r="J80" i="1"/>
  <c r="AD77" i="1"/>
  <c r="AD111" i="1"/>
  <c r="AD116" i="1"/>
  <c r="J82" i="1"/>
  <c r="H99" i="1"/>
  <c r="G101" i="1"/>
  <c r="N108" i="1"/>
  <c r="K80" i="1"/>
  <c r="AC82" i="1"/>
  <c r="H106" i="1"/>
  <c r="AB77" i="1"/>
  <c r="AB120" i="1"/>
  <c r="AB123" i="1"/>
  <c r="AB126" i="1"/>
  <c r="L104" i="1"/>
  <c r="AD119" i="1"/>
  <c r="AD122" i="1"/>
  <c r="AD104" i="1"/>
  <c r="S98" i="1"/>
  <c r="F75" i="1"/>
  <c r="F77" i="1"/>
  <c r="F78" i="1"/>
  <c r="F81" i="1"/>
  <c r="F97" i="1"/>
  <c r="H111" i="1"/>
  <c r="G119" i="1"/>
  <c r="G122" i="1"/>
  <c r="J120" i="1"/>
  <c r="J123" i="1"/>
  <c r="G107" i="1"/>
  <c r="P77" i="1"/>
  <c r="P120" i="1"/>
  <c r="P123" i="1"/>
  <c r="H116" i="1"/>
  <c r="Y77" i="1"/>
  <c r="Y119" i="1"/>
  <c r="Y122" i="1"/>
  <c r="Y125" i="1"/>
  <c r="Y104" i="1"/>
  <c r="Y106" i="1"/>
  <c r="Y111" i="1"/>
  <c r="Y116" i="1"/>
  <c r="H119" i="1"/>
  <c r="W111" i="1"/>
  <c r="W114" i="1"/>
  <c r="L119" i="1"/>
  <c r="O111" i="1"/>
  <c r="K111" i="1"/>
  <c r="K116" i="1"/>
  <c r="AC76" i="1"/>
  <c r="AD76" i="1"/>
  <c r="N120" i="1"/>
  <c r="O104" i="1"/>
  <c r="O106" i="1"/>
  <c r="AE120" i="1"/>
  <c r="P78" i="1"/>
  <c r="P81" i="1"/>
  <c r="O101" i="1"/>
  <c r="S119" i="1"/>
  <c r="S122" i="1"/>
  <c r="T107" i="1"/>
  <c r="K115" i="1"/>
  <c r="I77" i="1"/>
  <c r="I78" i="1"/>
  <c r="I81" i="1"/>
  <c r="O119" i="1"/>
  <c r="L99" i="1"/>
  <c r="U119" i="1"/>
  <c r="U122" i="1"/>
  <c r="K99" i="1"/>
  <c r="M77" i="1"/>
  <c r="M119" i="1"/>
  <c r="M122" i="1"/>
  <c r="H115" i="1"/>
  <c r="T97" i="1"/>
  <c r="U125" i="1"/>
  <c r="W119" i="1"/>
  <c r="W122" i="1"/>
  <c r="R77" i="1"/>
  <c r="R120" i="1"/>
  <c r="R123" i="1"/>
  <c r="R126" i="1"/>
  <c r="O116" i="1"/>
  <c r="AB111" i="1"/>
  <c r="AB115" i="1"/>
  <c r="K114" i="1"/>
  <c r="O107" i="1"/>
  <c r="P97" i="1"/>
  <c r="I80" i="1"/>
  <c r="P111" i="1"/>
  <c r="P114" i="1"/>
  <c r="S125" i="1"/>
  <c r="AB116" i="1"/>
  <c r="W98" i="1"/>
  <c r="E75" i="1"/>
  <c r="E77" i="1"/>
  <c r="E111" i="1"/>
  <c r="E116" i="1"/>
  <c r="R111" i="1"/>
  <c r="R114" i="1"/>
  <c r="Q122" i="1"/>
  <c r="S82" i="1"/>
  <c r="X77" i="1"/>
  <c r="X78" i="1"/>
  <c r="X81" i="1"/>
  <c r="N119" i="1"/>
  <c r="V107" i="1"/>
  <c r="AD120" i="1"/>
  <c r="AD123" i="1"/>
  <c r="T123" i="1"/>
  <c r="X104" i="1"/>
  <c r="X108" i="1"/>
  <c r="X111" i="1"/>
  <c r="X114" i="1"/>
  <c r="AC111" i="1"/>
  <c r="E120" i="1"/>
  <c r="AD115" i="1"/>
  <c r="X119" i="1"/>
  <c r="X122" i="1"/>
  <c r="N81" i="1"/>
  <c r="H107" i="1"/>
  <c r="F120" i="1"/>
  <c r="O122" i="1"/>
  <c r="S111" i="1"/>
  <c r="E78" i="1"/>
  <c r="E80" i="1"/>
  <c r="K120" i="1"/>
  <c r="K123" i="1"/>
  <c r="K126" i="1"/>
  <c r="AE119" i="1"/>
  <c r="AE111" i="1"/>
  <c r="N80" i="1"/>
  <c r="S120" i="1"/>
  <c r="I119" i="1"/>
  <c r="I122" i="1"/>
  <c r="I125" i="1"/>
  <c r="E119" i="1"/>
  <c r="F104" i="1"/>
  <c r="G125" i="1"/>
  <c r="L114" i="1"/>
  <c r="Q106" i="1"/>
  <c r="AD125" i="1"/>
  <c r="E101" i="1"/>
  <c r="P98" i="1"/>
  <c r="Z116" i="1"/>
  <c r="K107" i="1"/>
  <c r="H114" i="1"/>
  <c r="J99" i="1"/>
  <c r="Z114" i="1"/>
  <c r="N97" i="1"/>
  <c r="X82" i="1"/>
  <c r="J97" i="1"/>
  <c r="L80" i="1"/>
  <c r="AB114" i="1"/>
  <c r="I97" i="1"/>
  <c r="H101" i="1"/>
  <c r="P82" i="1"/>
  <c r="F111" i="1"/>
  <c r="F115" i="1"/>
  <c r="W125" i="1"/>
  <c r="S80" i="1"/>
  <c r="I101" i="1"/>
  <c r="P126" i="1"/>
  <c r="K101" i="1"/>
  <c r="H122" i="1"/>
  <c r="V108" i="1"/>
  <c r="F119" i="1"/>
  <c r="F122" i="1"/>
  <c r="U78" i="1"/>
  <c r="U80" i="1"/>
  <c r="M78" i="1"/>
  <c r="M81" i="1"/>
  <c r="F82" i="1"/>
  <c r="P80" i="1"/>
  <c r="H97" i="1"/>
  <c r="L82" i="1"/>
  <c r="Y114" i="1"/>
  <c r="M99" i="1"/>
  <c r="F125" i="1"/>
  <c r="AA77" i="1"/>
  <c r="AA119" i="1"/>
  <c r="AA104" i="1"/>
  <c r="AA106" i="1"/>
  <c r="Q78" i="1"/>
  <c r="M111" i="1"/>
  <c r="M116" i="1"/>
  <c r="Y107" i="1"/>
  <c r="Y78" i="1"/>
  <c r="Y81" i="1"/>
  <c r="Z78" i="1"/>
  <c r="Z81" i="1"/>
  <c r="J119" i="1"/>
  <c r="J122" i="1"/>
  <c r="AC120" i="1"/>
  <c r="AC123" i="1"/>
  <c r="AE81" i="1"/>
  <c r="G120" i="1"/>
  <c r="G123" i="1"/>
  <c r="I120" i="1"/>
  <c r="I123" i="1"/>
  <c r="I126" i="1"/>
  <c r="H82" i="1"/>
  <c r="Z97" i="1"/>
  <c r="Y101" i="1"/>
  <c r="AE97" i="1"/>
  <c r="G126" i="1"/>
  <c r="Z119" i="1"/>
  <c r="T98" i="1"/>
  <c r="T82" i="1"/>
  <c r="W101" i="1"/>
  <c r="AE104" i="1"/>
  <c r="U104" i="1"/>
  <c r="K106" i="1"/>
  <c r="AB78" i="1"/>
  <c r="AB81" i="1"/>
  <c r="AB119" i="1"/>
  <c r="AB122" i="1"/>
  <c r="AC119" i="1"/>
  <c r="AC122" i="1"/>
  <c r="G111" i="1"/>
  <c r="V111" i="1"/>
  <c r="V115" i="1"/>
  <c r="AB82" i="1"/>
  <c r="AB104" i="1"/>
  <c r="AB107" i="1"/>
  <c r="L108" i="1"/>
  <c r="W116" i="1"/>
  <c r="J111" i="1"/>
  <c r="J115" i="1"/>
  <c r="E115" i="1"/>
  <c r="T111" i="1"/>
  <c r="T115" i="1"/>
  <c r="Y115" i="1"/>
  <c r="R78" i="1"/>
  <c r="R81" i="1"/>
  <c r="R98" i="1"/>
  <c r="P99" i="1"/>
  <c r="V78" i="1"/>
  <c r="V81" i="1"/>
  <c r="V99" i="1"/>
  <c r="W104" i="1"/>
  <c r="W99" i="1"/>
  <c r="K97" i="1"/>
  <c r="Q80" i="1"/>
  <c r="O78" i="1"/>
  <c r="O81" i="1"/>
  <c r="O98" i="1"/>
  <c r="O99" i="1"/>
  <c r="S99" i="1"/>
  <c r="AD78" i="1"/>
  <c r="AD81" i="1"/>
  <c r="AD98" i="1"/>
  <c r="M80" i="1"/>
  <c r="O115" i="1"/>
  <c r="E114" i="1"/>
  <c r="P116" i="1"/>
  <c r="P115" i="1"/>
  <c r="Y80" i="1"/>
  <c r="W115" i="1"/>
  <c r="AB108" i="1"/>
  <c r="Q111" i="1"/>
  <c r="Y120" i="1"/>
  <c r="Y123" i="1"/>
  <c r="Y126" i="1"/>
  <c r="H76" i="1"/>
  <c r="G76" i="1"/>
  <c r="N107" i="1"/>
  <c r="T126" i="1"/>
  <c r="X120" i="1"/>
  <c r="X123" i="1"/>
  <c r="X107" i="1"/>
  <c r="X116" i="1"/>
  <c r="R97" i="1"/>
  <c r="AC106" i="1"/>
  <c r="AB80" i="1"/>
  <c r="E123" i="1"/>
  <c r="E126" i="1"/>
  <c r="AC116" i="1"/>
  <c r="AD114" i="1"/>
  <c r="E81" i="1"/>
  <c r="Y97" i="1"/>
  <c r="J98" i="1"/>
  <c r="G116" i="1"/>
  <c r="AC98" i="1"/>
  <c r="AE123" i="1"/>
  <c r="G114" i="1"/>
  <c r="L101" i="1"/>
  <c r="M82" i="1"/>
  <c r="AA122" i="1"/>
  <c r="AA120" i="1"/>
  <c r="AA123" i="1"/>
  <c r="AA108" i="1"/>
  <c r="Z123" i="1"/>
  <c r="V120" i="1"/>
  <c r="V123" i="1"/>
  <c r="V126" i="1"/>
  <c r="M104" i="1"/>
  <c r="X106" i="1"/>
  <c r="K122" i="1"/>
  <c r="AD107" i="1"/>
  <c r="L97" i="1"/>
  <c r="U111" i="1"/>
  <c r="AD126" i="1"/>
  <c r="R115" i="1"/>
  <c r="U126" i="1"/>
  <c r="R101" i="1"/>
  <c r="Z80" i="1"/>
  <c r="Z82" i="1"/>
  <c r="AB97" i="1"/>
  <c r="AE82" i="1"/>
  <c r="Q116" i="1"/>
  <c r="U108" i="1"/>
  <c r="AE106" i="1"/>
  <c r="J126" i="1"/>
  <c r="F116" i="1"/>
  <c r="AC101" i="1"/>
  <c r="L106" i="1"/>
  <c r="E97" i="1"/>
  <c r="AD101" i="1"/>
  <c r="N122" i="1"/>
  <c r="H126" i="1"/>
  <c r="H80" i="1"/>
  <c r="AC108" i="1"/>
  <c r="E99" i="1"/>
  <c r="K125" i="1"/>
  <c r="T119" i="1"/>
  <c r="T122" i="1"/>
  <c r="T125" i="1"/>
  <c r="U114" i="1"/>
  <c r="W107" i="1"/>
  <c r="F98" i="1"/>
  <c r="U81" i="1"/>
  <c r="O114" i="1"/>
  <c r="N111" i="1"/>
  <c r="N123" i="1"/>
  <c r="AC99" i="1"/>
  <c r="V116" i="1"/>
  <c r="AC80" i="1"/>
  <c r="AE114" i="1"/>
  <c r="M120" i="1"/>
  <c r="M123" i="1"/>
  <c r="Z122" i="1"/>
  <c r="Z125" i="1"/>
  <c r="F114" i="1"/>
  <c r="S115" i="1"/>
  <c r="AE126" i="1"/>
  <c r="U82" i="1"/>
  <c r="V101" i="1"/>
  <c r="D101" i="1"/>
  <c r="AD80" i="1"/>
  <c r="O125" i="1"/>
  <c r="X80" i="1"/>
  <c r="Q120" i="1"/>
  <c r="Q123" i="1"/>
  <c r="Q126" i="1"/>
  <c r="U97" i="1"/>
  <c r="M97" i="1"/>
  <c r="M126" i="1"/>
  <c r="AA125" i="1"/>
  <c r="AA78" i="1"/>
  <c r="AA81" i="1"/>
  <c r="AA98" i="1"/>
  <c r="AA111" i="1"/>
  <c r="AA116" i="1"/>
  <c r="Q81" i="1"/>
  <c r="P101" i="1"/>
  <c r="T116" i="1"/>
  <c r="G78" i="1"/>
  <c r="F106" i="1"/>
  <c r="I104" i="1"/>
  <c r="M107" i="1"/>
  <c r="R119" i="1"/>
  <c r="R122" i="1"/>
  <c r="P119" i="1"/>
  <c r="P122" i="1"/>
  <c r="P125" i="1"/>
  <c r="S104" i="1"/>
  <c r="J104" i="1"/>
  <c r="E104" i="1"/>
  <c r="R104" i="1"/>
  <c r="S106" i="1"/>
  <c r="J106" i="1"/>
  <c r="R99" i="1"/>
  <c r="Q97" i="1"/>
  <c r="G81" i="1"/>
  <c r="G97" i="1"/>
  <c r="Z101" i="1"/>
  <c r="F101" i="1"/>
  <c r="I107" i="1"/>
  <c r="F107" i="1"/>
  <c r="M106" i="1"/>
  <c r="Q82" i="1"/>
  <c r="G99" i="1"/>
  <c r="S108" i="1"/>
  <c r="G80" i="1"/>
  <c r="Q99" i="1"/>
  <c r="R82" i="1"/>
  <c r="Q101" i="1"/>
  <c r="AE116" i="1"/>
  <c r="O80" i="1"/>
  <c r="AB125" i="1"/>
  <c r="M101" i="1"/>
  <c r="T101" i="1"/>
  <c r="R107" i="1"/>
  <c r="U107" i="1"/>
  <c r="Q115" i="1"/>
  <c r="N126" i="1"/>
  <c r="I111" i="1"/>
  <c r="I115" i="1"/>
  <c r="N114" i="1"/>
  <c r="I114" i="1"/>
  <c r="I116" i="1"/>
  <c r="AA82" i="1"/>
  <c r="AA97" i="1"/>
  <c r="AA115" i="1"/>
  <c r="G82" i="1"/>
  <c r="I106" i="1"/>
  <c r="J107" i="1"/>
  <c r="I108" i="1"/>
  <c r="R106" i="1"/>
  <c r="E106" i="1"/>
  <c r="E108" i="1"/>
  <c r="G98" i="1"/>
  <c r="N116" i="1"/>
  <c r="N115" i="1"/>
  <c r="U99" i="1"/>
  <c r="U98" i="1"/>
  <c r="AA114" i="1"/>
  <c r="R125" i="1"/>
  <c r="S107" i="1"/>
  <c r="J108" i="1"/>
  <c r="E107" i="1"/>
  <c r="R108" i="1"/>
  <c r="Q98" i="1"/>
  <c r="Z104" i="1"/>
  <c r="V97" i="1"/>
  <c r="W108" i="1"/>
  <c r="AD97" i="1"/>
  <c r="H125" i="1"/>
  <c r="F123" i="1"/>
  <c r="AD106" i="1"/>
  <c r="S114" i="1"/>
  <c r="G108" i="1"/>
  <c r="P104" i="1"/>
  <c r="F80" i="1"/>
  <c r="V114" i="1"/>
  <c r="T80" i="1"/>
  <c r="AE122" i="1"/>
  <c r="X115" i="1"/>
  <c r="S123" i="1"/>
  <c r="E122" i="1"/>
  <c r="E125" i="1"/>
  <c r="W123" i="1"/>
  <c r="L107" i="1"/>
  <c r="R116" i="1"/>
  <c r="M115" i="1"/>
  <c r="J125" i="1"/>
  <c r="X101" i="1"/>
  <c r="Z98" i="1"/>
  <c r="K98" i="1"/>
  <c r="N98" i="1"/>
  <c r="AC107" i="1"/>
  <c r="V119" i="1"/>
  <c r="V122" i="1"/>
  <c r="V125" i="1"/>
  <c r="Q108" i="1"/>
  <c r="AB106" i="1"/>
  <c r="I99" i="1"/>
  <c r="T99" i="1"/>
  <c r="AE76" i="1"/>
  <c r="AB101" i="1"/>
  <c r="O82" i="1"/>
  <c r="X99" i="1"/>
  <c r="M125" i="1"/>
  <c r="U115" i="1"/>
  <c r="L122" i="1"/>
  <c r="V98" i="1"/>
  <c r="AE108" i="1"/>
  <c r="AC126" i="1"/>
  <c r="I82" i="1"/>
  <c r="O108" i="1"/>
  <c r="Q125" i="1"/>
  <c r="X97" i="1"/>
  <c r="G115" i="1"/>
  <c r="AC114" i="1"/>
  <c r="AB99" i="1"/>
  <c r="F76" i="1"/>
  <c r="E76" i="1"/>
  <c r="E98" i="1"/>
  <c r="Q114" i="1"/>
  <c r="V80" i="1"/>
  <c r="M98" i="1"/>
  <c r="P108" i="1"/>
  <c r="AA107" i="1"/>
  <c r="Z126" i="1"/>
  <c r="N82" i="1"/>
  <c r="AE115" i="1"/>
  <c r="S126" i="1"/>
  <c r="AA101" i="1"/>
  <c r="X125" i="1"/>
  <c r="F108" i="1"/>
  <c r="Z106" i="1"/>
  <c r="Y108" i="1"/>
  <c r="Y98" i="1"/>
  <c r="AD108" i="1"/>
  <c r="U101" i="1"/>
  <c r="S116" i="1"/>
  <c r="I98" i="1"/>
  <c r="F99" i="1"/>
  <c r="N99" i="1"/>
  <c r="AE98" i="1"/>
  <c r="X98" i="1"/>
  <c r="N125" i="1"/>
  <c r="AC115" i="1"/>
  <c r="V82" i="1"/>
  <c r="M114" i="1"/>
  <c r="Y82" i="1"/>
  <c r="E82" i="1"/>
  <c r="X126" i="1"/>
  <c r="T114" i="1"/>
  <c r="J114" i="1"/>
  <c r="Z99" i="1"/>
  <c r="AE107" i="1"/>
  <c r="U106" i="1"/>
  <c r="F126" i="1"/>
  <c r="P107" i="1"/>
  <c r="AA99" i="1"/>
  <c r="AA126" i="1"/>
  <c r="M108" i="1"/>
  <c r="AB98" i="1"/>
  <c r="N101" i="1"/>
  <c r="R80" i="1"/>
  <c r="Y99" i="1"/>
  <c r="AC125" i="1"/>
  <c r="W106" i="1"/>
  <c r="J116" i="1"/>
  <c r="AD82" i="1"/>
  <c r="U116" i="1"/>
  <c r="O97" i="1"/>
  <c r="AD99" i="1"/>
  <c r="AE99" i="1"/>
  <c r="AE125" i="1"/>
  <c r="L125" i="1"/>
  <c r="Z108" i="1"/>
  <c r="Z107" i="1"/>
  <c r="AA80" i="1"/>
  <c r="P106" i="1"/>
  <c r="W1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<sst xmlns="http://schemas.openxmlformats.org/spreadsheetml/2006/main" count="673" uniqueCount="534">
  <si>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</si>
  <si>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</si>
  <si>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</si>
  <si>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</si>
  <si>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</si>
  <si>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</si>
  <si>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</si>
  <si>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</si>
  <si>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</si>
  <si>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</si>
  <si>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</si>
  <si>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</si>
  <si>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</si>
  <si>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</si>
  <si>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</si>
  <si>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</si>
  <si>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</si>
  <si>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</si>
  <si>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</si>
  <si>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</si>
  <si>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</si>
  <si>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</si>
  <si>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</si>
  <si>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</si>
  <si>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</si>
  <si>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</si>
  <si>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</si>
  <si>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</si>
  <si>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</si>
  <si>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</si>
  <si>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</si>
  <si>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</si>
  <si>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</si>
  <si>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</si>
  <si>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</si>
  <si>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</si>
  <si>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</si>
  <si>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</si>
  <si>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</si>
  <si>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</si>
  <si>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</si>
  <si>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</si>
  <si>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</si>
  <si>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</si>
  <si>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</si>
  <si>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</si>
  <si>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</si>
  <si>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</si>
  <si>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</si>
  <si>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</si>
  <si>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</si>
  <si>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</si>
  <si>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</si>
  <si>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</si>
  <si>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</si>
  <si>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</si>
  <si>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</si>
  <si>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</si>
  <si>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</si>
  <si>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</si>
  <si>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</si>
  <si>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</si>
  <si>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</si>
  <si>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</si>
  <si>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</si>
  <si>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</si>
  <si>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</si>
  <si>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</si>
  <si>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</si>
  <si>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</si>
  <si>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</si>
  <si>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</si>
  <si>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</si>
  <si>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</si>
  <si>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</si>
  <si>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</si>
  <si>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</si>
  <si>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</si>
  <si>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</si>
  <si>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</si>
  <si>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</si>
  <si>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</si>
  <si>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</si>
  <si>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</si>
  <si>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</si>
  <si>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</si>
  <si>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</si>
  <si>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</si>
  <si>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</si>
  <si>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</si>
  <si>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</si>
  <si>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</si>
  <si>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</si>
  <si>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</si>
  <si>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</si>
  <si>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</si>
  <si>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</si>
  <si>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</si>
  <si>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</si>
  <si>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</si>
  <si>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</si>
  <si>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</si>
  <si>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</si>
  <si>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</si>
  <si>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</si>
  <si>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</si>
  <si>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</si>
  <si>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</si>
  <si>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</si>
  <si>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</si>
  <si>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</si>
  <si>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</si>
  <si>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</si>
  <si>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</si>
  <si>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</si>
  <si>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</si>
  <si>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</si>
  <si>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</si>
  <si>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</si>
  <si>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</si>
  <si>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</si>
  <si>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</si>
  <si>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</si>
  <si>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</si>
  <si>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</si>
  <si>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</si>
  <si>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</si>
  <si>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</si>
  <si>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</si>
  <si>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</si>
  <si>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</si>
  <si>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</si>
  <si>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</si>
  <si>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</si>
  <si>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</si>
  <si>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</si>
  <si>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</si>
  <si>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</si>
  <si>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</si>
  <si>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</si>
  <si>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</si>
  <si>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</si>
  <si>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</si>
  <si>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</si>
  <si>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</si>
  <si>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</si>
  <si>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</si>
  <si>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</si>
  <si>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</si>
  <si>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</si>
  <si>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</si>
  <si>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</si>
  <si>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</si>
  <si>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</si>
  <si>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</si>
  <si>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</si>
  <si>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</si>
  <si>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</si>
  <si>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</si>
  <si>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</si>
  <si>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</si>
  <si>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</si>
  <si>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</si>
  <si>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</si>
  <si>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</si>
  <si>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</si>
  <si>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</si>
  <si>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</si>
  <si>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</si>
  <si>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</si>
  <si>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</si>
  <si>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</si>
  <si>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</si>
  <si>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</si>
  <si>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</si>
  <si>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</si>
  <si>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</si>
  <si>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</si>
  <si>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</si>
  <si>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</si>
  <si>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</si>
  <si>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</si>
  <si>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</si>
  <si>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</si>
  <si>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</si>
  <si>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</si>
  <si>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</si>
  <si>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</si>
  <si>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</si>
  <si>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</si>
  <si>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</si>
  <si>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</si>
  <si>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</si>
  <si>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</si>
  <si>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</si>
  <si>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</si>
  <si>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</si>
  <si>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</si>
  <si>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</si>
  <si>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</si>
  <si>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</si>
  <si>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</si>
  <si>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</si>
  <si>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</si>
  <si>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</si>
  <si>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</si>
  <si>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</si>
  <si>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</si>
  <si>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</si>
  <si>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</si>
  <si>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</si>
  <si>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</si>
  <si>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</si>
  <si>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</si>
  <si>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</si>
  <si>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</si>
  <si>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</si>
  <si>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</si>
  <si>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</si>
  <si>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</si>
  <si>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</si>
  <si>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</si>
  <si>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</si>
  <si>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</si>
  <si>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</si>
  <si>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</si>
  <si>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</si>
  <si>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</si>
  <si>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</si>
  <si>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</si>
  <si>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</si>
  <si>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</si>
  <si>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</si>
  <si>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</si>
  <si>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</si>
  <si>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</si>
  <si>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</si>
  <si>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</si>
  <si>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</si>
  <si>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</si>
  <si>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</si>
  <si>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</si>
  <si>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</si>
  <si>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</si>
  <si>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</si>
  <si>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</si>
  <si>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</si>
  <si>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</si>
  <si>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</si>
  <si>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</si>
  <si>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</si>
  <si>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</si>
  <si>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</si>
  <si>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</si>
  <si>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</si>
  <si>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</si>
  <si>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</si>
  <si>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</si>
  <si>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</si>
  <si>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</si>
  <si>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</si>
  <si>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</si>
  <si>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</si>
  <si>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</si>
  <si>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</si>
  <si>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</si>
  <si>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</si>
  <si>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</si>
  <si>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</si>
  <si>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</si>
  <si>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</si>
  <si>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</si>
  <si>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</si>
  <si>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</si>
  <si>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</si>
  <si>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</si>
  <si>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</si>
  <si>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</si>
  <si>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</si>
  <si>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</si>
  <si>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</si>
  <si>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</si>
  <si>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</si>
  <si>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</si>
  <si>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</si>
  <si>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</si>
  <si>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</si>
  <si>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</si>
  <si>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</si>
  <si>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</si>
  <si>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</si>
  <si>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</si>
  <si>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</si>
  <si>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</si>
  <si>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</si>
  <si>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</si>
  <si>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</si>
  <si>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</si>
  <si>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</si>
  <si>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</si>
  <si>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</si>
  <si>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</si>
  <si>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</si>
  <si>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</si>
  <si>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</si>
  <si>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</si>
  <si>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</si>
  <si>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</si>
  <si>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</si>
  <si>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</si>
  <si>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</si>
  <si>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</si>
  <si>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</si>
  <si>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</si>
  <si>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</si>
  <si>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</si>
  <si>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</si>
  <si>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</si>
  <si>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</si>
  <si>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</si>
  <si>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</si>
  <si>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</si>
  <si>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</si>
  <si>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</si>
  <si>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</si>
  <si>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</si>
  <si>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</si>
  <si>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</si>
  <si>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</si>
  <si>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</si>
  <si>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</si>
  <si>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</si>
  <si>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</si>
  <si>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</si>
  <si>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</si>
  <si>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</si>
  <si>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</si>
  <si>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</si>
  <si>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</si>
  <si>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</si>
  <si>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</si>
  <si>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</si>
  <si>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</si>
  <si>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</si>
  <si>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</si>
  <si>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</si>
  <si>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</si>
  <si>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</si>
  <si>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</si>
  <si>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</si>
  <si>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</si>
  <si>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</si>
  <si>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</si>
  <si>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</si>
  <si>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</si>
  <si>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</si>
  <si>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</si>
  <si>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</si>
  <si>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</si>
  <si>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</si>
  <si>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</si>
  <si>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</si>
  <si>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</si>
  <si>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</si>
  <si>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</si>
  <si>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</si>
  <si>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</si>
  <si>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</si>
  <si>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</si>
  <si>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</si>
  <si>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</si>
  <si>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</si>
  <si>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</si>
  <si>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</si>
  <si>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</si>
  <si>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</si>
  <si>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</si>
  <si>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</si>
  <si>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</si>
  <si>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</si>
  <si>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</si>
  <si>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</si>
  <si>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</si>
  <si>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</si>
  <si>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</si>
  <si>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</si>
  <si>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</si>
  <si>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</si>
  <si>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</si>
  <si>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</si>
  <si>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</si>
  <si>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</si>
  <si>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</si>
  <si>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</si>
  <si>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</si>
  <si>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</si>
  <si>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</si>
  <si>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</si>
  <si>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</si>
  <si>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</si>
  <si>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</si>
  <si>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</si>
  <si>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</si>
  <si>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</si>
  <si>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</si>
  <si>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</si>
  <si>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</si>
  <si>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</si>
  <si>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</si>
  <si>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</si>
  <si>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</si>
  <si>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</si>
  <si>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</si>
  <si>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</si>
  <si>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</si>
  <si>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</si>
  <si>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</si>
  <si>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</si>
  <si>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</si>
  <si>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</si>
  <si>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</si>
  <si>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</si>
  <si>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</si>
  <si>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</si>
  <si>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</si>
  <si>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</si>
  <si>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</si>
  <si>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</si>
  <si>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</si>
  <si>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</si>
  <si>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</si>
  <si>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</si>
  <si>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</si>
  <si>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</si>
  <si>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</si>
  <si>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</si>
  <si>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</si>
  <si>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</si>
  <si>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</si>
  <si>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</si>
  <si>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</si>
  <si>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</si>
  <si>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</si>
  <si>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</si>
  <si>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</si>
  <si>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</si>
  <si>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</si>
  <si>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</si>
  <si>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</si>
  <si>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</si>
  <si>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</si>
  <si>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</si>
  <si>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</si>
  <si>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</si>
  <si>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</si>
  <si>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</si>
  <si>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</si>
  <si>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</si>
  <si>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</si>
  <si>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</si>
  <si>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</si>
  <si>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</si>
  <si>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</si>
  <si>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</si>
  <si>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</si>
  <si>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</si>
  <si>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</si>
  <si>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</si>
  <si>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</si>
  <si>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</si>
  <si>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</si>
  <si>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</si>
  <si>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</si>
  <si>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</si>
  <si>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</si>
  <si>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</si>
  <si>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</si>
  <si>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</si>
  <si>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</si>
  <si>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</si>
  <si>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</si>
  <si>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</si>
  <si>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</si>
  <si>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</si>
  <si>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</si>
  <si>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</si>
  <si>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</si>
  <si>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</si>
  <si>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</si>
  <si>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</si>
  <si>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</si>
  <si>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</si>
  <si>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</si>
  <si>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</si>
  <si>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</si>
  <si>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</si>
  <si>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</si>
  <si>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</si>
  <si>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</si>
  <si>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</si>
  <si>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</si>
  <si>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</si>
  <si>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</si>
  <si>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</si>
  <si>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</si>
  <si>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</si>
  <si>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</si>
  <si>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</si>
  <si>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</si>
  <si>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</si>
  <si>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</si>
  <si>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</si>
  <si>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</si>
  <si>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</si>
  <si>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</si>
  <si>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Dalmia Bharat Ltd.</t>
  </si>
  <si>
    <t>DATE</t>
  </si>
  <si>
    <t>ADJCLOSE</t>
  </si>
  <si>
    <t>ADJHIGH</t>
  </si>
  <si>
    <t>ADJLOW</t>
  </si>
  <si>
    <t>ADJOPEN</t>
  </si>
  <si>
    <t>CLOSE</t>
  </si>
  <si>
    <t>VOLUME</t>
  </si>
  <si>
    <t>Revenue Volume (Mn tons)</t>
  </si>
  <si>
    <t>Revenue Volume Growth %</t>
  </si>
  <si>
    <t>Unit Matrix - Revenue</t>
  </si>
  <si>
    <t>Unit Matrix - GP</t>
  </si>
  <si>
    <t>Unit Matrix - EBITDA</t>
  </si>
  <si>
    <t>Unit Matrix - :RM</t>
  </si>
  <si>
    <t>Unit Matrix - Employee Cost</t>
  </si>
  <si>
    <t>Unit Matrix - Other cost</t>
  </si>
  <si>
    <t>Realisation YoY%</t>
  </si>
  <si>
    <t>Unit metrics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</si>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</sst>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2" borderId="0" xfId="1" applyFont="1" applyFill="1" applyAlignment="1">
      <alignment horizontal="left"/>
    </xf>
    <xf numFmtId="9" fontId="7" fillId="0" borderId="0" xfId="1" applyFont="1" applyAlignment="1">
      <alignment horizontal="center"/>
    </xf>
    <xf numFmtId="9" fontId="20" fillId="0" borderId="0" xfId="1" applyFont="1" applyFill="1" applyAlignment="1">
      <alignment horizontal="center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6"/>
  <sheetViews>
    <sheetView tabSelected="1" zoomScale="118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19" sqref="DF19:DF266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34" width="11.140625" style="2"/>
    <col min="35" max="56" width="0" style="2" hidden="1" customWidth="1"/>
    <col min="57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Dalmia Bharat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L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si="15"/>
        <v>46112</v>
      </c>
      <c r="CM1" s="80">
        <f t="shared" ref="CM1" si="16">EOMONTH(CL1,3)</f>
        <v>46203</v>
      </c>
      <c r="CN1" s="80">
        <f t="shared" ref="CN1" si="17">EOMONTH(CM1,3)</f>
        <v>46295</v>
      </c>
      <c r="CO1" s="80">
        <f t="shared" ref="CO1" si="18">EOMONTH(CN1,3)</f>
        <v>46387</v>
      </c>
      <c r="CP1" s="80">
        <f t="shared" ref="CP1" si="19">EOMONTH(CO1,3)</f>
        <v>46477</v>
      </c>
      <c r="CQ1" s="80">
        <f t="shared" ref="CQ1" si="20">EOMONTH(CP1,3)</f>
        <v>46568</v>
      </c>
      <c r="CR1" s="80">
        <f t="shared" ref="CR1" si="21">EOMONTH(CQ1,3)</f>
        <v>46660</v>
      </c>
      <c r="CS1" s="80">
        <f t="shared" ref="CS1" si="22">EOMONTH(CR1,3)</f>
        <v>46752</v>
      </c>
      <c r="CT1" s="80">
        <f t="shared" ref="CT1" si="23">EOMONTH(CS1,3)</f>
        <v>46843</v>
      </c>
      <c r="CU1" s="80">
        <f t="shared" ref="CU1" si="24">EOMONTH(CT1,3)</f>
        <v>46934</v>
      </c>
      <c r="CV1" s="80">
        <f t="shared" ref="CV1" si="25">EOMONTH(CU1,3)</f>
        <v>47026</v>
      </c>
      <c r="CW1" s="80">
        <f t="shared" ref="CW1" si="26">EOMONTH(CV1,3)</f>
        <v>47118</v>
      </c>
      <c r="CX1" s="80">
        <f t="shared" ref="CX1" si="27">EOMONTH(CW1,3)</f>
        <v>47208</v>
      </c>
      <c r="CY1" s="80">
        <f t="shared" ref="CY1" si="28">EOMONTH(CX1,3)</f>
        <v>47299</v>
      </c>
      <c r="CZ1" s="80">
        <f t="shared" ref="CZ1" si="29">EOMONTH(CY1,3)</f>
        <v>47391</v>
      </c>
      <c r="DA1" s="80">
        <f t="shared" ref="DA1" si="30">EOMONTH(CZ1,3)</f>
        <v>47483</v>
      </c>
      <c r="DB1" s="80">
        <f t="shared" ref="DB1" si="31">EOMONTH(DA1,3)</f>
        <v>47573</v>
      </c>
      <c r="DE1" s="148" t="s">
        <v>445</v>
      </c>
      <c r="DF1" s="193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85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>
        <f>+SUM(BC4:BF4)</f>
        <v>9.33</v>
      </c>
      <c r="T4" s="107">
        <f>+SUM(BG4:BJ4)</f>
        <v>18.68</v>
      </c>
      <c r="U4" s="107">
        <f>+SUM(BK4:BN4)</f>
        <v>19.29</v>
      </c>
      <c r="V4" s="107">
        <f>+SUM(BO4:BR4)</f>
        <v>20.68</v>
      </c>
      <c r="W4" s="107">
        <f>+SUM(BS4:BV4)</f>
        <v>22.29</v>
      </c>
      <c r="X4" s="107">
        <f>+SUM(BW4:BZ4)</f>
        <v>25.700000000000003</v>
      </c>
      <c r="Y4" s="107">
        <f>+SUM(CA4:CD4)</f>
        <v>28.8</v>
      </c>
      <c r="Z4" s="107">
        <f>+SUM(CE4:CH4)</f>
        <v>29.4</v>
      </c>
      <c r="AA4" s="108">
        <f>+SUM(CI4:CL4)</f>
        <v>30</v>
      </c>
      <c r="AB4" s="108">
        <f>+SUM(CM4:CP4)</f>
        <v>33.000000000000007</v>
      </c>
      <c r="AC4" s="108">
        <f>+SUM(CQ4:CT4)</f>
        <v>35.31</v>
      </c>
      <c r="AD4" s="108">
        <f>+SUM(CU4:CX4)</f>
        <v>37.781700000000008</v>
      </c>
      <c r="AE4" s="108">
        <f>+SUM(CY4:DB4)</f>
        <v>40.42641900000001</v>
      </c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>
        <v>4.1500000000000004</v>
      </c>
      <c r="BF4" s="107">
        <v>5.18</v>
      </c>
      <c r="BG4" s="107">
        <v>4.51</v>
      </c>
      <c r="BH4" s="107">
        <v>4.13</v>
      </c>
      <c r="BI4" s="107">
        <v>4.47</v>
      </c>
      <c r="BJ4" s="107">
        <v>5.57</v>
      </c>
      <c r="BK4" s="107">
        <v>4.55</v>
      </c>
      <c r="BL4" s="107">
        <v>4.47</v>
      </c>
      <c r="BM4" s="107">
        <v>5.0999999999999996</v>
      </c>
      <c r="BN4" s="107">
        <v>5.17</v>
      </c>
      <c r="BO4" s="107">
        <v>3.66</v>
      </c>
      <c r="BP4" s="107">
        <v>4.8</v>
      </c>
      <c r="BQ4" s="107">
        <v>5.8</v>
      </c>
      <c r="BR4" s="107">
        <v>6.42</v>
      </c>
      <c r="BS4" s="107">
        <v>4.8899999999999997</v>
      </c>
      <c r="BT4" s="107">
        <v>5.0999999999999996</v>
      </c>
      <c r="BU4" s="107">
        <v>5.7</v>
      </c>
      <c r="BV4" s="107">
        <v>6.6</v>
      </c>
      <c r="BW4" s="107">
        <v>6.2</v>
      </c>
      <c r="BX4" s="107">
        <v>5.8</v>
      </c>
      <c r="BY4" s="107">
        <v>6.3</v>
      </c>
      <c r="BZ4" s="107">
        <v>7.4</v>
      </c>
      <c r="CA4" s="107">
        <v>7</v>
      </c>
      <c r="CB4" s="107">
        <v>6.2</v>
      </c>
      <c r="CC4" s="107">
        <v>6.8</v>
      </c>
      <c r="CD4" s="107">
        <v>8.8000000000000007</v>
      </c>
      <c r="CE4" s="107">
        <v>7.4</v>
      </c>
      <c r="CF4" s="107">
        <v>6.7</v>
      </c>
      <c r="CG4" s="107">
        <v>6.7</v>
      </c>
      <c r="CH4" s="107">
        <v>8.6</v>
      </c>
      <c r="CI4" s="107">
        <v>7</v>
      </c>
      <c r="CJ4" s="107">
        <v>6.9</v>
      </c>
      <c r="CK4" s="107">
        <v>7.3</v>
      </c>
      <c r="CL4" s="107">
        <v>8.8000000000000007</v>
      </c>
      <c r="CM4" s="108">
        <f>+CI4*1.1</f>
        <v>7.7000000000000011</v>
      </c>
      <c r="CN4" s="108">
        <f t="shared" ref="CN4:CP4" si="32">+CJ4*1.1</f>
        <v>7.5900000000000007</v>
      </c>
      <c r="CO4" s="108">
        <f t="shared" si="32"/>
        <v>8.0300000000000011</v>
      </c>
      <c r="CP4" s="108">
        <f t="shared" si="32"/>
        <v>9.6800000000000015</v>
      </c>
      <c r="CQ4" s="108">
        <f t="shared" ref="CQ4:DB4" si="33">+CM4*1.07</f>
        <v>8.2390000000000008</v>
      </c>
      <c r="CR4" s="108">
        <f t="shared" si="33"/>
        <v>8.1213000000000015</v>
      </c>
      <c r="CS4" s="108">
        <f t="shared" si="33"/>
        <v>8.5921000000000021</v>
      </c>
      <c r="CT4" s="108">
        <f t="shared" si="33"/>
        <v>10.357600000000001</v>
      </c>
      <c r="CU4" s="108">
        <f t="shared" si="33"/>
        <v>8.8157300000000021</v>
      </c>
      <c r="CV4" s="108">
        <f t="shared" si="33"/>
        <v>8.6897910000000014</v>
      </c>
      <c r="CW4" s="108">
        <f t="shared" si="33"/>
        <v>9.1935470000000024</v>
      </c>
      <c r="CX4" s="108">
        <f t="shared" si="33"/>
        <v>11.082632000000002</v>
      </c>
      <c r="CY4" s="108">
        <f t="shared" si="33"/>
        <v>9.4328311000000031</v>
      </c>
      <c r="CZ4" s="108">
        <f t="shared" si="33"/>
        <v>9.2980763700000022</v>
      </c>
      <c r="DA4" s="108">
        <f t="shared" si="33"/>
        <v>9.8370952900000024</v>
      </c>
      <c r="DB4" s="108">
        <f t="shared" si="33"/>
        <v>11.858416240000002</v>
      </c>
      <c r="DE4" s="117"/>
    </row>
    <row r="5" spans="1:110" s="189" customFormat="1" x14ac:dyDescent="0.2">
      <c r="A5" s="188" t="s">
        <v>524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7">
        <f t="shared" ref="T5:Y5" si="34">+T4/S4-1</f>
        <v>1.002143622722401</v>
      </c>
      <c r="U5" s="187">
        <f t="shared" si="34"/>
        <v>3.2655246252676573E-2</v>
      </c>
      <c r="V5" s="187">
        <f t="shared" si="34"/>
        <v>7.2058061171591525E-2</v>
      </c>
      <c r="W5" s="187">
        <f t="shared" si="34"/>
        <v>7.7852998065764067E-2</v>
      </c>
      <c r="X5" s="187">
        <f t="shared" si="34"/>
        <v>0.15298340062808458</v>
      </c>
      <c r="Y5" s="187">
        <f t="shared" si="34"/>
        <v>0.12062256809338501</v>
      </c>
      <c r="Z5" s="187">
        <f>+Z4/Y4-1</f>
        <v>2.0833333333333259E-2</v>
      </c>
      <c r="AA5" s="191">
        <f t="shared" ref="AA5:AE5" si="35">+AA4/Z4-1</f>
        <v>2.0408163265306145E-2</v>
      </c>
      <c r="AB5" s="191">
        <f t="shared" si="35"/>
        <v>0.10000000000000031</v>
      </c>
      <c r="AC5" s="191">
        <f t="shared" si="35"/>
        <v>6.999999999999984E-2</v>
      </c>
      <c r="AD5" s="191">
        <f t="shared" si="35"/>
        <v>7.0000000000000062E-2</v>
      </c>
      <c r="AE5" s="191">
        <f t="shared" si="35"/>
        <v>7.0000000000000062E-2</v>
      </c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7"/>
      <c r="BI5" s="187">
        <f t="shared" ref="BI5:CI5" si="36">+BI4/BE4-1</f>
        <v>7.7108433734939696E-2</v>
      </c>
      <c r="BJ5" s="187">
        <f t="shared" si="36"/>
        <v>7.5289575289575472E-2</v>
      </c>
      <c r="BK5" s="187">
        <f t="shared" si="36"/>
        <v>8.8691796008868451E-3</v>
      </c>
      <c r="BL5" s="187">
        <f t="shared" si="36"/>
        <v>8.2324455205811109E-2</v>
      </c>
      <c r="BM5" s="187">
        <f t="shared" si="36"/>
        <v>0.14093959731543615</v>
      </c>
      <c r="BN5" s="187">
        <f t="shared" si="36"/>
        <v>-7.1813285457809739E-2</v>
      </c>
      <c r="BO5" s="187">
        <f t="shared" si="36"/>
        <v>-0.19560439560439558</v>
      </c>
      <c r="BP5" s="187">
        <f t="shared" si="36"/>
        <v>7.3825503355704702E-2</v>
      </c>
      <c r="BQ5" s="187">
        <f t="shared" si="36"/>
        <v>0.13725490196078427</v>
      </c>
      <c r="BR5" s="187">
        <f t="shared" si="36"/>
        <v>0.24177949709864599</v>
      </c>
      <c r="BS5" s="187">
        <f t="shared" si="36"/>
        <v>0.33606557377049162</v>
      </c>
      <c r="BT5" s="187">
        <f t="shared" si="36"/>
        <v>6.25E-2</v>
      </c>
      <c r="BU5" s="187">
        <f t="shared" si="36"/>
        <v>-1.7241379310344751E-2</v>
      </c>
      <c r="BV5" s="187">
        <f t="shared" si="36"/>
        <v>2.8037383177569986E-2</v>
      </c>
      <c r="BW5" s="187">
        <f t="shared" si="36"/>
        <v>0.2678936605316975</v>
      </c>
      <c r="BX5" s="187">
        <f t="shared" si="36"/>
        <v>0.13725490196078427</v>
      </c>
      <c r="BY5" s="187">
        <f t="shared" si="36"/>
        <v>0.10526315789473673</v>
      </c>
      <c r="BZ5" s="187">
        <f t="shared" si="36"/>
        <v>0.12121212121212133</v>
      </c>
      <c r="CA5" s="187">
        <f t="shared" si="36"/>
        <v>0.12903225806451601</v>
      </c>
      <c r="CB5" s="187">
        <f t="shared" si="36"/>
        <v>6.8965517241379448E-2</v>
      </c>
      <c r="CC5" s="187">
        <f t="shared" si="36"/>
        <v>7.9365079365079305E-2</v>
      </c>
      <c r="CD5" s="187">
        <f t="shared" si="36"/>
        <v>0.18918918918918926</v>
      </c>
      <c r="CE5" s="187">
        <f t="shared" si="36"/>
        <v>5.7142857142857162E-2</v>
      </c>
      <c r="CF5" s="187">
        <f t="shared" si="36"/>
        <v>8.0645161290322509E-2</v>
      </c>
      <c r="CG5" s="187">
        <f t="shared" si="36"/>
        <v>-1.4705882352941124E-2</v>
      </c>
      <c r="CH5" s="187">
        <f t="shared" si="36"/>
        <v>-2.2727272727272818E-2</v>
      </c>
      <c r="CI5" s="187">
        <f t="shared" si="36"/>
        <v>-5.4054054054054057E-2</v>
      </c>
      <c r="CJ5" s="187">
        <f>+CJ4/CF4-1</f>
        <v>2.9850746268656803E-2</v>
      </c>
      <c r="CK5" s="187">
        <f t="shared" ref="CK5:DB5" si="37">+CK4/CG4-1</f>
        <v>8.9552238805970186E-2</v>
      </c>
      <c r="CL5" s="187">
        <f t="shared" si="37"/>
        <v>2.3255813953488413E-2</v>
      </c>
      <c r="CM5" s="191">
        <f t="shared" si="37"/>
        <v>0.10000000000000009</v>
      </c>
      <c r="CN5" s="191">
        <f t="shared" si="37"/>
        <v>0.10000000000000009</v>
      </c>
      <c r="CO5" s="191">
        <f t="shared" si="37"/>
        <v>0.10000000000000009</v>
      </c>
      <c r="CP5" s="191">
        <f t="shared" si="37"/>
        <v>0.10000000000000009</v>
      </c>
      <c r="CQ5" s="191">
        <f t="shared" si="37"/>
        <v>7.0000000000000062E-2</v>
      </c>
      <c r="CR5" s="191">
        <f t="shared" si="37"/>
        <v>7.0000000000000062E-2</v>
      </c>
      <c r="CS5" s="191">
        <f t="shared" si="37"/>
        <v>7.0000000000000062E-2</v>
      </c>
      <c r="CT5" s="191">
        <f t="shared" si="37"/>
        <v>7.0000000000000062E-2</v>
      </c>
      <c r="CU5" s="191">
        <f t="shared" si="37"/>
        <v>7.0000000000000062E-2</v>
      </c>
      <c r="CV5" s="191">
        <f t="shared" si="37"/>
        <v>7.0000000000000062E-2</v>
      </c>
      <c r="CW5" s="191">
        <f t="shared" si="37"/>
        <v>7.0000000000000062E-2</v>
      </c>
      <c r="CX5" s="191">
        <f t="shared" si="37"/>
        <v>7.0000000000000062E-2</v>
      </c>
      <c r="CY5" s="191">
        <f t="shared" si="37"/>
        <v>7.0000000000000062E-2</v>
      </c>
      <c r="CZ5" s="191">
        <f t="shared" si="37"/>
        <v>7.0000000000000062E-2</v>
      </c>
      <c r="DA5" s="191">
        <f t="shared" si="37"/>
        <v>7.0000000000000062E-2</v>
      </c>
      <c r="DB5" s="191">
        <f t="shared" si="37"/>
        <v>7.0000000000000062E-2</v>
      </c>
      <c r="DE5" s="190"/>
    </row>
    <row r="6" spans="1:110" s="189" customFormat="1" x14ac:dyDescent="0.2">
      <c r="A6" s="188"/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7"/>
      <c r="U6" s="187"/>
      <c r="V6" s="187"/>
      <c r="W6" s="187"/>
      <c r="X6" s="187"/>
      <c r="Y6" s="187"/>
      <c r="Z6" s="187"/>
      <c r="AA6" s="191"/>
      <c r="AB6" s="191"/>
      <c r="AC6" s="191"/>
      <c r="AD6" s="191"/>
      <c r="AE6" s="191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7"/>
      <c r="BI6" s="187"/>
      <c r="BJ6" s="187"/>
      <c r="BK6" s="187"/>
      <c r="BL6" s="187"/>
      <c r="BM6" s="187"/>
      <c r="BN6" s="187"/>
      <c r="BO6" s="187"/>
      <c r="BP6" s="187"/>
      <c r="BQ6" s="187"/>
      <c r="BR6" s="187"/>
      <c r="BS6" s="187"/>
      <c r="BT6" s="187"/>
      <c r="BU6" s="187"/>
      <c r="BV6" s="187"/>
      <c r="BW6" s="187"/>
      <c r="BX6" s="187"/>
      <c r="BY6" s="187"/>
      <c r="BZ6" s="187"/>
      <c r="CA6" s="187"/>
      <c r="CB6" s="187"/>
      <c r="CC6" s="187"/>
      <c r="CD6" s="187"/>
      <c r="CE6" s="187"/>
      <c r="CF6" s="187"/>
      <c r="CG6" s="187"/>
      <c r="CH6" s="187"/>
      <c r="CI6" s="187"/>
      <c r="CJ6" s="187"/>
      <c r="CK6" s="187"/>
      <c r="CL6" s="187"/>
      <c r="CM6" s="191"/>
      <c r="CN6" s="191"/>
      <c r="CO6" s="191"/>
      <c r="CP6" s="191"/>
      <c r="CQ6" s="191"/>
      <c r="CR6" s="191"/>
      <c r="CS6" s="191"/>
      <c r="CT6" s="191"/>
      <c r="CU6" s="191"/>
      <c r="CV6" s="191"/>
      <c r="CW6" s="191"/>
      <c r="CX6" s="191"/>
      <c r="CY6" s="191"/>
      <c r="CZ6" s="191"/>
      <c r="DA6" s="191"/>
      <c r="DB6" s="191"/>
      <c r="DE6" s="190"/>
    </row>
    <row r="7" spans="1:110" s="151" customFormat="1" x14ac:dyDescent="0.2">
      <c r="A7" s="151" t="s">
        <v>532</v>
      </c>
    </row>
    <row r="8" spans="1:110" s="109" customFormat="1" x14ac:dyDescent="0.2">
      <c r="A8" s="185" t="s">
        <v>525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>
        <f t="shared" ref="S8:AE8" si="38">+S22/S4*10</f>
        <v>9196.1414790996787</v>
      </c>
      <c r="T8" s="107">
        <f t="shared" si="38"/>
        <v>5077.0877944325475</v>
      </c>
      <c r="U8" s="107">
        <f t="shared" si="38"/>
        <v>5015.0336962156562</v>
      </c>
      <c r="V8" s="107">
        <f t="shared" si="38"/>
        <v>4888.7814313346225</v>
      </c>
      <c r="W8" s="107">
        <f t="shared" si="38"/>
        <v>5063.2570659488565</v>
      </c>
      <c r="X8" s="107">
        <f t="shared" si="38"/>
        <v>5273.1517509727619</v>
      </c>
      <c r="Y8" s="107">
        <f t="shared" si="38"/>
        <v>5101.0416666666661</v>
      </c>
      <c r="Z8" s="107">
        <f t="shared" si="38"/>
        <v>4755.1020408163267</v>
      </c>
      <c r="AA8" s="108">
        <f t="shared" si="38"/>
        <v>4934.6666666666661</v>
      </c>
      <c r="AB8" s="108">
        <f t="shared" si="38"/>
        <v>4889.9281644674775</v>
      </c>
      <c r="AC8" s="108">
        <f t="shared" si="38"/>
        <v>4881.6885033497838</v>
      </c>
      <c r="AD8" s="108">
        <f t="shared" si="38"/>
        <v>4880.4049875286255</v>
      </c>
      <c r="AE8" s="108">
        <f t="shared" si="38"/>
        <v>4880.2430270213154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>
        <f t="shared" ref="BE8:CJ8" si="39">+BE22/BE4*10</f>
        <v>4985.5421686746986</v>
      </c>
      <c r="BF8" s="107">
        <f t="shared" si="39"/>
        <v>5048.2625482625481</v>
      </c>
      <c r="BG8" s="107">
        <f t="shared" si="39"/>
        <v>5212.8603104212871</v>
      </c>
      <c r="BH8" s="107">
        <f t="shared" si="39"/>
        <v>4980.6295399515739</v>
      </c>
      <c r="BI8" s="107">
        <f t="shared" si="39"/>
        <v>4841.1633109619688</v>
      </c>
      <c r="BJ8" s="107">
        <f t="shared" si="39"/>
        <v>5102.3339317773789</v>
      </c>
      <c r="BK8" s="107">
        <f t="shared" si="39"/>
        <v>5575.8241758241766</v>
      </c>
      <c r="BL8" s="107">
        <f t="shared" si="39"/>
        <v>4993.2885906040265</v>
      </c>
      <c r="BM8" s="107">
        <f t="shared" si="39"/>
        <v>4737.254901960785</v>
      </c>
      <c r="BN8" s="107">
        <f t="shared" si="39"/>
        <v>4764.0232108317214</v>
      </c>
      <c r="BO8" s="107">
        <f t="shared" si="39"/>
        <v>5193.9890710382506</v>
      </c>
      <c r="BP8" s="107">
        <f t="shared" si="39"/>
        <v>4818.75</v>
      </c>
      <c r="BQ8" s="107">
        <f t="shared" si="39"/>
        <v>4718.9655172413795</v>
      </c>
      <c r="BR8" s="107">
        <f t="shared" si="39"/>
        <v>4908.0996884735205</v>
      </c>
      <c r="BS8" s="107">
        <f t="shared" si="39"/>
        <v>5298.5685071574644</v>
      </c>
      <c r="BT8" s="107">
        <f t="shared" si="39"/>
        <v>5060.7843137254904</v>
      </c>
      <c r="BU8" s="107">
        <f t="shared" si="39"/>
        <v>4796.4912280701756</v>
      </c>
      <c r="BV8" s="107">
        <f t="shared" si="39"/>
        <v>5121.212121212121</v>
      </c>
      <c r="BW8" s="107">
        <f t="shared" si="39"/>
        <v>5325.8064516129034</v>
      </c>
      <c r="BX8" s="107">
        <f t="shared" si="39"/>
        <v>5122.4137931034493</v>
      </c>
      <c r="BY8" s="107">
        <f t="shared" si="39"/>
        <v>5325.3968253968251</v>
      </c>
      <c r="BZ8" s="107">
        <f t="shared" si="39"/>
        <v>5290.5405405405409</v>
      </c>
      <c r="CA8" s="107">
        <f t="shared" si="39"/>
        <v>5181.4285714285706</v>
      </c>
      <c r="CB8" s="107">
        <f t="shared" si="39"/>
        <v>5085.4838709677424</v>
      </c>
      <c r="CC8" s="107">
        <f t="shared" si="39"/>
        <v>5300</v>
      </c>
      <c r="CD8" s="107">
        <f t="shared" si="39"/>
        <v>4894.3181818181811</v>
      </c>
      <c r="CE8" s="107">
        <f t="shared" si="39"/>
        <v>4893.2432432432433</v>
      </c>
      <c r="CF8" s="107">
        <f t="shared" si="39"/>
        <v>4607.4626865671635</v>
      </c>
      <c r="CG8" s="107">
        <f t="shared" si="39"/>
        <v>4747.7611940298502</v>
      </c>
      <c r="CH8" s="107">
        <f t="shared" si="39"/>
        <v>4756.9767441860467</v>
      </c>
      <c r="CI8" s="107">
        <f t="shared" si="39"/>
        <v>5194.2857142857147</v>
      </c>
      <c r="CJ8" s="107">
        <f t="shared" si="39"/>
        <v>4952.173913043478</v>
      </c>
      <c r="CK8" s="107">
        <f t="shared" ref="CK8:CL8" si="40">+CK22/CK4*10</f>
        <v>4802.7397260273974</v>
      </c>
      <c r="CL8" s="107">
        <f t="shared" si="40"/>
        <v>4823.863636363636</v>
      </c>
      <c r="CM8" s="108">
        <f>+AVERAGE(CI8:CL8)</f>
        <v>4943.2657474300568</v>
      </c>
      <c r="CN8" s="108">
        <f t="shared" ref="CN8:CP8" si="41">+AVERAGE(CJ8:CM8)</f>
        <v>4880.5107557161418</v>
      </c>
      <c r="CO8" s="108">
        <f t="shared" si="41"/>
        <v>4862.5949663843085</v>
      </c>
      <c r="CP8" s="108">
        <f t="shared" si="41"/>
        <v>4877.5587764735365</v>
      </c>
      <c r="CQ8" s="108">
        <f>+AVERAGE(CM8:CP8)</f>
        <v>4890.9825615010104</v>
      </c>
      <c r="CR8" s="108">
        <f t="shared" ref="CR8:CT8" si="42">+AVERAGE(CN8:CQ8)</f>
        <v>4877.9117650187491</v>
      </c>
      <c r="CS8" s="108">
        <f t="shared" si="42"/>
        <v>4877.2620173444011</v>
      </c>
      <c r="CT8" s="108">
        <f t="shared" si="42"/>
        <v>4880.9287800844249</v>
      </c>
      <c r="CU8" s="108">
        <f t="shared" ref="CU8:DB8" si="43">+AVERAGE(CQ8:CT8)</f>
        <v>4881.7712809871464</v>
      </c>
      <c r="CV8" s="108">
        <f t="shared" si="43"/>
        <v>4879.4684608586804</v>
      </c>
      <c r="CW8" s="108">
        <f t="shared" si="43"/>
        <v>4879.8576348186634</v>
      </c>
      <c r="CX8" s="108">
        <f t="shared" si="43"/>
        <v>4880.5065391872286</v>
      </c>
      <c r="CY8" s="108">
        <f t="shared" si="43"/>
        <v>4880.4009789629299</v>
      </c>
      <c r="CZ8" s="108">
        <f t="shared" si="43"/>
        <v>4880.0584034568756</v>
      </c>
      <c r="DA8" s="108">
        <f t="shared" si="43"/>
        <v>4880.2058891064244</v>
      </c>
      <c r="DB8" s="108">
        <f t="shared" si="43"/>
        <v>4880.2929526783646</v>
      </c>
      <c r="DE8" s="117"/>
    </row>
    <row r="9" spans="1:110" s="158" customFormat="1" x14ac:dyDescent="0.2">
      <c r="A9" s="155" t="s">
        <v>528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>
        <f t="shared" ref="S9" si="44">+S8-S10</f>
        <v>1618.4351554126479</v>
      </c>
      <c r="T9" s="156">
        <f t="shared" ref="T9" si="45">+T8-T10</f>
        <v>955.56745182012764</v>
      </c>
      <c r="U9" s="156">
        <f t="shared" ref="U9" si="46">+U8-U10</f>
        <v>905.13219284603474</v>
      </c>
      <c r="V9" s="156">
        <f t="shared" ref="V9" si="47">+V8-V10</f>
        <v>746.13152804642141</v>
      </c>
      <c r="W9" s="156">
        <f t="shared" ref="W9" si="48">+W8-W10</f>
        <v>660.38582323912124</v>
      </c>
      <c r="X9" s="156">
        <f t="shared" ref="X9" si="49">+X8-X10</f>
        <v>770.81712062256793</v>
      </c>
      <c r="Y9" s="156">
        <f t="shared" ref="Y9" si="50">+Y8-Y10</f>
        <v>938.54166666666606</v>
      </c>
      <c r="Z9" s="156">
        <f t="shared" ref="Z9" si="51">+Z8-Z10</f>
        <v>791.83673469387759</v>
      </c>
      <c r="AA9" s="157">
        <f t="shared" ref="AA9" si="52">+AA8-AA10</f>
        <v>779.33333333333212</v>
      </c>
      <c r="AB9" s="157">
        <f t="shared" ref="AB9" si="53">+AB8-AB10</f>
        <v>743.43380580641497</v>
      </c>
      <c r="AC9" s="157">
        <f t="shared" ref="AC9" si="54">+AC8-AC10</f>
        <v>683.58847144520951</v>
      </c>
      <c r="AD9" s="157">
        <f t="shared" ref="AD9" si="55">+AD8-AD10</f>
        <v>679.61713954315837</v>
      </c>
      <c r="AE9" s="157">
        <f t="shared" ref="AE9" si="56">+AE8-AE10</f>
        <v>678.63205524595105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>
        <f t="shared" ref="BE9:CI9" si="57">+BE8-BE10</f>
        <v>934.93975903614455</v>
      </c>
      <c r="BF9" s="156">
        <f t="shared" si="57"/>
        <v>998.06949806949797</v>
      </c>
      <c r="BG9" s="156">
        <f t="shared" si="57"/>
        <v>980.0443458980053</v>
      </c>
      <c r="BH9" s="156">
        <f t="shared" si="57"/>
        <v>859.56416464891026</v>
      </c>
      <c r="BI9" s="156">
        <f t="shared" si="57"/>
        <v>816.55480984340011</v>
      </c>
      <c r="BJ9" s="156">
        <f t="shared" si="57"/>
        <v>1118.4919210053868</v>
      </c>
      <c r="BK9" s="156">
        <f t="shared" si="57"/>
        <v>929.67032967032992</v>
      </c>
      <c r="BL9" s="156">
        <f t="shared" si="57"/>
        <v>841.16331096196791</v>
      </c>
      <c r="BM9" s="156">
        <f t="shared" si="57"/>
        <v>845.09803921568664</v>
      </c>
      <c r="BN9" s="156">
        <f t="shared" si="57"/>
        <v>998.0657640232107</v>
      </c>
      <c r="BO9" s="156">
        <f t="shared" si="57"/>
        <v>846.99453551912484</v>
      </c>
      <c r="BP9" s="156">
        <f t="shared" si="57"/>
        <v>695.83333333333303</v>
      </c>
      <c r="BQ9" s="156">
        <f t="shared" si="57"/>
        <v>708.62068965517255</v>
      </c>
      <c r="BR9" s="156">
        <f t="shared" si="57"/>
        <v>760.12461059189991</v>
      </c>
      <c r="BS9" s="156">
        <f t="shared" si="57"/>
        <v>541.92229038854748</v>
      </c>
      <c r="BT9" s="156">
        <f t="shared" si="57"/>
        <v>654.90196078431381</v>
      </c>
      <c r="BU9" s="156">
        <f t="shared" si="57"/>
        <v>773.68421052631584</v>
      </c>
      <c r="BV9" s="156">
        <f t="shared" si="57"/>
        <v>654.54545454545405</v>
      </c>
      <c r="BW9" s="156">
        <f t="shared" si="57"/>
        <v>677.41935483871021</v>
      </c>
      <c r="BX9" s="156">
        <f t="shared" si="57"/>
        <v>760.34482758620834</v>
      </c>
      <c r="BY9" s="156">
        <f t="shared" si="57"/>
        <v>587.30158730158746</v>
      </c>
      <c r="BZ9" s="156">
        <f t="shared" si="57"/>
        <v>1013.5135135135142</v>
      </c>
      <c r="CA9" s="156">
        <f t="shared" si="57"/>
        <v>808.57142857142753</v>
      </c>
      <c r="CB9" s="156">
        <f t="shared" si="57"/>
        <v>859.677419354839</v>
      </c>
      <c r="CC9" s="156">
        <f t="shared" si="57"/>
        <v>920.58823529411802</v>
      </c>
      <c r="CD9" s="156">
        <f t="shared" si="57"/>
        <v>1111.363636363636</v>
      </c>
      <c r="CE9" s="156">
        <f t="shared" si="57"/>
        <v>817.56756756756795</v>
      </c>
      <c r="CF9" s="156">
        <f t="shared" si="57"/>
        <v>664.17910447761142</v>
      </c>
      <c r="CG9" s="156">
        <f t="shared" si="57"/>
        <v>764.17910447761187</v>
      </c>
      <c r="CH9" s="156">
        <f t="shared" si="57"/>
        <v>890.69767441860449</v>
      </c>
      <c r="CI9" s="156">
        <f t="shared" si="57"/>
        <v>667.14285714285779</v>
      </c>
      <c r="CJ9" s="156">
        <f>+CJ8-CJ10</f>
        <v>731.88405797101404</v>
      </c>
      <c r="CK9" s="156">
        <f>+CK8-CK10</f>
        <v>800</v>
      </c>
      <c r="CL9" s="156">
        <f>+CL8-CL10</f>
        <v>888.63636363636351</v>
      </c>
      <c r="CM9" s="157">
        <f t="shared" ref="CM9:DB9" si="58">+AVERAGE(CI9:CL9)</f>
        <v>771.91581968755884</v>
      </c>
      <c r="CN9" s="157">
        <f t="shared" si="58"/>
        <v>798.10906032373407</v>
      </c>
      <c r="CO9" s="157">
        <f t="shared" si="58"/>
        <v>814.66531091191405</v>
      </c>
      <c r="CP9" s="157">
        <f t="shared" si="58"/>
        <v>818.33163863989262</v>
      </c>
      <c r="CQ9" s="157">
        <f t="shared" si="58"/>
        <v>800.75545739077484</v>
      </c>
      <c r="CR9" s="157">
        <f t="shared" si="58"/>
        <v>807.96536681657881</v>
      </c>
      <c r="CS9" s="157">
        <f t="shared" si="58"/>
        <v>810.42944343979013</v>
      </c>
      <c r="CT9" s="157">
        <f t="shared" si="58"/>
        <v>809.37047657175913</v>
      </c>
      <c r="CU9" s="157">
        <f t="shared" si="58"/>
        <v>807.13018605472575</v>
      </c>
      <c r="CV9" s="157">
        <f t="shared" si="58"/>
        <v>808.72386822071348</v>
      </c>
      <c r="CW9" s="157">
        <f t="shared" si="58"/>
        <v>808.91349357174704</v>
      </c>
      <c r="CX9" s="157">
        <f t="shared" si="58"/>
        <v>808.53450610473635</v>
      </c>
      <c r="CY9" s="157">
        <f t="shared" si="58"/>
        <v>808.32551348798074</v>
      </c>
      <c r="CZ9" s="157">
        <f t="shared" si="58"/>
        <v>808.62434534629438</v>
      </c>
      <c r="DA9" s="157">
        <f t="shared" si="58"/>
        <v>808.5994646276896</v>
      </c>
      <c r="DB9" s="157">
        <f t="shared" si="58"/>
        <v>808.52095739167521</v>
      </c>
      <c r="DE9" s="159"/>
    </row>
    <row r="10" spans="1:110" s="109" customFormat="1" x14ac:dyDescent="0.2">
      <c r="A10" s="185" t="s">
        <v>526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>
        <f t="shared" ref="S10:AE10" si="59">+S28/S4*10</f>
        <v>7577.7063236870308</v>
      </c>
      <c r="T10" s="107">
        <f t="shared" si="59"/>
        <v>4121.5203426124199</v>
      </c>
      <c r="U10" s="107">
        <f t="shared" si="59"/>
        <v>4109.9015033696214</v>
      </c>
      <c r="V10" s="107">
        <f t="shared" si="59"/>
        <v>4142.6499032882011</v>
      </c>
      <c r="W10" s="107">
        <f t="shared" si="59"/>
        <v>4402.8712427097353</v>
      </c>
      <c r="X10" s="107">
        <f t="shared" si="59"/>
        <v>4502.3346303501939</v>
      </c>
      <c r="Y10" s="107">
        <f t="shared" si="59"/>
        <v>4162.5</v>
      </c>
      <c r="Z10" s="107">
        <f t="shared" si="59"/>
        <v>3963.2653061224491</v>
      </c>
      <c r="AA10" s="108">
        <f t="shared" si="59"/>
        <v>4155.3333333333339</v>
      </c>
      <c r="AB10" s="108">
        <f t="shared" si="59"/>
        <v>4146.4943586610625</v>
      </c>
      <c r="AC10" s="108">
        <f t="shared" si="59"/>
        <v>4198.1000319045743</v>
      </c>
      <c r="AD10" s="108">
        <f t="shared" si="59"/>
        <v>4200.7878479854671</v>
      </c>
      <c r="AE10" s="108">
        <f t="shared" si="59"/>
        <v>4201.6109717753643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>
        <f t="shared" ref="BE10:CJ10" si="60">+BE28/BE4*10</f>
        <v>4050.602409638554</v>
      </c>
      <c r="BF10" s="107">
        <f t="shared" si="60"/>
        <v>4050.1930501930501</v>
      </c>
      <c r="BG10" s="107">
        <f t="shared" si="60"/>
        <v>4232.8159645232818</v>
      </c>
      <c r="BH10" s="107">
        <f t="shared" si="60"/>
        <v>4121.0653753026636</v>
      </c>
      <c r="BI10" s="107">
        <f t="shared" si="60"/>
        <v>4024.6085011185687</v>
      </c>
      <c r="BJ10" s="107">
        <f t="shared" si="60"/>
        <v>3983.8420107719921</v>
      </c>
      <c r="BK10" s="107">
        <f t="shared" si="60"/>
        <v>4646.1538461538466</v>
      </c>
      <c r="BL10" s="107">
        <f t="shared" si="60"/>
        <v>4152.1252796420586</v>
      </c>
      <c r="BM10" s="107">
        <f t="shared" si="60"/>
        <v>3892.1568627450984</v>
      </c>
      <c r="BN10" s="107">
        <f t="shared" si="60"/>
        <v>3765.9574468085107</v>
      </c>
      <c r="BO10" s="107">
        <f t="shared" si="60"/>
        <v>4346.9945355191257</v>
      </c>
      <c r="BP10" s="107">
        <f t="shared" si="60"/>
        <v>4122.916666666667</v>
      </c>
      <c r="BQ10" s="107">
        <f t="shared" si="60"/>
        <v>4010.344827586207</v>
      </c>
      <c r="BR10" s="107">
        <f t="shared" si="60"/>
        <v>4147.9750778816206</v>
      </c>
      <c r="BS10" s="107">
        <f t="shared" si="60"/>
        <v>4756.6462167689169</v>
      </c>
      <c r="BT10" s="107">
        <f t="shared" si="60"/>
        <v>4405.8823529411766</v>
      </c>
      <c r="BU10" s="107">
        <f t="shared" si="60"/>
        <v>4022.8070175438597</v>
      </c>
      <c r="BV10" s="107">
        <f t="shared" si="60"/>
        <v>4466.666666666667</v>
      </c>
      <c r="BW10" s="107">
        <f t="shared" si="60"/>
        <v>4648.3870967741932</v>
      </c>
      <c r="BX10" s="107">
        <f t="shared" si="60"/>
        <v>4362.0689655172409</v>
      </c>
      <c r="BY10" s="107">
        <f t="shared" si="60"/>
        <v>4738.0952380952376</v>
      </c>
      <c r="BZ10" s="107">
        <f t="shared" si="60"/>
        <v>4277.0270270270266</v>
      </c>
      <c r="CA10" s="107">
        <f t="shared" si="60"/>
        <v>4372.8571428571431</v>
      </c>
      <c r="CB10" s="107">
        <f t="shared" si="60"/>
        <v>4225.8064516129034</v>
      </c>
      <c r="CC10" s="107">
        <f t="shared" si="60"/>
        <v>4379.411764705882</v>
      </c>
      <c r="CD10" s="107">
        <f t="shared" si="60"/>
        <v>3782.954545454545</v>
      </c>
      <c r="CE10" s="107">
        <f t="shared" si="60"/>
        <v>4075.6756756756754</v>
      </c>
      <c r="CF10" s="107">
        <f t="shared" si="60"/>
        <v>3943.2835820895521</v>
      </c>
      <c r="CG10" s="107">
        <f t="shared" si="60"/>
        <v>3983.5820895522384</v>
      </c>
      <c r="CH10" s="107">
        <f t="shared" si="60"/>
        <v>3866.2790697674423</v>
      </c>
      <c r="CI10" s="107">
        <f t="shared" si="60"/>
        <v>4527.1428571428569</v>
      </c>
      <c r="CJ10" s="107">
        <f t="shared" si="60"/>
        <v>4220.289855072464</v>
      </c>
      <c r="CK10" s="107">
        <f t="shared" ref="CK10:CL10" si="61">+CK28/CK4*10</f>
        <v>4002.7397260273974</v>
      </c>
      <c r="CL10" s="107">
        <f t="shared" si="61"/>
        <v>3935.2272727272725</v>
      </c>
      <c r="CM10" s="108">
        <f t="shared" ref="CM10:DB10" si="62">+CM28/CM4*10</f>
        <v>4210.0721848137</v>
      </c>
      <c r="CN10" s="108">
        <f t="shared" si="62"/>
        <v>4132.1216721137907</v>
      </c>
      <c r="CO10" s="108">
        <f t="shared" si="62"/>
        <v>4110.1364682127396</v>
      </c>
      <c r="CP10" s="108">
        <f t="shared" si="62"/>
        <v>4137.3511034770281</v>
      </c>
      <c r="CQ10" s="108">
        <f t="shared" si="62"/>
        <v>4188.8236028125048</v>
      </c>
      <c r="CR10" s="108">
        <f t="shared" si="62"/>
        <v>4183.4917342431108</v>
      </c>
      <c r="CS10" s="108">
        <f t="shared" si="62"/>
        <v>4196.4592386037148</v>
      </c>
      <c r="CT10" s="108">
        <f t="shared" si="62"/>
        <v>4218.2943556096698</v>
      </c>
      <c r="CU10" s="108">
        <f t="shared" si="62"/>
        <v>4196.7745166739624</v>
      </c>
      <c r="CV10" s="108">
        <f t="shared" si="62"/>
        <v>4198.7529052348646</v>
      </c>
      <c r="CW10" s="108">
        <f t="shared" si="62"/>
        <v>4202.5695863692354</v>
      </c>
      <c r="CX10" s="108">
        <f t="shared" si="62"/>
        <v>4204.0978177534462</v>
      </c>
      <c r="CY10" s="108">
        <f t="shared" si="62"/>
        <v>4200.5490572436438</v>
      </c>
      <c r="CZ10" s="108">
        <f t="shared" si="62"/>
        <v>4201.4922578347669</v>
      </c>
      <c r="DA10" s="108">
        <f t="shared" si="62"/>
        <v>4202.17718029349</v>
      </c>
      <c r="DB10" s="108">
        <f t="shared" si="62"/>
        <v>4202.0790633355764</v>
      </c>
      <c r="DE10" s="117"/>
    </row>
    <row r="11" spans="1:110" s="158" customFormat="1" x14ac:dyDescent="0.2">
      <c r="A11" s="155" t="s">
        <v>529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>
        <f t="shared" ref="S11:AE11" si="63">+S32/S4*10</f>
        <v>652.73311897106112</v>
      </c>
      <c r="T11" s="156">
        <f t="shared" si="63"/>
        <v>346.89507494646682</v>
      </c>
      <c r="U11" s="156">
        <f t="shared" si="63"/>
        <v>349.92223950233279</v>
      </c>
      <c r="V11" s="156">
        <f t="shared" si="63"/>
        <v>318.66537717601551</v>
      </c>
      <c r="W11" s="156">
        <f t="shared" si="63"/>
        <v>333.78196500672948</v>
      </c>
      <c r="X11" s="156">
        <f t="shared" si="63"/>
        <v>299.99999999999994</v>
      </c>
      <c r="Y11" s="156">
        <f t="shared" si="63"/>
        <v>302.43055555555554</v>
      </c>
      <c r="Z11" s="156">
        <f t="shared" si="63"/>
        <v>301.0204081632653</v>
      </c>
      <c r="AA11" s="157">
        <f t="shared" si="63"/>
        <v>298</v>
      </c>
      <c r="AB11" s="157">
        <f t="shared" si="63"/>
        <v>289.87272727272727</v>
      </c>
      <c r="AC11" s="157">
        <f t="shared" si="63"/>
        <v>289.87272727272727</v>
      </c>
      <c r="AD11" s="157">
        <f t="shared" si="63"/>
        <v>289.87272727272727</v>
      </c>
      <c r="AE11" s="157">
        <f t="shared" si="63"/>
        <v>289.87272727272733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>
        <f t="shared" ref="BE11:CJ11" si="64">+BE32/BE4*10</f>
        <v>378.31325301204811</v>
      </c>
      <c r="BF11" s="156">
        <f t="shared" si="64"/>
        <v>247.10424710424712</v>
      </c>
      <c r="BG11" s="156">
        <f t="shared" si="64"/>
        <v>372.50554323725055</v>
      </c>
      <c r="BH11" s="156">
        <f t="shared" si="64"/>
        <v>399.51573849878935</v>
      </c>
      <c r="BI11" s="156">
        <f t="shared" si="64"/>
        <v>355.70469798657717</v>
      </c>
      <c r="BJ11" s="156">
        <f t="shared" si="64"/>
        <v>280.07181328545778</v>
      </c>
      <c r="BK11" s="156">
        <f t="shared" si="64"/>
        <v>380.2197802197802</v>
      </c>
      <c r="BL11" s="156">
        <f t="shared" si="64"/>
        <v>378.07606263982103</v>
      </c>
      <c r="BM11" s="156">
        <f t="shared" si="64"/>
        <v>331.37254901960785</v>
      </c>
      <c r="BN11" s="156">
        <f t="shared" si="64"/>
        <v>317.2147001934236</v>
      </c>
      <c r="BO11" s="156">
        <f t="shared" si="64"/>
        <v>442.6229508196721</v>
      </c>
      <c r="BP11" s="156">
        <f t="shared" si="64"/>
        <v>329.16666666666674</v>
      </c>
      <c r="BQ11" s="156">
        <f t="shared" si="64"/>
        <v>282.75862068965517</v>
      </c>
      <c r="BR11" s="156">
        <f t="shared" si="64"/>
        <v>272.58566978193147</v>
      </c>
      <c r="BS11" s="156">
        <f t="shared" si="64"/>
        <v>374.23312883435585</v>
      </c>
      <c r="BT11" s="156">
        <f t="shared" si="64"/>
        <v>388.23529411764707</v>
      </c>
      <c r="BU11" s="156">
        <f t="shared" si="64"/>
        <v>322.80701754385967</v>
      </c>
      <c r="BV11" s="156">
        <f t="shared" si="64"/>
        <v>271.21212121212119</v>
      </c>
      <c r="BW11" s="156">
        <f t="shared" si="64"/>
        <v>319.35483870967738</v>
      </c>
      <c r="BX11" s="156">
        <f t="shared" si="64"/>
        <v>325.86206896551721</v>
      </c>
      <c r="BY11" s="156">
        <f t="shared" si="64"/>
        <v>306.34920634920638</v>
      </c>
      <c r="BZ11" s="156">
        <f t="shared" si="64"/>
        <v>258.10810810810813</v>
      </c>
      <c r="CA11" s="156">
        <f t="shared" si="64"/>
        <v>317.14285714285717</v>
      </c>
      <c r="CB11" s="156">
        <f t="shared" si="64"/>
        <v>364.51612903225805</v>
      </c>
      <c r="CC11" s="156">
        <f t="shared" si="64"/>
        <v>325</v>
      </c>
      <c r="CD11" s="156">
        <f t="shared" si="64"/>
        <v>229.54545454545453</v>
      </c>
      <c r="CE11" s="156">
        <f t="shared" si="64"/>
        <v>308.10810810810813</v>
      </c>
      <c r="CF11" s="156">
        <f t="shared" si="64"/>
        <v>326.86567164179104</v>
      </c>
      <c r="CG11" s="156">
        <f t="shared" si="64"/>
        <v>332.83582089552237</v>
      </c>
      <c r="CH11" s="156">
        <f t="shared" si="64"/>
        <v>250</v>
      </c>
      <c r="CI11" s="156">
        <f t="shared" si="64"/>
        <v>324.28571428571433</v>
      </c>
      <c r="CJ11" s="156">
        <f t="shared" si="64"/>
        <v>327.536231884058</v>
      </c>
      <c r="CK11" s="156">
        <f t="shared" ref="CK11:CL11" si="65">+CK32/CK4*10</f>
        <v>306.84931506849318</v>
      </c>
      <c r="CL11" s="156">
        <f t="shared" si="65"/>
        <v>246.59090909090907</v>
      </c>
      <c r="CM11" s="157">
        <f t="shared" ref="CM11:DB11" si="66">+CM32/CM4*10</f>
        <v>315.44155844155841</v>
      </c>
      <c r="CN11" s="157">
        <f t="shared" si="66"/>
        <v>318.60342555994731</v>
      </c>
      <c r="CO11" s="157">
        <f t="shared" si="66"/>
        <v>298.48069738480694</v>
      </c>
      <c r="CP11" s="157">
        <f t="shared" si="66"/>
        <v>239.86570247933884</v>
      </c>
      <c r="CQ11" s="157">
        <f t="shared" si="66"/>
        <v>315.44155844155847</v>
      </c>
      <c r="CR11" s="157">
        <f t="shared" si="66"/>
        <v>318.60342555994725</v>
      </c>
      <c r="CS11" s="157">
        <f t="shared" si="66"/>
        <v>298.48069738480694</v>
      </c>
      <c r="CT11" s="157">
        <f t="shared" si="66"/>
        <v>239.86570247933886</v>
      </c>
      <c r="CU11" s="157">
        <f t="shared" si="66"/>
        <v>315.44155844155847</v>
      </c>
      <c r="CV11" s="157">
        <f t="shared" si="66"/>
        <v>318.60342555994731</v>
      </c>
      <c r="CW11" s="157">
        <f t="shared" si="66"/>
        <v>298.48069738480694</v>
      </c>
      <c r="CX11" s="157">
        <f t="shared" si="66"/>
        <v>239.86570247933886</v>
      </c>
      <c r="CY11" s="157">
        <f t="shared" si="66"/>
        <v>315.44155844155847</v>
      </c>
      <c r="CZ11" s="157">
        <f t="shared" si="66"/>
        <v>318.60342555994731</v>
      </c>
      <c r="DA11" s="157">
        <f t="shared" si="66"/>
        <v>298.48069738480694</v>
      </c>
      <c r="DB11" s="157">
        <f t="shared" si="66"/>
        <v>239.86570247933889</v>
      </c>
      <c r="DE11" s="159"/>
    </row>
    <row r="12" spans="1:110" s="158" customFormat="1" x14ac:dyDescent="0.2">
      <c r="A12" s="155" t="s">
        <v>530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>
        <f t="shared" ref="S12" si="67">+S10-S11-S13</f>
        <v>4758.8424437299036</v>
      </c>
      <c r="T12" s="156">
        <f t="shared" ref="T12" si="68">+T10-T11-T13</f>
        <v>2796.0385438972166</v>
      </c>
      <c r="U12" s="156">
        <f t="shared" ref="U12" si="69">+U10-U11-U13</f>
        <v>2680.1451529289789</v>
      </c>
      <c r="V12" s="156">
        <f t="shared" ref="V12" si="70">+V10-V11-V13</f>
        <v>2488.3945841392647</v>
      </c>
      <c r="W12" s="156">
        <f t="shared" ref="W12" si="71">+W10-W11-W13</f>
        <v>3004.9349484073573</v>
      </c>
      <c r="X12" s="156">
        <f t="shared" ref="X12" si="72">+X10-X11-X13</f>
        <v>3303.891050583657</v>
      </c>
      <c r="Y12" s="156">
        <f t="shared" ref="Y12" si="73">+Y10-Y11-Y13</f>
        <v>2944.4444444444443</v>
      </c>
      <c r="Z12" s="156">
        <f t="shared" ref="Z12" si="74">+Z10-Z11-Z13</f>
        <v>2843.5374149659865</v>
      </c>
      <c r="AA12" s="157">
        <f t="shared" ref="AA12" si="75">+AA10-AA11-AA13</f>
        <v>2829.666666666667</v>
      </c>
      <c r="AB12" s="157">
        <f t="shared" ref="AB12" si="76">+AB10-AB11-AB13</f>
        <v>2807.2905283828513</v>
      </c>
      <c r="AC12" s="157">
        <f t="shared" ref="AC12" si="77">+AC10-AC11-AC13</f>
        <v>2798.7436392737472</v>
      </c>
      <c r="AD12" s="157">
        <f t="shared" ref="AD12" si="78">+AD10-AD11-AD13</f>
        <v>2796.8590659130959</v>
      </c>
      <c r="AE12" s="157">
        <f t="shared" ref="AE12" si="79">+AE10-AE11-AE13</f>
        <v>2796.5069081486276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>
        <f t="shared" ref="BE12:CI12" si="80">+BE10-BE11-BE13</f>
        <v>2520.4819277108436</v>
      </c>
      <c r="BF12" s="156">
        <f t="shared" si="80"/>
        <v>2708.4942084942086</v>
      </c>
      <c r="BG12" s="156">
        <f t="shared" si="80"/>
        <v>2738.359201773836</v>
      </c>
      <c r="BH12" s="156">
        <f t="shared" si="80"/>
        <v>2878.9346246973369</v>
      </c>
      <c r="BI12" s="156">
        <f t="shared" si="80"/>
        <v>2818.7919463087251</v>
      </c>
      <c r="BJ12" s="156">
        <f t="shared" si="80"/>
        <v>2538.5996409335721</v>
      </c>
      <c r="BK12" s="156">
        <f t="shared" si="80"/>
        <v>2802.197802197803</v>
      </c>
      <c r="BL12" s="156">
        <f t="shared" si="80"/>
        <v>2720.3579418344525</v>
      </c>
      <c r="BM12" s="156">
        <f t="shared" si="80"/>
        <v>2668.6274509803925</v>
      </c>
      <c r="BN12" s="156">
        <f t="shared" si="80"/>
        <v>2504.835589941973</v>
      </c>
      <c r="BO12" s="156">
        <f t="shared" si="80"/>
        <v>2224.0437158469949</v>
      </c>
      <c r="BP12" s="156">
        <f t="shared" si="80"/>
        <v>2339.583333333333</v>
      </c>
      <c r="BQ12" s="156">
        <f t="shared" si="80"/>
        <v>2553.4482758620688</v>
      </c>
      <c r="BR12" s="156">
        <f t="shared" si="80"/>
        <v>2679.1277258566988</v>
      </c>
      <c r="BS12" s="156">
        <f t="shared" si="80"/>
        <v>2924.3353783231091</v>
      </c>
      <c r="BT12" s="156">
        <f t="shared" si="80"/>
        <v>2800</v>
      </c>
      <c r="BU12" s="156">
        <f t="shared" si="80"/>
        <v>2982.4561403508774</v>
      </c>
      <c r="BV12" s="156">
        <f t="shared" si="80"/>
        <v>3160.606060606061</v>
      </c>
      <c r="BW12" s="156">
        <f t="shared" si="80"/>
        <v>3383.8709677419356</v>
      </c>
      <c r="BX12" s="156">
        <f t="shared" si="80"/>
        <v>3382.7586206896549</v>
      </c>
      <c r="BY12" s="156">
        <f t="shared" si="80"/>
        <v>3409.5238095238087</v>
      </c>
      <c r="BZ12" s="156">
        <f t="shared" si="80"/>
        <v>3059.4594594594591</v>
      </c>
      <c r="CA12" s="156">
        <f t="shared" si="80"/>
        <v>3180</v>
      </c>
      <c r="CB12" s="156">
        <f t="shared" si="80"/>
        <v>2904.8387096774195</v>
      </c>
      <c r="CC12" s="156">
        <f t="shared" si="80"/>
        <v>2908.8235294117644</v>
      </c>
      <c r="CD12" s="156">
        <f t="shared" si="80"/>
        <v>2810.2272727272725</v>
      </c>
      <c r="CE12" s="156">
        <f t="shared" si="80"/>
        <v>2863.5135135135133</v>
      </c>
      <c r="CF12" s="156">
        <f t="shared" si="80"/>
        <v>2968.6567164179105</v>
      </c>
      <c r="CG12" s="156">
        <f t="shared" si="80"/>
        <v>2888.059701492537</v>
      </c>
      <c r="CH12" s="156">
        <f t="shared" si="80"/>
        <v>2694.1860465116283</v>
      </c>
      <c r="CI12" s="156">
        <f t="shared" si="80"/>
        <v>2941.4285714285706</v>
      </c>
      <c r="CJ12" s="156">
        <f>+CJ10-CJ11-CJ13</f>
        <v>2884.057971014493</v>
      </c>
      <c r="CK12" s="156">
        <f>+CK10-CK11-CK13</f>
        <v>2871.232876712329</v>
      </c>
      <c r="CL12" s="156">
        <f>+CL10-CL11-CL13</f>
        <v>2663.636363636364</v>
      </c>
      <c r="CM12" s="157">
        <f t="shared" ref="CM12:DB12" si="81">+CM10-CM11-CM13</f>
        <v>2826.3198536014461</v>
      </c>
      <c r="CN12" s="157">
        <f t="shared" si="81"/>
        <v>2791.6323452950001</v>
      </c>
      <c r="CO12" s="157">
        <f t="shared" si="81"/>
        <v>2786.6673032099952</v>
      </c>
      <c r="CP12" s="157">
        <f t="shared" si="81"/>
        <v>2821.5389068530653</v>
      </c>
      <c r="CQ12" s="157">
        <f t="shared" si="81"/>
        <v>2784.1660217596932</v>
      </c>
      <c r="CR12" s="157">
        <f t="shared" si="81"/>
        <v>2770.4955093626595</v>
      </c>
      <c r="CS12" s="157">
        <f t="shared" si="81"/>
        <v>2785.3372721169658</v>
      </c>
      <c r="CT12" s="157">
        <f t="shared" si="81"/>
        <v>2843.6097641861761</v>
      </c>
      <c r="CU12" s="157">
        <f t="shared" si="81"/>
        <v>2773.5559282620939</v>
      </c>
      <c r="CV12" s="157">
        <f t="shared" si="81"/>
        <v>2767.7443518885966</v>
      </c>
      <c r="CW12" s="157">
        <f t="shared" si="81"/>
        <v>2787.1789181295717</v>
      </c>
      <c r="CX12" s="157">
        <f t="shared" si="81"/>
        <v>2846.2543578614823</v>
      </c>
      <c r="CY12" s="157">
        <f t="shared" si="81"/>
        <v>2771.3395716065625</v>
      </c>
      <c r="CZ12" s="157">
        <f t="shared" si="81"/>
        <v>2767.6237337138982</v>
      </c>
      <c r="DA12" s="157">
        <f t="shared" si="81"/>
        <v>2787.716288692015</v>
      </c>
      <c r="DB12" s="157">
        <f t="shared" si="81"/>
        <v>2846.4656333108287</v>
      </c>
      <c r="DE12" s="159"/>
    </row>
    <row r="13" spans="1:110" s="109" customFormat="1" x14ac:dyDescent="0.2">
      <c r="A13" s="185" t="s">
        <v>527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>
        <f t="shared" ref="S13:AE13" si="82">+S40/S4*10</f>
        <v>2166.1307609860664</v>
      </c>
      <c r="T13" s="107">
        <f t="shared" si="82"/>
        <v>978.58672376873653</v>
      </c>
      <c r="U13" s="107">
        <f t="shared" si="82"/>
        <v>1079.83411093831</v>
      </c>
      <c r="V13" s="107">
        <f t="shared" si="82"/>
        <v>1335.5899419729208</v>
      </c>
      <c r="W13" s="107">
        <f t="shared" si="82"/>
        <v>1064.1543292956483</v>
      </c>
      <c r="X13" s="107">
        <f t="shared" si="82"/>
        <v>898.4435797665368</v>
      </c>
      <c r="Y13" s="107">
        <f t="shared" si="82"/>
        <v>915.625</v>
      </c>
      <c r="Z13" s="107">
        <f t="shared" si="82"/>
        <v>818.70748299319735</v>
      </c>
      <c r="AA13" s="108">
        <f t="shared" si="82"/>
        <v>1027.6666666666667</v>
      </c>
      <c r="AB13" s="108">
        <f t="shared" si="82"/>
        <v>1049.331103005484</v>
      </c>
      <c r="AC13" s="108">
        <f t="shared" si="82"/>
        <v>1109.4836653580996</v>
      </c>
      <c r="AD13" s="108">
        <f t="shared" si="82"/>
        <v>1114.056054799644</v>
      </c>
      <c r="AE13" s="108">
        <f t="shared" si="82"/>
        <v>1115.2313363540093</v>
      </c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>
        <f t="shared" ref="BE13:CJ13" si="83">+BE40/BE4*10</f>
        <v>1151.8072289156626</v>
      </c>
      <c r="BF13" s="107">
        <f t="shared" si="83"/>
        <v>1094.5945945945946</v>
      </c>
      <c r="BG13" s="107">
        <f t="shared" si="83"/>
        <v>1121.9512195121952</v>
      </c>
      <c r="BH13" s="107">
        <f t="shared" si="83"/>
        <v>842.61501210653762</v>
      </c>
      <c r="BI13" s="107">
        <f t="shared" si="83"/>
        <v>850.11185682326629</v>
      </c>
      <c r="BJ13" s="107">
        <f t="shared" si="83"/>
        <v>1165.1705565529621</v>
      </c>
      <c r="BK13" s="107">
        <f t="shared" si="83"/>
        <v>1463.7362637362637</v>
      </c>
      <c r="BL13" s="107">
        <f t="shared" si="83"/>
        <v>1053.6912751677853</v>
      </c>
      <c r="BM13" s="107">
        <f t="shared" si="83"/>
        <v>892.15686274509812</v>
      </c>
      <c r="BN13" s="107">
        <f t="shared" si="83"/>
        <v>943.90715667311406</v>
      </c>
      <c r="BO13" s="107">
        <f t="shared" si="83"/>
        <v>1680.3278688524588</v>
      </c>
      <c r="BP13" s="107">
        <f t="shared" si="83"/>
        <v>1454.166666666667</v>
      </c>
      <c r="BQ13" s="107">
        <f t="shared" si="83"/>
        <v>1174.1379310344828</v>
      </c>
      <c r="BR13" s="107">
        <f t="shared" si="83"/>
        <v>1196.2616822429907</v>
      </c>
      <c r="BS13" s="107">
        <f t="shared" si="83"/>
        <v>1458.0777096114521</v>
      </c>
      <c r="BT13" s="107">
        <f t="shared" si="83"/>
        <v>1217.6470588235295</v>
      </c>
      <c r="BU13" s="107">
        <f t="shared" si="83"/>
        <v>717.54385964912274</v>
      </c>
      <c r="BV13" s="107">
        <f t="shared" si="83"/>
        <v>1034.8484848484848</v>
      </c>
      <c r="BW13" s="107">
        <f t="shared" si="83"/>
        <v>945.16129032258061</v>
      </c>
      <c r="BX13" s="107">
        <f t="shared" si="83"/>
        <v>653.44827586206907</v>
      </c>
      <c r="BY13" s="107">
        <f t="shared" si="83"/>
        <v>1022.2222222222223</v>
      </c>
      <c r="BZ13" s="107">
        <f t="shared" si="83"/>
        <v>959.45945945945937</v>
      </c>
      <c r="CA13" s="107">
        <f t="shared" si="83"/>
        <v>875.71428571428567</v>
      </c>
      <c r="CB13" s="107">
        <f t="shared" si="83"/>
        <v>956.45161290322574</v>
      </c>
      <c r="CC13" s="107">
        <f t="shared" si="83"/>
        <v>1145.5882352941176</v>
      </c>
      <c r="CD13" s="107">
        <f t="shared" si="83"/>
        <v>743.18181818181813</v>
      </c>
      <c r="CE13" s="107">
        <f t="shared" si="83"/>
        <v>904.05405405405406</v>
      </c>
      <c r="CF13" s="107">
        <f t="shared" si="83"/>
        <v>647.76119402985069</v>
      </c>
      <c r="CG13" s="107">
        <f t="shared" si="83"/>
        <v>762.68656716417911</v>
      </c>
      <c r="CH13" s="107">
        <f t="shared" si="83"/>
        <v>922.09302325581405</v>
      </c>
      <c r="CI13" s="107">
        <f t="shared" si="83"/>
        <v>1261.4285714285713</v>
      </c>
      <c r="CJ13" s="107">
        <f t="shared" si="83"/>
        <v>1008.695652173913</v>
      </c>
      <c r="CK13" s="107">
        <f t="shared" ref="CK13:CL13" si="84">+CK40/CK4*10</f>
        <v>824.65753424657532</v>
      </c>
      <c r="CL13" s="107">
        <f t="shared" si="84"/>
        <v>1024.9999999999998</v>
      </c>
      <c r="CM13" s="108">
        <f t="shared" ref="CM13:DB13" si="85">+CM40/CM4*10</f>
        <v>1068.3107727706956</v>
      </c>
      <c r="CN13" s="108">
        <f t="shared" si="85"/>
        <v>1021.8859012588434</v>
      </c>
      <c r="CO13" s="108">
        <f t="shared" si="85"/>
        <v>1024.9884676179372</v>
      </c>
      <c r="CP13" s="108">
        <f t="shared" si="85"/>
        <v>1075.946494144624</v>
      </c>
      <c r="CQ13" s="108">
        <f t="shared" si="85"/>
        <v>1089.2160226112533</v>
      </c>
      <c r="CR13" s="108">
        <f t="shared" si="85"/>
        <v>1094.3927993205043</v>
      </c>
      <c r="CS13" s="108">
        <f t="shared" si="85"/>
        <v>1112.6412691019418</v>
      </c>
      <c r="CT13" s="108">
        <f t="shared" si="85"/>
        <v>1134.8188889441551</v>
      </c>
      <c r="CU13" s="108">
        <f t="shared" si="85"/>
        <v>1107.7770299703102</v>
      </c>
      <c r="CV13" s="108">
        <f t="shared" si="85"/>
        <v>1112.4051277863205</v>
      </c>
      <c r="CW13" s="108">
        <f t="shared" si="85"/>
        <v>1116.9099708548565</v>
      </c>
      <c r="CX13" s="108">
        <f t="shared" si="85"/>
        <v>1117.9777574126251</v>
      </c>
      <c r="CY13" s="108">
        <f t="shared" si="85"/>
        <v>1113.7679271955228</v>
      </c>
      <c r="CZ13" s="108">
        <f t="shared" si="85"/>
        <v>1115.2650985609209</v>
      </c>
      <c r="DA13" s="108">
        <f t="shared" si="85"/>
        <v>1115.980194216668</v>
      </c>
      <c r="DB13" s="108">
        <f t="shared" si="85"/>
        <v>1115.7477275454091</v>
      </c>
      <c r="DE13" s="117"/>
    </row>
    <row r="14" spans="1:110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531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87">
        <f>+T8/S8-1</f>
        <v>-0.44791108249352374</v>
      </c>
      <c r="U15" s="187">
        <f t="shared" ref="U15:AE15" si="86">+U8/T8-1</f>
        <v>-1.2222380374225295E-2</v>
      </c>
      <c r="V15" s="187">
        <f t="shared" si="86"/>
        <v>-2.5174759040264005E-2</v>
      </c>
      <c r="W15" s="187">
        <f t="shared" si="86"/>
        <v>3.5688982431477445E-2</v>
      </c>
      <c r="X15" s="187">
        <f t="shared" si="86"/>
        <v>4.1454479259107391E-2</v>
      </c>
      <c r="Y15" s="187">
        <f t="shared" si="86"/>
        <v>-3.2638940131837879E-2</v>
      </c>
      <c r="Z15" s="187">
        <f t="shared" si="86"/>
        <v>-6.7817447583484958E-2</v>
      </c>
      <c r="AA15" s="191">
        <f t="shared" si="86"/>
        <v>3.7762517882689473E-2</v>
      </c>
      <c r="AB15" s="191">
        <f t="shared" si="86"/>
        <v>-9.0661649957826107E-3</v>
      </c>
      <c r="AC15" s="191">
        <f t="shared" si="86"/>
        <v>-1.6850270270976075E-3</v>
      </c>
      <c r="AD15" s="191">
        <f t="shared" si="86"/>
        <v>-2.6292456396548314E-4</v>
      </c>
      <c r="AE15" s="191">
        <f t="shared" si="86"/>
        <v>-3.3185874476426847E-5</v>
      </c>
      <c r="AF15" s="192"/>
      <c r="AG15" s="192"/>
      <c r="AH15" s="192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>
        <f>+BI8/BE8-1</f>
        <v>-2.8959509884380341E-2</v>
      </c>
      <c r="BJ15" s="187">
        <f t="shared" ref="BJ15:CJ15" si="87">+BJ8/BF8-1</f>
        <v>1.0710889736398554E-2</v>
      </c>
      <c r="BK15" s="187">
        <f t="shared" si="87"/>
        <v>6.9628542448618935E-2</v>
      </c>
      <c r="BL15" s="187">
        <f t="shared" si="87"/>
        <v>2.5416567425682324E-3</v>
      </c>
      <c r="BM15" s="187">
        <f t="shared" si="87"/>
        <v>-2.1463520713275952E-2</v>
      </c>
      <c r="BN15" s="187">
        <f t="shared" si="87"/>
        <v>-6.6305092036147539E-2</v>
      </c>
      <c r="BO15" s="187">
        <f t="shared" si="87"/>
        <v>-6.848047799668755E-2</v>
      </c>
      <c r="BP15" s="187">
        <f t="shared" si="87"/>
        <v>-3.4954637096774155E-2</v>
      </c>
      <c r="BQ15" s="187">
        <f t="shared" si="87"/>
        <v>-3.8607558803380737E-3</v>
      </c>
      <c r="BR15" s="187">
        <f t="shared" si="87"/>
        <v>3.024260614730423E-2</v>
      </c>
      <c r="BS15" s="187">
        <f t="shared" si="87"/>
        <v>2.0134704692073679E-2</v>
      </c>
      <c r="BT15" s="187">
        <f t="shared" si="87"/>
        <v>5.0227613743292432E-2</v>
      </c>
      <c r="BU15" s="187">
        <f t="shared" si="87"/>
        <v>1.6428539379138352E-2</v>
      </c>
      <c r="BV15" s="187">
        <f t="shared" si="87"/>
        <v>4.3420559129857761E-2</v>
      </c>
      <c r="BW15" s="187">
        <f t="shared" si="87"/>
        <v>5.1406232492126058E-3</v>
      </c>
      <c r="BX15" s="187">
        <f t="shared" si="87"/>
        <v>1.2177851407500606E-2</v>
      </c>
      <c r="BY15" s="187">
        <f t="shared" si="87"/>
        <v>0.11026927230292261</v>
      </c>
      <c r="BZ15" s="187">
        <f t="shared" si="87"/>
        <v>3.3064129217975413E-2</v>
      </c>
      <c r="CA15" s="187">
        <f t="shared" si="87"/>
        <v>-2.7109111361080074E-2</v>
      </c>
      <c r="CB15" s="187">
        <f t="shared" si="87"/>
        <v>-7.2094765529148175E-3</v>
      </c>
      <c r="CC15" s="187">
        <f t="shared" si="87"/>
        <v>-4.7690014903128963E-3</v>
      </c>
      <c r="CD15" s="187">
        <f t="shared" si="87"/>
        <v>-7.4892604202949187E-2</v>
      </c>
      <c r="CE15" s="187">
        <f t="shared" si="87"/>
        <v>-5.5618894328571589E-2</v>
      </c>
      <c r="CF15" s="187">
        <f t="shared" si="87"/>
        <v>-9.3997188178991053E-2</v>
      </c>
      <c r="CG15" s="187">
        <f t="shared" si="87"/>
        <v>-0.10419600112644334</v>
      </c>
      <c r="CH15" s="187">
        <f t="shared" si="87"/>
        <v>-2.8061403556136066E-2</v>
      </c>
      <c r="CI15" s="187">
        <f t="shared" si="87"/>
        <v>6.1522073618179629E-2</v>
      </c>
      <c r="CJ15" s="187">
        <f t="shared" si="87"/>
        <v>7.4815847664117419E-2</v>
      </c>
      <c r="CK15" s="187">
        <f t="shared" ref="CK15:CL15" si="88">+CK8/CG8-1</f>
        <v>1.1579885708379978E-2</v>
      </c>
      <c r="CL15" s="187">
        <f t="shared" si="88"/>
        <v>1.4060798648918738E-2</v>
      </c>
      <c r="CM15" s="191">
        <f>+CM8/CI8-1</f>
        <v>-4.8326176237337926E-2</v>
      </c>
      <c r="CN15" s="191">
        <f t="shared" ref="CN15" si="89">+CN8/CJ8-1</f>
        <v>-1.4471050206573577E-2</v>
      </c>
      <c r="CO15" s="191">
        <f t="shared" ref="CO15" si="90">+CO8/CK8-1</f>
        <v>1.2462728311621429E-2</v>
      </c>
      <c r="CP15" s="191">
        <f t="shared" ref="CP15" si="91">+CP8/CL8-1</f>
        <v>1.113114800864845E-2</v>
      </c>
      <c r="CQ15" s="191">
        <f t="shared" ref="CQ15" si="92">+CQ8/CM8-1</f>
        <v>-1.0576648839125791E-2</v>
      </c>
      <c r="CR15" s="191">
        <f t="shared" ref="CR15" si="93">+CR8/CN8-1</f>
        <v>-5.3252432531758487E-4</v>
      </c>
      <c r="CS15" s="191">
        <f t="shared" ref="CS15" si="94">+CS8/CO8-1</f>
        <v>3.0163011851671584E-3</v>
      </c>
      <c r="CT15" s="191">
        <f t="shared" ref="CT15" si="95">+CT8/CP8-1</f>
        <v>6.9092014372906796E-4</v>
      </c>
      <c r="CU15" s="191">
        <f t="shared" ref="CU15" si="96">+CU8/CQ8-1</f>
        <v>-1.883319025990815E-3</v>
      </c>
      <c r="CV15" s="191">
        <f t="shared" ref="CV15" si="97">+CV8/CR8-1</f>
        <v>3.1913161100916021E-4</v>
      </c>
      <c r="CW15" s="191">
        <f t="shared" ref="CW15" si="98">+CW8/CS8-1</f>
        <v>5.3218741684002424E-4</v>
      </c>
      <c r="CX15" s="191">
        <f t="shared" ref="CX15" si="99">+CX8/CT8-1</f>
        <v>-8.650830942658061E-5</v>
      </c>
      <c r="CY15" s="191">
        <f t="shared" ref="CY15" si="100">+CY8/CU8-1</f>
        <v>-2.8069771100369678E-4</v>
      </c>
      <c r="CZ15" s="191">
        <f t="shared" ref="CZ15" si="101">+CZ8/CV8-1</f>
        <v>1.2090304567546895E-4</v>
      </c>
      <c r="DA15" s="191">
        <f t="shared" ref="DA15" si="102">+DA8/CW8-1</f>
        <v>7.1365665521794241E-5</v>
      </c>
      <c r="DB15" s="191">
        <f t="shared" ref="DB15" si="103">+DB8/CX8-1</f>
        <v>-4.3763184650824627E-5</v>
      </c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06" customFormat="1" x14ac:dyDescent="0.2">
      <c r="A18" s="151" t="s">
        <v>500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57"/>
      <c r="AB18" s="157"/>
      <c r="AC18" s="157"/>
      <c r="AD18" s="105"/>
      <c r="AE18" s="105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E18" s="118"/>
    </row>
    <row r="19" spans="1:110" s="106" customFormat="1" x14ac:dyDescent="0.2">
      <c r="A19" s="151" t="s">
        <v>485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57"/>
      <c r="AC19" s="157"/>
      <c r="AD19" s="105"/>
      <c r="AE19" s="105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60"/>
      <c r="CK19" s="160"/>
      <c r="CL19" s="160"/>
      <c r="CM19" s="105"/>
      <c r="CN19" s="105"/>
      <c r="CO19" s="105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E19" s="118"/>
    </row>
    <row r="20" spans="1:110" s="25" customFormat="1" outlineLevel="1" x14ac:dyDescent="0.2">
      <c r="A20" s="25" t="s">
        <v>430</v>
      </c>
      <c r="B20" s="25">
        <f>'Annual Raw'!C6</f>
        <v>0</v>
      </c>
      <c r="C20" s="25">
        <f>'Annual Raw'!D6</f>
        <v>0</v>
      </c>
      <c r="D20" s="25">
        <f>'Annual Raw'!E6</f>
        <v>0</v>
      </c>
      <c r="E20" s="25">
        <f>'Annual Raw'!F6</f>
        <v>0</v>
      </c>
      <c r="F20" s="25">
        <f>'Annual Raw'!G6</f>
        <v>0</v>
      </c>
      <c r="G20" s="25">
        <f>'Annual Raw'!H6</f>
        <v>0</v>
      </c>
      <c r="H20" s="25">
        <f>'Annual Raw'!I6</f>
        <v>0</v>
      </c>
      <c r="I20" s="25">
        <f>'Annual Raw'!J6</f>
        <v>0</v>
      </c>
      <c r="J20" s="25">
        <f>'Annual Raw'!K6</f>
        <v>0</v>
      </c>
      <c r="K20" s="25">
        <f>'Annual Raw'!L6</f>
        <v>0</v>
      </c>
      <c r="L20" s="25">
        <f>'Annual Raw'!M6</f>
        <v>0</v>
      </c>
      <c r="M20" s="25">
        <f>'Annual Raw'!N6</f>
        <v>0</v>
      </c>
      <c r="N20" s="25">
        <f>'Annual Raw'!O6</f>
        <v>0</v>
      </c>
      <c r="O20" s="25">
        <f>'Annual Raw'!P6</f>
        <v>0</v>
      </c>
      <c r="P20" s="25">
        <f>'Annual Raw'!Q6</f>
        <v>0</v>
      </c>
      <c r="Q20" s="25">
        <f>'Annual Raw'!R6</f>
        <v>0</v>
      </c>
      <c r="R20" s="25">
        <f>'Annual Raw'!S6</f>
        <v>8340</v>
      </c>
      <c r="S20" s="25">
        <f>'Annual Raw'!T6</f>
        <v>8827</v>
      </c>
      <c r="T20" s="25">
        <f>'Annual Raw'!U6</f>
        <v>10349</v>
      </c>
      <c r="U20" s="25">
        <f>'Annual Raw'!V6</f>
        <v>10842</v>
      </c>
      <c r="V20" s="25">
        <f>'Annual Raw'!W6</f>
        <v>11429</v>
      </c>
      <c r="W20" s="25">
        <f>'Annual Raw'!X6</f>
        <v>13041</v>
      </c>
      <c r="X20" s="25">
        <f>'Annual Raw'!Y6</f>
        <v>15558</v>
      </c>
      <c r="Y20" s="25">
        <f>'Annual Raw'!Z6</f>
        <v>17192</v>
      </c>
      <c r="Z20" s="25">
        <f>'Annual Raw'!AA6</f>
        <v>17487</v>
      </c>
      <c r="AA20" s="25">
        <f>'Annual Raw'!AB6</f>
        <v>18320</v>
      </c>
      <c r="AB20" s="17">
        <f>+SUM(CM20:CP20)</f>
        <v>16136.76294274268</v>
      </c>
      <c r="AC20" s="17">
        <f>+SUM(CQ20:CT20)</f>
        <v>17237.242105328089</v>
      </c>
      <c r="AD20" s="17">
        <f>+SUM(CU20:CX20)</f>
        <v>18438.99971173103</v>
      </c>
      <c r="AE20" s="17">
        <f>+SUM(CY20:DB20)</f>
        <v>19729.074943219206</v>
      </c>
      <c r="AI20" s="25">
        <f>'QTR Raw'!C6+'QTR Raw'!C8</f>
        <v>0</v>
      </c>
      <c r="AJ20" s="25">
        <f>'QTR Raw'!D6+'QTR Raw'!D8</f>
        <v>0</v>
      </c>
      <c r="AK20" s="25">
        <f>'QTR Raw'!E6+'QTR Raw'!E8</f>
        <v>0</v>
      </c>
      <c r="AL20" s="25">
        <f>'QTR Raw'!F6+'QTR Raw'!F8</f>
        <v>0</v>
      </c>
      <c r="AM20" s="25">
        <f>'QTR Raw'!G6+'QTR Raw'!G8</f>
        <v>0</v>
      </c>
      <c r="AN20" s="25">
        <f>'QTR Raw'!H6+'QTR Raw'!H8</f>
        <v>0</v>
      </c>
      <c r="AO20" s="25">
        <f>'QTR Raw'!I6+'QTR Raw'!I8</f>
        <v>0</v>
      </c>
      <c r="AP20" s="25">
        <f>'QTR Raw'!J6+'QTR Raw'!J8</f>
        <v>0</v>
      </c>
      <c r="AQ20" s="25">
        <f>'QTR Raw'!K6+'QTR Raw'!K8</f>
        <v>0</v>
      </c>
      <c r="AR20" s="25">
        <f>'QTR Raw'!L6+'QTR Raw'!L8</f>
        <v>0</v>
      </c>
      <c r="AS20" s="25">
        <f>'QTR Raw'!M6+'QTR Raw'!M8</f>
        <v>0</v>
      </c>
      <c r="AT20" s="25">
        <f>'QTR Raw'!N6+'QTR Raw'!N8</f>
        <v>0</v>
      </c>
      <c r="AU20" s="25">
        <f>'QTR Raw'!O6+'QTR Raw'!O8</f>
        <v>0</v>
      </c>
      <c r="AV20" s="25">
        <f>'QTR Raw'!P6+'QTR Raw'!P8</f>
        <v>0</v>
      </c>
      <c r="AW20" s="25">
        <f>'QTR Raw'!Q6+'QTR Raw'!Q8</f>
        <v>0</v>
      </c>
      <c r="AX20" s="25">
        <f>'QTR Raw'!R6+'QTR Raw'!R8</f>
        <v>0</v>
      </c>
      <c r="AY20" s="25">
        <f>'QTR Raw'!S6+'QTR Raw'!S8</f>
        <v>0</v>
      </c>
      <c r="AZ20" s="25">
        <f>'QTR Raw'!T6+'QTR Raw'!T8</f>
        <v>0</v>
      </c>
      <c r="BA20" s="25">
        <f>'QTR Raw'!U6+'QTR Raw'!U8</f>
        <v>0</v>
      </c>
      <c r="BB20" s="25">
        <f>'QTR Raw'!V6+'QTR Raw'!V8</f>
        <v>0</v>
      </c>
      <c r="BC20" s="25">
        <f>'QTR Raw'!W6+'QTR Raw'!W8</f>
        <v>0</v>
      </c>
      <c r="BD20" s="25">
        <f>'QTR Raw'!X6+'QTR Raw'!X8</f>
        <v>0</v>
      </c>
      <c r="BE20" s="25">
        <f>'QTR Raw'!Y6+'QTR Raw'!Y8</f>
        <v>2069</v>
      </c>
      <c r="BF20" s="25">
        <f>'QTR Raw'!Z6+'QTR Raw'!Z8</f>
        <v>2628</v>
      </c>
      <c r="BG20" s="25">
        <f>'QTR Raw'!AA6+'QTR Raw'!AA8</f>
        <v>2368</v>
      </c>
      <c r="BH20" s="25">
        <f>'QTR Raw'!AB6+'QTR Raw'!AB8</f>
        <v>2099</v>
      </c>
      <c r="BI20" s="25">
        <f>'QTR Raw'!AC6+'QTR Raw'!AC8</f>
        <v>2164</v>
      </c>
      <c r="BJ20" s="25">
        <f>'QTR Raw'!AD6+'QTR Raw'!AD8</f>
        <v>2842</v>
      </c>
      <c r="BK20" s="25">
        <f>'QTR Raw'!AE6+'QTR Raw'!AE8</f>
        <v>2537</v>
      </c>
      <c r="BL20" s="25">
        <f>'QTR Raw'!AF6+'QTR Raw'!AF8</f>
        <v>2236</v>
      </c>
      <c r="BM20" s="25">
        <f>'QTR Raw'!AG6+'QTR Raw'!AG8</f>
        <v>2418</v>
      </c>
      <c r="BN20" s="25">
        <f>'QTR Raw'!AH6+'QTR Raw'!AH8</f>
        <v>2483</v>
      </c>
      <c r="BO20" s="25">
        <f>'QTR Raw'!AI6+'QTR Raw'!AI8</f>
        <v>1901</v>
      </c>
      <c r="BP20" s="25">
        <f>'QTR Raw'!AJ6+'QTR Raw'!AJ8</f>
        <v>2313</v>
      </c>
      <c r="BQ20" s="25">
        <f>'QTR Raw'!AK6+'QTR Raw'!AK8</f>
        <v>2737</v>
      </c>
      <c r="BR20" s="25">
        <f>'QTR Raw'!AL6+'QTR Raw'!AL8</f>
        <v>3151</v>
      </c>
      <c r="BS20" s="25">
        <f>'QTR Raw'!AM6+'QTR Raw'!AM8</f>
        <v>2591</v>
      </c>
      <c r="BT20" s="25">
        <f>'QTR Raw'!AN6+'QTR Raw'!AN8</f>
        <v>2581</v>
      </c>
      <c r="BU20" s="25">
        <f>'QTR Raw'!AO6+'QTR Raw'!AO8</f>
        <v>2734</v>
      </c>
      <c r="BV20" s="25">
        <f>'QTR Raw'!AP6+'QTR Raw'!AP8</f>
        <v>3380</v>
      </c>
      <c r="BW20" s="25">
        <f>'QTR Raw'!AQ6+'QTR Raw'!AQ8</f>
        <v>3302</v>
      </c>
      <c r="BX20" s="25">
        <f>'QTR Raw'!AR6+'QTR Raw'!AR8</f>
        <v>2971</v>
      </c>
      <c r="BY20" s="25">
        <f>'QTR Raw'!AS6+'QTR Raw'!AS8</f>
        <v>3355</v>
      </c>
      <c r="BZ20" s="25">
        <f>'QTR Raw'!AT6+'QTR Raw'!AT8</f>
        <v>3915</v>
      </c>
      <c r="CA20" s="25">
        <f>'QTR Raw'!AU6+'QTR Raw'!AU8</f>
        <v>3627</v>
      </c>
      <c r="CB20" s="25">
        <f>'QTR Raw'!AV6+'QTR Raw'!AV8</f>
        <v>3153</v>
      </c>
      <c r="CC20" s="25">
        <f>'QTR Raw'!AW6+'QTR Raw'!AW8</f>
        <v>3604</v>
      </c>
      <c r="CD20" s="25">
        <f>'QTR Raw'!AX6+'QTR Raw'!AX8</f>
        <v>4307</v>
      </c>
      <c r="CE20" s="25">
        <f>'QTR Raw'!AY6+'QTR Raw'!AY8</f>
        <v>3621</v>
      </c>
      <c r="CF20" s="25">
        <f>'QTR Raw'!AZ6+'QTR Raw'!AZ8</f>
        <v>3087</v>
      </c>
      <c r="CG20" s="25">
        <f>'QTR Raw'!BA6+'QTR Raw'!BA8</f>
        <v>3181</v>
      </c>
      <c r="CH20" s="25">
        <f>'QTR Raw'!BB6+'QTR Raw'!BB8</f>
        <v>4091</v>
      </c>
      <c r="CI20" s="25">
        <f>'QTR Raw'!BC6+'QTR Raw'!BC8</f>
        <v>3636</v>
      </c>
      <c r="CJ20" s="25">
        <f>'QTR Raw'!BD6+'QTR Raw'!BD8</f>
        <v>3417</v>
      </c>
      <c r="CK20" s="25">
        <f>'QTR Raw'!BE6+'QTR Raw'!BE8</f>
        <v>3506</v>
      </c>
      <c r="CL20" s="25">
        <f>'QTR Raw'!BF6+'QTR Raw'!BF8</f>
        <v>4245</v>
      </c>
      <c r="CM20" s="17">
        <f t="shared" ref="CM20:DB20" si="104">+CM8*CM4/10</f>
        <v>3806.3146255211441</v>
      </c>
      <c r="CN20" s="17">
        <f t="shared" si="104"/>
        <v>3704.3076635885518</v>
      </c>
      <c r="CO20" s="17">
        <f t="shared" si="104"/>
        <v>3904.6637580066003</v>
      </c>
      <c r="CP20" s="17">
        <f t="shared" si="104"/>
        <v>4721.4768956263842</v>
      </c>
      <c r="CQ20" s="17">
        <f t="shared" si="104"/>
        <v>4029.6805324206825</v>
      </c>
      <c r="CR20" s="17">
        <f t="shared" si="104"/>
        <v>3961.4984817246777</v>
      </c>
      <c r="CS20" s="17">
        <f t="shared" si="104"/>
        <v>4190.5922979224833</v>
      </c>
      <c r="CT20" s="17">
        <f t="shared" si="104"/>
        <v>5055.470793260245</v>
      </c>
      <c r="CU20" s="17">
        <f t="shared" si="104"/>
        <v>4303.6377534936819</v>
      </c>
      <c r="CV20" s="17">
        <f t="shared" si="104"/>
        <v>4240.1561115953618</v>
      </c>
      <c r="CW20" s="17">
        <f t="shared" si="104"/>
        <v>4486.3200519014226</v>
      </c>
      <c r="CX20" s="17">
        <f t="shared" si="104"/>
        <v>5408.885794740565</v>
      </c>
      <c r="CY20" s="17">
        <f t="shared" si="104"/>
        <v>4603.5998134831989</v>
      </c>
      <c r="CZ20" s="17">
        <f t="shared" si="104"/>
        <v>4537.515572540231</v>
      </c>
      <c r="DA20" s="17">
        <f t="shared" si="104"/>
        <v>4800.7050365959085</v>
      </c>
      <c r="DB20" s="17">
        <f t="shared" si="104"/>
        <v>5787.2545205998676</v>
      </c>
      <c r="DE20" s="119"/>
      <c r="DF20" s="25">
        <v>14804</v>
      </c>
    </row>
    <row r="21" spans="1:110" s="92" customFormat="1" outlineLevel="1" x14ac:dyDescent="0.2">
      <c r="A21" s="92" t="s">
        <v>109</v>
      </c>
      <c r="B21" s="92">
        <f>'Annual Raw'!C7+'Annual Raw'!C8+'Annual Raw'!C9</f>
        <v>0</v>
      </c>
      <c r="C21" s="92">
        <f>'Annual Raw'!D7+'Annual Raw'!D8+'Annual Raw'!D9</f>
        <v>0</v>
      </c>
      <c r="D21" s="92">
        <f>'Annual Raw'!E7+'Annual Raw'!E8+'Annual Raw'!E9</f>
        <v>0</v>
      </c>
      <c r="E21" s="92">
        <f>'Annual Raw'!F7+'Annual Raw'!F8+'Annual Raw'!F9</f>
        <v>0</v>
      </c>
      <c r="F21" s="92">
        <f>'Annual Raw'!G7+'Annual Raw'!G8+'Annual Raw'!G9</f>
        <v>0</v>
      </c>
      <c r="G21" s="92">
        <f>'Annual Raw'!H7+'Annual Raw'!H8+'Annual Raw'!H9</f>
        <v>0</v>
      </c>
      <c r="H21" s="92">
        <f>'Annual Raw'!I7+'Annual Raw'!I8+'Annual Raw'!I9</f>
        <v>0</v>
      </c>
      <c r="I21" s="92">
        <f>'Annual Raw'!J7+'Annual Raw'!J8+'Annual Raw'!J9</f>
        <v>0</v>
      </c>
      <c r="J21" s="92">
        <f>'Annual Raw'!K7+'Annual Raw'!K8+'Annual Raw'!K9</f>
        <v>0</v>
      </c>
      <c r="K21" s="92">
        <f>'Annual Raw'!L7+'Annual Raw'!L8+'Annual Raw'!L9</f>
        <v>0</v>
      </c>
      <c r="L21" s="92">
        <f>'Annual Raw'!M7+'Annual Raw'!M8+'Annual Raw'!M9</f>
        <v>0</v>
      </c>
      <c r="M21" s="92">
        <f>'Annual Raw'!N7+'Annual Raw'!N8+'Annual Raw'!N9</f>
        <v>0</v>
      </c>
      <c r="N21" s="92">
        <f>'Annual Raw'!O7+'Annual Raw'!O8+'Annual Raw'!O9</f>
        <v>0</v>
      </c>
      <c r="O21" s="92">
        <f>'Annual Raw'!P7+'Annual Raw'!P8+'Annual Raw'!P9</f>
        <v>0</v>
      </c>
      <c r="P21" s="92">
        <f>'Annual Raw'!Q7+'Annual Raw'!Q8+'Annual Raw'!Q9</f>
        <v>0</v>
      </c>
      <c r="Q21" s="92">
        <f>'Annual Raw'!R7+'Annual Raw'!R8+'Annual Raw'!R9</f>
        <v>0</v>
      </c>
      <c r="R21" s="92">
        <f>'Annual Raw'!S7+'Annual Raw'!S8+'Annual Raw'!S9</f>
        <v>893</v>
      </c>
      <c r="S21" s="92">
        <f>'Annual Raw'!T7+'Annual Raw'!T8+'Annual Raw'!T9</f>
        <v>247</v>
      </c>
      <c r="T21" s="92">
        <f>'Annual Raw'!U7+'Annual Raw'!U8+'Annual Raw'!U9</f>
        <v>865</v>
      </c>
      <c r="U21" s="92">
        <f>'Annual Raw'!V7+'Annual Raw'!V8+'Annual Raw'!V9</f>
        <v>1168</v>
      </c>
      <c r="V21" s="92">
        <f>'Annual Raw'!W7+'Annual Raw'!W8+'Annual Raw'!W9</f>
        <v>1319</v>
      </c>
      <c r="W21" s="92">
        <f>'Annual Raw'!X7+'Annual Raw'!X8+'Annual Raw'!X9</f>
        <v>1755</v>
      </c>
      <c r="X21" s="92">
        <f>'Annual Raw'!Y7+'Annual Raw'!Y8+'Annual Raw'!Y9</f>
        <v>2006</v>
      </c>
      <c r="Y21" s="92">
        <f>'Annual Raw'!Z7+'Annual Raw'!Z8+'Annual Raw'!Z9</f>
        <v>2501</v>
      </c>
      <c r="Z21" s="92">
        <f>'Annual Raw'!AA7+'Annual Raw'!AA8+'Annual Raw'!AA9</f>
        <v>3507</v>
      </c>
      <c r="AA21" s="92">
        <f>'Annual Raw'!AB7+'Annual Raw'!AB8+'Annual Raw'!AB9</f>
        <v>3516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92">
        <f>+'QTR Raw'!C20+'QTR Raw'!C19+'QTR Raw'!C13+'QTR Raw'!C7</f>
        <v>0</v>
      </c>
      <c r="AJ21" s="92">
        <f>+'QTR Raw'!D20+'QTR Raw'!D19+'QTR Raw'!D13+'QTR Raw'!D7</f>
        <v>0</v>
      </c>
      <c r="AK21" s="92">
        <f>+'QTR Raw'!E20+'QTR Raw'!E19+'QTR Raw'!E13+'QTR Raw'!E7</f>
        <v>0</v>
      </c>
      <c r="AL21" s="92">
        <f>+'QTR Raw'!F20+'QTR Raw'!F19+'QTR Raw'!F13+'QTR Raw'!F7</f>
        <v>0</v>
      </c>
      <c r="AM21" s="92">
        <f>+'QTR Raw'!G20+'QTR Raw'!G19+'QTR Raw'!G13+'QTR Raw'!G7</f>
        <v>0</v>
      </c>
      <c r="AN21" s="92">
        <f>+'QTR Raw'!H20+'QTR Raw'!H19+'QTR Raw'!H13+'QTR Raw'!H7</f>
        <v>0</v>
      </c>
      <c r="AO21" s="92">
        <f>+'QTR Raw'!I20+'QTR Raw'!I19+'QTR Raw'!I13+'QTR Raw'!I7</f>
        <v>0</v>
      </c>
      <c r="AP21" s="92">
        <f>+'QTR Raw'!J20+'QTR Raw'!J19+'QTR Raw'!J13+'QTR Raw'!J7</f>
        <v>0</v>
      </c>
      <c r="AQ21" s="92">
        <f>+'QTR Raw'!K20+'QTR Raw'!K19+'QTR Raw'!K13+'QTR Raw'!K7</f>
        <v>0</v>
      </c>
      <c r="AR21" s="92">
        <f>+'QTR Raw'!L20+'QTR Raw'!L19+'QTR Raw'!L13+'QTR Raw'!L7</f>
        <v>0</v>
      </c>
      <c r="AS21" s="92">
        <f>+'QTR Raw'!M20+'QTR Raw'!M19+'QTR Raw'!M13+'QTR Raw'!M7</f>
        <v>0</v>
      </c>
      <c r="AT21" s="92">
        <f>+'QTR Raw'!N20+'QTR Raw'!N19+'QTR Raw'!N13+'QTR Raw'!N7</f>
        <v>0</v>
      </c>
      <c r="AU21" s="92">
        <f>+'QTR Raw'!O20+'QTR Raw'!O19+'QTR Raw'!O13+'QTR Raw'!O7</f>
        <v>0</v>
      </c>
      <c r="AV21" s="92">
        <f>+'QTR Raw'!P20+'QTR Raw'!P19+'QTR Raw'!P13+'QTR Raw'!P7</f>
        <v>0</v>
      </c>
      <c r="AW21" s="92">
        <f>+'QTR Raw'!Q20+'QTR Raw'!Q19+'QTR Raw'!Q13+'QTR Raw'!Q7</f>
        <v>0</v>
      </c>
      <c r="AX21" s="92">
        <f>+'QTR Raw'!R20+'QTR Raw'!R19+'QTR Raw'!R13+'QTR Raw'!R7</f>
        <v>0</v>
      </c>
      <c r="AY21" s="92">
        <f>+'QTR Raw'!S20+'QTR Raw'!S19+'QTR Raw'!S13+'QTR Raw'!S7</f>
        <v>0</v>
      </c>
      <c r="AZ21" s="92">
        <f>+'QTR Raw'!T20+'QTR Raw'!T19+'QTR Raw'!T13+'QTR Raw'!T7</f>
        <v>0</v>
      </c>
      <c r="BA21" s="92">
        <f>+'QTR Raw'!U20+'QTR Raw'!U19+'QTR Raw'!U13+'QTR Raw'!U7</f>
        <v>0</v>
      </c>
      <c r="BB21" s="92">
        <f>+'QTR Raw'!V20+'QTR Raw'!V19+'QTR Raw'!V13+'QTR Raw'!V7</f>
        <v>0</v>
      </c>
      <c r="BC21" s="92">
        <f>+'QTR Raw'!W20+'QTR Raw'!W19+'QTR Raw'!W13+'QTR Raw'!W7</f>
        <v>0</v>
      </c>
      <c r="BD21" s="92">
        <f>+'QTR Raw'!X20+'QTR Raw'!X19+'QTR Raw'!X13+'QTR Raw'!X7</f>
        <v>0</v>
      </c>
      <c r="BE21" s="92">
        <f>+'QTR Raw'!Y20+'QTR Raw'!Y19+'QTR Raw'!Y13+'QTR Raw'!Y7</f>
        <v>0</v>
      </c>
      <c r="BF21" s="92">
        <f>+'QTR Raw'!Z20+'QTR Raw'!Z19+'QTR Raw'!Z13+'QTR Raw'!Z7</f>
        <v>13</v>
      </c>
      <c r="BG21" s="92">
        <f>+'QTR Raw'!AA20+'QTR Raw'!AA19+'QTR Raw'!AA13+'QTR Raw'!AA7</f>
        <v>17</v>
      </c>
      <c r="BH21" s="92">
        <f>+'QTR Raw'!AB20+'QTR Raw'!AB19+'QTR Raw'!AB13+'QTR Raw'!AB7</f>
        <v>42</v>
      </c>
      <c r="BI21" s="92">
        <f>+'QTR Raw'!AC20+'QTR Raw'!AC19+'QTR Raw'!AC13+'QTR Raw'!AC7</f>
        <v>0</v>
      </c>
      <c r="BJ21" s="92">
        <f>+'QTR Raw'!AD20+'QTR Raw'!AD19+'QTR Raw'!AD13+'QTR Raw'!AD7</f>
        <v>0</v>
      </c>
      <c r="BK21" s="92">
        <f>+'QTR Raw'!AE20+'QTR Raw'!AE19+'QTR Raw'!AE13+'QTR Raw'!AE7</f>
        <v>0</v>
      </c>
      <c r="BL21" s="92">
        <f>+'QTR Raw'!AF20+'QTR Raw'!AF19+'QTR Raw'!AF13+'QTR Raw'!AF7</f>
        <v>4</v>
      </c>
      <c r="BM21" s="92">
        <f>+'QTR Raw'!AG20+'QTR Raw'!AG19+'QTR Raw'!AG13+'QTR Raw'!AG7</f>
        <v>2</v>
      </c>
      <c r="BN21" s="92">
        <f>+'QTR Raw'!AH20+'QTR Raw'!AH19+'QTR Raw'!AH13+'QTR Raw'!AH7</f>
        <v>20</v>
      </c>
      <c r="BO21" s="92">
        <f>+'QTR Raw'!AI20+'QTR Raw'!AI19+'QTR Raw'!AI13+'QTR Raw'!AI7</f>
        <v>0</v>
      </c>
      <c r="BP21" s="92">
        <f>+'QTR Raw'!AJ20+'QTR Raw'!AJ19+'QTR Raw'!AJ13+'QTR Raw'!AJ7</f>
        <v>0</v>
      </c>
      <c r="BQ21" s="92">
        <f>+'QTR Raw'!AK20+'QTR Raw'!AK19+'QTR Raw'!AK13+'QTR Raw'!AK7</f>
        <v>0</v>
      </c>
      <c r="BR21" s="92">
        <f>+'QTR Raw'!AL20+'QTR Raw'!AL19+'QTR Raw'!AL13+'QTR Raw'!AL7</f>
        <v>0</v>
      </c>
      <c r="BS21" s="92">
        <f>+'QTR Raw'!AM20+'QTR Raw'!AM19+'QTR Raw'!AM13+'QTR Raw'!AM7</f>
        <v>0</v>
      </c>
      <c r="BT21" s="92">
        <f>+'QTR Raw'!AN20+'QTR Raw'!AN19+'QTR Raw'!AN13+'QTR Raw'!AN7</f>
        <v>0</v>
      </c>
      <c r="BU21" s="92">
        <f>+'QTR Raw'!AO20+'QTR Raw'!AO19+'QTR Raw'!AO13+'QTR Raw'!AO7</f>
        <v>0</v>
      </c>
      <c r="BV21" s="92">
        <f>+'QTR Raw'!AP20+'QTR Raw'!AP19+'QTR Raw'!AP13+'QTR Raw'!AP7</f>
        <v>0</v>
      </c>
      <c r="BW21" s="92">
        <f>+'QTR Raw'!AQ20+'QTR Raw'!AQ19+'QTR Raw'!AQ13+'QTR Raw'!AQ7</f>
        <v>0</v>
      </c>
      <c r="BX21" s="92">
        <f>+'QTR Raw'!AR20+'QTR Raw'!AR19+'QTR Raw'!AR13+'QTR Raw'!AR7</f>
        <v>0</v>
      </c>
      <c r="BY21" s="92">
        <f>+'QTR Raw'!AS20+'QTR Raw'!AS19+'QTR Raw'!AS13+'QTR Raw'!AS7</f>
        <v>0</v>
      </c>
      <c r="BZ21" s="92">
        <f>+'QTR Raw'!AT20+'QTR Raw'!AT19+'QTR Raw'!AT13+'QTR Raw'!AT7</f>
        <v>0</v>
      </c>
      <c r="CA21" s="92">
        <f>+'QTR Raw'!AU20+'QTR Raw'!AU19+'QTR Raw'!AU13+'QTR Raw'!AU7</f>
        <v>0</v>
      </c>
      <c r="CB21" s="92">
        <f>+'QTR Raw'!AV20+'QTR Raw'!AV19+'QTR Raw'!AV13+'QTR Raw'!AV7</f>
        <v>0</v>
      </c>
      <c r="CC21" s="92">
        <f>+'QTR Raw'!AW20+'QTR Raw'!AW19+'QTR Raw'!AW13+'QTR Raw'!AW7</f>
        <v>0</v>
      </c>
      <c r="CD21" s="92">
        <f>+'QTR Raw'!AX20+'QTR Raw'!AX19+'QTR Raw'!AX13+'QTR Raw'!AX7</f>
        <v>0</v>
      </c>
      <c r="CE21" s="92">
        <f>+'QTR Raw'!AY20+'QTR Raw'!AY19+'QTR Raw'!AY13+'QTR Raw'!AY7</f>
        <v>0</v>
      </c>
      <c r="CF21" s="92">
        <f>+'QTR Raw'!AZ20+'QTR Raw'!AZ19+'QTR Raw'!AZ13+'QTR Raw'!AZ7</f>
        <v>0</v>
      </c>
      <c r="CG21" s="92">
        <f>+'QTR Raw'!BA20+'QTR Raw'!BA19+'QTR Raw'!BA13+'QTR Raw'!BA7</f>
        <v>0</v>
      </c>
      <c r="CH21" s="92">
        <f>+'QTR Raw'!BB20+'QTR Raw'!BB19+'QTR Raw'!BB13+'QTR Raw'!BB7</f>
        <v>0</v>
      </c>
      <c r="CI21" s="92">
        <f>+'QTR Raw'!BC20+'QTR Raw'!BC19+'QTR Raw'!BC13+'QTR Raw'!BC7</f>
        <v>0</v>
      </c>
      <c r="CJ21" s="92">
        <f>+'QTR Raw'!BD20+'QTR Raw'!BD19+'QTR Raw'!BD13+'QTR Raw'!BD7</f>
        <v>0</v>
      </c>
      <c r="CK21" s="92">
        <f>+'QTR Raw'!BE20+'QTR Raw'!BE19+'QTR Raw'!BE13+'QTR Raw'!BE7</f>
        <v>0</v>
      </c>
      <c r="CL21" s="92">
        <f>+'QTR Raw'!BF20+'QTR Raw'!BF19+'QTR Raw'!BF13+'QTR Raw'!BF7</f>
        <v>0</v>
      </c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E21" s="120"/>
      <c r="DF21" s="92">
        <v>0</v>
      </c>
    </row>
    <row r="22" spans="1:110" s="26" customFormat="1" x14ac:dyDescent="0.2">
      <c r="A22" s="26" t="s">
        <v>431</v>
      </c>
      <c r="B22" s="26">
        <f>+B20-B21</f>
        <v>0</v>
      </c>
      <c r="C22" s="26">
        <f>+C20-C21</f>
        <v>0</v>
      </c>
      <c r="D22" s="26">
        <f t="shared" ref="D22:U22" si="105">+D20-D21</f>
        <v>0</v>
      </c>
      <c r="E22" s="26">
        <f t="shared" si="105"/>
        <v>0</v>
      </c>
      <c r="F22" s="26">
        <f t="shared" si="105"/>
        <v>0</v>
      </c>
      <c r="G22" s="26">
        <f t="shared" si="105"/>
        <v>0</v>
      </c>
      <c r="H22" s="26">
        <f t="shared" si="105"/>
        <v>0</v>
      </c>
      <c r="I22" s="26">
        <f t="shared" si="105"/>
        <v>0</v>
      </c>
      <c r="J22" s="26">
        <f t="shared" si="105"/>
        <v>0</v>
      </c>
      <c r="K22" s="26">
        <f t="shared" si="105"/>
        <v>0</v>
      </c>
      <c r="L22" s="26">
        <f t="shared" si="105"/>
        <v>0</v>
      </c>
      <c r="M22" s="26">
        <f t="shared" si="105"/>
        <v>0</v>
      </c>
      <c r="N22" s="26">
        <f t="shared" si="105"/>
        <v>0</v>
      </c>
      <c r="O22" s="26">
        <f t="shared" si="105"/>
        <v>0</v>
      </c>
      <c r="P22" s="26">
        <f t="shared" si="105"/>
        <v>0</v>
      </c>
      <c r="Q22" s="26">
        <f t="shared" si="105"/>
        <v>0</v>
      </c>
      <c r="R22" s="26">
        <f t="shared" si="105"/>
        <v>7447</v>
      </c>
      <c r="S22" s="26">
        <f t="shared" si="105"/>
        <v>8580</v>
      </c>
      <c r="T22" s="26">
        <f t="shared" si="105"/>
        <v>9484</v>
      </c>
      <c r="U22" s="26">
        <f t="shared" si="105"/>
        <v>9674</v>
      </c>
      <c r="V22" s="26">
        <f t="shared" ref="V22:AA22" si="106">+V20-V21</f>
        <v>10110</v>
      </c>
      <c r="W22" s="26">
        <f t="shared" si="106"/>
        <v>11286</v>
      </c>
      <c r="X22" s="26">
        <f t="shared" si="106"/>
        <v>13552</v>
      </c>
      <c r="Y22" s="26">
        <f t="shared" si="106"/>
        <v>14691</v>
      </c>
      <c r="Z22" s="26">
        <f t="shared" si="106"/>
        <v>13980</v>
      </c>
      <c r="AA22" s="26">
        <f t="shared" si="106"/>
        <v>14804</v>
      </c>
      <c r="AB22" s="27">
        <f t="shared" ref="AB22:AD22" si="107">+AB20-AB21</f>
        <v>16136.76294274268</v>
      </c>
      <c r="AC22" s="27">
        <f t="shared" si="107"/>
        <v>17237.242105328089</v>
      </c>
      <c r="AD22" s="27">
        <f t="shared" si="107"/>
        <v>18438.99971173103</v>
      </c>
      <c r="AE22" s="27">
        <f t="shared" ref="AE22" si="108">+AE20-AE21</f>
        <v>19729.074943219206</v>
      </c>
      <c r="AI22" s="26">
        <f t="shared" ref="AI22" si="109">+AI20-AI21</f>
        <v>0</v>
      </c>
      <c r="AJ22" s="26">
        <f t="shared" ref="AJ22" si="110">+AJ20-AJ21</f>
        <v>0</v>
      </c>
      <c r="AK22" s="26">
        <f t="shared" ref="AK22:AM22" si="111">+AK20-AK21</f>
        <v>0</v>
      </c>
      <c r="AL22" s="26">
        <f t="shared" si="111"/>
        <v>0</v>
      </c>
      <c r="AM22" s="26">
        <f t="shared" si="111"/>
        <v>0</v>
      </c>
      <c r="AN22" s="26">
        <f t="shared" ref="AN22:AO22" si="112">+AN20-AN21</f>
        <v>0</v>
      </c>
      <c r="AO22" s="26">
        <f t="shared" si="112"/>
        <v>0</v>
      </c>
      <c r="AP22" s="26">
        <f t="shared" ref="AP22:AW22" si="113">+AP20-AP21</f>
        <v>0</v>
      </c>
      <c r="AQ22" s="26">
        <f t="shared" si="113"/>
        <v>0</v>
      </c>
      <c r="AR22" s="26">
        <f t="shared" si="113"/>
        <v>0</v>
      </c>
      <c r="AS22" s="26">
        <f t="shared" si="113"/>
        <v>0</v>
      </c>
      <c r="AT22" s="26">
        <f t="shared" si="113"/>
        <v>0</v>
      </c>
      <c r="AU22" s="26">
        <f t="shared" si="113"/>
        <v>0</v>
      </c>
      <c r="AV22" s="26">
        <f t="shared" si="113"/>
        <v>0</v>
      </c>
      <c r="AW22" s="26">
        <f t="shared" si="113"/>
        <v>0</v>
      </c>
      <c r="AX22" s="26">
        <f t="shared" ref="AX22:CF22" si="114">+AX20-AX21</f>
        <v>0</v>
      </c>
      <c r="AY22" s="26">
        <f t="shared" si="114"/>
        <v>0</v>
      </c>
      <c r="AZ22" s="26">
        <f t="shared" si="114"/>
        <v>0</v>
      </c>
      <c r="BA22" s="26">
        <f t="shared" si="114"/>
        <v>0</v>
      </c>
      <c r="BB22" s="26">
        <f t="shared" si="114"/>
        <v>0</v>
      </c>
      <c r="BC22" s="26">
        <f t="shared" si="114"/>
        <v>0</v>
      </c>
      <c r="BD22" s="26">
        <f t="shared" si="114"/>
        <v>0</v>
      </c>
      <c r="BE22" s="26">
        <f t="shared" si="114"/>
        <v>2069</v>
      </c>
      <c r="BF22" s="26">
        <f t="shared" si="114"/>
        <v>2615</v>
      </c>
      <c r="BG22" s="26">
        <f t="shared" si="114"/>
        <v>2351</v>
      </c>
      <c r="BH22" s="26">
        <f t="shared" si="114"/>
        <v>2057</v>
      </c>
      <c r="BI22" s="26">
        <f t="shared" si="114"/>
        <v>2164</v>
      </c>
      <c r="BJ22" s="26">
        <f t="shared" si="114"/>
        <v>2842</v>
      </c>
      <c r="BK22" s="26">
        <f t="shared" si="114"/>
        <v>2537</v>
      </c>
      <c r="BL22" s="26">
        <f t="shared" si="114"/>
        <v>2232</v>
      </c>
      <c r="BM22" s="26">
        <f t="shared" si="114"/>
        <v>2416</v>
      </c>
      <c r="BN22" s="26">
        <f t="shared" si="114"/>
        <v>2463</v>
      </c>
      <c r="BO22" s="26">
        <f t="shared" si="114"/>
        <v>1901</v>
      </c>
      <c r="BP22" s="26">
        <f t="shared" si="114"/>
        <v>2313</v>
      </c>
      <c r="BQ22" s="26">
        <f t="shared" si="114"/>
        <v>2737</v>
      </c>
      <c r="BR22" s="26">
        <f t="shared" si="114"/>
        <v>3151</v>
      </c>
      <c r="BS22" s="26">
        <f t="shared" si="114"/>
        <v>2591</v>
      </c>
      <c r="BT22" s="26">
        <f t="shared" si="114"/>
        <v>2581</v>
      </c>
      <c r="BU22" s="26">
        <f t="shared" si="114"/>
        <v>2734</v>
      </c>
      <c r="BV22" s="26">
        <f t="shared" si="114"/>
        <v>3380</v>
      </c>
      <c r="BW22" s="26">
        <f t="shared" si="114"/>
        <v>3302</v>
      </c>
      <c r="BX22" s="26">
        <f t="shared" si="114"/>
        <v>2971</v>
      </c>
      <c r="BY22" s="26">
        <f t="shared" si="114"/>
        <v>3355</v>
      </c>
      <c r="BZ22" s="26">
        <f t="shared" si="114"/>
        <v>3915</v>
      </c>
      <c r="CA22" s="26">
        <f t="shared" si="114"/>
        <v>3627</v>
      </c>
      <c r="CB22" s="26">
        <f t="shared" si="114"/>
        <v>3153</v>
      </c>
      <c r="CC22" s="26">
        <f t="shared" si="114"/>
        <v>3604</v>
      </c>
      <c r="CD22" s="26">
        <f t="shared" si="114"/>
        <v>4307</v>
      </c>
      <c r="CE22" s="26">
        <f t="shared" si="114"/>
        <v>3621</v>
      </c>
      <c r="CF22" s="26">
        <f t="shared" si="114"/>
        <v>3087</v>
      </c>
      <c r="CG22" s="26">
        <f t="shared" ref="CG22:CH22" si="115">+CG20-CG21</f>
        <v>3181</v>
      </c>
      <c r="CH22" s="26">
        <f t="shared" si="115"/>
        <v>4091</v>
      </c>
      <c r="CI22" s="26">
        <f t="shared" ref="CI22:CJ22" si="116">+CI20-CI21</f>
        <v>3636</v>
      </c>
      <c r="CJ22" s="26">
        <f t="shared" si="116"/>
        <v>3417</v>
      </c>
      <c r="CK22" s="26">
        <f t="shared" ref="CK22:CL22" si="117">+CK20-CK21</f>
        <v>3506</v>
      </c>
      <c r="CL22" s="26">
        <f t="shared" si="117"/>
        <v>4245</v>
      </c>
      <c r="CM22" s="27">
        <f t="shared" ref="CM22:DB22" si="118">+CM20-CM21</f>
        <v>3806.3146255211441</v>
      </c>
      <c r="CN22" s="27">
        <f t="shared" si="118"/>
        <v>3704.3076635885518</v>
      </c>
      <c r="CO22" s="27">
        <f t="shared" si="118"/>
        <v>3904.6637580066003</v>
      </c>
      <c r="CP22" s="27">
        <f t="shared" si="118"/>
        <v>4721.4768956263842</v>
      </c>
      <c r="CQ22" s="27">
        <f t="shared" si="118"/>
        <v>4029.6805324206825</v>
      </c>
      <c r="CR22" s="27">
        <f t="shared" si="118"/>
        <v>3961.4984817246777</v>
      </c>
      <c r="CS22" s="27">
        <f t="shared" si="118"/>
        <v>4190.5922979224833</v>
      </c>
      <c r="CT22" s="27">
        <f t="shared" si="118"/>
        <v>5055.470793260245</v>
      </c>
      <c r="CU22" s="27">
        <f t="shared" si="118"/>
        <v>4303.6377534936819</v>
      </c>
      <c r="CV22" s="27">
        <f t="shared" si="118"/>
        <v>4240.1561115953618</v>
      </c>
      <c r="CW22" s="27">
        <f t="shared" si="118"/>
        <v>4486.3200519014226</v>
      </c>
      <c r="CX22" s="27">
        <f t="shared" si="118"/>
        <v>5408.885794740565</v>
      </c>
      <c r="CY22" s="27">
        <f t="shared" si="118"/>
        <v>4603.5998134831989</v>
      </c>
      <c r="CZ22" s="27">
        <f t="shared" si="118"/>
        <v>4537.515572540231</v>
      </c>
      <c r="DA22" s="27">
        <f t="shared" si="118"/>
        <v>4800.7050365959085</v>
      </c>
      <c r="DB22" s="27">
        <f t="shared" si="118"/>
        <v>5787.2545205998676</v>
      </c>
      <c r="DE22" s="121"/>
      <c r="DF22" s="26">
        <v>14804</v>
      </c>
    </row>
    <row r="23" spans="1:110" s="39" customFormat="1" x14ac:dyDescent="0.2">
      <c r="A23" s="39" t="s">
        <v>484</v>
      </c>
      <c r="C23" s="39" t="e">
        <f t="shared" ref="C23" si="119">C22/B22-1</f>
        <v>#DIV/0!</v>
      </c>
      <c r="D23" s="39" t="e">
        <f t="shared" ref="D23" si="120">D22/C22-1</f>
        <v>#DIV/0!</v>
      </c>
      <c r="E23" s="39" t="e">
        <f t="shared" ref="E23" si="121">E22/D22-1</f>
        <v>#DIV/0!</v>
      </c>
      <c r="F23" s="39" t="e">
        <f t="shared" ref="F23:R23" si="122">F22/E22-1</f>
        <v>#DIV/0!</v>
      </c>
      <c r="G23" s="39" t="e">
        <f t="shared" si="122"/>
        <v>#DIV/0!</v>
      </c>
      <c r="H23" s="39" t="e">
        <f t="shared" si="122"/>
        <v>#DIV/0!</v>
      </c>
      <c r="I23" s="39" t="e">
        <f t="shared" si="122"/>
        <v>#DIV/0!</v>
      </c>
      <c r="J23" s="39" t="e">
        <f t="shared" si="122"/>
        <v>#DIV/0!</v>
      </c>
      <c r="K23" s="39" t="e">
        <f>K22/J22-1</f>
        <v>#DIV/0!</v>
      </c>
      <c r="L23" s="39" t="e">
        <f t="shared" si="122"/>
        <v>#DIV/0!</v>
      </c>
      <c r="M23" s="39" t="e">
        <f t="shared" si="122"/>
        <v>#DIV/0!</v>
      </c>
      <c r="N23" s="39" t="e">
        <f t="shared" si="122"/>
        <v>#DIV/0!</v>
      </c>
      <c r="O23" s="39" t="e">
        <f t="shared" si="122"/>
        <v>#DIV/0!</v>
      </c>
      <c r="P23" s="39" t="e">
        <f t="shared" si="122"/>
        <v>#DIV/0!</v>
      </c>
      <c r="Q23" s="39" t="e">
        <f t="shared" si="122"/>
        <v>#DIV/0!</v>
      </c>
      <c r="R23" s="39" t="e">
        <f t="shared" si="122"/>
        <v>#DIV/0!</v>
      </c>
      <c r="S23" s="39">
        <f t="shared" ref="S23:AA23" si="123">S22/R22-1</f>
        <v>0.15214180206794681</v>
      </c>
      <c r="T23" s="39">
        <f t="shared" si="123"/>
        <v>0.10536130536130539</v>
      </c>
      <c r="U23" s="39">
        <f t="shared" si="123"/>
        <v>2.0033741037536856E-2</v>
      </c>
      <c r="V23" s="39">
        <f t="shared" si="123"/>
        <v>4.5069257804424279E-2</v>
      </c>
      <c r="W23" s="39">
        <f t="shared" si="123"/>
        <v>0.116320474777448</v>
      </c>
      <c r="X23" s="39">
        <f t="shared" si="123"/>
        <v>0.2007797270955165</v>
      </c>
      <c r="Y23" s="39">
        <f t="shared" si="123"/>
        <v>8.404663518299893E-2</v>
      </c>
      <c r="Z23" s="39">
        <f t="shared" si="123"/>
        <v>-4.8396977741474334E-2</v>
      </c>
      <c r="AA23" s="39">
        <f t="shared" si="123"/>
        <v>5.8941344778254745E-2</v>
      </c>
      <c r="AB23" s="40">
        <f t="shared" ref="AB23" si="124">AB22/AA22-1</f>
        <v>9.002721850463935E-2</v>
      </c>
      <c r="AC23" s="40">
        <f t="shared" ref="AC23" si="125">AC22/AB22-1</f>
        <v>6.8197021081005449E-2</v>
      </c>
      <c r="AD23" s="40">
        <f t="shared" ref="AD23" si="126">AD22/AC22-1</f>
        <v>6.971867071655713E-2</v>
      </c>
      <c r="AE23" s="40">
        <f t="shared" ref="AE23" si="127">AE22/AD22-1</f>
        <v>6.9964491114310245E-2</v>
      </c>
      <c r="AM23" s="39" t="e">
        <f t="shared" ref="AM23:CI23" si="128">+IF(AI22&lt;0,1-AM22/AI22,AM22/AI22-1)</f>
        <v>#DIV/0!</v>
      </c>
      <c r="AN23" s="39" t="e">
        <f t="shared" si="128"/>
        <v>#DIV/0!</v>
      </c>
      <c r="AO23" s="39" t="e">
        <f t="shared" si="128"/>
        <v>#DIV/0!</v>
      </c>
      <c r="AP23" s="39" t="e">
        <f t="shared" si="128"/>
        <v>#DIV/0!</v>
      </c>
      <c r="AQ23" s="39" t="e">
        <f t="shared" si="128"/>
        <v>#DIV/0!</v>
      </c>
      <c r="AR23" s="39" t="e">
        <f t="shared" si="128"/>
        <v>#DIV/0!</v>
      </c>
      <c r="AS23" s="39" t="e">
        <f t="shared" si="128"/>
        <v>#DIV/0!</v>
      </c>
      <c r="AT23" s="39" t="e">
        <f t="shared" si="128"/>
        <v>#DIV/0!</v>
      </c>
      <c r="AU23" s="39" t="e">
        <f t="shared" si="128"/>
        <v>#DIV/0!</v>
      </c>
      <c r="AV23" s="39" t="e">
        <f t="shared" si="128"/>
        <v>#DIV/0!</v>
      </c>
      <c r="AW23" s="39" t="e">
        <f t="shared" si="128"/>
        <v>#DIV/0!</v>
      </c>
      <c r="AX23" s="39" t="e">
        <f t="shared" si="128"/>
        <v>#DIV/0!</v>
      </c>
      <c r="AY23" s="39" t="e">
        <f t="shared" si="128"/>
        <v>#DIV/0!</v>
      </c>
      <c r="AZ23" s="39" t="e">
        <f t="shared" si="128"/>
        <v>#DIV/0!</v>
      </c>
      <c r="BA23" s="39" t="e">
        <f t="shared" si="128"/>
        <v>#DIV/0!</v>
      </c>
      <c r="BB23" s="39" t="e">
        <f t="shared" si="128"/>
        <v>#DIV/0!</v>
      </c>
      <c r="BC23" s="39" t="e">
        <f t="shared" si="128"/>
        <v>#DIV/0!</v>
      </c>
      <c r="BD23" s="39" t="e">
        <f t="shared" si="128"/>
        <v>#DIV/0!</v>
      </c>
      <c r="BE23" s="39" t="e">
        <f t="shared" si="128"/>
        <v>#DIV/0!</v>
      </c>
      <c r="BF23" s="39" t="e">
        <f t="shared" si="128"/>
        <v>#DIV/0!</v>
      </c>
      <c r="BG23" s="39" t="e">
        <f t="shared" si="128"/>
        <v>#DIV/0!</v>
      </c>
      <c r="BH23" s="39" t="e">
        <f t="shared" si="128"/>
        <v>#DIV/0!</v>
      </c>
      <c r="BI23" s="39">
        <f t="shared" si="128"/>
        <v>4.5915901401643255E-2</v>
      </c>
      <c r="BJ23" s="39">
        <f t="shared" si="128"/>
        <v>8.6806883365200704E-2</v>
      </c>
      <c r="BK23" s="39">
        <f t="shared" si="128"/>
        <v>7.9115270097830814E-2</v>
      </c>
      <c r="BL23" s="39">
        <f t="shared" si="128"/>
        <v>8.5075352455031616E-2</v>
      </c>
      <c r="BM23" s="39">
        <f t="shared" si="128"/>
        <v>0.11645101663585944</v>
      </c>
      <c r="BN23" s="39">
        <f t="shared" si="128"/>
        <v>-0.13335679099225894</v>
      </c>
      <c r="BO23" s="39">
        <f t="shared" si="128"/>
        <v>-0.25068979109184075</v>
      </c>
      <c r="BP23" s="39">
        <f t="shared" si="128"/>
        <v>3.629032258064524E-2</v>
      </c>
      <c r="BQ23" s="39">
        <f t="shared" si="128"/>
        <v>0.13286423841059603</v>
      </c>
      <c r="BR23" s="39">
        <f t="shared" si="128"/>
        <v>0.27933414535119772</v>
      </c>
      <c r="BS23" s="39">
        <f t="shared" si="128"/>
        <v>0.36296685954760655</v>
      </c>
      <c r="BT23" s="39">
        <f t="shared" si="128"/>
        <v>0.1158668396022482</v>
      </c>
      <c r="BU23" s="39">
        <f t="shared" si="128"/>
        <v>-1.096090610157141E-3</v>
      </c>
      <c r="BV23" s="39">
        <f t="shared" si="128"/>
        <v>7.2675341161535956E-2</v>
      </c>
      <c r="BW23" s="39">
        <f t="shared" si="128"/>
        <v>0.27441142416055575</v>
      </c>
      <c r="BX23" s="39">
        <f t="shared" si="128"/>
        <v>0.15110422316931427</v>
      </c>
      <c r="BY23" s="39">
        <f t="shared" si="128"/>
        <v>0.22713972201901966</v>
      </c>
      <c r="BZ23" s="39">
        <f t="shared" si="128"/>
        <v>0.15828402366863914</v>
      </c>
      <c r="CA23" s="39">
        <f t="shared" si="128"/>
        <v>9.8425196850393748E-2</v>
      </c>
      <c r="CB23" s="39">
        <f t="shared" si="128"/>
        <v>6.1258835408953161E-2</v>
      </c>
      <c r="CC23" s="39">
        <f t="shared" si="128"/>
        <v>7.4217585692995636E-2</v>
      </c>
      <c r="CD23" s="39">
        <f t="shared" si="128"/>
        <v>0.10012771392081743</v>
      </c>
      <c r="CE23" s="39">
        <f t="shared" si="128"/>
        <v>-1.6542597187758634E-3</v>
      </c>
      <c r="CF23" s="39">
        <f t="shared" si="128"/>
        <v>-2.0932445290199775E-2</v>
      </c>
      <c r="CG23" s="39">
        <f t="shared" si="128"/>
        <v>-0.11736958934517205</v>
      </c>
      <c r="CH23" s="39">
        <f t="shared" si="128"/>
        <v>-5.0150917111678628E-2</v>
      </c>
      <c r="CI23" s="39">
        <f t="shared" si="128"/>
        <v>4.1425020712511085E-3</v>
      </c>
      <c r="CJ23" s="39">
        <f>+IF(CF22&lt;0,1-CJ22/CF22,CJ22/CF22-1)</f>
        <v>0.10689990281827022</v>
      </c>
      <c r="CK23" s="39">
        <f>+IF(CG22&lt;0,1-CK22/CG22,CK22/CG22-1)</f>
        <v>0.10216912920465271</v>
      </c>
      <c r="CL23" s="39">
        <f>+IF(CH22&lt;0,1-CL22/CH22,CL22/CH22-1)</f>
        <v>3.7643607919823907E-2</v>
      </c>
      <c r="CM23" s="40">
        <f t="shared" ref="CM23:DB23" si="129">+IF(CI22&lt;0,1-CM22/CI22,CM22/CI22-1)</f>
        <v>4.6841206138928504E-2</v>
      </c>
      <c r="CN23" s="40">
        <f t="shared" si="129"/>
        <v>8.4081844772769143E-2</v>
      </c>
      <c r="CO23" s="40">
        <f t="shared" si="129"/>
        <v>0.11370900114278393</v>
      </c>
      <c r="CP23" s="40">
        <f t="shared" si="129"/>
        <v>0.11224426280951327</v>
      </c>
      <c r="CQ23" s="40">
        <f t="shared" si="129"/>
        <v>5.8682985742135374E-2</v>
      </c>
      <c r="CR23" s="40">
        <f t="shared" si="129"/>
        <v>6.9430198971910384E-2</v>
      </c>
      <c r="CS23" s="40">
        <f t="shared" si="129"/>
        <v>7.3227442268128717E-2</v>
      </c>
      <c r="CT23" s="40">
        <f t="shared" si="129"/>
        <v>7.0739284553790194E-2</v>
      </c>
      <c r="CU23" s="40">
        <f t="shared" si="129"/>
        <v>6.7984848642189899E-2</v>
      </c>
      <c r="CV23" s="40">
        <f t="shared" si="129"/>
        <v>7.0341470823779728E-2</v>
      </c>
      <c r="CW23" s="40">
        <f t="shared" si="129"/>
        <v>7.0569440536018879E-2</v>
      </c>
      <c r="CX23" s="40">
        <f t="shared" si="129"/>
        <v>6.9907436108913812E-2</v>
      </c>
      <c r="CY23" s="40">
        <f t="shared" si="129"/>
        <v>6.9699653449226462E-2</v>
      </c>
      <c r="CZ23" s="40">
        <f t="shared" si="129"/>
        <v>7.0129366258872894E-2</v>
      </c>
      <c r="DA23" s="40">
        <f t="shared" si="129"/>
        <v>7.00763612621087E-2</v>
      </c>
      <c r="DB23" s="40">
        <f t="shared" si="129"/>
        <v>6.9953173392423462E-2</v>
      </c>
      <c r="DE23" s="122"/>
      <c r="DF23" s="39">
        <v>5.8941344778254745E-2</v>
      </c>
    </row>
    <row r="24" spans="1:110" s="39" customFormat="1" x14ac:dyDescent="0.2">
      <c r="A24" s="39" t="s">
        <v>446</v>
      </c>
      <c r="AB24" s="40"/>
      <c r="AC24" s="40"/>
      <c r="AD24" s="40"/>
      <c r="AE24" s="40"/>
      <c r="AJ24" s="39" t="e">
        <f t="shared" ref="AJ24:AL24" si="130">+IF(AI22&lt;0,1-AJ22/AI22,AJ22/AI22-1)</f>
        <v>#DIV/0!</v>
      </c>
      <c r="AK24" s="39" t="e">
        <f t="shared" si="130"/>
        <v>#DIV/0!</v>
      </c>
      <c r="AL24" s="39" t="e">
        <f t="shared" si="130"/>
        <v>#DIV/0!</v>
      </c>
      <c r="AM24" s="39" t="e">
        <f t="shared" ref="AM24:CI24" si="131">+IF(AL22&lt;0,1-AM22/AL22,AM22/AL22-1)</f>
        <v>#DIV/0!</v>
      </c>
      <c r="AN24" s="39" t="e">
        <f t="shared" si="131"/>
        <v>#DIV/0!</v>
      </c>
      <c r="AO24" s="39" t="e">
        <f t="shared" si="131"/>
        <v>#DIV/0!</v>
      </c>
      <c r="AP24" s="39" t="e">
        <f t="shared" si="131"/>
        <v>#DIV/0!</v>
      </c>
      <c r="AQ24" s="39" t="e">
        <f t="shared" si="131"/>
        <v>#DIV/0!</v>
      </c>
      <c r="AR24" s="39" t="e">
        <f t="shared" si="131"/>
        <v>#DIV/0!</v>
      </c>
      <c r="AS24" s="39" t="e">
        <f t="shared" si="131"/>
        <v>#DIV/0!</v>
      </c>
      <c r="AT24" s="39" t="e">
        <f t="shared" si="131"/>
        <v>#DIV/0!</v>
      </c>
      <c r="AU24" s="39" t="e">
        <f t="shared" si="131"/>
        <v>#DIV/0!</v>
      </c>
      <c r="AV24" s="39" t="e">
        <f t="shared" si="131"/>
        <v>#DIV/0!</v>
      </c>
      <c r="AW24" s="39" t="e">
        <f t="shared" si="131"/>
        <v>#DIV/0!</v>
      </c>
      <c r="AX24" s="39" t="e">
        <f t="shared" si="131"/>
        <v>#DIV/0!</v>
      </c>
      <c r="AY24" s="39" t="e">
        <f t="shared" si="131"/>
        <v>#DIV/0!</v>
      </c>
      <c r="AZ24" s="39" t="e">
        <f t="shared" si="131"/>
        <v>#DIV/0!</v>
      </c>
      <c r="BA24" s="39" t="e">
        <f t="shared" si="131"/>
        <v>#DIV/0!</v>
      </c>
      <c r="BB24" s="39" t="e">
        <f t="shared" si="131"/>
        <v>#DIV/0!</v>
      </c>
      <c r="BC24" s="39" t="e">
        <f t="shared" si="131"/>
        <v>#DIV/0!</v>
      </c>
      <c r="BD24" s="39" t="e">
        <f t="shared" si="131"/>
        <v>#DIV/0!</v>
      </c>
      <c r="BE24" s="39" t="e">
        <f t="shared" si="131"/>
        <v>#DIV/0!</v>
      </c>
      <c r="BF24" s="39">
        <f t="shared" si="131"/>
        <v>0.26389560173997095</v>
      </c>
      <c r="BG24" s="39">
        <f t="shared" si="131"/>
        <v>-0.10095602294455064</v>
      </c>
      <c r="BH24" s="39">
        <f t="shared" si="131"/>
        <v>-0.12505316886431306</v>
      </c>
      <c r="BI24" s="39">
        <f t="shared" si="131"/>
        <v>5.2017501215362083E-2</v>
      </c>
      <c r="BJ24" s="39">
        <f t="shared" si="131"/>
        <v>0.31330868761552688</v>
      </c>
      <c r="BK24" s="39">
        <f t="shared" si="131"/>
        <v>-0.10731878958479946</v>
      </c>
      <c r="BL24" s="39">
        <f t="shared" si="131"/>
        <v>-0.12022073314938908</v>
      </c>
      <c r="BM24" s="39">
        <f t="shared" si="131"/>
        <v>8.2437275985663083E-2</v>
      </c>
      <c r="BN24" s="39">
        <f t="shared" si="131"/>
        <v>1.9453642384105851E-2</v>
      </c>
      <c r="BO24" s="39">
        <f t="shared" si="131"/>
        <v>-0.22817701989443773</v>
      </c>
      <c r="BP24" s="39">
        <f t="shared" si="131"/>
        <v>0.21672803787480266</v>
      </c>
      <c r="BQ24" s="39">
        <f t="shared" si="131"/>
        <v>0.18331171638564636</v>
      </c>
      <c r="BR24" s="39">
        <f t="shared" si="131"/>
        <v>0.15126050420168058</v>
      </c>
      <c r="BS24" s="39">
        <f t="shared" si="131"/>
        <v>-0.17772135829895275</v>
      </c>
      <c r="BT24" s="39">
        <f t="shared" si="131"/>
        <v>-3.8595137012736869E-3</v>
      </c>
      <c r="BU24" s="39">
        <f t="shared" si="131"/>
        <v>5.9279349089500277E-2</v>
      </c>
      <c r="BV24" s="39">
        <f t="shared" si="131"/>
        <v>0.23628383321141189</v>
      </c>
      <c r="BW24" s="39">
        <f t="shared" si="131"/>
        <v>-2.3076923076923106E-2</v>
      </c>
      <c r="BX24" s="39">
        <f t="shared" si="131"/>
        <v>-0.1002422774076317</v>
      </c>
      <c r="BY24" s="39">
        <f t="shared" si="131"/>
        <v>0.12924941097273646</v>
      </c>
      <c r="BZ24" s="39">
        <f t="shared" si="131"/>
        <v>0.1669150521609537</v>
      </c>
      <c r="CA24" s="39">
        <f t="shared" si="131"/>
        <v>-7.3563218390804597E-2</v>
      </c>
      <c r="CB24" s="39">
        <f t="shared" si="131"/>
        <v>-0.13068651778329199</v>
      </c>
      <c r="CC24" s="39">
        <f t="shared" si="131"/>
        <v>0.14303837614969872</v>
      </c>
      <c r="CD24" s="39">
        <f t="shared" si="131"/>
        <v>0.19506104328523866</v>
      </c>
      <c r="CE24" s="39">
        <f t="shared" si="131"/>
        <v>-0.15927559786394241</v>
      </c>
      <c r="CF24" s="39">
        <f t="shared" si="131"/>
        <v>-0.14747307373653684</v>
      </c>
      <c r="CG24" s="39">
        <f t="shared" si="131"/>
        <v>3.0450275348234523E-2</v>
      </c>
      <c r="CH24" s="39">
        <f t="shared" si="131"/>
        <v>0.28607356177302745</v>
      </c>
      <c r="CI24" s="39">
        <f t="shared" si="131"/>
        <v>-0.11121975067220724</v>
      </c>
      <c r="CJ24" s="39">
        <f>+IF(CI22&lt;0,1-CJ22/CI22,CJ22/CI22-1)</f>
        <v>-6.0231023102310211E-2</v>
      </c>
      <c r="CK24" s="39">
        <f>+IF(CJ22&lt;0,1-CK22/CJ22,CK22/CJ22-1)</f>
        <v>2.6046239391278814E-2</v>
      </c>
      <c r="CL24" s="39">
        <f>+IF(CK22&lt;0,1-CL22/CK22,CL22/CK22-1)</f>
        <v>0.21078151739874507</v>
      </c>
      <c r="CM24" s="40">
        <f t="shared" ref="CM24" si="132">+CM22/CL22-1</f>
        <v>-0.10334166654390009</v>
      </c>
      <c r="CN24" s="40">
        <f t="shared" ref="CN24" si="133">+CN22/CM22-1</f>
        <v>-2.6799403614362505E-2</v>
      </c>
      <c r="CO24" s="40">
        <f t="shared" ref="CO24" si="134">+CO22/CN22-1</f>
        <v>5.4087325517652385E-2</v>
      </c>
      <c r="CP24" s="40">
        <f t="shared" ref="CP24" si="135">+CP22/CO22-1</f>
        <v>0.209189110315809</v>
      </c>
      <c r="CQ24" s="40">
        <f t="shared" ref="CQ24" si="136">+CQ22/CP22-1</f>
        <v>-0.14652117938912912</v>
      </c>
      <c r="CR24" s="40">
        <f t="shared" ref="CR24" si="137">+CR22/CQ22-1</f>
        <v>-1.6919964286857936E-2</v>
      </c>
      <c r="CS24" s="40">
        <f t="shared" ref="CS24" si="138">+CS22/CR22-1</f>
        <v>5.78300906221898E-2</v>
      </c>
      <c r="CT24" s="40">
        <f t="shared" ref="CT24" si="139">+CT22/CS22-1</f>
        <v>0.20638574069029136</v>
      </c>
      <c r="CU24" s="40">
        <f t="shared" ref="CU24" si="140">+CU22/CT22-1</f>
        <v>-0.1487167210557081</v>
      </c>
      <c r="CV24" s="40">
        <f t="shared" ref="CV24" si="141">+CV22/CU22-1</f>
        <v>-1.4750693607236354E-2</v>
      </c>
      <c r="CW24" s="40">
        <f t="shared" ref="CW24" si="142">+CW22/CV22-1</f>
        <v>5.8055395562651047E-2</v>
      </c>
      <c r="CX24" s="40">
        <f t="shared" ref="CX24" si="143">+CX22/CW22-1</f>
        <v>0.20563975199409468</v>
      </c>
      <c r="CY24" s="40">
        <f t="shared" ref="CY24" si="144">+CY22/CX22-1</f>
        <v>-0.14888204554816109</v>
      </c>
      <c r="CZ24" s="40">
        <f t="shared" ref="CZ24" si="145">+CZ22/CY22-1</f>
        <v>-1.4354905643496174E-2</v>
      </c>
      <c r="DA24" s="40">
        <f t="shared" ref="DA24" si="146">+DA22/CZ22-1</f>
        <v>5.8002988606458139E-2</v>
      </c>
      <c r="DB24" s="40">
        <f t="shared" ref="DB24" si="147">+DB22/DA22-1</f>
        <v>0.20550095798085177</v>
      </c>
      <c r="DE24" s="122"/>
    </row>
    <row r="25" spans="1:110" s="23" customFormat="1" outlineLevel="1" x14ac:dyDescent="0.2">
      <c r="A25" s="23" t="s">
        <v>2</v>
      </c>
      <c r="B25" s="23">
        <f>'Annual Raw'!C11</f>
        <v>0</v>
      </c>
      <c r="C25" s="23">
        <f>'Annual Raw'!D11</f>
        <v>0</v>
      </c>
      <c r="D25" s="23">
        <f>'Annual Raw'!E11</f>
        <v>0</v>
      </c>
      <c r="E25" s="23">
        <f>'Annual Raw'!F11</f>
        <v>0</v>
      </c>
      <c r="F25" s="23">
        <f>'Annual Raw'!G11</f>
        <v>0</v>
      </c>
      <c r="G25" s="23">
        <f>'Annual Raw'!H11</f>
        <v>0</v>
      </c>
      <c r="H25" s="23">
        <f>'Annual Raw'!I11</f>
        <v>0</v>
      </c>
      <c r="I25" s="23">
        <f>'Annual Raw'!J11</f>
        <v>0</v>
      </c>
      <c r="J25" s="23">
        <f>'Annual Raw'!K11</f>
        <v>0</v>
      </c>
      <c r="K25" s="23">
        <f>'Annual Raw'!L11</f>
        <v>0</v>
      </c>
      <c r="L25" s="23">
        <f>'Annual Raw'!M11</f>
        <v>0</v>
      </c>
      <c r="M25" s="23">
        <f>'Annual Raw'!N11</f>
        <v>0</v>
      </c>
      <c r="N25" s="23">
        <f>'Annual Raw'!O11</f>
        <v>0</v>
      </c>
      <c r="O25" s="23">
        <f>'Annual Raw'!P11</f>
        <v>0</v>
      </c>
      <c r="P25" s="23">
        <f>'Annual Raw'!Q11</f>
        <v>0</v>
      </c>
      <c r="Q25" s="23">
        <f>'Annual Raw'!R11</f>
        <v>0</v>
      </c>
      <c r="R25" s="23">
        <f>'Annual Raw'!S11</f>
        <v>84</v>
      </c>
      <c r="S25" s="23">
        <f>'Annual Raw'!T11</f>
        <v>1</v>
      </c>
      <c r="T25" s="23">
        <f>'Annual Raw'!U11</f>
        <v>-147</v>
      </c>
      <c r="U25" s="23">
        <f>'Annual Raw'!V11</f>
        <v>25</v>
      </c>
      <c r="V25" s="23">
        <f>'Annual Raw'!W11</f>
        <v>60</v>
      </c>
      <c r="W25" s="23">
        <f>'Annual Raw'!X11</f>
        <v>-65</v>
      </c>
      <c r="X25" s="23">
        <f>'Annual Raw'!Y11</f>
        <v>23</v>
      </c>
      <c r="Y25" s="23">
        <f>'Annual Raw'!Z11</f>
        <v>16</v>
      </c>
      <c r="Z25" s="23">
        <f>'Annual Raw'!AA11</f>
        <v>-19</v>
      </c>
      <c r="AA25" s="23">
        <f>'Annual Raw'!AB11</f>
        <v>14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23">
        <f>'QTR Raw'!C10</f>
        <v>0</v>
      </c>
      <c r="AJ25" s="23">
        <f>'QTR Raw'!D10</f>
        <v>0</v>
      </c>
      <c r="AK25" s="23">
        <f>'QTR Raw'!E10</f>
        <v>0</v>
      </c>
      <c r="AL25" s="23">
        <f>'QTR Raw'!F10</f>
        <v>0</v>
      </c>
      <c r="AM25" s="23">
        <f>'QTR Raw'!G10</f>
        <v>0</v>
      </c>
      <c r="AN25" s="23">
        <f>'QTR Raw'!H10</f>
        <v>0</v>
      </c>
      <c r="AO25" s="23">
        <f>'QTR Raw'!I10</f>
        <v>0</v>
      </c>
      <c r="AP25" s="23">
        <f>'QTR Raw'!J10</f>
        <v>0</v>
      </c>
      <c r="AQ25" s="23">
        <f>'QTR Raw'!K10</f>
        <v>0</v>
      </c>
      <c r="AR25" s="23">
        <f>'QTR Raw'!L10</f>
        <v>0</v>
      </c>
      <c r="AS25" s="23">
        <f>'QTR Raw'!M10</f>
        <v>0</v>
      </c>
      <c r="AT25" s="23">
        <f>'QTR Raw'!N10</f>
        <v>0</v>
      </c>
      <c r="AU25" s="23">
        <f>'QTR Raw'!O10</f>
        <v>0</v>
      </c>
      <c r="AV25" s="23">
        <f>'QTR Raw'!P10</f>
        <v>0</v>
      </c>
      <c r="AW25" s="23">
        <f>'QTR Raw'!Q10</f>
        <v>0</v>
      </c>
      <c r="AX25" s="23">
        <f>'QTR Raw'!R10</f>
        <v>0</v>
      </c>
      <c r="AY25" s="23">
        <f>'QTR Raw'!S10</f>
        <v>0</v>
      </c>
      <c r="AZ25" s="23">
        <f>'QTR Raw'!T10</f>
        <v>0</v>
      </c>
      <c r="BA25" s="23">
        <f>'QTR Raw'!U10</f>
        <v>0</v>
      </c>
      <c r="BB25" s="23">
        <f>'QTR Raw'!V10</f>
        <v>0</v>
      </c>
      <c r="BC25" s="23">
        <f>'QTR Raw'!W10</f>
        <v>0</v>
      </c>
      <c r="BD25" s="23">
        <f>'QTR Raw'!X10</f>
        <v>0</v>
      </c>
      <c r="BE25" s="23">
        <f>'QTR Raw'!Y10</f>
        <v>29</v>
      </c>
      <c r="BF25" s="23">
        <f>'QTR Raw'!Z10</f>
        <v>66</v>
      </c>
      <c r="BG25" s="23">
        <f>'QTR Raw'!AA10</f>
        <v>-22</v>
      </c>
      <c r="BH25" s="23">
        <f>'QTR Raw'!AB10</f>
        <v>-68</v>
      </c>
      <c r="BI25" s="23">
        <f>'QTR Raw'!AC10</f>
        <v>-67</v>
      </c>
      <c r="BJ25" s="23">
        <f>'QTR Raw'!AD10</f>
        <v>10</v>
      </c>
      <c r="BK25" s="23">
        <f>'QTR Raw'!AE10</f>
        <v>21</v>
      </c>
      <c r="BL25" s="23">
        <f>'QTR Raw'!AF10</f>
        <v>9</v>
      </c>
      <c r="BM25" s="23">
        <f>'QTR Raw'!AG10</f>
        <v>6</v>
      </c>
      <c r="BN25" s="23">
        <f>'QTR Raw'!AH10</f>
        <v>-11</v>
      </c>
      <c r="BO25" s="23">
        <f>'QTR Raw'!AI10</f>
        <v>53</v>
      </c>
      <c r="BP25" s="23">
        <f>'QTR Raw'!AJ10</f>
        <v>7</v>
      </c>
      <c r="BQ25" s="23">
        <f>'QTR Raw'!AK10</f>
        <v>32</v>
      </c>
      <c r="BR25" s="23">
        <f>'QTR Raw'!AL10</f>
        <v>-32</v>
      </c>
      <c r="BS25" s="23">
        <f>'QTR Raw'!AM10</f>
        <v>-142</v>
      </c>
      <c r="BT25" s="23">
        <f>'QTR Raw'!AN10</f>
        <v>2</v>
      </c>
      <c r="BU25" s="23">
        <f>'QTR Raw'!AO10</f>
        <v>83</v>
      </c>
      <c r="BV25" s="23">
        <f>'QTR Raw'!AP10</f>
        <v>-8</v>
      </c>
      <c r="BW25" s="23">
        <f>'QTR Raw'!AQ10</f>
        <v>-21</v>
      </c>
      <c r="BX25" s="23">
        <f>'QTR Raw'!AR10</f>
        <v>-4</v>
      </c>
      <c r="BY25" s="23">
        <f>'QTR Raw'!AS10</f>
        <v>-124</v>
      </c>
      <c r="BZ25" s="23">
        <f>'QTR Raw'!AT10</f>
        <v>172</v>
      </c>
      <c r="CA25" s="23">
        <f>'QTR Raw'!AU10</f>
        <v>-68</v>
      </c>
      <c r="CB25" s="23">
        <f>'QTR Raw'!AV10</f>
        <v>-39</v>
      </c>
      <c r="CC25" s="23">
        <f>'QTR Raw'!AW10</f>
        <v>-14</v>
      </c>
      <c r="CD25" s="23">
        <f>'QTR Raw'!AX10</f>
        <v>137</v>
      </c>
      <c r="CE25" s="23">
        <f>'QTR Raw'!AY10</f>
        <v>-80</v>
      </c>
      <c r="CF25" s="23">
        <f>'QTR Raw'!AZ10</f>
        <v>-83</v>
      </c>
      <c r="CG25" s="23">
        <f>'QTR Raw'!BA10</f>
        <v>2</v>
      </c>
      <c r="CH25" s="23">
        <f>'QTR Raw'!BB10</f>
        <v>142</v>
      </c>
      <c r="CI25" s="23">
        <f>'QTR Raw'!BC10</f>
        <v>-101</v>
      </c>
      <c r="CJ25" s="23">
        <f>'QTR Raw'!BD10</f>
        <v>-42</v>
      </c>
      <c r="CK25" s="23">
        <f>'QTR Raw'!BE10</f>
        <v>10</v>
      </c>
      <c r="CL25" s="23">
        <f>'QTR Raw'!BF10</f>
        <v>147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14</v>
      </c>
    </row>
    <row r="26" spans="1:110" s="23" customFormat="1" outlineLevel="1" x14ac:dyDescent="0.2">
      <c r="A26" s="23" t="s">
        <v>3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76">
        <f>+SUM(CM26:CP26)</f>
        <v>0</v>
      </c>
      <c r="AC26" s="76">
        <f>+SUM(CQ26:CT26)</f>
        <v>0</v>
      </c>
      <c r="AD26" s="76">
        <f>+SUM(CU26:CX26)</f>
        <v>0</v>
      </c>
      <c r="AE26" s="76">
        <f>+SUM(CY26:DB26)</f>
        <v>0</v>
      </c>
      <c r="AI26" s="23">
        <f>'QTR Raw'!C12</f>
        <v>0</v>
      </c>
      <c r="AJ26" s="23">
        <f>'QTR Raw'!D12</f>
        <v>0</v>
      </c>
      <c r="AK26" s="23">
        <f>'QTR Raw'!E12</f>
        <v>0</v>
      </c>
      <c r="AL26" s="23">
        <f>'QTR Raw'!F12</f>
        <v>0</v>
      </c>
      <c r="AM26" s="23">
        <f>'QTR Raw'!G12</f>
        <v>0</v>
      </c>
      <c r="AN26" s="23">
        <f>'QTR Raw'!H12</f>
        <v>0</v>
      </c>
      <c r="AO26" s="23">
        <f>'QTR Raw'!I12</f>
        <v>0</v>
      </c>
      <c r="AP26" s="23">
        <f>'QTR Raw'!J12</f>
        <v>0</v>
      </c>
      <c r="AQ26" s="23">
        <f>'QTR Raw'!K12</f>
        <v>0</v>
      </c>
      <c r="AR26" s="23">
        <f>'QTR Raw'!L12</f>
        <v>0</v>
      </c>
      <c r="AS26" s="23">
        <f>'QTR Raw'!M12</f>
        <v>0</v>
      </c>
      <c r="AT26" s="23">
        <f>'QTR Raw'!N12</f>
        <v>0</v>
      </c>
      <c r="AU26" s="23">
        <f>'QTR Raw'!O12</f>
        <v>0</v>
      </c>
      <c r="AV26" s="23">
        <f>'QTR Raw'!P12</f>
        <v>0</v>
      </c>
      <c r="AW26" s="23">
        <f>'QTR Raw'!Q12</f>
        <v>0</v>
      </c>
      <c r="AX26" s="23">
        <f>'QTR Raw'!R12</f>
        <v>0</v>
      </c>
      <c r="AY26" s="23">
        <f>'QTR Raw'!S12</f>
        <v>0</v>
      </c>
      <c r="AZ26" s="23">
        <f>'QTR Raw'!T12</f>
        <v>0</v>
      </c>
      <c r="BA26" s="23">
        <f>'QTR Raw'!U12</f>
        <v>0</v>
      </c>
      <c r="BB26" s="23">
        <f>'QTR Raw'!V12</f>
        <v>0</v>
      </c>
      <c r="BC26" s="23">
        <f>'QTR Raw'!W12</f>
        <v>0</v>
      </c>
      <c r="BD26" s="23">
        <f>'QTR Raw'!X12</f>
        <v>0</v>
      </c>
      <c r="BE26" s="23">
        <f>'QTR Raw'!Y12</f>
        <v>38</v>
      </c>
      <c r="BF26" s="23">
        <f>'QTR Raw'!Z12</f>
        <v>60</v>
      </c>
      <c r="BG26" s="23">
        <f>'QTR Raw'!AA12</f>
        <v>18</v>
      </c>
      <c r="BH26" s="23">
        <f>'QTR Raw'!AB12</f>
        <v>9</v>
      </c>
      <c r="BI26" s="23">
        <f>'QTR Raw'!AC12</f>
        <v>8</v>
      </c>
      <c r="BJ26" s="23">
        <f>'QTR Raw'!AD12</f>
        <v>103</v>
      </c>
      <c r="BK26" s="23">
        <f>'QTR Raw'!AE12</f>
        <v>30</v>
      </c>
      <c r="BL26" s="23">
        <f>'QTR Raw'!AF12</f>
        <v>16</v>
      </c>
      <c r="BM26" s="23">
        <f>'QTR Raw'!AG12</f>
        <v>10</v>
      </c>
      <c r="BN26" s="23">
        <f>'QTR Raw'!AH12</f>
        <v>11</v>
      </c>
      <c r="BO26" s="23">
        <f>'QTR Raw'!AI12</f>
        <v>1</v>
      </c>
      <c r="BP26" s="23">
        <f>'QTR Raw'!AJ12</f>
        <v>4</v>
      </c>
      <c r="BQ26" s="23">
        <f>'QTR Raw'!AK12</f>
        <v>2</v>
      </c>
      <c r="BR26" s="23">
        <f>'QTR Raw'!AL12</f>
        <v>2</v>
      </c>
      <c r="BS26" s="23">
        <f>'QTR Raw'!AM12</f>
        <v>0</v>
      </c>
      <c r="BT26" s="23">
        <f>'QTR Raw'!AN12</f>
        <v>2</v>
      </c>
      <c r="BU26" s="23">
        <f>'QTR Raw'!AO12</f>
        <v>2</v>
      </c>
      <c r="BV26" s="23">
        <f>'QTR Raw'!AP12</f>
        <v>3</v>
      </c>
      <c r="BW26" s="23">
        <f>'QTR Raw'!AQ12</f>
        <v>2</v>
      </c>
      <c r="BX26" s="23">
        <f>'QTR Raw'!AR12</f>
        <v>3</v>
      </c>
      <c r="BY26" s="23">
        <f>'QTR Raw'!AS12</f>
        <v>1</v>
      </c>
      <c r="BZ26" s="23">
        <f>'QTR Raw'!AT12</f>
        <v>46</v>
      </c>
      <c r="CA26" s="23">
        <f>'QTR Raw'!AU12</f>
        <v>96</v>
      </c>
      <c r="CB26" s="23">
        <f>'QTR Raw'!AV12</f>
        <v>117</v>
      </c>
      <c r="CC26" s="23">
        <f>'QTR Raw'!AW12</f>
        <v>140</v>
      </c>
      <c r="CD26" s="23">
        <f>'QTR Raw'!AX12</f>
        <v>214</v>
      </c>
      <c r="CE26" s="23">
        <f>'QTR Raw'!AY12</f>
        <v>106</v>
      </c>
      <c r="CF26" s="23">
        <f>'QTR Raw'!AZ12</f>
        <v>0</v>
      </c>
      <c r="CG26" s="23">
        <f>'QTR Raw'!BA12</f>
        <v>0</v>
      </c>
      <c r="CH26" s="23">
        <f>'QTR Raw'!BB12</f>
        <v>0</v>
      </c>
      <c r="CI26" s="23">
        <f>'QTR Raw'!BC12</f>
        <v>0</v>
      </c>
      <c r="CJ26" s="23">
        <f>'QTR Raw'!BD12</f>
        <v>0</v>
      </c>
      <c r="CK26" s="23">
        <f>'QTR Raw'!BE12</f>
        <v>0</v>
      </c>
      <c r="CL26" s="23">
        <f>'QTR Raw'!BF12</f>
        <v>0</v>
      </c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E26" s="123"/>
      <c r="DF26" s="23">
        <v>0</v>
      </c>
    </row>
    <row r="27" spans="1:110" s="23" customFormat="1" outlineLevel="1" x14ac:dyDescent="0.2">
      <c r="A27" s="23" t="s">
        <v>4</v>
      </c>
      <c r="B27" s="23">
        <f>'Annual Raw'!C12</f>
        <v>0</v>
      </c>
      <c r="C27" s="23">
        <f>'Annual Raw'!D12</f>
        <v>0</v>
      </c>
      <c r="D27" s="23">
        <f>'Annual Raw'!E12</f>
        <v>0</v>
      </c>
      <c r="E27" s="23">
        <f>'Annual Raw'!F12</f>
        <v>0</v>
      </c>
      <c r="F27" s="23">
        <f>'Annual Raw'!G12</f>
        <v>0</v>
      </c>
      <c r="G27" s="23">
        <f>'Annual Raw'!H12</f>
        <v>0</v>
      </c>
      <c r="H27" s="23">
        <f>'Annual Raw'!I12</f>
        <v>0</v>
      </c>
      <c r="I27" s="23">
        <f>'Annual Raw'!J12</f>
        <v>0</v>
      </c>
      <c r="J27" s="23">
        <f>'Annual Raw'!K12</f>
        <v>0</v>
      </c>
      <c r="K27" s="23">
        <f>'Annual Raw'!L12</f>
        <v>0</v>
      </c>
      <c r="L27" s="23">
        <f>'Annual Raw'!M12</f>
        <v>0</v>
      </c>
      <c r="M27" s="23">
        <f>'Annual Raw'!N12</f>
        <v>0</v>
      </c>
      <c r="N27" s="23">
        <f>'Annual Raw'!O12</f>
        <v>0</v>
      </c>
      <c r="O27" s="23">
        <f>'Annual Raw'!P12</f>
        <v>0</v>
      </c>
      <c r="P27" s="23">
        <f>'Annual Raw'!Q12</f>
        <v>0</v>
      </c>
      <c r="Q27" s="23">
        <f>'Annual Raw'!R12</f>
        <v>0</v>
      </c>
      <c r="R27" s="23">
        <f>'Annual Raw'!S12</f>
        <v>1173</v>
      </c>
      <c r="S27" s="23">
        <f>'Annual Raw'!T12</f>
        <v>1509</v>
      </c>
      <c r="T27" s="23">
        <f>'Annual Raw'!U12</f>
        <v>1932</v>
      </c>
      <c r="U27" s="23">
        <f>'Annual Raw'!V12</f>
        <v>1721</v>
      </c>
      <c r="V27" s="23">
        <f>'Annual Raw'!W12</f>
        <v>1483</v>
      </c>
      <c r="W27" s="23">
        <f>'Annual Raw'!X12</f>
        <v>1537</v>
      </c>
      <c r="X27" s="23">
        <f>'Annual Raw'!Y12</f>
        <v>1958</v>
      </c>
      <c r="Y27" s="23">
        <f>'Annual Raw'!Z12</f>
        <v>2687</v>
      </c>
      <c r="Z27" s="23">
        <f>'Annual Raw'!AA12</f>
        <v>2347</v>
      </c>
      <c r="AA27" s="23">
        <f>'Annual Raw'!AB12</f>
        <v>2324</v>
      </c>
      <c r="AB27" s="24">
        <f>+SUM(CM27:CP27)</f>
        <v>2453.3315591611695</v>
      </c>
      <c r="AC27" s="24">
        <f>+SUM(CQ27:CT27)</f>
        <v>2413.7508926730361</v>
      </c>
      <c r="AD27" s="24">
        <f>+SUM(CU27:CX27)</f>
        <v>2567.7090881077725</v>
      </c>
      <c r="AE27" s="24">
        <f>+SUM(CY27:DB27)</f>
        <v>2743.4663812203939</v>
      </c>
      <c r="AI27" s="23">
        <f>'QTR Raw'!C11</f>
        <v>0</v>
      </c>
      <c r="AJ27" s="23">
        <f>'QTR Raw'!D11</f>
        <v>0</v>
      </c>
      <c r="AK27" s="23">
        <f>'QTR Raw'!E11</f>
        <v>0</v>
      </c>
      <c r="AL27" s="23">
        <f>'QTR Raw'!F11</f>
        <v>0</v>
      </c>
      <c r="AM27" s="23">
        <f>'QTR Raw'!G11</f>
        <v>0</v>
      </c>
      <c r="AN27" s="23">
        <f>'QTR Raw'!H11</f>
        <v>0</v>
      </c>
      <c r="AO27" s="23">
        <f>'QTR Raw'!I11</f>
        <v>0</v>
      </c>
      <c r="AP27" s="23">
        <f>'QTR Raw'!J11</f>
        <v>0</v>
      </c>
      <c r="AQ27" s="23">
        <f>'QTR Raw'!K11</f>
        <v>0</v>
      </c>
      <c r="AR27" s="23">
        <f>'QTR Raw'!L11</f>
        <v>0</v>
      </c>
      <c r="AS27" s="23">
        <f>'QTR Raw'!M11</f>
        <v>0</v>
      </c>
      <c r="AT27" s="23">
        <f>'QTR Raw'!N11</f>
        <v>0</v>
      </c>
      <c r="AU27" s="23">
        <f>'QTR Raw'!O11</f>
        <v>0</v>
      </c>
      <c r="AV27" s="23">
        <f>'QTR Raw'!P11</f>
        <v>0</v>
      </c>
      <c r="AW27" s="23">
        <f>'QTR Raw'!Q11</f>
        <v>0</v>
      </c>
      <c r="AX27" s="23">
        <f>'QTR Raw'!R11</f>
        <v>0</v>
      </c>
      <c r="AY27" s="23">
        <f>'QTR Raw'!S11</f>
        <v>0</v>
      </c>
      <c r="AZ27" s="23">
        <f>'QTR Raw'!T11</f>
        <v>0</v>
      </c>
      <c r="BA27" s="23">
        <f>'QTR Raw'!U11</f>
        <v>0</v>
      </c>
      <c r="BB27" s="23">
        <f>'QTR Raw'!V11</f>
        <v>0</v>
      </c>
      <c r="BC27" s="23">
        <f>'QTR Raw'!W11</f>
        <v>0</v>
      </c>
      <c r="BD27" s="23">
        <f>'QTR Raw'!X11</f>
        <v>0</v>
      </c>
      <c r="BE27" s="23">
        <f>'QTR Raw'!Y11</f>
        <v>321</v>
      </c>
      <c r="BF27" s="23">
        <f>'QTR Raw'!Z11</f>
        <v>391</v>
      </c>
      <c r="BG27" s="23">
        <f>'QTR Raw'!AA11</f>
        <v>446</v>
      </c>
      <c r="BH27" s="23">
        <f>'QTR Raw'!AB11</f>
        <v>414</v>
      </c>
      <c r="BI27" s="23">
        <f>'QTR Raw'!AC11</f>
        <v>424</v>
      </c>
      <c r="BJ27" s="23">
        <f>'QTR Raw'!AD11</f>
        <v>510</v>
      </c>
      <c r="BK27" s="23">
        <f>'QTR Raw'!AE11</f>
        <v>372</v>
      </c>
      <c r="BL27" s="23">
        <f>'QTR Raw'!AF11</f>
        <v>351</v>
      </c>
      <c r="BM27" s="23">
        <f>'QTR Raw'!AG11</f>
        <v>415</v>
      </c>
      <c r="BN27" s="23">
        <f>'QTR Raw'!AH11</f>
        <v>516</v>
      </c>
      <c r="BO27" s="23">
        <f>'QTR Raw'!AI11</f>
        <v>256</v>
      </c>
      <c r="BP27" s="23">
        <f>'QTR Raw'!AJ11</f>
        <v>323</v>
      </c>
      <c r="BQ27" s="23">
        <f>'QTR Raw'!AK11</f>
        <v>377</v>
      </c>
      <c r="BR27" s="23">
        <f>'QTR Raw'!AL11</f>
        <v>518</v>
      </c>
      <c r="BS27" s="23">
        <f>'QTR Raw'!AM11</f>
        <v>407</v>
      </c>
      <c r="BT27" s="23">
        <f>'QTR Raw'!AN11</f>
        <v>330</v>
      </c>
      <c r="BU27" s="23">
        <f>'QTR Raw'!AO11</f>
        <v>356</v>
      </c>
      <c r="BV27" s="23">
        <f>'QTR Raw'!AP11</f>
        <v>437</v>
      </c>
      <c r="BW27" s="23">
        <f>'QTR Raw'!AQ11</f>
        <v>439</v>
      </c>
      <c r="BX27" s="23">
        <f>'QTR Raw'!AR11</f>
        <v>442</v>
      </c>
      <c r="BY27" s="23">
        <f>'QTR Raw'!AS11</f>
        <v>493</v>
      </c>
      <c r="BZ27" s="23">
        <f>'QTR Raw'!AT11</f>
        <v>532</v>
      </c>
      <c r="CA27" s="23">
        <f>'QTR Raw'!AU11</f>
        <v>538</v>
      </c>
      <c r="CB27" s="23">
        <f>'QTR Raw'!AV11</f>
        <v>455</v>
      </c>
      <c r="CC27" s="23">
        <f>'QTR Raw'!AW11</f>
        <v>500</v>
      </c>
      <c r="CD27" s="23">
        <f>'QTR Raw'!AX11</f>
        <v>627</v>
      </c>
      <c r="CE27" s="23">
        <f>'QTR Raw'!AY11</f>
        <v>579</v>
      </c>
      <c r="CF27" s="23">
        <f>'QTR Raw'!AZ11</f>
        <v>528</v>
      </c>
      <c r="CG27" s="23">
        <f>'QTR Raw'!BA11</f>
        <v>510</v>
      </c>
      <c r="CH27" s="23">
        <f>'QTR Raw'!BB11</f>
        <v>624</v>
      </c>
      <c r="CI27" s="23">
        <f>'QTR Raw'!BC11</f>
        <v>568</v>
      </c>
      <c r="CJ27" s="23">
        <f>'QTR Raw'!BD11</f>
        <v>547</v>
      </c>
      <c r="CK27" s="23">
        <f>'QTR Raw'!BE11</f>
        <v>574</v>
      </c>
      <c r="CL27" s="23">
        <f>'QTR Raw'!BF11</f>
        <v>635</v>
      </c>
      <c r="CM27" s="24">
        <f t="shared" ref="CM27:DB27" si="148">+CM22-CM28</f>
        <v>564.55904321459457</v>
      </c>
      <c r="CN27" s="24">
        <f t="shared" si="148"/>
        <v>568.02731445418476</v>
      </c>
      <c r="CO27" s="24">
        <f t="shared" si="148"/>
        <v>604.22417403176951</v>
      </c>
      <c r="CP27" s="24">
        <f t="shared" si="148"/>
        <v>716.52102746062064</v>
      </c>
      <c r="CQ27" s="24">
        <f t="shared" si="148"/>
        <v>578.50876606345946</v>
      </c>
      <c r="CR27" s="24">
        <f t="shared" si="148"/>
        <v>563.95933959381955</v>
      </c>
      <c r="CS27" s="24">
        <f t="shared" si="148"/>
        <v>584.95255552178423</v>
      </c>
      <c r="CT27" s="24">
        <f t="shared" si="148"/>
        <v>686.33023149397286</v>
      </c>
      <c r="CU27" s="24">
        <f t="shared" si="148"/>
        <v>603.87465250586638</v>
      </c>
      <c r="CV27" s="24">
        <f t="shared" si="148"/>
        <v>591.52759088198354</v>
      </c>
      <c r="CW27" s="24">
        <f t="shared" si="148"/>
        <v>622.66795059580954</v>
      </c>
      <c r="CX27" s="24">
        <f t="shared" si="148"/>
        <v>749.63889412411299</v>
      </c>
      <c r="CY27" s="24">
        <f t="shared" si="148"/>
        <v>641.29283505884496</v>
      </c>
      <c r="CZ27" s="24">
        <f t="shared" si="148"/>
        <v>630.93598440909045</v>
      </c>
      <c r="DA27" s="24">
        <f t="shared" si="148"/>
        <v>666.98330179485038</v>
      </c>
      <c r="DB27" s="24">
        <f t="shared" si="148"/>
        <v>804.25425995760816</v>
      </c>
      <c r="DE27" s="123"/>
      <c r="DF27" s="23">
        <v>2324</v>
      </c>
    </row>
    <row r="28" spans="1:110" s="31" customFormat="1" x14ac:dyDescent="0.2">
      <c r="A28" s="31" t="s">
        <v>5</v>
      </c>
      <c r="B28" s="31">
        <f t="shared" ref="B28:T28" si="149">B22-B25-B27-B26</f>
        <v>0</v>
      </c>
      <c r="C28" s="31">
        <f t="shared" si="149"/>
        <v>0</v>
      </c>
      <c r="D28" s="31">
        <f t="shared" si="149"/>
        <v>0</v>
      </c>
      <c r="E28" s="31">
        <f t="shared" si="149"/>
        <v>0</v>
      </c>
      <c r="F28" s="31">
        <f t="shared" si="149"/>
        <v>0</v>
      </c>
      <c r="G28" s="31">
        <f t="shared" si="149"/>
        <v>0</v>
      </c>
      <c r="H28" s="31">
        <f t="shared" si="149"/>
        <v>0</v>
      </c>
      <c r="I28" s="31">
        <f t="shared" si="149"/>
        <v>0</v>
      </c>
      <c r="J28" s="31">
        <f t="shared" si="149"/>
        <v>0</v>
      </c>
      <c r="K28" s="31">
        <f t="shared" si="149"/>
        <v>0</v>
      </c>
      <c r="L28" s="31">
        <f t="shared" si="149"/>
        <v>0</v>
      </c>
      <c r="M28" s="31">
        <f t="shared" si="149"/>
        <v>0</v>
      </c>
      <c r="N28" s="31">
        <f t="shared" si="149"/>
        <v>0</v>
      </c>
      <c r="O28" s="31">
        <f t="shared" si="149"/>
        <v>0</v>
      </c>
      <c r="P28" s="31">
        <f t="shared" si="149"/>
        <v>0</v>
      </c>
      <c r="Q28" s="31">
        <f t="shared" si="149"/>
        <v>0</v>
      </c>
      <c r="R28" s="31">
        <f t="shared" si="149"/>
        <v>6190</v>
      </c>
      <c r="S28" s="31">
        <f t="shared" si="149"/>
        <v>7070</v>
      </c>
      <c r="T28" s="31">
        <f t="shared" si="149"/>
        <v>7699</v>
      </c>
      <c r="U28" s="31">
        <f t="shared" ref="U28:Z28" si="150">U22-U25-U27-U26</f>
        <v>7928</v>
      </c>
      <c r="V28" s="31">
        <f t="shared" si="150"/>
        <v>8567</v>
      </c>
      <c r="W28" s="31">
        <f t="shared" si="150"/>
        <v>9814</v>
      </c>
      <c r="X28" s="31">
        <f t="shared" si="150"/>
        <v>11571</v>
      </c>
      <c r="Y28" s="31">
        <f t="shared" si="150"/>
        <v>11988</v>
      </c>
      <c r="Z28" s="31">
        <f t="shared" si="150"/>
        <v>11652</v>
      </c>
      <c r="AA28" s="31">
        <f t="shared" ref="AA28" si="151">AA22-AA25-AA27-AA26</f>
        <v>12466</v>
      </c>
      <c r="AB28" s="32">
        <f t="shared" ref="AB28:AD28" si="152">AB22-AB25-AB27-AB26</f>
        <v>13683.43138358151</v>
      </c>
      <c r="AC28" s="32">
        <f t="shared" si="152"/>
        <v>14823.491212655052</v>
      </c>
      <c r="AD28" s="32">
        <f t="shared" si="152"/>
        <v>15871.290623623257</v>
      </c>
      <c r="AE28" s="32">
        <f t="shared" ref="AE28" si="153">AE22-AE25-AE27-AE26</f>
        <v>16985.608561998812</v>
      </c>
      <c r="AI28" s="31">
        <f t="shared" ref="AI28" si="154">AI22-AI25-AI27-AI26</f>
        <v>0</v>
      </c>
      <c r="AJ28" s="31">
        <f t="shared" ref="AJ28" si="155">AJ22-AJ25-AJ27-AJ26</f>
        <v>0</v>
      </c>
      <c r="AK28" s="31">
        <f t="shared" ref="AK28:AM28" si="156">AK22-AK25-AK27-AK26</f>
        <v>0</v>
      </c>
      <c r="AL28" s="31">
        <f t="shared" si="156"/>
        <v>0</v>
      </c>
      <c r="AM28" s="31">
        <f t="shared" si="156"/>
        <v>0</v>
      </c>
      <c r="AN28" s="31">
        <f t="shared" ref="AN28:AO28" si="157">AN22-AN25-AN27-AN26</f>
        <v>0</v>
      </c>
      <c r="AO28" s="31">
        <f t="shared" si="157"/>
        <v>0</v>
      </c>
      <c r="AP28" s="31">
        <f t="shared" ref="AP28:CD28" si="158">AP22-AP25-AP27-AP26</f>
        <v>0</v>
      </c>
      <c r="AQ28" s="31">
        <f t="shared" si="158"/>
        <v>0</v>
      </c>
      <c r="AR28" s="31">
        <f t="shared" si="158"/>
        <v>0</v>
      </c>
      <c r="AS28" s="31">
        <f t="shared" si="158"/>
        <v>0</v>
      </c>
      <c r="AT28" s="31">
        <f t="shared" si="158"/>
        <v>0</v>
      </c>
      <c r="AU28" s="31">
        <f t="shared" si="158"/>
        <v>0</v>
      </c>
      <c r="AV28" s="31">
        <f t="shared" si="158"/>
        <v>0</v>
      </c>
      <c r="AW28" s="31">
        <f t="shared" si="158"/>
        <v>0</v>
      </c>
      <c r="AX28" s="31">
        <f t="shared" si="158"/>
        <v>0</v>
      </c>
      <c r="AY28" s="31">
        <f t="shared" si="158"/>
        <v>0</v>
      </c>
      <c r="AZ28" s="31">
        <f t="shared" si="158"/>
        <v>0</v>
      </c>
      <c r="BA28" s="31">
        <f t="shared" si="158"/>
        <v>0</v>
      </c>
      <c r="BB28" s="31">
        <f t="shared" si="158"/>
        <v>0</v>
      </c>
      <c r="BC28" s="31">
        <f t="shared" si="158"/>
        <v>0</v>
      </c>
      <c r="BD28" s="31">
        <f t="shared" si="158"/>
        <v>0</v>
      </c>
      <c r="BE28" s="31">
        <f t="shared" si="158"/>
        <v>1681</v>
      </c>
      <c r="BF28" s="31">
        <f t="shared" si="158"/>
        <v>2098</v>
      </c>
      <c r="BG28" s="31">
        <f t="shared" si="158"/>
        <v>1909</v>
      </c>
      <c r="BH28" s="31">
        <f t="shared" si="158"/>
        <v>1702</v>
      </c>
      <c r="BI28" s="31">
        <f t="shared" si="158"/>
        <v>1799</v>
      </c>
      <c r="BJ28" s="31">
        <f t="shared" si="158"/>
        <v>2219</v>
      </c>
      <c r="BK28" s="31">
        <f t="shared" si="158"/>
        <v>2114</v>
      </c>
      <c r="BL28" s="31">
        <f t="shared" si="158"/>
        <v>1856</v>
      </c>
      <c r="BM28" s="31">
        <f t="shared" si="158"/>
        <v>1985</v>
      </c>
      <c r="BN28" s="31">
        <f t="shared" si="158"/>
        <v>1947</v>
      </c>
      <c r="BO28" s="31">
        <f t="shared" si="158"/>
        <v>1591</v>
      </c>
      <c r="BP28" s="31">
        <f t="shared" si="158"/>
        <v>1979</v>
      </c>
      <c r="BQ28" s="31">
        <f t="shared" si="158"/>
        <v>2326</v>
      </c>
      <c r="BR28" s="31">
        <f t="shared" si="158"/>
        <v>2663</v>
      </c>
      <c r="BS28" s="31">
        <f t="shared" si="158"/>
        <v>2326</v>
      </c>
      <c r="BT28" s="31">
        <f t="shared" si="158"/>
        <v>2247</v>
      </c>
      <c r="BU28" s="31">
        <f t="shared" si="158"/>
        <v>2293</v>
      </c>
      <c r="BV28" s="31">
        <f t="shared" si="158"/>
        <v>2948</v>
      </c>
      <c r="BW28" s="31">
        <f t="shared" si="158"/>
        <v>2882</v>
      </c>
      <c r="BX28" s="31">
        <f t="shared" si="158"/>
        <v>2530</v>
      </c>
      <c r="BY28" s="31">
        <f t="shared" si="158"/>
        <v>2985</v>
      </c>
      <c r="BZ28" s="31">
        <f t="shared" si="158"/>
        <v>3165</v>
      </c>
      <c r="CA28" s="31">
        <f t="shared" si="158"/>
        <v>3061</v>
      </c>
      <c r="CB28" s="31">
        <f t="shared" si="158"/>
        <v>2620</v>
      </c>
      <c r="CC28" s="31">
        <f t="shared" si="158"/>
        <v>2978</v>
      </c>
      <c r="CD28" s="31">
        <f t="shared" si="158"/>
        <v>3329</v>
      </c>
      <c r="CE28" s="31">
        <f t="shared" ref="CE28:CF28" si="159">CE22-CE25-CE27-CE26</f>
        <v>3016</v>
      </c>
      <c r="CF28" s="31">
        <f t="shared" si="159"/>
        <v>2642</v>
      </c>
      <c r="CG28" s="31">
        <f t="shared" ref="CG28:CH28" si="160">CG22-CG25-CG27-CG26</f>
        <v>2669</v>
      </c>
      <c r="CH28" s="31">
        <f t="shared" si="160"/>
        <v>3325</v>
      </c>
      <c r="CI28" s="31">
        <f t="shared" ref="CI28:CJ28" si="161">CI22-CI25-CI27-CI26</f>
        <v>3169</v>
      </c>
      <c r="CJ28" s="31">
        <f t="shared" si="161"/>
        <v>2912</v>
      </c>
      <c r="CK28" s="31">
        <f t="shared" ref="CK28:CL28" si="162">CK22-CK25-CK27-CK26</f>
        <v>2922</v>
      </c>
      <c r="CL28" s="31">
        <f t="shared" si="162"/>
        <v>3463</v>
      </c>
      <c r="CM28" s="32">
        <f t="shared" ref="CM28:DB28" si="163">+CM29*CM22</f>
        <v>3241.7555823065495</v>
      </c>
      <c r="CN28" s="32">
        <f t="shared" si="163"/>
        <v>3136.280349134367</v>
      </c>
      <c r="CO28" s="32">
        <f t="shared" si="163"/>
        <v>3300.4395839748308</v>
      </c>
      <c r="CP28" s="32">
        <f t="shared" si="163"/>
        <v>4004.9558681657636</v>
      </c>
      <c r="CQ28" s="32">
        <f t="shared" si="163"/>
        <v>3451.1717663572231</v>
      </c>
      <c r="CR28" s="32">
        <f t="shared" si="163"/>
        <v>3397.5391421308582</v>
      </c>
      <c r="CS28" s="32">
        <f t="shared" si="163"/>
        <v>3605.6397424006991</v>
      </c>
      <c r="CT28" s="32">
        <f t="shared" si="163"/>
        <v>4369.1405617662722</v>
      </c>
      <c r="CU28" s="32">
        <f t="shared" si="163"/>
        <v>3699.7631009878155</v>
      </c>
      <c r="CV28" s="32">
        <f t="shared" si="163"/>
        <v>3648.6285207133783</v>
      </c>
      <c r="CW28" s="32">
        <f t="shared" si="163"/>
        <v>3863.6521013056131</v>
      </c>
      <c r="CX28" s="32">
        <f t="shared" si="163"/>
        <v>4659.246900616452</v>
      </c>
      <c r="CY28" s="32">
        <f t="shared" si="163"/>
        <v>3962.3069784243539</v>
      </c>
      <c r="CZ28" s="32">
        <f t="shared" si="163"/>
        <v>3906.5795881311406</v>
      </c>
      <c r="DA28" s="32">
        <f t="shared" si="163"/>
        <v>4133.7217348010581</v>
      </c>
      <c r="DB28" s="32">
        <f t="shared" si="163"/>
        <v>4983.0002606422595</v>
      </c>
      <c r="DE28" s="124"/>
      <c r="DF28" s="31">
        <v>12466</v>
      </c>
    </row>
    <row r="29" spans="1:110" s="41" customFormat="1" x14ac:dyDescent="0.2">
      <c r="A29" s="41" t="s">
        <v>6</v>
      </c>
      <c r="B29" s="41" t="e">
        <f>B28/B22</f>
        <v>#DIV/0!</v>
      </c>
      <c r="C29" s="41" t="e">
        <f t="shared" ref="C29:U29" si="164">C28/C22</f>
        <v>#DIV/0!</v>
      </c>
      <c r="D29" s="41" t="e">
        <f t="shared" si="164"/>
        <v>#DIV/0!</v>
      </c>
      <c r="E29" s="41" t="e">
        <f t="shared" si="164"/>
        <v>#DIV/0!</v>
      </c>
      <c r="F29" s="41" t="e">
        <f t="shared" si="164"/>
        <v>#DIV/0!</v>
      </c>
      <c r="G29" s="41" t="e">
        <f t="shared" si="164"/>
        <v>#DIV/0!</v>
      </c>
      <c r="H29" s="41" t="e">
        <f t="shared" si="164"/>
        <v>#DIV/0!</v>
      </c>
      <c r="I29" s="41" t="e">
        <f t="shared" si="164"/>
        <v>#DIV/0!</v>
      </c>
      <c r="J29" s="41" t="e">
        <f t="shared" si="164"/>
        <v>#DIV/0!</v>
      </c>
      <c r="K29" s="41" t="e">
        <f t="shared" si="164"/>
        <v>#DIV/0!</v>
      </c>
      <c r="L29" s="41" t="e">
        <f t="shared" si="164"/>
        <v>#DIV/0!</v>
      </c>
      <c r="M29" s="41" t="e">
        <f t="shared" si="164"/>
        <v>#DIV/0!</v>
      </c>
      <c r="N29" s="41" t="e">
        <f t="shared" si="164"/>
        <v>#DIV/0!</v>
      </c>
      <c r="O29" s="41" t="e">
        <f t="shared" si="164"/>
        <v>#DIV/0!</v>
      </c>
      <c r="P29" s="41" t="e">
        <f t="shared" si="164"/>
        <v>#DIV/0!</v>
      </c>
      <c r="Q29" s="41" t="e">
        <f t="shared" si="164"/>
        <v>#DIV/0!</v>
      </c>
      <c r="R29" s="41">
        <f t="shared" si="164"/>
        <v>0.83120719752920635</v>
      </c>
      <c r="S29" s="41">
        <f t="shared" si="164"/>
        <v>0.82400932400932403</v>
      </c>
      <c r="T29" s="41">
        <f t="shared" si="164"/>
        <v>0.81178827498945594</v>
      </c>
      <c r="U29" s="41">
        <f t="shared" si="164"/>
        <v>0.81951622906760391</v>
      </c>
      <c r="V29" s="41">
        <f t="shared" ref="V29:AA29" si="165">V28/V22</f>
        <v>0.84737883283877347</v>
      </c>
      <c r="W29" s="41">
        <f t="shared" si="165"/>
        <v>0.86957292220450111</v>
      </c>
      <c r="X29" s="41">
        <f t="shared" si="165"/>
        <v>0.85382231404958675</v>
      </c>
      <c r="Y29" s="41">
        <f t="shared" si="165"/>
        <v>0.81600980191954253</v>
      </c>
      <c r="Z29" s="41">
        <f t="shared" si="165"/>
        <v>0.83347639484978542</v>
      </c>
      <c r="AA29" s="41">
        <f t="shared" si="165"/>
        <v>0.84206971088894889</v>
      </c>
      <c r="AB29" s="42">
        <f t="shared" ref="AB29:AD29" si="166">AB28/AB22</f>
        <v>0.84796631345046025</v>
      </c>
      <c r="AC29" s="42">
        <f t="shared" si="166"/>
        <v>0.8599688466447345</v>
      </c>
      <c r="AD29" s="42">
        <f t="shared" si="166"/>
        <v>0.86074574932206449</v>
      </c>
      <c r="AE29" s="42">
        <f t="shared" ref="AE29" si="167">AE28/AE22</f>
        <v>0.8609429793785992</v>
      </c>
      <c r="AI29" s="41" t="e">
        <f t="shared" ref="AI29" si="168">AI28/AI22</f>
        <v>#DIV/0!</v>
      </c>
      <c r="AJ29" s="41" t="e">
        <f t="shared" ref="AJ29" si="169">AJ28/AJ22</f>
        <v>#DIV/0!</v>
      </c>
      <c r="AK29" s="41" t="e">
        <f t="shared" ref="AK29:AM29" si="170">AK28/AK22</f>
        <v>#DIV/0!</v>
      </c>
      <c r="AL29" s="41" t="e">
        <f t="shared" si="170"/>
        <v>#DIV/0!</v>
      </c>
      <c r="AM29" s="41" t="e">
        <f t="shared" si="170"/>
        <v>#DIV/0!</v>
      </c>
      <c r="AN29" s="41" t="e">
        <f t="shared" ref="AN29:AO29" si="171">AN28/AN22</f>
        <v>#DIV/0!</v>
      </c>
      <c r="AO29" s="41" t="e">
        <f t="shared" si="171"/>
        <v>#DIV/0!</v>
      </c>
      <c r="AP29" s="41" t="e">
        <f t="shared" ref="AP29:CD29" si="172">AP28/AP22</f>
        <v>#DIV/0!</v>
      </c>
      <c r="AQ29" s="41" t="e">
        <f t="shared" si="172"/>
        <v>#DIV/0!</v>
      </c>
      <c r="AR29" s="41" t="e">
        <f t="shared" si="172"/>
        <v>#DIV/0!</v>
      </c>
      <c r="AS29" s="41" t="e">
        <f t="shared" si="172"/>
        <v>#DIV/0!</v>
      </c>
      <c r="AT29" s="41" t="e">
        <f t="shared" si="172"/>
        <v>#DIV/0!</v>
      </c>
      <c r="AU29" s="41" t="e">
        <f t="shared" si="172"/>
        <v>#DIV/0!</v>
      </c>
      <c r="AV29" s="41" t="e">
        <f t="shared" si="172"/>
        <v>#DIV/0!</v>
      </c>
      <c r="AW29" s="41" t="e">
        <f t="shared" si="172"/>
        <v>#DIV/0!</v>
      </c>
      <c r="AX29" s="41" t="e">
        <f t="shared" si="172"/>
        <v>#DIV/0!</v>
      </c>
      <c r="AY29" s="41" t="e">
        <f t="shared" si="172"/>
        <v>#DIV/0!</v>
      </c>
      <c r="AZ29" s="41" t="e">
        <f t="shared" si="172"/>
        <v>#DIV/0!</v>
      </c>
      <c r="BA29" s="41" t="e">
        <f t="shared" si="172"/>
        <v>#DIV/0!</v>
      </c>
      <c r="BB29" s="41" t="e">
        <f t="shared" si="172"/>
        <v>#DIV/0!</v>
      </c>
      <c r="BC29" s="41" t="e">
        <f t="shared" si="172"/>
        <v>#DIV/0!</v>
      </c>
      <c r="BD29" s="41" t="e">
        <f t="shared" si="172"/>
        <v>#DIV/0!</v>
      </c>
      <c r="BE29" s="41">
        <f t="shared" si="172"/>
        <v>0.81246979217013049</v>
      </c>
      <c r="BF29" s="41">
        <f t="shared" si="172"/>
        <v>0.80229445506692165</v>
      </c>
      <c r="BG29" s="41">
        <f t="shared" si="172"/>
        <v>0.81199489578902595</v>
      </c>
      <c r="BH29" s="41">
        <f t="shared" si="172"/>
        <v>0.82741857073407876</v>
      </c>
      <c r="BI29" s="41">
        <f t="shared" si="172"/>
        <v>0.83133086876155271</v>
      </c>
      <c r="BJ29" s="41">
        <f t="shared" si="172"/>
        <v>0.78078817733990147</v>
      </c>
      <c r="BK29" s="41">
        <f t="shared" si="172"/>
        <v>0.8332676389436342</v>
      </c>
      <c r="BL29" s="41">
        <f t="shared" si="172"/>
        <v>0.8315412186379928</v>
      </c>
      <c r="BM29" s="41">
        <f t="shared" si="172"/>
        <v>0.82160596026490063</v>
      </c>
      <c r="BN29" s="41">
        <f t="shared" si="172"/>
        <v>0.79049939098660171</v>
      </c>
      <c r="BO29" s="41">
        <f t="shared" si="172"/>
        <v>0.83692793266701737</v>
      </c>
      <c r="BP29" s="41">
        <f t="shared" si="172"/>
        <v>0.85559878945092949</v>
      </c>
      <c r="BQ29" s="41">
        <f t="shared" si="172"/>
        <v>0.84983558640847645</v>
      </c>
      <c r="BR29" s="41">
        <f t="shared" si="172"/>
        <v>0.84512853062519833</v>
      </c>
      <c r="BS29" s="41">
        <f t="shared" si="172"/>
        <v>0.89772288691624857</v>
      </c>
      <c r="BT29" s="41">
        <f t="shared" si="172"/>
        <v>0.87059279349089502</v>
      </c>
      <c r="BU29" s="41">
        <f t="shared" si="172"/>
        <v>0.83869787856620337</v>
      </c>
      <c r="BV29" s="41">
        <f t="shared" si="172"/>
        <v>0.87218934911242607</v>
      </c>
      <c r="BW29" s="41">
        <f t="shared" si="172"/>
        <v>0.87280436099333736</v>
      </c>
      <c r="BX29" s="41">
        <f t="shared" si="172"/>
        <v>0.85156512958599795</v>
      </c>
      <c r="BY29" s="41">
        <f t="shared" si="172"/>
        <v>0.88971684053651268</v>
      </c>
      <c r="BZ29" s="41">
        <f t="shared" si="172"/>
        <v>0.80842911877394641</v>
      </c>
      <c r="CA29" s="41">
        <f t="shared" si="172"/>
        <v>0.84394816652881166</v>
      </c>
      <c r="CB29" s="41">
        <f t="shared" si="172"/>
        <v>0.83095464636853789</v>
      </c>
      <c r="CC29" s="41">
        <f t="shared" si="172"/>
        <v>0.82630410654827968</v>
      </c>
      <c r="CD29" s="41">
        <f t="shared" si="172"/>
        <v>0.77292779196656602</v>
      </c>
      <c r="CE29" s="41">
        <f t="shared" ref="CE29:CF29" si="173">CE28/CE22</f>
        <v>0.83291908312620822</v>
      </c>
      <c r="CF29" s="41">
        <f t="shared" si="173"/>
        <v>0.85584710074505987</v>
      </c>
      <c r="CG29" s="41">
        <f t="shared" ref="CG29:CH29" si="174">CG28/CG22</f>
        <v>0.83904432568374721</v>
      </c>
      <c r="CH29" s="41">
        <f t="shared" si="174"/>
        <v>0.81275971645074552</v>
      </c>
      <c r="CI29" s="41">
        <f t="shared" ref="CI29:CJ29" si="175">CI28/CI22</f>
        <v>0.87156215621562161</v>
      </c>
      <c r="CJ29" s="41">
        <f t="shared" si="175"/>
        <v>0.85220954053263098</v>
      </c>
      <c r="CK29" s="41">
        <f t="shared" ref="CK29:CL29" si="176">CK28/CK22</f>
        <v>0.83342840844266974</v>
      </c>
      <c r="CL29" s="41">
        <f t="shared" si="176"/>
        <v>0.81578327444051824</v>
      </c>
      <c r="CM29" s="42">
        <f t="shared" ref="CM29:CT29" si="177">AVERAGE(CI29:CL29)*1.01</f>
        <v>0.85167830335693873</v>
      </c>
      <c r="CN29" s="42">
        <f t="shared" si="177"/>
        <v>0.84665763051012133</v>
      </c>
      <c r="CO29" s="42">
        <f t="shared" si="177"/>
        <v>0.84525577322943768</v>
      </c>
      <c r="CP29" s="42">
        <f t="shared" si="177"/>
        <v>0.84824218283809649</v>
      </c>
      <c r="CQ29" s="42">
        <f t="shared" si="177"/>
        <v>0.85643805720848509</v>
      </c>
      <c r="CR29" s="42">
        <f t="shared" si="177"/>
        <v>0.85763989505600058</v>
      </c>
      <c r="CS29" s="42">
        <f t="shared" si="177"/>
        <v>0.86041291685383503</v>
      </c>
      <c r="CT29" s="42">
        <f t="shared" si="177"/>
        <v>0.86424009561899529</v>
      </c>
      <c r="CU29" s="42">
        <f t="shared" ref="CU29:DB29" si="178">AVERAGE(CQ29:CT29)</f>
        <v>0.85968274118432886</v>
      </c>
      <c r="CV29" s="42">
        <f t="shared" si="178"/>
        <v>0.86049391217828985</v>
      </c>
      <c r="CW29" s="42">
        <f t="shared" si="178"/>
        <v>0.86120741645886223</v>
      </c>
      <c r="CX29" s="42">
        <f t="shared" si="178"/>
        <v>0.86140604136011911</v>
      </c>
      <c r="CY29" s="42">
        <f t="shared" si="178"/>
        <v>0.86069752779539999</v>
      </c>
      <c r="CZ29" s="42">
        <f t="shared" si="178"/>
        <v>0.86095122444816774</v>
      </c>
      <c r="DA29" s="42">
        <f t="shared" si="178"/>
        <v>0.86106555251563721</v>
      </c>
      <c r="DB29" s="42">
        <f t="shared" si="178"/>
        <v>0.86103008652983104</v>
      </c>
      <c r="DE29" s="125"/>
      <c r="DF29" s="41">
        <v>0.84206971088894889</v>
      </c>
    </row>
    <row r="30" spans="1:110" s="39" customFormat="1" x14ac:dyDescent="0.2">
      <c r="A30" s="39" t="s">
        <v>447</v>
      </c>
      <c r="C30" s="39" t="e">
        <f t="shared" ref="C30:AE30" si="179">+IF(B28&lt;0,1-C28/B28,C28/B28-1)</f>
        <v>#DIV/0!</v>
      </c>
      <c r="D30" s="39" t="e">
        <f t="shared" si="179"/>
        <v>#DIV/0!</v>
      </c>
      <c r="E30" s="39" t="e">
        <f t="shared" si="179"/>
        <v>#DIV/0!</v>
      </c>
      <c r="F30" s="39" t="e">
        <f t="shared" si="179"/>
        <v>#DIV/0!</v>
      </c>
      <c r="G30" s="39" t="e">
        <f t="shared" si="179"/>
        <v>#DIV/0!</v>
      </c>
      <c r="H30" s="39" t="e">
        <f t="shared" si="179"/>
        <v>#DIV/0!</v>
      </c>
      <c r="I30" s="39" t="e">
        <f t="shared" si="179"/>
        <v>#DIV/0!</v>
      </c>
      <c r="J30" s="39" t="e">
        <f t="shared" si="179"/>
        <v>#DIV/0!</v>
      </c>
      <c r="K30" s="39" t="e">
        <f t="shared" si="179"/>
        <v>#DIV/0!</v>
      </c>
      <c r="L30" s="39" t="e">
        <f t="shared" si="179"/>
        <v>#DIV/0!</v>
      </c>
      <c r="M30" s="39" t="e">
        <f t="shared" si="179"/>
        <v>#DIV/0!</v>
      </c>
      <c r="N30" s="39" t="e">
        <f t="shared" si="179"/>
        <v>#DIV/0!</v>
      </c>
      <c r="O30" s="39" t="e">
        <f t="shared" si="179"/>
        <v>#DIV/0!</v>
      </c>
      <c r="P30" s="39" t="e">
        <f t="shared" si="179"/>
        <v>#DIV/0!</v>
      </c>
      <c r="Q30" s="39" t="e">
        <f t="shared" si="179"/>
        <v>#DIV/0!</v>
      </c>
      <c r="R30" s="39" t="e">
        <f t="shared" si="179"/>
        <v>#DIV/0!</v>
      </c>
      <c r="S30" s="39">
        <f t="shared" si="179"/>
        <v>0.14216478190630055</v>
      </c>
      <c r="T30" s="39">
        <f t="shared" si="179"/>
        <v>8.896746817538892E-2</v>
      </c>
      <c r="U30" s="39">
        <f t="shared" si="179"/>
        <v>2.9744122613326374E-2</v>
      </c>
      <c r="V30" s="39">
        <f t="shared" si="179"/>
        <v>8.0600403632694162E-2</v>
      </c>
      <c r="W30" s="39">
        <f t="shared" si="179"/>
        <v>0.1455585385782654</v>
      </c>
      <c r="X30" s="39">
        <f t="shared" si="179"/>
        <v>0.17902995720399439</v>
      </c>
      <c r="Y30" s="39">
        <f t="shared" si="179"/>
        <v>3.6038371791547785E-2</v>
      </c>
      <c r="Z30" s="39">
        <f t="shared" si="179"/>
        <v>-2.8028028028028062E-2</v>
      </c>
      <c r="AA30" s="39">
        <f t="shared" si="179"/>
        <v>6.9859251630621344E-2</v>
      </c>
      <c r="AB30" s="40">
        <f t="shared" si="179"/>
        <v>9.766014628441444E-2</v>
      </c>
      <c r="AC30" s="40">
        <f t="shared" si="179"/>
        <v>8.3316808270875509E-2</v>
      </c>
      <c r="AD30" s="40">
        <f t="shared" si="179"/>
        <v>7.0685063048688823E-2</v>
      </c>
      <c r="AE30" s="40">
        <f t="shared" si="179"/>
        <v>7.0209661255712374E-2</v>
      </c>
      <c r="AM30" s="39" t="e">
        <f>+IF(AI28&lt;0,1-AM28/AI28,AM28/AI28-1)</f>
        <v>#DIV/0!</v>
      </c>
      <c r="AN30" s="39" t="e">
        <f t="shared" ref="AN30" si="180">+IF(AJ28&lt;0,1-AN28/AJ28,AN28/AJ28-1)</f>
        <v>#DIV/0!</v>
      </c>
      <c r="AO30" s="39" t="e">
        <f t="shared" ref="AO30" si="181">+IF(AK28&lt;0,1-AO28/AK28,AO28/AK28-1)</f>
        <v>#DIV/0!</v>
      </c>
      <c r="AP30" s="39" t="e">
        <f t="shared" ref="AP30" si="182">+IF(AL28&lt;0,1-AP28/AL28,AP28/AL28-1)</f>
        <v>#DIV/0!</v>
      </c>
      <c r="AQ30" s="39" t="e">
        <f t="shared" ref="AQ30" si="183">+IF(AM28&lt;0,1-AQ28/AM28,AQ28/AM28-1)</f>
        <v>#DIV/0!</v>
      </c>
      <c r="AR30" s="39" t="e">
        <f t="shared" ref="AR30" si="184">+IF(AN28&lt;0,1-AR28/AN28,AR28/AN28-1)</f>
        <v>#DIV/0!</v>
      </c>
      <c r="AS30" s="39" t="e">
        <f t="shared" ref="AS30" si="185">+IF(AO28&lt;0,1-AS28/AO28,AS28/AO28-1)</f>
        <v>#DIV/0!</v>
      </c>
      <c r="AT30" s="39" t="e">
        <f t="shared" ref="AT30" si="186">+IF(AP28&lt;0,1-AT28/AP28,AT28/AP28-1)</f>
        <v>#DIV/0!</v>
      </c>
      <c r="AU30" s="39" t="e">
        <f t="shared" ref="AU30" si="187">+IF(AQ28&lt;0,1-AU28/AQ28,AU28/AQ28-1)</f>
        <v>#DIV/0!</v>
      </c>
      <c r="AV30" s="39" t="e">
        <f t="shared" ref="AV30" si="188">+IF(AR28&lt;0,1-AV28/AR28,AV28/AR28-1)</f>
        <v>#DIV/0!</v>
      </c>
      <c r="AW30" s="39" t="e">
        <f t="shared" ref="AW30" si="189">+IF(AS28&lt;0,1-AW28/AS28,AW28/AS28-1)</f>
        <v>#DIV/0!</v>
      </c>
      <c r="AX30" s="39" t="e">
        <f t="shared" ref="AX30" si="190">+IF(AT28&lt;0,1-AX28/AT28,AX28/AT28-1)</f>
        <v>#DIV/0!</v>
      </c>
      <c r="AY30" s="39" t="e">
        <f t="shared" ref="AY30" si="191">+IF(AU28&lt;0,1-AY28/AU28,AY28/AU28-1)</f>
        <v>#DIV/0!</v>
      </c>
      <c r="AZ30" s="39" t="e">
        <f t="shared" ref="AZ30" si="192">+IF(AV28&lt;0,1-AZ28/AV28,AZ28/AV28-1)</f>
        <v>#DIV/0!</v>
      </c>
      <c r="BA30" s="39" t="e">
        <f t="shared" ref="BA30" si="193">+IF(AW28&lt;0,1-BA28/AW28,BA28/AW28-1)</f>
        <v>#DIV/0!</v>
      </c>
      <c r="BB30" s="39" t="e">
        <f t="shared" ref="BB30" si="194">+IF(AX28&lt;0,1-BB28/AX28,BB28/AX28-1)</f>
        <v>#DIV/0!</v>
      </c>
      <c r="BC30" s="39" t="e">
        <f t="shared" ref="BC30" si="195">+IF(AY28&lt;0,1-BC28/AY28,BC28/AY28-1)</f>
        <v>#DIV/0!</v>
      </c>
      <c r="BD30" s="39" t="e">
        <f t="shared" ref="BD30" si="196">+IF(AZ28&lt;0,1-BD28/AZ28,BD28/AZ28-1)</f>
        <v>#DIV/0!</v>
      </c>
      <c r="BE30" s="39" t="e">
        <f t="shared" ref="BE30" si="197">+IF(BA28&lt;0,1-BE28/BA28,BE28/BA28-1)</f>
        <v>#DIV/0!</v>
      </c>
      <c r="BF30" s="39" t="e">
        <f t="shared" ref="BF30" si="198">+IF(BB28&lt;0,1-BF28/BB28,BF28/BB28-1)</f>
        <v>#DIV/0!</v>
      </c>
      <c r="BG30" s="39" t="e">
        <f t="shared" ref="BG30" si="199">+IF(BC28&lt;0,1-BG28/BC28,BG28/BC28-1)</f>
        <v>#DIV/0!</v>
      </c>
      <c r="BH30" s="39" t="e">
        <f t="shared" ref="BH30" si="200">+IF(BD28&lt;0,1-BH28/BD28,BH28/BD28-1)</f>
        <v>#DIV/0!</v>
      </c>
      <c r="BI30" s="39">
        <f t="shared" ref="BI30" si="201">+IF(BE28&lt;0,1-BI28/BE28,BI28/BE28-1)</f>
        <v>7.019631171921481E-2</v>
      </c>
      <c r="BJ30" s="39">
        <f t="shared" ref="BJ30" si="202">+IF(BF28&lt;0,1-BJ28/BF28,BJ28/BF28-1)</f>
        <v>5.7673975214489914E-2</v>
      </c>
      <c r="BK30" s="39">
        <f t="shared" ref="BK30" si="203">+IF(BG28&lt;0,1-BK28/BG28,BK28/BG28-1)</f>
        <v>0.10738606600314293</v>
      </c>
      <c r="BL30" s="39">
        <f t="shared" ref="BL30" si="204">+IF(BH28&lt;0,1-BL28/BH28,BL28/BH28-1)</f>
        <v>9.0481786133959963E-2</v>
      </c>
      <c r="BM30" s="39">
        <f t="shared" ref="BM30" si="205">+IF(BI28&lt;0,1-BM28/BI28,BM28/BI28-1)</f>
        <v>0.10339077265147312</v>
      </c>
      <c r="BN30" s="39">
        <f t="shared" ref="BN30" si="206">+IF(BJ28&lt;0,1-BN28/BJ28,BN28/BJ28-1)</f>
        <v>-0.1225777377196936</v>
      </c>
      <c r="BO30" s="39">
        <f t="shared" ref="BO30" si="207">+IF(BK28&lt;0,1-BO28/BK28,BO28/BK28-1)</f>
        <v>-0.2473982970671712</v>
      </c>
      <c r="BP30" s="39">
        <f t="shared" ref="BP30" si="208">+IF(BL28&lt;0,1-BP28/BL28,BP28/BL28-1)</f>
        <v>6.62715517241379E-2</v>
      </c>
      <c r="BQ30" s="39">
        <f t="shared" ref="BQ30" si="209">+IF(BM28&lt;0,1-BQ28/BM28,BQ28/BM28-1)</f>
        <v>0.17178841309823678</v>
      </c>
      <c r="BR30" s="39">
        <f t="shared" ref="BR30" si="210">+IF(BN28&lt;0,1-BR28/BN28,BR28/BN28-1)</f>
        <v>0.36774524910118123</v>
      </c>
      <c r="BS30" s="39">
        <f t="shared" ref="BS30" si="211">+IF(BO28&lt;0,1-BS28/BO28,BS28/BO28-1)</f>
        <v>0.46197360150848521</v>
      </c>
      <c r="BT30" s="39">
        <f t="shared" ref="BT30" si="212">+IF(BP28&lt;0,1-BT28/BP28,BT28/BP28-1)</f>
        <v>0.13542193026781213</v>
      </c>
      <c r="BU30" s="39">
        <f t="shared" ref="BU30" si="213">+IF(BQ28&lt;0,1-BU28/BQ28,BU28/BQ28-1)</f>
        <v>-1.4187446259673275E-2</v>
      </c>
      <c r="BV30" s="39">
        <f t="shared" ref="BV30" si="214">+IF(BR28&lt;0,1-BV28/BR28,BV28/BR28-1)</f>
        <v>0.1070221554637627</v>
      </c>
      <c r="BW30" s="39">
        <f t="shared" ref="BW30" si="215">+IF(BS28&lt;0,1-BW28/BS28,BW28/BS28-1)</f>
        <v>0.2390369733447979</v>
      </c>
      <c r="BX30" s="39">
        <f t="shared" ref="BX30" si="216">+IF(BT28&lt;0,1-BX28/BT28,BX28/BT28-1)</f>
        <v>0.12594570538495775</v>
      </c>
      <c r="BY30" s="39">
        <f t="shared" ref="BY30" si="217">+IF(BU28&lt;0,1-BY28/BU28,BY28/BU28-1)</f>
        <v>0.30178805058874847</v>
      </c>
      <c r="BZ30" s="39">
        <f t="shared" ref="BZ30" si="218">+IF(BV28&lt;0,1-BZ28/BV28,BZ28/BV28-1)</f>
        <v>7.3609226594301136E-2</v>
      </c>
      <c r="CA30" s="39">
        <f t="shared" ref="CA30" si="219">+IF(BW28&lt;0,1-CA28/BW28,CA28/BW28-1)</f>
        <v>6.2109646079111736E-2</v>
      </c>
      <c r="CB30" s="39">
        <f t="shared" ref="CB30" si="220">+IF(BX28&lt;0,1-CB28/BX28,CB28/BX28-1)</f>
        <v>3.5573122529644285E-2</v>
      </c>
      <c r="CC30" s="39">
        <f t="shared" ref="CC30" si="221">+IF(BY28&lt;0,1-CC28/BY28,CC28/BY28-1)</f>
        <v>-2.3450586264656126E-3</v>
      </c>
      <c r="CD30" s="39">
        <f t="shared" ref="CD30" si="222">+IF(BZ28&lt;0,1-CD28/BZ28,CD28/BZ28-1)</f>
        <v>5.1816745655608232E-2</v>
      </c>
      <c r="CE30" s="39">
        <f t="shared" ref="CE30" si="223">+IF(CA28&lt;0,1-CE28/CA28,CE28/CA28-1)</f>
        <v>-1.4701078079059182E-2</v>
      </c>
      <c r="CF30" s="39">
        <f t="shared" ref="CF30" si="224">+IF(CB28&lt;0,1-CF28/CB28,CF28/CB28-1)</f>
        <v>8.3969465648854325E-3</v>
      </c>
      <c r="CG30" s="39">
        <f t="shared" ref="CG30" si="225">+IF(CC28&lt;0,1-CG28/CC28,CG28/CC28-1)</f>
        <v>-0.1037609133646743</v>
      </c>
      <c r="CH30" s="39">
        <f t="shared" ref="CH30:CL30" si="226">+IF(CD28&lt;0,1-CH28/CD28,CH28/CD28-1)</f>
        <v>-1.2015620306398134E-3</v>
      </c>
      <c r="CI30" s="39">
        <f t="shared" si="226"/>
        <v>5.0729442970822269E-2</v>
      </c>
      <c r="CJ30" s="39">
        <f t="shared" si="226"/>
        <v>0.1021953065859198</v>
      </c>
      <c r="CK30" s="39">
        <f t="shared" si="226"/>
        <v>9.4792056950168568E-2</v>
      </c>
      <c r="CL30" s="39">
        <f t="shared" si="226"/>
        <v>4.1503759398496154E-2</v>
      </c>
      <c r="CM30" s="40">
        <f t="shared" ref="CM30" si="227">+CM28/CI28-1</f>
        <v>2.2958530232423335E-2</v>
      </c>
      <c r="CN30" s="40">
        <f t="shared" ref="CN30" si="228">+CN28/CJ28-1</f>
        <v>7.7019350664274455E-2</v>
      </c>
      <c r="CO30" s="40">
        <f t="shared" ref="CO30" si="229">+CO28/CK28-1</f>
        <v>0.12951388910842954</v>
      </c>
      <c r="CP30" s="40">
        <f t="shared" ref="CP30" si="230">+CP28/CL28-1</f>
        <v>0.15649895124625002</v>
      </c>
      <c r="CQ30" s="40">
        <f t="shared" ref="CQ30" si="231">+CQ28/CM28-1</f>
        <v>6.4599621635160753E-2</v>
      </c>
      <c r="CR30" s="40">
        <f t="shared" ref="CR30" si="232">+CR28/CN28-1</f>
        <v>8.3302117130122033E-2</v>
      </c>
      <c r="CS30" s="40">
        <f t="shared" ref="CS30" si="233">+CS28/CO28-1</f>
        <v>9.247257847341217E-2</v>
      </c>
      <c r="CT30" s="40">
        <f t="shared" ref="CT30" si="234">+CT28/CP28-1</f>
        <v>9.0933509778549082E-2</v>
      </c>
      <c r="CU30" s="40">
        <f t="shared" ref="CU30" si="235">+CU28/CQ28-1</f>
        <v>7.2030994531745662E-2</v>
      </c>
      <c r="CV30" s="40">
        <f t="shared" ref="CV30" si="236">+CV28/CR28-1</f>
        <v>7.3903307093334147E-2</v>
      </c>
      <c r="CW30" s="40">
        <f t="shared" ref="CW30" si="237">+CW28/CS28-1</f>
        <v>7.1557997287084785E-2</v>
      </c>
      <c r="CX30" s="40">
        <f t="shared" ref="CX30" si="238">+CX28/CT28-1</f>
        <v>6.6398948431382276E-2</v>
      </c>
      <c r="CY30" s="40">
        <f t="shared" ref="CY30" si="239">+CY28/CU28-1</f>
        <v>7.0962348201818903E-2</v>
      </c>
      <c r="CZ30" s="40">
        <f t="shared" ref="CZ30" si="240">+CZ28/CV28-1</f>
        <v>7.0698089968152633E-2</v>
      </c>
      <c r="DA30" s="40">
        <f t="shared" ref="DA30" si="241">+DA28/CW28-1</f>
        <v>6.9900091005653087E-2</v>
      </c>
      <c r="DB30" s="40">
        <f t="shared" ref="DB30" si="242">+DB28/CX28-1</f>
        <v>6.9486199579372521E-2</v>
      </c>
      <c r="DE30" s="122"/>
      <c r="DF30" s="39">
        <v>6.9859251630621344E-2</v>
      </c>
    </row>
    <row r="31" spans="1:110" s="39" customFormat="1" x14ac:dyDescent="0.2">
      <c r="A31" s="39" t="s">
        <v>448</v>
      </c>
      <c r="AB31" s="40"/>
      <c r="AC31" s="40"/>
      <c r="AD31" s="40"/>
      <c r="AE31" s="40"/>
      <c r="AJ31" s="39" t="e">
        <f>+IF(AI28&lt;0,1-AJ28/AI28,AJ28/AI28-1)</f>
        <v>#DIV/0!</v>
      </c>
      <c r="AK31" s="39" t="e">
        <f t="shared" ref="AK31" si="243">+IF(AJ28&lt;0,1-AK28/AJ28,AK28/AJ28-1)</f>
        <v>#DIV/0!</v>
      </c>
      <c r="AL31" s="39" t="e">
        <f t="shared" ref="AL31" si="244">+IF(AK28&lt;0,1-AL28/AK28,AL28/AK28-1)</f>
        <v>#DIV/0!</v>
      </c>
      <c r="AM31" s="39" t="e">
        <f t="shared" ref="AM31" si="245">+IF(AL28&lt;0,1-AM28/AL28,AM28/AL28-1)</f>
        <v>#DIV/0!</v>
      </c>
      <c r="AN31" s="39" t="e">
        <f t="shared" ref="AN31" si="246">+IF(AM28&lt;0,1-AN28/AM28,AN28/AM28-1)</f>
        <v>#DIV/0!</v>
      </c>
      <c r="AO31" s="39" t="e">
        <f t="shared" ref="AO31" si="247">+IF(AN28&lt;0,1-AO28/AN28,AO28/AN28-1)</f>
        <v>#DIV/0!</v>
      </c>
      <c r="AP31" s="39" t="e">
        <f t="shared" ref="AP31" si="248">+IF(AO28&lt;0,1-AP28/AO28,AP28/AO28-1)</f>
        <v>#DIV/0!</v>
      </c>
      <c r="AQ31" s="39" t="e">
        <f t="shared" ref="AQ31" si="249">+IF(AP28&lt;0,1-AQ28/AP28,AQ28/AP28-1)</f>
        <v>#DIV/0!</v>
      </c>
      <c r="AR31" s="39" t="e">
        <f t="shared" ref="AR31" si="250">+IF(AQ28&lt;0,1-AR28/AQ28,AR28/AQ28-1)</f>
        <v>#DIV/0!</v>
      </c>
      <c r="AS31" s="39" t="e">
        <f t="shared" ref="AS31" si="251">+IF(AR28&lt;0,1-AS28/AR28,AS28/AR28-1)</f>
        <v>#DIV/0!</v>
      </c>
      <c r="AT31" s="39" t="e">
        <f t="shared" ref="AT31" si="252">+IF(AS28&lt;0,1-AT28/AS28,AT28/AS28-1)</f>
        <v>#DIV/0!</v>
      </c>
      <c r="AU31" s="39" t="e">
        <f t="shared" ref="AU31" si="253">+IF(AT28&lt;0,1-AU28/AT28,AU28/AT28-1)</f>
        <v>#DIV/0!</v>
      </c>
      <c r="AV31" s="39" t="e">
        <f t="shared" ref="AV31" si="254">+IF(AU28&lt;0,1-AV28/AU28,AV28/AU28-1)</f>
        <v>#DIV/0!</v>
      </c>
      <c r="AW31" s="39" t="e">
        <f t="shared" ref="AW31" si="255">+IF(AV28&lt;0,1-AW28/AV28,AW28/AV28-1)</f>
        <v>#DIV/0!</v>
      </c>
      <c r="AX31" s="39" t="e">
        <f t="shared" ref="AX31" si="256">+IF(AW28&lt;0,1-AX28/AW28,AX28/AW28-1)</f>
        <v>#DIV/0!</v>
      </c>
      <c r="AY31" s="39" t="e">
        <f t="shared" ref="AY31" si="257">+IF(AX28&lt;0,1-AY28/AX28,AY28/AX28-1)</f>
        <v>#DIV/0!</v>
      </c>
      <c r="AZ31" s="39" t="e">
        <f t="shared" ref="AZ31" si="258">+IF(AY28&lt;0,1-AZ28/AY28,AZ28/AY28-1)</f>
        <v>#DIV/0!</v>
      </c>
      <c r="BA31" s="39" t="e">
        <f t="shared" ref="BA31" si="259">+IF(AZ28&lt;0,1-BA28/AZ28,BA28/AZ28-1)</f>
        <v>#DIV/0!</v>
      </c>
      <c r="BB31" s="39" t="e">
        <f t="shared" ref="BB31" si="260">+IF(BA28&lt;0,1-BB28/BA28,BB28/BA28-1)</f>
        <v>#DIV/0!</v>
      </c>
      <c r="BC31" s="39" t="e">
        <f t="shared" ref="BC31" si="261">+IF(BB28&lt;0,1-BC28/BB28,BC28/BB28-1)</f>
        <v>#DIV/0!</v>
      </c>
      <c r="BD31" s="39" t="e">
        <f t="shared" ref="BD31" si="262">+IF(BC28&lt;0,1-BD28/BC28,BD28/BC28-1)</f>
        <v>#DIV/0!</v>
      </c>
      <c r="BE31" s="39" t="e">
        <f t="shared" ref="BE31" si="263">+IF(BD28&lt;0,1-BE28/BD28,BE28/BD28-1)</f>
        <v>#DIV/0!</v>
      </c>
      <c r="BF31" s="39">
        <f t="shared" ref="BF31" si="264">+IF(BE28&lt;0,1-BF28/BE28,BF28/BE28-1)</f>
        <v>0.24806662700773341</v>
      </c>
      <c r="BG31" s="39">
        <f t="shared" ref="BG31" si="265">+IF(BF28&lt;0,1-BG28/BF28,BG28/BF28-1)</f>
        <v>-9.0085795996186824E-2</v>
      </c>
      <c r="BH31" s="39">
        <f t="shared" ref="BH31" si="266">+IF(BG28&lt;0,1-BH28/BG28,BH28/BG28-1)</f>
        <v>-0.10843373493975905</v>
      </c>
      <c r="BI31" s="39">
        <f t="shared" ref="BI31" si="267">+IF(BH28&lt;0,1-BI28/BH28,BI28/BH28-1)</f>
        <v>5.6991774383078786E-2</v>
      </c>
      <c r="BJ31" s="39">
        <f t="shared" ref="BJ31" si="268">+IF(BI28&lt;0,1-BJ28/BI28,BJ28/BI28-1)</f>
        <v>0.23346303501945531</v>
      </c>
      <c r="BK31" s="39">
        <f t="shared" ref="BK31" si="269">+IF(BJ28&lt;0,1-BK28/BJ28,BK28/BJ28-1)</f>
        <v>-4.7318611987381742E-2</v>
      </c>
      <c r="BL31" s="39">
        <f t="shared" ref="BL31" si="270">+IF(BK28&lt;0,1-BL28/BK28,BL28/BK28-1)</f>
        <v>-0.12204351939451275</v>
      </c>
      <c r="BM31" s="39">
        <f t="shared" ref="BM31" si="271">+IF(BL28&lt;0,1-BM28/BL28,BM28/BL28-1)</f>
        <v>6.9504310344827624E-2</v>
      </c>
      <c r="BN31" s="39">
        <f t="shared" ref="BN31" si="272">+IF(BM28&lt;0,1-BN28/BM28,BN28/BM28-1)</f>
        <v>-1.9143576826196496E-2</v>
      </c>
      <c r="BO31" s="39">
        <f t="shared" ref="BO31" si="273">+IF(BN28&lt;0,1-BO28/BN28,BO28/BN28-1)</f>
        <v>-0.18284540318438625</v>
      </c>
      <c r="BP31" s="39">
        <f t="shared" ref="BP31" si="274">+IF(BO28&lt;0,1-BP28/BO28,BP28/BO28-1)</f>
        <v>0.24387177875549959</v>
      </c>
      <c r="BQ31" s="39">
        <f t="shared" ref="BQ31" si="275">+IF(BP28&lt;0,1-BQ28/BP28,BQ28/BP28-1)</f>
        <v>0.17534108135421933</v>
      </c>
      <c r="BR31" s="39">
        <f t="shared" ref="BR31" si="276">+IF(BQ28&lt;0,1-BR28/BQ28,BR28/BQ28-1)</f>
        <v>0.14488392089423896</v>
      </c>
      <c r="BS31" s="39">
        <f t="shared" ref="BS31" si="277">+IF(BR28&lt;0,1-BS28/BR28,BS28/BR28-1)</f>
        <v>-0.12654900488171239</v>
      </c>
      <c r="BT31" s="39">
        <f t="shared" ref="BT31" si="278">+IF(BS28&lt;0,1-BT28/BS28,BT28/BS28-1)</f>
        <v>-3.3963886500429918E-2</v>
      </c>
      <c r="BU31" s="39">
        <f t="shared" ref="BU31" si="279">+IF(BT28&lt;0,1-BU28/BT28,BU28/BT28-1)</f>
        <v>2.047174009790842E-2</v>
      </c>
      <c r="BV31" s="39">
        <f t="shared" ref="BV31" si="280">+IF(BU28&lt;0,1-BV28/BU28,BV28/BU28-1)</f>
        <v>0.28565198430004357</v>
      </c>
      <c r="BW31" s="39">
        <f t="shared" ref="BW31" si="281">+IF(BV28&lt;0,1-BW28/BV28,BW28/BV28-1)</f>
        <v>-2.2388059701492491E-2</v>
      </c>
      <c r="BX31" s="39">
        <f t="shared" ref="BX31" si="282">+IF(BW28&lt;0,1-BX28/BW28,BX28/BW28-1)</f>
        <v>-0.12213740458015265</v>
      </c>
      <c r="BY31" s="39">
        <f t="shared" ref="BY31" si="283">+IF(BX28&lt;0,1-BY28/BX28,BY28/BX28-1)</f>
        <v>0.17984189723320165</v>
      </c>
      <c r="BZ31" s="39">
        <f t="shared" ref="BZ31" si="284">+IF(BY28&lt;0,1-BZ28/BY28,BZ28/BY28-1)</f>
        <v>6.0301507537688481E-2</v>
      </c>
      <c r="CA31" s="39">
        <f t="shared" ref="CA31" si="285">+IF(BZ28&lt;0,1-CA28/BZ28,CA28/BZ28-1)</f>
        <v>-3.2859399684044277E-2</v>
      </c>
      <c r="CB31" s="39">
        <f t="shared" ref="CB31" si="286">+IF(CA28&lt;0,1-CB28/CA28,CB28/CA28-1)</f>
        <v>-0.14407056517477945</v>
      </c>
      <c r="CC31" s="39">
        <f t="shared" ref="CC31" si="287">+IF(CB28&lt;0,1-CC28/CB28,CC28/CB28-1)</f>
        <v>0.13664122137404577</v>
      </c>
      <c r="CD31" s="39">
        <f t="shared" ref="CD31" si="288">+IF(CC28&lt;0,1-CD28/CC28,CD28/CC28-1)</f>
        <v>0.1178643384822029</v>
      </c>
      <c r="CE31" s="39">
        <f t="shared" ref="CE31" si="289">+IF(CD28&lt;0,1-CE28/CD28,CE28/CD28-1)</f>
        <v>-9.402222889756684E-2</v>
      </c>
      <c r="CF31" s="39">
        <f t="shared" ref="CF31" si="290">+IF(CE28&lt;0,1-CF28/CE28,CF28/CE28-1)</f>
        <v>-0.12400530503978779</v>
      </c>
      <c r="CG31" s="39">
        <f t="shared" ref="CG31" si="291">+IF(CF28&lt;0,1-CG28/CF28,CG28/CF28-1)</f>
        <v>1.0219530658591935E-2</v>
      </c>
      <c r="CH31" s="39">
        <f t="shared" ref="CH31:CL31" si="292">+IF(CG28&lt;0,1-CH28/CG28,CH28/CG28-1)</f>
        <v>0.2457849381790933</v>
      </c>
      <c r="CI31" s="39">
        <f t="shared" si="292"/>
        <v>-4.6917293233082691E-2</v>
      </c>
      <c r="CJ31" s="39">
        <f t="shared" si="292"/>
        <v>-8.1098138213947624E-2</v>
      </c>
      <c r="CK31" s="39">
        <f t="shared" si="292"/>
        <v>3.4340659340659219E-3</v>
      </c>
      <c r="CL31" s="39">
        <f t="shared" si="292"/>
        <v>0.18514715947980842</v>
      </c>
      <c r="CM31" s="40">
        <f t="shared" ref="CM31" si="293">+CM28/CL28-1</f>
        <v>-6.3888079033627032E-2</v>
      </c>
      <c r="CN31" s="40">
        <f t="shared" ref="CN31" si="294">+CN28/CM28-1</f>
        <v>-3.2536454551929994E-2</v>
      </c>
      <c r="CO31" s="40">
        <f t="shared" ref="CO31" si="295">+CO28/CN28-1</f>
        <v>5.2342015561769761E-2</v>
      </c>
      <c r="CP31" s="40">
        <f t="shared" ref="CP31" si="296">+CP28/CO28-1</f>
        <v>0.21346134848572507</v>
      </c>
      <c r="CQ31" s="40">
        <f t="shared" ref="CQ31" si="297">+CQ28/CP28-1</f>
        <v>-0.13827470764669603</v>
      </c>
      <c r="CR31" s="40">
        <f t="shared" ref="CR31" si="298">+CR28/CQ28-1</f>
        <v>-1.5540409999058147E-2</v>
      </c>
      <c r="CS31" s="40">
        <f t="shared" ref="CS31" si="299">+CS28/CR28-1</f>
        <v>6.1250390816491196E-2</v>
      </c>
      <c r="CT31" s="40">
        <f t="shared" ref="CT31" si="300">+CT28/CS28-1</f>
        <v>0.21175183155076405</v>
      </c>
      <c r="CU31" s="40">
        <f t="shared" ref="CU31" si="301">+CU28/CT28-1</f>
        <v>-0.15320575095159072</v>
      </c>
      <c r="CV31" s="40">
        <f t="shared" ref="CV31" si="302">+CV28/CU28-1</f>
        <v>-1.3821041747452578E-2</v>
      </c>
      <c r="CW31" s="40">
        <f t="shared" ref="CW31" si="303">+CW28/CV28-1</f>
        <v>5.8932713859889851E-2</v>
      </c>
      <c r="CX31" s="40">
        <f t="shared" ref="CX31" si="304">+CX28/CW28-1</f>
        <v>0.20591781517854302</v>
      </c>
      <c r="CY31" s="40">
        <f t="shared" ref="CY31" si="305">+CY28/CX28-1</f>
        <v>-0.1495820970766516</v>
      </c>
      <c r="CZ31" s="40">
        <f t="shared" ref="CZ31" si="306">+CZ28/CY28-1</f>
        <v>-1.4064379816269068E-2</v>
      </c>
      <c r="DA31" s="40">
        <f t="shared" ref="DA31" si="307">+DA28/CZ28-1</f>
        <v>5.814348371655198E-2</v>
      </c>
      <c r="DB31" s="40">
        <f t="shared" ref="DB31" si="308">+DB28/DA28-1</f>
        <v>0.20545130522242916</v>
      </c>
      <c r="DE31" s="122"/>
    </row>
    <row r="32" spans="1:110" s="23" customFormat="1" outlineLevel="1" x14ac:dyDescent="0.2">
      <c r="A32" s="23" t="s">
        <v>8</v>
      </c>
      <c r="B32" s="23">
        <f>'Annual Raw'!C14</f>
        <v>0</v>
      </c>
      <c r="C32" s="23">
        <f>'Annual Raw'!D14</f>
        <v>0</v>
      </c>
      <c r="D32" s="23">
        <f>'Annual Raw'!E14</f>
        <v>0</v>
      </c>
      <c r="E32" s="23">
        <f>'Annual Raw'!F14</f>
        <v>0</v>
      </c>
      <c r="F32" s="23">
        <f>'Annual Raw'!G14</f>
        <v>0</v>
      </c>
      <c r="G32" s="23">
        <f>'Annual Raw'!H14</f>
        <v>0</v>
      </c>
      <c r="H32" s="23">
        <f>'Annual Raw'!I14</f>
        <v>0</v>
      </c>
      <c r="I32" s="23">
        <f>'Annual Raw'!J14</f>
        <v>0</v>
      </c>
      <c r="J32" s="23">
        <f>'Annual Raw'!K14</f>
        <v>0</v>
      </c>
      <c r="K32" s="23">
        <f>'Annual Raw'!L14</f>
        <v>0</v>
      </c>
      <c r="L32" s="23">
        <f>'Annual Raw'!M14</f>
        <v>0</v>
      </c>
      <c r="M32" s="23">
        <f>'Annual Raw'!N14</f>
        <v>0</v>
      </c>
      <c r="N32" s="23">
        <f>'Annual Raw'!O14</f>
        <v>0</v>
      </c>
      <c r="O32" s="23">
        <f>'Annual Raw'!P14</f>
        <v>0</v>
      </c>
      <c r="P32" s="23">
        <f>'Annual Raw'!Q14</f>
        <v>0</v>
      </c>
      <c r="Q32" s="23">
        <f>'Annual Raw'!R14</f>
        <v>0</v>
      </c>
      <c r="R32" s="23">
        <f>'Annual Raw'!S14</f>
        <v>591</v>
      </c>
      <c r="S32" s="23">
        <f>'Annual Raw'!T14</f>
        <v>609</v>
      </c>
      <c r="T32" s="23">
        <f>'Annual Raw'!U14</f>
        <v>648</v>
      </c>
      <c r="U32" s="23">
        <f>'Annual Raw'!V14</f>
        <v>675</v>
      </c>
      <c r="V32" s="23">
        <f>'Annual Raw'!W14</f>
        <v>659</v>
      </c>
      <c r="W32" s="23">
        <f>'Annual Raw'!X14</f>
        <v>744</v>
      </c>
      <c r="X32" s="23">
        <f>'Annual Raw'!Y14</f>
        <v>771</v>
      </c>
      <c r="Y32" s="23">
        <f>'Annual Raw'!Z14</f>
        <v>871</v>
      </c>
      <c r="Z32" s="23">
        <f>'Annual Raw'!AA14</f>
        <v>885</v>
      </c>
      <c r="AA32" s="23">
        <f>'Annual Raw'!AB14</f>
        <v>894</v>
      </c>
      <c r="AB32" s="76">
        <f t="shared" ref="AB32:AB37" si="309">+SUM(CM32:CP32)</f>
        <v>956.58000000000015</v>
      </c>
      <c r="AC32" s="76">
        <f t="shared" ref="AC32:AC37" si="310">+SUM(CQ32:CT32)</f>
        <v>1023.5406000000002</v>
      </c>
      <c r="AD32" s="76">
        <f t="shared" ref="AD32:AD37" si="311">+SUM(CU32:CX32)</f>
        <v>1095.1884420000001</v>
      </c>
      <c r="AE32" s="76">
        <f t="shared" ref="AE32:AE37" si="312">+SUM(CY32:DB32)</f>
        <v>1171.8516329400004</v>
      </c>
      <c r="AI32" s="23">
        <f>'QTR Raw'!C16</f>
        <v>0</v>
      </c>
      <c r="AJ32" s="23">
        <f>'QTR Raw'!D16</f>
        <v>0</v>
      </c>
      <c r="AK32" s="23">
        <f>'QTR Raw'!E16</f>
        <v>0</v>
      </c>
      <c r="AL32" s="23">
        <f>'QTR Raw'!F16</f>
        <v>0</v>
      </c>
      <c r="AM32" s="23">
        <f>'QTR Raw'!G16</f>
        <v>0</v>
      </c>
      <c r="AN32" s="23">
        <f>'QTR Raw'!H16</f>
        <v>0</v>
      </c>
      <c r="AO32" s="23">
        <f>'QTR Raw'!I16</f>
        <v>0</v>
      </c>
      <c r="AP32" s="23">
        <f>'QTR Raw'!J16</f>
        <v>0</v>
      </c>
      <c r="AQ32" s="23">
        <f>'QTR Raw'!K16</f>
        <v>0</v>
      </c>
      <c r="AR32" s="23">
        <f>'QTR Raw'!L16</f>
        <v>0</v>
      </c>
      <c r="AS32" s="23">
        <f>'QTR Raw'!M16</f>
        <v>0</v>
      </c>
      <c r="AT32" s="23">
        <f>'QTR Raw'!N16</f>
        <v>0</v>
      </c>
      <c r="AU32" s="23">
        <f>'QTR Raw'!O16</f>
        <v>0</v>
      </c>
      <c r="AV32" s="23">
        <f>'QTR Raw'!P16</f>
        <v>0</v>
      </c>
      <c r="AW32" s="23">
        <f>'QTR Raw'!Q16</f>
        <v>0</v>
      </c>
      <c r="AX32" s="23">
        <f>'QTR Raw'!R16</f>
        <v>0</v>
      </c>
      <c r="AY32" s="23">
        <f>'QTR Raw'!S16</f>
        <v>0</v>
      </c>
      <c r="AZ32" s="23">
        <f>'QTR Raw'!T16</f>
        <v>0</v>
      </c>
      <c r="BA32" s="23">
        <f>'QTR Raw'!U16</f>
        <v>0</v>
      </c>
      <c r="BB32" s="23">
        <f>'QTR Raw'!V16</f>
        <v>0</v>
      </c>
      <c r="BC32" s="23">
        <f>'QTR Raw'!W16</f>
        <v>0</v>
      </c>
      <c r="BD32" s="23">
        <f>'QTR Raw'!X16</f>
        <v>0</v>
      </c>
      <c r="BE32" s="23">
        <f>'QTR Raw'!Y16</f>
        <v>157</v>
      </c>
      <c r="BF32" s="23">
        <f>'QTR Raw'!Z16</f>
        <v>128</v>
      </c>
      <c r="BG32" s="23">
        <f>'QTR Raw'!AA16</f>
        <v>168</v>
      </c>
      <c r="BH32" s="23">
        <f>'QTR Raw'!AB16</f>
        <v>165</v>
      </c>
      <c r="BI32" s="23">
        <f>'QTR Raw'!AC16</f>
        <v>159</v>
      </c>
      <c r="BJ32" s="23">
        <f>'QTR Raw'!AD16</f>
        <v>156</v>
      </c>
      <c r="BK32" s="23">
        <f>'QTR Raw'!AE16</f>
        <v>173</v>
      </c>
      <c r="BL32" s="23">
        <f>'QTR Raw'!AF16</f>
        <v>169</v>
      </c>
      <c r="BM32" s="23">
        <f>'QTR Raw'!AG16</f>
        <v>169</v>
      </c>
      <c r="BN32" s="23">
        <f>'QTR Raw'!AH16</f>
        <v>164</v>
      </c>
      <c r="BO32" s="23">
        <f>'QTR Raw'!AI16</f>
        <v>162</v>
      </c>
      <c r="BP32" s="23">
        <f>'QTR Raw'!AJ16</f>
        <v>158</v>
      </c>
      <c r="BQ32" s="23">
        <f>'QTR Raw'!AK16</f>
        <v>164</v>
      </c>
      <c r="BR32" s="23">
        <f>'QTR Raw'!AL16</f>
        <v>175</v>
      </c>
      <c r="BS32" s="23">
        <f>'QTR Raw'!AM16</f>
        <v>183</v>
      </c>
      <c r="BT32" s="23">
        <f>'QTR Raw'!AN16</f>
        <v>198</v>
      </c>
      <c r="BU32" s="23">
        <f>'QTR Raw'!AO16</f>
        <v>184</v>
      </c>
      <c r="BV32" s="23">
        <f>'QTR Raw'!AP16</f>
        <v>179</v>
      </c>
      <c r="BW32" s="23">
        <f>'QTR Raw'!AQ16</f>
        <v>198</v>
      </c>
      <c r="BX32" s="23">
        <f>'QTR Raw'!AR16</f>
        <v>189</v>
      </c>
      <c r="BY32" s="23">
        <f>'QTR Raw'!AS16</f>
        <v>193</v>
      </c>
      <c r="BZ32" s="23">
        <f>'QTR Raw'!AT16</f>
        <v>191</v>
      </c>
      <c r="CA32" s="23">
        <f>'QTR Raw'!AU16</f>
        <v>222</v>
      </c>
      <c r="CB32" s="23">
        <f>'QTR Raw'!AV16</f>
        <v>226</v>
      </c>
      <c r="CC32" s="23">
        <f>'QTR Raw'!AW16</f>
        <v>221</v>
      </c>
      <c r="CD32" s="23">
        <f>'QTR Raw'!AX16</f>
        <v>202</v>
      </c>
      <c r="CE32" s="23">
        <f>'QTR Raw'!AY16</f>
        <v>228</v>
      </c>
      <c r="CF32" s="23">
        <f>'QTR Raw'!AZ16</f>
        <v>219</v>
      </c>
      <c r="CG32" s="23">
        <f>'QTR Raw'!BA16</f>
        <v>223</v>
      </c>
      <c r="CH32" s="23">
        <f>'QTR Raw'!BB16</f>
        <v>215</v>
      </c>
      <c r="CI32" s="23">
        <f>'QTR Raw'!BC16</f>
        <v>227</v>
      </c>
      <c r="CJ32" s="23">
        <f>'QTR Raw'!BD16</f>
        <v>226</v>
      </c>
      <c r="CK32" s="23">
        <f>'QTR Raw'!BE16</f>
        <v>224</v>
      </c>
      <c r="CL32" s="23">
        <f>'QTR Raw'!BF16</f>
        <v>217</v>
      </c>
      <c r="CM32" s="24">
        <f t="shared" ref="CM32:DB32" si="313">CI32*107%</f>
        <v>242.89000000000001</v>
      </c>
      <c r="CN32" s="24">
        <f t="shared" si="313"/>
        <v>241.82000000000002</v>
      </c>
      <c r="CO32" s="24">
        <f t="shared" si="313"/>
        <v>239.68</v>
      </c>
      <c r="CP32" s="24">
        <f t="shared" si="313"/>
        <v>232.19000000000003</v>
      </c>
      <c r="CQ32" s="24">
        <f t="shared" si="313"/>
        <v>259.89230000000003</v>
      </c>
      <c r="CR32" s="24">
        <f t="shared" si="313"/>
        <v>258.74740000000003</v>
      </c>
      <c r="CS32" s="24">
        <f t="shared" si="313"/>
        <v>256.45760000000001</v>
      </c>
      <c r="CT32" s="24">
        <f t="shared" si="313"/>
        <v>248.44330000000005</v>
      </c>
      <c r="CU32" s="24">
        <f t="shared" si="313"/>
        <v>278.08476100000007</v>
      </c>
      <c r="CV32" s="24">
        <f t="shared" si="313"/>
        <v>276.85971800000004</v>
      </c>
      <c r="CW32" s="24">
        <f t="shared" si="313"/>
        <v>274.40963200000004</v>
      </c>
      <c r="CX32" s="24">
        <f t="shared" si="313"/>
        <v>265.83433100000008</v>
      </c>
      <c r="CY32" s="24">
        <f t="shared" si="313"/>
        <v>297.55069427000012</v>
      </c>
      <c r="CZ32" s="24">
        <f t="shared" si="313"/>
        <v>296.23989826000007</v>
      </c>
      <c r="DA32" s="24">
        <f t="shared" si="313"/>
        <v>293.61830624000004</v>
      </c>
      <c r="DB32" s="24">
        <f t="shared" si="313"/>
        <v>284.44273417000011</v>
      </c>
      <c r="DE32" s="123"/>
      <c r="DF32" s="23">
        <v>894</v>
      </c>
    </row>
    <row r="33" spans="1:110" s="23" customFormat="1" outlineLevel="1" x14ac:dyDescent="0.2">
      <c r="A33" s="23" t="s">
        <v>10</v>
      </c>
      <c r="B33" s="23">
        <f>'Annual Raw'!C17</f>
        <v>0</v>
      </c>
      <c r="C33" s="23">
        <f>'Annual Raw'!D17</f>
        <v>0</v>
      </c>
      <c r="D33" s="23">
        <f>'Annual Raw'!E17</f>
        <v>0</v>
      </c>
      <c r="E33" s="23">
        <f>'Annual Raw'!F17</f>
        <v>0</v>
      </c>
      <c r="F33" s="23">
        <f>'Annual Raw'!G17</f>
        <v>0</v>
      </c>
      <c r="G33" s="23">
        <f>'Annual Raw'!H17</f>
        <v>0</v>
      </c>
      <c r="H33" s="23">
        <f>'Annual Raw'!I17</f>
        <v>0</v>
      </c>
      <c r="I33" s="23">
        <f>'Annual Raw'!J17</f>
        <v>0</v>
      </c>
      <c r="J33" s="23">
        <f>'Annual Raw'!K17</f>
        <v>0</v>
      </c>
      <c r="K33" s="23">
        <f>'Annual Raw'!L17</f>
        <v>0</v>
      </c>
      <c r="L33" s="23">
        <f>'Annual Raw'!M17</f>
        <v>0</v>
      </c>
      <c r="M33" s="23">
        <f>'Annual Raw'!N17</f>
        <v>0</v>
      </c>
      <c r="N33" s="23">
        <f>'Annual Raw'!O17</f>
        <v>0</v>
      </c>
      <c r="O33" s="23">
        <f>'Annual Raw'!P17</f>
        <v>0</v>
      </c>
      <c r="P33" s="23">
        <f>'Annual Raw'!Q17</f>
        <v>0</v>
      </c>
      <c r="Q33" s="23">
        <f>'Annual Raw'!R17</f>
        <v>0</v>
      </c>
      <c r="R33" s="23">
        <f>'Annual Raw'!S17</f>
        <v>244</v>
      </c>
      <c r="S33" s="23">
        <f>'Annual Raw'!T17</f>
        <v>261</v>
      </c>
      <c r="T33" s="23">
        <f>'Annual Raw'!U17</f>
        <v>353</v>
      </c>
      <c r="U33" s="23">
        <f>'Annual Raw'!V17</f>
        <v>308</v>
      </c>
      <c r="V33" s="23">
        <f>'Annual Raw'!W17</f>
        <v>351</v>
      </c>
      <c r="W33" s="23">
        <f>'Annual Raw'!X17</f>
        <v>399.58</v>
      </c>
      <c r="X33" s="23">
        <f>'Annual Raw'!Y17</f>
        <v>470.38</v>
      </c>
      <c r="Y33" s="23">
        <f>'Annual Raw'!Z17</f>
        <v>509</v>
      </c>
      <c r="Z33" s="23">
        <f>'Annual Raw'!AA17</f>
        <v>498</v>
      </c>
      <c r="AA33" s="23">
        <f>'Annual Raw'!AB17</f>
        <v>525</v>
      </c>
      <c r="AB33" s="76">
        <f t="shared" si="309"/>
        <v>0</v>
      </c>
      <c r="AC33" s="76">
        <f t="shared" si="310"/>
        <v>0</v>
      </c>
      <c r="AD33" s="76">
        <f t="shared" si="311"/>
        <v>0</v>
      </c>
      <c r="AE33" s="76">
        <f t="shared" si="312"/>
        <v>0</v>
      </c>
      <c r="AI33" s="23">
        <f>'QTR Raw'!C17</f>
        <v>0</v>
      </c>
      <c r="AJ33" s="23">
        <f>'QTR Raw'!D17</f>
        <v>0</v>
      </c>
      <c r="AK33" s="23">
        <f>'QTR Raw'!E17</f>
        <v>0</v>
      </c>
      <c r="AL33" s="23">
        <f>'QTR Raw'!F17</f>
        <v>0</v>
      </c>
      <c r="AM33" s="23">
        <f>'QTR Raw'!G17</f>
        <v>0</v>
      </c>
      <c r="AN33" s="23">
        <f>'QTR Raw'!H17</f>
        <v>0</v>
      </c>
      <c r="AO33" s="23">
        <f>'QTR Raw'!I17</f>
        <v>0</v>
      </c>
      <c r="AP33" s="23">
        <f>'QTR Raw'!J17</f>
        <v>0</v>
      </c>
      <c r="AQ33" s="23">
        <f>'QTR Raw'!K17</f>
        <v>0</v>
      </c>
      <c r="AR33" s="23">
        <f>'QTR Raw'!L17</f>
        <v>0</v>
      </c>
      <c r="AS33" s="23">
        <f>'QTR Raw'!M17</f>
        <v>0</v>
      </c>
      <c r="AT33" s="23">
        <f>'QTR Raw'!N17</f>
        <v>0</v>
      </c>
      <c r="AU33" s="23">
        <f>'QTR Raw'!O17</f>
        <v>0</v>
      </c>
      <c r="AV33" s="23">
        <f>'QTR Raw'!P17</f>
        <v>0</v>
      </c>
      <c r="AW33" s="23">
        <f>'QTR Raw'!Q17</f>
        <v>0</v>
      </c>
      <c r="AX33" s="23">
        <f>'QTR Raw'!R17</f>
        <v>0</v>
      </c>
      <c r="AY33" s="23">
        <f>'QTR Raw'!S17</f>
        <v>0</v>
      </c>
      <c r="AZ33" s="23">
        <f>'QTR Raw'!T17</f>
        <v>0</v>
      </c>
      <c r="BA33" s="23">
        <f>'QTR Raw'!U17</f>
        <v>0</v>
      </c>
      <c r="BB33" s="23">
        <f>'QTR Raw'!V17</f>
        <v>0</v>
      </c>
      <c r="BC33" s="23">
        <f>'QTR Raw'!W17</f>
        <v>0</v>
      </c>
      <c r="BD33" s="23">
        <f>'QTR Raw'!X17</f>
        <v>0</v>
      </c>
      <c r="BE33" s="23">
        <f>'QTR Raw'!Y17</f>
        <v>0</v>
      </c>
      <c r="BF33" s="23">
        <f>'QTR Raw'!Z17</f>
        <v>0</v>
      </c>
      <c r="BG33" s="23">
        <f>'QTR Raw'!AA17</f>
        <v>0</v>
      </c>
      <c r="BH33" s="23">
        <f>'QTR Raw'!AB17</f>
        <v>0</v>
      </c>
      <c r="BI33" s="23">
        <f>'QTR Raw'!AC17</f>
        <v>0</v>
      </c>
      <c r="BJ33" s="23">
        <f>'QTR Raw'!AD17</f>
        <v>0</v>
      </c>
      <c r="BK33" s="23">
        <f>'QTR Raw'!AE17</f>
        <v>0</v>
      </c>
      <c r="BL33" s="23">
        <f>'QTR Raw'!AF17</f>
        <v>0</v>
      </c>
      <c r="BM33" s="23">
        <f>'QTR Raw'!AG17</f>
        <v>0</v>
      </c>
      <c r="BN33" s="23">
        <f>'QTR Raw'!AH17</f>
        <v>0</v>
      </c>
      <c r="BO33" s="23">
        <f>'QTR Raw'!AI17</f>
        <v>0</v>
      </c>
      <c r="BP33" s="23">
        <f>'QTR Raw'!AJ17</f>
        <v>0</v>
      </c>
      <c r="BQ33" s="23">
        <f>'QTR Raw'!AK17</f>
        <v>0</v>
      </c>
      <c r="BR33" s="23">
        <f>'QTR Raw'!AL17</f>
        <v>0</v>
      </c>
      <c r="BS33" s="23">
        <f>'QTR Raw'!AM17</f>
        <v>0</v>
      </c>
      <c r="BT33" s="23">
        <f>'QTR Raw'!AN17</f>
        <v>0</v>
      </c>
      <c r="BU33" s="23">
        <f>'QTR Raw'!AO17</f>
        <v>0</v>
      </c>
      <c r="BV33" s="23">
        <f>'QTR Raw'!AP17</f>
        <v>0</v>
      </c>
      <c r="BW33" s="23">
        <f>'QTR Raw'!AQ17</f>
        <v>0</v>
      </c>
      <c r="BX33" s="23">
        <f>'QTR Raw'!AR17</f>
        <v>0</v>
      </c>
      <c r="BY33" s="23">
        <f>'QTR Raw'!AS17</f>
        <v>0</v>
      </c>
      <c r="BZ33" s="23">
        <f>'QTR Raw'!AT17</f>
        <v>0</v>
      </c>
      <c r="CA33" s="23">
        <f>'QTR Raw'!AU17</f>
        <v>0</v>
      </c>
      <c r="CB33" s="23">
        <f>'QTR Raw'!AV17</f>
        <v>0</v>
      </c>
      <c r="CC33" s="23">
        <f>'QTR Raw'!AW17</f>
        <v>0</v>
      </c>
      <c r="CD33" s="23">
        <f>'QTR Raw'!AX17</f>
        <v>0</v>
      </c>
      <c r="CE33" s="23">
        <f>'QTR Raw'!AY17</f>
        <v>0</v>
      </c>
      <c r="CF33" s="23">
        <f>'QTR Raw'!AZ17</f>
        <v>0</v>
      </c>
      <c r="CG33" s="23">
        <f>'QTR Raw'!BA17</f>
        <v>0</v>
      </c>
      <c r="CH33" s="23">
        <f>'QTR Raw'!BB17</f>
        <v>0</v>
      </c>
      <c r="CI33" s="23">
        <f>'QTR Raw'!BC17</f>
        <v>0</v>
      </c>
      <c r="CJ33" s="23">
        <f>'QTR Raw'!BD17</f>
        <v>0</v>
      </c>
      <c r="CK33" s="23">
        <f>'QTR Raw'!BE17</f>
        <v>0</v>
      </c>
      <c r="CL33" s="23">
        <f>'QTR Raw'!BF17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12</v>
      </c>
      <c r="B34" s="23">
        <f>'Annual Raw'!C19-'Annual Raw'!C20</f>
        <v>0</v>
      </c>
      <c r="C34" s="23">
        <f>'Annual Raw'!D19-'Annual Raw'!D20</f>
        <v>0</v>
      </c>
      <c r="D34" s="23">
        <f>'Annual Raw'!E19-'Annual Raw'!E20</f>
        <v>0</v>
      </c>
      <c r="E34" s="23">
        <f>'Annual Raw'!F19-'Annual Raw'!F20</f>
        <v>0</v>
      </c>
      <c r="F34" s="23">
        <f>'Annual Raw'!G19-'Annual Raw'!G20</f>
        <v>0</v>
      </c>
      <c r="G34" s="23">
        <f>'Annual Raw'!H19-'Annual Raw'!H20</f>
        <v>0</v>
      </c>
      <c r="H34" s="23">
        <f>'Annual Raw'!I19-'Annual Raw'!I20</f>
        <v>0</v>
      </c>
      <c r="I34" s="23">
        <f>'Annual Raw'!J19-'Annual Raw'!J20</f>
        <v>0</v>
      </c>
      <c r="J34" s="23">
        <f>'Annual Raw'!K19-'Annual Raw'!K20</f>
        <v>0</v>
      </c>
      <c r="K34" s="23">
        <f>'Annual Raw'!L19-'Annual Raw'!L20</f>
        <v>0</v>
      </c>
      <c r="L34" s="23">
        <f>'Annual Raw'!M19-'Annual Raw'!M20</f>
        <v>0</v>
      </c>
      <c r="M34" s="23">
        <f>'Annual Raw'!N19-'Annual Raw'!N20</f>
        <v>0</v>
      </c>
      <c r="N34" s="23">
        <f>'Annual Raw'!O19-'Annual Raw'!O20</f>
        <v>0</v>
      </c>
      <c r="O34" s="23">
        <f>'Annual Raw'!P19-'Annual Raw'!P20</f>
        <v>0</v>
      </c>
      <c r="P34" s="23">
        <f>'Annual Raw'!Q19-'Annual Raw'!Q20</f>
        <v>0</v>
      </c>
      <c r="Q34" s="23">
        <f>'Annual Raw'!R19-'Annual Raw'!R20</f>
        <v>0</v>
      </c>
      <c r="R34" s="23">
        <f>'Annual Raw'!S19-'Annual Raw'!S20</f>
        <v>306</v>
      </c>
      <c r="S34" s="23">
        <f>'Annual Raw'!T19-'Annual Raw'!T20</f>
        <v>401</v>
      </c>
      <c r="T34" s="23">
        <f>'Annual Raw'!U19-'Annual Raw'!U20</f>
        <v>413</v>
      </c>
      <c r="U34" s="23">
        <f>'Annual Raw'!V19-'Annual Raw'!V20</f>
        <v>368</v>
      </c>
      <c r="V34" s="23">
        <f>'Annual Raw'!W19-'Annual Raw'!W20</f>
        <v>309</v>
      </c>
      <c r="W34" s="23">
        <f>'Annual Raw'!X19-'Annual Raw'!X20</f>
        <v>415.42</v>
      </c>
      <c r="X34" s="23">
        <f>'Annual Raw'!Y19-'Annual Raw'!Y20</f>
        <v>417.62</v>
      </c>
      <c r="Y34" s="23">
        <f>'Annual Raw'!Z19-'Annual Raw'!Z20</f>
        <v>490</v>
      </c>
      <c r="Z34" s="23">
        <f>'Annual Raw'!AA19-'Annual Raw'!AA20</f>
        <v>523</v>
      </c>
      <c r="AA34" s="23">
        <f>'Annual Raw'!AB19-'Annual Raw'!AB20</f>
        <v>561</v>
      </c>
      <c r="AB34" s="76">
        <f t="shared" si="309"/>
        <v>0</v>
      </c>
      <c r="AC34" s="76">
        <f t="shared" si="310"/>
        <v>0</v>
      </c>
      <c r="AD34" s="76">
        <f t="shared" si="311"/>
        <v>0</v>
      </c>
      <c r="AE34" s="76">
        <f t="shared" si="312"/>
        <v>0</v>
      </c>
      <c r="AI34" s="23">
        <f>+'QTR Raw'!C21</f>
        <v>0</v>
      </c>
      <c r="AJ34" s="23">
        <f>+'QTR Raw'!D21</f>
        <v>0</v>
      </c>
      <c r="AK34" s="23">
        <f>+'QTR Raw'!E21</f>
        <v>0</v>
      </c>
      <c r="AL34" s="23">
        <f>+'QTR Raw'!F21</f>
        <v>0</v>
      </c>
      <c r="AM34" s="23">
        <f>+'QTR Raw'!G21</f>
        <v>0</v>
      </c>
      <c r="AN34" s="23">
        <f>+'QTR Raw'!H21</f>
        <v>0</v>
      </c>
      <c r="AO34" s="23">
        <f>+'QTR Raw'!I21</f>
        <v>0</v>
      </c>
      <c r="AP34" s="23">
        <f>+'QTR Raw'!J21</f>
        <v>0</v>
      </c>
      <c r="AQ34" s="23">
        <f>+'QTR Raw'!K21</f>
        <v>0</v>
      </c>
      <c r="AR34" s="23">
        <f>+'QTR Raw'!L21</f>
        <v>0</v>
      </c>
      <c r="AS34" s="23">
        <f>+'QTR Raw'!M21</f>
        <v>0</v>
      </c>
      <c r="AT34" s="23">
        <f>+'QTR Raw'!N21</f>
        <v>0</v>
      </c>
      <c r="AU34" s="23">
        <f>+'QTR Raw'!O21</f>
        <v>0</v>
      </c>
      <c r="AV34" s="23">
        <f>+'QTR Raw'!P21</f>
        <v>0</v>
      </c>
      <c r="AW34" s="23">
        <f>+'QTR Raw'!Q21</f>
        <v>0</v>
      </c>
      <c r="AX34" s="23">
        <f>+'QTR Raw'!R21</f>
        <v>0</v>
      </c>
      <c r="AY34" s="23">
        <f>+'QTR Raw'!S21</f>
        <v>0</v>
      </c>
      <c r="AZ34" s="23">
        <f>+'QTR Raw'!T21</f>
        <v>0</v>
      </c>
      <c r="BA34" s="23">
        <f>+'QTR Raw'!U21</f>
        <v>0</v>
      </c>
      <c r="BB34" s="23">
        <f>+'QTR Raw'!V21</f>
        <v>0</v>
      </c>
      <c r="BC34" s="23">
        <f>+'QTR Raw'!W21</f>
        <v>0</v>
      </c>
      <c r="BD34" s="23">
        <f>+'QTR Raw'!X21</f>
        <v>0</v>
      </c>
      <c r="BE34" s="23">
        <f>+'QTR Raw'!Y21</f>
        <v>-23</v>
      </c>
      <c r="BF34" s="23">
        <f>+'QTR Raw'!Z21</f>
        <v>0</v>
      </c>
      <c r="BG34" s="23">
        <f>+'QTR Raw'!AA21</f>
        <v>0</v>
      </c>
      <c r="BH34" s="23">
        <f>+'QTR Raw'!AB21</f>
        <v>0</v>
      </c>
      <c r="BI34" s="23">
        <f>+'QTR Raw'!AC21</f>
        <v>0</v>
      </c>
      <c r="BJ34" s="23">
        <f>+'QTR Raw'!AD21</f>
        <v>0</v>
      </c>
      <c r="BK34" s="23">
        <f>+'QTR Raw'!AE21</f>
        <v>0</v>
      </c>
      <c r="BL34" s="23">
        <f>+'QTR Raw'!AF21</f>
        <v>0</v>
      </c>
      <c r="BM34" s="23">
        <f>+'QTR Raw'!AG21</f>
        <v>0</v>
      </c>
      <c r="BN34" s="23">
        <f>+'QTR Raw'!AH21</f>
        <v>0</v>
      </c>
      <c r="BO34" s="23">
        <f>+'QTR Raw'!AI21</f>
        <v>0</v>
      </c>
      <c r="BP34" s="23">
        <f>+'QTR Raw'!AJ21</f>
        <v>0</v>
      </c>
      <c r="BQ34" s="23">
        <f>+'QTR Raw'!AK21</f>
        <v>0</v>
      </c>
      <c r="BR34" s="23">
        <f>+'QTR Raw'!AL21</f>
        <v>0</v>
      </c>
      <c r="BS34" s="23">
        <f>+'QTR Raw'!AM21</f>
        <v>0</v>
      </c>
      <c r="BT34" s="23">
        <f>+'QTR Raw'!AN21</f>
        <v>0</v>
      </c>
      <c r="BU34" s="23">
        <f>+'QTR Raw'!AO21</f>
        <v>0</v>
      </c>
      <c r="BV34" s="23">
        <f>+'QTR Raw'!AP21</f>
        <v>0</v>
      </c>
      <c r="BW34" s="23">
        <f>+'QTR Raw'!AQ21</f>
        <v>0</v>
      </c>
      <c r="BX34" s="23">
        <f>+'QTR Raw'!AR21</f>
        <v>0</v>
      </c>
      <c r="BY34" s="23">
        <f>+'QTR Raw'!AS21</f>
        <v>0</v>
      </c>
      <c r="BZ34" s="23">
        <f>+'QTR Raw'!AT21</f>
        <v>0</v>
      </c>
      <c r="CA34" s="23">
        <f>+'QTR Raw'!AU21</f>
        <v>0</v>
      </c>
      <c r="CB34" s="23">
        <f>+'QTR Raw'!AV21</f>
        <v>0</v>
      </c>
      <c r="CC34" s="23">
        <f>+'QTR Raw'!AW21</f>
        <v>0</v>
      </c>
      <c r="CD34" s="23">
        <f>+'QTR Raw'!AX21</f>
        <v>0</v>
      </c>
      <c r="CE34" s="23">
        <f>+'QTR Raw'!AY21</f>
        <v>0</v>
      </c>
      <c r="CF34" s="23">
        <f>+'QTR Raw'!AZ21</f>
        <v>0</v>
      </c>
      <c r="CG34" s="23">
        <f>+'QTR Raw'!BA21</f>
        <v>0</v>
      </c>
      <c r="CH34" s="23">
        <f>+'QTR Raw'!BB21</f>
        <v>0</v>
      </c>
      <c r="CI34" s="23">
        <f>+'QTR Raw'!BC21</f>
        <v>0</v>
      </c>
      <c r="CJ34" s="23">
        <f>+'QTR Raw'!BD21</f>
        <v>0</v>
      </c>
      <c r="CK34" s="23">
        <f>+'QTR Raw'!BE21</f>
        <v>0</v>
      </c>
      <c r="CL34" s="23">
        <f>+'QTR Raw'!BF21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3" customFormat="1" outlineLevel="1" x14ac:dyDescent="0.2">
      <c r="A35" s="23" t="s">
        <v>9</v>
      </c>
      <c r="B35" s="23">
        <f>'Annual Raw'!C15+'Annual Raw'!C16</f>
        <v>0</v>
      </c>
      <c r="C35" s="23">
        <f>'Annual Raw'!D15+'Annual Raw'!D16</f>
        <v>0</v>
      </c>
      <c r="D35" s="23">
        <f>'Annual Raw'!E15+'Annual Raw'!E16</f>
        <v>0</v>
      </c>
      <c r="E35" s="23">
        <f>'Annual Raw'!F15+'Annual Raw'!F16</f>
        <v>0</v>
      </c>
      <c r="F35" s="23">
        <f>'Annual Raw'!G15+'Annual Raw'!G16</f>
        <v>0</v>
      </c>
      <c r="G35" s="23">
        <f>'Annual Raw'!H15+'Annual Raw'!H16</f>
        <v>0</v>
      </c>
      <c r="H35" s="23">
        <f>'Annual Raw'!I15+'Annual Raw'!I16</f>
        <v>0</v>
      </c>
      <c r="I35" s="23">
        <f>'Annual Raw'!J15+'Annual Raw'!J16</f>
        <v>0</v>
      </c>
      <c r="J35" s="23">
        <f>'Annual Raw'!K15+'Annual Raw'!K16</f>
        <v>0</v>
      </c>
      <c r="K35" s="23">
        <f>'Annual Raw'!L15+'Annual Raw'!L16</f>
        <v>0</v>
      </c>
      <c r="L35" s="23">
        <f>'Annual Raw'!M15+'Annual Raw'!M16</f>
        <v>0</v>
      </c>
      <c r="M35" s="23">
        <f>'Annual Raw'!N15+'Annual Raw'!N16</f>
        <v>0</v>
      </c>
      <c r="N35" s="23">
        <f>'Annual Raw'!O15+'Annual Raw'!O16</f>
        <v>0</v>
      </c>
      <c r="O35" s="23">
        <f>'Annual Raw'!P15+'Annual Raw'!P16</f>
        <v>0</v>
      </c>
      <c r="P35" s="23">
        <f>'Annual Raw'!Q15+'Annual Raw'!Q16</f>
        <v>0</v>
      </c>
      <c r="Q35" s="23">
        <f>'Annual Raw'!R15+'Annual Raw'!R16</f>
        <v>0</v>
      </c>
      <c r="R35" s="23">
        <f>'Annual Raw'!S15+'Annual Raw'!S16</f>
        <v>533</v>
      </c>
      <c r="S35" s="23">
        <f>'Annual Raw'!T15+'Annual Raw'!T16</f>
        <v>582</v>
      </c>
      <c r="T35" s="23">
        <f>'Annual Raw'!U15+'Annual Raw'!U16</f>
        <v>652</v>
      </c>
      <c r="U35" s="23">
        <f>'Annual Raw'!V15+'Annual Raw'!V16</f>
        <v>663</v>
      </c>
      <c r="V35" s="23">
        <f>'Annual Raw'!W15+'Annual Raw'!W16</f>
        <v>644</v>
      </c>
      <c r="W35" s="23">
        <f>'Annual Raw'!X15+'Annual Raw'!X16</f>
        <v>812</v>
      </c>
      <c r="X35" s="23">
        <f>'Annual Raw'!Y15+'Annual Raw'!Y16</f>
        <v>933</v>
      </c>
      <c r="Y35" s="23">
        <f>'Annual Raw'!Z15+'Annual Raw'!Z16</f>
        <v>977</v>
      </c>
      <c r="Z35" s="23">
        <f>'Annual Raw'!AA15+'Annual Raw'!AA16</f>
        <v>1008</v>
      </c>
      <c r="AA35" s="23">
        <f>'Annual Raw'!AB15+'Annual Raw'!AB16</f>
        <v>1059</v>
      </c>
      <c r="AB35" s="76">
        <f t="shared" si="309"/>
        <v>9264.0587436634123</v>
      </c>
      <c r="AC35" s="76">
        <f t="shared" si="310"/>
        <v>9882.3637902756018</v>
      </c>
      <c r="AD35" s="76">
        <f t="shared" si="311"/>
        <v>10567.009017060886</v>
      </c>
      <c r="AE35" s="76">
        <f t="shared" si="312"/>
        <v>11305.276000521098</v>
      </c>
      <c r="AI35" s="23">
        <f>'QTR Raw'!C14</f>
        <v>0</v>
      </c>
      <c r="AJ35" s="23">
        <f>'QTR Raw'!D14</f>
        <v>0</v>
      </c>
      <c r="AK35" s="23">
        <f>'QTR Raw'!E14</f>
        <v>0</v>
      </c>
      <c r="AL35" s="23">
        <f>'QTR Raw'!F14</f>
        <v>0</v>
      </c>
      <c r="AM35" s="23">
        <f>'QTR Raw'!G14</f>
        <v>0</v>
      </c>
      <c r="AN35" s="23">
        <f>'QTR Raw'!H14</f>
        <v>0</v>
      </c>
      <c r="AO35" s="23">
        <f>'QTR Raw'!I14</f>
        <v>0</v>
      </c>
      <c r="AP35" s="23">
        <f>'QTR Raw'!J14</f>
        <v>0</v>
      </c>
      <c r="AQ35" s="23">
        <f>'QTR Raw'!K14</f>
        <v>0</v>
      </c>
      <c r="AR35" s="23">
        <f>'QTR Raw'!L14</f>
        <v>0</v>
      </c>
      <c r="AS35" s="23">
        <f>'QTR Raw'!M14</f>
        <v>0</v>
      </c>
      <c r="AT35" s="23">
        <f>'QTR Raw'!N14</f>
        <v>0</v>
      </c>
      <c r="AU35" s="23">
        <f>'QTR Raw'!O14</f>
        <v>0</v>
      </c>
      <c r="AV35" s="23">
        <f>'QTR Raw'!P14</f>
        <v>0</v>
      </c>
      <c r="AW35" s="23">
        <f>'QTR Raw'!Q14</f>
        <v>0</v>
      </c>
      <c r="AX35" s="23">
        <f>'QTR Raw'!R14</f>
        <v>0</v>
      </c>
      <c r="AY35" s="23">
        <f>'QTR Raw'!S14</f>
        <v>0</v>
      </c>
      <c r="AZ35" s="23">
        <f>'QTR Raw'!T14</f>
        <v>0</v>
      </c>
      <c r="BA35" s="23">
        <f>'QTR Raw'!U14</f>
        <v>0</v>
      </c>
      <c r="BB35" s="23">
        <f>'QTR Raw'!V14</f>
        <v>0</v>
      </c>
      <c r="BC35" s="23">
        <f>'QTR Raw'!W14</f>
        <v>0</v>
      </c>
      <c r="BD35" s="23">
        <f>'QTR Raw'!X14</f>
        <v>0</v>
      </c>
      <c r="BE35" s="23">
        <f>'QTR Raw'!Y14</f>
        <v>325</v>
      </c>
      <c r="BF35" s="23">
        <f>'QTR Raw'!Z14</f>
        <v>473</v>
      </c>
      <c r="BG35" s="23">
        <f>'QTR Raw'!AA14</f>
        <v>365</v>
      </c>
      <c r="BH35" s="23">
        <f>'QTR Raw'!AB14</f>
        <v>368</v>
      </c>
      <c r="BI35" s="23">
        <f>'QTR Raw'!AC14</f>
        <v>342</v>
      </c>
      <c r="BJ35" s="23">
        <f>'QTR Raw'!AD14</f>
        <v>957</v>
      </c>
      <c r="BK35" s="23">
        <f>'QTR Raw'!AE14</f>
        <v>350</v>
      </c>
      <c r="BL35" s="23">
        <f>'QTR Raw'!AF14</f>
        <v>373</v>
      </c>
      <c r="BM35" s="23">
        <f>'QTR Raw'!AG14</f>
        <v>390</v>
      </c>
      <c r="BN35" s="23">
        <f>'QTR Raw'!AH14</f>
        <v>909</v>
      </c>
      <c r="BO35" s="23">
        <f>'QTR Raw'!AI14</f>
        <v>216</v>
      </c>
      <c r="BP35" s="23">
        <f>'QTR Raw'!AJ14</f>
        <v>304</v>
      </c>
      <c r="BQ35" s="23">
        <f>'QTR Raw'!AK14</f>
        <v>404</v>
      </c>
      <c r="BR35" s="23">
        <f>'QTR Raw'!AL14</f>
        <v>1157</v>
      </c>
      <c r="BS35" s="23">
        <f>'QTR Raw'!AM14</f>
        <v>393</v>
      </c>
      <c r="BT35" s="23">
        <f>'QTR Raw'!AN14</f>
        <v>418</v>
      </c>
      <c r="BU35" s="23">
        <f>'QTR Raw'!AO14</f>
        <v>436</v>
      </c>
      <c r="BV35" s="23">
        <f>'QTR Raw'!AP14</f>
        <v>472</v>
      </c>
      <c r="BW35" s="23">
        <f>'QTR Raw'!AQ14</f>
        <v>464</v>
      </c>
      <c r="BX35" s="23">
        <f>'QTR Raw'!AR14</f>
        <v>474</v>
      </c>
      <c r="BY35" s="23">
        <f>'QTR Raw'!AS14</f>
        <v>482</v>
      </c>
      <c r="BZ35" s="23">
        <f>'QTR Raw'!AT14</f>
        <v>571</v>
      </c>
      <c r="CA35" s="23">
        <f>'QTR Raw'!AU14</f>
        <v>515</v>
      </c>
      <c r="CB35" s="23">
        <f>'QTR Raw'!AV14</f>
        <v>472</v>
      </c>
      <c r="CC35" s="23">
        <f>'QTR Raw'!AW14</f>
        <v>509</v>
      </c>
      <c r="CD35" s="23">
        <f>'QTR Raw'!AX14</f>
        <v>663</v>
      </c>
      <c r="CE35" s="23">
        <f>'QTR Raw'!AY14</f>
        <v>532</v>
      </c>
      <c r="CF35" s="23">
        <f>'QTR Raw'!AZ14</f>
        <v>546</v>
      </c>
      <c r="CG35" s="23">
        <f>'QTR Raw'!BA14</f>
        <v>521</v>
      </c>
      <c r="CH35" s="23">
        <f>'QTR Raw'!BB14</f>
        <v>572</v>
      </c>
      <c r="CI35" s="23">
        <f>'QTR Raw'!BC14</f>
        <v>539</v>
      </c>
      <c r="CJ35" s="23">
        <f>'QTR Raw'!BD14</f>
        <v>545</v>
      </c>
      <c r="CK35" s="23">
        <f>'QTR Raw'!BE14</f>
        <v>579</v>
      </c>
      <c r="CL35" s="23">
        <f>'QTR Raw'!BF14</f>
        <v>612</v>
      </c>
      <c r="CM35" s="24">
        <f t="shared" ref="CM35:DB35" si="314">CM38-CM32-CM33-CM34-CM36-CM37</f>
        <v>2176.2662872731139</v>
      </c>
      <c r="CN35" s="24">
        <f t="shared" si="314"/>
        <v>2118.8489500789046</v>
      </c>
      <c r="CO35" s="24">
        <f t="shared" si="314"/>
        <v>2237.6938444776274</v>
      </c>
      <c r="CP35" s="24">
        <f t="shared" si="314"/>
        <v>2731.2496618337673</v>
      </c>
      <c r="CQ35" s="24">
        <f t="shared" si="314"/>
        <v>2293.8743853278115</v>
      </c>
      <c r="CR35" s="24">
        <f t="shared" si="314"/>
        <v>2250.0025180186967</v>
      </c>
      <c r="CS35" s="24">
        <f t="shared" si="314"/>
        <v>2393.1896375756191</v>
      </c>
      <c r="CT35" s="24">
        <f t="shared" si="314"/>
        <v>2945.2972493534739</v>
      </c>
      <c r="CU35" s="24">
        <f t="shared" si="314"/>
        <v>2445.092020345799</v>
      </c>
      <c r="CV35" s="24">
        <f t="shared" si="314"/>
        <v>2405.1119959342363</v>
      </c>
      <c r="CW35" s="24">
        <f t="shared" si="314"/>
        <v>2562.4060381233376</v>
      </c>
      <c r="CX35" s="24">
        <f t="shared" si="314"/>
        <v>3154.3989626575121</v>
      </c>
      <c r="CY35" s="24">
        <f t="shared" si="314"/>
        <v>2614.1578099711069</v>
      </c>
      <c r="CZ35" s="24">
        <f t="shared" si="314"/>
        <v>2573.3576839496382</v>
      </c>
      <c r="DA35" s="24">
        <f t="shared" si="314"/>
        <v>2742.303077334851</v>
      </c>
      <c r="DB35" s="24">
        <f t="shared" si="314"/>
        <v>3375.4574292655016</v>
      </c>
      <c r="DE35" s="123"/>
      <c r="DF35" s="23">
        <v>2275</v>
      </c>
    </row>
    <row r="36" spans="1:110" s="23" customFormat="1" outlineLevel="1" x14ac:dyDescent="0.2">
      <c r="A36" s="23" t="s">
        <v>7</v>
      </c>
      <c r="B36" s="23">
        <f>'Annual Raw'!C13</f>
        <v>0</v>
      </c>
      <c r="C36" s="23">
        <f>'Annual Raw'!D13</f>
        <v>0</v>
      </c>
      <c r="D36" s="23">
        <f>'Annual Raw'!E13</f>
        <v>0</v>
      </c>
      <c r="E36" s="23">
        <f>'Annual Raw'!F13</f>
        <v>0</v>
      </c>
      <c r="F36" s="23">
        <f>'Annual Raw'!G13</f>
        <v>0</v>
      </c>
      <c r="G36" s="23">
        <f>'Annual Raw'!H13</f>
        <v>0</v>
      </c>
      <c r="H36" s="23">
        <f>'Annual Raw'!I13</f>
        <v>0</v>
      </c>
      <c r="I36" s="23">
        <f>'Annual Raw'!J13</f>
        <v>0</v>
      </c>
      <c r="J36" s="23">
        <f>'Annual Raw'!K13</f>
        <v>0</v>
      </c>
      <c r="K36" s="23">
        <f>'Annual Raw'!L13</f>
        <v>0</v>
      </c>
      <c r="L36" s="23">
        <f>'Annual Raw'!M13</f>
        <v>0</v>
      </c>
      <c r="M36" s="23">
        <f>'Annual Raw'!N13</f>
        <v>0</v>
      </c>
      <c r="N36" s="23">
        <f>'Annual Raw'!O13</f>
        <v>0</v>
      </c>
      <c r="O36" s="23">
        <f>'Annual Raw'!P13</f>
        <v>0</v>
      </c>
      <c r="P36" s="23">
        <f>'Annual Raw'!Q13</f>
        <v>0</v>
      </c>
      <c r="Q36" s="23">
        <f>'Annual Raw'!R13</f>
        <v>0</v>
      </c>
      <c r="R36" s="23">
        <f>'Annual Raw'!S13</f>
        <v>1036</v>
      </c>
      <c r="S36" s="23">
        <f>'Annual Raw'!T13</f>
        <v>1405</v>
      </c>
      <c r="T36" s="23">
        <f>'Annual Raw'!U13</f>
        <v>1756</v>
      </c>
      <c r="U36" s="23">
        <f>'Annual Raw'!V13</f>
        <v>1738</v>
      </c>
      <c r="V36" s="23">
        <f>'Annual Raw'!W13</f>
        <v>1659</v>
      </c>
      <c r="W36" s="23">
        <f>'Annual Raw'!X13</f>
        <v>2570</v>
      </c>
      <c r="X36" s="23">
        <f>'Annual Raw'!Y13</f>
        <v>3679</v>
      </c>
      <c r="Y36" s="23">
        <f>'Annual Raw'!Z13</f>
        <v>3116</v>
      </c>
      <c r="Z36" s="23">
        <f>'Annual Raw'!AA13</f>
        <v>2903</v>
      </c>
      <c r="AA36" s="23">
        <f>'Annual Raw'!AB13</f>
        <v>2980</v>
      </c>
      <c r="AB36" s="76">
        <f t="shared" si="309"/>
        <v>0</v>
      </c>
      <c r="AC36" s="76">
        <f t="shared" si="310"/>
        <v>0</v>
      </c>
      <c r="AD36" s="76">
        <f t="shared" si="311"/>
        <v>0</v>
      </c>
      <c r="AE36" s="76">
        <f t="shared" si="312"/>
        <v>0</v>
      </c>
      <c r="AI36" s="23">
        <f>'QTR Raw'!C15</f>
        <v>0</v>
      </c>
      <c r="AJ36" s="23">
        <f>'QTR Raw'!D15</f>
        <v>0</v>
      </c>
      <c r="AK36" s="23">
        <f>'QTR Raw'!E15</f>
        <v>0</v>
      </c>
      <c r="AL36" s="23">
        <f>'QTR Raw'!F15</f>
        <v>0</v>
      </c>
      <c r="AM36" s="23">
        <f>'QTR Raw'!G15</f>
        <v>0</v>
      </c>
      <c r="AN36" s="23">
        <f>'QTR Raw'!H15</f>
        <v>0</v>
      </c>
      <c r="AO36" s="23">
        <f>'QTR Raw'!I15</f>
        <v>0</v>
      </c>
      <c r="AP36" s="23">
        <f>'QTR Raw'!J15</f>
        <v>0</v>
      </c>
      <c r="AQ36" s="23">
        <f>'QTR Raw'!K15</f>
        <v>0</v>
      </c>
      <c r="AR36" s="23">
        <f>'QTR Raw'!L15</f>
        <v>0</v>
      </c>
      <c r="AS36" s="23">
        <f>'QTR Raw'!M15</f>
        <v>0</v>
      </c>
      <c r="AT36" s="23">
        <f>'QTR Raw'!N15</f>
        <v>0</v>
      </c>
      <c r="AU36" s="23">
        <f>'QTR Raw'!O15</f>
        <v>0</v>
      </c>
      <c r="AV36" s="23">
        <f>'QTR Raw'!P15</f>
        <v>0</v>
      </c>
      <c r="AW36" s="23">
        <f>'QTR Raw'!Q15</f>
        <v>0</v>
      </c>
      <c r="AX36" s="23">
        <f>'QTR Raw'!R15</f>
        <v>0</v>
      </c>
      <c r="AY36" s="23">
        <f>'QTR Raw'!S15</f>
        <v>0</v>
      </c>
      <c r="AZ36" s="23">
        <f>'QTR Raw'!T15</f>
        <v>0</v>
      </c>
      <c r="BA36" s="23">
        <f>'QTR Raw'!U15</f>
        <v>0</v>
      </c>
      <c r="BB36" s="23">
        <f>'QTR Raw'!V15</f>
        <v>0</v>
      </c>
      <c r="BC36" s="23">
        <f>'QTR Raw'!W15</f>
        <v>0</v>
      </c>
      <c r="BD36" s="23">
        <f>'QTR Raw'!X15</f>
        <v>0</v>
      </c>
      <c r="BE36" s="23">
        <f>'QTR Raw'!Y15</f>
        <v>374</v>
      </c>
      <c r="BF36" s="23">
        <f>'QTR Raw'!Z15</f>
        <v>403</v>
      </c>
      <c r="BG36" s="23">
        <f>'QTR Raw'!AA15</f>
        <v>405</v>
      </c>
      <c r="BH36" s="23">
        <f>'QTR Raw'!AB15</f>
        <v>429</v>
      </c>
      <c r="BI36" s="23">
        <f>'QTR Raw'!AC15</f>
        <v>465</v>
      </c>
      <c r="BJ36" s="23">
        <f>'QTR Raw'!AD15</f>
        <v>457</v>
      </c>
      <c r="BK36" s="23">
        <f>'QTR Raw'!AE15</f>
        <v>464</v>
      </c>
      <c r="BL36" s="23">
        <f>'QTR Raw'!AF15</f>
        <v>430</v>
      </c>
      <c r="BM36" s="23">
        <f>'QTR Raw'!AG15</f>
        <v>458</v>
      </c>
      <c r="BN36" s="23">
        <f>'QTR Raw'!AH15</f>
        <v>386</v>
      </c>
      <c r="BO36" s="23">
        <f>'QTR Raw'!AI15</f>
        <v>251</v>
      </c>
      <c r="BP36" s="23">
        <f>'QTR Raw'!AJ15</f>
        <v>346</v>
      </c>
      <c r="BQ36" s="23">
        <f>'QTR Raw'!AK15</f>
        <v>494</v>
      </c>
      <c r="BR36" s="23">
        <f>'QTR Raw'!AL15</f>
        <v>563</v>
      </c>
      <c r="BS36" s="23">
        <f>'QTR Raw'!AM15</f>
        <v>520</v>
      </c>
      <c r="BT36" s="23">
        <f>'QTR Raw'!AN15</f>
        <v>507</v>
      </c>
      <c r="BU36" s="23">
        <f>'QTR Raw'!AO15</f>
        <v>670</v>
      </c>
      <c r="BV36" s="23">
        <f>'QTR Raw'!AP15</f>
        <v>873</v>
      </c>
      <c r="BW36" s="23">
        <f>'QTR Raw'!AQ15</f>
        <v>952</v>
      </c>
      <c r="BX36" s="23">
        <f>'QTR Raw'!AR15</f>
        <v>892</v>
      </c>
      <c r="BY36" s="23">
        <f>'QTR Raw'!AS15</f>
        <v>964</v>
      </c>
      <c r="BZ36" s="23">
        <f>'QTR Raw'!AT15</f>
        <v>871</v>
      </c>
      <c r="CA36" s="23">
        <f>'QTR Raw'!AU15</f>
        <v>902</v>
      </c>
      <c r="CB36" s="23">
        <f>'QTR Raw'!AV15</f>
        <v>698</v>
      </c>
      <c r="CC36" s="23">
        <f>'QTR Raw'!AW15</f>
        <v>726</v>
      </c>
      <c r="CD36" s="23">
        <f>'QTR Raw'!AX15</f>
        <v>790</v>
      </c>
      <c r="CE36" s="23">
        <f>'QTR Raw'!AY15</f>
        <v>757</v>
      </c>
      <c r="CF36" s="23">
        <f>'QTR Raw'!AZ15</f>
        <v>707</v>
      </c>
      <c r="CG36" s="23">
        <f>'QTR Raw'!BA15</f>
        <v>666</v>
      </c>
      <c r="CH36" s="23">
        <f>'QTR Raw'!BB15</f>
        <v>773</v>
      </c>
      <c r="CI36" s="23">
        <f>'QTR Raw'!BC15</f>
        <v>725</v>
      </c>
      <c r="CJ36" s="23">
        <f>'QTR Raw'!BD15</f>
        <v>717</v>
      </c>
      <c r="CK36" s="23">
        <f>'QTR Raw'!BE15</f>
        <v>744</v>
      </c>
      <c r="CL36" s="23">
        <f>'QTR Raw'!BF15</f>
        <v>794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2980</v>
      </c>
    </row>
    <row r="37" spans="1:110" s="23" customFormat="1" outlineLevel="1" x14ac:dyDescent="0.2">
      <c r="A37" s="23" t="s">
        <v>11</v>
      </c>
      <c r="B37" s="23">
        <f>'Annual Raw'!C18</f>
        <v>0</v>
      </c>
      <c r="C37" s="23">
        <f>'Annual Raw'!D18</f>
        <v>0</v>
      </c>
      <c r="D37" s="23">
        <f>'Annual Raw'!E18</f>
        <v>0</v>
      </c>
      <c r="E37" s="23">
        <f>'Annual Raw'!F18</f>
        <v>0</v>
      </c>
      <c r="F37" s="23">
        <f>'Annual Raw'!G18</f>
        <v>0</v>
      </c>
      <c r="G37" s="23">
        <f>'Annual Raw'!H18</f>
        <v>0</v>
      </c>
      <c r="H37" s="23">
        <f>'Annual Raw'!I18</f>
        <v>0</v>
      </c>
      <c r="I37" s="23">
        <f>'Annual Raw'!J18</f>
        <v>0</v>
      </c>
      <c r="J37" s="23">
        <f>'Annual Raw'!K18</f>
        <v>0</v>
      </c>
      <c r="K37" s="23">
        <f>'Annual Raw'!L18</f>
        <v>0</v>
      </c>
      <c r="L37" s="23">
        <f>'Annual Raw'!M18</f>
        <v>0</v>
      </c>
      <c r="M37" s="23">
        <f>'Annual Raw'!N18</f>
        <v>0</v>
      </c>
      <c r="N37" s="23">
        <f>'Annual Raw'!O18</f>
        <v>0</v>
      </c>
      <c r="O37" s="23">
        <f>'Annual Raw'!P18</f>
        <v>0</v>
      </c>
      <c r="P37" s="23">
        <f>'Annual Raw'!Q18</f>
        <v>0</v>
      </c>
      <c r="Q37" s="23">
        <f>'Annual Raw'!R18</f>
        <v>0</v>
      </c>
      <c r="R37" s="23">
        <f>'Annual Raw'!S18</f>
        <v>1586</v>
      </c>
      <c r="S37" s="23">
        <f>'Annual Raw'!T18</f>
        <v>1791</v>
      </c>
      <c r="T37" s="23">
        <f>'Annual Raw'!U18</f>
        <v>2049</v>
      </c>
      <c r="U37" s="23">
        <f>'Annual Raw'!V18</f>
        <v>2093</v>
      </c>
      <c r="V37" s="23">
        <f>'Annual Raw'!W18</f>
        <v>2183</v>
      </c>
      <c r="W37" s="23">
        <f>'Annual Raw'!X18</f>
        <v>2501</v>
      </c>
      <c r="X37" s="23">
        <f>'Annual Raw'!Y18</f>
        <v>2991</v>
      </c>
      <c r="Y37" s="23">
        <f>'Annual Raw'!Z18</f>
        <v>3388</v>
      </c>
      <c r="Z37" s="23">
        <f>'Annual Raw'!AA18</f>
        <v>3428</v>
      </c>
      <c r="AA37" s="23">
        <f>'Annual Raw'!AB18</f>
        <v>3364</v>
      </c>
      <c r="AB37" s="76">
        <f t="shared" si="309"/>
        <v>0</v>
      </c>
      <c r="AC37" s="76">
        <f t="shared" si="310"/>
        <v>0</v>
      </c>
      <c r="AD37" s="76">
        <f t="shared" si="311"/>
        <v>0</v>
      </c>
      <c r="AE37" s="76">
        <f t="shared" si="312"/>
        <v>0</v>
      </c>
      <c r="AI37" s="23">
        <f>'QTR Raw'!C18</f>
        <v>0</v>
      </c>
      <c r="AJ37" s="23">
        <f>'QTR Raw'!D18</f>
        <v>0</v>
      </c>
      <c r="AK37" s="23">
        <f>'QTR Raw'!E18</f>
        <v>0</v>
      </c>
      <c r="AL37" s="23">
        <f>'QTR Raw'!F18</f>
        <v>0</v>
      </c>
      <c r="AM37" s="23">
        <f>'QTR Raw'!G18</f>
        <v>0</v>
      </c>
      <c r="AN37" s="23">
        <f>'QTR Raw'!H18</f>
        <v>0</v>
      </c>
      <c r="AO37" s="23">
        <f>'QTR Raw'!I18</f>
        <v>0</v>
      </c>
      <c r="AP37" s="23">
        <f>'QTR Raw'!J18</f>
        <v>0</v>
      </c>
      <c r="AQ37" s="23">
        <f>'QTR Raw'!K18</f>
        <v>0</v>
      </c>
      <c r="AR37" s="23">
        <f>'QTR Raw'!L18</f>
        <v>0</v>
      </c>
      <c r="AS37" s="23">
        <f>'QTR Raw'!M18</f>
        <v>0</v>
      </c>
      <c r="AT37" s="23">
        <f>'QTR Raw'!N18</f>
        <v>0</v>
      </c>
      <c r="AU37" s="23">
        <f>'QTR Raw'!O18</f>
        <v>0</v>
      </c>
      <c r="AV37" s="23">
        <f>'QTR Raw'!P18</f>
        <v>0</v>
      </c>
      <c r="AW37" s="23">
        <f>'QTR Raw'!Q18</f>
        <v>0</v>
      </c>
      <c r="AX37" s="23">
        <f>'QTR Raw'!R18</f>
        <v>0</v>
      </c>
      <c r="AY37" s="23">
        <f>'QTR Raw'!S18</f>
        <v>0</v>
      </c>
      <c r="AZ37" s="23">
        <f>'QTR Raw'!T18</f>
        <v>0</v>
      </c>
      <c r="BA37" s="23">
        <f>'QTR Raw'!U18</f>
        <v>0</v>
      </c>
      <c r="BB37" s="23">
        <f>'QTR Raw'!V18</f>
        <v>0</v>
      </c>
      <c r="BC37" s="23">
        <f>'QTR Raw'!W18</f>
        <v>0</v>
      </c>
      <c r="BD37" s="23">
        <f>'QTR Raw'!X18</f>
        <v>0</v>
      </c>
      <c r="BE37" s="23">
        <f>'QTR Raw'!Y18</f>
        <v>370</v>
      </c>
      <c r="BF37" s="23">
        <f>'QTR Raw'!Z18</f>
        <v>527</v>
      </c>
      <c r="BG37" s="23">
        <f>'QTR Raw'!AA18</f>
        <v>465</v>
      </c>
      <c r="BH37" s="23">
        <f>'QTR Raw'!AB18</f>
        <v>392</v>
      </c>
      <c r="BI37" s="23">
        <f>'QTR Raw'!AC18</f>
        <v>453</v>
      </c>
      <c r="BJ37" s="23">
        <f>'QTR Raw'!AD18</f>
        <v>0</v>
      </c>
      <c r="BK37" s="23">
        <f>'QTR Raw'!AE18</f>
        <v>461</v>
      </c>
      <c r="BL37" s="23">
        <f>'QTR Raw'!AF18</f>
        <v>413</v>
      </c>
      <c r="BM37" s="23">
        <f>'QTR Raw'!AG18</f>
        <v>513</v>
      </c>
      <c r="BN37" s="23">
        <f>'QTR Raw'!AH18</f>
        <v>0</v>
      </c>
      <c r="BO37" s="23">
        <f>'QTR Raw'!AI18</f>
        <v>347</v>
      </c>
      <c r="BP37" s="23">
        <f>'QTR Raw'!AJ18</f>
        <v>473</v>
      </c>
      <c r="BQ37" s="23">
        <f>'QTR Raw'!AK18</f>
        <v>583</v>
      </c>
      <c r="BR37" s="23">
        <f>'QTR Raw'!AL18</f>
        <v>0</v>
      </c>
      <c r="BS37" s="23">
        <f>'QTR Raw'!AM18</f>
        <v>517</v>
      </c>
      <c r="BT37" s="23">
        <f>'QTR Raw'!AN18</f>
        <v>503</v>
      </c>
      <c r="BU37" s="23">
        <f>'QTR Raw'!AO18</f>
        <v>594</v>
      </c>
      <c r="BV37" s="23">
        <f>'QTR Raw'!AP18</f>
        <v>741</v>
      </c>
      <c r="BW37" s="23">
        <f>'QTR Raw'!AQ18</f>
        <v>682</v>
      </c>
      <c r="BX37" s="23">
        <f>'QTR Raw'!AR18</f>
        <v>596</v>
      </c>
      <c r="BY37" s="23">
        <f>'QTR Raw'!AS18</f>
        <v>702</v>
      </c>
      <c r="BZ37" s="23">
        <f>'QTR Raw'!AT18</f>
        <v>822</v>
      </c>
      <c r="CA37" s="23">
        <f>'QTR Raw'!AU18</f>
        <v>809</v>
      </c>
      <c r="CB37" s="23">
        <f>'QTR Raw'!AV18</f>
        <v>631</v>
      </c>
      <c r="CC37" s="23">
        <f>'QTR Raw'!AW18</f>
        <v>743</v>
      </c>
      <c r="CD37" s="23">
        <f>'QTR Raw'!AX18</f>
        <v>1020</v>
      </c>
      <c r="CE37" s="23">
        <f>'QTR Raw'!AY18</f>
        <v>830</v>
      </c>
      <c r="CF37" s="23">
        <f>'QTR Raw'!AZ18</f>
        <v>736</v>
      </c>
      <c r="CG37" s="23">
        <f>'QTR Raw'!BA18</f>
        <v>748</v>
      </c>
      <c r="CH37" s="23">
        <f>'QTR Raw'!BB18</f>
        <v>972</v>
      </c>
      <c r="CI37" s="23">
        <f>'QTR Raw'!BC18</f>
        <v>795</v>
      </c>
      <c r="CJ37" s="23">
        <f>'QTR Raw'!BD18</f>
        <v>728</v>
      </c>
      <c r="CK37" s="23">
        <f>'QTR Raw'!BE18</f>
        <v>773</v>
      </c>
      <c r="CL37" s="23">
        <f>'QTR Raw'!BF18</f>
        <v>938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3234</v>
      </c>
    </row>
    <row r="38" spans="1:110" s="22" customFormat="1" x14ac:dyDescent="0.2">
      <c r="A38" s="33" t="s">
        <v>348</v>
      </c>
      <c r="B38" s="22">
        <f t="shared" ref="B38:E38" si="315">+SUM(B32:B37)</f>
        <v>0</v>
      </c>
      <c r="C38" s="22">
        <f t="shared" si="315"/>
        <v>0</v>
      </c>
      <c r="D38" s="22">
        <f t="shared" si="315"/>
        <v>0</v>
      </c>
      <c r="E38" s="22">
        <f t="shared" si="315"/>
        <v>0</v>
      </c>
      <c r="F38" s="22">
        <f t="shared" ref="F38:AE38" si="316">+SUM(F32:F37)</f>
        <v>0</v>
      </c>
      <c r="G38" s="22">
        <f t="shared" si="316"/>
        <v>0</v>
      </c>
      <c r="H38" s="22">
        <f t="shared" si="316"/>
        <v>0</v>
      </c>
      <c r="I38" s="22">
        <f t="shared" si="316"/>
        <v>0</v>
      </c>
      <c r="J38" s="22">
        <f t="shared" si="316"/>
        <v>0</v>
      </c>
      <c r="K38" s="22">
        <f t="shared" si="316"/>
        <v>0</v>
      </c>
      <c r="L38" s="22">
        <f t="shared" si="316"/>
        <v>0</v>
      </c>
      <c r="M38" s="22">
        <f t="shared" si="316"/>
        <v>0</v>
      </c>
      <c r="N38" s="22">
        <f t="shared" si="316"/>
        <v>0</v>
      </c>
      <c r="O38" s="22">
        <f t="shared" si="316"/>
        <v>0</v>
      </c>
      <c r="P38" s="22">
        <f t="shared" si="316"/>
        <v>0</v>
      </c>
      <c r="Q38" s="22">
        <f t="shared" si="316"/>
        <v>0</v>
      </c>
      <c r="R38" s="22">
        <f t="shared" si="316"/>
        <v>4296</v>
      </c>
      <c r="S38" s="22">
        <f t="shared" si="316"/>
        <v>5049</v>
      </c>
      <c r="T38" s="22">
        <f t="shared" si="316"/>
        <v>5871</v>
      </c>
      <c r="U38" s="22">
        <f t="shared" si="316"/>
        <v>5845</v>
      </c>
      <c r="V38" s="22">
        <f t="shared" si="316"/>
        <v>5805</v>
      </c>
      <c r="W38" s="22">
        <f t="shared" si="316"/>
        <v>7442</v>
      </c>
      <c r="X38" s="22">
        <f t="shared" si="316"/>
        <v>9262</v>
      </c>
      <c r="Y38" s="22">
        <f t="shared" si="316"/>
        <v>9351</v>
      </c>
      <c r="Z38" s="22">
        <f t="shared" ref="Z38:AA38" si="317">+SUM(Z32:Z37)</f>
        <v>9245</v>
      </c>
      <c r="AA38" s="22">
        <f t="shared" ref="AA38" si="318">+SUM(AA32:AA37)</f>
        <v>9383</v>
      </c>
      <c r="AB38" s="21">
        <f t="shared" si="316"/>
        <v>10220.638743663412</v>
      </c>
      <c r="AC38" s="21">
        <f t="shared" si="316"/>
        <v>10905.904390275602</v>
      </c>
      <c r="AD38" s="21">
        <f t="shared" si="316"/>
        <v>11662.197459060886</v>
      </c>
      <c r="AE38" s="21">
        <f t="shared" si="316"/>
        <v>12477.127633461099</v>
      </c>
      <c r="AI38" s="22">
        <f t="shared" ref="AI38:BN38" si="319">+SUM(AI32:AI37)</f>
        <v>0</v>
      </c>
      <c r="AJ38" s="22">
        <f t="shared" si="319"/>
        <v>0</v>
      </c>
      <c r="AK38" s="22">
        <f t="shared" si="319"/>
        <v>0</v>
      </c>
      <c r="AL38" s="22">
        <f t="shared" si="319"/>
        <v>0</v>
      </c>
      <c r="AM38" s="22">
        <f t="shared" si="319"/>
        <v>0</v>
      </c>
      <c r="AN38" s="22">
        <f t="shared" si="319"/>
        <v>0</v>
      </c>
      <c r="AO38" s="22">
        <f t="shared" si="319"/>
        <v>0</v>
      </c>
      <c r="AP38" s="22">
        <f t="shared" si="319"/>
        <v>0</v>
      </c>
      <c r="AQ38" s="22">
        <f t="shared" si="319"/>
        <v>0</v>
      </c>
      <c r="AR38" s="22">
        <f t="shared" si="319"/>
        <v>0</v>
      </c>
      <c r="AS38" s="22">
        <f t="shared" si="319"/>
        <v>0</v>
      </c>
      <c r="AT38" s="22">
        <f t="shared" si="319"/>
        <v>0</v>
      </c>
      <c r="AU38" s="22">
        <f t="shared" si="319"/>
        <v>0</v>
      </c>
      <c r="AV38" s="22">
        <f t="shared" si="319"/>
        <v>0</v>
      </c>
      <c r="AW38" s="22">
        <f t="shared" si="319"/>
        <v>0</v>
      </c>
      <c r="AX38" s="22">
        <f t="shared" si="319"/>
        <v>0</v>
      </c>
      <c r="AY38" s="22">
        <f t="shared" si="319"/>
        <v>0</v>
      </c>
      <c r="AZ38" s="22">
        <f t="shared" si="319"/>
        <v>0</v>
      </c>
      <c r="BA38" s="22">
        <f t="shared" si="319"/>
        <v>0</v>
      </c>
      <c r="BB38" s="22">
        <f t="shared" si="319"/>
        <v>0</v>
      </c>
      <c r="BC38" s="22">
        <f t="shared" si="319"/>
        <v>0</v>
      </c>
      <c r="BD38" s="22">
        <f t="shared" si="319"/>
        <v>0</v>
      </c>
      <c r="BE38" s="22">
        <f t="shared" si="319"/>
        <v>1203</v>
      </c>
      <c r="BF38" s="22">
        <f t="shared" si="319"/>
        <v>1531</v>
      </c>
      <c r="BG38" s="22">
        <f t="shared" si="319"/>
        <v>1403</v>
      </c>
      <c r="BH38" s="22">
        <f t="shared" si="319"/>
        <v>1354</v>
      </c>
      <c r="BI38" s="22">
        <f t="shared" si="319"/>
        <v>1419</v>
      </c>
      <c r="BJ38" s="22">
        <f t="shared" si="319"/>
        <v>1570</v>
      </c>
      <c r="BK38" s="22">
        <f t="shared" si="319"/>
        <v>1448</v>
      </c>
      <c r="BL38" s="22">
        <f t="shared" si="319"/>
        <v>1385</v>
      </c>
      <c r="BM38" s="22">
        <f t="shared" si="319"/>
        <v>1530</v>
      </c>
      <c r="BN38" s="22">
        <f t="shared" si="319"/>
        <v>1459</v>
      </c>
      <c r="BO38" s="22">
        <f t="shared" ref="BO38:CH38" si="320">+SUM(BO32:BO37)</f>
        <v>976</v>
      </c>
      <c r="BP38" s="22">
        <f t="shared" si="320"/>
        <v>1281</v>
      </c>
      <c r="BQ38" s="22">
        <f t="shared" si="320"/>
        <v>1645</v>
      </c>
      <c r="BR38" s="22">
        <f t="shared" si="320"/>
        <v>1895</v>
      </c>
      <c r="BS38" s="22">
        <f t="shared" si="320"/>
        <v>1613</v>
      </c>
      <c r="BT38" s="22">
        <f t="shared" si="320"/>
        <v>1626</v>
      </c>
      <c r="BU38" s="22">
        <f t="shared" si="320"/>
        <v>1884</v>
      </c>
      <c r="BV38" s="22">
        <f t="shared" si="320"/>
        <v>2265</v>
      </c>
      <c r="BW38" s="22">
        <f t="shared" si="320"/>
        <v>2296</v>
      </c>
      <c r="BX38" s="22">
        <f t="shared" si="320"/>
        <v>2151</v>
      </c>
      <c r="BY38" s="22">
        <f t="shared" si="320"/>
        <v>2341</v>
      </c>
      <c r="BZ38" s="22">
        <f t="shared" si="320"/>
        <v>2455</v>
      </c>
      <c r="CA38" s="22">
        <f t="shared" si="320"/>
        <v>2448</v>
      </c>
      <c r="CB38" s="22">
        <f t="shared" si="320"/>
        <v>2027</v>
      </c>
      <c r="CC38" s="22">
        <f t="shared" si="320"/>
        <v>2199</v>
      </c>
      <c r="CD38" s="22">
        <f t="shared" si="320"/>
        <v>2675</v>
      </c>
      <c r="CE38" s="22">
        <f t="shared" si="320"/>
        <v>2347</v>
      </c>
      <c r="CF38" s="22">
        <f t="shared" si="320"/>
        <v>2208</v>
      </c>
      <c r="CG38" s="22">
        <f t="shared" si="320"/>
        <v>2158</v>
      </c>
      <c r="CH38" s="22">
        <f t="shared" si="320"/>
        <v>2532</v>
      </c>
      <c r="CI38" s="22">
        <f t="shared" ref="CI38:CJ38" si="321">+SUM(CI32:CI37)</f>
        <v>2286</v>
      </c>
      <c r="CJ38" s="22">
        <f t="shared" si="321"/>
        <v>2216</v>
      </c>
      <c r="CK38" s="22">
        <f t="shared" ref="CK38:CL38" si="322">+SUM(CK32:CK37)</f>
        <v>2320</v>
      </c>
      <c r="CL38" s="22">
        <f t="shared" si="322"/>
        <v>2561</v>
      </c>
      <c r="CM38" s="21">
        <f t="shared" ref="CM38:DB38" si="323">CM39*CM22</f>
        <v>2419.1562872731138</v>
      </c>
      <c r="CN38" s="21">
        <f t="shared" si="323"/>
        <v>2360.6689500789048</v>
      </c>
      <c r="CO38" s="21">
        <f t="shared" si="323"/>
        <v>2477.3738444776272</v>
      </c>
      <c r="CP38" s="21">
        <f t="shared" si="323"/>
        <v>2963.4396618337673</v>
      </c>
      <c r="CQ38" s="21">
        <f t="shared" si="323"/>
        <v>2553.7666853278115</v>
      </c>
      <c r="CR38" s="21">
        <f t="shared" si="323"/>
        <v>2508.7499180186969</v>
      </c>
      <c r="CS38" s="21">
        <f t="shared" si="323"/>
        <v>2649.6472375756193</v>
      </c>
      <c r="CT38" s="21">
        <f t="shared" si="323"/>
        <v>3193.7405493534739</v>
      </c>
      <c r="CU38" s="21">
        <f t="shared" si="323"/>
        <v>2723.1767813457991</v>
      </c>
      <c r="CV38" s="21">
        <f t="shared" si="323"/>
        <v>2681.9717139342365</v>
      </c>
      <c r="CW38" s="21">
        <f t="shared" si="323"/>
        <v>2836.8156701233374</v>
      </c>
      <c r="CX38" s="21">
        <f t="shared" si="323"/>
        <v>3420.2332936575121</v>
      </c>
      <c r="CY38" s="21">
        <f t="shared" si="323"/>
        <v>2911.7085042411072</v>
      </c>
      <c r="CZ38" s="21">
        <f t="shared" si="323"/>
        <v>2869.5975822096384</v>
      </c>
      <c r="DA38" s="21">
        <f t="shared" si="323"/>
        <v>3035.921383574851</v>
      </c>
      <c r="DB38" s="21">
        <f t="shared" si="323"/>
        <v>3659.9001634355018</v>
      </c>
      <c r="DE38" s="126"/>
      <c r="DF38" s="22">
        <v>9383</v>
      </c>
    </row>
    <row r="39" spans="1:110" s="44" customFormat="1" x14ac:dyDescent="0.2">
      <c r="A39" s="43" t="s">
        <v>349</v>
      </c>
      <c r="B39" s="44" t="e">
        <f t="shared" ref="B39:E39" si="324">B38/B22</f>
        <v>#DIV/0!</v>
      </c>
      <c r="C39" s="44" t="e">
        <f t="shared" si="324"/>
        <v>#DIV/0!</v>
      </c>
      <c r="D39" s="44" t="e">
        <f t="shared" si="324"/>
        <v>#DIV/0!</v>
      </c>
      <c r="E39" s="44" t="e">
        <f t="shared" si="324"/>
        <v>#DIV/0!</v>
      </c>
      <c r="F39" s="44" t="e">
        <f t="shared" ref="F39:AE39" si="325">F38/F22</f>
        <v>#DIV/0!</v>
      </c>
      <c r="G39" s="44" t="e">
        <f t="shared" si="325"/>
        <v>#DIV/0!</v>
      </c>
      <c r="H39" s="44" t="e">
        <f t="shared" si="325"/>
        <v>#DIV/0!</v>
      </c>
      <c r="I39" s="44" t="e">
        <f t="shared" si="325"/>
        <v>#DIV/0!</v>
      </c>
      <c r="J39" s="44" t="e">
        <f t="shared" si="325"/>
        <v>#DIV/0!</v>
      </c>
      <c r="K39" s="44" t="e">
        <f t="shared" si="325"/>
        <v>#DIV/0!</v>
      </c>
      <c r="L39" s="44" t="e">
        <f t="shared" si="325"/>
        <v>#DIV/0!</v>
      </c>
      <c r="M39" s="44" t="e">
        <f t="shared" si="325"/>
        <v>#DIV/0!</v>
      </c>
      <c r="N39" s="44" t="e">
        <f t="shared" si="325"/>
        <v>#DIV/0!</v>
      </c>
      <c r="O39" s="44" t="e">
        <f t="shared" si="325"/>
        <v>#DIV/0!</v>
      </c>
      <c r="P39" s="44" t="e">
        <f t="shared" si="325"/>
        <v>#DIV/0!</v>
      </c>
      <c r="Q39" s="44" t="e">
        <f t="shared" si="325"/>
        <v>#DIV/0!</v>
      </c>
      <c r="R39" s="44">
        <f t="shared" si="325"/>
        <v>0.57687659460185314</v>
      </c>
      <c r="S39" s="44">
        <f t="shared" si="325"/>
        <v>0.58846153846153848</v>
      </c>
      <c r="T39" s="44">
        <f t="shared" si="325"/>
        <v>0.61904259805989037</v>
      </c>
      <c r="U39" s="44">
        <f t="shared" si="325"/>
        <v>0.60419681620839361</v>
      </c>
      <c r="V39" s="44">
        <f t="shared" si="325"/>
        <v>0.5741839762611276</v>
      </c>
      <c r="W39" s="44">
        <f t="shared" si="325"/>
        <v>0.65940102782208043</v>
      </c>
      <c r="X39" s="44">
        <f t="shared" si="325"/>
        <v>0.68344155844155841</v>
      </c>
      <c r="Y39" s="44">
        <f t="shared" si="325"/>
        <v>0.63651215029609964</v>
      </c>
      <c r="Z39" s="44">
        <f t="shared" ref="Z39:AA39" si="326">Z38/Z22</f>
        <v>0.6613018597997139</v>
      </c>
      <c r="AA39" s="44">
        <f t="shared" ref="AA39" si="327">AA38/AA22</f>
        <v>0.63381518508511214</v>
      </c>
      <c r="AB39" s="52">
        <f t="shared" si="325"/>
        <v>0.63337602342730237</v>
      </c>
      <c r="AC39" s="52">
        <f t="shared" si="325"/>
        <v>0.63269427461975203</v>
      </c>
      <c r="AD39" s="52">
        <f t="shared" si="325"/>
        <v>0.63247451821593703</v>
      </c>
      <c r="AE39" s="52">
        <f t="shared" si="325"/>
        <v>0.63242334824975821</v>
      </c>
      <c r="AI39" s="44" t="e">
        <f t="shared" ref="AI39:BN39" si="328">AI38/AI22</f>
        <v>#DIV/0!</v>
      </c>
      <c r="AJ39" s="44" t="e">
        <f t="shared" si="328"/>
        <v>#DIV/0!</v>
      </c>
      <c r="AK39" s="44" t="e">
        <f t="shared" si="328"/>
        <v>#DIV/0!</v>
      </c>
      <c r="AL39" s="44" t="e">
        <f t="shared" si="328"/>
        <v>#DIV/0!</v>
      </c>
      <c r="AM39" s="44" t="e">
        <f t="shared" si="328"/>
        <v>#DIV/0!</v>
      </c>
      <c r="AN39" s="44" t="e">
        <f t="shared" si="328"/>
        <v>#DIV/0!</v>
      </c>
      <c r="AO39" s="44" t="e">
        <f t="shared" si="328"/>
        <v>#DIV/0!</v>
      </c>
      <c r="AP39" s="44" t="e">
        <f t="shared" si="328"/>
        <v>#DIV/0!</v>
      </c>
      <c r="AQ39" s="44" t="e">
        <f t="shared" si="328"/>
        <v>#DIV/0!</v>
      </c>
      <c r="AR39" s="44" t="e">
        <f t="shared" si="328"/>
        <v>#DIV/0!</v>
      </c>
      <c r="AS39" s="44" t="e">
        <f t="shared" si="328"/>
        <v>#DIV/0!</v>
      </c>
      <c r="AT39" s="44" t="e">
        <f t="shared" si="328"/>
        <v>#DIV/0!</v>
      </c>
      <c r="AU39" s="44" t="e">
        <f t="shared" si="328"/>
        <v>#DIV/0!</v>
      </c>
      <c r="AV39" s="44" t="e">
        <f t="shared" si="328"/>
        <v>#DIV/0!</v>
      </c>
      <c r="AW39" s="44" t="e">
        <f t="shared" si="328"/>
        <v>#DIV/0!</v>
      </c>
      <c r="AX39" s="44" t="e">
        <f t="shared" si="328"/>
        <v>#DIV/0!</v>
      </c>
      <c r="AY39" s="44" t="e">
        <f t="shared" si="328"/>
        <v>#DIV/0!</v>
      </c>
      <c r="AZ39" s="44" t="e">
        <f t="shared" si="328"/>
        <v>#DIV/0!</v>
      </c>
      <c r="BA39" s="44" t="e">
        <f t="shared" si="328"/>
        <v>#DIV/0!</v>
      </c>
      <c r="BB39" s="44" t="e">
        <f t="shared" si="328"/>
        <v>#DIV/0!</v>
      </c>
      <c r="BC39" s="44" t="e">
        <f t="shared" si="328"/>
        <v>#DIV/0!</v>
      </c>
      <c r="BD39" s="44" t="e">
        <f t="shared" si="328"/>
        <v>#DIV/0!</v>
      </c>
      <c r="BE39" s="44">
        <f t="shared" si="328"/>
        <v>0.58144030932817792</v>
      </c>
      <c r="BF39" s="44">
        <f t="shared" si="328"/>
        <v>0.58546845124282987</v>
      </c>
      <c r="BG39" s="44">
        <f t="shared" si="328"/>
        <v>0.59676733304976604</v>
      </c>
      <c r="BH39" s="44">
        <f t="shared" si="328"/>
        <v>0.65824015556635873</v>
      </c>
      <c r="BI39" s="44">
        <f t="shared" si="328"/>
        <v>0.65573012939001851</v>
      </c>
      <c r="BJ39" s="44">
        <f t="shared" si="328"/>
        <v>0.5524278676988037</v>
      </c>
      <c r="BK39" s="44">
        <f t="shared" si="328"/>
        <v>0.57075285770595197</v>
      </c>
      <c r="BL39" s="44">
        <f t="shared" si="328"/>
        <v>0.62051971326164879</v>
      </c>
      <c r="BM39" s="44">
        <f t="shared" si="328"/>
        <v>0.63327814569536423</v>
      </c>
      <c r="BN39" s="44">
        <f t="shared" si="328"/>
        <v>0.59236703207470565</v>
      </c>
      <c r="BO39" s="44">
        <f t="shared" ref="BO39:CH39" si="329">BO38/BO22</f>
        <v>0.51341399263545506</v>
      </c>
      <c r="BP39" s="44">
        <f t="shared" si="329"/>
        <v>0.55382619974059666</v>
      </c>
      <c r="BQ39" s="44">
        <f t="shared" si="329"/>
        <v>0.60102301790281332</v>
      </c>
      <c r="BR39" s="44">
        <f t="shared" si="329"/>
        <v>0.60139638210092039</v>
      </c>
      <c r="BS39" s="44">
        <f t="shared" si="329"/>
        <v>0.62253956001543809</v>
      </c>
      <c r="BT39" s="44">
        <f t="shared" si="329"/>
        <v>0.62998837659821771</v>
      </c>
      <c r="BU39" s="44">
        <f t="shared" si="329"/>
        <v>0.68910021945866862</v>
      </c>
      <c r="BV39" s="44">
        <f t="shared" si="329"/>
        <v>0.67011834319526631</v>
      </c>
      <c r="BW39" s="44">
        <f t="shared" si="329"/>
        <v>0.69533615990308906</v>
      </c>
      <c r="BX39" s="44">
        <f t="shared" si="329"/>
        <v>0.72399865365196903</v>
      </c>
      <c r="BY39" s="44">
        <f t="shared" si="329"/>
        <v>0.69776453055141585</v>
      </c>
      <c r="BZ39" s="44">
        <f t="shared" si="329"/>
        <v>0.62707535121328228</v>
      </c>
      <c r="CA39" s="44">
        <f t="shared" si="329"/>
        <v>0.67493796526054595</v>
      </c>
      <c r="CB39" s="44">
        <f t="shared" si="329"/>
        <v>0.64287979701871234</v>
      </c>
      <c r="CC39" s="44">
        <f t="shared" si="329"/>
        <v>0.61015538290788018</v>
      </c>
      <c r="CD39" s="44">
        <f t="shared" si="329"/>
        <v>0.62108195960065016</v>
      </c>
      <c r="CE39" s="44">
        <f t="shared" si="329"/>
        <v>0.64816349074841206</v>
      </c>
      <c r="CF39" s="44">
        <f t="shared" si="329"/>
        <v>0.71525753158406224</v>
      </c>
      <c r="CG39" s="44">
        <f t="shared" si="329"/>
        <v>0.67840301791889346</v>
      </c>
      <c r="CH39" s="44">
        <f t="shared" si="329"/>
        <v>0.61891957956489851</v>
      </c>
      <c r="CI39" s="44">
        <f t="shared" ref="CI39:CJ39" si="330">CI38/CI22</f>
        <v>0.62871287128712872</v>
      </c>
      <c r="CJ39" s="44">
        <f t="shared" si="330"/>
        <v>0.64852209540532635</v>
      </c>
      <c r="CK39" s="44">
        <f t="shared" ref="CK39:CL39" si="331">CK38/CK22</f>
        <v>0.66172276098117511</v>
      </c>
      <c r="CL39" s="44">
        <f t="shared" si="331"/>
        <v>0.60329799764428738</v>
      </c>
      <c r="CM39" s="52">
        <f>AVERAGE(CI39:CL39)</f>
        <v>0.63556393132947941</v>
      </c>
      <c r="CN39" s="52">
        <f t="shared" ref="CN39:CP39" si="332">AVERAGE(CJ39:CM39)</f>
        <v>0.63727669634006712</v>
      </c>
      <c r="CO39" s="52">
        <f t="shared" si="332"/>
        <v>0.6344653465737522</v>
      </c>
      <c r="CP39" s="52">
        <f t="shared" si="332"/>
        <v>0.62765099297189653</v>
      </c>
      <c r="CQ39" s="52">
        <f>AVERAGE(CM39:CP39)</f>
        <v>0.63373924180379881</v>
      </c>
      <c r="CR39" s="52">
        <f>AVERAGE(CN39:CQ39)</f>
        <v>0.63328306942237866</v>
      </c>
      <c r="CS39" s="52">
        <f t="shared" ref="CS39:CY39" si="333">AVERAGE(CO39:CR39)</f>
        <v>0.63228466269295658</v>
      </c>
      <c r="CT39" s="52">
        <f t="shared" si="333"/>
        <v>0.63173949172275767</v>
      </c>
      <c r="CU39" s="52">
        <f t="shared" si="333"/>
        <v>0.63276161641047302</v>
      </c>
      <c r="CV39" s="52">
        <f t="shared" si="333"/>
        <v>0.63251721006214146</v>
      </c>
      <c r="CW39" s="52">
        <f t="shared" si="333"/>
        <v>0.63232574522208218</v>
      </c>
      <c r="CX39" s="52">
        <f t="shared" si="333"/>
        <v>0.63233601585436361</v>
      </c>
      <c r="CY39" s="52">
        <f t="shared" si="333"/>
        <v>0.63248514688726509</v>
      </c>
      <c r="CZ39" s="52">
        <f t="shared" ref="CZ39:DB39" si="334">AVERAGE(CV39:CY39)</f>
        <v>0.63241602950646303</v>
      </c>
      <c r="DA39" s="52">
        <f t="shared" si="334"/>
        <v>0.63239073436754345</v>
      </c>
      <c r="DB39" s="52">
        <f t="shared" si="334"/>
        <v>0.63240698165390885</v>
      </c>
      <c r="DE39" s="128"/>
      <c r="DF39" s="44">
        <v>0.63381518508511214</v>
      </c>
    </row>
    <row r="40" spans="1:110" s="26" customFormat="1" x14ac:dyDescent="0.2">
      <c r="A40" s="34" t="s">
        <v>13</v>
      </c>
      <c r="B40" s="26">
        <f t="shared" ref="B40:E40" si="335">B28-B38</f>
        <v>0</v>
      </c>
      <c r="C40" s="26">
        <f t="shared" si="335"/>
        <v>0</v>
      </c>
      <c r="D40" s="26">
        <f t="shared" si="335"/>
        <v>0</v>
      </c>
      <c r="E40" s="26">
        <f t="shared" si="335"/>
        <v>0</v>
      </c>
      <c r="F40" s="26">
        <f t="shared" ref="F40:AE40" si="336">F28-F38</f>
        <v>0</v>
      </c>
      <c r="G40" s="26">
        <f t="shared" si="336"/>
        <v>0</v>
      </c>
      <c r="H40" s="26">
        <f t="shared" si="336"/>
        <v>0</v>
      </c>
      <c r="I40" s="26">
        <f t="shared" si="336"/>
        <v>0</v>
      </c>
      <c r="J40" s="26">
        <f t="shared" si="336"/>
        <v>0</v>
      </c>
      <c r="K40" s="26">
        <f t="shared" si="336"/>
        <v>0</v>
      </c>
      <c r="L40" s="26">
        <f t="shared" si="336"/>
        <v>0</v>
      </c>
      <c r="M40" s="26">
        <f t="shared" si="336"/>
        <v>0</v>
      </c>
      <c r="N40" s="26">
        <f t="shared" si="336"/>
        <v>0</v>
      </c>
      <c r="O40" s="26">
        <f t="shared" si="336"/>
        <v>0</v>
      </c>
      <c r="P40" s="26">
        <f t="shared" si="336"/>
        <v>0</v>
      </c>
      <c r="Q40" s="26">
        <f t="shared" si="336"/>
        <v>0</v>
      </c>
      <c r="R40" s="26">
        <f t="shared" si="336"/>
        <v>1894</v>
      </c>
      <c r="S40" s="26">
        <f t="shared" si="336"/>
        <v>2021</v>
      </c>
      <c r="T40" s="26">
        <f t="shared" si="336"/>
        <v>1828</v>
      </c>
      <c r="U40" s="26">
        <f t="shared" si="336"/>
        <v>2083</v>
      </c>
      <c r="V40" s="26">
        <f t="shared" si="336"/>
        <v>2762</v>
      </c>
      <c r="W40" s="26">
        <f t="shared" si="336"/>
        <v>2372</v>
      </c>
      <c r="X40" s="26">
        <f t="shared" si="336"/>
        <v>2309</v>
      </c>
      <c r="Y40" s="26">
        <f t="shared" si="336"/>
        <v>2637</v>
      </c>
      <c r="Z40" s="26">
        <f t="shared" ref="Z40:AA40" si="337">Z28-Z38</f>
        <v>2407</v>
      </c>
      <c r="AA40" s="26">
        <f t="shared" ref="AA40" si="338">AA28-AA38</f>
        <v>3083</v>
      </c>
      <c r="AB40" s="27">
        <f t="shared" si="336"/>
        <v>3462.7926399180978</v>
      </c>
      <c r="AC40" s="27">
        <f t="shared" si="336"/>
        <v>3917.5868223794496</v>
      </c>
      <c r="AD40" s="27">
        <f t="shared" si="336"/>
        <v>4209.0931645623714</v>
      </c>
      <c r="AE40" s="27">
        <f t="shared" si="336"/>
        <v>4508.4809285377123</v>
      </c>
      <c r="AI40" s="26">
        <f t="shared" ref="AI40:BN40" si="339">AI28-AI38</f>
        <v>0</v>
      </c>
      <c r="AJ40" s="26">
        <f t="shared" si="339"/>
        <v>0</v>
      </c>
      <c r="AK40" s="26">
        <f t="shared" si="339"/>
        <v>0</v>
      </c>
      <c r="AL40" s="26">
        <f t="shared" si="339"/>
        <v>0</v>
      </c>
      <c r="AM40" s="26">
        <f t="shared" si="339"/>
        <v>0</v>
      </c>
      <c r="AN40" s="26">
        <f t="shared" si="339"/>
        <v>0</v>
      </c>
      <c r="AO40" s="26">
        <f t="shared" si="339"/>
        <v>0</v>
      </c>
      <c r="AP40" s="26">
        <f t="shared" si="339"/>
        <v>0</v>
      </c>
      <c r="AQ40" s="26">
        <f t="shared" si="339"/>
        <v>0</v>
      </c>
      <c r="AR40" s="26">
        <f t="shared" si="339"/>
        <v>0</v>
      </c>
      <c r="AS40" s="26">
        <f t="shared" si="339"/>
        <v>0</v>
      </c>
      <c r="AT40" s="26">
        <f t="shared" si="339"/>
        <v>0</v>
      </c>
      <c r="AU40" s="26">
        <f t="shared" si="339"/>
        <v>0</v>
      </c>
      <c r="AV40" s="26">
        <f t="shared" si="339"/>
        <v>0</v>
      </c>
      <c r="AW40" s="26">
        <f t="shared" si="339"/>
        <v>0</v>
      </c>
      <c r="AX40" s="26">
        <f t="shared" si="339"/>
        <v>0</v>
      </c>
      <c r="AY40" s="26">
        <f t="shared" si="339"/>
        <v>0</v>
      </c>
      <c r="AZ40" s="26">
        <f t="shared" si="339"/>
        <v>0</v>
      </c>
      <c r="BA40" s="26">
        <f t="shared" si="339"/>
        <v>0</v>
      </c>
      <c r="BB40" s="26">
        <f t="shared" si="339"/>
        <v>0</v>
      </c>
      <c r="BC40" s="26">
        <f t="shared" si="339"/>
        <v>0</v>
      </c>
      <c r="BD40" s="26">
        <f t="shared" si="339"/>
        <v>0</v>
      </c>
      <c r="BE40" s="26">
        <f t="shared" si="339"/>
        <v>478</v>
      </c>
      <c r="BF40" s="26">
        <f t="shared" si="339"/>
        <v>567</v>
      </c>
      <c r="BG40" s="26">
        <f t="shared" si="339"/>
        <v>506</v>
      </c>
      <c r="BH40" s="26">
        <f t="shared" si="339"/>
        <v>348</v>
      </c>
      <c r="BI40" s="26">
        <f t="shared" si="339"/>
        <v>380</v>
      </c>
      <c r="BJ40" s="26">
        <f t="shared" si="339"/>
        <v>649</v>
      </c>
      <c r="BK40" s="26">
        <f t="shared" si="339"/>
        <v>666</v>
      </c>
      <c r="BL40" s="26">
        <f t="shared" si="339"/>
        <v>471</v>
      </c>
      <c r="BM40" s="26">
        <f t="shared" si="339"/>
        <v>455</v>
      </c>
      <c r="BN40" s="26">
        <f t="shared" si="339"/>
        <v>488</v>
      </c>
      <c r="BO40" s="26">
        <f t="shared" ref="BO40:CT40" si="340">BO28-BO38</f>
        <v>615</v>
      </c>
      <c r="BP40" s="26">
        <f t="shared" si="340"/>
        <v>698</v>
      </c>
      <c r="BQ40" s="26">
        <f t="shared" si="340"/>
        <v>681</v>
      </c>
      <c r="BR40" s="26">
        <f t="shared" si="340"/>
        <v>768</v>
      </c>
      <c r="BS40" s="26">
        <f t="shared" si="340"/>
        <v>713</v>
      </c>
      <c r="BT40" s="26">
        <f t="shared" si="340"/>
        <v>621</v>
      </c>
      <c r="BU40" s="26">
        <f t="shared" si="340"/>
        <v>409</v>
      </c>
      <c r="BV40" s="26">
        <f t="shared" si="340"/>
        <v>683</v>
      </c>
      <c r="BW40" s="26">
        <f t="shared" si="340"/>
        <v>586</v>
      </c>
      <c r="BX40" s="26">
        <f t="shared" si="340"/>
        <v>379</v>
      </c>
      <c r="BY40" s="26">
        <f t="shared" si="340"/>
        <v>644</v>
      </c>
      <c r="BZ40" s="26">
        <f t="shared" si="340"/>
        <v>710</v>
      </c>
      <c r="CA40" s="26">
        <f t="shared" si="340"/>
        <v>613</v>
      </c>
      <c r="CB40" s="26">
        <f t="shared" si="340"/>
        <v>593</v>
      </c>
      <c r="CC40" s="26">
        <f t="shared" si="340"/>
        <v>779</v>
      </c>
      <c r="CD40" s="26">
        <f t="shared" si="340"/>
        <v>654</v>
      </c>
      <c r="CE40" s="26">
        <f t="shared" si="340"/>
        <v>669</v>
      </c>
      <c r="CF40" s="26">
        <f t="shared" si="340"/>
        <v>434</v>
      </c>
      <c r="CG40" s="26">
        <f t="shared" si="340"/>
        <v>511</v>
      </c>
      <c r="CH40" s="26">
        <f t="shared" si="340"/>
        <v>793</v>
      </c>
      <c r="CI40" s="26">
        <f t="shared" ref="CI40:CJ40" si="341">CI28-CI38</f>
        <v>883</v>
      </c>
      <c r="CJ40" s="26">
        <f t="shared" si="341"/>
        <v>696</v>
      </c>
      <c r="CK40" s="26">
        <f t="shared" ref="CK40:CL40" si="342">CK28-CK38</f>
        <v>602</v>
      </c>
      <c r="CL40" s="26">
        <f t="shared" si="342"/>
        <v>902</v>
      </c>
      <c r="CM40" s="27">
        <f t="shared" si="340"/>
        <v>822.59929503343574</v>
      </c>
      <c r="CN40" s="27">
        <f t="shared" si="340"/>
        <v>775.61139905546224</v>
      </c>
      <c r="CO40" s="27">
        <f t="shared" si="340"/>
        <v>823.06573949720359</v>
      </c>
      <c r="CP40" s="27">
        <f t="shared" si="340"/>
        <v>1041.5162063319963</v>
      </c>
      <c r="CQ40" s="27">
        <f t="shared" si="340"/>
        <v>897.40508102941158</v>
      </c>
      <c r="CR40" s="27">
        <f t="shared" si="340"/>
        <v>888.78922411216126</v>
      </c>
      <c r="CS40" s="27">
        <f t="shared" si="340"/>
        <v>955.99250482507978</v>
      </c>
      <c r="CT40" s="27">
        <f t="shared" si="340"/>
        <v>1175.4000124127983</v>
      </c>
      <c r="CU40" s="27">
        <f t="shared" ref="CU40:DB40" si="343">CU28-CU38</f>
        <v>976.58631964201641</v>
      </c>
      <c r="CV40" s="27">
        <f t="shared" si="343"/>
        <v>966.65680677914179</v>
      </c>
      <c r="CW40" s="27">
        <f t="shared" si="343"/>
        <v>1026.8364311822756</v>
      </c>
      <c r="CX40" s="27">
        <f t="shared" si="343"/>
        <v>1239.0136069589398</v>
      </c>
      <c r="CY40" s="27">
        <f t="shared" si="343"/>
        <v>1050.5984741832467</v>
      </c>
      <c r="CZ40" s="27">
        <f t="shared" si="343"/>
        <v>1036.9820059215022</v>
      </c>
      <c r="DA40" s="27">
        <f t="shared" si="343"/>
        <v>1097.8003512262071</v>
      </c>
      <c r="DB40" s="27">
        <f t="shared" si="343"/>
        <v>1323.1000972067577</v>
      </c>
      <c r="DE40" s="121"/>
      <c r="DF40" s="26">
        <v>3083</v>
      </c>
    </row>
    <row r="41" spans="1:110" s="168" customFormat="1" x14ac:dyDescent="0.2">
      <c r="A41" s="165" t="s">
        <v>14</v>
      </c>
      <c r="B41" s="166" t="e">
        <f t="shared" ref="B41:E41" si="344">B40/B22</f>
        <v>#DIV/0!</v>
      </c>
      <c r="C41" s="166" t="e">
        <f t="shared" si="344"/>
        <v>#DIV/0!</v>
      </c>
      <c r="D41" s="166" t="e">
        <f t="shared" si="344"/>
        <v>#DIV/0!</v>
      </c>
      <c r="E41" s="166" t="e">
        <f t="shared" si="344"/>
        <v>#DIV/0!</v>
      </c>
      <c r="F41" s="166" t="e">
        <f t="shared" ref="F41:AE41" si="345">F40/F22</f>
        <v>#DIV/0!</v>
      </c>
      <c r="G41" s="166" t="e">
        <f t="shared" si="345"/>
        <v>#DIV/0!</v>
      </c>
      <c r="H41" s="166" t="e">
        <f t="shared" si="345"/>
        <v>#DIV/0!</v>
      </c>
      <c r="I41" s="166" t="e">
        <f t="shared" si="345"/>
        <v>#DIV/0!</v>
      </c>
      <c r="J41" s="166" t="e">
        <f t="shared" si="345"/>
        <v>#DIV/0!</v>
      </c>
      <c r="K41" s="166" t="e">
        <f t="shared" si="345"/>
        <v>#DIV/0!</v>
      </c>
      <c r="L41" s="166" t="e">
        <f t="shared" si="345"/>
        <v>#DIV/0!</v>
      </c>
      <c r="M41" s="166" t="e">
        <f t="shared" si="345"/>
        <v>#DIV/0!</v>
      </c>
      <c r="N41" s="166" t="e">
        <f t="shared" si="345"/>
        <v>#DIV/0!</v>
      </c>
      <c r="O41" s="166" t="e">
        <f t="shared" si="345"/>
        <v>#DIV/0!</v>
      </c>
      <c r="P41" s="166" t="e">
        <f t="shared" si="345"/>
        <v>#DIV/0!</v>
      </c>
      <c r="Q41" s="166" t="e">
        <f t="shared" si="345"/>
        <v>#DIV/0!</v>
      </c>
      <c r="R41" s="166">
        <f t="shared" si="345"/>
        <v>0.25433060292735332</v>
      </c>
      <c r="S41" s="166">
        <f t="shared" si="345"/>
        <v>0.23554778554778555</v>
      </c>
      <c r="T41" s="166">
        <f t="shared" si="345"/>
        <v>0.1927456769295656</v>
      </c>
      <c r="U41" s="166">
        <f t="shared" si="345"/>
        <v>0.21531941285921025</v>
      </c>
      <c r="V41" s="166">
        <f t="shared" si="345"/>
        <v>0.27319485657764592</v>
      </c>
      <c r="W41" s="166">
        <f t="shared" si="345"/>
        <v>0.2101718943824207</v>
      </c>
      <c r="X41" s="166">
        <f t="shared" si="345"/>
        <v>0.17038075560802834</v>
      </c>
      <c r="Y41" s="166">
        <f t="shared" si="345"/>
        <v>0.17949765162344292</v>
      </c>
      <c r="Z41" s="166">
        <f t="shared" ref="Z41:AA41" si="346">Z40/Z22</f>
        <v>0.17217453505007152</v>
      </c>
      <c r="AA41" s="166">
        <f t="shared" ref="AA41" si="347">AA40/AA22</f>
        <v>0.2082545258038368</v>
      </c>
      <c r="AB41" s="167">
        <f t="shared" si="345"/>
        <v>0.21459029002315785</v>
      </c>
      <c r="AC41" s="167">
        <f t="shared" si="345"/>
        <v>0.2272745720249825</v>
      </c>
      <c r="AD41" s="167">
        <f t="shared" si="345"/>
        <v>0.22827123110612746</v>
      </c>
      <c r="AE41" s="167">
        <f t="shared" si="345"/>
        <v>0.22851963112884099</v>
      </c>
      <c r="AI41" s="166" t="e">
        <f t="shared" ref="AI41:BN41" si="348">AI40/AI22</f>
        <v>#DIV/0!</v>
      </c>
      <c r="AJ41" s="166" t="e">
        <f t="shared" si="348"/>
        <v>#DIV/0!</v>
      </c>
      <c r="AK41" s="166" t="e">
        <f t="shared" si="348"/>
        <v>#DIV/0!</v>
      </c>
      <c r="AL41" s="166" t="e">
        <f t="shared" si="348"/>
        <v>#DIV/0!</v>
      </c>
      <c r="AM41" s="166" t="e">
        <f t="shared" si="348"/>
        <v>#DIV/0!</v>
      </c>
      <c r="AN41" s="166" t="e">
        <f t="shared" si="348"/>
        <v>#DIV/0!</v>
      </c>
      <c r="AO41" s="166" t="e">
        <f t="shared" si="348"/>
        <v>#DIV/0!</v>
      </c>
      <c r="AP41" s="166" t="e">
        <f t="shared" si="348"/>
        <v>#DIV/0!</v>
      </c>
      <c r="AQ41" s="166" t="e">
        <f t="shared" si="348"/>
        <v>#DIV/0!</v>
      </c>
      <c r="AR41" s="166" t="e">
        <f t="shared" si="348"/>
        <v>#DIV/0!</v>
      </c>
      <c r="AS41" s="166" t="e">
        <f t="shared" si="348"/>
        <v>#DIV/0!</v>
      </c>
      <c r="AT41" s="166" t="e">
        <f t="shared" si="348"/>
        <v>#DIV/0!</v>
      </c>
      <c r="AU41" s="166" t="e">
        <f t="shared" si="348"/>
        <v>#DIV/0!</v>
      </c>
      <c r="AV41" s="166" t="e">
        <f t="shared" si="348"/>
        <v>#DIV/0!</v>
      </c>
      <c r="AW41" s="166" t="e">
        <f t="shared" si="348"/>
        <v>#DIV/0!</v>
      </c>
      <c r="AX41" s="166" t="e">
        <f t="shared" si="348"/>
        <v>#DIV/0!</v>
      </c>
      <c r="AY41" s="166" t="e">
        <f t="shared" si="348"/>
        <v>#DIV/0!</v>
      </c>
      <c r="AZ41" s="166" t="e">
        <f t="shared" si="348"/>
        <v>#DIV/0!</v>
      </c>
      <c r="BA41" s="166" t="e">
        <f t="shared" si="348"/>
        <v>#DIV/0!</v>
      </c>
      <c r="BB41" s="166" t="e">
        <f t="shared" si="348"/>
        <v>#DIV/0!</v>
      </c>
      <c r="BC41" s="166" t="e">
        <f t="shared" si="348"/>
        <v>#DIV/0!</v>
      </c>
      <c r="BD41" s="166" t="e">
        <f t="shared" si="348"/>
        <v>#DIV/0!</v>
      </c>
      <c r="BE41" s="166">
        <f t="shared" si="348"/>
        <v>0.23102948284195263</v>
      </c>
      <c r="BF41" s="166">
        <f t="shared" si="348"/>
        <v>0.21682600382409178</v>
      </c>
      <c r="BG41" s="166">
        <f t="shared" si="348"/>
        <v>0.21522756273925989</v>
      </c>
      <c r="BH41" s="166">
        <f t="shared" si="348"/>
        <v>0.16917841516771998</v>
      </c>
      <c r="BI41" s="166">
        <f t="shared" si="348"/>
        <v>0.1756007393715342</v>
      </c>
      <c r="BJ41" s="166">
        <f t="shared" si="348"/>
        <v>0.22836030964109783</v>
      </c>
      <c r="BK41" s="166">
        <f t="shared" si="348"/>
        <v>0.26251478123768229</v>
      </c>
      <c r="BL41" s="166">
        <f t="shared" si="348"/>
        <v>0.21102150537634409</v>
      </c>
      <c r="BM41" s="166">
        <f t="shared" si="348"/>
        <v>0.18832781456953643</v>
      </c>
      <c r="BN41" s="166">
        <f t="shared" si="348"/>
        <v>0.19813235891189607</v>
      </c>
      <c r="BO41" s="166">
        <f t="shared" ref="BO41:CT41" si="349">BO40/BO22</f>
        <v>0.32351394003156231</v>
      </c>
      <c r="BP41" s="166">
        <f t="shared" si="349"/>
        <v>0.30177258971033288</v>
      </c>
      <c r="BQ41" s="166">
        <f t="shared" si="349"/>
        <v>0.24881256850566313</v>
      </c>
      <c r="BR41" s="166">
        <f t="shared" si="349"/>
        <v>0.24373214852427802</v>
      </c>
      <c r="BS41" s="166">
        <f t="shared" si="349"/>
        <v>0.27518332690081049</v>
      </c>
      <c r="BT41" s="166">
        <f t="shared" si="349"/>
        <v>0.24060441689267725</v>
      </c>
      <c r="BU41" s="166">
        <f t="shared" si="349"/>
        <v>0.14959765910753475</v>
      </c>
      <c r="BV41" s="166">
        <f t="shared" si="349"/>
        <v>0.20207100591715976</v>
      </c>
      <c r="BW41" s="166">
        <f t="shared" si="349"/>
        <v>0.17746820109024833</v>
      </c>
      <c r="BX41" s="166">
        <f t="shared" si="349"/>
        <v>0.12756647593402895</v>
      </c>
      <c r="BY41" s="166">
        <f t="shared" si="349"/>
        <v>0.19195230998509688</v>
      </c>
      <c r="BZ41" s="166">
        <f t="shared" si="349"/>
        <v>0.18135376756066413</v>
      </c>
      <c r="CA41" s="166">
        <f t="shared" si="349"/>
        <v>0.1690102012682658</v>
      </c>
      <c r="CB41" s="166">
        <f t="shared" si="349"/>
        <v>0.18807484934982557</v>
      </c>
      <c r="CC41" s="166">
        <f t="shared" si="349"/>
        <v>0.21614872364039955</v>
      </c>
      <c r="CD41" s="166">
        <f t="shared" si="349"/>
        <v>0.15184583236591595</v>
      </c>
      <c r="CE41" s="166">
        <f t="shared" si="349"/>
        <v>0.18475559237779618</v>
      </c>
      <c r="CF41" s="166">
        <f t="shared" si="349"/>
        <v>0.14058956916099774</v>
      </c>
      <c r="CG41" s="166">
        <f t="shared" si="349"/>
        <v>0.16064130776485383</v>
      </c>
      <c r="CH41" s="166">
        <f t="shared" si="349"/>
        <v>0.19384013688584698</v>
      </c>
      <c r="CI41" s="166">
        <f t="shared" ref="CI41:CJ41" si="350">CI40/CI22</f>
        <v>0.24284928492849284</v>
      </c>
      <c r="CJ41" s="166">
        <f t="shared" si="350"/>
        <v>0.20368744512730466</v>
      </c>
      <c r="CK41" s="166">
        <f t="shared" ref="CK41:CL41" si="351">CK40/CK22</f>
        <v>0.17170564746149458</v>
      </c>
      <c r="CL41" s="166">
        <f t="shared" si="351"/>
        <v>0.21248527679623086</v>
      </c>
      <c r="CM41" s="167">
        <f t="shared" si="349"/>
        <v>0.21611437202745923</v>
      </c>
      <c r="CN41" s="167">
        <f t="shared" si="349"/>
        <v>0.20938093417005429</v>
      </c>
      <c r="CO41" s="167">
        <f t="shared" si="349"/>
        <v>0.21079042665568551</v>
      </c>
      <c r="CP41" s="167">
        <f t="shared" si="349"/>
        <v>0.22059118986619999</v>
      </c>
      <c r="CQ41" s="167">
        <f t="shared" si="349"/>
        <v>0.22269881540468631</v>
      </c>
      <c r="CR41" s="167">
        <f t="shared" si="349"/>
        <v>0.22435682563362186</v>
      </c>
      <c r="CS41" s="167">
        <f t="shared" si="349"/>
        <v>0.2281282541608784</v>
      </c>
      <c r="CT41" s="167">
        <f t="shared" si="349"/>
        <v>0.23250060389623761</v>
      </c>
      <c r="CU41" s="167">
        <f t="shared" ref="CU41:DB41" si="352">CU40/CU22</f>
        <v>0.22692112477385584</v>
      </c>
      <c r="CV41" s="167">
        <f t="shared" si="352"/>
        <v>0.22797670211614837</v>
      </c>
      <c r="CW41" s="167">
        <f t="shared" si="352"/>
        <v>0.2288816712367801</v>
      </c>
      <c r="CX41" s="167">
        <f t="shared" si="352"/>
        <v>0.2290700255057555</v>
      </c>
      <c r="CY41" s="167">
        <f t="shared" si="352"/>
        <v>0.22821238090813492</v>
      </c>
      <c r="CZ41" s="167">
        <f t="shared" si="352"/>
        <v>0.22853519494170463</v>
      </c>
      <c r="DA41" s="167">
        <f t="shared" si="352"/>
        <v>0.22867481814809373</v>
      </c>
      <c r="DB41" s="167">
        <f t="shared" si="352"/>
        <v>0.22862310487592208</v>
      </c>
      <c r="DE41" s="169"/>
      <c r="DF41" s="168">
        <v>0.2082545258038368</v>
      </c>
    </row>
    <row r="42" spans="1:110" s="38" customFormat="1" x14ac:dyDescent="0.2">
      <c r="A42" s="39" t="s">
        <v>449</v>
      </c>
      <c r="B42" s="39"/>
      <c r="C42" s="39" t="e">
        <f t="shared" ref="C42:E42" si="353">+IF(B40&lt;0,1-C40/B40,C40/B40-1)</f>
        <v>#DIV/0!</v>
      </c>
      <c r="D42" s="39" t="e">
        <f t="shared" si="353"/>
        <v>#DIV/0!</v>
      </c>
      <c r="E42" s="39" t="e">
        <f t="shared" si="353"/>
        <v>#DIV/0!</v>
      </c>
      <c r="F42" s="39" t="e">
        <f t="shared" ref="F42:Y42" si="354">+IF(E40&lt;0,1-F40/E40,F40/E40-1)</f>
        <v>#DIV/0!</v>
      </c>
      <c r="G42" s="39" t="e">
        <f t="shared" si="354"/>
        <v>#DIV/0!</v>
      </c>
      <c r="H42" s="39" t="e">
        <f t="shared" si="354"/>
        <v>#DIV/0!</v>
      </c>
      <c r="I42" s="39" t="e">
        <f t="shared" si="354"/>
        <v>#DIV/0!</v>
      </c>
      <c r="J42" s="39" t="e">
        <f t="shared" si="354"/>
        <v>#DIV/0!</v>
      </c>
      <c r="K42" s="39" t="e">
        <f t="shared" si="354"/>
        <v>#DIV/0!</v>
      </c>
      <c r="L42" s="39" t="e">
        <f t="shared" si="354"/>
        <v>#DIV/0!</v>
      </c>
      <c r="M42" s="39" t="e">
        <f t="shared" si="354"/>
        <v>#DIV/0!</v>
      </c>
      <c r="N42" s="39" t="e">
        <f t="shared" si="354"/>
        <v>#DIV/0!</v>
      </c>
      <c r="O42" s="39" t="e">
        <f t="shared" si="354"/>
        <v>#DIV/0!</v>
      </c>
      <c r="P42" s="39" t="e">
        <f t="shared" si="354"/>
        <v>#DIV/0!</v>
      </c>
      <c r="Q42" s="39" t="e">
        <f t="shared" si="354"/>
        <v>#DIV/0!</v>
      </c>
      <c r="R42" s="39" t="e">
        <f t="shared" si="354"/>
        <v>#DIV/0!</v>
      </c>
      <c r="S42" s="39">
        <f t="shared" si="354"/>
        <v>6.7053854276663216E-2</v>
      </c>
      <c r="T42" s="39">
        <f t="shared" si="354"/>
        <v>-9.5497278574962929E-2</v>
      </c>
      <c r="U42" s="39">
        <f t="shared" si="354"/>
        <v>0.13949671772428873</v>
      </c>
      <c r="V42" s="39">
        <f t="shared" si="354"/>
        <v>0.32597215554488712</v>
      </c>
      <c r="W42" s="39">
        <f t="shared" si="354"/>
        <v>-0.14120202751629252</v>
      </c>
      <c r="X42" s="39">
        <f t="shared" si="354"/>
        <v>-2.6559865092748769E-2</v>
      </c>
      <c r="Y42" s="39">
        <f t="shared" si="354"/>
        <v>0.14205283672585534</v>
      </c>
      <c r="Z42" s="39">
        <f t="shared" ref="Z42:AE42" si="355">+IF(Y40&lt;0,1-Z40/Y40,Z40/Y40-1)</f>
        <v>-8.7220326128175985E-2</v>
      </c>
      <c r="AA42" s="39">
        <f t="shared" si="355"/>
        <v>0.28084752804320723</v>
      </c>
      <c r="AB42" s="40">
        <f t="shared" si="355"/>
        <v>0.12318930908793324</v>
      </c>
      <c r="AC42" s="40">
        <f t="shared" si="355"/>
        <v>0.13133740011417738</v>
      </c>
      <c r="AD42" s="40">
        <f t="shared" si="355"/>
        <v>7.4409669880875162E-2</v>
      </c>
      <c r="AE42" s="40">
        <f t="shared" si="355"/>
        <v>7.1128804298269621E-2</v>
      </c>
      <c r="AI42" s="39"/>
      <c r="AJ42" s="39"/>
      <c r="AK42" s="39"/>
      <c r="AL42" s="39"/>
      <c r="AM42" s="39" t="e">
        <f>+IF(AI40&lt;0,1-AM40/AI40,AM40/AI40-1)</f>
        <v>#DIV/0!</v>
      </c>
      <c r="AN42" s="39" t="e">
        <f t="shared" ref="AN42" si="356">+IF(AJ40&lt;0,1-AN40/AJ40,AN40/AJ40-1)</f>
        <v>#DIV/0!</v>
      </c>
      <c r="AO42" s="39" t="e">
        <f t="shared" ref="AO42" si="357">+IF(AK40&lt;0,1-AO40/AK40,AO40/AK40-1)</f>
        <v>#DIV/0!</v>
      </c>
      <c r="AP42" s="39" t="e">
        <f t="shared" ref="AP42" si="358">+IF(AL40&lt;0,1-AP40/AL40,AP40/AL40-1)</f>
        <v>#DIV/0!</v>
      </c>
      <c r="AQ42" s="39" t="e">
        <f t="shared" ref="AQ42" si="359">+IF(AM40&lt;0,1-AQ40/AM40,AQ40/AM40-1)</f>
        <v>#DIV/0!</v>
      </c>
      <c r="AR42" s="39" t="e">
        <f t="shared" ref="AR42" si="360">+IF(AN40&lt;0,1-AR40/AN40,AR40/AN40-1)</f>
        <v>#DIV/0!</v>
      </c>
      <c r="AS42" s="39" t="e">
        <f t="shared" ref="AS42" si="361">+IF(AO40&lt;0,1-AS40/AO40,AS40/AO40-1)</f>
        <v>#DIV/0!</v>
      </c>
      <c r="AT42" s="39" t="e">
        <f t="shared" ref="AT42" si="362">+IF(AP40&lt;0,1-AT40/AP40,AT40/AP40-1)</f>
        <v>#DIV/0!</v>
      </c>
      <c r="AU42" s="39" t="e">
        <f t="shared" ref="AU42" si="363">+IF(AQ40&lt;0,1-AU40/AQ40,AU40/AQ40-1)</f>
        <v>#DIV/0!</v>
      </c>
      <c r="AV42" s="39" t="e">
        <f t="shared" ref="AV42" si="364">+IF(AR40&lt;0,1-AV40/AR40,AV40/AR40-1)</f>
        <v>#DIV/0!</v>
      </c>
      <c r="AW42" s="39" t="e">
        <f t="shared" ref="AW42" si="365">+IF(AS40&lt;0,1-AW40/AS40,AW40/AS40-1)</f>
        <v>#DIV/0!</v>
      </c>
      <c r="AX42" s="39" t="e">
        <f t="shared" ref="AX42" si="366">+IF(AT40&lt;0,1-AX40/AT40,AX40/AT40-1)</f>
        <v>#DIV/0!</v>
      </c>
      <c r="AY42" s="39" t="e">
        <f t="shared" ref="AY42" si="367">+IF(AU40&lt;0,1-AY40/AU40,AY40/AU40-1)</f>
        <v>#DIV/0!</v>
      </c>
      <c r="AZ42" s="39" t="e">
        <f t="shared" ref="AZ42" si="368">+IF(AV40&lt;0,1-AZ40/AV40,AZ40/AV40-1)</f>
        <v>#DIV/0!</v>
      </c>
      <c r="BA42" s="39" t="e">
        <f t="shared" ref="BA42" si="369">+IF(AW40&lt;0,1-BA40/AW40,BA40/AW40-1)</f>
        <v>#DIV/0!</v>
      </c>
      <c r="BB42" s="39" t="e">
        <f t="shared" ref="BB42" si="370">+IF(AX40&lt;0,1-BB40/AX40,BB40/AX40-1)</f>
        <v>#DIV/0!</v>
      </c>
      <c r="BC42" s="39" t="e">
        <f t="shared" ref="BC42" si="371">+IF(AY40&lt;0,1-BC40/AY40,BC40/AY40-1)</f>
        <v>#DIV/0!</v>
      </c>
      <c r="BD42" s="39" t="e">
        <f t="shared" ref="BD42" si="372">+IF(AZ40&lt;0,1-BD40/AZ40,BD40/AZ40-1)</f>
        <v>#DIV/0!</v>
      </c>
      <c r="BE42" s="39" t="e">
        <f t="shared" ref="BE42" si="373">+IF(BA40&lt;0,1-BE40/BA40,BE40/BA40-1)</f>
        <v>#DIV/0!</v>
      </c>
      <c r="BF42" s="39" t="e">
        <f t="shared" ref="BF42" si="374">+IF(BB40&lt;0,1-BF40/BB40,BF40/BB40-1)</f>
        <v>#DIV/0!</v>
      </c>
      <c r="BG42" s="39" t="e">
        <f t="shared" ref="BG42" si="375">+IF(BC40&lt;0,1-BG40/BC40,BG40/BC40-1)</f>
        <v>#DIV/0!</v>
      </c>
      <c r="BH42" s="39" t="e">
        <f t="shared" ref="BH42" si="376">+IF(BD40&lt;0,1-BH40/BD40,BH40/BD40-1)</f>
        <v>#DIV/0!</v>
      </c>
      <c r="BI42" s="39">
        <f t="shared" ref="BI42" si="377">+IF(BE40&lt;0,1-BI40/BE40,BI40/BE40-1)</f>
        <v>-0.20502092050209209</v>
      </c>
      <c r="BJ42" s="39">
        <f t="shared" ref="BJ42" si="378">+IF(BF40&lt;0,1-BJ40/BF40,BJ40/BF40-1)</f>
        <v>0.14462081128747806</v>
      </c>
      <c r="BK42" s="39">
        <f t="shared" ref="BK42" si="379">+IF(BG40&lt;0,1-BK40/BG40,BK40/BG40-1)</f>
        <v>0.3162055335968379</v>
      </c>
      <c r="BL42" s="39">
        <f t="shared" ref="BL42" si="380">+IF(BH40&lt;0,1-BL40/BH40,BL40/BH40-1)</f>
        <v>0.35344827586206895</v>
      </c>
      <c r="BM42" s="39">
        <f t="shared" ref="BM42" si="381">+IF(BI40&lt;0,1-BM40/BI40,BM40/BI40-1)</f>
        <v>0.19736842105263164</v>
      </c>
      <c r="BN42" s="39">
        <f t="shared" ref="BN42" si="382">+IF(BJ40&lt;0,1-BN40/BJ40,BN40/BJ40-1)</f>
        <v>-0.24807395993836667</v>
      </c>
      <c r="BO42" s="39">
        <f t="shared" ref="BO42" si="383">+IF(BK40&lt;0,1-BO40/BK40,BO40/BK40-1)</f>
        <v>-7.6576576576576572E-2</v>
      </c>
      <c r="BP42" s="39">
        <f t="shared" ref="BP42" si="384">+IF(BL40&lt;0,1-BP40/BL40,BP40/BL40-1)</f>
        <v>0.48195329087048822</v>
      </c>
      <c r="BQ42" s="39">
        <f t="shared" ref="BQ42" si="385">+IF(BM40&lt;0,1-BQ40/BM40,BQ40/BM40-1)</f>
        <v>0.49670329670329672</v>
      </c>
      <c r="BR42" s="39">
        <f t="shared" ref="BR42" si="386">+IF(BN40&lt;0,1-BR40/BN40,BR40/BN40-1)</f>
        <v>0.57377049180327866</v>
      </c>
      <c r="BS42" s="39">
        <f t="shared" ref="BS42" si="387">+IF(BO40&lt;0,1-BS40/BO40,BS40/BO40-1)</f>
        <v>0.15934959349593503</v>
      </c>
      <c r="BT42" s="39">
        <f t="shared" ref="BT42" si="388">+IF(BP40&lt;0,1-BT40/BP40,BT40/BP40-1)</f>
        <v>-0.11031518624641834</v>
      </c>
      <c r="BU42" s="39">
        <f t="shared" ref="BU42" si="389">+IF(BQ40&lt;0,1-BU40/BQ40,BU40/BQ40-1)</f>
        <v>-0.39941262848751835</v>
      </c>
      <c r="BV42" s="39">
        <f t="shared" ref="BV42" si="390">+IF(BR40&lt;0,1-BV40/BR40,BV40/BR40-1)</f>
        <v>-0.11067708333333337</v>
      </c>
      <c r="BW42" s="39">
        <f t="shared" ref="BW42" si="391">+IF(BS40&lt;0,1-BW40/BS40,BW40/BS40-1)</f>
        <v>-0.17812061711079941</v>
      </c>
      <c r="BX42" s="39">
        <f t="shared" ref="BX42" si="392">+IF(BT40&lt;0,1-BX40/BT40,BX40/BT40-1)</f>
        <v>-0.38969404186795487</v>
      </c>
      <c r="BY42" s="39">
        <f t="shared" ref="BY42" si="393">+IF(BU40&lt;0,1-BY40/BU40,BY40/BU40-1)</f>
        <v>0.57457212713936423</v>
      </c>
      <c r="BZ42" s="39">
        <f t="shared" ref="BZ42" si="394">+IF(BV40&lt;0,1-BZ40/BV40,BZ40/BV40-1)</f>
        <v>3.9531478770131745E-2</v>
      </c>
      <c r="CA42" s="39">
        <f t="shared" ref="CA42" si="395">+IF(BW40&lt;0,1-CA40/BW40,CA40/BW40-1)</f>
        <v>4.607508532423199E-2</v>
      </c>
      <c r="CB42" s="39">
        <f t="shared" ref="CB42" si="396">+IF(BX40&lt;0,1-CB40/BX40,CB40/BX40-1)</f>
        <v>0.56464379947229548</v>
      </c>
      <c r="CC42" s="39">
        <f t="shared" ref="CC42" si="397">+IF(BY40&lt;0,1-CC40/BY40,CC40/BY40-1)</f>
        <v>0.20962732919254656</v>
      </c>
      <c r="CD42" s="39">
        <f t="shared" ref="CD42" si="398">+IF(BZ40&lt;0,1-CD40/BZ40,CD40/BZ40-1)</f>
        <v>-7.8873239436619724E-2</v>
      </c>
      <c r="CE42" s="39">
        <f t="shared" ref="CE42" si="399">+IF(CA40&lt;0,1-CE40/CA40,CE40/CA40-1)</f>
        <v>9.1353996737357335E-2</v>
      </c>
      <c r="CF42" s="39">
        <f t="shared" ref="CF42" si="400">+IF(CB40&lt;0,1-CF40/CB40,CF40/CB40-1)</f>
        <v>-0.26812816188870148</v>
      </c>
      <c r="CG42" s="39">
        <f t="shared" ref="CG42" si="401">+IF(CC40&lt;0,1-CG40/CC40,CG40/CC40-1)</f>
        <v>-0.34403080872913994</v>
      </c>
      <c r="CH42" s="39">
        <f t="shared" ref="CH42:CL42" si="402">+IF(CD40&lt;0,1-CH40/CD40,CH40/CD40-1)</f>
        <v>0.21253822629969421</v>
      </c>
      <c r="CI42" s="39">
        <f t="shared" si="402"/>
        <v>0.31988041853512716</v>
      </c>
      <c r="CJ42" s="39">
        <f t="shared" si="402"/>
        <v>0.6036866359447004</v>
      </c>
      <c r="CK42" s="39">
        <f t="shared" si="402"/>
        <v>0.17808219178082196</v>
      </c>
      <c r="CL42" s="39">
        <f t="shared" si="402"/>
        <v>0.13745271122320313</v>
      </c>
      <c r="CM42" s="40">
        <f t="shared" ref="CM42" si="403">+CM40/CI40-1</f>
        <v>-6.8403969384557506E-2</v>
      </c>
      <c r="CN42" s="40">
        <f t="shared" ref="CN42" si="404">+CN40/CJ40-1</f>
        <v>0.11438419404520439</v>
      </c>
      <c r="CO42" s="40">
        <f t="shared" ref="CO42" si="405">+CO40/CK40-1</f>
        <v>0.36721883637409225</v>
      </c>
      <c r="CP42" s="40">
        <f t="shared" ref="CP42" si="406">+CP40/CL40-1</f>
        <v>0.15467428639910885</v>
      </c>
      <c r="CQ42" s="40">
        <f t="shared" ref="CQ42" si="407">+CQ40/CM40-1</f>
        <v>9.0938305500170902E-2</v>
      </c>
      <c r="CR42" s="40">
        <f t="shared" ref="CR42" si="408">+CR40/CN40-1</f>
        <v>0.14592078609794368</v>
      </c>
      <c r="CS42" s="40">
        <f t="shared" ref="CS42" si="409">+CS40/CO40-1</f>
        <v>0.16150200275506399</v>
      </c>
      <c r="CT42" s="40">
        <f t="shared" ref="CT42" si="410">+CT40/CP40-1</f>
        <v>0.12854702141631869</v>
      </c>
      <c r="CU42" s="40">
        <f t="shared" ref="CU42" si="411">+CU40/CQ40-1</f>
        <v>8.8233552814049432E-2</v>
      </c>
      <c r="CV42" s="40">
        <f t="shared" ref="CV42" si="412">+CV40/CR40-1</f>
        <v>8.7610853681045597E-2</v>
      </c>
      <c r="CW42" s="40">
        <f t="shared" ref="CW42" si="413">+CW40/CS40-1</f>
        <v>7.4105106472731608E-2</v>
      </c>
      <c r="CX42" s="40">
        <f t="shared" ref="CX42" si="414">+CX40/CT40-1</f>
        <v>5.4120804725498406E-2</v>
      </c>
      <c r="CY42" s="40">
        <f t="shared" ref="CY42" si="415">+CY40/CU40-1</f>
        <v>7.5786597715561621E-2</v>
      </c>
      <c r="CZ42" s="40">
        <f t="shared" ref="CZ42" si="416">+CZ40/CV40-1</f>
        <v>7.2750948060543719E-2</v>
      </c>
      <c r="DA42" s="40">
        <f t="shared" ref="DA42" si="417">+DA40/CW40-1</f>
        <v>6.910927377423226E-2</v>
      </c>
      <c r="DB42" s="40">
        <f t="shared" ref="DB42" si="418">+DB40/CX40-1</f>
        <v>6.7865671349809809E-2</v>
      </c>
      <c r="DE42" s="122"/>
      <c r="DF42" s="38">
        <v>0.28084752804320723</v>
      </c>
    </row>
    <row r="43" spans="1:110" s="38" customFormat="1" x14ac:dyDescent="0.2">
      <c r="A43" s="39" t="s">
        <v>450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40"/>
      <c r="AD43" s="40"/>
      <c r="AE43" s="40"/>
      <c r="AI43" s="39"/>
      <c r="AJ43" s="39" t="e">
        <f>+IF(AI40&lt;0,1-AJ40/AI40,AJ40/AI40-1)</f>
        <v>#DIV/0!</v>
      </c>
      <c r="AK43" s="39" t="e">
        <f t="shared" ref="AK43:AM43" si="419">+IF(AJ40&lt;0,1-AK40/AJ40,AK40/AJ40-1)</f>
        <v>#DIV/0!</v>
      </c>
      <c r="AL43" s="39" t="e">
        <f t="shared" si="419"/>
        <v>#DIV/0!</v>
      </c>
      <c r="AM43" s="39" t="e">
        <f t="shared" si="419"/>
        <v>#DIV/0!</v>
      </c>
      <c r="AN43" s="39" t="e">
        <f t="shared" ref="AN43" si="420">+IF(AM40&lt;0,1-AN40/AM40,AN40/AM40-1)</f>
        <v>#DIV/0!</v>
      </c>
      <c r="AO43" s="39" t="e">
        <f t="shared" ref="AO43" si="421">+IF(AN40&lt;0,1-AO40/AN40,AO40/AN40-1)</f>
        <v>#DIV/0!</v>
      </c>
      <c r="AP43" s="39" t="e">
        <f t="shared" ref="AP43" si="422">+IF(AO40&lt;0,1-AP40/AO40,AP40/AO40-1)</f>
        <v>#DIV/0!</v>
      </c>
      <c r="AQ43" s="39" t="e">
        <f t="shared" ref="AQ43" si="423">+IF(AP40&lt;0,1-AQ40/AP40,AQ40/AP40-1)</f>
        <v>#DIV/0!</v>
      </c>
      <c r="AR43" s="39" t="e">
        <f t="shared" ref="AR43" si="424">+IF(AQ40&lt;0,1-AR40/AQ40,AR40/AQ40-1)</f>
        <v>#DIV/0!</v>
      </c>
      <c r="AS43" s="39" t="e">
        <f t="shared" ref="AS43" si="425">+IF(AR40&lt;0,1-AS40/AR40,AS40/AR40-1)</f>
        <v>#DIV/0!</v>
      </c>
      <c r="AT43" s="39" t="e">
        <f t="shared" ref="AT43" si="426">+IF(AS40&lt;0,1-AT40/AS40,AT40/AS40-1)</f>
        <v>#DIV/0!</v>
      </c>
      <c r="AU43" s="39" t="e">
        <f t="shared" ref="AU43" si="427">+IF(AT40&lt;0,1-AU40/AT40,AU40/AT40-1)</f>
        <v>#DIV/0!</v>
      </c>
      <c r="AV43" s="39" t="e">
        <f t="shared" ref="AV43" si="428">+IF(AU40&lt;0,1-AV40/AU40,AV40/AU40-1)</f>
        <v>#DIV/0!</v>
      </c>
      <c r="AW43" s="39" t="e">
        <f t="shared" ref="AW43" si="429">+IF(AV40&lt;0,1-AW40/AV40,AW40/AV40-1)</f>
        <v>#DIV/0!</v>
      </c>
      <c r="AX43" s="39" t="e">
        <f t="shared" ref="AX43" si="430">+IF(AW40&lt;0,1-AX40/AW40,AX40/AW40-1)</f>
        <v>#DIV/0!</v>
      </c>
      <c r="AY43" s="39" t="e">
        <f t="shared" ref="AY43" si="431">+IF(AX40&lt;0,1-AY40/AX40,AY40/AX40-1)</f>
        <v>#DIV/0!</v>
      </c>
      <c r="AZ43" s="39" t="e">
        <f t="shared" ref="AZ43" si="432">+IF(AY40&lt;0,1-AZ40/AY40,AZ40/AY40-1)</f>
        <v>#DIV/0!</v>
      </c>
      <c r="BA43" s="39" t="e">
        <f t="shared" ref="BA43" si="433">+IF(AZ40&lt;0,1-BA40/AZ40,BA40/AZ40-1)</f>
        <v>#DIV/0!</v>
      </c>
      <c r="BB43" s="39" t="e">
        <f t="shared" ref="BB43" si="434">+IF(BA40&lt;0,1-BB40/BA40,BB40/BA40-1)</f>
        <v>#DIV/0!</v>
      </c>
      <c r="BC43" s="39" t="e">
        <f t="shared" ref="BC43" si="435">+IF(BB40&lt;0,1-BC40/BB40,BC40/BB40-1)</f>
        <v>#DIV/0!</v>
      </c>
      <c r="BD43" s="39" t="e">
        <f t="shared" ref="BD43" si="436">+IF(BC40&lt;0,1-BD40/BC40,BD40/BC40-1)</f>
        <v>#DIV/0!</v>
      </c>
      <c r="BE43" s="39" t="e">
        <f t="shared" ref="BE43" si="437">+IF(BD40&lt;0,1-BE40/BD40,BE40/BD40-1)</f>
        <v>#DIV/0!</v>
      </c>
      <c r="BF43" s="39">
        <f t="shared" ref="BF43" si="438">+IF(BE40&lt;0,1-BF40/BE40,BF40/BE40-1)</f>
        <v>0.18619246861924688</v>
      </c>
      <c r="BG43" s="39">
        <f t="shared" ref="BG43" si="439">+IF(BF40&lt;0,1-BG40/BF40,BG40/BF40-1)</f>
        <v>-0.10758377425044097</v>
      </c>
      <c r="BH43" s="39">
        <f t="shared" ref="BH43" si="440">+IF(BG40&lt;0,1-BH40/BG40,BH40/BG40-1)</f>
        <v>-0.31225296442687744</v>
      </c>
      <c r="BI43" s="39">
        <f t="shared" ref="BI43" si="441">+IF(BH40&lt;0,1-BI40/BH40,BI40/BH40-1)</f>
        <v>9.1954022988505857E-2</v>
      </c>
      <c r="BJ43" s="39">
        <f t="shared" ref="BJ43" si="442">+IF(BI40&lt;0,1-BJ40/BI40,BJ40/BI40-1)</f>
        <v>0.70789473684210535</v>
      </c>
      <c r="BK43" s="39">
        <f t="shared" ref="BK43" si="443">+IF(BJ40&lt;0,1-BK40/BJ40,BK40/BJ40-1)</f>
        <v>2.6194144838212585E-2</v>
      </c>
      <c r="BL43" s="39">
        <f t="shared" ref="BL43" si="444">+IF(BK40&lt;0,1-BL40/BK40,BL40/BK40-1)</f>
        <v>-0.2927927927927928</v>
      </c>
      <c r="BM43" s="39">
        <f t="shared" ref="BM43" si="445">+IF(BL40&lt;0,1-BM40/BL40,BM40/BL40-1)</f>
        <v>-3.3970276008492561E-2</v>
      </c>
      <c r="BN43" s="39">
        <f t="shared" ref="BN43" si="446">+IF(BM40&lt;0,1-BN40/BM40,BN40/BM40-1)</f>
        <v>7.2527472527472492E-2</v>
      </c>
      <c r="BO43" s="39">
        <f t="shared" ref="BO43" si="447">+IF(BN40&lt;0,1-BO40/BN40,BO40/BN40-1)</f>
        <v>0.26024590163934436</v>
      </c>
      <c r="BP43" s="39">
        <f t="shared" ref="BP43" si="448">+IF(BO40&lt;0,1-BP40/BO40,BP40/BO40-1)</f>
        <v>0.13495934959349598</v>
      </c>
      <c r="BQ43" s="39">
        <f t="shared" ref="BQ43" si="449">+IF(BP40&lt;0,1-BQ40/BP40,BQ40/BP40-1)</f>
        <v>-2.4355300859598805E-2</v>
      </c>
      <c r="BR43" s="39">
        <f t="shared" ref="BR43" si="450">+IF(BQ40&lt;0,1-BR40/BQ40,BR40/BQ40-1)</f>
        <v>0.12775330396475781</v>
      </c>
      <c r="BS43" s="39">
        <f t="shared" ref="BS43" si="451">+IF(BR40&lt;0,1-BS40/BR40,BS40/BR40-1)</f>
        <v>-7.161458333333337E-2</v>
      </c>
      <c r="BT43" s="39">
        <f t="shared" ref="BT43" si="452">+IF(BS40&lt;0,1-BT40/BS40,BT40/BS40-1)</f>
        <v>-0.12903225806451613</v>
      </c>
      <c r="BU43" s="39">
        <f t="shared" ref="BU43" si="453">+IF(BT40&lt;0,1-BU40/BT40,BU40/BT40-1)</f>
        <v>-0.34138486312399352</v>
      </c>
      <c r="BV43" s="39">
        <f t="shared" ref="BV43" si="454">+IF(BU40&lt;0,1-BV40/BU40,BV40/BU40-1)</f>
        <v>0.66992665036674826</v>
      </c>
      <c r="BW43" s="39">
        <f t="shared" ref="BW43" si="455">+IF(BV40&lt;0,1-BW40/BV40,BW40/BV40-1)</f>
        <v>-0.14202049780380677</v>
      </c>
      <c r="BX43" s="39">
        <f t="shared" ref="BX43" si="456">+IF(BW40&lt;0,1-BX40/BW40,BX40/BW40-1)</f>
        <v>-0.35324232081911267</v>
      </c>
      <c r="BY43" s="39">
        <f t="shared" ref="BY43" si="457">+IF(BX40&lt;0,1-BY40/BX40,BY40/BX40-1)</f>
        <v>0.69920844327176779</v>
      </c>
      <c r="BZ43" s="39">
        <f t="shared" ref="BZ43" si="458">+IF(BY40&lt;0,1-BZ40/BY40,BZ40/BY40-1)</f>
        <v>0.10248447204968936</v>
      </c>
      <c r="CA43" s="39">
        <f t="shared" ref="CA43" si="459">+IF(BZ40&lt;0,1-CA40/BZ40,CA40/BZ40-1)</f>
        <v>-0.13661971830985919</v>
      </c>
      <c r="CB43" s="39">
        <f t="shared" ref="CB43" si="460">+IF(CA40&lt;0,1-CB40/CA40,CB40/CA40-1)</f>
        <v>-3.2626427406199032E-2</v>
      </c>
      <c r="CC43" s="39">
        <f t="shared" ref="CC43" si="461">+IF(CB40&lt;0,1-CC40/CB40,CC40/CB40-1)</f>
        <v>0.31365935919055654</v>
      </c>
      <c r="CD43" s="39">
        <f t="shared" ref="CD43" si="462">+IF(CC40&lt;0,1-CD40/CC40,CD40/CC40-1)</f>
        <v>-0.16046213093709882</v>
      </c>
      <c r="CE43" s="39">
        <f t="shared" ref="CE43" si="463">+IF(CD40&lt;0,1-CE40/CD40,CE40/CD40-1)</f>
        <v>2.2935779816513735E-2</v>
      </c>
      <c r="CF43" s="39">
        <f t="shared" ref="CF43" si="464">+IF(CE40&lt;0,1-CF40/CE40,CF40/CE40-1)</f>
        <v>-0.35127055306427502</v>
      </c>
      <c r="CG43" s="39">
        <f t="shared" ref="CG43" si="465">+IF(CF40&lt;0,1-CG40/CF40,CG40/CF40-1)</f>
        <v>0.17741935483870974</v>
      </c>
      <c r="CH43" s="39">
        <f t="shared" ref="CH43:CI43" si="466">+IF(CG40&lt;0,1-CH40/CG40,CH40/CG40-1)</f>
        <v>0.55185909980430536</v>
      </c>
      <c r="CI43" s="39">
        <f t="shared" si="466"/>
        <v>0.11349306431273654</v>
      </c>
      <c r="CJ43" s="39">
        <f>+IF(CI40&gt;1,CJ40/CI40-1,1-CJ40/CI40)</f>
        <v>-0.21177802944507362</v>
      </c>
      <c r="CK43" s="39">
        <f>+IF(CJ40&gt;1,CK40/CJ40-1,1-CK40/CJ40)</f>
        <v>-0.13505747126436785</v>
      </c>
      <c r="CL43" s="39">
        <f>+IF(CK40&gt;1,CL40/CK40-1,1-CL40/CK40)</f>
        <v>0.49833887043189362</v>
      </c>
      <c r="CM43" s="40">
        <f t="shared" ref="CM43" si="467">+CM40/CL40-1</f>
        <v>-8.8027389098186526E-2</v>
      </c>
      <c r="CN43" s="40">
        <f t="shared" ref="CN43" si="468">+CN40/CM40-1</f>
        <v>-5.7121245133164855E-2</v>
      </c>
      <c r="CO43" s="40">
        <f t="shared" ref="CO43" si="469">+CO40/CN40-1</f>
        <v>6.1183139520036844E-2</v>
      </c>
      <c r="CP43" s="40">
        <f t="shared" ref="CP43" si="470">+CP40/CO40-1</f>
        <v>0.26541071551373308</v>
      </c>
      <c r="CQ43" s="40">
        <f t="shared" ref="CQ43" si="471">+CQ40/CP40-1</f>
        <v>-0.1383666662375943</v>
      </c>
      <c r="CR43" s="40">
        <f t="shared" ref="CR43" si="472">+CR40/CQ40-1</f>
        <v>-9.600855956116372E-3</v>
      </c>
      <c r="CS43" s="40">
        <f t="shared" ref="CS43" si="473">+CS40/CR40-1</f>
        <v>7.5612168655678547E-2</v>
      </c>
      <c r="CT43" s="40">
        <f t="shared" ref="CT43" si="474">+CT40/CS40-1</f>
        <v>0.22950756044668363</v>
      </c>
      <c r="CU43" s="40">
        <f t="shared" ref="CU43" si="475">+CU40/CT40-1</f>
        <v>-0.16914555952970245</v>
      </c>
      <c r="CV43" s="40">
        <f t="shared" ref="CV43" si="476">+CV40/CU40-1</f>
        <v>-1.0167573171119604E-2</v>
      </c>
      <c r="CW43" s="40">
        <f t="shared" ref="CW43" si="477">+CW40/CV40-1</f>
        <v>6.225541886333974E-2</v>
      </c>
      <c r="CX43" s="40">
        <f t="shared" ref="CX43" si="478">+CX40/CW40-1</f>
        <v>0.2066319126721754</v>
      </c>
      <c r="CY43" s="40">
        <f t="shared" ref="CY43" si="479">+CY40/CX40-1</f>
        <v>-0.15206865503127365</v>
      </c>
      <c r="CZ43" s="40">
        <f t="shared" ref="CZ43" si="480">+CZ40/CY40-1</f>
        <v>-1.2960677743540594E-2</v>
      </c>
      <c r="DA43" s="40">
        <f t="shared" ref="DA43" si="481">+DA40/CZ40-1</f>
        <v>5.8649373814986694E-2</v>
      </c>
      <c r="DB43" s="40">
        <f t="shared" ref="DB43" si="482">+DB40/DA40-1</f>
        <v>0.20522834204680129</v>
      </c>
      <c r="DE43" s="122"/>
    </row>
    <row r="44" spans="1:110" s="23" customFormat="1" x14ac:dyDescent="0.2">
      <c r="A44" s="23" t="s">
        <v>15</v>
      </c>
      <c r="B44" s="23">
        <f>'Annual Raw'!C27</f>
        <v>0</v>
      </c>
      <c r="C44" s="23">
        <f>'Annual Raw'!D27</f>
        <v>0</v>
      </c>
      <c r="D44" s="23">
        <f>'Annual Raw'!E27</f>
        <v>0</v>
      </c>
      <c r="E44" s="23">
        <f>'Annual Raw'!F27</f>
        <v>0</v>
      </c>
      <c r="F44" s="23">
        <f>'Annual Raw'!G27</f>
        <v>0</v>
      </c>
      <c r="G44" s="23">
        <f>'Annual Raw'!H27</f>
        <v>0</v>
      </c>
      <c r="H44" s="23">
        <f>'Annual Raw'!I27</f>
        <v>0</v>
      </c>
      <c r="I44" s="23">
        <f>'Annual Raw'!J27</f>
        <v>0</v>
      </c>
      <c r="J44" s="23">
        <f>'Annual Raw'!K27</f>
        <v>0</v>
      </c>
      <c r="K44" s="23">
        <f>'Annual Raw'!L27</f>
        <v>0</v>
      </c>
      <c r="L44" s="23">
        <f>'Annual Raw'!M27</f>
        <v>0</v>
      </c>
      <c r="M44" s="23">
        <f>'Annual Raw'!N27</f>
        <v>0</v>
      </c>
      <c r="N44" s="23">
        <f>'Annual Raw'!O27</f>
        <v>0</v>
      </c>
      <c r="O44" s="23">
        <f>'Annual Raw'!P27</f>
        <v>0</v>
      </c>
      <c r="P44" s="23">
        <f>'Annual Raw'!Q27</f>
        <v>0</v>
      </c>
      <c r="Q44" s="23">
        <f>'Annual Raw'!R27</f>
        <v>0</v>
      </c>
      <c r="R44" s="23">
        <f>'Annual Raw'!S27</f>
        <v>1226</v>
      </c>
      <c r="S44" s="23">
        <f>'Annual Raw'!T27</f>
        <v>1213</v>
      </c>
      <c r="T44" s="23">
        <f>'Annual Raw'!U27</f>
        <v>1296</v>
      </c>
      <c r="U44" s="23">
        <f>'Annual Raw'!V27</f>
        <v>1528</v>
      </c>
      <c r="V44" s="23">
        <f>'Annual Raw'!W27</f>
        <v>1250</v>
      </c>
      <c r="W44" s="23">
        <f>'Annual Raw'!X27</f>
        <v>1235</v>
      </c>
      <c r="X44" s="23">
        <f>'Annual Raw'!Y27</f>
        <v>1305</v>
      </c>
      <c r="Y44" s="23">
        <f>'Annual Raw'!Z27</f>
        <v>1498</v>
      </c>
      <c r="Z44" s="23">
        <f>'Annual Raw'!AA27</f>
        <v>1331</v>
      </c>
      <c r="AA44" s="23">
        <f>'Annual Raw'!AB27</f>
        <v>1349</v>
      </c>
      <c r="AB44" s="76">
        <f>+SUM(CM44:CP44)</f>
        <v>1782.8279034470399</v>
      </c>
      <c r="AC44" s="76">
        <f>+SUM(CQ44:CT44)</f>
        <v>1839.9774003357984</v>
      </c>
      <c r="AD44" s="76">
        <f>+SUM(CU44:CX44)</f>
        <v>1891.8349130067354</v>
      </c>
      <c r="AE44" s="76">
        <f>+SUM(CY44:DB44)</f>
        <v>1938.8904737171106</v>
      </c>
      <c r="AI44" s="23">
        <f>'QTR Raw'!C28</f>
        <v>0</v>
      </c>
      <c r="AJ44" s="23">
        <f>'QTR Raw'!D28</f>
        <v>0</v>
      </c>
      <c r="AK44" s="23">
        <f>'QTR Raw'!E28</f>
        <v>0</v>
      </c>
      <c r="AL44" s="23">
        <f>'QTR Raw'!F28</f>
        <v>0</v>
      </c>
      <c r="AM44" s="23">
        <f>'QTR Raw'!G28</f>
        <v>0</v>
      </c>
      <c r="AN44" s="23">
        <f>'QTR Raw'!H28</f>
        <v>0</v>
      </c>
      <c r="AO44" s="23">
        <f>'QTR Raw'!I28</f>
        <v>0</v>
      </c>
      <c r="AP44" s="23">
        <f>'QTR Raw'!J28</f>
        <v>0</v>
      </c>
      <c r="AQ44" s="23">
        <f>'QTR Raw'!K28</f>
        <v>0</v>
      </c>
      <c r="AR44" s="23">
        <f>'QTR Raw'!L28</f>
        <v>0</v>
      </c>
      <c r="AS44" s="23">
        <f>'QTR Raw'!M28</f>
        <v>0</v>
      </c>
      <c r="AT44" s="23">
        <f>'QTR Raw'!N28</f>
        <v>0</v>
      </c>
      <c r="AU44" s="23">
        <f>'QTR Raw'!O28</f>
        <v>0</v>
      </c>
      <c r="AV44" s="23">
        <f>'QTR Raw'!P28</f>
        <v>0</v>
      </c>
      <c r="AW44" s="23">
        <f>'QTR Raw'!Q28</f>
        <v>0</v>
      </c>
      <c r="AX44" s="23">
        <f>'QTR Raw'!R28</f>
        <v>0</v>
      </c>
      <c r="AY44" s="23">
        <f>'QTR Raw'!S28</f>
        <v>0</v>
      </c>
      <c r="AZ44" s="23">
        <f>'QTR Raw'!T28</f>
        <v>0</v>
      </c>
      <c r="BA44" s="23">
        <f>'QTR Raw'!U28</f>
        <v>0</v>
      </c>
      <c r="BB44" s="23">
        <f>'QTR Raw'!V28</f>
        <v>0</v>
      </c>
      <c r="BC44" s="23">
        <f>'QTR Raw'!W28</f>
        <v>0</v>
      </c>
      <c r="BD44" s="23">
        <f>'QTR Raw'!X28</f>
        <v>0</v>
      </c>
      <c r="BE44" s="23">
        <f>'QTR Raw'!Y28</f>
        <v>308</v>
      </c>
      <c r="BF44" s="23">
        <f>'QTR Raw'!Z28</f>
        <v>313</v>
      </c>
      <c r="BG44" s="23">
        <f>'QTR Raw'!AA28</f>
        <v>305</v>
      </c>
      <c r="BH44" s="23">
        <f>'QTR Raw'!AB28</f>
        <v>303</v>
      </c>
      <c r="BI44" s="23">
        <f>'QTR Raw'!AC28</f>
        <v>332</v>
      </c>
      <c r="BJ44" s="23">
        <f>'QTR Raw'!AD28</f>
        <v>356</v>
      </c>
      <c r="BK44" s="23">
        <f>'QTR Raw'!AE28</f>
        <v>342</v>
      </c>
      <c r="BL44" s="23">
        <f>'QTR Raw'!AF28</f>
        <v>406</v>
      </c>
      <c r="BM44" s="23">
        <f>'QTR Raw'!AG28</f>
        <v>405</v>
      </c>
      <c r="BN44" s="23">
        <f>'QTR Raw'!AH28</f>
        <v>375</v>
      </c>
      <c r="BO44" s="23">
        <f>'QTR Raw'!AI28</f>
        <v>298</v>
      </c>
      <c r="BP44" s="23">
        <f>'QTR Raw'!AJ28</f>
        <v>299</v>
      </c>
      <c r="BQ44" s="23">
        <f>'QTR Raw'!AK28</f>
        <v>326</v>
      </c>
      <c r="BR44" s="23">
        <f>'QTR Raw'!AL28</f>
        <v>327</v>
      </c>
      <c r="BS44" s="23">
        <f>'QTR Raw'!AM28</f>
        <v>297</v>
      </c>
      <c r="BT44" s="23">
        <f>'QTR Raw'!AN28</f>
        <v>303</v>
      </c>
      <c r="BU44" s="23">
        <f>'QTR Raw'!AO28</f>
        <v>302</v>
      </c>
      <c r="BV44" s="23">
        <f>'QTR Raw'!AP28</f>
        <v>333</v>
      </c>
      <c r="BW44" s="23">
        <f>'QTR Raw'!AQ28</f>
        <v>312</v>
      </c>
      <c r="BX44" s="23">
        <f>'QTR Raw'!AR28</f>
        <v>332</v>
      </c>
      <c r="BY44" s="23">
        <f>'QTR Raw'!AS28</f>
        <v>325</v>
      </c>
      <c r="BZ44" s="23">
        <f>'QTR Raw'!AT28</f>
        <v>336</v>
      </c>
      <c r="CA44" s="23">
        <f>'QTR Raw'!AU28</f>
        <v>399</v>
      </c>
      <c r="CB44" s="23">
        <f>'QTR Raw'!AV28</f>
        <v>401</v>
      </c>
      <c r="CC44" s="23">
        <f>'QTR Raw'!AW28</f>
        <v>370</v>
      </c>
      <c r="CD44" s="23">
        <f>'QTR Raw'!AX28</f>
        <v>328</v>
      </c>
      <c r="CE44" s="23">
        <f>'QTR Raw'!AY28</f>
        <v>317</v>
      </c>
      <c r="CF44" s="23">
        <f>'QTR Raw'!AZ28</f>
        <v>336</v>
      </c>
      <c r="CG44" s="23">
        <f>'QTR Raw'!BA28</f>
        <v>364</v>
      </c>
      <c r="CH44" s="23">
        <f>'QTR Raw'!BB28</f>
        <v>314</v>
      </c>
      <c r="CI44" s="23">
        <f>'QTR Raw'!BC28</f>
        <v>322</v>
      </c>
      <c r="CJ44" s="23">
        <f>'QTR Raw'!BD28</f>
        <v>322</v>
      </c>
      <c r="CK44" s="23">
        <f>'QTR Raw'!BE28</f>
        <v>340</v>
      </c>
      <c r="CL44" s="23">
        <f>'QTR Raw'!BF28</f>
        <v>365</v>
      </c>
      <c r="CM44" s="24">
        <f t="shared" ref="CM44:DB44" si="483">CM45*CL146</f>
        <v>440.04</v>
      </c>
      <c r="CN44" s="24">
        <f t="shared" si="483"/>
        <v>443.87903999999997</v>
      </c>
      <c r="CO44" s="24">
        <f t="shared" si="483"/>
        <v>447.62594303999998</v>
      </c>
      <c r="CP44" s="24">
        <f t="shared" si="483"/>
        <v>451.28292040703991</v>
      </c>
      <c r="CQ44" s="24">
        <f t="shared" si="483"/>
        <v>454.85213031727108</v>
      </c>
      <c r="CR44" s="24">
        <f t="shared" si="483"/>
        <v>458.33567918965645</v>
      </c>
      <c r="CS44" s="24">
        <f t="shared" si="483"/>
        <v>461.73562288910472</v>
      </c>
      <c r="CT44" s="24">
        <f t="shared" si="483"/>
        <v>465.05396793976627</v>
      </c>
      <c r="CU44" s="24">
        <f t="shared" si="483"/>
        <v>468.29267270921184</v>
      </c>
      <c r="CV44" s="24">
        <f t="shared" si="483"/>
        <v>471.45364856419076</v>
      </c>
      <c r="CW44" s="24">
        <f t="shared" si="483"/>
        <v>474.53876099865016</v>
      </c>
      <c r="CX44" s="24">
        <f t="shared" si="483"/>
        <v>477.54983073468259</v>
      </c>
      <c r="CY44" s="24">
        <f t="shared" si="483"/>
        <v>480.48863479705017</v>
      </c>
      <c r="CZ44" s="24">
        <f t="shared" si="483"/>
        <v>483.35690756192099</v>
      </c>
      <c r="DA44" s="24">
        <f t="shared" si="483"/>
        <v>486.1563417804349</v>
      </c>
      <c r="DB44" s="24">
        <f t="shared" si="483"/>
        <v>488.88858957770447</v>
      </c>
      <c r="DE44" s="123"/>
      <c r="DF44" s="23">
        <v>1349</v>
      </c>
    </row>
    <row r="45" spans="1:110" s="46" customFormat="1" x14ac:dyDescent="0.2">
      <c r="A45" s="46" t="s">
        <v>483</v>
      </c>
      <c r="B45" s="46" t="e">
        <f t="shared" ref="B45:D45" si="484">+B44/B146</f>
        <v>#DIV/0!</v>
      </c>
      <c r="C45" s="46" t="e">
        <f t="shared" si="484"/>
        <v>#DIV/0!</v>
      </c>
      <c r="D45" s="46" t="e">
        <f t="shared" si="484"/>
        <v>#DIV/0!</v>
      </c>
      <c r="E45" s="46" t="e">
        <f t="shared" ref="E45:AE45" si="485">+E44/E146</f>
        <v>#DIV/0!</v>
      </c>
      <c r="F45" s="46" t="e">
        <f t="shared" si="485"/>
        <v>#DIV/0!</v>
      </c>
      <c r="G45" s="46" t="e">
        <f t="shared" si="485"/>
        <v>#DIV/0!</v>
      </c>
      <c r="H45" s="46" t="e">
        <f t="shared" si="485"/>
        <v>#DIV/0!</v>
      </c>
      <c r="I45" s="46" t="e">
        <f t="shared" si="485"/>
        <v>#DIV/0!</v>
      </c>
      <c r="J45" s="46" t="e">
        <f t="shared" si="485"/>
        <v>#DIV/0!</v>
      </c>
      <c r="K45" s="46" t="e">
        <f t="shared" si="485"/>
        <v>#DIV/0!</v>
      </c>
      <c r="L45" s="46" t="e">
        <f t="shared" si="485"/>
        <v>#DIV/0!</v>
      </c>
      <c r="M45" s="46" t="e">
        <f t="shared" si="485"/>
        <v>#DIV/0!</v>
      </c>
      <c r="N45" s="46" t="e">
        <f t="shared" si="485"/>
        <v>#DIV/0!</v>
      </c>
      <c r="O45" s="46" t="e">
        <f t="shared" si="485"/>
        <v>#DIV/0!</v>
      </c>
      <c r="P45" s="46" t="e">
        <f t="shared" si="485"/>
        <v>#DIV/0!</v>
      </c>
      <c r="Q45" s="46" t="e">
        <f t="shared" si="485"/>
        <v>#DIV/0!</v>
      </c>
      <c r="R45" s="46">
        <f t="shared" si="485"/>
        <v>9.7224425059476607E-2</v>
      </c>
      <c r="S45" s="46">
        <f t="shared" si="485"/>
        <v>9.9950560316413972E-2</v>
      </c>
      <c r="T45" s="46">
        <f t="shared" si="485"/>
        <v>0.10842466326445244</v>
      </c>
      <c r="U45" s="46">
        <f t="shared" si="485"/>
        <v>0.13477992414218928</v>
      </c>
      <c r="V45" s="46">
        <f t="shared" si="485"/>
        <v>9.9096242270493101E-2</v>
      </c>
      <c r="W45" s="46">
        <f t="shared" si="485"/>
        <v>9.3546432358733528E-2</v>
      </c>
      <c r="X45" s="46">
        <f t="shared" si="485"/>
        <v>9.2862733935814415E-2</v>
      </c>
      <c r="Y45" s="46">
        <f t="shared" si="485"/>
        <v>9.8533184239952637E-2</v>
      </c>
      <c r="Z45" s="46">
        <f t="shared" si="485"/>
        <v>7.88040260509177E-2</v>
      </c>
      <c r="AA45" s="46">
        <f t="shared" ref="AA45" si="486">+AA44/AA146</f>
        <v>7.1168557108942238E-2</v>
      </c>
      <c r="AB45" s="110">
        <f t="shared" si="485"/>
        <v>9.4069845628475604E-2</v>
      </c>
      <c r="AC45" s="110">
        <f t="shared" si="485"/>
        <v>9.4298843824703937E-2</v>
      </c>
      <c r="AD45" s="110">
        <f t="shared" si="485"/>
        <v>9.4495550204511086E-2</v>
      </c>
      <c r="AE45" s="110">
        <f t="shared" si="485"/>
        <v>9.4665594758791077E-2</v>
      </c>
      <c r="AI45" s="46" t="e">
        <f t="shared" ref="AI45:BN45" si="487">+AI44/AH146</f>
        <v>#DIV/0!</v>
      </c>
      <c r="AJ45" s="46" t="e">
        <f t="shared" si="487"/>
        <v>#DIV/0!</v>
      </c>
      <c r="AK45" s="46" t="e">
        <f t="shared" si="487"/>
        <v>#DIV/0!</v>
      </c>
      <c r="AL45" s="46" t="e">
        <f t="shared" si="487"/>
        <v>#DIV/0!</v>
      </c>
      <c r="AM45" s="46" t="e">
        <f t="shared" si="487"/>
        <v>#DIV/0!</v>
      </c>
      <c r="AN45" s="46" t="e">
        <f t="shared" si="487"/>
        <v>#DIV/0!</v>
      </c>
      <c r="AO45" s="46" t="e">
        <f t="shared" si="487"/>
        <v>#DIV/0!</v>
      </c>
      <c r="AP45" s="46" t="e">
        <f t="shared" si="487"/>
        <v>#DIV/0!</v>
      </c>
      <c r="AQ45" s="46" t="e">
        <f t="shared" si="487"/>
        <v>#DIV/0!</v>
      </c>
      <c r="AR45" s="46" t="e">
        <f t="shared" si="487"/>
        <v>#DIV/0!</v>
      </c>
      <c r="AS45" s="46" t="e">
        <f t="shared" si="487"/>
        <v>#DIV/0!</v>
      </c>
      <c r="AT45" s="46" t="e">
        <f t="shared" si="487"/>
        <v>#DIV/0!</v>
      </c>
      <c r="AU45" s="46" t="e">
        <f t="shared" si="487"/>
        <v>#DIV/0!</v>
      </c>
      <c r="AV45" s="46" t="e">
        <f t="shared" si="487"/>
        <v>#DIV/0!</v>
      </c>
      <c r="AW45" s="46" t="e">
        <f t="shared" si="487"/>
        <v>#DIV/0!</v>
      </c>
      <c r="AX45" s="46" t="e">
        <f t="shared" si="487"/>
        <v>#DIV/0!</v>
      </c>
      <c r="AY45" s="46" t="e">
        <f t="shared" si="487"/>
        <v>#DIV/0!</v>
      </c>
      <c r="AZ45" s="46" t="e">
        <f t="shared" si="487"/>
        <v>#DIV/0!</v>
      </c>
      <c r="BA45" s="46" t="e">
        <f t="shared" si="487"/>
        <v>#DIV/0!</v>
      </c>
      <c r="BB45" s="46" t="e">
        <f t="shared" si="487"/>
        <v>#DIV/0!</v>
      </c>
      <c r="BC45" s="46" t="e">
        <f t="shared" si="487"/>
        <v>#DIV/0!</v>
      </c>
      <c r="BD45" s="46" t="e">
        <f t="shared" si="487"/>
        <v>#DIV/0!</v>
      </c>
      <c r="BE45" s="46" t="e">
        <f t="shared" si="487"/>
        <v>#DIV/0!</v>
      </c>
      <c r="BF45" s="46" t="e">
        <f t="shared" si="487"/>
        <v>#DIV/0!</v>
      </c>
      <c r="BG45" s="46" t="e">
        <f t="shared" si="487"/>
        <v>#DIV/0!</v>
      </c>
      <c r="BH45" s="46" t="e">
        <f t="shared" si="487"/>
        <v>#DIV/0!</v>
      </c>
      <c r="BI45" s="46" t="e">
        <f t="shared" si="487"/>
        <v>#DIV/0!</v>
      </c>
      <c r="BJ45" s="46" t="e">
        <f t="shared" si="487"/>
        <v>#DIV/0!</v>
      </c>
      <c r="BK45" s="46">
        <f t="shared" si="487"/>
        <v>2.8566655529568993E-2</v>
      </c>
      <c r="BL45" s="46">
        <f t="shared" si="487"/>
        <v>3.3912462412295355E-2</v>
      </c>
      <c r="BM45" s="46">
        <f t="shared" si="487"/>
        <v>4.5804116715675185E-2</v>
      </c>
      <c r="BN45" s="46">
        <f t="shared" si="487"/>
        <v>4.241121918118073E-2</v>
      </c>
      <c r="BO45" s="46">
        <f t="shared" ref="BO45:CL45" si="488">+BO44/BN146</f>
        <v>2.6590523779780495E-2</v>
      </c>
      <c r="BP45" s="46">
        <f t="shared" si="488"/>
        <v>2.6679753725350228E-2</v>
      </c>
      <c r="BQ45" s="46">
        <f t="shared" si="488"/>
        <v>2.9201003224650662E-2</v>
      </c>
      <c r="BR45" s="46">
        <f t="shared" si="488"/>
        <v>2.9290576854174129E-2</v>
      </c>
      <c r="BS45" s="46">
        <f t="shared" si="488"/>
        <v>2.3633325375984723E-2</v>
      </c>
      <c r="BT45" s="46">
        <f t="shared" si="488"/>
        <v>2.4110766292671282E-2</v>
      </c>
      <c r="BU45" s="46">
        <f t="shared" si="488"/>
        <v>2.4483177948925822E-2</v>
      </c>
      <c r="BV45" s="46">
        <f t="shared" si="488"/>
        <v>2.6996351844345359E-2</v>
      </c>
      <c r="BW45" s="46">
        <f t="shared" si="488"/>
        <v>2.381497595603389E-2</v>
      </c>
      <c r="BX45" s="46">
        <f t="shared" si="488"/>
        <v>2.5341576978856577E-2</v>
      </c>
      <c r="BY45" s="46">
        <f t="shared" si="488"/>
        <v>2.4456317254872451E-2</v>
      </c>
      <c r="BZ45" s="46">
        <f t="shared" si="488"/>
        <v>2.5284069531191212E-2</v>
      </c>
      <c r="CA45" s="46">
        <f t="shared" si="488"/>
        <v>2.8750540423692173E-2</v>
      </c>
      <c r="CB45" s="46">
        <f t="shared" si="488"/>
        <v>2.8894653408272086E-2</v>
      </c>
      <c r="CC45" s="46">
        <f t="shared" si="488"/>
        <v>2.5494384345069936E-2</v>
      </c>
      <c r="CD45" s="46">
        <f t="shared" si="488"/>
        <v>2.2600427203197132E-2</v>
      </c>
      <c r="CE45" s="46">
        <f t="shared" si="488"/>
        <v>2.1071523530975803E-2</v>
      </c>
      <c r="CF45" s="46">
        <f t="shared" si="488"/>
        <v>2.2334485509173094E-2</v>
      </c>
      <c r="CG45" s="46">
        <f t="shared" si="488"/>
        <v>2.364711232378354E-2</v>
      </c>
      <c r="CH45" s="46">
        <f t="shared" si="488"/>
        <v>2.0398882608978108E-2</v>
      </c>
      <c r="CI45" s="46">
        <f t="shared" si="488"/>
        <v>1.9064535227945531E-2</v>
      </c>
      <c r="CJ45" s="46">
        <f t="shared" si="488"/>
        <v>1.9435055528730084E-2</v>
      </c>
      <c r="CK45" s="46">
        <f t="shared" si="488"/>
        <v>2.0806560186035127E-2</v>
      </c>
      <c r="CL45" s="46">
        <f t="shared" si="488"/>
        <v>2.2811074307855759E-2</v>
      </c>
      <c r="CM45" s="47">
        <v>2.4E-2</v>
      </c>
      <c r="CN45" s="47">
        <f t="shared" ref="CN45" si="489">CM45</f>
        <v>2.4E-2</v>
      </c>
      <c r="CO45" s="47">
        <f t="shared" ref="CO45" si="490">CN45</f>
        <v>2.4E-2</v>
      </c>
      <c r="CP45" s="47">
        <f t="shared" ref="CP45" si="491">CO45</f>
        <v>2.4E-2</v>
      </c>
      <c r="CQ45" s="47">
        <f t="shared" ref="CQ45" si="492">CP45</f>
        <v>2.4E-2</v>
      </c>
      <c r="CR45" s="47">
        <f t="shared" ref="CR45" si="493">CQ45</f>
        <v>2.4E-2</v>
      </c>
      <c r="CS45" s="47">
        <f t="shared" ref="CS45" si="494">CR45</f>
        <v>2.4E-2</v>
      </c>
      <c r="CT45" s="47">
        <f t="shared" ref="CT45" si="495">CS45</f>
        <v>2.4E-2</v>
      </c>
      <c r="CU45" s="47">
        <f t="shared" ref="CU45" si="496">CT45</f>
        <v>2.4E-2</v>
      </c>
      <c r="CV45" s="47">
        <f t="shared" ref="CV45" si="497">CU45</f>
        <v>2.4E-2</v>
      </c>
      <c r="CW45" s="47">
        <f t="shared" ref="CW45" si="498">CV45</f>
        <v>2.4E-2</v>
      </c>
      <c r="CX45" s="47">
        <f t="shared" ref="CX45" si="499">CW45</f>
        <v>2.4E-2</v>
      </c>
      <c r="CY45" s="47">
        <f t="shared" ref="CY45" si="500">CX45</f>
        <v>2.4E-2</v>
      </c>
      <c r="CZ45" s="47">
        <f t="shared" ref="CZ45" si="501">CY45</f>
        <v>2.4E-2</v>
      </c>
      <c r="DA45" s="47">
        <f t="shared" ref="DA45" si="502">CZ45</f>
        <v>2.4E-2</v>
      </c>
      <c r="DB45" s="47">
        <f t="shared" ref="DB45" si="503">DA45</f>
        <v>2.4E-2</v>
      </c>
      <c r="DE45" s="130"/>
      <c r="DF45" s="46">
        <v>7.3575129533678757E-2</v>
      </c>
    </row>
    <row r="46" spans="1:110" s="26" customFormat="1" x14ac:dyDescent="0.2">
      <c r="A46" s="34" t="s">
        <v>16</v>
      </c>
      <c r="B46" s="26">
        <f>B40-B44</f>
        <v>0</v>
      </c>
      <c r="C46" s="26">
        <f t="shared" ref="C46:T46" si="504">C40-C44</f>
        <v>0</v>
      </c>
      <c r="D46" s="26">
        <f>D40-D44</f>
        <v>0</v>
      </c>
      <c r="E46" s="26">
        <f t="shared" si="504"/>
        <v>0</v>
      </c>
      <c r="F46" s="26">
        <f t="shared" si="504"/>
        <v>0</v>
      </c>
      <c r="G46" s="26">
        <f t="shared" si="504"/>
        <v>0</v>
      </c>
      <c r="H46" s="26">
        <f t="shared" si="504"/>
        <v>0</v>
      </c>
      <c r="I46" s="26">
        <f t="shared" si="504"/>
        <v>0</v>
      </c>
      <c r="J46" s="26">
        <f t="shared" si="504"/>
        <v>0</v>
      </c>
      <c r="K46" s="26">
        <f t="shared" si="504"/>
        <v>0</v>
      </c>
      <c r="L46" s="26">
        <f t="shared" si="504"/>
        <v>0</v>
      </c>
      <c r="M46" s="26">
        <f t="shared" si="504"/>
        <v>0</v>
      </c>
      <c r="N46" s="26">
        <f t="shared" si="504"/>
        <v>0</v>
      </c>
      <c r="O46" s="26">
        <f t="shared" si="504"/>
        <v>0</v>
      </c>
      <c r="P46" s="26">
        <f t="shared" si="504"/>
        <v>0</v>
      </c>
      <c r="Q46" s="26">
        <f t="shared" si="504"/>
        <v>0</v>
      </c>
      <c r="R46" s="26">
        <f t="shared" si="504"/>
        <v>668</v>
      </c>
      <c r="S46" s="26">
        <f t="shared" si="504"/>
        <v>808</v>
      </c>
      <c r="T46" s="26">
        <f t="shared" si="504"/>
        <v>532</v>
      </c>
      <c r="U46" s="26">
        <f t="shared" ref="U46:Z46" si="505">U40-U44</f>
        <v>555</v>
      </c>
      <c r="V46" s="26">
        <f t="shared" si="505"/>
        <v>1512</v>
      </c>
      <c r="W46" s="26">
        <f t="shared" si="505"/>
        <v>1137</v>
      </c>
      <c r="X46" s="26">
        <f t="shared" si="505"/>
        <v>1004</v>
      </c>
      <c r="Y46" s="26">
        <f t="shared" si="505"/>
        <v>1139</v>
      </c>
      <c r="Z46" s="26">
        <f t="shared" si="505"/>
        <v>1076</v>
      </c>
      <c r="AA46" s="26">
        <f t="shared" ref="AA46" si="506">AA40-AA44</f>
        <v>1734</v>
      </c>
      <c r="AB46" s="27">
        <f t="shared" ref="AB46:AD46" si="507">AB40-AB44</f>
        <v>1679.9647364710579</v>
      </c>
      <c r="AC46" s="27">
        <f t="shared" si="507"/>
        <v>2077.6094220436512</v>
      </c>
      <c r="AD46" s="27">
        <f t="shared" si="507"/>
        <v>2317.258251555636</v>
      </c>
      <c r="AE46" s="27">
        <f t="shared" ref="AE46" si="508">AE40-AE44</f>
        <v>2569.5904548206017</v>
      </c>
      <c r="AI46" s="26">
        <f t="shared" ref="AI46" si="509">AI40-AI44</f>
        <v>0</v>
      </c>
      <c r="AJ46" s="26">
        <f t="shared" ref="AJ46" si="510">AJ40-AJ44</f>
        <v>0</v>
      </c>
      <c r="AK46" s="26">
        <f t="shared" ref="AK46:AM46" si="511">AK40-AK44</f>
        <v>0</v>
      </c>
      <c r="AL46" s="26">
        <f t="shared" si="511"/>
        <v>0</v>
      </c>
      <c r="AM46" s="26">
        <f t="shared" si="511"/>
        <v>0</v>
      </c>
      <c r="AN46" s="26">
        <f t="shared" ref="AN46:AO46" si="512">AN40-AN44</f>
        <v>0</v>
      </c>
      <c r="AO46" s="26">
        <f t="shared" si="512"/>
        <v>0</v>
      </c>
      <c r="AP46" s="26">
        <f t="shared" ref="AP46:CD46" si="513">AP40-AP44</f>
        <v>0</v>
      </c>
      <c r="AQ46" s="26">
        <f t="shared" si="513"/>
        <v>0</v>
      </c>
      <c r="AR46" s="26">
        <f t="shared" si="513"/>
        <v>0</v>
      </c>
      <c r="AS46" s="26">
        <f t="shared" si="513"/>
        <v>0</v>
      </c>
      <c r="AT46" s="26">
        <f t="shared" si="513"/>
        <v>0</v>
      </c>
      <c r="AU46" s="26">
        <f t="shared" si="513"/>
        <v>0</v>
      </c>
      <c r="AV46" s="26">
        <f t="shared" si="513"/>
        <v>0</v>
      </c>
      <c r="AW46" s="26">
        <f t="shared" si="513"/>
        <v>0</v>
      </c>
      <c r="AX46" s="26">
        <f t="shared" si="513"/>
        <v>0</v>
      </c>
      <c r="AY46" s="26">
        <f t="shared" si="513"/>
        <v>0</v>
      </c>
      <c r="AZ46" s="26">
        <f t="shared" si="513"/>
        <v>0</v>
      </c>
      <c r="BA46" s="26">
        <f t="shared" si="513"/>
        <v>0</v>
      </c>
      <c r="BB46" s="26">
        <f t="shared" si="513"/>
        <v>0</v>
      </c>
      <c r="BC46" s="26">
        <f t="shared" si="513"/>
        <v>0</v>
      </c>
      <c r="BD46" s="26">
        <f t="shared" si="513"/>
        <v>0</v>
      </c>
      <c r="BE46" s="26">
        <f t="shared" si="513"/>
        <v>170</v>
      </c>
      <c r="BF46" s="26">
        <f t="shared" si="513"/>
        <v>254</v>
      </c>
      <c r="BG46" s="26">
        <f t="shared" si="513"/>
        <v>201</v>
      </c>
      <c r="BH46" s="26">
        <f t="shared" si="513"/>
        <v>45</v>
      </c>
      <c r="BI46" s="26">
        <f t="shared" si="513"/>
        <v>48</v>
      </c>
      <c r="BJ46" s="26">
        <f t="shared" si="513"/>
        <v>293</v>
      </c>
      <c r="BK46" s="26">
        <f t="shared" si="513"/>
        <v>324</v>
      </c>
      <c r="BL46" s="26">
        <f t="shared" si="513"/>
        <v>65</v>
      </c>
      <c r="BM46" s="26">
        <f t="shared" si="513"/>
        <v>50</v>
      </c>
      <c r="BN46" s="26">
        <f t="shared" si="513"/>
        <v>113</v>
      </c>
      <c r="BO46" s="26">
        <f t="shared" si="513"/>
        <v>317</v>
      </c>
      <c r="BP46" s="26">
        <f t="shared" si="513"/>
        <v>399</v>
      </c>
      <c r="BQ46" s="26">
        <f t="shared" si="513"/>
        <v>355</v>
      </c>
      <c r="BR46" s="26">
        <f t="shared" si="513"/>
        <v>441</v>
      </c>
      <c r="BS46" s="26">
        <f t="shared" si="513"/>
        <v>416</v>
      </c>
      <c r="BT46" s="26">
        <f t="shared" si="513"/>
        <v>318</v>
      </c>
      <c r="BU46" s="26">
        <f t="shared" si="513"/>
        <v>107</v>
      </c>
      <c r="BV46" s="26">
        <f t="shared" si="513"/>
        <v>350</v>
      </c>
      <c r="BW46" s="26">
        <f t="shared" si="513"/>
        <v>274</v>
      </c>
      <c r="BX46" s="26">
        <f t="shared" si="513"/>
        <v>47</v>
      </c>
      <c r="BY46" s="26">
        <f t="shared" si="513"/>
        <v>319</v>
      </c>
      <c r="BZ46" s="26">
        <f t="shared" si="513"/>
        <v>374</v>
      </c>
      <c r="CA46" s="26">
        <f t="shared" si="513"/>
        <v>214</v>
      </c>
      <c r="CB46" s="26">
        <f t="shared" si="513"/>
        <v>192</v>
      </c>
      <c r="CC46" s="26">
        <f t="shared" si="513"/>
        <v>409</v>
      </c>
      <c r="CD46" s="26">
        <f t="shared" si="513"/>
        <v>326</v>
      </c>
      <c r="CE46" s="26">
        <f t="shared" ref="CE46:CF46" si="514">CE40-CE44</f>
        <v>352</v>
      </c>
      <c r="CF46" s="26">
        <f t="shared" si="514"/>
        <v>98</v>
      </c>
      <c r="CG46" s="26">
        <f t="shared" ref="CG46:CH46" si="515">CG40-CG44</f>
        <v>147</v>
      </c>
      <c r="CH46" s="26">
        <f t="shared" si="515"/>
        <v>479</v>
      </c>
      <c r="CI46" s="26">
        <f t="shared" ref="CI46:CJ46" si="516">CI40-CI44</f>
        <v>561</v>
      </c>
      <c r="CJ46" s="26">
        <f t="shared" si="516"/>
        <v>374</v>
      </c>
      <c r="CK46" s="26">
        <f t="shared" ref="CK46:CL46" si="517">CK40-CK44</f>
        <v>262</v>
      </c>
      <c r="CL46" s="26">
        <f t="shared" si="517"/>
        <v>537</v>
      </c>
      <c r="CM46" s="27">
        <f t="shared" ref="CM46:DB46" si="518">CM40-CM44</f>
        <v>382.55929503343572</v>
      </c>
      <c r="CN46" s="27">
        <f t="shared" si="518"/>
        <v>331.73235905546227</v>
      </c>
      <c r="CO46" s="27">
        <f t="shared" si="518"/>
        <v>375.43979645720361</v>
      </c>
      <c r="CP46" s="27">
        <f t="shared" si="518"/>
        <v>590.23328592495636</v>
      </c>
      <c r="CQ46" s="27">
        <f t="shared" si="518"/>
        <v>442.5529507121405</v>
      </c>
      <c r="CR46" s="27">
        <f t="shared" si="518"/>
        <v>430.45354492250482</v>
      </c>
      <c r="CS46" s="27">
        <f t="shared" si="518"/>
        <v>494.25688193597506</v>
      </c>
      <c r="CT46" s="27">
        <f t="shared" si="518"/>
        <v>710.34604447303207</v>
      </c>
      <c r="CU46" s="27">
        <f t="shared" si="518"/>
        <v>508.29364693280456</v>
      </c>
      <c r="CV46" s="27">
        <f t="shared" si="518"/>
        <v>495.20315821495103</v>
      </c>
      <c r="CW46" s="27">
        <f t="shared" si="518"/>
        <v>552.29767018362554</v>
      </c>
      <c r="CX46" s="27">
        <f t="shared" si="518"/>
        <v>761.46377622425723</v>
      </c>
      <c r="CY46" s="27">
        <f t="shared" si="518"/>
        <v>570.10983938619654</v>
      </c>
      <c r="CZ46" s="27">
        <f t="shared" si="518"/>
        <v>553.62509835958122</v>
      </c>
      <c r="DA46" s="27">
        <f t="shared" si="518"/>
        <v>611.64400944577221</v>
      </c>
      <c r="DB46" s="27">
        <f t="shared" si="518"/>
        <v>834.21150762905324</v>
      </c>
      <c r="DE46" s="121"/>
      <c r="DF46" s="26">
        <v>1734</v>
      </c>
    </row>
    <row r="47" spans="1:110" s="23" customFormat="1" x14ac:dyDescent="0.2">
      <c r="A47" s="23" t="s">
        <v>17</v>
      </c>
      <c r="B47" s="23">
        <f>'Annual Raw'!C23</f>
        <v>0</v>
      </c>
      <c r="C47" s="23">
        <f>'Annual Raw'!D23</f>
        <v>0</v>
      </c>
      <c r="D47" s="23">
        <f>'Annual Raw'!E23</f>
        <v>0</v>
      </c>
      <c r="E47" s="23">
        <f>'Annual Raw'!F23</f>
        <v>0</v>
      </c>
      <c r="F47" s="23">
        <f>'Annual Raw'!G23</f>
        <v>0</v>
      </c>
      <c r="G47" s="23">
        <f>'Annual Raw'!H23</f>
        <v>0</v>
      </c>
      <c r="H47" s="23">
        <f>'Annual Raw'!I23</f>
        <v>0</v>
      </c>
      <c r="I47" s="23">
        <f>'Annual Raw'!J23</f>
        <v>0</v>
      </c>
      <c r="J47" s="23">
        <f>'Annual Raw'!K23</f>
        <v>0</v>
      </c>
      <c r="K47" s="23">
        <f>'Annual Raw'!L23</f>
        <v>0</v>
      </c>
      <c r="L47" s="23">
        <f>'Annual Raw'!M23</f>
        <v>0</v>
      </c>
      <c r="M47" s="23">
        <f>'Annual Raw'!N23</f>
        <v>0</v>
      </c>
      <c r="N47" s="23">
        <f>'Annual Raw'!O23</f>
        <v>0</v>
      </c>
      <c r="O47" s="23">
        <f>'Annual Raw'!P23</f>
        <v>0</v>
      </c>
      <c r="P47" s="23">
        <f>'Annual Raw'!Q23</f>
        <v>0</v>
      </c>
      <c r="Q47" s="23">
        <f>'Annual Raw'!R23</f>
        <v>0</v>
      </c>
      <c r="R47" s="23">
        <f>'Annual Raw'!S23</f>
        <v>296</v>
      </c>
      <c r="S47" s="23">
        <f>'Annual Raw'!T23</f>
        <v>274</v>
      </c>
      <c r="T47" s="23">
        <f>'Annual Raw'!U23</f>
        <v>368</v>
      </c>
      <c r="U47" s="23">
        <f>'Annual Raw'!V23</f>
        <v>226</v>
      </c>
      <c r="V47" s="23">
        <f>'Annual Raw'!W23</f>
        <v>204</v>
      </c>
      <c r="W47" s="23">
        <f>'Annual Raw'!X23</f>
        <v>214</v>
      </c>
      <c r="X47" s="23">
        <f>'Annual Raw'!Y23</f>
        <v>145</v>
      </c>
      <c r="Y47" s="23">
        <f>'Annual Raw'!Z23</f>
        <v>317</v>
      </c>
      <c r="Z47" s="23">
        <f>'Annual Raw'!AA23</f>
        <v>253</v>
      </c>
      <c r="AA47" s="23">
        <f>'Annual Raw'!AB23</f>
        <v>222</v>
      </c>
      <c r="AB47" s="76">
        <f t="shared" ref="AB47:AB48" si="519">+SUM(CM47:CP47)</f>
        <v>0</v>
      </c>
      <c r="AC47" s="76">
        <f t="shared" ref="AC47:AC48" si="520">+SUM(CQ47:CT47)</f>
        <v>0</v>
      </c>
      <c r="AD47" s="76">
        <f t="shared" ref="AD47:AD48" si="521">+SUM(CU47:CX47)</f>
        <v>0</v>
      </c>
      <c r="AE47" s="76">
        <f t="shared" ref="AE47:AE48" si="522">+SUM(CY47:DB47)</f>
        <v>0</v>
      </c>
      <c r="AI47" s="23">
        <f>'QTR Raw'!C23</f>
        <v>0</v>
      </c>
      <c r="AJ47" s="23">
        <f>'QTR Raw'!D23</f>
        <v>0</v>
      </c>
      <c r="AK47" s="23">
        <f>'QTR Raw'!E23</f>
        <v>0</v>
      </c>
      <c r="AL47" s="23">
        <f>'QTR Raw'!F23</f>
        <v>0</v>
      </c>
      <c r="AM47" s="23">
        <f>'QTR Raw'!G23</f>
        <v>0</v>
      </c>
      <c r="AN47" s="23">
        <f>'QTR Raw'!H23</f>
        <v>0</v>
      </c>
      <c r="AO47" s="23">
        <f>'QTR Raw'!I23</f>
        <v>0</v>
      </c>
      <c r="AP47" s="23">
        <f>'QTR Raw'!J23</f>
        <v>0</v>
      </c>
      <c r="AQ47" s="23">
        <f>'QTR Raw'!K23</f>
        <v>0</v>
      </c>
      <c r="AR47" s="23">
        <f>'QTR Raw'!L23</f>
        <v>0</v>
      </c>
      <c r="AS47" s="23">
        <f>'QTR Raw'!M23</f>
        <v>0</v>
      </c>
      <c r="AT47" s="23">
        <f>'QTR Raw'!N23</f>
        <v>0</v>
      </c>
      <c r="AU47" s="23">
        <f>'QTR Raw'!O23</f>
        <v>0</v>
      </c>
      <c r="AV47" s="23">
        <f>'QTR Raw'!P23</f>
        <v>0</v>
      </c>
      <c r="AW47" s="23">
        <f>'QTR Raw'!Q23</f>
        <v>0</v>
      </c>
      <c r="AX47" s="23">
        <f>'QTR Raw'!R23</f>
        <v>0</v>
      </c>
      <c r="AY47" s="23">
        <f>'QTR Raw'!S23</f>
        <v>0</v>
      </c>
      <c r="AZ47" s="23">
        <f>'QTR Raw'!T23</f>
        <v>0</v>
      </c>
      <c r="BA47" s="23">
        <f>'QTR Raw'!U23</f>
        <v>0</v>
      </c>
      <c r="BB47" s="23">
        <f>'QTR Raw'!V23</f>
        <v>0</v>
      </c>
      <c r="BC47" s="23">
        <f>'QTR Raw'!W23</f>
        <v>0</v>
      </c>
      <c r="BD47" s="23">
        <f>'QTR Raw'!X23</f>
        <v>0</v>
      </c>
      <c r="BE47" s="23">
        <f>'QTR Raw'!Y23</f>
        <v>48</v>
      </c>
      <c r="BF47" s="23">
        <f>'QTR Raw'!Z23</f>
        <v>67</v>
      </c>
      <c r="BG47" s="23">
        <f>'QTR Raw'!AA23</f>
        <v>43</v>
      </c>
      <c r="BH47" s="23">
        <f>'QTR Raw'!AB23</f>
        <v>74</v>
      </c>
      <c r="BI47" s="23">
        <f>'QTR Raw'!AC23</f>
        <v>109</v>
      </c>
      <c r="BJ47" s="23">
        <f>'QTR Raw'!AD23</f>
        <v>77</v>
      </c>
      <c r="BK47" s="23">
        <f>'QTR Raw'!AE23</f>
        <v>47</v>
      </c>
      <c r="BL47" s="23">
        <f>'QTR Raw'!AF23</f>
        <v>49</v>
      </c>
      <c r="BM47" s="23">
        <f>'QTR Raw'!AG23</f>
        <v>68</v>
      </c>
      <c r="BN47" s="23">
        <f>'QTR Raw'!AH23</f>
        <v>56</v>
      </c>
      <c r="BO47" s="23">
        <f>'QTR Raw'!AI23</f>
        <v>56</v>
      </c>
      <c r="BP47" s="23">
        <f>'QTR Raw'!AJ23</f>
        <v>41</v>
      </c>
      <c r="BQ47" s="23">
        <f>'QTR Raw'!AK23</f>
        <v>50</v>
      </c>
      <c r="BR47" s="23">
        <f>'QTR Raw'!AL23</f>
        <v>41</v>
      </c>
      <c r="BS47" s="23">
        <f>'QTR Raw'!AM23</f>
        <v>30</v>
      </c>
      <c r="BT47" s="23">
        <f>'QTR Raw'!AN23</f>
        <v>45</v>
      </c>
      <c r="BU47" s="23">
        <f>'QTR Raw'!AO23</f>
        <v>33</v>
      </c>
      <c r="BV47" s="23">
        <f>'QTR Raw'!AP23</f>
        <v>52</v>
      </c>
      <c r="BW47" s="23">
        <f>'QTR Raw'!AQ23</f>
        <v>25</v>
      </c>
      <c r="BX47" s="23">
        <f>'QTR Raw'!AR23</f>
        <v>36</v>
      </c>
      <c r="BY47" s="23">
        <f>'QTR Raw'!AS23</f>
        <v>36</v>
      </c>
      <c r="BZ47" s="23">
        <f>'QTR Raw'!AT23</f>
        <v>38</v>
      </c>
      <c r="CA47" s="23">
        <f>'QTR Raw'!AU23</f>
        <v>54</v>
      </c>
      <c r="CB47" s="23">
        <f>'QTR Raw'!AV23</f>
        <v>81</v>
      </c>
      <c r="CC47" s="23">
        <f>'QTR Raw'!AW23</f>
        <v>60</v>
      </c>
      <c r="CD47" s="23">
        <f>'QTR Raw'!AX23</f>
        <v>120</v>
      </c>
      <c r="CE47" s="23">
        <f>'QTR Raw'!AY23</f>
        <v>50</v>
      </c>
      <c r="CF47" s="23">
        <f>'QTR Raw'!AZ23</f>
        <v>73</v>
      </c>
      <c r="CG47" s="23">
        <f>'QTR Raw'!BA23</f>
        <v>37</v>
      </c>
      <c r="CH47" s="23">
        <f>'QTR Raw'!BB23</f>
        <v>93</v>
      </c>
      <c r="CI47" s="23">
        <f>'QTR Raw'!BC23</f>
        <v>49</v>
      </c>
      <c r="CJ47" s="23">
        <f>'QTR Raw'!BD23</f>
        <v>66</v>
      </c>
      <c r="CK47" s="23">
        <f>'QTR Raw'!BE23</f>
        <v>62</v>
      </c>
      <c r="CL47" s="23">
        <f>'QTR Raw'!BF23</f>
        <v>45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222</v>
      </c>
    </row>
    <row r="48" spans="1:110" s="23" customFormat="1" x14ac:dyDescent="0.2">
      <c r="A48" s="23" t="s">
        <v>18</v>
      </c>
      <c r="B48" s="23">
        <f>'Annual Raw'!C25</f>
        <v>0</v>
      </c>
      <c r="C48" s="23">
        <f>'Annual Raw'!D25</f>
        <v>0</v>
      </c>
      <c r="D48" s="23">
        <f>'Annual Raw'!E25</f>
        <v>0</v>
      </c>
      <c r="E48" s="23">
        <f>'Annual Raw'!F25</f>
        <v>0</v>
      </c>
      <c r="F48" s="23">
        <f>'Annual Raw'!G25</f>
        <v>0</v>
      </c>
      <c r="G48" s="23">
        <f>'Annual Raw'!H25</f>
        <v>0</v>
      </c>
      <c r="H48" s="23">
        <f>'Annual Raw'!I25</f>
        <v>0</v>
      </c>
      <c r="I48" s="23">
        <f>'Annual Raw'!J25</f>
        <v>0</v>
      </c>
      <c r="J48" s="23">
        <f>'Annual Raw'!K25</f>
        <v>0</v>
      </c>
      <c r="K48" s="23">
        <f>'Annual Raw'!L25</f>
        <v>0</v>
      </c>
      <c r="L48" s="23">
        <f>'Annual Raw'!M25</f>
        <v>0</v>
      </c>
      <c r="M48" s="23">
        <f>'Annual Raw'!N25</f>
        <v>0</v>
      </c>
      <c r="N48" s="23">
        <f>'Annual Raw'!O25</f>
        <v>0</v>
      </c>
      <c r="O48" s="23">
        <f>'Annual Raw'!P25</f>
        <v>0</v>
      </c>
      <c r="P48" s="23">
        <f>'Annual Raw'!Q25</f>
        <v>0</v>
      </c>
      <c r="Q48" s="23">
        <f>'Annual Raw'!R25</f>
        <v>0</v>
      </c>
      <c r="R48" s="23">
        <f>'Annual Raw'!S25</f>
        <v>856</v>
      </c>
      <c r="S48" s="23">
        <f>'Annual Raw'!T25</f>
        <v>693</v>
      </c>
      <c r="T48" s="23">
        <f>'Annual Raw'!U25</f>
        <v>561</v>
      </c>
      <c r="U48" s="23">
        <f>'Annual Raw'!V25</f>
        <v>424</v>
      </c>
      <c r="V48" s="23">
        <f>'Annual Raw'!W25</f>
        <v>318</v>
      </c>
      <c r="W48" s="23">
        <f>'Annual Raw'!X25</f>
        <v>202</v>
      </c>
      <c r="X48" s="23">
        <f>'Annual Raw'!Y25</f>
        <v>234</v>
      </c>
      <c r="Y48" s="23">
        <f>'Annual Raw'!Z25</f>
        <v>386</v>
      </c>
      <c r="Z48" s="23">
        <f>'Annual Raw'!AA25</f>
        <v>399</v>
      </c>
      <c r="AA48" s="23">
        <f>'Annual Raw'!AB25</f>
        <v>480</v>
      </c>
      <c r="AB48" s="76">
        <f t="shared" si="519"/>
        <v>194.72009213238007</v>
      </c>
      <c r="AC48" s="76">
        <f t="shared" si="520"/>
        <v>187.16556902435264</v>
      </c>
      <c r="AD48" s="76">
        <f t="shared" si="521"/>
        <v>114.74167119308706</v>
      </c>
      <c r="AE48" s="76">
        <f t="shared" si="522"/>
        <v>-88.811978819846388</v>
      </c>
      <c r="AI48" s="23">
        <f>'QTR Raw'!C25</f>
        <v>0</v>
      </c>
      <c r="AJ48" s="23">
        <f>'QTR Raw'!D25</f>
        <v>0</v>
      </c>
      <c r="AK48" s="23">
        <f>'QTR Raw'!E25</f>
        <v>0</v>
      </c>
      <c r="AL48" s="23">
        <f>'QTR Raw'!F25</f>
        <v>0</v>
      </c>
      <c r="AM48" s="23">
        <f>'QTR Raw'!G25</f>
        <v>0</v>
      </c>
      <c r="AN48" s="23">
        <f>'QTR Raw'!H25</f>
        <v>0</v>
      </c>
      <c r="AO48" s="23">
        <f>'QTR Raw'!I25</f>
        <v>0</v>
      </c>
      <c r="AP48" s="23">
        <f>'QTR Raw'!J25</f>
        <v>0</v>
      </c>
      <c r="AQ48" s="23">
        <f>'QTR Raw'!K25</f>
        <v>0</v>
      </c>
      <c r="AR48" s="23">
        <f>'QTR Raw'!L25</f>
        <v>0</v>
      </c>
      <c r="AS48" s="23">
        <f>'QTR Raw'!M25</f>
        <v>0</v>
      </c>
      <c r="AT48" s="23">
        <f>'QTR Raw'!N25</f>
        <v>0</v>
      </c>
      <c r="AU48" s="23">
        <f>'QTR Raw'!O25</f>
        <v>0</v>
      </c>
      <c r="AV48" s="23">
        <f>'QTR Raw'!P25</f>
        <v>0</v>
      </c>
      <c r="AW48" s="23">
        <f>'QTR Raw'!Q25</f>
        <v>0</v>
      </c>
      <c r="AX48" s="23">
        <f>'QTR Raw'!R25</f>
        <v>0</v>
      </c>
      <c r="AY48" s="23">
        <f>'QTR Raw'!S25</f>
        <v>0</v>
      </c>
      <c r="AZ48" s="23">
        <f>'QTR Raw'!T25</f>
        <v>0</v>
      </c>
      <c r="BA48" s="23">
        <f>'QTR Raw'!U25</f>
        <v>0</v>
      </c>
      <c r="BB48" s="23">
        <f>'QTR Raw'!V25</f>
        <v>0</v>
      </c>
      <c r="BC48" s="23">
        <f>'QTR Raw'!W25</f>
        <v>0</v>
      </c>
      <c r="BD48" s="23">
        <f>'QTR Raw'!X25</f>
        <v>0</v>
      </c>
      <c r="BE48" s="23">
        <f>'QTR Raw'!Y25</f>
        <v>165</v>
      </c>
      <c r="BF48" s="23">
        <f>'QTR Raw'!Z25</f>
        <v>144</v>
      </c>
      <c r="BG48" s="23">
        <f>'QTR Raw'!AA25</f>
        <v>145</v>
      </c>
      <c r="BH48" s="23">
        <f>'QTR Raw'!AB25</f>
        <v>183</v>
      </c>
      <c r="BI48" s="23">
        <f>'QTR Raw'!AC25</f>
        <v>117</v>
      </c>
      <c r="BJ48" s="23">
        <f>'QTR Raw'!AD25</f>
        <v>106</v>
      </c>
      <c r="BK48" s="23">
        <f>'QTR Raw'!AE25</f>
        <v>119</v>
      </c>
      <c r="BL48" s="23">
        <f>'QTR Raw'!AF25</f>
        <v>99</v>
      </c>
      <c r="BM48" s="23">
        <f>'QTR Raw'!AG25</f>
        <v>93</v>
      </c>
      <c r="BN48" s="23">
        <f>'QTR Raw'!AH25</f>
        <v>104</v>
      </c>
      <c r="BO48" s="23">
        <f>'QTR Raw'!AI25</f>
        <v>74</v>
      </c>
      <c r="BP48" s="23">
        <f>'QTR Raw'!AJ25</f>
        <v>73</v>
      </c>
      <c r="BQ48" s="23">
        <f>'QTR Raw'!AK25</f>
        <v>94</v>
      </c>
      <c r="BR48" s="23">
        <f>'QTR Raw'!AL25</f>
        <v>62</v>
      </c>
      <c r="BS48" s="23">
        <f>'QTR Raw'!AM25</f>
        <v>60</v>
      </c>
      <c r="BT48" s="23">
        <f>'QTR Raw'!AN25</f>
        <v>50</v>
      </c>
      <c r="BU48" s="23">
        <f>'QTR Raw'!AO25</f>
        <v>47</v>
      </c>
      <c r="BV48" s="23">
        <f>'QTR Raw'!AP25</f>
        <v>45</v>
      </c>
      <c r="BW48" s="23">
        <f>'QTR Raw'!AQ25</f>
        <v>47</v>
      </c>
      <c r="BX48" s="23">
        <f>'QTR Raw'!AR25</f>
        <v>54</v>
      </c>
      <c r="BY48" s="23">
        <f>'QTR Raw'!AS25</f>
        <v>69</v>
      </c>
      <c r="BZ48" s="23">
        <f>'QTR Raw'!AT25</f>
        <v>64</v>
      </c>
      <c r="CA48" s="23">
        <f>'QTR Raw'!AU25</f>
        <v>83</v>
      </c>
      <c r="CB48" s="23">
        <f>'QTR Raw'!AV25</f>
        <v>101</v>
      </c>
      <c r="CC48" s="23">
        <f>'QTR Raw'!AW25</f>
        <v>108</v>
      </c>
      <c r="CD48" s="23">
        <f>'QTR Raw'!AX25</f>
        <v>94</v>
      </c>
      <c r="CE48" s="23">
        <f>'QTR Raw'!AY25</f>
        <v>95</v>
      </c>
      <c r="CF48" s="23">
        <f>'QTR Raw'!AZ25</f>
        <v>98</v>
      </c>
      <c r="CG48" s="23">
        <f>'QTR Raw'!BA25</f>
        <v>101</v>
      </c>
      <c r="CH48" s="23">
        <f>'QTR Raw'!BB25</f>
        <v>105</v>
      </c>
      <c r="CI48" s="23">
        <f>'QTR Raw'!BC25</f>
        <v>108</v>
      </c>
      <c r="CJ48" s="23">
        <f>'QTR Raw'!BD25</f>
        <v>122</v>
      </c>
      <c r="CK48" s="23">
        <f>'QTR Raw'!BE25</f>
        <v>118</v>
      </c>
      <c r="CL48" s="23">
        <f>'QTR Raw'!BF25</f>
        <v>132</v>
      </c>
      <c r="CM48" s="24">
        <f t="shared" ref="CM48:DB48" si="523">CM49*CL180</f>
        <v>45.536000000000001</v>
      </c>
      <c r="CN48" s="24">
        <f t="shared" si="523"/>
        <v>47.903297358654036</v>
      </c>
      <c r="CO48" s="24">
        <f t="shared" si="523"/>
        <v>50.197892815780392</v>
      </c>
      <c r="CP48" s="24">
        <f t="shared" si="523"/>
        <v>51.082901957945637</v>
      </c>
      <c r="CQ48" s="24">
        <f t="shared" si="523"/>
        <v>49.008083194940795</v>
      </c>
      <c r="CR48" s="24">
        <f t="shared" si="523"/>
        <v>47.101165501838253</v>
      </c>
      <c r="CS48" s="24">
        <f t="shared" si="523"/>
        <v>46.208815615077576</v>
      </c>
      <c r="CT48" s="24">
        <f t="shared" si="523"/>
        <v>44.847504712496018</v>
      </c>
      <c r="CU48" s="24">
        <f t="shared" si="523"/>
        <v>46.457276602216574</v>
      </c>
      <c r="CV48" s="24">
        <f t="shared" si="523"/>
        <v>32.308674859529475</v>
      </c>
      <c r="CW48" s="24">
        <f t="shared" si="523"/>
        <v>22.768674391808887</v>
      </c>
      <c r="CX48" s="24">
        <f t="shared" si="523"/>
        <v>13.207045339532121</v>
      </c>
      <c r="CY48" s="24">
        <f t="shared" si="523"/>
        <v>1.4951152360624782</v>
      </c>
      <c r="CZ48" s="24">
        <f t="shared" si="523"/>
        <v>-16.77939554199045</v>
      </c>
      <c r="DA48" s="24">
        <f t="shared" si="523"/>
        <v>-30.096093188839671</v>
      </c>
      <c r="DB48" s="24">
        <f t="shared" si="523"/>
        <v>-43.431605325078749</v>
      </c>
      <c r="DE48" s="123"/>
      <c r="DF48" s="23">
        <v>480</v>
      </c>
    </row>
    <row r="49" spans="1:110" s="46" customFormat="1" x14ac:dyDescent="0.2">
      <c r="A49" s="46" t="s">
        <v>482</v>
      </c>
      <c r="B49" s="46" t="e">
        <f t="shared" ref="B49:D49" si="524">+B48/B140</f>
        <v>#DIV/0!</v>
      </c>
      <c r="C49" s="46" t="e">
        <f t="shared" si="524"/>
        <v>#DIV/0!</v>
      </c>
      <c r="D49" s="46" t="e">
        <f t="shared" si="524"/>
        <v>#DIV/0!</v>
      </c>
      <c r="E49" s="46" t="e">
        <f t="shared" ref="E49:AE49" si="525">+E48/E140</f>
        <v>#DIV/0!</v>
      </c>
      <c r="F49" s="46" t="e">
        <f t="shared" si="525"/>
        <v>#DIV/0!</v>
      </c>
      <c r="G49" s="46" t="e">
        <f t="shared" si="525"/>
        <v>#DIV/0!</v>
      </c>
      <c r="H49" s="46" t="e">
        <f t="shared" si="525"/>
        <v>#DIV/0!</v>
      </c>
      <c r="I49" s="46" t="e">
        <f t="shared" si="525"/>
        <v>#DIV/0!</v>
      </c>
      <c r="J49" s="46" t="e">
        <f t="shared" si="525"/>
        <v>#DIV/0!</v>
      </c>
      <c r="K49" s="46" t="e">
        <f t="shared" si="525"/>
        <v>#DIV/0!</v>
      </c>
      <c r="L49" s="46" t="e">
        <f t="shared" si="525"/>
        <v>#DIV/0!</v>
      </c>
      <c r="M49" s="46" t="e">
        <f t="shared" si="525"/>
        <v>#DIV/0!</v>
      </c>
      <c r="N49" s="46" t="e">
        <f t="shared" si="525"/>
        <v>#DIV/0!</v>
      </c>
      <c r="O49" s="46" t="e">
        <f t="shared" si="525"/>
        <v>#DIV/0!</v>
      </c>
      <c r="P49" s="46" t="e">
        <f t="shared" si="525"/>
        <v>#DIV/0!</v>
      </c>
      <c r="Q49" s="46" t="e">
        <f t="shared" si="525"/>
        <v>#DIV/0!</v>
      </c>
      <c r="R49" s="46">
        <f t="shared" si="525"/>
        <v>0.1064809055852718</v>
      </c>
      <c r="S49" s="46">
        <f t="shared" si="525"/>
        <v>9.5375722543352595E-2</v>
      </c>
      <c r="T49" s="46">
        <f t="shared" si="525"/>
        <v>9.5440626063286835E-2</v>
      </c>
      <c r="U49" s="46">
        <f t="shared" si="525"/>
        <v>7.1260504201680674E-2</v>
      </c>
      <c r="V49" s="46">
        <f t="shared" si="525"/>
        <v>8.5760517799352745E-2</v>
      </c>
      <c r="W49" s="46">
        <f t="shared" si="525"/>
        <v>6.4764347547290796E-2</v>
      </c>
      <c r="X49" s="46">
        <f t="shared" si="525"/>
        <v>6.2533404596472469E-2</v>
      </c>
      <c r="Y49" s="46">
        <f t="shared" si="525"/>
        <v>8.336933045356372E-2</v>
      </c>
      <c r="Z49" s="46">
        <f t="shared" si="525"/>
        <v>7.5884366679345755E-2</v>
      </c>
      <c r="AA49" s="46">
        <f t="shared" ref="AA49" si="526">+AA48/AA140</f>
        <v>7.1090047393364927E-2</v>
      </c>
      <c r="AB49" s="110">
        <f t="shared" si="525"/>
        <v>2.8838876204440176E-2</v>
      </c>
      <c r="AC49" s="110">
        <f t="shared" si="525"/>
        <v>2.7720019109056967E-2</v>
      </c>
      <c r="AD49" s="110">
        <f t="shared" si="525"/>
        <v>1.699373092314678E-2</v>
      </c>
      <c r="AE49" s="110">
        <f t="shared" si="525"/>
        <v>-1.3153432882086254E-2</v>
      </c>
      <c r="AI49" s="46" t="e">
        <f t="shared" ref="AI49:BN49" si="527">(AI48-AI47)/AH180</f>
        <v>#DIV/0!</v>
      </c>
      <c r="AJ49" s="46" t="e">
        <f t="shared" si="527"/>
        <v>#DIV/0!</v>
      </c>
      <c r="AK49" s="46" t="e">
        <f t="shared" si="527"/>
        <v>#DIV/0!</v>
      </c>
      <c r="AL49" s="46" t="e">
        <f t="shared" si="527"/>
        <v>#DIV/0!</v>
      </c>
      <c r="AM49" s="46" t="e">
        <f t="shared" si="527"/>
        <v>#DIV/0!</v>
      </c>
      <c r="AN49" s="46" t="e">
        <f t="shared" si="527"/>
        <v>#DIV/0!</v>
      </c>
      <c r="AO49" s="46" t="e">
        <f t="shared" si="527"/>
        <v>#DIV/0!</v>
      </c>
      <c r="AP49" s="46" t="e">
        <f t="shared" si="527"/>
        <v>#DIV/0!</v>
      </c>
      <c r="AQ49" s="46" t="e">
        <f t="shared" si="527"/>
        <v>#DIV/0!</v>
      </c>
      <c r="AR49" s="46" t="e">
        <f t="shared" si="527"/>
        <v>#DIV/0!</v>
      </c>
      <c r="AS49" s="46" t="e">
        <f t="shared" si="527"/>
        <v>#DIV/0!</v>
      </c>
      <c r="AT49" s="46" t="e">
        <f t="shared" si="527"/>
        <v>#DIV/0!</v>
      </c>
      <c r="AU49" s="46" t="e">
        <f t="shared" si="527"/>
        <v>#DIV/0!</v>
      </c>
      <c r="AV49" s="46" t="e">
        <f t="shared" si="527"/>
        <v>#DIV/0!</v>
      </c>
      <c r="AW49" s="46" t="e">
        <f t="shared" si="527"/>
        <v>#DIV/0!</v>
      </c>
      <c r="AX49" s="46" t="e">
        <f t="shared" si="527"/>
        <v>#DIV/0!</v>
      </c>
      <c r="AY49" s="46" t="e">
        <f t="shared" si="527"/>
        <v>#DIV/0!</v>
      </c>
      <c r="AZ49" s="46" t="e">
        <f t="shared" si="527"/>
        <v>#DIV/0!</v>
      </c>
      <c r="BA49" s="46" t="e">
        <f t="shared" si="527"/>
        <v>#DIV/0!</v>
      </c>
      <c r="BB49" s="46" t="e">
        <f t="shared" si="527"/>
        <v>#DIV/0!</v>
      </c>
      <c r="BC49" s="46" t="e">
        <f t="shared" si="527"/>
        <v>#DIV/0!</v>
      </c>
      <c r="BD49" s="46" t="e">
        <f t="shared" si="527"/>
        <v>#DIV/0!</v>
      </c>
      <c r="BE49" s="46" t="e">
        <f t="shared" si="527"/>
        <v>#DIV/0!</v>
      </c>
      <c r="BF49" s="46" t="e">
        <f t="shared" si="527"/>
        <v>#DIV/0!</v>
      </c>
      <c r="BG49" s="46" t="e">
        <f t="shared" si="527"/>
        <v>#DIV/0!</v>
      </c>
      <c r="BH49" s="46">
        <f t="shared" si="527"/>
        <v>-2.0566037735849059</v>
      </c>
      <c r="BI49" s="46" t="e">
        <f t="shared" si="527"/>
        <v>#DIV/0!</v>
      </c>
      <c r="BJ49" s="46">
        <f t="shared" si="527"/>
        <v>-1.0357142857142858</v>
      </c>
      <c r="BK49" s="46">
        <f t="shared" si="527"/>
        <v>3.3660589060308554E-2</v>
      </c>
      <c r="BL49" s="46">
        <f t="shared" si="527"/>
        <v>2.6089938867656256E-2</v>
      </c>
      <c r="BM49" s="46">
        <f t="shared" si="527"/>
        <v>1.1978917105893628E-2</v>
      </c>
      <c r="BN49" s="46">
        <f t="shared" si="527"/>
        <v>2.2576413739369972E-2</v>
      </c>
      <c r="BO49" s="46">
        <f t="shared" ref="BO49:CL49" si="528">(BO48-BO47)/BN180</f>
        <v>1.090909090909091E-2</v>
      </c>
      <c r="BP49" s="46">
        <f t="shared" si="528"/>
        <v>2.5189405587599564E-2</v>
      </c>
      <c r="BQ49" s="46">
        <f t="shared" si="528"/>
        <v>3.9180765805877114E-2</v>
      </c>
      <c r="BR49" s="46">
        <f t="shared" si="528"/>
        <v>1.991175745968396E-2</v>
      </c>
      <c r="BS49" s="46">
        <f t="shared" si="528"/>
        <v>0.17857142857142858</v>
      </c>
      <c r="BT49" s="46">
        <f t="shared" si="528"/>
        <v>-2.9919991795978079E-2</v>
      </c>
      <c r="BU49" s="46">
        <f t="shared" si="528"/>
        <v>-1.1128775834658187E-2</v>
      </c>
      <c r="BV49" s="46">
        <f t="shared" si="528"/>
        <v>5.3771345441385194E-3</v>
      </c>
      <c r="BW49" s="46">
        <f t="shared" si="528"/>
        <v>-1.5277777777777777E-2</v>
      </c>
      <c r="BX49" s="46">
        <f t="shared" si="528"/>
        <v>-1.088453094183753E-2</v>
      </c>
      <c r="BY49" s="46">
        <f t="shared" si="528"/>
        <v>5.2715654952076675E-2</v>
      </c>
      <c r="BZ49" s="46">
        <f t="shared" si="528"/>
        <v>4.6683967321343743E-2</v>
      </c>
      <c r="CA49" s="46">
        <f t="shared" si="528"/>
        <v>5.5555555555555552E-2</v>
      </c>
      <c r="CB49" s="46">
        <f t="shared" si="528"/>
        <v>6.1126412230903183E-2</v>
      </c>
      <c r="CC49" s="46">
        <f t="shared" si="528"/>
        <v>6.6759388038942977E-2</v>
      </c>
      <c r="CD49" s="46">
        <f t="shared" si="528"/>
        <v>-4.3227424087827981E-2</v>
      </c>
      <c r="CE49" s="46">
        <f t="shared" si="528"/>
        <v>0.25568181818181818</v>
      </c>
      <c r="CF49" s="46">
        <f t="shared" si="528"/>
        <v>-0.30286366845464502</v>
      </c>
      <c r="CG49" s="46">
        <f t="shared" si="528"/>
        <v>0.10440456769983687</v>
      </c>
      <c r="CH49" s="46">
        <f t="shared" si="528"/>
        <v>2.0546759908414824E-2</v>
      </c>
      <c r="CI49" s="46">
        <f t="shared" si="528"/>
        <v>8.9939024390243899E-2</v>
      </c>
      <c r="CJ49" s="46">
        <f t="shared" si="528"/>
        <v>-7.1438460818874496</v>
      </c>
      <c r="CK49" s="46">
        <f t="shared" si="528"/>
        <v>3.5264483627204031E-2</v>
      </c>
      <c r="CL49" s="46">
        <f t="shared" si="528"/>
        <v>7.6304467347953972E-2</v>
      </c>
      <c r="CM49" s="47">
        <v>3.2000000000000001E-2</v>
      </c>
      <c r="CN49" s="47">
        <f t="shared" ref="CN49" si="529">+CM49</f>
        <v>3.2000000000000001E-2</v>
      </c>
      <c r="CO49" s="47">
        <f t="shared" ref="CO49" si="530">+CN49</f>
        <v>3.2000000000000001E-2</v>
      </c>
      <c r="CP49" s="47">
        <v>3.2000000000000001E-2</v>
      </c>
      <c r="CQ49" s="47">
        <v>3.3000000000000002E-2</v>
      </c>
      <c r="CR49" s="47">
        <f t="shared" ref="CR49" si="531">+CQ49</f>
        <v>3.3000000000000002E-2</v>
      </c>
      <c r="CS49" s="47">
        <f t="shared" ref="CS49" si="532">+CR49</f>
        <v>3.3000000000000002E-2</v>
      </c>
      <c r="CT49" s="47">
        <v>3.3000000000000002E-2</v>
      </c>
      <c r="CU49" s="47">
        <v>3.7999999999999999E-2</v>
      </c>
      <c r="CV49" s="47">
        <f t="shared" ref="CV49" si="533">+CU49</f>
        <v>3.7999999999999999E-2</v>
      </c>
      <c r="CW49" s="47">
        <f t="shared" ref="CW49" si="534">+CV49</f>
        <v>3.7999999999999999E-2</v>
      </c>
      <c r="CX49" s="47">
        <f t="shared" ref="CX49" si="535">+CW49</f>
        <v>3.7999999999999999E-2</v>
      </c>
      <c r="CY49" s="47">
        <f t="shared" ref="CY49" si="536">+CX49</f>
        <v>3.7999999999999999E-2</v>
      </c>
      <c r="CZ49" s="47">
        <f t="shared" ref="CZ49" si="537">+CY49</f>
        <v>3.7999999999999999E-2</v>
      </c>
      <c r="DA49" s="47">
        <f t="shared" ref="DA49" si="538">+CZ49</f>
        <v>3.7999999999999999E-2</v>
      </c>
      <c r="DB49" s="47">
        <f t="shared" ref="DB49" si="539">+DA49</f>
        <v>3.7999999999999999E-2</v>
      </c>
      <c r="DE49" s="130"/>
      <c r="DF49" s="46">
        <v>7.1090047393364927E-2</v>
      </c>
    </row>
    <row r="50" spans="1:110" s="26" customFormat="1" x14ac:dyDescent="0.2">
      <c r="A50" s="26" t="s">
        <v>20</v>
      </c>
      <c r="B50" s="26">
        <f>B46+B47-B48</f>
        <v>0</v>
      </c>
      <c r="C50" s="26">
        <f t="shared" ref="C50:T50" si="540">C46+C47-C48</f>
        <v>0</v>
      </c>
      <c r="D50" s="26">
        <f>D46+D47-D48</f>
        <v>0</v>
      </c>
      <c r="E50" s="26">
        <f t="shared" si="540"/>
        <v>0</v>
      </c>
      <c r="F50" s="26">
        <f t="shared" si="540"/>
        <v>0</v>
      </c>
      <c r="G50" s="26">
        <f t="shared" si="540"/>
        <v>0</v>
      </c>
      <c r="H50" s="26">
        <f t="shared" si="540"/>
        <v>0</v>
      </c>
      <c r="I50" s="26">
        <f t="shared" si="540"/>
        <v>0</v>
      </c>
      <c r="J50" s="26">
        <f t="shared" si="540"/>
        <v>0</v>
      </c>
      <c r="K50" s="26">
        <f t="shared" si="540"/>
        <v>0</v>
      </c>
      <c r="L50" s="26">
        <f t="shared" si="540"/>
        <v>0</v>
      </c>
      <c r="M50" s="26">
        <f t="shared" si="540"/>
        <v>0</v>
      </c>
      <c r="N50" s="26">
        <f t="shared" si="540"/>
        <v>0</v>
      </c>
      <c r="O50" s="26">
        <f t="shared" si="540"/>
        <v>0</v>
      </c>
      <c r="P50" s="26">
        <f t="shared" si="540"/>
        <v>0</v>
      </c>
      <c r="Q50" s="26">
        <f t="shared" si="540"/>
        <v>0</v>
      </c>
      <c r="R50" s="26">
        <f t="shared" si="540"/>
        <v>108</v>
      </c>
      <c r="S50" s="26">
        <f t="shared" si="540"/>
        <v>389</v>
      </c>
      <c r="T50" s="26">
        <f t="shared" si="540"/>
        <v>339</v>
      </c>
      <c r="U50" s="26">
        <f t="shared" ref="U50:Z50" si="541">U46+U47-U48</f>
        <v>357</v>
      </c>
      <c r="V50" s="26">
        <f t="shared" si="541"/>
        <v>1398</v>
      </c>
      <c r="W50" s="26">
        <f t="shared" si="541"/>
        <v>1149</v>
      </c>
      <c r="X50" s="26">
        <f t="shared" si="541"/>
        <v>915</v>
      </c>
      <c r="Y50" s="26">
        <f t="shared" si="541"/>
        <v>1070</v>
      </c>
      <c r="Z50" s="26">
        <f t="shared" si="541"/>
        <v>930</v>
      </c>
      <c r="AA50" s="26">
        <f t="shared" ref="AA50" si="542">AA46+AA47-AA48</f>
        <v>1476</v>
      </c>
      <c r="AB50" s="27">
        <f t="shared" ref="AB50:AD50" si="543">AB46+AB47-AB48</f>
        <v>1485.2446443386777</v>
      </c>
      <c r="AC50" s="27">
        <f t="shared" si="543"/>
        <v>1890.4438530192986</v>
      </c>
      <c r="AD50" s="27">
        <f t="shared" si="543"/>
        <v>2202.5165803625491</v>
      </c>
      <c r="AE50" s="27">
        <f t="shared" ref="AE50" si="544">AE46+AE47-AE48</f>
        <v>2658.4024336404482</v>
      </c>
      <c r="AI50" s="26">
        <f>AI46+AI47-AI48</f>
        <v>0</v>
      </c>
      <c r="AJ50" s="26">
        <f t="shared" ref="AJ50" si="545">AJ46+AJ47-AJ48</f>
        <v>0</v>
      </c>
      <c r="AK50" s="26">
        <f t="shared" ref="AK50:AM50" si="546">AK46+AK47-AK48</f>
        <v>0</v>
      </c>
      <c r="AL50" s="26">
        <f t="shared" si="546"/>
        <v>0</v>
      </c>
      <c r="AM50" s="26">
        <f t="shared" si="546"/>
        <v>0</v>
      </c>
      <c r="AN50" s="26">
        <f t="shared" ref="AN50:AO50" si="547">AN46+AN47-AN48</f>
        <v>0</v>
      </c>
      <c r="AO50" s="26">
        <f t="shared" si="547"/>
        <v>0</v>
      </c>
      <c r="AP50" s="26">
        <f t="shared" ref="AP50:CD50" si="548">AP46+AP47-AP48</f>
        <v>0</v>
      </c>
      <c r="AQ50" s="26">
        <f t="shared" si="548"/>
        <v>0</v>
      </c>
      <c r="AR50" s="26">
        <f t="shared" si="548"/>
        <v>0</v>
      </c>
      <c r="AS50" s="26">
        <f t="shared" si="548"/>
        <v>0</v>
      </c>
      <c r="AT50" s="26">
        <f t="shared" si="548"/>
        <v>0</v>
      </c>
      <c r="AU50" s="26">
        <f t="shared" si="548"/>
        <v>0</v>
      </c>
      <c r="AV50" s="26">
        <f t="shared" si="548"/>
        <v>0</v>
      </c>
      <c r="AW50" s="26">
        <f t="shared" si="548"/>
        <v>0</v>
      </c>
      <c r="AX50" s="26">
        <f t="shared" si="548"/>
        <v>0</v>
      </c>
      <c r="AY50" s="26">
        <f t="shared" si="548"/>
        <v>0</v>
      </c>
      <c r="AZ50" s="26">
        <f t="shared" si="548"/>
        <v>0</v>
      </c>
      <c r="BA50" s="26">
        <f t="shared" si="548"/>
        <v>0</v>
      </c>
      <c r="BB50" s="26">
        <f t="shared" si="548"/>
        <v>0</v>
      </c>
      <c r="BC50" s="26">
        <f t="shared" si="548"/>
        <v>0</v>
      </c>
      <c r="BD50" s="26">
        <f t="shared" si="548"/>
        <v>0</v>
      </c>
      <c r="BE50" s="26">
        <f t="shared" si="548"/>
        <v>53</v>
      </c>
      <c r="BF50" s="26">
        <f t="shared" si="548"/>
        <v>177</v>
      </c>
      <c r="BG50" s="26">
        <f t="shared" si="548"/>
        <v>99</v>
      </c>
      <c r="BH50" s="26">
        <f t="shared" si="548"/>
        <v>-64</v>
      </c>
      <c r="BI50" s="26">
        <f t="shared" si="548"/>
        <v>40</v>
      </c>
      <c r="BJ50" s="26">
        <f t="shared" si="548"/>
        <v>264</v>
      </c>
      <c r="BK50" s="26">
        <f t="shared" si="548"/>
        <v>252</v>
      </c>
      <c r="BL50" s="26">
        <f t="shared" si="548"/>
        <v>15</v>
      </c>
      <c r="BM50" s="26">
        <f t="shared" si="548"/>
        <v>25</v>
      </c>
      <c r="BN50" s="26">
        <f t="shared" si="548"/>
        <v>65</v>
      </c>
      <c r="BO50" s="26">
        <f t="shared" si="548"/>
        <v>299</v>
      </c>
      <c r="BP50" s="26">
        <f t="shared" si="548"/>
        <v>367</v>
      </c>
      <c r="BQ50" s="26">
        <f t="shared" si="548"/>
        <v>311</v>
      </c>
      <c r="BR50" s="26">
        <f t="shared" si="548"/>
        <v>420</v>
      </c>
      <c r="BS50" s="26">
        <f t="shared" si="548"/>
        <v>386</v>
      </c>
      <c r="BT50" s="26">
        <f t="shared" si="548"/>
        <v>313</v>
      </c>
      <c r="BU50" s="26">
        <f t="shared" si="548"/>
        <v>93</v>
      </c>
      <c r="BV50" s="26">
        <f t="shared" si="548"/>
        <v>357</v>
      </c>
      <c r="BW50" s="26">
        <f t="shared" si="548"/>
        <v>252</v>
      </c>
      <c r="BX50" s="26">
        <f t="shared" si="548"/>
        <v>29</v>
      </c>
      <c r="BY50" s="26">
        <f t="shared" si="548"/>
        <v>286</v>
      </c>
      <c r="BZ50" s="26">
        <f t="shared" si="548"/>
        <v>348</v>
      </c>
      <c r="CA50" s="26">
        <f t="shared" si="548"/>
        <v>185</v>
      </c>
      <c r="CB50" s="26">
        <f t="shared" si="548"/>
        <v>172</v>
      </c>
      <c r="CC50" s="26">
        <f t="shared" si="548"/>
        <v>361</v>
      </c>
      <c r="CD50" s="26">
        <f t="shared" si="548"/>
        <v>352</v>
      </c>
      <c r="CE50" s="26">
        <f t="shared" ref="CE50:CF50" si="549">CE46+CE47-CE48</f>
        <v>307</v>
      </c>
      <c r="CF50" s="26">
        <f t="shared" si="549"/>
        <v>73</v>
      </c>
      <c r="CG50" s="26">
        <f t="shared" ref="CG50:CH50" si="550">CG46+CG47-CG48</f>
        <v>83</v>
      </c>
      <c r="CH50" s="26">
        <f t="shared" si="550"/>
        <v>467</v>
      </c>
      <c r="CI50" s="26">
        <f t="shared" ref="CI50:CJ50" si="551">CI46+CI47-CI48</f>
        <v>502</v>
      </c>
      <c r="CJ50" s="26">
        <f t="shared" si="551"/>
        <v>318</v>
      </c>
      <c r="CK50" s="26">
        <f t="shared" ref="CK50:CL50" si="552">CK46+CK47-CK48</f>
        <v>206</v>
      </c>
      <c r="CL50" s="26">
        <f t="shared" si="552"/>
        <v>450</v>
      </c>
      <c r="CM50" s="27">
        <f t="shared" ref="CM50:DB50" si="553">CM46+CM47-CM48</f>
        <v>337.02329503343572</v>
      </c>
      <c r="CN50" s="27">
        <f t="shared" si="553"/>
        <v>283.82906169680825</v>
      </c>
      <c r="CO50" s="27">
        <f t="shared" si="553"/>
        <v>325.24190364142322</v>
      </c>
      <c r="CP50" s="27">
        <f t="shared" si="553"/>
        <v>539.15038396701073</v>
      </c>
      <c r="CQ50" s="27">
        <f t="shared" si="553"/>
        <v>393.54486751719969</v>
      </c>
      <c r="CR50" s="27">
        <f t="shared" si="553"/>
        <v>383.35237942066658</v>
      </c>
      <c r="CS50" s="27">
        <f t="shared" si="553"/>
        <v>448.04806632089748</v>
      </c>
      <c r="CT50" s="27">
        <f t="shared" si="553"/>
        <v>665.498539760536</v>
      </c>
      <c r="CU50" s="27">
        <f t="shared" si="553"/>
        <v>461.83637033058801</v>
      </c>
      <c r="CV50" s="27">
        <f t="shared" si="553"/>
        <v>462.89448335542158</v>
      </c>
      <c r="CW50" s="27">
        <f t="shared" si="553"/>
        <v>529.52899579181667</v>
      </c>
      <c r="CX50" s="27">
        <f t="shared" si="553"/>
        <v>748.25673088472513</v>
      </c>
      <c r="CY50" s="27">
        <f t="shared" si="553"/>
        <v>568.61472415013407</v>
      </c>
      <c r="CZ50" s="27">
        <f t="shared" si="553"/>
        <v>570.40449390157164</v>
      </c>
      <c r="DA50" s="27">
        <f t="shared" si="553"/>
        <v>641.74010263461184</v>
      </c>
      <c r="DB50" s="27">
        <f t="shared" si="553"/>
        <v>877.64311295413199</v>
      </c>
      <c r="DE50" s="121"/>
      <c r="DF50" s="26">
        <v>1476</v>
      </c>
    </row>
    <row r="51" spans="1:110" s="23" customFormat="1" x14ac:dyDescent="0.2">
      <c r="A51" s="23" t="s">
        <v>21</v>
      </c>
      <c r="B51" s="23">
        <f>'Annual Raw'!C30</f>
        <v>0</v>
      </c>
      <c r="C51" s="23">
        <f>'Annual Raw'!D30</f>
        <v>0</v>
      </c>
      <c r="D51" s="23">
        <f>'Annual Raw'!E30</f>
        <v>0</v>
      </c>
      <c r="E51" s="23">
        <f>'Annual Raw'!F30</f>
        <v>0</v>
      </c>
      <c r="F51" s="23">
        <f>'Annual Raw'!G30</f>
        <v>0</v>
      </c>
      <c r="G51" s="23">
        <f>'Annual Raw'!H30</f>
        <v>0</v>
      </c>
      <c r="H51" s="23">
        <f>'Annual Raw'!I30</f>
        <v>0</v>
      </c>
      <c r="I51" s="23">
        <f>'Annual Raw'!J30</f>
        <v>0</v>
      </c>
      <c r="J51" s="23">
        <f>'Annual Raw'!K30</f>
        <v>0</v>
      </c>
      <c r="K51" s="23">
        <f>'Annual Raw'!L30</f>
        <v>0</v>
      </c>
      <c r="L51" s="23">
        <f>'Annual Raw'!M30</f>
        <v>0</v>
      </c>
      <c r="M51" s="23">
        <f>'Annual Raw'!N30</f>
        <v>0</v>
      </c>
      <c r="N51" s="23">
        <f>'Annual Raw'!O30</f>
        <v>0</v>
      </c>
      <c r="O51" s="23">
        <f>'Annual Raw'!P30</f>
        <v>0</v>
      </c>
      <c r="P51" s="23">
        <f>'Annual Raw'!Q30</f>
        <v>0</v>
      </c>
      <c r="Q51" s="23">
        <f>'Annual Raw'!R30</f>
        <v>0</v>
      </c>
      <c r="R51" s="23">
        <f>'Annual Raw'!S30</f>
        <v>74</v>
      </c>
      <c r="S51" s="23">
        <f>'Annual Raw'!T30</f>
        <v>98</v>
      </c>
      <c r="T51" s="23">
        <f>'Annual Raw'!U30</f>
        <v>-10</v>
      </c>
      <c r="U51" s="23">
        <f>'Annual Raw'!V30</f>
        <v>119</v>
      </c>
      <c r="V51" s="23">
        <f>'Annual Raw'!W30</f>
        <v>178</v>
      </c>
      <c r="W51" s="23">
        <f>'Annual Raw'!X30</f>
        <v>315</v>
      </c>
      <c r="X51" s="23">
        <f>'Annual Raw'!Y30</f>
        <v>242</v>
      </c>
      <c r="Y51" s="23">
        <f>'Annual Raw'!Z30</f>
        <v>216</v>
      </c>
      <c r="Z51" s="23">
        <f>'Annual Raw'!AA30</f>
        <v>118</v>
      </c>
      <c r="AA51" s="23">
        <f>'Annual Raw'!AB30</f>
        <v>292</v>
      </c>
      <c r="AB51" s="24">
        <f>+SUM(CM51:CP51)</f>
        <v>273.99332711304629</v>
      </c>
      <c r="AC51" s="24">
        <f>+SUM(CQ51:CT51)</f>
        <v>359.92822083823569</v>
      </c>
      <c r="AD51" s="24">
        <f>+SUM(CU51:CX51)</f>
        <v>418.67282525273868</v>
      </c>
      <c r="AE51" s="24">
        <f>+SUM(CY51:DB51)</f>
        <v>505.23471721246597</v>
      </c>
      <c r="AI51" s="23">
        <f>'QTR Raw'!C29</f>
        <v>0</v>
      </c>
      <c r="AJ51" s="23">
        <f>'QTR Raw'!D29</f>
        <v>0</v>
      </c>
      <c r="AK51" s="23">
        <f>'QTR Raw'!E29</f>
        <v>0</v>
      </c>
      <c r="AL51" s="23">
        <f>'QTR Raw'!F29</f>
        <v>0</v>
      </c>
      <c r="AM51" s="23">
        <f>'QTR Raw'!G29</f>
        <v>0</v>
      </c>
      <c r="AN51" s="23">
        <f>'QTR Raw'!H29</f>
        <v>0</v>
      </c>
      <c r="AO51" s="23">
        <f>'QTR Raw'!I29</f>
        <v>0</v>
      </c>
      <c r="AP51" s="23">
        <f>'QTR Raw'!J29</f>
        <v>0</v>
      </c>
      <c r="AQ51" s="23">
        <f>'QTR Raw'!K29</f>
        <v>0</v>
      </c>
      <c r="AR51" s="23">
        <f>'QTR Raw'!L29</f>
        <v>0</v>
      </c>
      <c r="AS51" s="23">
        <f>'QTR Raw'!M29</f>
        <v>0</v>
      </c>
      <c r="AT51" s="23">
        <f>'QTR Raw'!N29</f>
        <v>0</v>
      </c>
      <c r="AU51" s="23">
        <f>'QTR Raw'!O29</f>
        <v>0</v>
      </c>
      <c r="AV51" s="23">
        <f>'QTR Raw'!P29</f>
        <v>0</v>
      </c>
      <c r="AW51" s="23">
        <f>'QTR Raw'!Q29</f>
        <v>0</v>
      </c>
      <c r="AX51" s="23">
        <f>'QTR Raw'!R29</f>
        <v>0</v>
      </c>
      <c r="AY51" s="23">
        <f>'QTR Raw'!S29</f>
        <v>0</v>
      </c>
      <c r="AZ51" s="23">
        <f>'QTR Raw'!T29</f>
        <v>0</v>
      </c>
      <c r="BA51" s="23">
        <f>'QTR Raw'!U29</f>
        <v>0</v>
      </c>
      <c r="BB51" s="23">
        <f>'QTR Raw'!V29</f>
        <v>0</v>
      </c>
      <c r="BC51" s="23">
        <f>'QTR Raw'!W29</f>
        <v>0</v>
      </c>
      <c r="BD51" s="23">
        <f>'QTR Raw'!X29</f>
        <v>0</v>
      </c>
      <c r="BE51" s="23">
        <f>'QTR Raw'!Y29</f>
        <v>2</v>
      </c>
      <c r="BF51" s="23">
        <f>'QTR Raw'!Z29</f>
        <v>53</v>
      </c>
      <c r="BG51" s="23">
        <f>'QTR Raw'!AA29</f>
        <v>47</v>
      </c>
      <c r="BH51" s="23">
        <f>'QTR Raw'!AB29</f>
        <v>-67</v>
      </c>
      <c r="BI51" s="23">
        <f>'QTR Raw'!AC29</f>
        <v>9</v>
      </c>
      <c r="BJ51" s="23">
        <f>'QTR Raw'!AD29</f>
        <v>1</v>
      </c>
      <c r="BK51" s="23">
        <f>'QTR Raw'!AE29</f>
        <v>100</v>
      </c>
      <c r="BL51" s="23">
        <f>'QTR Raw'!AF29</f>
        <v>-21</v>
      </c>
      <c r="BM51" s="23">
        <f>'QTR Raw'!AG29</f>
        <v>-1</v>
      </c>
      <c r="BN51" s="23">
        <f>'QTR Raw'!AH29</f>
        <v>41</v>
      </c>
      <c r="BO51" s="23">
        <f>'QTR Raw'!AI29</f>
        <v>108</v>
      </c>
      <c r="BP51" s="23">
        <f>'QTR Raw'!AJ29</f>
        <v>136</v>
      </c>
      <c r="BQ51" s="23">
        <f>'QTR Raw'!AK29</f>
        <v>132</v>
      </c>
      <c r="BR51" s="23">
        <f>'QTR Raw'!AL29</f>
        <v>-220</v>
      </c>
      <c r="BS51" s="23">
        <f>'QTR Raw'!AM29</f>
        <v>97</v>
      </c>
      <c r="BT51" s="23">
        <f>'QTR Raw'!AN29</f>
        <v>92</v>
      </c>
      <c r="BU51" s="23">
        <f>'QTR Raw'!AO29</f>
        <v>35</v>
      </c>
      <c r="BV51" s="23">
        <f>'QTR Raw'!AP29</f>
        <v>91</v>
      </c>
      <c r="BW51" s="23">
        <f>'QTR Raw'!AQ29</f>
        <v>64</v>
      </c>
      <c r="BX51" s="23">
        <f>'QTR Raw'!AR29</f>
        <v>-21</v>
      </c>
      <c r="BY51" s="23">
        <f>'QTR Raw'!AS29</f>
        <v>74</v>
      </c>
      <c r="BZ51" s="23">
        <f>'QTR Raw'!AT29</f>
        <v>125</v>
      </c>
      <c r="CA51" s="23">
        <f>'QTR Raw'!AU29</f>
        <v>41</v>
      </c>
      <c r="CB51" s="23">
        <f>'QTR Raw'!AV29</f>
        <v>48</v>
      </c>
      <c r="CC51" s="23">
        <f>'QTR Raw'!AW29</f>
        <v>95</v>
      </c>
      <c r="CD51" s="23">
        <f>'QTR Raw'!AX29</f>
        <v>32</v>
      </c>
      <c r="CE51" s="23">
        <f>'QTR Raw'!AY29</f>
        <v>49</v>
      </c>
      <c r="CF51" s="23">
        <f>'QTR Raw'!AZ29</f>
        <v>24</v>
      </c>
      <c r="CG51" s="23">
        <f>'QTR Raw'!BA29</f>
        <v>17</v>
      </c>
      <c r="CH51" s="23">
        <f>'QTR Raw'!BB29</f>
        <v>28</v>
      </c>
      <c r="CI51" s="23">
        <f>'QTR Raw'!BC29</f>
        <v>123</v>
      </c>
      <c r="CJ51" s="23">
        <f>'QTR Raw'!BD29</f>
        <v>79</v>
      </c>
      <c r="CK51" s="23">
        <f>'QTR Raw'!BE29</f>
        <v>46</v>
      </c>
      <c r="CL51" s="23">
        <f>'QTR Raw'!BF29</f>
        <v>45</v>
      </c>
      <c r="CM51" s="24">
        <f t="shared" ref="CM51:DB51" si="554">+CM50*CM52</f>
        <v>68.815823075787577</v>
      </c>
      <c r="CN51" s="24">
        <f t="shared" si="554"/>
        <v>55.056862293627475</v>
      </c>
      <c r="CO51" s="24">
        <f t="shared" si="554"/>
        <v>58.66282985000182</v>
      </c>
      <c r="CP51" s="24">
        <f t="shared" si="554"/>
        <v>91.457811893629398</v>
      </c>
      <c r="CQ51" s="24">
        <f t="shared" si="554"/>
        <v>75.817505567667482</v>
      </c>
      <c r="CR51" s="24">
        <f t="shared" si="554"/>
        <v>72.71529865525423</v>
      </c>
      <c r="CS51" s="24">
        <f t="shared" si="554"/>
        <v>84.491275700121932</v>
      </c>
      <c r="CT51" s="24">
        <f t="shared" si="554"/>
        <v>126.90414091519202</v>
      </c>
      <c r="CU51" s="24">
        <f t="shared" si="554"/>
        <v>87.933890008746957</v>
      </c>
      <c r="CV51" s="24">
        <f t="shared" si="554"/>
        <v>87.874718967885102</v>
      </c>
      <c r="CW51" s="24">
        <f t="shared" si="554"/>
        <v>100.54494104366752</v>
      </c>
      <c r="CX51" s="24">
        <f t="shared" si="554"/>
        <v>142.31927523243911</v>
      </c>
      <c r="CY51" s="24">
        <f t="shared" si="554"/>
        <v>108.08161998551634</v>
      </c>
      <c r="CZ51" s="24">
        <f t="shared" si="554"/>
        <v>108.37594206287594</v>
      </c>
      <c r="DA51" s="24">
        <f t="shared" si="554"/>
        <v>121.9554122717782</v>
      </c>
      <c r="DB51" s="24">
        <f t="shared" si="554"/>
        <v>166.8217428922955</v>
      </c>
      <c r="DE51" s="123"/>
      <c r="DF51" s="23">
        <v>293</v>
      </c>
    </row>
    <row r="52" spans="1:110" s="90" customFormat="1" x14ac:dyDescent="0.2">
      <c r="A52" s="90" t="s">
        <v>106</v>
      </c>
      <c r="B52" s="90" t="e">
        <f t="shared" ref="B52:E52" si="555">B51/B50</f>
        <v>#DIV/0!</v>
      </c>
      <c r="C52" s="90" t="e">
        <f t="shared" si="555"/>
        <v>#DIV/0!</v>
      </c>
      <c r="D52" s="90" t="e">
        <f t="shared" si="555"/>
        <v>#DIV/0!</v>
      </c>
      <c r="E52" s="90" t="e">
        <f t="shared" si="555"/>
        <v>#DIV/0!</v>
      </c>
      <c r="F52" s="90" t="e">
        <f t="shared" ref="F52:T52" si="556">F51/F50</f>
        <v>#DIV/0!</v>
      </c>
      <c r="G52" s="90" t="e">
        <f t="shared" si="556"/>
        <v>#DIV/0!</v>
      </c>
      <c r="H52" s="90" t="e">
        <f t="shared" si="556"/>
        <v>#DIV/0!</v>
      </c>
      <c r="I52" s="90" t="e">
        <f t="shared" si="556"/>
        <v>#DIV/0!</v>
      </c>
      <c r="J52" s="90" t="e">
        <f t="shared" si="556"/>
        <v>#DIV/0!</v>
      </c>
      <c r="K52" s="90" t="e">
        <f t="shared" si="556"/>
        <v>#DIV/0!</v>
      </c>
      <c r="L52" s="90" t="e">
        <f t="shared" si="556"/>
        <v>#DIV/0!</v>
      </c>
      <c r="M52" s="90" t="e">
        <f t="shared" si="556"/>
        <v>#DIV/0!</v>
      </c>
      <c r="N52" s="90" t="e">
        <f t="shared" si="556"/>
        <v>#DIV/0!</v>
      </c>
      <c r="O52" s="90" t="e">
        <f t="shared" si="556"/>
        <v>#DIV/0!</v>
      </c>
      <c r="P52" s="90" t="e">
        <f t="shared" si="556"/>
        <v>#DIV/0!</v>
      </c>
      <c r="Q52" s="90" t="e">
        <f t="shared" si="556"/>
        <v>#DIV/0!</v>
      </c>
      <c r="R52" s="90">
        <f t="shared" si="556"/>
        <v>0.68518518518518523</v>
      </c>
      <c r="S52" s="90">
        <f t="shared" si="556"/>
        <v>0.25192802056555269</v>
      </c>
      <c r="T52" s="90">
        <f t="shared" si="556"/>
        <v>-2.9498525073746312E-2</v>
      </c>
      <c r="U52" s="90">
        <f t="shared" ref="U52:Z52" si="557">U51/U50</f>
        <v>0.33333333333333331</v>
      </c>
      <c r="V52" s="90">
        <f t="shared" si="557"/>
        <v>0.12732474964234622</v>
      </c>
      <c r="W52" s="90">
        <f t="shared" si="557"/>
        <v>0.27415143603133157</v>
      </c>
      <c r="X52" s="90">
        <f t="shared" si="557"/>
        <v>0.2644808743169399</v>
      </c>
      <c r="Y52" s="90">
        <f t="shared" si="557"/>
        <v>0.20186915887850468</v>
      </c>
      <c r="Z52" s="90">
        <f t="shared" si="557"/>
        <v>0.12688172043010754</v>
      </c>
      <c r="AA52" s="90">
        <f t="shared" ref="AA52" si="558">AA51/AA50</f>
        <v>0.19783197831978319</v>
      </c>
      <c r="AB52" s="91">
        <f t="shared" ref="AB52:AD52" si="559">AB51/AB50</f>
        <v>0.18447689958514879</v>
      </c>
      <c r="AC52" s="91">
        <f t="shared" si="559"/>
        <v>0.19039349952836784</v>
      </c>
      <c r="AD52" s="91">
        <f t="shared" si="559"/>
        <v>0.19008838752252313</v>
      </c>
      <c r="AE52" s="91">
        <f t="shared" ref="AE52" si="560">AE51/AE50</f>
        <v>0.19005200673119738</v>
      </c>
      <c r="AI52" s="90" t="e">
        <f t="shared" ref="AI52" si="561">AI51/AI50</f>
        <v>#DIV/0!</v>
      </c>
      <c r="AJ52" s="90" t="e">
        <f t="shared" ref="AJ52" si="562">AJ51/AJ50</f>
        <v>#DIV/0!</v>
      </c>
      <c r="AK52" s="90" t="e">
        <f t="shared" ref="AK52:AM52" si="563">AK51/AK50</f>
        <v>#DIV/0!</v>
      </c>
      <c r="AL52" s="90" t="e">
        <f t="shared" si="563"/>
        <v>#DIV/0!</v>
      </c>
      <c r="AM52" s="90" t="e">
        <f t="shared" si="563"/>
        <v>#DIV/0!</v>
      </c>
      <c r="AN52" s="90" t="e">
        <f t="shared" ref="AN52:AO52" si="564">AN51/AN50</f>
        <v>#DIV/0!</v>
      </c>
      <c r="AO52" s="90" t="e">
        <f t="shared" si="564"/>
        <v>#DIV/0!</v>
      </c>
      <c r="AP52" s="90" t="e">
        <f t="shared" ref="AP52:CD52" si="565">AP51/AP50</f>
        <v>#DIV/0!</v>
      </c>
      <c r="AQ52" s="90" t="e">
        <f t="shared" si="565"/>
        <v>#DIV/0!</v>
      </c>
      <c r="AR52" s="90" t="e">
        <f t="shared" si="565"/>
        <v>#DIV/0!</v>
      </c>
      <c r="AS52" s="90" t="e">
        <f t="shared" si="565"/>
        <v>#DIV/0!</v>
      </c>
      <c r="AT52" s="90" t="e">
        <f t="shared" si="565"/>
        <v>#DIV/0!</v>
      </c>
      <c r="AU52" s="90" t="e">
        <f t="shared" si="565"/>
        <v>#DIV/0!</v>
      </c>
      <c r="AV52" s="90" t="e">
        <f t="shared" si="565"/>
        <v>#DIV/0!</v>
      </c>
      <c r="AW52" s="90" t="e">
        <f t="shared" si="565"/>
        <v>#DIV/0!</v>
      </c>
      <c r="AX52" s="90" t="e">
        <f t="shared" si="565"/>
        <v>#DIV/0!</v>
      </c>
      <c r="AY52" s="90" t="e">
        <f t="shared" si="565"/>
        <v>#DIV/0!</v>
      </c>
      <c r="AZ52" s="90" t="e">
        <f t="shared" si="565"/>
        <v>#DIV/0!</v>
      </c>
      <c r="BA52" s="90" t="e">
        <f t="shared" si="565"/>
        <v>#DIV/0!</v>
      </c>
      <c r="BB52" s="90" t="e">
        <f t="shared" si="565"/>
        <v>#DIV/0!</v>
      </c>
      <c r="BC52" s="90" t="e">
        <f t="shared" si="565"/>
        <v>#DIV/0!</v>
      </c>
      <c r="BD52" s="90" t="e">
        <f t="shared" si="565"/>
        <v>#DIV/0!</v>
      </c>
      <c r="BE52" s="90">
        <f t="shared" si="565"/>
        <v>3.7735849056603772E-2</v>
      </c>
      <c r="BF52" s="90">
        <f t="shared" si="565"/>
        <v>0.29943502824858759</v>
      </c>
      <c r="BG52" s="90">
        <f t="shared" si="565"/>
        <v>0.47474747474747475</v>
      </c>
      <c r="BH52" s="90">
        <f t="shared" si="565"/>
        <v>1.046875</v>
      </c>
      <c r="BI52" s="90">
        <f t="shared" si="565"/>
        <v>0.22500000000000001</v>
      </c>
      <c r="BJ52" s="90">
        <f t="shared" si="565"/>
        <v>3.787878787878788E-3</v>
      </c>
      <c r="BK52" s="90">
        <f t="shared" si="565"/>
        <v>0.3968253968253968</v>
      </c>
      <c r="BL52" s="90">
        <f t="shared" si="565"/>
        <v>-1.4</v>
      </c>
      <c r="BM52" s="90">
        <f t="shared" si="565"/>
        <v>-0.04</v>
      </c>
      <c r="BN52" s="90">
        <f t="shared" si="565"/>
        <v>0.63076923076923075</v>
      </c>
      <c r="BO52" s="90">
        <f t="shared" si="565"/>
        <v>0.3612040133779264</v>
      </c>
      <c r="BP52" s="90">
        <f t="shared" si="565"/>
        <v>0.37057220708446864</v>
      </c>
      <c r="BQ52" s="90">
        <f t="shared" si="565"/>
        <v>0.42443729903536975</v>
      </c>
      <c r="BR52" s="90">
        <f t="shared" si="565"/>
        <v>-0.52380952380952384</v>
      </c>
      <c r="BS52" s="90">
        <f t="shared" si="565"/>
        <v>0.25129533678756477</v>
      </c>
      <c r="BT52" s="90">
        <f t="shared" si="565"/>
        <v>0.29392971246006389</v>
      </c>
      <c r="BU52" s="90">
        <f t="shared" si="565"/>
        <v>0.37634408602150538</v>
      </c>
      <c r="BV52" s="90">
        <f t="shared" si="565"/>
        <v>0.25490196078431371</v>
      </c>
      <c r="BW52" s="90">
        <f t="shared" si="565"/>
        <v>0.25396825396825395</v>
      </c>
      <c r="BX52" s="90">
        <f t="shared" si="565"/>
        <v>-0.72413793103448276</v>
      </c>
      <c r="BY52" s="90">
        <f t="shared" si="565"/>
        <v>0.25874125874125875</v>
      </c>
      <c r="BZ52" s="90">
        <f t="shared" si="565"/>
        <v>0.35919540229885055</v>
      </c>
      <c r="CA52" s="90">
        <f t="shared" si="565"/>
        <v>0.22162162162162163</v>
      </c>
      <c r="CB52" s="90">
        <f t="shared" si="565"/>
        <v>0.27906976744186046</v>
      </c>
      <c r="CC52" s="90">
        <f t="shared" si="565"/>
        <v>0.26315789473684209</v>
      </c>
      <c r="CD52" s="90">
        <f t="shared" si="565"/>
        <v>9.0909090909090912E-2</v>
      </c>
      <c r="CE52" s="90">
        <f t="shared" ref="CE52:CF52" si="566">CE51/CE50</f>
        <v>0.15960912052117263</v>
      </c>
      <c r="CF52" s="90">
        <f t="shared" si="566"/>
        <v>0.32876712328767121</v>
      </c>
      <c r="CG52" s="90">
        <f t="shared" ref="CG52:CH52" si="567">CG51/CG50</f>
        <v>0.20481927710843373</v>
      </c>
      <c r="CH52" s="90">
        <f t="shared" si="567"/>
        <v>5.9957173447537475E-2</v>
      </c>
      <c r="CI52" s="90">
        <f t="shared" ref="CI52:CJ52" si="568">CI51/CI50</f>
        <v>0.2450199203187251</v>
      </c>
      <c r="CJ52" s="90">
        <f t="shared" si="568"/>
        <v>0.24842767295597484</v>
      </c>
      <c r="CK52" s="90">
        <f t="shared" ref="CK52:CL52" si="569">CK51/CK50</f>
        <v>0.22330097087378642</v>
      </c>
      <c r="CL52" s="90">
        <f t="shared" si="569"/>
        <v>0.1</v>
      </c>
      <c r="CM52" s="91">
        <f>AVERAGE(CI52:CL52)</f>
        <v>0.20418714103712157</v>
      </c>
      <c r="CN52" s="91">
        <f t="shared" ref="CN52:CX52" si="570">AVERAGE(CJ52:CM52)</f>
        <v>0.19397894621672071</v>
      </c>
      <c r="CO52" s="91">
        <f t="shared" si="570"/>
        <v>0.18036676453190717</v>
      </c>
      <c r="CP52" s="91">
        <f t="shared" si="570"/>
        <v>0.16963321294643735</v>
      </c>
      <c r="CQ52" s="91">
        <f>AVERAGE(CM52:CP52)*1.03</f>
        <v>0.19265276166853812</v>
      </c>
      <c r="CR52" s="91">
        <f t="shared" ref="CR52:CT52" si="571">AVERAGE(CN52:CQ52)*1.03</f>
        <v>0.18968265898112785</v>
      </c>
      <c r="CS52" s="91">
        <f t="shared" si="571"/>
        <v>0.18857636501796271</v>
      </c>
      <c r="CT52" s="91">
        <f t="shared" si="571"/>
        <v>0.19069033714312203</v>
      </c>
      <c r="CU52" s="91">
        <f t="shared" si="570"/>
        <v>0.19040053070268767</v>
      </c>
      <c r="CV52" s="91">
        <f t="shared" si="570"/>
        <v>0.18983747296122508</v>
      </c>
      <c r="CW52" s="91">
        <f t="shared" si="570"/>
        <v>0.18987617645624938</v>
      </c>
      <c r="CX52" s="91">
        <f t="shared" si="570"/>
        <v>0.19020112931582106</v>
      </c>
      <c r="CY52" s="91">
        <f t="shared" ref="CY52:DB52" si="572">AVERAGE(CU52:CX52)</f>
        <v>0.19007882735899578</v>
      </c>
      <c r="CZ52" s="91">
        <f t="shared" si="572"/>
        <v>0.18999840152307279</v>
      </c>
      <c r="DA52" s="91">
        <f t="shared" si="572"/>
        <v>0.19003863366353477</v>
      </c>
      <c r="DB52" s="91">
        <f t="shared" si="572"/>
        <v>0.19007924796535611</v>
      </c>
      <c r="DE52" s="127"/>
      <c r="DF52" s="90">
        <v>0.19850948509485095</v>
      </c>
    </row>
    <row r="53" spans="1:110" s="26" customFormat="1" x14ac:dyDescent="0.2">
      <c r="A53" s="26" t="s">
        <v>22</v>
      </c>
      <c r="B53" s="26">
        <f t="shared" ref="B53:E53" si="573">B50-B51</f>
        <v>0</v>
      </c>
      <c r="C53" s="26">
        <f t="shared" si="573"/>
        <v>0</v>
      </c>
      <c r="D53" s="26">
        <f t="shared" si="573"/>
        <v>0</v>
      </c>
      <c r="E53" s="26">
        <f t="shared" si="573"/>
        <v>0</v>
      </c>
      <c r="F53" s="26">
        <f t="shared" ref="F53:T53" si="574">F50-F51</f>
        <v>0</v>
      </c>
      <c r="G53" s="26">
        <f t="shared" si="574"/>
        <v>0</v>
      </c>
      <c r="H53" s="26">
        <f t="shared" si="574"/>
        <v>0</v>
      </c>
      <c r="I53" s="26">
        <f t="shared" si="574"/>
        <v>0</v>
      </c>
      <c r="J53" s="26">
        <f t="shared" si="574"/>
        <v>0</v>
      </c>
      <c r="K53" s="26">
        <f t="shared" si="574"/>
        <v>0</v>
      </c>
      <c r="L53" s="26">
        <f t="shared" si="574"/>
        <v>0</v>
      </c>
      <c r="M53" s="26">
        <f t="shared" si="574"/>
        <v>0</v>
      </c>
      <c r="N53" s="26">
        <f t="shared" si="574"/>
        <v>0</v>
      </c>
      <c r="O53" s="26">
        <f t="shared" si="574"/>
        <v>0</v>
      </c>
      <c r="P53" s="26">
        <f t="shared" si="574"/>
        <v>0</v>
      </c>
      <c r="Q53" s="26">
        <f t="shared" si="574"/>
        <v>0</v>
      </c>
      <c r="R53" s="26">
        <f t="shared" si="574"/>
        <v>34</v>
      </c>
      <c r="S53" s="26">
        <f t="shared" si="574"/>
        <v>291</v>
      </c>
      <c r="T53" s="26">
        <f t="shared" si="574"/>
        <v>349</v>
      </c>
      <c r="U53" s="26">
        <f t="shared" ref="U53:Z53" si="575">U50-U51</f>
        <v>238</v>
      </c>
      <c r="V53" s="26">
        <f t="shared" si="575"/>
        <v>1220</v>
      </c>
      <c r="W53" s="26">
        <f t="shared" si="575"/>
        <v>834</v>
      </c>
      <c r="X53" s="26">
        <f t="shared" si="575"/>
        <v>673</v>
      </c>
      <c r="Y53" s="26">
        <f t="shared" si="575"/>
        <v>854</v>
      </c>
      <c r="Z53" s="26">
        <f t="shared" si="575"/>
        <v>812</v>
      </c>
      <c r="AA53" s="26">
        <f t="shared" ref="AA53" si="576">AA50-AA51</f>
        <v>1184</v>
      </c>
      <c r="AB53" s="27">
        <f t="shared" ref="AB53:AD53" si="577">AB50-AB51</f>
        <v>1211.2513172256315</v>
      </c>
      <c r="AC53" s="27">
        <f t="shared" si="577"/>
        <v>1530.5156321810628</v>
      </c>
      <c r="AD53" s="27">
        <f t="shared" si="577"/>
        <v>1783.8437551098104</v>
      </c>
      <c r="AE53" s="27">
        <f t="shared" ref="AE53" si="578">AE50-AE51</f>
        <v>2153.1677164279822</v>
      </c>
      <c r="AI53" s="26">
        <f>AI50-AI51</f>
        <v>0</v>
      </c>
      <c r="AJ53" s="26">
        <f t="shared" ref="AJ53" si="579">AJ50-AJ51</f>
        <v>0</v>
      </c>
      <c r="AK53" s="26">
        <f t="shared" ref="AK53:AM53" si="580">AK50-AK51</f>
        <v>0</v>
      </c>
      <c r="AL53" s="26">
        <f t="shared" si="580"/>
        <v>0</v>
      </c>
      <c r="AM53" s="26">
        <f t="shared" si="580"/>
        <v>0</v>
      </c>
      <c r="AN53" s="26">
        <f t="shared" ref="AN53:AO53" si="581">AN50-AN51</f>
        <v>0</v>
      </c>
      <c r="AO53" s="26">
        <f t="shared" si="581"/>
        <v>0</v>
      </c>
      <c r="AP53" s="26">
        <f t="shared" ref="AP53:CD53" si="582">AP50-AP51</f>
        <v>0</v>
      </c>
      <c r="AQ53" s="26">
        <f t="shared" si="582"/>
        <v>0</v>
      </c>
      <c r="AR53" s="26">
        <f t="shared" si="582"/>
        <v>0</v>
      </c>
      <c r="AS53" s="26">
        <f t="shared" si="582"/>
        <v>0</v>
      </c>
      <c r="AT53" s="26">
        <f t="shared" si="582"/>
        <v>0</v>
      </c>
      <c r="AU53" s="26">
        <f t="shared" si="582"/>
        <v>0</v>
      </c>
      <c r="AV53" s="26">
        <f t="shared" si="582"/>
        <v>0</v>
      </c>
      <c r="AW53" s="26">
        <f t="shared" si="582"/>
        <v>0</v>
      </c>
      <c r="AX53" s="26">
        <f t="shared" si="582"/>
        <v>0</v>
      </c>
      <c r="AY53" s="26">
        <f t="shared" si="582"/>
        <v>0</v>
      </c>
      <c r="AZ53" s="26">
        <f t="shared" si="582"/>
        <v>0</v>
      </c>
      <c r="BA53" s="26">
        <f t="shared" si="582"/>
        <v>0</v>
      </c>
      <c r="BB53" s="26">
        <f t="shared" si="582"/>
        <v>0</v>
      </c>
      <c r="BC53" s="26">
        <f t="shared" si="582"/>
        <v>0</v>
      </c>
      <c r="BD53" s="26">
        <f t="shared" si="582"/>
        <v>0</v>
      </c>
      <c r="BE53" s="26">
        <f t="shared" si="582"/>
        <v>51</v>
      </c>
      <c r="BF53" s="26">
        <f t="shared" si="582"/>
        <v>124</v>
      </c>
      <c r="BG53" s="26">
        <f t="shared" si="582"/>
        <v>52</v>
      </c>
      <c r="BH53" s="26">
        <f t="shared" si="582"/>
        <v>3</v>
      </c>
      <c r="BI53" s="26">
        <f t="shared" si="582"/>
        <v>31</v>
      </c>
      <c r="BJ53" s="26">
        <f t="shared" si="582"/>
        <v>263</v>
      </c>
      <c r="BK53" s="26">
        <f t="shared" si="582"/>
        <v>152</v>
      </c>
      <c r="BL53" s="26">
        <f t="shared" si="582"/>
        <v>36</v>
      </c>
      <c r="BM53" s="26">
        <f t="shared" si="582"/>
        <v>26</v>
      </c>
      <c r="BN53" s="26">
        <f t="shared" si="582"/>
        <v>24</v>
      </c>
      <c r="BO53" s="26">
        <f t="shared" si="582"/>
        <v>191</v>
      </c>
      <c r="BP53" s="26">
        <f t="shared" si="582"/>
        <v>231</v>
      </c>
      <c r="BQ53" s="26">
        <f t="shared" si="582"/>
        <v>179</v>
      </c>
      <c r="BR53" s="26">
        <f t="shared" si="582"/>
        <v>640</v>
      </c>
      <c r="BS53" s="26">
        <f t="shared" si="582"/>
        <v>289</v>
      </c>
      <c r="BT53" s="26">
        <f t="shared" si="582"/>
        <v>221</v>
      </c>
      <c r="BU53" s="26">
        <f t="shared" si="582"/>
        <v>58</v>
      </c>
      <c r="BV53" s="26">
        <f t="shared" si="582"/>
        <v>266</v>
      </c>
      <c r="BW53" s="26">
        <f t="shared" si="582"/>
        <v>188</v>
      </c>
      <c r="BX53" s="26">
        <f t="shared" si="582"/>
        <v>50</v>
      </c>
      <c r="BY53" s="26">
        <f t="shared" si="582"/>
        <v>212</v>
      </c>
      <c r="BZ53" s="26">
        <f t="shared" si="582"/>
        <v>223</v>
      </c>
      <c r="CA53" s="26">
        <f t="shared" si="582"/>
        <v>144</v>
      </c>
      <c r="CB53" s="26">
        <f t="shared" si="582"/>
        <v>124</v>
      </c>
      <c r="CC53" s="26">
        <f t="shared" si="582"/>
        <v>266</v>
      </c>
      <c r="CD53" s="26">
        <f t="shared" si="582"/>
        <v>320</v>
      </c>
      <c r="CE53" s="26">
        <f t="shared" ref="CE53:CF53" si="583">CE50-CE51</f>
        <v>258</v>
      </c>
      <c r="CF53" s="26">
        <f t="shared" si="583"/>
        <v>49</v>
      </c>
      <c r="CG53" s="26">
        <f t="shared" ref="CG53:CH53" si="584">CG50-CG51</f>
        <v>66</v>
      </c>
      <c r="CH53" s="26">
        <f t="shared" si="584"/>
        <v>439</v>
      </c>
      <c r="CI53" s="26">
        <f t="shared" ref="CI53:CJ53" si="585">CI50-CI51</f>
        <v>379</v>
      </c>
      <c r="CJ53" s="26">
        <f t="shared" si="585"/>
        <v>239</v>
      </c>
      <c r="CK53" s="26">
        <f t="shared" ref="CK53:CL53" si="586">CK50-CK51</f>
        <v>160</v>
      </c>
      <c r="CL53" s="26">
        <f t="shared" si="586"/>
        <v>405</v>
      </c>
      <c r="CM53" s="27">
        <f t="shared" ref="CM53:DB53" si="587">CM50-CM51</f>
        <v>268.20747195764812</v>
      </c>
      <c r="CN53" s="27">
        <f t="shared" si="587"/>
        <v>228.77219940318076</v>
      </c>
      <c r="CO53" s="27">
        <f t="shared" si="587"/>
        <v>266.57907379142142</v>
      </c>
      <c r="CP53" s="27">
        <f t="shared" si="587"/>
        <v>447.69257207338131</v>
      </c>
      <c r="CQ53" s="27">
        <f t="shared" si="587"/>
        <v>317.72736194953222</v>
      </c>
      <c r="CR53" s="27">
        <f t="shared" si="587"/>
        <v>310.63708076541235</v>
      </c>
      <c r="CS53" s="27">
        <f t="shared" si="587"/>
        <v>363.55679062077553</v>
      </c>
      <c r="CT53" s="27">
        <f t="shared" si="587"/>
        <v>538.59439884534402</v>
      </c>
      <c r="CU53" s="27">
        <f t="shared" si="587"/>
        <v>373.90248032184104</v>
      </c>
      <c r="CV53" s="27">
        <f t="shared" si="587"/>
        <v>375.0197643875365</v>
      </c>
      <c r="CW53" s="27">
        <f t="shared" si="587"/>
        <v>428.98405474814916</v>
      </c>
      <c r="CX53" s="27">
        <f t="shared" si="587"/>
        <v>605.93745565228596</v>
      </c>
      <c r="CY53" s="27">
        <f t="shared" si="587"/>
        <v>460.53310416461773</v>
      </c>
      <c r="CZ53" s="27">
        <f t="shared" si="587"/>
        <v>462.02855183869571</v>
      </c>
      <c r="DA53" s="27">
        <f t="shared" si="587"/>
        <v>519.78469036283366</v>
      </c>
      <c r="DB53" s="27">
        <f t="shared" si="587"/>
        <v>710.82137006183643</v>
      </c>
      <c r="DE53" s="121"/>
      <c r="DF53" s="26">
        <v>1183</v>
      </c>
    </row>
    <row r="54" spans="1:110" s="45" customFormat="1" x14ac:dyDescent="0.2">
      <c r="A54" s="45" t="s">
        <v>107</v>
      </c>
      <c r="B54" s="45" t="e">
        <f t="shared" ref="B54:E54" si="588">+B53/B22</f>
        <v>#DIV/0!</v>
      </c>
      <c r="C54" s="45" t="e">
        <f t="shared" si="588"/>
        <v>#DIV/0!</v>
      </c>
      <c r="D54" s="45" t="e">
        <f t="shared" si="588"/>
        <v>#DIV/0!</v>
      </c>
      <c r="E54" s="45" t="e">
        <f t="shared" si="588"/>
        <v>#DIV/0!</v>
      </c>
      <c r="F54" s="45" t="e">
        <f t="shared" ref="F54:AE54" si="589">+F53/F22</f>
        <v>#DIV/0!</v>
      </c>
      <c r="G54" s="45" t="e">
        <f t="shared" si="589"/>
        <v>#DIV/0!</v>
      </c>
      <c r="H54" s="45" t="e">
        <f t="shared" si="589"/>
        <v>#DIV/0!</v>
      </c>
      <c r="I54" s="45" t="e">
        <f t="shared" si="589"/>
        <v>#DIV/0!</v>
      </c>
      <c r="J54" s="45" t="e">
        <f t="shared" si="589"/>
        <v>#DIV/0!</v>
      </c>
      <c r="K54" s="45" t="e">
        <f t="shared" si="589"/>
        <v>#DIV/0!</v>
      </c>
      <c r="L54" s="45" t="e">
        <f t="shared" si="589"/>
        <v>#DIV/0!</v>
      </c>
      <c r="M54" s="45" t="e">
        <f t="shared" si="589"/>
        <v>#DIV/0!</v>
      </c>
      <c r="N54" s="45" t="e">
        <f t="shared" si="589"/>
        <v>#DIV/0!</v>
      </c>
      <c r="O54" s="45" t="e">
        <f t="shared" si="589"/>
        <v>#DIV/0!</v>
      </c>
      <c r="P54" s="45" t="e">
        <f t="shared" si="589"/>
        <v>#DIV/0!</v>
      </c>
      <c r="Q54" s="45" t="e">
        <f t="shared" si="589"/>
        <v>#DIV/0!</v>
      </c>
      <c r="R54" s="45">
        <f t="shared" si="589"/>
        <v>4.5655968846515377E-3</v>
      </c>
      <c r="S54" s="45">
        <f t="shared" si="589"/>
        <v>3.3916083916083917E-2</v>
      </c>
      <c r="T54" s="45">
        <f t="shared" si="589"/>
        <v>3.6798819063686206E-2</v>
      </c>
      <c r="U54" s="45">
        <f t="shared" si="589"/>
        <v>2.4602026049204053E-2</v>
      </c>
      <c r="V54" s="45">
        <f t="shared" si="589"/>
        <v>0.12067260138476756</v>
      </c>
      <c r="W54" s="45">
        <f t="shared" si="589"/>
        <v>7.3896863370547586E-2</v>
      </c>
      <c r="X54" s="45">
        <f t="shared" si="589"/>
        <v>4.9660566706021252E-2</v>
      </c>
      <c r="Y54" s="45">
        <f t="shared" si="589"/>
        <v>5.8130828398339121E-2</v>
      </c>
      <c r="Z54" s="45">
        <f t="shared" ref="Z54:AA54" si="590">+Z53/Z22</f>
        <v>5.8082975679542202E-2</v>
      </c>
      <c r="AA54" s="45">
        <f t="shared" ref="AA54" si="591">+AA53/AA22</f>
        <v>7.9978384220480953E-2</v>
      </c>
      <c r="AB54" s="48">
        <f t="shared" si="589"/>
        <v>7.5061604457068484E-2</v>
      </c>
      <c r="AC54" s="48">
        <f t="shared" si="589"/>
        <v>8.8791212818666351E-2</v>
      </c>
      <c r="AD54" s="48">
        <f t="shared" si="589"/>
        <v>9.6742978632128052E-2</v>
      </c>
      <c r="AE54" s="48">
        <f t="shared" si="589"/>
        <v>0.10913678024057667</v>
      </c>
      <c r="AI54" s="45" t="e">
        <f t="shared" ref="AI54:BN54" si="592">+AI53/AI22</f>
        <v>#DIV/0!</v>
      </c>
      <c r="AJ54" s="45" t="e">
        <f t="shared" si="592"/>
        <v>#DIV/0!</v>
      </c>
      <c r="AK54" s="45" t="e">
        <f t="shared" si="592"/>
        <v>#DIV/0!</v>
      </c>
      <c r="AL54" s="45" t="e">
        <f t="shared" si="592"/>
        <v>#DIV/0!</v>
      </c>
      <c r="AM54" s="45" t="e">
        <f t="shared" si="592"/>
        <v>#DIV/0!</v>
      </c>
      <c r="AN54" s="45" t="e">
        <f t="shared" si="592"/>
        <v>#DIV/0!</v>
      </c>
      <c r="AO54" s="45" t="e">
        <f t="shared" si="592"/>
        <v>#DIV/0!</v>
      </c>
      <c r="AP54" s="45" t="e">
        <f t="shared" si="592"/>
        <v>#DIV/0!</v>
      </c>
      <c r="AQ54" s="45" t="e">
        <f t="shared" si="592"/>
        <v>#DIV/0!</v>
      </c>
      <c r="AR54" s="45" t="e">
        <f t="shared" si="592"/>
        <v>#DIV/0!</v>
      </c>
      <c r="AS54" s="45" t="e">
        <f t="shared" si="592"/>
        <v>#DIV/0!</v>
      </c>
      <c r="AT54" s="45" t="e">
        <f t="shared" si="592"/>
        <v>#DIV/0!</v>
      </c>
      <c r="AU54" s="45" t="e">
        <f t="shared" si="592"/>
        <v>#DIV/0!</v>
      </c>
      <c r="AV54" s="45" t="e">
        <f t="shared" si="592"/>
        <v>#DIV/0!</v>
      </c>
      <c r="AW54" s="45" t="e">
        <f t="shared" si="592"/>
        <v>#DIV/0!</v>
      </c>
      <c r="AX54" s="45" t="e">
        <f t="shared" si="592"/>
        <v>#DIV/0!</v>
      </c>
      <c r="AY54" s="45" t="e">
        <f t="shared" si="592"/>
        <v>#DIV/0!</v>
      </c>
      <c r="AZ54" s="45" t="e">
        <f t="shared" si="592"/>
        <v>#DIV/0!</v>
      </c>
      <c r="BA54" s="45" t="e">
        <f t="shared" si="592"/>
        <v>#DIV/0!</v>
      </c>
      <c r="BB54" s="45" t="e">
        <f t="shared" si="592"/>
        <v>#DIV/0!</v>
      </c>
      <c r="BC54" s="45" t="e">
        <f t="shared" si="592"/>
        <v>#DIV/0!</v>
      </c>
      <c r="BD54" s="45" t="e">
        <f t="shared" si="592"/>
        <v>#DIV/0!</v>
      </c>
      <c r="BE54" s="45">
        <f t="shared" si="592"/>
        <v>2.4649589173513776E-2</v>
      </c>
      <c r="BF54" s="45">
        <f t="shared" si="592"/>
        <v>4.7418738049713194E-2</v>
      </c>
      <c r="BG54" s="45">
        <f t="shared" si="592"/>
        <v>2.2118247554232241E-2</v>
      </c>
      <c r="BH54" s="45">
        <f t="shared" si="592"/>
        <v>1.4584346135148275E-3</v>
      </c>
      <c r="BI54" s="45">
        <f t="shared" si="592"/>
        <v>1.432532347504621E-2</v>
      </c>
      <c r="BJ54" s="45">
        <f t="shared" si="592"/>
        <v>9.2540464461646724E-2</v>
      </c>
      <c r="BK54" s="45">
        <f t="shared" si="592"/>
        <v>5.9913283405597165E-2</v>
      </c>
      <c r="BL54" s="45">
        <f t="shared" si="592"/>
        <v>1.6129032258064516E-2</v>
      </c>
      <c r="BM54" s="45">
        <f t="shared" si="592"/>
        <v>1.0761589403973509E-2</v>
      </c>
      <c r="BN54" s="45">
        <f t="shared" si="592"/>
        <v>9.7442143727161992E-3</v>
      </c>
      <c r="BO54" s="45">
        <f t="shared" ref="BO54:CT54" si="593">+BO53/BO22</f>
        <v>0.10047343503419252</v>
      </c>
      <c r="BP54" s="45">
        <f t="shared" si="593"/>
        <v>9.9870298313878086E-2</v>
      </c>
      <c r="BQ54" s="45">
        <f t="shared" si="593"/>
        <v>6.5400073072707343E-2</v>
      </c>
      <c r="BR54" s="45">
        <f t="shared" si="593"/>
        <v>0.20311012377023166</v>
      </c>
      <c r="BS54" s="45">
        <f t="shared" si="593"/>
        <v>0.11153994596680818</v>
      </c>
      <c r="BT54" s="45">
        <f t="shared" si="593"/>
        <v>8.5625726462611393E-2</v>
      </c>
      <c r="BU54" s="45">
        <f t="shared" si="593"/>
        <v>2.121433796634967E-2</v>
      </c>
      <c r="BV54" s="45">
        <f t="shared" si="593"/>
        <v>7.8698224852071008E-2</v>
      </c>
      <c r="BW54" s="45">
        <f t="shared" si="593"/>
        <v>5.6935190793458511E-2</v>
      </c>
      <c r="BX54" s="45">
        <f t="shared" si="593"/>
        <v>1.6829350387075059E-2</v>
      </c>
      <c r="BY54" s="45">
        <f t="shared" si="593"/>
        <v>6.3189269746646792E-2</v>
      </c>
      <c r="BZ54" s="45">
        <f t="shared" si="593"/>
        <v>5.6960408684546618E-2</v>
      </c>
      <c r="CA54" s="45">
        <f t="shared" si="593"/>
        <v>3.9702233250620347E-2</v>
      </c>
      <c r="CB54" s="45">
        <f t="shared" si="593"/>
        <v>3.9327624484617824E-2</v>
      </c>
      <c r="CC54" s="45">
        <f t="shared" si="593"/>
        <v>7.3806881243063269E-2</v>
      </c>
      <c r="CD54" s="45">
        <f t="shared" si="593"/>
        <v>7.429765498026468E-2</v>
      </c>
      <c r="CE54" s="45">
        <f t="shared" si="593"/>
        <v>7.1251035625517808E-2</v>
      </c>
      <c r="CF54" s="45">
        <f t="shared" si="593"/>
        <v>1.5873015873015872E-2</v>
      </c>
      <c r="CG54" s="45">
        <f t="shared" si="593"/>
        <v>2.0748192392329456E-2</v>
      </c>
      <c r="CH54" s="45">
        <f t="shared" si="593"/>
        <v>0.10730872647274504</v>
      </c>
      <c r="CI54" s="45">
        <f t="shared" ref="CI54:CJ54" si="594">+CI53/CI22</f>
        <v>0.10423542354235424</v>
      </c>
      <c r="CJ54" s="45">
        <f t="shared" si="594"/>
        <v>6.9944395668715242E-2</v>
      </c>
      <c r="CK54" s="45">
        <f t="shared" ref="CK54:CL54" si="595">+CK53/CK22</f>
        <v>4.5636052481460354E-2</v>
      </c>
      <c r="CL54" s="45">
        <f t="shared" si="595"/>
        <v>9.5406360424028266E-2</v>
      </c>
      <c r="CM54" s="48">
        <f t="shared" si="593"/>
        <v>7.0463820872644314E-2</v>
      </c>
      <c r="CN54" s="48">
        <f t="shared" si="593"/>
        <v>6.175842294415617E-2</v>
      </c>
      <c r="CO54" s="48">
        <f t="shared" si="593"/>
        <v>6.8271966630877007E-2</v>
      </c>
      <c r="CP54" s="48">
        <f t="shared" si="593"/>
        <v>9.4820451729434388E-2</v>
      </c>
      <c r="CQ54" s="48">
        <f t="shared" si="593"/>
        <v>7.8846786834158578E-2</v>
      </c>
      <c r="CR54" s="48">
        <f t="shared" si="593"/>
        <v>7.8414035042157437E-2</v>
      </c>
      <c r="CS54" s="48">
        <f t="shared" si="593"/>
        <v>8.6755466715531235E-2</v>
      </c>
      <c r="CT54" s="48">
        <f t="shared" si="593"/>
        <v>0.10653694203186316</v>
      </c>
      <c r="CU54" s="48">
        <f t="shared" ref="CU54:DB54" si="596">+CU53/CU22</f>
        <v>8.6880565172639812E-2</v>
      </c>
      <c r="CV54" s="48">
        <f t="shared" si="596"/>
        <v>8.8444801209556181E-2</v>
      </c>
      <c r="CW54" s="48">
        <f t="shared" si="596"/>
        <v>9.5620475085439846E-2</v>
      </c>
      <c r="CX54" s="48">
        <f t="shared" si="596"/>
        <v>0.11202629869565392</v>
      </c>
      <c r="CY54" s="48">
        <f t="shared" si="596"/>
        <v>0.10003760596561646</v>
      </c>
      <c r="CZ54" s="48">
        <f t="shared" si="596"/>
        <v>0.10182412477761237</v>
      </c>
      <c r="DA54" s="48">
        <f t="shared" si="596"/>
        <v>0.10827257379916085</v>
      </c>
      <c r="DB54" s="48">
        <f t="shared" si="596"/>
        <v>0.12282531682884365</v>
      </c>
      <c r="DE54" s="129"/>
      <c r="DF54" s="45">
        <v>7.9910834909483919E-2</v>
      </c>
    </row>
    <row r="55" spans="1:110" s="39" customFormat="1" x14ac:dyDescent="0.2">
      <c r="A55" s="39" t="s">
        <v>451</v>
      </c>
      <c r="C55" s="39" t="e">
        <f t="shared" ref="C55:E55" si="597">+IF(B53&lt;0,1-C53/B53,C53/B53-1)</f>
        <v>#DIV/0!</v>
      </c>
      <c r="D55" s="39" t="e">
        <f t="shared" si="597"/>
        <v>#DIV/0!</v>
      </c>
      <c r="E55" s="39" t="e">
        <f t="shared" si="597"/>
        <v>#DIV/0!</v>
      </c>
      <c r="F55" s="39" t="e">
        <f t="shared" ref="F55:AE55" si="598">+IF(E53&lt;0,1-F53/E53,F53/E53-1)</f>
        <v>#DIV/0!</v>
      </c>
      <c r="G55" s="39" t="e">
        <f t="shared" si="598"/>
        <v>#DIV/0!</v>
      </c>
      <c r="H55" s="39" t="e">
        <f t="shared" si="598"/>
        <v>#DIV/0!</v>
      </c>
      <c r="I55" s="39" t="e">
        <f t="shared" si="598"/>
        <v>#DIV/0!</v>
      </c>
      <c r="J55" s="39" t="e">
        <f t="shared" si="598"/>
        <v>#DIV/0!</v>
      </c>
      <c r="K55" s="39" t="e">
        <f t="shared" si="598"/>
        <v>#DIV/0!</v>
      </c>
      <c r="L55" s="39" t="e">
        <f t="shared" si="598"/>
        <v>#DIV/0!</v>
      </c>
      <c r="M55" s="39" t="e">
        <f t="shared" si="598"/>
        <v>#DIV/0!</v>
      </c>
      <c r="N55" s="39" t="e">
        <f t="shared" si="598"/>
        <v>#DIV/0!</v>
      </c>
      <c r="O55" s="39" t="e">
        <f t="shared" si="598"/>
        <v>#DIV/0!</v>
      </c>
      <c r="P55" s="39" t="e">
        <f t="shared" si="598"/>
        <v>#DIV/0!</v>
      </c>
      <c r="Q55" s="39" t="e">
        <f t="shared" si="598"/>
        <v>#DIV/0!</v>
      </c>
      <c r="R55" s="39" t="e">
        <f t="shared" si="598"/>
        <v>#DIV/0!</v>
      </c>
      <c r="S55" s="39">
        <f t="shared" si="598"/>
        <v>7.5588235294117645</v>
      </c>
      <c r="T55" s="39">
        <f t="shared" si="598"/>
        <v>0.19931271477663226</v>
      </c>
      <c r="U55" s="39">
        <f t="shared" si="598"/>
        <v>-0.31805157593123212</v>
      </c>
      <c r="V55" s="39">
        <f t="shared" si="598"/>
        <v>4.1260504201680677</v>
      </c>
      <c r="W55" s="39">
        <f t="shared" si="598"/>
        <v>-0.31639344262295077</v>
      </c>
      <c r="X55" s="39">
        <f t="shared" si="598"/>
        <v>-0.19304556354916069</v>
      </c>
      <c r="Y55" s="39">
        <f t="shared" si="598"/>
        <v>0.26894502228826145</v>
      </c>
      <c r="Z55" s="39">
        <f t="shared" ref="Z55:AA55" si="599">+IF(Y53&lt;0,1-Z53/Y53,Z53/Y53-1)</f>
        <v>-4.9180327868852514E-2</v>
      </c>
      <c r="AA55" s="39">
        <f t="shared" si="599"/>
        <v>0.45812807881773399</v>
      </c>
      <c r="AB55" s="40">
        <f t="shared" si="598"/>
        <v>2.3016315224350992E-2</v>
      </c>
      <c r="AC55" s="40">
        <f t="shared" si="598"/>
        <v>0.26358222312336088</v>
      </c>
      <c r="AD55" s="40">
        <f t="shared" si="598"/>
        <v>0.16551815453707075</v>
      </c>
      <c r="AE55" s="40">
        <f t="shared" si="598"/>
        <v>0.20703829035488419</v>
      </c>
      <c r="AM55" s="39" t="e">
        <f>+IF(AI53&lt;0,1-AM53/AI53,AM53/AI53-1)</f>
        <v>#DIV/0!</v>
      </c>
      <c r="AN55" s="39" t="e">
        <f t="shared" ref="AN55" si="600">+IF(AJ53&lt;0,1-AN53/AJ53,AN53/AJ53-1)</f>
        <v>#DIV/0!</v>
      </c>
      <c r="AO55" s="39" t="e">
        <f t="shared" ref="AO55" si="601">+IF(AK53&lt;0,1-AO53/AK53,AO53/AK53-1)</f>
        <v>#DIV/0!</v>
      </c>
      <c r="AP55" s="39" t="e">
        <f t="shared" ref="AP55" si="602">+IF(AL53&lt;0,1-AP53/AL53,AP53/AL53-1)</f>
        <v>#DIV/0!</v>
      </c>
      <c r="AQ55" s="39" t="e">
        <f t="shared" ref="AQ55" si="603">+IF(AM53&lt;0,1-AQ53/AM53,AQ53/AM53-1)</f>
        <v>#DIV/0!</v>
      </c>
      <c r="AR55" s="39" t="e">
        <f t="shared" ref="AR55" si="604">+IF(AN53&lt;0,1-AR53/AN53,AR53/AN53-1)</f>
        <v>#DIV/0!</v>
      </c>
      <c r="AS55" s="39" t="e">
        <f t="shared" ref="AS55" si="605">+IF(AO53&lt;0,1-AS53/AO53,AS53/AO53-1)</f>
        <v>#DIV/0!</v>
      </c>
      <c r="AT55" s="39" t="e">
        <f t="shared" ref="AT55" si="606">+IF(AP53&lt;0,1-AT53/AP53,AT53/AP53-1)</f>
        <v>#DIV/0!</v>
      </c>
      <c r="AU55" s="39" t="e">
        <f t="shared" ref="AU55" si="607">+IF(AQ53&lt;0,1-AU53/AQ53,AU53/AQ53-1)</f>
        <v>#DIV/0!</v>
      </c>
      <c r="AV55" s="39" t="e">
        <f t="shared" ref="AV55" si="608">+IF(AR53&lt;0,1-AV53/AR53,AV53/AR53-1)</f>
        <v>#DIV/0!</v>
      </c>
      <c r="AW55" s="39" t="e">
        <f t="shared" ref="AW55" si="609">+IF(AS53&lt;0,1-AW53/AS53,AW53/AS53-1)</f>
        <v>#DIV/0!</v>
      </c>
      <c r="AX55" s="39" t="e">
        <f t="shared" ref="AX55" si="610">+IF(AT53&lt;0,1-AX53/AT53,AX53/AT53-1)</f>
        <v>#DIV/0!</v>
      </c>
      <c r="AY55" s="39" t="e">
        <f t="shared" ref="AY55" si="611">+IF(AU53&lt;0,1-AY53/AU53,AY53/AU53-1)</f>
        <v>#DIV/0!</v>
      </c>
      <c r="AZ55" s="39" t="e">
        <f t="shared" ref="AZ55" si="612">+IF(AV53&lt;0,1-AZ53/AV53,AZ53/AV53-1)</f>
        <v>#DIV/0!</v>
      </c>
      <c r="BA55" s="39" t="e">
        <f t="shared" ref="BA55" si="613">+IF(AW53&lt;0,1-BA53/AW53,BA53/AW53-1)</f>
        <v>#DIV/0!</v>
      </c>
      <c r="BB55" s="39" t="e">
        <f t="shared" ref="BB55" si="614">+IF(AX53&lt;0,1-BB53/AX53,BB53/AX53-1)</f>
        <v>#DIV/0!</v>
      </c>
      <c r="BC55" s="39" t="e">
        <f t="shared" ref="BC55" si="615">+IF(AY53&lt;0,1-BC53/AY53,BC53/AY53-1)</f>
        <v>#DIV/0!</v>
      </c>
      <c r="BD55" s="39" t="e">
        <f t="shared" ref="BD55" si="616">+IF(AZ53&lt;0,1-BD53/AZ53,BD53/AZ53-1)</f>
        <v>#DIV/0!</v>
      </c>
      <c r="BE55" s="39" t="e">
        <f t="shared" ref="BE55" si="617">+IF(BA53&lt;0,1-BE53/BA53,BE53/BA53-1)</f>
        <v>#DIV/0!</v>
      </c>
      <c r="BF55" s="39" t="e">
        <f t="shared" ref="BF55" si="618">+IF(BB53&lt;0,1-BF53/BB53,BF53/BB53-1)</f>
        <v>#DIV/0!</v>
      </c>
      <c r="BG55" s="39" t="e">
        <f t="shared" ref="BG55" si="619">+IF(BC53&lt;0,1-BG53/BC53,BG53/BC53-1)</f>
        <v>#DIV/0!</v>
      </c>
      <c r="BH55" s="39" t="e">
        <f t="shared" ref="BH55" si="620">+IF(BD53&lt;0,1-BH53/BD53,BH53/BD53-1)</f>
        <v>#DIV/0!</v>
      </c>
      <c r="BI55" s="39">
        <f t="shared" ref="BI55" si="621">+IF(BE53&lt;0,1-BI53/BE53,BI53/BE53-1)</f>
        <v>-0.39215686274509809</v>
      </c>
      <c r="BJ55" s="39">
        <f t="shared" ref="BJ55" si="622">+IF(BF53&lt;0,1-BJ53/BF53,BJ53/BF53-1)</f>
        <v>1.120967741935484</v>
      </c>
      <c r="BK55" s="39">
        <f t="shared" ref="BK55" si="623">+IF(BG53&lt;0,1-BK53/BG53,BK53/BG53-1)</f>
        <v>1.9230769230769229</v>
      </c>
      <c r="BL55" s="39">
        <f t="shared" ref="BL55" si="624">+IF(BH53&lt;0,1-BL53/BH53,BL53/BH53-1)</f>
        <v>11</v>
      </c>
      <c r="BM55" s="39">
        <f t="shared" ref="BM55" si="625">+IF(BI53&lt;0,1-BM53/BI53,BM53/BI53-1)</f>
        <v>-0.16129032258064513</v>
      </c>
      <c r="BN55" s="39">
        <f t="shared" ref="BN55" si="626">+IF(BJ53&lt;0,1-BN53/BJ53,BN53/BJ53-1)</f>
        <v>-0.90874524714828897</v>
      </c>
      <c r="BO55" s="39">
        <f t="shared" ref="BO55" si="627">+IF(BK53&lt;0,1-BO53/BK53,BO53/BK53-1)</f>
        <v>0.25657894736842102</v>
      </c>
      <c r="BP55" s="39">
        <f t="shared" ref="BP55" si="628">+IF(BL53&lt;0,1-BP53/BL53,BP53/BL53-1)</f>
        <v>5.416666666666667</v>
      </c>
      <c r="BQ55" s="39">
        <f t="shared" ref="BQ55" si="629">+IF(BM53&lt;0,1-BQ53/BM53,BQ53/BM53-1)</f>
        <v>5.884615384615385</v>
      </c>
      <c r="BR55" s="39">
        <f t="shared" ref="BR55" si="630">+IF(BN53&lt;0,1-BR53/BN53,BR53/BN53-1)</f>
        <v>25.666666666666668</v>
      </c>
      <c r="BS55" s="39">
        <f t="shared" ref="BS55" si="631">+IF(BO53&lt;0,1-BS53/BO53,BS53/BO53-1)</f>
        <v>0.51308900523560208</v>
      </c>
      <c r="BT55" s="39">
        <f t="shared" ref="BT55" si="632">+IF(BP53&lt;0,1-BT53/BP53,BT53/BP53-1)</f>
        <v>-4.3290043290043267E-2</v>
      </c>
      <c r="BU55" s="39">
        <f t="shared" ref="BU55" si="633">+IF(BQ53&lt;0,1-BU53/BQ53,BU53/BQ53-1)</f>
        <v>-0.67597765363128492</v>
      </c>
      <c r="BV55" s="39">
        <f t="shared" ref="BV55" si="634">+IF(BR53&lt;0,1-BV53/BR53,BV53/BR53-1)</f>
        <v>-0.58437499999999998</v>
      </c>
      <c r="BW55" s="39">
        <f t="shared" ref="BW55" si="635">+IF(BS53&lt;0,1-BW53/BS53,BW53/BS53-1)</f>
        <v>-0.34948096885813151</v>
      </c>
      <c r="BX55" s="39">
        <f t="shared" ref="BX55" si="636">+IF(BT53&lt;0,1-BX53/BT53,BX53/BT53-1)</f>
        <v>-0.77375565610859731</v>
      </c>
      <c r="BY55" s="39">
        <f t="shared" ref="BY55" si="637">+IF(BU53&lt;0,1-BY53/BU53,BY53/BU53-1)</f>
        <v>2.6551724137931036</v>
      </c>
      <c r="BZ55" s="39">
        <f t="shared" ref="BZ55" si="638">+IF(BV53&lt;0,1-BZ53/BV53,BZ53/BV53-1)</f>
        <v>-0.16165413533834583</v>
      </c>
      <c r="CA55" s="39">
        <f t="shared" ref="CA55" si="639">+IF(BW53&lt;0,1-CA53/BW53,CA53/BW53-1)</f>
        <v>-0.23404255319148937</v>
      </c>
      <c r="CB55" s="39">
        <f t="shared" ref="CB55" si="640">+IF(BX53&lt;0,1-CB53/BX53,CB53/BX53-1)</f>
        <v>1.48</v>
      </c>
      <c r="CC55" s="39">
        <f t="shared" ref="CC55" si="641">+IF(BY53&lt;0,1-CC53/BY53,CC53/BY53-1)</f>
        <v>0.25471698113207553</v>
      </c>
      <c r="CD55" s="39">
        <f t="shared" ref="CD55" si="642">+IF(BZ53&lt;0,1-CD53/BZ53,CD53/BZ53-1)</f>
        <v>0.43497757847533625</v>
      </c>
      <c r="CE55" s="39">
        <f t="shared" ref="CE55" si="643">+IF(CA53&lt;0,1-CE53/CA53,CE53/CA53-1)</f>
        <v>0.79166666666666674</v>
      </c>
      <c r="CF55" s="39">
        <f t="shared" ref="CF55" si="644">+IF(CB53&lt;0,1-CF53/CB53,CF53/CB53-1)</f>
        <v>-0.60483870967741937</v>
      </c>
      <c r="CG55" s="39">
        <f t="shared" ref="CG55" si="645">+IF(CC53&lt;0,1-CG53/CC53,CG53/CC53-1)</f>
        <v>-0.75187969924812026</v>
      </c>
      <c r="CH55" s="39">
        <f t="shared" ref="CH55:CL55" si="646">+IF(CD53&lt;0,1-CH53/CD53,CH53/CD53-1)</f>
        <v>0.37187499999999996</v>
      </c>
      <c r="CI55" s="39">
        <f t="shared" si="646"/>
        <v>0.46899224806201545</v>
      </c>
      <c r="CJ55" s="39">
        <f t="shared" si="646"/>
        <v>3.8775510204081636</v>
      </c>
      <c r="CK55" s="39">
        <f t="shared" si="646"/>
        <v>1.4242424242424243</v>
      </c>
      <c r="CL55" s="39">
        <f t="shared" si="646"/>
        <v>-7.7448747152619624E-2</v>
      </c>
      <c r="CM55" s="40">
        <f t="shared" ref="CM55" si="647">+CM53/CI53-1</f>
        <v>-0.29232857003259072</v>
      </c>
      <c r="CN55" s="40">
        <f t="shared" ref="CN55" si="648">+CN53/CJ53-1</f>
        <v>-4.2794144756565844E-2</v>
      </c>
      <c r="CO55" s="40">
        <f t="shared" ref="CO55" si="649">+CO53/CK53-1</f>
        <v>0.66611921119638384</v>
      </c>
      <c r="CP55" s="40">
        <f t="shared" ref="CP55" si="650">+CP53/CL53-1</f>
        <v>0.10541375820587984</v>
      </c>
      <c r="CQ55" s="40">
        <f t="shared" ref="CQ55" si="651">+CQ53/CM53-1</f>
        <v>0.18463277562865077</v>
      </c>
      <c r="CR55" s="40">
        <f t="shared" ref="CR55" si="652">+CR53/CN53-1</f>
        <v>0.35784453520051862</v>
      </c>
      <c r="CS55" s="40">
        <f t="shared" ref="CS55" si="653">+CS53/CO53-1</f>
        <v>0.36378593206919185</v>
      </c>
      <c r="CT55" s="40">
        <f t="shared" ref="CT55" si="654">+CT53/CP53-1</f>
        <v>0.20304519762517526</v>
      </c>
      <c r="CU55" s="40">
        <f t="shared" ref="CU55" si="655">+CU53/CQ53-1</f>
        <v>0.17680289801805515</v>
      </c>
      <c r="CV55" s="40">
        <f t="shared" ref="CV55" si="656">+CV53/CR53-1</f>
        <v>0.20726013605164151</v>
      </c>
      <c r="CW55" s="40">
        <f t="shared" ref="CW55" si="657">+CW53/CS53-1</f>
        <v>0.17996435719342818</v>
      </c>
      <c r="CX55" s="40">
        <f t="shared" ref="CX55" si="658">+CX53/CT53-1</f>
        <v>0.12503482574515101</v>
      </c>
      <c r="CY55" s="40">
        <f t="shared" ref="CY55" si="659">+CY53/CU53-1</f>
        <v>0.23169309753764766</v>
      </c>
      <c r="CZ55" s="40">
        <f t="shared" ref="CZ55" si="660">+CZ53/CV53-1</f>
        <v>0.23201120504477313</v>
      </c>
      <c r="DA55" s="40">
        <f t="shared" ref="DA55" si="661">+DA53/CW53-1</f>
        <v>0.21166436050401072</v>
      </c>
      <c r="DB55" s="40">
        <f t="shared" ref="DB55" si="662">+DB53/CX53-1</f>
        <v>0.17309363108547893</v>
      </c>
      <c r="DE55" s="122"/>
      <c r="DF55" s="39">
        <v>0.4568965517241379</v>
      </c>
    </row>
    <row r="56" spans="1:110" s="39" customFormat="1" x14ac:dyDescent="0.2">
      <c r="A56" s="39" t="s">
        <v>452</v>
      </c>
      <c r="AB56" s="40"/>
      <c r="AC56" s="40"/>
      <c r="AD56" s="40"/>
      <c r="AE56" s="40"/>
      <c r="AJ56" s="39" t="e">
        <f>+IF(AI53&lt;0,1-AJ53/AI53,AJ53/AI53-1)</f>
        <v>#DIV/0!</v>
      </c>
      <c r="AK56" s="39" t="e">
        <f t="shared" ref="AK56:AM56" si="663">+IF(AJ53&lt;0,1-AK53/AJ53,AK53/AJ53-1)</f>
        <v>#DIV/0!</v>
      </c>
      <c r="AL56" s="39" t="e">
        <f t="shared" si="663"/>
        <v>#DIV/0!</v>
      </c>
      <c r="AM56" s="39" t="e">
        <f t="shared" si="663"/>
        <v>#DIV/0!</v>
      </c>
      <c r="AN56" s="39" t="e">
        <f t="shared" ref="AN56" si="664">+IF(AM53&lt;0,1-AN53/AM53,AN53/AM53-1)</f>
        <v>#DIV/0!</v>
      </c>
      <c r="AO56" s="39" t="e">
        <f t="shared" ref="AO56" si="665">+IF(AN53&lt;0,1-AO53/AN53,AO53/AN53-1)</f>
        <v>#DIV/0!</v>
      </c>
      <c r="AP56" s="39" t="e">
        <f t="shared" ref="AP56" si="666">+IF(AO53&lt;0,1-AP53/AO53,AP53/AO53-1)</f>
        <v>#DIV/0!</v>
      </c>
      <c r="AQ56" s="39" t="e">
        <f t="shared" ref="AQ56" si="667">+IF(AP53&lt;0,1-AQ53/AP53,AQ53/AP53-1)</f>
        <v>#DIV/0!</v>
      </c>
      <c r="AR56" s="39" t="e">
        <f t="shared" ref="AR56" si="668">+IF(AQ53&lt;0,1-AR53/AQ53,AR53/AQ53-1)</f>
        <v>#DIV/0!</v>
      </c>
      <c r="AS56" s="39" t="e">
        <f t="shared" ref="AS56" si="669">+IF(AR53&lt;0,1-AS53/AR53,AS53/AR53-1)</f>
        <v>#DIV/0!</v>
      </c>
      <c r="AT56" s="39" t="e">
        <f t="shared" ref="AT56" si="670">+IF(AS53&lt;0,1-AT53/AS53,AT53/AS53-1)</f>
        <v>#DIV/0!</v>
      </c>
      <c r="AU56" s="39" t="e">
        <f t="shared" ref="AU56" si="671">+IF(AT53&lt;0,1-AU53/AT53,AU53/AT53-1)</f>
        <v>#DIV/0!</v>
      </c>
      <c r="AV56" s="39" t="e">
        <f t="shared" ref="AV56" si="672">+IF(AU53&lt;0,1-AV53/AU53,AV53/AU53-1)</f>
        <v>#DIV/0!</v>
      </c>
      <c r="AW56" s="39" t="e">
        <f t="shared" ref="AW56" si="673">+IF(AV53&lt;0,1-AW53/AV53,AW53/AV53-1)</f>
        <v>#DIV/0!</v>
      </c>
      <c r="AX56" s="39" t="e">
        <f t="shared" ref="AX56" si="674">+IF(AW53&lt;0,1-AX53/AW53,AX53/AW53-1)</f>
        <v>#DIV/0!</v>
      </c>
      <c r="AY56" s="39" t="e">
        <f t="shared" ref="AY56" si="675">+IF(AX53&lt;0,1-AY53/AX53,AY53/AX53-1)</f>
        <v>#DIV/0!</v>
      </c>
      <c r="AZ56" s="39" t="e">
        <f t="shared" ref="AZ56" si="676">+IF(AY53&lt;0,1-AZ53/AY53,AZ53/AY53-1)</f>
        <v>#DIV/0!</v>
      </c>
      <c r="BA56" s="39" t="e">
        <f t="shared" ref="BA56" si="677">+IF(AZ53&lt;0,1-BA53/AZ53,BA53/AZ53-1)</f>
        <v>#DIV/0!</v>
      </c>
      <c r="BB56" s="39" t="e">
        <f t="shared" ref="BB56" si="678">+IF(BA53&lt;0,1-BB53/BA53,BB53/BA53-1)</f>
        <v>#DIV/0!</v>
      </c>
      <c r="BC56" s="39" t="e">
        <f t="shared" ref="BC56" si="679">+IF(BB53&lt;0,1-BC53/BB53,BC53/BB53-1)</f>
        <v>#DIV/0!</v>
      </c>
      <c r="BD56" s="39" t="e">
        <f t="shared" ref="BD56" si="680">+IF(BC53&lt;0,1-BD53/BC53,BD53/BC53-1)</f>
        <v>#DIV/0!</v>
      </c>
      <c r="BE56" s="39" t="e">
        <f t="shared" ref="BE56" si="681">+IF(BD53&lt;0,1-BE53/BD53,BE53/BD53-1)</f>
        <v>#DIV/0!</v>
      </c>
      <c r="BF56" s="39">
        <f t="shared" ref="BF56" si="682">+IF(BE53&lt;0,1-BF53/BE53,BF53/BE53-1)</f>
        <v>1.4313725490196076</v>
      </c>
      <c r="BG56" s="39">
        <f t="shared" ref="BG56" si="683">+IF(BF53&lt;0,1-BG53/BF53,BG53/BF53-1)</f>
        <v>-0.58064516129032251</v>
      </c>
      <c r="BH56" s="39">
        <f t="shared" ref="BH56" si="684">+IF(BG53&lt;0,1-BH53/BG53,BH53/BG53-1)</f>
        <v>-0.94230769230769229</v>
      </c>
      <c r="BI56" s="39">
        <f t="shared" ref="BI56" si="685">+IF(BH53&lt;0,1-BI53/BH53,BI53/BH53-1)</f>
        <v>9.3333333333333339</v>
      </c>
      <c r="BJ56" s="39">
        <f t="shared" ref="BJ56" si="686">+IF(BI53&lt;0,1-BJ53/BI53,BJ53/BI53-1)</f>
        <v>7.4838709677419359</v>
      </c>
      <c r="BK56" s="39">
        <f t="shared" ref="BK56" si="687">+IF(BJ53&lt;0,1-BK53/BJ53,BK53/BJ53-1)</f>
        <v>-0.42205323193916355</v>
      </c>
      <c r="BL56" s="39">
        <f t="shared" ref="BL56" si="688">+IF(BK53&lt;0,1-BL53/BK53,BL53/BK53-1)</f>
        <v>-0.76315789473684215</v>
      </c>
      <c r="BM56" s="39">
        <f t="shared" ref="BM56" si="689">+IF(BL53&lt;0,1-BM53/BL53,BM53/BL53-1)</f>
        <v>-0.27777777777777779</v>
      </c>
      <c r="BN56" s="39">
        <f t="shared" ref="BN56" si="690">+IF(BM53&lt;0,1-BN53/BM53,BN53/BM53-1)</f>
        <v>-7.6923076923076872E-2</v>
      </c>
      <c r="BO56" s="39">
        <f t="shared" ref="BO56" si="691">+IF(BN53&lt;0,1-BO53/BN53,BO53/BN53-1)</f>
        <v>6.958333333333333</v>
      </c>
      <c r="BP56" s="39">
        <f t="shared" ref="BP56" si="692">+IF(BO53&lt;0,1-BP53/BO53,BP53/BO53-1)</f>
        <v>0.20942408376963351</v>
      </c>
      <c r="BQ56" s="39">
        <f t="shared" ref="BQ56" si="693">+IF(BP53&lt;0,1-BQ53/BP53,BQ53/BP53-1)</f>
        <v>-0.22510822510822515</v>
      </c>
      <c r="BR56" s="39">
        <f t="shared" ref="BR56" si="694">+IF(BQ53&lt;0,1-BR53/BQ53,BR53/BQ53-1)</f>
        <v>2.5754189944134076</v>
      </c>
      <c r="BS56" s="39">
        <f t="shared" ref="BS56" si="695">+IF(BR53&lt;0,1-BS53/BR53,BS53/BR53-1)</f>
        <v>-0.54843750000000002</v>
      </c>
      <c r="BT56" s="39">
        <f t="shared" ref="BT56" si="696">+IF(BS53&lt;0,1-BT53/BS53,BT53/BS53-1)</f>
        <v>-0.23529411764705888</v>
      </c>
      <c r="BU56" s="39">
        <f t="shared" ref="BU56" si="697">+IF(BT53&lt;0,1-BU53/BT53,BU53/BT53-1)</f>
        <v>-0.73755656108597289</v>
      </c>
      <c r="BV56" s="39">
        <f t="shared" ref="BV56" si="698">+IF(BU53&lt;0,1-BV53/BU53,BV53/BU53-1)</f>
        <v>3.5862068965517242</v>
      </c>
      <c r="BW56" s="39">
        <f t="shared" ref="BW56" si="699">+IF(BV53&lt;0,1-BW53/BV53,BW53/BV53-1)</f>
        <v>-0.29323308270676696</v>
      </c>
      <c r="BX56" s="39">
        <f t="shared" ref="BX56" si="700">+IF(BW53&lt;0,1-BX53/BW53,BX53/BW53-1)</f>
        <v>-0.73404255319148937</v>
      </c>
      <c r="BY56" s="39">
        <f t="shared" ref="BY56" si="701">+IF(BX53&lt;0,1-BY53/BX53,BY53/BX53-1)</f>
        <v>3.24</v>
      </c>
      <c r="BZ56" s="39">
        <f t="shared" ref="BZ56" si="702">+IF(BY53&lt;0,1-BZ53/BY53,BZ53/BY53-1)</f>
        <v>5.1886792452830122E-2</v>
      </c>
      <c r="CA56" s="39">
        <f t="shared" ref="CA56" si="703">+IF(BZ53&lt;0,1-CA53/BZ53,CA53/BZ53-1)</f>
        <v>-0.35426008968609868</v>
      </c>
      <c r="CB56" s="39">
        <f t="shared" ref="CB56" si="704">+IF(CA53&lt;0,1-CB53/CA53,CB53/CA53-1)</f>
        <v>-0.13888888888888884</v>
      </c>
      <c r="CC56" s="39">
        <f t="shared" ref="CC56" si="705">+IF(CB53&lt;0,1-CC53/CB53,CC53/CB53-1)</f>
        <v>1.1451612903225805</v>
      </c>
      <c r="CD56" s="39">
        <f t="shared" ref="CD56" si="706">+IF(CC53&lt;0,1-CD53/CC53,CD53/CC53-1)</f>
        <v>0.20300751879699241</v>
      </c>
      <c r="CE56" s="39">
        <f t="shared" ref="CE56" si="707">+IF(CD53&lt;0,1-CE53/CD53,CE53/CD53-1)</f>
        <v>-0.19374999999999998</v>
      </c>
      <c r="CF56" s="39">
        <f t="shared" ref="CF56" si="708">+IF(CE53&lt;0,1-CF53/CE53,CF53/CE53-1)</f>
        <v>-0.81007751937984496</v>
      </c>
      <c r="CG56" s="39">
        <f t="shared" ref="CG56" si="709">+IF(CF53&lt;0,1-CG53/CF53,CG53/CF53-1)</f>
        <v>0.34693877551020402</v>
      </c>
      <c r="CH56" s="39">
        <f t="shared" ref="CH56:CL56" si="710">+IF(CG53&lt;0,1-CH53/CG53,CH53/CG53-1)</f>
        <v>5.6515151515151514</v>
      </c>
      <c r="CI56" s="39">
        <f t="shared" si="710"/>
        <v>-0.13667425968109337</v>
      </c>
      <c r="CJ56" s="39">
        <f t="shared" si="710"/>
        <v>-0.36939313984168864</v>
      </c>
      <c r="CK56" s="39">
        <f t="shared" si="710"/>
        <v>-0.33054393305439334</v>
      </c>
      <c r="CL56" s="39">
        <f t="shared" si="710"/>
        <v>1.53125</v>
      </c>
      <c r="CM56" s="40">
        <f t="shared" ref="CM56" si="711">+CM53/CL53-1</f>
        <v>-0.3377593284996343</v>
      </c>
      <c r="CN56" s="40">
        <f t="shared" ref="CN56" si="712">+CN53/CM53-1</f>
        <v>-0.14703271413965113</v>
      </c>
      <c r="CO56" s="40">
        <f t="shared" ref="CO56" si="713">+CO53/CN53-1</f>
        <v>0.16525991570160592</v>
      </c>
      <c r="CP56" s="40">
        <f t="shared" ref="CP56" si="714">+CP53/CO53-1</f>
        <v>0.67939878290547262</v>
      </c>
      <c r="CQ56" s="40">
        <f t="shared" ref="CQ56" si="715">+CQ53/CP53-1</f>
        <v>-0.29030012609310496</v>
      </c>
      <c r="CR56" s="40">
        <f t="shared" ref="CR56" si="716">+CR53/CQ53-1</f>
        <v>-2.2315614055443245E-2</v>
      </c>
      <c r="CS56" s="40">
        <f t="shared" ref="CS56" si="717">+CS53/CR53-1</f>
        <v>0.17035863756177649</v>
      </c>
      <c r="CT56" s="40">
        <f t="shared" ref="CT56" si="718">+CT53/CS53-1</f>
        <v>0.48145877821643945</v>
      </c>
      <c r="CU56" s="40">
        <f t="shared" ref="CU56" si="719">+CU53/CT53-1</f>
        <v>-0.30578097150021388</v>
      </c>
      <c r="CV56" s="40">
        <f t="shared" ref="CV56" si="720">+CV53/CU53-1</f>
        <v>2.9881697086731052E-3</v>
      </c>
      <c r="CW56" s="40">
        <f t="shared" ref="CW56" si="721">+CW53/CV53-1</f>
        <v>0.14389719018874758</v>
      </c>
      <c r="CX56" s="40">
        <f t="shared" ref="CX56" si="722">+CX53/CW53-1</f>
        <v>0.41249412174078071</v>
      </c>
      <c r="CY56" s="40">
        <f t="shared" ref="CY56" si="723">+CY53/CX53-1</f>
        <v>-0.23996594059553855</v>
      </c>
      <c r="CZ56" s="40">
        <f t="shared" ref="CZ56" si="724">+CZ53/CY53-1</f>
        <v>3.2472099411628985E-3</v>
      </c>
      <c r="DA56" s="40">
        <f t="shared" ref="DA56" si="725">+DA53/CZ53-1</f>
        <v>0.12500556144050146</v>
      </c>
      <c r="DB56" s="40">
        <f t="shared" ref="DB56" si="726">+DB53/DA53-1</f>
        <v>0.3675304087268334</v>
      </c>
      <c r="DE56" s="122"/>
    </row>
    <row r="57" spans="1:110" s="75" customFormat="1" x14ac:dyDescent="0.2">
      <c r="A57" s="23" t="s">
        <v>23</v>
      </c>
      <c r="B57" s="75">
        <f>'Annual Raw'!C32</f>
        <v>0</v>
      </c>
      <c r="C57" s="75">
        <f>'Annual Raw'!D32</f>
        <v>0</v>
      </c>
      <c r="D57" s="75">
        <f>'Annual Raw'!E32</f>
        <v>0</v>
      </c>
      <c r="E57" s="75">
        <f>'Annual Raw'!F32</f>
        <v>0</v>
      </c>
      <c r="F57" s="75">
        <f>'Annual Raw'!G32</f>
        <v>0</v>
      </c>
      <c r="G57" s="75">
        <f>'Annual Raw'!H32</f>
        <v>0</v>
      </c>
      <c r="H57" s="75">
        <f>'Annual Raw'!I32</f>
        <v>0</v>
      </c>
      <c r="I57" s="75">
        <f>'Annual Raw'!J32</f>
        <v>0</v>
      </c>
      <c r="J57" s="75">
        <f>'Annual Raw'!K32</f>
        <v>0</v>
      </c>
      <c r="K57" s="75">
        <f>'Annual Raw'!L32</f>
        <v>0</v>
      </c>
      <c r="L57" s="75">
        <f>'Annual Raw'!M32</f>
        <v>0</v>
      </c>
      <c r="M57" s="75">
        <f>'Annual Raw'!N32</f>
        <v>0</v>
      </c>
      <c r="N57" s="75">
        <f>'Annual Raw'!O32</f>
        <v>0</v>
      </c>
      <c r="O57" s="75">
        <f>'Annual Raw'!P32</f>
        <v>0</v>
      </c>
      <c r="P57" s="75">
        <f>'Annual Raw'!Q32</f>
        <v>0</v>
      </c>
      <c r="Q57" s="75">
        <f>'Annual Raw'!R32</f>
        <v>0</v>
      </c>
      <c r="R57" s="75">
        <f>'Annual Raw'!S32</f>
        <v>10</v>
      </c>
      <c r="S57" s="75">
        <f>'Annual Raw'!T32</f>
        <v>1</v>
      </c>
      <c r="T57" s="75">
        <f>'Annual Raw'!U32</f>
        <v>-41</v>
      </c>
      <c r="U57" s="75">
        <f>'Annual Raw'!V32</f>
        <v>-14</v>
      </c>
      <c r="V57" s="75">
        <f>'Annual Raw'!W32</f>
        <v>-12</v>
      </c>
      <c r="W57" s="75">
        <f>'Annual Raw'!X32</f>
        <v>-29</v>
      </c>
      <c r="X57" s="75">
        <f>'Annual Raw'!Y32</f>
        <v>-44</v>
      </c>
      <c r="Y57" s="75">
        <f>'Annual Raw'!Z32</f>
        <v>-27</v>
      </c>
      <c r="Z57" s="75">
        <f>'Annual Raw'!AA32</f>
        <v>-16</v>
      </c>
      <c r="AA57" s="75">
        <f>'Annual Raw'!AB32</f>
        <v>-18</v>
      </c>
      <c r="AB57" s="76">
        <f t="shared" ref="AB57:AB58" si="727">+SUM(CM57:CP57)</f>
        <v>-28</v>
      </c>
      <c r="AC57" s="76">
        <f t="shared" ref="AC57:AC58" si="728">+SUM(CQ57:CT57)</f>
        <v>-28</v>
      </c>
      <c r="AD57" s="76">
        <f t="shared" ref="AD57:AD58" si="729">+SUM(CU57:CX57)</f>
        <v>-28</v>
      </c>
      <c r="AE57" s="76">
        <f t="shared" ref="AE57:AE58" si="730">+SUM(CY57:DB57)</f>
        <v>-28</v>
      </c>
      <c r="AI57" s="75">
        <f>'QTR Raw'!C34</f>
        <v>0</v>
      </c>
      <c r="AJ57" s="75">
        <f>'QTR Raw'!D34</f>
        <v>0</v>
      </c>
      <c r="AK57" s="75">
        <f>'QTR Raw'!E34</f>
        <v>0</v>
      </c>
      <c r="AL57" s="75">
        <f>'QTR Raw'!F34</f>
        <v>0</v>
      </c>
      <c r="AM57" s="75">
        <f>'QTR Raw'!G34</f>
        <v>0</v>
      </c>
      <c r="AN57" s="75">
        <f>'QTR Raw'!H34</f>
        <v>0</v>
      </c>
      <c r="AO57" s="75">
        <f>'QTR Raw'!I34</f>
        <v>0</v>
      </c>
      <c r="AP57" s="75">
        <f>'QTR Raw'!J34</f>
        <v>0</v>
      </c>
      <c r="AQ57" s="75">
        <f>'QTR Raw'!K34</f>
        <v>0</v>
      </c>
      <c r="AR57" s="75">
        <f>'QTR Raw'!L34</f>
        <v>0</v>
      </c>
      <c r="AS57" s="75">
        <f>'QTR Raw'!M34</f>
        <v>0</v>
      </c>
      <c r="AT57" s="75">
        <f>'QTR Raw'!N34</f>
        <v>0</v>
      </c>
      <c r="AU57" s="75">
        <f>'QTR Raw'!O34</f>
        <v>0</v>
      </c>
      <c r="AV57" s="75">
        <f>'QTR Raw'!P34</f>
        <v>0</v>
      </c>
      <c r="AW57" s="75">
        <f>'QTR Raw'!Q34</f>
        <v>0</v>
      </c>
      <c r="AX57" s="75">
        <f>'QTR Raw'!R34</f>
        <v>0</v>
      </c>
      <c r="AY57" s="75">
        <f>'QTR Raw'!S34</f>
        <v>0</v>
      </c>
      <c r="AZ57" s="75">
        <f>'QTR Raw'!T34</f>
        <v>0</v>
      </c>
      <c r="BA57" s="75">
        <f>'QTR Raw'!U34</f>
        <v>0</v>
      </c>
      <c r="BB57" s="75">
        <f>'QTR Raw'!V34</f>
        <v>0</v>
      </c>
      <c r="BC57" s="75">
        <f>'QTR Raw'!W34</f>
        <v>0</v>
      </c>
      <c r="BD57" s="75">
        <f>'QTR Raw'!X34</f>
        <v>0</v>
      </c>
      <c r="BE57" s="75">
        <f>'QTR Raw'!Y34</f>
        <v>2</v>
      </c>
      <c r="BF57" s="75">
        <f>'QTR Raw'!Z34</f>
        <v>4</v>
      </c>
      <c r="BG57" s="75">
        <f>'QTR Raw'!AA34</f>
        <v>1</v>
      </c>
      <c r="BH57" s="75">
        <f>'QTR Raw'!AB34</f>
        <v>-4</v>
      </c>
      <c r="BI57" s="75">
        <f>'QTR Raw'!AC34</f>
        <v>-3</v>
      </c>
      <c r="BJ57" s="75">
        <f>'QTR Raw'!AD34</f>
        <v>-35</v>
      </c>
      <c r="BK57" s="75">
        <f>'QTR Raw'!AE34</f>
        <v>-5</v>
      </c>
      <c r="BL57" s="75">
        <f>'QTR Raw'!AF34</f>
        <v>-9</v>
      </c>
      <c r="BM57" s="75">
        <f>'QTR Raw'!AG34</f>
        <v>-2</v>
      </c>
      <c r="BN57" s="75">
        <f>'QTR Raw'!AH34</f>
        <v>2</v>
      </c>
      <c r="BO57" s="75">
        <f>'QTR Raw'!AI34</f>
        <v>2</v>
      </c>
      <c r="BP57" s="75">
        <f>'QTR Raw'!AJ34</f>
        <v>0</v>
      </c>
      <c r="BQ57" s="75">
        <f>'QTR Raw'!AK34</f>
        <v>-1</v>
      </c>
      <c r="BR57" s="75">
        <f>'QTR Raw'!AL34</f>
        <v>-12</v>
      </c>
      <c r="BS57" s="75">
        <f>'QTR Raw'!AM34</f>
        <v>-11</v>
      </c>
      <c r="BT57" s="75">
        <f>'QTR Raw'!AN34</f>
        <v>-5</v>
      </c>
      <c r="BU57" s="75">
        <f>'QTR Raw'!AO34</f>
        <v>-8</v>
      </c>
      <c r="BV57" s="75">
        <f>'QTR Raw'!AP34</f>
        <v>-5</v>
      </c>
      <c r="BW57" s="75">
        <f>'QTR Raw'!AQ34</f>
        <v>-9</v>
      </c>
      <c r="BX57" s="75">
        <f>'QTR Raw'!AR34</f>
        <v>-1</v>
      </c>
      <c r="BY57" s="75">
        <f>'QTR Raw'!AS34</f>
        <v>-14</v>
      </c>
      <c r="BZ57" s="75">
        <f>'QTR Raw'!AT34</f>
        <v>-20</v>
      </c>
      <c r="CA57" s="75">
        <f>'QTR Raw'!AU34</f>
        <v>-14</v>
      </c>
      <c r="CB57" s="75">
        <f>'QTR Raw'!AV34</f>
        <v>-5</v>
      </c>
      <c r="CC57" s="75">
        <f>'QTR Raw'!AW34</f>
        <v>-3</v>
      </c>
      <c r="CD57" s="75">
        <f>'QTR Raw'!AX34</f>
        <v>-5</v>
      </c>
      <c r="CE57" s="75">
        <f>'QTR Raw'!AY34</f>
        <v>-4</v>
      </c>
      <c r="CF57" s="75">
        <f>'QTR Raw'!AZ34</f>
        <v>-3</v>
      </c>
      <c r="CG57" s="75">
        <f>'QTR Raw'!BA34</f>
        <v>-5</v>
      </c>
      <c r="CH57" s="75">
        <f>'QTR Raw'!BB34</f>
        <v>-4</v>
      </c>
      <c r="CI57" s="75">
        <f>'QTR Raw'!BC34</f>
        <v>-2</v>
      </c>
      <c r="CJ57" s="75">
        <f>'QTR Raw'!BD34</f>
        <v>-3</v>
      </c>
      <c r="CK57" s="75">
        <f>'QTR Raw'!BE34</f>
        <v>-6</v>
      </c>
      <c r="CL57" s="75">
        <f>'QTR Raw'!BF34</f>
        <v>-7</v>
      </c>
      <c r="CM57" s="76">
        <f t="shared" ref="CM57:CM58" si="731">+CL57</f>
        <v>-7</v>
      </c>
      <c r="CN57" s="76">
        <f t="shared" ref="CN57:CN58" si="732">+CM57</f>
        <v>-7</v>
      </c>
      <c r="CO57" s="76">
        <f t="shared" ref="CO57:CO58" si="733">+CN57</f>
        <v>-7</v>
      </c>
      <c r="CP57" s="76">
        <f t="shared" ref="CP57:CP58" si="734">+CO57</f>
        <v>-7</v>
      </c>
      <c r="CQ57" s="76">
        <f t="shared" ref="CQ57:CQ58" si="735">+CP57</f>
        <v>-7</v>
      </c>
      <c r="CR57" s="76">
        <f t="shared" ref="CR57:CR58" si="736">+CQ57</f>
        <v>-7</v>
      </c>
      <c r="CS57" s="76">
        <f t="shared" ref="CS57:CS58" si="737">+CR57</f>
        <v>-7</v>
      </c>
      <c r="CT57" s="76">
        <f t="shared" ref="CT57:CT58" si="738">+CS57</f>
        <v>-7</v>
      </c>
      <c r="CU57" s="76">
        <f t="shared" ref="CU57:CU58" si="739">+CT57</f>
        <v>-7</v>
      </c>
      <c r="CV57" s="76">
        <f t="shared" ref="CV57:CV58" si="740">+CU57</f>
        <v>-7</v>
      </c>
      <c r="CW57" s="76">
        <f t="shared" ref="CW57:CW58" si="741">+CV57</f>
        <v>-7</v>
      </c>
      <c r="CX57" s="76">
        <f t="shared" ref="CX57:CX58" si="742">+CW57</f>
        <v>-7</v>
      </c>
      <c r="CY57" s="76">
        <f t="shared" ref="CY57:CY58" si="743">+CX57</f>
        <v>-7</v>
      </c>
      <c r="CZ57" s="76">
        <f t="shared" ref="CZ57:CZ58" si="744">+CY57</f>
        <v>-7</v>
      </c>
      <c r="DA57" s="76">
        <f t="shared" ref="DA57:DA58" si="745">+CZ57</f>
        <v>-7</v>
      </c>
      <c r="DB57" s="76">
        <f t="shared" ref="DB57:DB58" si="746">+DA57</f>
        <v>-7</v>
      </c>
      <c r="DE57" s="131"/>
      <c r="DF57" s="75">
        <v>-18</v>
      </c>
    </row>
    <row r="58" spans="1:110" s="75" customFormat="1" x14ac:dyDescent="0.2">
      <c r="A58" s="23" t="s">
        <v>24</v>
      </c>
      <c r="B58" s="75">
        <f>'Annual Raw'!C33+'Annual Raw'!C28</f>
        <v>0</v>
      </c>
      <c r="C58" s="75">
        <f>'Annual Raw'!D33+'Annual Raw'!D28</f>
        <v>0</v>
      </c>
      <c r="D58" s="75">
        <f>'Annual Raw'!E33+'Annual Raw'!E28</f>
        <v>0</v>
      </c>
      <c r="E58" s="75">
        <f>'Annual Raw'!F33+'Annual Raw'!F28</f>
        <v>0</v>
      </c>
      <c r="F58" s="75">
        <f>'Annual Raw'!G33+'Annual Raw'!G28</f>
        <v>0</v>
      </c>
      <c r="G58" s="75">
        <f>'Annual Raw'!H33+'Annual Raw'!H28</f>
        <v>0</v>
      </c>
      <c r="H58" s="75">
        <f>'Annual Raw'!I33+'Annual Raw'!I28</f>
        <v>0</v>
      </c>
      <c r="I58" s="75">
        <f>'Annual Raw'!J33+'Annual Raw'!J28</f>
        <v>0</v>
      </c>
      <c r="J58" s="75">
        <f>'Annual Raw'!K33+'Annual Raw'!K28</f>
        <v>0</v>
      </c>
      <c r="K58" s="75">
        <f>'Annual Raw'!L33+'Annual Raw'!L28</f>
        <v>0</v>
      </c>
      <c r="L58" s="75">
        <f>'Annual Raw'!M33+'Annual Raw'!M28</f>
        <v>0</v>
      </c>
      <c r="M58" s="75">
        <f>'Annual Raw'!N33+'Annual Raw'!N28</f>
        <v>0</v>
      </c>
      <c r="N58" s="75">
        <f>'Annual Raw'!O33+'Annual Raw'!O28</f>
        <v>0</v>
      </c>
      <c r="O58" s="75">
        <f>'Annual Raw'!P33+'Annual Raw'!P28</f>
        <v>0</v>
      </c>
      <c r="P58" s="75">
        <f>'Annual Raw'!Q33+'Annual Raw'!Q28</f>
        <v>0</v>
      </c>
      <c r="Q58" s="75">
        <f>'Annual Raw'!R33+'Annual Raw'!R28</f>
        <v>0</v>
      </c>
      <c r="R58" s="75">
        <f>'Annual Raw'!S33+'Annual Raw'!S28</f>
        <v>0</v>
      </c>
      <c r="S58" s="75">
        <f>'Annual Raw'!T33+'Annual Raw'!T28</f>
        <v>0</v>
      </c>
      <c r="T58" s="75">
        <f>'Annual Raw'!U33+'Annual Raw'!U28</f>
        <v>0</v>
      </c>
      <c r="U58" s="75">
        <f>'Annual Raw'!V33+'Annual Raw'!V28</f>
        <v>0</v>
      </c>
      <c r="V58" s="75">
        <f>'Annual Raw'!W33+'Annual Raw'!W28</f>
        <v>-1</v>
      </c>
      <c r="W58" s="75">
        <f>'Annual Raw'!X33+'Annual Raw'!X28</f>
        <v>5</v>
      </c>
      <c r="X58" s="75">
        <f>'Annual Raw'!Y33+'Annual Raw'!Y28</f>
        <v>554</v>
      </c>
      <c r="Y58" s="75">
        <f>'Annual Raw'!Z33+'Annual Raw'!Z28</f>
        <v>0</v>
      </c>
      <c r="Z58" s="75">
        <f>'Annual Raw'!AA33+'Annual Raw'!AA28</f>
        <v>0</v>
      </c>
      <c r="AA58" s="75">
        <f>'Annual Raw'!AB33+'Annual Raw'!AB28</f>
        <v>0</v>
      </c>
      <c r="AB58" s="76">
        <f t="shared" si="727"/>
        <v>0</v>
      </c>
      <c r="AC58" s="76">
        <f t="shared" si="728"/>
        <v>0</v>
      </c>
      <c r="AD58" s="76">
        <f t="shared" si="729"/>
        <v>0</v>
      </c>
      <c r="AE58" s="76">
        <f t="shared" si="730"/>
        <v>0</v>
      </c>
      <c r="AI58" s="75">
        <f>'QTR Raw'!C35</f>
        <v>0</v>
      </c>
      <c r="AJ58" s="75">
        <f>'QTR Raw'!D35</f>
        <v>0</v>
      </c>
      <c r="AK58" s="75">
        <f>'QTR Raw'!E35</f>
        <v>0</v>
      </c>
      <c r="AL58" s="75">
        <f>'QTR Raw'!F35</f>
        <v>0</v>
      </c>
      <c r="AM58" s="75">
        <f>'QTR Raw'!G35</f>
        <v>0</v>
      </c>
      <c r="AN58" s="75">
        <f>'QTR Raw'!H35</f>
        <v>0</v>
      </c>
      <c r="AO58" s="75">
        <f>'QTR Raw'!I35</f>
        <v>0</v>
      </c>
      <c r="AP58" s="75">
        <f>'QTR Raw'!J35</f>
        <v>0</v>
      </c>
      <c r="AQ58" s="75">
        <f>'QTR Raw'!K35</f>
        <v>0</v>
      </c>
      <c r="AR58" s="75">
        <f>'QTR Raw'!L35</f>
        <v>0</v>
      </c>
      <c r="AS58" s="75">
        <f>'QTR Raw'!M35</f>
        <v>0</v>
      </c>
      <c r="AT58" s="75">
        <f>'QTR Raw'!N35</f>
        <v>0</v>
      </c>
      <c r="AU58" s="75">
        <f>'QTR Raw'!O35</f>
        <v>0</v>
      </c>
      <c r="AV58" s="75">
        <f>'QTR Raw'!P35</f>
        <v>0</v>
      </c>
      <c r="AW58" s="75">
        <f>'QTR Raw'!Q35</f>
        <v>0</v>
      </c>
      <c r="AX58" s="75">
        <f>'QTR Raw'!R35</f>
        <v>0</v>
      </c>
      <c r="AY58" s="75">
        <f>'QTR Raw'!S35</f>
        <v>0</v>
      </c>
      <c r="AZ58" s="75">
        <f>'QTR Raw'!T35</f>
        <v>0</v>
      </c>
      <c r="BA58" s="75">
        <f>'QTR Raw'!U35</f>
        <v>0</v>
      </c>
      <c r="BB58" s="75">
        <f>'QTR Raw'!V35</f>
        <v>0</v>
      </c>
      <c r="BC58" s="75">
        <f>'QTR Raw'!W35</f>
        <v>0</v>
      </c>
      <c r="BD58" s="75">
        <f>'QTR Raw'!X35</f>
        <v>0</v>
      </c>
      <c r="BE58" s="75">
        <f>'QTR Raw'!Y35</f>
        <v>0</v>
      </c>
      <c r="BF58" s="75">
        <f>'QTR Raw'!Z35</f>
        <v>0</v>
      </c>
      <c r="BG58" s="75">
        <f>'QTR Raw'!AA35</f>
        <v>0</v>
      </c>
      <c r="BH58" s="75">
        <f>'QTR Raw'!AB35</f>
        <v>0</v>
      </c>
      <c r="BI58" s="75">
        <f>'QTR Raw'!AC35</f>
        <v>0</v>
      </c>
      <c r="BJ58" s="75">
        <f>'QTR Raw'!AD35</f>
        <v>0</v>
      </c>
      <c r="BK58" s="75">
        <f>'QTR Raw'!AE35</f>
        <v>0</v>
      </c>
      <c r="BL58" s="75">
        <f>'QTR Raw'!AF35</f>
        <v>0</v>
      </c>
      <c r="BM58" s="75">
        <f>'QTR Raw'!AG35</f>
        <v>0</v>
      </c>
      <c r="BN58" s="75">
        <f>'QTR Raw'!AH35</f>
        <v>0</v>
      </c>
      <c r="BO58" s="75">
        <f>'QTR Raw'!AI35</f>
        <v>0</v>
      </c>
      <c r="BP58" s="75">
        <f>'QTR Raw'!AJ35</f>
        <v>0</v>
      </c>
      <c r="BQ58" s="75">
        <f>'QTR Raw'!AK35</f>
        <v>0</v>
      </c>
      <c r="BR58" s="75">
        <f>'QTR Raw'!AL35</f>
        <v>1</v>
      </c>
      <c r="BS58" s="75">
        <f>'QTR Raw'!AM35</f>
        <v>2</v>
      </c>
      <c r="BT58" s="75">
        <f>'QTR Raw'!AN35</f>
        <v>1</v>
      </c>
      <c r="BU58" s="75">
        <f>'QTR Raw'!AO35</f>
        <v>2</v>
      </c>
      <c r="BV58" s="75">
        <f>'QTR Raw'!AP35</f>
        <v>0</v>
      </c>
      <c r="BW58" s="75">
        <f>'QTR Raw'!AQ35</f>
        <v>17</v>
      </c>
      <c r="BX58" s="75">
        <f>'QTR Raw'!AR35</f>
        <v>6</v>
      </c>
      <c r="BY58" s="75">
        <f>'QTR Raw'!AS35</f>
        <v>2</v>
      </c>
      <c r="BZ58" s="75">
        <f>'QTR Raw'!AT35</f>
        <v>529</v>
      </c>
      <c r="CA58" s="75">
        <f>'QTR Raw'!AU35</f>
        <v>0</v>
      </c>
      <c r="CB58" s="75">
        <f>'QTR Raw'!AV35</f>
        <v>0</v>
      </c>
      <c r="CC58" s="75">
        <f>'QTR Raw'!AW35</f>
        <v>0</v>
      </c>
      <c r="CD58" s="75">
        <f>'QTR Raw'!AX35</f>
        <v>0</v>
      </c>
      <c r="CE58" s="75">
        <f>'QTR Raw'!AY35</f>
        <v>0</v>
      </c>
      <c r="CF58" s="75">
        <f>'QTR Raw'!AZ35</f>
        <v>0</v>
      </c>
      <c r="CG58" s="75">
        <f>'QTR Raw'!BA35</f>
        <v>0</v>
      </c>
      <c r="CH58" s="75">
        <f>'QTR Raw'!BB35</f>
        <v>0</v>
      </c>
      <c r="CI58" s="75">
        <f>'QTR Raw'!BC35</f>
        <v>0</v>
      </c>
      <c r="CJ58" s="75">
        <f>'QTR Raw'!BD35</f>
        <v>0</v>
      </c>
      <c r="CK58" s="75">
        <f>'QTR Raw'!BE35</f>
        <v>0</v>
      </c>
      <c r="CL58" s="75">
        <f>'QTR Raw'!BF35</f>
        <v>0</v>
      </c>
      <c r="CM58" s="76">
        <f t="shared" si="731"/>
        <v>0</v>
      </c>
      <c r="CN58" s="76">
        <f t="shared" si="732"/>
        <v>0</v>
      </c>
      <c r="CO58" s="76">
        <f t="shared" si="733"/>
        <v>0</v>
      </c>
      <c r="CP58" s="76">
        <f t="shared" si="734"/>
        <v>0</v>
      </c>
      <c r="CQ58" s="76">
        <f t="shared" si="735"/>
        <v>0</v>
      </c>
      <c r="CR58" s="76">
        <f t="shared" si="736"/>
        <v>0</v>
      </c>
      <c r="CS58" s="76">
        <f t="shared" si="737"/>
        <v>0</v>
      </c>
      <c r="CT58" s="76">
        <f t="shared" si="738"/>
        <v>0</v>
      </c>
      <c r="CU58" s="76">
        <f t="shared" si="739"/>
        <v>0</v>
      </c>
      <c r="CV58" s="76">
        <f t="shared" si="740"/>
        <v>0</v>
      </c>
      <c r="CW58" s="76">
        <f t="shared" si="741"/>
        <v>0</v>
      </c>
      <c r="CX58" s="76">
        <f t="shared" si="742"/>
        <v>0</v>
      </c>
      <c r="CY58" s="76">
        <f t="shared" si="743"/>
        <v>0</v>
      </c>
      <c r="CZ58" s="76">
        <f t="shared" si="744"/>
        <v>0</v>
      </c>
      <c r="DA58" s="76">
        <f t="shared" si="745"/>
        <v>0</v>
      </c>
      <c r="DB58" s="76">
        <f t="shared" si="746"/>
        <v>0</v>
      </c>
      <c r="DE58" s="131"/>
      <c r="DF58" s="75">
        <v>0</v>
      </c>
    </row>
    <row r="59" spans="1:110" s="23" customFormat="1" x14ac:dyDescent="0.2">
      <c r="A59" s="23" t="s">
        <v>19</v>
      </c>
      <c r="B59" s="75">
        <f>'Annual Raw'!C29+'Annual Raw'!C31+'Annual Raw'!C34+'Annual Raw'!C36</f>
        <v>0</v>
      </c>
      <c r="C59" s="75">
        <f>'Annual Raw'!D29+'Annual Raw'!D31+'Annual Raw'!D34+'Annual Raw'!D36</f>
        <v>0</v>
      </c>
      <c r="D59" s="75">
        <f>'Annual Raw'!E29+'Annual Raw'!E31+'Annual Raw'!E34+'Annual Raw'!E36</f>
        <v>0</v>
      </c>
      <c r="E59" s="75">
        <f>'Annual Raw'!F29+'Annual Raw'!F31+'Annual Raw'!F34+'Annual Raw'!F36</f>
        <v>0</v>
      </c>
      <c r="F59" s="75">
        <f>'Annual Raw'!G29+'Annual Raw'!G31+'Annual Raw'!G34+'Annual Raw'!G36</f>
        <v>0</v>
      </c>
      <c r="G59" s="75">
        <f>'Annual Raw'!H29+'Annual Raw'!H31+'Annual Raw'!H34+'Annual Raw'!H36</f>
        <v>0</v>
      </c>
      <c r="H59" s="75">
        <f>'Annual Raw'!I29+'Annual Raw'!I31+'Annual Raw'!I34+'Annual Raw'!I36</f>
        <v>0</v>
      </c>
      <c r="I59" s="75">
        <f>'Annual Raw'!J29+'Annual Raw'!J31+'Annual Raw'!J34+'Annual Raw'!J36</f>
        <v>0</v>
      </c>
      <c r="J59" s="75">
        <f>'Annual Raw'!K29+'Annual Raw'!K31+'Annual Raw'!K34+'Annual Raw'!K36</f>
        <v>0</v>
      </c>
      <c r="K59" s="75">
        <f>'Annual Raw'!L29+'Annual Raw'!L31+'Annual Raw'!L34+'Annual Raw'!L36</f>
        <v>0</v>
      </c>
      <c r="L59" s="75">
        <f>'Annual Raw'!M29+'Annual Raw'!M31+'Annual Raw'!M34+'Annual Raw'!M36</f>
        <v>0</v>
      </c>
      <c r="M59" s="75">
        <f>'Annual Raw'!N29+'Annual Raw'!N31+'Annual Raw'!N34+'Annual Raw'!N36</f>
        <v>0</v>
      </c>
      <c r="N59" s="75">
        <f>'Annual Raw'!O29+'Annual Raw'!O31+'Annual Raw'!O34+'Annual Raw'!O36</f>
        <v>0</v>
      </c>
      <c r="O59" s="75">
        <f>'Annual Raw'!P29+'Annual Raw'!P31+'Annual Raw'!P34+'Annual Raw'!P36</f>
        <v>0</v>
      </c>
      <c r="P59" s="75">
        <f>'Annual Raw'!Q29+'Annual Raw'!Q31+'Annual Raw'!Q34+'Annual Raw'!Q36</f>
        <v>0</v>
      </c>
      <c r="Q59" s="75">
        <f>'Annual Raw'!R29+'Annual Raw'!R31+'Annual Raw'!R34+'Annual Raw'!R36</f>
        <v>0</v>
      </c>
      <c r="R59" s="75">
        <f>'Annual Raw'!S29+'Annual Raw'!S31+'Annual Raw'!S34+'Annual Raw'!S36</f>
        <v>0</v>
      </c>
      <c r="S59" s="75">
        <f>'Annual Raw'!T29+'Annual Raw'!T31+'Annual Raw'!T34+'Annual Raw'!T36</f>
        <v>0</v>
      </c>
      <c r="T59" s="75">
        <f>'Annual Raw'!U29+'Annual Raw'!U31+'Annual Raw'!U34+'Annual Raw'!U36</f>
        <v>0</v>
      </c>
      <c r="U59" s="75">
        <f>'Annual Raw'!V29+'Annual Raw'!V31+'Annual Raw'!V34+'Annual Raw'!V36</f>
        <v>0</v>
      </c>
      <c r="V59" s="75">
        <f>'Annual Raw'!W29+'Annual Raw'!W31+'Annual Raw'!W34+'Annual Raw'!W36</f>
        <v>-36</v>
      </c>
      <c r="W59" s="75">
        <f>'Annual Raw'!X29+'Annual Raw'!X31+'Annual Raw'!X34+'Annual Raw'!X36</f>
        <v>6</v>
      </c>
      <c r="X59" s="75">
        <f>'Annual Raw'!Y29+'Annual Raw'!Y31+'Annual Raw'!Y34+'Annual Raw'!Y36</f>
        <v>-148</v>
      </c>
      <c r="Y59" s="75">
        <f>'Annual Raw'!Z29+'Annual Raw'!Z31+'Annual Raw'!Z34+'Annual Raw'!Z36</f>
        <v>-1</v>
      </c>
      <c r="Z59" s="75">
        <f>'Annual Raw'!AA29+'Annual Raw'!AA31+'Annual Raw'!AA34+'Annual Raw'!AA36</f>
        <v>-113</v>
      </c>
      <c r="AA59" s="75">
        <f>'Annual Raw'!AB29+'Annual Raw'!AB31+'Annual Raw'!AB34+'Annual Raw'!AB36</f>
        <v>-27</v>
      </c>
      <c r="AB59" s="76">
        <f>+SUM(CM59:CP59)</f>
        <v>0</v>
      </c>
      <c r="AC59" s="76">
        <f>+SUM(CQ59:CT59)</f>
        <v>0</v>
      </c>
      <c r="AD59" s="76">
        <f>+SUM(CU59:CX59)</f>
        <v>0</v>
      </c>
      <c r="AE59" s="76">
        <f>+SUM(CY59:DB59)</f>
        <v>0</v>
      </c>
      <c r="AI59" s="75">
        <f>'QTR Raw'!C26+'QTR Raw'!C31+'QTR Raw'!C32+'QTR Raw'!C33+'QTR Raw'!C36+'QTR Raw'!C37+'QTR Raw'!C39</f>
        <v>0</v>
      </c>
      <c r="AJ59" s="75">
        <f>'QTR Raw'!D26+'QTR Raw'!D31+'QTR Raw'!D32+'QTR Raw'!D33+'QTR Raw'!D36+'QTR Raw'!D37+'QTR Raw'!D39</f>
        <v>0</v>
      </c>
      <c r="AK59" s="75">
        <f>'QTR Raw'!E26+'QTR Raw'!E31+'QTR Raw'!E32+'QTR Raw'!E33+'QTR Raw'!E36+'QTR Raw'!E37+'QTR Raw'!E39</f>
        <v>0</v>
      </c>
      <c r="AL59" s="75">
        <f>'QTR Raw'!F26+'QTR Raw'!F31+'QTR Raw'!F32+'QTR Raw'!F33+'QTR Raw'!F36+'QTR Raw'!F37+'QTR Raw'!F39</f>
        <v>0</v>
      </c>
      <c r="AM59" s="75">
        <f>'QTR Raw'!G26+'QTR Raw'!G31+'QTR Raw'!G32+'QTR Raw'!G33+'QTR Raw'!G36+'QTR Raw'!G37+'QTR Raw'!G39</f>
        <v>0</v>
      </c>
      <c r="AN59" s="75">
        <f>'QTR Raw'!H26+'QTR Raw'!H31+'QTR Raw'!H32+'QTR Raw'!H33+'QTR Raw'!H36+'QTR Raw'!H37+'QTR Raw'!H39</f>
        <v>0</v>
      </c>
      <c r="AO59" s="75">
        <f>'QTR Raw'!I26+'QTR Raw'!I31+'QTR Raw'!I32+'QTR Raw'!I33+'QTR Raw'!I36+'QTR Raw'!I37+'QTR Raw'!I39</f>
        <v>0</v>
      </c>
      <c r="AP59" s="75">
        <f>'QTR Raw'!J26+'QTR Raw'!J31+'QTR Raw'!J32+'QTR Raw'!J33+'QTR Raw'!J36+'QTR Raw'!J37+'QTR Raw'!J39</f>
        <v>0</v>
      </c>
      <c r="AQ59" s="75">
        <f>'QTR Raw'!K26+'QTR Raw'!K31+'QTR Raw'!K32+'QTR Raw'!K33+'QTR Raw'!K36+'QTR Raw'!K37+'QTR Raw'!K39</f>
        <v>0</v>
      </c>
      <c r="AR59" s="75">
        <f>'QTR Raw'!L26+'QTR Raw'!L31+'QTR Raw'!L32+'QTR Raw'!L33+'QTR Raw'!L36+'QTR Raw'!L37+'QTR Raw'!L39</f>
        <v>0</v>
      </c>
      <c r="AS59" s="75">
        <f>'QTR Raw'!M26+'QTR Raw'!M31+'QTR Raw'!M32+'QTR Raw'!M33+'QTR Raw'!M36+'QTR Raw'!M37+'QTR Raw'!M39</f>
        <v>0</v>
      </c>
      <c r="AT59" s="75">
        <f>'QTR Raw'!N26+'QTR Raw'!N31+'QTR Raw'!N32+'QTR Raw'!N33+'QTR Raw'!N36+'QTR Raw'!N37+'QTR Raw'!N39</f>
        <v>0</v>
      </c>
      <c r="AU59" s="75">
        <f>'QTR Raw'!O26+'QTR Raw'!O31+'QTR Raw'!O32+'QTR Raw'!O33+'QTR Raw'!O36+'QTR Raw'!O37+'QTR Raw'!O39</f>
        <v>0</v>
      </c>
      <c r="AV59" s="75">
        <f>'QTR Raw'!P26+'QTR Raw'!P31+'QTR Raw'!P32+'QTR Raw'!P33+'QTR Raw'!P36+'QTR Raw'!P37+'QTR Raw'!P39</f>
        <v>0</v>
      </c>
      <c r="AW59" s="75">
        <f>'QTR Raw'!Q26+'QTR Raw'!Q31+'QTR Raw'!Q32+'QTR Raw'!Q33+'QTR Raw'!Q36+'QTR Raw'!Q37+'QTR Raw'!Q39</f>
        <v>0</v>
      </c>
      <c r="AX59" s="75">
        <f>'QTR Raw'!R26+'QTR Raw'!R31+'QTR Raw'!R32+'QTR Raw'!R33+'QTR Raw'!R36+'QTR Raw'!R37+'QTR Raw'!R39</f>
        <v>0</v>
      </c>
      <c r="AY59" s="75">
        <f>'QTR Raw'!S26+'QTR Raw'!S31+'QTR Raw'!S32+'QTR Raw'!S33+'QTR Raw'!S36+'QTR Raw'!S37+'QTR Raw'!S39</f>
        <v>0</v>
      </c>
      <c r="AZ59" s="75">
        <f>'QTR Raw'!T26+'QTR Raw'!T31+'QTR Raw'!T32+'QTR Raw'!T33+'QTR Raw'!T36+'QTR Raw'!T37+'QTR Raw'!T39</f>
        <v>0</v>
      </c>
      <c r="BA59" s="75">
        <f>'QTR Raw'!U26+'QTR Raw'!U31+'QTR Raw'!U32+'QTR Raw'!U33+'QTR Raw'!U36+'QTR Raw'!U37+'QTR Raw'!U39</f>
        <v>0</v>
      </c>
      <c r="BB59" s="75">
        <f>'QTR Raw'!V26+'QTR Raw'!V31+'QTR Raw'!V32+'QTR Raw'!V33+'QTR Raw'!V36+'QTR Raw'!V37+'QTR Raw'!V39</f>
        <v>0</v>
      </c>
      <c r="BC59" s="75">
        <f>'QTR Raw'!W26+'QTR Raw'!W31+'QTR Raw'!W32+'QTR Raw'!W33+'QTR Raw'!W36+'QTR Raw'!W37+'QTR Raw'!W39</f>
        <v>0</v>
      </c>
      <c r="BD59" s="75">
        <f>'QTR Raw'!X26+'QTR Raw'!X31+'QTR Raw'!X32+'QTR Raw'!X33+'QTR Raw'!X36+'QTR Raw'!X37+'QTR Raw'!X39</f>
        <v>0</v>
      </c>
      <c r="BE59" s="75">
        <f>'QTR Raw'!Y26+'QTR Raw'!Y31+'QTR Raw'!Y32+'QTR Raw'!Y33+'QTR Raw'!Y36+'QTR Raw'!Y37+'QTR Raw'!Y39</f>
        <v>0</v>
      </c>
      <c r="BF59" s="75">
        <f>'QTR Raw'!Z26+'QTR Raw'!Z31+'QTR Raw'!Z32+'QTR Raw'!Z33+'QTR Raw'!Z36+'QTR Raw'!Z37+'QTR Raw'!Z39</f>
        <v>0</v>
      </c>
      <c r="BG59" s="75">
        <f>'QTR Raw'!AA26+'QTR Raw'!AA31+'QTR Raw'!AA32+'QTR Raw'!AA33+'QTR Raw'!AA36+'QTR Raw'!AA37+'QTR Raw'!AA39</f>
        <v>0</v>
      </c>
      <c r="BH59" s="75">
        <f>'QTR Raw'!AB26+'QTR Raw'!AB31+'QTR Raw'!AB32+'QTR Raw'!AB33+'QTR Raw'!AB36+'QTR Raw'!AB37+'QTR Raw'!AB39</f>
        <v>0</v>
      </c>
      <c r="BI59" s="75">
        <f>'QTR Raw'!AC26+'QTR Raw'!AC31+'QTR Raw'!AC32+'QTR Raw'!AC33+'QTR Raw'!AC36+'QTR Raw'!AC37+'QTR Raw'!AC39</f>
        <v>0</v>
      </c>
      <c r="BJ59" s="75">
        <f>'QTR Raw'!AD26+'QTR Raw'!AD31+'QTR Raw'!AD32+'QTR Raw'!AD33+'QTR Raw'!AD36+'QTR Raw'!AD37+'QTR Raw'!AD39</f>
        <v>0</v>
      </c>
      <c r="BK59" s="75">
        <f>'QTR Raw'!AE26+'QTR Raw'!AE31+'QTR Raw'!AE32+'QTR Raw'!AE33+'QTR Raw'!AE36+'QTR Raw'!AE37+'QTR Raw'!AE39</f>
        <v>0</v>
      </c>
      <c r="BL59" s="75">
        <f>'QTR Raw'!AF26+'QTR Raw'!AF31+'QTR Raw'!AF32+'QTR Raw'!AF33+'QTR Raw'!AF36+'QTR Raw'!AF37+'QTR Raw'!AF39</f>
        <v>0</v>
      </c>
      <c r="BM59" s="75">
        <f>'QTR Raw'!AG26+'QTR Raw'!AG31+'QTR Raw'!AG32+'QTR Raw'!AG33+'QTR Raw'!AG36+'QTR Raw'!AG37+'QTR Raw'!AG39</f>
        <v>0</v>
      </c>
      <c r="BN59" s="75">
        <f>'QTR Raw'!AH26+'QTR Raw'!AH31+'QTR Raw'!AH32+'QTR Raw'!AH33+'QTR Raw'!AH36+'QTR Raw'!AH37+'QTR Raw'!AH39</f>
        <v>0</v>
      </c>
      <c r="BO59" s="75">
        <f>'QTR Raw'!AI26+'QTR Raw'!AI31+'QTR Raw'!AI32+'QTR Raw'!AI33+'QTR Raw'!AI36+'QTR Raw'!AI37+'QTR Raw'!AI39</f>
        <v>-3</v>
      </c>
      <c r="BP59" s="75">
        <f>'QTR Raw'!AJ26+'QTR Raw'!AJ31+'QTR Raw'!AJ32+'QTR Raw'!AJ33+'QTR Raw'!AJ36+'QTR Raw'!AJ37+'QTR Raw'!AJ39</f>
        <v>1</v>
      </c>
      <c r="BQ59" s="75">
        <f>'QTR Raw'!AK26+'QTR Raw'!AK31+'QTR Raw'!AK32+'QTR Raw'!AK33+'QTR Raw'!AK36+'QTR Raw'!AK37+'QTR Raw'!AK39</f>
        <v>4</v>
      </c>
      <c r="BR59" s="75">
        <f>'QTR Raw'!AL26+'QTR Raw'!AL31+'QTR Raw'!AL32+'QTR Raw'!AL33+'QTR Raw'!AL36+'QTR Raw'!AL37+'QTR Raw'!AL39</f>
        <v>-2</v>
      </c>
      <c r="BS59" s="75">
        <f>'QTR Raw'!AM26+'QTR Raw'!AM31+'QTR Raw'!AM32+'QTR Raw'!AM33+'QTR Raw'!AM36+'QTR Raw'!AM37+'QTR Raw'!AM39</f>
        <v>-11</v>
      </c>
      <c r="BT59" s="75">
        <f>'QTR Raw'!AN26+'QTR Raw'!AN31+'QTR Raw'!AN32+'QTR Raw'!AN33+'QTR Raw'!AN36+'QTR Raw'!AN37+'QTR Raw'!AN39</f>
        <v>-19</v>
      </c>
      <c r="BU59" s="75">
        <f>'QTR Raw'!AO26+'QTR Raw'!AO31+'QTR Raw'!AO32+'QTR Raw'!AO33+'QTR Raw'!AO36+'QTR Raw'!AO37+'QTR Raw'!AO39</f>
        <v>32</v>
      </c>
      <c r="BV59" s="75">
        <f>'QTR Raw'!AP26+'QTR Raw'!AP31+'QTR Raw'!AP32+'QTR Raw'!AP33+'QTR Raw'!AP36+'QTR Raw'!AP37+'QTR Raw'!AP39</f>
        <v>5</v>
      </c>
      <c r="BW59" s="75">
        <f>'QTR Raw'!AQ26+'QTR Raw'!AQ31+'QTR Raw'!AQ32+'QTR Raw'!AQ33+'QTR Raw'!AQ36+'QTR Raw'!AQ37+'QTR Raw'!AQ39</f>
        <v>0</v>
      </c>
      <c r="BX59" s="75">
        <f>'QTR Raw'!AR26+'QTR Raw'!AR31+'QTR Raw'!AR32+'QTR Raw'!AR33+'QTR Raw'!AR36+'QTR Raw'!AR37+'QTR Raw'!AR39</f>
        <v>-9</v>
      </c>
      <c r="BY59" s="75">
        <f>'QTR Raw'!AS26+'QTR Raw'!AS31+'QTR Raw'!AS32+'QTR Raw'!AS33+'QTR Raw'!AS36+'QTR Raw'!AS37+'QTR Raw'!AS39</f>
        <v>4</v>
      </c>
      <c r="BZ59" s="75">
        <f>'QTR Raw'!AT26+'QTR Raw'!AT31+'QTR Raw'!AT32+'QTR Raw'!AT33+'QTR Raw'!AT36+'QTR Raw'!AT37+'QTR Raw'!AT39</f>
        <v>-143</v>
      </c>
      <c r="CA59" s="75">
        <f>'QTR Raw'!AU26+'QTR Raw'!AU31+'QTR Raw'!AU32+'QTR Raw'!AU33+'QTR Raw'!AU36+'QTR Raw'!AU37+'QTR Raw'!AU39</f>
        <v>0</v>
      </c>
      <c r="CB59" s="75">
        <f>'QTR Raw'!AV26+'QTR Raw'!AV31+'QTR Raw'!AV32+'QTR Raw'!AV33+'QTR Raw'!AV36+'QTR Raw'!AV37+'QTR Raw'!AV39</f>
        <v>-1</v>
      </c>
      <c r="CC59" s="75">
        <f>'QTR Raw'!AW26+'QTR Raw'!AW31+'QTR Raw'!AW32+'QTR Raw'!AW33+'QTR Raw'!AW36+'QTR Raw'!AW37+'QTR Raw'!AW39</f>
        <v>0</v>
      </c>
      <c r="CD59" s="75">
        <f>'QTR Raw'!AX26+'QTR Raw'!AX31+'QTR Raw'!AX32+'QTR Raw'!AX33+'QTR Raw'!AX36+'QTR Raw'!AX37+'QTR Raw'!AX39</f>
        <v>0</v>
      </c>
      <c r="CE59" s="75">
        <f>'QTR Raw'!AY26+'QTR Raw'!AY31+'QTR Raw'!AY32+'QTR Raw'!AY33+'QTR Raw'!AY36+'QTR Raw'!AY37+'QTR Raw'!AY39</f>
        <v>-113</v>
      </c>
      <c r="CF59" s="75">
        <f>'QTR Raw'!AZ26+'QTR Raw'!AZ31+'QTR Raw'!AZ32+'QTR Raw'!AZ33+'QTR Raw'!AZ36+'QTR Raw'!AZ37+'QTR Raw'!AZ39</f>
        <v>0</v>
      </c>
      <c r="CG59" s="75">
        <f>'QTR Raw'!BA26+'QTR Raw'!BA31+'QTR Raw'!BA32+'QTR Raw'!BA33+'QTR Raw'!BA36+'QTR Raw'!BA37+'QTR Raw'!BA39</f>
        <v>0</v>
      </c>
      <c r="CH59" s="75">
        <f>'QTR Raw'!BB26+'QTR Raw'!BB31+'QTR Raw'!BB32+'QTR Raw'!BB33+'QTR Raw'!BB36+'QTR Raw'!BB37+'QTR Raw'!BB39</f>
        <v>0</v>
      </c>
      <c r="CI59" s="75">
        <f>'QTR Raw'!BC26+'QTR Raw'!BC31+'QTR Raw'!BC32+'QTR Raw'!BC33+'QTR Raw'!BC36+'QTR Raw'!BC37+'QTR Raw'!BC39</f>
        <v>16</v>
      </c>
      <c r="CJ59" s="75">
        <f>'QTR Raw'!BD26+'QTR Raw'!BD31+'QTR Raw'!BD32+'QTR Raw'!BD33+'QTR Raw'!BD36+'QTR Raw'!BD37+'QTR Raw'!BD39</f>
        <v>0</v>
      </c>
      <c r="CK59" s="75">
        <f>'QTR Raw'!BE26+'QTR Raw'!BE31+'QTR Raw'!BE32+'QTR Raw'!BE33+'QTR Raw'!BE36+'QTR Raw'!BE37+'QTR Raw'!BE39</f>
        <v>-32</v>
      </c>
      <c r="CL59" s="75">
        <f>'QTR Raw'!BF26+'QTR Raw'!BF31+'QTR Raw'!BF32+'QTR Raw'!BF33+'QTR Raw'!BF36+'QTR Raw'!BF37+'QTR Raw'!BF39</f>
        <v>-11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E59" s="123"/>
      <c r="DF59" s="23">
        <v>-27</v>
      </c>
    </row>
    <row r="60" spans="1:110" s="26" customFormat="1" x14ac:dyDescent="0.2">
      <c r="A60" s="35" t="s">
        <v>25</v>
      </c>
      <c r="B60" s="26">
        <f>B53+B57+B58+B59</f>
        <v>0</v>
      </c>
      <c r="C60" s="26">
        <f>C53+C57+C58+C59</f>
        <v>0</v>
      </c>
      <c r="D60" s="26">
        <f>D53+D57+D58+D59</f>
        <v>0</v>
      </c>
      <c r="E60" s="26">
        <f t="shared" ref="E60:U60" si="747">E53+E57+E58+E59</f>
        <v>0</v>
      </c>
      <c r="F60" s="26">
        <f t="shared" si="747"/>
        <v>0</v>
      </c>
      <c r="G60" s="26">
        <f t="shared" si="747"/>
        <v>0</v>
      </c>
      <c r="H60" s="26">
        <f t="shared" si="747"/>
        <v>0</v>
      </c>
      <c r="I60" s="26">
        <f t="shared" si="747"/>
        <v>0</v>
      </c>
      <c r="J60" s="26">
        <f t="shared" si="747"/>
        <v>0</v>
      </c>
      <c r="K60" s="26">
        <f t="shared" si="747"/>
        <v>0</v>
      </c>
      <c r="L60" s="26">
        <f t="shared" si="747"/>
        <v>0</v>
      </c>
      <c r="M60" s="26">
        <f t="shared" si="747"/>
        <v>0</v>
      </c>
      <c r="N60" s="26">
        <f t="shared" si="747"/>
        <v>0</v>
      </c>
      <c r="O60" s="26">
        <f t="shared" si="747"/>
        <v>0</v>
      </c>
      <c r="P60" s="26">
        <f t="shared" si="747"/>
        <v>0</v>
      </c>
      <c r="Q60" s="26">
        <f t="shared" si="747"/>
        <v>0</v>
      </c>
      <c r="R60" s="26">
        <f t="shared" si="747"/>
        <v>44</v>
      </c>
      <c r="S60" s="26">
        <f t="shared" si="747"/>
        <v>292</v>
      </c>
      <c r="T60" s="26">
        <f t="shared" si="747"/>
        <v>308</v>
      </c>
      <c r="U60" s="26">
        <f t="shared" si="747"/>
        <v>224</v>
      </c>
      <c r="V60" s="26">
        <f t="shared" ref="V60:AA60" si="748">V53+V57+V58+V59</f>
        <v>1171</v>
      </c>
      <c r="W60" s="26">
        <f t="shared" si="748"/>
        <v>816</v>
      </c>
      <c r="X60" s="26">
        <f t="shared" si="748"/>
        <v>1035</v>
      </c>
      <c r="Y60" s="26">
        <f t="shared" si="748"/>
        <v>826</v>
      </c>
      <c r="Z60" s="26">
        <f t="shared" si="748"/>
        <v>683</v>
      </c>
      <c r="AA60" s="26">
        <f t="shared" si="748"/>
        <v>1139</v>
      </c>
      <c r="AB60" s="27">
        <f t="shared" ref="AB60:AD60" si="749">AB53+AB57+AB58+AB59</f>
        <v>1183.2513172256315</v>
      </c>
      <c r="AC60" s="27">
        <f t="shared" si="749"/>
        <v>1502.5156321810628</v>
      </c>
      <c r="AD60" s="27">
        <f t="shared" si="749"/>
        <v>1755.8437551098104</v>
      </c>
      <c r="AE60" s="27">
        <f t="shared" ref="AE60" si="750">AE53+AE57+AE58+AE59</f>
        <v>2125.1677164279822</v>
      </c>
      <c r="AI60" s="26">
        <f t="shared" ref="AI60" si="751">AI53+AI57+AI58+AI59</f>
        <v>0</v>
      </c>
      <c r="AJ60" s="26">
        <f t="shared" ref="AJ60" si="752">AJ53+AJ57+AJ58+AJ59</f>
        <v>0</v>
      </c>
      <c r="AK60" s="26">
        <f t="shared" ref="AK60:AM60" si="753">AK53+AK57+AK58+AK59</f>
        <v>0</v>
      </c>
      <c r="AL60" s="26">
        <f t="shared" si="753"/>
        <v>0</v>
      </c>
      <c r="AM60" s="26">
        <f t="shared" si="753"/>
        <v>0</v>
      </c>
      <c r="AN60" s="26">
        <f t="shared" ref="AN60:AO60" si="754">AN53+AN57+AN58+AN59</f>
        <v>0</v>
      </c>
      <c r="AO60" s="26">
        <f t="shared" si="754"/>
        <v>0</v>
      </c>
      <c r="AP60" s="26">
        <f t="shared" ref="AP60:CD60" si="755">AP53+AP57+AP58+AP59</f>
        <v>0</v>
      </c>
      <c r="AQ60" s="26">
        <f t="shared" si="755"/>
        <v>0</v>
      </c>
      <c r="AR60" s="26">
        <f t="shared" si="755"/>
        <v>0</v>
      </c>
      <c r="AS60" s="26">
        <f t="shared" si="755"/>
        <v>0</v>
      </c>
      <c r="AT60" s="26">
        <f t="shared" si="755"/>
        <v>0</v>
      </c>
      <c r="AU60" s="26">
        <f t="shared" si="755"/>
        <v>0</v>
      </c>
      <c r="AV60" s="26">
        <f t="shared" si="755"/>
        <v>0</v>
      </c>
      <c r="AW60" s="26">
        <f t="shared" si="755"/>
        <v>0</v>
      </c>
      <c r="AX60" s="26">
        <f t="shared" si="755"/>
        <v>0</v>
      </c>
      <c r="AY60" s="26">
        <f t="shared" si="755"/>
        <v>0</v>
      </c>
      <c r="AZ60" s="26">
        <f t="shared" si="755"/>
        <v>0</v>
      </c>
      <c r="BA60" s="26">
        <f t="shared" si="755"/>
        <v>0</v>
      </c>
      <c r="BB60" s="26">
        <f t="shared" si="755"/>
        <v>0</v>
      </c>
      <c r="BC60" s="26">
        <f t="shared" si="755"/>
        <v>0</v>
      </c>
      <c r="BD60" s="26">
        <f t="shared" si="755"/>
        <v>0</v>
      </c>
      <c r="BE60" s="26">
        <f t="shared" si="755"/>
        <v>53</v>
      </c>
      <c r="BF60" s="26">
        <f t="shared" si="755"/>
        <v>128</v>
      </c>
      <c r="BG60" s="26">
        <f t="shared" si="755"/>
        <v>53</v>
      </c>
      <c r="BH60" s="26">
        <f t="shared" si="755"/>
        <v>-1</v>
      </c>
      <c r="BI60" s="26">
        <f t="shared" si="755"/>
        <v>28</v>
      </c>
      <c r="BJ60" s="26">
        <f t="shared" si="755"/>
        <v>228</v>
      </c>
      <c r="BK60" s="26">
        <f t="shared" si="755"/>
        <v>147</v>
      </c>
      <c r="BL60" s="26">
        <f t="shared" si="755"/>
        <v>27</v>
      </c>
      <c r="BM60" s="26">
        <f t="shared" si="755"/>
        <v>24</v>
      </c>
      <c r="BN60" s="26">
        <f t="shared" si="755"/>
        <v>26</v>
      </c>
      <c r="BO60" s="26">
        <f t="shared" si="755"/>
        <v>190</v>
      </c>
      <c r="BP60" s="26">
        <f t="shared" si="755"/>
        <v>232</v>
      </c>
      <c r="BQ60" s="26">
        <f t="shared" si="755"/>
        <v>182</v>
      </c>
      <c r="BR60" s="26">
        <f t="shared" si="755"/>
        <v>627</v>
      </c>
      <c r="BS60" s="26">
        <f t="shared" si="755"/>
        <v>269</v>
      </c>
      <c r="BT60" s="26">
        <f t="shared" si="755"/>
        <v>198</v>
      </c>
      <c r="BU60" s="26">
        <f t="shared" si="755"/>
        <v>84</v>
      </c>
      <c r="BV60" s="26">
        <f t="shared" si="755"/>
        <v>266</v>
      </c>
      <c r="BW60" s="26">
        <f t="shared" si="755"/>
        <v>196</v>
      </c>
      <c r="BX60" s="26">
        <f t="shared" si="755"/>
        <v>46</v>
      </c>
      <c r="BY60" s="26">
        <f t="shared" si="755"/>
        <v>204</v>
      </c>
      <c r="BZ60" s="26">
        <f t="shared" si="755"/>
        <v>589</v>
      </c>
      <c r="CA60" s="26">
        <f t="shared" si="755"/>
        <v>130</v>
      </c>
      <c r="CB60" s="26">
        <f t="shared" si="755"/>
        <v>118</v>
      </c>
      <c r="CC60" s="26">
        <f t="shared" si="755"/>
        <v>263</v>
      </c>
      <c r="CD60" s="26">
        <f t="shared" si="755"/>
        <v>315</v>
      </c>
      <c r="CE60" s="26">
        <f t="shared" ref="CE60:CF60" si="756">CE53+CE57+CE58+CE59</f>
        <v>141</v>
      </c>
      <c r="CF60" s="26">
        <f t="shared" si="756"/>
        <v>46</v>
      </c>
      <c r="CG60" s="26">
        <f t="shared" ref="CG60:CH60" si="757">CG53+CG57+CG58+CG59</f>
        <v>61</v>
      </c>
      <c r="CH60" s="26">
        <f t="shared" si="757"/>
        <v>435</v>
      </c>
      <c r="CI60" s="26">
        <f t="shared" ref="CI60:CJ60" si="758">CI53+CI57+CI58+CI59</f>
        <v>393</v>
      </c>
      <c r="CJ60" s="26">
        <f t="shared" si="758"/>
        <v>236</v>
      </c>
      <c r="CK60" s="26">
        <f t="shared" ref="CK60:CL60" si="759">CK53+CK57+CK58+CK59</f>
        <v>122</v>
      </c>
      <c r="CL60" s="26">
        <f t="shared" si="759"/>
        <v>387</v>
      </c>
      <c r="CM60" s="27">
        <f t="shared" ref="CM60:DB60" si="760">CM53+CM57+CM58+CM59</f>
        <v>261.20747195764812</v>
      </c>
      <c r="CN60" s="27">
        <f t="shared" si="760"/>
        <v>221.77219940318076</v>
      </c>
      <c r="CO60" s="27">
        <f t="shared" si="760"/>
        <v>259.57907379142142</v>
      </c>
      <c r="CP60" s="27">
        <f t="shared" si="760"/>
        <v>440.69257207338131</v>
      </c>
      <c r="CQ60" s="27">
        <f t="shared" si="760"/>
        <v>310.72736194953222</v>
      </c>
      <c r="CR60" s="27">
        <f t="shared" si="760"/>
        <v>303.63708076541235</v>
      </c>
      <c r="CS60" s="27">
        <f t="shared" si="760"/>
        <v>356.55679062077553</v>
      </c>
      <c r="CT60" s="27">
        <f t="shared" si="760"/>
        <v>531.59439884534402</v>
      </c>
      <c r="CU60" s="27">
        <f t="shared" si="760"/>
        <v>366.90248032184104</v>
      </c>
      <c r="CV60" s="27">
        <f t="shared" si="760"/>
        <v>368.0197643875365</v>
      </c>
      <c r="CW60" s="27">
        <f t="shared" si="760"/>
        <v>421.98405474814916</v>
      </c>
      <c r="CX60" s="27">
        <f t="shared" si="760"/>
        <v>598.93745565228596</v>
      </c>
      <c r="CY60" s="27">
        <f t="shared" si="760"/>
        <v>453.53310416461773</v>
      </c>
      <c r="CZ60" s="27">
        <f t="shared" si="760"/>
        <v>455.02855183869571</v>
      </c>
      <c r="DA60" s="27">
        <f t="shared" si="760"/>
        <v>512.78469036283366</v>
      </c>
      <c r="DB60" s="27">
        <f t="shared" si="760"/>
        <v>703.82137006183643</v>
      </c>
      <c r="DE60" s="121"/>
      <c r="DF60" s="26">
        <v>1138</v>
      </c>
    </row>
    <row r="61" spans="1:110" s="25" customFormat="1" x14ac:dyDescent="0.2">
      <c r="A61" s="151" t="s">
        <v>486</v>
      </c>
      <c r="AB61" s="17"/>
      <c r="AC61" s="17"/>
      <c r="AD61" s="17"/>
      <c r="AE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1" customFormat="1" x14ac:dyDescent="0.2">
      <c r="AB62" s="20"/>
      <c r="AC62" s="20"/>
      <c r="AD62" s="20"/>
      <c r="AE62" s="20"/>
      <c r="BV62" s="183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</row>
    <row r="63" spans="1:110" s="22" customFormat="1" x14ac:dyDescent="0.2">
      <c r="A63" s="22" t="s">
        <v>434</v>
      </c>
      <c r="B63" s="22">
        <f>'Annual Raw'!C35</f>
        <v>0</v>
      </c>
      <c r="C63" s="22">
        <f>'Annual Raw'!D35</f>
        <v>0</v>
      </c>
      <c r="D63" s="22">
        <f>'Annual Raw'!E35</f>
        <v>0</v>
      </c>
      <c r="E63" s="22">
        <f>'Annual Raw'!F35</f>
        <v>0</v>
      </c>
      <c r="F63" s="22">
        <f>'Annual Raw'!G35</f>
        <v>0</v>
      </c>
      <c r="G63" s="22">
        <f>'Annual Raw'!H35</f>
        <v>0</v>
      </c>
      <c r="H63" s="22">
        <f>'Annual Raw'!I35</f>
        <v>0</v>
      </c>
      <c r="I63" s="22">
        <f>'Annual Raw'!J35</f>
        <v>0</v>
      </c>
      <c r="J63" s="22">
        <f>'Annual Raw'!K35</f>
        <v>0</v>
      </c>
      <c r="K63" s="22">
        <f>'Annual Raw'!L35</f>
        <v>0</v>
      </c>
      <c r="L63" s="22">
        <f>'Annual Raw'!M35</f>
        <v>0</v>
      </c>
      <c r="M63" s="22">
        <f>'Annual Raw'!N35</f>
        <v>0</v>
      </c>
      <c r="N63" s="22">
        <f>'Annual Raw'!O35</f>
        <v>0</v>
      </c>
      <c r="O63" s="22">
        <f>'Annual Raw'!P35</f>
        <v>0</v>
      </c>
      <c r="P63" s="22">
        <f>'Annual Raw'!Q35</f>
        <v>0</v>
      </c>
      <c r="Q63" s="22">
        <f>'Annual Raw'!R35</f>
        <v>0</v>
      </c>
      <c r="R63" s="22">
        <f>'Annual Raw'!S35</f>
        <v>44</v>
      </c>
      <c r="S63" s="22">
        <f>'Annual Raw'!T35</f>
        <v>292</v>
      </c>
      <c r="T63" s="22">
        <f>'Annual Raw'!U35</f>
        <v>308</v>
      </c>
      <c r="U63" s="22">
        <f>'Annual Raw'!V35</f>
        <v>224</v>
      </c>
      <c r="V63" s="22">
        <f>'Annual Raw'!W35</f>
        <v>1171</v>
      </c>
      <c r="W63" s="22">
        <f>'Annual Raw'!X35</f>
        <v>816</v>
      </c>
      <c r="X63" s="22">
        <f>'Annual Raw'!Y35</f>
        <v>1035</v>
      </c>
      <c r="Y63" s="22">
        <f>'Annual Raw'!Z35</f>
        <v>826</v>
      </c>
      <c r="Z63" s="22">
        <f>'Annual Raw'!AA35</f>
        <v>683</v>
      </c>
      <c r="AA63" s="22">
        <f>'Annual Raw'!AB35</f>
        <v>1139</v>
      </c>
      <c r="AB63" s="21">
        <f t="shared" ref="AB63:AD63" si="761">+AB60</f>
        <v>1183.2513172256315</v>
      </c>
      <c r="AC63" s="21">
        <f t="shared" si="761"/>
        <v>1502.5156321810628</v>
      </c>
      <c r="AD63" s="21">
        <f t="shared" si="761"/>
        <v>1755.8437551098104</v>
      </c>
      <c r="AE63" s="21">
        <f t="shared" ref="AE63" si="762">+AE60</f>
        <v>2125.1677164279822</v>
      </c>
      <c r="AI63" s="22">
        <f>'QTR Raw'!C42</f>
        <v>0</v>
      </c>
      <c r="AJ63" s="22">
        <f>'QTR Raw'!D42</f>
        <v>0</v>
      </c>
      <c r="AK63" s="22">
        <f>'QTR Raw'!E42</f>
        <v>0</v>
      </c>
      <c r="AL63" s="22">
        <f>'QTR Raw'!F42</f>
        <v>0</v>
      </c>
      <c r="AM63" s="22">
        <f>'QTR Raw'!G42</f>
        <v>0</v>
      </c>
      <c r="AN63" s="22">
        <f>'QTR Raw'!H42</f>
        <v>0</v>
      </c>
      <c r="AO63" s="22">
        <f>'QTR Raw'!I42</f>
        <v>0</v>
      </c>
      <c r="AP63" s="22">
        <f>'QTR Raw'!J42</f>
        <v>0</v>
      </c>
      <c r="AQ63" s="22">
        <f>'QTR Raw'!K42</f>
        <v>0</v>
      </c>
      <c r="AR63" s="22">
        <f>'QTR Raw'!L42</f>
        <v>0</v>
      </c>
      <c r="AS63" s="22">
        <f>'QTR Raw'!M42</f>
        <v>0</v>
      </c>
      <c r="AT63" s="22">
        <f>'QTR Raw'!N42</f>
        <v>0</v>
      </c>
      <c r="AU63" s="22">
        <f>'QTR Raw'!O42</f>
        <v>0</v>
      </c>
      <c r="AV63" s="22">
        <f>'QTR Raw'!P42</f>
        <v>0</v>
      </c>
      <c r="AW63" s="22">
        <f>'QTR Raw'!Q42</f>
        <v>0</v>
      </c>
      <c r="AX63" s="22">
        <f>'QTR Raw'!R42</f>
        <v>0</v>
      </c>
      <c r="AY63" s="22">
        <f>'QTR Raw'!S42</f>
        <v>0</v>
      </c>
      <c r="AZ63" s="22">
        <f>'QTR Raw'!T42</f>
        <v>0</v>
      </c>
      <c r="BA63" s="22">
        <f>'QTR Raw'!U42</f>
        <v>0</v>
      </c>
      <c r="BB63" s="22">
        <f>'QTR Raw'!V42</f>
        <v>0</v>
      </c>
      <c r="BC63" s="22">
        <f>'QTR Raw'!W42</f>
        <v>0</v>
      </c>
      <c r="BD63" s="22">
        <f>'QTR Raw'!X42</f>
        <v>0</v>
      </c>
      <c r="BE63" s="22">
        <f>'QTR Raw'!Y42</f>
        <v>53</v>
      </c>
      <c r="BF63" s="22">
        <f>'QTR Raw'!Z42</f>
        <v>128</v>
      </c>
      <c r="BG63" s="22">
        <f>'QTR Raw'!AA42</f>
        <v>53</v>
      </c>
      <c r="BH63" s="22">
        <f>'QTR Raw'!AB42</f>
        <v>-1</v>
      </c>
      <c r="BI63" s="22">
        <f>'QTR Raw'!AC42</f>
        <v>28</v>
      </c>
      <c r="BJ63" s="22">
        <f>'QTR Raw'!AD42</f>
        <v>228</v>
      </c>
      <c r="BK63" s="22">
        <f>'QTR Raw'!AE42</f>
        <v>147</v>
      </c>
      <c r="BL63" s="22">
        <f>'QTR Raw'!AF42</f>
        <v>27</v>
      </c>
      <c r="BM63" s="22">
        <f>'QTR Raw'!AG42</f>
        <v>24</v>
      </c>
      <c r="BN63" s="22">
        <f>'QTR Raw'!AH42</f>
        <v>26</v>
      </c>
      <c r="BO63" s="22">
        <f>'QTR Raw'!AI42</f>
        <v>190</v>
      </c>
      <c r="BP63" s="22">
        <f>'QTR Raw'!AJ42</f>
        <v>232</v>
      </c>
      <c r="BQ63" s="22">
        <f>'QTR Raw'!AK42</f>
        <v>182</v>
      </c>
      <c r="BR63" s="22">
        <f>'QTR Raw'!AL42</f>
        <v>627</v>
      </c>
      <c r="BS63" s="22">
        <f>'QTR Raw'!AM42</f>
        <v>269</v>
      </c>
      <c r="BT63" s="22">
        <f>'QTR Raw'!AN42</f>
        <v>198</v>
      </c>
      <c r="BU63" s="22">
        <f>'QTR Raw'!AO42</f>
        <v>84</v>
      </c>
      <c r="BV63" s="22">
        <f>'QTR Raw'!AP42</f>
        <v>266</v>
      </c>
      <c r="BW63" s="22">
        <f>'QTR Raw'!AQ42</f>
        <v>196</v>
      </c>
      <c r="BX63" s="22">
        <f>'QTR Raw'!AR42</f>
        <v>46</v>
      </c>
      <c r="BY63" s="22">
        <f>'QTR Raw'!AS42</f>
        <v>204</v>
      </c>
      <c r="BZ63" s="22">
        <f>'QTR Raw'!AT42</f>
        <v>589</v>
      </c>
      <c r="CA63" s="22">
        <f>'QTR Raw'!AU42</f>
        <v>130</v>
      </c>
      <c r="CB63" s="22">
        <f>'QTR Raw'!AV42</f>
        <v>118</v>
      </c>
      <c r="CC63" s="22">
        <f>'QTR Raw'!AW42</f>
        <v>263</v>
      </c>
      <c r="CD63" s="22">
        <f>'QTR Raw'!AX42</f>
        <v>315</v>
      </c>
      <c r="CE63" s="22">
        <f>'QTR Raw'!AY42</f>
        <v>141</v>
      </c>
      <c r="CF63" s="22">
        <f>'QTR Raw'!AZ42</f>
        <v>46</v>
      </c>
      <c r="CG63" s="22">
        <f>'QTR Raw'!BA42</f>
        <v>61</v>
      </c>
      <c r="CH63" s="22">
        <f>'QTR Raw'!BB42</f>
        <v>435</v>
      </c>
      <c r="CI63" s="22">
        <f>'QTR Raw'!BC42</f>
        <v>393</v>
      </c>
      <c r="CJ63" s="22">
        <f>'QTR Raw'!BD42</f>
        <v>236</v>
      </c>
      <c r="CK63" s="22">
        <f>'QTR Raw'!BE42</f>
        <v>122</v>
      </c>
      <c r="CL63" s="22">
        <f>'QTR Raw'!BF42</f>
        <v>387</v>
      </c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  <c r="DF63" s="22">
        <v>1138</v>
      </c>
    </row>
    <row r="64" spans="1:110" s="25" customFormat="1" x14ac:dyDescent="0.2">
      <c r="A64" s="36" t="s">
        <v>435</v>
      </c>
      <c r="B64" s="25">
        <f t="shared" ref="B64:V64" si="763">B63-B60</f>
        <v>0</v>
      </c>
      <c r="C64" s="25">
        <f>C63-C60</f>
        <v>0</v>
      </c>
      <c r="D64" s="25">
        <f t="shared" si="763"/>
        <v>0</v>
      </c>
      <c r="E64" s="25">
        <f t="shared" si="763"/>
        <v>0</v>
      </c>
      <c r="F64" s="25">
        <f t="shared" si="763"/>
        <v>0</v>
      </c>
      <c r="G64" s="25">
        <f t="shared" si="763"/>
        <v>0</v>
      </c>
      <c r="H64" s="25">
        <f t="shared" si="763"/>
        <v>0</v>
      </c>
      <c r="I64" s="25">
        <f t="shared" si="763"/>
        <v>0</v>
      </c>
      <c r="J64" s="25">
        <f t="shared" si="763"/>
        <v>0</v>
      </c>
      <c r="K64" s="25">
        <f t="shared" si="763"/>
        <v>0</v>
      </c>
      <c r="L64" s="25">
        <f t="shared" si="763"/>
        <v>0</v>
      </c>
      <c r="M64" s="25">
        <f t="shared" si="763"/>
        <v>0</v>
      </c>
      <c r="N64" s="25">
        <f t="shared" si="763"/>
        <v>0</v>
      </c>
      <c r="O64" s="25">
        <f t="shared" si="763"/>
        <v>0</v>
      </c>
      <c r="P64" s="25">
        <f t="shared" si="763"/>
        <v>0</v>
      </c>
      <c r="Q64" s="25">
        <f t="shared" si="763"/>
        <v>0</v>
      </c>
      <c r="R64" s="25">
        <f t="shared" si="763"/>
        <v>0</v>
      </c>
      <c r="S64" s="25">
        <f t="shared" si="763"/>
        <v>0</v>
      </c>
      <c r="T64" s="25">
        <f t="shared" si="763"/>
        <v>0</v>
      </c>
      <c r="U64" s="25">
        <f t="shared" si="763"/>
        <v>0</v>
      </c>
      <c r="V64" s="25">
        <f t="shared" si="763"/>
        <v>0</v>
      </c>
      <c r="W64" s="25">
        <f t="shared" ref="W64" si="764">W63-W60</f>
        <v>0</v>
      </c>
      <c r="X64" s="25">
        <f t="shared" ref="X64:Y64" si="765">X63-X60</f>
        <v>0</v>
      </c>
      <c r="Y64" s="25">
        <f t="shared" si="765"/>
        <v>0</v>
      </c>
      <c r="Z64" s="25">
        <f t="shared" ref="Z64:AA64" si="766">Z63-Z60</f>
        <v>0</v>
      </c>
      <c r="AA64" s="25">
        <f t="shared" ref="AA64" si="767">AA63-AA60</f>
        <v>0</v>
      </c>
      <c r="AB64" s="17">
        <f t="shared" ref="AB64:AD64" si="768">AB63-AB60</f>
        <v>0</v>
      </c>
      <c r="AC64" s="17">
        <f t="shared" si="768"/>
        <v>0</v>
      </c>
      <c r="AD64" s="17">
        <f t="shared" si="768"/>
        <v>0</v>
      </c>
      <c r="AE64" s="17">
        <f t="shared" ref="AE64" si="769">AE63-AE60</f>
        <v>0</v>
      </c>
      <c r="AI64" s="25">
        <f t="shared" ref="AI64" si="770">AI63-AI60</f>
        <v>0</v>
      </c>
      <c r="AJ64" s="25">
        <f t="shared" ref="AJ64" si="771">AJ63-AJ60</f>
        <v>0</v>
      </c>
      <c r="AK64" s="25">
        <f t="shared" ref="AK64:AM64" si="772">AK63-AK60</f>
        <v>0</v>
      </c>
      <c r="AL64" s="25">
        <f t="shared" si="772"/>
        <v>0</v>
      </c>
      <c r="AM64" s="25">
        <f t="shared" si="772"/>
        <v>0</v>
      </c>
      <c r="AN64" s="25">
        <f t="shared" ref="AN64:AO64" si="773">AN63-AN60</f>
        <v>0</v>
      </c>
      <c r="AO64" s="25">
        <f t="shared" si="773"/>
        <v>0</v>
      </c>
      <c r="AP64" s="25">
        <f t="shared" ref="AP64:CD64" si="774">AP63-AP60</f>
        <v>0</v>
      </c>
      <c r="AQ64" s="25">
        <f t="shared" si="774"/>
        <v>0</v>
      </c>
      <c r="AR64" s="25">
        <f t="shared" si="774"/>
        <v>0</v>
      </c>
      <c r="AS64" s="25">
        <f t="shared" si="774"/>
        <v>0</v>
      </c>
      <c r="AT64" s="25">
        <f t="shared" si="774"/>
        <v>0</v>
      </c>
      <c r="AU64" s="25">
        <f t="shared" si="774"/>
        <v>0</v>
      </c>
      <c r="AV64" s="25">
        <f t="shared" si="774"/>
        <v>0</v>
      </c>
      <c r="AW64" s="25">
        <f t="shared" si="774"/>
        <v>0</v>
      </c>
      <c r="AX64" s="25">
        <f t="shared" si="774"/>
        <v>0</v>
      </c>
      <c r="AY64" s="25">
        <f t="shared" si="774"/>
        <v>0</v>
      </c>
      <c r="AZ64" s="25">
        <f t="shared" si="774"/>
        <v>0</v>
      </c>
      <c r="BA64" s="25">
        <f t="shared" si="774"/>
        <v>0</v>
      </c>
      <c r="BB64" s="25">
        <f t="shared" si="774"/>
        <v>0</v>
      </c>
      <c r="BC64" s="25">
        <f t="shared" si="774"/>
        <v>0</v>
      </c>
      <c r="BD64" s="25">
        <f t="shared" si="774"/>
        <v>0</v>
      </c>
      <c r="BE64" s="25">
        <f t="shared" si="774"/>
        <v>0</v>
      </c>
      <c r="BF64" s="25">
        <f t="shared" si="774"/>
        <v>0</v>
      </c>
      <c r="BG64" s="25">
        <f t="shared" si="774"/>
        <v>0</v>
      </c>
      <c r="BH64" s="25">
        <f t="shared" si="774"/>
        <v>0</v>
      </c>
      <c r="BI64" s="25">
        <f t="shared" si="774"/>
        <v>0</v>
      </c>
      <c r="BJ64" s="25">
        <f t="shared" si="774"/>
        <v>0</v>
      </c>
      <c r="BK64" s="25">
        <f t="shared" si="774"/>
        <v>0</v>
      </c>
      <c r="BL64" s="25">
        <f t="shared" si="774"/>
        <v>0</v>
      </c>
      <c r="BM64" s="25">
        <f t="shared" si="774"/>
        <v>0</v>
      </c>
      <c r="BN64" s="25">
        <f t="shared" si="774"/>
        <v>0</v>
      </c>
      <c r="BO64" s="25">
        <f t="shared" si="774"/>
        <v>0</v>
      </c>
      <c r="BP64" s="25">
        <f t="shared" si="774"/>
        <v>0</v>
      </c>
      <c r="BQ64" s="25">
        <f t="shared" si="774"/>
        <v>0</v>
      </c>
      <c r="BR64" s="25">
        <f t="shared" si="774"/>
        <v>0</v>
      </c>
      <c r="BS64" s="25">
        <f t="shared" si="774"/>
        <v>0</v>
      </c>
      <c r="BT64" s="25">
        <f t="shared" si="774"/>
        <v>0</v>
      </c>
      <c r="BU64" s="25">
        <f t="shared" si="774"/>
        <v>0</v>
      </c>
      <c r="BV64" s="25">
        <f t="shared" si="774"/>
        <v>0</v>
      </c>
      <c r="BW64" s="25">
        <f t="shared" si="774"/>
        <v>0</v>
      </c>
      <c r="BX64" s="25">
        <f t="shared" si="774"/>
        <v>0</v>
      </c>
      <c r="BY64" s="25">
        <f t="shared" si="774"/>
        <v>0</v>
      </c>
      <c r="BZ64" s="25">
        <f t="shared" si="774"/>
        <v>0</v>
      </c>
      <c r="CA64" s="25">
        <f t="shared" si="774"/>
        <v>0</v>
      </c>
      <c r="CB64" s="25">
        <f t="shared" si="774"/>
        <v>0</v>
      </c>
      <c r="CC64" s="25">
        <f t="shared" si="774"/>
        <v>0</v>
      </c>
      <c r="CD64" s="25">
        <f t="shared" si="774"/>
        <v>0</v>
      </c>
      <c r="CE64" s="25">
        <f t="shared" ref="CE64:CF64" si="775">CE63-CE60</f>
        <v>0</v>
      </c>
      <c r="CF64" s="25">
        <f t="shared" si="775"/>
        <v>0</v>
      </c>
      <c r="CG64" s="25">
        <f t="shared" ref="CG64:CH64" si="776">CG63-CG60</f>
        <v>0</v>
      </c>
      <c r="CH64" s="25">
        <f t="shared" si="776"/>
        <v>0</v>
      </c>
      <c r="CI64" s="25">
        <f t="shared" ref="CI64:CJ64" si="777">CI63-CI60</f>
        <v>0</v>
      </c>
      <c r="CJ64" s="25">
        <f t="shared" si="777"/>
        <v>0</v>
      </c>
      <c r="CK64" s="25">
        <f t="shared" ref="CK64:CL64" si="778">CK63-CK60</f>
        <v>0</v>
      </c>
      <c r="CL64" s="25">
        <f t="shared" si="778"/>
        <v>0</v>
      </c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  <c r="DF64" s="25">
        <v>0</v>
      </c>
    </row>
    <row r="65" spans="1:110" s="1" customFormat="1" x14ac:dyDescent="0.2">
      <c r="A65" s="150" t="s">
        <v>487</v>
      </c>
      <c r="AB65" s="20"/>
      <c r="AC65" s="20"/>
      <c r="AD65" s="20"/>
      <c r="AE65" s="20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38" customFormat="1" x14ac:dyDescent="0.2">
      <c r="A66" s="38" t="s">
        <v>350</v>
      </c>
      <c r="B66" s="39" t="e">
        <f t="shared" ref="B66:AE66" si="779">(B60-B59)/B132</f>
        <v>#DIV/0!</v>
      </c>
      <c r="C66" s="39" t="e">
        <f t="shared" si="779"/>
        <v>#DIV/0!</v>
      </c>
      <c r="D66" s="39" t="e">
        <f t="shared" si="779"/>
        <v>#DIV/0!</v>
      </c>
      <c r="E66" s="39" t="e">
        <f t="shared" si="779"/>
        <v>#DIV/0!</v>
      </c>
      <c r="F66" s="39" t="e">
        <f t="shared" si="779"/>
        <v>#DIV/0!</v>
      </c>
      <c r="G66" s="39" t="e">
        <f t="shared" si="779"/>
        <v>#DIV/0!</v>
      </c>
      <c r="H66" s="39" t="e">
        <f t="shared" si="779"/>
        <v>#DIV/0!</v>
      </c>
      <c r="I66" s="39" t="e">
        <f t="shared" si="779"/>
        <v>#DIV/0!</v>
      </c>
      <c r="J66" s="39" t="e">
        <f t="shared" si="779"/>
        <v>#DIV/0!</v>
      </c>
      <c r="K66" s="39" t="e">
        <f t="shared" si="779"/>
        <v>#DIV/0!</v>
      </c>
      <c r="L66" s="39" t="e">
        <f t="shared" si="779"/>
        <v>#DIV/0!</v>
      </c>
      <c r="M66" s="39" t="e">
        <f t="shared" si="779"/>
        <v>#DIV/0!</v>
      </c>
      <c r="N66" s="39" t="e">
        <f t="shared" si="779"/>
        <v>#DIV/0!</v>
      </c>
      <c r="O66" s="39" t="e">
        <f t="shared" si="779"/>
        <v>#DIV/0!</v>
      </c>
      <c r="P66" s="39" t="e">
        <f t="shared" si="779"/>
        <v>#DIV/0!</v>
      </c>
      <c r="Q66" s="39" t="e">
        <f t="shared" si="779"/>
        <v>#DIV/0!</v>
      </c>
      <c r="R66" s="39">
        <f t="shared" si="779"/>
        <v>4.5695295461626335E-3</v>
      </c>
      <c r="S66" s="39">
        <f t="shared" si="779"/>
        <v>2.8253507498790516E-2</v>
      </c>
      <c r="T66" s="39">
        <f t="shared" si="779"/>
        <v>2.8950089294106588E-2</v>
      </c>
      <c r="U66" s="39">
        <f t="shared" si="779"/>
        <v>2.1210112678723605E-2</v>
      </c>
      <c r="V66" s="39">
        <f t="shared" si="779"/>
        <v>9.4223263075722097E-2</v>
      </c>
      <c r="W66" s="39">
        <f t="shared" si="779"/>
        <v>5.0432725235041408E-2</v>
      </c>
      <c r="X66" s="39">
        <f t="shared" si="779"/>
        <v>7.5697466086511386E-2</v>
      </c>
      <c r="Y66" s="39">
        <f t="shared" si="779"/>
        <v>5.0436055375983412E-2</v>
      </c>
      <c r="Z66" s="39">
        <f t="shared" si="779"/>
        <v>4.5815586508576034E-2</v>
      </c>
      <c r="AA66" s="39">
        <f t="shared" ref="AA66" si="780">(AA60-AA59)/AA132</f>
        <v>6.4853440124589795E-2</v>
      </c>
      <c r="AB66" s="40">
        <f t="shared" si="779"/>
        <v>6.1749076224773471E-2</v>
      </c>
      <c r="AC66" s="40">
        <f t="shared" si="779"/>
        <v>7.2709052846308589E-2</v>
      </c>
      <c r="AD66" s="40">
        <f t="shared" si="779"/>
        <v>7.8313823751290826E-2</v>
      </c>
      <c r="AE66" s="40">
        <f t="shared" si="779"/>
        <v>8.6579764551879629E-2</v>
      </c>
      <c r="AF66" s="39"/>
      <c r="AG66" s="39"/>
      <c r="AH66" s="39"/>
      <c r="AI66" s="39"/>
      <c r="AJ66" s="39"/>
      <c r="AK66" s="39"/>
      <c r="AL66" s="39" t="e">
        <f t="shared" ref="AL66:BQ66" si="781">(SUM(AI60:AL60)-SUM(AI59:AL59))/AL132</f>
        <v>#DIV/0!</v>
      </c>
      <c r="AM66" s="39" t="e">
        <f t="shared" si="781"/>
        <v>#DIV/0!</v>
      </c>
      <c r="AN66" s="39" t="e">
        <f t="shared" si="781"/>
        <v>#DIV/0!</v>
      </c>
      <c r="AO66" s="39" t="e">
        <f t="shared" si="781"/>
        <v>#DIV/0!</v>
      </c>
      <c r="AP66" s="39" t="e">
        <f t="shared" si="781"/>
        <v>#DIV/0!</v>
      </c>
      <c r="AQ66" s="39" t="e">
        <f t="shared" si="781"/>
        <v>#DIV/0!</v>
      </c>
      <c r="AR66" s="39" t="e">
        <f t="shared" si="781"/>
        <v>#DIV/0!</v>
      </c>
      <c r="AS66" s="39" t="e">
        <f t="shared" si="781"/>
        <v>#DIV/0!</v>
      </c>
      <c r="AT66" s="39" t="e">
        <f t="shared" si="781"/>
        <v>#DIV/0!</v>
      </c>
      <c r="AU66" s="39" t="e">
        <f t="shared" si="781"/>
        <v>#DIV/0!</v>
      </c>
      <c r="AV66" s="39" t="e">
        <f t="shared" si="781"/>
        <v>#DIV/0!</v>
      </c>
      <c r="AW66" s="39" t="e">
        <f t="shared" si="781"/>
        <v>#DIV/0!</v>
      </c>
      <c r="AX66" s="39" t="e">
        <f t="shared" si="781"/>
        <v>#DIV/0!</v>
      </c>
      <c r="AY66" s="39" t="e">
        <f t="shared" si="781"/>
        <v>#DIV/0!</v>
      </c>
      <c r="AZ66" s="39" t="e">
        <f t="shared" si="781"/>
        <v>#DIV/0!</v>
      </c>
      <c r="BA66" s="39" t="e">
        <f t="shared" si="781"/>
        <v>#DIV/0!</v>
      </c>
      <c r="BB66" s="39" t="e">
        <f t="shared" si="781"/>
        <v>#DIV/0!</v>
      </c>
      <c r="BC66" s="39" t="e">
        <f t="shared" si="781"/>
        <v>#DIV/0!</v>
      </c>
      <c r="BD66" s="39" t="e">
        <f t="shared" si="781"/>
        <v>#DIV/0!</v>
      </c>
      <c r="BE66" s="39">
        <f t="shared" si="781"/>
        <v>1</v>
      </c>
      <c r="BF66" s="39" t="e">
        <f t="shared" si="781"/>
        <v>#DIV/0!</v>
      </c>
      <c r="BG66" s="39">
        <f t="shared" si="781"/>
        <v>4.4150943396226419</v>
      </c>
      <c r="BH66" s="39" t="e">
        <f t="shared" si="781"/>
        <v>#DIV/0!</v>
      </c>
      <c r="BI66" s="39">
        <f t="shared" si="781"/>
        <v>7.4285714285714288</v>
      </c>
      <c r="BJ66" s="39">
        <f t="shared" si="781"/>
        <v>2.8950089294106588E-2</v>
      </c>
      <c r="BK66" s="39">
        <f t="shared" si="781"/>
        <v>3.727053587984424E-2</v>
      </c>
      <c r="BL66" s="39">
        <f t="shared" si="781"/>
        <v>4.0940683614205463E-2</v>
      </c>
      <c r="BM66" s="39">
        <f t="shared" si="781"/>
        <v>4.0467369620974636E-2</v>
      </c>
      <c r="BN66" s="39">
        <f t="shared" si="781"/>
        <v>2.1210112678723605E-2</v>
      </c>
      <c r="BO66" s="39">
        <f t="shared" si="781"/>
        <v>2.511394288903358E-2</v>
      </c>
      <c r="BP66" s="39">
        <f t="shared" si="781"/>
        <v>4.2476924455596379E-2</v>
      </c>
      <c r="BQ66" s="39">
        <f t="shared" si="781"/>
        <v>5.537430561678864E-2</v>
      </c>
      <c r="BR66" s="39">
        <f t="shared" ref="BR66:CW66" si="782">(SUM(BO60:BR60)-SUM(BO59:BR59))/BR132</f>
        <v>9.6096799375487901E-2</v>
      </c>
      <c r="BS66" s="39">
        <f t="shared" si="782"/>
        <v>0.10077223029283584</v>
      </c>
      <c r="BT66" s="39">
        <f t="shared" si="782"/>
        <v>9.0826774395765128E-2</v>
      </c>
      <c r="BU66" s="39">
        <f t="shared" si="782"/>
        <v>8.1573298248043768E-2</v>
      </c>
      <c r="BV66" s="39">
        <f t="shared" si="782"/>
        <v>5.0432725235041408E-2</v>
      </c>
      <c r="BW66" s="39">
        <f t="shared" si="782"/>
        <v>4.465768591991142E-2</v>
      </c>
      <c r="BX66" s="39">
        <f t="shared" si="782"/>
        <v>3.7519957424161789E-2</v>
      </c>
      <c r="BY66" s="39">
        <f t="shared" si="782"/>
        <v>4.6731425571016012E-2</v>
      </c>
      <c r="BZ66" s="39">
        <f t="shared" si="782"/>
        <v>7.5697466086511386E-2</v>
      </c>
      <c r="CA66" s="39">
        <f t="shared" si="782"/>
        <v>7.0884630029191528E-2</v>
      </c>
      <c r="CB66" s="39">
        <f t="shared" si="782"/>
        <v>7.3761788770220479E-2</v>
      </c>
      <c r="CC66" s="39">
        <f t="shared" si="782"/>
        <v>7.6440948752611523E-2</v>
      </c>
      <c r="CD66" s="39">
        <f t="shared" si="782"/>
        <v>5.0436055375983412E-2</v>
      </c>
      <c r="CE66" s="39">
        <f t="shared" si="782"/>
        <v>5.7503930342242111E-2</v>
      </c>
      <c r="CF66" s="39">
        <f t="shared" si="782"/>
        <v>5.0119876698253227E-2</v>
      </c>
      <c r="CG66" s="39">
        <f t="shared" si="782"/>
        <v>3.8454974685704531E-2</v>
      </c>
      <c r="CH66" s="39">
        <f t="shared" si="782"/>
        <v>4.5815586508576034E-2</v>
      </c>
      <c r="CI66" s="39">
        <f t="shared" si="782"/>
        <v>5.1725108346935326E-2</v>
      </c>
      <c r="CJ66" s="39">
        <f t="shared" si="782"/>
        <v>6.2729792409072907E-2</v>
      </c>
      <c r="CK66" s="39">
        <f t="shared" si="782"/>
        <v>6.752429638784338E-2</v>
      </c>
      <c r="CL66" s="39">
        <f t="shared" si="782"/>
        <v>6.4797819678513821E-2</v>
      </c>
      <c r="CM66" s="40">
        <f t="shared" si="782"/>
        <v>5.7521685187555648E-2</v>
      </c>
      <c r="CN66" s="40">
        <f t="shared" si="782"/>
        <v>5.6060059093572853E-2</v>
      </c>
      <c r="CO66" s="40">
        <f t="shared" si="782"/>
        <v>6.0922210627765483E-2</v>
      </c>
      <c r="CP66" s="40">
        <f t="shared" si="782"/>
        <v>6.1749076224773485E-2</v>
      </c>
      <c r="CQ66" s="40">
        <f t="shared" si="782"/>
        <v>6.3306761000866726E-2</v>
      </c>
      <c r="CR66" s="40">
        <f t="shared" si="782"/>
        <v>6.6474269639331729E-2</v>
      </c>
      <c r="CS66" s="40">
        <f t="shared" si="782"/>
        <v>7.0113828402555603E-2</v>
      </c>
      <c r="CT66" s="40">
        <f t="shared" si="782"/>
        <v>7.2709052846308658E-2</v>
      </c>
      <c r="CU66" s="40">
        <f t="shared" si="782"/>
        <v>7.4111603729856229E-2</v>
      </c>
      <c r="CV66" s="40">
        <f t="shared" si="782"/>
        <v>7.5845654553794509E-2</v>
      </c>
      <c r="CW66" s="40">
        <f t="shared" si="782"/>
        <v>7.7377233131778925E-2</v>
      </c>
      <c r="CX66" s="40">
        <f t="shared" ref="CX66:DB66" si="783">(SUM(CU60:CX60)-SUM(CU59:CX59))/CX132</f>
        <v>7.8313823751290923E-2</v>
      </c>
      <c r="CY66" s="40">
        <f t="shared" si="783"/>
        <v>8.0548342895935585E-2</v>
      </c>
      <c r="CZ66" s="40">
        <f t="shared" si="783"/>
        <v>8.2706884607232398E-2</v>
      </c>
      <c r="DA66" s="40">
        <f t="shared" si="783"/>
        <v>8.4736491962753527E-2</v>
      </c>
      <c r="DB66" s="40">
        <f t="shared" si="783"/>
        <v>8.6579764551879684E-2</v>
      </c>
      <c r="DE66" s="122"/>
      <c r="DF66" s="38">
        <v>6.4797819678513821E-2</v>
      </c>
    </row>
    <row r="67" spans="1:110" s="38" customFormat="1" x14ac:dyDescent="0.2">
      <c r="A67" s="38" t="s">
        <v>351</v>
      </c>
      <c r="B67" s="39" t="e">
        <f t="shared" ref="B67:AE67" si="784">+B46/B141</f>
        <v>#DIV/0!</v>
      </c>
      <c r="C67" s="39" t="e">
        <f t="shared" si="784"/>
        <v>#DIV/0!</v>
      </c>
      <c r="D67" s="39" t="e">
        <f t="shared" si="784"/>
        <v>#DIV/0!</v>
      </c>
      <c r="E67" s="39" t="e">
        <f t="shared" si="784"/>
        <v>#DIV/0!</v>
      </c>
      <c r="F67" s="39" t="e">
        <f t="shared" si="784"/>
        <v>#DIV/0!</v>
      </c>
      <c r="G67" s="39" t="e">
        <f t="shared" si="784"/>
        <v>#DIV/0!</v>
      </c>
      <c r="H67" s="39" t="e">
        <f t="shared" si="784"/>
        <v>#DIV/0!</v>
      </c>
      <c r="I67" s="39" t="e">
        <f t="shared" si="784"/>
        <v>#DIV/0!</v>
      </c>
      <c r="J67" s="39" t="e">
        <f t="shared" si="784"/>
        <v>#DIV/0!</v>
      </c>
      <c r="K67" s="39" t="e">
        <f t="shared" si="784"/>
        <v>#DIV/0!</v>
      </c>
      <c r="L67" s="39" t="e">
        <f t="shared" si="784"/>
        <v>#DIV/0!</v>
      </c>
      <c r="M67" s="39" t="e">
        <f t="shared" si="784"/>
        <v>#DIV/0!</v>
      </c>
      <c r="N67" s="39" t="e">
        <f t="shared" si="784"/>
        <v>#DIV/0!</v>
      </c>
      <c r="O67" s="39" t="e">
        <f t="shared" si="784"/>
        <v>#DIV/0!</v>
      </c>
      <c r="P67" s="39" t="e">
        <f t="shared" si="784"/>
        <v>#DIV/0!</v>
      </c>
      <c r="Q67" s="39" t="e">
        <f t="shared" si="784"/>
        <v>#DIV/0!</v>
      </c>
      <c r="R67" s="39">
        <f t="shared" si="784"/>
        <v>3.7870627586597878E-2</v>
      </c>
      <c r="S67" s="39">
        <f t="shared" si="784"/>
        <v>4.598486141938421E-2</v>
      </c>
      <c r="T67" s="39">
        <f t="shared" si="784"/>
        <v>3.218780251694095E-2</v>
      </c>
      <c r="U67" s="39">
        <f t="shared" si="784"/>
        <v>3.3563134978229318E-2</v>
      </c>
      <c r="V67" s="39">
        <f t="shared" si="784"/>
        <v>9.1348477525374575E-2</v>
      </c>
      <c r="W67" s="39">
        <f t="shared" si="784"/>
        <v>5.9058799085809265E-2</v>
      </c>
      <c r="X67" s="39">
        <f t="shared" si="784"/>
        <v>5.152417119983578E-2</v>
      </c>
      <c r="Y67" s="39">
        <f t="shared" si="784"/>
        <v>5.3886549652268537E-2</v>
      </c>
      <c r="Z67" s="39">
        <f t="shared" si="784"/>
        <v>4.7280077335442483E-2</v>
      </c>
      <c r="AA67" s="39">
        <f t="shared" ref="AA67" si="785">+AA46/AA141</f>
        <v>6.9708542713567842E-2</v>
      </c>
      <c r="AB67" s="40">
        <f t="shared" si="784"/>
        <v>6.446958838563846E-2</v>
      </c>
      <c r="AC67" s="40">
        <f t="shared" si="784"/>
        <v>7.5382859477659644E-2</v>
      </c>
      <c r="AD67" s="40">
        <f t="shared" si="784"/>
        <v>7.9042501703603801E-2</v>
      </c>
      <c r="AE67" s="40">
        <f t="shared" si="784"/>
        <v>8.1725353458661401E-2</v>
      </c>
      <c r="AF67" s="39"/>
      <c r="AG67" s="39"/>
      <c r="AH67" s="39"/>
      <c r="AI67" s="39"/>
      <c r="AJ67" s="39"/>
      <c r="AK67" s="39"/>
      <c r="AL67" s="39" t="e">
        <f t="shared" ref="AL67:BQ67" si="786">+SUM(AI46:AL46)/AL141</f>
        <v>#DIV/0!</v>
      </c>
      <c r="AM67" s="39" t="e">
        <f t="shared" si="786"/>
        <v>#DIV/0!</v>
      </c>
      <c r="AN67" s="39" t="e">
        <f t="shared" si="786"/>
        <v>#DIV/0!</v>
      </c>
      <c r="AO67" s="39" t="e">
        <f t="shared" si="786"/>
        <v>#DIV/0!</v>
      </c>
      <c r="AP67" s="39" t="e">
        <f t="shared" si="786"/>
        <v>#DIV/0!</v>
      </c>
      <c r="AQ67" s="39" t="e">
        <f t="shared" si="786"/>
        <v>#DIV/0!</v>
      </c>
      <c r="AR67" s="39" t="e">
        <f t="shared" si="786"/>
        <v>#DIV/0!</v>
      </c>
      <c r="AS67" s="39" t="e">
        <f t="shared" si="786"/>
        <v>#DIV/0!</v>
      </c>
      <c r="AT67" s="39" t="e">
        <f t="shared" si="786"/>
        <v>#DIV/0!</v>
      </c>
      <c r="AU67" s="39" t="e">
        <f t="shared" si="786"/>
        <v>#DIV/0!</v>
      </c>
      <c r="AV67" s="39" t="e">
        <f t="shared" si="786"/>
        <v>#DIV/0!</v>
      </c>
      <c r="AW67" s="39" t="e">
        <f t="shared" si="786"/>
        <v>#DIV/0!</v>
      </c>
      <c r="AX67" s="39" t="e">
        <f t="shared" si="786"/>
        <v>#DIV/0!</v>
      </c>
      <c r="AY67" s="39" t="e">
        <f t="shared" si="786"/>
        <v>#DIV/0!</v>
      </c>
      <c r="AZ67" s="39" t="e">
        <f t="shared" si="786"/>
        <v>#DIV/0!</v>
      </c>
      <c r="BA67" s="39" t="e">
        <f t="shared" si="786"/>
        <v>#DIV/0!</v>
      </c>
      <c r="BB67" s="39" t="e">
        <f t="shared" si="786"/>
        <v>#DIV/0!</v>
      </c>
      <c r="BC67" s="39" t="e">
        <f t="shared" si="786"/>
        <v>#DIV/0!</v>
      </c>
      <c r="BD67" s="39" t="e">
        <f t="shared" si="786"/>
        <v>#DIV/0!</v>
      </c>
      <c r="BE67" s="39">
        <f t="shared" si="786"/>
        <v>3.2075471698113209</v>
      </c>
      <c r="BF67" s="39" t="e">
        <f t="shared" si="786"/>
        <v>#DIV/0!</v>
      </c>
      <c r="BG67" s="39">
        <f t="shared" si="786"/>
        <v>11.79245283018868</v>
      </c>
      <c r="BH67" s="39" t="e">
        <f t="shared" si="786"/>
        <v>#DIV/0!</v>
      </c>
      <c r="BI67" s="39">
        <f t="shared" si="786"/>
        <v>19.571428571428573</v>
      </c>
      <c r="BJ67" s="39">
        <f t="shared" si="786"/>
        <v>3.7693443780902842E-2</v>
      </c>
      <c r="BK67" s="39">
        <f t="shared" si="786"/>
        <v>4.5165394402035625E-2</v>
      </c>
      <c r="BL67" s="39">
        <f t="shared" si="786"/>
        <v>4.9890650628758887E-2</v>
      </c>
      <c r="BM67" s="39">
        <f t="shared" si="786"/>
        <v>4.9945414847161571E-2</v>
      </c>
      <c r="BN67" s="39">
        <f t="shared" si="786"/>
        <v>3.5991393362456804E-2</v>
      </c>
      <c r="BO67" s="39">
        <f t="shared" si="786"/>
        <v>3.5100148129065499E-2</v>
      </c>
      <c r="BP67" s="39">
        <f t="shared" si="786"/>
        <v>5.6746287927695288E-2</v>
      </c>
      <c r="BQ67" s="39">
        <f t="shared" si="786"/>
        <v>7.554874936191934E-2</v>
      </c>
      <c r="BR67" s="39">
        <f t="shared" ref="BR67:CW67" si="787">+SUM(BO46:BR46)/BR141</f>
        <v>9.1348477525374575E-2</v>
      </c>
      <c r="BS67" s="39">
        <f t="shared" si="787"/>
        <v>9.5773140716960942E-2</v>
      </c>
      <c r="BT67" s="39">
        <f t="shared" si="787"/>
        <v>8.7448559670781897E-2</v>
      </c>
      <c r="BU67" s="39">
        <f t="shared" si="787"/>
        <v>7.2923777019340164E-2</v>
      </c>
      <c r="BV67" s="39">
        <f t="shared" si="787"/>
        <v>6.1863702472470396E-2</v>
      </c>
      <c r="BW67" s="39">
        <f t="shared" si="787"/>
        <v>5.3938708350473055E-2</v>
      </c>
      <c r="BX67" s="39">
        <f t="shared" si="787"/>
        <v>4.2326315216799956E-2</v>
      </c>
      <c r="BY67" s="39">
        <f t="shared" si="787"/>
        <v>5.3268765133171914E-2</v>
      </c>
      <c r="BZ67" s="39">
        <f t="shared" si="787"/>
        <v>5.2037360156009439E-2</v>
      </c>
      <c r="CA67" s="39">
        <f t="shared" si="787"/>
        <v>4.8633768352365415E-2</v>
      </c>
      <c r="CB67" s="39">
        <f t="shared" si="787"/>
        <v>5.1388759001215749E-2</v>
      </c>
      <c r="CC67" s="39">
        <f t="shared" si="787"/>
        <v>5.4921705390549219E-2</v>
      </c>
      <c r="CD67" s="39">
        <f t="shared" si="787"/>
        <v>5.3981170459384019E-2</v>
      </c>
      <c r="CE67" s="39">
        <f t="shared" si="787"/>
        <v>6.010903280383495E-2</v>
      </c>
      <c r="CF67" s="39">
        <f t="shared" si="787"/>
        <v>5.2904147506585113E-2</v>
      </c>
      <c r="CG67" s="39">
        <f t="shared" si="787"/>
        <v>4.1095280498664295E-2</v>
      </c>
      <c r="CH67" s="39">
        <f t="shared" si="787"/>
        <v>4.7280077335442483E-2</v>
      </c>
      <c r="CI67" s="39">
        <f t="shared" si="787"/>
        <v>5.5505161764070665E-2</v>
      </c>
      <c r="CJ67" s="39">
        <f t="shared" si="787"/>
        <v>6.389423273709631E-2</v>
      </c>
      <c r="CK67" s="39">
        <f t="shared" si="787"/>
        <v>6.8260497698855532E-2</v>
      </c>
      <c r="CL67" s="39">
        <f t="shared" si="787"/>
        <v>6.9708542713567842E-2</v>
      </c>
      <c r="CM67" s="40">
        <f t="shared" si="787"/>
        <v>6.1885202720770124E-2</v>
      </c>
      <c r="CN67" s="40">
        <f t="shared" si="787"/>
        <v>5.9677138072557166E-2</v>
      </c>
      <c r="CO67" s="40">
        <f t="shared" si="787"/>
        <v>6.3500642927341255E-2</v>
      </c>
      <c r="CP67" s="40">
        <f t="shared" si="787"/>
        <v>6.446958838563846E-2</v>
      </c>
      <c r="CQ67" s="40">
        <f t="shared" si="787"/>
        <v>6.5985050589914981E-2</v>
      </c>
      <c r="CR67" s="40">
        <f t="shared" si="787"/>
        <v>6.8935105374190772E-2</v>
      </c>
      <c r="CS67" s="40">
        <f t="shared" si="787"/>
        <v>7.2421627404014727E-2</v>
      </c>
      <c r="CT67" s="40">
        <f t="shared" si="787"/>
        <v>7.5382859477659686E-2</v>
      </c>
      <c r="CU67" s="40">
        <f t="shared" si="787"/>
        <v>7.6746472657068771E-2</v>
      </c>
      <c r="CV67" s="40">
        <f t="shared" si="787"/>
        <v>7.803661244681484E-2</v>
      </c>
      <c r="CW67" s="40">
        <f t="shared" si="787"/>
        <v>7.8911007175486894E-2</v>
      </c>
      <c r="CX67" s="40">
        <f t="shared" ref="CX67:DB67" si="788">+SUM(CU46:CX46)/CX141</f>
        <v>7.9042501703603885E-2</v>
      </c>
      <c r="CY67" s="40">
        <f t="shared" si="788"/>
        <v>7.9914778353045113E-2</v>
      </c>
      <c r="CZ67" s="40">
        <f t="shared" si="788"/>
        <v>8.0644581777059549E-2</v>
      </c>
      <c r="DA67" s="40">
        <f t="shared" si="788"/>
        <v>8.122995029508992E-2</v>
      </c>
      <c r="DB67" s="40">
        <f t="shared" si="788"/>
        <v>8.1725353458661457E-2</v>
      </c>
      <c r="DE67" s="122"/>
      <c r="DF67" s="38">
        <v>6.9708542713567842E-2</v>
      </c>
    </row>
    <row r="68" spans="1:110" s="1" customFormat="1" x14ac:dyDescent="0.2">
      <c r="A68" s="150" t="s">
        <v>488</v>
      </c>
      <c r="AB68" s="20"/>
      <c r="AC68" s="20"/>
      <c r="AD68" s="20"/>
      <c r="AE68" s="20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8" customFormat="1" x14ac:dyDescent="0.2">
      <c r="A69" s="12" t="s">
        <v>26</v>
      </c>
      <c r="AB69" s="58"/>
      <c r="AC69" s="58"/>
      <c r="AD69" s="58"/>
      <c r="AE69" s="58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E69" s="132"/>
    </row>
    <row r="70" spans="1:110" s="9" customFormat="1" x14ac:dyDescent="0.2">
      <c r="A70" s="9" t="s">
        <v>453</v>
      </c>
      <c r="N70" s="9">
        <f>N22-SUM(AI22:AL22)</f>
        <v>0</v>
      </c>
      <c r="O70" s="9">
        <f>O22-SUM(AM22:AP22)</f>
        <v>0</v>
      </c>
      <c r="P70" s="9">
        <f>P22-SUM(AQ22:AT22)</f>
        <v>0</v>
      </c>
      <c r="Q70" s="9">
        <f>Q22-SUM(AU22:AX22)</f>
        <v>0</v>
      </c>
      <c r="R70" s="9">
        <f>R22-SUM(AY22:BB22)</f>
        <v>7447</v>
      </c>
      <c r="S70" s="9">
        <f>S22-SUM(BC22:BF22)</f>
        <v>3896</v>
      </c>
      <c r="T70" s="9">
        <f>T22-SUM(BG22:BJ22)</f>
        <v>70</v>
      </c>
      <c r="U70" s="9">
        <f>U22-SUM(BK22:BN22)</f>
        <v>26</v>
      </c>
      <c r="V70" s="9">
        <f>V22-SUM(BO22:BR22)</f>
        <v>8</v>
      </c>
      <c r="W70" s="9">
        <f>W22-SUM(BS22:BV22)</f>
        <v>0</v>
      </c>
      <c r="X70" s="9">
        <f>X22-SUM(BW22:BZ22)</f>
        <v>9</v>
      </c>
      <c r="Y70" s="9">
        <f>Y22-SUM(CA22:CD22)</f>
        <v>0</v>
      </c>
      <c r="Z70" s="9">
        <f>Z22-SUM(CE22:CH22)</f>
        <v>0</v>
      </c>
      <c r="AA70" s="9">
        <f>AA22-SUM(CF22:CI22)</f>
        <v>809</v>
      </c>
      <c r="AB70" s="15">
        <f>AB22-SUM(CM22:CP22)</f>
        <v>0</v>
      </c>
      <c r="AC70" s="15">
        <f>AC22-SUM(CQ22:CT22)</f>
        <v>0</v>
      </c>
      <c r="AD70" s="15">
        <f>AD22-SUM(CU22:CX22)</f>
        <v>0</v>
      </c>
      <c r="AE70" s="15">
        <f>AE22-SUM(CY22:DB22)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9" customFormat="1" x14ac:dyDescent="0.2">
      <c r="A71" s="9" t="s">
        <v>454</v>
      </c>
      <c r="N71" s="9">
        <f>N28-SUM(AI28:AL28)</f>
        <v>0</v>
      </c>
      <c r="O71" s="9">
        <f>O28-SUM(AM28:AP28)</f>
        <v>0</v>
      </c>
      <c r="P71" s="9">
        <f>P28-SUM(AQ28:AT28)</f>
        <v>0</v>
      </c>
      <c r="Q71" s="9">
        <f>Q28-SUM(AU28:AX28)</f>
        <v>0</v>
      </c>
      <c r="R71" s="9">
        <f>R28-SUM(AY28:BB28)</f>
        <v>6190</v>
      </c>
      <c r="S71" s="9">
        <f>S28-SUM(BC28:BF28)</f>
        <v>3291</v>
      </c>
      <c r="T71" s="9">
        <f>T28-SUM(BG28:BJ28)</f>
        <v>70</v>
      </c>
      <c r="U71" s="9">
        <f>U28-SUM(BK28:BN28)</f>
        <v>26</v>
      </c>
      <c r="V71" s="9">
        <f>V28-SUM(BO28:BR28)</f>
        <v>8</v>
      </c>
      <c r="W71" s="9">
        <f>W28-SUM(BS28:BV28)</f>
        <v>0</v>
      </c>
      <c r="X71" s="9">
        <f>X28-SUM(BW28:BZ28)</f>
        <v>9</v>
      </c>
      <c r="Y71" s="9">
        <f>Y28-SUM(CA28:CD28)</f>
        <v>0</v>
      </c>
      <c r="Z71" s="9">
        <f>Z28-SUM(CE28:CH28)</f>
        <v>0</v>
      </c>
      <c r="AA71" s="9">
        <f>AA28-SUM(CF28:CI28)</f>
        <v>661</v>
      </c>
      <c r="AB71" s="15">
        <f>AB28-SUM(CM28:CP28)</f>
        <v>0</v>
      </c>
      <c r="AC71" s="15">
        <f>AC28-SUM(CQ28:CT28)</f>
        <v>0</v>
      </c>
      <c r="AD71" s="15">
        <f>AD28-SUM(CU28:CX28)</f>
        <v>0</v>
      </c>
      <c r="AE71" s="15">
        <f>AE28-SUM(CY28:DB28)</f>
        <v>0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0</v>
      </c>
    </row>
    <row r="72" spans="1:110" s="9" customFormat="1" x14ac:dyDescent="0.2">
      <c r="A72" s="9" t="s">
        <v>455</v>
      </c>
      <c r="N72" s="9">
        <f>N40-SUM(AI40:AL40)</f>
        <v>0</v>
      </c>
      <c r="O72" s="9">
        <f>O40-SUM(AM40:AP40)</f>
        <v>0</v>
      </c>
      <c r="P72" s="9">
        <f>P40-SUM(AQ40:AT40)</f>
        <v>0</v>
      </c>
      <c r="Q72" s="9">
        <f>Q40-SUM(AU40:AX40)</f>
        <v>0</v>
      </c>
      <c r="R72" s="9">
        <f>R40-SUM(AY40:BB40)</f>
        <v>1894</v>
      </c>
      <c r="S72" s="9">
        <f>S40-SUM(BC40:BF40)</f>
        <v>976</v>
      </c>
      <c r="T72" s="9">
        <f>T40-SUM(BG40:BJ40)</f>
        <v>-55</v>
      </c>
      <c r="U72" s="9">
        <f>U40-SUM(BK40:BN40)</f>
        <v>3</v>
      </c>
      <c r="V72" s="9">
        <f>V40-SUM(BO40:BR40)</f>
        <v>0</v>
      </c>
      <c r="W72" s="9">
        <f>W40-SUM(BS40:BV40)</f>
        <v>-54</v>
      </c>
      <c r="X72" s="9">
        <f>X40-SUM(BW40:BZ40)</f>
        <v>-10</v>
      </c>
      <c r="Y72" s="9">
        <f>Y40-SUM(CA40:CD40)</f>
        <v>-2</v>
      </c>
      <c r="Z72" s="9">
        <f>Z40-SUM(CE40:CH40)</f>
        <v>0</v>
      </c>
      <c r="AA72" s="9">
        <f>AA40-SUM(CF40:CI40)</f>
        <v>462</v>
      </c>
      <c r="AB72" s="15">
        <f>AB40-SUM(CM40:CP40)</f>
        <v>0</v>
      </c>
      <c r="AC72" s="15">
        <f>AC40-SUM(CQ40:CT40)</f>
        <v>0</v>
      </c>
      <c r="AD72" s="15">
        <f>AD40-SUM(CU40:CX40)</f>
        <v>0</v>
      </c>
      <c r="AE72" s="15">
        <f>AE40-SUM(CY40:DB40)</f>
        <v>0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0</v>
      </c>
    </row>
    <row r="73" spans="1:110" s="9" customFormat="1" x14ac:dyDescent="0.2">
      <c r="A73" s="9" t="s">
        <v>456</v>
      </c>
      <c r="N73" s="9">
        <f>N60-SUM(AI60:AL60)</f>
        <v>0</v>
      </c>
      <c r="O73" s="9">
        <f>O60-SUM(AM60:AP60)</f>
        <v>0</v>
      </c>
      <c r="P73" s="9">
        <f>P60-SUM(AQ60:AT60)</f>
        <v>0</v>
      </c>
      <c r="Q73" s="9">
        <f>Q60-SUM(AU60:AX60)</f>
        <v>0</v>
      </c>
      <c r="R73" s="9">
        <f>R60-SUM(AY60:BB60)</f>
        <v>44</v>
      </c>
      <c r="S73" s="9">
        <f>S60-SUM(BC60:BF60)</f>
        <v>111</v>
      </c>
      <c r="T73" s="9">
        <f>T60-SUM(BG60:BJ60)</f>
        <v>0</v>
      </c>
      <c r="U73" s="9">
        <f>U60-SUM(BK60:BN60)</f>
        <v>0</v>
      </c>
      <c r="V73" s="9">
        <f>V60-SUM(BO60:BR60)</f>
        <v>-60</v>
      </c>
      <c r="W73" s="9">
        <f>W53-SUM(BS53:BV53)</f>
        <v>0</v>
      </c>
      <c r="X73" s="9">
        <f>X53-SUM(BW53:BZ53)</f>
        <v>0</v>
      </c>
      <c r="Y73" s="9">
        <f>Y53-SUM(CA53:CD53)</f>
        <v>0</v>
      </c>
      <c r="Z73" s="9">
        <f>Z53-SUM(CE53:CH53)</f>
        <v>0</v>
      </c>
      <c r="AA73" s="9">
        <f>AA53-SUM(CF53:CI53)</f>
        <v>251</v>
      </c>
      <c r="AB73" s="15">
        <f>AB53-SUM(CM53:CP53)</f>
        <v>0</v>
      </c>
      <c r="AC73" s="15">
        <f>AC53-SUM(CQ53:CT53)</f>
        <v>0</v>
      </c>
      <c r="AD73" s="15">
        <f>AD53-SUM(CU53:CX53)</f>
        <v>-2.2737367544323206E-12</v>
      </c>
      <c r="AE73" s="15">
        <f>AE53-SUM(CY53:DB53)</f>
        <v>0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0</v>
      </c>
    </row>
    <row r="74" spans="1:110" s="8" customFormat="1" x14ac:dyDescent="0.2">
      <c r="A74" s="149" t="s">
        <v>489</v>
      </c>
      <c r="AB74" s="58"/>
      <c r="AC74" s="58"/>
      <c r="AD74" s="58"/>
      <c r="AE74" s="58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E74" s="132"/>
    </row>
    <row r="75" spans="1:110" s="3" customFormat="1" x14ac:dyDescent="0.2">
      <c r="A75" s="3" t="s">
        <v>27</v>
      </c>
      <c r="B75" s="3">
        <f>'Annual Raw'!C104</f>
        <v>0</v>
      </c>
      <c r="C75" s="3">
        <f>'Annual Raw'!D104</f>
        <v>0</v>
      </c>
      <c r="D75" s="3">
        <f>'Annual Raw'!E104</f>
        <v>0</v>
      </c>
      <c r="E75" s="3">
        <f t="shared" ref="E75:Y75" ca="1" si="789">+F75</f>
        <v>38</v>
      </c>
      <c r="F75" s="3">
        <f t="shared" ca="1" si="789"/>
        <v>38</v>
      </c>
      <c r="G75" s="3">
        <f t="shared" ca="1" si="789"/>
        <v>38</v>
      </c>
      <c r="H75" s="3">
        <f t="shared" ca="1" si="789"/>
        <v>38</v>
      </c>
      <c r="I75" s="3">
        <f t="shared" ca="1" si="789"/>
        <v>38</v>
      </c>
      <c r="J75" s="3">
        <f t="shared" ca="1" si="789"/>
        <v>38</v>
      </c>
      <c r="K75" s="3">
        <f t="shared" ca="1" si="789"/>
        <v>38</v>
      </c>
      <c r="L75" s="3">
        <f t="shared" ca="1" si="789"/>
        <v>38</v>
      </c>
      <c r="M75" s="3">
        <f t="shared" ca="1" si="789"/>
        <v>38</v>
      </c>
      <c r="N75" s="3">
        <f t="shared" ca="1" si="789"/>
        <v>38</v>
      </c>
      <c r="O75" s="3">
        <f t="shared" ca="1" si="789"/>
        <v>38</v>
      </c>
      <c r="P75" s="3">
        <f t="shared" ca="1" si="789"/>
        <v>38</v>
      </c>
      <c r="Q75" s="3">
        <f t="shared" ca="1" si="789"/>
        <v>38</v>
      </c>
      <c r="R75" s="3">
        <f t="shared" ca="1" si="789"/>
        <v>38</v>
      </c>
      <c r="S75" s="3">
        <f t="shared" ca="1" si="789"/>
        <v>38</v>
      </c>
      <c r="T75" s="3">
        <f t="shared" ca="1" si="789"/>
        <v>38</v>
      </c>
      <c r="U75" s="3">
        <f t="shared" ca="1" si="789"/>
        <v>38</v>
      </c>
      <c r="V75" s="3">
        <f t="shared" ca="1" si="789"/>
        <v>38</v>
      </c>
      <c r="W75" s="3">
        <f t="shared" ca="1" si="789"/>
        <v>38</v>
      </c>
      <c r="X75" s="3">
        <f t="shared" ca="1" si="789"/>
        <v>38</v>
      </c>
      <c r="Y75" s="3">
        <f t="shared" ca="1" si="789"/>
        <v>38</v>
      </c>
      <c r="Z75" s="3">
        <f ca="1">+AA75</f>
        <v>38</v>
      </c>
      <c r="AA75" s="3">
        <f ca="1">+AB75</f>
        <v>38</v>
      </c>
      <c r="AB75" s="37">
        <f t="shared" ref="AB75:AB76" ca="1" si="790">AA75</f>
        <v>38</v>
      </c>
      <c r="AC75" s="37">
        <f t="shared" ref="AC75:AC76" ca="1" si="791">AB75</f>
        <v>38</v>
      </c>
      <c r="AD75" s="37">
        <f t="shared" ref="AD75:AD76" ca="1" si="792">AC75</f>
        <v>38</v>
      </c>
      <c r="AE75" s="37">
        <f t="shared" ref="AE75:AE76" ca="1" si="793">AD75</f>
        <v>38</v>
      </c>
      <c r="AI75" s="3">
        <f t="shared" ref="AI75:CH75" si="794">+AJ75</f>
        <v>38</v>
      </c>
      <c r="AJ75" s="3">
        <f t="shared" si="794"/>
        <v>38</v>
      </c>
      <c r="AK75" s="3">
        <f t="shared" si="794"/>
        <v>38</v>
      </c>
      <c r="AL75" s="3">
        <f t="shared" si="794"/>
        <v>38</v>
      </c>
      <c r="AM75" s="3">
        <f t="shared" si="794"/>
        <v>38</v>
      </c>
      <c r="AN75" s="3">
        <f t="shared" si="794"/>
        <v>38</v>
      </c>
      <c r="AO75" s="3">
        <f t="shared" si="794"/>
        <v>38</v>
      </c>
      <c r="AP75" s="3">
        <f t="shared" si="794"/>
        <v>38</v>
      </c>
      <c r="AQ75" s="3">
        <f t="shared" si="794"/>
        <v>38</v>
      </c>
      <c r="AR75" s="3">
        <f t="shared" si="794"/>
        <v>38</v>
      </c>
      <c r="AS75" s="3">
        <f t="shared" si="794"/>
        <v>38</v>
      </c>
      <c r="AT75" s="3">
        <f t="shared" si="794"/>
        <v>38</v>
      </c>
      <c r="AU75" s="3">
        <f t="shared" si="794"/>
        <v>38</v>
      </c>
      <c r="AV75" s="3">
        <f t="shared" si="794"/>
        <v>38</v>
      </c>
      <c r="AW75" s="3">
        <f t="shared" si="794"/>
        <v>38</v>
      </c>
      <c r="AX75" s="3">
        <f t="shared" si="794"/>
        <v>38</v>
      </c>
      <c r="AY75" s="3">
        <f t="shared" si="794"/>
        <v>38</v>
      </c>
      <c r="AZ75" s="3">
        <f t="shared" si="794"/>
        <v>38</v>
      </c>
      <c r="BA75" s="3">
        <f t="shared" si="794"/>
        <v>38</v>
      </c>
      <c r="BB75" s="3">
        <f t="shared" si="794"/>
        <v>38</v>
      </c>
      <c r="BC75" s="3">
        <f t="shared" si="794"/>
        <v>38</v>
      </c>
      <c r="BD75" s="3">
        <f t="shared" si="794"/>
        <v>38</v>
      </c>
      <c r="BE75" s="3">
        <f t="shared" si="794"/>
        <v>38</v>
      </c>
      <c r="BF75" s="3">
        <f t="shared" si="794"/>
        <v>38</v>
      </c>
      <c r="BG75" s="3">
        <f t="shared" si="794"/>
        <v>38</v>
      </c>
      <c r="BH75" s="3">
        <f t="shared" si="794"/>
        <v>38</v>
      </c>
      <c r="BI75" s="3">
        <f t="shared" si="794"/>
        <v>38</v>
      </c>
      <c r="BJ75" s="3">
        <f t="shared" si="794"/>
        <v>38</v>
      </c>
      <c r="BK75" s="3">
        <f t="shared" si="794"/>
        <v>38</v>
      </c>
      <c r="BL75" s="3">
        <f t="shared" si="794"/>
        <v>38</v>
      </c>
      <c r="BM75" s="3">
        <f t="shared" si="794"/>
        <v>38</v>
      </c>
      <c r="BN75" s="3">
        <f t="shared" si="794"/>
        <v>38</v>
      </c>
      <c r="BO75" s="3">
        <f t="shared" si="794"/>
        <v>38</v>
      </c>
      <c r="BP75" s="3">
        <f t="shared" si="794"/>
        <v>38</v>
      </c>
      <c r="BQ75" s="3">
        <f t="shared" si="794"/>
        <v>38</v>
      </c>
      <c r="BR75" s="3">
        <f t="shared" si="794"/>
        <v>38</v>
      </c>
      <c r="BS75" s="3">
        <f t="shared" si="794"/>
        <v>38</v>
      </c>
      <c r="BT75" s="3">
        <f t="shared" si="794"/>
        <v>38</v>
      </c>
      <c r="BU75" s="3">
        <f t="shared" si="794"/>
        <v>38</v>
      </c>
      <c r="BV75" s="3">
        <f t="shared" si="794"/>
        <v>38</v>
      </c>
      <c r="BW75" s="3">
        <f t="shared" si="794"/>
        <v>38</v>
      </c>
      <c r="BX75" s="3">
        <f t="shared" si="794"/>
        <v>38</v>
      </c>
      <c r="BY75" s="3">
        <f t="shared" si="794"/>
        <v>38</v>
      </c>
      <c r="BZ75" s="3">
        <f t="shared" si="794"/>
        <v>38</v>
      </c>
      <c r="CA75" s="3">
        <f t="shared" si="794"/>
        <v>38</v>
      </c>
      <c r="CB75" s="3">
        <f t="shared" si="794"/>
        <v>38</v>
      </c>
      <c r="CC75" s="3">
        <f t="shared" si="794"/>
        <v>38</v>
      </c>
      <c r="CD75" s="3">
        <f t="shared" si="794"/>
        <v>38</v>
      </c>
      <c r="CE75" s="3">
        <f t="shared" si="794"/>
        <v>38</v>
      </c>
      <c r="CF75" s="3">
        <f t="shared" si="794"/>
        <v>38</v>
      </c>
      <c r="CG75" s="3">
        <f t="shared" si="794"/>
        <v>38</v>
      </c>
      <c r="CH75" s="3">
        <f t="shared" si="794"/>
        <v>38</v>
      </c>
      <c r="CI75" s="3">
        <f>+CJ75</f>
        <v>38</v>
      </c>
      <c r="CJ75" s="3">
        <f>'QTR Raw'!BD45</f>
        <v>38</v>
      </c>
      <c r="CK75" s="3">
        <f>'QTR Raw'!BE45</f>
        <v>38</v>
      </c>
      <c r="CL75" s="3">
        <f>'QTR Raw'!BF45</f>
        <v>38</v>
      </c>
      <c r="CM75" s="37">
        <f t="shared" ref="CM75:CM76" si="795">+CL75</f>
        <v>38</v>
      </c>
      <c r="CN75" s="37">
        <f t="shared" ref="CN75:CN76" si="796">+CM75</f>
        <v>38</v>
      </c>
      <c r="CO75" s="37">
        <f t="shared" ref="CO75:CO76" si="797">+CN75</f>
        <v>38</v>
      </c>
      <c r="CP75" s="37">
        <f t="shared" ref="CP75:CP76" si="798">+CO75</f>
        <v>38</v>
      </c>
      <c r="CQ75" s="37">
        <f t="shared" ref="CQ75:CQ76" si="799">+CP75</f>
        <v>38</v>
      </c>
      <c r="CR75" s="37">
        <f t="shared" ref="CR75:CR76" si="800">+CQ75</f>
        <v>38</v>
      </c>
      <c r="CS75" s="37">
        <f t="shared" ref="CS75:CS76" si="801">+CR75</f>
        <v>38</v>
      </c>
      <c r="CT75" s="37">
        <f t="shared" ref="CT75:CT76" si="802">+CS75</f>
        <v>38</v>
      </c>
      <c r="CU75" s="37">
        <f t="shared" ref="CU75:CU76" si="803">+CT75</f>
        <v>38</v>
      </c>
      <c r="CV75" s="37">
        <f t="shared" ref="CV75:CV76" si="804">+CU75</f>
        <v>38</v>
      </c>
      <c r="CW75" s="37">
        <f t="shared" ref="CW75:CW76" si="805">+CV75</f>
        <v>38</v>
      </c>
      <c r="CX75" s="37">
        <f t="shared" ref="CX75:CX76" si="806">+CW75</f>
        <v>38</v>
      </c>
      <c r="CY75" s="37">
        <f t="shared" ref="CY75:CY76" si="807">+CX75</f>
        <v>38</v>
      </c>
      <c r="CZ75" s="37">
        <f t="shared" ref="CZ75:CZ76" si="808">+CY75</f>
        <v>38</v>
      </c>
      <c r="DA75" s="37">
        <f t="shared" ref="DA75:DA76" si="809">+CZ75</f>
        <v>38</v>
      </c>
      <c r="DB75" s="37">
        <f t="shared" ref="DB75:DB76" si="810">+DA75</f>
        <v>38</v>
      </c>
      <c r="DE75" s="134"/>
      <c r="DF75" s="3">
        <v>38</v>
      </c>
    </row>
    <row r="76" spans="1:110" s="3" customFormat="1" x14ac:dyDescent="0.2">
      <c r="A76" s="3" t="s">
        <v>28</v>
      </c>
      <c r="B76" s="3">
        <f>'Annual Raw'!C105</f>
        <v>0</v>
      </c>
      <c r="C76" s="3">
        <f>'Annual Raw'!D105</f>
        <v>0</v>
      </c>
      <c r="D76" s="3">
        <f>'Annual Raw'!E105</f>
        <v>0</v>
      </c>
      <c r="E76" s="3">
        <f t="shared" ref="E76:Y76" ca="1" si="811">+F76</f>
        <v>2</v>
      </c>
      <c r="F76" s="3">
        <f t="shared" ca="1" si="811"/>
        <v>2</v>
      </c>
      <c r="G76" s="3">
        <f t="shared" ca="1" si="811"/>
        <v>2</v>
      </c>
      <c r="H76" s="3">
        <f t="shared" ca="1" si="811"/>
        <v>2</v>
      </c>
      <c r="I76" s="3">
        <f t="shared" ca="1" si="811"/>
        <v>2</v>
      </c>
      <c r="J76" s="3">
        <f t="shared" ca="1" si="811"/>
        <v>2</v>
      </c>
      <c r="K76" s="3">
        <f t="shared" ca="1" si="811"/>
        <v>2</v>
      </c>
      <c r="L76" s="3">
        <f t="shared" ca="1" si="811"/>
        <v>2</v>
      </c>
      <c r="M76" s="3">
        <f t="shared" ca="1" si="811"/>
        <v>2</v>
      </c>
      <c r="N76" s="3">
        <f t="shared" ca="1" si="811"/>
        <v>2</v>
      </c>
      <c r="O76" s="3">
        <f t="shared" ca="1" si="811"/>
        <v>2</v>
      </c>
      <c r="P76" s="3">
        <f t="shared" ca="1" si="811"/>
        <v>2</v>
      </c>
      <c r="Q76" s="3">
        <f t="shared" ca="1" si="811"/>
        <v>2</v>
      </c>
      <c r="R76" s="3">
        <f t="shared" ca="1" si="811"/>
        <v>2</v>
      </c>
      <c r="S76" s="3">
        <f t="shared" ca="1" si="811"/>
        <v>2</v>
      </c>
      <c r="T76" s="3">
        <f t="shared" ca="1" si="811"/>
        <v>2</v>
      </c>
      <c r="U76" s="3">
        <f t="shared" ca="1" si="811"/>
        <v>2</v>
      </c>
      <c r="V76" s="3">
        <f t="shared" ca="1" si="811"/>
        <v>2</v>
      </c>
      <c r="W76" s="3">
        <f t="shared" ca="1" si="811"/>
        <v>2</v>
      </c>
      <c r="X76" s="3">
        <f t="shared" ca="1" si="811"/>
        <v>2</v>
      </c>
      <c r="Y76" s="3">
        <f t="shared" ca="1" si="811"/>
        <v>2</v>
      </c>
      <c r="Z76" s="3">
        <f ca="1">+AA76</f>
        <v>2</v>
      </c>
      <c r="AA76" s="3">
        <f ca="1">+AB76</f>
        <v>2</v>
      </c>
      <c r="AB76" s="37">
        <f t="shared" ca="1" si="790"/>
        <v>2</v>
      </c>
      <c r="AC76" s="37">
        <f t="shared" ca="1" si="791"/>
        <v>2</v>
      </c>
      <c r="AD76" s="37">
        <f t="shared" ca="1" si="792"/>
        <v>2</v>
      </c>
      <c r="AE76" s="37">
        <f t="shared" ca="1" si="793"/>
        <v>2</v>
      </c>
      <c r="AI76" s="3">
        <f t="shared" ref="AI76:CH76" si="812">AJ76</f>
        <v>2</v>
      </c>
      <c r="AJ76" s="3">
        <f t="shared" si="812"/>
        <v>2</v>
      </c>
      <c r="AK76" s="3">
        <f t="shared" si="812"/>
        <v>2</v>
      </c>
      <c r="AL76" s="3">
        <f t="shared" si="812"/>
        <v>2</v>
      </c>
      <c r="AM76" s="3">
        <f t="shared" si="812"/>
        <v>2</v>
      </c>
      <c r="AN76" s="3">
        <f t="shared" si="812"/>
        <v>2</v>
      </c>
      <c r="AO76" s="3">
        <f t="shared" si="812"/>
        <v>2</v>
      </c>
      <c r="AP76" s="3">
        <f t="shared" si="812"/>
        <v>2</v>
      </c>
      <c r="AQ76" s="3">
        <f t="shared" si="812"/>
        <v>2</v>
      </c>
      <c r="AR76" s="3">
        <f t="shared" si="812"/>
        <v>2</v>
      </c>
      <c r="AS76" s="3">
        <f t="shared" si="812"/>
        <v>2</v>
      </c>
      <c r="AT76" s="3">
        <f t="shared" si="812"/>
        <v>2</v>
      </c>
      <c r="AU76" s="3">
        <f t="shared" si="812"/>
        <v>2</v>
      </c>
      <c r="AV76" s="3">
        <f t="shared" si="812"/>
        <v>2</v>
      </c>
      <c r="AW76" s="3">
        <f t="shared" si="812"/>
        <v>2</v>
      </c>
      <c r="AX76" s="3">
        <f t="shared" si="812"/>
        <v>2</v>
      </c>
      <c r="AY76" s="3">
        <f t="shared" si="812"/>
        <v>2</v>
      </c>
      <c r="AZ76" s="3">
        <f t="shared" si="812"/>
        <v>2</v>
      </c>
      <c r="BA76" s="3">
        <f t="shared" si="812"/>
        <v>2</v>
      </c>
      <c r="BB76" s="3">
        <f t="shared" si="812"/>
        <v>2</v>
      </c>
      <c r="BC76" s="3">
        <f t="shared" si="812"/>
        <v>2</v>
      </c>
      <c r="BD76" s="3">
        <f t="shared" si="812"/>
        <v>2</v>
      </c>
      <c r="BE76" s="3">
        <f t="shared" si="812"/>
        <v>2</v>
      </c>
      <c r="BF76" s="3">
        <f t="shared" si="812"/>
        <v>2</v>
      </c>
      <c r="BG76" s="3">
        <f t="shared" si="812"/>
        <v>2</v>
      </c>
      <c r="BH76" s="3">
        <f t="shared" si="812"/>
        <v>2</v>
      </c>
      <c r="BI76" s="3">
        <f t="shared" si="812"/>
        <v>2</v>
      </c>
      <c r="BJ76" s="3">
        <f t="shared" si="812"/>
        <v>2</v>
      </c>
      <c r="BK76" s="3">
        <f t="shared" si="812"/>
        <v>2</v>
      </c>
      <c r="BL76" s="3">
        <f t="shared" si="812"/>
        <v>2</v>
      </c>
      <c r="BM76" s="3">
        <f t="shared" si="812"/>
        <v>2</v>
      </c>
      <c r="BN76" s="3">
        <f t="shared" si="812"/>
        <v>2</v>
      </c>
      <c r="BO76" s="3">
        <f t="shared" si="812"/>
        <v>2</v>
      </c>
      <c r="BP76" s="3">
        <f t="shared" si="812"/>
        <v>2</v>
      </c>
      <c r="BQ76" s="3">
        <f t="shared" si="812"/>
        <v>2</v>
      </c>
      <c r="BR76" s="3">
        <f t="shared" si="812"/>
        <v>2</v>
      </c>
      <c r="BS76" s="3">
        <f t="shared" si="812"/>
        <v>2</v>
      </c>
      <c r="BT76" s="3">
        <f t="shared" si="812"/>
        <v>2</v>
      </c>
      <c r="BU76" s="3">
        <f t="shared" si="812"/>
        <v>2</v>
      </c>
      <c r="BV76" s="3">
        <f t="shared" si="812"/>
        <v>2</v>
      </c>
      <c r="BW76" s="3">
        <f t="shared" si="812"/>
        <v>2</v>
      </c>
      <c r="BX76" s="3">
        <f t="shared" si="812"/>
        <v>2</v>
      </c>
      <c r="BY76" s="3">
        <f t="shared" si="812"/>
        <v>2</v>
      </c>
      <c r="BZ76" s="3">
        <f t="shared" si="812"/>
        <v>2</v>
      </c>
      <c r="CA76" s="3">
        <f t="shared" si="812"/>
        <v>2</v>
      </c>
      <c r="CB76" s="3">
        <f t="shared" si="812"/>
        <v>2</v>
      </c>
      <c r="CC76" s="3">
        <f t="shared" si="812"/>
        <v>2</v>
      </c>
      <c r="CD76" s="3">
        <f t="shared" si="812"/>
        <v>2</v>
      </c>
      <c r="CE76" s="3">
        <f t="shared" si="812"/>
        <v>2</v>
      </c>
      <c r="CF76" s="3">
        <f t="shared" si="812"/>
        <v>2</v>
      </c>
      <c r="CG76" s="3">
        <f t="shared" si="812"/>
        <v>2</v>
      </c>
      <c r="CH76" s="3">
        <f t="shared" si="812"/>
        <v>2</v>
      </c>
      <c r="CI76" s="3">
        <f>CJ76</f>
        <v>2</v>
      </c>
      <c r="CJ76" s="3">
        <f>'QTR Raw'!BD46</f>
        <v>2</v>
      </c>
      <c r="CK76" s="3">
        <f>'QTR Raw'!BE46</f>
        <v>2</v>
      </c>
      <c r="CL76" s="3">
        <f>'QTR Raw'!BF46</f>
        <v>2</v>
      </c>
      <c r="CM76" s="37">
        <f t="shared" si="795"/>
        <v>2</v>
      </c>
      <c r="CN76" s="37">
        <f t="shared" si="796"/>
        <v>2</v>
      </c>
      <c r="CO76" s="37">
        <f t="shared" si="797"/>
        <v>2</v>
      </c>
      <c r="CP76" s="37">
        <f t="shared" si="798"/>
        <v>2</v>
      </c>
      <c r="CQ76" s="37">
        <f t="shared" si="799"/>
        <v>2</v>
      </c>
      <c r="CR76" s="37">
        <f t="shared" si="800"/>
        <v>2</v>
      </c>
      <c r="CS76" s="37">
        <f t="shared" si="801"/>
        <v>2</v>
      </c>
      <c r="CT76" s="37">
        <f t="shared" si="802"/>
        <v>2</v>
      </c>
      <c r="CU76" s="37">
        <f t="shared" si="803"/>
        <v>2</v>
      </c>
      <c r="CV76" s="37">
        <f t="shared" si="804"/>
        <v>2</v>
      </c>
      <c r="CW76" s="37">
        <f t="shared" si="805"/>
        <v>2</v>
      </c>
      <c r="CX76" s="37">
        <f t="shared" si="806"/>
        <v>2</v>
      </c>
      <c r="CY76" s="37">
        <f t="shared" si="807"/>
        <v>2</v>
      </c>
      <c r="CZ76" s="37">
        <f t="shared" si="808"/>
        <v>2</v>
      </c>
      <c r="DA76" s="37">
        <f t="shared" si="809"/>
        <v>2</v>
      </c>
      <c r="DB76" s="37">
        <f t="shared" si="810"/>
        <v>2</v>
      </c>
      <c r="DE76" s="134"/>
      <c r="DF76" s="3">
        <v>2</v>
      </c>
    </row>
    <row r="77" spans="1:110" s="3" customFormat="1" x14ac:dyDescent="0.2">
      <c r="A77" s="3" t="s">
        <v>29</v>
      </c>
      <c r="B77" s="3" t="e">
        <f>B75/B76</f>
        <v>#DIV/0!</v>
      </c>
      <c r="C77" s="3" t="e">
        <f t="shared" ref="C77:W77" si="813">C75/C76</f>
        <v>#DIV/0!</v>
      </c>
      <c r="D77" s="3" t="e">
        <f t="shared" si="813"/>
        <v>#DIV/0!</v>
      </c>
      <c r="E77" s="3">
        <f t="shared" ca="1" si="813"/>
        <v>19</v>
      </c>
      <c r="F77" s="3">
        <f t="shared" ca="1" si="813"/>
        <v>19</v>
      </c>
      <c r="G77" s="3">
        <f t="shared" ca="1" si="813"/>
        <v>19</v>
      </c>
      <c r="H77" s="3">
        <f t="shared" ca="1" si="813"/>
        <v>19</v>
      </c>
      <c r="I77" s="3">
        <f t="shared" ca="1" si="813"/>
        <v>19</v>
      </c>
      <c r="J77" s="3">
        <f t="shared" ca="1" si="813"/>
        <v>19</v>
      </c>
      <c r="K77" s="3">
        <f t="shared" ca="1" si="813"/>
        <v>19</v>
      </c>
      <c r="L77" s="3">
        <f t="shared" ca="1" si="813"/>
        <v>19</v>
      </c>
      <c r="M77" s="3">
        <f t="shared" ca="1" si="813"/>
        <v>19</v>
      </c>
      <c r="N77" s="3">
        <f t="shared" ca="1" si="813"/>
        <v>19</v>
      </c>
      <c r="O77" s="3">
        <f t="shared" ca="1" si="813"/>
        <v>19</v>
      </c>
      <c r="P77" s="3">
        <f t="shared" ca="1" si="813"/>
        <v>19</v>
      </c>
      <c r="Q77" s="3">
        <f t="shared" ca="1" si="813"/>
        <v>19</v>
      </c>
      <c r="R77" s="3">
        <f t="shared" ca="1" si="813"/>
        <v>19</v>
      </c>
      <c r="S77" s="3">
        <f t="shared" ca="1" si="813"/>
        <v>19</v>
      </c>
      <c r="T77" s="3">
        <f t="shared" ca="1" si="813"/>
        <v>19</v>
      </c>
      <c r="U77" s="3">
        <f t="shared" ca="1" si="813"/>
        <v>19</v>
      </c>
      <c r="V77" s="3">
        <f ca="1">V75/V76</f>
        <v>19</v>
      </c>
      <c r="W77" s="3">
        <f t="shared" ca="1" si="813"/>
        <v>19</v>
      </c>
      <c r="X77" s="3">
        <f t="shared" ref="X77:Y77" ca="1" si="814">X75/X76</f>
        <v>19</v>
      </c>
      <c r="Y77" s="3">
        <f t="shared" ca="1" si="814"/>
        <v>19</v>
      </c>
      <c r="Z77" s="3">
        <f t="shared" ref="Z77:AA77" ca="1" si="815">Z75/Z76</f>
        <v>19</v>
      </c>
      <c r="AA77" s="3">
        <f t="shared" ref="AA77" ca="1" si="816">AA75/AA76</f>
        <v>19</v>
      </c>
      <c r="AB77" s="37">
        <f t="shared" ref="AB77:AD77" ca="1" si="817">AB75/AB76</f>
        <v>19</v>
      </c>
      <c r="AC77" s="37">
        <f t="shared" ca="1" si="817"/>
        <v>19</v>
      </c>
      <c r="AD77" s="37">
        <f t="shared" ca="1" si="817"/>
        <v>19</v>
      </c>
      <c r="AE77" s="37">
        <f t="shared" ref="AE77" ca="1" si="818">AE75/AE76</f>
        <v>19</v>
      </c>
      <c r="AI77" s="3">
        <f t="shared" ref="AI77" si="819">AI75/AI76</f>
        <v>19</v>
      </c>
      <c r="AJ77" s="3">
        <f t="shared" ref="AJ77" si="820">AJ75/AJ76</f>
        <v>19</v>
      </c>
      <c r="AK77" s="3">
        <f t="shared" ref="AK77:AM77" si="821">AK75/AK76</f>
        <v>19</v>
      </c>
      <c r="AL77" s="3">
        <f t="shared" si="821"/>
        <v>19</v>
      </c>
      <c r="AM77" s="3">
        <f t="shared" si="821"/>
        <v>19</v>
      </c>
      <c r="AN77" s="3">
        <f t="shared" ref="AN77:AO77" si="822">AN75/AN76</f>
        <v>19</v>
      </c>
      <c r="AO77" s="3">
        <f t="shared" si="822"/>
        <v>19</v>
      </c>
      <c r="AP77" s="3">
        <f t="shared" ref="AP77:CD77" si="823">AP75/AP76</f>
        <v>19</v>
      </c>
      <c r="AQ77" s="3">
        <f t="shared" si="823"/>
        <v>19</v>
      </c>
      <c r="AR77" s="3">
        <f t="shared" si="823"/>
        <v>19</v>
      </c>
      <c r="AS77" s="3">
        <f t="shared" si="823"/>
        <v>19</v>
      </c>
      <c r="AT77" s="3">
        <f t="shared" si="823"/>
        <v>19</v>
      </c>
      <c r="AU77" s="3">
        <f t="shared" si="823"/>
        <v>19</v>
      </c>
      <c r="AV77" s="3">
        <f t="shared" si="823"/>
        <v>19</v>
      </c>
      <c r="AW77" s="3">
        <f t="shared" si="823"/>
        <v>19</v>
      </c>
      <c r="AX77" s="3">
        <f t="shared" si="823"/>
        <v>19</v>
      </c>
      <c r="AY77" s="3">
        <f t="shared" si="823"/>
        <v>19</v>
      </c>
      <c r="AZ77" s="3">
        <f t="shared" si="823"/>
        <v>19</v>
      </c>
      <c r="BA77" s="3">
        <f t="shared" si="823"/>
        <v>19</v>
      </c>
      <c r="BB77" s="3">
        <f t="shared" si="823"/>
        <v>19</v>
      </c>
      <c r="BC77" s="3">
        <f t="shared" si="823"/>
        <v>19</v>
      </c>
      <c r="BD77" s="3">
        <f t="shared" si="823"/>
        <v>19</v>
      </c>
      <c r="BE77" s="3">
        <f t="shared" si="823"/>
        <v>19</v>
      </c>
      <c r="BF77" s="3">
        <f t="shared" si="823"/>
        <v>19</v>
      </c>
      <c r="BG77" s="3">
        <f t="shared" si="823"/>
        <v>19</v>
      </c>
      <c r="BH77" s="3">
        <f t="shared" si="823"/>
        <v>19</v>
      </c>
      <c r="BI77" s="3">
        <f t="shared" si="823"/>
        <v>19</v>
      </c>
      <c r="BJ77" s="3">
        <f t="shared" si="823"/>
        <v>19</v>
      </c>
      <c r="BK77" s="3">
        <f t="shared" si="823"/>
        <v>19</v>
      </c>
      <c r="BL77" s="3">
        <f t="shared" si="823"/>
        <v>19</v>
      </c>
      <c r="BM77" s="3">
        <f t="shared" si="823"/>
        <v>19</v>
      </c>
      <c r="BN77" s="3">
        <f t="shared" si="823"/>
        <v>19</v>
      </c>
      <c r="BO77" s="3">
        <f t="shared" si="823"/>
        <v>19</v>
      </c>
      <c r="BP77" s="3">
        <f t="shared" si="823"/>
        <v>19</v>
      </c>
      <c r="BQ77" s="3">
        <f t="shared" si="823"/>
        <v>19</v>
      </c>
      <c r="BR77" s="3">
        <f t="shared" si="823"/>
        <v>19</v>
      </c>
      <c r="BS77" s="3">
        <f t="shared" si="823"/>
        <v>19</v>
      </c>
      <c r="BT77" s="3">
        <f t="shared" si="823"/>
        <v>19</v>
      </c>
      <c r="BU77" s="3">
        <f t="shared" si="823"/>
        <v>19</v>
      </c>
      <c r="BV77" s="3">
        <f t="shared" si="823"/>
        <v>19</v>
      </c>
      <c r="BW77" s="3">
        <f t="shared" si="823"/>
        <v>19</v>
      </c>
      <c r="BX77" s="3">
        <f t="shared" si="823"/>
        <v>19</v>
      </c>
      <c r="BY77" s="3">
        <f t="shared" si="823"/>
        <v>19</v>
      </c>
      <c r="BZ77" s="3">
        <f t="shared" si="823"/>
        <v>19</v>
      </c>
      <c r="CA77" s="3">
        <f t="shared" si="823"/>
        <v>19</v>
      </c>
      <c r="CB77" s="3">
        <f t="shared" si="823"/>
        <v>19</v>
      </c>
      <c r="CC77" s="3">
        <f t="shared" si="823"/>
        <v>19</v>
      </c>
      <c r="CD77" s="3">
        <f t="shared" si="823"/>
        <v>19</v>
      </c>
      <c r="CE77" s="3">
        <f t="shared" ref="CE77:CF77" si="824">CE75/CE76</f>
        <v>19</v>
      </c>
      <c r="CF77" s="3">
        <f t="shared" si="824"/>
        <v>19</v>
      </c>
      <c r="CG77" s="3">
        <f t="shared" ref="CG77:CH77" si="825">CG75/CG76</f>
        <v>19</v>
      </c>
      <c r="CH77" s="3">
        <f t="shared" si="825"/>
        <v>19</v>
      </c>
      <c r="CI77" s="3">
        <f t="shared" ref="CI77:CJ77" si="826">CI75/CI76</f>
        <v>19</v>
      </c>
      <c r="CJ77" s="3">
        <f t="shared" si="826"/>
        <v>19</v>
      </c>
      <c r="CK77" s="3">
        <f t="shared" ref="CK77:CL77" si="827">CK75/CK76</f>
        <v>19</v>
      </c>
      <c r="CL77" s="3">
        <f t="shared" si="827"/>
        <v>19</v>
      </c>
      <c r="CM77" s="37">
        <f t="shared" ref="CM77:DB77" si="828">CM75/CM76</f>
        <v>19</v>
      </c>
      <c r="CN77" s="37">
        <f t="shared" si="828"/>
        <v>19</v>
      </c>
      <c r="CO77" s="37">
        <f t="shared" si="828"/>
        <v>19</v>
      </c>
      <c r="CP77" s="37">
        <f t="shared" si="828"/>
        <v>19</v>
      </c>
      <c r="CQ77" s="37">
        <f t="shared" si="828"/>
        <v>19</v>
      </c>
      <c r="CR77" s="37">
        <f t="shared" si="828"/>
        <v>19</v>
      </c>
      <c r="CS77" s="37">
        <f t="shared" si="828"/>
        <v>19</v>
      </c>
      <c r="CT77" s="37">
        <f t="shared" si="828"/>
        <v>19</v>
      </c>
      <c r="CU77" s="37">
        <f t="shared" si="828"/>
        <v>19</v>
      </c>
      <c r="CV77" s="37">
        <f t="shared" si="828"/>
        <v>19</v>
      </c>
      <c r="CW77" s="37">
        <f t="shared" si="828"/>
        <v>19</v>
      </c>
      <c r="CX77" s="37">
        <f t="shared" si="828"/>
        <v>19</v>
      </c>
      <c r="CY77" s="37">
        <f t="shared" si="828"/>
        <v>19</v>
      </c>
      <c r="CZ77" s="37">
        <f t="shared" si="828"/>
        <v>19</v>
      </c>
      <c r="DA77" s="37">
        <f t="shared" si="828"/>
        <v>19</v>
      </c>
      <c r="DB77" s="37">
        <f t="shared" si="828"/>
        <v>19</v>
      </c>
      <c r="DE77" s="134"/>
      <c r="DF77" s="3">
        <v>19</v>
      </c>
    </row>
    <row r="78" spans="1:110" s="53" customFormat="1" x14ac:dyDescent="0.2">
      <c r="A78" s="53" t="s">
        <v>30</v>
      </c>
      <c r="B78" s="53" t="e">
        <f t="shared" ref="B78:AE78" si="829">(B60-B59)/B77</f>
        <v>#DIV/0!</v>
      </c>
      <c r="C78" s="53" t="e">
        <f t="shared" si="829"/>
        <v>#DIV/0!</v>
      </c>
      <c r="D78" s="53" t="e">
        <f t="shared" si="829"/>
        <v>#DIV/0!</v>
      </c>
      <c r="E78" s="53">
        <f t="shared" ca="1" si="829"/>
        <v>0</v>
      </c>
      <c r="F78" s="53">
        <f t="shared" ca="1" si="829"/>
        <v>0</v>
      </c>
      <c r="G78" s="53">
        <f t="shared" ca="1" si="829"/>
        <v>0</v>
      </c>
      <c r="H78" s="53">
        <f t="shared" ca="1" si="829"/>
        <v>0</v>
      </c>
      <c r="I78" s="53">
        <f t="shared" ca="1" si="829"/>
        <v>0</v>
      </c>
      <c r="J78" s="53">
        <f t="shared" ca="1" si="829"/>
        <v>0</v>
      </c>
      <c r="K78" s="53">
        <f t="shared" ca="1" si="829"/>
        <v>0</v>
      </c>
      <c r="L78" s="53">
        <f t="shared" ca="1" si="829"/>
        <v>0</v>
      </c>
      <c r="M78" s="53">
        <f t="shared" ca="1" si="829"/>
        <v>0</v>
      </c>
      <c r="N78" s="53">
        <f t="shared" ca="1" si="829"/>
        <v>0</v>
      </c>
      <c r="O78" s="53">
        <f t="shared" ca="1" si="829"/>
        <v>0</v>
      </c>
      <c r="P78" s="53">
        <f t="shared" ca="1" si="829"/>
        <v>0</v>
      </c>
      <c r="Q78" s="53">
        <f t="shared" ca="1" si="829"/>
        <v>0</v>
      </c>
      <c r="R78" s="53">
        <f t="shared" ca="1" si="829"/>
        <v>2.3157894736842106</v>
      </c>
      <c r="S78" s="53">
        <f t="shared" ca="1" si="829"/>
        <v>15.368421052631579</v>
      </c>
      <c r="T78" s="53">
        <f t="shared" ca="1" si="829"/>
        <v>16.210526315789473</v>
      </c>
      <c r="U78" s="53">
        <f t="shared" ca="1" si="829"/>
        <v>11.789473684210526</v>
      </c>
      <c r="V78" s="53">
        <f t="shared" ca="1" si="829"/>
        <v>63.526315789473685</v>
      </c>
      <c r="W78" s="53">
        <f t="shared" ca="1" si="829"/>
        <v>42.631578947368418</v>
      </c>
      <c r="X78" s="53">
        <f t="shared" ca="1" si="829"/>
        <v>62.263157894736842</v>
      </c>
      <c r="Y78" s="53">
        <f t="shared" ca="1" si="829"/>
        <v>43.526315789473685</v>
      </c>
      <c r="Z78" s="53">
        <f t="shared" ca="1" si="829"/>
        <v>41.89473684210526</v>
      </c>
      <c r="AA78" s="53">
        <f t="shared" ref="AA78" ca="1" si="830">(AA60-AA59)/AA77</f>
        <v>41.89473684210526</v>
      </c>
      <c r="AB78" s="54">
        <f t="shared" ca="1" si="829"/>
        <v>62.276385117138503</v>
      </c>
      <c r="AC78" s="54">
        <f t="shared" ca="1" si="829"/>
        <v>79.07977011479278</v>
      </c>
      <c r="AD78" s="54">
        <f t="shared" ca="1" si="829"/>
        <v>92.412829216305809</v>
      </c>
      <c r="AE78" s="54">
        <f t="shared" ca="1" si="829"/>
        <v>111.85093244357802</v>
      </c>
      <c r="AI78" s="53">
        <f t="shared" ref="AI78:BN78" si="831">(AI60-AI59)/AI77</f>
        <v>0</v>
      </c>
      <c r="AJ78" s="53">
        <f t="shared" si="831"/>
        <v>0</v>
      </c>
      <c r="AK78" s="53">
        <f t="shared" si="831"/>
        <v>0</v>
      </c>
      <c r="AL78" s="53">
        <f t="shared" si="831"/>
        <v>0</v>
      </c>
      <c r="AM78" s="53">
        <f t="shared" si="831"/>
        <v>0</v>
      </c>
      <c r="AN78" s="53">
        <f t="shared" si="831"/>
        <v>0</v>
      </c>
      <c r="AO78" s="53">
        <f t="shared" si="831"/>
        <v>0</v>
      </c>
      <c r="AP78" s="53">
        <f t="shared" si="831"/>
        <v>0</v>
      </c>
      <c r="AQ78" s="53">
        <f t="shared" si="831"/>
        <v>0</v>
      </c>
      <c r="AR78" s="53">
        <f t="shared" si="831"/>
        <v>0</v>
      </c>
      <c r="AS78" s="53">
        <f t="shared" si="831"/>
        <v>0</v>
      </c>
      <c r="AT78" s="53">
        <f t="shared" si="831"/>
        <v>0</v>
      </c>
      <c r="AU78" s="53">
        <f t="shared" si="831"/>
        <v>0</v>
      </c>
      <c r="AV78" s="53">
        <f t="shared" si="831"/>
        <v>0</v>
      </c>
      <c r="AW78" s="53">
        <f t="shared" si="831"/>
        <v>0</v>
      </c>
      <c r="AX78" s="53">
        <f t="shared" si="831"/>
        <v>0</v>
      </c>
      <c r="AY78" s="53">
        <f t="shared" si="831"/>
        <v>0</v>
      </c>
      <c r="AZ78" s="53">
        <f t="shared" si="831"/>
        <v>0</v>
      </c>
      <c r="BA78" s="53">
        <f t="shared" si="831"/>
        <v>0</v>
      </c>
      <c r="BB78" s="53">
        <f t="shared" si="831"/>
        <v>0</v>
      </c>
      <c r="BC78" s="53">
        <f t="shared" si="831"/>
        <v>0</v>
      </c>
      <c r="BD78" s="53">
        <f t="shared" si="831"/>
        <v>0</v>
      </c>
      <c r="BE78" s="53">
        <f t="shared" si="831"/>
        <v>2.7894736842105261</v>
      </c>
      <c r="BF78" s="53">
        <f t="shared" si="831"/>
        <v>6.7368421052631575</v>
      </c>
      <c r="BG78" s="53">
        <f t="shared" si="831"/>
        <v>2.7894736842105261</v>
      </c>
      <c r="BH78" s="53">
        <f t="shared" si="831"/>
        <v>-5.2631578947368418E-2</v>
      </c>
      <c r="BI78" s="53">
        <f t="shared" si="831"/>
        <v>1.4736842105263157</v>
      </c>
      <c r="BJ78" s="53">
        <f t="shared" si="831"/>
        <v>12</v>
      </c>
      <c r="BK78" s="53">
        <f t="shared" si="831"/>
        <v>7.7368421052631575</v>
      </c>
      <c r="BL78" s="53">
        <f t="shared" si="831"/>
        <v>1.4210526315789473</v>
      </c>
      <c r="BM78" s="53">
        <f t="shared" si="831"/>
        <v>1.263157894736842</v>
      </c>
      <c r="BN78" s="53">
        <f t="shared" si="831"/>
        <v>1.368421052631579</v>
      </c>
      <c r="BO78" s="53">
        <f t="shared" ref="BO78:CT78" si="832">(BO60-BO59)/BO77</f>
        <v>10.157894736842104</v>
      </c>
      <c r="BP78" s="53">
        <f t="shared" si="832"/>
        <v>12.157894736842104</v>
      </c>
      <c r="BQ78" s="53">
        <f t="shared" si="832"/>
        <v>9.3684210526315788</v>
      </c>
      <c r="BR78" s="53">
        <f t="shared" si="832"/>
        <v>33.10526315789474</v>
      </c>
      <c r="BS78" s="53">
        <f t="shared" si="832"/>
        <v>14.736842105263158</v>
      </c>
      <c r="BT78" s="53">
        <f t="shared" si="832"/>
        <v>11.421052631578947</v>
      </c>
      <c r="BU78" s="53">
        <f t="shared" si="832"/>
        <v>2.736842105263158</v>
      </c>
      <c r="BV78" s="53">
        <f t="shared" si="832"/>
        <v>13.736842105263158</v>
      </c>
      <c r="BW78" s="53">
        <f t="shared" si="832"/>
        <v>10.315789473684211</v>
      </c>
      <c r="BX78" s="53">
        <f t="shared" si="832"/>
        <v>2.8947368421052633</v>
      </c>
      <c r="BY78" s="53">
        <f t="shared" si="832"/>
        <v>10.526315789473685</v>
      </c>
      <c r="BZ78" s="53">
        <f t="shared" si="832"/>
        <v>38.526315789473685</v>
      </c>
      <c r="CA78" s="53">
        <f t="shared" si="832"/>
        <v>6.8421052631578947</v>
      </c>
      <c r="CB78" s="53">
        <f t="shared" si="832"/>
        <v>6.2631578947368425</v>
      </c>
      <c r="CC78" s="53">
        <f t="shared" si="832"/>
        <v>13.842105263157896</v>
      </c>
      <c r="CD78" s="53">
        <f t="shared" si="832"/>
        <v>16.578947368421051</v>
      </c>
      <c r="CE78" s="53">
        <f t="shared" si="832"/>
        <v>13.368421052631579</v>
      </c>
      <c r="CF78" s="53">
        <f t="shared" si="832"/>
        <v>2.4210526315789473</v>
      </c>
      <c r="CG78" s="53">
        <f t="shared" si="832"/>
        <v>3.2105263157894739</v>
      </c>
      <c r="CH78" s="53">
        <f t="shared" si="832"/>
        <v>22.894736842105264</v>
      </c>
      <c r="CI78" s="53">
        <f t="shared" si="832"/>
        <v>19.842105263157894</v>
      </c>
      <c r="CJ78" s="53">
        <f t="shared" si="832"/>
        <v>12.421052631578947</v>
      </c>
      <c r="CK78" s="53">
        <f t="shared" ref="CK78:CL78" si="833">(CK60-CK59)/CK77</f>
        <v>8.1052631578947363</v>
      </c>
      <c r="CL78" s="53">
        <f t="shared" si="833"/>
        <v>20.94736842105263</v>
      </c>
      <c r="CM78" s="54">
        <f t="shared" si="832"/>
        <v>13.74776168198148</v>
      </c>
      <c r="CN78" s="54">
        <f t="shared" si="832"/>
        <v>11.672221021220039</v>
      </c>
      <c r="CO78" s="54">
        <f t="shared" si="832"/>
        <v>13.662056515337969</v>
      </c>
      <c r="CP78" s="54">
        <f t="shared" si="832"/>
        <v>23.194345898599018</v>
      </c>
      <c r="CQ78" s="54">
        <f t="shared" si="832"/>
        <v>16.354071681554327</v>
      </c>
      <c r="CR78" s="54">
        <f t="shared" si="832"/>
        <v>15.980898987653282</v>
      </c>
      <c r="CS78" s="54">
        <f t="shared" si="832"/>
        <v>18.766146874777661</v>
      </c>
      <c r="CT78" s="54">
        <f t="shared" si="832"/>
        <v>27.978652570807579</v>
      </c>
      <c r="CU78" s="54">
        <f t="shared" ref="CU78:DB78" si="834">(CU60-CU59)/CU77</f>
        <v>19.310656859044265</v>
      </c>
      <c r="CV78" s="54">
        <f t="shared" si="834"/>
        <v>19.369461283554553</v>
      </c>
      <c r="CW78" s="54">
        <f t="shared" si="834"/>
        <v>22.209687092007851</v>
      </c>
      <c r="CX78" s="54">
        <f t="shared" si="834"/>
        <v>31.523023981699261</v>
      </c>
      <c r="CY78" s="54">
        <f t="shared" si="834"/>
        <v>23.870163377085145</v>
      </c>
      <c r="CZ78" s="54">
        <f t="shared" si="834"/>
        <v>23.948871149405036</v>
      </c>
      <c r="DA78" s="54">
        <f t="shared" si="834"/>
        <v>26.98866791383335</v>
      </c>
      <c r="DB78" s="54">
        <f t="shared" si="834"/>
        <v>37.04323000325455</v>
      </c>
      <c r="DE78" s="132"/>
      <c r="DF78" s="53">
        <v>61.315789473684212</v>
      </c>
    </row>
    <row r="79" spans="1:110" s="3" customFormat="1" x14ac:dyDescent="0.2">
      <c r="A79" s="3" t="s">
        <v>31</v>
      </c>
      <c r="B79" s="3">
        <f>'Annual Raw'!C110</f>
        <v>0</v>
      </c>
      <c r="C79" s="3">
        <f>'Annual Raw'!D110</f>
        <v>0</v>
      </c>
      <c r="D79" s="3">
        <f>'Annual Raw'!E110</f>
        <v>0</v>
      </c>
      <c r="E79" s="3">
        <f>'Annual Raw'!F110</f>
        <v>0</v>
      </c>
      <c r="F79" s="3">
        <f>'Annual Raw'!G110</f>
        <v>0</v>
      </c>
      <c r="G79" s="3">
        <f>'Annual Raw'!H110</f>
        <v>0</v>
      </c>
      <c r="H79" s="3">
        <f>'Annual Raw'!I110</f>
        <v>0</v>
      </c>
      <c r="I79" s="3">
        <f>'Annual Raw'!J110</f>
        <v>0</v>
      </c>
      <c r="J79" s="3">
        <f>'Annual Raw'!K110</f>
        <v>0</v>
      </c>
      <c r="K79" s="3">
        <f>'Annual Raw'!L110</f>
        <v>0</v>
      </c>
      <c r="L79" s="3">
        <f>'Annual Raw'!M110</f>
        <v>0</v>
      </c>
      <c r="M79" s="3">
        <f>'Annual Raw'!N110</f>
        <v>0</v>
      </c>
      <c r="N79" s="3">
        <f>'Annual Raw'!O110</f>
        <v>0</v>
      </c>
      <c r="O79" s="3">
        <f>'Annual Raw'!P110</f>
        <v>0</v>
      </c>
      <c r="P79" s="3">
        <f>'Annual Raw'!Q110</f>
        <v>0</v>
      </c>
      <c r="Q79" s="3">
        <f>'Annual Raw'!R110</f>
        <v>0</v>
      </c>
      <c r="R79" s="3">
        <f>'Annual Raw'!S110</f>
        <v>0</v>
      </c>
      <c r="S79" s="3">
        <f>'Annual Raw'!T110</f>
        <v>1.7</v>
      </c>
      <c r="T79" s="3">
        <f>'Annual Raw'!U110</f>
        <v>2</v>
      </c>
      <c r="U79" s="3">
        <f>'Annual Raw'!V110</f>
        <v>2</v>
      </c>
      <c r="V79" s="3">
        <f>'Annual Raw'!W110</f>
        <v>1.33</v>
      </c>
      <c r="W79" s="3">
        <f>'Annual Raw'!X110</f>
        <v>9</v>
      </c>
      <c r="X79" s="3">
        <f>'Annual Raw'!Y110</f>
        <v>9</v>
      </c>
      <c r="Y79" s="3">
        <f>'Annual Raw'!Z110</f>
        <v>9</v>
      </c>
      <c r="Z79" s="3">
        <f>'Annual Raw'!AA110</f>
        <v>9</v>
      </c>
      <c r="AA79" s="3">
        <f>'Annual Raw'!AB110</f>
        <v>9</v>
      </c>
      <c r="AB79" s="37"/>
      <c r="AC79" s="37"/>
      <c r="AD79" s="37"/>
      <c r="AE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E79" s="134"/>
      <c r="DF79" s="3">
        <v>9</v>
      </c>
    </row>
    <row r="80" spans="1:110" s="3" customFormat="1" x14ac:dyDescent="0.2">
      <c r="A80" s="3" t="s">
        <v>32</v>
      </c>
      <c r="B80" s="3" t="e">
        <f>B79/B78</f>
        <v>#DIV/0!</v>
      </c>
      <c r="C80" s="3" t="e">
        <f t="shared" ref="C80:U80" si="835">C79/C78</f>
        <v>#DIV/0!</v>
      </c>
      <c r="D80" s="3" t="e">
        <f t="shared" si="835"/>
        <v>#DIV/0!</v>
      </c>
      <c r="E80" s="3" t="e">
        <f t="shared" ca="1" si="835"/>
        <v>#DIV/0!</v>
      </c>
      <c r="F80" s="3" t="e">
        <f t="shared" ca="1" si="835"/>
        <v>#DIV/0!</v>
      </c>
      <c r="G80" s="3" t="e">
        <f t="shared" ca="1" si="835"/>
        <v>#DIV/0!</v>
      </c>
      <c r="H80" s="3" t="e">
        <f t="shared" ca="1" si="835"/>
        <v>#DIV/0!</v>
      </c>
      <c r="I80" s="3" t="e">
        <f t="shared" ca="1" si="835"/>
        <v>#DIV/0!</v>
      </c>
      <c r="J80" s="3" t="e">
        <f t="shared" ca="1" si="835"/>
        <v>#DIV/0!</v>
      </c>
      <c r="K80" s="3" t="e">
        <f t="shared" ca="1" si="835"/>
        <v>#DIV/0!</v>
      </c>
      <c r="L80" s="3" t="e">
        <f t="shared" ca="1" si="835"/>
        <v>#DIV/0!</v>
      </c>
      <c r="M80" s="3" t="e">
        <f t="shared" ca="1" si="835"/>
        <v>#DIV/0!</v>
      </c>
      <c r="N80" s="3" t="e">
        <f t="shared" ca="1" si="835"/>
        <v>#DIV/0!</v>
      </c>
      <c r="O80" s="3" t="e">
        <f t="shared" ca="1" si="835"/>
        <v>#DIV/0!</v>
      </c>
      <c r="P80" s="3" t="e">
        <f t="shared" ca="1" si="835"/>
        <v>#DIV/0!</v>
      </c>
      <c r="Q80" s="3" t="e">
        <f t="shared" ca="1" si="835"/>
        <v>#DIV/0!</v>
      </c>
      <c r="R80" s="3">
        <f t="shared" ca="1" si="835"/>
        <v>0</v>
      </c>
      <c r="S80" s="3">
        <f t="shared" ca="1" si="835"/>
        <v>0.11061643835616439</v>
      </c>
      <c r="T80" s="3">
        <f t="shared" ca="1" si="835"/>
        <v>0.12337662337662339</v>
      </c>
      <c r="U80" s="3">
        <f t="shared" ca="1" si="835"/>
        <v>0.16964285714285715</v>
      </c>
      <c r="V80" s="3">
        <f ca="1">V79/V78</f>
        <v>2.0936205468102737E-2</v>
      </c>
      <c r="W80" s="3">
        <f t="shared" ref="W80" ca="1" si="836">W79/W78</f>
        <v>0.21111111111111114</v>
      </c>
      <c r="X80" s="3">
        <f t="shared" ref="X80:Y80" ca="1" si="837">X79/X78</f>
        <v>0.14454775993237531</v>
      </c>
      <c r="Y80" s="3">
        <f t="shared" ca="1" si="837"/>
        <v>0.20677146311970979</v>
      </c>
      <c r="Z80" s="3">
        <f t="shared" ref="Z80:AA80" ca="1" si="838">Z79/Z78</f>
        <v>0.21482412060301509</v>
      </c>
      <c r="AA80" s="3">
        <f t="shared" ref="AA80" ca="1" si="839">AA79/AA78</f>
        <v>0.21482412060301509</v>
      </c>
      <c r="AB80" s="37">
        <f t="shared" ref="AB80:AD80" ca="1" si="840">AB79/AB78</f>
        <v>0</v>
      </c>
      <c r="AC80" s="37">
        <f t="shared" ca="1" si="840"/>
        <v>0</v>
      </c>
      <c r="AD80" s="37">
        <f t="shared" ca="1" si="840"/>
        <v>0</v>
      </c>
      <c r="AE80" s="37">
        <f t="shared" ref="AE80" ca="1" si="841">AE79/AE78</f>
        <v>0</v>
      </c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  <c r="DF80" s="3">
        <v>0</v>
      </c>
    </row>
    <row r="81" spans="1:110" s="3" customFormat="1" x14ac:dyDescent="0.2">
      <c r="A81" s="3" t="s">
        <v>33</v>
      </c>
      <c r="B81" s="3" t="e">
        <f>+B78</f>
        <v>#DIV/0!</v>
      </c>
      <c r="C81" s="3" t="e">
        <f t="shared" ref="C81:U81" si="842">+C78</f>
        <v>#DIV/0!</v>
      </c>
      <c r="D81" s="3" t="e">
        <f t="shared" si="842"/>
        <v>#DIV/0!</v>
      </c>
      <c r="E81" s="3">
        <f t="shared" ca="1" si="842"/>
        <v>0</v>
      </c>
      <c r="F81" s="3">
        <f t="shared" ca="1" si="842"/>
        <v>0</v>
      </c>
      <c r="G81" s="3">
        <f t="shared" ca="1" si="842"/>
        <v>0</v>
      </c>
      <c r="H81" s="3">
        <f t="shared" ca="1" si="842"/>
        <v>0</v>
      </c>
      <c r="I81" s="3">
        <f t="shared" ca="1" si="842"/>
        <v>0</v>
      </c>
      <c r="J81" s="3">
        <f t="shared" ca="1" si="842"/>
        <v>0</v>
      </c>
      <c r="K81" s="3">
        <f t="shared" ca="1" si="842"/>
        <v>0</v>
      </c>
      <c r="L81" s="3">
        <f t="shared" ca="1" si="842"/>
        <v>0</v>
      </c>
      <c r="M81" s="3">
        <f t="shared" ca="1" si="842"/>
        <v>0</v>
      </c>
      <c r="N81" s="3">
        <f t="shared" ca="1" si="842"/>
        <v>0</v>
      </c>
      <c r="O81" s="3">
        <f t="shared" ca="1" si="842"/>
        <v>0</v>
      </c>
      <c r="P81" s="3">
        <f t="shared" ca="1" si="842"/>
        <v>0</v>
      </c>
      <c r="Q81" s="3">
        <f t="shared" ca="1" si="842"/>
        <v>0</v>
      </c>
      <c r="R81" s="3">
        <f t="shared" ca="1" si="842"/>
        <v>2.3157894736842106</v>
      </c>
      <c r="S81" s="3">
        <f t="shared" ca="1" si="842"/>
        <v>15.368421052631579</v>
      </c>
      <c r="T81" s="3">
        <f ca="1">+T78</f>
        <v>16.210526315789473</v>
      </c>
      <c r="U81" s="3">
        <f t="shared" ca="1" si="842"/>
        <v>11.789473684210526</v>
      </c>
      <c r="V81" s="3">
        <f ca="1">+V78</f>
        <v>63.526315789473685</v>
      </c>
      <c r="W81" s="3">
        <f t="shared" ref="W81" ca="1" si="843">+W78</f>
        <v>42.631578947368418</v>
      </c>
      <c r="X81" s="3">
        <f t="shared" ref="X81:Y81" ca="1" si="844">+X78</f>
        <v>62.263157894736842</v>
      </c>
      <c r="Y81" s="3">
        <f t="shared" ca="1" si="844"/>
        <v>43.526315789473685</v>
      </c>
      <c r="Z81" s="3">
        <f t="shared" ref="Z81:AA81" ca="1" si="845">+Z78</f>
        <v>41.89473684210526</v>
      </c>
      <c r="AA81" s="3">
        <f t="shared" ref="AA81" ca="1" si="846">+AA78</f>
        <v>41.89473684210526</v>
      </c>
      <c r="AB81" s="37">
        <f t="shared" ref="AB81:AD81" ca="1" si="847">+AB78</f>
        <v>62.276385117138503</v>
      </c>
      <c r="AC81" s="37">
        <f t="shared" ca="1" si="847"/>
        <v>79.07977011479278</v>
      </c>
      <c r="AD81" s="37">
        <f t="shared" ca="1" si="847"/>
        <v>92.412829216305809</v>
      </c>
      <c r="AE81" s="37">
        <f t="shared" ref="AE81" ca="1" si="848">+AE78</f>
        <v>111.85093244357802</v>
      </c>
      <c r="AL81" s="3">
        <f>SUM(AI78:AL78)</f>
        <v>0</v>
      </c>
      <c r="AM81" s="3">
        <f t="shared" ref="AM81" si="849">SUM(AJ78:AM78)</f>
        <v>0</v>
      </c>
      <c r="AN81" s="3">
        <f t="shared" ref="AN81" si="850">SUM(AK78:AN78)</f>
        <v>0</v>
      </c>
      <c r="AO81" s="3">
        <f t="shared" ref="AO81" si="851">SUM(AL78:AO78)</f>
        <v>0</v>
      </c>
      <c r="AP81" s="3">
        <f t="shared" ref="AP81" si="852">SUM(AM78:AP78)</f>
        <v>0</v>
      </c>
      <c r="AQ81" s="3">
        <f t="shared" ref="AQ81" si="853">SUM(AN78:AQ78)</f>
        <v>0</v>
      </c>
      <c r="AR81" s="3">
        <f t="shared" ref="AR81" si="854">SUM(AO78:AR78)</f>
        <v>0</v>
      </c>
      <c r="AS81" s="3">
        <f t="shared" ref="AS81" si="855">SUM(AP78:AS78)</f>
        <v>0</v>
      </c>
      <c r="AT81" s="3">
        <f t="shared" ref="AT81" si="856">SUM(AQ78:AT78)</f>
        <v>0</v>
      </c>
      <c r="AU81" s="3">
        <f t="shared" ref="AU81" si="857">SUM(AR78:AU78)</f>
        <v>0</v>
      </c>
      <c r="AV81" s="3">
        <f t="shared" ref="AV81" si="858">SUM(AS78:AV78)</f>
        <v>0</v>
      </c>
      <c r="AW81" s="3">
        <f t="shared" ref="AW81" si="859">SUM(AT78:AW78)</f>
        <v>0</v>
      </c>
      <c r="AX81" s="3">
        <f t="shared" ref="AX81" si="860">SUM(AU78:AX78)</f>
        <v>0</v>
      </c>
      <c r="AY81" s="3">
        <f t="shared" ref="AY81" si="861">SUM(AV78:AY78)</f>
        <v>0</v>
      </c>
      <c r="AZ81" s="3">
        <f t="shared" ref="AZ81" si="862">SUM(AW78:AZ78)</f>
        <v>0</v>
      </c>
      <c r="BA81" s="3">
        <f t="shared" ref="BA81" si="863">SUM(AX78:BA78)</f>
        <v>0</v>
      </c>
      <c r="BB81" s="3">
        <f t="shared" ref="BB81" si="864">SUM(AY78:BB78)</f>
        <v>0</v>
      </c>
      <c r="BC81" s="3">
        <f t="shared" ref="BC81" si="865">SUM(AZ78:BC78)</f>
        <v>0</v>
      </c>
      <c r="BD81" s="3">
        <f t="shared" ref="BD81" si="866">SUM(BA78:BD78)</f>
        <v>0</v>
      </c>
      <c r="BE81" s="3">
        <f t="shared" ref="BE81" si="867">SUM(BB78:BE78)</f>
        <v>2.7894736842105261</v>
      </c>
      <c r="BF81" s="3">
        <f t="shared" ref="BF81" si="868">SUM(BC78:BF78)</f>
        <v>9.5263157894736832</v>
      </c>
      <c r="BG81" s="3">
        <f t="shared" ref="BG81" si="869">SUM(BD78:BG78)</f>
        <v>12.315789473684209</v>
      </c>
      <c r="BH81" s="3">
        <f t="shared" ref="BH81" si="870">SUM(BE78:BH78)</f>
        <v>12.263157894736841</v>
      </c>
      <c r="BI81" s="3">
        <f t="shared" ref="BI81" si="871">SUM(BF78:BI78)</f>
        <v>10.94736842105263</v>
      </c>
      <c r="BJ81" s="3">
        <f t="shared" ref="BJ81" si="872">SUM(BG78:BJ78)</f>
        <v>16.210526315789473</v>
      </c>
      <c r="BK81" s="3">
        <f t="shared" ref="BK81" si="873">SUM(BH78:BK78)</f>
        <v>21.157894736842103</v>
      </c>
      <c r="BL81" s="3">
        <f t="shared" ref="BL81" si="874">SUM(BI78:BL78)</f>
        <v>22.631578947368421</v>
      </c>
      <c r="BM81" s="3">
        <f t="shared" ref="BM81" si="875">SUM(BJ78:BM78)</f>
        <v>22.421052631578949</v>
      </c>
      <c r="BN81" s="3">
        <f t="shared" ref="BN81" si="876">SUM(BK78:BN78)</f>
        <v>11.789473684210526</v>
      </c>
      <c r="BO81" s="3">
        <f t="shared" ref="BO81" si="877">SUM(BL78:BO78)</f>
        <v>14.210526315789473</v>
      </c>
      <c r="BP81" s="3">
        <f t="shared" ref="BP81" si="878">SUM(BM78:BP78)</f>
        <v>24.94736842105263</v>
      </c>
      <c r="BQ81" s="3">
        <f t="shared" ref="BQ81" si="879">SUM(BN78:BQ78)</f>
        <v>33.05263157894737</v>
      </c>
      <c r="BR81" s="3">
        <f t="shared" ref="BR81" si="880">SUM(BO78:BR78)</f>
        <v>64.78947368421052</v>
      </c>
      <c r="BS81" s="3">
        <f t="shared" ref="BS81" si="881">SUM(BP78:BS78)</f>
        <v>69.368421052631589</v>
      </c>
      <c r="BT81" s="3">
        <f t="shared" ref="BT81" si="882">SUM(BQ78:BT78)</f>
        <v>68.631578947368425</v>
      </c>
      <c r="BU81" s="3">
        <f t="shared" ref="BU81" si="883">SUM(BR78:BU78)</f>
        <v>62</v>
      </c>
      <c r="BV81" s="3">
        <f t="shared" ref="BV81" si="884">SUM(BS78:BV78)</f>
        <v>42.631578947368418</v>
      </c>
      <c r="BW81" s="3">
        <f t="shared" ref="BW81" si="885">SUM(BT78:BW78)</f>
        <v>38.210526315789473</v>
      </c>
      <c r="BX81" s="3">
        <f t="shared" ref="BX81" si="886">SUM(BU78:BX78)</f>
        <v>29.684210526315791</v>
      </c>
      <c r="BY81" s="3">
        <f t="shared" ref="BY81" si="887">SUM(BV78:BY78)</f>
        <v>37.473684210526315</v>
      </c>
      <c r="BZ81" s="3">
        <f t="shared" ref="BZ81" si="888">SUM(BW78:BZ78)</f>
        <v>62.263157894736842</v>
      </c>
      <c r="CA81" s="3">
        <f t="shared" ref="CA81" si="889">SUM(BX78:CA78)</f>
        <v>58.789473684210527</v>
      </c>
      <c r="CB81" s="3">
        <f t="shared" ref="CB81" si="890">SUM(BY78:CB78)</f>
        <v>62.15789473684211</v>
      </c>
      <c r="CC81" s="3">
        <f t="shared" ref="CC81" si="891">SUM(BZ78:CC78)</f>
        <v>65.473684210526315</v>
      </c>
      <c r="CD81" s="3">
        <f t="shared" ref="CD81" si="892">SUM(CA78:CD78)</f>
        <v>43.526315789473685</v>
      </c>
      <c r="CE81" s="3">
        <f t="shared" ref="CE81" si="893">SUM(CB78:CE78)</f>
        <v>50.05263157894737</v>
      </c>
      <c r="CF81" s="3">
        <f t="shared" ref="CF81" si="894">SUM(CC78:CF78)</f>
        <v>46.210526315789465</v>
      </c>
      <c r="CG81" s="3">
        <f t="shared" ref="CG81" si="895">SUM(CD78:CG78)</f>
        <v>35.578947368421048</v>
      </c>
      <c r="CH81" s="3">
        <f t="shared" ref="CH81:CL81" si="896">SUM(CE78:CH78)</f>
        <v>41.89473684210526</v>
      </c>
      <c r="CI81" s="3">
        <f t="shared" si="896"/>
        <v>48.368421052631575</v>
      </c>
      <c r="CJ81" s="3">
        <f t="shared" si="896"/>
        <v>58.368421052631575</v>
      </c>
      <c r="CK81" s="3">
        <f t="shared" si="896"/>
        <v>63.263157894736835</v>
      </c>
      <c r="CL81" s="3">
        <f t="shared" si="896"/>
        <v>61.315789473684205</v>
      </c>
      <c r="CM81" s="37">
        <f t="shared" ref="CM81" si="897">SUM(CJ78:CM78)</f>
        <v>55.221445892507795</v>
      </c>
      <c r="CN81" s="37">
        <f t="shared" ref="CN81" si="898">SUM(CK78:CN78)</f>
        <v>54.472614282148882</v>
      </c>
      <c r="CO81" s="37">
        <f t="shared" ref="CO81" si="899">SUM(CL78:CO78)</f>
        <v>60.029407639592122</v>
      </c>
      <c r="CP81" s="37">
        <f t="shared" ref="CP81" si="900">SUM(CM78:CP78)</f>
        <v>62.27638511713851</v>
      </c>
      <c r="CQ81" s="37">
        <f t="shared" ref="CQ81" si="901">SUM(CN78:CQ78)</f>
        <v>64.882695116711361</v>
      </c>
      <c r="CR81" s="37">
        <f t="shared" ref="CR81" si="902">SUM(CO78:CR78)</f>
        <v>69.191373083144597</v>
      </c>
      <c r="CS81" s="37">
        <f t="shared" ref="CS81" si="903">SUM(CP78:CS78)</f>
        <v>74.295463442584293</v>
      </c>
      <c r="CT81" s="37">
        <f t="shared" ref="CT81" si="904">SUM(CQ78:CT78)</f>
        <v>79.079770114792851</v>
      </c>
      <c r="CU81" s="37">
        <f t="shared" ref="CU81" si="905">SUM(CR78:CU78)</f>
        <v>82.036355292282792</v>
      </c>
      <c r="CV81" s="37">
        <f t="shared" ref="CV81" si="906">SUM(CS78:CV78)</f>
        <v>85.424917588184059</v>
      </c>
      <c r="CW81" s="37">
        <f t="shared" ref="CW81" si="907">SUM(CT78:CW78)</f>
        <v>88.868457805414252</v>
      </c>
      <c r="CX81" s="37">
        <f t="shared" ref="CX81" si="908">SUM(CU78:CX78)</f>
        <v>92.412829216305937</v>
      </c>
      <c r="CY81" s="37">
        <f t="shared" ref="CY81" si="909">SUM(CV78:CY78)</f>
        <v>96.972335734346814</v>
      </c>
      <c r="CZ81" s="37">
        <f t="shared" ref="CZ81" si="910">SUM(CW78:CZ78)</f>
        <v>101.55174560019729</v>
      </c>
      <c r="DA81" s="37">
        <f t="shared" ref="DA81" si="911">SUM(CX78:DA78)</f>
        <v>106.33072642202279</v>
      </c>
      <c r="DB81" s="37">
        <f t="shared" ref="DB81" si="912">SUM(CY78:DB78)</f>
        <v>111.85093244357809</v>
      </c>
      <c r="DE81" s="134"/>
      <c r="DF81" s="3">
        <v>61.315789473684212</v>
      </c>
    </row>
    <row r="82" spans="1:110" s="97" customFormat="1" x14ac:dyDescent="0.2">
      <c r="A82" s="97" t="s">
        <v>425</v>
      </c>
      <c r="C82" s="101" t="e">
        <f t="shared" ref="C82:AA82" si="913">+C81/B81-1</f>
        <v>#DIV/0!</v>
      </c>
      <c r="D82" s="101" t="e">
        <f t="shared" si="913"/>
        <v>#DIV/0!</v>
      </c>
      <c r="E82" s="101" t="e">
        <f t="shared" ca="1" si="913"/>
        <v>#DIV/0!</v>
      </c>
      <c r="F82" s="101" t="e">
        <f t="shared" ca="1" si="913"/>
        <v>#DIV/0!</v>
      </c>
      <c r="G82" s="101" t="e">
        <f t="shared" ca="1" si="913"/>
        <v>#DIV/0!</v>
      </c>
      <c r="H82" s="101" t="e">
        <f t="shared" ca="1" si="913"/>
        <v>#DIV/0!</v>
      </c>
      <c r="I82" s="101" t="e">
        <f t="shared" ca="1" si="913"/>
        <v>#DIV/0!</v>
      </c>
      <c r="J82" s="101" t="e">
        <f t="shared" ca="1" si="913"/>
        <v>#DIV/0!</v>
      </c>
      <c r="K82" s="101" t="e">
        <f t="shared" ca="1" si="913"/>
        <v>#DIV/0!</v>
      </c>
      <c r="L82" s="101" t="e">
        <f t="shared" ca="1" si="913"/>
        <v>#DIV/0!</v>
      </c>
      <c r="M82" s="101" t="e">
        <f t="shared" ca="1" si="913"/>
        <v>#DIV/0!</v>
      </c>
      <c r="N82" s="101" t="e">
        <f t="shared" ca="1" si="913"/>
        <v>#DIV/0!</v>
      </c>
      <c r="O82" s="101" t="e">
        <f t="shared" ca="1" si="913"/>
        <v>#DIV/0!</v>
      </c>
      <c r="P82" s="101" t="e">
        <f t="shared" ca="1" si="913"/>
        <v>#DIV/0!</v>
      </c>
      <c r="Q82" s="101" t="e">
        <f t="shared" ca="1" si="913"/>
        <v>#DIV/0!</v>
      </c>
      <c r="R82" s="101" t="e">
        <f t="shared" ca="1" si="913"/>
        <v>#DIV/0!</v>
      </c>
      <c r="S82" s="101">
        <f t="shared" ca="1" si="913"/>
        <v>5.6363636363636358</v>
      </c>
      <c r="T82" s="101">
        <f t="shared" ca="1" si="913"/>
        <v>5.4794520547945202E-2</v>
      </c>
      <c r="U82" s="101">
        <f t="shared" ca="1" si="913"/>
        <v>-0.27272727272727271</v>
      </c>
      <c r="V82" s="101">
        <f t="shared" ca="1" si="913"/>
        <v>4.3883928571428577</v>
      </c>
      <c r="W82" s="101">
        <f t="shared" ca="1" si="913"/>
        <v>-0.32891466445733231</v>
      </c>
      <c r="X82" s="101">
        <f t="shared" ca="1" si="913"/>
        <v>0.46049382716049392</v>
      </c>
      <c r="Y82" s="101">
        <f t="shared" ca="1" si="913"/>
        <v>-0.30092983939137785</v>
      </c>
      <c r="Z82" s="101">
        <f t="shared" ca="1" si="913"/>
        <v>-3.7484885126965017E-2</v>
      </c>
      <c r="AA82" s="101">
        <f t="shared" ca="1" si="913"/>
        <v>-3.7484885126965017E-2</v>
      </c>
      <c r="AB82" s="174">
        <f t="shared" ref="AB82" ca="1" si="914">+AB81/AA81-1</f>
        <v>1.5666366717280278E-2</v>
      </c>
      <c r="AC82" s="174">
        <f t="shared" ref="AC82" ca="1" si="915">+AC81/AB81-1</f>
        <v>0.26981953056600871</v>
      </c>
      <c r="AD82" s="174">
        <f t="shared" ref="AD82" ca="1" si="916">+AD81/AC81-1</f>
        <v>0.1686026537780605</v>
      </c>
      <c r="AE82" s="174">
        <f t="shared" ref="AE82" ca="1" si="917">+AE81/AD81-1</f>
        <v>0.21033987804630971</v>
      </c>
      <c r="AL82" s="176"/>
      <c r="AM82" s="176"/>
      <c r="AN82" s="176"/>
      <c r="AO82" s="176"/>
      <c r="AP82" s="176" t="e">
        <f t="shared" ref="AP82:CL82" si="918">+IF(AL81&lt;0,1-AP81/AL81,AP81/AL81-1)</f>
        <v>#DIV/0!</v>
      </c>
      <c r="AQ82" s="176" t="e">
        <f t="shared" si="918"/>
        <v>#DIV/0!</v>
      </c>
      <c r="AR82" s="176" t="e">
        <f t="shared" si="918"/>
        <v>#DIV/0!</v>
      </c>
      <c r="AS82" s="176" t="e">
        <f t="shared" si="918"/>
        <v>#DIV/0!</v>
      </c>
      <c r="AT82" s="176" t="e">
        <f t="shared" si="918"/>
        <v>#DIV/0!</v>
      </c>
      <c r="AU82" s="176" t="e">
        <f t="shared" si="918"/>
        <v>#DIV/0!</v>
      </c>
      <c r="AV82" s="176" t="e">
        <f t="shared" si="918"/>
        <v>#DIV/0!</v>
      </c>
      <c r="AW82" s="176" t="e">
        <f t="shared" si="918"/>
        <v>#DIV/0!</v>
      </c>
      <c r="AX82" s="176" t="e">
        <f t="shared" si="918"/>
        <v>#DIV/0!</v>
      </c>
      <c r="AY82" s="176" t="e">
        <f t="shared" si="918"/>
        <v>#DIV/0!</v>
      </c>
      <c r="AZ82" s="176" t="e">
        <f t="shared" si="918"/>
        <v>#DIV/0!</v>
      </c>
      <c r="BA82" s="176" t="e">
        <f t="shared" si="918"/>
        <v>#DIV/0!</v>
      </c>
      <c r="BB82" s="176" t="e">
        <f t="shared" si="918"/>
        <v>#DIV/0!</v>
      </c>
      <c r="BC82" s="176" t="e">
        <f t="shared" si="918"/>
        <v>#DIV/0!</v>
      </c>
      <c r="BD82" s="176" t="e">
        <f t="shared" si="918"/>
        <v>#DIV/0!</v>
      </c>
      <c r="BE82" s="176" t="e">
        <f t="shared" si="918"/>
        <v>#DIV/0!</v>
      </c>
      <c r="BF82" s="176" t="e">
        <f t="shared" si="918"/>
        <v>#DIV/0!</v>
      </c>
      <c r="BG82" s="176" t="e">
        <f t="shared" si="918"/>
        <v>#DIV/0!</v>
      </c>
      <c r="BH82" s="176" t="e">
        <f t="shared" si="918"/>
        <v>#DIV/0!</v>
      </c>
      <c r="BI82" s="176">
        <f t="shared" si="918"/>
        <v>2.924528301886792</v>
      </c>
      <c r="BJ82" s="176">
        <f t="shared" si="918"/>
        <v>0.70165745856353601</v>
      </c>
      <c r="BK82" s="176">
        <f t="shared" si="918"/>
        <v>0.71794871794871806</v>
      </c>
      <c r="BL82" s="176">
        <f t="shared" si="918"/>
        <v>0.84549356223175987</v>
      </c>
      <c r="BM82" s="176">
        <f t="shared" si="918"/>
        <v>1.0480769230769234</v>
      </c>
      <c r="BN82" s="176">
        <f t="shared" si="918"/>
        <v>-0.27272727272727271</v>
      </c>
      <c r="BO82" s="176">
        <f t="shared" si="918"/>
        <v>-0.32835820895522383</v>
      </c>
      <c r="BP82" s="176">
        <f t="shared" si="918"/>
        <v>0.10232558139534875</v>
      </c>
      <c r="BQ82" s="176">
        <f t="shared" si="918"/>
        <v>0.4741784037558685</v>
      </c>
      <c r="BR82" s="176">
        <f t="shared" si="918"/>
        <v>4.4955357142857144</v>
      </c>
      <c r="BS82" s="176">
        <f t="shared" si="918"/>
        <v>3.8814814814814822</v>
      </c>
      <c r="BT82" s="176">
        <f t="shared" si="918"/>
        <v>1.7510548523206753</v>
      </c>
      <c r="BU82" s="176">
        <f t="shared" si="918"/>
        <v>0.87579617834394896</v>
      </c>
      <c r="BV82" s="176">
        <f t="shared" si="918"/>
        <v>-0.3419983753046304</v>
      </c>
      <c r="BW82" s="176">
        <f t="shared" si="918"/>
        <v>-0.44916540212443101</v>
      </c>
      <c r="BX82" s="176">
        <f t="shared" si="918"/>
        <v>-0.56748466257668717</v>
      </c>
      <c r="BY82" s="176">
        <f t="shared" si="918"/>
        <v>-0.39558573853989809</v>
      </c>
      <c r="BZ82" s="176">
        <f t="shared" si="918"/>
        <v>0.46049382716049392</v>
      </c>
      <c r="CA82" s="176">
        <f t="shared" si="918"/>
        <v>0.53856749311294783</v>
      </c>
      <c r="CB82" s="176">
        <f t="shared" si="918"/>
        <v>1.0939716312056738</v>
      </c>
      <c r="CC82" s="176">
        <f t="shared" si="918"/>
        <v>0.74719101123595499</v>
      </c>
      <c r="CD82" s="176">
        <f t="shared" si="918"/>
        <v>-0.30092983939137785</v>
      </c>
      <c r="CE82" s="176">
        <f t="shared" si="918"/>
        <v>-0.14861235452103849</v>
      </c>
      <c r="CF82" s="176">
        <f t="shared" si="918"/>
        <v>-0.25656223539373435</v>
      </c>
      <c r="CG82" s="176">
        <f t="shared" si="918"/>
        <v>-0.45659163987138274</v>
      </c>
      <c r="CH82" s="176">
        <f t="shared" si="918"/>
        <v>-3.7484885126965017E-2</v>
      </c>
      <c r="CI82" s="176">
        <f t="shared" si="918"/>
        <v>-3.3648790746582669E-2</v>
      </c>
      <c r="CJ82" s="176">
        <f t="shared" si="918"/>
        <v>0.26309794988610502</v>
      </c>
      <c r="CK82" s="176">
        <f t="shared" si="918"/>
        <v>0.77810650887573973</v>
      </c>
      <c r="CL82" s="176">
        <f t="shared" si="918"/>
        <v>0.46356783919597988</v>
      </c>
      <c r="CM82" s="102">
        <f t="shared" ref="CM82:DB82" si="919">+IF(CI81&lt;0,1-CM81/CI81,CM81/CI81-1)</f>
        <v>0.14168386502464436</v>
      </c>
      <c r="CN82" s="102">
        <f t="shared" si="919"/>
        <v>-6.6745111487079511E-2</v>
      </c>
      <c r="CO82" s="102">
        <f t="shared" si="919"/>
        <v>-5.111585261876006E-2</v>
      </c>
      <c r="CP82" s="102">
        <f t="shared" si="919"/>
        <v>1.56663667172805E-2</v>
      </c>
      <c r="CQ82" s="102">
        <f t="shared" si="919"/>
        <v>0.17495465879343008</v>
      </c>
      <c r="CR82" s="102">
        <f t="shared" si="919"/>
        <v>0.27020474407117212</v>
      </c>
      <c r="CS82" s="102">
        <f t="shared" si="919"/>
        <v>0.23765111740971201</v>
      </c>
      <c r="CT82" s="102">
        <f t="shared" si="919"/>
        <v>0.2698195305660096</v>
      </c>
      <c r="CU82" s="102">
        <f t="shared" si="919"/>
        <v>0.26437958757285474</v>
      </c>
      <c r="CV82" s="102">
        <f t="shared" si="919"/>
        <v>0.23461804241884665</v>
      </c>
      <c r="CW82" s="102">
        <f t="shared" si="919"/>
        <v>0.1961491817611718</v>
      </c>
      <c r="CX82" s="102">
        <f t="shared" si="919"/>
        <v>0.16860265377806116</v>
      </c>
      <c r="CY82" s="102">
        <f t="shared" si="919"/>
        <v>0.18206538294941854</v>
      </c>
      <c r="CZ82" s="102">
        <f t="shared" si="919"/>
        <v>0.18878365314623258</v>
      </c>
      <c r="DA82" s="102">
        <f t="shared" si="919"/>
        <v>0.19649568640927462</v>
      </c>
      <c r="DB82" s="102">
        <f t="shared" si="919"/>
        <v>0.21033987804630883</v>
      </c>
      <c r="DE82" s="135"/>
      <c r="DF82" s="97">
        <v>0.4635678391959801</v>
      </c>
    </row>
    <row r="83" spans="1:110" s="144" customFormat="1" x14ac:dyDescent="0.2">
      <c r="A83" s="144" t="s">
        <v>424</v>
      </c>
      <c r="AB83" s="145"/>
      <c r="AC83" s="145"/>
      <c r="AD83" s="145"/>
      <c r="AE83" s="145"/>
      <c r="CM83" s="145"/>
      <c r="CN83" s="145"/>
      <c r="CO83" s="145"/>
      <c r="CP83" s="145">
        <v>60.8</v>
      </c>
      <c r="CQ83" s="145"/>
      <c r="CR83" s="145"/>
      <c r="CS83" s="145"/>
      <c r="CT83" s="145">
        <v>75.3</v>
      </c>
      <c r="CU83" s="145"/>
      <c r="CV83" s="145"/>
      <c r="CW83" s="145"/>
      <c r="CX83" s="145">
        <v>88.3</v>
      </c>
      <c r="CY83" s="145"/>
      <c r="CZ83" s="145"/>
      <c r="DA83" s="145"/>
      <c r="DB83" s="145"/>
      <c r="DE83" s="146"/>
    </row>
    <row r="84" spans="1:110" s="144" customFormat="1" x14ac:dyDescent="0.2">
      <c r="A84" s="144" t="s">
        <v>436</v>
      </c>
      <c r="AB84" s="145"/>
      <c r="AC84" s="145"/>
      <c r="AD84" s="145"/>
      <c r="AE84" s="145"/>
      <c r="CM84" s="145"/>
      <c r="CN84" s="145"/>
      <c r="CO84" s="145"/>
      <c r="CP84" s="145">
        <f>+CP81/CP83-1</f>
        <v>2.4282649952936053E-2</v>
      </c>
      <c r="CQ84" s="145"/>
      <c r="CR84" s="145"/>
      <c r="CS84" s="145"/>
      <c r="CT84" s="145">
        <f>+CT81/CT83-1</f>
        <v>5.0196150262853401E-2</v>
      </c>
      <c r="CU84" s="145"/>
      <c r="CV84" s="145"/>
      <c r="CW84" s="145"/>
      <c r="CX84" s="145">
        <f>+CX81/CX83-1</f>
        <v>4.657790731943301E-2</v>
      </c>
      <c r="CY84" s="145"/>
      <c r="CZ84" s="145"/>
      <c r="DA84" s="145"/>
      <c r="DB84" s="145"/>
      <c r="DE84" s="146"/>
    </row>
    <row r="85" spans="1:110" s="3" customFormat="1" x14ac:dyDescent="0.2">
      <c r="A85" s="3" t="s">
        <v>34</v>
      </c>
      <c r="B85" s="3">
        <f>'Annual Raw'!C112</f>
        <v>0</v>
      </c>
      <c r="C85" s="3">
        <f>'Annual Raw'!D112</f>
        <v>0</v>
      </c>
      <c r="D85" s="3">
        <f>'Annual Raw'!E112</f>
        <v>0</v>
      </c>
      <c r="E85" s="3">
        <f>'Annual Raw'!F112</f>
        <v>0</v>
      </c>
      <c r="F85" s="3">
        <f>'Annual Raw'!G112</f>
        <v>0</v>
      </c>
      <c r="G85" s="3">
        <f>'Annual Raw'!H112</f>
        <v>0</v>
      </c>
      <c r="H85" s="3">
        <f>'Annual Raw'!I112</f>
        <v>0</v>
      </c>
      <c r="I85" s="3">
        <f>'Annual Raw'!J112</f>
        <v>0</v>
      </c>
      <c r="J85" s="3">
        <f>'Annual Raw'!K112</f>
        <v>0</v>
      </c>
      <c r="K85" s="3">
        <f>'Annual Raw'!L112</f>
        <v>0</v>
      </c>
      <c r="L85" s="3">
        <f>'Annual Raw'!M112</f>
        <v>0</v>
      </c>
      <c r="M85" s="3">
        <f>'Annual Raw'!N112</f>
        <v>0</v>
      </c>
      <c r="N85" s="3">
        <f>'Annual Raw'!O112</f>
        <v>0</v>
      </c>
      <c r="O85" s="3">
        <f>'Annual Raw'!P112</f>
        <v>0</v>
      </c>
      <c r="P85" s="3">
        <f>'Annual Raw'!Q112</f>
        <v>0</v>
      </c>
      <c r="Q85" s="3">
        <f>'Annual Raw'!R112</f>
        <v>0</v>
      </c>
      <c r="R85" s="3">
        <f>'Annual Raw'!S112</f>
        <v>0</v>
      </c>
      <c r="S85" s="3">
        <f>'Annual Raw'!T112</f>
        <v>0</v>
      </c>
      <c r="T85" s="3">
        <f>'Annual Raw'!U112</f>
        <v>54.26</v>
      </c>
      <c r="U85" s="3">
        <f>'Annual Raw'!V112</f>
        <v>54.28</v>
      </c>
      <c r="V85" s="3">
        <f>'Annual Raw'!W112</f>
        <v>55.97</v>
      </c>
      <c r="W85" s="3">
        <f>'Annual Raw'!X112</f>
        <v>55.9</v>
      </c>
      <c r="X85" s="3">
        <f>'Annual Raw'!Y112</f>
        <v>55.86</v>
      </c>
      <c r="Y85" s="3">
        <f>'Annual Raw'!Z112</f>
        <v>55.84</v>
      </c>
      <c r="Z85" s="3">
        <f>'Annual Raw'!AA112</f>
        <v>55.84</v>
      </c>
      <c r="AA85" s="3">
        <f>'Annual Raw'!AB112</f>
        <v>55.84</v>
      </c>
      <c r="AB85" s="37"/>
      <c r="AC85" s="37"/>
      <c r="AD85" s="37"/>
      <c r="AE85" s="37"/>
      <c r="AI85" s="3">
        <f>'QTR Raw'!C49</f>
        <v>0</v>
      </c>
      <c r="AJ85" s="3">
        <f>'QTR Raw'!D49</f>
        <v>0</v>
      </c>
      <c r="AK85" s="3">
        <f>'QTR Raw'!E49</f>
        <v>0</v>
      </c>
      <c r="AL85" s="3">
        <f>'QTR Raw'!F49</f>
        <v>0</v>
      </c>
      <c r="AM85" s="3">
        <f>'QTR Raw'!G49</f>
        <v>0</v>
      </c>
      <c r="AN85" s="3">
        <f>'QTR Raw'!H49</f>
        <v>0</v>
      </c>
      <c r="AO85" s="3">
        <f>'QTR Raw'!I49</f>
        <v>0</v>
      </c>
      <c r="AP85" s="3">
        <f>'QTR Raw'!J49</f>
        <v>0</v>
      </c>
      <c r="AQ85" s="3">
        <f>'QTR Raw'!K49</f>
        <v>0</v>
      </c>
      <c r="AR85" s="3">
        <f>'QTR Raw'!L49</f>
        <v>0</v>
      </c>
      <c r="AS85" s="3">
        <f>'QTR Raw'!M49</f>
        <v>0</v>
      </c>
      <c r="AT85" s="3">
        <f>'QTR Raw'!N49</f>
        <v>0</v>
      </c>
      <c r="AU85" s="3">
        <f>'QTR Raw'!O49</f>
        <v>0</v>
      </c>
      <c r="AV85" s="3">
        <f>'QTR Raw'!P49</f>
        <v>0</v>
      </c>
      <c r="AW85" s="3">
        <f>'QTR Raw'!Q49</f>
        <v>0</v>
      </c>
      <c r="AX85" s="3">
        <f>'QTR Raw'!R49</f>
        <v>0</v>
      </c>
      <c r="AY85" s="3">
        <f>'QTR Raw'!S49</f>
        <v>0</v>
      </c>
      <c r="AZ85" s="3">
        <f>'QTR Raw'!T49</f>
        <v>0</v>
      </c>
      <c r="BA85" s="3">
        <f>'QTR Raw'!U49</f>
        <v>0</v>
      </c>
      <c r="BB85" s="3">
        <f>'QTR Raw'!V49</f>
        <v>0</v>
      </c>
      <c r="BC85" s="3">
        <f>'QTR Raw'!W49</f>
        <v>0</v>
      </c>
      <c r="BD85" s="3">
        <f>'QTR Raw'!X49</f>
        <v>0</v>
      </c>
      <c r="BE85" s="3">
        <f>'QTR Raw'!Y49</f>
        <v>0</v>
      </c>
      <c r="BF85" s="3">
        <f>'QTR Raw'!Z49</f>
        <v>0</v>
      </c>
      <c r="BG85" s="3">
        <f>'QTR Raw'!AA49</f>
        <v>0</v>
      </c>
      <c r="BH85" s="3">
        <f>'QTR Raw'!AB49</f>
        <v>0</v>
      </c>
      <c r="BI85" s="3">
        <f>'QTR Raw'!AC49</f>
        <v>74.89</v>
      </c>
      <c r="BJ85" s="3">
        <f>'QTR Raw'!AD49</f>
        <v>54.26</v>
      </c>
      <c r="BK85" s="3">
        <f>'QTR Raw'!AE49</f>
        <v>54.26</v>
      </c>
      <c r="BL85" s="3">
        <f>'QTR Raw'!AF49</f>
        <v>54.26</v>
      </c>
      <c r="BM85" s="3">
        <f>'QTR Raw'!AG49</f>
        <v>54.26</v>
      </c>
      <c r="BN85" s="3">
        <f>'QTR Raw'!AH49</f>
        <v>54.28</v>
      </c>
      <c r="BO85" s="3">
        <f>'QTR Raw'!AI49</f>
        <v>55.81</v>
      </c>
      <c r="BP85" s="3">
        <f>'QTR Raw'!AJ49</f>
        <v>56.07</v>
      </c>
      <c r="BQ85" s="3">
        <f>'QTR Raw'!AK49</f>
        <v>56.07</v>
      </c>
      <c r="BR85" s="3">
        <f>'QTR Raw'!AL49</f>
        <v>55.97</v>
      </c>
      <c r="BS85" s="3">
        <f>'QTR Raw'!AM49</f>
        <v>55.97</v>
      </c>
      <c r="BT85" s="3">
        <f>'QTR Raw'!AN49</f>
        <v>55.97</v>
      </c>
      <c r="BU85" s="3">
        <f>'QTR Raw'!AO49</f>
        <v>55.97</v>
      </c>
      <c r="BV85" s="3">
        <f>'QTR Raw'!AP49</f>
        <v>55.9</v>
      </c>
      <c r="BW85" s="3">
        <f>'QTR Raw'!AQ49</f>
        <v>55.9</v>
      </c>
      <c r="BX85" s="3">
        <f>'QTR Raw'!AR49</f>
        <v>55.87</v>
      </c>
      <c r="BY85" s="3">
        <f>'QTR Raw'!AS49</f>
        <v>55.86</v>
      </c>
      <c r="BZ85" s="3">
        <f>'QTR Raw'!AT49</f>
        <v>55.86</v>
      </c>
      <c r="CA85" s="3">
        <f>'QTR Raw'!AU49</f>
        <v>55.86</v>
      </c>
      <c r="CB85" s="3">
        <f>'QTR Raw'!AV49</f>
        <v>55.85</v>
      </c>
      <c r="CC85" s="3">
        <f>'QTR Raw'!AW49</f>
        <v>55.84</v>
      </c>
      <c r="CD85" s="3">
        <f>'QTR Raw'!AX49</f>
        <v>55.84</v>
      </c>
      <c r="CE85" s="3">
        <f>'QTR Raw'!AY49</f>
        <v>55.84</v>
      </c>
      <c r="CF85" s="3">
        <f>'QTR Raw'!AZ49</f>
        <v>55.84</v>
      </c>
      <c r="CG85" s="3">
        <f>'QTR Raw'!BA49</f>
        <v>55.84</v>
      </c>
      <c r="CH85" s="3">
        <f>'QTR Raw'!BB49</f>
        <v>55.84</v>
      </c>
      <c r="CI85" s="3">
        <f>'QTR Raw'!BC49</f>
        <v>55.84</v>
      </c>
      <c r="CJ85" s="3">
        <f>'QTR Raw'!BD49</f>
        <v>55.84</v>
      </c>
      <c r="CK85" s="3">
        <f>'QTR Raw'!BE49</f>
        <v>55.84</v>
      </c>
      <c r="CL85" s="3">
        <f>'QTR Raw'!BF49</f>
        <v>55.84</v>
      </c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  <c r="DF85" s="3">
        <v>0</v>
      </c>
    </row>
    <row r="86" spans="1:110" s="3" customFormat="1" x14ac:dyDescent="0.2">
      <c r="A86" s="3" t="s">
        <v>35</v>
      </c>
      <c r="B86" s="3">
        <f>'Annual Raw'!C113</f>
        <v>0</v>
      </c>
      <c r="C86" s="3">
        <f>'Annual Raw'!D113</f>
        <v>0</v>
      </c>
      <c r="D86" s="3">
        <f>'Annual Raw'!E113</f>
        <v>0</v>
      </c>
      <c r="E86" s="3">
        <f>'Annual Raw'!F113</f>
        <v>0</v>
      </c>
      <c r="F86" s="3">
        <f>'Annual Raw'!G113</f>
        <v>0</v>
      </c>
      <c r="G86" s="3">
        <f>'Annual Raw'!H113</f>
        <v>0</v>
      </c>
      <c r="H86" s="3">
        <f>'Annual Raw'!I113</f>
        <v>0</v>
      </c>
      <c r="I86" s="3">
        <f>'Annual Raw'!J113</f>
        <v>0</v>
      </c>
      <c r="J86" s="3">
        <f>'Annual Raw'!K113</f>
        <v>0</v>
      </c>
      <c r="K86" s="3">
        <f>'Annual Raw'!L113</f>
        <v>0</v>
      </c>
      <c r="L86" s="3">
        <f>'Annual Raw'!M113</f>
        <v>0</v>
      </c>
      <c r="M86" s="3">
        <f>'Annual Raw'!N113</f>
        <v>0</v>
      </c>
      <c r="N86" s="3">
        <f>'Annual Raw'!O113</f>
        <v>0</v>
      </c>
      <c r="O86" s="3">
        <f>'Annual Raw'!P113</f>
        <v>0</v>
      </c>
      <c r="P86" s="3">
        <f>'Annual Raw'!Q113</f>
        <v>0</v>
      </c>
      <c r="Q86" s="3">
        <f>'Annual Raw'!R113</f>
        <v>0</v>
      </c>
      <c r="R86" s="3">
        <f>'Annual Raw'!S113</f>
        <v>0</v>
      </c>
      <c r="S86" s="3">
        <f>'Annual Raw'!T113</f>
        <v>0</v>
      </c>
      <c r="T86" s="3">
        <f>'Annual Raw'!U113</f>
        <v>0</v>
      </c>
      <c r="U86" s="3">
        <f>'Annual Raw'!V113</f>
        <v>0</v>
      </c>
      <c r="V86" s="3">
        <f>'Annual Raw'!W113</f>
        <v>0</v>
      </c>
      <c r="W86" s="3">
        <f>'Annual Raw'!X113</f>
        <v>0</v>
      </c>
      <c r="X86" s="3">
        <f>'Annual Raw'!Y113</f>
        <v>0</v>
      </c>
      <c r="Y86" s="3">
        <f>'Annual Raw'!Z113</f>
        <v>0</v>
      </c>
      <c r="Z86" s="3">
        <f>'Annual Raw'!AA113</f>
        <v>0</v>
      </c>
      <c r="AA86" s="3">
        <f>'Annual Raw'!AB113</f>
        <v>0</v>
      </c>
      <c r="AB86" s="37"/>
      <c r="AC86" s="37"/>
      <c r="AD86" s="37"/>
      <c r="AE86" s="37"/>
      <c r="AI86" s="3">
        <f>'QTR Raw'!C50</f>
        <v>0</v>
      </c>
      <c r="AJ86" s="3">
        <f>'QTR Raw'!D50</f>
        <v>0</v>
      </c>
      <c r="AK86" s="3">
        <f>'QTR Raw'!E50</f>
        <v>0</v>
      </c>
      <c r="AL86" s="3">
        <f>'QTR Raw'!F50</f>
        <v>0</v>
      </c>
      <c r="AM86" s="3">
        <f>'QTR Raw'!G50</f>
        <v>0</v>
      </c>
      <c r="AN86" s="3">
        <f>'QTR Raw'!H50</f>
        <v>0</v>
      </c>
      <c r="AO86" s="3">
        <f>'QTR Raw'!I50</f>
        <v>0</v>
      </c>
      <c r="AP86" s="3">
        <f>'QTR Raw'!J50</f>
        <v>0</v>
      </c>
      <c r="AQ86" s="3">
        <f>'QTR Raw'!K50</f>
        <v>0</v>
      </c>
      <c r="AR86" s="3">
        <f>'QTR Raw'!L50</f>
        <v>0</v>
      </c>
      <c r="AS86" s="3">
        <f>'QTR Raw'!M50</f>
        <v>0</v>
      </c>
      <c r="AT86" s="3">
        <f>'QTR Raw'!N50</f>
        <v>0</v>
      </c>
      <c r="AU86" s="3">
        <f>'QTR Raw'!O50</f>
        <v>0</v>
      </c>
      <c r="AV86" s="3">
        <f>'QTR Raw'!P50</f>
        <v>0</v>
      </c>
      <c r="AW86" s="3">
        <f>'QTR Raw'!Q50</f>
        <v>0</v>
      </c>
      <c r="AX86" s="3">
        <f>'QTR Raw'!R50</f>
        <v>0</v>
      </c>
      <c r="AY86" s="3">
        <f>'QTR Raw'!S50</f>
        <v>0</v>
      </c>
      <c r="AZ86" s="3">
        <f>'QTR Raw'!T50</f>
        <v>0</v>
      </c>
      <c r="BA86" s="3">
        <f>'QTR Raw'!U50</f>
        <v>0</v>
      </c>
      <c r="BB86" s="3">
        <f>'QTR Raw'!V50</f>
        <v>0</v>
      </c>
      <c r="BC86" s="3">
        <f>'QTR Raw'!W50</f>
        <v>0</v>
      </c>
      <c r="BD86" s="3">
        <f>'QTR Raw'!X50</f>
        <v>0</v>
      </c>
      <c r="BE86" s="3">
        <f>'QTR Raw'!Y50</f>
        <v>0</v>
      </c>
      <c r="BF86" s="3">
        <f>'QTR Raw'!Z50</f>
        <v>0</v>
      </c>
      <c r="BG86" s="3">
        <f>'QTR Raw'!AA50</f>
        <v>0</v>
      </c>
      <c r="BH86" s="3">
        <f>'QTR Raw'!AB50</f>
        <v>0</v>
      </c>
      <c r="BI86" s="3">
        <f>'QTR Raw'!AC50</f>
        <v>68.099999999999994</v>
      </c>
      <c r="BJ86" s="3">
        <f>'QTR Raw'!AD50</f>
        <v>0</v>
      </c>
      <c r="BK86" s="3">
        <f>'QTR Raw'!AE50</f>
        <v>0</v>
      </c>
      <c r="BL86" s="3">
        <f>'QTR Raw'!AF50</f>
        <v>0</v>
      </c>
      <c r="BM86" s="3">
        <f>'QTR Raw'!AG50</f>
        <v>0</v>
      </c>
      <c r="BN86" s="3">
        <f>'QTR Raw'!AH50</f>
        <v>0</v>
      </c>
      <c r="BO86" s="3">
        <f>'QTR Raw'!AI50</f>
        <v>0</v>
      </c>
      <c r="BP86" s="3">
        <f>'QTR Raw'!AJ50</f>
        <v>0</v>
      </c>
      <c r="BQ86" s="3">
        <f>'QTR Raw'!AK50</f>
        <v>0</v>
      </c>
      <c r="BR86" s="3">
        <f>'QTR Raw'!AL50</f>
        <v>0</v>
      </c>
      <c r="BS86" s="3">
        <f>'QTR Raw'!AM50</f>
        <v>0</v>
      </c>
      <c r="BT86" s="3">
        <f>'QTR Raw'!AN50</f>
        <v>0</v>
      </c>
      <c r="BU86" s="3">
        <f>'QTR Raw'!AO50</f>
        <v>0</v>
      </c>
      <c r="BV86" s="3">
        <f>'QTR Raw'!AP50</f>
        <v>0</v>
      </c>
      <c r="BW86" s="3">
        <f>'QTR Raw'!AQ50</f>
        <v>0</v>
      </c>
      <c r="BX86" s="3">
        <f>'QTR Raw'!AR50</f>
        <v>0</v>
      </c>
      <c r="BY86" s="3">
        <f>'QTR Raw'!AS50</f>
        <v>0</v>
      </c>
      <c r="BZ86" s="3">
        <f>'QTR Raw'!AT50</f>
        <v>0</v>
      </c>
      <c r="CA86" s="3">
        <f>'QTR Raw'!AU50</f>
        <v>0</v>
      </c>
      <c r="CB86" s="3">
        <f>'QTR Raw'!AV50</f>
        <v>0</v>
      </c>
      <c r="CC86" s="3">
        <f>'QTR Raw'!AW50</f>
        <v>0</v>
      </c>
      <c r="CD86" s="3">
        <f>'QTR Raw'!AX50</f>
        <v>0</v>
      </c>
      <c r="CE86" s="3">
        <f>'QTR Raw'!AY50</f>
        <v>0</v>
      </c>
      <c r="CF86" s="3">
        <f>'QTR Raw'!AZ50</f>
        <v>0</v>
      </c>
      <c r="CG86" s="3">
        <f>'QTR Raw'!BA50</f>
        <v>0</v>
      </c>
      <c r="CH86" s="3">
        <f>'QTR Raw'!BB50</f>
        <v>0</v>
      </c>
      <c r="CI86" s="3">
        <f>'QTR Raw'!BC50</f>
        <v>0</v>
      </c>
      <c r="CJ86" s="3">
        <f>'QTR Raw'!BD50</f>
        <v>0</v>
      </c>
      <c r="CK86" s="3">
        <f>'QTR Raw'!BE50</f>
        <v>0</v>
      </c>
      <c r="CL86" s="3">
        <f>'QTR Raw'!BF50</f>
        <v>0</v>
      </c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  <c r="DF86" s="3">
        <v>0</v>
      </c>
    </row>
    <row r="87" spans="1:110" s="3" customFormat="1" x14ac:dyDescent="0.2"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13" customFormat="1" x14ac:dyDescent="0.2">
      <c r="A88" s="13" t="s">
        <v>36</v>
      </c>
      <c r="AB88" s="37"/>
      <c r="AC88" s="37"/>
      <c r="AD88" s="37"/>
      <c r="AE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13" customFormat="1" x14ac:dyDescent="0.2">
      <c r="A89" s="13" t="s">
        <v>457</v>
      </c>
      <c r="B89" s="13">
        <f>'Annual Raw'!C106</f>
        <v>0</v>
      </c>
      <c r="C89" s="13">
        <f>'Annual Raw'!D106</f>
        <v>0</v>
      </c>
      <c r="D89" s="13">
        <f>'Annual Raw'!E106</f>
        <v>0</v>
      </c>
      <c r="E89" s="13">
        <f>'Annual Raw'!F106</f>
        <v>0</v>
      </c>
      <c r="F89" s="13">
        <f>'Annual Raw'!G106</f>
        <v>0</v>
      </c>
      <c r="G89" s="13">
        <f>'Annual Raw'!H106</f>
        <v>0</v>
      </c>
      <c r="H89" s="13">
        <f>'Annual Raw'!I106</f>
        <v>0</v>
      </c>
      <c r="I89" s="13">
        <f>'Annual Raw'!J106</f>
        <v>0</v>
      </c>
      <c r="J89" s="13">
        <f>'Annual Raw'!K106</f>
        <v>0</v>
      </c>
      <c r="K89" s="13">
        <f>'Annual Raw'!L106</f>
        <v>0</v>
      </c>
      <c r="L89" s="13">
        <f>'Annual Raw'!M106</f>
        <v>0</v>
      </c>
      <c r="M89" s="13">
        <f>'Annual Raw'!N106</f>
        <v>0</v>
      </c>
      <c r="N89" s="13">
        <f>'Annual Raw'!O106</f>
        <v>0</v>
      </c>
      <c r="O89" s="13">
        <f>'Annual Raw'!P106</f>
        <v>0</v>
      </c>
      <c r="P89" s="13">
        <f>'Annual Raw'!Q106</f>
        <v>0</v>
      </c>
      <c r="Q89" s="13">
        <f>'Annual Raw'!R106</f>
        <v>0</v>
      </c>
      <c r="R89" s="13">
        <f>'Annual Raw'!S106</f>
        <v>0</v>
      </c>
      <c r="S89" s="13">
        <f>'Annual Raw'!T106</f>
        <v>0</v>
      </c>
      <c r="T89" s="13">
        <f>'Annual Raw'!U106</f>
        <v>989.85</v>
      </c>
      <c r="U89" s="13">
        <f>'Annual Raw'!V106</f>
        <v>489</v>
      </c>
      <c r="V89" s="13">
        <f>'Annual Raw'!W106</f>
        <v>1587.05</v>
      </c>
      <c r="W89" s="13">
        <f>'Annual Raw'!X106</f>
        <v>1494.7</v>
      </c>
      <c r="X89" s="13">
        <f>'Annual Raw'!Y106</f>
        <v>1963.85</v>
      </c>
      <c r="Y89" s="13">
        <f>'Annual Raw'!Z106</f>
        <v>1942.2</v>
      </c>
      <c r="Z89" s="13">
        <f>'Annual Raw'!AA106</f>
        <v>1819.45</v>
      </c>
      <c r="AA89" s="13">
        <f>'Annual Raw'!AB106</f>
        <v>1775.95</v>
      </c>
      <c r="AB89" s="37">
        <f>+CP89</f>
        <v>1696</v>
      </c>
      <c r="AC89" s="37">
        <f>+CT89</f>
        <v>1696</v>
      </c>
      <c r="AD89" s="37">
        <f>+CX89</f>
        <v>1696</v>
      </c>
      <c r="AE89" s="37">
        <f>+DB89</f>
        <v>1696</v>
      </c>
      <c r="AJ89" s="13">
        <f>'QTR Share Price'!HP21</f>
        <v>0</v>
      </c>
      <c r="AK89" s="13">
        <f>'QTR Share Price'!HQ21</f>
        <v>0</v>
      </c>
      <c r="AL89" s="13">
        <f>'QTR Share Price'!HR21</f>
        <v>0</v>
      </c>
      <c r="AM89" s="13">
        <f>'QTR Share Price'!HS21</f>
        <v>0</v>
      </c>
      <c r="AN89" s="13">
        <f>'QTR Share Price'!HT21</f>
        <v>0</v>
      </c>
      <c r="AO89" s="13">
        <f>'QTR Share Price'!HU21</f>
        <v>0</v>
      </c>
      <c r="AP89" s="13">
        <f>'QTR Share Price'!HV21</f>
        <v>0</v>
      </c>
      <c r="AQ89" s="13">
        <f>'QTR Share Price'!HW21</f>
        <v>0</v>
      </c>
      <c r="AR89" s="13">
        <f>'QTR Share Price'!HX21</f>
        <v>0</v>
      </c>
      <c r="AS89" s="13">
        <f>'QTR Share Price'!HY21</f>
        <v>0</v>
      </c>
      <c r="AT89" s="13">
        <f>'QTR Share Price'!HZ21</f>
        <v>0</v>
      </c>
      <c r="AU89" s="13">
        <f>'QTR Share Price'!IA21</f>
        <v>0</v>
      </c>
      <c r="AV89" s="13">
        <f>'QTR Share Price'!IB21</f>
        <v>0</v>
      </c>
      <c r="AW89" s="13">
        <f>'QTR Share Price'!IC21</f>
        <v>0</v>
      </c>
      <c r="AX89" s="13">
        <f>'QTR Share Price'!ID21</f>
        <v>0</v>
      </c>
      <c r="AY89" s="13">
        <f>'QTR Share Price'!IE21</f>
        <v>0</v>
      </c>
      <c r="AZ89" s="13">
        <f>'QTR Share Price'!IF21</f>
        <v>0</v>
      </c>
      <c r="BA89" s="13">
        <f>'QTR Share Price'!IG21</f>
        <v>0</v>
      </c>
      <c r="BB89" s="13">
        <f>'QTR Share Price'!IH21</f>
        <v>0</v>
      </c>
      <c r="BC89" s="13">
        <f>'QTR Share Price'!II21</f>
        <v>0</v>
      </c>
      <c r="BD89" s="13">
        <f>'QTR Share Price'!IJ21</f>
        <v>0</v>
      </c>
      <c r="BE89" s="13">
        <f>'QTR Share Price'!IK21</f>
        <v>0</v>
      </c>
      <c r="BF89" s="13">
        <f>'QTR Share Price'!IL21</f>
        <v>0</v>
      </c>
      <c r="BG89" s="13">
        <f>'QTR Share Price'!IM21</f>
        <v>0</v>
      </c>
      <c r="BH89" s="13">
        <f>'QTR Share Price'!IN21</f>
        <v>0</v>
      </c>
      <c r="BI89" s="13">
        <f>'QTR Share Price'!IO21</f>
        <v>1099</v>
      </c>
      <c r="BJ89" s="13">
        <f>'QTR Share Price'!IP21</f>
        <v>989.85</v>
      </c>
      <c r="BK89" s="13">
        <f>'QTR Share Price'!IQ21</f>
        <v>1047.7</v>
      </c>
      <c r="BL89" s="13">
        <f>'QTR Share Price'!IR21</f>
        <v>821.2</v>
      </c>
      <c r="BM89" s="13">
        <f>'QTR Share Price'!IS21</f>
        <v>799.95</v>
      </c>
      <c r="BN89" s="13">
        <f>'QTR Share Price'!IT21</f>
        <v>489</v>
      </c>
      <c r="BO89" s="13">
        <f>'QTR Share Price'!IU21</f>
        <v>675.7</v>
      </c>
      <c r="BP89" s="13">
        <f>'QTR Share Price'!IV21</f>
        <v>782.25</v>
      </c>
      <c r="BQ89" s="13">
        <f>'QTR Share Price'!IW21</f>
        <v>1078.6500000000001</v>
      </c>
      <c r="BR89" s="13">
        <f>'QTR Share Price'!IX21</f>
        <v>1587.05</v>
      </c>
      <c r="BS89" s="13">
        <f>'QTR Share Price'!IY21</f>
        <v>1893.2</v>
      </c>
      <c r="BT89" s="13">
        <f>'QTR Share Price'!IZ21</f>
        <v>2107.9</v>
      </c>
      <c r="BU89" s="13">
        <f>'QTR Share Price'!JA21</f>
        <v>1846.75</v>
      </c>
      <c r="BV89" s="13">
        <f>'QTR Share Price'!JB21</f>
        <v>1494.7</v>
      </c>
      <c r="BW89" s="13">
        <f>'QTR Share Price'!JC21</f>
        <v>1283.3499999999999</v>
      </c>
      <c r="BX89" s="13">
        <f>'QTR Share Price'!JD21</f>
        <v>1598.85</v>
      </c>
      <c r="BY89" s="13">
        <f>'QTR Share Price'!JE21</f>
        <v>1860.75</v>
      </c>
      <c r="BZ89" s="13">
        <f>'QTR Share Price'!JF21</f>
        <v>1963.85</v>
      </c>
      <c r="CA89" s="13">
        <f>'QTR Share Price'!JG21</f>
        <v>2167.1</v>
      </c>
      <c r="CB89" s="13">
        <f>'QTR Share Price'!JH21</f>
        <v>2405.3000000000002</v>
      </c>
      <c r="CC89" s="13">
        <f>'QTR Share Price'!JI21</f>
        <v>2274.3000000000002</v>
      </c>
      <c r="CD89" s="13">
        <f>'QTR Share Price'!JJ21</f>
        <v>1942.2</v>
      </c>
      <c r="CE89" s="13">
        <f>'QTR Share Price'!JK21</f>
        <v>1814.7</v>
      </c>
      <c r="CF89" s="13">
        <f>'QTR Share Price'!JL21</f>
        <v>1933.4</v>
      </c>
      <c r="CG89" s="13">
        <f>'QTR Share Price'!JM21</f>
        <v>1766.4</v>
      </c>
      <c r="CH89" s="13">
        <f>'QTR Share Price'!JN21</f>
        <v>1819.45</v>
      </c>
      <c r="CI89" s="13">
        <f>'QTR Share Price'!JO21</f>
        <v>2209.25</v>
      </c>
      <c r="CJ89" s="13">
        <f>'QTR Share Price'!JP21</f>
        <v>2225.1</v>
      </c>
      <c r="CK89" s="13">
        <f>'QTR Share Price'!JQ21</f>
        <v>2132.75</v>
      </c>
      <c r="CL89" s="13">
        <f>'QTR Share Price'!JR21</f>
        <v>1775.95</v>
      </c>
      <c r="CM89" s="37">
        <v>1696</v>
      </c>
      <c r="CN89" s="37">
        <f t="shared" ref="CN89" si="920">+CM89</f>
        <v>1696</v>
      </c>
      <c r="CO89" s="37">
        <f t="shared" ref="CO89" si="921">+CN89</f>
        <v>1696</v>
      </c>
      <c r="CP89" s="37">
        <f t="shared" ref="CP89" si="922">+CO89</f>
        <v>1696</v>
      </c>
      <c r="CQ89" s="37">
        <f t="shared" ref="CQ89" si="923">+CP89</f>
        <v>1696</v>
      </c>
      <c r="CR89" s="37">
        <f t="shared" ref="CR89" si="924">+CQ89</f>
        <v>1696</v>
      </c>
      <c r="CS89" s="37">
        <f t="shared" ref="CS89" si="925">+CR89</f>
        <v>1696</v>
      </c>
      <c r="CT89" s="37">
        <f t="shared" ref="CT89" si="926">+CS89</f>
        <v>1696</v>
      </c>
      <c r="CU89" s="37">
        <f t="shared" ref="CU89" si="927">+CT89</f>
        <v>1696</v>
      </c>
      <c r="CV89" s="37">
        <f t="shared" ref="CV89" si="928">+CU89</f>
        <v>1696</v>
      </c>
      <c r="CW89" s="37">
        <f t="shared" ref="CW89" si="929">+CV89</f>
        <v>1696</v>
      </c>
      <c r="CX89" s="37">
        <f t="shared" ref="CX89" si="930">+CW89</f>
        <v>1696</v>
      </c>
      <c r="CY89" s="37">
        <f t="shared" ref="CY89" si="931">+CX89</f>
        <v>1696</v>
      </c>
      <c r="CZ89" s="37">
        <f t="shared" ref="CZ89" si="932">+CY89</f>
        <v>1696</v>
      </c>
      <c r="DA89" s="37">
        <f t="shared" ref="DA89" si="933">+CZ89</f>
        <v>1696</v>
      </c>
      <c r="DB89" s="37">
        <f t="shared" ref="DB89" si="934">+DA89</f>
        <v>1696</v>
      </c>
      <c r="DE89" s="134"/>
      <c r="DF89" s="13">
        <v>1775.95</v>
      </c>
    </row>
    <row r="90" spans="1:110" s="13" customFormat="1" x14ac:dyDescent="0.2">
      <c r="A90" s="13" t="s">
        <v>458</v>
      </c>
      <c r="B90" s="13">
        <f>'Annual Raw'!C107</f>
        <v>0</v>
      </c>
      <c r="C90" s="13">
        <f>'Annual Raw'!D107</f>
        <v>0</v>
      </c>
      <c r="D90" s="13">
        <f>'Annual Raw'!E107</f>
        <v>0</v>
      </c>
      <c r="E90" s="13">
        <f>'Annual Raw'!F107</f>
        <v>0</v>
      </c>
      <c r="F90" s="13">
        <f>'Annual Raw'!G107</f>
        <v>0</v>
      </c>
      <c r="G90" s="13">
        <f>'Annual Raw'!H107</f>
        <v>0</v>
      </c>
      <c r="H90" s="13">
        <f>'Annual Raw'!I107</f>
        <v>0</v>
      </c>
      <c r="I90" s="13">
        <f>'Annual Raw'!J107</f>
        <v>0</v>
      </c>
      <c r="J90" s="13">
        <f>'Annual Raw'!K107</f>
        <v>0</v>
      </c>
      <c r="K90" s="13">
        <f>'Annual Raw'!L107</f>
        <v>0</v>
      </c>
      <c r="L90" s="13">
        <f>'Annual Raw'!M107</f>
        <v>0</v>
      </c>
      <c r="M90" s="13">
        <f>'Annual Raw'!N107</f>
        <v>0</v>
      </c>
      <c r="N90" s="13">
        <f>'Annual Raw'!O107</f>
        <v>0</v>
      </c>
      <c r="O90" s="13">
        <f>'Annual Raw'!P107</f>
        <v>0</v>
      </c>
      <c r="P90" s="13">
        <f>'Annual Raw'!Q107</f>
        <v>0</v>
      </c>
      <c r="Q90" s="13">
        <f>'Annual Raw'!R107</f>
        <v>0</v>
      </c>
      <c r="R90" s="13">
        <f>'Annual Raw'!S107</f>
        <v>0</v>
      </c>
      <c r="S90" s="13">
        <f>'Annual Raw'!T107</f>
        <v>0</v>
      </c>
      <c r="T90" s="13">
        <f>'Annual Raw'!U107</f>
        <v>1218</v>
      </c>
      <c r="U90" s="13">
        <f>'Annual Raw'!V107</f>
        <v>1220</v>
      </c>
      <c r="V90" s="13">
        <f>'Annual Raw'!W107</f>
        <v>1690.6</v>
      </c>
      <c r="W90" s="13">
        <f>'Annual Raw'!X107</f>
        <v>2547.1999999999998</v>
      </c>
      <c r="X90" s="13">
        <f>'Annual Raw'!Y107</f>
        <v>1989</v>
      </c>
      <c r="Y90" s="13">
        <f>'Annual Raw'!Z107</f>
        <v>2428.85</v>
      </c>
      <c r="Z90" s="13">
        <f>'Annual Raw'!AA107</f>
        <v>2064.4499999999998</v>
      </c>
      <c r="AA90" s="13">
        <f>'Annual Raw'!AB107</f>
        <v>2495.9499999999998</v>
      </c>
      <c r="AB90" s="37">
        <f>+MAX(CM90:CP90)</f>
        <v>2295.8122553277408</v>
      </c>
      <c r="AC90" s="37">
        <f>+MAX(CQ90:CT90)</f>
        <v>2915.2672403279639</v>
      </c>
      <c r="AD90" s="37">
        <f>+MAX(CU90:CX90)</f>
        <v>3406.7890335195034</v>
      </c>
      <c r="AE90" s="37">
        <f>+MAX(CY90:DB90)</f>
        <v>4123.372623359498</v>
      </c>
      <c r="AJ90" s="13">
        <f>'QTR Share Price'!HP19</f>
        <v>0</v>
      </c>
      <c r="AK90" s="13">
        <f>'QTR Share Price'!HQ19</f>
        <v>0</v>
      </c>
      <c r="AL90" s="13">
        <f>'QTR Share Price'!HR19</f>
        <v>0</v>
      </c>
      <c r="AM90" s="13">
        <f>'QTR Share Price'!HS19</f>
        <v>0</v>
      </c>
      <c r="AN90" s="13">
        <f>'QTR Share Price'!HT19</f>
        <v>0</v>
      </c>
      <c r="AO90" s="13">
        <f>'QTR Share Price'!HU19</f>
        <v>0</v>
      </c>
      <c r="AP90" s="13">
        <f>'QTR Share Price'!HV19</f>
        <v>0</v>
      </c>
      <c r="AQ90" s="13">
        <f>'QTR Share Price'!HW19</f>
        <v>0</v>
      </c>
      <c r="AR90" s="13">
        <f>'QTR Share Price'!HX19</f>
        <v>0</v>
      </c>
      <c r="AS90" s="13">
        <f>'QTR Share Price'!HY19</f>
        <v>0</v>
      </c>
      <c r="AT90" s="13">
        <f>'QTR Share Price'!HZ19</f>
        <v>0</v>
      </c>
      <c r="AU90" s="13">
        <f>'QTR Share Price'!IA19</f>
        <v>0</v>
      </c>
      <c r="AV90" s="13">
        <f>'QTR Share Price'!IB19</f>
        <v>0</v>
      </c>
      <c r="AW90" s="13">
        <f>'QTR Share Price'!IC19</f>
        <v>0</v>
      </c>
      <c r="AX90" s="13">
        <f>'QTR Share Price'!ID19</f>
        <v>0</v>
      </c>
      <c r="AY90" s="13">
        <f>'QTR Share Price'!IE19</f>
        <v>0</v>
      </c>
      <c r="AZ90" s="13">
        <f>'QTR Share Price'!IF19</f>
        <v>0</v>
      </c>
      <c r="BA90" s="13">
        <f>'QTR Share Price'!IG19</f>
        <v>0</v>
      </c>
      <c r="BB90" s="13">
        <f>'QTR Share Price'!IH19</f>
        <v>0</v>
      </c>
      <c r="BC90" s="13">
        <f>'QTR Share Price'!II19</f>
        <v>0</v>
      </c>
      <c r="BD90" s="13">
        <f>'QTR Share Price'!IJ19</f>
        <v>0</v>
      </c>
      <c r="BE90" s="13">
        <f>'QTR Share Price'!IK19</f>
        <v>0</v>
      </c>
      <c r="BF90" s="13">
        <f>'QTR Share Price'!IL19</f>
        <v>0</v>
      </c>
      <c r="BG90" s="13">
        <f>'QTR Share Price'!IM19</f>
        <v>0</v>
      </c>
      <c r="BH90" s="13">
        <f>'QTR Share Price'!IN19</f>
        <v>0</v>
      </c>
      <c r="BI90" s="13">
        <f>'QTR Share Price'!IO19</f>
        <v>1141</v>
      </c>
      <c r="BJ90" s="13">
        <f>'QTR Share Price'!IP19</f>
        <v>1218</v>
      </c>
      <c r="BK90" s="13">
        <f>'QTR Share Price'!IQ19</f>
        <v>1220</v>
      </c>
      <c r="BL90" s="13">
        <f>'QTR Share Price'!IR19</f>
        <v>1071</v>
      </c>
      <c r="BM90" s="13">
        <f>'QTR Share Price'!IS19</f>
        <v>898</v>
      </c>
      <c r="BN90" s="13">
        <f>'QTR Share Price'!IT19</f>
        <v>918</v>
      </c>
      <c r="BO90" s="13">
        <f>'QTR Share Price'!IU19</f>
        <v>720</v>
      </c>
      <c r="BP90" s="13">
        <f>'QTR Share Price'!IV19</f>
        <v>824.55</v>
      </c>
      <c r="BQ90" s="13">
        <f>'QTR Share Price'!IW19</f>
        <v>1195.7</v>
      </c>
      <c r="BR90" s="13">
        <f>'QTR Share Price'!IX19</f>
        <v>1690.6</v>
      </c>
      <c r="BS90" s="13">
        <f>'QTR Share Price'!IY19</f>
        <v>1944.5</v>
      </c>
      <c r="BT90" s="13">
        <f>'QTR Share Price'!IZ19</f>
        <v>2547.1999999999998</v>
      </c>
      <c r="BU90" s="13">
        <f>'QTR Share Price'!JA19</f>
        <v>2195</v>
      </c>
      <c r="BV90" s="13">
        <f>'QTR Share Price'!JB19</f>
        <v>2102.8000000000002</v>
      </c>
      <c r="BW90" s="13">
        <f>'QTR Share Price'!JC19</f>
        <v>1640.8</v>
      </c>
      <c r="BX90" s="13">
        <f>'QTR Share Price'!JD19</f>
        <v>1795.5</v>
      </c>
      <c r="BY90" s="13">
        <f>'QTR Share Price'!JE19</f>
        <v>1946.35</v>
      </c>
      <c r="BZ90" s="13">
        <f>'QTR Share Price'!JF19</f>
        <v>1989</v>
      </c>
      <c r="CA90" s="13">
        <f>'QTR Share Price'!JG19</f>
        <v>2289.4499999999998</v>
      </c>
      <c r="CB90" s="13">
        <f>'QTR Share Price'!JH19</f>
        <v>2424.4</v>
      </c>
      <c r="CC90" s="13">
        <f>'QTR Share Price'!JI19</f>
        <v>2428.85</v>
      </c>
      <c r="CD90" s="13">
        <f>'QTR Share Price'!JJ19</f>
        <v>2428.5500000000002</v>
      </c>
      <c r="CE90" s="13">
        <f>'QTR Share Price'!JK19</f>
        <v>2064.4499999999998</v>
      </c>
      <c r="CF90" s="13">
        <f>'QTR Share Price'!JL19</f>
        <v>1981.7</v>
      </c>
      <c r="CG90" s="13">
        <f>'QTR Share Price'!JM19</f>
        <v>1983.2</v>
      </c>
      <c r="CH90" s="13">
        <f>'QTR Share Price'!JN19</f>
        <v>1919.85</v>
      </c>
      <c r="CI90" s="13">
        <f>'QTR Share Price'!JO19</f>
        <v>2232.65</v>
      </c>
      <c r="CJ90" s="13">
        <f>'QTR Share Price'!JP19</f>
        <v>2495.9499999999998</v>
      </c>
      <c r="CK90" s="13">
        <f>'QTR Share Price'!JQ19</f>
        <v>2320</v>
      </c>
      <c r="CL90" s="13">
        <f>'QTR Share Price'!JR19</f>
        <v>2260.4</v>
      </c>
      <c r="CM90" s="37">
        <f t="shared" ref="CM90:DB90" si="935">+CM81*CM98</f>
        <v>2035.7326777794576</v>
      </c>
      <c r="CN90" s="37">
        <f t="shared" si="935"/>
        <v>2008.1270808103156</v>
      </c>
      <c r="CO90" s="37">
        <f t="shared" si="935"/>
        <v>2212.9776717099976</v>
      </c>
      <c r="CP90" s="37">
        <f t="shared" si="935"/>
        <v>2295.8122553277408</v>
      </c>
      <c r="CQ90" s="37">
        <f t="shared" si="935"/>
        <v>2391.8935938149984</v>
      </c>
      <c r="CR90" s="37">
        <f t="shared" si="935"/>
        <v>2550.7325447430567</v>
      </c>
      <c r="CS90" s="37">
        <f t="shared" si="935"/>
        <v>2738.8942881946209</v>
      </c>
      <c r="CT90" s="37">
        <f t="shared" si="935"/>
        <v>2915.2672403279639</v>
      </c>
      <c r="CU90" s="37">
        <f t="shared" si="935"/>
        <v>3024.2614356659615</v>
      </c>
      <c r="CV90" s="37">
        <f t="shared" si="935"/>
        <v>3149.1804211247158</v>
      </c>
      <c r="CW90" s="37">
        <f t="shared" si="935"/>
        <v>3276.1261617543428</v>
      </c>
      <c r="CX90" s="37">
        <f t="shared" si="935"/>
        <v>3406.7890335195034</v>
      </c>
      <c r="CY90" s="37">
        <f t="shared" si="935"/>
        <v>3574.8747520896427</v>
      </c>
      <c r="CZ90" s="37">
        <f t="shared" si="935"/>
        <v>3743.6942054412307</v>
      </c>
      <c r="DA90" s="37">
        <f t="shared" si="935"/>
        <v>3919.8708206716451</v>
      </c>
      <c r="DB90" s="37">
        <f t="shared" si="935"/>
        <v>4123.372623359498</v>
      </c>
      <c r="DE90" s="134"/>
      <c r="DF90" s="13">
        <v>2495.9499999999998</v>
      </c>
    </row>
    <row r="91" spans="1:110" s="13" customFormat="1" x14ac:dyDescent="0.2">
      <c r="A91" s="13" t="s">
        <v>459</v>
      </c>
      <c r="B91" s="13">
        <f>'Annual Raw'!C108</f>
        <v>0</v>
      </c>
      <c r="C91" s="13">
        <f>'Annual Raw'!D108</f>
        <v>0</v>
      </c>
      <c r="D91" s="13">
        <f>'Annual Raw'!E108</f>
        <v>0</v>
      </c>
      <c r="E91" s="13">
        <f>'Annual Raw'!F108</f>
        <v>0</v>
      </c>
      <c r="F91" s="13">
        <f>'Annual Raw'!G108</f>
        <v>0</v>
      </c>
      <c r="G91" s="13">
        <f>'Annual Raw'!H108</f>
        <v>0</v>
      </c>
      <c r="H91" s="13">
        <f>'Annual Raw'!I108</f>
        <v>0</v>
      </c>
      <c r="I91" s="13">
        <f>'Annual Raw'!J108</f>
        <v>0</v>
      </c>
      <c r="J91" s="13">
        <f>'Annual Raw'!K108</f>
        <v>0</v>
      </c>
      <c r="K91" s="13">
        <f>'Annual Raw'!L108</f>
        <v>0</v>
      </c>
      <c r="L91" s="13">
        <f>'Annual Raw'!M108</f>
        <v>0</v>
      </c>
      <c r="M91" s="13">
        <f>'Annual Raw'!N108</f>
        <v>0</v>
      </c>
      <c r="N91" s="13">
        <f>'Annual Raw'!O108</f>
        <v>0</v>
      </c>
      <c r="O91" s="13">
        <f>'Annual Raw'!P108</f>
        <v>0</v>
      </c>
      <c r="P91" s="13">
        <f>'Annual Raw'!Q108</f>
        <v>0</v>
      </c>
      <c r="Q91" s="13">
        <f>'Annual Raw'!R108</f>
        <v>0</v>
      </c>
      <c r="R91" s="13">
        <f>'Annual Raw'!S108</f>
        <v>0</v>
      </c>
      <c r="S91" s="13">
        <f>'Annual Raw'!T108</f>
        <v>0</v>
      </c>
      <c r="T91" s="13">
        <f>'Annual Raw'!U108</f>
        <v>903</v>
      </c>
      <c r="U91" s="13">
        <f>'Annual Raw'!V108</f>
        <v>406</v>
      </c>
      <c r="V91" s="13">
        <f>'Annual Raw'!W108</f>
        <v>417</v>
      </c>
      <c r="W91" s="13">
        <f>'Annual Raw'!X108</f>
        <v>1279.45</v>
      </c>
      <c r="X91" s="13">
        <f>'Annual Raw'!Y108</f>
        <v>1212.5999999999999</v>
      </c>
      <c r="Y91" s="13">
        <f>'Annual Raw'!Z108</f>
        <v>1805</v>
      </c>
      <c r="Z91" s="13">
        <f>'Annual Raw'!AA108</f>
        <v>1602</v>
      </c>
      <c r="AA91" s="13">
        <f>'Annual Raw'!AB108</f>
        <v>1714.05</v>
      </c>
      <c r="AB91" s="37">
        <f>+MIN(CM91:CP91)</f>
        <v>1529.3712482812591</v>
      </c>
      <c r="AC91" s="37">
        <f>+MIN(CQ91:CT91)</f>
        <v>1821.6443203647673</v>
      </c>
      <c r="AD91" s="37">
        <f>+MIN(CU91:CX91)</f>
        <v>2303.2498944872377</v>
      </c>
      <c r="AE91" s="37">
        <f>+MIN(CY91:DB91)</f>
        <v>2722.5919685552644</v>
      </c>
      <c r="AJ91" s="13">
        <f>+'QTR Share Price'!HP20</f>
        <v>0</v>
      </c>
      <c r="AK91" s="13">
        <f>+'QTR Share Price'!HQ20</f>
        <v>0</v>
      </c>
      <c r="AL91" s="13">
        <f>+'QTR Share Price'!HR20</f>
        <v>0</v>
      </c>
      <c r="AM91" s="13">
        <f>+'QTR Share Price'!HS20</f>
        <v>0</v>
      </c>
      <c r="AN91" s="13">
        <f>+'QTR Share Price'!HT20</f>
        <v>0</v>
      </c>
      <c r="AO91" s="13">
        <f>+'QTR Share Price'!HU20</f>
        <v>0</v>
      </c>
      <c r="AP91" s="13">
        <f>+'QTR Share Price'!HV20</f>
        <v>0</v>
      </c>
      <c r="AQ91" s="13">
        <f>+'QTR Share Price'!HW20</f>
        <v>0</v>
      </c>
      <c r="AR91" s="13">
        <f>+'QTR Share Price'!HX20</f>
        <v>0</v>
      </c>
      <c r="AS91" s="13">
        <f>+'QTR Share Price'!HY20</f>
        <v>0</v>
      </c>
      <c r="AT91" s="13">
        <f>+'QTR Share Price'!HZ20</f>
        <v>0</v>
      </c>
      <c r="AU91" s="13">
        <f>+'QTR Share Price'!IA20</f>
        <v>0</v>
      </c>
      <c r="AV91" s="13">
        <f>+'QTR Share Price'!IB20</f>
        <v>0</v>
      </c>
      <c r="AW91" s="13">
        <f>+'QTR Share Price'!IC20</f>
        <v>0</v>
      </c>
      <c r="AX91" s="13">
        <f>+'QTR Share Price'!ID20</f>
        <v>0</v>
      </c>
      <c r="AY91" s="13">
        <f>+'QTR Share Price'!IE20</f>
        <v>0</v>
      </c>
      <c r="AZ91" s="13">
        <f>+'QTR Share Price'!IF20</f>
        <v>0</v>
      </c>
      <c r="BA91" s="13">
        <f>+'QTR Share Price'!IG20</f>
        <v>0</v>
      </c>
      <c r="BB91" s="13">
        <f>+'QTR Share Price'!IH20</f>
        <v>0</v>
      </c>
      <c r="BC91" s="13">
        <f>+'QTR Share Price'!II20</f>
        <v>0</v>
      </c>
      <c r="BD91" s="13">
        <f>+'QTR Share Price'!IJ20</f>
        <v>0</v>
      </c>
      <c r="BE91" s="13">
        <f>+'QTR Share Price'!IK20</f>
        <v>0</v>
      </c>
      <c r="BF91" s="13">
        <f>+'QTR Share Price'!IL20</f>
        <v>0</v>
      </c>
      <c r="BG91" s="13">
        <f>+'QTR Share Price'!IM20</f>
        <v>0</v>
      </c>
      <c r="BH91" s="13">
        <f>+'QTR Share Price'!IN20</f>
        <v>0</v>
      </c>
      <c r="BI91" s="13">
        <f>+'QTR Share Price'!IO20</f>
        <v>0</v>
      </c>
      <c r="BJ91" s="13">
        <f>+'QTR Share Price'!IP20</f>
        <v>903</v>
      </c>
      <c r="BK91" s="13">
        <f>+'QTR Share Price'!IQ20</f>
        <v>980.05</v>
      </c>
      <c r="BL91" s="13">
        <f>+'QTR Share Price'!IR20</f>
        <v>752</v>
      </c>
      <c r="BM91" s="13">
        <f>+'QTR Share Price'!IS20</f>
        <v>761</v>
      </c>
      <c r="BN91" s="13">
        <f>+'QTR Share Price'!IT20</f>
        <v>406</v>
      </c>
      <c r="BO91" s="13">
        <f>+'QTR Share Price'!IU20</f>
        <v>417</v>
      </c>
      <c r="BP91" s="13">
        <f>+'QTR Share Price'!IV20</f>
        <v>651.95000000000005</v>
      </c>
      <c r="BQ91" s="13">
        <f>+'QTR Share Price'!IW20</f>
        <v>740</v>
      </c>
      <c r="BR91" s="13">
        <f>+'QTR Share Price'!IX20</f>
        <v>1064.05</v>
      </c>
      <c r="BS91" s="13">
        <f>+'QTR Share Price'!IY20</f>
        <v>1405.9</v>
      </c>
      <c r="BT91" s="13">
        <f>+'QTR Share Price'!IZ20</f>
        <v>1837.85</v>
      </c>
      <c r="BU91" s="13">
        <f>+'QTR Share Price'!JA20</f>
        <v>1756.45</v>
      </c>
      <c r="BV91" s="13">
        <f>+'QTR Share Price'!JB20</f>
        <v>1279.45</v>
      </c>
      <c r="BW91" s="13">
        <f>+'QTR Share Price'!JC20</f>
        <v>1212.5999999999999</v>
      </c>
      <c r="BX91" s="13">
        <f>+'QTR Share Price'!JD20</f>
        <v>1274.2</v>
      </c>
      <c r="BY91" s="13">
        <f>+'QTR Share Price'!JE20</f>
        <v>1478.05</v>
      </c>
      <c r="BZ91" s="13">
        <f>+'QTR Share Price'!JF20</f>
        <v>1675</v>
      </c>
      <c r="CA91" s="13">
        <f>+'QTR Share Price'!JG20</f>
        <v>1885.95</v>
      </c>
      <c r="CB91" s="13">
        <f>+'QTR Share Price'!JH20</f>
        <v>1877</v>
      </c>
      <c r="CC91" s="13">
        <f>+'QTR Share Price'!JI20</f>
        <v>1998</v>
      </c>
      <c r="CD91" s="13">
        <f>+'QTR Share Price'!JJ20</f>
        <v>1805</v>
      </c>
      <c r="CE91" s="13">
        <f>+'QTR Share Price'!JK20</f>
        <v>1664.2</v>
      </c>
      <c r="CF91" s="13">
        <f>+'QTR Share Price'!JL20</f>
        <v>1706</v>
      </c>
      <c r="CG91" s="13">
        <f>+'QTR Share Price'!JM20</f>
        <v>1677.05</v>
      </c>
      <c r="CH91" s="13">
        <f>+'QTR Share Price'!JN20</f>
        <v>1602</v>
      </c>
      <c r="CI91" s="13">
        <f>+'QTR Share Price'!JO20</f>
        <v>1714.05</v>
      </c>
      <c r="CJ91" s="13">
        <f>+'QTR Share Price'!JP20</f>
        <v>2121.6999999999998</v>
      </c>
      <c r="CK91" s="13">
        <f>+'QTR Share Price'!JQ20</f>
        <v>1933.4</v>
      </c>
      <c r="CL91" s="13">
        <f>+'QTR Share Price'!JR20</f>
        <v>1721.5</v>
      </c>
      <c r="CM91" s="37">
        <f t="shared" ref="CM91:DB91" si="936">+CM99*CM81</f>
        <v>1550.3954188627395</v>
      </c>
      <c r="CN91" s="37">
        <f t="shared" si="936"/>
        <v>1529.3712482812591</v>
      </c>
      <c r="CO91" s="37">
        <f t="shared" si="936"/>
        <v>1685.3835877936474</v>
      </c>
      <c r="CP91" s="37">
        <f t="shared" si="936"/>
        <v>1748.4696503037985</v>
      </c>
      <c r="CQ91" s="37">
        <f t="shared" si="936"/>
        <v>1821.6443203647673</v>
      </c>
      <c r="CR91" s="37">
        <f t="shared" si="936"/>
        <v>1942.6146150129059</v>
      </c>
      <c r="CS91" s="37">
        <f t="shared" si="936"/>
        <v>2085.9168806967973</v>
      </c>
      <c r="CT91" s="37">
        <f t="shared" si="936"/>
        <v>2220.2409105576844</v>
      </c>
      <c r="CU91" s="37">
        <f t="shared" si="936"/>
        <v>2303.2498944872377</v>
      </c>
      <c r="CV91" s="37">
        <f t="shared" si="936"/>
        <v>2398.3870531614753</v>
      </c>
      <c r="CW91" s="37">
        <f t="shared" si="936"/>
        <v>2495.0677700672895</v>
      </c>
      <c r="CX91" s="37">
        <f t="shared" si="936"/>
        <v>2594.5794201043286</v>
      </c>
      <c r="CY91" s="37">
        <f t="shared" si="936"/>
        <v>2722.5919685552644</v>
      </c>
      <c r="CZ91" s="37">
        <f t="shared" si="936"/>
        <v>2851.1633227159259</v>
      </c>
      <c r="DA91" s="37">
        <f t="shared" si="936"/>
        <v>2985.3378241843202</v>
      </c>
      <c r="DB91" s="37">
        <f t="shared" si="936"/>
        <v>3140.3229389105359</v>
      </c>
      <c r="DE91" s="134"/>
      <c r="DF91" s="13">
        <v>1714.05</v>
      </c>
    </row>
    <row r="92" spans="1:110" s="14" customFormat="1" x14ac:dyDescent="0.2">
      <c r="AB92" s="16"/>
      <c r="AC92" s="16"/>
      <c r="AD92" s="16"/>
      <c r="AE92" s="16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51" customFormat="1" x14ac:dyDescent="0.2">
      <c r="A93" s="51" t="s">
        <v>346</v>
      </c>
      <c r="AB93" s="48">
        <f t="shared" ref="AB93:AD93" si="937">+AB90/AB89-1</f>
        <v>0.35366288639607357</v>
      </c>
      <c r="AC93" s="48">
        <f t="shared" si="937"/>
        <v>0.71890757094809188</v>
      </c>
      <c r="AD93" s="48">
        <f t="shared" si="937"/>
        <v>1.0087199490091412</v>
      </c>
      <c r="AE93" s="48">
        <f t="shared" ref="AE93" si="938">+AE90/AE89-1</f>
        <v>1.4312338581129116</v>
      </c>
      <c r="CM93" s="48">
        <f t="shared" ref="CM93:DB93" si="939">+CM90/CM89-1</f>
        <v>0.20031407887939712</v>
      </c>
      <c r="CN93" s="48">
        <f t="shared" si="939"/>
        <v>0.18403719387400685</v>
      </c>
      <c r="CO93" s="48">
        <f t="shared" si="939"/>
        <v>0.30482174039504573</v>
      </c>
      <c r="CP93" s="48">
        <f t="shared" si="939"/>
        <v>0.35366288639607357</v>
      </c>
      <c r="CQ93" s="48">
        <f t="shared" si="939"/>
        <v>0.41031461899469246</v>
      </c>
      <c r="CR93" s="48">
        <f t="shared" si="939"/>
        <v>0.50396966081548156</v>
      </c>
      <c r="CS93" s="48">
        <f t="shared" si="939"/>
        <v>0.61491408502041334</v>
      </c>
      <c r="CT93" s="48">
        <f t="shared" si="939"/>
        <v>0.71890757094809188</v>
      </c>
      <c r="CU93" s="48">
        <f t="shared" si="939"/>
        <v>0.78317301631247727</v>
      </c>
      <c r="CV93" s="48">
        <f t="shared" si="939"/>
        <v>0.85682807849334663</v>
      </c>
      <c r="CW93" s="48">
        <f t="shared" si="939"/>
        <v>0.93167816141175863</v>
      </c>
      <c r="CX93" s="48">
        <f t="shared" si="939"/>
        <v>1.0087199490091412</v>
      </c>
      <c r="CY93" s="48">
        <f t="shared" si="939"/>
        <v>1.1078270943924782</v>
      </c>
      <c r="CZ93" s="48">
        <f t="shared" si="939"/>
        <v>1.2073668664158199</v>
      </c>
      <c r="DA93" s="48">
        <f t="shared" si="939"/>
        <v>1.3112445876601679</v>
      </c>
      <c r="DB93" s="48">
        <f t="shared" si="939"/>
        <v>1.4312338581129116</v>
      </c>
      <c r="DE93" s="129"/>
      <c r="DF93" s="51">
        <v>0.40541681916720607</v>
      </c>
    </row>
    <row r="94" spans="1:110" s="51" customFormat="1" x14ac:dyDescent="0.2">
      <c r="A94" s="51" t="s">
        <v>347</v>
      </c>
      <c r="AB94" s="48">
        <f t="shared" ref="AB94:AD94" si="940">+AB91/AB89-1</f>
        <v>-9.8248084739823605E-2</v>
      </c>
      <c r="AC94" s="48">
        <f t="shared" si="940"/>
        <v>7.4082736064131627E-2</v>
      </c>
      <c r="AD94" s="48">
        <f t="shared" si="940"/>
        <v>0.35804828684389012</v>
      </c>
      <c r="AE94" s="48">
        <f t="shared" ref="AE94" si="941">+AE91/AE89-1</f>
        <v>0.60530186825192489</v>
      </c>
      <c r="CM94" s="48">
        <f t="shared" ref="CM94:DB94" si="942">+CM91/CM89-1</f>
        <v>-8.5851757746026269E-2</v>
      </c>
      <c r="CN94" s="48">
        <f t="shared" si="942"/>
        <v>-9.8248084739823605E-2</v>
      </c>
      <c r="CO94" s="48">
        <f t="shared" si="942"/>
        <v>-6.2596770084626385E-3</v>
      </c>
      <c r="CP94" s="48">
        <f t="shared" si="942"/>
        <v>3.0937293811202027E-2</v>
      </c>
      <c r="CQ94" s="48">
        <f t="shared" si="942"/>
        <v>7.4082736064131627E-2</v>
      </c>
      <c r="CR94" s="48">
        <f t="shared" si="942"/>
        <v>0.14540956073874178</v>
      </c>
      <c r="CS94" s="48">
        <f t="shared" si="942"/>
        <v>0.2299038211655644</v>
      </c>
      <c r="CT94" s="48">
        <f t="shared" si="942"/>
        <v>0.30910431047033282</v>
      </c>
      <c r="CU94" s="48">
        <f t="shared" si="942"/>
        <v>0.35804828684389012</v>
      </c>
      <c r="CV94" s="48">
        <f t="shared" si="942"/>
        <v>0.41414330964709634</v>
      </c>
      <c r="CW94" s="48">
        <f t="shared" si="942"/>
        <v>0.47114844933212829</v>
      </c>
      <c r="CX94" s="48">
        <f t="shared" si="942"/>
        <v>0.52982277128792954</v>
      </c>
      <c r="CY94" s="48">
        <f t="shared" si="942"/>
        <v>0.60530186825192489</v>
      </c>
      <c r="CZ94" s="48">
        <f t="shared" si="942"/>
        <v>0.68111044971457901</v>
      </c>
      <c r="DA94" s="48">
        <f t="shared" si="942"/>
        <v>0.76022277369358493</v>
      </c>
      <c r="DB94" s="48">
        <f t="shared" si="942"/>
        <v>0.85160550643309896</v>
      </c>
      <c r="DE94" s="129"/>
      <c r="DF94" s="51">
        <v>-3.4854584870069538E-2</v>
      </c>
    </row>
    <row r="95" spans="1:110" s="14" customFormat="1" x14ac:dyDescent="0.2">
      <c r="AB95" s="16"/>
      <c r="AC95" s="16"/>
      <c r="AD95" s="16"/>
      <c r="AE95" s="16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40</v>
      </c>
      <c r="AB96" s="37"/>
      <c r="AC96" s="37"/>
      <c r="AD96" s="37"/>
      <c r="AE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13" customFormat="1" x14ac:dyDescent="0.2">
      <c r="A97" s="13" t="s">
        <v>460</v>
      </c>
      <c r="B97" s="13" t="e">
        <f t="shared" ref="B97:D97" si="943">+B89/B81</f>
        <v>#DIV/0!</v>
      </c>
      <c r="C97" s="13" t="e">
        <f t="shared" si="943"/>
        <v>#DIV/0!</v>
      </c>
      <c r="D97" s="13" t="e">
        <f t="shared" si="943"/>
        <v>#DIV/0!</v>
      </c>
      <c r="E97" s="13" t="e">
        <f t="shared" ref="E97:AE97" ca="1" si="944">+E89/E81</f>
        <v>#DIV/0!</v>
      </c>
      <c r="F97" s="13" t="e">
        <f t="shared" ca="1" si="944"/>
        <v>#DIV/0!</v>
      </c>
      <c r="G97" s="13" t="e">
        <f t="shared" ca="1" si="944"/>
        <v>#DIV/0!</v>
      </c>
      <c r="H97" s="13" t="e">
        <f t="shared" ca="1" si="944"/>
        <v>#DIV/0!</v>
      </c>
      <c r="I97" s="13" t="e">
        <f t="shared" ca="1" si="944"/>
        <v>#DIV/0!</v>
      </c>
      <c r="J97" s="13" t="e">
        <f t="shared" ca="1" si="944"/>
        <v>#DIV/0!</v>
      </c>
      <c r="K97" s="13" t="e">
        <f t="shared" ca="1" si="944"/>
        <v>#DIV/0!</v>
      </c>
      <c r="L97" s="13" t="e">
        <f t="shared" ca="1" si="944"/>
        <v>#DIV/0!</v>
      </c>
      <c r="M97" s="13" t="e">
        <f t="shared" ca="1" si="944"/>
        <v>#DIV/0!</v>
      </c>
      <c r="N97" s="13" t="e">
        <f t="shared" ca="1" si="944"/>
        <v>#DIV/0!</v>
      </c>
      <c r="O97" s="13" t="e">
        <f t="shared" ca="1" si="944"/>
        <v>#DIV/0!</v>
      </c>
      <c r="P97" s="13" t="e">
        <f t="shared" ca="1" si="944"/>
        <v>#DIV/0!</v>
      </c>
      <c r="Q97" s="13" t="e">
        <f t="shared" ca="1" si="944"/>
        <v>#DIV/0!</v>
      </c>
      <c r="R97" s="13">
        <f t="shared" ca="1" si="944"/>
        <v>0</v>
      </c>
      <c r="S97" s="13">
        <f t="shared" ca="1" si="944"/>
        <v>0</v>
      </c>
      <c r="T97" s="13">
        <f t="shared" ca="1" si="944"/>
        <v>61.06217532467533</v>
      </c>
      <c r="U97" s="13">
        <f t="shared" ca="1" si="944"/>
        <v>41.477678571428577</v>
      </c>
      <c r="V97" s="13">
        <f t="shared" ca="1" si="944"/>
        <v>24.982560066280033</v>
      </c>
      <c r="W97" s="13">
        <f t="shared" ca="1" si="944"/>
        <v>35.060864197530869</v>
      </c>
      <c r="X97" s="13">
        <f t="shared" ca="1" si="944"/>
        <v>31.541124260355026</v>
      </c>
      <c r="Y97" s="13">
        <f t="shared" ca="1" si="944"/>
        <v>44.621281741233375</v>
      </c>
      <c r="Z97" s="13">
        <f t="shared" ref="Z97:AA97" ca="1" si="945">+Z89/Z81</f>
        <v>43.429082914572867</v>
      </c>
      <c r="AA97" s="13">
        <f t="shared" ref="AA97" ca="1" si="946">+AA89/AA81</f>
        <v>43.429082914572867</v>
      </c>
      <c r="AB97" s="37">
        <f t="shared" ca="1" si="944"/>
        <v>27.233436828581429</v>
      </c>
      <c r="AC97" s="37">
        <f t="shared" ca="1" si="944"/>
        <v>21.44669866311035</v>
      </c>
      <c r="AD97" s="37">
        <f t="shared" ca="1" si="944"/>
        <v>18.352430224057557</v>
      </c>
      <c r="AE97" s="37">
        <f t="shared" ca="1" si="944"/>
        <v>15.16303854557072</v>
      </c>
      <c r="AL97" s="13" t="e">
        <f t="shared" ref="AL97:BQ97" si="947">+AL89/AL81</f>
        <v>#DIV/0!</v>
      </c>
      <c r="AM97" s="13" t="e">
        <f t="shared" si="947"/>
        <v>#DIV/0!</v>
      </c>
      <c r="AN97" s="13" t="e">
        <f t="shared" si="947"/>
        <v>#DIV/0!</v>
      </c>
      <c r="AO97" s="13" t="e">
        <f t="shared" si="947"/>
        <v>#DIV/0!</v>
      </c>
      <c r="AP97" s="13" t="e">
        <f t="shared" si="947"/>
        <v>#DIV/0!</v>
      </c>
      <c r="AQ97" s="13" t="e">
        <f t="shared" si="947"/>
        <v>#DIV/0!</v>
      </c>
      <c r="AR97" s="13" t="e">
        <f t="shared" si="947"/>
        <v>#DIV/0!</v>
      </c>
      <c r="AS97" s="13" t="e">
        <f t="shared" si="947"/>
        <v>#DIV/0!</v>
      </c>
      <c r="AT97" s="13" t="e">
        <f t="shared" si="947"/>
        <v>#DIV/0!</v>
      </c>
      <c r="AU97" s="13" t="e">
        <f t="shared" si="947"/>
        <v>#DIV/0!</v>
      </c>
      <c r="AV97" s="13" t="e">
        <f t="shared" si="947"/>
        <v>#DIV/0!</v>
      </c>
      <c r="AW97" s="13" t="e">
        <f t="shared" si="947"/>
        <v>#DIV/0!</v>
      </c>
      <c r="AX97" s="13" t="e">
        <f t="shared" si="947"/>
        <v>#DIV/0!</v>
      </c>
      <c r="AY97" s="13" t="e">
        <f t="shared" si="947"/>
        <v>#DIV/0!</v>
      </c>
      <c r="AZ97" s="13" t="e">
        <f t="shared" si="947"/>
        <v>#DIV/0!</v>
      </c>
      <c r="BA97" s="13" t="e">
        <f t="shared" si="947"/>
        <v>#DIV/0!</v>
      </c>
      <c r="BB97" s="13" t="e">
        <f t="shared" si="947"/>
        <v>#DIV/0!</v>
      </c>
      <c r="BC97" s="13" t="e">
        <f t="shared" si="947"/>
        <v>#DIV/0!</v>
      </c>
      <c r="BD97" s="13" t="e">
        <f t="shared" si="947"/>
        <v>#DIV/0!</v>
      </c>
      <c r="BE97" s="13">
        <f t="shared" si="947"/>
        <v>0</v>
      </c>
      <c r="BF97" s="13">
        <f t="shared" si="947"/>
        <v>0</v>
      </c>
      <c r="BG97" s="13">
        <f t="shared" si="947"/>
        <v>0</v>
      </c>
      <c r="BH97" s="13">
        <f t="shared" si="947"/>
        <v>0</v>
      </c>
      <c r="BI97" s="13">
        <f t="shared" si="947"/>
        <v>100.38942307692309</v>
      </c>
      <c r="BJ97" s="13">
        <f t="shared" si="947"/>
        <v>61.06217532467533</v>
      </c>
      <c r="BK97" s="13">
        <f t="shared" si="947"/>
        <v>49.518159203980105</v>
      </c>
      <c r="BL97" s="13">
        <f t="shared" si="947"/>
        <v>36.285581395348842</v>
      </c>
      <c r="BM97" s="13">
        <f t="shared" si="947"/>
        <v>35.678521126760565</v>
      </c>
      <c r="BN97" s="13">
        <f t="shared" si="947"/>
        <v>41.477678571428577</v>
      </c>
      <c r="BO97" s="13">
        <f t="shared" si="947"/>
        <v>47.549259259259266</v>
      </c>
      <c r="BP97" s="13">
        <f t="shared" si="947"/>
        <v>31.356012658227851</v>
      </c>
      <c r="BQ97" s="13">
        <f t="shared" si="947"/>
        <v>32.634315286624208</v>
      </c>
      <c r="BR97" s="13">
        <f t="shared" ref="BR97:DB97" si="948">+BR89/BR81</f>
        <v>24.495491470349311</v>
      </c>
      <c r="BS97" s="13">
        <f t="shared" si="948"/>
        <v>27.291957511380875</v>
      </c>
      <c r="BT97" s="13">
        <f t="shared" si="948"/>
        <v>30.713266871165644</v>
      </c>
      <c r="BU97" s="13">
        <f t="shared" si="948"/>
        <v>29.786290322580644</v>
      </c>
      <c r="BV97" s="13">
        <f t="shared" si="948"/>
        <v>35.060864197530869</v>
      </c>
      <c r="BW97" s="13">
        <f t="shared" si="948"/>
        <v>33.586294765840222</v>
      </c>
      <c r="BX97" s="13">
        <f t="shared" si="948"/>
        <v>53.861968085106376</v>
      </c>
      <c r="BY97" s="13">
        <f t="shared" si="948"/>
        <v>49.654845505617978</v>
      </c>
      <c r="BZ97" s="13">
        <f t="shared" si="948"/>
        <v>31.541124260355026</v>
      </c>
      <c r="CA97" s="13">
        <f t="shared" si="948"/>
        <v>36.862041181736792</v>
      </c>
      <c r="CB97" s="13">
        <f t="shared" si="948"/>
        <v>38.69661303979678</v>
      </c>
      <c r="CC97" s="13">
        <f t="shared" si="948"/>
        <v>34.736093247588428</v>
      </c>
      <c r="CD97" s="13">
        <f t="shared" si="948"/>
        <v>44.621281741233375</v>
      </c>
      <c r="CE97" s="13">
        <f t="shared" si="948"/>
        <v>36.255835962145113</v>
      </c>
      <c r="CF97" s="13">
        <f t="shared" si="948"/>
        <v>41.838952164009122</v>
      </c>
      <c r="CG97" s="13">
        <f t="shared" si="948"/>
        <v>49.647337278106519</v>
      </c>
      <c r="CH97" s="13">
        <f t="shared" si="948"/>
        <v>43.429082914572867</v>
      </c>
      <c r="CI97" s="13">
        <f t="shared" ref="CI97:CJ97" si="949">+CI89/CI81</f>
        <v>45.675462459194783</v>
      </c>
      <c r="CJ97" s="13">
        <f t="shared" si="949"/>
        <v>38.121641118124437</v>
      </c>
      <c r="CK97" s="13">
        <f t="shared" ref="CK97:CL97" si="950">+CK89/CK81</f>
        <v>33.712354409317804</v>
      </c>
      <c r="CL97" s="13">
        <f t="shared" si="950"/>
        <v>28.963991416309018</v>
      </c>
      <c r="CM97" s="37">
        <f t="shared" si="948"/>
        <v>30.712705409803583</v>
      </c>
      <c r="CN97" s="37">
        <f t="shared" si="948"/>
        <v>31.134911043837914</v>
      </c>
      <c r="CO97" s="37">
        <f t="shared" si="948"/>
        <v>28.252819187930999</v>
      </c>
      <c r="CP97" s="37">
        <f t="shared" si="948"/>
        <v>27.233436828581425</v>
      </c>
      <c r="CQ97" s="37">
        <f t="shared" si="948"/>
        <v>26.139481366321569</v>
      </c>
      <c r="CR97" s="37">
        <f t="shared" si="948"/>
        <v>24.511726309607738</v>
      </c>
      <c r="CS97" s="37">
        <f t="shared" si="948"/>
        <v>22.827773344609025</v>
      </c>
      <c r="CT97" s="37">
        <f t="shared" si="948"/>
        <v>21.446698663110329</v>
      </c>
      <c r="CU97" s="37">
        <f t="shared" si="948"/>
        <v>20.673760968017355</v>
      </c>
      <c r="CV97" s="37">
        <f t="shared" si="948"/>
        <v>19.853691965804014</v>
      </c>
      <c r="CW97" s="37">
        <f t="shared" si="948"/>
        <v>19.084386540312757</v>
      </c>
      <c r="CX97" s="37">
        <f t="shared" si="948"/>
        <v>18.352430224057532</v>
      </c>
      <c r="CY97" s="37">
        <f t="shared" si="948"/>
        <v>17.48952407051582</v>
      </c>
      <c r="CZ97" s="37">
        <f t="shared" si="948"/>
        <v>16.700845366824545</v>
      </c>
      <c r="DA97" s="37">
        <f t="shared" si="948"/>
        <v>15.950234302628928</v>
      </c>
      <c r="DB97" s="37">
        <f t="shared" si="948"/>
        <v>15.163038545570709</v>
      </c>
      <c r="DE97" s="134"/>
      <c r="DF97" s="13">
        <v>28.963991416309014</v>
      </c>
    </row>
    <row r="98" spans="1:110" s="13" customFormat="1" x14ac:dyDescent="0.2">
      <c r="A98" s="13" t="s">
        <v>461</v>
      </c>
      <c r="B98" s="13" t="e">
        <f t="shared" ref="B98:D98" si="951">+B90/B81</f>
        <v>#DIV/0!</v>
      </c>
      <c r="C98" s="13" t="e">
        <f t="shared" si="951"/>
        <v>#DIV/0!</v>
      </c>
      <c r="D98" s="13" t="e">
        <f t="shared" si="951"/>
        <v>#DIV/0!</v>
      </c>
      <c r="E98" s="13" t="e">
        <f t="shared" ref="E98:AE98" ca="1" si="952">+E90/E81</f>
        <v>#DIV/0!</v>
      </c>
      <c r="F98" s="13" t="e">
        <f t="shared" ca="1" si="952"/>
        <v>#DIV/0!</v>
      </c>
      <c r="G98" s="13" t="e">
        <f t="shared" ca="1" si="952"/>
        <v>#DIV/0!</v>
      </c>
      <c r="H98" s="13" t="e">
        <f t="shared" ca="1" si="952"/>
        <v>#DIV/0!</v>
      </c>
      <c r="I98" s="13" t="e">
        <f t="shared" ca="1" si="952"/>
        <v>#DIV/0!</v>
      </c>
      <c r="J98" s="13" t="e">
        <f t="shared" ca="1" si="952"/>
        <v>#DIV/0!</v>
      </c>
      <c r="K98" s="13" t="e">
        <f t="shared" ca="1" si="952"/>
        <v>#DIV/0!</v>
      </c>
      <c r="L98" s="13" t="e">
        <f t="shared" ca="1" si="952"/>
        <v>#DIV/0!</v>
      </c>
      <c r="M98" s="13" t="e">
        <f t="shared" ca="1" si="952"/>
        <v>#DIV/0!</v>
      </c>
      <c r="N98" s="13" t="e">
        <f t="shared" ca="1" si="952"/>
        <v>#DIV/0!</v>
      </c>
      <c r="O98" s="13" t="e">
        <f t="shared" ca="1" si="952"/>
        <v>#DIV/0!</v>
      </c>
      <c r="P98" s="13" t="e">
        <f t="shared" ca="1" si="952"/>
        <v>#DIV/0!</v>
      </c>
      <c r="Q98" s="13" t="e">
        <f t="shared" ca="1" si="952"/>
        <v>#DIV/0!</v>
      </c>
      <c r="R98" s="13">
        <f t="shared" ca="1" si="952"/>
        <v>0</v>
      </c>
      <c r="S98" s="13">
        <f t="shared" ca="1" si="952"/>
        <v>0</v>
      </c>
      <c r="T98" s="13">
        <f t="shared" ca="1" si="952"/>
        <v>75.13636363636364</v>
      </c>
      <c r="U98" s="13">
        <f t="shared" ca="1" si="952"/>
        <v>103.48214285714286</v>
      </c>
      <c r="V98" s="13">
        <f t="shared" ca="1" si="952"/>
        <v>26.612593206296602</v>
      </c>
      <c r="W98" s="13">
        <f t="shared" ca="1" si="952"/>
        <v>59.749135802469134</v>
      </c>
      <c r="X98" s="13">
        <f t="shared" ca="1" si="952"/>
        <v>31.945054945054945</v>
      </c>
      <c r="Y98" s="13">
        <f t="shared" ca="1" si="952"/>
        <v>55.801874244256346</v>
      </c>
      <c r="Z98" s="13">
        <f t="shared" ref="Z98:AA98" ca="1" si="953">+Z90/Z81</f>
        <v>49.27707286432161</v>
      </c>
      <c r="AA98" s="13">
        <f t="shared" ref="AA98" ca="1" si="954">+AA90/AA81</f>
        <v>49.27707286432161</v>
      </c>
      <c r="AB98" s="60">
        <f t="shared" ca="1" si="952"/>
        <v>36.864892703862665</v>
      </c>
      <c r="AC98" s="60">
        <f t="shared" ca="1" si="952"/>
        <v>36.864892703862701</v>
      </c>
      <c r="AD98" s="60">
        <f t="shared" ca="1" si="952"/>
        <v>36.864892703862715</v>
      </c>
      <c r="AE98" s="60">
        <f t="shared" ca="1" si="952"/>
        <v>36.864892703862694</v>
      </c>
      <c r="AL98" s="13" t="e">
        <f t="shared" ref="AL98:BQ98" si="955">+AL90/AL81</f>
        <v>#DIV/0!</v>
      </c>
      <c r="AM98" s="13" t="e">
        <f t="shared" si="955"/>
        <v>#DIV/0!</v>
      </c>
      <c r="AN98" s="13" t="e">
        <f t="shared" si="955"/>
        <v>#DIV/0!</v>
      </c>
      <c r="AO98" s="13" t="e">
        <f t="shared" si="955"/>
        <v>#DIV/0!</v>
      </c>
      <c r="AP98" s="13" t="e">
        <f t="shared" si="955"/>
        <v>#DIV/0!</v>
      </c>
      <c r="AQ98" s="13" t="e">
        <f t="shared" si="955"/>
        <v>#DIV/0!</v>
      </c>
      <c r="AR98" s="13" t="e">
        <f t="shared" si="955"/>
        <v>#DIV/0!</v>
      </c>
      <c r="AS98" s="13" t="e">
        <f t="shared" si="955"/>
        <v>#DIV/0!</v>
      </c>
      <c r="AT98" s="13" t="e">
        <f t="shared" si="955"/>
        <v>#DIV/0!</v>
      </c>
      <c r="AU98" s="13" t="e">
        <f t="shared" si="955"/>
        <v>#DIV/0!</v>
      </c>
      <c r="AV98" s="13" t="e">
        <f t="shared" si="955"/>
        <v>#DIV/0!</v>
      </c>
      <c r="AW98" s="13" t="e">
        <f t="shared" si="955"/>
        <v>#DIV/0!</v>
      </c>
      <c r="AX98" s="13" t="e">
        <f t="shared" si="955"/>
        <v>#DIV/0!</v>
      </c>
      <c r="AY98" s="13" t="e">
        <f t="shared" si="955"/>
        <v>#DIV/0!</v>
      </c>
      <c r="AZ98" s="13" t="e">
        <f t="shared" si="955"/>
        <v>#DIV/0!</v>
      </c>
      <c r="BA98" s="13" t="e">
        <f t="shared" si="955"/>
        <v>#DIV/0!</v>
      </c>
      <c r="BB98" s="13" t="e">
        <f t="shared" si="955"/>
        <v>#DIV/0!</v>
      </c>
      <c r="BC98" s="13" t="e">
        <f t="shared" si="955"/>
        <v>#DIV/0!</v>
      </c>
      <c r="BD98" s="13" t="e">
        <f t="shared" si="955"/>
        <v>#DIV/0!</v>
      </c>
      <c r="BE98" s="13">
        <f t="shared" si="955"/>
        <v>0</v>
      </c>
      <c r="BF98" s="13">
        <f t="shared" si="955"/>
        <v>0</v>
      </c>
      <c r="BG98" s="13">
        <f t="shared" si="955"/>
        <v>0</v>
      </c>
      <c r="BH98" s="13">
        <f t="shared" si="955"/>
        <v>0</v>
      </c>
      <c r="BI98" s="13">
        <f t="shared" si="955"/>
        <v>104.22596153846155</v>
      </c>
      <c r="BJ98" s="13">
        <f t="shared" si="955"/>
        <v>75.13636363636364</v>
      </c>
      <c r="BK98" s="13">
        <f t="shared" si="955"/>
        <v>57.661691542288565</v>
      </c>
      <c r="BL98" s="13">
        <f t="shared" si="955"/>
        <v>47.323255813953487</v>
      </c>
      <c r="BM98" s="13">
        <f t="shared" si="955"/>
        <v>40.051643192488264</v>
      </c>
      <c r="BN98" s="13">
        <f t="shared" si="955"/>
        <v>77.866071428571431</v>
      </c>
      <c r="BO98" s="13">
        <f t="shared" si="955"/>
        <v>50.666666666666671</v>
      </c>
      <c r="BP98" s="13">
        <f t="shared" si="955"/>
        <v>33.051582278481014</v>
      </c>
      <c r="BQ98" s="13">
        <f t="shared" si="955"/>
        <v>36.175636942675162</v>
      </c>
      <c r="BR98" s="13">
        <f t="shared" ref="BR98:CH98" si="956">+BR90/BR81</f>
        <v>26.093744922826971</v>
      </c>
      <c r="BS98" s="13">
        <f t="shared" si="956"/>
        <v>28.031487101669192</v>
      </c>
      <c r="BT98" s="13">
        <f t="shared" si="956"/>
        <v>37.114110429447848</v>
      </c>
      <c r="BU98" s="13">
        <f t="shared" si="956"/>
        <v>35.403225806451616</v>
      </c>
      <c r="BV98" s="13">
        <f t="shared" si="956"/>
        <v>49.32493827160495</v>
      </c>
      <c r="BW98" s="13">
        <f t="shared" si="956"/>
        <v>42.941046831955923</v>
      </c>
      <c r="BX98" s="13">
        <f t="shared" si="956"/>
        <v>60.486702127659569</v>
      </c>
      <c r="BY98" s="13">
        <f t="shared" si="956"/>
        <v>51.939115168539324</v>
      </c>
      <c r="BZ98" s="13">
        <f t="shared" si="956"/>
        <v>31.945054945054945</v>
      </c>
      <c r="CA98" s="13">
        <f t="shared" si="956"/>
        <v>38.943196060877348</v>
      </c>
      <c r="CB98" s="13">
        <f t="shared" si="956"/>
        <v>39.003895004233698</v>
      </c>
      <c r="CC98" s="13">
        <f t="shared" si="956"/>
        <v>37.09658360128617</v>
      </c>
      <c r="CD98" s="13">
        <f t="shared" si="956"/>
        <v>55.794981862152362</v>
      </c>
      <c r="CE98" s="13">
        <f t="shared" si="956"/>
        <v>41.245583596214509</v>
      </c>
      <c r="CF98" s="13">
        <f t="shared" si="956"/>
        <v>42.88416856492028</v>
      </c>
      <c r="CG98" s="13">
        <f t="shared" si="956"/>
        <v>55.740828402366873</v>
      </c>
      <c r="CH98" s="13">
        <f t="shared" si="956"/>
        <v>45.825565326633168</v>
      </c>
      <c r="CI98" s="13">
        <f t="shared" ref="CI98:CJ98" si="957">+CI90/CI81</f>
        <v>46.159249183895547</v>
      </c>
      <c r="CJ98" s="13">
        <f t="shared" si="957"/>
        <v>42.761992786293959</v>
      </c>
      <c r="CK98" s="13">
        <f t="shared" ref="CK98:CL98" si="958">+CK90/CK81</f>
        <v>36.672212978369387</v>
      </c>
      <c r="CL98" s="13">
        <f t="shared" si="958"/>
        <v>36.864892703862665</v>
      </c>
      <c r="CM98" s="60">
        <f t="shared" ref="CM98:CM99" si="959">+CL98</f>
        <v>36.864892703862665</v>
      </c>
      <c r="CN98" s="60">
        <f t="shared" ref="CN98:CN99" si="960">+CM98</f>
        <v>36.864892703862665</v>
      </c>
      <c r="CO98" s="60">
        <f t="shared" ref="CO98:CO99" si="961">+CN98</f>
        <v>36.864892703862665</v>
      </c>
      <c r="CP98" s="60">
        <f t="shared" ref="CP98:CP99" si="962">+CO98</f>
        <v>36.864892703862665</v>
      </c>
      <c r="CQ98" s="60">
        <f t="shared" ref="CQ98:CQ99" si="963">+CP98</f>
        <v>36.864892703862665</v>
      </c>
      <c r="CR98" s="60">
        <f t="shared" ref="CR98:CR99" si="964">+CQ98</f>
        <v>36.864892703862665</v>
      </c>
      <c r="CS98" s="60">
        <f t="shared" ref="CS98:CS99" si="965">+CR98</f>
        <v>36.864892703862665</v>
      </c>
      <c r="CT98" s="60">
        <f t="shared" ref="CT98:CT99" si="966">+CS98</f>
        <v>36.864892703862665</v>
      </c>
      <c r="CU98" s="60">
        <f t="shared" ref="CU98:CU99" si="967">+CT98</f>
        <v>36.864892703862665</v>
      </c>
      <c r="CV98" s="60">
        <f t="shared" ref="CV98:CV99" si="968">+CU98</f>
        <v>36.864892703862665</v>
      </c>
      <c r="CW98" s="60">
        <f t="shared" ref="CW98:CW99" si="969">+CV98</f>
        <v>36.864892703862665</v>
      </c>
      <c r="CX98" s="60">
        <f t="shared" ref="CX98:CX99" si="970">+CW98</f>
        <v>36.864892703862665</v>
      </c>
      <c r="CY98" s="60">
        <f t="shared" ref="CY98:CY99" si="971">+CX98</f>
        <v>36.864892703862665</v>
      </c>
      <c r="CZ98" s="60">
        <f t="shared" ref="CZ98:CZ99" si="972">+CY98</f>
        <v>36.864892703862665</v>
      </c>
      <c r="DA98" s="60">
        <f t="shared" ref="DA98:DA99" si="973">+CZ98</f>
        <v>36.864892703862665</v>
      </c>
      <c r="DB98" s="60">
        <f t="shared" ref="DB98:DB99" si="974">+DA98</f>
        <v>36.864892703862665</v>
      </c>
      <c r="DE98" s="136"/>
      <c r="DF98" s="13">
        <v>40.706480686695272</v>
      </c>
    </row>
    <row r="99" spans="1:110" s="13" customFormat="1" x14ac:dyDescent="0.2">
      <c r="A99" s="13" t="s">
        <v>462</v>
      </c>
      <c r="B99" s="13" t="e">
        <f t="shared" ref="B99:D99" si="975">+B91/B81</f>
        <v>#DIV/0!</v>
      </c>
      <c r="C99" s="13" t="e">
        <f t="shared" si="975"/>
        <v>#DIV/0!</v>
      </c>
      <c r="D99" s="13" t="e">
        <f t="shared" si="975"/>
        <v>#DIV/0!</v>
      </c>
      <c r="E99" s="13" t="e">
        <f t="shared" ref="E99:AE99" ca="1" si="976">+E91/E81</f>
        <v>#DIV/0!</v>
      </c>
      <c r="F99" s="13" t="e">
        <f t="shared" ca="1" si="976"/>
        <v>#DIV/0!</v>
      </c>
      <c r="G99" s="13" t="e">
        <f t="shared" ca="1" si="976"/>
        <v>#DIV/0!</v>
      </c>
      <c r="H99" s="13" t="e">
        <f t="shared" ca="1" si="976"/>
        <v>#DIV/0!</v>
      </c>
      <c r="I99" s="13" t="e">
        <f t="shared" ca="1" si="976"/>
        <v>#DIV/0!</v>
      </c>
      <c r="J99" s="13" t="e">
        <f t="shared" ca="1" si="976"/>
        <v>#DIV/0!</v>
      </c>
      <c r="K99" s="13" t="e">
        <f t="shared" ca="1" si="976"/>
        <v>#DIV/0!</v>
      </c>
      <c r="L99" s="13" t="e">
        <f t="shared" ca="1" si="976"/>
        <v>#DIV/0!</v>
      </c>
      <c r="M99" s="13" t="e">
        <f t="shared" ca="1" si="976"/>
        <v>#DIV/0!</v>
      </c>
      <c r="N99" s="13" t="e">
        <f t="shared" ca="1" si="976"/>
        <v>#DIV/0!</v>
      </c>
      <c r="O99" s="13" t="e">
        <f t="shared" ca="1" si="976"/>
        <v>#DIV/0!</v>
      </c>
      <c r="P99" s="13" t="e">
        <f t="shared" ca="1" si="976"/>
        <v>#DIV/0!</v>
      </c>
      <c r="Q99" s="13" t="e">
        <f t="shared" ca="1" si="976"/>
        <v>#DIV/0!</v>
      </c>
      <c r="R99" s="13">
        <f t="shared" ca="1" si="976"/>
        <v>0</v>
      </c>
      <c r="S99" s="13">
        <f t="shared" ca="1" si="976"/>
        <v>0</v>
      </c>
      <c r="T99" s="13">
        <f t="shared" ca="1" si="976"/>
        <v>55.70454545454546</v>
      </c>
      <c r="U99" s="13">
        <f t="shared" ca="1" si="976"/>
        <v>34.4375</v>
      </c>
      <c r="V99" s="13">
        <f t="shared" ca="1" si="976"/>
        <v>6.5642087821043908</v>
      </c>
      <c r="W99" s="13">
        <f t="shared" ca="1" si="976"/>
        <v>30.011790123456795</v>
      </c>
      <c r="X99" s="13">
        <f t="shared" ca="1" si="976"/>
        <v>19.475401521555366</v>
      </c>
      <c r="Y99" s="13">
        <f t="shared" ca="1" si="976"/>
        <v>41.469165659008461</v>
      </c>
      <c r="Z99" s="13">
        <f t="shared" ref="Z99:AA99" ca="1" si="977">+Z91/Z81</f>
        <v>38.238693467336688</v>
      </c>
      <c r="AA99" s="13">
        <f t="shared" ref="AA99" ca="1" si="978">+AA91/AA81</f>
        <v>38.238693467336688</v>
      </c>
      <c r="AB99" s="60">
        <f t="shared" ca="1" si="976"/>
        <v>24.557803819290324</v>
      </c>
      <c r="AC99" s="60">
        <f t="shared" ca="1" si="976"/>
        <v>23.035528779616516</v>
      </c>
      <c r="AD99" s="60">
        <f t="shared" ca="1" si="976"/>
        <v>24.923486425203397</v>
      </c>
      <c r="AE99" s="60">
        <f t="shared" ca="1" si="976"/>
        <v>24.341254105580624</v>
      </c>
      <c r="AL99" s="13" t="e">
        <f t="shared" ref="AL99:BQ99" si="979">+AL91/AL81</f>
        <v>#DIV/0!</v>
      </c>
      <c r="AM99" s="13" t="e">
        <f t="shared" si="979"/>
        <v>#DIV/0!</v>
      </c>
      <c r="AN99" s="13" t="e">
        <f t="shared" si="979"/>
        <v>#DIV/0!</v>
      </c>
      <c r="AO99" s="13" t="e">
        <f t="shared" si="979"/>
        <v>#DIV/0!</v>
      </c>
      <c r="AP99" s="13" t="e">
        <f t="shared" si="979"/>
        <v>#DIV/0!</v>
      </c>
      <c r="AQ99" s="13" t="e">
        <f t="shared" si="979"/>
        <v>#DIV/0!</v>
      </c>
      <c r="AR99" s="13" t="e">
        <f t="shared" si="979"/>
        <v>#DIV/0!</v>
      </c>
      <c r="AS99" s="13" t="e">
        <f t="shared" si="979"/>
        <v>#DIV/0!</v>
      </c>
      <c r="AT99" s="13" t="e">
        <f t="shared" si="979"/>
        <v>#DIV/0!</v>
      </c>
      <c r="AU99" s="13" t="e">
        <f t="shared" si="979"/>
        <v>#DIV/0!</v>
      </c>
      <c r="AV99" s="13" t="e">
        <f t="shared" si="979"/>
        <v>#DIV/0!</v>
      </c>
      <c r="AW99" s="13" t="e">
        <f t="shared" si="979"/>
        <v>#DIV/0!</v>
      </c>
      <c r="AX99" s="13" t="e">
        <f t="shared" si="979"/>
        <v>#DIV/0!</v>
      </c>
      <c r="AY99" s="13" t="e">
        <f t="shared" si="979"/>
        <v>#DIV/0!</v>
      </c>
      <c r="AZ99" s="13" t="e">
        <f t="shared" si="979"/>
        <v>#DIV/0!</v>
      </c>
      <c r="BA99" s="13" t="e">
        <f t="shared" si="979"/>
        <v>#DIV/0!</v>
      </c>
      <c r="BB99" s="13" t="e">
        <f t="shared" si="979"/>
        <v>#DIV/0!</v>
      </c>
      <c r="BC99" s="13" t="e">
        <f t="shared" si="979"/>
        <v>#DIV/0!</v>
      </c>
      <c r="BD99" s="13" t="e">
        <f t="shared" si="979"/>
        <v>#DIV/0!</v>
      </c>
      <c r="BE99" s="13">
        <f t="shared" si="979"/>
        <v>0</v>
      </c>
      <c r="BF99" s="13">
        <f t="shared" si="979"/>
        <v>0</v>
      </c>
      <c r="BG99" s="13">
        <f t="shared" si="979"/>
        <v>0</v>
      </c>
      <c r="BH99" s="13">
        <f t="shared" si="979"/>
        <v>0</v>
      </c>
      <c r="BI99" s="13">
        <f t="shared" si="979"/>
        <v>0</v>
      </c>
      <c r="BJ99" s="13">
        <f t="shared" si="979"/>
        <v>55.70454545454546</v>
      </c>
      <c r="BK99" s="13">
        <f t="shared" si="979"/>
        <v>46.320771144278609</v>
      </c>
      <c r="BL99" s="13">
        <f t="shared" si="979"/>
        <v>33.227906976744187</v>
      </c>
      <c r="BM99" s="13">
        <f t="shared" si="979"/>
        <v>33.941314553990608</v>
      </c>
      <c r="BN99" s="13">
        <f t="shared" si="979"/>
        <v>34.4375</v>
      </c>
      <c r="BO99" s="13">
        <f t="shared" si="979"/>
        <v>29.344444444444445</v>
      </c>
      <c r="BP99" s="13">
        <f t="shared" si="979"/>
        <v>26.133016877637136</v>
      </c>
      <c r="BQ99" s="13">
        <f t="shared" si="979"/>
        <v>22.388535031847134</v>
      </c>
      <c r="BR99" s="13">
        <f t="shared" ref="BR99:CH99" si="980">+BR91/BR81</f>
        <v>16.423192526401301</v>
      </c>
      <c r="BS99" s="13">
        <f t="shared" si="980"/>
        <v>20.267147192716234</v>
      </c>
      <c r="BT99" s="13">
        <f t="shared" si="980"/>
        <v>26.778489263803678</v>
      </c>
      <c r="BU99" s="13">
        <f t="shared" si="980"/>
        <v>28.329838709677421</v>
      </c>
      <c r="BV99" s="13">
        <f t="shared" si="980"/>
        <v>30.011790123456795</v>
      </c>
      <c r="BW99" s="13">
        <f t="shared" si="980"/>
        <v>31.734710743801653</v>
      </c>
      <c r="BX99" s="13">
        <f t="shared" si="980"/>
        <v>42.925177304964535</v>
      </c>
      <c r="BY99" s="13">
        <f t="shared" si="980"/>
        <v>39.442345505617979</v>
      </c>
      <c r="BZ99" s="13">
        <f t="shared" si="980"/>
        <v>26.901944209636518</v>
      </c>
      <c r="CA99" s="13">
        <f t="shared" si="980"/>
        <v>32.079722470904208</v>
      </c>
      <c r="CB99" s="13">
        <f t="shared" si="980"/>
        <v>30.197290431837423</v>
      </c>
      <c r="CC99" s="13">
        <f t="shared" si="980"/>
        <v>30.516077170418008</v>
      </c>
      <c r="CD99" s="13">
        <f t="shared" si="980"/>
        <v>41.469165659008461</v>
      </c>
      <c r="CE99" s="13">
        <f t="shared" si="980"/>
        <v>33.249001051524708</v>
      </c>
      <c r="CF99" s="13">
        <f t="shared" si="980"/>
        <v>36.917995444191348</v>
      </c>
      <c r="CG99" s="13">
        <f t="shared" si="980"/>
        <v>47.136020710059178</v>
      </c>
      <c r="CH99" s="13">
        <f t="shared" si="980"/>
        <v>38.238693467336688</v>
      </c>
      <c r="CI99" s="13">
        <f t="shared" ref="CI99:CJ99" si="981">+CI91/CI81</f>
        <v>35.437377584330797</v>
      </c>
      <c r="CJ99" s="13">
        <f t="shared" si="981"/>
        <v>36.350135256988274</v>
      </c>
      <c r="CK99" s="13">
        <f t="shared" ref="CK99:CL99" si="982">+CK91/CK81</f>
        <v>30.561231281198008</v>
      </c>
      <c r="CL99" s="13">
        <f t="shared" si="982"/>
        <v>28.075965665236055</v>
      </c>
      <c r="CM99" s="60">
        <f t="shared" si="959"/>
        <v>28.075965665236055</v>
      </c>
      <c r="CN99" s="60">
        <f t="shared" si="960"/>
        <v>28.075965665236055</v>
      </c>
      <c r="CO99" s="60">
        <f t="shared" si="961"/>
        <v>28.075965665236055</v>
      </c>
      <c r="CP99" s="60">
        <f t="shared" si="962"/>
        <v>28.075965665236055</v>
      </c>
      <c r="CQ99" s="60">
        <f t="shared" si="963"/>
        <v>28.075965665236055</v>
      </c>
      <c r="CR99" s="60">
        <f t="shared" si="964"/>
        <v>28.075965665236055</v>
      </c>
      <c r="CS99" s="60">
        <f t="shared" si="965"/>
        <v>28.075965665236055</v>
      </c>
      <c r="CT99" s="60">
        <f t="shared" si="966"/>
        <v>28.075965665236055</v>
      </c>
      <c r="CU99" s="60">
        <f t="shared" si="967"/>
        <v>28.075965665236055</v>
      </c>
      <c r="CV99" s="60">
        <f t="shared" si="968"/>
        <v>28.075965665236055</v>
      </c>
      <c r="CW99" s="60">
        <f t="shared" si="969"/>
        <v>28.075965665236055</v>
      </c>
      <c r="CX99" s="60">
        <f t="shared" si="970"/>
        <v>28.075965665236055</v>
      </c>
      <c r="CY99" s="60">
        <f t="shared" si="971"/>
        <v>28.075965665236055</v>
      </c>
      <c r="CZ99" s="60">
        <f t="shared" si="972"/>
        <v>28.075965665236055</v>
      </c>
      <c r="DA99" s="60">
        <f t="shared" si="973"/>
        <v>28.075965665236055</v>
      </c>
      <c r="DB99" s="60">
        <f t="shared" si="974"/>
        <v>28.075965665236055</v>
      </c>
      <c r="DE99" s="136"/>
      <c r="DF99" s="13">
        <v>27.954463519313304</v>
      </c>
    </row>
    <row r="100" spans="1:110" s="13" customFormat="1" x14ac:dyDescent="0.2">
      <c r="AB100" s="60"/>
      <c r="AC100" s="60"/>
      <c r="AD100" s="60"/>
      <c r="AE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  <c r="CZ100" s="60"/>
      <c r="DA100" s="60"/>
      <c r="DB100" s="60"/>
      <c r="DE100" s="136"/>
    </row>
    <row r="101" spans="1:110" s="13" customFormat="1" x14ac:dyDescent="0.2">
      <c r="A101" s="13" t="s">
        <v>463</v>
      </c>
      <c r="B101" s="13" t="e">
        <f t="shared" ref="B101:AD101" si="983">+B90/C81</f>
        <v>#DIV/0!</v>
      </c>
      <c r="C101" s="13" t="e">
        <f t="shared" si="983"/>
        <v>#DIV/0!</v>
      </c>
      <c r="D101" s="13" t="e">
        <f t="shared" ca="1" si="983"/>
        <v>#DIV/0!</v>
      </c>
      <c r="E101" s="13" t="e">
        <f t="shared" ca="1" si="983"/>
        <v>#DIV/0!</v>
      </c>
      <c r="F101" s="13" t="e">
        <f t="shared" ca="1" si="983"/>
        <v>#DIV/0!</v>
      </c>
      <c r="G101" s="13" t="e">
        <f t="shared" ca="1" si="983"/>
        <v>#DIV/0!</v>
      </c>
      <c r="H101" s="13" t="e">
        <f t="shared" ca="1" si="983"/>
        <v>#DIV/0!</v>
      </c>
      <c r="I101" s="13" t="e">
        <f t="shared" ca="1" si="983"/>
        <v>#DIV/0!</v>
      </c>
      <c r="J101" s="13" t="e">
        <f t="shared" ca="1" si="983"/>
        <v>#DIV/0!</v>
      </c>
      <c r="K101" s="13" t="e">
        <f t="shared" ca="1" si="983"/>
        <v>#DIV/0!</v>
      </c>
      <c r="L101" s="13" t="e">
        <f t="shared" ca="1" si="983"/>
        <v>#DIV/0!</v>
      </c>
      <c r="M101" s="13" t="e">
        <f t="shared" ca="1" si="983"/>
        <v>#DIV/0!</v>
      </c>
      <c r="N101" s="13" t="e">
        <f t="shared" ca="1" si="983"/>
        <v>#DIV/0!</v>
      </c>
      <c r="O101" s="13" t="e">
        <f t="shared" ca="1" si="983"/>
        <v>#DIV/0!</v>
      </c>
      <c r="P101" s="13" t="e">
        <f t="shared" ca="1" si="983"/>
        <v>#DIV/0!</v>
      </c>
      <c r="Q101" s="13">
        <f t="shared" ca="1" si="983"/>
        <v>0</v>
      </c>
      <c r="R101" s="13">
        <f t="shared" ca="1" si="983"/>
        <v>0</v>
      </c>
      <c r="S101" s="13">
        <f t="shared" ca="1" si="983"/>
        <v>0</v>
      </c>
      <c r="T101" s="13">
        <f t="shared" ca="1" si="983"/>
        <v>103.3125</v>
      </c>
      <c r="U101" s="13">
        <f t="shared" ca="1" si="983"/>
        <v>19.204639602319801</v>
      </c>
      <c r="V101" s="13">
        <f t="shared" ca="1" si="983"/>
        <v>39.656049382716049</v>
      </c>
      <c r="W101" s="13">
        <f t="shared" ca="1" si="983"/>
        <v>40.910228233305155</v>
      </c>
      <c r="X101" s="13">
        <f t="shared" ca="1" si="983"/>
        <v>45.696493349455864</v>
      </c>
      <c r="Y101" s="13">
        <f t="shared" ca="1" si="983"/>
        <v>57.975062814070355</v>
      </c>
      <c r="Z101" s="13">
        <f t="shared" ref="Z101:AA101" ca="1" si="984">+Z90/AA81</f>
        <v>33.669141630901287</v>
      </c>
      <c r="AA101" s="13">
        <f t="shared" ca="1" si="984"/>
        <v>33.669141630901287</v>
      </c>
      <c r="AB101" s="37">
        <f t="shared" ca="1" si="983"/>
        <v>29.031600015972767</v>
      </c>
      <c r="AC101" s="37">
        <f t="shared" ca="1" si="983"/>
        <v>31.546131257429124</v>
      </c>
      <c r="AD101" s="37">
        <f t="shared" ca="1" si="983"/>
        <v>30.458298014082459</v>
      </c>
      <c r="AE101" s="37"/>
      <c r="AL101" s="13" t="e">
        <f t="shared" ref="AL101:BQ101" si="985">+AL90/AP81</f>
        <v>#DIV/0!</v>
      </c>
      <c r="AM101" s="13" t="e">
        <f t="shared" si="985"/>
        <v>#DIV/0!</v>
      </c>
      <c r="AN101" s="13" t="e">
        <f t="shared" si="985"/>
        <v>#DIV/0!</v>
      </c>
      <c r="AO101" s="13" t="e">
        <f t="shared" si="985"/>
        <v>#DIV/0!</v>
      </c>
      <c r="AP101" s="13" t="e">
        <f t="shared" si="985"/>
        <v>#DIV/0!</v>
      </c>
      <c r="AQ101" s="13" t="e">
        <f t="shared" si="985"/>
        <v>#DIV/0!</v>
      </c>
      <c r="AR101" s="13" t="e">
        <f t="shared" si="985"/>
        <v>#DIV/0!</v>
      </c>
      <c r="AS101" s="13" t="e">
        <f t="shared" si="985"/>
        <v>#DIV/0!</v>
      </c>
      <c r="AT101" s="13" t="e">
        <f t="shared" si="985"/>
        <v>#DIV/0!</v>
      </c>
      <c r="AU101" s="13" t="e">
        <f t="shared" si="985"/>
        <v>#DIV/0!</v>
      </c>
      <c r="AV101" s="13" t="e">
        <f t="shared" si="985"/>
        <v>#DIV/0!</v>
      </c>
      <c r="AW101" s="13" t="e">
        <f t="shared" si="985"/>
        <v>#DIV/0!</v>
      </c>
      <c r="AX101" s="13" t="e">
        <f t="shared" si="985"/>
        <v>#DIV/0!</v>
      </c>
      <c r="AY101" s="13" t="e">
        <f t="shared" si="985"/>
        <v>#DIV/0!</v>
      </c>
      <c r="AZ101" s="13" t="e">
        <f t="shared" si="985"/>
        <v>#DIV/0!</v>
      </c>
      <c r="BA101" s="13">
        <f t="shared" si="985"/>
        <v>0</v>
      </c>
      <c r="BB101" s="13">
        <f t="shared" si="985"/>
        <v>0</v>
      </c>
      <c r="BC101" s="13">
        <f t="shared" si="985"/>
        <v>0</v>
      </c>
      <c r="BD101" s="13">
        <f t="shared" si="985"/>
        <v>0</v>
      </c>
      <c r="BE101" s="13">
        <f t="shared" si="985"/>
        <v>0</v>
      </c>
      <c r="BF101" s="13">
        <f t="shared" si="985"/>
        <v>0</v>
      </c>
      <c r="BG101" s="13">
        <f t="shared" si="985"/>
        <v>0</v>
      </c>
      <c r="BH101" s="13">
        <f t="shared" si="985"/>
        <v>0</v>
      </c>
      <c r="BI101" s="13">
        <f t="shared" si="985"/>
        <v>50.889671361502344</v>
      </c>
      <c r="BJ101" s="13">
        <f t="shared" si="985"/>
        <v>103.3125</v>
      </c>
      <c r="BK101" s="13">
        <f t="shared" si="985"/>
        <v>85.851851851851862</v>
      </c>
      <c r="BL101" s="13">
        <f t="shared" si="985"/>
        <v>42.930379746835449</v>
      </c>
      <c r="BM101" s="13">
        <f t="shared" si="985"/>
        <v>27.168789808917197</v>
      </c>
      <c r="BN101" s="13">
        <f t="shared" si="985"/>
        <v>14.168968318440294</v>
      </c>
      <c r="BO101" s="13">
        <f t="shared" si="985"/>
        <v>10.379362670713201</v>
      </c>
      <c r="BP101" s="13">
        <f t="shared" si="985"/>
        <v>12.014148773006134</v>
      </c>
      <c r="BQ101" s="13">
        <f t="shared" si="985"/>
        <v>19.285483870967742</v>
      </c>
      <c r="BR101" s="13">
        <f t="shared" ref="BR101:CL101" si="986">+BR90/BV81</f>
        <v>39.656049382716049</v>
      </c>
      <c r="BS101" s="13">
        <f t="shared" si="986"/>
        <v>50.889118457300277</v>
      </c>
      <c r="BT101" s="13">
        <f t="shared" si="986"/>
        <v>85.809929078014179</v>
      </c>
      <c r="BU101" s="13">
        <f t="shared" si="986"/>
        <v>58.574438202247194</v>
      </c>
      <c r="BV101" s="13">
        <f t="shared" si="986"/>
        <v>33.772781065088758</v>
      </c>
      <c r="BW101" s="13">
        <f t="shared" si="986"/>
        <v>27.909758281110115</v>
      </c>
      <c r="BX101" s="13">
        <f t="shared" si="986"/>
        <v>28.886113463166804</v>
      </c>
      <c r="BY101" s="13">
        <f t="shared" si="986"/>
        <v>29.727210610932474</v>
      </c>
      <c r="BZ101" s="13">
        <f t="shared" si="986"/>
        <v>45.696493349455864</v>
      </c>
      <c r="CA101" s="13">
        <f t="shared" si="986"/>
        <v>45.740851735015767</v>
      </c>
      <c r="CB101" s="13">
        <f t="shared" si="986"/>
        <v>52.464236902050125</v>
      </c>
      <c r="CC101" s="13">
        <f t="shared" si="986"/>
        <v>68.266494082840239</v>
      </c>
      <c r="CD101" s="13">
        <f t="shared" si="986"/>
        <v>57.96790201005026</v>
      </c>
      <c r="CE101" s="13">
        <f t="shared" si="986"/>
        <v>42.681773667029383</v>
      </c>
      <c r="CF101" s="13">
        <f t="shared" si="986"/>
        <v>33.951577998196576</v>
      </c>
      <c r="CG101" s="13">
        <f t="shared" si="986"/>
        <v>31.348419301164729</v>
      </c>
      <c r="CH101" s="13">
        <f t="shared" si="986"/>
        <v>31.310858369098714</v>
      </c>
      <c r="CI101" s="13">
        <f t="shared" si="986"/>
        <v>40.430850078536537</v>
      </c>
      <c r="CJ101" s="13">
        <f t="shared" si="986"/>
        <v>45.820271945676431</v>
      </c>
      <c r="CK101" s="13">
        <f t="shared" si="986"/>
        <v>38.647724360849011</v>
      </c>
      <c r="CL101" s="13">
        <f t="shared" si="986"/>
        <v>36.296262150545665</v>
      </c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E101" s="134"/>
      <c r="DF101" s="13">
        <v>40.078594724232197</v>
      </c>
    </row>
    <row r="102" spans="1:110" s="98" customFormat="1" x14ac:dyDescent="0.2">
      <c r="A102" s="98" t="s">
        <v>426</v>
      </c>
      <c r="AB102" s="99"/>
      <c r="AC102" s="99"/>
      <c r="AD102" s="99"/>
      <c r="AE102" s="99"/>
      <c r="AL102" s="175"/>
      <c r="AM102" s="175"/>
      <c r="AN102" s="175"/>
      <c r="AO102" s="175" t="e">
        <f t="shared" ref="AO102:CI102" si="987">+CORREL(AL81:AO81,AL98:AO98)</f>
        <v>#DIV/0!</v>
      </c>
      <c r="AP102" s="175" t="e">
        <f t="shared" si="987"/>
        <v>#DIV/0!</v>
      </c>
      <c r="AQ102" s="175" t="e">
        <f t="shared" si="987"/>
        <v>#DIV/0!</v>
      </c>
      <c r="AR102" s="175" t="e">
        <f t="shared" si="987"/>
        <v>#DIV/0!</v>
      </c>
      <c r="AS102" s="175" t="e">
        <f t="shared" si="987"/>
        <v>#DIV/0!</v>
      </c>
      <c r="AT102" s="175" t="e">
        <f t="shared" si="987"/>
        <v>#DIV/0!</v>
      </c>
      <c r="AU102" s="175" t="e">
        <f t="shared" si="987"/>
        <v>#DIV/0!</v>
      </c>
      <c r="AV102" s="175" t="e">
        <f t="shared" si="987"/>
        <v>#DIV/0!</v>
      </c>
      <c r="AW102" s="175" t="e">
        <f t="shared" si="987"/>
        <v>#DIV/0!</v>
      </c>
      <c r="AX102" s="175" t="e">
        <f t="shared" si="987"/>
        <v>#DIV/0!</v>
      </c>
      <c r="AY102" s="175" t="e">
        <f t="shared" si="987"/>
        <v>#DIV/0!</v>
      </c>
      <c r="AZ102" s="175" t="e">
        <f t="shared" si="987"/>
        <v>#DIV/0!</v>
      </c>
      <c r="BA102" s="175" t="e">
        <f t="shared" si="987"/>
        <v>#DIV/0!</v>
      </c>
      <c r="BB102" s="175" t="e">
        <f t="shared" si="987"/>
        <v>#DIV/0!</v>
      </c>
      <c r="BC102" s="175" t="e">
        <f t="shared" si="987"/>
        <v>#DIV/0!</v>
      </c>
      <c r="BD102" s="175" t="e">
        <f t="shared" si="987"/>
        <v>#DIV/0!</v>
      </c>
      <c r="BE102" s="175" t="e">
        <f t="shared" si="987"/>
        <v>#DIV/0!</v>
      </c>
      <c r="BF102" s="175" t="e">
        <f t="shared" si="987"/>
        <v>#DIV/0!</v>
      </c>
      <c r="BG102" s="175" t="e">
        <f t="shared" si="987"/>
        <v>#DIV/0!</v>
      </c>
      <c r="BH102" s="175" t="e">
        <f t="shared" si="987"/>
        <v>#DIV/0!</v>
      </c>
      <c r="BI102" s="175">
        <f t="shared" si="987"/>
        <v>-0.15953272168900531</v>
      </c>
      <c r="BJ102" s="175">
        <f t="shared" si="987"/>
        <v>0.10786014739853174</v>
      </c>
      <c r="BK102" s="175">
        <f t="shared" si="987"/>
        <v>-1.7633127561480472E-2</v>
      </c>
      <c r="BL102" s="175">
        <f t="shared" si="987"/>
        <v>-0.9949188409627322</v>
      </c>
      <c r="BM102" s="175">
        <f t="shared" si="987"/>
        <v>-0.94662953246438897</v>
      </c>
      <c r="BN102" s="175">
        <f t="shared" si="987"/>
        <v>-0.93795542921374964</v>
      </c>
      <c r="BO102" s="175">
        <f t="shared" si="987"/>
        <v>-0.82333639980418205</v>
      </c>
      <c r="BP102" s="175">
        <f t="shared" si="987"/>
        <v>-0.90359741924232184</v>
      </c>
      <c r="BQ102" s="175">
        <f t="shared" si="987"/>
        <v>-0.81782895292940505</v>
      </c>
      <c r="BR102" s="175">
        <f t="shared" si="987"/>
        <v>-0.84248628674308179</v>
      </c>
      <c r="BS102" s="175">
        <f t="shared" si="987"/>
        <v>-0.8763193308468572</v>
      </c>
      <c r="BT102" s="175">
        <f t="shared" si="987"/>
        <v>-0.4601271811688451</v>
      </c>
      <c r="BU102" s="175">
        <f t="shared" si="987"/>
        <v>-0.10915496413891018</v>
      </c>
      <c r="BV102" s="175">
        <f t="shared" si="987"/>
        <v>-0.91287074895523312</v>
      </c>
      <c r="BW102" s="175">
        <f t="shared" si="987"/>
        <v>-0.81061586436252886</v>
      </c>
      <c r="BX102" s="175">
        <f t="shared" si="987"/>
        <v>-0.87521352518565232</v>
      </c>
      <c r="BY102" s="175">
        <f t="shared" si="987"/>
        <v>-0.75093364229975212</v>
      </c>
      <c r="BZ102" s="175">
        <f t="shared" si="987"/>
        <v>-0.92325871165062623</v>
      </c>
      <c r="CA102" s="175">
        <f t="shared" si="987"/>
        <v>-0.98755997444452037</v>
      </c>
      <c r="CB102" s="175">
        <f t="shared" si="987"/>
        <v>-0.93704411208451943</v>
      </c>
      <c r="CC102" s="175">
        <f t="shared" si="987"/>
        <v>-0.24795437459914946</v>
      </c>
      <c r="CD102" s="175">
        <f t="shared" si="987"/>
        <v>-0.97882318260681833</v>
      </c>
      <c r="CE102" s="175">
        <f t="shared" si="987"/>
        <v>-0.8726223997393977</v>
      </c>
      <c r="CF102" s="175">
        <f t="shared" si="987"/>
        <v>-0.75969385738219597</v>
      </c>
      <c r="CG102" s="175">
        <f t="shared" si="987"/>
        <v>-0.82583873976510913</v>
      </c>
      <c r="CH102" s="175">
        <f t="shared" si="987"/>
        <v>-0.96230303821971508</v>
      </c>
      <c r="CI102" s="175">
        <f t="shared" si="987"/>
        <v>-0.86000475925470232</v>
      </c>
      <c r="CJ102" s="175">
        <f>+CORREL(CG81:CJ81,CG98:CJ98)</f>
        <v>-0.85764239920932039</v>
      </c>
      <c r="CK102" s="175">
        <f>+CORREL(CH81:CK81,CH98:CK98)</f>
        <v>-0.88266909935183702</v>
      </c>
      <c r="CL102" s="175">
        <f>+CORREL(CI81:CL81,CI98:CL98)</f>
        <v>-0.92836271960695438</v>
      </c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99"/>
      <c r="CX102" s="99"/>
      <c r="CY102" s="99"/>
      <c r="CZ102" s="99"/>
      <c r="DA102" s="99"/>
      <c r="DB102" s="99"/>
      <c r="DE102" s="137"/>
    </row>
    <row r="103" spans="1:110" s="4" customFormat="1" x14ac:dyDescent="0.2">
      <c r="A103" s="3"/>
      <c r="AB103" s="17"/>
      <c r="AC103" s="17"/>
      <c r="AD103" s="17"/>
      <c r="AE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E103" s="119"/>
    </row>
    <row r="104" spans="1:110" s="162" customFormat="1" x14ac:dyDescent="0.2">
      <c r="A104" s="49" t="s">
        <v>505</v>
      </c>
      <c r="E104" s="162">
        <f t="shared" ref="E104:AE104" ca="1" si="988">+E$132/E$77</f>
        <v>0</v>
      </c>
      <c r="F104" s="162">
        <f t="shared" ca="1" si="988"/>
        <v>0</v>
      </c>
      <c r="G104" s="162">
        <f t="shared" ca="1" si="988"/>
        <v>0</v>
      </c>
      <c r="H104" s="162">
        <f t="shared" ca="1" si="988"/>
        <v>0</v>
      </c>
      <c r="I104" s="162">
        <f t="shared" ca="1" si="988"/>
        <v>0</v>
      </c>
      <c r="J104" s="162">
        <f t="shared" ca="1" si="988"/>
        <v>0</v>
      </c>
      <c r="K104" s="162">
        <f t="shared" ca="1" si="988"/>
        <v>0</v>
      </c>
      <c r="L104" s="162">
        <f t="shared" ca="1" si="988"/>
        <v>0</v>
      </c>
      <c r="M104" s="162">
        <f t="shared" ca="1" si="988"/>
        <v>0</v>
      </c>
      <c r="N104" s="162">
        <f t="shared" ca="1" si="988"/>
        <v>0</v>
      </c>
      <c r="O104" s="162">
        <f t="shared" ca="1" si="988"/>
        <v>0</v>
      </c>
      <c r="P104" s="162">
        <f t="shared" ca="1" si="988"/>
        <v>0</v>
      </c>
      <c r="Q104" s="162">
        <f t="shared" ca="1" si="988"/>
        <v>0</v>
      </c>
      <c r="R104" s="162">
        <f t="shared" ca="1" si="988"/>
        <v>506.78947368421052</v>
      </c>
      <c r="S104" s="162">
        <f t="shared" ca="1" si="988"/>
        <v>543.9473684210526</v>
      </c>
      <c r="T104" s="162">
        <f t="shared" ca="1" si="988"/>
        <v>559.9473684210526</v>
      </c>
      <c r="U104" s="162">
        <f t="shared" ca="1" si="988"/>
        <v>555.84210526315792</v>
      </c>
      <c r="V104" s="162">
        <f t="shared" ca="1" si="988"/>
        <v>674.21052631578948</v>
      </c>
      <c r="W104" s="162">
        <f t="shared" ca="1" si="988"/>
        <v>845.31578947368416</v>
      </c>
      <c r="X104" s="162">
        <f t="shared" ca="1" si="988"/>
        <v>822.52631578947364</v>
      </c>
      <c r="Y104" s="162">
        <f t="shared" ca="1" si="988"/>
        <v>863</v>
      </c>
      <c r="Z104" s="162">
        <f t="shared" ca="1" si="988"/>
        <v>914.42105263157896</v>
      </c>
      <c r="AA104" s="162">
        <f t="shared" ca="1" si="988"/>
        <v>914.42105263157896</v>
      </c>
      <c r="AB104" s="21">
        <f t="shared" ca="1" si="988"/>
        <v>1008.5395430118755</v>
      </c>
      <c r="AC104" s="21">
        <f t="shared" ca="1" si="988"/>
        <v>1087.6193131266682</v>
      </c>
      <c r="AD104" s="21">
        <f t="shared" ca="1" si="988"/>
        <v>1180.0321423429743</v>
      </c>
      <c r="AE104" s="21">
        <f t="shared" ca="1" si="988"/>
        <v>1291.8830747865522</v>
      </c>
      <c r="AL104" s="162">
        <f t="shared" ref="AL104:BQ104" si="989">+AL$132/AL$77</f>
        <v>0</v>
      </c>
      <c r="AM104" s="162">
        <f t="shared" si="989"/>
        <v>0</v>
      </c>
      <c r="AN104" s="162">
        <f t="shared" si="989"/>
        <v>0</v>
      </c>
      <c r="AO104" s="162">
        <f t="shared" si="989"/>
        <v>0</v>
      </c>
      <c r="AP104" s="162">
        <f t="shared" si="989"/>
        <v>0</v>
      </c>
      <c r="AQ104" s="162">
        <f t="shared" si="989"/>
        <v>0</v>
      </c>
      <c r="AR104" s="162">
        <f t="shared" si="989"/>
        <v>0</v>
      </c>
      <c r="AS104" s="162">
        <f t="shared" si="989"/>
        <v>0</v>
      </c>
      <c r="AT104" s="162">
        <f t="shared" si="989"/>
        <v>0</v>
      </c>
      <c r="AU104" s="162">
        <f t="shared" si="989"/>
        <v>0</v>
      </c>
      <c r="AV104" s="162">
        <f t="shared" si="989"/>
        <v>0</v>
      </c>
      <c r="AW104" s="162">
        <f t="shared" si="989"/>
        <v>0</v>
      </c>
      <c r="AX104" s="162">
        <f t="shared" si="989"/>
        <v>0</v>
      </c>
      <c r="AY104" s="162">
        <f t="shared" si="989"/>
        <v>0</v>
      </c>
      <c r="AZ104" s="162">
        <f t="shared" si="989"/>
        <v>0</v>
      </c>
      <c r="BA104" s="162">
        <f t="shared" si="989"/>
        <v>0</v>
      </c>
      <c r="BB104" s="162">
        <f t="shared" si="989"/>
        <v>0</v>
      </c>
      <c r="BC104" s="162">
        <f t="shared" si="989"/>
        <v>0</v>
      </c>
      <c r="BD104" s="162">
        <f t="shared" si="989"/>
        <v>0</v>
      </c>
      <c r="BE104" s="162">
        <f t="shared" si="989"/>
        <v>2.7894736842105261</v>
      </c>
      <c r="BF104" s="162">
        <f t="shared" si="989"/>
        <v>0</v>
      </c>
      <c r="BG104" s="162">
        <f t="shared" si="989"/>
        <v>2.7894736842105261</v>
      </c>
      <c r="BH104" s="162">
        <f t="shared" si="989"/>
        <v>0</v>
      </c>
      <c r="BI104" s="162">
        <f t="shared" si="989"/>
        <v>1.4736842105263157</v>
      </c>
      <c r="BJ104" s="162">
        <f t="shared" si="989"/>
        <v>559.9473684210526</v>
      </c>
      <c r="BK104" s="162">
        <f t="shared" si="989"/>
        <v>567.68421052631584</v>
      </c>
      <c r="BL104" s="162">
        <f t="shared" si="989"/>
        <v>552.78947368421052</v>
      </c>
      <c r="BM104" s="162">
        <f t="shared" si="989"/>
        <v>554.0526315789474</v>
      </c>
      <c r="BN104" s="162">
        <f t="shared" si="989"/>
        <v>555.84210526315792</v>
      </c>
      <c r="BO104" s="162">
        <f t="shared" si="989"/>
        <v>565.84210526315792</v>
      </c>
      <c r="BP104" s="162">
        <f t="shared" si="989"/>
        <v>587.31578947368416</v>
      </c>
      <c r="BQ104" s="162">
        <f t="shared" si="989"/>
        <v>596.89473684210532</v>
      </c>
      <c r="BR104" s="162">
        <f t="shared" ref="BR104:DB104" si="990">+BR$132/BR$77</f>
        <v>674.21052631578948</v>
      </c>
      <c r="BS104" s="162">
        <f t="shared" si="990"/>
        <v>688.36842105263156</v>
      </c>
      <c r="BT104" s="162">
        <f t="shared" si="990"/>
        <v>755.63157894736844</v>
      </c>
      <c r="BU104" s="162">
        <f t="shared" si="990"/>
        <v>760.0526315789474</v>
      </c>
      <c r="BV104" s="162">
        <f t="shared" si="990"/>
        <v>845.31578947368416</v>
      </c>
      <c r="BW104" s="162">
        <f t="shared" si="990"/>
        <v>855.63157894736844</v>
      </c>
      <c r="BX104" s="162">
        <f t="shared" si="990"/>
        <v>791.15789473684208</v>
      </c>
      <c r="BY104" s="162">
        <f t="shared" si="990"/>
        <v>801.89473684210532</v>
      </c>
      <c r="BZ104" s="162">
        <f t="shared" si="990"/>
        <v>822.52631578947364</v>
      </c>
      <c r="CA104" s="162">
        <f t="shared" si="990"/>
        <v>829.36842105263156</v>
      </c>
      <c r="CB104" s="162">
        <f t="shared" si="990"/>
        <v>842.68421052631584</v>
      </c>
      <c r="CC104" s="162">
        <f t="shared" si="990"/>
        <v>856.52631578947364</v>
      </c>
      <c r="CD104" s="162">
        <f t="shared" si="990"/>
        <v>863</v>
      </c>
      <c r="CE104" s="162">
        <f t="shared" si="990"/>
        <v>870.42105263157896</v>
      </c>
      <c r="CF104" s="162">
        <f t="shared" si="990"/>
        <v>922</v>
      </c>
      <c r="CG104" s="162">
        <f t="shared" si="990"/>
        <v>925.21052631578948</v>
      </c>
      <c r="CH104" s="162">
        <f t="shared" si="990"/>
        <v>914.42105263157896</v>
      </c>
      <c r="CI104" s="162">
        <f t="shared" si="990"/>
        <v>935.10526315789468</v>
      </c>
      <c r="CJ104" s="162">
        <f t="shared" si="990"/>
        <v>930.47368421052636</v>
      </c>
      <c r="CK104" s="162">
        <f t="shared" si="990"/>
        <v>936.89473684210532</v>
      </c>
      <c r="CL104" s="162">
        <f t="shared" si="990"/>
        <v>946.26315789473688</v>
      </c>
      <c r="CM104" s="21">
        <f t="shared" si="990"/>
        <v>960.01091957671838</v>
      </c>
      <c r="CN104" s="21">
        <f t="shared" si="990"/>
        <v>971.6831405979384</v>
      </c>
      <c r="CO104" s="21">
        <f t="shared" si="990"/>
        <v>985.34519711327641</v>
      </c>
      <c r="CP104" s="21">
        <f t="shared" si="990"/>
        <v>1008.5395430118755</v>
      </c>
      <c r="CQ104" s="21">
        <f t="shared" si="990"/>
        <v>1024.8936146934298</v>
      </c>
      <c r="CR104" s="21">
        <f t="shared" si="990"/>
        <v>1040.874513681083</v>
      </c>
      <c r="CS104" s="21">
        <f t="shared" si="990"/>
        <v>1059.6406605558607</v>
      </c>
      <c r="CT104" s="21">
        <f t="shared" si="990"/>
        <v>1087.6193131266682</v>
      </c>
      <c r="CU104" s="21">
        <f t="shared" si="990"/>
        <v>1106.9299699857127</v>
      </c>
      <c r="CV104" s="21">
        <f t="shared" si="990"/>
        <v>1126.2994312692672</v>
      </c>
      <c r="CW104" s="21">
        <f t="shared" si="990"/>
        <v>1148.5091183612751</v>
      </c>
      <c r="CX104" s="21">
        <f t="shared" si="990"/>
        <v>1180.0321423429743</v>
      </c>
      <c r="CY104" s="21">
        <f t="shared" si="990"/>
        <v>1203.9023057200593</v>
      </c>
      <c r="CZ104" s="21">
        <f t="shared" si="990"/>
        <v>1227.8511768694643</v>
      </c>
      <c r="DA104" s="21">
        <f t="shared" si="990"/>
        <v>1254.8398447832978</v>
      </c>
      <c r="DB104" s="21">
        <f t="shared" si="990"/>
        <v>1291.8830747865522</v>
      </c>
      <c r="DE104" s="22"/>
      <c r="DF104" s="162">
        <v>946.26315789473688</v>
      </c>
    </row>
    <row r="105" spans="1:110" s="162" customFormat="1" x14ac:dyDescent="0.2">
      <c r="A105" s="49" t="s">
        <v>501</v>
      </c>
      <c r="AB105" s="21"/>
      <c r="AC105" s="21"/>
      <c r="AD105" s="21"/>
      <c r="AE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E105" s="22"/>
    </row>
    <row r="106" spans="1:110" s="162" customFormat="1" x14ac:dyDescent="0.2">
      <c r="A106" s="49" t="s">
        <v>502</v>
      </c>
      <c r="E106" s="162" t="e">
        <f t="shared" ref="E106:AE108" ca="1" si="991">+E89/E$104</f>
        <v>#DIV/0!</v>
      </c>
      <c r="F106" s="162" t="e">
        <f t="shared" ca="1" si="991"/>
        <v>#DIV/0!</v>
      </c>
      <c r="G106" s="162" t="e">
        <f t="shared" ca="1" si="991"/>
        <v>#DIV/0!</v>
      </c>
      <c r="H106" s="162" t="e">
        <f t="shared" ca="1" si="991"/>
        <v>#DIV/0!</v>
      </c>
      <c r="I106" s="162" t="e">
        <f t="shared" ca="1" si="991"/>
        <v>#DIV/0!</v>
      </c>
      <c r="J106" s="162" t="e">
        <f t="shared" ca="1" si="991"/>
        <v>#DIV/0!</v>
      </c>
      <c r="K106" s="162" t="e">
        <f t="shared" ca="1" si="991"/>
        <v>#DIV/0!</v>
      </c>
      <c r="L106" s="162" t="e">
        <f t="shared" ca="1" si="991"/>
        <v>#DIV/0!</v>
      </c>
      <c r="M106" s="162" t="e">
        <f t="shared" ca="1" si="991"/>
        <v>#DIV/0!</v>
      </c>
      <c r="N106" s="162" t="e">
        <f t="shared" ca="1" si="991"/>
        <v>#DIV/0!</v>
      </c>
      <c r="O106" s="162" t="e">
        <f t="shared" ca="1" si="991"/>
        <v>#DIV/0!</v>
      </c>
      <c r="P106" s="162" t="e">
        <f t="shared" ca="1" si="991"/>
        <v>#DIV/0!</v>
      </c>
      <c r="Q106" s="162" t="e">
        <f t="shared" ca="1" si="991"/>
        <v>#DIV/0!</v>
      </c>
      <c r="R106" s="162">
        <f t="shared" ca="1" si="991"/>
        <v>0</v>
      </c>
      <c r="S106" s="162">
        <f t="shared" ca="1" si="991"/>
        <v>0</v>
      </c>
      <c r="T106" s="162">
        <f t="shared" ca="1" si="991"/>
        <v>1.7677554281417427</v>
      </c>
      <c r="U106" s="162">
        <f t="shared" ca="1" si="991"/>
        <v>0.87974623615187952</v>
      </c>
      <c r="V106" s="162">
        <f t="shared" ca="1" si="991"/>
        <v>2.3539383294301328</v>
      </c>
      <c r="W106" s="162">
        <f t="shared" ca="1" si="991"/>
        <v>1.7682149305771746</v>
      </c>
      <c r="X106" s="162">
        <f t="shared" ca="1" si="991"/>
        <v>2.3875831840286663</v>
      </c>
      <c r="Y106" s="162">
        <f t="shared" ca="1" si="991"/>
        <v>2.2505214368482038</v>
      </c>
      <c r="Z106" s="162">
        <f t="shared" ca="1" si="991"/>
        <v>1.9897289052607345</v>
      </c>
      <c r="AA106" s="162">
        <f t="shared" ref="AA106" ca="1" si="992">+AA89/AA$104</f>
        <v>1.9897289052607345</v>
      </c>
      <c r="AB106" s="21">
        <f t="shared" ca="1" si="991"/>
        <v>1.6816395665906276</v>
      </c>
      <c r="AC106" s="21">
        <f t="shared" ca="1" si="991"/>
        <v>1.5593691464749464</v>
      </c>
      <c r="AD106" s="21">
        <f t="shared" ca="1" si="991"/>
        <v>1.4372489859747062</v>
      </c>
      <c r="AE106" s="21">
        <f t="shared" ca="1" si="991"/>
        <v>1.3128123071665885</v>
      </c>
      <c r="AL106" s="162" t="e">
        <f t="shared" ref="AL106:CI108" si="993">+AL89/AL$104</f>
        <v>#DIV/0!</v>
      </c>
      <c r="AM106" s="162" t="e">
        <f t="shared" si="993"/>
        <v>#DIV/0!</v>
      </c>
      <c r="AN106" s="162" t="e">
        <f t="shared" si="993"/>
        <v>#DIV/0!</v>
      </c>
      <c r="AO106" s="162" t="e">
        <f t="shared" si="993"/>
        <v>#DIV/0!</v>
      </c>
      <c r="AP106" s="162" t="e">
        <f t="shared" si="993"/>
        <v>#DIV/0!</v>
      </c>
      <c r="AQ106" s="162" t="e">
        <f t="shared" si="993"/>
        <v>#DIV/0!</v>
      </c>
      <c r="AR106" s="162" t="e">
        <f t="shared" si="993"/>
        <v>#DIV/0!</v>
      </c>
      <c r="AS106" s="162" t="e">
        <f t="shared" si="993"/>
        <v>#DIV/0!</v>
      </c>
      <c r="AT106" s="162" t="e">
        <f t="shared" si="993"/>
        <v>#DIV/0!</v>
      </c>
      <c r="AU106" s="162" t="e">
        <f t="shared" si="993"/>
        <v>#DIV/0!</v>
      </c>
      <c r="AV106" s="162" t="e">
        <f t="shared" si="993"/>
        <v>#DIV/0!</v>
      </c>
      <c r="AW106" s="162" t="e">
        <f t="shared" si="993"/>
        <v>#DIV/0!</v>
      </c>
      <c r="AX106" s="162" t="e">
        <f t="shared" si="993"/>
        <v>#DIV/0!</v>
      </c>
      <c r="AY106" s="162" t="e">
        <f t="shared" si="993"/>
        <v>#DIV/0!</v>
      </c>
      <c r="AZ106" s="162" t="e">
        <f t="shared" si="993"/>
        <v>#DIV/0!</v>
      </c>
      <c r="BA106" s="162" t="e">
        <f t="shared" si="993"/>
        <v>#DIV/0!</v>
      </c>
      <c r="BB106" s="162" t="e">
        <f t="shared" si="993"/>
        <v>#DIV/0!</v>
      </c>
      <c r="BC106" s="162" t="e">
        <f t="shared" si="993"/>
        <v>#DIV/0!</v>
      </c>
      <c r="BD106" s="162" t="e">
        <f t="shared" si="993"/>
        <v>#DIV/0!</v>
      </c>
      <c r="BE106" s="162">
        <f t="shared" si="993"/>
        <v>0</v>
      </c>
      <c r="BF106" s="162" t="e">
        <f t="shared" si="993"/>
        <v>#DIV/0!</v>
      </c>
      <c r="BG106" s="162">
        <f t="shared" si="993"/>
        <v>0</v>
      </c>
      <c r="BH106" s="162" t="e">
        <f t="shared" si="993"/>
        <v>#DIV/0!</v>
      </c>
      <c r="BI106" s="162">
        <f t="shared" si="993"/>
        <v>745.75</v>
      </c>
      <c r="BJ106" s="162">
        <f t="shared" si="993"/>
        <v>1.7677554281417427</v>
      </c>
      <c r="BK106" s="162">
        <f t="shared" si="993"/>
        <v>1.8455683293157796</v>
      </c>
      <c r="BL106" s="162">
        <f t="shared" si="993"/>
        <v>1.485556507664477</v>
      </c>
      <c r="BM106" s="162">
        <f t="shared" si="993"/>
        <v>1.4438159019663721</v>
      </c>
      <c r="BN106" s="162">
        <f t="shared" si="993"/>
        <v>0.87974623615187952</v>
      </c>
      <c r="BO106" s="162">
        <f t="shared" si="993"/>
        <v>1.1941493814528881</v>
      </c>
      <c r="BP106" s="162">
        <f t="shared" si="993"/>
        <v>1.3319069809122683</v>
      </c>
      <c r="BQ106" s="162">
        <f t="shared" si="993"/>
        <v>1.807102548276166</v>
      </c>
      <c r="BR106" s="162">
        <f t="shared" si="993"/>
        <v>2.3539383294301328</v>
      </c>
      <c r="BS106" s="162">
        <f t="shared" si="993"/>
        <v>2.7502714274791651</v>
      </c>
      <c r="BT106" s="162">
        <f t="shared" si="993"/>
        <v>2.7895869610642894</v>
      </c>
      <c r="BU106" s="162">
        <f t="shared" si="993"/>
        <v>2.4297659441866908</v>
      </c>
      <c r="BV106" s="162">
        <f t="shared" si="993"/>
        <v>1.7682149305771746</v>
      </c>
      <c r="BW106" s="162">
        <f t="shared" si="993"/>
        <v>1.4998862028664575</v>
      </c>
      <c r="BX106" s="162">
        <f t="shared" si="993"/>
        <v>2.0208987493347523</v>
      </c>
      <c r="BY106" s="162">
        <f t="shared" si="993"/>
        <v>2.3204417169860854</v>
      </c>
      <c r="BZ106" s="162">
        <f t="shared" si="993"/>
        <v>2.3875831840286663</v>
      </c>
      <c r="CA106" s="162">
        <f t="shared" si="993"/>
        <v>2.6129521512882343</v>
      </c>
      <c r="CB106" s="162">
        <f t="shared" si="993"/>
        <v>2.8543313971644495</v>
      </c>
      <c r="CC106" s="162">
        <f t="shared" si="993"/>
        <v>2.6552599238048424</v>
      </c>
      <c r="CD106" s="162">
        <f t="shared" si="993"/>
        <v>2.2505214368482038</v>
      </c>
      <c r="CE106" s="162">
        <f t="shared" si="993"/>
        <v>2.0848530656669491</v>
      </c>
      <c r="CF106" s="162">
        <f t="shared" si="993"/>
        <v>2.0969631236442519</v>
      </c>
      <c r="CG106" s="162">
        <f t="shared" si="993"/>
        <v>1.909187098242221</v>
      </c>
      <c r="CH106" s="162">
        <f t="shared" si="993"/>
        <v>1.9897289052607345</v>
      </c>
      <c r="CI106" s="162">
        <f t="shared" si="993"/>
        <v>2.362568244498227</v>
      </c>
      <c r="CJ106" s="162">
        <f t="shared" ref="CJ106:DB106" si="994">+CJ89/CJ$104</f>
        <v>2.3913626336331237</v>
      </c>
      <c r="CK106" s="162">
        <f t="shared" ref="CK106:CL106" si="995">+CK89/CK$104</f>
        <v>2.2764030110667939</v>
      </c>
      <c r="CL106" s="162">
        <f t="shared" si="995"/>
        <v>1.8768034929640136</v>
      </c>
      <c r="CM106" s="21">
        <f t="shared" si="994"/>
        <v>1.7666465718408588</v>
      </c>
      <c r="CN106" s="21">
        <f t="shared" si="994"/>
        <v>1.7454249529906873</v>
      </c>
      <c r="CO106" s="21">
        <f t="shared" si="994"/>
        <v>1.7212242013953065</v>
      </c>
      <c r="CP106" s="21">
        <f t="shared" si="994"/>
        <v>1.6816395665906276</v>
      </c>
      <c r="CQ106" s="21">
        <f t="shared" si="994"/>
        <v>1.6548058995443291</v>
      </c>
      <c r="CR106" s="21">
        <f t="shared" si="994"/>
        <v>1.6293991040303664</v>
      </c>
      <c r="CS106" s="21">
        <f t="shared" si="994"/>
        <v>1.6005425830963502</v>
      </c>
      <c r="CT106" s="21">
        <f t="shared" si="994"/>
        <v>1.5593691464749464</v>
      </c>
      <c r="CU106" s="21">
        <f t="shared" si="994"/>
        <v>1.5321655804674712</v>
      </c>
      <c r="CV106" s="21">
        <f t="shared" si="994"/>
        <v>1.5058162624558167</v>
      </c>
      <c r="CW106" s="21">
        <f t="shared" si="994"/>
        <v>1.476697026506764</v>
      </c>
      <c r="CX106" s="21">
        <f t="shared" si="994"/>
        <v>1.4372489859747062</v>
      </c>
      <c r="CY106" s="21">
        <f t="shared" si="994"/>
        <v>1.4087521819186275</v>
      </c>
      <c r="CZ106" s="21">
        <f t="shared" si="994"/>
        <v>1.3812748905971897</v>
      </c>
      <c r="DA106" s="21">
        <f t="shared" si="994"/>
        <v>1.3515669007887516</v>
      </c>
      <c r="DB106" s="21">
        <f t="shared" si="994"/>
        <v>1.3128123071665885</v>
      </c>
      <c r="DE106" s="22"/>
      <c r="DF106" s="162">
        <v>1.8768034929640136</v>
      </c>
    </row>
    <row r="107" spans="1:110" s="162" customFormat="1" x14ac:dyDescent="0.2">
      <c r="A107" s="49" t="s">
        <v>503</v>
      </c>
      <c r="E107" s="162" t="e">
        <f t="shared" ca="1" si="991"/>
        <v>#DIV/0!</v>
      </c>
      <c r="F107" s="162" t="e">
        <f t="shared" ca="1" si="991"/>
        <v>#DIV/0!</v>
      </c>
      <c r="G107" s="162" t="e">
        <f t="shared" ca="1" si="991"/>
        <v>#DIV/0!</v>
      </c>
      <c r="H107" s="162" t="e">
        <f t="shared" ca="1" si="991"/>
        <v>#DIV/0!</v>
      </c>
      <c r="I107" s="162" t="e">
        <f t="shared" ca="1" si="991"/>
        <v>#DIV/0!</v>
      </c>
      <c r="J107" s="162" t="e">
        <f t="shared" ca="1" si="991"/>
        <v>#DIV/0!</v>
      </c>
      <c r="K107" s="162" t="e">
        <f t="shared" ca="1" si="991"/>
        <v>#DIV/0!</v>
      </c>
      <c r="L107" s="162" t="e">
        <f t="shared" ca="1" si="991"/>
        <v>#DIV/0!</v>
      </c>
      <c r="M107" s="162" t="e">
        <f t="shared" ca="1" si="991"/>
        <v>#DIV/0!</v>
      </c>
      <c r="N107" s="162" t="e">
        <f t="shared" ca="1" si="991"/>
        <v>#DIV/0!</v>
      </c>
      <c r="O107" s="162" t="e">
        <f t="shared" ca="1" si="991"/>
        <v>#DIV/0!</v>
      </c>
      <c r="P107" s="162" t="e">
        <f t="shared" ca="1" si="991"/>
        <v>#DIV/0!</v>
      </c>
      <c r="Q107" s="162" t="e">
        <f t="shared" ca="1" si="991"/>
        <v>#DIV/0!</v>
      </c>
      <c r="R107" s="162">
        <f t="shared" ca="1" si="991"/>
        <v>0</v>
      </c>
      <c r="S107" s="162">
        <f t="shared" ca="1" si="991"/>
        <v>0</v>
      </c>
      <c r="T107" s="162">
        <f t="shared" ca="1" si="991"/>
        <v>2.1752044365071908</v>
      </c>
      <c r="U107" s="162">
        <f t="shared" ca="1" si="991"/>
        <v>2.1948679102357729</v>
      </c>
      <c r="V107" s="162">
        <f t="shared" ca="1" si="991"/>
        <v>2.5075253708040592</v>
      </c>
      <c r="W107" s="162">
        <f t="shared" ca="1" si="991"/>
        <v>3.0133117489571011</v>
      </c>
      <c r="X107" s="162">
        <f t="shared" ca="1" si="991"/>
        <v>2.4181597133350397</v>
      </c>
      <c r="Y107" s="162">
        <f t="shared" ca="1" si="991"/>
        <v>2.8144264194669755</v>
      </c>
      <c r="Z107" s="162">
        <f t="shared" ca="1" si="991"/>
        <v>2.2576579947047311</v>
      </c>
      <c r="AA107" s="162">
        <f t="shared" ref="AA107" ca="1" si="996">+AA90/AA$104</f>
        <v>2.2576579947047311</v>
      </c>
      <c r="AB107" s="21">
        <f t="shared" ca="1" si="991"/>
        <v>2.2763730695889111</v>
      </c>
      <c r="AC107" s="21">
        <f t="shared" ca="1" si="991"/>
        <v>2.6804114317786496</v>
      </c>
      <c r="AD107" s="21">
        <f t="shared" ca="1" si="991"/>
        <v>2.8870307098205514</v>
      </c>
      <c r="AE107" s="21">
        <f t="shared" ca="1" si="991"/>
        <v>3.1917537305307375</v>
      </c>
      <c r="AL107" s="162" t="e">
        <f t="shared" si="993"/>
        <v>#DIV/0!</v>
      </c>
      <c r="AM107" s="162" t="e">
        <f t="shared" si="993"/>
        <v>#DIV/0!</v>
      </c>
      <c r="AN107" s="162" t="e">
        <f t="shared" si="993"/>
        <v>#DIV/0!</v>
      </c>
      <c r="AO107" s="162" t="e">
        <f t="shared" si="993"/>
        <v>#DIV/0!</v>
      </c>
      <c r="AP107" s="162" t="e">
        <f t="shared" si="993"/>
        <v>#DIV/0!</v>
      </c>
      <c r="AQ107" s="162" t="e">
        <f t="shared" si="993"/>
        <v>#DIV/0!</v>
      </c>
      <c r="AR107" s="162" t="e">
        <f t="shared" si="993"/>
        <v>#DIV/0!</v>
      </c>
      <c r="AS107" s="162" t="e">
        <f t="shared" si="993"/>
        <v>#DIV/0!</v>
      </c>
      <c r="AT107" s="162" t="e">
        <f t="shared" si="993"/>
        <v>#DIV/0!</v>
      </c>
      <c r="AU107" s="162" t="e">
        <f t="shared" si="993"/>
        <v>#DIV/0!</v>
      </c>
      <c r="AV107" s="162" t="e">
        <f t="shared" si="993"/>
        <v>#DIV/0!</v>
      </c>
      <c r="AW107" s="162" t="e">
        <f t="shared" si="993"/>
        <v>#DIV/0!</v>
      </c>
      <c r="AX107" s="162" t="e">
        <f t="shared" si="993"/>
        <v>#DIV/0!</v>
      </c>
      <c r="AY107" s="162" t="e">
        <f t="shared" si="993"/>
        <v>#DIV/0!</v>
      </c>
      <c r="AZ107" s="162" t="e">
        <f t="shared" si="993"/>
        <v>#DIV/0!</v>
      </c>
      <c r="BA107" s="162" t="e">
        <f t="shared" si="993"/>
        <v>#DIV/0!</v>
      </c>
      <c r="BB107" s="162" t="e">
        <f t="shared" si="993"/>
        <v>#DIV/0!</v>
      </c>
      <c r="BC107" s="162" t="e">
        <f t="shared" si="993"/>
        <v>#DIV/0!</v>
      </c>
      <c r="BD107" s="162" t="e">
        <f t="shared" si="993"/>
        <v>#DIV/0!</v>
      </c>
      <c r="BE107" s="162">
        <f t="shared" si="993"/>
        <v>0</v>
      </c>
      <c r="BF107" s="162" t="e">
        <f t="shared" si="993"/>
        <v>#DIV/0!</v>
      </c>
      <c r="BG107" s="162">
        <f t="shared" si="993"/>
        <v>0</v>
      </c>
      <c r="BH107" s="162" t="e">
        <f t="shared" si="993"/>
        <v>#DIV/0!</v>
      </c>
      <c r="BI107" s="162">
        <f t="shared" si="993"/>
        <v>774.25</v>
      </c>
      <c r="BJ107" s="162">
        <f t="shared" si="993"/>
        <v>2.1752044365071908</v>
      </c>
      <c r="BK107" s="162">
        <f t="shared" si="993"/>
        <v>2.1490821435193768</v>
      </c>
      <c r="BL107" s="162">
        <f t="shared" si="993"/>
        <v>1.9374464438731791</v>
      </c>
      <c r="BM107" s="162">
        <f t="shared" si="993"/>
        <v>1.620784648997815</v>
      </c>
      <c r="BN107" s="162">
        <f t="shared" si="993"/>
        <v>1.6515481488495407</v>
      </c>
      <c r="BO107" s="162">
        <f t="shared" si="993"/>
        <v>1.2724397730443679</v>
      </c>
      <c r="BP107" s="162">
        <f t="shared" si="993"/>
        <v>1.4039295635809661</v>
      </c>
      <c r="BQ107" s="162">
        <f t="shared" si="993"/>
        <v>2.0032007759456838</v>
      </c>
      <c r="BR107" s="162">
        <f t="shared" si="993"/>
        <v>2.5075253708040592</v>
      </c>
      <c r="BS107" s="162">
        <f t="shared" si="993"/>
        <v>2.8247954736600658</v>
      </c>
      <c r="BT107" s="162">
        <f t="shared" si="993"/>
        <v>3.3709549348749737</v>
      </c>
      <c r="BU107" s="162">
        <f t="shared" si="993"/>
        <v>2.8879578976525169</v>
      </c>
      <c r="BV107" s="162">
        <f t="shared" si="993"/>
        <v>2.4875910590872303</v>
      </c>
      <c r="BW107" s="162">
        <f t="shared" si="993"/>
        <v>1.9176477824936948</v>
      </c>
      <c r="BX107" s="162">
        <f t="shared" si="993"/>
        <v>2.2694584885577433</v>
      </c>
      <c r="BY107" s="162">
        <f t="shared" si="993"/>
        <v>2.4271888947230242</v>
      </c>
      <c r="BZ107" s="162">
        <f t="shared" si="993"/>
        <v>2.4181597133350397</v>
      </c>
      <c r="CA107" s="162">
        <f t="shared" si="993"/>
        <v>2.7604740449295595</v>
      </c>
      <c r="CB107" s="162">
        <f t="shared" si="993"/>
        <v>2.8769970645181435</v>
      </c>
      <c r="CC107" s="162">
        <f t="shared" si="993"/>
        <v>2.8356980459628858</v>
      </c>
      <c r="CD107" s="162">
        <f t="shared" si="993"/>
        <v>2.8140787949015067</v>
      </c>
      <c r="CE107" s="162">
        <f t="shared" si="993"/>
        <v>2.3717831660418427</v>
      </c>
      <c r="CF107" s="162">
        <f t="shared" si="993"/>
        <v>2.1493492407809112</v>
      </c>
      <c r="CG107" s="162">
        <f t="shared" si="993"/>
        <v>2.1435121451732182</v>
      </c>
      <c r="CH107" s="162">
        <f t="shared" si="993"/>
        <v>2.099525152526764</v>
      </c>
      <c r="CI107" s="162">
        <f t="shared" si="993"/>
        <v>2.387592165250183</v>
      </c>
      <c r="CJ107" s="162">
        <f t="shared" ref="CJ107:CL108" si="997">+CJ90/CJ$104</f>
        <v>2.6824509304824931</v>
      </c>
      <c r="CK107" s="162">
        <f t="shared" ref="CK107" si="998">+CK90/CK$104</f>
        <v>2.476265378349531</v>
      </c>
      <c r="CL107" s="162">
        <f t="shared" si="997"/>
        <v>2.3887646698926526</v>
      </c>
      <c r="CM107" s="94">
        <f t="shared" ref="CM107:DB107" si="999">+CL107</f>
        <v>2.3887646698926526</v>
      </c>
      <c r="CN107" s="94">
        <f t="shared" si="999"/>
        <v>2.3887646698926526</v>
      </c>
      <c r="CO107" s="94">
        <f t="shared" si="999"/>
        <v>2.3887646698926526</v>
      </c>
      <c r="CP107" s="94">
        <f t="shared" si="999"/>
        <v>2.3887646698926526</v>
      </c>
      <c r="CQ107" s="94">
        <f t="shared" si="999"/>
        <v>2.3887646698926526</v>
      </c>
      <c r="CR107" s="94">
        <f t="shared" si="999"/>
        <v>2.3887646698926526</v>
      </c>
      <c r="CS107" s="94">
        <f t="shared" si="999"/>
        <v>2.3887646698926526</v>
      </c>
      <c r="CT107" s="94">
        <f t="shared" si="999"/>
        <v>2.3887646698926526</v>
      </c>
      <c r="CU107" s="94">
        <f t="shared" si="999"/>
        <v>2.3887646698926526</v>
      </c>
      <c r="CV107" s="94">
        <f t="shared" si="999"/>
        <v>2.3887646698926526</v>
      </c>
      <c r="CW107" s="94">
        <f t="shared" si="999"/>
        <v>2.3887646698926526</v>
      </c>
      <c r="CX107" s="94">
        <f t="shared" si="999"/>
        <v>2.3887646698926526</v>
      </c>
      <c r="CY107" s="94">
        <f t="shared" si="999"/>
        <v>2.3887646698926526</v>
      </c>
      <c r="CZ107" s="94">
        <f t="shared" si="999"/>
        <v>2.3887646698926526</v>
      </c>
      <c r="DA107" s="94">
        <f t="shared" si="999"/>
        <v>2.3887646698926526</v>
      </c>
      <c r="DB107" s="94">
        <f t="shared" si="999"/>
        <v>2.3887646698926526</v>
      </c>
      <c r="DC107" s="94"/>
      <c r="DE107" s="22"/>
      <c r="DF107" s="162">
        <v>2.6376911952833857</v>
      </c>
    </row>
    <row r="108" spans="1:110" s="162" customFormat="1" x14ac:dyDescent="0.2">
      <c r="A108" s="49" t="s">
        <v>504</v>
      </c>
      <c r="E108" s="162" t="e">
        <f t="shared" ca="1" si="991"/>
        <v>#DIV/0!</v>
      </c>
      <c r="F108" s="162" t="e">
        <f t="shared" ca="1" si="991"/>
        <v>#DIV/0!</v>
      </c>
      <c r="G108" s="162" t="e">
        <f t="shared" ca="1" si="991"/>
        <v>#DIV/0!</v>
      </c>
      <c r="H108" s="162" t="e">
        <f t="shared" ca="1" si="991"/>
        <v>#DIV/0!</v>
      </c>
      <c r="I108" s="162" t="e">
        <f t="shared" ca="1" si="991"/>
        <v>#DIV/0!</v>
      </c>
      <c r="J108" s="162" t="e">
        <f t="shared" ca="1" si="991"/>
        <v>#DIV/0!</v>
      </c>
      <c r="K108" s="162" t="e">
        <f t="shared" ca="1" si="991"/>
        <v>#DIV/0!</v>
      </c>
      <c r="L108" s="162" t="e">
        <f t="shared" ca="1" si="991"/>
        <v>#DIV/0!</v>
      </c>
      <c r="M108" s="162" t="e">
        <f t="shared" ca="1" si="991"/>
        <v>#DIV/0!</v>
      </c>
      <c r="N108" s="162" t="e">
        <f t="shared" ca="1" si="991"/>
        <v>#DIV/0!</v>
      </c>
      <c r="O108" s="162" t="e">
        <f t="shared" ca="1" si="991"/>
        <v>#DIV/0!</v>
      </c>
      <c r="P108" s="162" t="e">
        <f t="shared" ca="1" si="991"/>
        <v>#DIV/0!</v>
      </c>
      <c r="Q108" s="162" t="e">
        <f t="shared" ca="1" si="991"/>
        <v>#DIV/0!</v>
      </c>
      <c r="R108" s="162">
        <f t="shared" ca="1" si="991"/>
        <v>0</v>
      </c>
      <c r="S108" s="162">
        <f t="shared" ca="1" si="991"/>
        <v>0</v>
      </c>
      <c r="T108" s="162">
        <f t="shared" ca="1" si="991"/>
        <v>1.6126515649967104</v>
      </c>
      <c r="U108" s="162">
        <f t="shared" ca="1" si="991"/>
        <v>0.73042325537354413</v>
      </c>
      <c r="V108" s="162">
        <f t="shared" ca="1" si="991"/>
        <v>0.61850117096018731</v>
      </c>
      <c r="W108" s="162">
        <f t="shared" ca="1" si="991"/>
        <v>1.5135763651080258</v>
      </c>
      <c r="X108" s="162">
        <f t="shared" ca="1" si="991"/>
        <v>1.4742385461991296</v>
      </c>
      <c r="Y108" s="162">
        <f t="shared" ca="1" si="991"/>
        <v>2.0915411355735807</v>
      </c>
      <c r="Z108" s="162">
        <f t="shared" ca="1" si="991"/>
        <v>1.7519281685276851</v>
      </c>
      <c r="AA108" s="162">
        <f t="shared" ref="AA108" ca="1" si="1000">+AA91/AA$104</f>
        <v>1.7519281685276851</v>
      </c>
      <c r="AB108" s="21">
        <f t="shared" ca="1" si="991"/>
        <v>1.5164216999503914</v>
      </c>
      <c r="AC108" s="21">
        <f t="shared" ca="1" si="991"/>
        <v>1.6748914793798</v>
      </c>
      <c r="AD108" s="21">
        <f t="shared" ca="1" si="991"/>
        <v>1.9518535231710681</v>
      </c>
      <c r="AE108" s="21">
        <f t="shared" ca="1" si="991"/>
        <v>2.1074600493586444</v>
      </c>
      <c r="AL108" s="162" t="e">
        <f t="shared" si="993"/>
        <v>#DIV/0!</v>
      </c>
      <c r="AM108" s="162" t="e">
        <f t="shared" si="993"/>
        <v>#DIV/0!</v>
      </c>
      <c r="AN108" s="162" t="e">
        <f t="shared" si="993"/>
        <v>#DIV/0!</v>
      </c>
      <c r="AO108" s="162" t="e">
        <f t="shared" si="993"/>
        <v>#DIV/0!</v>
      </c>
      <c r="AP108" s="162" t="e">
        <f t="shared" si="993"/>
        <v>#DIV/0!</v>
      </c>
      <c r="AQ108" s="162" t="e">
        <f t="shared" si="993"/>
        <v>#DIV/0!</v>
      </c>
      <c r="AR108" s="162" t="e">
        <f t="shared" si="993"/>
        <v>#DIV/0!</v>
      </c>
      <c r="AS108" s="162" t="e">
        <f t="shared" si="993"/>
        <v>#DIV/0!</v>
      </c>
      <c r="AT108" s="162" t="e">
        <f t="shared" si="993"/>
        <v>#DIV/0!</v>
      </c>
      <c r="AU108" s="162" t="e">
        <f t="shared" si="993"/>
        <v>#DIV/0!</v>
      </c>
      <c r="AV108" s="162" t="e">
        <f t="shared" si="993"/>
        <v>#DIV/0!</v>
      </c>
      <c r="AW108" s="162" t="e">
        <f t="shared" si="993"/>
        <v>#DIV/0!</v>
      </c>
      <c r="AX108" s="162" t="e">
        <f t="shared" si="993"/>
        <v>#DIV/0!</v>
      </c>
      <c r="AY108" s="162" t="e">
        <f t="shared" si="993"/>
        <v>#DIV/0!</v>
      </c>
      <c r="AZ108" s="162" t="e">
        <f t="shared" si="993"/>
        <v>#DIV/0!</v>
      </c>
      <c r="BA108" s="162" t="e">
        <f t="shared" si="993"/>
        <v>#DIV/0!</v>
      </c>
      <c r="BB108" s="162" t="e">
        <f t="shared" si="993"/>
        <v>#DIV/0!</v>
      </c>
      <c r="BC108" s="162" t="e">
        <f t="shared" si="993"/>
        <v>#DIV/0!</v>
      </c>
      <c r="BD108" s="162" t="e">
        <f t="shared" si="993"/>
        <v>#DIV/0!</v>
      </c>
      <c r="BE108" s="162">
        <f t="shared" si="993"/>
        <v>0</v>
      </c>
      <c r="BF108" s="162" t="e">
        <f t="shared" si="993"/>
        <v>#DIV/0!</v>
      </c>
      <c r="BG108" s="162">
        <f t="shared" si="993"/>
        <v>0</v>
      </c>
      <c r="BH108" s="162" t="e">
        <f t="shared" si="993"/>
        <v>#DIV/0!</v>
      </c>
      <c r="BI108" s="162">
        <f t="shared" si="993"/>
        <v>0</v>
      </c>
      <c r="BJ108" s="162">
        <f t="shared" si="993"/>
        <v>1.6126515649967104</v>
      </c>
      <c r="BK108" s="162">
        <f t="shared" si="993"/>
        <v>1.7263999629148894</v>
      </c>
      <c r="BL108" s="162">
        <f t="shared" si="993"/>
        <v>1.3603732266971342</v>
      </c>
      <c r="BM108" s="162">
        <f t="shared" si="993"/>
        <v>1.3735157214781037</v>
      </c>
      <c r="BN108" s="162">
        <f t="shared" si="993"/>
        <v>0.73042325537354413</v>
      </c>
      <c r="BO108" s="162">
        <f t="shared" si="993"/>
        <v>0.73695470188819645</v>
      </c>
      <c r="BP108" s="162">
        <f t="shared" si="993"/>
        <v>1.1100501837082177</v>
      </c>
      <c r="BQ108" s="162">
        <f t="shared" si="993"/>
        <v>1.239749581165682</v>
      </c>
      <c r="BR108" s="162">
        <f t="shared" si="993"/>
        <v>1.5782162373145978</v>
      </c>
      <c r="BS108" s="162">
        <f t="shared" si="993"/>
        <v>2.0423656242832022</v>
      </c>
      <c r="BT108" s="162">
        <f t="shared" si="993"/>
        <v>2.4322038030229156</v>
      </c>
      <c r="BU108" s="162">
        <f t="shared" si="993"/>
        <v>2.3109583823834914</v>
      </c>
      <c r="BV108" s="162">
        <f t="shared" si="993"/>
        <v>1.5135763651080258</v>
      </c>
      <c r="BW108" s="162">
        <f t="shared" si="993"/>
        <v>1.4171987451559327</v>
      </c>
      <c r="BX108" s="162">
        <f t="shared" si="993"/>
        <v>1.6105508249068654</v>
      </c>
      <c r="BY108" s="162">
        <f t="shared" si="993"/>
        <v>1.8431970333420844</v>
      </c>
      <c r="BZ108" s="162">
        <f t="shared" si="993"/>
        <v>2.0364090094701819</v>
      </c>
      <c r="CA108" s="162">
        <f t="shared" si="993"/>
        <v>2.2739592587891866</v>
      </c>
      <c r="CB108" s="162">
        <f t="shared" si="993"/>
        <v>2.2274061582661919</v>
      </c>
      <c r="CC108" s="162">
        <f t="shared" si="993"/>
        <v>2.3326778911146615</v>
      </c>
      <c r="CD108" s="162">
        <f t="shared" si="993"/>
        <v>2.0915411355735807</v>
      </c>
      <c r="CE108" s="162">
        <f t="shared" si="993"/>
        <v>1.9119482404160117</v>
      </c>
      <c r="CF108" s="162">
        <f t="shared" si="993"/>
        <v>1.8503253796095445</v>
      </c>
      <c r="CG108" s="162">
        <f t="shared" si="993"/>
        <v>1.81261448319017</v>
      </c>
      <c r="CH108" s="162">
        <f t="shared" si="993"/>
        <v>1.7519281685276851</v>
      </c>
      <c r="CI108" s="162">
        <f t="shared" si="993"/>
        <v>1.8330021950807678</v>
      </c>
      <c r="CJ108" s="162">
        <f t="shared" si="997"/>
        <v>2.2802364387125964</v>
      </c>
      <c r="CK108" s="162">
        <f t="shared" ref="CK108" si="1001">+CK91/CK$104</f>
        <v>2.0636256390090444</v>
      </c>
      <c r="CL108" s="162">
        <f t="shared" si="997"/>
        <v>1.819261360476111</v>
      </c>
      <c r="CM108" s="94">
        <f t="shared" ref="CM108:DB108" si="1002">+CL108</f>
        <v>1.819261360476111</v>
      </c>
      <c r="CN108" s="94">
        <f t="shared" si="1002"/>
        <v>1.819261360476111</v>
      </c>
      <c r="CO108" s="94">
        <f t="shared" si="1002"/>
        <v>1.819261360476111</v>
      </c>
      <c r="CP108" s="94">
        <f t="shared" si="1002"/>
        <v>1.819261360476111</v>
      </c>
      <c r="CQ108" s="94">
        <f t="shared" si="1002"/>
        <v>1.819261360476111</v>
      </c>
      <c r="CR108" s="94">
        <f t="shared" si="1002"/>
        <v>1.819261360476111</v>
      </c>
      <c r="CS108" s="94">
        <f t="shared" si="1002"/>
        <v>1.819261360476111</v>
      </c>
      <c r="CT108" s="94">
        <f t="shared" si="1002"/>
        <v>1.819261360476111</v>
      </c>
      <c r="CU108" s="94">
        <f t="shared" si="1002"/>
        <v>1.819261360476111</v>
      </c>
      <c r="CV108" s="94">
        <f t="shared" si="1002"/>
        <v>1.819261360476111</v>
      </c>
      <c r="CW108" s="94">
        <f t="shared" si="1002"/>
        <v>1.819261360476111</v>
      </c>
      <c r="CX108" s="94">
        <f t="shared" si="1002"/>
        <v>1.819261360476111</v>
      </c>
      <c r="CY108" s="94">
        <f t="shared" si="1002"/>
        <v>1.819261360476111</v>
      </c>
      <c r="CZ108" s="94">
        <f t="shared" si="1002"/>
        <v>1.819261360476111</v>
      </c>
      <c r="DA108" s="94">
        <f t="shared" si="1002"/>
        <v>1.819261360476111</v>
      </c>
      <c r="DB108" s="94">
        <f t="shared" si="1002"/>
        <v>1.819261360476111</v>
      </c>
      <c r="DC108" s="94"/>
      <c r="DE108" s="22"/>
      <c r="DF108" s="162">
        <v>1.8113882863340562</v>
      </c>
    </row>
    <row r="109" spans="1:110" s="4" customFormat="1" x14ac:dyDescent="0.2">
      <c r="A109" s="3"/>
      <c r="AB109" s="17"/>
      <c r="AC109" s="17"/>
      <c r="AD109" s="17"/>
      <c r="AE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E109" s="119"/>
    </row>
    <row r="110" spans="1:110" s="177" customFormat="1" x14ac:dyDescent="0.2">
      <c r="A110" s="177" t="s">
        <v>510</v>
      </c>
      <c r="E110" s="177">
        <f t="shared" ref="E110:Y110" si="1003">+E22</f>
        <v>0</v>
      </c>
      <c r="F110" s="177">
        <f t="shared" si="1003"/>
        <v>0</v>
      </c>
      <c r="G110" s="177">
        <f t="shared" si="1003"/>
        <v>0</v>
      </c>
      <c r="H110" s="177">
        <f t="shared" si="1003"/>
        <v>0</v>
      </c>
      <c r="I110" s="177">
        <f t="shared" si="1003"/>
        <v>0</v>
      </c>
      <c r="J110" s="177">
        <f t="shared" si="1003"/>
        <v>0</v>
      </c>
      <c r="K110" s="177">
        <f t="shared" si="1003"/>
        <v>0</v>
      </c>
      <c r="L110" s="177">
        <f t="shared" si="1003"/>
        <v>0</v>
      </c>
      <c r="M110" s="177">
        <f t="shared" si="1003"/>
        <v>0</v>
      </c>
      <c r="N110" s="177">
        <f t="shared" si="1003"/>
        <v>0</v>
      </c>
      <c r="O110" s="177">
        <f t="shared" si="1003"/>
        <v>0</v>
      </c>
      <c r="P110" s="177">
        <f t="shared" si="1003"/>
        <v>0</v>
      </c>
      <c r="Q110" s="177">
        <f t="shared" si="1003"/>
        <v>0</v>
      </c>
      <c r="R110" s="177">
        <f t="shared" si="1003"/>
        <v>7447</v>
      </c>
      <c r="S110" s="177">
        <f t="shared" si="1003"/>
        <v>8580</v>
      </c>
      <c r="T110" s="177">
        <f t="shared" si="1003"/>
        <v>9484</v>
      </c>
      <c r="U110" s="177">
        <f t="shared" si="1003"/>
        <v>9674</v>
      </c>
      <c r="V110" s="177">
        <f t="shared" si="1003"/>
        <v>10110</v>
      </c>
      <c r="W110" s="177">
        <f t="shared" si="1003"/>
        <v>11286</v>
      </c>
      <c r="X110" s="177">
        <f t="shared" si="1003"/>
        <v>13552</v>
      </c>
      <c r="Y110" s="177">
        <f t="shared" si="1003"/>
        <v>14691</v>
      </c>
      <c r="Z110" s="177">
        <f>+Z22</f>
        <v>13980</v>
      </c>
      <c r="AA110" s="177">
        <f>+AA22</f>
        <v>14804</v>
      </c>
      <c r="AB110" s="178">
        <f t="shared" ref="AB110:AE110" si="1004">+AB22</f>
        <v>16136.76294274268</v>
      </c>
      <c r="AC110" s="178">
        <f t="shared" si="1004"/>
        <v>17237.242105328089</v>
      </c>
      <c r="AD110" s="178">
        <f t="shared" si="1004"/>
        <v>18438.99971173103</v>
      </c>
      <c r="AE110" s="178">
        <f t="shared" si="1004"/>
        <v>19729.074943219206</v>
      </c>
      <c r="AL110" s="177">
        <f t="shared" ref="AL110:BQ110" si="1005">+SUM(AI20:AL20)</f>
        <v>0</v>
      </c>
      <c r="AM110" s="177">
        <f t="shared" si="1005"/>
        <v>0</v>
      </c>
      <c r="AN110" s="177">
        <f t="shared" si="1005"/>
        <v>0</v>
      </c>
      <c r="AO110" s="177">
        <f t="shared" si="1005"/>
        <v>0</v>
      </c>
      <c r="AP110" s="177">
        <f t="shared" si="1005"/>
        <v>0</v>
      </c>
      <c r="AQ110" s="177">
        <f t="shared" si="1005"/>
        <v>0</v>
      </c>
      <c r="AR110" s="177">
        <f t="shared" si="1005"/>
        <v>0</v>
      </c>
      <c r="AS110" s="177">
        <f t="shared" si="1005"/>
        <v>0</v>
      </c>
      <c r="AT110" s="177">
        <f t="shared" si="1005"/>
        <v>0</v>
      </c>
      <c r="AU110" s="177">
        <f t="shared" si="1005"/>
        <v>0</v>
      </c>
      <c r="AV110" s="177">
        <f t="shared" si="1005"/>
        <v>0</v>
      </c>
      <c r="AW110" s="177">
        <f t="shared" si="1005"/>
        <v>0</v>
      </c>
      <c r="AX110" s="177">
        <f t="shared" si="1005"/>
        <v>0</v>
      </c>
      <c r="AY110" s="177">
        <f t="shared" si="1005"/>
        <v>0</v>
      </c>
      <c r="AZ110" s="177">
        <f t="shared" si="1005"/>
        <v>0</v>
      </c>
      <c r="BA110" s="177">
        <f t="shared" si="1005"/>
        <v>0</v>
      </c>
      <c r="BB110" s="177">
        <f t="shared" si="1005"/>
        <v>0</v>
      </c>
      <c r="BC110" s="177">
        <f t="shared" si="1005"/>
        <v>0</v>
      </c>
      <c r="BD110" s="177">
        <f t="shared" si="1005"/>
        <v>0</v>
      </c>
      <c r="BE110" s="177">
        <f t="shared" si="1005"/>
        <v>2069</v>
      </c>
      <c r="BF110" s="177">
        <f t="shared" si="1005"/>
        <v>4697</v>
      </c>
      <c r="BG110" s="177">
        <f t="shared" si="1005"/>
        <v>7065</v>
      </c>
      <c r="BH110" s="177">
        <f t="shared" si="1005"/>
        <v>9164</v>
      </c>
      <c r="BI110" s="177">
        <f t="shared" si="1005"/>
        <v>9259</v>
      </c>
      <c r="BJ110" s="177">
        <f t="shared" si="1005"/>
        <v>9473</v>
      </c>
      <c r="BK110" s="177">
        <f t="shared" si="1005"/>
        <v>9642</v>
      </c>
      <c r="BL110" s="177">
        <f t="shared" si="1005"/>
        <v>9779</v>
      </c>
      <c r="BM110" s="177">
        <f t="shared" si="1005"/>
        <v>10033</v>
      </c>
      <c r="BN110" s="177">
        <f t="shared" si="1005"/>
        <v>9674</v>
      </c>
      <c r="BO110" s="177">
        <f t="shared" si="1005"/>
        <v>9038</v>
      </c>
      <c r="BP110" s="177">
        <f t="shared" si="1005"/>
        <v>9115</v>
      </c>
      <c r="BQ110" s="177">
        <f t="shared" si="1005"/>
        <v>9434</v>
      </c>
      <c r="BR110" s="177">
        <f t="shared" ref="BR110:CW110" si="1006">+SUM(BO20:BR20)</f>
        <v>10102</v>
      </c>
      <c r="BS110" s="177">
        <f t="shared" si="1006"/>
        <v>10792</v>
      </c>
      <c r="BT110" s="177">
        <f t="shared" si="1006"/>
        <v>11060</v>
      </c>
      <c r="BU110" s="177">
        <f t="shared" si="1006"/>
        <v>11057</v>
      </c>
      <c r="BV110" s="177">
        <f t="shared" si="1006"/>
        <v>11286</v>
      </c>
      <c r="BW110" s="177">
        <f t="shared" si="1006"/>
        <v>11997</v>
      </c>
      <c r="BX110" s="177">
        <f t="shared" si="1006"/>
        <v>12387</v>
      </c>
      <c r="BY110" s="177">
        <f t="shared" si="1006"/>
        <v>13008</v>
      </c>
      <c r="BZ110" s="177">
        <f t="shared" si="1006"/>
        <v>13543</v>
      </c>
      <c r="CA110" s="177">
        <f t="shared" si="1006"/>
        <v>13868</v>
      </c>
      <c r="CB110" s="177">
        <f t="shared" si="1006"/>
        <v>14050</v>
      </c>
      <c r="CC110" s="177">
        <f t="shared" si="1006"/>
        <v>14299</v>
      </c>
      <c r="CD110" s="177">
        <f t="shared" si="1006"/>
        <v>14691</v>
      </c>
      <c r="CE110" s="177">
        <f t="shared" si="1006"/>
        <v>14685</v>
      </c>
      <c r="CF110" s="177">
        <f t="shared" si="1006"/>
        <v>14619</v>
      </c>
      <c r="CG110" s="177">
        <f t="shared" si="1006"/>
        <v>14196</v>
      </c>
      <c r="CH110" s="177">
        <f t="shared" si="1006"/>
        <v>13980</v>
      </c>
      <c r="CI110" s="177">
        <f t="shared" si="1006"/>
        <v>13995</v>
      </c>
      <c r="CJ110" s="177">
        <f t="shared" si="1006"/>
        <v>14325</v>
      </c>
      <c r="CK110" s="177">
        <f t="shared" si="1006"/>
        <v>14650</v>
      </c>
      <c r="CL110" s="177">
        <f t="shared" si="1006"/>
        <v>14804</v>
      </c>
      <c r="CM110" s="178">
        <f t="shared" si="1006"/>
        <v>14974.314625521143</v>
      </c>
      <c r="CN110" s="178">
        <f t="shared" si="1006"/>
        <v>15261.622289109695</v>
      </c>
      <c r="CO110" s="178">
        <f t="shared" si="1006"/>
        <v>15660.286047116295</v>
      </c>
      <c r="CP110" s="178">
        <f t="shared" si="1006"/>
        <v>16136.76294274268</v>
      </c>
      <c r="CQ110" s="178">
        <f t="shared" si="1006"/>
        <v>16360.12884964222</v>
      </c>
      <c r="CR110" s="178">
        <f t="shared" si="1006"/>
        <v>16617.319667778345</v>
      </c>
      <c r="CS110" s="178">
        <f t="shared" si="1006"/>
        <v>16903.248207694225</v>
      </c>
      <c r="CT110" s="178">
        <f t="shared" si="1006"/>
        <v>17237.242105328089</v>
      </c>
      <c r="CU110" s="178">
        <f t="shared" si="1006"/>
        <v>17511.199326401089</v>
      </c>
      <c r="CV110" s="178">
        <f t="shared" si="1006"/>
        <v>17789.856956271771</v>
      </c>
      <c r="CW110" s="178">
        <f t="shared" si="1006"/>
        <v>18085.58471025071</v>
      </c>
      <c r="CX110" s="178">
        <f t="shared" ref="CX110:DB110" si="1007">+SUM(CU20:CX20)</f>
        <v>18438.99971173103</v>
      </c>
      <c r="CY110" s="178">
        <f t="shared" si="1007"/>
        <v>18738.961771720547</v>
      </c>
      <c r="CZ110" s="178">
        <f t="shared" si="1007"/>
        <v>19036.321232665417</v>
      </c>
      <c r="DA110" s="178">
        <f t="shared" si="1007"/>
        <v>19350.706217359904</v>
      </c>
      <c r="DB110" s="178">
        <f t="shared" si="1007"/>
        <v>19729.074943219206</v>
      </c>
      <c r="DE110" s="179"/>
      <c r="DF110" s="177">
        <v>14804</v>
      </c>
    </row>
    <row r="111" spans="1:110" s="163" customFormat="1" x14ac:dyDescent="0.2">
      <c r="A111" s="163" t="s">
        <v>511</v>
      </c>
      <c r="E111" s="163">
        <f t="shared" ref="E111:AE111" ca="1" si="1008">+E110/E77</f>
        <v>0</v>
      </c>
      <c r="F111" s="163">
        <f t="shared" ca="1" si="1008"/>
        <v>0</v>
      </c>
      <c r="G111" s="163">
        <f t="shared" ca="1" si="1008"/>
        <v>0</v>
      </c>
      <c r="H111" s="163">
        <f t="shared" ca="1" si="1008"/>
        <v>0</v>
      </c>
      <c r="I111" s="163">
        <f t="shared" ca="1" si="1008"/>
        <v>0</v>
      </c>
      <c r="J111" s="163">
        <f t="shared" ca="1" si="1008"/>
        <v>0</v>
      </c>
      <c r="K111" s="163">
        <f t="shared" ca="1" si="1008"/>
        <v>0</v>
      </c>
      <c r="L111" s="163">
        <f t="shared" ca="1" si="1008"/>
        <v>0</v>
      </c>
      <c r="M111" s="163">
        <f t="shared" ca="1" si="1008"/>
        <v>0</v>
      </c>
      <c r="N111" s="163">
        <f t="shared" ca="1" si="1008"/>
        <v>0</v>
      </c>
      <c r="O111" s="163">
        <f t="shared" ca="1" si="1008"/>
        <v>0</v>
      </c>
      <c r="P111" s="163">
        <f t="shared" ca="1" si="1008"/>
        <v>0</v>
      </c>
      <c r="Q111" s="163">
        <f t="shared" ca="1" si="1008"/>
        <v>0</v>
      </c>
      <c r="R111" s="163">
        <f t="shared" ca="1" si="1008"/>
        <v>391.94736842105266</v>
      </c>
      <c r="S111" s="163">
        <f t="shared" ca="1" si="1008"/>
        <v>451.57894736842104</v>
      </c>
      <c r="T111" s="163">
        <f t="shared" ca="1" si="1008"/>
        <v>499.15789473684208</v>
      </c>
      <c r="U111" s="163">
        <f t="shared" ca="1" si="1008"/>
        <v>509.15789473684208</v>
      </c>
      <c r="V111" s="163">
        <f t="shared" ca="1" si="1008"/>
        <v>532.10526315789468</v>
      </c>
      <c r="W111" s="163">
        <f t="shared" ca="1" si="1008"/>
        <v>594</v>
      </c>
      <c r="X111" s="163">
        <f t="shared" ca="1" si="1008"/>
        <v>713.26315789473688</v>
      </c>
      <c r="Y111" s="163">
        <f t="shared" ca="1" si="1008"/>
        <v>773.21052631578948</v>
      </c>
      <c r="Z111" s="163">
        <f t="shared" ref="Z111:AA111" ca="1" si="1009">+Z110/Z77</f>
        <v>735.78947368421052</v>
      </c>
      <c r="AA111" s="163">
        <f t="shared" ref="AA111" ca="1" si="1010">+AA110/AA77</f>
        <v>735.78947368421052</v>
      </c>
      <c r="AB111" s="94">
        <f t="shared" ca="1" si="1008"/>
        <v>849.30331277593052</v>
      </c>
      <c r="AC111" s="94">
        <f t="shared" ca="1" si="1008"/>
        <v>907.22326870147833</v>
      </c>
      <c r="AD111" s="94">
        <f t="shared" ca="1" si="1008"/>
        <v>970.47366903847524</v>
      </c>
      <c r="AE111" s="94">
        <f t="shared" ca="1" si="1008"/>
        <v>1038.3723654325897</v>
      </c>
      <c r="AL111" s="163">
        <f t="shared" ref="AL111:BQ111" si="1011">+AL110/AL77</f>
        <v>0</v>
      </c>
      <c r="AM111" s="163">
        <f t="shared" si="1011"/>
        <v>0</v>
      </c>
      <c r="AN111" s="163">
        <f t="shared" si="1011"/>
        <v>0</v>
      </c>
      <c r="AO111" s="163">
        <f t="shared" si="1011"/>
        <v>0</v>
      </c>
      <c r="AP111" s="163">
        <f t="shared" si="1011"/>
        <v>0</v>
      </c>
      <c r="AQ111" s="163">
        <f t="shared" si="1011"/>
        <v>0</v>
      </c>
      <c r="AR111" s="163">
        <f t="shared" si="1011"/>
        <v>0</v>
      </c>
      <c r="AS111" s="163">
        <f t="shared" si="1011"/>
        <v>0</v>
      </c>
      <c r="AT111" s="163">
        <f t="shared" si="1011"/>
        <v>0</v>
      </c>
      <c r="AU111" s="163">
        <f t="shared" si="1011"/>
        <v>0</v>
      </c>
      <c r="AV111" s="163">
        <f t="shared" si="1011"/>
        <v>0</v>
      </c>
      <c r="AW111" s="163">
        <f t="shared" si="1011"/>
        <v>0</v>
      </c>
      <c r="AX111" s="163">
        <f t="shared" si="1011"/>
        <v>0</v>
      </c>
      <c r="AY111" s="163">
        <f t="shared" si="1011"/>
        <v>0</v>
      </c>
      <c r="AZ111" s="163">
        <f t="shared" si="1011"/>
        <v>0</v>
      </c>
      <c r="BA111" s="163">
        <f t="shared" si="1011"/>
        <v>0</v>
      </c>
      <c r="BB111" s="163">
        <f t="shared" si="1011"/>
        <v>0</v>
      </c>
      <c r="BC111" s="163">
        <f t="shared" si="1011"/>
        <v>0</v>
      </c>
      <c r="BD111" s="163">
        <f t="shared" si="1011"/>
        <v>0</v>
      </c>
      <c r="BE111" s="163">
        <f t="shared" si="1011"/>
        <v>108.89473684210526</v>
      </c>
      <c r="BF111" s="163">
        <f t="shared" si="1011"/>
        <v>247.21052631578948</v>
      </c>
      <c r="BG111" s="163">
        <f t="shared" si="1011"/>
        <v>371.84210526315792</v>
      </c>
      <c r="BH111" s="163">
        <f t="shared" si="1011"/>
        <v>482.31578947368422</v>
      </c>
      <c r="BI111" s="163">
        <f t="shared" si="1011"/>
        <v>487.31578947368422</v>
      </c>
      <c r="BJ111" s="163">
        <f t="shared" si="1011"/>
        <v>498.57894736842104</v>
      </c>
      <c r="BK111" s="163">
        <f t="shared" si="1011"/>
        <v>507.4736842105263</v>
      </c>
      <c r="BL111" s="163">
        <f t="shared" si="1011"/>
        <v>514.68421052631584</v>
      </c>
      <c r="BM111" s="163">
        <f t="shared" si="1011"/>
        <v>528.0526315789474</v>
      </c>
      <c r="BN111" s="163">
        <f t="shared" si="1011"/>
        <v>509.15789473684208</v>
      </c>
      <c r="BO111" s="163">
        <f t="shared" si="1011"/>
        <v>475.68421052631578</v>
      </c>
      <c r="BP111" s="163">
        <f t="shared" si="1011"/>
        <v>479.73684210526318</v>
      </c>
      <c r="BQ111" s="163">
        <f t="shared" si="1011"/>
        <v>496.5263157894737</v>
      </c>
      <c r="BR111" s="163">
        <f t="shared" ref="BR111:CW111" si="1012">+BR110/BR77</f>
        <v>531.68421052631584</v>
      </c>
      <c r="BS111" s="163">
        <f t="shared" si="1012"/>
        <v>568</v>
      </c>
      <c r="BT111" s="163">
        <f t="shared" si="1012"/>
        <v>582.10526315789468</v>
      </c>
      <c r="BU111" s="163">
        <f t="shared" si="1012"/>
        <v>581.9473684210526</v>
      </c>
      <c r="BV111" s="163">
        <f t="shared" si="1012"/>
        <v>594</v>
      </c>
      <c r="BW111" s="163">
        <f t="shared" si="1012"/>
        <v>631.42105263157896</v>
      </c>
      <c r="BX111" s="163">
        <f t="shared" si="1012"/>
        <v>651.9473684210526</v>
      </c>
      <c r="BY111" s="163">
        <f t="shared" si="1012"/>
        <v>684.63157894736844</v>
      </c>
      <c r="BZ111" s="163">
        <f t="shared" si="1012"/>
        <v>712.78947368421052</v>
      </c>
      <c r="CA111" s="163">
        <f t="shared" si="1012"/>
        <v>729.89473684210532</v>
      </c>
      <c r="CB111" s="163">
        <f t="shared" si="1012"/>
        <v>739.47368421052636</v>
      </c>
      <c r="CC111" s="163">
        <f t="shared" si="1012"/>
        <v>752.57894736842104</v>
      </c>
      <c r="CD111" s="163">
        <f t="shared" si="1012"/>
        <v>773.21052631578948</v>
      </c>
      <c r="CE111" s="163">
        <f t="shared" si="1012"/>
        <v>772.89473684210532</v>
      </c>
      <c r="CF111" s="163">
        <f t="shared" si="1012"/>
        <v>769.42105263157896</v>
      </c>
      <c r="CG111" s="163">
        <f t="shared" si="1012"/>
        <v>747.15789473684208</v>
      </c>
      <c r="CH111" s="163">
        <f t="shared" si="1012"/>
        <v>735.78947368421052</v>
      </c>
      <c r="CI111" s="163">
        <f t="shared" si="1012"/>
        <v>736.57894736842104</v>
      </c>
      <c r="CJ111" s="163">
        <f t="shared" si="1012"/>
        <v>753.9473684210526</v>
      </c>
      <c r="CK111" s="163">
        <f t="shared" ref="CK111:CL111" si="1013">+CK110/CK77</f>
        <v>771.0526315789474</v>
      </c>
      <c r="CL111" s="163">
        <f t="shared" si="1013"/>
        <v>779.15789473684208</v>
      </c>
      <c r="CM111" s="50">
        <f t="shared" si="1012"/>
        <v>788.12182239584968</v>
      </c>
      <c r="CN111" s="50">
        <f t="shared" si="1012"/>
        <v>803.24327837419446</v>
      </c>
      <c r="CO111" s="50">
        <f t="shared" si="1012"/>
        <v>824.22558142717344</v>
      </c>
      <c r="CP111" s="50">
        <f t="shared" si="1012"/>
        <v>849.30331277593052</v>
      </c>
      <c r="CQ111" s="50">
        <f t="shared" si="1012"/>
        <v>861.05941313906419</v>
      </c>
      <c r="CR111" s="50">
        <f t="shared" si="1012"/>
        <v>874.59577198833392</v>
      </c>
      <c r="CS111" s="50">
        <f t="shared" si="1012"/>
        <v>889.64464251022241</v>
      </c>
      <c r="CT111" s="50">
        <f t="shared" si="1012"/>
        <v>907.22326870147833</v>
      </c>
      <c r="CU111" s="50">
        <f t="shared" si="1012"/>
        <v>921.64206981058362</v>
      </c>
      <c r="CV111" s="50">
        <f t="shared" si="1012"/>
        <v>936.30826085640899</v>
      </c>
      <c r="CW111" s="50">
        <f t="shared" si="1012"/>
        <v>951.87287948687947</v>
      </c>
      <c r="CX111" s="50">
        <f t="shared" ref="CX111:DB111" si="1014">+CX110/CX77</f>
        <v>970.47366903847524</v>
      </c>
      <c r="CY111" s="50">
        <f t="shared" si="1014"/>
        <v>986.26114588002883</v>
      </c>
      <c r="CZ111" s="50">
        <f t="shared" si="1014"/>
        <v>1001.9116438244956</v>
      </c>
      <c r="DA111" s="50">
        <f t="shared" si="1014"/>
        <v>1018.4582219663107</v>
      </c>
      <c r="DB111" s="50">
        <f t="shared" si="1014"/>
        <v>1038.3723654325897</v>
      </c>
      <c r="DE111" s="164"/>
      <c r="DF111" s="163">
        <v>779.15789473684208</v>
      </c>
    </row>
    <row r="112" spans="1:110" s="163" customFormat="1" x14ac:dyDescent="0.2">
      <c r="AB112" s="94"/>
      <c r="AC112" s="94"/>
      <c r="AD112" s="94"/>
      <c r="AE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E112" s="164"/>
    </row>
    <row r="113" spans="1:110" s="163" customFormat="1" x14ac:dyDescent="0.2">
      <c r="A113" s="163" t="s">
        <v>506</v>
      </c>
      <c r="AB113" s="94"/>
      <c r="AC113" s="94"/>
      <c r="AD113" s="94"/>
      <c r="AE113" s="94"/>
      <c r="CM113" s="94"/>
      <c r="CN113" s="94"/>
      <c r="CO113" s="94"/>
      <c r="CP113" s="94"/>
      <c r="CQ113" s="94"/>
      <c r="CR113" s="94"/>
      <c r="CS113" s="94"/>
      <c r="CT113" s="94"/>
      <c r="CU113" s="94"/>
      <c r="CV113" s="94"/>
      <c r="CW113" s="94"/>
      <c r="CX113" s="94"/>
      <c r="CY113" s="94"/>
      <c r="CZ113" s="94"/>
      <c r="DA113" s="94"/>
      <c r="DB113" s="94"/>
      <c r="DE113" s="164"/>
    </row>
    <row r="114" spans="1:110" s="163" customFormat="1" x14ac:dyDescent="0.2">
      <c r="A114" s="163" t="s">
        <v>507</v>
      </c>
      <c r="E114" s="163" t="e">
        <f t="shared" ref="E114:AE116" ca="1" si="1015">+E89/E$111</f>
        <v>#DIV/0!</v>
      </c>
      <c r="F114" s="163" t="e">
        <f t="shared" ca="1" si="1015"/>
        <v>#DIV/0!</v>
      </c>
      <c r="G114" s="163" t="e">
        <f t="shared" ca="1" si="1015"/>
        <v>#DIV/0!</v>
      </c>
      <c r="H114" s="163" t="e">
        <f t="shared" ca="1" si="1015"/>
        <v>#DIV/0!</v>
      </c>
      <c r="I114" s="163" t="e">
        <f t="shared" ca="1" si="1015"/>
        <v>#DIV/0!</v>
      </c>
      <c r="J114" s="163" t="e">
        <f t="shared" ca="1" si="1015"/>
        <v>#DIV/0!</v>
      </c>
      <c r="K114" s="163" t="e">
        <f t="shared" ca="1" si="1015"/>
        <v>#DIV/0!</v>
      </c>
      <c r="L114" s="163" t="e">
        <f t="shared" ca="1" si="1015"/>
        <v>#DIV/0!</v>
      </c>
      <c r="M114" s="163" t="e">
        <f t="shared" ca="1" si="1015"/>
        <v>#DIV/0!</v>
      </c>
      <c r="N114" s="163" t="e">
        <f t="shared" ca="1" si="1015"/>
        <v>#DIV/0!</v>
      </c>
      <c r="O114" s="163" t="e">
        <f t="shared" ca="1" si="1015"/>
        <v>#DIV/0!</v>
      </c>
      <c r="P114" s="163" t="e">
        <f t="shared" ca="1" si="1015"/>
        <v>#DIV/0!</v>
      </c>
      <c r="Q114" s="163" t="e">
        <f t="shared" ca="1" si="1015"/>
        <v>#DIV/0!</v>
      </c>
      <c r="R114" s="163">
        <f t="shared" ca="1" si="1015"/>
        <v>0</v>
      </c>
      <c r="S114" s="163">
        <f t="shared" ca="1" si="1015"/>
        <v>0</v>
      </c>
      <c r="T114" s="163">
        <f t="shared" ca="1" si="1015"/>
        <v>1.9830398566005907</v>
      </c>
      <c r="U114" s="163">
        <f t="shared" ca="1" si="1015"/>
        <v>0.96040934463510441</v>
      </c>
      <c r="V114" s="163">
        <f t="shared" ca="1" si="1015"/>
        <v>2.9825865479723048</v>
      </c>
      <c r="W114" s="163">
        <f t="shared" ca="1" si="1015"/>
        <v>2.5163299663299665</v>
      </c>
      <c r="X114" s="163">
        <f t="shared" ca="1" si="1015"/>
        <v>2.7533316115702475</v>
      </c>
      <c r="Y114" s="163">
        <f t="shared" ca="1" si="1015"/>
        <v>2.5118644067796612</v>
      </c>
      <c r="Z114" s="163">
        <f ca="1">+Z89/Z$111</f>
        <v>2.472786123032904</v>
      </c>
      <c r="AA114" s="163">
        <f ca="1">+AA89/AA$111</f>
        <v>2.472786123032904</v>
      </c>
      <c r="AB114" s="50">
        <f t="shared" ref="AB114:AE114" ca="1" si="1016">+AB89/AB$111</f>
        <v>1.9969308661432847</v>
      </c>
      <c r="AC114" s="50">
        <f t="shared" ca="1" si="1016"/>
        <v>1.8694405870205568</v>
      </c>
      <c r="AD114" s="50">
        <f t="shared" ca="1" si="1016"/>
        <v>1.7476002225597329</v>
      </c>
      <c r="AE114" s="50">
        <f t="shared" ca="1" si="1016"/>
        <v>1.6333254393701437</v>
      </c>
      <c r="AL114" s="163" t="e">
        <f t="shared" ref="AL114:BQ114" si="1017">+AL89/AL111</f>
        <v>#DIV/0!</v>
      </c>
      <c r="AM114" s="163" t="e">
        <f t="shared" si="1017"/>
        <v>#DIV/0!</v>
      </c>
      <c r="AN114" s="163" t="e">
        <f t="shared" si="1017"/>
        <v>#DIV/0!</v>
      </c>
      <c r="AO114" s="163" t="e">
        <f t="shared" si="1017"/>
        <v>#DIV/0!</v>
      </c>
      <c r="AP114" s="163" t="e">
        <f t="shared" si="1017"/>
        <v>#DIV/0!</v>
      </c>
      <c r="AQ114" s="163" t="e">
        <f t="shared" si="1017"/>
        <v>#DIV/0!</v>
      </c>
      <c r="AR114" s="163" t="e">
        <f t="shared" si="1017"/>
        <v>#DIV/0!</v>
      </c>
      <c r="AS114" s="163" t="e">
        <f t="shared" si="1017"/>
        <v>#DIV/0!</v>
      </c>
      <c r="AT114" s="163" t="e">
        <f t="shared" si="1017"/>
        <v>#DIV/0!</v>
      </c>
      <c r="AU114" s="163" t="e">
        <f t="shared" si="1017"/>
        <v>#DIV/0!</v>
      </c>
      <c r="AV114" s="163" t="e">
        <f t="shared" si="1017"/>
        <v>#DIV/0!</v>
      </c>
      <c r="AW114" s="163" t="e">
        <f t="shared" si="1017"/>
        <v>#DIV/0!</v>
      </c>
      <c r="AX114" s="163" t="e">
        <f t="shared" si="1017"/>
        <v>#DIV/0!</v>
      </c>
      <c r="AY114" s="163" t="e">
        <f t="shared" si="1017"/>
        <v>#DIV/0!</v>
      </c>
      <c r="AZ114" s="163" t="e">
        <f t="shared" si="1017"/>
        <v>#DIV/0!</v>
      </c>
      <c r="BA114" s="163" t="e">
        <f t="shared" si="1017"/>
        <v>#DIV/0!</v>
      </c>
      <c r="BB114" s="163" t="e">
        <f t="shared" si="1017"/>
        <v>#DIV/0!</v>
      </c>
      <c r="BC114" s="163" t="e">
        <f t="shared" si="1017"/>
        <v>#DIV/0!</v>
      </c>
      <c r="BD114" s="163" t="e">
        <f t="shared" si="1017"/>
        <v>#DIV/0!</v>
      </c>
      <c r="BE114" s="163">
        <f t="shared" si="1017"/>
        <v>0</v>
      </c>
      <c r="BF114" s="163">
        <f t="shared" si="1017"/>
        <v>0</v>
      </c>
      <c r="BG114" s="163">
        <f t="shared" si="1017"/>
        <v>0</v>
      </c>
      <c r="BH114" s="163">
        <f t="shared" si="1017"/>
        <v>0</v>
      </c>
      <c r="BI114" s="163">
        <f t="shared" si="1017"/>
        <v>2.2552111459120856</v>
      </c>
      <c r="BJ114" s="163">
        <f t="shared" si="1017"/>
        <v>1.985342552517682</v>
      </c>
      <c r="BK114" s="163">
        <f t="shared" si="1017"/>
        <v>2.0645405517527484</v>
      </c>
      <c r="BL114" s="163">
        <f t="shared" si="1017"/>
        <v>1.5955414664076082</v>
      </c>
      <c r="BM114" s="163">
        <f t="shared" si="1017"/>
        <v>1.5149058108242799</v>
      </c>
      <c r="BN114" s="163">
        <f t="shared" si="1017"/>
        <v>0.96040934463510441</v>
      </c>
      <c r="BO114" s="163">
        <f t="shared" si="1017"/>
        <v>1.4204801947333483</v>
      </c>
      <c r="BP114" s="163">
        <f t="shared" si="1017"/>
        <v>1.6305814591332968</v>
      </c>
      <c r="BQ114" s="163">
        <f t="shared" si="1017"/>
        <v>2.1723924104303585</v>
      </c>
      <c r="BR114" s="163">
        <f t="shared" ref="BR114:DB114" si="1018">+BR89/BR111</f>
        <v>2.9849485250445453</v>
      </c>
      <c r="BS114" s="163">
        <f t="shared" si="1018"/>
        <v>3.3330985915492959</v>
      </c>
      <c r="BT114" s="163">
        <f t="shared" si="1018"/>
        <v>3.6211663652802897</v>
      </c>
      <c r="BU114" s="163">
        <f t="shared" si="1018"/>
        <v>3.1733969431129605</v>
      </c>
      <c r="BV114" s="163">
        <f t="shared" si="1018"/>
        <v>2.5163299663299665</v>
      </c>
      <c r="BW114" s="163">
        <f t="shared" si="1018"/>
        <v>2.032478953071601</v>
      </c>
      <c r="BX114" s="163">
        <f t="shared" si="1018"/>
        <v>2.4524218939210463</v>
      </c>
      <c r="BY114" s="163">
        <f t="shared" si="1018"/>
        <v>2.7178851476014758</v>
      </c>
      <c r="BZ114" s="163">
        <f t="shared" si="1018"/>
        <v>2.7551613379605699</v>
      </c>
      <c r="CA114" s="163">
        <f t="shared" si="1018"/>
        <v>2.9690582636284968</v>
      </c>
      <c r="CB114" s="163">
        <f t="shared" si="1018"/>
        <v>3.2527188612099645</v>
      </c>
      <c r="CC114" s="163">
        <f t="shared" si="1018"/>
        <v>3.0220085320651795</v>
      </c>
      <c r="CD114" s="163">
        <f t="shared" si="1018"/>
        <v>2.5118644067796612</v>
      </c>
      <c r="CE114" s="163">
        <f t="shared" si="1018"/>
        <v>2.3479264555669048</v>
      </c>
      <c r="CF114" s="163">
        <f t="shared" si="1018"/>
        <v>2.5127984130241465</v>
      </c>
      <c r="CG114" s="163">
        <f t="shared" si="1018"/>
        <v>2.3641589180050722</v>
      </c>
      <c r="CH114" s="163">
        <f t="shared" si="1018"/>
        <v>2.472786123032904</v>
      </c>
      <c r="CI114" s="163">
        <f t="shared" si="1018"/>
        <v>2.9993390496605929</v>
      </c>
      <c r="CJ114" s="163">
        <f t="shared" si="1018"/>
        <v>2.9512670157068062</v>
      </c>
      <c r="CK114" s="163">
        <f t="shared" ref="CK114:CL114" si="1019">+CK89/CK111</f>
        <v>2.7660238907849828</v>
      </c>
      <c r="CL114" s="163">
        <f t="shared" si="1019"/>
        <v>2.2793197784382602</v>
      </c>
      <c r="CM114" s="50">
        <f t="shared" si="1018"/>
        <v>2.1519515788108081</v>
      </c>
      <c r="CN114" s="50">
        <f t="shared" si="1018"/>
        <v>2.11144001532486</v>
      </c>
      <c r="CO114" s="50">
        <f t="shared" si="1018"/>
        <v>2.0576891062557423</v>
      </c>
      <c r="CP114" s="50">
        <f t="shared" si="1018"/>
        <v>1.9969308661432847</v>
      </c>
      <c r="CQ114" s="50">
        <f t="shared" si="1018"/>
        <v>1.9696666387016082</v>
      </c>
      <c r="CR114" s="50">
        <f t="shared" si="1018"/>
        <v>1.9391815674391606</v>
      </c>
      <c r="CS114" s="50">
        <f t="shared" si="1018"/>
        <v>1.9063791529329781</v>
      </c>
      <c r="CT114" s="50">
        <f t="shared" si="1018"/>
        <v>1.8694405870205568</v>
      </c>
      <c r="CU114" s="50">
        <f t="shared" si="1018"/>
        <v>1.8401937753867539</v>
      </c>
      <c r="CV114" s="50">
        <f t="shared" si="1018"/>
        <v>1.8113692582918441</v>
      </c>
      <c r="CW114" s="50">
        <f t="shared" si="1018"/>
        <v>1.781750522101494</v>
      </c>
      <c r="CX114" s="50">
        <f t="shared" si="1018"/>
        <v>1.7476002225597329</v>
      </c>
      <c r="CY114" s="50">
        <f t="shared" si="1018"/>
        <v>1.7196256864470514</v>
      </c>
      <c r="CZ114" s="50">
        <f t="shared" si="1018"/>
        <v>1.6927640380802755</v>
      </c>
      <c r="DA114" s="50">
        <f t="shared" si="1018"/>
        <v>1.6652622203054899</v>
      </c>
      <c r="DB114" s="50">
        <f t="shared" si="1018"/>
        <v>1.6333254393701437</v>
      </c>
      <c r="DE114" s="106"/>
      <c r="DF114" s="163">
        <v>2.2793197784382602</v>
      </c>
    </row>
    <row r="115" spans="1:110" s="163" customFormat="1" x14ac:dyDescent="0.2">
      <c r="A115" s="163" t="s">
        <v>508</v>
      </c>
      <c r="E115" s="163" t="e">
        <f t="shared" ca="1" si="1015"/>
        <v>#DIV/0!</v>
      </c>
      <c r="F115" s="163" t="e">
        <f t="shared" ca="1" si="1015"/>
        <v>#DIV/0!</v>
      </c>
      <c r="G115" s="163" t="e">
        <f t="shared" ca="1" si="1015"/>
        <v>#DIV/0!</v>
      </c>
      <c r="H115" s="163" t="e">
        <f t="shared" ca="1" si="1015"/>
        <v>#DIV/0!</v>
      </c>
      <c r="I115" s="163" t="e">
        <f t="shared" ca="1" si="1015"/>
        <v>#DIV/0!</v>
      </c>
      <c r="J115" s="163" t="e">
        <f t="shared" ca="1" si="1015"/>
        <v>#DIV/0!</v>
      </c>
      <c r="K115" s="163" t="e">
        <f t="shared" ca="1" si="1015"/>
        <v>#DIV/0!</v>
      </c>
      <c r="L115" s="163" t="e">
        <f t="shared" ca="1" si="1015"/>
        <v>#DIV/0!</v>
      </c>
      <c r="M115" s="163" t="e">
        <f t="shared" ca="1" si="1015"/>
        <v>#DIV/0!</v>
      </c>
      <c r="N115" s="163" t="e">
        <f t="shared" ca="1" si="1015"/>
        <v>#DIV/0!</v>
      </c>
      <c r="O115" s="163" t="e">
        <f t="shared" ca="1" si="1015"/>
        <v>#DIV/0!</v>
      </c>
      <c r="P115" s="163" t="e">
        <f t="shared" ca="1" si="1015"/>
        <v>#DIV/0!</v>
      </c>
      <c r="Q115" s="163" t="e">
        <f t="shared" ca="1" si="1015"/>
        <v>#DIV/0!</v>
      </c>
      <c r="R115" s="163">
        <f t="shared" ca="1" si="1015"/>
        <v>0</v>
      </c>
      <c r="S115" s="163">
        <f t="shared" ca="1" si="1015"/>
        <v>0</v>
      </c>
      <c r="T115" s="163">
        <f t="shared" ca="1" si="1015"/>
        <v>2.4401096583719952</v>
      </c>
      <c r="U115" s="163">
        <f t="shared" ca="1" si="1015"/>
        <v>2.3961132933636553</v>
      </c>
      <c r="V115" s="163">
        <f t="shared" ca="1" si="1015"/>
        <v>3.1771909000989123</v>
      </c>
      <c r="W115" s="163">
        <f t="shared" ca="1" si="1015"/>
        <v>4.2882154882154877</v>
      </c>
      <c r="X115" s="163">
        <f t="shared" ca="1" si="1015"/>
        <v>2.7885920897284531</v>
      </c>
      <c r="Y115" s="163">
        <f t="shared" ca="1" si="1015"/>
        <v>3.1412531481859642</v>
      </c>
      <c r="Z115" s="163">
        <f t="shared" ref="Z115:AA116" ca="1" si="1020">+Z90/Z$111</f>
        <v>2.8057618025751072</v>
      </c>
      <c r="AA115" s="163">
        <f t="shared" ref="AA115" ca="1" si="1021">+AA90/AA$111</f>
        <v>2.8057618025751072</v>
      </c>
      <c r="AB115" s="94">
        <f t="shared" ca="1" si="1015"/>
        <v>2.7031712001969299</v>
      </c>
      <c r="AC115" s="94">
        <f t="shared" ca="1" si="1015"/>
        <v>3.2133955784672805</v>
      </c>
      <c r="AD115" s="94">
        <f t="shared" ca="1" si="1015"/>
        <v>3.5104394299485504</v>
      </c>
      <c r="AE115" s="94">
        <f t="shared" ca="1" si="1015"/>
        <v>3.9709961095138406</v>
      </c>
      <c r="AL115" s="163" t="e">
        <f t="shared" ref="AL115:BQ115" si="1022">+AL90/AL111</f>
        <v>#DIV/0!</v>
      </c>
      <c r="AM115" s="163" t="e">
        <f t="shared" si="1022"/>
        <v>#DIV/0!</v>
      </c>
      <c r="AN115" s="163" t="e">
        <f t="shared" si="1022"/>
        <v>#DIV/0!</v>
      </c>
      <c r="AO115" s="163" t="e">
        <f t="shared" si="1022"/>
        <v>#DIV/0!</v>
      </c>
      <c r="AP115" s="163" t="e">
        <f t="shared" si="1022"/>
        <v>#DIV/0!</v>
      </c>
      <c r="AQ115" s="163" t="e">
        <f t="shared" si="1022"/>
        <v>#DIV/0!</v>
      </c>
      <c r="AR115" s="163" t="e">
        <f t="shared" si="1022"/>
        <v>#DIV/0!</v>
      </c>
      <c r="AS115" s="163" t="e">
        <f t="shared" si="1022"/>
        <v>#DIV/0!</v>
      </c>
      <c r="AT115" s="163" t="e">
        <f t="shared" si="1022"/>
        <v>#DIV/0!</v>
      </c>
      <c r="AU115" s="163" t="e">
        <f t="shared" si="1022"/>
        <v>#DIV/0!</v>
      </c>
      <c r="AV115" s="163" t="e">
        <f t="shared" si="1022"/>
        <v>#DIV/0!</v>
      </c>
      <c r="AW115" s="163" t="e">
        <f t="shared" si="1022"/>
        <v>#DIV/0!</v>
      </c>
      <c r="AX115" s="163" t="e">
        <f t="shared" si="1022"/>
        <v>#DIV/0!</v>
      </c>
      <c r="AY115" s="163" t="e">
        <f t="shared" si="1022"/>
        <v>#DIV/0!</v>
      </c>
      <c r="AZ115" s="163" t="e">
        <f t="shared" si="1022"/>
        <v>#DIV/0!</v>
      </c>
      <c r="BA115" s="163" t="e">
        <f t="shared" si="1022"/>
        <v>#DIV/0!</v>
      </c>
      <c r="BB115" s="163" t="e">
        <f t="shared" si="1022"/>
        <v>#DIV/0!</v>
      </c>
      <c r="BC115" s="163" t="e">
        <f t="shared" si="1022"/>
        <v>#DIV/0!</v>
      </c>
      <c r="BD115" s="163" t="e">
        <f t="shared" si="1022"/>
        <v>#DIV/0!</v>
      </c>
      <c r="BE115" s="163">
        <f t="shared" si="1022"/>
        <v>0</v>
      </c>
      <c r="BF115" s="163">
        <f t="shared" si="1022"/>
        <v>0</v>
      </c>
      <c r="BG115" s="163">
        <f t="shared" si="1022"/>
        <v>0</v>
      </c>
      <c r="BH115" s="163">
        <f t="shared" si="1022"/>
        <v>0</v>
      </c>
      <c r="BI115" s="163">
        <f t="shared" si="1022"/>
        <v>2.3413975591316558</v>
      </c>
      <c r="BJ115" s="163">
        <f t="shared" si="1022"/>
        <v>2.4429431014462155</v>
      </c>
      <c r="BK115" s="163">
        <f t="shared" si="1022"/>
        <v>2.4040655465671024</v>
      </c>
      <c r="BL115" s="163">
        <f t="shared" si="1022"/>
        <v>2.0808876163206871</v>
      </c>
      <c r="BM115" s="163">
        <f t="shared" si="1022"/>
        <v>1.7005880594039668</v>
      </c>
      <c r="BN115" s="163">
        <f t="shared" si="1022"/>
        <v>1.8029770518916686</v>
      </c>
      <c r="BO115" s="163">
        <f t="shared" si="1022"/>
        <v>1.513609205576455</v>
      </c>
      <c r="BP115" s="163">
        <f t="shared" si="1022"/>
        <v>1.7187547997805812</v>
      </c>
      <c r="BQ115" s="163">
        <f t="shared" si="1022"/>
        <v>2.4081301674793303</v>
      </c>
      <c r="BR115" s="163">
        <f t="shared" ref="BR115:CJ115" si="1023">+BR90/BR111</f>
        <v>3.1797069887151053</v>
      </c>
      <c r="BS115" s="163">
        <f t="shared" si="1023"/>
        <v>3.4234154929577465</v>
      </c>
      <c r="BT115" s="163">
        <f t="shared" si="1023"/>
        <v>4.3758408679927667</v>
      </c>
      <c r="BU115" s="163">
        <f t="shared" si="1023"/>
        <v>3.7718187573482864</v>
      </c>
      <c r="BV115" s="163">
        <f t="shared" si="1023"/>
        <v>3.5400673400673406</v>
      </c>
      <c r="BW115" s="163">
        <f t="shared" si="1023"/>
        <v>2.5985829790781025</v>
      </c>
      <c r="BX115" s="163">
        <f t="shared" si="1023"/>
        <v>2.7540566723177524</v>
      </c>
      <c r="BY115" s="163">
        <f t="shared" si="1023"/>
        <v>2.8429158979089788</v>
      </c>
      <c r="BZ115" s="163">
        <f t="shared" si="1023"/>
        <v>2.7904452484678433</v>
      </c>
      <c r="CA115" s="163">
        <f t="shared" si="1023"/>
        <v>3.1366851745024511</v>
      </c>
      <c r="CB115" s="163">
        <f t="shared" si="1023"/>
        <v>3.2785480427046263</v>
      </c>
      <c r="CC115" s="163">
        <f t="shared" si="1023"/>
        <v>3.2273690467864884</v>
      </c>
      <c r="CD115" s="163">
        <f t="shared" si="1023"/>
        <v>3.1408651555374041</v>
      </c>
      <c r="CE115" s="163">
        <f t="shared" si="1023"/>
        <v>2.6710623084780383</v>
      </c>
      <c r="CF115" s="163">
        <f t="shared" si="1023"/>
        <v>2.5755728846022299</v>
      </c>
      <c r="CG115" s="163">
        <f t="shared" si="1023"/>
        <v>2.6543251620174697</v>
      </c>
      <c r="CH115" s="163">
        <f t="shared" si="1023"/>
        <v>2.6092381974248924</v>
      </c>
      <c r="CI115" s="163">
        <f t="shared" si="1023"/>
        <v>3.031107538406574</v>
      </c>
      <c r="CJ115" s="163">
        <f t="shared" si="1023"/>
        <v>3.3105095986038395</v>
      </c>
      <c r="CK115" s="163">
        <f t="shared" ref="CK115:CL115" si="1024">+CK90/CK111</f>
        <v>3.0088737201365188</v>
      </c>
      <c r="CL115" s="163">
        <f t="shared" si="1024"/>
        <v>2.9010807889759525</v>
      </c>
      <c r="CM115" s="94">
        <f t="shared" ref="CM115:DB115" si="1025">+CL115</f>
        <v>2.9010807889759525</v>
      </c>
      <c r="CN115" s="94">
        <f t="shared" si="1025"/>
        <v>2.9010807889759525</v>
      </c>
      <c r="CO115" s="94">
        <f t="shared" si="1025"/>
        <v>2.9010807889759525</v>
      </c>
      <c r="CP115" s="94">
        <f t="shared" si="1025"/>
        <v>2.9010807889759525</v>
      </c>
      <c r="CQ115" s="94">
        <f t="shared" si="1025"/>
        <v>2.9010807889759525</v>
      </c>
      <c r="CR115" s="94">
        <f t="shared" si="1025"/>
        <v>2.9010807889759525</v>
      </c>
      <c r="CS115" s="94">
        <f t="shared" si="1025"/>
        <v>2.9010807889759525</v>
      </c>
      <c r="CT115" s="94">
        <f t="shared" si="1025"/>
        <v>2.9010807889759525</v>
      </c>
      <c r="CU115" s="94">
        <f t="shared" si="1025"/>
        <v>2.9010807889759525</v>
      </c>
      <c r="CV115" s="94">
        <f t="shared" si="1025"/>
        <v>2.9010807889759525</v>
      </c>
      <c r="CW115" s="94">
        <f t="shared" si="1025"/>
        <v>2.9010807889759525</v>
      </c>
      <c r="CX115" s="94">
        <f t="shared" si="1025"/>
        <v>2.9010807889759525</v>
      </c>
      <c r="CY115" s="94">
        <f t="shared" si="1025"/>
        <v>2.9010807889759525</v>
      </c>
      <c r="CZ115" s="94">
        <f t="shared" si="1025"/>
        <v>2.9010807889759525</v>
      </c>
      <c r="DA115" s="94">
        <f t="shared" si="1025"/>
        <v>2.9010807889759525</v>
      </c>
      <c r="DB115" s="94">
        <f t="shared" si="1025"/>
        <v>2.9010807889759525</v>
      </c>
      <c r="DE115" s="164"/>
      <c r="DF115" s="163">
        <v>3.2033943528776003</v>
      </c>
    </row>
    <row r="116" spans="1:110" s="163" customFormat="1" x14ac:dyDescent="0.2">
      <c r="A116" s="163" t="s">
        <v>509</v>
      </c>
      <c r="E116" s="163" t="e">
        <f t="shared" ca="1" si="1015"/>
        <v>#DIV/0!</v>
      </c>
      <c r="F116" s="163" t="e">
        <f t="shared" ca="1" si="1015"/>
        <v>#DIV/0!</v>
      </c>
      <c r="G116" s="163" t="e">
        <f t="shared" ca="1" si="1015"/>
        <v>#DIV/0!</v>
      </c>
      <c r="H116" s="163" t="e">
        <f t="shared" ca="1" si="1015"/>
        <v>#DIV/0!</v>
      </c>
      <c r="I116" s="163" t="e">
        <f t="shared" ca="1" si="1015"/>
        <v>#DIV/0!</v>
      </c>
      <c r="J116" s="163" t="e">
        <f t="shared" ca="1" si="1015"/>
        <v>#DIV/0!</v>
      </c>
      <c r="K116" s="163" t="e">
        <f t="shared" ca="1" si="1015"/>
        <v>#DIV/0!</v>
      </c>
      <c r="L116" s="163" t="e">
        <f t="shared" ca="1" si="1015"/>
        <v>#DIV/0!</v>
      </c>
      <c r="M116" s="163" t="e">
        <f t="shared" ca="1" si="1015"/>
        <v>#DIV/0!</v>
      </c>
      <c r="N116" s="163" t="e">
        <f t="shared" ca="1" si="1015"/>
        <v>#DIV/0!</v>
      </c>
      <c r="O116" s="163" t="e">
        <f t="shared" ca="1" si="1015"/>
        <v>#DIV/0!</v>
      </c>
      <c r="P116" s="163" t="e">
        <f t="shared" ca="1" si="1015"/>
        <v>#DIV/0!</v>
      </c>
      <c r="Q116" s="163" t="e">
        <f t="shared" ca="1" si="1015"/>
        <v>#DIV/0!</v>
      </c>
      <c r="R116" s="163">
        <f t="shared" ca="1" si="1015"/>
        <v>0</v>
      </c>
      <c r="S116" s="163">
        <f t="shared" ca="1" si="1015"/>
        <v>0</v>
      </c>
      <c r="T116" s="163">
        <f t="shared" ca="1" si="1015"/>
        <v>1.8090468156895825</v>
      </c>
      <c r="U116" s="163">
        <f t="shared" ca="1" si="1015"/>
        <v>0.79739507959479017</v>
      </c>
      <c r="V116" s="163">
        <f t="shared" ca="1" si="1015"/>
        <v>0.78367952522255202</v>
      </c>
      <c r="W116" s="163">
        <f t="shared" ca="1" si="1015"/>
        <v>2.1539562289562291</v>
      </c>
      <c r="X116" s="163">
        <f t="shared" ca="1" si="1015"/>
        <v>1.7000737898465168</v>
      </c>
      <c r="Y116" s="163">
        <f t="shared" ca="1" si="1015"/>
        <v>2.3344224355047309</v>
      </c>
      <c r="Z116" s="163">
        <f t="shared" ca="1" si="1020"/>
        <v>2.17725321888412</v>
      </c>
      <c r="AA116" s="163">
        <f t="shared" ref="AA116" ca="1" si="1026">+AA91/AA$111</f>
        <v>2.17725321888412</v>
      </c>
      <c r="AB116" s="94">
        <f t="shared" ca="1" si="1015"/>
        <v>1.8007362331868699</v>
      </c>
      <c r="AC116" s="94">
        <f t="shared" ca="1" si="1015"/>
        <v>2.0079338606163759</v>
      </c>
      <c r="AD116" s="94">
        <f t="shared" ca="1" si="1015"/>
        <v>2.3733254883352468</v>
      </c>
      <c r="AE116" s="94">
        <f t="shared" ca="1" si="1015"/>
        <v>2.6219803792842877</v>
      </c>
      <c r="AL116" s="163" t="e">
        <f t="shared" ref="AL116:BQ116" si="1027">+AL91/AL111</f>
        <v>#DIV/0!</v>
      </c>
      <c r="AM116" s="163" t="e">
        <f t="shared" si="1027"/>
        <v>#DIV/0!</v>
      </c>
      <c r="AN116" s="163" t="e">
        <f t="shared" si="1027"/>
        <v>#DIV/0!</v>
      </c>
      <c r="AO116" s="163" t="e">
        <f t="shared" si="1027"/>
        <v>#DIV/0!</v>
      </c>
      <c r="AP116" s="163" t="e">
        <f t="shared" si="1027"/>
        <v>#DIV/0!</v>
      </c>
      <c r="AQ116" s="163" t="e">
        <f t="shared" si="1027"/>
        <v>#DIV/0!</v>
      </c>
      <c r="AR116" s="163" t="e">
        <f t="shared" si="1027"/>
        <v>#DIV/0!</v>
      </c>
      <c r="AS116" s="163" t="e">
        <f t="shared" si="1027"/>
        <v>#DIV/0!</v>
      </c>
      <c r="AT116" s="163" t="e">
        <f t="shared" si="1027"/>
        <v>#DIV/0!</v>
      </c>
      <c r="AU116" s="163" t="e">
        <f t="shared" si="1027"/>
        <v>#DIV/0!</v>
      </c>
      <c r="AV116" s="163" t="e">
        <f t="shared" si="1027"/>
        <v>#DIV/0!</v>
      </c>
      <c r="AW116" s="163" t="e">
        <f t="shared" si="1027"/>
        <v>#DIV/0!</v>
      </c>
      <c r="AX116" s="163" t="e">
        <f t="shared" si="1027"/>
        <v>#DIV/0!</v>
      </c>
      <c r="AY116" s="163" t="e">
        <f t="shared" si="1027"/>
        <v>#DIV/0!</v>
      </c>
      <c r="AZ116" s="163" t="e">
        <f t="shared" si="1027"/>
        <v>#DIV/0!</v>
      </c>
      <c r="BA116" s="163" t="e">
        <f t="shared" si="1027"/>
        <v>#DIV/0!</v>
      </c>
      <c r="BB116" s="163" t="e">
        <f t="shared" si="1027"/>
        <v>#DIV/0!</v>
      </c>
      <c r="BC116" s="163" t="e">
        <f t="shared" si="1027"/>
        <v>#DIV/0!</v>
      </c>
      <c r="BD116" s="163" t="e">
        <f t="shared" si="1027"/>
        <v>#DIV/0!</v>
      </c>
      <c r="BE116" s="163">
        <f t="shared" si="1027"/>
        <v>0</v>
      </c>
      <c r="BF116" s="163">
        <f t="shared" si="1027"/>
        <v>0</v>
      </c>
      <c r="BG116" s="163">
        <f t="shared" si="1027"/>
        <v>0</v>
      </c>
      <c r="BH116" s="163">
        <f t="shared" si="1027"/>
        <v>0</v>
      </c>
      <c r="BI116" s="163">
        <f t="shared" si="1027"/>
        <v>0</v>
      </c>
      <c r="BJ116" s="163">
        <f t="shared" si="1027"/>
        <v>1.8111474717618494</v>
      </c>
      <c r="BK116" s="163">
        <f t="shared" si="1027"/>
        <v>1.9312331466500725</v>
      </c>
      <c r="BL116" s="163">
        <f t="shared" si="1027"/>
        <v>1.4610900910113507</v>
      </c>
      <c r="BM116" s="163">
        <f t="shared" si="1027"/>
        <v>1.4411442240605998</v>
      </c>
      <c r="BN116" s="163">
        <f t="shared" si="1027"/>
        <v>0.79739507959479017</v>
      </c>
      <c r="BO116" s="163">
        <f t="shared" si="1027"/>
        <v>0.87663199822969684</v>
      </c>
      <c r="BP116" s="163">
        <f t="shared" si="1027"/>
        <v>1.3589742183214482</v>
      </c>
      <c r="BQ116" s="163">
        <f t="shared" si="1027"/>
        <v>1.4903540385838456</v>
      </c>
      <c r="BR116" s="163">
        <f t="shared" ref="BR116:CJ116" si="1028">+BR91/BR111</f>
        <v>2.0012819243714115</v>
      </c>
      <c r="BS116" s="163">
        <f t="shared" si="1028"/>
        <v>2.4751760563380283</v>
      </c>
      <c r="BT116" s="163">
        <f t="shared" si="1028"/>
        <v>3.1572468354430381</v>
      </c>
      <c r="BU116" s="163">
        <f t="shared" si="1028"/>
        <v>3.018228271683097</v>
      </c>
      <c r="BV116" s="163">
        <f t="shared" si="1028"/>
        <v>2.1539562289562291</v>
      </c>
      <c r="BW116" s="163">
        <f t="shared" si="1028"/>
        <v>1.9204301075268815</v>
      </c>
      <c r="BX116" s="163">
        <f t="shared" si="1028"/>
        <v>1.9544522483248568</v>
      </c>
      <c r="BY116" s="163">
        <f t="shared" si="1028"/>
        <v>2.1588983702337021</v>
      </c>
      <c r="BZ116" s="163">
        <f t="shared" si="1028"/>
        <v>2.3499224691722662</v>
      </c>
      <c r="CA116" s="163">
        <f t="shared" si="1028"/>
        <v>2.5838657340640321</v>
      </c>
      <c r="CB116" s="163">
        <f t="shared" si="1028"/>
        <v>2.5382918149466192</v>
      </c>
      <c r="CC116" s="163">
        <f t="shared" si="1028"/>
        <v>2.6548709699979018</v>
      </c>
      <c r="CD116" s="163">
        <f t="shared" si="1028"/>
        <v>2.3344224355047309</v>
      </c>
      <c r="CE116" s="163">
        <f t="shared" si="1028"/>
        <v>2.1532039496084439</v>
      </c>
      <c r="CF116" s="163">
        <f t="shared" si="1028"/>
        <v>2.2172515219919284</v>
      </c>
      <c r="CG116" s="163">
        <f t="shared" si="1028"/>
        <v>2.2445724147647224</v>
      </c>
      <c r="CH116" s="163">
        <f t="shared" si="1028"/>
        <v>2.17725321888412</v>
      </c>
      <c r="CI116" s="163">
        <f t="shared" si="1028"/>
        <v>2.3270418006430869</v>
      </c>
      <c r="CJ116" s="163">
        <f t="shared" si="1028"/>
        <v>2.8141221640488654</v>
      </c>
      <c r="CK116" s="163">
        <f t="shared" ref="CK116:CL116" si="1029">+CK91/CK111</f>
        <v>2.5074812286689419</v>
      </c>
      <c r="CL116" s="163">
        <f t="shared" si="1029"/>
        <v>2.2094366387462849</v>
      </c>
      <c r="CM116" s="94">
        <f t="shared" ref="CM116:DB116" si="1030">+CL116</f>
        <v>2.2094366387462849</v>
      </c>
      <c r="CN116" s="94">
        <f t="shared" si="1030"/>
        <v>2.2094366387462849</v>
      </c>
      <c r="CO116" s="94">
        <f t="shared" si="1030"/>
        <v>2.2094366387462849</v>
      </c>
      <c r="CP116" s="94">
        <f t="shared" si="1030"/>
        <v>2.2094366387462849</v>
      </c>
      <c r="CQ116" s="94">
        <f t="shared" si="1030"/>
        <v>2.2094366387462849</v>
      </c>
      <c r="CR116" s="94">
        <f t="shared" si="1030"/>
        <v>2.2094366387462849</v>
      </c>
      <c r="CS116" s="94">
        <f t="shared" si="1030"/>
        <v>2.2094366387462849</v>
      </c>
      <c r="CT116" s="94">
        <f t="shared" si="1030"/>
        <v>2.2094366387462849</v>
      </c>
      <c r="CU116" s="94">
        <f t="shared" si="1030"/>
        <v>2.2094366387462849</v>
      </c>
      <c r="CV116" s="94">
        <f t="shared" si="1030"/>
        <v>2.2094366387462849</v>
      </c>
      <c r="CW116" s="94">
        <f t="shared" si="1030"/>
        <v>2.2094366387462849</v>
      </c>
      <c r="CX116" s="94">
        <f t="shared" si="1030"/>
        <v>2.2094366387462849</v>
      </c>
      <c r="CY116" s="94">
        <f t="shared" si="1030"/>
        <v>2.2094366387462849</v>
      </c>
      <c r="CZ116" s="94">
        <f t="shared" si="1030"/>
        <v>2.2094366387462849</v>
      </c>
      <c r="DA116" s="94">
        <f t="shared" si="1030"/>
        <v>2.2094366387462849</v>
      </c>
      <c r="DB116" s="94">
        <f t="shared" si="1030"/>
        <v>2.2094366387462849</v>
      </c>
      <c r="DE116" s="164"/>
      <c r="DF116" s="163">
        <v>2.1998750337746555</v>
      </c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4" customFormat="1" x14ac:dyDescent="0.2">
      <c r="A118" s="3"/>
      <c r="AB118" s="17"/>
      <c r="AC118" s="17"/>
      <c r="AD118" s="17"/>
      <c r="AE118" s="17"/>
      <c r="CM118" s="17">
        <f t="shared" ref="CM118:CT118" si="1031">+CM119/CM77</f>
        <v>2035.7326777794576</v>
      </c>
      <c r="CN118" s="17">
        <f t="shared" si="1031"/>
        <v>2008.1270808103156</v>
      </c>
      <c r="CO118" s="17">
        <f t="shared" si="1031"/>
        <v>2212.9776717099976</v>
      </c>
      <c r="CP118" s="17">
        <f t="shared" si="1031"/>
        <v>2295.8122553277408</v>
      </c>
      <c r="CQ118" s="17">
        <f t="shared" si="1031"/>
        <v>2391.8935938149984</v>
      </c>
      <c r="CR118" s="17">
        <f t="shared" si="1031"/>
        <v>2550.7325447430567</v>
      </c>
      <c r="CS118" s="17">
        <f t="shared" si="1031"/>
        <v>2738.8942881946209</v>
      </c>
      <c r="CT118" s="17">
        <f t="shared" si="1031"/>
        <v>2915.2672403279639</v>
      </c>
      <c r="CU118" s="17"/>
      <c r="CV118" s="17"/>
      <c r="CW118" s="17"/>
      <c r="CX118" s="17"/>
      <c r="CY118" s="17"/>
      <c r="CZ118" s="17"/>
      <c r="DA118" s="17"/>
      <c r="DB118" s="17"/>
      <c r="DE118" s="119"/>
    </row>
    <row r="119" spans="1:110" s="162" customFormat="1" x14ac:dyDescent="0.2">
      <c r="A119" s="49" t="s">
        <v>340</v>
      </c>
      <c r="B119" s="162" t="e">
        <f t="shared" ref="B119:AE119" si="1032">+B90*B77</f>
        <v>#DIV/0!</v>
      </c>
      <c r="C119" s="162" t="e">
        <f t="shared" si="1032"/>
        <v>#DIV/0!</v>
      </c>
      <c r="D119" s="162" t="e">
        <f t="shared" si="1032"/>
        <v>#DIV/0!</v>
      </c>
      <c r="E119" s="162">
        <f t="shared" ca="1" si="1032"/>
        <v>0</v>
      </c>
      <c r="F119" s="162">
        <f t="shared" ca="1" si="1032"/>
        <v>0</v>
      </c>
      <c r="G119" s="162">
        <f t="shared" ca="1" si="1032"/>
        <v>0</v>
      </c>
      <c r="H119" s="162">
        <f t="shared" ca="1" si="1032"/>
        <v>0</v>
      </c>
      <c r="I119" s="162">
        <f t="shared" ca="1" si="1032"/>
        <v>0</v>
      </c>
      <c r="J119" s="162">
        <f t="shared" ca="1" si="1032"/>
        <v>0</v>
      </c>
      <c r="K119" s="162">
        <f t="shared" ca="1" si="1032"/>
        <v>0</v>
      </c>
      <c r="L119" s="162">
        <f t="shared" ca="1" si="1032"/>
        <v>0</v>
      </c>
      <c r="M119" s="162">
        <f t="shared" ca="1" si="1032"/>
        <v>0</v>
      </c>
      <c r="N119" s="162">
        <f t="shared" ca="1" si="1032"/>
        <v>0</v>
      </c>
      <c r="O119" s="162">
        <f t="shared" ca="1" si="1032"/>
        <v>0</v>
      </c>
      <c r="P119" s="162">
        <f t="shared" ca="1" si="1032"/>
        <v>0</v>
      </c>
      <c r="Q119" s="162">
        <f t="shared" ca="1" si="1032"/>
        <v>0</v>
      </c>
      <c r="R119" s="162">
        <f t="shared" ca="1" si="1032"/>
        <v>0</v>
      </c>
      <c r="S119" s="162">
        <f t="shared" ca="1" si="1032"/>
        <v>0</v>
      </c>
      <c r="T119" s="162">
        <f t="shared" ca="1" si="1032"/>
        <v>23142</v>
      </c>
      <c r="U119" s="162">
        <f t="shared" ca="1" si="1032"/>
        <v>23180</v>
      </c>
      <c r="V119" s="162">
        <f t="shared" ca="1" si="1032"/>
        <v>32121.399999999998</v>
      </c>
      <c r="W119" s="162">
        <f t="shared" ca="1" si="1032"/>
        <v>48396.799999999996</v>
      </c>
      <c r="X119" s="162">
        <f t="shared" ca="1" si="1032"/>
        <v>37791</v>
      </c>
      <c r="Y119" s="162">
        <f t="shared" ca="1" si="1032"/>
        <v>46148.15</v>
      </c>
      <c r="Z119" s="162">
        <f t="shared" ca="1" si="1032"/>
        <v>39224.549999999996</v>
      </c>
      <c r="AA119" s="162">
        <f t="shared" ref="AA119" ca="1" si="1033">+AA90*AA77</f>
        <v>39224.549999999996</v>
      </c>
      <c r="AB119" s="21">
        <f t="shared" ca="1" si="1032"/>
        <v>43620.432851227073</v>
      </c>
      <c r="AC119" s="21">
        <f t="shared" ca="1" si="1032"/>
        <v>55390.077566231317</v>
      </c>
      <c r="AD119" s="21">
        <f t="shared" ca="1" si="1032"/>
        <v>64728.991636870567</v>
      </c>
      <c r="AE119" s="21">
        <f t="shared" ca="1" si="1032"/>
        <v>78344.079843830463</v>
      </c>
      <c r="AL119" s="162">
        <f t="shared" ref="AL119:BQ119" si="1034">+AL90*AL77</f>
        <v>0</v>
      </c>
      <c r="AM119" s="162">
        <f t="shared" si="1034"/>
        <v>0</v>
      </c>
      <c r="AN119" s="162">
        <f t="shared" si="1034"/>
        <v>0</v>
      </c>
      <c r="AO119" s="162">
        <f t="shared" si="1034"/>
        <v>0</v>
      </c>
      <c r="AP119" s="162">
        <f t="shared" si="1034"/>
        <v>0</v>
      </c>
      <c r="AQ119" s="162">
        <f t="shared" si="1034"/>
        <v>0</v>
      </c>
      <c r="AR119" s="162">
        <f t="shared" si="1034"/>
        <v>0</v>
      </c>
      <c r="AS119" s="162">
        <f t="shared" si="1034"/>
        <v>0</v>
      </c>
      <c r="AT119" s="162">
        <f t="shared" si="1034"/>
        <v>0</v>
      </c>
      <c r="AU119" s="162">
        <f t="shared" si="1034"/>
        <v>0</v>
      </c>
      <c r="AV119" s="162">
        <f t="shared" si="1034"/>
        <v>0</v>
      </c>
      <c r="AW119" s="162">
        <f t="shared" si="1034"/>
        <v>0</v>
      </c>
      <c r="AX119" s="162">
        <f t="shared" si="1034"/>
        <v>0</v>
      </c>
      <c r="AY119" s="162">
        <f t="shared" si="1034"/>
        <v>0</v>
      </c>
      <c r="AZ119" s="162">
        <f t="shared" si="1034"/>
        <v>0</v>
      </c>
      <c r="BA119" s="162">
        <f t="shared" si="1034"/>
        <v>0</v>
      </c>
      <c r="BB119" s="162">
        <f t="shared" si="1034"/>
        <v>0</v>
      </c>
      <c r="BC119" s="162">
        <f t="shared" si="1034"/>
        <v>0</v>
      </c>
      <c r="BD119" s="162">
        <f t="shared" si="1034"/>
        <v>0</v>
      </c>
      <c r="BE119" s="162">
        <f t="shared" si="1034"/>
        <v>0</v>
      </c>
      <c r="BF119" s="162">
        <f t="shared" si="1034"/>
        <v>0</v>
      </c>
      <c r="BG119" s="162">
        <f t="shared" si="1034"/>
        <v>0</v>
      </c>
      <c r="BH119" s="162">
        <f t="shared" si="1034"/>
        <v>0</v>
      </c>
      <c r="BI119" s="162">
        <f t="shared" si="1034"/>
        <v>21679</v>
      </c>
      <c r="BJ119" s="162">
        <f t="shared" si="1034"/>
        <v>23142</v>
      </c>
      <c r="BK119" s="162">
        <f t="shared" si="1034"/>
        <v>23180</v>
      </c>
      <c r="BL119" s="162">
        <f t="shared" si="1034"/>
        <v>20349</v>
      </c>
      <c r="BM119" s="162">
        <f t="shared" si="1034"/>
        <v>17062</v>
      </c>
      <c r="BN119" s="162">
        <f t="shared" si="1034"/>
        <v>17442</v>
      </c>
      <c r="BO119" s="162">
        <f t="shared" si="1034"/>
        <v>13680</v>
      </c>
      <c r="BP119" s="162">
        <f t="shared" si="1034"/>
        <v>15666.449999999999</v>
      </c>
      <c r="BQ119" s="162">
        <f t="shared" si="1034"/>
        <v>22718.3</v>
      </c>
      <c r="BR119" s="162">
        <f t="shared" ref="BR119:CJ119" si="1035">+BR90*BR77</f>
        <v>32121.399999999998</v>
      </c>
      <c r="BS119" s="162">
        <f t="shared" si="1035"/>
        <v>36945.5</v>
      </c>
      <c r="BT119" s="162">
        <f t="shared" si="1035"/>
        <v>48396.799999999996</v>
      </c>
      <c r="BU119" s="162">
        <f t="shared" si="1035"/>
        <v>41705</v>
      </c>
      <c r="BV119" s="162">
        <f t="shared" si="1035"/>
        <v>39953.200000000004</v>
      </c>
      <c r="BW119" s="162">
        <f t="shared" si="1035"/>
        <v>31175.200000000001</v>
      </c>
      <c r="BX119" s="162">
        <f t="shared" si="1035"/>
        <v>34114.5</v>
      </c>
      <c r="BY119" s="162">
        <f t="shared" si="1035"/>
        <v>36980.65</v>
      </c>
      <c r="BZ119" s="162">
        <f t="shared" si="1035"/>
        <v>37791</v>
      </c>
      <c r="CA119" s="162">
        <f t="shared" si="1035"/>
        <v>43499.549999999996</v>
      </c>
      <c r="CB119" s="162">
        <f t="shared" si="1035"/>
        <v>46063.6</v>
      </c>
      <c r="CC119" s="162">
        <f t="shared" si="1035"/>
        <v>46148.15</v>
      </c>
      <c r="CD119" s="162">
        <f t="shared" si="1035"/>
        <v>46142.450000000004</v>
      </c>
      <c r="CE119" s="162">
        <f t="shared" si="1035"/>
        <v>39224.549999999996</v>
      </c>
      <c r="CF119" s="162">
        <f t="shared" si="1035"/>
        <v>37652.300000000003</v>
      </c>
      <c r="CG119" s="162">
        <f t="shared" si="1035"/>
        <v>37680.800000000003</v>
      </c>
      <c r="CH119" s="162">
        <f t="shared" si="1035"/>
        <v>36477.15</v>
      </c>
      <c r="CI119" s="162">
        <f t="shared" si="1035"/>
        <v>42420.35</v>
      </c>
      <c r="CJ119" s="162">
        <f t="shared" si="1035"/>
        <v>47423.049999999996</v>
      </c>
      <c r="CK119" s="162">
        <f t="shared" ref="CK119:CL119" si="1036">+CK90*CK77</f>
        <v>44080</v>
      </c>
      <c r="CL119" s="162">
        <f t="shared" si="1036"/>
        <v>42947.6</v>
      </c>
      <c r="CM119" s="21">
        <f t="shared" ref="CM119:DB119" si="1037">+CM90*CM77</f>
        <v>38678.920877809695</v>
      </c>
      <c r="CN119" s="21">
        <f t="shared" si="1037"/>
        <v>38154.414535395998</v>
      </c>
      <c r="CO119" s="21">
        <f t="shared" si="1037"/>
        <v>42046.575762489956</v>
      </c>
      <c r="CP119" s="21">
        <f t="shared" si="1037"/>
        <v>43620.432851227073</v>
      </c>
      <c r="CQ119" s="21">
        <f t="shared" si="1037"/>
        <v>45445.978282484968</v>
      </c>
      <c r="CR119" s="21">
        <f t="shared" si="1037"/>
        <v>48463.918350118074</v>
      </c>
      <c r="CS119" s="21">
        <f t="shared" si="1037"/>
        <v>52038.991475697796</v>
      </c>
      <c r="CT119" s="21">
        <f t="shared" si="1037"/>
        <v>55390.077566231317</v>
      </c>
      <c r="CU119" s="21">
        <f t="shared" si="1037"/>
        <v>57460.967277653268</v>
      </c>
      <c r="CV119" s="21">
        <f t="shared" si="1037"/>
        <v>59834.428001369604</v>
      </c>
      <c r="CW119" s="21">
        <f t="shared" si="1037"/>
        <v>62246.397073332511</v>
      </c>
      <c r="CX119" s="21">
        <f t="shared" si="1037"/>
        <v>64728.991636870567</v>
      </c>
      <c r="CY119" s="21">
        <f t="shared" si="1037"/>
        <v>67922.620289703205</v>
      </c>
      <c r="CZ119" s="21">
        <f t="shared" si="1037"/>
        <v>71130.189903383376</v>
      </c>
      <c r="DA119" s="21">
        <f t="shared" si="1037"/>
        <v>74477.545592761264</v>
      </c>
      <c r="DB119" s="21">
        <f t="shared" si="1037"/>
        <v>78344.079843830463</v>
      </c>
      <c r="DE119" s="22"/>
      <c r="DF119" s="162">
        <v>47423.049999999996</v>
      </c>
    </row>
    <row r="120" spans="1:110" s="162" customFormat="1" x14ac:dyDescent="0.2">
      <c r="A120" s="49" t="s">
        <v>341</v>
      </c>
      <c r="B120" s="162" t="e">
        <f t="shared" ref="B120:AE120" si="1038">+B91*B77</f>
        <v>#DIV/0!</v>
      </c>
      <c r="C120" s="162" t="e">
        <f t="shared" si="1038"/>
        <v>#DIV/0!</v>
      </c>
      <c r="D120" s="162" t="e">
        <f t="shared" si="1038"/>
        <v>#DIV/0!</v>
      </c>
      <c r="E120" s="162">
        <f t="shared" ca="1" si="1038"/>
        <v>0</v>
      </c>
      <c r="F120" s="162">
        <f t="shared" ca="1" si="1038"/>
        <v>0</v>
      </c>
      <c r="G120" s="162">
        <f t="shared" ca="1" si="1038"/>
        <v>0</v>
      </c>
      <c r="H120" s="162">
        <f t="shared" ca="1" si="1038"/>
        <v>0</v>
      </c>
      <c r="I120" s="162">
        <f t="shared" ca="1" si="1038"/>
        <v>0</v>
      </c>
      <c r="J120" s="162">
        <f t="shared" ca="1" si="1038"/>
        <v>0</v>
      </c>
      <c r="K120" s="162">
        <f t="shared" ca="1" si="1038"/>
        <v>0</v>
      </c>
      <c r="L120" s="162">
        <f t="shared" ca="1" si="1038"/>
        <v>0</v>
      </c>
      <c r="M120" s="162">
        <f t="shared" ca="1" si="1038"/>
        <v>0</v>
      </c>
      <c r="N120" s="162">
        <f t="shared" ca="1" si="1038"/>
        <v>0</v>
      </c>
      <c r="O120" s="162">
        <f t="shared" ca="1" si="1038"/>
        <v>0</v>
      </c>
      <c r="P120" s="162">
        <f t="shared" ca="1" si="1038"/>
        <v>0</v>
      </c>
      <c r="Q120" s="162">
        <f t="shared" ca="1" si="1038"/>
        <v>0</v>
      </c>
      <c r="R120" s="162">
        <f t="shared" ca="1" si="1038"/>
        <v>0</v>
      </c>
      <c r="S120" s="162">
        <f t="shared" ca="1" si="1038"/>
        <v>0</v>
      </c>
      <c r="T120" s="162">
        <f t="shared" ca="1" si="1038"/>
        <v>17157</v>
      </c>
      <c r="U120" s="162">
        <f t="shared" ca="1" si="1038"/>
        <v>7714</v>
      </c>
      <c r="V120" s="162">
        <f t="shared" ca="1" si="1038"/>
        <v>7923</v>
      </c>
      <c r="W120" s="162">
        <f t="shared" ca="1" si="1038"/>
        <v>24309.55</v>
      </c>
      <c r="X120" s="162">
        <f t="shared" ca="1" si="1038"/>
        <v>23039.399999999998</v>
      </c>
      <c r="Y120" s="162">
        <f t="shared" ca="1" si="1038"/>
        <v>34295</v>
      </c>
      <c r="Z120" s="162">
        <f t="shared" ca="1" si="1038"/>
        <v>30438</v>
      </c>
      <c r="AA120" s="162">
        <f t="shared" ref="AA120" ca="1" si="1039">+AA91*AA77</f>
        <v>30438</v>
      </c>
      <c r="AB120" s="21">
        <f t="shared" ca="1" si="1038"/>
        <v>29058.053717343922</v>
      </c>
      <c r="AC120" s="21">
        <f t="shared" ca="1" si="1038"/>
        <v>34611.242086930579</v>
      </c>
      <c r="AD120" s="21">
        <f t="shared" ca="1" si="1038"/>
        <v>43761.747995257516</v>
      </c>
      <c r="AE120" s="21">
        <f t="shared" ca="1" si="1038"/>
        <v>51729.247402550027</v>
      </c>
      <c r="AL120" s="162">
        <f t="shared" ref="AL120:BQ120" si="1040">+AL91*AL77</f>
        <v>0</v>
      </c>
      <c r="AM120" s="162">
        <f t="shared" si="1040"/>
        <v>0</v>
      </c>
      <c r="AN120" s="162">
        <f t="shared" si="1040"/>
        <v>0</v>
      </c>
      <c r="AO120" s="162">
        <f t="shared" si="1040"/>
        <v>0</v>
      </c>
      <c r="AP120" s="162">
        <f t="shared" si="1040"/>
        <v>0</v>
      </c>
      <c r="AQ120" s="162">
        <f t="shared" si="1040"/>
        <v>0</v>
      </c>
      <c r="AR120" s="162">
        <f t="shared" si="1040"/>
        <v>0</v>
      </c>
      <c r="AS120" s="162">
        <f t="shared" si="1040"/>
        <v>0</v>
      </c>
      <c r="AT120" s="162">
        <f t="shared" si="1040"/>
        <v>0</v>
      </c>
      <c r="AU120" s="162">
        <f t="shared" si="1040"/>
        <v>0</v>
      </c>
      <c r="AV120" s="162">
        <f t="shared" si="1040"/>
        <v>0</v>
      </c>
      <c r="AW120" s="162">
        <f t="shared" si="1040"/>
        <v>0</v>
      </c>
      <c r="AX120" s="162">
        <f t="shared" si="1040"/>
        <v>0</v>
      </c>
      <c r="AY120" s="162">
        <f t="shared" si="1040"/>
        <v>0</v>
      </c>
      <c r="AZ120" s="162">
        <f t="shared" si="1040"/>
        <v>0</v>
      </c>
      <c r="BA120" s="162">
        <f t="shared" si="1040"/>
        <v>0</v>
      </c>
      <c r="BB120" s="162">
        <f t="shared" si="1040"/>
        <v>0</v>
      </c>
      <c r="BC120" s="162">
        <f t="shared" si="1040"/>
        <v>0</v>
      </c>
      <c r="BD120" s="162">
        <f t="shared" si="1040"/>
        <v>0</v>
      </c>
      <c r="BE120" s="162">
        <f t="shared" si="1040"/>
        <v>0</v>
      </c>
      <c r="BF120" s="162">
        <f t="shared" si="1040"/>
        <v>0</v>
      </c>
      <c r="BG120" s="162">
        <f t="shared" si="1040"/>
        <v>0</v>
      </c>
      <c r="BH120" s="162">
        <f t="shared" si="1040"/>
        <v>0</v>
      </c>
      <c r="BI120" s="162">
        <f t="shared" si="1040"/>
        <v>0</v>
      </c>
      <c r="BJ120" s="162">
        <f t="shared" si="1040"/>
        <v>17157</v>
      </c>
      <c r="BK120" s="162">
        <f t="shared" si="1040"/>
        <v>18620.95</v>
      </c>
      <c r="BL120" s="162">
        <f t="shared" si="1040"/>
        <v>14288</v>
      </c>
      <c r="BM120" s="162">
        <f t="shared" si="1040"/>
        <v>14459</v>
      </c>
      <c r="BN120" s="162">
        <f t="shared" si="1040"/>
        <v>7714</v>
      </c>
      <c r="BO120" s="162">
        <f t="shared" si="1040"/>
        <v>7923</v>
      </c>
      <c r="BP120" s="162">
        <f t="shared" si="1040"/>
        <v>12387.050000000001</v>
      </c>
      <c r="BQ120" s="162">
        <f t="shared" si="1040"/>
        <v>14060</v>
      </c>
      <c r="BR120" s="162">
        <f t="shared" ref="BR120:CJ120" si="1041">+BR91*BR77</f>
        <v>20216.95</v>
      </c>
      <c r="BS120" s="162">
        <f t="shared" si="1041"/>
        <v>26712.100000000002</v>
      </c>
      <c r="BT120" s="162">
        <f t="shared" si="1041"/>
        <v>34919.15</v>
      </c>
      <c r="BU120" s="162">
        <f t="shared" si="1041"/>
        <v>33372.550000000003</v>
      </c>
      <c r="BV120" s="162">
        <f t="shared" si="1041"/>
        <v>24309.55</v>
      </c>
      <c r="BW120" s="162">
        <f t="shared" si="1041"/>
        <v>23039.399999999998</v>
      </c>
      <c r="BX120" s="162">
        <f t="shared" si="1041"/>
        <v>24209.8</v>
      </c>
      <c r="BY120" s="162">
        <f t="shared" si="1041"/>
        <v>28082.95</v>
      </c>
      <c r="BZ120" s="162">
        <f t="shared" si="1041"/>
        <v>31825</v>
      </c>
      <c r="CA120" s="162">
        <f t="shared" si="1041"/>
        <v>35833.050000000003</v>
      </c>
      <c r="CB120" s="162">
        <f t="shared" si="1041"/>
        <v>35663</v>
      </c>
      <c r="CC120" s="162">
        <f t="shared" si="1041"/>
        <v>37962</v>
      </c>
      <c r="CD120" s="162">
        <f t="shared" si="1041"/>
        <v>34295</v>
      </c>
      <c r="CE120" s="162">
        <f t="shared" si="1041"/>
        <v>31619.8</v>
      </c>
      <c r="CF120" s="162">
        <f t="shared" si="1041"/>
        <v>32414</v>
      </c>
      <c r="CG120" s="162">
        <f t="shared" si="1041"/>
        <v>31863.95</v>
      </c>
      <c r="CH120" s="162">
        <f t="shared" si="1041"/>
        <v>30438</v>
      </c>
      <c r="CI120" s="162">
        <f t="shared" si="1041"/>
        <v>32566.95</v>
      </c>
      <c r="CJ120" s="162">
        <f t="shared" si="1041"/>
        <v>40312.299999999996</v>
      </c>
      <c r="CK120" s="162">
        <f t="shared" ref="CK120:CL120" si="1042">+CK91*CK77</f>
        <v>36734.6</v>
      </c>
      <c r="CL120" s="162">
        <f t="shared" si="1042"/>
        <v>32708.5</v>
      </c>
      <c r="CM120" s="21">
        <f t="shared" ref="CM120:DB120" si="1043">+CM91*CM77</f>
        <v>29457.51295839205</v>
      </c>
      <c r="CN120" s="21">
        <f t="shared" si="1043"/>
        <v>29058.053717343922</v>
      </c>
      <c r="CO120" s="21">
        <f t="shared" si="1043"/>
        <v>32022.2881680793</v>
      </c>
      <c r="CP120" s="21">
        <f t="shared" si="1043"/>
        <v>33220.923355772175</v>
      </c>
      <c r="CQ120" s="21">
        <f t="shared" si="1043"/>
        <v>34611.242086930579</v>
      </c>
      <c r="CR120" s="21">
        <f t="shared" si="1043"/>
        <v>36909.677685245209</v>
      </c>
      <c r="CS120" s="21">
        <f t="shared" si="1043"/>
        <v>39632.420733239152</v>
      </c>
      <c r="CT120" s="21">
        <f t="shared" si="1043"/>
        <v>42184.577300596007</v>
      </c>
      <c r="CU120" s="21">
        <f t="shared" si="1043"/>
        <v>43761.747995257516</v>
      </c>
      <c r="CV120" s="21">
        <f t="shared" si="1043"/>
        <v>45569.354010068033</v>
      </c>
      <c r="CW120" s="21">
        <f t="shared" si="1043"/>
        <v>47406.287631278501</v>
      </c>
      <c r="CX120" s="21">
        <f t="shared" si="1043"/>
        <v>49297.008981982246</v>
      </c>
      <c r="CY120" s="21">
        <f t="shared" si="1043"/>
        <v>51729.247402550027</v>
      </c>
      <c r="CZ120" s="21">
        <f t="shared" si="1043"/>
        <v>54172.103131602591</v>
      </c>
      <c r="DA120" s="21">
        <f t="shared" si="1043"/>
        <v>56721.418659502087</v>
      </c>
      <c r="DB120" s="21">
        <f t="shared" si="1043"/>
        <v>59666.135839300179</v>
      </c>
      <c r="DE120" s="22"/>
      <c r="DF120" s="162">
        <v>32566.95</v>
      </c>
    </row>
    <row r="121" spans="1:110" s="162" customFormat="1" x14ac:dyDescent="0.2">
      <c r="A121" s="49" t="s">
        <v>80</v>
      </c>
      <c r="B121" s="162">
        <f>+B180</f>
        <v>0</v>
      </c>
      <c r="C121" s="162">
        <f t="shared" ref="C121:W121" si="1044">+C180</f>
        <v>0</v>
      </c>
      <c r="D121" s="162">
        <f t="shared" si="1044"/>
        <v>0</v>
      </c>
      <c r="E121" s="162">
        <f t="shared" si="1044"/>
        <v>0</v>
      </c>
      <c r="F121" s="162">
        <f t="shared" si="1044"/>
        <v>0</v>
      </c>
      <c r="G121" s="162">
        <f t="shared" si="1044"/>
        <v>0</v>
      </c>
      <c r="H121" s="162">
        <f t="shared" si="1044"/>
        <v>0</v>
      </c>
      <c r="I121" s="162">
        <f t="shared" si="1044"/>
        <v>0</v>
      </c>
      <c r="J121" s="162">
        <f t="shared" si="1044"/>
        <v>0</v>
      </c>
      <c r="K121" s="162">
        <f t="shared" si="1044"/>
        <v>0</v>
      </c>
      <c r="L121" s="162">
        <f t="shared" si="1044"/>
        <v>0</v>
      </c>
      <c r="M121" s="162">
        <f t="shared" si="1044"/>
        <v>0</v>
      </c>
      <c r="N121" s="162">
        <f t="shared" si="1044"/>
        <v>0</v>
      </c>
      <c r="O121" s="162">
        <f t="shared" si="1044"/>
        <v>0</v>
      </c>
      <c r="P121" s="162">
        <f t="shared" si="1044"/>
        <v>0</v>
      </c>
      <c r="Q121" s="162">
        <f t="shared" si="1044"/>
        <v>0</v>
      </c>
      <c r="R121" s="162">
        <f t="shared" si="1044"/>
        <v>5223</v>
      </c>
      <c r="S121" s="162">
        <f t="shared" si="1044"/>
        <v>3504</v>
      </c>
      <c r="T121" s="162">
        <f t="shared" si="1044"/>
        <v>3094</v>
      </c>
      <c r="U121" s="162">
        <f t="shared" si="1044"/>
        <v>2849</v>
      </c>
      <c r="V121" s="162">
        <f t="shared" si="1044"/>
        <v>168</v>
      </c>
      <c r="W121" s="162">
        <f t="shared" si="1044"/>
        <v>-1440</v>
      </c>
      <c r="X121" s="162">
        <f t="shared" ref="X121:Y121" si="1045">+X180</f>
        <v>522</v>
      </c>
      <c r="Y121" s="162">
        <f t="shared" si="1045"/>
        <v>176</v>
      </c>
      <c r="Z121" s="162">
        <f t="shared" ref="Z121:AA121" si="1046">+Z180</f>
        <v>656</v>
      </c>
      <c r="AA121" s="162">
        <f t="shared" ref="AA121" si="1047">+AA180</f>
        <v>1423</v>
      </c>
      <c r="AB121" s="21">
        <f t="shared" ref="AB121:AD121" si="1048">+AB180</f>
        <v>1485.0934301497209</v>
      </c>
      <c r="AC121" s="21">
        <f t="shared" si="1048"/>
        <v>1222.5599105846468</v>
      </c>
      <c r="AD121" s="21">
        <f t="shared" si="1048"/>
        <v>39.34513779111785</v>
      </c>
      <c r="AE121" s="21">
        <f t="shared" ref="AE121" si="1049">+AE180</f>
        <v>-1555.6975271636693</v>
      </c>
      <c r="AL121" s="162">
        <f t="shared" ref="AL121:AM121" si="1050">+AL180</f>
        <v>0</v>
      </c>
      <c r="AM121" s="162" t="e">
        <f t="shared" si="1050"/>
        <v>#DIV/0!</v>
      </c>
      <c r="AN121" s="162">
        <f t="shared" ref="AN121:AO121" si="1051">+AN180</f>
        <v>0</v>
      </c>
      <c r="AO121" s="162" t="e">
        <f t="shared" si="1051"/>
        <v>#DIV/0!</v>
      </c>
      <c r="AP121" s="162">
        <f t="shared" ref="AP121:CD121" si="1052">+AP180</f>
        <v>0</v>
      </c>
      <c r="AQ121" s="162" t="e">
        <f t="shared" si="1052"/>
        <v>#DIV/0!</v>
      </c>
      <c r="AR121" s="162">
        <f t="shared" si="1052"/>
        <v>0</v>
      </c>
      <c r="AS121" s="162" t="e">
        <f t="shared" si="1052"/>
        <v>#DIV/0!</v>
      </c>
      <c r="AT121" s="162">
        <f t="shared" si="1052"/>
        <v>0</v>
      </c>
      <c r="AU121" s="162" t="e">
        <f t="shared" si="1052"/>
        <v>#DIV/0!</v>
      </c>
      <c r="AV121" s="162">
        <f t="shared" si="1052"/>
        <v>0</v>
      </c>
      <c r="AW121" s="162" t="e">
        <f t="shared" si="1052"/>
        <v>#DIV/0!</v>
      </c>
      <c r="AX121" s="162">
        <f t="shared" si="1052"/>
        <v>0</v>
      </c>
      <c r="AY121" s="162" t="e">
        <f t="shared" si="1052"/>
        <v>#DIV/0!</v>
      </c>
      <c r="AZ121" s="162">
        <f t="shared" si="1052"/>
        <v>0</v>
      </c>
      <c r="BA121" s="162" t="e">
        <f t="shared" si="1052"/>
        <v>#DIV/0!</v>
      </c>
      <c r="BB121" s="162">
        <f t="shared" si="1052"/>
        <v>0</v>
      </c>
      <c r="BC121" s="162" t="e">
        <f t="shared" si="1052"/>
        <v>#DIV/0!</v>
      </c>
      <c r="BD121" s="162">
        <f t="shared" si="1052"/>
        <v>0</v>
      </c>
      <c r="BE121" s="162" t="e">
        <f t="shared" si="1052"/>
        <v>#DIV/0!</v>
      </c>
      <c r="BF121" s="162">
        <f t="shared" si="1052"/>
        <v>0</v>
      </c>
      <c r="BG121" s="162">
        <f t="shared" si="1052"/>
        <v>-53</v>
      </c>
      <c r="BH121" s="162">
        <f t="shared" si="1052"/>
        <v>0</v>
      </c>
      <c r="BI121" s="162">
        <f t="shared" si="1052"/>
        <v>-28</v>
      </c>
      <c r="BJ121" s="162">
        <f t="shared" si="1052"/>
        <v>2139</v>
      </c>
      <c r="BK121" s="162">
        <f t="shared" si="1052"/>
        <v>1916.4475721323015</v>
      </c>
      <c r="BL121" s="162">
        <f t="shared" si="1052"/>
        <v>2087</v>
      </c>
      <c r="BM121" s="162">
        <f t="shared" si="1052"/>
        <v>2126.1127012522365</v>
      </c>
      <c r="BN121" s="162">
        <f t="shared" si="1052"/>
        <v>1650</v>
      </c>
      <c r="BO121" s="162">
        <f t="shared" si="1052"/>
        <v>1270.3753523962951</v>
      </c>
      <c r="BP121" s="162">
        <f t="shared" si="1052"/>
        <v>1123</v>
      </c>
      <c r="BQ121" s="162">
        <f t="shared" si="1052"/>
        <v>1054.6532641591002</v>
      </c>
      <c r="BR121" s="162">
        <f t="shared" si="1052"/>
        <v>168</v>
      </c>
      <c r="BS121" s="162">
        <f t="shared" si="1052"/>
        <v>-167.1123452872107</v>
      </c>
      <c r="BT121" s="162">
        <f t="shared" si="1052"/>
        <v>-1258</v>
      </c>
      <c r="BU121" s="162">
        <f t="shared" si="1052"/>
        <v>-1301.8086013173179</v>
      </c>
      <c r="BV121" s="162">
        <f t="shared" si="1052"/>
        <v>-1440</v>
      </c>
      <c r="BW121" s="162">
        <f t="shared" si="1052"/>
        <v>-1653.7230769230773</v>
      </c>
      <c r="BX121" s="162">
        <f t="shared" si="1052"/>
        <v>626</v>
      </c>
      <c r="BY121" s="162">
        <f t="shared" si="1052"/>
        <v>556.9363850555369</v>
      </c>
      <c r="BZ121" s="162">
        <f t="shared" si="1052"/>
        <v>522</v>
      </c>
      <c r="CA121" s="162">
        <f t="shared" si="1052"/>
        <v>327.19080459770157</v>
      </c>
      <c r="CB121" s="162">
        <f t="shared" si="1052"/>
        <v>719</v>
      </c>
      <c r="CC121" s="162">
        <f t="shared" si="1052"/>
        <v>601.47002854424318</v>
      </c>
      <c r="CD121" s="162">
        <f t="shared" si="1052"/>
        <v>176</v>
      </c>
      <c r="CE121" s="162">
        <f t="shared" ref="CE121:CF121" si="1053">+CE180</f>
        <v>-82.545391223588922</v>
      </c>
      <c r="CF121" s="162">
        <f t="shared" si="1053"/>
        <v>613</v>
      </c>
      <c r="CG121" s="162">
        <f t="shared" ref="CG121:CH121" si="1054">+CG180</f>
        <v>584.03368966634298</v>
      </c>
      <c r="CH121" s="162">
        <f t="shared" si="1054"/>
        <v>656</v>
      </c>
      <c r="CI121" s="162">
        <f t="shared" ref="CI121:CJ121" si="1055">+CI180</f>
        <v>-7.8389146907829854</v>
      </c>
      <c r="CJ121" s="162">
        <f t="shared" si="1055"/>
        <v>1588</v>
      </c>
      <c r="CK121" s="162">
        <f t="shared" ref="CK121:CL121" si="1056">+CK180</f>
        <v>1140.1691542288554</v>
      </c>
      <c r="CL121" s="162">
        <f t="shared" si="1056"/>
        <v>1423</v>
      </c>
      <c r="CM121" s="21">
        <f t="shared" ref="CM121:DB121" si="1057">+CM180</f>
        <v>1496.9780424579385</v>
      </c>
      <c r="CN121" s="21">
        <f t="shared" si="1057"/>
        <v>1568.6841504931372</v>
      </c>
      <c r="CO121" s="21">
        <f t="shared" si="1057"/>
        <v>1596.3406861858011</v>
      </c>
      <c r="CP121" s="21">
        <f t="shared" si="1057"/>
        <v>1485.0934301497209</v>
      </c>
      <c r="CQ121" s="21">
        <f t="shared" si="1057"/>
        <v>1427.3080455102499</v>
      </c>
      <c r="CR121" s="21">
        <f t="shared" si="1057"/>
        <v>1400.2671398508355</v>
      </c>
      <c r="CS121" s="21">
        <f t="shared" si="1057"/>
        <v>1359.015294318061</v>
      </c>
      <c r="CT121" s="21">
        <f t="shared" si="1057"/>
        <v>1222.5599105846468</v>
      </c>
      <c r="CU121" s="21">
        <f t="shared" si="1057"/>
        <v>850.22828577709151</v>
      </c>
      <c r="CV121" s="21">
        <f t="shared" si="1057"/>
        <v>599.17564188970755</v>
      </c>
      <c r="CW121" s="21">
        <f t="shared" si="1057"/>
        <v>347.55382472452948</v>
      </c>
      <c r="CX121" s="21">
        <f t="shared" si="1057"/>
        <v>39.34513779111785</v>
      </c>
      <c r="CY121" s="21">
        <f t="shared" si="1057"/>
        <v>-441.56304057869602</v>
      </c>
      <c r="CZ121" s="21">
        <f t="shared" si="1057"/>
        <v>-792.0024523378861</v>
      </c>
      <c r="DA121" s="21">
        <f t="shared" si="1057"/>
        <v>-1142.9369822389144</v>
      </c>
      <c r="DB121" s="21">
        <f t="shared" si="1057"/>
        <v>-1555.6975271636693</v>
      </c>
      <c r="DE121" s="22"/>
      <c r="DF121" s="162">
        <v>1423</v>
      </c>
    </row>
    <row r="122" spans="1:110" s="162" customFormat="1" x14ac:dyDescent="0.2">
      <c r="A122" s="49" t="s">
        <v>342</v>
      </c>
      <c r="B122" s="162" t="e">
        <f>+B119+B121</f>
        <v>#DIV/0!</v>
      </c>
      <c r="C122" s="162" t="e">
        <f t="shared" ref="C122:W122" si="1058">+C119+C121</f>
        <v>#DIV/0!</v>
      </c>
      <c r="D122" s="162" t="e">
        <f t="shared" si="1058"/>
        <v>#DIV/0!</v>
      </c>
      <c r="E122" s="162">
        <f t="shared" ca="1" si="1058"/>
        <v>0</v>
      </c>
      <c r="F122" s="162">
        <f t="shared" ca="1" si="1058"/>
        <v>0</v>
      </c>
      <c r="G122" s="162">
        <f t="shared" ca="1" si="1058"/>
        <v>0</v>
      </c>
      <c r="H122" s="162">
        <f t="shared" ca="1" si="1058"/>
        <v>0</v>
      </c>
      <c r="I122" s="162">
        <f t="shared" ca="1" si="1058"/>
        <v>0</v>
      </c>
      <c r="J122" s="162">
        <f t="shared" ca="1" si="1058"/>
        <v>0</v>
      </c>
      <c r="K122" s="162">
        <f t="shared" ca="1" si="1058"/>
        <v>0</v>
      </c>
      <c r="L122" s="162">
        <f t="shared" ca="1" si="1058"/>
        <v>0</v>
      </c>
      <c r="M122" s="162">
        <f t="shared" ca="1" si="1058"/>
        <v>0</v>
      </c>
      <c r="N122" s="162">
        <f t="shared" ca="1" si="1058"/>
        <v>0</v>
      </c>
      <c r="O122" s="162">
        <f t="shared" ca="1" si="1058"/>
        <v>0</v>
      </c>
      <c r="P122" s="162">
        <f t="shared" ca="1" si="1058"/>
        <v>0</v>
      </c>
      <c r="Q122" s="162">
        <f t="shared" ca="1" si="1058"/>
        <v>0</v>
      </c>
      <c r="R122" s="162">
        <f t="shared" ca="1" si="1058"/>
        <v>5223</v>
      </c>
      <c r="S122" s="162">
        <f t="shared" ca="1" si="1058"/>
        <v>3504</v>
      </c>
      <c r="T122" s="162">
        <f t="shared" ca="1" si="1058"/>
        <v>26236</v>
      </c>
      <c r="U122" s="162">
        <f t="shared" ca="1" si="1058"/>
        <v>26029</v>
      </c>
      <c r="V122" s="162">
        <f t="shared" ca="1" si="1058"/>
        <v>32289.399999999998</v>
      </c>
      <c r="W122" s="162">
        <f t="shared" ca="1" si="1058"/>
        <v>46956.799999999996</v>
      </c>
      <c r="X122" s="162">
        <f t="shared" ref="X122:Y122" ca="1" si="1059">+X119+X121</f>
        <v>38313</v>
      </c>
      <c r="Y122" s="162">
        <f t="shared" ca="1" si="1059"/>
        <v>46324.15</v>
      </c>
      <c r="Z122" s="162">
        <f t="shared" ref="Z122:AA122" ca="1" si="1060">+Z119+Z121</f>
        <v>39880.549999999996</v>
      </c>
      <c r="AA122" s="162">
        <f t="shared" ref="AA122" ca="1" si="1061">+AA119+AA121</f>
        <v>39880.549999999996</v>
      </c>
      <c r="AB122" s="21">
        <f t="shared" ref="AB122:AD122" ca="1" si="1062">+AB119+AB121</f>
        <v>45105.526281376791</v>
      </c>
      <c r="AC122" s="21">
        <f t="shared" ca="1" si="1062"/>
        <v>56612.637476815966</v>
      </c>
      <c r="AD122" s="21">
        <f t="shared" ca="1" si="1062"/>
        <v>64768.336774661686</v>
      </c>
      <c r="AE122" s="21">
        <f t="shared" ref="AE122" ca="1" si="1063">+AE119+AE121</f>
        <v>76788.382316666801</v>
      </c>
      <c r="AL122" s="162">
        <f t="shared" ref="AL122" si="1064">+AL119+AL121</f>
        <v>0</v>
      </c>
      <c r="AM122" s="162" t="e">
        <f t="shared" ref="AM122:AO122" si="1065">+AM119+AM121</f>
        <v>#DIV/0!</v>
      </c>
      <c r="AN122" s="162">
        <f t="shared" si="1065"/>
        <v>0</v>
      </c>
      <c r="AO122" s="162" t="e">
        <f t="shared" si="1065"/>
        <v>#DIV/0!</v>
      </c>
      <c r="AP122" s="162">
        <f t="shared" ref="AP122:CD122" si="1066">+AP119+AP121</f>
        <v>0</v>
      </c>
      <c r="AQ122" s="162" t="e">
        <f t="shared" si="1066"/>
        <v>#DIV/0!</v>
      </c>
      <c r="AR122" s="162">
        <f t="shared" si="1066"/>
        <v>0</v>
      </c>
      <c r="AS122" s="162" t="e">
        <f t="shared" si="1066"/>
        <v>#DIV/0!</v>
      </c>
      <c r="AT122" s="162">
        <f t="shared" si="1066"/>
        <v>0</v>
      </c>
      <c r="AU122" s="162" t="e">
        <f t="shared" si="1066"/>
        <v>#DIV/0!</v>
      </c>
      <c r="AV122" s="162">
        <f t="shared" si="1066"/>
        <v>0</v>
      </c>
      <c r="AW122" s="162" t="e">
        <f t="shared" si="1066"/>
        <v>#DIV/0!</v>
      </c>
      <c r="AX122" s="162">
        <f t="shared" si="1066"/>
        <v>0</v>
      </c>
      <c r="AY122" s="162" t="e">
        <f t="shared" si="1066"/>
        <v>#DIV/0!</v>
      </c>
      <c r="AZ122" s="162">
        <f t="shared" si="1066"/>
        <v>0</v>
      </c>
      <c r="BA122" s="162" t="e">
        <f t="shared" si="1066"/>
        <v>#DIV/0!</v>
      </c>
      <c r="BB122" s="162">
        <f t="shared" si="1066"/>
        <v>0</v>
      </c>
      <c r="BC122" s="162" t="e">
        <f t="shared" si="1066"/>
        <v>#DIV/0!</v>
      </c>
      <c r="BD122" s="162">
        <f t="shared" si="1066"/>
        <v>0</v>
      </c>
      <c r="BE122" s="162" t="e">
        <f t="shared" si="1066"/>
        <v>#DIV/0!</v>
      </c>
      <c r="BF122" s="162">
        <f t="shared" si="1066"/>
        <v>0</v>
      </c>
      <c r="BG122" s="162">
        <f t="shared" si="1066"/>
        <v>-53</v>
      </c>
      <c r="BH122" s="162">
        <f t="shared" si="1066"/>
        <v>0</v>
      </c>
      <c r="BI122" s="162">
        <f t="shared" si="1066"/>
        <v>21651</v>
      </c>
      <c r="BJ122" s="162">
        <f t="shared" si="1066"/>
        <v>25281</v>
      </c>
      <c r="BK122" s="162">
        <f t="shared" si="1066"/>
        <v>25096.447572132303</v>
      </c>
      <c r="BL122" s="162">
        <f t="shared" si="1066"/>
        <v>22436</v>
      </c>
      <c r="BM122" s="162">
        <f t="shared" si="1066"/>
        <v>19188.112701252237</v>
      </c>
      <c r="BN122" s="162">
        <f t="shared" si="1066"/>
        <v>19092</v>
      </c>
      <c r="BO122" s="162">
        <f t="shared" si="1066"/>
        <v>14950.375352396295</v>
      </c>
      <c r="BP122" s="162">
        <f t="shared" si="1066"/>
        <v>16789.449999999997</v>
      </c>
      <c r="BQ122" s="162">
        <f t="shared" si="1066"/>
        <v>23772.953264159099</v>
      </c>
      <c r="BR122" s="162">
        <f t="shared" si="1066"/>
        <v>32289.399999999998</v>
      </c>
      <c r="BS122" s="162">
        <f t="shared" si="1066"/>
        <v>36778.387654712787</v>
      </c>
      <c r="BT122" s="162">
        <f t="shared" si="1066"/>
        <v>47138.799999999996</v>
      </c>
      <c r="BU122" s="162">
        <f t="shared" si="1066"/>
        <v>40403.191398682684</v>
      </c>
      <c r="BV122" s="162">
        <f t="shared" si="1066"/>
        <v>38513.200000000004</v>
      </c>
      <c r="BW122" s="162">
        <f t="shared" si="1066"/>
        <v>29521.476923076923</v>
      </c>
      <c r="BX122" s="162">
        <f t="shared" si="1066"/>
        <v>34740.5</v>
      </c>
      <c r="BY122" s="162">
        <f t="shared" si="1066"/>
        <v>37537.58638505554</v>
      </c>
      <c r="BZ122" s="162">
        <f t="shared" si="1066"/>
        <v>38313</v>
      </c>
      <c r="CA122" s="162">
        <f t="shared" si="1066"/>
        <v>43826.740804597699</v>
      </c>
      <c r="CB122" s="162">
        <f t="shared" si="1066"/>
        <v>46782.6</v>
      </c>
      <c r="CC122" s="162">
        <f t="shared" si="1066"/>
        <v>46749.620028544246</v>
      </c>
      <c r="CD122" s="162">
        <f t="shared" si="1066"/>
        <v>46318.450000000004</v>
      </c>
      <c r="CE122" s="162">
        <f t="shared" ref="CE122:CF122" si="1067">+CE119+CE121</f>
        <v>39142.004608776406</v>
      </c>
      <c r="CF122" s="162">
        <f t="shared" si="1067"/>
        <v>38265.300000000003</v>
      </c>
      <c r="CG122" s="162">
        <f t="shared" ref="CG122:CH122" si="1068">+CG119+CG121</f>
        <v>38264.833689666346</v>
      </c>
      <c r="CH122" s="162">
        <f t="shared" si="1068"/>
        <v>37133.15</v>
      </c>
      <c r="CI122" s="162">
        <f t="shared" ref="CI122:CJ122" si="1069">+CI119+CI121</f>
        <v>42412.511085309219</v>
      </c>
      <c r="CJ122" s="162">
        <f t="shared" si="1069"/>
        <v>49011.049999999996</v>
      </c>
      <c r="CK122" s="162">
        <f t="shared" ref="CK122:CL122" si="1070">+CK119+CK121</f>
        <v>45220.169154228854</v>
      </c>
      <c r="CL122" s="162">
        <f t="shared" si="1070"/>
        <v>44370.6</v>
      </c>
      <c r="CM122" s="21">
        <f t="shared" ref="CM122:DB122" si="1071">+CM119+CM121</f>
        <v>40175.898920267631</v>
      </c>
      <c r="CN122" s="21">
        <f t="shared" si="1071"/>
        <v>39723.098685889134</v>
      </c>
      <c r="CO122" s="21">
        <f t="shared" si="1071"/>
        <v>43642.916448675758</v>
      </c>
      <c r="CP122" s="21">
        <f t="shared" si="1071"/>
        <v>45105.526281376791</v>
      </c>
      <c r="CQ122" s="21">
        <f t="shared" si="1071"/>
        <v>46873.286327995214</v>
      </c>
      <c r="CR122" s="21">
        <f t="shared" si="1071"/>
        <v>49864.185489968906</v>
      </c>
      <c r="CS122" s="21">
        <f t="shared" si="1071"/>
        <v>53398.006770015854</v>
      </c>
      <c r="CT122" s="21">
        <f t="shared" si="1071"/>
        <v>56612.637476815966</v>
      </c>
      <c r="CU122" s="21">
        <f t="shared" si="1071"/>
        <v>58311.195563430359</v>
      </c>
      <c r="CV122" s="21">
        <f t="shared" si="1071"/>
        <v>60433.60364325931</v>
      </c>
      <c r="CW122" s="21">
        <f t="shared" si="1071"/>
        <v>62593.950898057039</v>
      </c>
      <c r="CX122" s="21">
        <f t="shared" si="1071"/>
        <v>64768.336774661686</v>
      </c>
      <c r="CY122" s="21">
        <f t="shared" si="1071"/>
        <v>67481.057249124511</v>
      </c>
      <c r="CZ122" s="21">
        <f t="shared" si="1071"/>
        <v>70338.187451045495</v>
      </c>
      <c r="DA122" s="21">
        <f t="shared" si="1071"/>
        <v>73334.608610522351</v>
      </c>
      <c r="DB122" s="21">
        <f t="shared" si="1071"/>
        <v>76788.382316666801</v>
      </c>
      <c r="DE122" s="22"/>
      <c r="DF122" s="162">
        <v>48846.049999999996</v>
      </c>
    </row>
    <row r="123" spans="1:110" s="162" customFormat="1" x14ac:dyDescent="0.2">
      <c r="A123" s="49" t="s">
        <v>345</v>
      </c>
      <c r="B123" s="162" t="e">
        <f>+B120+B121</f>
        <v>#DIV/0!</v>
      </c>
      <c r="C123" s="162" t="e">
        <f t="shared" ref="C123:W123" si="1072">+C120+C121</f>
        <v>#DIV/0!</v>
      </c>
      <c r="D123" s="162" t="e">
        <f t="shared" si="1072"/>
        <v>#DIV/0!</v>
      </c>
      <c r="E123" s="162">
        <f t="shared" ca="1" si="1072"/>
        <v>0</v>
      </c>
      <c r="F123" s="162">
        <f t="shared" ca="1" si="1072"/>
        <v>0</v>
      </c>
      <c r="G123" s="162">
        <f t="shared" ca="1" si="1072"/>
        <v>0</v>
      </c>
      <c r="H123" s="162">
        <f t="shared" ca="1" si="1072"/>
        <v>0</v>
      </c>
      <c r="I123" s="162">
        <f t="shared" ca="1" si="1072"/>
        <v>0</v>
      </c>
      <c r="J123" s="162">
        <f t="shared" ca="1" si="1072"/>
        <v>0</v>
      </c>
      <c r="K123" s="162">
        <f t="shared" ca="1" si="1072"/>
        <v>0</v>
      </c>
      <c r="L123" s="162">
        <f t="shared" ca="1" si="1072"/>
        <v>0</v>
      </c>
      <c r="M123" s="162">
        <f t="shared" ca="1" si="1072"/>
        <v>0</v>
      </c>
      <c r="N123" s="162">
        <f t="shared" ca="1" si="1072"/>
        <v>0</v>
      </c>
      <c r="O123" s="162">
        <f t="shared" ca="1" si="1072"/>
        <v>0</v>
      </c>
      <c r="P123" s="162">
        <f t="shared" ca="1" si="1072"/>
        <v>0</v>
      </c>
      <c r="Q123" s="162">
        <f t="shared" ca="1" si="1072"/>
        <v>0</v>
      </c>
      <c r="R123" s="162">
        <f t="shared" ca="1" si="1072"/>
        <v>5223</v>
      </c>
      <c r="S123" s="162">
        <f t="shared" ca="1" si="1072"/>
        <v>3504</v>
      </c>
      <c r="T123" s="162">
        <f t="shared" ca="1" si="1072"/>
        <v>20251</v>
      </c>
      <c r="U123" s="162">
        <f t="shared" ca="1" si="1072"/>
        <v>10563</v>
      </c>
      <c r="V123" s="162">
        <f t="shared" ca="1" si="1072"/>
        <v>8091</v>
      </c>
      <c r="W123" s="162">
        <f t="shared" ca="1" si="1072"/>
        <v>22869.55</v>
      </c>
      <c r="X123" s="162">
        <f t="shared" ref="X123:Y123" ca="1" si="1073">+X120+X121</f>
        <v>23561.399999999998</v>
      </c>
      <c r="Y123" s="162">
        <f t="shared" ca="1" si="1073"/>
        <v>34471</v>
      </c>
      <c r="Z123" s="162">
        <f t="shared" ref="Z123:AA123" ca="1" si="1074">+Z120+Z121</f>
        <v>31094</v>
      </c>
      <c r="AA123" s="162">
        <f t="shared" ref="AA123" ca="1" si="1075">+AA120+AA121</f>
        <v>31094</v>
      </c>
      <c r="AB123" s="21">
        <f t="shared" ref="AB123:AD123" ca="1" si="1076">+AB120+AB121</f>
        <v>30543.147147493644</v>
      </c>
      <c r="AC123" s="21">
        <f t="shared" ca="1" si="1076"/>
        <v>35833.801997515227</v>
      </c>
      <c r="AD123" s="21">
        <f t="shared" ca="1" si="1076"/>
        <v>43801.093133048635</v>
      </c>
      <c r="AE123" s="21">
        <f t="shared" ref="AE123" ca="1" si="1077">+AE120+AE121</f>
        <v>50173.549875386358</v>
      </c>
      <c r="AL123" s="162">
        <f t="shared" ref="AL123:AM123" si="1078">+AL120+AL121</f>
        <v>0</v>
      </c>
      <c r="AM123" s="162" t="e">
        <f t="shared" si="1078"/>
        <v>#DIV/0!</v>
      </c>
      <c r="AN123" s="162">
        <f t="shared" ref="AN123:AO123" si="1079">+AN120+AN121</f>
        <v>0</v>
      </c>
      <c r="AO123" s="162" t="e">
        <f t="shared" si="1079"/>
        <v>#DIV/0!</v>
      </c>
      <c r="AP123" s="162">
        <f t="shared" ref="AP123:CD123" si="1080">+AP120+AP121</f>
        <v>0</v>
      </c>
      <c r="AQ123" s="162" t="e">
        <f t="shared" si="1080"/>
        <v>#DIV/0!</v>
      </c>
      <c r="AR123" s="162">
        <f t="shared" si="1080"/>
        <v>0</v>
      </c>
      <c r="AS123" s="162" t="e">
        <f t="shared" si="1080"/>
        <v>#DIV/0!</v>
      </c>
      <c r="AT123" s="162">
        <f t="shared" si="1080"/>
        <v>0</v>
      </c>
      <c r="AU123" s="162" t="e">
        <f t="shared" si="1080"/>
        <v>#DIV/0!</v>
      </c>
      <c r="AV123" s="162">
        <f t="shared" si="1080"/>
        <v>0</v>
      </c>
      <c r="AW123" s="162" t="e">
        <f t="shared" si="1080"/>
        <v>#DIV/0!</v>
      </c>
      <c r="AX123" s="162">
        <f t="shared" si="1080"/>
        <v>0</v>
      </c>
      <c r="AY123" s="162" t="e">
        <f t="shared" si="1080"/>
        <v>#DIV/0!</v>
      </c>
      <c r="AZ123" s="162">
        <f t="shared" si="1080"/>
        <v>0</v>
      </c>
      <c r="BA123" s="162" t="e">
        <f t="shared" si="1080"/>
        <v>#DIV/0!</v>
      </c>
      <c r="BB123" s="162">
        <f t="shared" si="1080"/>
        <v>0</v>
      </c>
      <c r="BC123" s="162" t="e">
        <f t="shared" si="1080"/>
        <v>#DIV/0!</v>
      </c>
      <c r="BD123" s="162">
        <f t="shared" si="1080"/>
        <v>0</v>
      </c>
      <c r="BE123" s="162" t="e">
        <f t="shared" si="1080"/>
        <v>#DIV/0!</v>
      </c>
      <c r="BF123" s="162">
        <f t="shared" si="1080"/>
        <v>0</v>
      </c>
      <c r="BG123" s="162">
        <f t="shared" si="1080"/>
        <v>-53</v>
      </c>
      <c r="BH123" s="162">
        <f t="shared" si="1080"/>
        <v>0</v>
      </c>
      <c r="BI123" s="162">
        <f t="shared" si="1080"/>
        <v>-28</v>
      </c>
      <c r="BJ123" s="162">
        <f t="shared" si="1080"/>
        <v>19296</v>
      </c>
      <c r="BK123" s="162">
        <f t="shared" si="1080"/>
        <v>20537.3975721323</v>
      </c>
      <c r="BL123" s="162">
        <f t="shared" si="1080"/>
        <v>16375</v>
      </c>
      <c r="BM123" s="162">
        <f t="shared" si="1080"/>
        <v>16585.112701252237</v>
      </c>
      <c r="BN123" s="162">
        <f t="shared" si="1080"/>
        <v>9364</v>
      </c>
      <c r="BO123" s="162">
        <f t="shared" si="1080"/>
        <v>9193.3753523962951</v>
      </c>
      <c r="BP123" s="162">
        <f t="shared" si="1080"/>
        <v>13510.050000000001</v>
      </c>
      <c r="BQ123" s="162">
        <f t="shared" si="1080"/>
        <v>15114.6532641591</v>
      </c>
      <c r="BR123" s="162">
        <f t="shared" si="1080"/>
        <v>20384.95</v>
      </c>
      <c r="BS123" s="162">
        <f t="shared" si="1080"/>
        <v>26544.987654712793</v>
      </c>
      <c r="BT123" s="162">
        <f t="shared" si="1080"/>
        <v>33661.15</v>
      </c>
      <c r="BU123" s="162">
        <f t="shared" si="1080"/>
        <v>32070.741398682687</v>
      </c>
      <c r="BV123" s="162">
        <f t="shared" si="1080"/>
        <v>22869.55</v>
      </c>
      <c r="BW123" s="162">
        <f t="shared" si="1080"/>
        <v>21385.676923076921</v>
      </c>
      <c r="BX123" s="162">
        <f t="shared" si="1080"/>
        <v>24835.8</v>
      </c>
      <c r="BY123" s="162">
        <f t="shared" si="1080"/>
        <v>28639.886385055539</v>
      </c>
      <c r="BZ123" s="162">
        <f t="shared" si="1080"/>
        <v>32347</v>
      </c>
      <c r="CA123" s="162">
        <f t="shared" si="1080"/>
        <v>36160.240804597706</v>
      </c>
      <c r="CB123" s="162">
        <f t="shared" si="1080"/>
        <v>36382</v>
      </c>
      <c r="CC123" s="162">
        <f t="shared" si="1080"/>
        <v>38563.470028544245</v>
      </c>
      <c r="CD123" s="162">
        <f t="shared" si="1080"/>
        <v>34471</v>
      </c>
      <c r="CE123" s="162">
        <f t="shared" ref="CE123:CF123" si="1081">+CE120+CE121</f>
        <v>31537.254608776409</v>
      </c>
      <c r="CF123" s="162">
        <f t="shared" si="1081"/>
        <v>33027</v>
      </c>
      <c r="CG123" s="162">
        <f t="shared" ref="CG123:CH123" si="1082">+CG120+CG121</f>
        <v>32447.983689666344</v>
      </c>
      <c r="CH123" s="162">
        <f t="shared" si="1082"/>
        <v>31094</v>
      </c>
      <c r="CI123" s="162">
        <f t="shared" ref="CI123:CJ123" si="1083">+CI120+CI121</f>
        <v>32559.111085309218</v>
      </c>
      <c r="CJ123" s="162">
        <f t="shared" si="1083"/>
        <v>41900.299999999996</v>
      </c>
      <c r="CK123" s="162">
        <f t="shared" ref="CK123:CL123" si="1084">+CK120+CK121</f>
        <v>37874.769154228852</v>
      </c>
      <c r="CL123" s="162">
        <f t="shared" si="1084"/>
        <v>34131.5</v>
      </c>
      <c r="CM123" s="21">
        <f t="shared" ref="CM123:DB123" si="1085">+CM120+CM121</f>
        <v>30954.491000849986</v>
      </c>
      <c r="CN123" s="21">
        <f t="shared" si="1085"/>
        <v>30626.737867837059</v>
      </c>
      <c r="CO123" s="21">
        <f t="shared" si="1085"/>
        <v>33618.628854265102</v>
      </c>
      <c r="CP123" s="21">
        <f t="shared" si="1085"/>
        <v>34706.016785921893</v>
      </c>
      <c r="CQ123" s="21">
        <f t="shared" si="1085"/>
        <v>36038.550132440825</v>
      </c>
      <c r="CR123" s="21">
        <f t="shared" si="1085"/>
        <v>38309.944825096041</v>
      </c>
      <c r="CS123" s="21">
        <f t="shared" si="1085"/>
        <v>40991.436027557211</v>
      </c>
      <c r="CT123" s="21">
        <f t="shared" si="1085"/>
        <v>43407.137211180656</v>
      </c>
      <c r="CU123" s="21">
        <f t="shared" si="1085"/>
        <v>44611.976281034607</v>
      </c>
      <c r="CV123" s="21">
        <f t="shared" si="1085"/>
        <v>46168.529651957739</v>
      </c>
      <c r="CW123" s="21">
        <f t="shared" si="1085"/>
        <v>47753.841456003029</v>
      </c>
      <c r="CX123" s="21">
        <f t="shared" si="1085"/>
        <v>49336.354119773365</v>
      </c>
      <c r="CY123" s="21">
        <f t="shared" si="1085"/>
        <v>51287.684361971333</v>
      </c>
      <c r="CZ123" s="21">
        <f t="shared" si="1085"/>
        <v>53380.100679264702</v>
      </c>
      <c r="DA123" s="21">
        <f t="shared" si="1085"/>
        <v>55578.481677263175</v>
      </c>
      <c r="DB123" s="21">
        <f t="shared" si="1085"/>
        <v>58110.43831213651</v>
      </c>
      <c r="DE123" s="22"/>
      <c r="DF123" s="162">
        <v>33989.949999999997</v>
      </c>
    </row>
    <row r="124" spans="1:110" s="162" customFormat="1" x14ac:dyDescent="0.2">
      <c r="A124" s="49" t="s">
        <v>13</v>
      </c>
      <c r="B124" s="162">
        <f t="shared" ref="B124:AE124" si="1086">+B40</f>
        <v>0</v>
      </c>
      <c r="C124" s="162">
        <f t="shared" si="1086"/>
        <v>0</v>
      </c>
      <c r="D124" s="162">
        <f t="shared" si="1086"/>
        <v>0</v>
      </c>
      <c r="E124" s="162">
        <f t="shared" si="1086"/>
        <v>0</v>
      </c>
      <c r="F124" s="162">
        <f t="shared" si="1086"/>
        <v>0</v>
      </c>
      <c r="G124" s="162">
        <f t="shared" si="1086"/>
        <v>0</v>
      </c>
      <c r="H124" s="162">
        <f t="shared" si="1086"/>
        <v>0</v>
      </c>
      <c r="I124" s="162">
        <f t="shared" si="1086"/>
        <v>0</v>
      </c>
      <c r="J124" s="162">
        <f t="shared" si="1086"/>
        <v>0</v>
      </c>
      <c r="K124" s="162">
        <f t="shared" si="1086"/>
        <v>0</v>
      </c>
      <c r="L124" s="162">
        <f t="shared" si="1086"/>
        <v>0</v>
      </c>
      <c r="M124" s="162">
        <f t="shared" si="1086"/>
        <v>0</v>
      </c>
      <c r="N124" s="162">
        <f t="shared" si="1086"/>
        <v>0</v>
      </c>
      <c r="O124" s="162">
        <f t="shared" si="1086"/>
        <v>0</v>
      </c>
      <c r="P124" s="162">
        <f t="shared" si="1086"/>
        <v>0</v>
      </c>
      <c r="Q124" s="162">
        <f t="shared" si="1086"/>
        <v>0</v>
      </c>
      <c r="R124" s="162">
        <f t="shared" si="1086"/>
        <v>1894</v>
      </c>
      <c r="S124" s="162">
        <f t="shared" si="1086"/>
        <v>2021</v>
      </c>
      <c r="T124" s="162">
        <f t="shared" si="1086"/>
        <v>1828</v>
      </c>
      <c r="U124" s="162">
        <f t="shared" si="1086"/>
        <v>2083</v>
      </c>
      <c r="V124" s="162">
        <f t="shared" si="1086"/>
        <v>2762</v>
      </c>
      <c r="W124" s="162">
        <f t="shared" si="1086"/>
        <v>2372</v>
      </c>
      <c r="X124" s="162">
        <f t="shared" si="1086"/>
        <v>2309</v>
      </c>
      <c r="Y124" s="162">
        <f t="shared" si="1086"/>
        <v>2637</v>
      </c>
      <c r="Z124" s="162">
        <f t="shared" si="1086"/>
        <v>2407</v>
      </c>
      <c r="AA124" s="162">
        <f t="shared" ref="AA124" si="1087">+AA40</f>
        <v>3083</v>
      </c>
      <c r="AB124" s="21">
        <f t="shared" si="1086"/>
        <v>3462.7926399180978</v>
      </c>
      <c r="AC124" s="21">
        <f t="shared" si="1086"/>
        <v>3917.5868223794496</v>
      </c>
      <c r="AD124" s="21">
        <f t="shared" si="1086"/>
        <v>4209.0931645623714</v>
      </c>
      <c r="AE124" s="21">
        <f t="shared" si="1086"/>
        <v>4508.4809285377123</v>
      </c>
      <c r="AL124" s="162">
        <f t="shared" ref="AL124:BQ124" si="1088">+SUM(AI40:AL40)</f>
        <v>0</v>
      </c>
      <c r="AM124" s="162">
        <f t="shared" si="1088"/>
        <v>0</v>
      </c>
      <c r="AN124" s="162">
        <f t="shared" si="1088"/>
        <v>0</v>
      </c>
      <c r="AO124" s="162">
        <f t="shared" si="1088"/>
        <v>0</v>
      </c>
      <c r="AP124" s="162">
        <f t="shared" si="1088"/>
        <v>0</v>
      </c>
      <c r="AQ124" s="162">
        <f t="shared" si="1088"/>
        <v>0</v>
      </c>
      <c r="AR124" s="162">
        <f t="shared" si="1088"/>
        <v>0</v>
      </c>
      <c r="AS124" s="162">
        <f t="shared" si="1088"/>
        <v>0</v>
      </c>
      <c r="AT124" s="162">
        <f t="shared" si="1088"/>
        <v>0</v>
      </c>
      <c r="AU124" s="162">
        <f t="shared" si="1088"/>
        <v>0</v>
      </c>
      <c r="AV124" s="162">
        <f t="shared" si="1088"/>
        <v>0</v>
      </c>
      <c r="AW124" s="162">
        <f t="shared" si="1088"/>
        <v>0</v>
      </c>
      <c r="AX124" s="162">
        <f t="shared" si="1088"/>
        <v>0</v>
      </c>
      <c r="AY124" s="162">
        <f t="shared" si="1088"/>
        <v>0</v>
      </c>
      <c r="AZ124" s="162">
        <f t="shared" si="1088"/>
        <v>0</v>
      </c>
      <c r="BA124" s="162">
        <f t="shared" si="1088"/>
        <v>0</v>
      </c>
      <c r="BB124" s="162">
        <f t="shared" si="1088"/>
        <v>0</v>
      </c>
      <c r="BC124" s="162">
        <f t="shared" si="1088"/>
        <v>0</v>
      </c>
      <c r="BD124" s="162">
        <f t="shared" si="1088"/>
        <v>0</v>
      </c>
      <c r="BE124" s="162">
        <f t="shared" si="1088"/>
        <v>478</v>
      </c>
      <c r="BF124" s="162">
        <f t="shared" si="1088"/>
        <v>1045</v>
      </c>
      <c r="BG124" s="162">
        <f t="shared" si="1088"/>
        <v>1551</v>
      </c>
      <c r="BH124" s="162">
        <f t="shared" si="1088"/>
        <v>1899</v>
      </c>
      <c r="BI124" s="162">
        <f t="shared" si="1088"/>
        <v>1801</v>
      </c>
      <c r="BJ124" s="162">
        <f t="shared" si="1088"/>
        <v>1883</v>
      </c>
      <c r="BK124" s="162">
        <f t="shared" si="1088"/>
        <v>2043</v>
      </c>
      <c r="BL124" s="162">
        <f t="shared" si="1088"/>
        <v>2166</v>
      </c>
      <c r="BM124" s="162">
        <f t="shared" si="1088"/>
        <v>2241</v>
      </c>
      <c r="BN124" s="162">
        <f t="shared" si="1088"/>
        <v>2080</v>
      </c>
      <c r="BO124" s="162">
        <f t="shared" si="1088"/>
        <v>2029</v>
      </c>
      <c r="BP124" s="162">
        <f t="shared" si="1088"/>
        <v>2256</v>
      </c>
      <c r="BQ124" s="162">
        <f t="shared" si="1088"/>
        <v>2482</v>
      </c>
      <c r="BR124" s="162">
        <f t="shared" ref="BR124:CW124" si="1089">+SUM(BO40:BR40)</f>
        <v>2762</v>
      </c>
      <c r="BS124" s="162">
        <f t="shared" si="1089"/>
        <v>2860</v>
      </c>
      <c r="BT124" s="162">
        <f t="shared" si="1089"/>
        <v>2783</v>
      </c>
      <c r="BU124" s="162">
        <f t="shared" si="1089"/>
        <v>2511</v>
      </c>
      <c r="BV124" s="162">
        <f t="shared" si="1089"/>
        <v>2426</v>
      </c>
      <c r="BW124" s="162">
        <f t="shared" si="1089"/>
        <v>2299</v>
      </c>
      <c r="BX124" s="162">
        <f t="shared" si="1089"/>
        <v>2057</v>
      </c>
      <c r="BY124" s="162">
        <f t="shared" si="1089"/>
        <v>2292</v>
      </c>
      <c r="BZ124" s="162">
        <f t="shared" si="1089"/>
        <v>2319</v>
      </c>
      <c r="CA124" s="162">
        <f t="shared" si="1089"/>
        <v>2346</v>
      </c>
      <c r="CB124" s="162">
        <f t="shared" si="1089"/>
        <v>2560</v>
      </c>
      <c r="CC124" s="162">
        <f t="shared" si="1089"/>
        <v>2695</v>
      </c>
      <c r="CD124" s="162">
        <f t="shared" si="1089"/>
        <v>2639</v>
      </c>
      <c r="CE124" s="162">
        <f t="shared" si="1089"/>
        <v>2695</v>
      </c>
      <c r="CF124" s="162">
        <f t="shared" si="1089"/>
        <v>2536</v>
      </c>
      <c r="CG124" s="162">
        <f t="shared" si="1089"/>
        <v>2268</v>
      </c>
      <c r="CH124" s="162">
        <f t="shared" si="1089"/>
        <v>2407</v>
      </c>
      <c r="CI124" s="162">
        <f t="shared" si="1089"/>
        <v>2621</v>
      </c>
      <c r="CJ124" s="162">
        <f t="shared" si="1089"/>
        <v>2883</v>
      </c>
      <c r="CK124" s="162">
        <f t="shared" si="1089"/>
        <v>2974</v>
      </c>
      <c r="CL124" s="162">
        <f t="shared" si="1089"/>
        <v>3083</v>
      </c>
      <c r="CM124" s="21">
        <f t="shared" si="1089"/>
        <v>3022.5992950334357</v>
      </c>
      <c r="CN124" s="21">
        <f t="shared" si="1089"/>
        <v>3102.210694088898</v>
      </c>
      <c r="CO124" s="21">
        <f t="shared" si="1089"/>
        <v>3323.2764335861016</v>
      </c>
      <c r="CP124" s="21">
        <f t="shared" si="1089"/>
        <v>3462.7926399180978</v>
      </c>
      <c r="CQ124" s="21">
        <f t="shared" si="1089"/>
        <v>3537.5984259140737</v>
      </c>
      <c r="CR124" s="21">
        <f t="shared" si="1089"/>
        <v>3650.7762509707727</v>
      </c>
      <c r="CS124" s="21">
        <f t="shared" si="1089"/>
        <v>3783.7030162986489</v>
      </c>
      <c r="CT124" s="21">
        <f t="shared" si="1089"/>
        <v>3917.586822379451</v>
      </c>
      <c r="CU124" s="21">
        <f t="shared" si="1089"/>
        <v>3996.7680609920558</v>
      </c>
      <c r="CV124" s="21">
        <f t="shared" si="1089"/>
        <v>4074.6356436590363</v>
      </c>
      <c r="CW124" s="21">
        <f t="shared" si="1089"/>
        <v>4145.4795700162322</v>
      </c>
      <c r="CX124" s="21">
        <f t="shared" ref="CX124:DB124" si="1090">+SUM(CU40:CX40)</f>
        <v>4209.0931645623732</v>
      </c>
      <c r="CY124" s="21">
        <f t="shared" si="1090"/>
        <v>4283.1053191036044</v>
      </c>
      <c r="CZ124" s="21">
        <f t="shared" si="1090"/>
        <v>4353.4305182459648</v>
      </c>
      <c r="DA124" s="21">
        <f t="shared" si="1090"/>
        <v>4424.3944382898953</v>
      </c>
      <c r="DB124" s="21">
        <f t="shared" si="1090"/>
        <v>4508.4809285377141</v>
      </c>
      <c r="DE124" s="22"/>
      <c r="DF124" s="162">
        <v>3083</v>
      </c>
    </row>
    <row r="125" spans="1:110" s="162" customFormat="1" x14ac:dyDescent="0.2">
      <c r="A125" s="49" t="s">
        <v>343</v>
      </c>
      <c r="B125" s="162" t="e">
        <f>+B122/B124</f>
        <v>#DIV/0!</v>
      </c>
      <c r="C125" s="162" t="e">
        <f t="shared" ref="C125:W125" si="1091">+C122/C124</f>
        <v>#DIV/0!</v>
      </c>
      <c r="D125" s="162" t="e">
        <f t="shared" si="1091"/>
        <v>#DIV/0!</v>
      </c>
      <c r="E125" s="162" t="e">
        <f t="shared" ca="1" si="1091"/>
        <v>#DIV/0!</v>
      </c>
      <c r="F125" s="162" t="e">
        <f t="shared" ca="1" si="1091"/>
        <v>#DIV/0!</v>
      </c>
      <c r="G125" s="162" t="e">
        <f t="shared" ca="1" si="1091"/>
        <v>#DIV/0!</v>
      </c>
      <c r="H125" s="162" t="e">
        <f t="shared" ca="1" si="1091"/>
        <v>#DIV/0!</v>
      </c>
      <c r="I125" s="162" t="e">
        <f t="shared" ca="1" si="1091"/>
        <v>#DIV/0!</v>
      </c>
      <c r="J125" s="162" t="e">
        <f t="shared" ca="1" si="1091"/>
        <v>#DIV/0!</v>
      </c>
      <c r="K125" s="162" t="e">
        <f t="shared" ca="1" si="1091"/>
        <v>#DIV/0!</v>
      </c>
      <c r="L125" s="162" t="e">
        <f t="shared" ca="1" si="1091"/>
        <v>#DIV/0!</v>
      </c>
      <c r="M125" s="162" t="e">
        <f t="shared" ca="1" si="1091"/>
        <v>#DIV/0!</v>
      </c>
      <c r="N125" s="162" t="e">
        <f t="shared" ca="1" si="1091"/>
        <v>#DIV/0!</v>
      </c>
      <c r="O125" s="162" t="e">
        <f t="shared" ca="1" si="1091"/>
        <v>#DIV/0!</v>
      </c>
      <c r="P125" s="162" t="e">
        <f t="shared" ca="1" si="1091"/>
        <v>#DIV/0!</v>
      </c>
      <c r="Q125" s="162" t="e">
        <f t="shared" ca="1" si="1091"/>
        <v>#DIV/0!</v>
      </c>
      <c r="R125" s="162">
        <f t="shared" ca="1" si="1091"/>
        <v>2.7576557550158394</v>
      </c>
      <c r="S125" s="162">
        <f t="shared" ca="1" si="1091"/>
        <v>1.7337951509153884</v>
      </c>
      <c r="T125" s="162">
        <f t="shared" ca="1" si="1091"/>
        <v>14.352297592997811</v>
      </c>
      <c r="U125" s="162">
        <f t="shared" ca="1" si="1091"/>
        <v>12.495919347095535</v>
      </c>
      <c r="V125" s="162">
        <f t="shared" ca="1" si="1091"/>
        <v>11.690586531498914</v>
      </c>
      <c r="W125" s="162">
        <f t="shared" ca="1" si="1091"/>
        <v>19.796290050590219</v>
      </c>
      <c r="X125" s="162">
        <f t="shared" ref="X125:Y125" ca="1" si="1092">+X122/X124</f>
        <v>16.592897358163707</v>
      </c>
      <c r="Y125" s="162">
        <f t="shared" ca="1" si="1092"/>
        <v>17.566989002654534</v>
      </c>
      <c r="Z125" s="162">
        <f t="shared" ref="Z125:AA125" ca="1" si="1093">+Z122/Z124</f>
        <v>16.568570835064392</v>
      </c>
      <c r="AA125" s="162">
        <f t="shared" ref="AA125" ca="1" si="1094">+AA122/AA124</f>
        <v>16.568570835064392</v>
      </c>
      <c r="AB125" s="21">
        <f t="shared" ref="AB125:AD125" ca="1" si="1095">+AB122/AB124</f>
        <v>13.025765898140419</v>
      </c>
      <c r="AC125" s="21">
        <f t="shared" ca="1" si="1095"/>
        <v>14.45089542200134</v>
      </c>
      <c r="AD125" s="21">
        <f t="shared" ca="1" si="1095"/>
        <v>15.387717553977161</v>
      </c>
      <c r="AE125" s="21">
        <f t="shared" ref="AE125" ca="1" si="1096">+AE122/AE124</f>
        <v>17.031985614181686</v>
      </c>
      <c r="AL125" s="162" t="e">
        <f t="shared" ref="AL125" si="1097">+AL122/AL124</f>
        <v>#DIV/0!</v>
      </c>
      <c r="AM125" s="162" t="e">
        <f t="shared" ref="AM125:AO125" si="1098">+AM122/AM124</f>
        <v>#DIV/0!</v>
      </c>
      <c r="AN125" s="162" t="e">
        <f t="shared" si="1098"/>
        <v>#DIV/0!</v>
      </c>
      <c r="AO125" s="162" t="e">
        <f t="shared" si="1098"/>
        <v>#DIV/0!</v>
      </c>
      <c r="AP125" s="162" t="e">
        <f t="shared" ref="AP125:CD125" si="1099">+AP122/AP124</f>
        <v>#DIV/0!</v>
      </c>
      <c r="AQ125" s="162" t="e">
        <f t="shared" si="1099"/>
        <v>#DIV/0!</v>
      </c>
      <c r="AR125" s="162" t="e">
        <f t="shared" si="1099"/>
        <v>#DIV/0!</v>
      </c>
      <c r="AS125" s="162" t="e">
        <f t="shared" si="1099"/>
        <v>#DIV/0!</v>
      </c>
      <c r="AT125" s="162" t="e">
        <f t="shared" si="1099"/>
        <v>#DIV/0!</v>
      </c>
      <c r="AU125" s="162" t="e">
        <f t="shared" si="1099"/>
        <v>#DIV/0!</v>
      </c>
      <c r="AV125" s="162" t="e">
        <f t="shared" si="1099"/>
        <v>#DIV/0!</v>
      </c>
      <c r="AW125" s="162" t="e">
        <f t="shared" si="1099"/>
        <v>#DIV/0!</v>
      </c>
      <c r="AX125" s="162" t="e">
        <f t="shared" si="1099"/>
        <v>#DIV/0!</v>
      </c>
      <c r="AY125" s="162" t="e">
        <f t="shared" si="1099"/>
        <v>#DIV/0!</v>
      </c>
      <c r="AZ125" s="162" t="e">
        <f t="shared" si="1099"/>
        <v>#DIV/0!</v>
      </c>
      <c r="BA125" s="162" t="e">
        <f t="shared" si="1099"/>
        <v>#DIV/0!</v>
      </c>
      <c r="BB125" s="162" t="e">
        <f t="shared" si="1099"/>
        <v>#DIV/0!</v>
      </c>
      <c r="BC125" s="162" t="e">
        <f t="shared" si="1099"/>
        <v>#DIV/0!</v>
      </c>
      <c r="BD125" s="162" t="e">
        <f t="shared" si="1099"/>
        <v>#DIV/0!</v>
      </c>
      <c r="BE125" s="162" t="e">
        <f t="shared" si="1099"/>
        <v>#DIV/0!</v>
      </c>
      <c r="BF125" s="162">
        <f t="shared" si="1099"/>
        <v>0</v>
      </c>
      <c r="BG125" s="162">
        <f t="shared" si="1099"/>
        <v>-3.4171502256608637E-2</v>
      </c>
      <c r="BH125" s="162">
        <f t="shared" si="1099"/>
        <v>0</v>
      </c>
      <c r="BI125" s="162">
        <f t="shared" si="1099"/>
        <v>12.02165463631316</v>
      </c>
      <c r="BJ125" s="162">
        <f t="shared" si="1099"/>
        <v>13.4259160913436</v>
      </c>
      <c r="BK125" s="162">
        <f t="shared" si="1099"/>
        <v>12.284115306966374</v>
      </c>
      <c r="BL125" s="162">
        <f t="shared" si="1099"/>
        <v>10.35826408125577</v>
      </c>
      <c r="BM125" s="162">
        <f t="shared" si="1099"/>
        <v>8.5622992865918057</v>
      </c>
      <c r="BN125" s="162">
        <f t="shared" si="1099"/>
        <v>9.1788461538461537</v>
      </c>
      <c r="BO125" s="162">
        <f t="shared" si="1099"/>
        <v>7.3683466497763899</v>
      </c>
      <c r="BP125" s="162">
        <f t="shared" si="1099"/>
        <v>7.4421320921985803</v>
      </c>
      <c r="BQ125" s="162">
        <f t="shared" si="1099"/>
        <v>9.5781439420463741</v>
      </c>
      <c r="BR125" s="162">
        <f t="shared" si="1099"/>
        <v>11.690586531498914</v>
      </c>
      <c r="BS125" s="162">
        <f t="shared" si="1099"/>
        <v>12.859576103046429</v>
      </c>
      <c r="BT125" s="162">
        <f t="shared" si="1099"/>
        <v>16.938124326266617</v>
      </c>
      <c r="BU125" s="162">
        <f t="shared" si="1099"/>
        <v>16.090478454274265</v>
      </c>
      <c r="BV125" s="162">
        <f t="shared" si="1099"/>
        <v>15.875185490519375</v>
      </c>
      <c r="BW125" s="162">
        <f t="shared" si="1099"/>
        <v>12.84100779603172</v>
      </c>
      <c r="BX125" s="162">
        <f t="shared" si="1099"/>
        <v>16.888915896937288</v>
      </c>
      <c r="BY125" s="162">
        <f t="shared" si="1099"/>
        <v>16.37765549086193</v>
      </c>
      <c r="BZ125" s="162">
        <f t="shared" si="1099"/>
        <v>16.521345407503233</v>
      </c>
      <c r="CA125" s="162">
        <f t="shared" si="1099"/>
        <v>18.681475193775661</v>
      </c>
      <c r="CB125" s="162">
        <f t="shared" si="1099"/>
        <v>18.274453125000001</v>
      </c>
      <c r="CC125" s="162">
        <f t="shared" si="1099"/>
        <v>17.346797784246473</v>
      </c>
      <c r="CD125" s="162">
        <f t="shared" si="1099"/>
        <v>17.551515725653658</v>
      </c>
      <c r="CE125" s="162">
        <f t="shared" ref="CE125:CF125" si="1100">+CE122/CE124</f>
        <v>14.52393491976861</v>
      </c>
      <c r="CF125" s="162">
        <f t="shared" si="1100"/>
        <v>15.08884069400631</v>
      </c>
      <c r="CG125" s="162">
        <f t="shared" ref="CG125:CH125" si="1101">+CG122/CG124</f>
        <v>16.871619792621846</v>
      </c>
      <c r="CH125" s="162">
        <f t="shared" si="1101"/>
        <v>15.427149979227254</v>
      </c>
      <c r="CI125" s="162">
        <f t="shared" ref="CI125:CJ125" si="1102">+CI122/CI124</f>
        <v>16.181805068794056</v>
      </c>
      <c r="CJ125" s="162">
        <f t="shared" si="1102"/>
        <v>17.000017343045439</v>
      </c>
      <c r="CK125" s="162">
        <f t="shared" ref="CK125:CL125" si="1103">+CK122/CK124</f>
        <v>15.205167839350658</v>
      </c>
      <c r="CL125" s="162">
        <f t="shared" si="1103"/>
        <v>14.392020759000973</v>
      </c>
      <c r="CM125" s="21">
        <f t="shared" ref="CM125:DB125" si="1104">+CM122/CM124</f>
        <v>13.291837587033914</v>
      </c>
      <c r="CN125" s="21">
        <f t="shared" si="1104"/>
        <v>12.804771372099079</v>
      </c>
      <c r="CO125" s="21">
        <f t="shared" si="1104"/>
        <v>13.132496595109091</v>
      </c>
      <c r="CP125" s="21">
        <f t="shared" si="1104"/>
        <v>13.025765898140419</v>
      </c>
      <c r="CQ125" s="21">
        <f t="shared" si="1104"/>
        <v>13.250030298700088</v>
      </c>
      <c r="CR125" s="21">
        <f t="shared" si="1104"/>
        <v>13.658515905133761</v>
      </c>
      <c r="CS125" s="21">
        <f t="shared" si="1104"/>
        <v>14.112631604541642</v>
      </c>
      <c r="CT125" s="21">
        <f t="shared" si="1104"/>
        <v>14.450895422001334</v>
      </c>
      <c r="CU125" s="21">
        <f t="shared" si="1104"/>
        <v>14.58958705473559</v>
      </c>
      <c r="CV125" s="21">
        <f t="shared" si="1104"/>
        <v>14.831658319512892</v>
      </c>
      <c r="CW125" s="21">
        <f t="shared" si="1104"/>
        <v>15.09932683079462</v>
      </c>
      <c r="CX125" s="21">
        <f t="shared" si="1104"/>
        <v>15.387717553977156</v>
      </c>
      <c r="CY125" s="21">
        <f t="shared" si="1104"/>
        <v>15.755171125058251</v>
      </c>
      <c r="CZ125" s="21">
        <f t="shared" si="1104"/>
        <v>16.156956486670968</v>
      </c>
      <c r="DA125" s="21">
        <f t="shared" si="1104"/>
        <v>16.575061205182113</v>
      </c>
      <c r="DB125" s="21">
        <f t="shared" si="1104"/>
        <v>17.031985614181679</v>
      </c>
      <c r="DE125" s="22"/>
      <c r="DF125" s="162">
        <v>15.843674991891014</v>
      </c>
    </row>
    <row r="126" spans="1:110" s="162" customFormat="1" x14ac:dyDescent="0.2">
      <c r="A126" s="49" t="s">
        <v>344</v>
      </c>
      <c r="B126" s="162" t="e">
        <f>+B123/B124</f>
        <v>#DIV/0!</v>
      </c>
      <c r="C126" s="162" t="e">
        <f t="shared" ref="C126:W126" si="1105">+C123/C124</f>
        <v>#DIV/0!</v>
      </c>
      <c r="D126" s="162" t="e">
        <f t="shared" si="1105"/>
        <v>#DIV/0!</v>
      </c>
      <c r="E126" s="162" t="e">
        <f t="shared" ca="1" si="1105"/>
        <v>#DIV/0!</v>
      </c>
      <c r="F126" s="162" t="e">
        <f t="shared" ca="1" si="1105"/>
        <v>#DIV/0!</v>
      </c>
      <c r="G126" s="162" t="e">
        <f t="shared" ca="1" si="1105"/>
        <v>#DIV/0!</v>
      </c>
      <c r="H126" s="162" t="e">
        <f t="shared" ca="1" si="1105"/>
        <v>#DIV/0!</v>
      </c>
      <c r="I126" s="162" t="e">
        <f t="shared" ca="1" si="1105"/>
        <v>#DIV/0!</v>
      </c>
      <c r="J126" s="162" t="e">
        <f t="shared" ca="1" si="1105"/>
        <v>#DIV/0!</v>
      </c>
      <c r="K126" s="162" t="e">
        <f t="shared" ca="1" si="1105"/>
        <v>#DIV/0!</v>
      </c>
      <c r="L126" s="162" t="e">
        <f t="shared" ca="1" si="1105"/>
        <v>#DIV/0!</v>
      </c>
      <c r="M126" s="162" t="e">
        <f t="shared" ca="1" si="1105"/>
        <v>#DIV/0!</v>
      </c>
      <c r="N126" s="162" t="e">
        <f t="shared" ca="1" si="1105"/>
        <v>#DIV/0!</v>
      </c>
      <c r="O126" s="162" t="e">
        <f t="shared" ca="1" si="1105"/>
        <v>#DIV/0!</v>
      </c>
      <c r="P126" s="162" t="e">
        <f t="shared" ca="1" si="1105"/>
        <v>#DIV/0!</v>
      </c>
      <c r="Q126" s="162" t="e">
        <f t="shared" ca="1" si="1105"/>
        <v>#DIV/0!</v>
      </c>
      <c r="R126" s="162">
        <f t="shared" ca="1" si="1105"/>
        <v>2.7576557550158394</v>
      </c>
      <c r="S126" s="162">
        <f t="shared" ca="1" si="1105"/>
        <v>1.7337951509153884</v>
      </c>
      <c r="T126" s="162">
        <f t="shared" ca="1" si="1105"/>
        <v>11.078227571115974</v>
      </c>
      <c r="U126" s="162">
        <f t="shared" ca="1" si="1105"/>
        <v>5.0710513682189147</v>
      </c>
      <c r="V126" s="162">
        <f t="shared" ca="1" si="1105"/>
        <v>2.9293989862418539</v>
      </c>
      <c r="W126" s="162">
        <f t="shared" ca="1" si="1105"/>
        <v>9.6414629005059016</v>
      </c>
      <c r="X126" s="162">
        <f t="shared" ref="X126:Y126" ca="1" si="1106">+X123/X124</f>
        <v>10.204157644001731</v>
      </c>
      <c r="Y126" s="162">
        <f t="shared" ca="1" si="1106"/>
        <v>13.072051573758058</v>
      </c>
      <c r="Z126" s="162">
        <f t="shared" ref="Z126:AA126" ca="1" si="1107">+Z123/Z124</f>
        <v>12.918155380141254</v>
      </c>
      <c r="AA126" s="162">
        <f t="shared" ref="AA126" ca="1" si="1108">+AA123/AA124</f>
        <v>12.918155380141254</v>
      </c>
      <c r="AB126" s="21">
        <f t="shared" ref="AB126:AD126" ca="1" si="1109">+AB123/AB124</f>
        <v>8.8203800583958891</v>
      </c>
      <c r="AC126" s="21">
        <f t="shared" ca="1" si="1109"/>
        <v>9.1469069154543003</v>
      </c>
      <c r="AD126" s="21">
        <f t="shared" ca="1" si="1109"/>
        <v>10.406301647543296</v>
      </c>
      <c r="AE126" s="21">
        <f t="shared" ref="AE126" ca="1" si="1110">+AE123/AE124</f>
        <v>11.128704029288137</v>
      </c>
      <c r="AL126" s="162" t="e">
        <f t="shared" ref="AL126:AM126" si="1111">+AL123/AL124</f>
        <v>#DIV/0!</v>
      </c>
      <c r="AM126" s="162" t="e">
        <f t="shared" si="1111"/>
        <v>#DIV/0!</v>
      </c>
      <c r="AN126" s="162" t="e">
        <f t="shared" ref="AN126:AO126" si="1112">+AN123/AN124</f>
        <v>#DIV/0!</v>
      </c>
      <c r="AO126" s="162" t="e">
        <f t="shared" si="1112"/>
        <v>#DIV/0!</v>
      </c>
      <c r="AP126" s="162" t="e">
        <f t="shared" ref="AP126:CD126" si="1113">+AP123/AP124</f>
        <v>#DIV/0!</v>
      </c>
      <c r="AQ126" s="162" t="e">
        <f t="shared" si="1113"/>
        <v>#DIV/0!</v>
      </c>
      <c r="AR126" s="162" t="e">
        <f t="shared" si="1113"/>
        <v>#DIV/0!</v>
      </c>
      <c r="AS126" s="162" t="e">
        <f t="shared" si="1113"/>
        <v>#DIV/0!</v>
      </c>
      <c r="AT126" s="162" t="e">
        <f t="shared" si="1113"/>
        <v>#DIV/0!</v>
      </c>
      <c r="AU126" s="162" t="e">
        <f t="shared" si="1113"/>
        <v>#DIV/0!</v>
      </c>
      <c r="AV126" s="162" t="e">
        <f t="shared" si="1113"/>
        <v>#DIV/0!</v>
      </c>
      <c r="AW126" s="162" t="e">
        <f t="shared" si="1113"/>
        <v>#DIV/0!</v>
      </c>
      <c r="AX126" s="162" t="e">
        <f t="shared" si="1113"/>
        <v>#DIV/0!</v>
      </c>
      <c r="AY126" s="162" t="e">
        <f t="shared" si="1113"/>
        <v>#DIV/0!</v>
      </c>
      <c r="AZ126" s="162" t="e">
        <f t="shared" si="1113"/>
        <v>#DIV/0!</v>
      </c>
      <c r="BA126" s="162" t="e">
        <f t="shared" si="1113"/>
        <v>#DIV/0!</v>
      </c>
      <c r="BB126" s="162" t="e">
        <f t="shared" si="1113"/>
        <v>#DIV/0!</v>
      </c>
      <c r="BC126" s="162" t="e">
        <f t="shared" si="1113"/>
        <v>#DIV/0!</v>
      </c>
      <c r="BD126" s="162" t="e">
        <f t="shared" si="1113"/>
        <v>#DIV/0!</v>
      </c>
      <c r="BE126" s="162" t="e">
        <f t="shared" si="1113"/>
        <v>#DIV/0!</v>
      </c>
      <c r="BF126" s="162">
        <f t="shared" si="1113"/>
        <v>0</v>
      </c>
      <c r="BG126" s="162">
        <f t="shared" si="1113"/>
        <v>-3.4171502256608637E-2</v>
      </c>
      <c r="BH126" s="162">
        <f t="shared" si="1113"/>
        <v>0</v>
      </c>
      <c r="BI126" s="162">
        <f t="shared" si="1113"/>
        <v>-1.5546918378678512E-2</v>
      </c>
      <c r="BJ126" s="162">
        <f t="shared" si="1113"/>
        <v>10.247477429633564</v>
      </c>
      <c r="BK126" s="162">
        <f t="shared" si="1113"/>
        <v>10.052568561983504</v>
      </c>
      <c r="BL126" s="162">
        <f t="shared" si="1113"/>
        <v>7.5600184672206829</v>
      </c>
      <c r="BM126" s="162">
        <f t="shared" si="1113"/>
        <v>7.4007642575868973</v>
      </c>
      <c r="BN126" s="162">
        <f t="shared" si="1113"/>
        <v>4.5019230769230774</v>
      </c>
      <c r="BO126" s="162">
        <f t="shared" si="1113"/>
        <v>4.530988345192851</v>
      </c>
      <c r="BP126" s="162">
        <f t="shared" si="1113"/>
        <v>5.9884973404255328</v>
      </c>
      <c r="BQ126" s="162">
        <f t="shared" si="1113"/>
        <v>6.0897071974855361</v>
      </c>
      <c r="BR126" s="162">
        <f t="shared" si="1113"/>
        <v>7.3805032585083277</v>
      </c>
      <c r="BS126" s="162">
        <f t="shared" si="1113"/>
        <v>9.2814642149345428</v>
      </c>
      <c r="BT126" s="162">
        <f t="shared" si="1113"/>
        <v>12.095274883219547</v>
      </c>
      <c r="BU126" s="162">
        <f t="shared" si="1113"/>
        <v>12.772099322454276</v>
      </c>
      <c r="BV126" s="162">
        <f t="shared" si="1113"/>
        <v>9.4268549051937338</v>
      </c>
      <c r="BW126" s="162">
        <f t="shared" si="1113"/>
        <v>9.3021648208251069</v>
      </c>
      <c r="BX126" s="162">
        <f t="shared" si="1113"/>
        <v>12.073796791443851</v>
      </c>
      <c r="BY126" s="162">
        <f t="shared" si="1113"/>
        <v>12.495587428034703</v>
      </c>
      <c r="BZ126" s="162">
        <f t="shared" si="1113"/>
        <v>13.948684777921518</v>
      </c>
      <c r="CA126" s="162">
        <f t="shared" si="1113"/>
        <v>15.413572380476431</v>
      </c>
      <c r="CB126" s="162">
        <f t="shared" si="1113"/>
        <v>14.211718749999999</v>
      </c>
      <c r="CC126" s="162">
        <f t="shared" si="1113"/>
        <v>14.309265316714006</v>
      </c>
      <c r="CD126" s="162">
        <f t="shared" si="1113"/>
        <v>13.062144751799924</v>
      </c>
      <c r="CE126" s="162">
        <f t="shared" ref="CE126:CF126" si="1114">+CE123/CE124</f>
        <v>11.702135290826126</v>
      </c>
      <c r="CF126" s="162">
        <f t="shared" si="1114"/>
        <v>13.023264984227129</v>
      </c>
      <c r="CG126" s="162">
        <f t="shared" ref="CG126:CH126" si="1115">+CG123/CG124</f>
        <v>14.306871115373168</v>
      </c>
      <c r="CH126" s="162">
        <f t="shared" si="1115"/>
        <v>12.918155380141254</v>
      </c>
      <c r="CI126" s="162">
        <f t="shared" ref="CI126:CJ126" si="1116">+CI123/CI124</f>
        <v>12.422400261468606</v>
      </c>
      <c r="CJ126" s="162">
        <f t="shared" si="1116"/>
        <v>14.533576135969474</v>
      </c>
      <c r="CK126" s="162">
        <f t="shared" ref="CK126:CL126" si="1117">+CK123/CK124</f>
        <v>12.735295613392351</v>
      </c>
      <c r="CL126" s="162">
        <f t="shared" si="1117"/>
        <v>11.070872526759649</v>
      </c>
      <c r="CM126" s="21">
        <f t="shared" ref="CM126:DB126" si="1118">+CM123/CM124</f>
        <v>10.241017078152787</v>
      </c>
      <c r="CN126" s="21">
        <f t="shared" si="1118"/>
        <v>9.8725524756247935</v>
      </c>
      <c r="CO126" s="21">
        <f t="shared" si="1118"/>
        <v>10.11610966650394</v>
      </c>
      <c r="CP126" s="21">
        <f t="shared" si="1118"/>
        <v>10.022551274321399</v>
      </c>
      <c r="CQ126" s="21">
        <f t="shared" si="1118"/>
        <v>10.187292562221471</v>
      </c>
      <c r="CR126" s="21">
        <f t="shared" si="1118"/>
        <v>10.493643595635065</v>
      </c>
      <c r="CS126" s="21">
        <f t="shared" si="1118"/>
        <v>10.833682202589058</v>
      </c>
      <c r="CT126" s="21">
        <f t="shared" si="1118"/>
        <v>11.080070252231494</v>
      </c>
      <c r="CU126" s="21">
        <f t="shared" si="1118"/>
        <v>11.162012806407702</v>
      </c>
      <c r="CV126" s="21">
        <f t="shared" si="1118"/>
        <v>11.330713636642674</v>
      </c>
      <c r="CW126" s="21">
        <f t="shared" si="1118"/>
        <v>11.519497478989154</v>
      </c>
      <c r="CX126" s="21">
        <f t="shared" si="1118"/>
        <v>11.72137374747393</v>
      </c>
      <c r="CY126" s="21">
        <f t="shared" si="1118"/>
        <v>11.974415883078295</v>
      </c>
      <c r="CZ126" s="21">
        <f t="shared" si="1118"/>
        <v>12.261617695640176</v>
      </c>
      <c r="DA126" s="21">
        <f t="shared" si="1118"/>
        <v>12.561827941078693</v>
      </c>
      <c r="DB126" s="21">
        <f t="shared" si="1118"/>
        <v>12.889139209685892</v>
      </c>
      <c r="DE126" s="22"/>
      <c r="DF126" s="162">
        <v>11.024959455076223</v>
      </c>
    </row>
    <row r="127" spans="1:110" s="10" customFormat="1" x14ac:dyDescent="0.2">
      <c r="A127" s="149" t="s">
        <v>490</v>
      </c>
      <c r="AB127" s="20"/>
      <c r="AC127" s="20"/>
      <c r="AD127" s="20"/>
      <c r="AE127" s="20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E127" s="126"/>
    </row>
    <row r="128" spans="1:110" x14ac:dyDescent="0.2">
      <c r="A128" s="152" t="s">
        <v>491</v>
      </c>
      <c r="AA128" s="2"/>
      <c r="CL128" s="2"/>
    </row>
    <row r="129" spans="1:110" s="23" customFormat="1" outlineLevel="1" x14ac:dyDescent="0.2">
      <c r="A129" s="23" t="s">
        <v>41</v>
      </c>
      <c r="B129" s="23">
        <f>'Annual Raw'!C41</f>
        <v>0</v>
      </c>
      <c r="C129" s="23">
        <f>'Annual Raw'!D41</f>
        <v>0</v>
      </c>
      <c r="D129" s="23">
        <f>'Annual Raw'!E41</f>
        <v>0</v>
      </c>
      <c r="E129" s="23">
        <f>'Annual Raw'!F41</f>
        <v>0</v>
      </c>
      <c r="F129" s="23">
        <f>'Annual Raw'!G41</f>
        <v>0</v>
      </c>
      <c r="G129" s="23">
        <f>'Annual Raw'!H41</f>
        <v>0</v>
      </c>
      <c r="H129" s="23">
        <f>'Annual Raw'!I41</f>
        <v>0</v>
      </c>
      <c r="I129" s="23">
        <f>'Annual Raw'!J41</f>
        <v>0</v>
      </c>
      <c r="J129" s="23">
        <f>'Annual Raw'!K41</f>
        <v>0</v>
      </c>
      <c r="K129" s="23">
        <f>'Annual Raw'!L41</f>
        <v>0</v>
      </c>
      <c r="L129" s="23">
        <f>'Annual Raw'!M41</f>
        <v>0</v>
      </c>
      <c r="M129" s="23">
        <f>'Annual Raw'!N41</f>
        <v>0</v>
      </c>
      <c r="N129" s="23">
        <f>'Annual Raw'!O41</f>
        <v>0</v>
      </c>
      <c r="O129" s="23">
        <f>'Annual Raw'!P41</f>
        <v>0</v>
      </c>
      <c r="P129" s="23">
        <f>'Annual Raw'!Q41</f>
        <v>0</v>
      </c>
      <c r="Q129" s="23">
        <f>'Annual Raw'!R41</f>
        <v>0</v>
      </c>
      <c r="R129" s="23">
        <f>'Annual Raw'!S41</f>
        <v>0</v>
      </c>
      <c r="S129" s="23">
        <f>'Annual Raw'!T41</f>
        <v>0</v>
      </c>
      <c r="T129" s="23">
        <f>'Annual Raw'!U41</f>
        <v>39</v>
      </c>
      <c r="U129" s="23">
        <f>'Annual Raw'!V41</f>
        <v>39</v>
      </c>
      <c r="V129" s="23">
        <f>'Annual Raw'!W41</f>
        <v>37</v>
      </c>
      <c r="W129" s="23">
        <f>'Annual Raw'!X41</f>
        <v>37</v>
      </c>
      <c r="X129" s="23">
        <f>'Annual Raw'!Y41</f>
        <v>37</v>
      </c>
      <c r="Y129" s="23">
        <f>'Annual Raw'!Z41</f>
        <v>38</v>
      </c>
      <c r="Z129" s="23">
        <f>'Annual Raw'!AA41</f>
        <v>38</v>
      </c>
      <c r="AA129" s="23">
        <f>'Annual Raw'!AB41</f>
        <v>38</v>
      </c>
      <c r="AB129" s="24">
        <f>+CP129</f>
        <v>38</v>
      </c>
      <c r="AC129" s="24">
        <f>+CT129</f>
        <v>38</v>
      </c>
      <c r="AD129" s="24">
        <f>+CX129</f>
        <v>38</v>
      </c>
      <c r="AE129" s="24">
        <f>+DB129</f>
        <v>38</v>
      </c>
      <c r="AJ129" s="23">
        <f>+'QTR Raw'!D56</f>
        <v>0</v>
      </c>
      <c r="AK129" s="23">
        <f t="shared" ref="AK129:CE129" si="1119">+AJ129</f>
        <v>0</v>
      </c>
      <c r="AL129" s="23">
        <f>+'QTR Raw'!F56</f>
        <v>0</v>
      </c>
      <c r="AM129" s="23">
        <f t="shared" si="1119"/>
        <v>0</v>
      </c>
      <c r="AN129" s="23">
        <f>+'QTR Raw'!H56</f>
        <v>0</v>
      </c>
      <c r="AO129" s="23">
        <f t="shared" si="1119"/>
        <v>0</v>
      </c>
      <c r="AP129" s="23">
        <f>+'QTR Raw'!J56</f>
        <v>0</v>
      </c>
      <c r="AQ129" s="23">
        <f t="shared" si="1119"/>
        <v>0</v>
      </c>
      <c r="AR129" s="23">
        <f>+'QTR Raw'!L56</f>
        <v>0</v>
      </c>
      <c r="AS129" s="23">
        <f t="shared" si="1119"/>
        <v>0</v>
      </c>
      <c r="AT129" s="23">
        <f>+'QTR Raw'!N56</f>
        <v>0</v>
      </c>
      <c r="AU129" s="23">
        <f t="shared" si="1119"/>
        <v>0</v>
      </c>
      <c r="AV129" s="23">
        <f>+'QTR Raw'!P56</f>
        <v>0</v>
      </c>
      <c r="AW129" s="23">
        <f t="shared" si="1119"/>
        <v>0</v>
      </c>
      <c r="AX129" s="23">
        <f>+'QTR Raw'!R56</f>
        <v>0</v>
      </c>
      <c r="AY129" s="23">
        <f t="shared" si="1119"/>
        <v>0</v>
      </c>
      <c r="AZ129" s="23">
        <f>+'QTR Raw'!T56</f>
        <v>0</v>
      </c>
      <c r="BA129" s="23">
        <f t="shared" si="1119"/>
        <v>0</v>
      </c>
      <c r="BB129" s="23">
        <f>+'QTR Raw'!V56</f>
        <v>0</v>
      </c>
      <c r="BC129" s="23">
        <f t="shared" si="1119"/>
        <v>0</v>
      </c>
      <c r="BD129" s="23">
        <f>+'QTR Raw'!X56</f>
        <v>0</v>
      </c>
      <c r="BE129" s="23">
        <f t="shared" si="1119"/>
        <v>0</v>
      </c>
      <c r="BF129" s="23">
        <f>+'QTR Raw'!Z56</f>
        <v>0</v>
      </c>
      <c r="BG129" s="23">
        <f t="shared" si="1119"/>
        <v>0</v>
      </c>
      <c r="BH129" s="23">
        <f>+'QTR Raw'!AB56</f>
        <v>0</v>
      </c>
      <c r="BI129" s="23">
        <f t="shared" si="1119"/>
        <v>0</v>
      </c>
      <c r="BJ129" s="23">
        <f>+'QTR Raw'!AD56</f>
        <v>39</v>
      </c>
      <c r="BK129" s="23">
        <f t="shared" si="1119"/>
        <v>39</v>
      </c>
      <c r="BL129" s="23">
        <f>+'QTR Raw'!AF56</f>
        <v>39</v>
      </c>
      <c r="BM129" s="23">
        <f t="shared" si="1119"/>
        <v>39</v>
      </c>
      <c r="BN129" s="23">
        <f>+'QTR Raw'!AH56</f>
        <v>39</v>
      </c>
      <c r="BO129" s="23">
        <f t="shared" si="1119"/>
        <v>39</v>
      </c>
      <c r="BP129" s="23">
        <f>+'QTR Raw'!AJ56</f>
        <v>37</v>
      </c>
      <c r="BQ129" s="23">
        <f t="shared" si="1119"/>
        <v>37</v>
      </c>
      <c r="BR129" s="23">
        <f>+'QTR Raw'!AL56</f>
        <v>37</v>
      </c>
      <c r="BS129" s="23">
        <f t="shared" si="1119"/>
        <v>37</v>
      </c>
      <c r="BT129" s="23">
        <f>+'QTR Raw'!AN56</f>
        <v>37</v>
      </c>
      <c r="BU129" s="23">
        <f t="shared" si="1119"/>
        <v>37</v>
      </c>
      <c r="BV129" s="23">
        <f>+'QTR Raw'!AP56</f>
        <v>37</v>
      </c>
      <c r="BW129" s="23">
        <f t="shared" si="1119"/>
        <v>37</v>
      </c>
      <c r="BX129" s="23">
        <f>+'QTR Raw'!AR56</f>
        <v>37</v>
      </c>
      <c r="BY129" s="23">
        <f t="shared" si="1119"/>
        <v>37</v>
      </c>
      <c r="BZ129" s="23">
        <f>+'QTR Raw'!AT56</f>
        <v>37</v>
      </c>
      <c r="CA129" s="23">
        <f t="shared" si="1119"/>
        <v>37</v>
      </c>
      <c r="CB129" s="23">
        <f>+'QTR Raw'!AV56</f>
        <v>38</v>
      </c>
      <c r="CC129" s="23">
        <f t="shared" si="1119"/>
        <v>38</v>
      </c>
      <c r="CD129" s="23">
        <f>+'QTR Raw'!AX56</f>
        <v>38</v>
      </c>
      <c r="CE129" s="23">
        <f t="shared" si="1119"/>
        <v>38</v>
      </c>
      <c r="CF129" s="23">
        <f>+'QTR Raw'!AZ56</f>
        <v>38</v>
      </c>
      <c r="CG129" s="23">
        <f t="shared" ref="CG129:CG130" si="1120">+CF129</f>
        <v>38</v>
      </c>
      <c r="CH129" s="23">
        <f>Z129</f>
        <v>38</v>
      </c>
      <c r="CI129" s="23">
        <f>CH129</f>
        <v>38</v>
      </c>
      <c r="CJ129" s="23">
        <f>+'QTR Raw'!BD56</f>
        <v>38</v>
      </c>
      <c r="CK129" s="23">
        <f t="shared" ref="CK129:DB129" si="1121">CJ129</f>
        <v>38</v>
      </c>
      <c r="CL129" s="23">
        <f>+'QTR Raw'!BF56</f>
        <v>38</v>
      </c>
      <c r="CM129" s="24">
        <f t="shared" si="1121"/>
        <v>38</v>
      </c>
      <c r="CN129" s="24">
        <f t="shared" si="1121"/>
        <v>38</v>
      </c>
      <c r="CO129" s="24">
        <f t="shared" si="1121"/>
        <v>38</v>
      </c>
      <c r="CP129" s="24">
        <f t="shared" si="1121"/>
        <v>38</v>
      </c>
      <c r="CQ129" s="24">
        <f t="shared" si="1121"/>
        <v>38</v>
      </c>
      <c r="CR129" s="24">
        <f t="shared" si="1121"/>
        <v>38</v>
      </c>
      <c r="CS129" s="24">
        <f t="shared" si="1121"/>
        <v>38</v>
      </c>
      <c r="CT129" s="24">
        <f t="shared" si="1121"/>
        <v>38</v>
      </c>
      <c r="CU129" s="24">
        <f t="shared" si="1121"/>
        <v>38</v>
      </c>
      <c r="CV129" s="24">
        <f t="shared" si="1121"/>
        <v>38</v>
      </c>
      <c r="CW129" s="24">
        <f t="shared" si="1121"/>
        <v>38</v>
      </c>
      <c r="CX129" s="24">
        <f t="shared" si="1121"/>
        <v>38</v>
      </c>
      <c r="CY129" s="24">
        <f t="shared" si="1121"/>
        <v>38</v>
      </c>
      <c r="CZ129" s="24">
        <f t="shared" si="1121"/>
        <v>38</v>
      </c>
      <c r="DA129" s="24">
        <f t="shared" si="1121"/>
        <v>38</v>
      </c>
      <c r="DB129" s="24">
        <f t="shared" si="1121"/>
        <v>38</v>
      </c>
      <c r="DE129" s="123"/>
      <c r="DF129" s="23">
        <v>38</v>
      </c>
    </row>
    <row r="130" spans="1:110" s="23" customFormat="1" outlineLevel="1" x14ac:dyDescent="0.2">
      <c r="A130" s="23" t="s">
        <v>42</v>
      </c>
      <c r="B130" s="23">
        <f>'Annual Raw'!C42</f>
        <v>0</v>
      </c>
      <c r="C130" s="23">
        <f>'Annual Raw'!D42</f>
        <v>0</v>
      </c>
      <c r="D130" s="23">
        <f>'Annual Raw'!E42</f>
        <v>0</v>
      </c>
      <c r="E130" s="23">
        <f>'Annual Raw'!F42</f>
        <v>0</v>
      </c>
      <c r="F130" s="23">
        <f>'Annual Raw'!G42</f>
        <v>0</v>
      </c>
      <c r="G130" s="23">
        <f>'Annual Raw'!H42</f>
        <v>0</v>
      </c>
      <c r="H130" s="23">
        <f>'Annual Raw'!I42</f>
        <v>0</v>
      </c>
      <c r="I130" s="23">
        <f>'Annual Raw'!J42</f>
        <v>0</v>
      </c>
      <c r="J130" s="23">
        <f>'Annual Raw'!K42</f>
        <v>0</v>
      </c>
      <c r="K130" s="23">
        <f>'Annual Raw'!L42</f>
        <v>0</v>
      </c>
      <c r="L130" s="23">
        <f>'Annual Raw'!M42</f>
        <v>0</v>
      </c>
      <c r="M130" s="23">
        <f>'Annual Raw'!N42</f>
        <v>0</v>
      </c>
      <c r="N130" s="23">
        <f>'Annual Raw'!O42</f>
        <v>0</v>
      </c>
      <c r="O130" s="23">
        <f>'Annual Raw'!P42</f>
        <v>0</v>
      </c>
      <c r="P130" s="23">
        <f>'Annual Raw'!Q42</f>
        <v>0</v>
      </c>
      <c r="Q130" s="23">
        <f>'Annual Raw'!R42</f>
        <v>0</v>
      </c>
      <c r="R130" s="23">
        <f>'Annual Raw'!S42</f>
        <v>6666</v>
      </c>
      <c r="S130" s="23">
        <f>'Annual Raw'!T42</f>
        <v>6668</v>
      </c>
      <c r="T130" s="23">
        <f>'Annual Raw'!U42</f>
        <v>14</v>
      </c>
      <c r="U130" s="23">
        <f>'Annual Raw'!V42</f>
        <v>11</v>
      </c>
      <c r="V130" s="23">
        <f>'Annual Raw'!W42</f>
        <v>6</v>
      </c>
      <c r="W130" s="23">
        <f>'Annual Raw'!X42</f>
        <v>21</v>
      </c>
      <c r="X130" s="23">
        <f>'Annual Raw'!Y42</f>
        <v>12</v>
      </c>
      <c r="Y130" s="23">
        <f>'Annual Raw'!Z42</f>
        <v>1</v>
      </c>
      <c r="Z130" s="23">
        <f>'Annual Raw'!AA42</f>
        <v>0</v>
      </c>
      <c r="AA130" s="23">
        <f>'Annual Raw'!AB42</f>
        <v>0</v>
      </c>
      <c r="AB130" s="24">
        <f t="shared" ref="AB130:AB131" si="1122">+CP130</f>
        <v>0</v>
      </c>
      <c r="AC130" s="24">
        <f t="shared" ref="AC130:AC131" si="1123">+CT130</f>
        <v>0</v>
      </c>
      <c r="AD130" s="24">
        <f t="shared" ref="AD130:AD131" si="1124">+CX130</f>
        <v>0</v>
      </c>
      <c r="AE130" s="24">
        <f t="shared" ref="AE130:AE131" si="1125">+DB130</f>
        <v>0</v>
      </c>
      <c r="AJ130" s="23">
        <f>+'QTR Raw'!D57</f>
        <v>0</v>
      </c>
      <c r="AK130" s="23">
        <f t="shared" ref="AK130:CE130" si="1126">+AJ130</f>
        <v>0</v>
      </c>
      <c r="AL130" s="23">
        <f>+'QTR Raw'!F57</f>
        <v>0</v>
      </c>
      <c r="AM130" s="23">
        <f t="shared" si="1126"/>
        <v>0</v>
      </c>
      <c r="AN130" s="23">
        <f>+'QTR Raw'!H57</f>
        <v>0</v>
      </c>
      <c r="AO130" s="23">
        <f t="shared" si="1126"/>
        <v>0</v>
      </c>
      <c r="AP130" s="23">
        <f>+'QTR Raw'!J57</f>
        <v>0</v>
      </c>
      <c r="AQ130" s="23">
        <f t="shared" si="1126"/>
        <v>0</v>
      </c>
      <c r="AR130" s="23">
        <f>+'QTR Raw'!L57</f>
        <v>0</v>
      </c>
      <c r="AS130" s="23">
        <f t="shared" si="1126"/>
        <v>0</v>
      </c>
      <c r="AT130" s="23">
        <f>+'QTR Raw'!N57</f>
        <v>0</v>
      </c>
      <c r="AU130" s="23">
        <f t="shared" si="1126"/>
        <v>0</v>
      </c>
      <c r="AV130" s="23">
        <f>+'QTR Raw'!P57</f>
        <v>0</v>
      </c>
      <c r="AW130" s="23">
        <f t="shared" si="1126"/>
        <v>0</v>
      </c>
      <c r="AX130" s="23">
        <f>+'QTR Raw'!R57</f>
        <v>0</v>
      </c>
      <c r="AY130" s="23">
        <f t="shared" si="1126"/>
        <v>0</v>
      </c>
      <c r="AZ130" s="23">
        <f>+'QTR Raw'!T57</f>
        <v>0</v>
      </c>
      <c r="BA130" s="23">
        <f t="shared" si="1126"/>
        <v>0</v>
      </c>
      <c r="BB130" s="23">
        <f>+'QTR Raw'!V57</f>
        <v>0</v>
      </c>
      <c r="BC130" s="23">
        <f t="shared" si="1126"/>
        <v>0</v>
      </c>
      <c r="BD130" s="23">
        <f>+'QTR Raw'!X57</f>
        <v>0</v>
      </c>
      <c r="BE130" s="23">
        <f t="shared" si="1126"/>
        <v>0</v>
      </c>
      <c r="BF130" s="23">
        <f>+'QTR Raw'!Z57</f>
        <v>0</v>
      </c>
      <c r="BG130" s="23">
        <f t="shared" si="1126"/>
        <v>0</v>
      </c>
      <c r="BH130" s="23">
        <f>+'QTR Raw'!AB57</f>
        <v>0</v>
      </c>
      <c r="BI130" s="23">
        <f t="shared" si="1126"/>
        <v>0</v>
      </c>
      <c r="BJ130" s="23">
        <f>+'QTR Raw'!AD57</f>
        <v>0</v>
      </c>
      <c r="BK130" s="23">
        <f t="shared" si="1126"/>
        <v>0</v>
      </c>
      <c r="BL130" s="23">
        <f>+'QTR Raw'!AF57</f>
        <v>0</v>
      </c>
      <c r="BM130" s="23">
        <f t="shared" si="1126"/>
        <v>0</v>
      </c>
      <c r="BN130" s="23">
        <f>+'QTR Raw'!AH57</f>
        <v>0</v>
      </c>
      <c r="BO130" s="23">
        <f t="shared" si="1126"/>
        <v>0</v>
      </c>
      <c r="BP130" s="23">
        <f>+'QTR Raw'!AJ57</f>
        <v>0</v>
      </c>
      <c r="BQ130" s="23">
        <f t="shared" si="1126"/>
        <v>0</v>
      </c>
      <c r="BR130" s="23">
        <f>+'QTR Raw'!AL57</f>
        <v>0</v>
      </c>
      <c r="BS130" s="23">
        <f t="shared" si="1126"/>
        <v>0</v>
      </c>
      <c r="BT130" s="23">
        <f>+'QTR Raw'!AN57</f>
        <v>0</v>
      </c>
      <c r="BU130" s="23">
        <f t="shared" si="1126"/>
        <v>0</v>
      </c>
      <c r="BV130" s="23">
        <f>+'QTR Raw'!AP57</f>
        <v>0</v>
      </c>
      <c r="BW130" s="23">
        <f t="shared" si="1126"/>
        <v>0</v>
      </c>
      <c r="BX130" s="23">
        <f>+'QTR Raw'!AR57</f>
        <v>0</v>
      </c>
      <c r="BY130" s="23">
        <f t="shared" si="1126"/>
        <v>0</v>
      </c>
      <c r="BZ130" s="23">
        <f>+'QTR Raw'!AT57</f>
        <v>0</v>
      </c>
      <c r="CA130" s="23">
        <f t="shared" si="1126"/>
        <v>0</v>
      </c>
      <c r="CB130" s="23">
        <f>+'QTR Raw'!AV57</f>
        <v>0</v>
      </c>
      <c r="CC130" s="23">
        <f t="shared" si="1126"/>
        <v>0</v>
      </c>
      <c r="CD130" s="23">
        <f>+'QTR Raw'!AX57</f>
        <v>0</v>
      </c>
      <c r="CE130" s="23">
        <f t="shared" si="1126"/>
        <v>0</v>
      </c>
      <c r="CF130" s="23">
        <f>+'QTR Raw'!AZ57</f>
        <v>0</v>
      </c>
      <c r="CG130" s="23">
        <f t="shared" si="1120"/>
        <v>0</v>
      </c>
      <c r="CH130" s="23">
        <f t="shared" ref="CH130:CH131" si="1127">Z130</f>
        <v>0</v>
      </c>
      <c r="CI130" s="23">
        <f>CH130</f>
        <v>0</v>
      </c>
      <c r="CJ130" s="23">
        <f>+'QTR Raw'!BD57</f>
        <v>0</v>
      </c>
      <c r="CK130" s="23">
        <f t="shared" ref="CK130:DB130" si="1128">CJ130</f>
        <v>0</v>
      </c>
      <c r="CL130" s="23">
        <f>+'QTR Raw'!BF57</f>
        <v>0</v>
      </c>
      <c r="CM130" s="24">
        <f t="shared" si="1128"/>
        <v>0</v>
      </c>
      <c r="CN130" s="24">
        <f t="shared" si="1128"/>
        <v>0</v>
      </c>
      <c r="CO130" s="24">
        <f t="shared" si="1128"/>
        <v>0</v>
      </c>
      <c r="CP130" s="24">
        <f t="shared" si="1128"/>
        <v>0</v>
      </c>
      <c r="CQ130" s="24">
        <f t="shared" si="1128"/>
        <v>0</v>
      </c>
      <c r="CR130" s="24">
        <f t="shared" si="1128"/>
        <v>0</v>
      </c>
      <c r="CS130" s="24">
        <f t="shared" si="1128"/>
        <v>0</v>
      </c>
      <c r="CT130" s="24">
        <f t="shared" si="1128"/>
        <v>0</v>
      </c>
      <c r="CU130" s="24">
        <f t="shared" si="1128"/>
        <v>0</v>
      </c>
      <c r="CV130" s="24">
        <f t="shared" si="1128"/>
        <v>0</v>
      </c>
      <c r="CW130" s="24">
        <f t="shared" si="1128"/>
        <v>0</v>
      </c>
      <c r="CX130" s="24">
        <f t="shared" si="1128"/>
        <v>0</v>
      </c>
      <c r="CY130" s="24">
        <f t="shared" si="1128"/>
        <v>0</v>
      </c>
      <c r="CZ130" s="24">
        <f t="shared" si="1128"/>
        <v>0</v>
      </c>
      <c r="DA130" s="24">
        <f t="shared" si="1128"/>
        <v>0</v>
      </c>
      <c r="DB130" s="24">
        <f t="shared" si="1128"/>
        <v>0</v>
      </c>
      <c r="DE130" s="123"/>
      <c r="DF130" s="23">
        <v>0</v>
      </c>
    </row>
    <row r="131" spans="1:110" s="23" customFormat="1" outlineLevel="1" x14ac:dyDescent="0.2">
      <c r="A131" s="23" t="s">
        <v>43</v>
      </c>
      <c r="B131" s="23">
        <f>'Annual Raw'!C43</f>
        <v>0</v>
      </c>
      <c r="C131" s="23">
        <f>'Annual Raw'!D43</f>
        <v>0</v>
      </c>
      <c r="D131" s="23">
        <f>'Annual Raw'!E43</f>
        <v>0</v>
      </c>
      <c r="E131" s="23">
        <f>'Annual Raw'!F43</f>
        <v>0</v>
      </c>
      <c r="F131" s="23">
        <f>'Annual Raw'!G43</f>
        <v>0</v>
      </c>
      <c r="G131" s="23">
        <f>'Annual Raw'!H43</f>
        <v>0</v>
      </c>
      <c r="H131" s="23">
        <f>'Annual Raw'!I43</f>
        <v>0</v>
      </c>
      <c r="I131" s="23">
        <f>'Annual Raw'!J43</f>
        <v>0</v>
      </c>
      <c r="J131" s="23">
        <f>'Annual Raw'!K43</f>
        <v>0</v>
      </c>
      <c r="K131" s="23">
        <f>'Annual Raw'!L43</f>
        <v>0</v>
      </c>
      <c r="L131" s="23">
        <f>'Annual Raw'!M43</f>
        <v>0</v>
      </c>
      <c r="M131" s="23">
        <f>'Annual Raw'!N43</f>
        <v>0</v>
      </c>
      <c r="N131" s="23">
        <f>'Annual Raw'!O43</f>
        <v>0</v>
      </c>
      <c r="O131" s="23">
        <f>'Annual Raw'!P43</f>
        <v>0</v>
      </c>
      <c r="P131" s="23">
        <f>'Annual Raw'!Q43</f>
        <v>0</v>
      </c>
      <c r="Q131" s="23">
        <f>'Annual Raw'!R43</f>
        <v>0</v>
      </c>
      <c r="R131" s="23">
        <f>'Annual Raw'!S43</f>
        <v>2963</v>
      </c>
      <c r="S131" s="23">
        <f>'Annual Raw'!T43</f>
        <v>3667</v>
      </c>
      <c r="T131" s="23">
        <f>'Annual Raw'!U43</f>
        <v>10586</v>
      </c>
      <c r="U131" s="23">
        <f>'Annual Raw'!V43</f>
        <v>10511</v>
      </c>
      <c r="V131" s="23">
        <f>'Annual Raw'!W43</f>
        <v>12767</v>
      </c>
      <c r="W131" s="23">
        <f>'Annual Raw'!X43</f>
        <v>16003</v>
      </c>
      <c r="X131" s="23">
        <f>'Annual Raw'!Y43</f>
        <v>15579</v>
      </c>
      <c r="Y131" s="23">
        <f>'Annual Raw'!Z43</f>
        <v>16358</v>
      </c>
      <c r="Z131" s="23">
        <f>'Annual Raw'!AA43</f>
        <v>17336</v>
      </c>
      <c r="AA131" s="23">
        <f>'Annual Raw'!AB43</f>
        <v>17941</v>
      </c>
      <c r="AB131" s="24">
        <f t="shared" si="1122"/>
        <v>19124.251317225633</v>
      </c>
      <c r="AC131" s="24">
        <f t="shared" si="1123"/>
        <v>20626.766949406698</v>
      </c>
      <c r="AD131" s="24">
        <f t="shared" si="1124"/>
        <v>22382.610704516512</v>
      </c>
      <c r="AE131" s="24">
        <f t="shared" si="1125"/>
        <v>24507.778420944494</v>
      </c>
      <c r="AJ131" s="23">
        <f>+'QTR Raw'!D58</f>
        <v>0</v>
      </c>
      <c r="AK131" s="23">
        <f>+AJ131+AK60</f>
        <v>0</v>
      </c>
      <c r="AL131" s="23">
        <f>+'QTR Raw'!F58</f>
        <v>0</v>
      </c>
      <c r="AM131" s="23">
        <f>+AL131+AM60</f>
        <v>0</v>
      </c>
      <c r="AN131" s="23">
        <f>+'QTR Raw'!H58</f>
        <v>0</v>
      </c>
      <c r="AO131" s="23">
        <f>+AN131+AO60</f>
        <v>0</v>
      </c>
      <c r="AP131" s="23">
        <f>+'QTR Raw'!J58</f>
        <v>0</v>
      </c>
      <c r="AQ131" s="23">
        <f>+AP131+AQ60</f>
        <v>0</v>
      </c>
      <c r="AR131" s="23">
        <f>+'QTR Raw'!L58</f>
        <v>0</v>
      </c>
      <c r="AS131" s="23">
        <f>+AR131+AS60</f>
        <v>0</v>
      </c>
      <c r="AT131" s="23">
        <f>+'QTR Raw'!N58</f>
        <v>0</v>
      </c>
      <c r="AU131" s="23">
        <f>+AT131+AU60</f>
        <v>0</v>
      </c>
      <c r="AV131" s="23">
        <f>+'QTR Raw'!P58</f>
        <v>0</v>
      </c>
      <c r="AW131" s="23">
        <f>+AV131+AW60</f>
        <v>0</v>
      </c>
      <c r="AX131" s="23">
        <f>+'QTR Raw'!R58</f>
        <v>0</v>
      </c>
      <c r="AY131" s="23">
        <f>+AX131+AY60</f>
        <v>0</v>
      </c>
      <c r="AZ131" s="23">
        <f>+'QTR Raw'!T58</f>
        <v>0</v>
      </c>
      <c r="BA131" s="23">
        <f>+AZ131+BA60</f>
        <v>0</v>
      </c>
      <c r="BB131" s="23">
        <f>+'QTR Raw'!V58</f>
        <v>0</v>
      </c>
      <c r="BC131" s="23">
        <f>+BB131+BC60</f>
        <v>0</v>
      </c>
      <c r="BD131" s="23">
        <f>+'QTR Raw'!X58</f>
        <v>0</v>
      </c>
      <c r="BE131" s="23">
        <f>+BD131+BE60</f>
        <v>53</v>
      </c>
      <c r="BF131" s="23">
        <f>+'QTR Raw'!Z58</f>
        <v>0</v>
      </c>
      <c r="BG131" s="23">
        <f>+BF131+BG60</f>
        <v>53</v>
      </c>
      <c r="BH131" s="23">
        <f>+'QTR Raw'!AB58</f>
        <v>0</v>
      </c>
      <c r="BI131" s="23">
        <f>+BH131+BI60</f>
        <v>28</v>
      </c>
      <c r="BJ131" s="23">
        <f>+'QTR Raw'!AD58</f>
        <v>10600</v>
      </c>
      <c r="BK131" s="23">
        <f>+BJ131+BK60</f>
        <v>10747</v>
      </c>
      <c r="BL131" s="23">
        <f>+'QTR Raw'!AF58</f>
        <v>10464</v>
      </c>
      <c r="BM131" s="23">
        <f>+BL131+BM60</f>
        <v>10488</v>
      </c>
      <c r="BN131" s="23">
        <f>+'QTR Raw'!AH58</f>
        <v>10522</v>
      </c>
      <c r="BO131" s="23">
        <f>+BN131+BO60</f>
        <v>10712</v>
      </c>
      <c r="BP131" s="23">
        <f>+'QTR Raw'!AJ58</f>
        <v>11122</v>
      </c>
      <c r="BQ131" s="23">
        <f>+BP131+BQ60</f>
        <v>11304</v>
      </c>
      <c r="BR131" s="23">
        <f>+'QTR Raw'!AL58</f>
        <v>12773</v>
      </c>
      <c r="BS131" s="23">
        <f>+BR131+BS60</f>
        <v>13042</v>
      </c>
      <c r="BT131" s="23">
        <f>+'QTR Raw'!AN58</f>
        <v>14320</v>
      </c>
      <c r="BU131" s="23">
        <f>+BT131+BU60</f>
        <v>14404</v>
      </c>
      <c r="BV131" s="23">
        <f>+'QTR Raw'!AP58</f>
        <v>16024</v>
      </c>
      <c r="BW131" s="23">
        <f>+BV131+BW60</f>
        <v>16220</v>
      </c>
      <c r="BX131" s="23">
        <f>+'QTR Raw'!AR58</f>
        <v>14995</v>
      </c>
      <c r="BY131" s="23">
        <f>+BX131+BY60</f>
        <v>15199</v>
      </c>
      <c r="BZ131" s="23">
        <f>+'QTR Raw'!AT58</f>
        <v>15591</v>
      </c>
      <c r="CA131" s="23">
        <f>+BZ131+CA60</f>
        <v>15721</v>
      </c>
      <c r="CB131" s="23">
        <f>+'QTR Raw'!AV58</f>
        <v>15973</v>
      </c>
      <c r="CC131" s="23">
        <f>+CB131+CC60</f>
        <v>16236</v>
      </c>
      <c r="CD131" s="23">
        <f>+'QTR Raw'!AX58</f>
        <v>16359</v>
      </c>
      <c r="CE131" s="23">
        <f>+CD131+CE60</f>
        <v>16500</v>
      </c>
      <c r="CF131" s="23">
        <f>+'QTR Raw'!AZ58</f>
        <v>17480</v>
      </c>
      <c r="CG131" s="23">
        <f>+CF131+CG60</f>
        <v>17541</v>
      </c>
      <c r="CH131" s="23">
        <f t="shared" si="1127"/>
        <v>17336</v>
      </c>
      <c r="CI131" s="23">
        <f>CH131+CI60</f>
        <v>17729</v>
      </c>
      <c r="CJ131" s="23">
        <f>+'QTR Raw'!BD58</f>
        <v>17641</v>
      </c>
      <c r="CK131" s="23">
        <f t="shared" ref="CK131:DB131" si="1129">CJ131+CK60</f>
        <v>17763</v>
      </c>
      <c r="CL131" s="23">
        <f>+'QTR Raw'!BF58</f>
        <v>17941</v>
      </c>
      <c r="CM131" s="24">
        <f t="shared" si="1129"/>
        <v>18202.207471957649</v>
      </c>
      <c r="CN131" s="24">
        <f t="shared" si="1129"/>
        <v>18423.97967136083</v>
      </c>
      <c r="CO131" s="24">
        <f t="shared" si="1129"/>
        <v>18683.558745152252</v>
      </c>
      <c r="CP131" s="24">
        <f t="shared" si="1129"/>
        <v>19124.251317225633</v>
      </c>
      <c r="CQ131" s="24">
        <f t="shared" si="1129"/>
        <v>19434.978679175165</v>
      </c>
      <c r="CR131" s="24">
        <f t="shared" si="1129"/>
        <v>19738.615759940578</v>
      </c>
      <c r="CS131" s="24">
        <f t="shared" si="1129"/>
        <v>20095.172550561354</v>
      </c>
      <c r="CT131" s="24">
        <f t="shared" si="1129"/>
        <v>20626.766949406698</v>
      </c>
      <c r="CU131" s="24">
        <f t="shared" si="1129"/>
        <v>20993.669429728539</v>
      </c>
      <c r="CV131" s="24">
        <f t="shared" si="1129"/>
        <v>21361.689194116076</v>
      </c>
      <c r="CW131" s="24">
        <f t="shared" si="1129"/>
        <v>21783.673248864226</v>
      </c>
      <c r="CX131" s="24">
        <f t="shared" si="1129"/>
        <v>22382.610704516512</v>
      </c>
      <c r="CY131" s="24">
        <f t="shared" si="1129"/>
        <v>22836.143808681129</v>
      </c>
      <c r="CZ131" s="24">
        <f t="shared" si="1129"/>
        <v>23291.172360519824</v>
      </c>
      <c r="DA131" s="24">
        <f t="shared" si="1129"/>
        <v>23803.957050882658</v>
      </c>
      <c r="DB131" s="24">
        <f t="shared" si="1129"/>
        <v>24507.778420944494</v>
      </c>
      <c r="DE131" s="123"/>
      <c r="DF131" s="23">
        <v>17941</v>
      </c>
    </row>
    <row r="132" spans="1:110" s="22" customFormat="1" x14ac:dyDescent="0.2">
      <c r="A132" s="22" t="s">
        <v>44</v>
      </c>
      <c r="B132" s="22">
        <f>B129+B130+B131</f>
        <v>0</v>
      </c>
      <c r="C132" s="22">
        <f t="shared" ref="C132:V132" si="1130">C129+C130+C131</f>
        <v>0</v>
      </c>
      <c r="D132" s="22">
        <f t="shared" si="1130"/>
        <v>0</v>
      </c>
      <c r="E132" s="22">
        <f t="shared" si="1130"/>
        <v>0</v>
      </c>
      <c r="F132" s="22">
        <f t="shared" si="1130"/>
        <v>0</v>
      </c>
      <c r="G132" s="22">
        <f t="shared" si="1130"/>
        <v>0</v>
      </c>
      <c r="H132" s="22">
        <f t="shared" si="1130"/>
        <v>0</v>
      </c>
      <c r="I132" s="22">
        <f t="shared" si="1130"/>
        <v>0</v>
      </c>
      <c r="J132" s="22">
        <f t="shared" si="1130"/>
        <v>0</v>
      </c>
      <c r="K132" s="22">
        <f t="shared" si="1130"/>
        <v>0</v>
      </c>
      <c r="L132" s="22">
        <f t="shared" si="1130"/>
        <v>0</v>
      </c>
      <c r="M132" s="22">
        <f>M129+M130+M131</f>
        <v>0</v>
      </c>
      <c r="N132" s="22">
        <f t="shared" si="1130"/>
        <v>0</v>
      </c>
      <c r="O132" s="22">
        <f t="shared" si="1130"/>
        <v>0</v>
      </c>
      <c r="P132" s="22">
        <f t="shared" si="1130"/>
        <v>0</v>
      </c>
      <c r="Q132" s="22">
        <f t="shared" si="1130"/>
        <v>0</v>
      </c>
      <c r="R132" s="22">
        <f t="shared" si="1130"/>
        <v>9629</v>
      </c>
      <c r="S132" s="22">
        <f t="shared" si="1130"/>
        <v>10335</v>
      </c>
      <c r="T132" s="22">
        <f t="shared" si="1130"/>
        <v>10639</v>
      </c>
      <c r="U132" s="22">
        <f t="shared" si="1130"/>
        <v>10561</v>
      </c>
      <c r="V132" s="22">
        <f t="shared" si="1130"/>
        <v>12810</v>
      </c>
      <c r="W132" s="22">
        <f t="shared" ref="W132" si="1131">W129+W130+W131</f>
        <v>16061</v>
      </c>
      <c r="X132" s="22">
        <f t="shared" ref="X132:Y132" si="1132">X129+X130+X131</f>
        <v>15628</v>
      </c>
      <c r="Y132" s="22">
        <f t="shared" si="1132"/>
        <v>16397</v>
      </c>
      <c r="Z132" s="22">
        <f t="shared" ref="Z132:AA132" si="1133">Z129+Z130+Z131</f>
        <v>17374</v>
      </c>
      <c r="AA132" s="22">
        <f t="shared" ref="AA132" si="1134">AA129+AA130+AA131</f>
        <v>17979</v>
      </c>
      <c r="AB132" s="21">
        <f t="shared" ref="AB132:AD132" si="1135">AB129+AB130+AB131</f>
        <v>19162.251317225633</v>
      </c>
      <c r="AC132" s="21">
        <f t="shared" si="1135"/>
        <v>20664.766949406698</v>
      </c>
      <c r="AD132" s="21">
        <f t="shared" si="1135"/>
        <v>22420.610704516512</v>
      </c>
      <c r="AE132" s="21">
        <f t="shared" ref="AE132" si="1136">AE129+AE130+AE131</f>
        <v>24545.778420944494</v>
      </c>
      <c r="AJ132" s="22">
        <f t="shared" ref="AJ132" si="1137">AJ129+AJ130+AJ131</f>
        <v>0</v>
      </c>
      <c r="AK132" s="22">
        <f t="shared" ref="AK132" si="1138">AK129+AK130+AK131</f>
        <v>0</v>
      </c>
      <c r="AL132" s="22">
        <f t="shared" ref="AL132:AM132" si="1139">AL129+AL130+AL131</f>
        <v>0</v>
      </c>
      <c r="AM132" s="22">
        <f t="shared" si="1139"/>
        <v>0</v>
      </c>
      <c r="AN132" s="22">
        <f t="shared" ref="AN132:AO132" si="1140">AN129+AN130+AN131</f>
        <v>0</v>
      </c>
      <c r="AO132" s="22">
        <f t="shared" si="1140"/>
        <v>0</v>
      </c>
      <c r="AP132" s="22">
        <f t="shared" ref="AP132:CE132" si="1141">AP129+AP130+AP131</f>
        <v>0</v>
      </c>
      <c r="AQ132" s="22">
        <f t="shared" si="1141"/>
        <v>0</v>
      </c>
      <c r="AR132" s="22">
        <f t="shared" si="1141"/>
        <v>0</v>
      </c>
      <c r="AS132" s="22">
        <f t="shared" si="1141"/>
        <v>0</v>
      </c>
      <c r="AT132" s="22">
        <f t="shared" si="1141"/>
        <v>0</v>
      </c>
      <c r="AU132" s="22">
        <f t="shared" si="1141"/>
        <v>0</v>
      </c>
      <c r="AV132" s="22">
        <f t="shared" si="1141"/>
        <v>0</v>
      </c>
      <c r="AW132" s="22">
        <f t="shared" si="1141"/>
        <v>0</v>
      </c>
      <c r="AX132" s="22">
        <f t="shared" si="1141"/>
        <v>0</v>
      </c>
      <c r="AY132" s="22">
        <f t="shared" si="1141"/>
        <v>0</v>
      </c>
      <c r="AZ132" s="22">
        <f t="shared" si="1141"/>
        <v>0</v>
      </c>
      <c r="BA132" s="22">
        <f t="shared" si="1141"/>
        <v>0</v>
      </c>
      <c r="BB132" s="22">
        <f t="shared" si="1141"/>
        <v>0</v>
      </c>
      <c r="BC132" s="22">
        <f t="shared" si="1141"/>
        <v>0</v>
      </c>
      <c r="BD132" s="22">
        <f t="shared" si="1141"/>
        <v>0</v>
      </c>
      <c r="BE132" s="22">
        <f t="shared" si="1141"/>
        <v>53</v>
      </c>
      <c r="BF132" s="22">
        <f t="shared" si="1141"/>
        <v>0</v>
      </c>
      <c r="BG132" s="22">
        <f t="shared" si="1141"/>
        <v>53</v>
      </c>
      <c r="BH132" s="22">
        <f t="shared" si="1141"/>
        <v>0</v>
      </c>
      <c r="BI132" s="22">
        <f t="shared" si="1141"/>
        <v>28</v>
      </c>
      <c r="BJ132" s="22">
        <f t="shared" si="1141"/>
        <v>10639</v>
      </c>
      <c r="BK132" s="22">
        <f t="shared" si="1141"/>
        <v>10786</v>
      </c>
      <c r="BL132" s="22">
        <f t="shared" si="1141"/>
        <v>10503</v>
      </c>
      <c r="BM132" s="22">
        <f t="shared" si="1141"/>
        <v>10527</v>
      </c>
      <c r="BN132" s="22">
        <f t="shared" si="1141"/>
        <v>10561</v>
      </c>
      <c r="BO132" s="22">
        <f t="shared" si="1141"/>
        <v>10751</v>
      </c>
      <c r="BP132" s="22">
        <f t="shared" si="1141"/>
        <v>11159</v>
      </c>
      <c r="BQ132" s="22">
        <f t="shared" si="1141"/>
        <v>11341</v>
      </c>
      <c r="BR132" s="22">
        <f t="shared" si="1141"/>
        <v>12810</v>
      </c>
      <c r="BS132" s="22">
        <f t="shared" si="1141"/>
        <v>13079</v>
      </c>
      <c r="BT132" s="22">
        <f t="shared" si="1141"/>
        <v>14357</v>
      </c>
      <c r="BU132" s="22">
        <f t="shared" si="1141"/>
        <v>14441</v>
      </c>
      <c r="BV132" s="22">
        <f t="shared" si="1141"/>
        <v>16061</v>
      </c>
      <c r="BW132" s="22">
        <f t="shared" si="1141"/>
        <v>16257</v>
      </c>
      <c r="BX132" s="22">
        <f t="shared" si="1141"/>
        <v>15032</v>
      </c>
      <c r="BY132" s="22">
        <f t="shared" si="1141"/>
        <v>15236</v>
      </c>
      <c r="BZ132" s="22">
        <f t="shared" si="1141"/>
        <v>15628</v>
      </c>
      <c r="CA132" s="22">
        <f t="shared" si="1141"/>
        <v>15758</v>
      </c>
      <c r="CB132" s="22">
        <f t="shared" si="1141"/>
        <v>16011</v>
      </c>
      <c r="CC132" s="22">
        <f t="shared" si="1141"/>
        <v>16274</v>
      </c>
      <c r="CD132" s="22">
        <f t="shared" si="1141"/>
        <v>16397</v>
      </c>
      <c r="CE132" s="22">
        <f t="shared" si="1141"/>
        <v>16538</v>
      </c>
      <c r="CF132" s="22">
        <f t="shared" ref="CF132:CG132" si="1142">CF129+CF130+CF131</f>
        <v>17518</v>
      </c>
      <c r="CG132" s="22">
        <f t="shared" si="1142"/>
        <v>17579</v>
      </c>
      <c r="CH132" s="22">
        <f t="shared" ref="CH132:CI132" si="1143">CH129+CH130+CH131</f>
        <v>17374</v>
      </c>
      <c r="CI132" s="22">
        <f t="shared" si="1143"/>
        <v>17767</v>
      </c>
      <c r="CJ132" s="22">
        <f t="shared" ref="CJ132:DB132" si="1144">CJ129+CJ130+CJ131</f>
        <v>17679</v>
      </c>
      <c r="CK132" s="22">
        <f t="shared" si="1144"/>
        <v>17801</v>
      </c>
      <c r="CL132" s="22">
        <f t="shared" ref="CL132" si="1145">CL129+CL130+CL131</f>
        <v>17979</v>
      </c>
      <c r="CM132" s="21">
        <f t="shared" si="1144"/>
        <v>18240.207471957649</v>
      </c>
      <c r="CN132" s="21">
        <f t="shared" si="1144"/>
        <v>18461.97967136083</v>
      </c>
      <c r="CO132" s="21">
        <f t="shared" si="1144"/>
        <v>18721.558745152252</v>
      </c>
      <c r="CP132" s="21">
        <f t="shared" si="1144"/>
        <v>19162.251317225633</v>
      </c>
      <c r="CQ132" s="21">
        <f t="shared" si="1144"/>
        <v>19472.978679175165</v>
      </c>
      <c r="CR132" s="21">
        <f t="shared" si="1144"/>
        <v>19776.615759940578</v>
      </c>
      <c r="CS132" s="21">
        <f t="shared" si="1144"/>
        <v>20133.172550561354</v>
      </c>
      <c r="CT132" s="21">
        <f t="shared" si="1144"/>
        <v>20664.766949406698</v>
      </c>
      <c r="CU132" s="21">
        <f t="shared" si="1144"/>
        <v>21031.669429728539</v>
      </c>
      <c r="CV132" s="21">
        <f t="shared" si="1144"/>
        <v>21399.689194116076</v>
      </c>
      <c r="CW132" s="21">
        <f t="shared" si="1144"/>
        <v>21821.673248864226</v>
      </c>
      <c r="CX132" s="21">
        <f t="shared" si="1144"/>
        <v>22420.610704516512</v>
      </c>
      <c r="CY132" s="21">
        <f t="shared" si="1144"/>
        <v>22874.143808681129</v>
      </c>
      <c r="CZ132" s="21">
        <f t="shared" si="1144"/>
        <v>23329.172360519824</v>
      </c>
      <c r="DA132" s="21">
        <f t="shared" si="1144"/>
        <v>23841.957050882658</v>
      </c>
      <c r="DB132" s="21">
        <f t="shared" si="1144"/>
        <v>24545.778420944494</v>
      </c>
      <c r="DE132" s="126"/>
      <c r="DF132" s="22">
        <v>17979</v>
      </c>
    </row>
    <row r="133" spans="1:110" s="22" customFormat="1" x14ac:dyDescent="0.2">
      <c r="AB133" s="21"/>
      <c r="AC133" s="21"/>
      <c r="AD133" s="21"/>
      <c r="AE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E133" s="126"/>
    </row>
    <row r="134" spans="1:110" s="23" customFormat="1" x14ac:dyDescent="0.2">
      <c r="A134" s="23" t="s">
        <v>23</v>
      </c>
      <c r="B134" s="23">
        <f>'Annual Raw'!C45</f>
        <v>0</v>
      </c>
      <c r="C134" s="23">
        <f>'Annual Raw'!D45</f>
        <v>0</v>
      </c>
      <c r="D134" s="23">
        <f>'Annual Raw'!E45</f>
        <v>0</v>
      </c>
      <c r="E134" s="23">
        <f>'Annual Raw'!F45</f>
        <v>0</v>
      </c>
      <c r="F134" s="23">
        <f>'Annual Raw'!G45</f>
        <v>0</v>
      </c>
      <c r="G134" s="23">
        <f>'Annual Raw'!H45</f>
        <v>0</v>
      </c>
      <c r="H134" s="23">
        <f>'Annual Raw'!I45</f>
        <v>0</v>
      </c>
      <c r="I134" s="23">
        <f>'Annual Raw'!J45</f>
        <v>0</v>
      </c>
      <c r="J134" s="23">
        <f>'Annual Raw'!K45</f>
        <v>0</v>
      </c>
      <c r="K134" s="23">
        <f>'Annual Raw'!L45</f>
        <v>0</v>
      </c>
      <c r="L134" s="23">
        <f>'Annual Raw'!M45</f>
        <v>0</v>
      </c>
      <c r="M134" s="23">
        <f>'Annual Raw'!N45</f>
        <v>0</v>
      </c>
      <c r="N134" s="23">
        <f>'Annual Raw'!O45</f>
        <v>0</v>
      </c>
      <c r="O134" s="23">
        <f>'Annual Raw'!P45</f>
        <v>0</v>
      </c>
      <c r="P134" s="23">
        <f>'Annual Raw'!Q45</f>
        <v>0</v>
      </c>
      <c r="Q134" s="23">
        <f>'Annual Raw'!R45</f>
        <v>0</v>
      </c>
      <c r="R134" s="23">
        <f>'Annual Raw'!S45</f>
        <v>-29</v>
      </c>
      <c r="S134" s="23">
        <f>'Annual Raw'!T45</f>
        <v>-30</v>
      </c>
      <c r="T134" s="23">
        <f>'Annual Raw'!U45</f>
        <v>11</v>
      </c>
      <c r="U134" s="23">
        <f>'Annual Raw'!V45</f>
        <v>25</v>
      </c>
      <c r="V134" s="23">
        <f>'Annual Raw'!W45</f>
        <v>34</v>
      </c>
      <c r="W134" s="23">
        <f>'Annual Raw'!X45</f>
        <v>72</v>
      </c>
      <c r="X134" s="23">
        <f>'Annual Raw'!Y45</f>
        <v>116</v>
      </c>
      <c r="Y134" s="23">
        <f>'Annual Raw'!Z45</f>
        <v>110</v>
      </c>
      <c r="Z134" s="23">
        <f>'Annual Raw'!AA45</f>
        <v>126</v>
      </c>
      <c r="AA134" s="23">
        <f>'Annual Raw'!AB45</f>
        <v>144</v>
      </c>
      <c r="AB134" s="24">
        <f>+CP134</f>
        <v>144</v>
      </c>
      <c r="AC134" s="24">
        <f>+CT134</f>
        <v>144</v>
      </c>
      <c r="AD134" s="24">
        <f>+CX134</f>
        <v>144</v>
      </c>
      <c r="AE134" s="24">
        <f>+DB134</f>
        <v>144</v>
      </c>
      <c r="AJ134" s="23">
        <f>+'QTR Raw'!D60</f>
        <v>0</v>
      </c>
      <c r="AK134" s="23">
        <f t="shared" ref="AK134:CE134" si="1146">+AJ134</f>
        <v>0</v>
      </c>
      <c r="AL134" s="23">
        <f>+'QTR Raw'!F60</f>
        <v>0</v>
      </c>
      <c r="AM134" s="23">
        <f t="shared" si="1146"/>
        <v>0</v>
      </c>
      <c r="AN134" s="23">
        <f>+'QTR Raw'!H60</f>
        <v>0</v>
      </c>
      <c r="AO134" s="23">
        <f t="shared" si="1146"/>
        <v>0</v>
      </c>
      <c r="AP134" s="23">
        <f>+'QTR Raw'!J60</f>
        <v>0</v>
      </c>
      <c r="AQ134" s="23">
        <f t="shared" si="1146"/>
        <v>0</v>
      </c>
      <c r="AR134" s="23">
        <f>+'QTR Raw'!L60</f>
        <v>0</v>
      </c>
      <c r="AS134" s="23">
        <f t="shared" si="1146"/>
        <v>0</v>
      </c>
      <c r="AT134" s="23">
        <f>+'QTR Raw'!N60</f>
        <v>0</v>
      </c>
      <c r="AU134" s="23">
        <f t="shared" si="1146"/>
        <v>0</v>
      </c>
      <c r="AV134" s="23">
        <f>+'QTR Raw'!P60</f>
        <v>0</v>
      </c>
      <c r="AW134" s="23">
        <f t="shared" si="1146"/>
        <v>0</v>
      </c>
      <c r="AX134" s="23">
        <f>+'QTR Raw'!R60</f>
        <v>0</v>
      </c>
      <c r="AY134" s="23">
        <f t="shared" si="1146"/>
        <v>0</v>
      </c>
      <c r="AZ134" s="23">
        <f>+'QTR Raw'!T60</f>
        <v>0</v>
      </c>
      <c r="BA134" s="23">
        <f t="shared" si="1146"/>
        <v>0</v>
      </c>
      <c r="BB134" s="23">
        <f>+'QTR Raw'!V60</f>
        <v>0</v>
      </c>
      <c r="BC134" s="23">
        <f t="shared" si="1146"/>
        <v>0</v>
      </c>
      <c r="BD134" s="23">
        <f>+'QTR Raw'!X60</f>
        <v>0</v>
      </c>
      <c r="BE134" s="23">
        <f t="shared" si="1146"/>
        <v>0</v>
      </c>
      <c r="BF134" s="23">
        <f>+'QTR Raw'!Z60</f>
        <v>0</v>
      </c>
      <c r="BG134" s="23">
        <f t="shared" si="1146"/>
        <v>0</v>
      </c>
      <c r="BH134" s="22">
        <f>+'QTR Raw'!AB60</f>
        <v>0</v>
      </c>
      <c r="BI134" s="23">
        <f t="shared" si="1146"/>
        <v>0</v>
      </c>
      <c r="BJ134" s="23">
        <f>+'QTR Raw'!AD60</f>
        <v>11</v>
      </c>
      <c r="BK134" s="23">
        <f t="shared" si="1146"/>
        <v>11</v>
      </c>
      <c r="BL134" s="23">
        <f>+'QTR Raw'!AF60</f>
        <v>25</v>
      </c>
      <c r="BM134" s="23">
        <f t="shared" si="1146"/>
        <v>25</v>
      </c>
      <c r="BN134" s="23">
        <f>+'QTR Raw'!AH60</f>
        <v>25</v>
      </c>
      <c r="BO134" s="23">
        <f t="shared" si="1146"/>
        <v>25</v>
      </c>
      <c r="BP134" s="23">
        <f>+'QTR Raw'!AJ60</f>
        <v>24</v>
      </c>
      <c r="BQ134" s="23">
        <f t="shared" si="1146"/>
        <v>24</v>
      </c>
      <c r="BR134" s="23">
        <f>+'QTR Raw'!AL60</f>
        <v>34</v>
      </c>
      <c r="BS134" s="23">
        <f t="shared" si="1146"/>
        <v>34</v>
      </c>
      <c r="BT134" s="23">
        <f>+'QTR Raw'!AN60</f>
        <v>53</v>
      </c>
      <c r="BU134" s="23">
        <f t="shared" si="1146"/>
        <v>53</v>
      </c>
      <c r="BV134" s="23">
        <f>+'QTR Raw'!AP60</f>
        <v>72</v>
      </c>
      <c r="BW134" s="23">
        <f t="shared" si="1146"/>
        <v>72</v>
      </c>
      <c r="BX134" s="23">
        <f>+'QTR Raw'!AR60</f>
        <v>83</v>
      </c>
      <c r="BY134" s="23">
        <f t="shared" si="1146"/>
        <v>83</v>
      </c>
      <c r="BZ134" s="23">
        <f>+'QTR Raw'!AT60</f>
        <v>116</v>
      </c>
      <c r="CA134" s="23">
        <f t="shared" si="1146"/>
        <v>116</v>
      </c>
      <c r="CB134" s="23">
        <f>+'QTR Raw'!AV60</f>
        <v>102</v>
      </c>
      <c r="CC134" s="23">
        <f t="shared" si="1146"/>
        <v>102</v>
      </c>
      <c r="CD134" s="23">
        <f>+'QTR Raw'!AX60</f>
        <v>110</v>
      </c>
      <c r="CE134" s="23">
        <f t="shared" si="1146"/>
        <v>110</v>
      </c>
      <c r="CF134" s="23">
        <f>+'QTR Raw'!AZ60</f>
        <v>118</v>
      </c>
      <c r="CG134" s="23">
        <f t="shared" ref="CG134:CI134" si="1147">+CF134</f>
        <v>118</v>
      </c>
      <c r="CH134" s="23">
        <f t="shared" ref="CH134:CH139" si="1148">Z134</f>
        <v>126</v>
      </c>
      <c r="CI134" s="23">
        <f t="shared" si="1147"/>
        <v>126</v>
      </c>
      <c r="CJ134" s="23">
        <f>+'QTR Raw'!BD60</f>
        <v>131</v>
      </c>
      <c r="CK134" s="23">
        <f t="shared" ref="CK134" si="1149">+CJ134</f>
        <v>131</v>
      </c>
      <c r="CL134" s="23">
        <f>+'QTR Raw'!BF60</f>
        <v>144</v>
      </c>
      <c r="CM134" s="24">
        <f t="shared" ref="CM134" si="1150">+CL134</f>
        <v>144</v>
      </c>
      <c r="CN134" s="24">
        <f t="shared" ref="CN134" si="1151">+CM134</f>
        <v>144</v>
      </c>
      <c r="CO134" s="24">
        <f t="shared" ref="CO134" si="1152">+CN134</f>
        <v>144</v>
      </c>
      <c r="CP134" s="24">
        <f t="shared" ref="CP134" si="1153">+CO134</f>
        <v>144</v>
      </c>
      <c r="CQ134" s="24">
        <f t="shared" ref="CQ134" si="1154">+CP134</f>
        <v>144</v>
      </c>
      <c r="CR134" s="24">
        <f t="shared" ref="CR134" si="1155">+CQ134</f>
        <v>144</v>
      </c>
      <c r="CS134" s="24">
        <f t="shared" ref="CS134" si="1156">+CR134</f>
        <v>144</v>
      </c>
      <c r="CT134" s="24">
        <f t="shared" ref="CT134" si="1157">+CS134</f>
        <v>144</v>
      </c>
      <c r="CU134" s="24">
        <f t="shared" ref="CU134" si="1158">+CT134</f>
        <v>144</v>
      </c>
      <c r="CV134" s="24">
        <f t="shared" ref="CV134" si="1159">+CU134</f>
        <v>144</v>
      </c>
      <c r="CW134" s="24">
        <f t="shared" ref="CW134" si="1160">+CV134</f>
        <v>144</v>
      </c>
      <c r="CX134" s="24">
        <f t="shared" ref="CX134" si="1161">+CW134</f>
        <v>144</v>
      </c>
      <c r="CY134" s="24">
        <f t="shared" ref="CY134" si="1162">+CX134</f>
        <v>144</v>
      </c>
      <c r="CZ134" s="24">
        <f t="shared" ref="CZ134" si="1163">+CY134</f>
        <v>144</v>
      </c>
      <c r="DA134" s="24">
        <f t="shared" ref="DA134" si="1164">+CZ134</f>
        <v>144</v>
      </c>
      <c r="DB134" s="24">
        <f t="shared" ref="DB134" si="1165">+DA134</f>
        <v>144</v>
      </c>
      <c r="DE134" s="123"/>
      <c r="DF134" s="23">
        <v>144</v>
      </c>
    </row>
    <row r="135" spans="1:110" s="23" customFormat="1" x14ac:dyDescent="0.2">
      <c r="AB135" s="24"/>
      <c r="AC135" s="24"/>
      <c r="AD135" s="24"/>
      <c r="AE135" s="24"/>
      <c r="BH135" s="22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E135" s="123"/>
    </row>
    <row r="136" spans="1:110" s="23" customFormat="1" outlineLevel="1" x14ac:dyDescent="0.2">
      <c r="A136" s="23" t="s">
        <v>45</v>
      </c>
      <c r="B136" s="23">
        <f>'Annual Raw'!C47</f>
        <v>0</v>
      </c>
      <c r="C136" s="23">
        <f>'Annual Raw'!D47</f>
        <v>0</v>
      </c>
      <c r="D136" s="23">
        <f>'Annual Raw'!E47</f>
        <v>0</v>
      </c>
      <c r="E136" s="23">
        <f>'Annual Raw'!F47</f>
        <v>0</v>
      </c>
      <c r="F136" s="23">
        <f>'Annual Raw'!G47</f>
        <v>0</v>
      </c>
      <c r="G136" s="23">
        <f>'Annual Raw'!H47</f>
        <v>0</v>
      </c>
      <c r="H136" s="23">
        <f>'Annual Raw'!I47</f>
        <v>0</v>
      </c>
      <c r="I136" s="23">
        <f>'Annual Raw'!J47</f>
        <v>0</v>
      </c>
      <c r="J136" s="23">
        <f>'Annual Raw'!K47</f>
        <v>0</v>
      </c>
      <c r="K136" s="23">
        <f>'Annual Raw'!L47</f>
        <v>0</v>
      </c>
      <c r="L136" s="23">
        <f>'Annual Raw'!M47</f>
        <v>0</v>
      </c>
      <c r="M136" s="23">
        <f>'Annual Raw'!N47</f>
        <v>0</v>
      </c>
      <c r="N136" s="23">
        <f>'Annual Raw'!O47</f>
        <v>0</v>
      </c>
      <c r="O136" s="23">
        <f>'Annual Raw'!P47</f>
        <v>0</v>
      </c>
      <c r="P136" s="23">
        <f>'Annual Raw'!Q47</f>
        <v>0</v>
      </c>
      <c r="Q136" s="23">
        <f>'Annual Raw'!R47</f>
        <v>0</v>
      </c>
      <c r="R136" s="23">
        <f>'Annual Raw'!S47</f>
        <v>5926</v>
      </c>
      <c r="S136" s="23">
        <f>'Annual Raw'!T47</f>
        <v>5231</v>
      </c>
      <c r="T136" s="23">
        <f>'Annual Raw'!U47</f>
        <v>3943</v>
      </c>
      <c r="U136" s="23">
        <f>'Annual Raw'!V47</f>
        <v>3147</v>
      </c>
      <c r="V136" s="23">
        <f>'Annual Raw'!W47</f>
        <v>1889</v>
      </c>
      <c r="W136" s="23">
        <f>'Annual Raw'!X47</f>
        <v>1917</v>
      </c>
      <c r="X136" s="23">
        <f>'Annual Raw'!Y47</f>
        <v>3210</v>
      </c>
      <c r="Y136" s="23">
        <f>'Annual Raw'!Z47</f>
        <v>4431</v>
      </c>
      <c r="Z136" s="23">
        <f>'Annual Raw'!AA47</f>
        <v>4605</v>
      </c>
      <c r="AA136" s="23">
        <f>'Annual Raw'!AB47</f>
        <v>6168</v>
      </c>
      <c r="AB136" s="24">
        <f t="shared" ref="AB136:AB139" si="1166">+CP136</f>
        <v>0</v>
      </c>
      <c r="AC136" s="24">
        <f t="shared" ref="AC136:AC139" si="1167">+CT136</f>
        <v>0</v>
      </c>
      <c r="AD136" s="24">
        <f t="shared" ref="AD136:AD139" si="1168">+CX136</f>
        <v>0</v>
      </c>
      <c r="AE136" s="24">
        <f t="shared" ref="AE136:AE139" si="1169">+DB136</f>
        <v>0</v>
      </c>
      <c r="AJ136" s="23">
        <f>+'QTR Raw'!D62</f>
        <v>0</v>
      </c>
      <c r="AK136" s="23">
        <f t="shared" ref="AK136:CC139" si="1170">+AJ136</f>
        <v>0</v>
      </c>
      <c r="AL136" s="23">
        <f>+'QTR Raw'!F62</f>
        <v>0</v>
      </c>
      <c r="AM136" s="23">
        <f t="shared" si="1170"/>
        <v>0</v>
      </c>
      <c r="AN136" s="23">
        <f>+'QTR Raw'!H62</f>
        <v>0</v>
      </c>
      <c r="AO136" s="23">
        <f t="shared" si="1170"/>
        <v>0</v>
      </c>
      <c r="AP136" s="23">
        <f>+'QTR Raw'!J62</f>
        <v>0</v>
      </c>
      <c r="AQ136" s="23">
        <f t="shared" si="1170"/>
        <v>0</v>
      </c>
      <c r="AR136" s="23">
        <f>+'QTR Raw'!L62</f>
        <v>0</v>
      </c>
      <c r="AS136" s="23">
        <f t="shared" si="1170"/>
        <v>0</v>
      </c>
      <c r="AT136" s="23">
        <f>+'QTR Raw'!N62</f>
        <v>0</v>
      </c>
      <c r="AU136" s="23">
        <f t="shared" si="1170"/>
        <v>0</v>
      </c>
      <c r="AV136" s="23">
        <f>+'QTR Raw'!P62</f>
        <v>0</v>
      </c>
      <c r="AW136" s="23">
        <f t="shared" si="1170"/>
        <v>0</v>
      </c>
      <c r="AX136" s="23">
        <f>+'QTR Raw'!R62</f>
        <v>0</v>
      </c>
      <c r="AY136" s="23">
        <f t="shared" si="1170"/>
        <v>0</v>
      </c>
      <c r="AZ136" s="23">
        <f>+'QTR Raw'!T62</f>
        <v>0</v>
      </c>
      <c r="BA136" s="23">
        <f t="shared" si="1170"/>
        <v>0</v>
      </c>
      <c r="BB136" s="23">
        <f>+'QTR Raw'!V62</f>
        <v>0</v>
      </c>
      <c r="BC136" s="23">
        <f t="shared" si="1170"/>
        <v>0</v>
      </c>
      <c r="BD136" s="23">
        <f>+'QTR Raw'!X62</f>
        <v>0</v>
      </c>
      <c r="BE136" s="23">
        <f t="shared" si="1170"/>
        <v>0</v>
      </c>
      <c r="BF136" s="23">
        <f>+'QTR Raw'!Z62</f>
        <v>0</v>
      </c>
      <c r="BG136" s="23">
        <f t="shared" si="1170"/>
        <v>0</v>
      </c>
      <c r="BH136" s="22">
        <f>+'QTR Raw'!AB62</f>
        <v>0</v>
      </c>
      <c r="BI136" s="23">
        <f t="shared" si="1170"/>
        <v>0</v>
      </c>
      <c r="BJ136" s="23">
        <f>+'QTR Raw'!AD62</f>
        <v>0</v>
      </c>
      <c r="BK136" s="23">
        <f t="shared" si="1170"/>
        <v>0</v>
      </c>
      <c r="BL136" s="23">
        <f>+'QTR Raw'!AF62</f>
        <v>0</v>
      </c>
      <c r="BM136" s="23">
        <f t="shared" si="1170"/>
        <v>0</v>
      </c>
      <c r="BN136" s="23">
        <f>+'QTR Raw'!AH62</f>
        <v>0</v>
      </c>
      <c r="BO136" s="23">
        <f t="shared" si="1170"/>
        <v>0</v>
      </c>
      <c r="BP136" s="23">
        <f>+'QTR Raw'!AJ62</f>
        <v>0</v>
      </c>
      <c r="BQ136" s="23">
        <f t="shared" si="1170"/>
        <v>0</v>
      </c>
      <c r="BR136" s="23">
        <f>+'QTR Raw'!AL62</f>
        <v>0</v>
      </c>
      <c r="BS136" s="23">
        <f t="shared" si="1170"/>
        <v>0</v>
      </c>
      <c r="BT136" s="23">
        <f>+'QTR Raw'!AN62</f>
        <v>0</v>
      </c>
      <c r="BU136" s="23">
        <f t="shared" si="1170"/>
        <v>0</v>
      </c>
      <c r="BV136" s="23">
        <f>+'QTR Raw'!AP62</f>
        <v>0</v>
      </c>
      <c r="BW136" s="23">
        <f t="shared" si="1170"/>
        <v>0</v>
      </c>
      <c r="BX136" s="23">
        <f>+'QTR Raw'!AR62</f>
        <v>0</v>
      </c>
      <c r="BY136" s="23">
        <f t="shared" si="1170"/>
        <v>0</v>
      </c>
      <c r="BZ136" s="23">
        <f>+'QTR Raw'!AT62</f>
        <v>0</v>
      </c>
      <c r="CA136" s="23">
        <f t="shared" si="1170"/>
        <v>0</v>
      </c>
      <c r="CB136" s="23">
        <f>+'QTR Raw'!AV62</f>
        <v>0</v>
      </c>
      <c r="CC136" s="23">
        <f t="shared" si="1170"/>
        <v>0</v>
      </c>
      <c r="CD136" s="23">
        <f>+'QTR Raw'!AX62</f>
        <v>0</v>
      </c>
      <c r="CE136" s="23">
        <f t="shared" ref="CE136:CE139" si="1171">+CD136</f>
        <v>0</v>
      </c>
      <c r="CF136" s="23">
        <f>+'QTR Raw'!AZ62</f>
        <v>0</v>
      </c>
      <c r="CG136" s="23">
        <f t="shared" ref="CG136:CI139" si="1172">+CF136</f>
        <v>0</v>
      </c>
      <c r="CH136" s="23">
        <f t="shared" si="1148"/>
        <v>4605</v>
      </c>
      <c r="CI136" s="23">
        <f t="shared" si="1172"/>
        <v>4605</v>
      </c>
      <c r="CJ136" s="23">
        <f>+'QTR Raw'!BD62</f>
        <v>0</v>
      </c>
      <c r="CK136" s="23">
        <f t="shared" ref="CK136:CK139" si="1173">+CJ136</f>
        <v>0</v>
      </c>
      <c r="CL136" s="23">
        <f>+'QTR Raw'!BF62</f>
        <v>0</v>
      </c>
      <c r="CM136" s="24">
        <f t="shared" ref="CM136:CM139" si="1174">+CL136</f>
        <v>0</v>
      </c>
      <c r="CN136" s="24">
        <f t="shared" ref="CN136:CN139" si="1175">+CM136</f>
        <v>0</v>
      </c>
      <c r="CO136" s="24">
        <f t="shared" ref="CO136:CO139" si="1176">+CN136</f>
        <v>0</v>
      </c>
      <c r="CP136" s="24">
        <f t="shared" ref="CP136:CP139" si="1177">+CO136</f>
        <v>0</v>
      </c>
      <c r="CQ136" s="24">
        <f t="shared" ref="CQ136:CQ139" si="1178">+CP136</f>
        <v>0</v>
      </c>
      <c r="CR136" s="24">
        <f t="shared" ref="CR136:CR139" si="1179">+CQ136</f>
        <v>0</v>
      </c>
      <c r="CS136" s="24">
        <f t="shared" ref="CS136:CS139" si="1180">+CR136</f>
        <v>0</v>
      </c>
      <c r="CT136" s="24">
        <f t="shared" ref="CT136:CT139" si="1181">+CS136</f>
        <v>0</v>
      </c>
      <c r="CU136" s="24">
        <f t="shared" ref="CU136:CU139" si="1182">+CT136</f>
        <v>0</v>
      </c>
      <c r="CV136" s="24">
        <f t="shared" ref="CV136:CV139" si="1183">+CU136</f>
        <v>0</v>
      </c>
      <c r="CW136" s="24">
        <f t="shared" ref="CW136:CW139" si="1184">+CV136</f>
        <v>0</v>
      </c>
      <c r="CX136" s="24">
        <f t="shared" ref="CX136:CX139" si="1185">+CW136</f>
        <v>0</v>
      </c>
      <c r="CY136" s="24">
        <f t="shared" ref="CY136:CY139" si="1186">+CX136</f>
        <v>0</v>
      </c>
      <c r="CZ136" s="24">
        <f t="shared" ref="CZ136:CZ139" si="1187">+CY136</f>
        <v>0</v>
      </c>
      <c r="DA136" s="24">
        <f t="shared" ref="DA136:DA139" si="1188">+CZ136</f>
        <v>0</v>
      </c>
      <c r="DB136" s="24">
        <f t="shared" ref="DB136:DB139" si="1189">+DA136</f>
        <v>0</v>
      </c>
      <c r="DE136" s="123"/>
      <c r="DF136" s="23">
        <v>0</v>
      </c>
    </row>
    <row r="137" spans="1:110" s="23" customFormat="1" outlineLevel="1" x14ac:dyDescent="0.2">
      <c r="A137" s="23" t="s">
        <v>46</v>
      </c>
      <c r="B137" s="23">
        <f>'Annual Raw'!C48</f>
        <v>0</v>
      </c>
      <c r="C137" s="23">
        <f>'Annual Raw'!D48</f>
        <v>0</v>
      </c>
      <c r="D137" s="23">
        <f>'Annual Raw'!E48</f>
        <v>0</v>
      </c>
      <c r="E137" s="23">
        <f>'Annual Raw'!F48</f>
        <v>0</v>
      </c>
      <c r="F137" s="23">
        <f>'Annual Raw'!G48</f>
        <v>0</v>
      </c>
      <c r="G137" s="23">
        <f>'Annual Raw'!H48</f>
        <v>0</v>
      </c>
      <c r="H137" s="23">
        <f>'Annual Raw'!I48</f>
        <v>0</v>
      </c>
      <c r="I137" s="23">
        <f>'Annual Raw'!J48</f>
        <v>0</v>
      </c>
      <c r="J137" s="23">
        <f>'Annual Raw'!K48</f>
        <v>0</v>
      </c>
      <c r="K137" s="23">
        <f>'Annual Raw'!L48</f>
        <v>0</v>
      </c>
      <c r="L137" s="23">
        <f>'Annual Raw'!M48</f>
        <v>0</v>
      </c>
      <c r="M137" s="23">
        <f>'Annual Raw'!N48</f>
        <v>0</v>
      </c>
      <c r="N137" s="23">
        <f>'Annual Raw'!O48</f>
        <v>0</v>
      </c>
      <c r="O137" s="23">
        <f>'Annual Raw'!P48</f>
        <v>0</v>
      </c>
      <c r="P137" s="23">
        <f>'Annual Raw'!Q48</f>
        <v>0</v>
      </c>
      <c r="Q137" s="23">
        <f>'Annual Raw'!R48</f>
        <v>0</v>
      </c>
      <c r="R137" s="23">
        <f>'Annual Raw'!S48</f>
        <v>328</v>
      </c>
      <c r="S137" s="23">
        <f>'Annual Raw'!T48</f>
        <v>228</v>
      </c>
      <c r="T137" s="23">
        <f>'Annual Raw'!U48</f>
        <v>72</v>
      </c>
      <c r="U137" s="23">
        <f>'Annual Raw'!V48</f>
        <v>358</v>
      </c>
      <c r="V137" s="23">
        <f>'Annual Raw'!W48</f>
        <v>200</v>
      </c>
      <c r="W137" s="23">
        <f>'Annual Raw'!X48</f>
        <v>5</v>
      </c>
      <c r="X137" s="23">
        <f>'Annual Raw'!Y48</f>
        <v>0</v>
      </c>
      <c r="Y137" s="23">
        <f>'Annual Raw'!Z48</f>
        <v>0</v>
      </c>
      <c r="Z137" s="23">
        <f>'Annual Raw'!AA48</f>
        <v>0</v>
      </c>
      <c r="AA137" s="23">
        <f>'Annual Raw'!AB48</f>
        <v>0</v>
      </c>
      <c r="AB137" s="24">
        <f t="shared" si="1166"/>
        <v>6168</v>
      </c>
      <c r="AC137" s="24">
        <f t="shared" si="1167"/>
        <v>6168</v>
      </c>
      <c r="AD137" s="24">
        <f t="shared" si="1168"/>
        <v>6168</v>
      </c>
      <c r="AE137" s="24">
        <f t="shared" si="1169"/>
        <v>6168</v>
      </c>
      <c r="AJ137" s="23">
        <f>+'QTR Raw'!D63</f>
        <v>0</v>
      </c>
      <c r="AK137" s="23">
        <f t="shared" si="1170"/>
        <v>0</v>
      </c>
      <c r="AL137" s="23">
        <f>+'QTR Raw'!F63</f>
        <v>0</v>
      </c>
      <c r="AM137" s="23">
        <f t="shared" si="1170"/>
        <v>0</v>
      </c>
      <c r="AN137" s="23">
        <f>+'QTR Raw'!H63</f>
        <v>0</v>
      </c>
      <c r="AO137" s="23">
        <f t="shared" si="1170"/>
        <v>0</v>
      </c>
      <c r="AP137" s="23">
        <f>+'QTR Raw'!J63</f>
        <v>0</v>
      </c>
      <c r="AQ137" s="23">
        <f t="shared" si="1170"/>
        <v>0</v>
      </c>
      <c r="AR137" s="23">
        <f>+'QTR Raw'!L63</f>
        <v>0</v>
      </c>
      <c r="AS137" s="23">
        <f t="shared" si="1170"/>
        <v>0</v>
      </c>
      <c r="AT137" s="23">
        <f>+'QTR Raw'!N63</f>
        <v>0</v>
      </c>
      <c r="AU137" s="23">
        <f t="shared" si="1170"/>
        <v>0</v>
      </c>
      <c r="AV137" s="23">
        <f>+'QTR Raw'!P63</f>
        <v>0</v>
      </c>
      <c r="AW137" s="23">
        <f t="shared" si="1170"/>
        <v>0</v>
      </c>
      <c r="AX137" s="23">
        <f>+'QTR Raw'!R63</f>
        <v>0</v>
      </c>
      <c r="AY137" s="23">
        <f t="shared" si="1170"/>
        <v>0</v>
      </c>
      <c r="AZ137" s="23">
        <f>+'QTR Raw'!T63</f>
        <v>0</v>
      </c>
      <c r="BA137" s="23">
        <f t="shared" si="1170"/>
        <v>0</v>
      </c>
      <c r="BB137" s="23">
        <f>+'QTR Raw'!V63</f>
        <v>0</v>
      </c>
      <c r="BC137" s="23">
        <f t="shared" si="1170"/>
        <v>0</v>
      </c>
      <c r="BD137" s="23">
        <f>+'QTR Raw'!X63</f>
        <v>0</v>
      </c>
      <c r="BE137" s="23">
        <f t="shared" si="1170"/>
        <v>0</v>
      </c>
      <c r="BF137" s="23">
        <f>+'QTR Raw'!Z63</f>
        <v>0</v>
      </c>
      <c r="BG137" s="23">
        <f t="shared" si="1170"/>
        <v>0</v>
      </c>
      <c r="BH137" s="23">
        <f>+'QTR Raw'!AB63</f>
        <v>0</v>
      </c>
      <c r="BI137" s="23">
        <f t="shared" si="1170"/>
        <v>0</v>
      </c>
      <c r="BJ137" s="23">
        <f>+'QTR Raw'!AD63</f>
        <v>4015</v>
      </c>
      <c r="BK137" s="23">
        <f t="shared" si="1170"/>
        <v>4015</v>
      </c>
      <c r="BL137" s="23">
        <f>+'QTR Raw'!AF63</f>
        <v>3235</v>
      </c>
      <c r="BM137" s="23">
        <f t="shared" si="1170"/>
        <v>3235</v>
      </c>
      <c r="BN137" s="23">
        <f>+'QTR Raw'!AH63</f>
        <v>3505</v>
      </c>
      <c r="BO137" s="23">
        <f t="shared" si="1170"/>
        <v>3505</v>
      </c>
      <c r="BP137" s="23">
        <f>+'QTR Raw'!AJ63</f>
        <v>3112</v>
      </c>
      <c r="BQ137" s="23">
        <f t="shared" si="1170"/>
        <v>3112</v>
      </c>
      <c r="BR137" s="23">
        <f>+'QTR Raw'!AL63</f>
        <v>2089</v>
      </c>
      <c r="BS137" s="23">
        <f t="shared" si="1170"/>
        <v>2089</v>
      </c>
      <c r="BT137" s="23">
        <f>+'QTR Raw'!AN63</f>
        <v>1631</v>
      </c>
      <c r="BU137" s="23">
        <f t="shared" si="1170"/>
        <v>1631</v>
      </c>
      <c r="BV137" s="23">
        <f>+'QTR Raw'!AP63</f>
        <v>1922</v>
      </c>
      <c r="BW137" s="23">
        <f t="shared" si="1170"/>
        <v>1922</v>
      </c>
      <c r="BX137" s="23">
        <f>+'QTR Raw'!AR63</f>
        <v>2220</v>
      </c>
      <c r="BY137" s="23">
        <f t="shared" si="1170"/>
        <v>2220</v>
      </c>
      <c r="BZ137" s="23">
        <f>+'QTR Raw'!AT63</f>
        <v>3210</v>
      </c>
      <c r="CA137" s="23">
        <f t="shared" si="1170"/>
        <v>3210</v>
      </c>
      <c r="CB137" s="23">
        <f>+'QTR Raw'!AV63</f>
        <v>4472</v>
      </c>
      <c r="CC137" s="23">
        <f t="shared" si="1170"/>
        <v>4472</v>
      </c>
      <c r="CD137" s="23">
        <f>+'QTR Raw'!AX63</f>
        <v>4431</v>
      </c>
      <c r="CE137" s="23">
        <f t="shared" si="1171"/>
        <v>4431</v>
      </c>
      <c r="CF137" s="23">
        <f>+'QTR Raw'!AZ63</f>
        <v>4348</v>
      </c>
      <c r="CG137" s="23">
        <f t="shared" si="1172"/>
        <v>4348</v>
      </c>
      <c r="CH137" s="23">
        <f t="shared" si="1148"/>
        <v>0</v>
      </c>
      <c r="CI137" s="23">
        <f t="shared" si="1172"/>
        <v>0</v>
      </c>
      <c r="CJ137" s="23">
        <f>+'QTR Raw'!BD63</f>
        <v>5665</v>
      </c>
      <c r="CK137" s="23">
        <f t="shared" si="1173"/>
        <v>5665</v>
      </c>
      <c r="CL137" s="23">
        <f>+'QTR Raw'!BF63</f>
        <v>6168</v>
      </c>
      <c r="CM137" s="24">
        <f t="shared" si="1174"/>
        <v>6168</v>
      </c>
      <c r="CN137" s="24">
        <f t="shared" si="1175"/>
        <v>6168</v>
      </c>
      <c r="CO137" s="24">
        <f t="shared" si="1176"/>
        <v>6168</v>
      </c>
      <c r="CP137" s="24">
        <f t="shared" si="1177"/>
        <v>6168</v>
      </c>
      <c r="CQ137" s="24">
        <f t="shared" si="1178"/>
        <v>6168</v>
      </c>
      <c r="CR137" s="24">
        <f t="shared" si="1179"/>
        <v>6168</v>
      </c>
      <c r="CS137" s="24">
        <f t="shared" si="1180"/>
        <v>6168</v>
      </c>
      <c r="CT137" s="24">
        <f t="shared" si="1181"/>
        <v>6168</v>
      </c>
      <c r="CU137" s="24">
        <f t="shared" si="1182"/>
        <v>6168</v>
      </c>
      <c r="CV137" s="24">
        <f t="shared" si="1183"/>
        <v>6168</v>
      </c>
      <c r="CW137" s="24">
        <f t="shared" si="1184"/>
        <v>6168</v>
      </c>
      <c r="CX137" s="24">
        <f t="shared" si="1185"/>
        <v>6168</v>
      </c>
      <c r="CY137" s="24">
        <f t="shared" si="1186"/>
        <v>6168</v>
      </c>
      <c r="CZ137" s="24">
        <f t="shared" si="1187"/>
        <v>6168</v>
      </c>
      <c r="DA137" s="24">
        <f t="shared" si="1188"/>
        <v>6168</v>
      </c>
      <c r="DB137" s="24">
        <f t="shared" si="1189"/>
        <v>6168</v>
      </c>
      <c r="DE137" s="123"/>
      <c r="DF137" s="23">
        <v>6168</v>
      </c>
    </row>
    <row r="138" spans="1:110" s="23" customFormat="1" outlineLevel="1" x14ac:dyDescent="0.2">
      <c r="A138" s="23" t="s">
        <v>47</v>
      </c>
      <c r="B138" s="23">
        <f>'Annual Raw'!C87+'Annual Raw'!C88+'Annual Raw'!C89+'Annual Raw'!C90</f>
        <v>0</v>
      </c>
      <c r="C138" s="23">
        <f>'Annual Raw'!D87+'Annual Raw'!D88+'Annual Raw'!D89+'Annual Raw'!D90</f>
        <v>0</v>
      </c>
      <c r="D138" s="23">
        <f>'Annual Raw'!E87+'Annual Raw'!E88+'Annual Raw'!E89+'Annual Raw'!E90</f>
        <v>0</v>
      </c>
      <c r="E138" s="23">
        <f>'Annual Raw'!F87+'Annual Raw'!F88+'Annual Raw'!F89+'Annual Raw'!F90</f>
        <v>0</v>
      </c>
      <c r="F138" s="23">
        <f>'Annual Raw'!G87+'Annual Raw'!G88+'Annual Raw'!G89+'Annual Raw'!G90</f>
        <v>0</v>
      </c>
      <c r="G138" s="23">
        <f>'Annual Raw'!H87+'Annual Raw'!H88+'Annual Raw'!H89+'Annual Raw'!H90</f>
        <v>0</v>
      </c>
      <c r="H138" s="23">
        <f>'Annual Raw'!I87+'Annual Raw'!I88+'Annual Raw'!I89+'Annual Raw'!I90</f>
        <v>0</v>
      </c>
      <c r="I138" s="23">
        <f>'Annual Raw'!J87+'Annual Raw'!J88+'Annual Raw'!J89+'Annual Raw'!J90</f>
        <v>0</v>
      </c>
      <c r="J138" s="23">
        <f>'Annual Raw'!K87+'Annual Raw'!K88+'Annual Raw'!K89+'Annual Raw'!K90</f>
        <v>0</v>
      </c>
      <c r="K138" s="23">
        <f>'Annual Raw'!L87+'Annual Raw'!L88+'Annual Raw'!L89+'Annual Raw'!L90</f>
        <v>0</v>
      </c>
      <c r="L138" s="23">
        <f>'Annual Raw'!M87+'Annual Raw'!M88+'Annual Raw'!M89+'Annual Raw'!M90</f>
        <v>0</v>
      </c>
      <c r="M138" s="23">
        <f>'Annual Raw'!N87+'Annual Raw'!N88+'Annual Raw'!N89+'Annual Raw'!N90</f>
        <v>0</v>
      </c>
      <c r="N138" s="23">
        <f>'Annual Raw'!O87+'Annual Raw'!O88+'Annual Raw'!O89+'Annual Raw'!O90</f>
        <v>0</v>
      </c>
      <c r="O138" s="23">
        <f>'Annual Raw'!P87+'Annual Raw'!P88+'Annual Raw'!P89+'Annual Raw'!P90</f>
        <v>0</v>
      </c>
      <c r="P138" s="23">
        <f>'Annual Raw'!Q87+'Annual Raw'!Q88+'Annual Raw'!Q89+'Annual Raw'!Q90</f>
        <v>0</v>
      </c>
      <c r="Q138" s="23">
        <f>'Annual Raw'!R87+'Annual Raw'!R88+'Annual Raw'!R89+'Annual Raw'!R90</f>
        <v>0</v>
      </c>
      <c r="R138" s="23">
        <f>'Annual Raw'!S87+'Annual Raw'!S88+'Annual Raw'!S89+'Annual Raw'!S90</f>
        <v>552</v>
      </c>
      <c r="S138" s="23">
        <f>'Annual Raw'!T87+'Annual Raw'!T88+'Annual Raw'!T89+'Annual Raw'!T90</f>
        <v>944</v>
      </c>
      <c r="T138" s="23">
        <f>'Annual Raw'!U87+'Annual Raw'!U88+'Annual Raw'!U89+'Annual Raw'!U90</f>
        <v>955</v>
      </c>
      <c r="U138" s="23">
        <f>'Annual Raw'!V87+'Annual Raw'!V88+'Annual Raw'!V89+'Annual Raw'!V90</f>
        <v>1199</v>
      </c>
      <c r="V138" s="23">
        <f>'Annual Raw'!W87+'Annual Raw'!W88+'Annual Raw'!W89+'Annual Raw'!W90</f>
        <v>797</v>
      </c>
      <c r="W138" s="23">
        <f>'Annual Raw'!X87+'Annual Raw'!X88+'Annual Raw'!X89+'Annual Raw'!X90</f>
        <v>989</v>
      </c>
      <c r="X138" s="23">
        <f>'Annual Raw'!Y87+'Annual Raw'!Y88+'Annual Raw'!Y89+'Annual Raw'!Y90</f>
        <v>167</v>
      </c>
      <c r="Y138" s="23">
        <f>'Annual Raw'!Z87+'Annual Raw'!Z88+'Annual Raw'!Z89+'Annual Raw'!Z90</f>
        <v>185</v>
      </c>
      <c r="Z138" s="23">
        <f>'Annual Raw'!AA87+'Annual Raw'!AA88+'Annual Raw'!AA89+'Annual Raw'!AA90</f>
        <v>199</v>
      </c>
      <c r="AA138" s="23">
        <f>'Annual Raw'!AB87+'Annual Raw'!AB88+'Annual Raw'!AB89+'Annual Raw'!AB90</f>
        <v>245</v>
      </c>
      <c r="AB138" s="24">
        <f t="shared" si="1166"/>
        <v>0</v>
      </c>
      <c r="AC138" s="24">
        <f t="shared" si="1167"/>
        <v>0</v>
      </c>
      <c r="AD138" s="24">
        <f t="shared" si="1168"/>
        <v>0</v>
      </c>
      <c r="AE138" s="24">
        <f t="shared" si="1169"/>
        <v>0</v>
      </c>
      <c r="AJ138" s="23">
        <f>+'QTR Raw'!D90</f>
        <v>0</v>
      </c>
      <c r="AK138" s="23">
        <f t="shared" si="1170"/>
        <v>0</v>
      </c>
      <c r="AL138" s="23">
        <f>+'QTR Raw'!F90</f>
        <v>0</v>
      </c>
      <c r="AM138" s="23">
        <f t="shared" si="1170"/>
        <v>0</v>
      </c>
      <c r="AN138" s="23">
        <f>+'QTR Raw'!H90</f>
        <v>0</v>
      </c>
      <c r="AO138" s="23">
        <f t="shared" si="1170"/>
        <v>0</v>
      </c>
      <c r="AP138" s="23">
        <f>+'QTR Raw'!J90</f>
        <v>0</v>
      </c>
      <c r="AQ138" s="23">
        <f t="shared" si="1170"/>
        <v>0</v>
      </c>
      <c r="AR138" s="23">
        <f>+'QTR Raw'!L90</f>
        <v>0</v>
      </c>
      <c r="AS138" s="23">
        <f t="shared" si="1170"/>
        <v>0</v>
      </c>
      <c r="AT138" s="23">
        <f>+'QTR Raw'!N90</f>
        <v>0</v>
      </c>
      <c r="AU138" s="23">
        <f t="shared" si="1170"/>
        <v>0</v>
      </c>
      <c r="AV138" s="23">
        <f>+'QTR Raw'!P90</f>
        <v>0</v>
      </c>
      <c r="AW138" s="23">
        <f t="shared" si="1170"/>
        <v>0</v>
      </c>
      <c r="AX138" s="23">
        <f>+'QTR Raw'!R90</f>
        <v>0</v>
      </c>
      <c r="AY138" s="23">
        <f t="shared" si="1170"/>
        <v>0</v>
      </c>
      <c r="AZ138" s="23">
        <f>+'QTR Raw'!T90</f>
        <v>0</v>
      </c>
      <c r="BA138" s="23">
        <f t="shared" si="1170"/>
        <v>0</v>
      </c>
      <c r="BB138" s="23">
        <f>+'QTR Raw'!V90</f>
        <v>0</v>
      </c>
      <c r="BC138" s="23">
        <f t="shared" si="1170"/>
        <v>0</v>
      </c>
      <c r="BD138" s="23">
        <f>+'QTR Raw'!X90</f>
        <v>0</v>
      </c>
      <c r="BE138" s="23">
        <f t="shared" si="1170"/>
        <v>0</v>
      </c>
      <c r="BF138" s="23">
        <f>+'QTR Raw'!Z90</f>
        <v>0</v>
      </c>
      <c r="BG138" s="23">
        <f t="shared" si="1170"/>
        <v>0</v>
      </c>
      <c r="BH138" s="22">
        <f>+'QTR Raw'!AB90</f>
        <v>0</v>
      </c>
      <c r="BI138" s="23">
        <f t="shared" si="1170"/>
        <v>0</v>
      </c>
      <c r="BJ138" s="23">
        <f>+'QTR Raw'!AD90</f>
        <v>0</v>
      </c>
      <c r="BK138" s="23">
        <f t="shared" si="1170"/>
        <v>0</v>
      </c>
      <c r="BL138" s="23">
        <f>+'QTR Raw'!AF90</f>
        <v>0</v>
      </c>
      <c r="BM138" s="23">
        <f t="shared" si="1170"/>
        <v>0</v>
      </c>
      <c r="BN138" s="23">
        <f>+'QTR Raw'!AH90</f>
        <v>0</v>
      </c>
      <c r="BO138" s="23">
        <f t="shared" si="1170"/>
        <v>0</v>
      </c>
      <c r="BP138" s="23">
        <f>+'QTR Raw'!AJ90</f>
        <v>0</v>
      </c>
      <c r="BQ138" s="23">
        <f t="shared" si="1170"/>
        <v>0</v>
      </c>
      <c r="BR138" s="23">
        <f>+'QTR Raw'!AL90</f>
        <v>0</v>
      </c>
      <c r="BS138" s="23">
        <f t="shared" si="1170"/>
        <v>0</v>
      </c>
      <c r="BT138" s="23">
        <f>+'QTR Raw'!AN90</f>
        <v>0</v>
      </c>
      <c r="BU138" s="23">
        <f t="shared" si="1170"/>
        <v>0</v>
      </c>
      <c r="BV138" s="23">
        <f>+'QTR Raw'!AP90</f>
        <v>0</v>
      </c>
      <c r="BW138" s="23">
        <f t="shared" si="1170"/>
        <v>0</v>
      </c>
      <c r="BX138" s="23">
        <f>+'QTR Raw'!AR90</f>
        <v>0</v>
      </c>
      <c r="BY138" s="23">
        <f t="shared" si="1170"/>
        <v>0</v>
      </c>
      <c r="BZ138" s="23">
        <f>+'QTR Raw'!AT90</f>
        <v>0</v>
      </c>
      <c r="CA138" s="23">
        <f t="shared" si="1170"/>
        <v>0</v>
      </c>
      <c r="CB138" s="23">
        <f>+'QTR Raw'!AV90</f>
        <v>0</v>
      </c>
      <c r="CC138" s="23">
        <f t="shared" si="1170"/>
        <v>0</v>
      </c>
      <c r="CD138" s="23">
        <f>+'QTR Raw'!AX90</f>
        <v>0</v>
      </c>
      <c r="CE138" s="23">
        <f t="shared" si="1171"/>
        <v>0</v>
      </c>
      <c r="CF138" s="23">
        <f>+'QTR Raw'!AZ90</f>
        <v>0</v>
      </c>
      <c r="CG138" s="23">
        <f t="shared" si="1172"/>
        <v>0</v>
      </c>
      <c r="CH138" s="23">
        <f>+Z138</f>
        <v>199</v>
      </c>
      <c r="CI138" s="23">
        <f t="shared" si="1172"/>
        <v>199</v>
      </c>
      <c r="CJ138" s="23">
        <f>+'QTR Raw'!BD90</f>
        <v>0</v>
      </c>
      <c r="CK138" s="23">
        <f t="shared" si="1173"/>
        <v>0</v>
      </c>
      <c r="CL138" s="23">
        <f>+'QTR Raw'!BF90</f>
        <v>0</v>
      </c>
      <c r="CM138" s="24">
        <f t="shared" si="1174"/>
        <v>0</v>
      </c>
      <c r="CN138" s="24">
        <f t="shared" si="1175"/>
        <v>0</v>
      </c>
      <c r="CO138" s="24">
        <f t="shared" si="1176"/>
        <v>0</v>
      </c>
      <c r="CP138" s="24">
        <f t="shared" si="1177"/>
        <v>0</v>
      </c>
      <c r="CQ138" s="24">
        <f t="shared" si="1178"/>
        <v>0</v>
      </c>
      <c r="CR138" s="24">
        <f t="shared" si="1179"/>
        <v>0</v>
      </c>
      <c r="CS138" s="24">
        <f t="shared" si="1180"/>
        <v>0</v>
      </c>
      <c r="CT138" s="24">
        <f t="shared" si="1181"/>
        <v>0</v>
      </c>
      <c r="CU138" s="24">
        <f t="shared" si="1182"/>
        <v>0</v>
      </c>
      <c r="CV138" s="24">
        <f t="shared" si="1183"/>
        <v>0</v>
      </c>
      <c r="CW138" s="24">
        <f t="shared" si="1184"/>
        <v>0</v>
      </c>
      <c r="CX138" s="24">
        <f t="shared" si="1185"/>
        <v>0</v>
      </c>
      <c r="CY138" s="24">
        <f t="shared" si="1186"/>
        <v>0</v>
      </c>
      <c r="CZ138" s="24">
        <f t="shared" si="1187"/>
        <v>0</v>
      </c>
      <c r="DA138" s="24">
        <f t="shared" si="1188"/>
        <v>0</v>
      </c>
      <c r="DB138" s="24">
        <f t="shared" si="1189"/>
        <v>0</v>
      </c>
      <c r="DE138" s="123"/>
      <c r="DF138" s="23">
        <v>0</v>
      </c>
    </row>
    <row r="139" spans="1:110" s="23" customFormat="1" outlineLevel="1" x14ac:dyDescent="0.2">
      <c r="A139" s="23" t="s">
        <v>48</v>
      </c>
      <c r="B139" s="23">
        <f>'Annual Raw'!C56</f>
        <v>0</v>
      </c>
      <c r="C139" s="23">
        <f>'Annual Raw'!D56</f>
        <v>0</v>
      </c>
      <c r="D139" s="23">
        <f>'Annual Raw'!E56</f>
        <v>0</v>
      </c>
      <c r="E139" s="23">
        <f>'Annual Raw'!F56</f>
        <v>0</v>
      </c>
      <c r="F139" s="23">
        <f>'Annual Raw'!G56</f>
        <v>0</v>
      </c>
      <c r="G139" s="23">
        <f>'Annual Raw'!H56</f>
        <v>0</v>
      </c>
      <c r="H139" s="23">
        <f>'Annual Raw'!I56</f>
        <v>0</v>
      </c>
      <c r="I139" s="23">
        <f>'Annual Raw'!J56</f>
        <v>0</v>
      </c>
      <c r="J139" s="23">
        <f>'Annual Raw'!K56</f>
        <v>0</v>
      </c>
      <c r="K139" s="23">
        <f>'Annual Raw'!L56</f>
        <v>0</v>
      </c>
      <c r="L139" s="23">
        <f>'Annual Raw'!M56</f>
        <v>0</v>
      </c>
      <c r="M139" s="23">
        <f>'Annual Raw'!N56</f>
        <v>0</v>
      </c>
      <c r="N139" s="23">
        <f>'Annual Raw'!O56</f>
        <v>0</v>
      </c>
      <c r="O139" s="23">
        <f>'Annual Raw'!P56</f>
        <v>0</v>
      </c>
      <c r="P139" s="23">
        <f>'Annual Raw'!Q56</f>
        <v>0</v>
      </c>
      <c r="Q139" s="23">
        <f>'Annual Raw'!R56</f>
        <v>0</v>
      </c>
      <c r="R139" s="23">
        <f>'Annual Raw'!S56</f>
        <v>1233</v>
      </c>
      <c r="S139" s="23">
        <f>'Annual Raw'!T56</f>
        <v>863</v>
      </c>
      <c r="T139" s="23">
        <f>'Annual Raw'!U56</f>
        <v>908</v>
      </c>
      <c r="U139" s="23">
        <f>'Annual Raw'!V56</f>
        <v>1246</v>
      </c>
      <c r="V139" s="23">
        <f>'Annual Raw'!W56</f>
        <v>822</v>
      </c>
      <c r="W139" s="23">
        <f>'Annual Raw'!X56</f>
        <v>208</v>
      </c>
      <c r="X139" s="23">
        <f>'Annual Raw'!Y56</f>
        <v>365</v>
      </c>
      <c r="Y139" s="23">
        <f>'Annual Raw'!Z56</f>
        <v>14</v>
      </c>
      <c r="Z139" s="23">
        <f>'Annual Raw'!AA56</f>
        <v>454</v>
      </c>
      <c r="AA139" s="23">
        <f>'Annual Raw'!AB56</f>
        <v>339</v>
      </c>
      <c r="AB139" s="24">
        <f t="shared" si="1166"/>
        <v>584</v>
      </c>
      <c r="AC139" s="24">
        <f t="shared" si="1167"/>
        <v>584</v>
      </c>
      <c r="AD139" s="24">
        <f t="shared" si="1168"/>
        <v>584</v>
      </c>
      <c r="AE139" s="24">
        <f t="shared" si="1169"/>
        <v>584</v>
      </c>
      <c r="AJ139" s="23">
        <f>+'QTR Raw'!D88</f>
        <v>0</v>
      </c>
      <c r="AK139" s="23">
        <f t="shared" si="1170"/>
        <v>0</v>
      </c>
      <c r="AL139" s="23">
        <f>+'QTR Raw'!F88</f>
        <v>0</v>
      </c>
      <c r="AM139" s="23">
        <f t="shared" si="1170"/>
        <v>0</v>
      </c>
      <c r="AN139" s="23">
        <f>+'QTR Raw'!H88</f>
        <v>0</v>
      </c>
      <c r="AO139" s="23">
        <f t="shared" si="1170"/>
        <v>0</v>
      </c>
      <c r="AP139" s="23">
        <f>+'QTR Raw'!J88</f>
        <v>0</v>
      </c>
      <c r="AQ139" s="23">
        <f t="shared" si="1170"/>
        <v>0</v>
      </c>
      <c r="AR139" s="23">
        <f>+'QTR Raw'!L88</f>
        <v>0</v>
      </c>
      <c r="AS139" s="23">
        <f t="shared" si="1170"/>
        <v>0</v>
      </c>
      <c r="AT139" s="23">
        <f>+'QTR Raw'!N88</f>
        <v>0</v>
      </c>
      <c r="AU139" s="23">
        <f t="shared" si="1170"/>
        <v>0</v>
      </c>
      <c r="AV139" s="23">
        <f>+'QTR Raw'!P88</f>
        <v>0</v>
      </c>
      <c r="AW139" s="23">
        <f t="shared" si="1170"/>
        <v>0</v>
      </c>
      <c r="AX139" s="23">
        <f>+'QTR Raw'!R88</f>
        <v>0</v>
      </c>
      <c r="AY139" s="23">
        <f t="shared" si="1170"/>
        <v>0</v>
      </c>
      <c r="AZ139" s="23">
        <f>+'QTR Raw'!T88</f>
        <v>0</v>
      </c>
      <c r="BA139" s="23">
        <f t="shared" si="1170"/>
        <v>0</v>
      </c>
      <c r="BB139" s="23">
        <f>+'QTR Raw'!V88</f>
        <v>0</v>
      </c>
      <c r="BC139" s="23">
        <f t="shared" si="1170"/>
        <v>0</v>
      </c>
      <c r="BD139" s="23">
        <f>+'QTR Raw'!X88</f>
        <v>0</v>
      </c>
      <c r="BE139" s="23">
        <f t="shared" si="1170"/>
        <v>0</v>
      </c>
      <c r="BF139" s="23">
        <f>+'QTR Raw'!Z88</f>
        <v>0</v>
      </c>
      <c r="BG139" s="23">
        <f t="shared" si="1170"/>
        <v>0</v>
      </c>
      <c r="BH139" s="23">
        <f>+'QTR Raw'!AB88</f>
        <v>0</v>
      </c>
      <c r="BI139" s="23">
        <f t="shared" si="1170"/>
        <v>0</v>
      </c>
      <c r="BJ139" s="23">
        <f>+'QTR Raw'!AD88</f>
        <v>908</v>
      </c>
      <c r="BK139" s="23">
        <f t="shared" si="1170"/>
        <v>908</v>
      </c>
      <c r="BL139" s="23">
        <f>+'QTR Raw'!AF88</f>
        <v>869</v>
      </c>
      <c r="BM139" s="23">
        <f t="shared" si="1170"/>
        <v>869</v>
      </c>
      <c r="BN139" s="23">
        <f>+'QTR Raw'!AH88</f>
        <v>1246</v>
      </c>
      <c r="BO139" s="23">
        <f t="shared" si="1170"/>
        <v>1246</v>
      </c>
      <c r="BP139" s="23">
        <f>+'QTR Raw'!AJ88</f>
        <v>1195</v>
      </c>
      <c r="BQ139" s="23">
        <f t="shared" si="1170"/>
        <v>1195</v>
      </c>
      <c r="BR139" s="23">
        <f>+'QTR Raw'!AL88</f>
        <v>1619</v>
      </c>
      <c r="BS139" s="23">
        <f t="shared" si="1170"/>
        <v>1619</v>
      </c>
      <c r="BT139" s="23">
        <f>+'QTR Raw'!AN88</f>
        <v>1455</v>
      </c>
      <c r="BU139" s="23">
        <f t="shared" si="1170"/>
        <v>1455</v>
      </c>
      <c r="BV139" s="23">
        <f>+'QTR Raw'!AP88</f>
        <v>1197</v>
      </c>
      <c r="BW139" s="23">
        <f t="shared" si="1170"/>
        <v>1197</v>
      </c>
      <c r="BX139" s="23">
        <f>+'QTR Raw'!AR88</f>
        <v>1046</v>
      </c>
      <c r="BY139" s="23">
        <f t="shared" si="1170"/>
        <v>1046</v>
      </c>
      <c r="BZ139" s="23">
        <f>+'QTR Raw'!AT88</f>
        <v>532</v>
      </c>
      <c r="CA139" s="23">
        <f t="shared" si="1170"/>
        <v>532</v>
      </c>
      <c r="CB139" s="23">
        <f>+'QTR Raw'!AV88</f>
        <v>801</v>
      </c>
      <c r="CC139" s="23">
        <f t="shared" si="1170"/>
        <v>801</v>
      </c>
      <c r="CD139" s="23">
        <f>+'QTR Raw'!AX88</f>
        <v>199</v>
      </c>
      <c r="CE139" s="23">
        <f t="shared" si="1171"/>
        <v>199</v>
      </c>
      <c r="CF139" s="23">
        <f>+'QTR Raw'!AZ88</f>
        <v>415</v>
      </c>
      <c r="CG139" s="23">
        <f t="shared" si="1172"/>
        <v>415</v>
      </c>
      <c r="CH139" s="23">
        <f t="shared" si="1148"/>
        <v>454</v>
      </c>
      <c r="CI139" s="23">
        <f t="shared" si="1172"/>
        <v>454</v>
      </c>
      <c r="CJ139" s="23">
        <f>+'QTR Raw'!BD88</f>
        <v>956</v>
      </c>
      <c r="CK139" s="23">
        <f t="shared" si="1173"/>
        <v>956</v>
      </c>
      <c r="CL139" s="23">
        <f>+'QTR Raw'!BF88</f>
        <v>584</v>
      </c>
      <c r="CM139" s="24">
        <f t="shared" si="1174"/>
        <v>584</v>
      </c>
      <c r="CN139" s="24">
        <f t="shared" si="1175"/>
        <v>584</v>
      </c>
      <c r="CO139" s="24">
        <f t="shared" si="1176"/>
        <v>584</v>
      </c>
      <c r="CP139" s="24">
        <f t="shared" si="1177"/>
        <v>584</v>
      </c>
      <c r="CQ139" s="24">
        <f t="shared" si="1178"/>
        <v>584</v>
      </c>
      <c r="CR139" s="24">
        <f t="shared" si="1179"/>
        <v>584</v>
      </c>
      <c r="CS139" s="24">
        <f t="shared" si="1180"/>
        <v>584</v>
      </c>
      <c r="CT139" s="24">
        <f t="shared" si="1181"/>
        <v>584</v>
      </c>
      <c r="CU139" s="24">
        <f t="shared" si="1182"/>
        <v>584</v>
      </c>
      <c r="CV139" s="24">
        <f t="shared" si="1183"/>
        <v>584</v>
      </c>
      <c r="CW139" s="24">
        <f t="shared" si="1184"/>
        <v>584</v>
      </c>
      <c r="CX139" s="24">
        <f t="shared" si="1185"/>
        <v>584</v>
      </c>
      <c r="CY139" s="24">
        <f t="shared" si="1186"/>
        <v>584</v>
      </c>
      <c r="CZ139" s="24">
        <f t="shared" si="1187"/>
        <v>584</v>
      </c>
      <c r="DA139" s="24">
        <f t="shared" si="1188"/>
        <v>584</v>
      </c>
      <c r="DB139" s="24">
        <f t="shared" si="1189"/>
        <v>584</v>
      </c>
      <c r="DE139" s="123"/>
      <c r="DF139" s="23">
        <v>584</v>
      </c>
    </row>
    <row r="140" spans="1:110" s="22" customFormat="1" x14ac:dyDescent="0.2">
      <c r="A140" s="22" t="s">
        <v>49</v>
      </c>
      <c r="B140" s="22">
        <f>SUM(B136:B139)</f>
        <v>0</v>
      </c>
      <c r="C140" s="22">
        <f t="shared" ref="C140:V140" si="1190">SUM(C136:C139)</f>
        <v>0</v>
      </c>
      <c r="D140" s="22">
        <f t="shared" si="1190"/>
        <v>0</v>
      </c>
      <c r="E140" s="22">
        <f t="shared" si="1190"/>
        <v>0</v>
      </c>
      <c r="F140" s="22">
        <f t="shared" si="1190"/>
        <v>0</v>
      </c>
      <c r="G140" s="22">
        <f t="shared" si="1190"/>
        <v>0</v>
      </c>
      <c r="H140" s="22">
        <f t="shared" si="1190"/>
        <v>0</v>
      </c>
      <c r="I140" s="22">
        <f t="shared" si="1190"/>
        <v>0</v>
      </c>
      <c r="J140" s="22">
        <f t="shared" si="1190"/>
        <v>0</v>
      </c>
      <c r="K140" s="22">
        <f t="shared" si="1190"/>
        <v>0</v>
      </c>
      <c r="L140" s="22">
        <f t="shared" si="1190"/>
        <v>0</v>
      </c>
      <c r="M140" s="22">
        <f t="shared" si="1190"/>
        <v>0</v>
      </c>
      <c r="N140" s="22">
        <f t="shared" si="1190"/>
        <v>0</v>
      </c>
      <c r="O140" s="22">
        <f t="shared" si="1190"/>
        <v>0</v>
      </c>
      <c r="P140" s="22">
        <f t="shared" si="1190"/>
        <v>0</v>
      </c>
      <c r="Q140" s="22">
        <f t="shared" si="1190"/>
        <v>0</v>
      </c>
      <c r="R140" s="22">
        <f t="shared" si="1190"/>
        <v>8039</v>
      </c>
      <c r="S140" s="22">
        <f t="shared" si="1190"/>
        <v>7266</v>
      </c>
      <c r="T140" s="22">
        <f t="shared" si="1190"/>
        <v>5878</v>
      </c>
      <c r="U140" s="22">
        <f t="shared" si="1190"/>
        <v>5950</v>
      </c>
      <c r="V140" s="22">
        <f t="shared" si="1190"/>
        <v>3708</v>
      </c>
      <c r="W140" s="22">
        <f t="shared" ref="W140" si="1191">SUM(W136:W139)</f>
        <v>3119</v>
      </c>
      <c r="X140" s="22">
        <f t="shared" ref="X140:Y140" si="1192">SUM(X136:X139)</f>
        <v>3742</v>
      </c>
      <c r="Y140" s="22">
        <f t="shared" si="1192"/>
        <v>4630</v>
      </c>
      <c r="Z140" s="22">
        <f t="shared" ref="Z140:AA140" si="1193">SUM(Z136:Z139)</f>
        <v>5258</v>
      </c>
      <c r="AA140" s="22">
        <f t="shared" ref="AA140" si="1194">SUM(AA136:AA139)</f>
        <v>6752</v>
      </c>
      <c r="AB140" s="21">
        <f t="shared" ref="AB140:AD140" si="1195">SUM(AB136:AB139)</f>
        <v>6752</v>
      </c>
      <c r="AC140" s="21">
        <f t="shared" si="1195"/>
        <v>6752</v>
      </c>
      <c r="AD140" s="21">
        <f t="shared" si="1195"/>
        <v>6752</v>
      </c>
      <c r="AE140" s="21">
        <f t="shared" ref="AE140" si="1196">SUM(AE136:AE139)</f>
        <v>6752</v>
      </c>
      <c r="AJ140" s="22">
        <f t="shared" ref="AJ140" si="1197">SUM(AJ136:AJ139)</f>
        <v>0</v>
      </c>
      <c r="AK140" s="22">
        <f t="shared" ref="AK140" si="1198">SUM(AK136:AK139)</f>
        <v>0</v>
      </c>
      <c r="AL140" s="22">
        <f t="shared" ref="AL140:AM140" si="1199">SUM(AL136:AL139)</f>
        <v>0</v>
      </c>
      <c r="AM140" s="22">
        <f t="shared" si="1199"/>
        <v>0</v>
      </c>
      <c r="AN140" s="22">
        <f t="shared" ref="AN140:AO140" si="1200">SUM(AN136:AN139)</f>
        <v>0</v>
      </c>
      <c r="AO140" s="22">
        <f t="shared" si="1200"/>
        <v>0</v>
      </c>
      <c r="AP140" s="22">
        <f t="shared" ref="AP140:CE140" si="1201">SUM(AP136:AP139)</f>
        <v>0</v>
      </c>
      <c r="AQ140" s="22">
        <f t="shared" si="1201"/>
        <v>0</v>
      </c>
      <c r="AR140" s="22">
        <f t="shared" si="1201"/>
        <v>0</v>
      </c>
      <c r="AS140" s="22">
        <f t="shared" si="1201"/>
        <v>0</v>
      </c>
      <c r="AT140" s="22">
        <f t="shared" si="1201"/>
        <v>0</v>
      </c>
      <c r="AU140" s="22">
        <f t="shared" si="1201"/>
        <v>0</v>
      </c>
      <c r="AV140" s="22">
        <f t="shared" si="1201"/>
        <v>0</v>
      </c>
      <c r="AW140" s="22">
        <f t="shared" si="1201"/>
        <v>0</v>
      </c>
      <c r="AX140" s="22">
        <f t="shared" si="1201"/>
        <v>0</v>
      </c>
      <c r="AY140" s="22">
        <f t="shared" si="1201"/>
        <v>0</v>
      </c>
      <c r="AZ140" s="22">
        <f t="shared" si="1201"/>
        <v>0</v>
      </c>
      <c r="BA140" s="22">
        <f t="shared" si="1201"/>
        <v>0</v>
      </c>
      <c r="BB140" s="22">
        <f t="shared" si="1201"/>
        <v>0</v>
      </c>
      <c r="BC140" s="22">
        <f t="shared" si="1201"/>
        <v>0</v>
      </c>
      <c r="BD140" s="22">
        <f t="shared" si="1201"/>
        <v>0</v>
      </c>
      <c r="BE140" s="22">
        <f t="shared" si="1201"/>
        <v>0</v>
      </c>
      <c r="BF140" s="22">
        <f t="shared" si="1201"/>
        <v>0</v>
      </c>
      <c r="BG140" s="22">
        <f t="shared" si="1201"/>
        <v>0</v>
      </c>
      <c r="BH140" s="22">
        <f t="shared" ref="BH140" si="1202">SUM(BH136:BH139)</f>
        <v>0</v>
      </c>
      <c r="BI140" s="22">
        <f t="shared" si="1201"/>
        <v>0</v>
      </c>
      <c r="BJ140" s="22">
        <f t="shared" si="1201"/>
        <v>4923</v>
      </c>
      <c r="BK140" s="22">
        <f t="shared" si="1201"/>
        <v>4923</v>
      </c>
      <c r="BL140" s="22">
        <f t="shared" si="1201"/>
        <v>4104</v>
      </c>
      <c r="BM140" s="22">
        <f t="shared" si="1201"/>
        <v>4104</v>
      </c>
      <c r="BN140" s="22">
        <f t="shared" si="1201"/>
        <v>4751</v>
      </c>
      <c r="BO140" s="22">
        <f t="shared" si="1201"/>
        <v>4751</v>
      </c>
      <c r="BP140" s="22">
        <f t="shared" si="1201"/>
        <v>4307</v>
      </c>
      <c r="BQ140" s="22">
        <f t="shared" si="1201"/>
        <v>4307</v>
      </c>
      <c r="BR140" s="22">
        <f t="shared" si="1201"/>
        <v>3708</v>
      </c>
      <c r="BS140" s="22">
        <f t="shared" si="1201"/>
        <v>3708</v>
      </c>
      <c r="BT140" s="22">
        <f t="shared" si="1201"/>
        <v>3086</v>
      </c>
      <c r="BU140" s="22">
        <f t="shared" si="1201"/>
        <v>3086</v>
      </c>
      <c r="BV140" s="22">
        <f t="shared" si="1201"/>
        <v>3119</v>
      </c>
      <c r="BW140" s="22">
        <f t="shared" si="1201"/>
        <v>3119</v>
      </c>
      <c r="BX140" s="22">
        <f t="shared" si="1201"/>
        <v>3266</v>
      </c>
      <c r="BY140" s="22">
        <f t="shared" si="1201"/>
        <v>3266</v>
      </c>
      <c r="BZ140" s="22">
        <f t="shared" si="1201"/>
        <v>3742</v>
      </c>
      <c r="CA140" s="22">
        <f t="shared" si="1201"/>
        <v>3742</v>
      </c>
      <c r="CB140" s="22">
        <f t="shared" si="1201"/>
        <v>5273</v>
      </c>
      <c r="CC140" s="22">
        <f t="shared" si="1201"/>
        <v>5273</v>
      </c>
      <c r="CD140" s="22">
        <f t="shared" si="1201"/>
        <v>4630</v>
      </c>
      <c r="CE140" s="22">
        <f t="shared" si="1201"/>
        <v>4630</v>
      </c>
      <c r="CF140" s="22">
        <f t="shared" ref="CF140:CG140" si="1203">SUM(CF136:CF139)</f>
        <v>4763</v>
      </c>
      <c r="CG140" s="22">
        <f t="shared" si="1203"/>
        <v>4763</v>
      </c>
      <c r="CH140" s="22">
        <f t="shared" ref="CH140:CI140" si="1204">SUM(CH136:CH139)</f>
        <v>5258</v>
      </c>
      <c r="CI140" s="22">
        <f t="shared" si="1204"/>
        <v>5258</v>
      </c>
      <c r="CJ140" s="22">
        <f t="shared" ref="CJ140:DB140" si="1205">SUM(CJ136:CJ139)</f>
        <v>6621</v>
      </c>
      <c r="CK140" s="22">
        <f t="shared" si="1205"/>
        <v>6621</v>
      </c>
      <c r="CL140" s="22">
        <f t="shared" ref="CL140" si="1206">SUM(CL136:CL139)</f>
        <v>6752</v>
      </c>
      <c r="CM140" s="21">
        <f t="shared" si="1205"/>
        <v>6752</v>
      </c>
      <c r="CN140" s="21">
        <f t="shared" si="1205"/>
        <v>6752</v>
      </c>
      <c r="CO140" s="21">
        <f t="shared" si="1205"/>
        <v>6752</v>
      </c>
      <c r="CP140" s="21">
        <f t="shared" si="1205"/>
        <v>6752</v>
      </c>
      <c r="CQ140" s="21">
        <f t="shared" si="1205"/>
        <v>6752</v>
      </c>
      <c r="CR140" s="21">
        <f t="shared" si="1205"/>
        <v>6752</v>
      </c>
      <c r="CS140" s="21">
        <f t="shared" si="1205"/>
        <v>6752</v>
      </c>
      <c r="CT140" s="21">
        <f t="shared" si="1205"/>
        <v>6752</v>
      </c>
      <c r="CU140" s="21">
        <f t="shared" si="1205"/>
        <v>6752</v>
      </c>
      <c r="CV140" s="21">
        <f t="shared" si="1205"/>
        <v>6752</v>
      </c>
      <c r="CW140" s="21">
        <f t="shared" si="1205"/>
        <v>6752</v>
      </c>
      <c r="CX140" s="21">
        <f t="shared" si="1205"/>
        <v>6752</v>
      </c>
      <c r="CY140" s="21">
        <f t="shared" si="1205"/>
        <v>6752</v>
      </c>
      <c r="CZ140" s="21">
        <f t="shared" si="1205"/>
        <v>6752</v>
      </c>
      <c r="DA140" s="21">
        <f t="shared" si="1205"/>
        <v>6752</v>
      </c>
      <c r="DB140" s="21">
        <f t="shared" si="1205"/>
        <v>6752</v>
      </c>
      <c r="DE140" s="126"/>
      <c r="DF140" s="22">
        <v>6752</v>
      </c>
    </row>
    <row r="141" spans="1:110" s="26" customFormat="1" x14ac:dyDescent="0.2">
      <c r="A141" s="26" t="s">
        <v>437</v>
      </c>
      <c r="B141" s="26">
        <f>B140+B132+B134</f>
        <v>0</v>
      </c>
      <c r="C141" s="26">
        <f t="shared" ref="C141:V141" si="1207">C140+C132+C134</f>
        <v>0</v>
      </c>
      <c r="D141" s="26">
        <f>D140+D132+D134</f>
        <v>0</v>
      </c>
      <c r="E141" s="26">
        <f t="shared" si="1207"/>
        <v>0</v>
      </c>
      <c r="F141" s="26">
        <f t="shared" si="1207"/>
        <v>0</v>
      </c>
      <c r="G141" s="26">
        <f t="shared" si="1207"/>
        <v>0</v>
      </c>
      <c r="H141" s="26">
        <f t="shared" si="1207"/>
        <v>0</v>
      </c>
      <c r="I141" s="26">
        <f t="shared" si="1207"/>
        <v>0</v>
      </c>
      <c r="J141" s="26">
        <f t="shared" si="1207"/>
        <v>0</v>
      </c>
      <c r="K141" s="26">
        <f t="shared" si="1207"/>
        <v>0</v>
      </c>
      <c r="L141" s="26">
        <f t="shared" si="1207"/>
        <v>0</v>
      </c>
      <c r="M141" s="26">
        <f t="shared" si="1207"/>
        <v>0</v>
      </c>
      <c r="N141" s="26">
        <f t="shared" si="1207"/>
        <v>0</v>
      </c>
      <c r="O141" s="26">
        <f t="shared" si="1207"/>
        <v>0</v>
      </c>
      <c r="P141" s="26">
        <f t="shared" si="1207"/>
        <v>0</v>
      </c>
      <c r="Q141" s="26">
        <f t="shared" si="1207"/>
        <v>0</v>
      </c>
      <c r="R141" s="26">
        <f t="shared" si="1207"/>
        <v>17639</v>
      </c>
      <c r="S141" s="26">
        <f t="shared" si="1207"/>
        <v>17571</v>
      </c>
      <c r="T141" s="26">
        <f t="shared" si="1207"/>
        <v>16528</v>
      </c>
      <c r="U141" s="26">
        <f t="shared" si="1207"/>
        <v>16536</v>
      </c>
      <c r="V141" s="26">
        <f t="shared" si="1207"/>
        <v>16552</v>
      </c>
      <c r="W141" s="26">
        <f t="shared" ref="W141" si="1208">W140+W132+W134</f>
        <v>19252</v>
      </c>
      <c r="X141" s="26">
        <f t="shared" ref="X141:Y141" si="1209">X140+X132+X134</f>
        <v>19486</v>
      </c>
      <c r="Y141" s="26">
        <f t="shared" si="1209"/>
        <v>21137</v>
      </c>
      <c r="Z141" s="26">
        <f t="shared" ref="Z141:AA141" si="1210">Z140+Z132+Z134</f>
        <v>22758</v>
      </c>
      <c r="AA141" s="26">
        <f t="shared" ref="AA141" si="1211">AA140+AA132+AA134</f>
        <v>24875</v>
      </c>
      <c r="AB141" s="27">
        <f t="shared" ref="AB141:AD141" si="1212">AB140+AB132+AB134</f>
        <v>26058.251317225633</v>
      </c>
      <c r="AC141" s="27">
        <f t="shared" si="1212"/>
        <v>27560.766949406698</v>
      </c>
      <c r="AD141" s="27">
        <f t="shared" si="1212"/>
        <v>29316.610704516512</v>
      </c>
      <c r="AE141" s="27">
        <f t="shared" ref="AE141" si="1213">AE140+AE132+AE134</f>
        <v>31441.778420944494</v>
      </c>
      <c r="AJ141" s="26">
        <f t="shared" ref="AJ141" si="1214">AJ140+AJ132+AJ134</f>
        <v>0</v>
      </c>
      <c r="AK141" s="26">
        <f t="shared" ref="AK141" si="1215">AK140+AK132+AK134</f>
        <v>0</v>
      </c>
      <c r="AL141" s="26">
        <f t="shared" ref="AL141" si="1216">AL140+AL132+AL134</f>
        <v>0</v>
      </c>
      <c r="AM141" s="26">
        <f t="shared" ref="AM141:AO141" si="1217">AM140+AM132+AM134</f>
        <v>0</v>
      </c>
      <c r="AN141" s="26">
        <f t="shared" si="1217"/>
        <v>0</v>
      </c>
      <c r="AO141" s="26">
        <f t="shared" si="1217"/>
        <v>0</v>
      </c>
      <c r="AP141" s="26">
        <f t="shared" ref="AP141:CE141" si="1218">AP140+AP132+AP134</f>
        <v>0</v>
      </c>
      <c r="AQ141" s="26">
        <f t="shared" si="1218"/>
        <v>0</v>
      </c>
      <c r="AR141" s="26">
        <f t="shared" si="1218"/>
        <v>0</v>
      </c>
      <c r="AS141" s="26">
        <f t="shared" si="1218"/>
        <v>0</v>
      </c>
      <c r="AT141" s="26">
        <f t="shared" si="1218"/>
        <v>0</v>
      </c>
      <c r="AU141" s="26">
        <f t="shared" si="1218"/>
        <v>0</v>
      </c>
      <c r="AV141" s="26">
        <f t="shared" si="1218"/>
        <v>0</v>
      </c>
      <c r="AW141" s="26">
        <f t="shared" si="1218"/>
        <v>0</v>
      </c>
      <c r="AX141" s="26">
        <f t="shared" si="1218"/>
        <v>0</v>
      </c>
      <c r="AY141" s="26">
        <f t="shared" si="1218"/>
        <v>0</v>
      </c>
      <c r="AZ141" s="26">
        <f t="shared" si="1218"/>
        <v>0</v>
      </c>
      <c r="BA141" s="26">
        <f t="shared" si="1218"/>
        <v>0</v>
      </c>
      <c r="BB141" s="26">
        <f t="shared" si="1218"/>
        <v>0</v>
      </c>
      <c r="BC141" s="26">
        <f t="shared" si="1218"/>
        <v>0</v>
      </c>
      <c r="BD141" s="26">
        <f t="shared" si="1218"/>
        <v>0</v>
      </c>
      <c r="BE141" s="26">
        <f t="shared" si="1218"/>
        <v>53</v>
      </c>
      <c r="BF141" s="26">
        <f t="shared" si="1218"/>
        <v>0</v>
      </c>
      <c r="BG141" s="26">
        <f t="shared" si="1218"/>
        <v>53</v>
      </c>
      <c r="BH141" s="26">
        <f t="shared" ref="BH141" si="1219">BH140+BH132+BH134</f>
        <v>0</v>
      </c>
      <c r="BI141" s="26">
        <f t="shared" si="1218"/>
        <v>28</v>
      </c>
      <c r="BJ141" s="26">
        <f t="shared" si="1218"/>
        <v>15573</v>
      </c>
      <c r="BK141" s="26">
        <f t="shared" si="1218"/>
        <v>15720</v>
      </c>
      <c r="BL141" s="26">
        <f t="shared" si="1218"/>
        <v>14632</v>
      </c>
      <c r="BM141" s="26">
        <f t="shared" si="1218"/>
        <v>14656</v>
      </c>
      <c r="BN141" s="26">
        <f t="shared" si="1218"/>
        <v>15337</v>
      </c>
      <c r="BO141" s="26">
        <f t="shared" si="1218"/>
        <v>15527</v>
      </c>
      <c r="BP141" s="26">
        <f t="shared" si="1218"/>
        <v>15490</v>
      </c>
      <c r="BQ141" s="26">
        <f t="shared" si="1218"/>
        <v>15672</v>
      </c>
      <c r="BR141" s="26">
        <f t="shared" si="1218"/>
        <v>16552</v>
      </c>
      <c r="BS141" s="26">
        <f t="shared" si="1218"/>
        <v>16821</v>
      </c>
      <c r="BT141" s="26">
        <f t="shared" si="1218"/>
        <v>17496</v>
      </c>
      <c r="BU141" s="26">
        <f t="shared" si="1218"/>
        <v>17580</v>
      </c>
      <c r="BV141" s="26">
        <f t="shared" si="1218"/>
        <v>19252</v>
      </c>
      <c r="BW141" s="26">
        <f t="shared" si="1218"/>
        <v>19448</v>
      </c>
      <c r="BX141" s="26">
        <f t="shared" si="1218"/>
        <v>18381</v>
      </c>
      <c r="BY141" s="26">
        <f t="shared" si="1218"/>
        <v>18585</v>
      </c>
      <c r="BZ141" s="26">
        <f t="shared" si="1218"/>
        <v>19486</v>
      </c>
      <c r="CA141" s="26">
        <f t="shared" si="1218"/>
        <v>19616</v>
      </c>
      <c r="CB141" s="26">
        <f t="shared" si="1218"/>
        <v>21386</v>
      </c>
      <c r="CC141" s="26">
        <f t="shared" si="1218"/>
        <v>21649</v>
      </c>
      <c r="CD141" s="26">
        <f t="shared" si="1218"/>
        <v>21137</v>
      </c>
      <c r="CE141" s="26">
        <f t="shared" si="1218"/>
        <v>21278</v>
      </c>
      <c r="CF141" s="26">
        <f t="shared" ref="CF141:CG141" si="1220">CF140+CF132+CF134</f>
        <v>22399</v>
      </c>
      <c r="CG141" s="26">
        <f t="shared" si="1220"/>
        <v>22460</v>
      </c>
      <c r="CH141" s="26">
        <f t="shared" ref="CH141:CI141" si="1221">CH140+CH132+CH134</f>
        <v>22758</v>
      </c>
      <c r="CI141" s="26">
        <f t="shared" si="1221"/>
        <v>23151</v>
      </c>
      <c r="CJ141" s="26">
        <f t="shared" ref="CJ141:DB141" si="1222">CJ140+CJ132+CJ134</f>
        <v>24431</v>
      </c>
      <c r="CK141" s="26">
        <f t="shared" si="1222"/>
        <v>24553</v>
      </c>
      <c r="CL141" s="26">
        <f t="shared" ref="CL141" si="1223">CL140+CL132+CL134</f>
        <v>24875</v>
      </c>
      <c r="CM141" s="27">
        <f t="shared" si="1222"/>
        <v>25136.207471957649</v>
      </c>
      <c r="CN141" s="27">
        <f t="shared" si="1222"/>
        <v>25357.97967136083</v>
      </c>
      <c r="CO141" s="27">
        <f t="shared" si="1222"/>
        <v>25617.558745152252</v>
      </c>
      <c r="CP141" s="27">
        <f t="shared" si="1222"/>
        <v>26058.251317225633</v>
      </c>
      <c r="CQ141" s="27">
        <f t="shared" si="1222"/>
        <v>26368.978679175165</v>
      </c>
      <c r="CR141" s="27">
        <f t="shared" si="1222"/>
        <v>26672.615759940578</v>
      </c>
      <c r="CS141" s="27">
        <f t="shared" si="1222"/>
        <v>27029.172550561354</v>
      </c>
      <c r="CT141" s="27">
        <f t="shared" si="1222"/>
        <v>27560.766949406698</v>
      </c>
      <c r="CU141" s="27">
        <f t="shared" si="1222"/>
        <v>27927.669429728539</v>
      </c>
      <c r="CV141" s="27">
        <f t="shared" si="1222"/>
        <v>28295.689194116076</v>
      </c>
      <c r="CW141" s="27">
        <f t="shared" si="1222"/>
        <v>28717.673248864226</v>
      </c>
      <c r="CX141" s="27">
        <f t="shared" si="1222"/>
        <v>29316.610704516512</v>
      </c>
      <c r="CY141" s="27">
        <f t="shared" si="1222"/>
        <v>29770.143808681129</v>
      </c>
      <c r="CZ141" s="27">
        <f t="shared" si="1222"/>
        <v>30225.172360519824</v>
      </c>
      <c r="DA141" s="27">
        <f t="shared" si="1222"/>
        <v>30737.957050882658</v>
      </c>
      <c r="DB141" s="27">
        <f t="shared" si="1222"/>
        <v>31441.778420944494</v>
      </c>
      <c r="DE141" s="121"/>
      <c r="DF141" s="26">
        <v>24875</v>
      </c>
    </row>
    <row r="142" spans="1:110" s="23" customFormat="1" x14ac:dyDescent="0.2">
      <c r="AB142" s="24"/>
      <c r="AC142" s="24"/>
      <c r="AD142" s="24"/>
      <c r="AE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50</v>
      </c>
      <c r="B143" s="23">
        <f>'Annual Raw'!C62</f>
        <v>0</v>
      </c>
      <c r="C143" s="23">
        <f>'Annual Raw'!D62</f>
        <v>0</v>
      </c>
      <c r="D143" s="23">
        <f>'Annual Raw'!E62</f>
        <v>0</v>
      </c>
      <c r="E143" s="23">
        <f>'Annual Raw'!F62-E147</f>
        <v>0</v>
      </c>
      <c r="F143" s="23">
        <f>'Annual Raw'!G62-F147</f>
        <v>0</v>
      </c>
      <c r="G143" s="23">
        <f>'Annual Raw'!H62-G147</f>
        <v>0</v>
      </c>
      <c r="H143" s="23">
        <f>'Annual Raw'!I62-H147</f>
        <v>0</v>
      </c>
      <c r="I143" s="23">
        <f>'Annual Raw'!J62-I147</f>
        <v>0</v>
      </c>
      <c r="J143" s="23">
        <f>'Annual Raw'!K62-J147</f>
        <v>0</v>
      </c>
      <c r="K143" s="23">
        <f>'Annual Raw'!L62-K147</f>
        <v>0</v>
      </c>
      <c r="L143" s="23">
        <f>'Annual Raw'!M62-L147</f>
        <v>0</v>
      </c>
      <c r="M143" s="23">
        <f>'Annual Raw'!N62-M147</f>
        <v>0</v>
      </c>
      <c r="N143" s="23">
        <f>'Annual Raw'!O62-N147</f>
        <v>0</v>
      </c>
      <c r="O143" s="23">
        <f>'Annual Raw'!P62-O147</f>
        <v>0</v>
      </c>
      <c r="P143" s="23">
        <f>'Annual Raw'!Q62-P147</f>
        <v>0</v>
      </c>
      <c r="Q143" s="23">
        <f>'Annual Raw'!R62-Q147</f>
        <v>0</v>
      </c>
      <c r="R143" s="23">
        <f>'Annual Raw'!S62-R147</f>
        <v>14929</v>
      </c>
      <c r="S143" s="23">
        <f>'Annual Raw'!T62-S147</f>
        <v>15664</v>
      </c>
      <c r="T143" s="23">
        <f>'Annual Raw'!U62-T147</f>
        <v>16698</v>
      </c>
      <c r="U143" s="23">
        <f>'Annual Raw'!V62-U147</f>
        <v>17526</v>
      </c>
      <c r="V143" s="23">
        <f>'Annual Raw'!W62-V147</f>
        <v>19912</v>
      </c>
      <c r="W143" s="23">
        <f>'Annual Raw'!X62-W147</f>
        <v>21614</v>
      </c>
      <c r="X143" s="23">
        <f>'Annual Raw'!Y62-X147</f>
        <v>23642</v>
      </c>
      <c r="Y143" s="23">
        <f>'Annual Raw'!Z62-Y147</f>
        <v>26021</v>
      </c>
      <c r="Z143" s="23">
        <f>'Annual Raw'!AA62-Z147</f>
        <v>28867</v>
      </c>
      <c r="AA143" s="23">
        <f>'Annual Raw'!AB62-AA147</f>
        <v>32090</v>
      </c>
      <c r="AB143" s="24">
        <f t="shared" ref="AB143:AB149" si="1224">+CP143</f>
        <v>34061</v>
      </c>
      <c r="AC143" s="24">
        <f t="shared" ref="AC143:AC149" si="1225">+CT143</f>
        <v>36461</v>
      </c>
      <c r="AD143" s="24">
        <f t="shared" ref="AD143:AD149" si="1226">+CX143</f>
        <v>38861</v>
      </c>
      <c r="AE143" s="24">
        <f t="shared" ref="AE143:AE149" si="1227">+DB143</f>
        <v>41261</v>
      </c>
      <c r="AJ143" s="23">
        <f>+'QTR Raw'!D68</f>
        <v>0</v>
      </c>
      <c r="AL143" s="23">
        <f>+'QTR Raw'!F68</f>
        <v>0</v>
      </c>
      <c r="AN143" s="23">
        <f>+'QTR Raw'!H68</f>
        <v>0</v>
      </c>
      <c r="AP143" s="23">
        <f>+'QTR Raw'!J68</f>
        <v>0</v>
      </c>
      <c r="AR143" s="23">
        <f>+'QTR Raw'!L68</f>
        <v>0</v>
      </c>
      <c r="AT143" s="23">
        <f>+'QTR Raw'!N68</f>
        <v>0</v>
      </c>
      <c r="AV143" s="23">
        <f>+'QTR Raw'!P68</f>
        <v>0</v>
      </c>
      <c r="AX143" s="23">
        <f>+'QTR Raw'!R68</f>
        <v>0</v>
      </c>
      <c r="AZ143" s="23">
        <f>+'QTR Raw'!T68</f>
        <v>0</v>
      </c>
      <c r="BB143" s="23">
        <f>+'QTR Raw'!V68</f>
        <v>0</v>
      </c>
      <c r="BD143" s="23">
        <f>+'QTR Raw'!X68</f>
        <v>0</v>
      </c>
      <c r="BF143" s="23">
        <f>+'QTR Raw'!Z68</f>
        <v>0</v>
      </c>
      <c r="BH143" s="23">
        <f>+'QTR Raw'!AB68</f>
        <v>0</v>
      </c>
      <c r="BJ143" s="23">
        <f>+'QTR Raw'!AD68</f>
        <v>11972</v>
      </c>
      <c r="BL143" s="23">
        <f>+'QTR Raw'!AF68</f>
        <v>8842</v>
      </c>
      <c r="BN143" s="23">
        <f>+'QTR Raw'!AH68</f>
        <v>11207</v>
      </c>
      <c r="BP143" s="23">
        <f>+'QTR Raw'!AJ68</f>
        <v>11164</v>
      </c>
      <c r="BR143" s="23">
        <f>+'QTR Raw'!AL68</f>
        <v>12567</v>
      </c>
      <c r="BT143" s="23">
        <f>+'QTR Raw'!AN68</f>
        <v>12335</v>
      </c>
      <c r="BV143" s="23">
        <f>+'QTR Raw'!AP68</f>
        <v>13101</v>
      </c>
      <c r="BX143" s="23">
        <f>+'QTR Raw'!AR68</f>
        <v>13289</v>
      </c>
      <c r="BZ143" s="23">
        <f>+'QTR Raw'!AT68</f>
        <v>13878</v>
      </c>
      <c r="CB143" s="23">
        <f>+'QTR Raw'!AV68</f>
        <v>14513</v>
      </c>
      <c r="CD143" s="23">
        <f>+'QTR Raw'!AX68</f>
        <v>15044</v>
      </c>
      <c r="CF143" s="23">
        <f>+'QTR Raw'!AZ68</f>
        <v>15393</v>
      </c>
      <c r="CH143" s="23">
        <f t="shared" ref="CH143:CH149" si="1228">Z143</f>
        <v>28867</v>
      </c>
      <c r="CI143" s="23">
        <f>CH143</f>
        <v>28867</v>
      </c>
      <c r="CJ143" s="23">
        <f>+CJ144+CJ146</f>
        <v>28962</v>
      </c>
      <c r="CK143" s="23">
        <f>+CJ143</f>
        <v>28962</v>
      </c>
      <c r="CL143" s="23">
        <f>+CL144+CL146</f>
        <v>31661</v>
      </c>
      <c r="CM143" s="24">
        <f>+CL143+600</f>
        <v>32261</v>
      </c>
      <c r="CN143" s="24">
        <f t="shared" ref="CN143:DB143" si="1229">+CM143+600</f>
        <v>32861</v>
      </c>
      <c r="CO143" s="24">
        <f t="shared" si="1229"/>
        <v>33461</v>
      </c>
      <c r="CP143" s="24">
        <f t="shared" si="1229"/>
        <v>34061</v>
      </c>
      <c r="CQ143" s="24">
        <f t="shared" si="1229"/>
        <v>34661</v>
      </c>
      <c r="CR143" s="24">
        <f t="shared" si="1229"/>
        <v>35261</v>
      </c>
      <c r="CS143" s="24">
        <f t="shared" si="1229"/>
        <v>35861</v>
      </c>
      <c r="CT143" s="24">
        <f t="shared" si="1229"/>
        <v>36461</v>
      </c>
      <c r="CU143" s="24">
        <f t="shared" si="1229"/>
        <v>37061</v>
      </c>
      <c r="CV143" s="24">
        <f t="shared" si="1229"/>
        <v>37661</v>
      </c>
      <c r="CW143" s="24">
        <f t="shared" si="1229"/>
        <v>38261</v>
      </c>
      <c r="CX143" s="24">
        <f t="shared" si="1229"/>
        <v>38861</v>
      </c>
      <c r="CY143" s="24">
        <f t="shared" si="1229"/>
        <v>39461</v>
      </c>
      <c r="CZ143" s="24">
        <f t="shared" si="1229"/>
        <v>40061</v>
      </c>
      <c r="DA143" s="24">
        <f t="shared" si="1229"/>
        <v>40661</v>
      </c>
      <c r="DB143" s="24">
        <f t="shared" si="1229"/>
        <v>41261</v>
      </c>
      <c r="DE143" s="123"/>
      <c r="DF143" s="23">
        <v>31661</v>
      </c>
    </row>
    <row r="144" spans="1:110" s="23" customFormat="1" outlineLevel="1" x14ac:dyDescent="0.2">
      <c r="A144" s="23" t="s">
        <v>51</v>
      </c>
      <c r="B144" s="23">
        <f>'Annual Raw'!C63</f>
        <v>0</v>
      </c>
      <c r="C144" s="23">
        <f>'Annual Raw'!D63</f>
        <v>0</v>
      </c>
      <c r="D144" s="23">
        <f>'Annual Raw'!E63</f>
        <v>0</v>
      </c>
      <c r="E144" s="23">
        <f>'Annual Raw'!F63</f>
        <v>0</v>
      </c>
      <c r="F144" s="23">
        <f>'Annual Raw'!G63</f>
        <v>0</v>
      </c>
      <c r="G144" s="23">
        <f>'Annual Raw'!H63</f>
        <v>0</v>
      </c>
      <c r="H144" s="23">
        <f>'Annual Raw'!I63</f>
        <v>0</v>
      </c>
      <c r="I144" s="23">
        <f>'Annual Raw'!J63</f>
        <v>0</v>
      </c>
      <c r="J144" s="23">
        <f>'Annual Raw'!K63</f>
        <v>0</v>
      </c>
      <c r="K144" s="23">
        <f>'Annual Raw'!L63</f>
        <v>0</v>
      </c>
      <c r="L144" s="23">
        <f>'Annual Raw'!M63</f>
        <v>0</v>
      </c>
      <c r="M144" s="23">
        <f>'Annual Raw'!N63</f>
        <v>0</v>
      </c>
      <c r="N144" s="23">
        <f>'Annual Raw'!O63</f>
        <v>0</v>
      </c>
      <c r="O144" s="23">
        <f>'Annual Raw'!P63</f>
        <v>0</v>
      </c>
      <c r="P144" s="23">
        <f>'Annual Raw'!Q63</f>
        <v>0</v>
      </c>
      <c r="Q144" s="23">
        <f>'Annual Raw'!R63</f>
        <v>0</v>
      </c>
      <c r="R144" s="23">
        <f>'Annual Raw'!S63</f>
        <v>2319</v>
      </c>
      <c r="S144" s="23">
        <f>'Annual Raw'!T63</f>
        <v>3528</v>
      </c>
      <c r="T144" s="23">
        <f>'Annual Raw'!U63</f>
        <v>4745</v>
      </c>
      <c r="U144" s="23">
        <f>'Annual Raw'!V63</f>
        <v>6189</v>
      </c>
      <c r="V144" s="23">
        <f>'Annual Raw'!W63</f>
        <v>7298</v>
      </c>
      <c r="W144" s="23">
        <f>'Annual Raw'!X63</f>
        <v>8412</v>
      </c>
      <c r="X144" s="23">
        <f>'Annual Raw'!Y63</f>
        <v>9589</v>
      </c>
      <c r="Y144" s="23">
        <f>'Annual Raw'!Z63</f>
        <v>10818</v>
      </c>
      <c r="Z144" s="23">
        <f>'Annual Raw'!AA63</f>
        <v>11977</v>
      </c>
      <c r="AA144" s="23">
        <f>'Annual Raw'!AB63</f>
        <v>13135</v>
      </c>
      <c r="AB144" s="24">
        <f t="shared" si="1224"/>
        <v>15108.827903447042</v>
      </c>
      <c r="AC144" s="24">
        <f t="shared" si="1225"/>
        <v>16948.805303782839</v>
      </c>
      <c r="AD144" s="24">
        <f t="shared" si="1226"/>
        <v>18840.640216789576</v>
      </c>
      <c r="AE144" s="24">
        <f t="shared" si="1227"/>
        <v>20779.530690506686</v>
      </c>
      <c r="AJ144" s="23">
        <f>+'QTR Raw'!D69</f>
        <v>0</v>
      </c>
      <c r="AL144" s="23">
        <f>+'QTR Raw'!F69</f>
        <v>0</v>
      </c>
      <c r="AN144" s="23">
        <f>+'QTR Raw'!H69</f>
        <v>0</v>
      </c>
      <c r="AP144" s="23">
        <f>+'QTR Raw'!J69</f>
        <v>0</v>
      </c>
      <c r="AR144" s="23">
        <f>+'QTR Raw'!L69</f>
        <v>0</v>
      </c>
      <c r="AT144" s="23">
        <f>+'QTR Raw'!N69</f>
        <v>0</v>
      </c>
      <c r="AV144" s="23">
        <f>+'QTR Raw'!P69</f>
        <v>0</v>
      </c>
      <c r="AX144" s="23">
        <f>+'QTR Raw'!R69</f>
        <v>0</v>
      </c>
      <c r="AZ144" s="23">
        <f>+'QTR Raw'!T69</f>
        <v>0</v>
      </c>
      <c r="BB144" s="23">
        <f>+'QTR Raw'!V69</f>
        <v>0</v>
      </c>
      <c r="BD144" s="23">
        <f>+'QTR Raw'!X69</f>
        <v>0</v>
      </c>
      <c r="BF144" s="23">
        <f>+'QTR Raw'!Z69</f>
        <v>0</v>
      </c>
      <c r="BH144" s="23">
        <f>+'QTR Raw'!AB69</f>
        <v>0</v>
      </c>
      <c r="BJ144" s="23">
        <f>+'QTR Raw'!AD69</f>
        <v>0</v>
      </c>
      <c r="BL144" s="23">
        <f>+'QTR Raw'!AF69</f>
        <v>0</v>
      </c>
      <c r="BN144" s="23">
        <f>+'QTR Raw'!AH69</f>
        <v>0</v>
      </c>
      <c r="BP144" s="23">
        <f>+'QTR Raw'!AJ69</f>
        <v>0</v>
      </c>
      <c r="BR144" s="23">
        <f>+'QTR Raw'!AL69</f>
        <v>0</v>
      </c>
      <c r="BT144" s="23">
        <f>+'QTR Raw'!AN69</f>
        <v>0</v>
      </c>
      <c r="BV144" s="23">
        <f>+'QTR Raw'!AP69</f>
        <v>0</v>
      </c>
      <c r="BX144" s="23">
        <f>+'QTR Raw'!AR69</f>
        <v>0</v>
      </c>
      <c r="BZ144" s="23">
        <f>+'QTR Raw'!AT69</f>
        <v>0</v>
      </c>
      <c r="CB144" s="23">
        <f>+'QTR Raw'!AV69</f>
        <v>0</v>
      </c>
      <c r="CD144" s="23">
        <f>+'QTR Raw'!AX69</f>
        <v>0</v>
      </c>
      <c r="CF144" s="23">
        <f>+'QTR Raw'!AZ69</f>
        <v>0</v>
      </c>
      <c r="CH144" s="23">
        <f t="shared" si="1228"/>
        <v>11977</v>
      </c>
      <c r="CI144" s="23">
        <f t="shared" ref="CI144:DB144" si="1230">CH144+CI44</f>
        <v>12299</v>
      </c>
      <c r="CJ144" s="23">
        <f t="shared" si="1230"/>
        <v>12621</v>
      </c>
      <c r="CK144" s="23">
        <f t="shared" si="1230"/>
        <v>12961</v>
      </c>
      <c r="CL144" s="23">
        <f t="shared" si="1230"/>
        <v>13326</v>
      </c>
      <c r="CM144" s="24">
        <f t="shared" si="1230"/>
        <v>13766.04</v>
      </c>
      <c r="CN144" s="24">
        <f t="shared" si="1230"/>
        <v>14209.919040000001</v>
      </c>
      <c r="CO144" s="24">
        <f t="shared" si="1230"/>
        <v>14657.544983040001</v>
      </c>
      <c r="CP144" s="24">
        <f t="shared" si="1230"/>
        <v>15108.827903447042</v>
      </c>
      <c r="CQ144" s="24">
        <f t="shared" si="1230"/>
        <v>15563.680033764313</v>
      </c>
      <c r="CR144" s="24">
        <f t="shared" si="1230"/>
        <v>16022.015712953969</v>
      </c>
      <c r="CS144" s="24">
        <f t="shared" si="1230"/>
        <v>16483.751335843073</v>
      </c>
      <c r="CT144" s="24">
        <f t="shared" si="1230"/>
        <v>16948.805303782839</v>
      </c>
      <c r="CU144" s="24">
        <f t="shared" si="1230"/>
        <v>17417.097976492052</v>
      </c>
      <c r="CV144" s="24">
        <f t="shared" si="1230"/>
        <v>17888.551625056243</v>
      </c>
      <c r="CW144" s="24">
        <f t="shared" si="1230"/>
        <v>18363.090386054893</v>
      </c>
      <c r="CX144" s="24">
        <f t="shared" si="1230"/>
        <v>18840.640216789576</v>
      </c>
      <c r="CY144" s="24">
        <f t="shared" si="1230"/>
        <v>19321.128851586625</v>
      </c>
      <c r="CZ144" s="24">
        <f t="shared" si="1230"/>
        <v>19804.485759148545</v>
      </c>
      <c r="DA144" s="24">
        <f t="shared" si="1230"/>
        <v>20290.642100928981</v>
      </c>
      <c r="DB144" s="24">
        <f t="shared" si="1230"/>
        <v>20779.530690506686</v>
      </c>
      <c r="DE144" s="123"/>
      <c r="DF144" s="23">
        <v>13326</v>
      </c>
    </row>
    <row r="145" spans="1:110" s="23" customFormat="1" outlineLevel="1" x14ac:dyDescent="0.2">
      <c r="A145" s="23" t="s">
        <v>52</v>
      </c>
      <c r="B145" s="23">
        <f>'Annual Raw'!C64</f>
        <v>0</v>
      </c>
      <c r="C145" s="23">
        <f>'Annual Raw'!D64</f>
        <v>0</v>
      </c>
      <c r="D145" s="23">
        <f>'Annual Raw'!E64</f>
        <v>0</v>
      </c>
      <c r="E145" s="23">
        <f>'Annual Raw'!F64</f>
        <v>0</v>
      </c>
      <c r="F145" s="23">
        <f>'Annual Raw'!G64</f>
        <v>0</v>
      </c>
      <c r="G145" s="23">
        <f>'Annual Raw'!H64</f>
        <v>0</v>
      </c>
      <c r="H145" s="23">
        <f>'Annual Raw'!I64</f>
        <v>0</v>
      </c>
      <c r="I145" s="23">
        <f>'Annual Raw'!J64</f>
        <v>0</v>
      </c>
      <c r="J145" s="23">
        <f>'Annual Raw'!K64</f>
        <v>0</v>
      </c>
      <c r="K145" s="23">
        <f>'Annual Raw'!L64</f>
        <v>0</v>
      </c>
      <c r="L145" s="23">
        <f>'Annual Raw'!M64</f>
        <v>0</v>
      </c>
      <c r="M145" s="23">
        <f>'Annual Raw'!N64</f>
        <v>0</v>
      </c>
      <c r="N145" s="23">
        <f>'Annual Raw'!O64</f>
        <v>0</v>
      </c>
      <c r="O145" s="23">
        <f>'Annual Raw'!P64</f>
        <v>0</v>
      </c>
      <c r="P145" s="23">
        <f>'Annual Raw'!Q64</f>
        <v>0</v>
      </c>
      <c r="Q145" s="23">
        <f>'Annual Raw'!R64</f>
        <v>0</v>
      </c>
      <c r="R145" s="23">
        <f>'Annual Raw'!S64</f>
        <v>0</v>
      </c>
      <c r="S145" s="23">
        <f>'Annual Raw'!T64</f>
        <v>0</v>
      </c>
      <c r="T145" s="23">
        <f>'Annual Raw'!U64</f>
        <v>0</v>
      </c>
      <c r="U145" s="23">
        <f>'Annual Raw'!V64</f>
        <v>0</v>
      </c>
      <c r="V145" s="23">
        <f>'Annual Raw'!W64</f>
        <v>0</v>
      </c>
      <c r="W145" s="23">
        <f>'Annual Raw'!X64</f>
        <v>0</v>
      </c>
      <c r="X145" s="23">
        <f>'Annual Raw'!Y64</f>
        <v>0</v>
      </c>
      <c r="Y145" s="23">
        <f>'Annual Raw'!Z64</f>
        <v>0</v>
      </c>
      <c r="Z145" s="23">
        <f>'Annual Raw'!AA64</f>
        <v>0</v>
      </c>
      <c r="AA145" s="23">
        <f>'Annual Raw'!AB64</f>
        <v>0</v>
      </c>
      <c r="AB145" s="24">
        <f t="shared" si="1224"/>
        <v>0</v>
      </c>
      <c r="AC145" s="24">
        <f t="shared" si="1225"/>
        <v>0</v>
      </c>
      <c r="AD145" s="24">
        <f t="shared" si="1226"/>
        <v>0</v>
      </c>
      <c r="AE145" s="24">
        <f t="shared" si="1227"/>
        <v>0</v>
      </c>
      <c r="AJ145" s="23">
        <f>+'QTR Raw'!D70</f>
        <v>0</v>
      </c>
      <c r="AL145" s="23">
        <f>+'QTR Raw'!F70</f>
        <v>0</v>
      </c>
      <c r="AN145" s="23">
        <f>+'QTR Raw'!H70</f>
        <v>0</v>
      </c>
      <c r="AP145" s="23">
        <f>+'QTR Raw'!J70</f>
        <v>0</v>
      </c>
      <c r="AR145" s="23">
        <f>+'QTR Raw'!L70</f>
        <v>0</v>
      </c>
      <c r="AT145" s="23">
        <f>+'QTR Raw'!N70</f>
        <v>0</v>
      </c>
      <c r="AV145" s="23">
        <f>+'QTR Raw'!P70</f>
        <v>0</v>
      </c>
      <c r="AX145" s="23">
        <f>+'QTR Raw'!R70</f>
        <v>0</v>
      </c>
      <c r="AZ145" s="23">
        <f>+'QTR Raw'!T70</f>
        <v>0</v>
      </c>
      <c r="BB145" s="23">
        <f>+'QTR Raw'!V70</f>
        <v>0</v>
      </c>
      <c r="BD145" s="23">
        <f>+'QTR Raw'!X70</f>
        <v>0</v>
      </c>
      <c r="BF145" s="23">
        <f>+'QTR Raw'!Z70</f>
        <v>0</v>
      </c>
      <c r="BH145" s="23">
        <f>+'QTR Raw'!AB70</f>
        <v>0</v>
      </c>
      <c r="BJ145" s="23">
        <f>+'QTR Raw'!AD70</f>
        <v>0</v>
      </c>
      <c r="BL145" s="23">
        <f>+'QTR Raw'!AF70</f>
        <v>0</v>
      </c>
      <c r="BN145" s="23">
        <f>+'QTR Raw'!AH70</f>
        <v>0</v>
      </c>
      <c r="BP145" s="23">
        <f>+'QTR Raw'!AJ70</f>
        <v>0</v>
      </c>
      <c r="BR145" s="23">
        <f>+'QTR Raw'!AL70</f>
        <v>0</v>
      </c>
      <c r="BT145" s="23">
        <f>+'QTR Raw'!AN70</f>
        <v>0</v>
      </c>
      <c r="BV145" s="23">
        <f>+'QTR Raw'!AP70</f>
        <v>0</v>
      </c>
      <c r="BX145" s="23">
        <f>+'QTR Raw'!AR70</f>
        <v>0</v>
      </c>
      <c r="BZ145" s="23">
        <f>+'QTR Raw'!AT70</f>
        <v>0</v>
      </c>
      <c r="CB145" s="23">
        <f>+'QTR Raw'!AV70</f>
        <v>0</v>
      </c>
      <c r="CD145" s="23">
        <f>+'QTR Raw'!AX70</f>
        <v>0</v>
      </c>
      <c r="CF145" s="23">
        <f>+'QTR Raw'!AZ70</f>
        <v>0</v>
      </c>
      <c r="CH145" s="23">
        <f t="shared" si="1228"/>
        <v>0</v>
      </c>
      <c r="CI145" s="23">
        <f>CH145</f>
        <v>0</v>
      </c>
      <c r="CJ145" s="23">
        <f>+'QTR Raw'!BD70</f>
        <v>0</v>
      </c>
      <c r="CK145" s="23">
        <f t="shared" ref="CK145:DB145" si="1231">CJ145</f>
        <v>0</v>
      </c>
      <c r="CL145" s="23">
        <f>+'QTR Raw'!BF70</f>
        <v>0</v>
      </c>
      <c r="CM145" s="24">
        <f t="shared" si="1231"/>
        <v>0</v>
      </c>
      <c r="CN145" s="24">
        <f t="shared" si="1231"/>
        <v>0</v>
      </c>
      <c r="CO145" s="24">
        <f t="shared" si="1231"/>
        <v>0</v>
      </c>
      <c r="CP145" s="24">
        <f t="shared" si="1231"/>
        <v>0</v>
      </c>
      <c r="CQ145" s="24">
        <f t="shared" si="1231"/>
        <v>0</v>
      </c>
      <c r="CR145" s="24">
        <f t="shared" si="1231"/>
        <v>0</v>
      </c>
      <c r="CS145" s="24">
        <f t="shared" si="1231"/>
        <v>0</v>
      </c>
      <c r="CT145" s="24">
        <f t="shared" si="1231"/>
        <v>0</v>
      </c>
      <c r="CU145" s="24">
        <f t="shared" si="1231"/>
        <v>0</v>
      </c>
      <c r="CV145" s="24">
        <f t="shared" si="1231"/>
        <v>0</v>
      </c>
      <c r="CW145" s="24">
        <f t="shared" si="1231"/>
        <v>0</v>
      </c>
      <c r="CX145" s="24">
        <f t="shared" si="1231"/>
        <v>0</v>
      </c>
      <c r="CY145" s="24">
        <f t="shared" si="1231"/>
        <v>0</v>
      </c>
      <c r="CZ145" s="24">
        <f t="shared" si="1231"/>
        <v>0</v>
      </c>
      <c r="DA145" s="24">
        <f t="shared" si="1231"/>
        <v>0</v>
      </c>
      <c r="DB145" s="24">
        <f t="shared" si="1231"/>
        <v>0</v>
      </c>
      <c r="DE145" s="123"/>
      <c r="DF145" s="23">
        <v>0</v>
      </c>
    </row>
    <row r="146" spans="1:110" s="22" customFormat="1" outlineLevel="1" x14ac:dyDescent="0.2">
      <c r="A146" s="22" t="s">
        <v>53</v>
      </c>
      <c r="B146" s="22">
        <f>+B143-B144-B145</f>
        <v>0</v>
      </c>
      <c r="C146" s="22">
        <f t="shared" ref="C146:W146" si="1232">+C143-C144-C145</f>
        <v>0</v>
      </c>
      <c r="D146" s="22">
        <f t="shared" si="1232"/>
        <v>0</v>
      </c>
      <c r="E146" s="22">
        <f t="shared" si="1232"/>
        <v>0</v>
      </c>
      <c r="F146" s="22">
        <f t="shared" si="1232"/>
        <v>0</v>
      </c>
      <c r="G146" s="22">
        <f t="shared" si="1232"/>
        <v>0</v>
      </c>
      <c r="H146" s="22">
        <f t="shared" si="1232"/>
        <v>0</v>
      </c>
      <c r="I146" s="22">
        <f t="shared" si="1232"/>
        <v>0</v>
      </c>
      <c r="J146" s="22">
        <f t="shared" si="1232"/>
        <v>0</v>
      </c>
      <c r="K146" s="22">
        <f t="shared" si="1232"/>
        <v>0</v>
      </c>
      <c r="L146" s="22">
        <f t="shared" si="1232"/>
        <v>0</v>
      </c>
      <c r="M146" s="22">
        <f t="shared" si="1232"/>
        <v>0</v>
      </c>
      <c r="N146" s="22">
        <f t="shared" si="1232"/>
        <v>0</v>
      </c>
      <c r="O146" s="22">
        <f t="shared" si="1232"/>
        <v>0</v>
      </c>
      <c r="P146" s="22">
        <f t="shared" si="1232"/>
        <v>0</v>
      </c>
      <c r="Q146" s="22">
        <f t="shared" si="1232"/>
        <v>0</v>
      </c>
      <c r="R146" s="22">
        <f t="shared" si="1232"/>
        <v>12610</v>
      </c>
      <c r="S146" s="22">
        <f t="shared" si="1232"/>
        <v>12136</v>
      </c>
      <c r="T146" s="22">
        <f t="shared" si="1232"/>
        <v>11953</v>
      </c>
      <c r="U146" s="22">
        <f t="shared" si="1232"/>
        <v>11337</v>
      </c>
      <c r="V146" s="22">
        <f t="shared" si="1232"/>
        <v>12614</v>
      </c>
      <c r="W146" s="22">
        <f t="shared" si="1232"/>
        <v>13202</v>
      </c>
      <c r="X146" s="22">
        <f t="shared" ref="X146:Y146" si="1233">+X143-X144-X145</f>
        <v>14053</v>
      </c>
      <c r="Y146" s="22">
        <f t="shared" si="1233"/>
        <v>15203</v>
      </c>
      <c r="Z146" s="22">
        <f t="shared" ref="Z146:AE146" si="1234">+Z143-Z144-Z145</f>
        <v>16890</v>
      </c>
      <c r="AA146" s="22">
        <f t="shared" ref="AA146" si="1235">+AA143-AA144-AA145</f>
        <v>18955</v>
      </c>
      <c r="AB146" s="21">
        <f t="shared" si="1234"/>
        <v>18952.17209655296</v>
      </c>
      <c r="AC146" s="21">
        <f t="shared" si="1234"/>
        <v>19512.194696217161</v>
      </c>
      <c r="AD146" s="21">
        <f t="shared" si="1234"/>
        <v>20020.359783210424</v>
      </c>
      <c r="AE146" s="21">
        <f t="shared" si="1234"/>
        <v>20481.469309493314</v>
      </c>
      <c r="AJ146" s="22">
        <f t="shared" ref="AJ146:AL146" si="1236">+AJ143-AJ144-AJ145</f>
        <v>0</v>
      </c>
      <c r="AK146" s="22">
        <f t="shared" ref="AK146:CE146" si="1237">+AJ146</f>
        <v>0</v>
      </c>
      <c r="AL146" s="22">
        <f t="shared" si="1236"/>
        <v>0</v>
      </c>
      <c r="AM146" s="22">
        <f t="shared" si="1237"/>
        <v>0</v>
      </c>
      <c r="AN146" s="22">
        <f t="shared" ref="AN146" si="1238">+AN143-AN144-AN145</f>
        <v>0</v>
      </c>
      <c r="AO146" s="22">
        <f t="shared" si="1237"/>
        <v>0</v>
      </c>
      <c r="AP146" s="22">
        <f t="shared" ref="AP146:CD146" si="1239">+AP143-AP144-AP145</f>
        <v>0</v>
      </c>
      <c r="AQ146" s="22">
        <f t="shared" si="1237"/>
        <v>0</v>
      </c>
      <c r="AR146" s="22">
        <f t="shared" si="1239"/>
        <v>0</v>
      </c>
      <c r="AS146" s="22">
        <f t="shared" si="1237"/>
        <v>0</v>
      </c>
      <c r="AT146" s="22">
        <f t="shared" si="1239"/>
        <v>0</v>
      </c>
      <c r="AU146" s="22">
        <f t="shared" si="1237"/>
        <v>0</v>
      </c>
      <c r="AV146" s="22">
        <f t="shared" si="1239"/>
        <v>0</v>
      </c>
      <c r="AW146" s="22">
        <f t="shared" si="1237"/>
        <v>0</v>
      </c>
      <c r="AX146" s="22">
        <f t="shared" si="1239"/>
        <v>0</v>
      </c>
      <c r="AY146" s="22">
        <f t="shared" si="1237"/>
        <v>0</v>
      </c>
      <c r="AZ146" s="22">
        <f t="shared" si="1239"/>
        <v>0</v>
      </c>
      <c r="BA146" s="22">
        <f t="shared" si="1237"/>
        <v>0</v>
      </c>
      <c r="BB146" s="22">
        <f t="shared" si="1239"/>
        <v>0</v>
      </c>
      <c r="BC146" s="22">
        <f t="shared" si="1237"/>
        <v>0</v>
      </c>
      <c r="BD146" s="22">
        <f t="shared" si="1239"/>
        <v>0</v>
      </c>
      <c r="BE146" s="22">
        <f t="shared" si="1237"/>
        <v>0</v>
      </c>
      <c r="BF146" s="22">
        <f t="shared" si="1239"/>
        <v>0</v>
      </c>
      <c r="BG146" s="22">
        <f t="shared" si="1237"/>
        <v>0</v>
      </c>
      <c r="BH146" s="22">
        <f t="shared" si="1239"/>
        <v>0</v>
      </c>
      <c r="BI146" s="22">
        <f t="shared" si="1237"/>
        <v>0</v>
      </c>
      <c r="BJ146" s="22">
        <f t="shared" si="1239"/>
        <v>11972</v>
      </c>
      <c r="BK146" s="22">
        <f t="shared" si="1237"/>
        <v>11972</v>
      </c>
      <c r="BL146" s="22">
        <f t="shared" si="1239"/>
        <v>8842</v>
      </c>
      <c r="BM146" s="22">
        <f t="shared" si="1237"/>
        <v>8842</v>
      </c>
      <c r="BN146" s="22">
        <f t="shared" si="1239"/>
        <v>11207</v>
      </c>
      <c r="BO146" s="22">
        <f t="shared" si="1237"/>
        <v>11207</v>
      </c>
      <c r="BP146" s="22">
        <f t="shared" si="1239"/>
        <v>11164</v>
      </c>
      <c r="BQ146" s="22">
        <f t="shared" si="1237"/>
        <v>11164</v>
      </c>
      <c r="BR146" s="22">
        <f t="shared" si="1239"/>
        <v>12567</v>
      </c>
      <c r="BS146" s="22">
        <f t="shared" si="1237"/>
        <v>12567</v>
      </c>
      <c r="BT146" s="22">
        <f t="shared" si="1239"/>
        <v>12335</v>
      </c>
      <c r="BU146" s="22">
        <f t="shared" si="1237"/>
        <v>12335</v>
      </c>
      <c r="BV146" s="22">
        <f t="shared" si="1239"/>
        <v>13101</v>
      </c>
      <c r="BW146" s="22">
        <f t="shared" si="1237"/>
        <v>13101</v>
      </c>
      <c r="BX146" s="22">
        <f t="shared" si="1239"/>
        <v>13289</v>
      </c>
      <c r="BY146" s="22">
        <f t="shared" si="1237"/>
        <v>13289</v>
      </c>
      <c r="BZ146" s="22">
        <f t="shared" si="1239"/>
        <v>13878</v>
      </c>
      <c r="CA146" s="22">
        <f t="shared" si="1237"/>
        <v>13878</v>
      </c>
      <c r="CB146" s="22">
        <f t="shared" si="1239"/>
        <v>14513</v>
      </c>
      <c r="CC146" s="22">
        <f t="shared" si="1237"/>
        <v>14513</v>
      </c>
      <c r="CD146" s="22">
        <f t="shared" si="1239"/>
        <v>15044</v>
      </c>
      <c r="CE146" s="22">
        <f t="shared" si="1237"/>
        <v>15044</v>
      </c>
      <c r="CF146" s="22">
        <f t="shared" ref="CF146:CI146" si="1240">+CF143-CF144-CF145</f>
        <v>15393</v>
      </c>
      <c r="CG146" s="22">
        <f t="shared" ref="CG146:CI149" si="1241">+CF146</f>
        <v>15393</v>
      </c>
      <c r="CH146" s="22">
        <f t="shared" si="1240"/>
        <v>16890</v>
      </c>
      <c r="CI146" s="22">
        <f t="shared" si="1240"/>
        <v>16568</v>
      </c>
      <c r="CJ146" s="23">
        <f>+'QTR Raw'!BD68</f>
        <v>16341</v>
      </c>
      <c r="CK146" s="23">
        <f t="shared" ref="CK146:DB146" si="1242">+CK143-CK144-CK145</f>
        <v>16001</v>
      </c>
      <c r="CL146" s="23">
        <f>+'QTR Raw'!BF68</f>
        <v>18335</v>
      </c>
      <c r="CM146" s="21">
        <f t="shared" si="1242"/>
        <v>18494.96</v>
      </c>
      <c r="CN146" s="21">
        <f t="shared" si="1242"/>
        <v>18651.080959999999</v>
      </c>
      <c r="CO146" s="21">
        <f t="shared" si="1242"/>
        <v>18803.455016959997</v>
      </c>
      <c r="CP146" s="21">
        <f t="shared" si="1242"/>
        <v>18952.17209655296</v>
      </c>
      <c r="CQ146" s="21">
        <f t="shared" si="1242"/>
        <v>19097.319966235686</v>
      </c>
      <c r="CR146" s="21">
        <f t="shared" si="1242"/>
        <v>19238.984287046031</v>
      </c>
      <c r="CS146" s="21">
        <f t="shared" si="1242"/>
        <v>19377.248664156927</v>
      </c>
      <c r="CT146" s="21">
        <f t="shared" si="1242"/>
        <v>19512.194696217161</v>
      </c>
      <c r="CU146" s="21">
        <f t="shared" si="1242"/>
        <v>19643.902023507948</v>
      </c>
      <c r="CV146" s="21">
        <f t="shared" si="1242"/>
        <v>19772.448374943757</v>
      </c>
      <c r="CW146" s="21">
        <f t="shared" si="1242"/>
        <v>19897.909613945107</v>
      </c>
      <c r="CX146" s="21">
        <f t="shared" si="1242"/>
        <v>20020.359783210424</v>
      </c>
      <c r="CY146" s="21">
        <f t="shared" si="1242"/>
        <v>20139.871148413375</v>
      </c>
      <c r="CZ146" s="21">
        <f t="shared" si="1242"/>
        <v>20256.514240851455</v>
      </c>
      <c r="DA146" s="21">
        <f t="shared" si="1242"/>
        <v>20370.357899071019</v>
      </c>
      <c r="DB146" s="21">
        <f t="shared" si="1242"/>
        <v>20481.469309493314</v>
      </c>
      <c r="DE146" s="126"/>
      <c r="DF146" s="22">
        <v>18335</v>
      </c>
    </row>
    <row r="147" spans="1:110" s="23" customFormat="1" outlineLevel="1" x14ac:dyDescent="0.2">
      <c r="A147" s="23" t="s">
        <v>54</v>
      </c>
      <c r="B147" s="23">
        <f>'Annual Raw'!C86</f>
        <v>0</v>
      </c>
      <c r="C147" s="23">
        <f>'Annual Raw'!D86</f>
        <v>0</v>
      </c>
      <c r="D147" s="23">
        <f>'Annual Raw'!E86</f>
        <v>0</v>
      </c>
      <c r="E147" s="23">
        <f>'Annual Raw'!F86</f>
        <v>0</v>
      </c>
      <c r="F147" s="23">
        <f>'Annual Raw'!G86</f>
        <v>0</v>
      </c>
      <c r="G147" s="23">
        <f>'Annual Raw'!H86</f>
        <v>0</v>
      </c>
      <c r="H147" s="23">
        <f>'Annual Raw'!I86</f>
        <v>0</v>
      </c>
      <c r="I147" s="23">
        <f>'Annual Raw'!J86</f>
        <v>0</v>
      </c>
      <c r="J147" s="23">
        <f>'Annual Raw'!K86</f>
        <v>0</v>
      </c>
      <c r="K147" s="23">
        <f>'Annual Raw'!L86</f>
        <v>0</v>
      </c>
      <c r="L147" s="23">
        <f>'Annual Raw'!M86</f>
        <v>0</v>
      </c>
      <c r="M147" s="23">
        <f>'Annual Raw'!N86</f>
        <v>0</v>
      </c>
      <c r="N147" s="23">
        <f>'Annual Raw'!O86</f>
        <v>0</v>
      </c>
      <c r="O147" s="23">
        <f>'Annual Raw'!P86</f>
        <v>0</v>
      </c>
      <c r="P147" s="23">
        <f>'Annual Raw'!Q86</f>
        <v>0</v>
      </c>
      <c r="Q147" s="23">
        <f>'Annual Raw'!R86</f>
        <v>0</v>
      </c>
      <c r="R147" s="23">
        <f>'Annual Raw'!S86</f>
        <v>2906</v>
      </c>
      <c r="S147" s="23">
        <f>'Annual Raw'!T86</f>
        <v>1901</v>
      </c>
      <c r="T147" s="23">
        <f>'Annual Raw'!U86</f>
        <v>1620</v>
      </c>
      <c r="U147" s="23">
        <f>'Annual Raw'!V86</f>
        <v>1218</v>
      </c>
      <c r="V147" s="23">
        <f>'Annual Raw'!W86</f>
        <v>1011</v>
      </c>
      <c r="W147" s="23">
        <f>'Annual Raw'!X86</f>
        <v>933</v>
      </c>
      <c r="X147" s="23">
        <f>'Annual Raw'!Y86</f>
        <v>730</v>
      </c>
      <c r="Y147" s="23">
        <f>'Annual Raw'!Z86</f>
        <v>528</v>
      </c>
      <c r="Z147" s="23">
        <f>'Annual Raw'!AA86</f>
        <v>375</v>
      </c>
      <c r="AA147" s="23">
        <f>'Annual Raw'!AB86</f>
        <v>375</v>
      </c>
      <c r="AB147" s="24">
        <f t="shared" si="1224"/>
        <v>374</v>
      </c>
      <c r="AC147" s="24">
        <f t="shared" si="1225"/>
        <v>374</v>
      </c>
      <c r="AD147" s="24">
        <f t="shared" si="1226"/>
        <v>374</v>
      </c>
      <c r="AE147" s="24">
        <f t="shared" si="1227"/>
        <v>374</v>
      </c>
      <c r="AJ147" s="23">
        <f>+'QTR Raw'!D72</f>
        <v>0</v>
      </c>
      <c r="AK147" s="23">
        <f>+AJ147</f>
        <v>0</v>
      </c>
      <c r="AL147" s="23">
        <f>+'QTR Raw'!F72</f>
        <v>0</v>
      </c>
      <c r="AM147" s="23">
        <f t="shared" ref="AK147:CE149" si="1243">+AL147</f>
        <v>0</v>
      </c>
      <c r="AN147" s="23">
        <f>+'QTR Raw'!H72</f>
        <v>0</v>
      </c>
      <c r="AO147" s="23">
        <f t="shared" si="1243"/>
        <v>0</v>
      </c>
      <c r="AP147" s="23">
        <f>+'QTR Raw'!J72</f>
        <v>0</v>
      </c>
      <c r="AQ147" s="23">
        <f t="shared" si="1243"/>
        <v>0</v>
      </c>
      <c r="AR147" s="23">
        <f>+'QTR Raw'!L72</f>
        <v>0</v>
      </c>
      <c r="AS147" s="23">
        <f t="shared" si="1243"/>
        <v>0</v>
      </c>
      <c r="AT147" s="23">
        <f>+'QTR Raw'!N72</f>
        <v>0</v>
      </c>
      <c r="AU147" s="23">
        <f t="shared" si="1243"/>
        <v>0</v>
      </c>
      <c r="AV147" s="23">
        <f>+'QTR Raw'!P72</f>
        <v>0</v>
      </c>
      <c r="AW147" s="23">
        <f t="shared" si="1243"/>
        <v>0</v>
      </c>
      <c r="AX147" s="23">
        <f>+'QTR Raw'!R72</f>
        <v>0</v>
      </c>
      <c r="AY147" s="23">
        <f t="shared" si="1243"/>
        <v>0</v>
      </c>
      <c r="AZ147" s="23">
        <f>+'QTR Raw'!T72</f>
        <v>0</v>
      </c>
      <c r="BA147" s="23">
        <f t="shared" si="1243"/>
        <v>0</v>
      </c>
      <c r="BB147" s="23">
        <f>+'QTR Raw'!V72</f>
        <v>0</v>
      </c>
      <c r="BC147" s="23">
        <f t="shared" si="1243"/>
        <v>0</v>
      </c>
      <c r="BD147" s="23">
        <f>+'QTR Raw'!X72</f>
        <v>0</v>
      </c>
      <c r="BE147" s="23">
        <f t="shared" si="1243"/>
        <v>0</v>
      </c>
      <c r="BF147" s="23">
        <f>+'QTR Raw'!Z72</f>
        <v>0</v>
      </c>
      <c r="BG147" s="23">
        <f t="shared" si="1243"/>
        <v>0</v>
      </c>
      <c r="BH147" s="23">
        <f>+'QTR Raw'!AB72</f>
        <v>0</v>
      </c>
      <c r="BI147" s="23">
        <f t="shared" si="1243"/>
        <v>0</v>
      </c>
      <c r="BJ147" s="23">
        <f>+'QTR Raw'!AD72</f>
        <v>1620</v>
      </c>
      <c r="BK147" s="23">
        <f t="shared" si="1243"/>
        <v>1620</v>
      </c>
      <c r="BL147" s="23">
        <f>+'QTR Raw'!AF72</f>
        <v>4199</v>
      </c>
      <c r="BM147" s="23">
        <f t="shared" si="1243"/>
        <v>4199</v>
      </c>
      <c r="BN147" s="23">
        <f>+'QTR Raw'!AH72</f>
        <v>1218</v>
      </c>
      <c r="BO147" s="23">
        <f t="shared" si="1243"/>
        <v>1218</v>
      </c>
      <c r="BP147" s="23">
        <f>+'QTR Raw'!AJ72</f>
        <v>1116</v>
      </c>
      <c r="BQ147" s="23">
        <f t="shared" si="1243"/>
        <v>1116</v>
      </c>
      <c r="BR147" s="23">
        <f>+'QTR Raw'!AL72</f>
        <v>1011</v>
      </c>
      <c r="BS147" s="23">
        <f t="shared" si="1243"/>
        <v>1011</v>
      </c>
      <c r="BT147" s="23">
        <f>+'QTR Raw'!AN72</f>
        <v>909</v>
      </c>
      <c r="BU147" s="23">
        <f t="shared" si="1243"/>
        <v>909</v>
      </c>
      <c r="BV147" s="23">
        <f>+'QTR Raw'!AP72</f>
        <v>933</v>
      </c>
      <c r="BW147" s="23">
        <f t="shared" si="1243"/>
        <v>933</v>
      </c>
      <c r="BX147" s="23">
        <f>+'QTR Raw'!AR72</f>
        <v>831</v>
      </c>
      <c r="BY147" s="23">
        <f t="shared" si="1243"/>
        <v>831</v>
      </c>
      <c r="BZ147" s="23">
        <f>+'QTR Raw'!AT72</f>
        <v>730</v>
      </c>
      <c r="CA147" s="23">
        <f t="shared" si="1243"/>
        <v>730</v>
      </c>
      <c r="CB147" s="23">
        <f>+'QTR Raw'!AV72</f>
        <v>628</v>
      </c>
      <c r="CC147" s="23">
        <f t="shared" si="1243"/>
        <v>628</v>
      </c>
      <c r="CD147" s="23">
        <f>+'QTR Raw'!AX72</f>
        <v>527</v>
      </c>
      <c r="CE147" s="23">
        <f t="shared" si="1243"/>
        <v>527</v>
      </c>
      <c r="CF147" s="23">
        <f>+'QTR Raw'!AZ72</f>
        <v>425</v>
      </c>
      <c r="CG147" s="23">
        <f t="shared" si="1241"/>
        <v>425</v>
      </c>
      <c r="CH147" s="23">
        <f t="shared" si="1228"/>
        <v>375</v>
      </c>
      <c r="CI147" s="23">
        <f t="shared" si="1241"/>
        <v>375</v>
      </c>
      <c r="CJ147" s="23">
        <f>+'QTR Raw'!BD72</f>
        <v>374</v>
      </c>
      <c r="CK147" s="23">
        <f t="shared" ref="CK147:CK149" si="1244">+CJ147</f>
        <v>374</v>
      </c>
      <c r="CL147" s="23">
        <f>+'QTR Raw'!BF72</f>
        <v>374</v>
      </c>
      <c r="CM147" s="24">
        <f t="shared" ref="CM147:CM149" si="1245">+CL147</f>
        <v>374</v>
      </c>
      <c r="CN147" s="24">
        <f t="shared" ref="CN147:CN149" si="1246">+CM147</f>
        <v>374</v>
      </c>
      <c r="CO147" s="24">
        <f t="shared" ref="CO147:CO149" si="1247">+CN147</f>
        <v>374</v>
      </c>
      <c r="CP147" s="24">
        <f t="shared" ref="CP147:CP149" si="1248">+CO147</f>
        <v>374</v>
      </c>
      <c r="CQ147" s="24">
        <f t="shared" ref="CQ147:CQ149" si="1249">+CP147</f>
        <v>374</v>
      </c>
      <c r="CR147" s="24">
        <f t="shared" ref="CR147:CR149" si="1250">+CQ147</f>
        <v>374</v>
      </c>
      <c r="CS147" s="24">
        <f t="shared" ref="CS147:CS149" si="1251">+CR147</f>
        <v>374</v>
      </c>
      <c r="CT147" s="24">
        <f t="shared" ref="CT147:CT149" si="1252">+CS147</f>
        <v>374</v>
      </c>
      <c r="CU147" s="24">
        <f t="shared" ref="CU147:CU149" si="1253">+CT147</f>
        <v>374</v>
      </c>
      <c r="CV147" s="24">
        <f t="shared" ref="CV147:CV149" si="1254">+CU147</f>
        <v>374</v>
      </c>
      <c r="CW147" s="24">
        <f t="shared" ref="CW147:CW149" si="1255">+CV147</f>
        <v>374</v>
      </c>
      <c r="CX147" s="24">
        <f t="shared" ref="CX147:CX149" si="1256">+CW147</f>
        <v>374</v>
      </c>
      <c r="CY147" s="24">
        <f t="shared" ref="CY147:CY149" si="1257">+CX147</f>
        <v>374</v>
      </c>
      <c r="CZ147" s="24">
        <f t="shared" ref="CZ147:CZ149" si="1258">+CY147</f>
        <v>374</v>
      </c>
      <c r="DA147" s="24">
        <f t="shared" ref="DA147:DA149" si="1259">+CZ147</f>
        <v>374</v>
      </c>
      <c r="DB147" s="24">
        <f t="shared" ref="DB147:DB149" si="1260">+DA147</f>
        <v>374</v>
      </c>
      <c r="DE147" s="123"/>
      <c r="DF147" s="23">
        <v>374</v>
      </c>
    </row>
    <row r="148" spans="1:110" s="23" customFormat="1" outlineLevel="1" x14ac:dyDescent="0.2">
      <c r="A148" s="23" t="s">
        <v>55</v>
      </c>
      <c r="B148" s="23">
        <f>'Annual Raw'!C68</f>
        <v>0</v>
      </c>
      <c r="C148" s="23">
        <f>'Annual Raw'!D68</f>
        <v>0</v>
      </c>
      <c r="D148" s="23">
        <f>'Annual Raw'!E68</f>
        <v>0</v>
      </c>
      <c r="E148" s="23">
        <f>'Annual Raw'!F68</f>
        <v>0</v>
      </c>
      <c r="F148" s="23">
        <f>'Annual Raw'!G68</f>
        <v>0</v>
      </c>
      <c r="G148" s="23">
        <f>'Annual Raw'!H68</f>
        <v>0</v>
      </c>
      <c r="H148" s="23">
        <f>'Annual Raw'!I68</f>
        <v>0</v>
      </c>
      <c r="I148" s="23">
        <f>'Annual Raw'!J68</f>
        <v>0</v>
      </c>
      <c r="J148" s="23">
        <f>'Annual Raw'!K68</f>
        <v>0</v>
      </c>
      <c r="K148" s="23">
        <f>'Annual Raw'!L68</f>
        <v>0</v>
      </c>
      <c r="L148" s="23">
        <f>'Annual Raw'!M68</f>
        <v>0</v>
      </c>
      <c r="M148" s="23">
        <f>'Annual Raw'!N68</f>
        <v>0</v>
      </c>
      <c r="N148" s="23">
        <f>'Annual Raw'!O68</f>
        <v>0</v>
      </c>
      <c r="O148" s="23">
        <f>'Annual Raw'!P68</f>
        <v>0</v>
      </c>
      <c r="P148" s="23">
        <f>'Annual Raw'!Q68</f>
        <v>0</v>
      </c>
      <c r="Q148" s="23">
        <f>'Annual Raw'!R68</f>
        <v>0</v>
      </c>
      <c r="R148" s="23">
        <f>'Annual Raw'!S68</f>
        <v>0</v>
      </c>
      <c r="S148" s="23">
        <f>'Annual Raw'!T68</f>
        <v>0</v>
      </c>
      <c r="T148" s="23">
        <f>'Annual Raw'!U68</f>
        <v>19</v>
      </c>
      <c r="U148" s="23">
        <f>'Annual Raw'!V68</f>
        <v>38</v>
      </c>
      <c r="V148" s="23">
        <f>'Annual Raw'!W68</f>
        <v>137</v>
      </c>
      <c r="W148" s="23">
        <f>'Annual Raw'!X68</f>
        <v>11</v>
      </c>
      <c r="X148" s="23">
        <f>'Annual Raw'!Y68</f>
        <v>12</v>
      </c>
      <c r="Y148" s="23">
        <f>'Annual Raw'!Z68</f>
        <v>111</v>
      </c>
      <c r="Z148" s="23">
        <f>'Annual Raw'!AA68</f>
        <v>119</v>
      </c>
      <c r="AA148" s="23">
        <f>'Annual Raw'!AB68</f>
        <v>133</v>
      </c>
      <c r="AB148" s="24">
        <f t="shared" si="1224"/>
        <v>0</v>
      </c>
      <c r="AC148" s="24">
        <f t="shared" si="1225"/>
        <v>0</v>
      </c>
      <c r="AD148" s="24">
        <f t="shared" si="1226"/>
        <v>0</v>
      </c>
      <c r="AE148" s="24">
        <f t="shared" si="1227"/>
        <v>0</v>
      </c>
      <c r="AK148" s="23">
        <f t="shared" si="1243"/>
        <v>0</v>
      </c>
      <c r="AM148" s="23">
        <f t="shared" si="1243"/>
        <v>0</v>
      </c>
      <c r="AO148" s="23">
        <f t="shared" si="1243"/>
        <v>0</v>
      </c>
      <c r="AQ148" s="23">
        <f t="shared" si="1243"/>
        <v>0</v>
      </c>
      <c r="AS148" s="23">
        <f t="shared" si="1243"/>
        <v>0</v>
      </c>
      <c r="AU148" s="23">
        <f t="shared" si="1243"/>
        <v>0</v>
      </c>
      <c r="AW148" s="23">
        <f t="shared" si="1243"/>
        <v>0</v>
      </c>
      <c r="AY148" s="23">
        <f t="shared" si="1243"/>
        <v>0</v>
      </c>
      <c r="BA148" s="23">
        <f t="shared" si="1243"/>
        <v>0</v>
      </c>
      <c r="BC148" s="23">
        <f t="shared" si="1243"/>
        <v>0</v>
      </c>
      <c r="BE148" s="23">
        <f t="shared" si="1243"/>
        <v>0</v>
      </c>
      <c r="BG148" s="23">
        <f t="shared" si="1243"/>
        <v>0</v>
      </c>
      <c r="BI148" s="23">
        <f t="shared" si="1243"/>
        <v>0</v>
      </c>
      <c r="BK148" s="23">
        <f t="shared" si="1243"/>
        <v>0</v>
      </c>
      <c r="BM148" s="23">
        <f t="shared" si="1243"/>
        <v>0</v>
      </c>
      <c r="BO148" s="23">
        <f t="shared" si="1243"/>
        <v>0</v>
      </c>
      <c r="BQ148" s="23">
        <f t="shared" si="1243"/>
        <v>0</v>
      </c>
      <c r="BS148" s="23">
        <f t="shared" si="1243"/>
        <v>0</v>
      </c>
      <c r="BU148" s="23">
        <f t="shared" si="1243"/>
        <v>0</v>
      </c>
      <c r="BW148" s="23">
        <f t="shared" si="1243"/>
        <v>0</v>
      </c>
      <c r="BY148" s="23">
        <f t="shared" si="1243"/>
        <v>0</v>
      </c>
      <c r="CA148" s="23">
        <f t="shared" si="1243"/>
        <v>0</v>
      </c>
      <c r="CC148" s="23">
        <f t="shared" si="1243"/>
        <v>0</v>
      </c>
      <c r="CE148" s="23">
        <f t="shared" si="1243"/>
        <v>0</v>
      </c>
      <c r="CG148" s="23">
        <f t="shared" si="1241"/>
        <v>0</v>
      </c>
      <c r="CH148" s="23">
        <f t="shared" si="1228"/>
        <v>119</v>
      </c>
      <c r="CI148" s="23">
        <f t="shared" si="1241"/>
        <v>119</v>
      </c>
      <c r="CK148" s="23">
        <f t="shared" si="1244"/>
        <v>0</v>
      </c>
      <c r="CM148" s="24">
        <f t="shared" si="1245"/>
        <v>0</v>
      </c>
      <c r="CN148" s="24">
        <f t="shared" si="1246"/>
        <v>0</v>
      </c>
      <c r="CO148" s="24">
        <f t="shared" si="1247"/>
        <v>0</v>
      </c>
      <c r="CP148" s="24">
        <f t="shared" si="1248"/>
        <v>0</v>
      </c>
      <c r="CQ148" s="24">
        <f t="shared" si="1249"/>
        <v>0</v>
      </c>
      <c r="CR148" s="24">
        <f t="shared" si="1250"/>
        <v>0</v>
      </c>
      <c r="CS148" s="24">
        <f t="shared" si="1251"/>
        <v>0</v>
      </c>
      <c r="CT148" s="24">
        <f t="shared" si="1252"/>
        <v>0</v>
      </c>
      <c r="CU148" s="24">
        <f t="shared" si="1253"/>
        <v>0</v>
      </c>
      <c r="CV148" s="24">
        <f t="shared" si="1254"/>
        <v>0</v>
      </c>
      <c r="CW148" s="24">
        <f t="shared" si="1255"/>
        <v>0</v>
      </c>
      <c r="CX148" s="24">
        <f t="shared" si="1256"/>
        <v>0</v>
      </c>
      <c r="CY148" s="24">
        <f t="shared" si="1257"/>
        <v>0</v>
      </c>
      <c r="CZ148" s="24">
        <f t="shared" si="1258"/>
        <v>0</v>
      </c>
      <c r="DA148" s="24">
        <f t="shared" si="1259"/>
        <v>0</v>
      </c>
      <c r="DB148" s="24">
        <f t="shared" si="1260"/>
        <v>0</v>
      </c>
      <c r="DE148" s="123"/>
      <c r="DF148" s="23">
        <v>0</v>
      </c>
    </row>
    <row r="149" spans="1:110" s="23" customFormat="1" outlineLevel="1" x14ac:dyDescent="0.2">
      <c r="A149" s="23" t="s">
        <v>56</v>
      </c>
      <c r="B149" s="23">
        <f>'Annual Raw'!C67+'Annual Raw'!C66+'Annual Raw'!C69+'Annual Raw'!C70</f>
        <v>0</v>
      </c>
      <c r="C149" s="23">
        <f>'Annual Raw'!D67+'Annual Raw'!D66+'Annual Raw'!D69+'Annual Raw'!D70</f>
        <v>0</v>
      </c>
      <c r="D149" s="23">
        <f>'Annual Raw'!E67+'Annual Raw'!E66+'Annual Raw'!E69+'Annual Raw'!E70</f>
        <v>0</v>
      </c>
      <c r="E149" s="23">
        <f>'Annual Raw'!F67+'Annual Raw'!F66+'Annual Raw'!F69+'Annual Raw'!F70</f>
        <v>0</v>
      </c>
      <c r="F149" s="23">
        <f>'Annual Raw'!G67+'Annual Raw'!G66+'Annual Raw'!G69+'Annual Raw'!G70</f>
        <v>0</v>
      </c>
      <c r="G149" s="23">
        <f>'Annual Raw'!H67+'Annual Raw'!H66+'Annual Raw'!H69+'Annual Raw'!H70</f>
        <v>0</v>
      </c>
      <c r="H149" s="23">
        <f>'Annual Raw'!I67+'Annual Raw'!I66+'Annual Raw'!I69+'Annual Raw'!I70</f>
        <v>0</v>
      </c>
      <c r="I149" s="23">
        <f>'Annual Raw'!J67+'Annual Raw'!J66+'Annual Raw'!J69+'Annual Raw'!J70</f>
        <v>0</v>
      </c>
      <c r="J149" s="23">
        <f>'Annual Raw'!K67+'Annual Raw'!K66+'Annual Raw'!K69+'Annual Raw'!K70</f>
        <v>0</v>
      </c>
      <c r="K149" s="23">
        <f>'Annual Raw'!L67+'Annual Raw'!L66+'Annual Raw'!L69+'Annual Raw'!L70</f>
        <v>0</v>
      </c>
      <c r="L149" s="23">
        <f>'Annual Raw'!M67+'Annual Raw'!M66+'Annual Raw'!M69+'Annual Raw'!M70</f>
        <v>0</v>
      </c>
      <c r="M149" s="23">
        <f>'Annual Raw'!N67+'Annual Raw'!N66+'Annual Raw'!N69+'Annual Raw'!N70</f>
        <v>0</v>
      </c>
      <c r="N149" s="23">
        <f>'Annual Raw'!O67+'Annual Raw'!O66+'Annual Raw'!O69+'Annual Raw'!O70</f>
        <v>0</v>
      </c>
      <c r="O149" s="23">
        <f>'Annual Raw'!P67+'Annual Raw'!P66+'Annual Raw'!P69+'Annual Raw'!P70</f>
        <v>0</v>
      </c>
      <c r="P149" s="23">
        <f>'Annual Raw'!Q67+'Annual Raw'!Q66+'Annual Raw'!Q69+'Annual Raw'!Q70</f>
        <v>0</v>
      </c>
      <c r="Q149" s="23">
        <f>'Annual Raw'!R67+'Annual Raw'!R66+'Annual Raw'!R69+'Annual Raw'!R70</f>
        <v>0</v>
      </c>
      <c r="R149" s="23">
        <f>'Annual Raw'!S67+'Annual Raw'!S66+'Annual Raw'!S69+'Annual Raw'!S70</f>
        <v>128</v>
      </c>
      <c r="S149" s="23">
        <f>'Annual Raw'!T67+'Annual Raw'!T66+'Annual Raw'!T69+'Annual Raw'!T70</f>
        <v>173</v>
      </c>
      <c r="T149" s="23">
        <f>'Annual Raw'!U67+'Annual Raw'!U66+'Annual Raw'!U69+'Annual Raw'!U70</f>
        <v>501</v>
      </c>
      <c r="U149" s="23">
        <f>'Annual Raw'!V67+'Annual Raw'!V66+'Annual Raw'!V69+'Annual Raw'!V70</f>
        <v>1702</v>
      </c>
      <c r="V149" s="23">
        <f>'Annual Raw'!W67+'Annual Raw'!W66+'Annual Raw'!W69+'Annual Raw'!W70</f>
        <v>870</v>
      </c>
      <c r="W149" s="23">
        <f>'Annual Raw'!X67+'Annual Raw'!X66+'Annual Raw'!X69+'Annual Raw'!X70</f>
        <v>1035</v>
      </c>
      <c r="X149" s="23">
        <f>'Annual Raw'!Y67+'Annual Raw'!Y66+'Annual Raw'!Y69+'Annual Raw'!Y70</f>
        <v>1860</v>
      </c>
      <c r="Y149" s="23">
        <f>'Annual Raw'!Z67+'Annual Raw'!Z66+'Annual Raw'!Z69+'Annual Raw'!Z70</f>
        <v>2285</v>
      </c>
      <c r="Z149" s="23">
        <f>'Annual Raw'!AA67+'Annual Raw'!AA66+'Annual Raw'!AA69+'Annual Raw'!AA70</f>
        <v>2538</v>
      </c>
      <c r="AA149" s="23">
        <f>'Annual Raw'!AB67+'Annual Raw'!AB66+'Annual Raw'!AB69+'Annual Raw'!AB70</f>
        <v>2634</v>
      </c>
      <c r="AB149" s="24">
        <f t="shared" si="1224"/>
        <v>2593</v>
      </c>
      <c r="AC149" s="24">
        <f t="shared" si="1225"/>
        <v>2593</v>
      </c>
      <c r="AD149" s="24">
        <f t="shared" si="1226"/>
        <v>2593</v>
      </c>
      <c r="AE149" s="24">
        <f t="shared" si="1227"/>
        <v>2593</v>
      </c>
      <c r="AJ149" s="23">
        <f>+'QTR Raw'!D74+'QTR Raw'!D75</f>
        <v>0</v>
      </c>
      <c r="AK149" s="23">
        <f t="shared" si="1243"/>
        <v>0</v>
      </c>
      <c r="AL149" s="23">
        <f>+'QTR Raw'!F74+'QTR Raw'!F75</f>
        <v>0</v>
      </c>
      <c r="AM149" s="23">
        <f t="shared" si="1243"/>
        <v>0</v>
      </c>
      <c r="AN149" s="23">
        <f>+'QTR Raw'!H74+'QTR Raw'!H75</f>
        <v>0</v>
      </c>
      <c r="AO149" s="23">
        <f t="shared" si="1243"/>
        <v>0</v>
      </c>
      <c r="AP149" s="23">
        <f>+'QTR Raw'!J74+'QTR Raw'!J75</f>
        <v>0</v>
      </c>
      <c r="AQ149" s="23">
        <f t="shared" si="1243"/>
        <v>0</v>
      </c>
      <c r="AR149" s="23">
        <f>+'QTR Raw'!L74+'QTR Raw'!L75</f>
        <v>0</v>
      </c>
      <c r="AS149" s="23">
        <f t="shared" si="1243"/>
        <v>0</v>
      </c>
      <c r="AT149" s="23">
        <f>+'QTR Raw'!N74+'QTR Raw'!N75</f>
        <v>0</v>
      </c>
      <c r="AU149" s="23">
        <f t="shared" si="1243"/>
        <v>0</v>
      </c>
      <c r="AV149" s="23">
        <f>+'QTR Raw'!P74+'QTR Raw'!P75</f>
        <v>0</v>
      </c>
      <c r="AW149" s="23">
        <f t="shared" si="1243"/>
        <v>0</v>
      </c>
      <c r="AX149" s="23">
        <f>+'QTR Raw'!R74+'QTR Raw'!R75</f>
        <v>0</v>
      </c>
      <c r="AY149" s="23">
        <f t="shared" si="1243"/>
        <v>0</v>
      </c>
      <c r="AZ149" s="23">
        <f>+'QTR Raw'!T74+'QTR Raw'!T75</f>
        <v>0</v>
      </c>
      <c r="BA149" s="23">
        <f t="shared" si="1243"/>
        <v>0</v>
      </c>
      <c r="BB149" s="23">
        <f>+'QTR Raw'!V74+'QTR Raw'!V75</f>
        <v>0</v>
      </c>
      <c r="BC149" s="23">
        <f t="shared" si="1243"/>
        <v>0</v>
      </c>
      <c r="BD149" s="23">
        <f>+'QTR Raw'!X74+'QTR Raw'!X75</f>
        <v>0</v>
      </c>
      <c r="BE149" s="23">
        <f t="shared" si="1243"/>
        <v>0</v>
      </c>
      <c r="BF149" s="23">
        <f>+'QTR Raw'!Z74+'QTR Raw'!Z75</f>
        <v>0</v>
      </c>
      <c r="BG149" s="23">
        <f t="shared" si="1243"/>
        <v>0</v>
      </c>
      <c r="BH149" s="23">
        <f>+'QTR Raw'!AB74+'QTR Raw'!AB75</f>
        <v>0</v>
      </c>
      <c r="BI149" s="23">
        <f t="shared" si="1243"/>
        <v>0</v>
      </c>
      <c r="BJ149" s="23">
        <f>+'QTR Raw'!AD74+'QTR Raw'!AD75</f>
        <v>501</v>
      </c>
      <c r="BK149" s="23">
        <f t="shared" si="1243"/>
        <v>501</v>
      </c>
      <c r="BL149" s="23">
        <f>+'QTR Raw'!AF74+'QTR Raw'!AF75</f>
        <v>1045</v>
      </c>
      <c r="BM149" s="23">
        <f t="shared" si="1243"/>
        <v>1045</v>
      </c>
      <c r="BN149" s="23">
        <f>+'QTR Raw'!AH74+'QTR Raw'!AH75</f>
        <v>1702</v>
      </c>
      <c r="BO149" s="23">
        <f t="shared" si="1243"/>
        <v>1702</v>
      </c>
      <c r="BP149" s="23">
        <f>+'QTR Raw'!AJ74+'QTR Raw'!AJ75</f>
        <v>2145</v>
      </c>
      <c r="BQ149" s="23">
        <f t="shared" si="1243"/>
        <v>2145</v>
      </c>
      <c r="BR149" s="23">
        <f>+'QTR Raw'!AL74+'QTR Raw'!AL75</f>
        <v>869</v>
      </c>
      <c r="BS149" s="23">
        <f t="shared" si="1243"/>
        <v>869</v>
      </c>
      <c r="BT149" s="23">
        <f>+'QTR Raw'!AN74+'QTR Raw'!AN75</f>
        <v>1250</v>
      </c>
      <c r="BU149" s="23">
        <f t="shared" si="1243"/>
        <v>1250</v>
      </c>
      <c r="BV149" s="23">
        <f>+'QTR Raw'!AP74+'QTR Raw'!AP75</f>
        <v>1034</v>
      </c>
      <c r="BW149" s="23">
        <f t="shared" si="1243"/>
        <v>1034</v>
      </c>
      <c r="BX149" s="23">
        <f>+'QTR Raw'!AR74+'QTR Raw'!AR75</f>
        <v>1487</v>
      </c>
      <c r="BY149" s="23">
        <f t="shared" si="1243"/>
        <v>1487</v>
      </c>
      <c r="BZ149" s="23">
        <f>+'QTR Raw'!AT74+'QTR Raw'!AT75</f>
        <v>1859</v>
      </c>
      <c r="CA149" s="23">
        <f t="shared" si="1243"/>
        <v>1859</v>
      </c>
      <c r="CB149" s="23">
        <f>+'QTR Raw'!AV74+'QTR Raw'!AV75</f>
        <v>1852</v>
      </c>
      <c r="CC149" s="23">
        <f t="shared" si="1243"/>
        <v>1852</v>
      </c>
      <c r="CD149" s="23">
        <f>+'QTR Raw'!AX74+'QTR Raw'!AX75</f>
        <v>2284</v>
      </c>
      <c r="CE149" s="23">
        <f t="shared" si="1243"/>
        <v>2284</v>
      </c>
      <c r="CF149" s="23">
        <f>+'QTR Raw'!AZ74+'QTR Raw'!AZ75</f>
        <v>2887</v>
      </c>
      <c r="CG149" s="23">
        <f t="shared" si="1241"/>
        <v>2887</v>
      </c>
      <c r="CH149" s="23">
        <f t="shared" si="1228"/>
        <v>2538</v>
      </c>
      <c r="CI149" s="23">
        <f t="shared" si="1241"/>
        <v>2538</v>
      </c>
      <c r="CJ149" s="23">
        <f>+'QTR Raw'!BD74+'QTR Raw'!BD75</f>
        <v>3488</v>
      </c>
      <c r="CK149" s="23">
        <f t="shared" si="1244"/>
        <v>3488</v>
      </c>
      <c r="CL149" s="23">
        <f>+'QTR Raw'!BF74+'QTR Raw'!BF75</f>
        <v>2593</v>
      </c>
      <c r="CM149" s="24">
        <f t="shared" si="1245"/>
        <v>2593</v>
      </c>
      <c r="CN149" s="24">
        <f t="shared" si="1246"/>
        <v>2593</v>
      </c>
      <c r="CO149" s="24">
        <f t="shared" si="1247"/>
        <v>2593</v>
      </c>
      <c r="CP149" s="24">
        <f t="shared" si="1248"/>
        <v>2593</v>
      </c>
      <c r="CQ149" s="24">
        <f t="shared" si="1249"/>
        <v>2593</v>
      </c>
      <c r="CR149" s="24">
        <f t="shared" si="1250"/>
        <v>2593</v>
      </c>
      <c r="CS149" s="24">
        <f t="shared" si="1251"/>
        <v>2593</v>
      </c>
      <c r="CT149" s="24">
        <f t="shared" si="1252"/>
        <v>2593</v>
      </c>
      <c r="CU149" s="24">
        <f t="shared" si="1253"/>
        <v>2593</v>
      </c>
      <c r="CV149" s="24">
        <f t="shared" si="1254"/>
        <v>2593</v>
      </c>
      <c r="CW149" s="24">
        <f t="shared" si="1255"/>
        <v>2593</v>
      </c>
      <c r="CX149" s="24">
        <f t="shared" si="1256"/>
        <v>2593</v>
      </c>
      <c r="CY149" s="24">
        <f t="shared" si="1257"/>
        <v>2593</v>
      </c>
      <c r="CZ149" s="24">
        <f t="shared" si="1258"/>
        <v>2593</v>
      </c>
      <c r="DA149" s="24">
        <f t="shared" si="1259"/>
        <v>2593</v>
      </c>
      <c r="DB149" s="24">
        <f t="shared" si="1260"/>
        <v>2593</v>
      </c>
      <c r="DE149" s="123"/>
      <c r="DF149" s="23">
        <v>2593</v>
      </c>
    </row>
    <row r="150" spans="1:110" s="22" customFormat="1" x14ac:dyDescent="0.2">
      <c r="A150" s="22" t="s">
        <v>57</v>
      </c>
      <c r="B150" s="22">
        <f>B146+B149+B148</f>
        <v>0</v>
      </c>
      <c r="C150" s="22">
        <f t="shared" ref="C150:D150" si="1261">C146+C149+C148</f>
        <v>0</v>
      </c>
      <c r="D150" s="22">
        <f t="shared" si="1261"/>
        <v>0</v>
      </c>
      <c r="E150" s="22">
        <f t="shared" ref="E150:Y150" si="1262">E146+E149+E148+E147</f>
        <v>0</v>
      </c>
      <c r="F150" s="22">
        <f t="shared" si="1262"/>
        <v>0</v>
      </c>
      <c r="G150" s="22">
        <f t="shared" si="1262"/>
        <v>0</v>
      </c>
      <c r="H150" s="22">
        <f t="shared" si="1262"/>
        <v>0</v>
      </c>
      <c r="I150" s="22">
        <f t="shared" si="1262"/>
        <v>0</v>
      </c>
      <c r="J150" s="22">
        <f t="shared" si="1262"/>
        <v>0</v>
      </c>
      <c r="K150" s="22">
        <f t="shared" si="1262"/>
        <v>0</v>
      </c>
      <c r="L150" s="22">
        <f t="shared" si="1262"/>
        <v>0</v>
      </c>
      <c r="M150" s="22">
        <f t="shared" si="1262"/>
        <v>0</v>
      </c>
      <c r="N150" s="22">
        <f t="shared" si="1262"/>
        <v>0</v>
      </c>
      <c r="O150" s="22">
        <f t="shared" si="1262"/>
        <v>0</v>
      </c>
      <c r="P150" s="22">
        <f t="shared" si="1262"/>
        <v>0</v>
      </c>
      <c r="Q150" s="22">
        <f t="shared" si="1262"/>
        <v>0</v>
      </c>
      <c r="R150" s="22">
        <f t="shared" si="1262"/>
        <v>15644</v>
      </c>
      <c r="S150" s="22">
        <f t="shared" si="1262"/>
        <v>14210</v>
      </c>
      <c r="T150" s="22">
        <f t="shared" si="1262"/>
        <v>14093</v>
      </c>
      <c r="U150" s="22">
        <f t="shared" si="1262"/>
        <v>14295</v>
      </c>
      <c r="V150" s="22">
        <f t="shared" si="1262"/>
        <v>14632</v>
      </c>
      <c r="W150" s="22">
        <f t="shared" si="1262"/>
        <v>15181</v>
      </c>
      <c r="X150" s="22">
        <f t="shared" si="1262"/>
        <v>16655</v>
      </c>
      <c r="Y150" s="22">
        <f t="shared" si="1262"/>
        <v>18127</v>
      </c>
      <c r="Z150" s="22">
        <f>Z146+Z149+Z148+Z147</f>
        <v>19922</v>
      </c>
      <c r="AA150" s="22">
        <f>AA146+AA149+AA148+AA147</f>
        <v>22097</v>
      </c>
      <c r="AB150" s="161">
        <f t="shared" ref="AB150:AE150" si="1263">AB146+AB149+AB148+AB147</f>
        <v>21919.17209655296</v>
      </c>
      <c r="AC150" s="161">
        <f t="shared" si="1263"/>
        <v>22479.194696217161</v>
      </c>
      <c r="AD150" s="161">
        <f t="shared" si="1263"/>
        <v>22987.359783210424</v>
      </c>
      <c r="AE150" s="161">
        <f t="shared" si="1263"/>
        <v>23448.469309493314</v>
      </c>
      <c r="AJ150" s="22">
        <f t="shared" ref="AJ150" si="1264">AJ146+AJ149+AJ147+AJ148</f>
        <v>0</v>
      </c>
      <c r="AK150" s="22">
        <f t="shared" ref="AK150" si="1265">AK146+AK149+AK147+AK148</f>
        <v>0</v>
      </c>
      <c r="AL150" s="22">
        <f t="shared" ref="AL150:AM150" si="1266">AL146+AL149+AL147+AL148</f>
        <v>0</v>
      </c>
      <c r="AM150" s="22">
        <f t="shared" si="1266"/>
        <v>0</v>
      </c>
      <c r="AN150" s="22">
        <f t="shared" ref="AN150:AO150" si="1267">AN146+AN149+AN147+AN148</f>
        <v>0</v>
      </c>
      <c r="AO150" s="22">
        <f t="shared" si="1267"/>
        <v>0</v>
      </c>
      <c r="AP150" s="22">
        <f t="shared" ref="AP150:CE150" si="1268">AP146+AP149+AP147+AP148</f>
        <v>0</v>
      </c>
      <c r="AQ150" s="22">
        <f t="shared" si="1268"/>
        <v>0</v>
      </c>
      <c r="AR150" s="22">
        <f t="shared" si="1268"/>
        <v>0</v>
      </c>
      <c r="AS150" s="22">
        <f t="shared" si="1268"/>
        <v>0</v>
      </c>
      <c r="AT150" s="22">
        <f t="shared" si="1268"/>
        <v>0</v>
      </c>
      <c r="AU150" s="22">
        <f t="shared" si="1268"/>
        <v>0</v>
      </c>
      <c r="AV150" s="22">
        <f t="shared" si="1268"/>
        <v>0</v>
      </c>
      <c r="AW150" s="22">
        <f t="shared" si="1268"/>
        <v>0</v>
      </c>
      <c r="AX150" s="22">
        <f t="shared" si="1268"/>
        <v>0</v>
      </c>
      <c r="AY150" s="22">
        <f t="shared" si="1268"/>
        <v>0</v>
      </c>
      <c r="AZ150" s="22">
        <f t="shared" si="1268"/>
        <v>0</v>
      </c>
      <c r="BA150" s="22">
        <f t="shared" si="1268"/>
        <v>0</v>
      </c>
      <c r="BB150" s="22">
        <f t="shared" si="1268"/>
        <v>0</v>
      </c>
      <c r="BC150" s="22">
        <f t="shared" si="1268"/>
        <v>0</v>
      </c>
      <c r="BD150" s="22">
        <f t="shared" si="1268"/>
        <v>0</v>
      </c>
      <c r="BE150" s="22">
        <f t="shared" si="1268"/>
        <v>0</v>
      </c>
      <c r="BF150" s="22">
        <f t="shared" si="1268"/>
        <v>0</v>
      </c>
      <c r="BG150" s="22">
        <f t="shared" si="1268"/>
        <v>0</v>
      </c>
      <c r="BH150" s="22">
        <f t="shared" si="1268"/>
        <v>0</v>
      </c>
      <c r="BI150" s="22">
        <f t="shared" si="1268"/>
        <v>0</v>
      </c>
      <c r="BJ150" s="22">
        <f t="shared" si="1268"/>
        <v>14093</v>
      </c>
      <c r="BK150" s="22">
        <f t="shared" si="1268"/>
        <v>14093</v>
      </c>
      <c r="BL150" s="22">
        <f t="shared" si="1268"/>
        <v>14086</v>
      </c>
      <c r="BM150" s="22">
        <f t="shared" si="1268"/>
        <v>14086</v>
      </c>
      <c r="BN150" s="22">
        <f t="shared" si="1268"/>
        <v>14127</v>
      </c>
      <c r="BO150" s="22">
        <f t="shared" si="1268"/>
        <v>14127</v>
      </c>
      <c r="BP150" s="22">
        <f t="shared" si="1268"/>
        <v>14425</v>
      </c>
      <c r="BQ150" s="22">
        <f t="shared" si="1268"/>
        <v>14425</v>
      </c>
      <c r="BR150" s="22">
        <f t="shared" si="1268"/>
        <v>14447</v>
      </c>
      <c r="BS150" s="22">
        <f t="shared" si="1268"/>
        <v>14447</v>
      </c>
      <c r="BT150" s="22">
        <f t="shared" si="1268"/>
        <v>14494</v>
      </c>
      <c r="BU150" s="22">
        <f t="shared" si="1268"/>
        <v>14494</v>
      </c>
      <c r="BV150" s="22">
        <f t="shared" si="1268"/>
        <v>15068</v>
      </c>
      <c r="BW150" s="22">
        <f t="shared" si="1268"/>
        <v>15068</v>
      </c>
      <c r="BX150" s="22">
        <f t="shared" si="1268"/>
        <v>15607</v>
      </c>
      <c r="BY150" s="22">
        <f t="shared" si="1268"/>
        <v>15607</v>
      </c>
      <c r="BZ150" s="22">
        <f t="shared" si="1268"/>
        <v>16467</v>
      </c>
      <c r="CA150" s="22">
        <f t="shared" si="1268"/>
        <v>16467</v>
      </c>
      <c r="CB150" s="22">
        <f t="shared" si="1268"/>
        <v>16993</v>
      </c>
      <c r="CC150" s="22">
        <f t="shared" si="1268"/>
        <v>16993</v>
      </c>
      <c r="CD150" s="22">
        <f t="shared" si="1268"/>
        <v>17855</v>
      </c>
      <c r="CE150" s="22">
        <f t="shared" si="1268"/>
        <v>17855</v>
      </c>
      <c r="CF150" s="22">
        <f t="shared" ref="CF150:CG150" si="1269">CF146+CF149+CF147+CF148</f>
        <v>18705</v>
      </c>
      <c r="CG150" s="22">
        <f t="shared" si="1269"/>
        <v>18705</v>
      </c>
      <c r="CH150" s="22">
        <f t="shared" ref="CH150:CJ150" si="1270">CH146+CH149+CH147+CH148</f>
        <v>19922</v>
      </c>
      <c r="CI150" s="22">
        <f t="shared" si="1270"/>
        <v>19600</v>
      </c>
      <c r="CJ150" s="22">
        <f t="shared" si="1270"/>
        <v>20203</v>
      </c>
      <c r="CK150" s="22">
        <f t="shared" ref="CK150:DB150" si="1271">CK146+CK149+CK147+CK148</f>
        <v>19863</v>
      </c>
      <c r="CL150" s="22">
        <f t="shared" si="1271"/>
        <v>21302</v>
      </c>
      <c r="CM150" s="21">
        <f t="shared" si="1271"/>
        <v>21461.96</v>
      </c>
      <c r="CN150" s="21">
        <f t="shared" si="1271"/>
        <v>21618.080959999999</v>
      </c>
      <c r="CO150" s="21">
        <f t="shared" si="1271"/>
        <v>21770.455016959997</v>
      </c>
      <c r="CP150" s="21">
        <f t="shared" si="1271"/>
        <v>21919.17209655296</v>
      </c>
      <c r="CQ150" s="21">
        <f t="shared" si="1271"/>
        <v>22064.319966235686</v>
      </c>
      <c r="CR150" s="21">
        <f t="shared" si="1271"/>
        <v>22205.984287046031</v>
      </c>
      <c r="CS150" s="21">
        <f t="shared" si="1271"/>
        <v>22344.248664156927</v>
      </c>
      <c r="CT150" s="21">
        <f t="shared" si="1271"/>
        <v>22479.194696217161</v>
      </c>
      <c r="CU150" s="21">
        <f t="shared" si="1271"/>
        <v>22610.902023507948</v>
      </c>
      <c r="CV150" s="21">
        <f t="shared" si="1271"/>
        <v>22739.448374943757</v>
      </c>
      <c r="CW150" s="21">
        <f t="shared" si="1271"/>
        <v>22864.909613945107</v>
      </c>
      <c r="CX150" s="21">
        <f t="shared" si="1271"/>
        <v>22987.359783210424</v>
      </c>
      <c r="CY150" s="21">
        <f t="shared" si="1271"/>
        <v>23106.871148413375</v>
      </c>
      <c r="CZ150" s="21">
        <f t="shared" si="1271"/>
        <v>23223.514240851455</v>
      </c>
      <c r="DA150" s="21">
        <f t="shared" si="1271"/>
        <v>23337.357899071019</v>
      </c>
      <c r="DB150" s="21">
        <f t="shared" si="1271"/>
        <v>23448.469309493314</v>
      </c>
      <c r="DE150" s="126"/>
      <c r="DF150" s="22">
        <v>21302</v>
      </c>
    </row>
    <row r="151" spans="1:110" s="23" customFormat="1" x14ac:dyDescent="0.2">
      <c r="AB151" s="24"/>
      <c r="AC151" s="24"/>
      <c r="AD151" s="24"/>
      <c r="AE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0" s="23" customFormat="1" x14ac:dyDescent="0.2">
      <c r="A152" s="23" t="s">
        <v>58</v>
      </c>
      <c r="B152" s="23">
        <f>'Annual Raw'!C71</f>
        <v>0</v>
      </c>
      <c r="C152" s="23">
        <f>'Annual Raw'!D71</f>
        <v>0</v>
      </c>
      <c r="D152" s="23">
        <f>'Annual Raw'!E71</f>
        <v>0</v>
      </c>
      <c r="E152" s="23">
        <f>'Annual Raw'!F71</f>
        <v>0</v>
      </c>
      <c r="F152" s="23">
        <f>'Annual Raw'!G71</f>
        <v>0</v>
      </c>
      <c r="G152" s="23">
        <f>'Annual Raw'!H71</f>
        <v>0</v>
      </c>
      <c r="H152" s="23">
        <f>'Annual Raw'!I71</f>
        <v>0</v>
      </c>
      <c r="I152" s="23">
        <f>'Annual Raw'!J71</f>
        <v>0</v>
      </c>
      <c r="J152" s="23">
        <f>'Annual Raw'!K71</f>
        <v>0</v>
      </c>
      <c r="K152" s="23">
        <f>'Annual Raw'!L71</f>
        <v>0</v>
      </c>
      <c r="L152" s="23">
        <f>'Annual Raw'!M71</f>
        <v>0</v>
      </c>
      <c r="M152" s="23">
        <f>'Annual Raw'!N71</f>
        <v>0</v>
      </c>
      <c r="N152" s="23">
        <f>'Annual Raw'!O71</f>
        <v>0</v>
      </c>
      <c r="O152" s="23">
        <f>'Annual Raw'!P71</f>
        <v>0</v>
      </c>
      <c r="P152" s="23">
        <f>'Annual Raw'!Q71</f>
        <v>0</v>
      </c>
      <c r="Q152" s="23">
        <f>'Annual Raw'!R71</f>
        <v>0</v>
      </c>
      <c r="R152" s="23">
        <f>'Annual Raw'!S71</f>
        <v>99</v>
      </c>
      <c r="S152" s="23">
        <f>'Annual Raw'!T71</f>
        <v>97</v>
      </c>
      <c r="T152" s="23">
        <f>'Annual Raw'!U71</f>
        <v>109</v>
      </c>
      <c r="U152" s="23">
        <f>'Annual Raw'!V71</f>
        <v>118</v>
      </c>
      <c r="V152" s="23">
        <f>'Annual Raw'!W71</f>
        <v>740</v>
      </c>
      <c r="W152" s="23">
        <f>'Annual Raw'!X71</f>
        <v>1305</v>
      </c>
      <c r="X152" s="23">
        <f>'Annual Raw'!Y71</f>
        <v>589</v>
      </c>
      <c r="Y152" s="23">
        <f>'Annual Raw'!Z71</f>
        <v>590</v>
      </c>
      <c r="Z152" s="23">
        <f>'Annual Raw'!AA71</f>
        <v>675</v>
      </c>
      <c r="AA152" s="23">
        <f>'Annual Raw'!AB71</f>
        <v>773</v>
      </c>
      <c r="AB152" s="24">
        <f>+CP152</f>
        <v>814</v>
      </c>
      <c r="AC152" s="24">
        <f>+CT152</f>
        <v>814</v>
      </c>
      <c r="AD152" s="24">
        <f>+CX152</f>
        <v>814</v>
      </c>
      <c r="AE152" s="24">
        <f>+DB152</f>
        <v>814</v>
      </c>
      <c r="AJ152" s="23">
        <f>+'QTR Raw'!D77</f>
        <v>0</v>
      </c>
      <c r="AK152" s="23">
        <f t="shared" ref="AK152:CE152" si="1272">+AJ152</f>
        <v>0</v>
      </c>
      <c r="AL152" s="23">
        <f>+'QTR Raw'!F77</f>
        <v>0</v>
      </c>
      <c r="AM152" s="23">
        <f t="shared" si="1272"/>
        <v>0</v>
      </c>
      <c r="AN152" s="23">
        <f>+'QTR Raw'!H77</f>
        <v>0</v>
      </c>
      <c r="AO152" s="23">
        <f t="shared" si="1272"/>
        <v>0</v>
      </c>
      <c r="AP152" s="23">
        <f>+'QTR Raw'!J77</f>
        <v>0</v>
      </c>
      <c r="AQ152" s="23">
        <f t="shared" si="1272"/>
        <v>0</v>
      </c>
      <c r="AR152" s="23">
        <f>+'QTR Raw'!L77</f>
        <v>0</v>
      </c>
      <c r="AS152" s="23">
        <f t="shared" si="1272"/>
        <v>0</v>
      </c>
      <c r="AT152" s="23">
        <f>+'QTR Raw'!N77</f>
        <v>0</v>
      </c>
      <c r="AU152" s="23">
        <f t="shared" si="1272"/>
        <v>0</v>
      </c>
      <c r="AV152" s="23">
        <f>+'QTR Raw'!P77</f>
        <v>0</v>
      </c>
      <c r="AW152" s="23">
        <f t="shared" si="1272"/>
        <v>0</v>
      </c>
      <c r="AX152" s="23">
        <f>+'QTR Raw'!R77</f>
        <v>0</v>
      </c>
      <c r="AY152" s="23">
        <f t="shared" si="1272"/>
        <v>0</v>
      </c>
      <c r="AZ152" s="23">
        <f>+'QTR Raw'!T77</f>
        <v>0</v>
      </c>
      <c r="BA152" s="23">
        <f t="shared" si="1272"/>
        <v>0</v>
      </c>
      <c r="BB152" s="23">
        <f>+'QTR Raw'!V77</f>
        <v>0</v>
      </c>
      <c r="BC152" s="23">
        <f t="shared" si="1272"/>
        <v>0</v>
      </c>
      <c r="BD152" s="23">
        <f>+'QTR Raw'!X77</f>
        <v>0</v>
      </c>
      <c r="BE152" s="23">
        <f t="shared" si="1272"/>
        <v>0</v>
      </c>
      <c r="BF152" s="23">
        <f>+'QTR Raw'!Z77</f>
        <v>0</v>
      </c>
      <c r="BG152" s="23">
        <f t="shared" si="1272"/>
        <v>0</v>
      </c>
      <c r="BH152" s="23">
        <f>+'QTR Raw'!AB77</f>
        <v>0</v>
      </c>
      <c r="BI152" s="23">
        <f t="shared" si="1272"/>
        <v>0</v>
      </c>
      <c r="BJ152" s="23">
        <f>+'QTR Raw'!AD77</f>
        <v>109</v>
      </c>
      <c r="BK152" s="23">
        <f t="shared" si="1272"/>
        <v>109</v>
      </c>
      <c r="BL152" s="23">
        <f>+'QTR Raw'!AF77</f>
        <v>111</v>
      </c>
      <c r="BM152" s="23">
        <f t="shared" si="1272"/>
        <v>111</v>
      </c>
      <c r="BN152" s="23">
        <f>+'QTR Raw'!AH77</f>
        <v>118</v>
      </c>
      <c r="BO152" s="23">
        <f t="shared" si="1272"/>
        <v>118</v>
      </c>
      <c r="BP152" s="23">
        <f>+'QTR Raw'!AJ77</f>
        <v>118</v>
      </c>
      <c r="BQ152" s="23">
        <f t="shared" si="1272"/>
        <v>118</v>
      </c>
      <c r="BR152" s="23">
        <f>+'QTR Raw'!AL77</f>
        <v>741</v>
      </c>
      <c r="BS152" s="23">
        <f t="shared" si="1272"/>
        <v>741</v>
      </c>
      <c r="BT152" s="23">
        <f>+'QTR Raw'!AN77</f>
        <v>123</v>
      </c>
      <c r="BU152" s="23">
        <f t="shared" si="1272"/>
        <v>123</v>
      </c>
      <c r="BV152" s="23">
        <f>+'QTR Raw'!AP77</f>
        <v>1306</v>
      </c>
      <c r="BW152" s="23">
        <f t="shared" si="1272"/>
        <v>1306</v>
      </c>
      <c r="BX152" s="23">
        <f>+'QTR Raw'!AR77</f>
        <v>1105</v>
      </c>
      <c r="BY152" s="23">
        <f t="shared" si="1272"/>
        <v>1105</v>
      </c>
      <c r="BZ152" s="23">
        <f>+'QTR Raw'!AT77</f>
        <v>590</v>
      </c>
      <c r="CA152" s="23">
        <f t="shared" si="1272"/>
        <v>590</v>
      </c>
      <c r="CB152" s="23">
        <f>+'QTR Raw'!AV77</f>
        <v>757</v>
      </c>
      <c r="CC152" s="23">
        <f t="shared" si="1272"/>
        <v>757</v>
      </c>
      <c r="CD152" s="23">
        <f>+'QTR Raw'!AX77</f>
        <v>591</v>
      </c>
      <c r="CE152" s="23">
        <f t="shared" si="1272"/>
        <v>591</v>
      </c>
      <c r="CF152" s="23">
        <f>+'QTR Raw'!AZ77</f>
        <v>934</v>
      </c>
      <c r="CG152" s="23">
        <f t="shared" ref="CG152:CI155" si="1273">+CF152</f>
        <v>934</v>
      </c>
      <c r="CH152" s="23">
        <f t="shared" ref="CH152:CH167" si="1274">Z152</f>
        <v>675</v>
      </c>
      <c r="CI152" s="23">
        <f t="shared" si="1273"/>
        <v>675</v>
      </c>
      <c r="CJ152" s="23">
        <f>+'QTR Raw'!BD77</f>
        <v>721</v>
      </c>
      <c r="CK152" s="23">
        <f t="shared" ref="CK152" si="1275">+CJ152</f>
        <v>721</v>
      </c>
      <c r="CL152" s="23">
        <f>+'QTR Raw'!BF77</f>
        <v>814</v>
      </c>
      <c r="CM152" s="24">
        <f t="shared" ref="CM152" si="1276">+CL152</f>
        <v>814</v>
      </c>
      <c r="CN152" s="24">
        <f t="shared" ref="CN152" si="1277">+CM152</f>
        <v>814</v>
      </c>
      <c r="CO152" s="24">
        <f t="shared" ref="CO152" si="1278">+CN152</f>
        <v>814</v>
      </c>
      <c r="CP152" s="24">
        <f t="shared" ref="CP152" si="1279">+CO152</f>
        <v>814</v>
      </c>
      <c r="CQ152" s="24">
        <f t="shared" ref="CQ152" si="1280">+CP152</f>
        <v>814</v>
      </c>
      <c r="CR152" s="24">
        <f t="shared" ref="CR152" si="1281">+CQ152</f>
        <v>814</v>
      </c>
      <c r="CS152" s="24">
        <f t="shared" ref="CS152" si="1282">+CR152</f>
        <v>814</v>
      </c>
      <c r="CT152" s="24">
        <f t="shared" ref="CT152" si="1283">+CS152</f>
        <v>814</v>
      </c>
      <c r="CU152" s="24">
        <f t="shared" ref="CU152" si="1284">+CT152</f>
        <v>814</v>
      </c>
      <c r="CV152" s="24">
        <f t="shared" ref="CV152" si="1285">+CU152</f>
        <v>814</v>
      </c>
      <c r="CW152" s="24">
        <f t="shared" ref="CW152" si="1286">+CV152</f>
        <v>814</v>
      </c>
      <c r="CX152" s="24">
        <f t="shared" ref="CX152" si="1287">+CW152</f>
        <v>814</v>
      </c>
      <c r="CY152" s="24">
        <f t="shared" ref="CY152" si="1288">+CX152</f>
        <v>814</v>
      </c>
      <c r="CZ152" s="24">
        <f t="shared" ref="CZ152" si="1289">+CY152</f>
        <v>814</v>
      </c>
      <c r="DA152" s="24">
        <f t="shared" ref="DA152" si="1290">+CZ152</f>
        <v>814</v>
      </c>
      <c r="DB152" s="24">
        <f t="shared" ref="DB152" si="1291">+DA152</f>
        <v>814</v>
      </c>
      <c r="DE152" s="123"/>
      <c r="DF152" s="23">
        <v>814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outlineLevel="1" x14ac:dyDescent="0.2">
      <c r="A154" s="23" t="s">
        <v>59</v>
      </c>
      <c r="B154" s="23">
        <f>'Annual Raw'!C72</f>
        <v>0</v>
      </c>
      <c r="C154" s="23">
        <f>'Annual Raw'!D72</f>
        <v>0</v>
      </c>
      <c r="D154" s="23">
        <f>'Annual Raw'!E72</f>
        <v>0</v>
      </c>
      <c r="E154" s="23">
        <f>'Annual Raw'!F72+'Annual Raw'!F61</f>
        <v>0</v>
      </c>
      <c r="F154" s="23">
        <f>'Annual Raw'!G72+'Annual Raw'!G61</f>
        <v>0</v>
      </c>
      <c r="G154" s="23">
        <f>'Annual Raw'!H72+'Annual Raw'!H61</f>
        <v>0</v>
      </c>
      <c r="H154" s="23">
        <f>'Annual Raw'!I72+'Annual Raw'!I61</f>
        <v>0</v>
      </c>
      <c r="I154" s="23">
        <f>'Annual Raw'!J72+'Annual Raw'!J61</f>
        <v>0</v>
      </c>
      <c r="J154" s="23">
        <f>'Annual Raw'!K72+'Annual Raw'!K61</f>
        <v>0</v>
      </c>
      <c r="K154" s="23">
        <f>'Annual Raw'!L72+'Annual Raw'!L61</f>
        <v>0</v>
      </c>
      <c r="L154" s="23">
        <f>'Annual Raw'!M72+'Annual Raw'!M61</f>
        <v>0</v>
      </c>
      <c r="M154" s="23">
        <f>'Annual Raw'!N72+'Annual Raw'!N61</f>
        <v>0</v>
      </c>
      <c r="N154" s="23">
        <f>'Annual Raw'!O72+'Annual Raw'!O61</f>
        <v>0</v>
      </c>
      <c r="O154" s="23">
        <f>'Annual Raw'!P72+'Annual Raw'!P61</f>
        <v>0</v>
      </c>
      <c r="P154" s="23">
        <f>'Annual Raw'!Q72+'Annual Raw'!Q61</f>
        <v>0</v>
      </c>
      <c r="Q154" s="23">
        <f>'Annual Raw'!R72+'Annual Raw'!R61</f>
        <v>0</v>
      </c>
      <c r="R154" s="23">
        <f>'Annual Raw'!S72+'Annual Raw'!S61</f>
        <v>365</v>
      </c>
      <c r="S154" s="23">
        <f>'Annual Raw'!T72+'Annual Raw'!T61</f>
        <v>251</v>
      </c>
      <c r="T154" s="23">
        <f>'Annual Raw'!U72+'Annual Raw'!U61</f>
        <v>527</v>
      </c>
      <c r="U154" s="23">
        <f>'Annual Raw'!V72+'Annual Raw'!V61</f>
        <v>382</v>
      </c>
      <c r="V154" s="23">
        <f>'Annual Raw'!W72+'Annual Raw'!W61</f>
        <v>356</v>
      </c>
      <c r="W154" s="23">
        <f>'Annual Raw'!X72+'Annual Raw'!X61</f>
        <v>576</v>
      </c>
      <c r="X154" s="23">
        <f>'Annual Raw'!Y72+'Annual Raw'!Y61</f>
        <v>788</v>
      </c>
      <c r="Y154" s="23">
        <f>'Annual Raw'!Z72+'Annual Raw'!Z61</f>
        <v>948</v>
      </c>
      <c r="Z154" s="23">
        <f>'Annual Raw'!AA72+'Annual Raw'!AA61</f>
        <v>923</v>
      </c>
      <c r="AA154" s="23">
        <f>'Annual Raw'!AB72+'Annual Raw'!AB61</f>
        <v>994</v>
      </c>
      <c r="AB154" s="24">
        <f t="shared" ref="AB154:AB159" si="1292">+CP154</f>
        <v>0</v>
      </c>
      <c r="AC154" s="24">
        <f t="shared" ref="AC154:AC159" si="1293">+CT154</f>
        <v>0</v>
      </c>
      <c r="AD154" s="24">
        <f t="shared" ref="AD154:AD159" si="1294">+CX154</f>
        <v>0</v>
      </c>
      <c r="AE154" s="24">
        <f t="shared" ref="AE154:AE159" si="1295">+DB154</f>
        <v>0</v>
      </c>
      <c r="AJ154" s="23">
        <f>+'QTR Raw'!D78</f>
        <v>0</v>
      </c>
      <c r="AK154" s="23">
        <f t="shared" ref="AK154:CE159" si="1296">+AJ154</f>
        <v>0</v>
      </c>
      <c r="AL154" s="23">
        <f>+'QTR Raw'!F78</f>
        <v>0</v>
      </c>
      <c r="AM154" s="23">
        <f t="shared" si="1296"/>
        <v>0</v>
      </c>
      <c r="AN154" s="23">
        <f>+'QTR Raw'!H78</f>
        <v>0</v>
      </c>
      <c r="AO154" s="23">
        <f t="shared" si="1296"/>
        <v>0</v>
      </c>
      <c r="AP154" s="23">
        <f>+'QTR Raw'!J78</f>
        <v>0</v>
      </c>
      <c r="AQ154" s="23">
        <f t="shared" si="1296"/>
        <v>0</v>
      </c>
      <c r="AR154" s="23">
        <f>+'QTR Raw'!L78</f>
        <v>0</v>
      </c>
      <c r="AS154" s="23">
        <f t="shared" si="1296"/>
        <v>0</v>
      </c>
      <c r="AT154" s="23">
        <f>+'QTR Raw'!N78</f>
        <v>0</v>
      </c>
      <c r="AU154" s="23">
        <f t="shared" si="1296"/>
        <v>0</v>
      </c>
      <c r="AV154" s="23">
        <f>+'QTR Raw'!P78</f>
        <v>0</v>
      </c>
      <c r="AW154" s="23">
        <f t="shared" si="1296"/>
        <v>0</v>
      </c>
      <c r="AX154" s="23">
        <f>+'QTR Raw'!R78</f>
        <v>0</v>
      </c>
      <c r="AY154" s="23">
        <f t="shared" si="1296"/>
        <v>0</v>
      </c>
      <c r="AZ154" s="23">
        <f>+'QTR Raw'!T78</f>
        <v>0</v>
      </c>
      <c r="BA154" s="23">
        <f t="shared" si="1296"/>
        <v>0</v>
      </c>
      <c r="BB154" s="23">
        <f>+'QTR Raw'!V78</f>
        <v>0</v>
      </c>
      <c r="BC154" s="23">
        <f t="shared" si="1296"/>
        <v>0</v>
      </c>
      <c r="BD154" s="23">
        <f>+'QTR Raw'!X78</f>
        <v>0</v>
      </c>
      <c r="BE154" s="23">
        <f t="shared" si="1296"/>
        <v>0</v>
      </c>
      <c r="BF154" s="23">
        <f>+'QTR Raw'!Z78</f>
        <v>0</v>
      </c>
      <c r="BG154" s="23">
        <f t="shared" si="1296"/>
        <v>0</v>
      </c>
      <c r="BH154" s="23">
        <f>+'QTR Raw'!AB78</f>
        <v>0</v>
      </c>
      <c r="BI154" s="23">
        <f t="shared" si="1296"/>
        <v>0</v>
      </c>
      <c r="BJ154" s="23">
        <f>+'QTR Raw'!AD78</f>
        <v>63</v>
      </c>
      <c r="BK154" s="23">
        <f t="shared" si="1296"/>
        <v>63</v>
      </c>
      <c r="BL154" s="23">
        <f>+'QTR Raw'!AF78</f>
        <v>13</v>
      </c>
      <c r="BM154" s="23">
        <f t="shared" si="1296"/>
        <v>13</v>
      </c>
      <c r="BN154" s="23">
        <f>+'QTR Raw'!AH78</f>
        <v>71</v>
      </c>
      <c r="BO154" s="23">
        <f t="shared" si="1296"/>
        <v>71</v>
      </c>
      <c r="BP154" s="23">
        <f>+'QTR Raw'!AJ78</f>
        <v>69</v>
      </c>
      <c r="BQ154" s="23">
        <f t="shared" si="1296"/>
        <v>69</v>
      </c>
      <c r="BR154" s="23">
        <f>+'QTR Raw'!AL78</f>
        <v>11</v>
      </c>
      <c r="BS154" s="23">
        <f t="shared" si="1296"/>
        <v>11</v>
      </c>
      <c r="BT154" s="23">
        <f>+'QTR Raw'!AN78</f>
        <v>10</v>
      </c>
      <c r="BU154" s="23">
        <f t="shared" si="1296"/>
        <v>10</v>
      </c>
      <c r="BV154" s="23">
        <f>+'QTR Raw'!AP78</f>
        <v>9</v>
      </c>
      <c r="BW154" s="23">
        <f t="shared" si="1296"/>
        <v>9</v>
      </c>
      <c r="BX154" s="23">
        <f>+'QTR Raw'!AR78</f>
        <v>10</v>
      </c>
      <c r="BY154" s="23">
        <f t="shared" si="1296"/>
        <v>10</v>
      </c>
      <c r="BZ154" s="23">
        <f>+'QTR Raw'!AT78</f>
        <v>11</v>
      </c>
      <c r="CA154" s="23">
        <f t="shared" si="1296"/>
        <v>11</v>
      </c>
      <c r="CB154" s="23">
        <f>+'QTR Raw'!AV78</f>
        <v>12</v>
      </c>
      <c r="CC154" s="23">
        <f t="shared" si="1296"/>
        <v>12</v>
      </c>
      <c r="CD154" s="23">
        <f>+'QTR Raw'!AX78</f>
        <v>13</v>
      </c>
      <c r="CE154" s="23">
        <f t="shared" si="1296"/>
        <v>13</v>
      </c>
      <c r="CF154" s="23">
        <f>+'QTR Raw'!AZ78</f>
        <v>15</v>
      </c>
      <c r="CG154" s="23">
        <f t="shared" si="1273"/>
        <v>15</v>
      </c>
      <c r="CH154" s="23">
        <f t="shared" si="1274"/>
        <v>923</v>
      </c>
      <c r="CJ154" s="23">
        <f>+'QTR Raw'!BD78</f>
        <v>17</v>
      </c>
      <c r="CL154" s="23">
        <f>+'QTR Raw'!BF78</f>
        <v>19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19</v>
      </c>
    </row>
    <row r="155" spans="1:110" s="23" customFormat="1" outlineLevel="1" x14ac:dyDescent="0.2">
      <c r="A155" s="23" t="s">
        <v>60</v>
      </c>
      <c r="B155" s="23">
        <f>'Annual Raw'!C73+'Annual Raw'!C81</f>
        <v>0</v>
      </c>
      <c r="C155" s="23">
        <f>'Annual Raw'!D73+'Annual Raw'!D81</f>
        <v>0</v>
      </c>
      <c r="D155" s="23">
        <f>'Annual Raw'!E73+'Annual Raw'!E81</f>
        <v>0</v>
      </c>
      <c r="E155" s="23">
        <f>'Annual Raw'!F73+'Annual Raw'!F81</f>
        <v>0</v>
      </c>
      <c r="F155" s="23">
        <f>'Annual Raw'!G73+'Annual Raw'!G81</f>
        <v>0</v>
      </c>
      <c r="G155" s="23">
        <f>'Annual Raw'!H73+'Annual Raw'!H81</f>
        <v>0</v>
      </c>
      <c r="H155" s="23">
        <f>'Annual Raw'!I73+'Annual Raw'!I81</f>
        <v>0</v>
      </c>
      <c r="I155" s="23">
        <f>'Annual Raw'!J73+'Annual Raw'!J81</f>
        <v>0</v>
      </c>
      <c r="J155" s="23">
        <f>'Annual Raw'!K73+'Annual Raw'!K81</f>
        <v>0</v>
      </c>
      <c r="K155" s="23">
        <f>'Annual Raw'!L73+'Annual Raw'!L81</f>
        <v>0</v>
      </c>
      <c r="L155" s="23">
        <f>'Annual Raw'!M73+'Annual Raw'!M81</f>
        <v>0</v>
      </c>
      <c r="M155" s="23">
        <f>'Annual Raw'!N73+'Annual Raw'!N81</f>
        <v>0</v>
      </c>
      <c r="N155" s="23">
        <f>'Annual Raw'!O73+'Annual Raw'!O81</f>
        <v>0</v>
      </c>
      <c r="O155" s="23">
        <f>'Annual Raw'!P73+'Annual Raw'!P81</f>
        <v>0</v>
      </c>
      <c r="P155" s="23">
        <f>'Annual Raw'!Q73+'Annual Raw'!Q81</f>
        <v>0</v>
      </c>
      <c r="Q155" s="23">
        <f>'Annual Raw'!R73+'Annual Raw'!R81</f>
        <v>0</v>
      </c>
      <c r="R155" s="23">
        <f>'Annual Raw'!S73+'Annual Raw'!S81</f>
        <v>378</v>
      </c>
      <c r="S155" s="23">
        <f>'Annual Raw'!T73+'Annual Raw'!T81</f>
        <v>586</v>
      </c>
      <c r="T155" s="23">
        <f>'Annual Raw'!U73+'Annual Raw'!U81</f>
        <v>407</v>
      </c>
      <c r="U155" s="23">
        <f>'Annual Raw'!V73+'Annual Raw'!V81</f>
        <v>149</v>
      </c>
      <c r="V155" s="23">
        <f>'Annual Raw'!W73+'Annual Raw'!W81</f>
        <v>246</v>
      </c>
      <c r="W155" s="23">
        <f>'Annual Raw'!X73+'Annual Raw'!X81</f>
        <v>249</v>
      </c>
      <c r="X155" s="23">
        <f>'Annual Raw'!Y73+'Annual Raw'!Y81</f>
        <v>1027</v>
      </c>
      <c r="Y155" s="23">
        <f>'Annual Raw'!Z73+'Annual Raw'!Z81</f>
        <v>217</v>
      </c>
      <c r="Z155" s="23">
        <f>'Annual Raw'!AA73+'Annual Raw'!AA81</f>
        <v>337</v>
      </c>
      <c r="AA155" s="23">
        <f>'Annual Raw'!AB73+'Annual Raw'!AB81</f>
        <v>632</v>
      </c>
      <c r="AB155" s="24">
        <f t="shared" si="1292"/>
        <v>0</v>
      </c>
      <c r="AC155" s="24">
        <f t="shared" si="1293"/>
        <v>0</v>
      </c>
      <c r="AD155" s="24">
        <f t="shared" si="1294"/>
        <v>0</v>
      </c>
      <c r="AE155" s="24">
        <f t="shared" si="1295"/>
        <v>0</v>
      </c>
      <c r="AJ155" s="23">
        <f>+'QTR Raw'!D79+'QTR Raw'!D76</f>
        <v>0</v>
      </c>
      <c r="AK155" s="23">
        <f t="shared" si="1296"/>
        <v>0</v>
      </c>
      <c r="AL155" s="23">
        <f>+'QTR Raw'!F79+'QTR Raw'!F76</f>
        <v>0</v>
      </c>
      <c r="AM155" s="23">
        <f t="shared" si="1296"/>
        <v>0</v>
      </c>
      <c r="AN155" s="23">
        <f>+'QTR Raw'!H79+'QTR Raw'!H76</f>
        <v>0</v>
      </c>
      <c r="AO155" s="23">
        <f t="shared" si="1296"/>
        <v>0</v>
      </c>
      <c r="AP155" s="23">
        <f>+'QTR Raw'!J79+'QTR Raw'!J76</f>
        <v>0</v>
      </c>
      <c r="AQ155" s="23">
        <f t="shared" si="1296"/>
        <v>0</v>
      </c>
      <c r="AR155" s="23">
        <f>+'QTR Raw'!L79+'QTR Raw'!L76</f>
        <v>0</v>
      </c>
      <c r="AS155" s="23">
        <f t="shared" si="1296"/>
        <v>0</v>
      </c>
      <c r="AT155" s="23">
        <f>+'QTR Raw'!N79+'QTR Raw'!N76</f>
        <v>0</v>
      </c>
      <c r="AU155" s="23">
        <f t="shared" si="1296"/>
        <v>0</v>
      </c>
      <c r="AV155" s="23">
        <f>+'QTR Raw'!P79+'QTR Raw'!P76</f>
        <v>0</v>
      </c>
      <c r="AW155" s="23">
        <f t="shared" si="1296"/>
        <v>0</v>
      </c>
      <c r="AX155" s="23">
        <f>+'QTR Raw'!R79+'QTR Raw'!R76</f>
        <v>0</v>
      </c>
      <c r="AY155" s="23">
        <f t="shared" si="1296"/>
        <v>0</v>
      </c>
      <c r="AZ155" s="23">
        <f>+'QTR Raw'!T79+'QTR Raw'!T76</f>
        <v>0</v>
      </c>
      <c r="BA155" s="23">
        <f t="shared" si="1296"/>
        <v>0</v>
      </c>
      <c r="BB155" s="23">
        <f>+'QTR Raw'!V79+'QTR Raw'!V76</f>
        <v>0</v>
      </c>
      <c r="BC155" s="23">
        <f t="shared" si="1296"/>
        <v>0</v>
      </c>
      <c r="BD155" s="23">
        <f>+'QTR Raw'!X79+'QTR Raw'!X76</f>
        <v>0</v>
      </c>
      <c r="BE155" s="23">
        <f t="shared" si="1296"/>
        <v>0</v>
      </c>
      <c r="BF155" s="23">
        <f>+'QTR Raw'!Z79+'QTR Raw'!Z76</f>
        <v>0</v>
      </c>
      <c r="BG155" s="23">
        <f t="shared" si="1296"/>
        <v>0</v>
      </c>
      <c r="BH155" s="23">
        <f>+'QTR Raw'!AB79+'QTR Raw'!AB76</f>
        <v>0</v>
      </c>
      <c r="BI155" s="23">
        <f t="shared" si="1296"/>
        <v>0</v>
      </c>
      <c r="BJ155" s="23">
        <f>+'QTR Raw'!AD79+'QTR Raw'!AD76</f>
        <v>869</v>
      </c>
      <c r="BK155" s="23">
        <f t="shared" si="1296"/>
        <v>869</v>
      </c>
      <c r="BL155" s="23">
        <f>+'QTR Raw'!AF79+'QTR Raw'!AF76</f>
        <v>802</v>
      </c>
      <c r="BM155" s="23">
        <f t="shared" si="1296"/>
        <v>802</v>
      </c>
      <c r="BN155" s="23">
        <f>+'QTR Raw'!AH79+'QTR Raw'!AH76</f>
        <v>626</v>
      </c>
      <c r="BO155" s="23">
        <f t="shared" si="1296"/>
        <v>626</v>
      </c>
      <c r="BP155" s="23">
        <f>+'QTR Raw'!AJ79+'QTR Raw'!AJ76</f>
        <v>592</v>
      </c>
      <c r="BQ155" s="23">
        <f t="shared" si="1296"/>
        <v>592</v>
      </c>
      <c r="BR155" s="23">
        <f>+'QTR Raw'!AL79+'QTR Raw'!AL76</f>
        <v>775</v>
      </c>
      <c r="BS155" s="23">
        <f t="shared" si="1296"/>
        <v>775</v>
      </c>
      <c r="BT155" s="23">
        <f>+'QTR Raw'!AN79+'QTR Raw'!AN76</f>
        <v>663</v>
      </c>
      <c r="BU155" s="23">
        <f t="shared" si="1296"/>
        <v>663</v>
      </c>
      <c r="BV155" s="23">
        <f>+'QTR Raw'!AP79+'QTR Raw'!AP76</f>
        <v>928</v>
      </c>
      <c r="BW155" s="23">
        <f t="shared" si="1296"/>
        <v>928</v>
      </c>
      <c r="BX155" s="23">
        <f>+'QTR Raw'!AR79+'QTR Raw'!AR76</f>
        <v>1031</v>
      </c>
      <c r="BY155" s="23">
        <f t="shared" si="1296"/>
        <v>1031</v>
      </c>
      <c r="BZ155" s="23">
        <f>+'QTR Raw'!AT79+'QTR Raw'!AT76</f>
        <v>1991</v>
      </c>
      <c r="CA155" s="23">
        <f t="shared" si="1296"/>
        <v>1991</v>
      </c>
      <c r="CB155" s="23">
        <f>+'QTR Raw'!AV79+'QTR Raw'!AV76</f>
        <v>1546</v>
      </c>
      <c r="CC155" s="23">
        <f t="shared" si="1296"/>
        <v>1546</v>
      </c>
      <c r="CD155" s="23">
        <f>+'QTR Raw'!AX79+'QTR Raw'!AX76</f>
        <v>1423</v>
      </c>
      <c r="CE155" s="23">
        <f t="shared" si="1296"/>
        <v>1423</v>
      </c>
      <c r="CF155" s="23">
        <f>+'QTR Raw'!AZ79+'QTR Raw'!AZ76</f>
        <v>1436</v>
      </c>
      <c r="CG155" s="23">
        <f t="shared" si="1273"/>
        <v>1436</v>
      </c>
      <c r="CH155" s="23">
        <f t="shared" si="1274"/>
        <v>337</v>
      </c>
      <c r="CJ155" s="23">
        <f>+'QTR Raw'!BD79+'QTR Raw'!BD76</f>
        <v>2032</v>
      </c>
      <c r="CL155" s="23">
        <f>+'QTR Raw'!BF79+'QTR Raw'!BF76</f>
        <v>2361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2361</v>
      </c>
    </row>
    <row r="156" spans="1:110" s="23" customFormat="1" outlineLevel="1" x14ac:dyDescent="0.2">
      <c r="A156" s="23" t="s">
        <v>61</v>
      </c>
      <c r="B156" s="23">
        <f>'Annual Raw'!C76</f>
        <v>0</v>
      </c>
      <c r="C156" s="23">
        <f>'Annual Raw'!D76</f>
        <v>0</v>
      </c>
      <c r="D156" s="23">
        <f>'Annual Raw'!E76</f>
        <v>0</v>
      </c>
      <c r="E156" s="23">
        <f>'Annual Raw'!F76</f>
        <v>0</v>
      </c>
      <c r="F156" s="23">
        <f>'Annual Raw'!G76</f>
        <v>0</v>
      </c>
      <c r="G156" s="23">
        <f>'Annual Raw'!H76</f>
        <v>0</v>
      </c>
      <c r="H156" s="23">
        <f>'Annual Raw'!I76</f>
        <v>0</v>
      </c>
      <c r="I156" s="23">
        <f>'Annual Raw'!J76</f>
        <v>0</v>
      </c>
      <c r="J156" s="23">
        <f>'Annual Raw'!K76</f>
        <v>0</v>
      </c>
      <c r="K156" s="23">
        <f>'Annual Raw'!L76</f>
        <v>0</v>
      </c>
      <c r="L156" s="23">
        <f>'Annual Raw'!M76</f>
        <v>0</v>
      </c>
      <c r="M156" s="23">
        <f>'Annual Raw'!N76</f>
        <v>0</v>
      </c>
      <c r="N156" s="23">
        <f>'Annual Raw'!O76</f>
        <v>0</v>
      </c>
      <c r="O156" s="23">
        <f>'Annual Raw'!P76</f>
        <v>0</v>
      </c>
      <c r="P156" s="23">
        <f>'Annual Raw'!Q76</f>
        <v>0</v>
      </c>
      <c r="Q156" s="23">
        <f>'Annual Raw'!R76</f>
        <v>0</v>
      </c>
      <c r="R156" s="23">
        <f>'Annual Raw'!S76</f>
        <v>652</v>
      </c>
      <c r="S156" s="23">
        <f>'Annual Raw'!T76</f>
        <v>779</v>
      </c>
      <c r="T156" s="23">
        <f>'Annual Raw'!U76</f>
        <v>1032</v>
      </c>
      <c r="U156" s="23">
        <f>'Annual Raw'!V76</f>
        <v>974</v>
      </c>
      <c r="V156" s="23">
        <f>'Annual Raw'!W76</f>
        <v>760</v>
      </c>
      <c r="W156" s="23">
        <f>'Annual Raw'!X76</f>
        <v>945</v>
      </c>
      <c r="X156" s="23">
        <f>'Annual Raw'!Y76</f>
        <v>1316</v>
      </c>
      <c r="Y156" s="23">
        <f>'Annual Raw'!Z76</f>
        <v>1218</v>
      </c>
      <c r="Z156" s="23">
        <f>'Annual Raw'!AA76</f>
        <v>1386</v>
      </c>
      <c r="AA156" s="23">
        <f>'Annual Raw'!AB76</f>
        <v>1192</v>
      </c>
      <c r="AB156" s="24">
        <f t="shared" si="1292"/>
        <v>1787.4506799524088</v>
      </c>
      <c r="AC156" s="24">
        <f t="shared" si="1293"/>
        <v>2408.2063620128747</v>
      </c>
      <c r="AD156" s="24">
        <f t="shared" si="1294"/>
        <v>2576.5578944023691</v>
      </c>
      <c r="AE156" s="24">
        <f t="shared" si="1295"/>
        <v>2756.7962955451153</v>
      </c>
      <c r="AJ156" s="23">
        <f>+'QTR Raw'!D81</f>
        <v>0</v>
      </c>
      <c r="AK156" s="23" t="e">
        <f>+AK191*AK22/90</f>
        <v>#DIV/0!</v>
      </c>
      <c r="AL156" s="23">
        <f>+'QTR Raw'!F81</f>
        <v>0</v>
      </c>
      <c r="AM156" s="23" t="e">
        <f>+AM191*AM22/90</f>
        <v>#DIV/0!</v>
      </c>
      <c r="AN156" s="23">
        <f>+'QTR Raw'!H81</f>
        <v>0</v>
      </c>
      <c r="AO156" s="23" t="e">
        <f>+AO191*AO22/90</f>
        <v>#DIV/0!</v>
      </c>
      <c r="AP156" s="23">
        <f>+'QTR Raw'!J81</f>
        <v>0</v>
      </c>
      <c r="AQ156" s="23" t="e">
        <f>+AQ191*AQ22/90</f>
        <v>#DIV/0!</v>
      </c>
      <c r="AR156" s="23">
        <f>+'QTR Raw'!L81</f>
        <v>0</v>
      </c>
      <c r="AS156" s="23" t="e">
        <f>+AS191*AS22/90</f>
        <v>#DIV/0!</v>
      </c>
      <c r="AT156" s="23">
        <f>+'QTR Raw'!N81</f>
        <v>0</v>
      </c>
      <c r="AU156" s="23" t="e">
        <f>+AU191*AU22/90</f>
        <v>#DIV/0!</v>
      </c>
      <c r="AV156" s="23">
        <f>+'QTR Raw'!P81</f>
        <v>0</v>
      </c>
      <c r="AW156" s="23" t="e">
        <f>+AW191*AW22/90</f>
        <v>#DIV/0!</v>
      </c>
      <c r="AX156" s="23">
        <f>+'QTR Raw'!R81</f>
        <v>0</v>
      </c>
      <c r="AY156" s="23" t="e">
        <f>+AY191*AY22/90</f>
        <v>#DIV/0!</v>
      </c>
      <c r="AZ156" s="23">
        <f>+'QTR Raw'!T81</f>
        <v>0</v>
      </c>
      <c r="BA156" s="23" t="e">
        <f>+BA191*BA22/90</f>
        <v>#DIV/0!</v>
      </c>
      <c r="BB156" s="23">
        <f>+'QTR Raw'!V81</f>
        <v>0</v>
      </c>
      <c r="BC156" s="23" t="e">
        <f>+BC191*BC22/90</f>
        <v>#DIV/0!</v>
      </c>
      <c r="BD156" s="23">
        <f>+'QTR Raw'!X81</f>
        <v>0</v>
      </c>
      <c r="BE156" s="23" t="e">
        <f>+BE191*BE22/90</f>
        <v>#DIV/0!</v>
      </c>
      <c r="BF156" s="23">
        <f>+'QTR Raw'!Z81</f>
        <v>0</v>
      </c>
      <c r="BG156" s="23">
        <f>+BG191*BG22/90</f>
        <v>0</v>
      </c>
      <c r="BH156" s="23">
        <f>+'QTR Raw'!AB81</f>
        <v>0</v>
      </c>
      <c r="BI156" s="23">
        <f>+BI191*BI22/90</f>
        <v>0</v>
      </c>
      <c r="BJ156" s="23">
        <f>+'QTR Raw'!AD81</f>
        <v>1032</v>
      </c>
      <c r="BK156" s="23">
        <f>+BK191*BK22/90</f>
        <v>921.247009148487</v>
      </c>
      <c r="BL156" s="23">
        <f>+'QTR Raw'!AF81</f>
        <v>956</v>
      </c>
      <c r="BM156" s="23">
        <f>+BM191*BM22/90</f>
        <v>1032.9588550983901</v>
      </c>
      <c r="BN156" s="23">
        <f>+'QTR Raw'!AH81</f>
        <v>974</v>
      </c>
      <c r="BO156" s="23">
        <f>+BO191*BO22/90</f>
        <v>745.70036246476036</v>
      </c>
      <c r="BP156" s="23">
        <f>+'QTR Raw'!AJ81</f>
        <v>854</v>
      </c>
      <c r="BQ156" s="23">
        <f>+BQ191*BQ22/90</f>
        <v>1010.548205793342</v>
      </c>
      <c r="BR156" s="23">
        <f>+'QTR Raw'!AL81</f>
        <v>760</v>
      </c>
      <c r="BS156" s="23">
        <f>+BS191*BS22/90</f>
        <v>624.93176769279592</v>
      </c>
      <c r="BT156" s="23">
        <f>+'QTR Raw'!AN81</f>
        <v>974</v>
      </c>
      <c r="BU156" s="23">
        <f>+BU191*BU22/90</f>
        <v>1031.7380860131734</v>
      </c>
      <c r="BV156" s="23">
        <f>+'QTR Raw'!AP81</f>
        <v>945</v>
      </c>
      <c r="BW156" s="23">
        <f>+BW191*BW22/90</f>
        <v>923.19230769230762</v>
      </c>
      <c r="BX156" s="23">
        <f>+'QTR Raw'!AR81</f>
        <v>1239</v>
      </c>
      <c r="BY156" s="23">
        <f>+BY191*BY22/90</f>
        <v>1399.1400201952204</v>
      </c>
      <c r="BZ156" s="23">
        <f>+'QTR Raw'!AT81</f>
        <v>1316</v>
      </c>
      <c r="CA156" s="23">
        <f>+CA191*CA22/90</f>
        <v>1219.1908045977013</v>
      </c>
      <c r="CB156" s="23">
        <f>+'QTR Raw'!AV81</f>
        <v>1270</v>
      </c>
      <c r="CC156" s="23">
        <f>+CC191*CC22/90</f>
        <v>1451.6587377101171</v>
      </c>
      <c r="CD156" s="23">
        <f>+'QTR Raw'!AX81</f>
        <v>1218</v>
      </c>
      <c r="CE156" s="23">
        <f>+CE191*CE22/90</f>
        <v>1024.0023218017184</v>
      </c>
      <c r="CF156" s="23">
        <f>+'QTR Raw'!AZ81</f>
        <v>1522</v>
      </c>
      <c r="CG156" s="23">
        <f>+CG191*CG22/90</f>
        <v>1568.3453190800128</v>
      </c>
      <c r="CH156" s="23">
        <f t="shared" si="1274"/>
        <v>1386</v>
      </c>
      <c r="CI156" s="23">
        <f>+CI191*CI22/90</f>
        <v>1231.8494255683208</v>
      </c>
      <c r="CJ156" s="23">
        <f>+'QTR Raw'!BD81</f>
        <v>1357</v>
      </c>
      <c r="CK156" s="23">
        <f t="shared" ref="CK156:DB156" si="1297">+CK191*CK22/90</f>
        <v>1392.3447468539657</v>
      </c>
      <c r="CL156" s="23">
        <f>+'QTR Raw'!BF81</f>
        <v>1192</v>
      </c>
      <c r="CM156" s="24">
        <f t="shared" si="1297"/>
        <v>1161.8599798812991</v>
      </c>
      <c r="CN156" s="24">
        <f t="shared" si="1297"/>
        <v>1221.2725682248051</v>
      </c>
      <c r="CO156" s="24">
        <f t="shared" si="1297"/>
        <v>1382.7752714749874</v>
      </c>
      <c r="CP156" s="24">
        <f t="shared" si="1297"/>
        <v>1787.4506799524088</v>
      </c>
      <c r="CQ156" s="24">
        <f t="shared" si="1297"/>
        <v>1624.0546001294977</v>
      </c>
      <c r="CR156" s="24">
        <f t="shared" si="1297"/>
        <v>1693.4122838486694</v>
      </c>
      <c r="CS156" s="24">
        <f t="shared" si="1297"/>
        <v>1893.7791703002504</v>
      </c>
      <c r="CT156" s="24">
        <f t="shared" si="1297"/>
        <v>2408.2063620128747</v>
      </c>
      <c r="CU156" s="24">
        <f t="shared" si="1297"/>
        <v>2050.0658082288242</v>
      </c>
      <c r="CV156" s="24">
        <f t="shared" si="1297"/>
        <v>2019.8259156169697</v>
      </c>
      <c r="CW156" s="24">
        <f t="shared" si="1297"/>
        <v>2137.0877081158064</v>
      </c>
      <c r="CX156" s="24">
        <f t="shared" si="1297"/>
        <v>2576.5578944023691</v>
      </c>
      <c r="CY156" s="24">
        <f t="shared" si="1297"/>
        <v>2192.9546846104818</v>
      </c>
      <c r="CZ156" s="24">
        <f t="shared" si="1297"/>
        <v>2161.4750270324357</v>
      </c>
      <c r="DA156" s="24">
        <f t="shared" si="1297"/>
        <v>2286.8470383985414</v>
      </c>
      <c r="DB156" s="24">
        <f t="shared" si="1297"/>
        <v>2756.7962955451153</v>
      </c>
      <c r="DE156" s="123"/>
      <c r="DF156" s="23">
        <v>1192</v>
      </c>
    </row>
    <row r="157" spans="1:110" s="23" customFormat="1" outlineLevel="1" x14ac:dyDescent="0.2">
      <c r="A157" s="23" t="s">
        <v>62</v>
      </c>
      <c r="B157" s="23">
        <f>'Annual Raw'!C77</f>
        <v>0</v>
      </c>
      <c r="C157" s="23">
        <f>'Annual Raw'!D77</f>
        <v>0</v>
      </c>
      <c r="D157" s="23">
        <f>'Annual Raw'!E77</f>
        <v>0</v>
      </c>
      <c r="E157" s="23">
        <f>'Annual Raw'!F77</f>
        <v>0</v>
      </c>
      <c r="F157" s="23">
        <f>'Annual Raw'!G77</f>
        <v>0</v>
      </c>
      <c r="G157" s="23">
        <f>'Annual Raw'!H77</f>
        <v>0</v>
      </c>
      <c r="H157" s="23">
        <f>'Annual Raw'!I77</f>
        <v>0</v>
      </c>
      <c r="I157" s="23">
        <f>'Annual Raw'!J77</f>
        <v>0</v>
      </c>
      <c r="J157" s="23">
        <f>'Annual Raw'!K77</f>
        <v>0</v>
      </c>
      <c r="K157" s="23">
        <f>'Annual Raw'!L77</f>
        <v>0</v>
      </c>
      <c r="L157" s="23">
        <f>'Annual Raw'!M77</f>
        <v>0</v>
      </c>
      <c r="M157" s="23">
        <f>'Annual Raw'!N77</f>
        <v>0</v>
      </c>
      <c r="N157" s="23">
        <f>'Annual Raw'!O77</f>
        <v>0</v>
      </c>
      <c r="O157" s="23">
        <f>'Annual Raw'!P77</f>
        <v>0</v>
      </c>
      <c r="P157" s="23">
        <f>'Annual Raw'!Q77</f>
        <v>0</v>
      </c>
      <c r="Q157" s="23">
        <f>'Annual Raw'!R77</f>
        <v>0</v>
      </c>
      <c r="R157" s="23">
        <f>'Annual Raw'!S77</f>
        <v>530</v>
      </c>
      <c r="S157" s="23">
        <f>'Annual Raw'!T77</f>
        <v>564</v>
      </c>
      <c r="T157" s="23">
        <f>'Annual Raw'!U77</f>
        <v>549</v>
      </c>
      <c r="U157" s="23">
        <f>'Annual Raw'!V77</f>
        <v>664</v>
      </c>
      <c r="V157" s="23">
        <f>'Annual Raw'!W77</f>
        <v>511</v>
      </c>
      <c r="W157" s="23">
        <f>'Annual Raw'!X77</f>
        <v>673</v>
      </c>
      <c r="X157" s="23">
        <f>'Annual Raw'!Y77</f>
        <v>700</v>
      </c>
      <c r="Y157" s="23">
        <f>'Annual Raw'!Z77</f>
        <v>836</v>
      </c>
      <c r="Z157" s="23">
        <f>'Annual Raw'!AA77</f>
        <v>889</v>
      </c>
      <c r="AA157" s="23">
        <f>'Annual Raw'!AB77</f>
        <v>864</v>
      </c>
      <c r="AB157" s="24">
        <f t="shared" si="1292"/>
        <v>1170.8224606508145</v>
      </c>
      <c r="AC157" s="24">
        <f t="shared" si="1293"/>
        <v>1422.1612969654361</v>
      </c>
      <c r="AD157" s="24">
        <f t="shared" si="1294"/>
        <v>1521.5809469696173</v>
      </c>
      <c r="AE157" s="24">
        <f t="shared" si="1295"/>
        <v>1628.0203627835908</v>
      </c>
      <c r="AJ157" s="23">
        <f>+'QTR Raw'!D82</f>
        <v>0</v>
      </c>
      <c r="AK157" s="23" t="e">
        <f>+AK192*AK22/90</f>
        <v>#DIV/0!</v>
      </c>
      <c r="AL157" s="23">
        <f>+'QTR Raw'!F82</f>
        <v>0</v>
      </c>
      <c r="AM157" s="23" t="e">
        <f>+AM192*AM22/90</f>
        <v>#DIV/0!</v>
      </c>
      <c r="AN157" s="23">
        <f>+'QTR Raw'!H82</f>
        <v>0</v>
      </c>
      <c r="AO157" s="23" t="e">
        <f>+AO192*AO22/90</f>
        <v>#DIV/0!</v>
      </c>
      <c r="AP157" s="23">
        <f>+'QTR Raw'!J82</f>
        <v>0</v>
      </c>
      <c r="AQ157" s="23" t="e">
        <f>+AQ192*AQ22/90</f>
        <v>#DIV/0!</v>
      </c>
      <c r="AR157" s="23">
        <f>+'QTR Raw'!L82</f>
        <v>0</v>
      </c>
      <c r="AS157" s="23" t="e">
        <f>+AS192*AS22/90</f>
        <v>#DIV/0!</v>
      </c>
      <c r="AT157" s="23">
        <f>+'QTR Raw'!N82</f>
        <v>0</v>
      </c>
      <c r="AU157" s="23" t="e">
        <f>+AU192*AU22/90</f>
        <v>#DIV/0!</v>
      </c>
      <c r="AV157" s="23">
        <f>+'QTR Raw'!P82</f>
        <v>0</v>
      </c>
      <c r="AW157" s="23" t="e">
        <f>+AW192*AW22/90</f>
        <v>#DIV/0!</v>
      </c>
      <c r="AX157" s="23">
        <f>+'QTR Raw'!R82</f>
        <v>0</v>
      </c>
      <c r="AY157" s="23" t="e">
        <f>+AY192*AY22/90</f>
        <v>#DIV/0!</v>
      </c>
      <c r="AZ157" s="23">
        <f>+'QTR Raw'!T82</f>
        <v>0</v>
      </c>
      <c r="BA157" s="23" t="e">
        <f>+BA192*BA22/90</f>
        <v>#DIV/0!</v>
      </c>
      <c r="BB157" s="23">
        <f>+'QTR Raw'!V82</f>
        <v>0</v>
      </c>
      <c r="BC157" s="23" t="e">
        <f>+BC192*BC22/90</f>
        <v>#DIV/0!</v>
      </c>
      <c r="BD157" s="23">
        <f>+'QTR Raw'!X82</f>
        <v>0</v>
      </c>
      <c r="BE157" s="23" t="e">
        <f>+BE192*BE22/90</f>
        <v>#DIV/0!</v>
      </c>
      <c r="BF157" s="23">
        <f>+'QTR Raw'!Z82</f>
        <v>0</v>
      </c>
      <c r="BG157" s="23">
        <f>+BG192*BG22/90</f>
        <v>0</v>
      </c>
      <c r="BH157" s="23">
        <f>+'QTR Raw'!AB82</f>
        <v>0</v>
      </c>
      <c r="BI157" s="23">
        <f>+BI192*BI22/90</f>
        <v>0</v>
      </c>
      <c r="BJ157" s="23">
        <f>+'QTR Raw'!AD82</f>
        <v>549</v>
      </c>
      <c r="BK157" s="23">
        <f>+BK192*BK22/90</f>
        <v>490.08198451794516</v>
      </c>
      <c r="BL157" s="23">
        <f>+'QTR Raw'!AF82</f>
        <v>539</v>
      </c>
      <c r="BM157" s="23">
        <f>+BM192*BM22/90</f>
        <v>582.38998211091234</v>
      </c>
      <c r="BN157" s="23">
        <f>+'QTR Raw'!AH82</f>
        <v>664</v>
      </c>
      <c r="BO157" s="23">
        <f>+BO192*BO22/90</f>
        <v>508.36246476037059</v>
      </c>
      <c r="BP157" s="23">
        <f>+'QTR Raw'!AJ82</f>
        <v>557</v>
      </c>
      <c r="BQ157" s="23">
        <f>+BQ192*BQ22/90</f>
        <v>659.10462602680502</v>
      </c>
      <c r="BR157" s="23">
        <f>+'QTR Raw'!AL82</f>
        <v>511</v>
      </c>
      <c r="BS157" s="23">
        <f>+BS192*BS22/90</f>
        <v>420.18438590923512</v>
      </c>
      <c r="BT157" s="23">
        <f>+'QTR Raw'!AN82</f>
        <v>544</v>
      </c>
      <c r="BU157" s="23">
        <f>+BU192*BU22/90</f>
        <v>576.24796590468816</v>
      </c>
      <c r="BV157" s="23">
        <f>+'QTR Raw'!AP82</f>
        <v>673</v>
      </c>
      <c r="BW157" s="23">
        <f>+BW192*BW22/90</f>
        <v>657.46923076923076</v>
      </c>
      <c r="BX157" s="23">
        <f>+'QTR Raw'!AR82</f>
        <v>694</v>
      </c>
      <c r="BY157" s="23">
        <f>+BY192*BY22/90</f>
        <v>783.69909121507908</v>
      </c>
      <c r="BZ157" s="23">
        <f>+'QTR Raw'!AT82</f>
        <v>700</v>
      </c>
      <c r="CA157" s="23">
        <f>+CA192*CA22/90</f>
        <v>648.50574712643675</v>
      </c>
      <c r="CB157" s="23">
        <f>+'QTR Raw'!AV82</f>
        <v>756</v>
      </c>
      <c r="CC157" s="23">
        <f>+CC192*CC22/90</f>
        <v>864.13701236917211</v>
      </c>
      <c r="CD157" s="23">
        <f>+'QTR Raw'!AX82</f>
        <v>836</v>
      </c>
      <c r="CE157" s="23">
        <f>+CE192*CE22/90</f>
        <v>702.84560018574416</v>
      </c>
      <c r="CF157" s="23">
        <f>+'QTR Raw'!AZ82</f>
        <v>802</v>
      </c>
      <c r="CG157" s="23">
        <f>+CG192*CG22/90</f>
        <v>826.42112082928406</v>
      </c>
      <c r="CH157" s="23">
        <f t="shared" si="1274"/>
        <v>889</v>
      </c>
      <c r="CI157" s="23">
        <f>+CI192*CI22/90</f>
        <v>790.12564165240781</v>
      </c>
      <c r="CJ157" s="23">
        <f>+'QTR Raw'!BD82</f>
        <v>900</v>
      </c>
      <c r="CK157" s="23">
        <f t="shared" ref="CK157:DB157" si="1298">+CK192*CK22/90</f>
        <v>923.44161545215093</v>
      </c>
      <c r="CL157" s="23">
        <f>+'QTR Raw'!BF82</f>
        <v>864</v>
      </c>
      <c r="CM157" s="24">
        <f t="shared" si="1298"/>
        <v>817.00518483408314</v>
      </c>
      <c r="CN157" s="24">
        <f t="shared" si="1298"/>
        <v>836.26890717056051</v>
      </c>
      <c r="CO157" s="24">
        <f t="shared" si="1298"/>
        <v>924.88560863972612</v>
      </c>
      <c r="CP157" s="24">
        <f t="shared" si="1298"/>
        <v>1170.8224606508145</v>
      </c>
      <c r="CQ157" s="24">
        <f t="shared" si="1298"/>
        <v>1044.0464009989826</v>
      </c>
      <c r="CR157" s="24">
        <f t="shared" si="1298"/>
        <v>1070.3978229771981</v>
      </c>
      <c r="CS157" s="24">
        <f t="shared" si="1298"/>
        <v>1178.8611627253472</v>
      </c>
      <c r="CT157" s="24">
        <f t="shared" si="1298"/>
        <v>1422.1612969654361</v>
      </c>
      <c r="CU157" s="24">
        <f t="shared" si="1298"/>
        <v>1210.6621320684033</v>
      </c>
      <c r="CV157" s="24">
        <f t="shared" si="1298"/>
        <v>1192.804025896379</v>
      </c>
      <c r="CW157" s="24">
        <f t="shared" si="1298"/>
        <v>1262.0527354485157</v>
      </c>
      <c r="CX157" s="24">
        <f t="shared" si="1298"/>
        <v>1521.5809469696173</v>
      </c>
      <c r="CY157" s="24">
        <f t="shared" si="1298"/>
        <v>1295.0448631176728</v>
      </c>
      <c r="CZ157" s="24">
        <f t="shared" si="1298"/>
        <v>1276.4546163035241</v>
      </c>
      <c r="DA157" s="24">
        <f t="shared" si="1298"/>
        <v>1350.4927988696384</v>
      </c>
      <c r="DB157" s="24">
        <f t="shared" si="1298"/>
        <v>1628.0203627835908</v>
      </c>
      <c r="DE157" s="123"/>
      <c r="DF157" s="23">
        <v>864</v>
      </c>
    </row>
    <row r="158" spans="1:110" s="23" customFormat="1" outlineLevel="1" x14ac:dyDescent="0.2">
      <c r="A158" s="23" t="s">
        <v>63</v>
      </c>
      <c r="B158" s="23">
        <f>'Annual Raw'!C79</f>
        <v>0</v>
      </c>
      <c r="C158" s="23">
        <f>'Annual Raw'!D79</f>
        <v>0</v>
      </c>
      <c r="D158" s="23">
        <f>'Annual Raw'!E79</f>
        <v>0</v>
      </c>
      <c r="E158" s="23">
        <f>'Annual Raw'!F79</f>
        <v>0</v>
      </c>
      <c r="F158" s="23">
        <f>'Annual Raw'!G79</f>
        <v>0</v>
      </c>
      <c r="G158" s="23">
        <f>'Annual Raw'!H79</f>
        <v>0</v>
      </c>
      <c r="H158" s="23">
        <f>'Annual Raw'!I79</f>
        <v>0</v>
      </c>
      <c r="I158" s="23">
        <f>'Annual Raw'!J79</f>
        <v>0</v>
      </c>
      <c r="J158" s="23">
        <f>'Annual Raw'!K79</f>
        <v>0</v>
      </c>
      <c r="K158" s="23">
        <f>'Annual Raw'!L79</f>
        <v>0</v>
      </c>
      <c r="L158" s="23">
        <f>'Annual Raw'!M79</f>
        <v>0</v>
      </c>
      <c r="M158" s="23">
        <f>'Annual Raw'!N79</f>
        <v>0</v>
      </c>
      <c r="N158" s="23">
        <f>'Annual Raw'!O79</f>
        <v>0</v>
      </c>
      <c r="O158" s="23">
        <f>'Annual Raw'!P79</f>
        <v>0</v>
      </c>
      <c r="P158" s="23">
        <f>'Annual Raw'!Q79</f>
        <v>0</v>
      </c>
      <c r="Q158" s="23">
        <f>'Annual Raw'!R79</f>
        <v>0</v>
      </c>
      <c r="R158" s="23">
        <f>'Annual Raw'!S79</f>
        <v>593</v>
      </c>
      <c r="S158" s="23">
        <f>'Annual Raw'!T79</f>
        <v>795</v>
      </c>
      <c r="T158" s="23">
        <f>'Annual Raw'!U79</f>
        <v>723</v>
      </c>
      <c r="U158" s="23">
        <f>'Annual Raw'!V79</f>
        <v>954</v>
      </c>
      <c r="V158" s="23">
        <f>'Annual Raw'!W79</f>
        <v>835</v>
      </c>
      <c r="W158" s="23">
        <f>'Annual Raw'!X79</f>
        <v>786</v>
      </c>
      <c r="X158" s="23">
        <f>'Annual Raw'!Y79</f>
        <v>892</v>
      </c>
      <c r="Y158" s="23">
        <f>'Annual Raw'!Z79</f>
        <v>910</v>
      </c>
      <c r="Z158" s="23">
        <f>'Annual Raw'!AA79</f>
        <v>1085</v>
      </c>
      <c r="AA158" s="23">
        <f>'Annual Raw'!AB79</f>
        <v>1019</v>
      </c>
      <c r="AB158" s="24">
        <f t="shared" si="1292"/>
        <v>4179.8139396381521</v>
      </c>
      <c r="AC158" s="24">
        <f t="shared" si="1293"/>
        <v>4475.4909872961143</v>
      </c>
      <c r="AD158" s="24">
        <f t="shared" si="1294"/>
        <v>4788.3610875465365</v>
      </c>
      <c r="AE158" s="24">
        <f t="shared" si="1295"/>
        <v>5123.3221409692123</v>
      </c>
      <c r="AJ158" s="23">
        <f>+'QTR Raw'!D84</f>
        <v>0</v>
      </c>
      <c r="AK158" s="23">
        <f t="shared" si="1296"/>
        <v>0</v>
      </c>
      <c r="AL158" s="23">
        <f>+'QTR Raw'!F84</f>
        <v>0</v>
      </c>
      <c r="AM158" s="23">
        <f t="shared" si="1296"/>
        <v>0</v>
      </c>
      <c r="AN158" s="23">
        <f>+'QTR Raw'!H84</f>
        <v>0</v>
      </c>
      <c r="AO158" s="23">
        <f t="shared" si="1296"/>
        <v>0</v>
      </c>
      <c r="AP158" s="23">
        <f>+'QTR Raw'!J84</f>
        <v>0</v>
      </c>
      <c r="AQ158" s="23">
        <f t="shared" si="1296"/>
        <v>0</v>
      </c>
      <c r="AR158" s="23">
        <f>+'QTR Raw'!L84</f>
        <v>0</v>
      </c>
      <c r="AS158" s="23">
        <f t="shared" si="1296"/>
        <v>0</v>
      </c>
      <c r="AT158" s="23">
        <f>+'QTR Raw'!N84</f>
        <v>0</v>
      </c>
      <c r="AU158" s="23">
        <f t="shared" si="1296"/>
        <v>0</v>
      </c>
      <c r="AV158" s="23">
        <f>+'QTR Raw'!P84</f>
        <v>0</v>
      </c>
      <c r="AW158" s="23">
        <f t="shared" si="1296"/>
        <v>0</v>
      </c>
      <c r="AX158" s="23">
        <f>+'QTR Raw'!R84</f>
        <v>0</v>
      </c>
      <c r="AY158" s="23">
        <f t="shared" si="1296"/>
        <v>0</v>
      </c>
      <c r="AZ158" s="23">
        <f>+'QTR Raw'!T84</f>
        <v>0</v>
      </c>
      <c r="BA158" s="23">
        <f t="shared" si="1296"/>
        <v>0</v>
      </c>
      <c r="BB158" s="23">
        <f>+'QTR Raw'!V84</f>
        <v>0</v>
      </c>
      <c r="BC158" s="23">
        <f t="shared" si="1296"/>
        <v>0</v>
      </c>
      <c r="BD158" s="23">
        <f>+'QTR Raw'!X84</f>
        <v>0</v>
      </c>
      <c r="BE158" s="23">
        <f t="shared" si="1296"/>
        <v>0</v>
      </c>
      <c r="BF158" s="23">
        <f>+'QTR Raw'!Z84</f>
        <v>0</v>
      </c>
      <c r="BG158" s="23">
        <f t="shared" si="1296"/>
        <v>0</v>
      </c>
      <c r="BH158" s="23">
        <f>+'QTR Raw'!AB84</f>
        <v>0</v>
      </c>
      <c r="BI158" s="23">
        <f t="shared" si="1296"/>
        <v>0</v>
      </c>
      <c r="BJ158" s="23">
        <f>+'QTR Raw'!AD84</f>
        <v>976</v>
      </c>
      <c r="BK158" s="23">
        <f t="shared" si="1296"/>
        <v>976</v>
      </c>
      <c r="BL158" s="23">
        <f>+'QTR Raw'!AF84</f>
        <v>1165</v>
      </c>
      <c r="BM158" s="23">
        <f t="shared" si="1296"/>
        <v>1165</v>
      </c>
      <c r="BN158" s="23">
        <f>+'QTR Raw'!AH84</f>
        <v>1126</v>
      </c>
      <c r="BO158" s="23">
        <f t="shared" si="1296"/>
        <v>1126</v>
      </c>
      <c r="BP158" s="23">
        <f>+'QTR Raw'!AJ84</f>
        <v>1236</v>
      </c>
      <c r="BQ158" s="23">
        <f t="shared" si="1296"/>
        <v>1236</v>
      </c>
      <c r="BR158" s="23">
        <f>+'QTR Raw'!AL84</f>
        <v>1035</v>
      </c>
      <c r="BS158" s="23">
        <f t="shared" si="1296"/>
        <v>1035</v>
      </c>
      <c r="BT158" s="23">
        <f>+'QTR Raw'!AN84</f>
        <v>1836</v>
      </c>
      <c r="BU158" s="23">
        <f t="shared" si="1296"/>
        <v>1836</v>
      </c>
      <c r="BV158" s="23">
        <f>+'QTR Raw'!AP84</f>
        <v>1170</v>
      </c>
      <c r="BW158" s="23">
        <f t="shared" si="1296"/>
        <v>1170</v>
      </c>
      <c r="BX158" s="23">
        <f>+'QTR Raw'!AR84</f>
        <v>1189</v>
      </c>
      <c r="BY158" s="23">
        <f t="shared" si="1296"/>
        <v>1189</v>
      </c>
      <c r="BZ158" s="23">
        <f>+'QTR Raw'!AT84</f>
        <v>1216</v>
      </c>
      <c r="CA158" s="23">
        <f t="shared" si="1296"/>
        <v>1216</v>
      </c>
      <c r="CB158" s="23">
        <f>+'QTR Raw'!AV84</f>
        <v>1335</v>
      </c>
      <c r="CC158" s="23">
        <f t="shared" si="1296"/>
        <v>1335</v>
      </c>
      <c r="CD158" s="23">
        <f>+'QTR Raw'!AX84</f>
        <v>1313</v>
      </c>
      <c r="CE158" s="23">
        <f t="shared" si="1296"/>
        <v>1313</v>
      </c>
      <c r="CF158" s="23">
        <f>+'QTR Raw'!AZ84</f>
        <v>1416</v>
      </c>
      <c r="CG158" s="23">
        <f t="shared" ref="CG158:CG159" si="1299">+CF158</f>
        <v>1416</v>
      </c>
      <c r="CH158" s="23">
        <f t="shared" si="1274"/>
        <v>1085</v>
      </c>
      <c r="CI158" s="23">
        <f>CI22/90*CI193</f>
        <v>2397.0403324370577</v>
      </c>
      <c r="CJ158" s="23">
        <f>+'QTR Raw'!BD84</f>
        <v>1183</v>
      </c>
      <c r="CK158" s="23">
        <f t="shared" ref="CK158:DB158" si="1300">CK22/90*CK193</f>
        <v>3329.5200468246999</v>
      </c>
      <c r="CL158" s="23">
        <f>+'QTR Raw'!BF84</f>
        <v>1365</v>
      </c>
      <c r="CM158" s="24">
        <f t="shared" si="1300"/>
        <v>3369.6420171280242</v>
      </c>
      <c r="CN158" s="24">
        <f t="shared" si="1300"/>
        <v>3279.337620675095</v>
      </c>
      <c r="CO158" s="24">
        <f t="shared" si="1300"/>
        <v>3456.7082220468328</v>
      </c>
      <c r="CP158" s="24">
        <f t="shared" si="1300"/>
        <v>4179.8139396381521</v>
      </c>
      <c r="CQ158" s="24">
        <f t="shared" si="1300"/>
        <v>3567.382671575248</v>
      </c>
      <c r="CR158" s="24">
        <f t="shared" si="1300"/>
        <v>3507.0226841746385</v>
      </c>
      <c r="CS158" s="24">
        <f t="shared" si="1300"/>
        <v>3709.8341238145331</v>
      </c>
      <c r="CT158" s="24">
        <f t="shared" si="1300"/>
        <v>4475.4909872961143</v>
      </c>
      <c r="CU158" s="24">
        <f t="shared" si="1300"/>
        <v>3809.9106425510622</v>
      </c>
      <c r="CV158" s="24">
        <f t="shared" si="1300"/>
        <v>3753.7118179918425</v>
      </c>
      <c r="CW158" s="24">
        <f t="shared" si="1300"/>
        <v>3971.6350424135567</v>
      </c>
      <c r="CX158" s="24">
        <f t="shared" si="1300"/>
        <v>4788.3610875465365</v>
      </c>
      <c r="CY158" s="24">
        <f t="shared" si="1300"/>
        <v>4075.4600940093906</v>
      </c>
      <c r="CZ158" s="24">
        <f t="shared" si="1300"/>
        <v>4016.957248906052</v>
      </c>
      <c r="DA158" s="24">
        <f t="shared" si="1300"/>
        <v>4249.9527744469788</v>
      </c>
      <c r="DB158" s="24">
        <f t="shared" si="1300"/>
        <v>5123.3221409692123</v>
      </c>
      <c r="DE158" s="123"/>
      <c r="DF158" s="23">
        <v>1365</v>
      </c>
    </row>
    <row r="159" spans="1:110" s="23" customFormat="1" outlineLevel="1" x14ac:dyDescent="0.2">
      <c r="A159" s="23" t="s">
        <v>64</v>
      </c>
      <c r="B159" s="23">
        <f>'Annual Raw'!C80</f>
        <v>0</v>
      </c>
      <c r="C159" s="23">
        <f>'Annual Raw'!D80</f>
        <v>0</v>
      </c>
      <c r="D159" s="23">
        <f>'Annual Raw'!E80</f>
        <v>0</v>
      </c>
      <c r="E159" s="23">
        <f>'Annual Raw'!F80</f>
        <v>0</v>
      </c>
      <c r="F159" s="23">
        <f>'Annual Raw'!G80</f>
        <v>0</v>
      </c>
      <c r="G159" s="23">
        <f>'Annual Raw'!H80</f>
        <v>0</v>
      </c>
      <c r="H159" s="23">
        <f>'Annual Raw'!I80</f>
        <v>0</v>
      </c>
      <c r="I159" s="23">
        <f>'Annual Raw'!J80</f>
        <v>0</v>
      </c>
      <c r="J159" s="23">
        <f>'Annual Raw'!K80</f>
        <v>0</v>
      </c>
      <c r="K159" s="23">
        <f>'Annual Raw'!L80</f>
        <v>0</v>
      </c>
      <c r="L159" s="23">
        <f>'Annual Raw'!M80</f>
        <v>0</v>
      </c>
      <c r="M159" s="23">
        <f>'Annual Raw'!N80</f>
        <v>0</v>
      </c>
      <c r="N159" s="23">
        <f>'Annual Raw'!O80</f>
        <v>0</v>
      </c>
      <c r="O159" s="23">
        <f>'Annual Raw'!P80</f>
        <v>0</v>
      </c>
      <c r="P159" s="23">
        <f>'Annual Raw'!Q80</f>
        <v>0</v>
      </c>
      <c r="Q159" s="23">
        <f>'Annual Raw'!R80</f>
        <v>0</v>
      </c>
      <c r="R159" s="23">
        <f>'Annual Raw'!S80</f>
        <v>185</v>
      </c>
      <c r="S159" s="23">
        <f>'Annual Raw'!T80</f>
        <v>290</v>
      </c>
      <c r="T159" s="23">
        <f>'Annual Raw'!U80</f>
        <v>314</v>
      </c>
      <c r="U159" s="23">
        <f>'Annual Raw'!V80</f>
        <v>241</v>
      </c>
      <c r="V159" s="23">
        <f>'Annual Raw'!W80</f>
        <v>266</v>
      </c>
      <c r="W159" s="23">
        <f>'Annual Raw'!X80</f>
        <v>394</v>
      </c>
      <c r="X159" s="23">
        <f>'Annual Raw'!Y80</f>
        <v>332</v>
      </c>
      <c r="Y159" s="23">
        <f>'Annual Raw'!Z80</f>
        <v>412</v>
      </c>
      <c r="Z159" s="23">
        <f>'Annual Raw'!AA80</f>
        <v>352</v>
      </c>
      <c r="AA159" s="23">
        <f>'Annual Raw'!AB80</f>
        <v>359</v>
      </c>
      <c r="AB159" s="24">
        <f t="shared" si="1292"/>
        <v>0</v>
      </c>
      <c r="AC159" s="24">
        <f t="shared" si="1293"/>
        <v>0</v>
      </c>
      <c r="AD159" s="24">
        <f t="shared" si="1294"/>
        <v>0</v>
      </c>
      <c r="AE159" s="24">
        <f t="shared" si="1295"/>
        <v>0</v>
      </c>
      <c r="AJ159" s="23">
        <f>+'QTR Raw'!D85</f>
        <v>0</v>
      </c>
      <c r="AK159" s="23">
        <f t="shared" si="1296"/>
        <v>0</v>
      </c>
      <c r="AL159" s="23">
        <f>+'QTR Raw'!F85</f>
        <v>0</v>
      </c>
      <c r="AM159" s="23">
        <f t="shared" si="1296"/>
        <v>0</v>
      </c>
      <c r="AN159" s="23">
        <f>+'QTR Raw'!H85</f>
        <v>0</v>
      </c>
      <c r="AO159" s="23">
        <f t="shared" si="1296"/>
        <v>0</v>
      </c>
      <c r="AP159" s="23">
        <f>+'QTR Raw'!J85</f>
        <v>0</v>
      </c>
      <c r="AQ159" s="23">
        <f t="shared" si="1296"/>
        <v>0</v>
      </c>
      <c r="AR159" s="23">
        <f>+'QTR Raw'!L85</f>
        <v>0</v>
      </c>
      <c r="AS159" s="23">
        <f t="shared" si="1296"/>
        <v>0</v>
      </c>
      <c r="AT159" s="23">
        <f>+'QTR Raw'!N85</f>
        <v>0</v>
      </c>
      <c r="AU159" s="23">
        <f t="shared" si="1296"/>
        <v>0</v>
      </c>
      <c r="AV159" s="23">
        <f>+'QTR Raw'!P85</f>
        <v>0</v>
      </c>
      <c r="AW159" s="23">
        <f t="shared" si="1296"/>
        <v>0</v>
      </c>
      <c r="AX159" s="23">
        <f>+'QTR Raw'!R85</f>
        <v>0</v>
      </c>
      <c r="AY159" s="23">
        <f t="shared" si="1296"/>
        <v>0</v>
      </c>
      <c r="AZ159" s="23">
        <f>+'QTR Raw'!T85</f>
        <v>0</v>
      </c>
      <c r="BA159" s="23">
        <f t="shared" si="1296"/>
        <v>0</v>
      </c>
      <c r="BB159" s="23">
        <f>+'QTR Raw'!V85</f>
        <v>0</v>
      </c>
      <c r="BC159" s="23">
        <f t="shared" si="1296"/>
        <v>0</v>
      </c>
      <c r="BD159" s="23">
        <f>+'QTR Raw'!X85</f>
        <v>0</v>
      </c>
      <c r="BE159" s="23">
        <f t="shared" si="1296"/>
        <v>0</v>
      </c>
      <c r="BF159" s="23">
        <f>+'QTR Raw'!Z85</f>
        <v>0</v>
      </c>
      <c r="BG159" s="23">
        <f t="shared" si="1296"/>
        <v>0</v>
      </c>
      <c r="BH159" s="23">
        <f>+'QTR Raw'!AB85</f>
        <v>0</v>
      </c>
      <c r="BI159" s="23">
        <f t="shared" si="1296"/>
        <v>0</v>
      </c>
      <c r="BJ159" s="23">
        <f>+'QTR Raw'!AD85</f>
        <v>63</v>
      </c>
      <c r="BK159" s="23">
        <f t="shared" si="1296"/>
        <v>63</v>
      </c>
      <c r="BL159" s="23">
        <f>+'QTR Raw'!AF85</f>
        <v>28</v>
      </c>
      <c r="BM159" s="23">
        <f t="shared" si="1296"/>
        <v>28</v>
      </c>
      <c r="BN159" s="23">
        <f>+'QTR Raw'!AH85</f>
        <v>71</v>
      </c>
      <c r="BO159" s="23">
        <f t="shared" si="1296"/>
        <v>71</v>
      </c>
      <c r="BP159" s="23">
        <f>+'QTR Raw'!AJ85</f>
        <v>91</v>
      </c>
      <c r="BQ159" s="23">
        <f t="shared" si="1296"/>
        <v>91</v>
      </c>
      <c r="BR159" s="23">
        <f>+'QTR Raw'!AL85</f>
        <v>66</v>
      </c>
      <c r="BS159" s="23">
        <f t="shared" si="1296"/>
        <v>66</v>
      </c>
      <c r="BT159" s="23">
        <f>+'QTR Raw'!AN85</f>
        <v>35</v>
      </c>
      <c r="BU159" s="23">
        <f t="shared" si="1296"/>
        <v>35</v>
      </c>
      <c r="BV159" s="23">
        <f>+'QTR Raw'!AP85</f>
        <v>10</v>
      </c>
      <c r="BW159" s="23">
        <f t="shared" si="1296"/>
        <v>10</v>
      </c>
      <c r="BX159" s="23">
        <f>+'QTR Raw'!AR85</f>
        <v>10</v>
      </c>
      <c r="BY159" s="23">
        <f t="shared" si="1296"/>
        <v>10</v>
      </c>
      <c r="BZ159" s="23">
        <f>+'QTR Raw'!AT85</f>
        <v>8</v>
      </c>
      <c r="CA159" s="23">
        <f t="shared" si="1296"/>
        <v>8</v>
      </c>
      <c r="CB159" s="23">
        <f>+'QTR Raw'!AV85</f>
        <v>9</v>
      </c>
      <c r="CC159" s="23">
        <f t="shared" si="1296"/>
        <v>9</v>
      </c>
      <c r="CD159" s="23">
        <f>+'QTR Raw'!AX85</f>
        <v>9</v>
      </c>
      <c r="CE159" s="23">
        <f t="shared" si="1296"/>
        <v>9</v>
      </c>
      <c r="CF159" s="23">
        <f>+'QTR Raw'!AZ85</f>
        <v>10</v>
      </c>
      <c r="CG159" s="23">
        <f t="shared" si="1299"/>
        <v>10</v>
      </c>
      <c r="CH159" s="23">
        <f t="shared" si="1274"/>
        <v>352</v>
      </c>
      <c r="CJ159" s="23">
        <f>+'QTR Raw'!BD85</f>
        <v>13</v>
      </c>
      <c r="CL159" s="23">
        <f>+'QTR Raw'!BF85</f>
        <v>13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13</v>
      </c>
    </row>
    <row r="160" spans="1:110" s="22" customFormat="1" x14ac:dyDescent="0.2">
      <c r="A160" s="22" t="s">
        <v>65</v>
      </c>
      <c r="B160" s="22">
        <f>SUM(B154:B159)</f>
        <v>0</v>
      </c>
      <c r="C160" s="22">
        <f t="shared" ref="C160:V160" si="1301">SUM(C154:C159)</f>
        <v>0</v>
      </c>
      <c r="D160" s="22">
        <f t="shared" si="1301"/>
        <v>0</v>
      </c>
      <c r="E160" s="22">
        <f t="shared" si="1301"/>
        <v>0</v>
      </c>
      <c r="F160" s="22">
        <f t="shared" si="1301"/>
        <v>0</v>
      </c>
      <c r="G160" s="22">
        <f t="shared" si="1301"/>
        <v>0</v>
      </c>
      <c r="H160" s="22">
        <f t="shared" si="1301"/>
        <v>0</v>
      </c>
      <c r="I160" s="22">
        <f t="shared" si="1301"/>
        <v>0</v>
      </c>
      <c r="J160" s="22">
        <f t="shared" si="1301"/>
        <v>0</v>
      </c>
      <c r="K160" s="22">
        <f t="shared" si="1301"/>
        <v>0</v>
      </c>
      <c r="L160" s="22">
        <f>SUM(L154:L159)</f>
        <v>0</v>
      </c>
      <c r="M160" s="22">
        <f>SUM(M154:M159)</f>
        <v>0</v>
      </c>
      <c r="N160" s="22">
        <f t="shared" si="1301"/>
        <v>0</v>
      </c>
      <c r="O160" s="22">
        <f t="shared" si="1301"/>
        <v>0</v>
      </c>
      <c r="P160" s="22">
        <f t="shared" si="1301"/>
        <v>0</v>
      </c>
      <c r="Q160" s="22">
        <f t="shared" si="1301"/>
        <v>0</v>
      </c>
      <c r="R160" s="22">
        <f t="shared" si="1301"/>
        <v>2703</v>
      </c>
      <c r="S160" s="22">
        <f t="shared" si="1301"/>
        <v>3265</v>
      </c>
      <c r="T160" s="22">
        <f t="shared" si="1301"/>
        <v>3552</v>
      </c>
      <c r="U160" s="22">
        <f t="shared" si="1301"/>
        <v>3364</v>
      </c>
      <c r="V160" s="22">
        <f t="shared" si="1301"/>
        <v>2974</v>
      </c>
      <c r="W160" s="22">
        <f t="shared" ref="W160" si="1302">SUM(W154:W159)</f>
        <v>3623</v>
      </c>
      <c r="X160" s="22">
        <f t="shared" ref="X160:Y160" si="1303">SUM(X154:X159)</f>
        <v>5055</v>
      </c>
      <c r="Y160" s="22">
        <f t="shared" si="1303"/>
        <v>4541</v>
      </c>
      <c r="Z160" s="22">
        <f t="shared" ref="Z160:AA160" si="1304">SUM(Z154:Z159)</f>
        <v>4972</v>
      </c>
      <c r="AA160" s="22">
        <f t="shared" ref="AA160" si="1305">SUM(AA154:AA159)</f>
        <v>5060</v>
      </c>
      <c r="AB160" s="21">
        <f t="shared" ref="AB160:AD160" si="1306">SUM(AB154:AB159)</f>
        <v>7138.0870802413756</v>
      </c>
      <c r="AC160" s="21">
        <f t="shared" si="1306"/>
        <v>8305.8586462744242</v>
      </c>
      <c r="AD160" s="21">
        <f t="shared" si="1306"/>
        <v>8886.4999289185234</v>
      </c>
      <c r="AE160" s="21">
        <f t="shared" ref="AE160" si="1307">SUM(AE154:AE159)</f>
        <v>9508.138799297918</v>
      </c>
      <c r="AJ160" s="22">
        <f t="shared" ref="AJ160" si="1308">SUM(AJ154:AJ159)</f>
        <v>0</v>
      </c>
      <c r="AK160" s="22" t="e">
        <f t="shared" ref="AK160" si="1309">SUM(AK154:AK159)</f>
        <v>#DIV/0!</v>
      </c>
      <c r="AL160" s="22">
        <f t="shared" ref="AL160:AM160" si="1310">SUM(AL154:AL159)</f>
        <v>0</v>
      </c>
      <c r="AM160" s="22" t="e">
        <f t="shared" si="1310"/>
        <v>#DIV/0!</v>
      </c>
      <c r="AN160" s="22">
        <f t="shared" ref="AN160:AO160" si="1311">SUM(AN154:AN159)</f>
        <v>0</v>
      </c>
      <c r="AO160" s="22" t="e">
        <f t="shared" si="1311"/>
        <v>#DIV/0!</v>
      </c>
      <c r="AP160" s="22">
        <f t="shared" ref="AP160:CE160" si="1312">SUM(AP154:AP159)</f>
        <v>0</v>
      </c>
      <c r="AQ160" s="22" t="e">
        <f t="shared" si="1312"/>
        <v>#DIV/0!</v>
      </c>
      <c r="AR160" s="22">
        <f t="shared" si="1312"/>
        <v>0</v>
      </c>
      <c r="AS160" s="22" t="e">
        <f t="shared" si="1312"/>
        <v>#DIV/0!</v>
      </c>
      <c r="AT160" s="22">
        <f t="shared" si="1312"/>
        <v>0</v>
      </c>
      <c r="AU160" s="22" t="e">
        <f t="shared" si="1312"/>
        <v>#DIV/0!</v>
      </c>
      <c r="AV160" s="22">
        <f t="shared" si="1312"/>
        <v>0</v>
      </c>
      <c r="AW160" s="22" t="e">
        <f t="shared" si="1312"/>
        <v>#DIV/0!</v>
      </c>
      <c r="AX160" s="22">
        <f t="shared" si="1312"/>
        <v>0</v>
      </c>
      <c r="AY160" s="22" t="e">
        <f t="shared" si="1312"/>
        <v>#DIV/0!</v>
      </c>
      <c r="AZ160" s="22">
        <f t="shared" si="1312"/>
        <v>0</v>
      </c>
      <c r="BA160" s="22" t="e">
        <f t="shared" si="1312"/>
        <v>#DIV/0!</v>
      </c>
      <c r="BB160" s="22">
        <f t="shared" si="1312"/>
        <v>0</v>
      </c>
      <c r="BC160" s="22" t="e">
        <f t="shared" si="1312"/>
        <v>#DIV/0!</v>
      </c>
      <c r="BD160" s="22">
        <f t="shared" si="1312"/>
        <v>0</v>
      </c>
      <c r="BE160" s="22" t="e">
        <f t="shared" si="1312"/>
        <v>#DIV/0!</v>
      </c>
      <c r="BF160" s="22">
        <f t="shared" si="1312"/>
        <v>0</v>
      </c>
      <c r="BG160" s="22">
        <f t="shared" si="1312"/>
        <v>0</v>
      </c>
      <c r="BH160" s="22">
        <f t="shared" si="1312"/>
        <v>0</v>
      </c>
      <c r="BI160" s="22">
        <f t="shared" si="1312"/>
        <v>0</v>
      </c>
      <c r="BJ160" s="22">
        <f t="shared" si="1312"/>
        <v>3552</v>
      </c>
      <c r="BK160" s="22">
        <f t="shared" si="1312"/>
        <v>3382.3289936664323</v>
      </c>
      <c r="BL160" s="22">
        <f t="shared" si="1312"/>
        <v>3503</v>
      </c>
      <c r="BM160" s="22">
        <f t="shared" si="1312"/>
        <v>3623.3488372093025</v>
      </c>
      <c r="BN160" s="22">
        <f t="shared" si="1312"/>
        <v>3532</v>
      </c>
      <c r="BO160" s="22">
        <f t="shared" si="1312"/>
        <v>3148.0628272251311</v>
      </c>
      <c r="BP160" s="22">
        <f t="shared" si="1312"/>
        <v>3399</v>
      </c>
      <c r="BQ160" s="22">
        <f t="shared" si="1312"/>
        <v>3657.6528318201472</v>
      </c>
      <c r="BR160" s="22">
        <f t="shared" si="1312"/>
        <v>3158</v>
      </c>
      <c r="BS160" s="22">
        <f t="shared" si="1312"/>
        <v>2932.1161536020309</v>
      </c>
      <c r="BT160" s="22">
        <f t="shared" si="1312"/>
        <v>4062</v>
      </c>
      <c r="BU160" s="22">
        <f t="shared" si="1312"/>
        <v>4151.9860519178619</v>
      </c>
      <c r="BV160" s="22">
        <f t="shared" si="1312"/>
        <v>3735</v>
      </c>
      <c r="BW160" s="22">
        <f t="shared" si="1312"/>
        <v>3697.6615384615384</v>
      </c>
      <c r="BX160" s="22">
        <f t="shared" si="1312"/>
        <v>4173</v>
      </c>
      <c r="BY160" s="22">
        <f t="shared" si="1312"/>
        <v>4422.8391114102997</v>
      </c>
      <c r="BZ160" s="22">
        <f t="shared" si="1312"/>
        <v>5242</v>
      </c>
      <c r="CA160" s="22">
        <f t="shared" si="1312"/>
        <v>5093.6965517241388</v>
      </c>
      <c r="CB160" s="22">
        <f t="shared" si="1312"/>
        <v>4928</v>
      </c>
      <c r="CC160" s="22">
        <f t="shared" si="1312"/>
        <v>5217.7957500792891</v>
      </c>
      <c r="CD160" s="22">
        <f t="shared" si="1312"/>
        <v>4812</v>
      </c>
      <c r="CE160" s="22">
        <f t="shared" si="1312"/>
        <v>4484.8479219874625</v>
      </c>
      <c r="CF160" s="22">
        <f t="shared" ref="CF160:CG160" si="1313">SUM(CF154:CF159)</f>
        <v>5201</v>
      </c>
      <c r="CG160" s="22">
        <f t="shared" si="1313"/>
        <v>5271.7664399092973</v>
      </c>
      <c r="CH160" s="22">
        <f t="shared" ref="CH160:CI160" si="1314">SUM(CH154:CH159)</f>
        <v>4972</v>
      </c>
      <c r="CI160" s="22">
        <f t="shared" si="1314"/>
        <v>4419.0153996577865</v>
      </c>
      <c r="CJ160" s="22">
        <f t="shared" ref="CJ160:DB160" si="1315">SUM(CJ154:CJ159)</f>
        <v>5502</v>
      </c>
      <c r="CK160" s="22">
        <f t="shared" si="1315"/>
        <v>5645.306409130817</v>
      </c>
      <c r="CL160" s="22">
        <f t="shared" ref="CL160" si="1316">SUM(CL154:CL159)</f>
        <v>5814</v>
      </c>
      <c r="CM160" s="21">
        <f t="shared" si="1315"/>
        <v>5348.5071818434062</v>
      </c>
      <c r="CN160" s="21">
        <f t="shared" si="1315"/>
        <v>5336.8790960704609</v>
      </c>
      <c r="CO160" s="21">
        <f t="shared" si="1315"/>
        <v>5764.3691021615468</v>
      </c>
      <c r="CP160" s="21">
        <f t="shared" si="1315"/>
        <v>7138.0870802413756</v>
      </c>
      <c r="CQ160" s="21">
        <f t="shared" si="1315"/>
        <v>6235.4836727037282</v>
      </c>
      <c r="CR160" s="21">
        <f t="shared" si="1315"/>
        <v>6270.8327910005064</v>
      </c>
      <c r="CS160" s="21">
        <f t="shared" si="1315"/>
        <v>6782.4744568401311</v>
      </c>
      <c r="CT160" s="21">
        <f t="shared" si="1315"/>
        <v>8305.8586462744242</v>
      </c>
      <c r="CU160" s="21">
        <f t="shared" si="1315"/>
        <v>7070.6385828482889</v>
      </c>
      <c r="CV160" s="21">
        <f t="shared" si="1315"/>
        <v>6966.3417595051915</v>
      </c>
      <c r="CW160" s="21">
        <f t="shared" si="1315"/>
        <v>7370.7754859778788</v>
      </c>
      <c r="CX160" s="21">
        <f t="shared" si="1315"/>
        <v>8886.4999289185234</v>
      </c>
      <c r="CY160" s="21">
        <f t="shared" si="1315"/>
        <v>7563.4596417375451</v>
      </c>
      <c r="CZ160" s="21">
        <f t="shared" si="1315"/>
        <v>7454.8868922420115</v>
      </c>
      <c r="DA160" s="21">
        <f t="shared" si="1315"/>
        <v>7887.2926117151583</v>
      </c>
      <c r="DB160" s="21">
        <f t="shared" si="1315"/>
        <v>9508.138799297918</v>
      </c>
      <c r="DE160" s="126"/>
      <c r="DF160" s="22">
        <v>5814</v>
      </c>
    </row>
    <row r="161" spans="1:110" s="23" customFormat="1" outlineLevel="1" x14ac:dyDescent="0.2">
      <c r="A161" s="23" t="s">
        <v>66</v>
      </c>
      <c r="B161" s="23">
        <f>'Annual Raw'!C50+'Annual Raw'!C58</f>
        <v>0</v>
      </c>
      <c r="C161" s="23">
        <f>'Annual Raw'!D50+'Annual Raw'!D58</f>
        <v>0</v>
      </c>
      <c r="D161" s="23">
        <f>'Annual Raw'!E50+'Annual Raw'!E58</f>
        <v>0</v>
      </c>
      <c r="E161" s="23">
        <f>'Annual Raw'!F50+'Annual Raw'!F58</f>
        <v>0</v>
      </c>
      <c r="F161" s="23">
        <f>'Annual Raw'!G50+'Annual Raw'!G58</f>
        <v>0</v>
      </c>
      <c r="G161" s="23">
        <f>'Annual Raw'!H50+'Annual Raw'!H58</f>
        <v>0</v>
      </c>
      <c r="H161" s="23">
        <f>'Annual Raw'!I50+'Annual Raw'!I58</f>
        <v>0</v>
      </c>
      <c r="I161" s="23">
        <f>'Annual Raw'!J50+'Annual Raw'!J58</f>
        <v>0</v>
      </c>
      <c r="J161" s="23">
        <f>'Annual Raw'!K50+'Annual Raw'!K58</f>
        <v>0</v>
      </c>
      <c r="K161" s="23">
        <f>'Annual Raw'!L50+'Annual Raw'!L58</f>
        <v>0</v>
      </c>
      <c r="L161" s="23">
        <f>'Annual Raw'!M50+'Annual Raw'!M58</f>
        <v>0</v>
      </c>
      <c r="M161" s="23">
        <f>'Annual Raw'!N50+'Annual Raw'!N58</f>
        <v>0</v>
      </c>
      <c r="N161" s="23">
        <f>'Annual Raw'!O50+'Annual Raw'!O58</f>
        <v>0</v>
      </c>
      <c r="O161" s="23">
        <f>'Annual Raw'!P50+'Annual Raw'!P58</f>
        <v>0</v>
      </c>
      <c r="P161" s="23">
        <f>'Annual Raw'!Q50+'Annual Raw'!Q58</f>
        <v>0</v>
      </c>
      <c r="Q161" s="23">
        <f>'Annual Raw'!R50+'Annual Raw'!R58</f>
        <v>0</v>
      </c>
      <c r="R161" s="23">
        <f>'Annual Raw'!S50+'Annual Raw'!S58</f>
        <v>113</v>
      </c>
      <c r="S161" s="23">
        <f>'Annual Raw'!T50+'Annual Raw'!T58</f>
        <v>127</v>
      </c>
      <c r="T161" s="23">
        <f>'Annual Raw'!U50+'Annual Raw'!U58</f>
        <v>242</v>
      </c>
      <c r="U161" s="23">
        <f>'Annual Raw'!V50+'Annual Raw'!V58</f>
        <v>278</v>
      </c>
      <c r="V161" s="23">
        <f>'Annual Raw'!W50+'Annual Raw'!W58</f>
        <v>295</v>
      </c>
      <c r="W161" s="23">
        <f>'Annual Raw'!X50+'Annual Raw'!X58</f>
        <v>202</v>
      </c>
      <c r="X161" s="23">
        <f>'Annual Raw'!Y50+'Annual Raw'!Y58</f>
        <v>259</v>
      </c>
      <c r="Y161" s="23">
        <f>'Annual Raw'!Z50+'Annual Raw'!Z58</f>
        <v>278</v>
      </c>
      <c r="Z161" s="23">
        <f>'Annual Raw'!AA50+'Annual Raw'!AA58</f>
        <v>549</v>
      </c>
      <c r="AA161" s="23">
        <f>'Annual Raw'!AB50+'Annual Raw'!AB58</f>
        <v>780</v>
      </c>
      <c r="AB161" s="24">
        <f t="shared" ref="AB161:AB167" si="1317">+CP161</f>
        <v>0</v>
      </c>
      <c r="AC161" s="24">
        <f t="shared" ref="AC161:AC167" si="1318">+CT161</f>
        <v>0</v>
      </c>
      <c r="AD161" s="24">
        <f t="shared" ref="AD161:AD167" si="1319">+CX161</f>
        <v>0</v>
      </c>
      <c r="AE161" s="24">
        <f t="shared" ref="AE161:AE167" si="1320">+DB161</f>
        <v>0</v>
      </c>
      <c r="AJ161" s="23">
        <f>+'QTR Raw'!D64</f>
        <v>0</v>
      </c>
      <c r="AK161" s="23">
        <f t="shared" ref="AK161:CE167" si="1321">+AJ161</f>
        <v>0</v>
      </c>
      <c r="AL161" s="23">
        <f>+'QTR Raw'!F64</f>
        <v>0</v>
      </c>
      <c r="AM161" s="23">
        <f t="shared" si="1321"/>
        <v>0</v>
      </c>
      <c r="AN161" s="23">
        <f>+'QTR Raw'!H64</f>
        <v>0</v>
      </c>
      <c r="AO161" s="23">
        <f t="shared" si="1321"/>
        <v>0</v>
      </c>
      <c r="AP161" s="23">
        <f>+'QTR Raw'!J64</f>
        <v>0</v>
      </c>
      <c r="AQ161" s="23">
        <f t="shared" si="1321"/>
        <v>0</v>
      </c>
      <c r="AR161" s="23">
        <f>+'QTR Raw'!L64</f>
        <v>0</v>
      </c>
      <c r="AS161" s="23">
        <f t="shared" si="1321"/>
        <v>0</v>
      </c>
      <c r="AT161" s="23">
        <f>+'QTR Raw'!N64</f>
        <v>0</v>
      </c>
      <c r="AU161" s="23">
        <f t="shared" si="1321"/>
        <v>0</v>
      </c>
      <c r="AV161" s="23">
        <f>+'QTR Raw'!P64</f>
        <v>0</v>
      </c>
      <c r="AW161" s="23">
        <f t="shared" si="1321"/>
        <v>0</v>
      </c>
      <c r="AX161" s="23">
        <f>+'QTR Raw'!R64</f>
        <v>0</v>
      </c>
      <c r="AY161" s="23">
        <f t="shared" si="1321"/>
        <v>0</v>
      </c>
      <c r="AZ161" s="23">
        <f>+'QTR Raw'!T64</f>
        <v>0</v>
      </c>
      <c r="BA161" s="23">
        <f t="shared" si="1321"/>
        <v>0</v>
      </c>
      <c r="BB161" s="23">
        <f>+'QTR Raw'!V64</f>
        <v>0</v>
      </c>
      <c r="BC161" s="23">
        <f t="shared" si="1321"/>
        <v>0</v>
      </c>
      <c r="BD161" s="23">
        <f>+'QTR Raw'!X64</f>
        <v>0</v>
      </c>
      <c r="BE161" s="23">
        <f t="shared" si="1321"/>
        <v>0</v>
      </c>
      <c r="BF161" s="23">
        <f>+'QTR Raw'!Z64</f>
        <v>0</v>
      </c>
      <c r="BG161" s="23">
        <f t="shared" si="1321"/>
        <v>0</v>
      </c>
      <c r="BH161" s="23">
        <f>+'QTR Raw'!AB64</f>
        <v>0</v>
      </c>
      <c r="BI161" s="23">
        <f t="shared" si="1321"/>
        <v>0</v>
      </c>
      <c r="BJ161" s="23">
        <f>+'QTR Raw'!AD64</f>
        <v>242</v>
      </c>
      <c r="BK161" s="23">
        <f t="shared" si="1321"/>
        <v>242</v>
      </c>
      <c r="BL161" s="23">
        <f>+'QTR Raw'!AF64</f>
        <v>173</v>
      </c>
      <c r="BM161" s="23">
        <f t="shared" si="1321"/>
        <v>173</v>
      </c>
      <c r="BN161" s="23">
        <f>+'QTR Raw'!AH64</f>
        <v>278</v>
      </c>
      <c r="BO161" s="23">
        <f t="shared" si="1321"/>
        <v>278</v>
      </c>
      <c r="BP161" s="23">
        <f>+'QTR Raw'!AJ64</f>
        <v>127</v>
      </c>
      <c r="BQ161" s="23">
        <f t="shared" si="1321"/>
        <v>127</v>
      </c>
      <c r="BR161" s="23">
        <f>+'QTR Raw'!AL64</f>
        <v>295</v>
      </c>
      <c r="BS161" s="23">
        <f t="shared" si="1321"/>
        <v>295</v>
      </c>
      <c r="BT161" s="23">
        <f>+'QTR Raw'!AN64</f>
        <v>188</v>
      </c>
      <c r="BU161" s="23">
        <f t="shared" si="1321"/>
        <v>188</v>
      </c>
      <c r="BV161" s="23">
        <f>+'QTR Raw'!AP64</f>
        <v>202</v>
      </c>
      <c r="BW161" s="23">
        <f t="shared" si="1321"/>
        <v>202</v>
      </c>
      <c r="BX161" s="23">
        <f>+'QTR Raw'!AR64</f>
        <v>213</v>
      </c>
      <c r="BY161" s="23">
        <f t="shared" si="1321"/>
        <v>213</v>
      </c>
      <c r="BZ161" s="23">
        <f>+'QTR Raw'!AT64</f>
        <v>259</v>
      </c>
      <c r="CA161" s="23">
        <f t="shared" si="1321"/>
        <v>259</v>
      </c>
      <c r="CB161" s="23">
        <f>+'QTR Raw'!AV64</f>
        <v>225</v>
      </c>
      <c r="CC161" s="23">
        <f t="shared" si="1321"/>
        <v>225</v>
      </c>
      <c r="CD161" s="23">
        <f>+'QTR Raw'!AX64</f>
        <v>278</v>
      </c>
      <c r="CE161" s="23">
        <f t="shared" si="1321"/>
        <v>278</v>
      </c>
      <c r="CF161" s="23">
        <f>+'QTR Raw'!AZ64</f>
        <v>289</v>
      </c>
      <c r="CG161" s="23">
        <f t="shared" ref="CG161:CG164" si="1322">+CF161</f>
        <v>289</v>
      </c>
      <c r="CH161" s="23">
        <f t="shared" si="1274"/>
        <v>549</v>
      </c>
      <c r="CJ161" s="23">
        <f>+'QTR Raw'!BD64</f>
        <v>559</v>
      </c>
      <c r="CL161" s="23">
        <f>+'QTR Raw'!BF64</f>
        <v>780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780</v>
      </c>
    </row>
    <row r="162" spans="1:110" s="23" customFormat="1" outlineLevel="1" x14ac:dyDescent="0.2">
      <c r="A162" s="23" t="s">
        <v>67</v>
      </c>
      <c r="B162" s="23">
        <f>'Annual Raw'!C51</f>
        <v>0</v>
      </c>
      <c r="C162" s="23">
        <f>'Annual Raw'!D51</f>
        <v>0</v>
      </c>
      <c r="D162" s="23">
        <f>'Annual Raw'!E51</f>
        <v>0</v>
      </c>
      <c r="E162" s="23">
        <f>'Annual Raw'!F51</f>
        <v>0</v>
      </c>
      <c r="F162" s="23">
        <f>'Annual Raw'!G51</f>
        <v>0</v>
      </c>
      <c r="G162" s="23">
        <f>'Annual Raw'!H51</f>
        <v>0</v>
      </c>
      <c r="H162" s="23">
        <f>'Annual Raw'!I51</f>
        <v>0</v>
      </c>
      <c r="I162" s="23">
        <f>'Annual Raw'!J51</f>
        <v>0</v>
      </c>
      <c r="J162" s="23">
        <f>'Annual Raw'!K51</f>
        <v>0</v>
      </c>
      <c r="K162" s="23">
        <f>'Annual Raw'!L51</f>
        <v>0</v>
      </c>
      <c r="L162" s="23">
        <f>'Annual Raw'!M51</f>
        <v>0</v>
      </c>
      <c r="M162" s="23">
        <f>'Annual Raw'!N51</f>
        <v>0</v>
      </c>
      <c r="N162" s="23">
        <f>'Annual Raw'!O51</f>
        <v>0</v>
      </c>
      <c r="O162" s="23">
        <f>'Annual Raw'!P51</f>
        <v>0</v>
      </c>
      <c r="P162" s="23">
        <f>'Annual Raw'!Q51</f>
        <v>0</v>
      </c>
      <c r="Q162" s="23">
        <f>'Annual Raw'!R51</f>
        <v>0</v>
      </c>
      <c r="R162" s="23">
        <f>'Annual Raw'!S51</f>
        <v>0</v>
      </c>
      <c r="S162" s="23">
        <f>'Annual Raw'!T51</f>
        <v>0</v>
      </c>
      <c r="T162" s="23">
        <f>'Annual Raw'!U51</f>
        <v>0</v>
      </c>
      <c r="U162" s="23">
        <f>'Annual Raw'!V51</f>
        <v>3</v>
      </c>
      <c r="V162" s="23">
        <f>'Annual Raw'!W51</f>
        <v>0</v>
      </c>
      <c r="W162" s="23">
        <f>'Annual Raw'!X51</f>
        <v>0</v>
      </c>
      <c r="X162" s="23">
        <f>'Annual Raw'!Y51</f>
        <v>0</v>
      </c>
      <c r="Y162" s="23">
        <f>'Annual Raw'!Z51</f>
        <v>0</v>
      </c>
      <c r="Z162" s="23">
        <f>'Annual Raw'!AA51</f>
        <v>0</v>
      </c>
      <c r="AA162" s="23">
        <f>'Annual Raw'!AB51</f>
        <v>0</v>
      </c>
      <c r="AB162" s="24">
        <f t="shared" si="1317"/>
        <v>0</v>
      </c>
      <c r="AC162" s="24">
        <f t="shared" si="1318"/>
        <v>0</v>
      </c>
      <c r="AD162" s="24">
        <f t="shared" si="1319"/>
        <v>0</v>
      </c>
      <c r="AE162" s="24">
        <f t="shared" si="1320"/>
        <v>0</v>
      </c>
      <c r="AJ162" s="23">
        <f>+'QTR Raw'!D65</f>
        <v>0</v>
      </c>
      <c r="AK162" s="23">
        <f t="shared" si="1321"/>
        <v>0</v>
      </c>
      <c r="AL162" s="23">
        <f>+'QTR Raw'!F65</f>
        <v>0</v>
      </c>
      <c r="AM162" s="23">
        <f t="shared" si="1321"/>
        <v>0</v>
      </c>
      <c r="AN162" s="23">
        <f>+'QTR Raw'!H65</f>
        <v>0</v>
      </c>
      <c r="AO162" s="23">
        <f t="shared" si="1321"/>
        <v>0</v>
      </c>
      <c r="AP162" s="23">
        <f>+'QTR Raw'!J65</f>
        <v>0</v>
      </c>
      <c r="AQ162" s="23">
        <f t="shared" si="1321"/>
        <v>0</v>
      </c>
      <c r="AR162" s="23">
        <f>+'QTR Raw'!L65</f>
        <v>0</v>
      </c>
      <c r="AS162" s="23">
        <f t="shared" si="1321"/>
        <v>0</v>
      </c>
      <c r="AT162" s="23">
        <f>+'QTR Raw'!N65</f>
        <v>0</v>
      </c>
      <c r="AU162" s="23">
        <f t="shared" si="1321"/>
        <v>0</v>
      </c>
      <c r="AV162" s="23">
        <f>+'QTR Raw'!P65</f>
        <v>0</v>
      </c>
      <c r="AW162" s="23">
        <f t="shared" si="1321"/>
        <v>0</v>
      </c>
      <c r="AX162" s="23">
        <f>+'QTR Raw'!R65</f>
        <v>0</v>
      </c>
      <c r="AY162" s="23">
        <f t="shared" si="1321"/>
        <v>0</v>
      </c>
      <c r="AZ162" s="23">
        <f>+'QTR Raw'!T65</f>
        <v>0</v>
      </c>
      <c r="BA162" s="23">
        <f t="shared" si="1321"/>
        <v>0</v>
      </c>
      <c r="BB162" s="23">
        <f>+'QTR Raw'!V65</f>
        <v>0</v>
      </c>
      <c r="BC162" s="23">
        <f t="shared" si="1321"/>
        <v>0</v>
      </c>
      <c r="BD162" s="23">
        <f>+'QTR Raw'!X65</f>
        <v>0</v>
      </c>
      <c r="BE162" s="23">
        <f t="shared" si="1321"/>
        <v>0</v>
      </c>
      <c r="BF162" s="23">
        <f>+'QTR Raw'!Z65</f>
        <v>0</v>
      </c>
      <c r="BG162" s="23">
        <f t="shared" si="1321"/>
        <v>0</v>
      </c>
      <c r="BH162" s="23">
        <f>+'QTR Raw'!AB65</f>
        <v>0</v>
      </c>
      <c r="BI162" s="23">
        <f t="shared" si="1321"/>
        <v>0</v>
      </c>
      <c r="BJ162" s="23">
        <f>+'QTR Raw'!AD65</f>
        <v>0</v>
      </c>
      <c r="BK162" s="23">
        <f t="shared" si="1321"/>
        <v>0</v>
      </c>
      <c r="BL162" s="23">
        <f>+'QTR Raw'!AF65</f>
        <v>0</v>
      </c>
      <c r="BM162" s="23">
        <f t="shared" si="1321"/>
        <v>0</v>
      </c>
      <c r="BN162" s="23">
        <f>+'QTR Raw'!AH65</f>
        <v>3</v>
      </c>
      <c r="BO162" s="23">
        <f t="shared" si="1321"/>
        <v>3</v>
      </c>
      <c r="BP162" s="23">
        <f>+'QTR Raw'!AJ65</f>
        <v>3</v>
      </c>
      <c r="BQ162" s="23">
        <f t="shared" si="1321"/>
        <v>3</v>
      </c>
      <c r="BR162" s="23">
        <f>+'QTR Raw'!AL65</f>
        <v>0</v>
      </c>
      <c r="BS162" s="23">
        <f t="shared" si="1321"/>
        <v>0</v>
      </c>
      <c r="BT162" s="23">
        <f>+'QTR Raw'!AN65</f>
        <v>0</v>
      </c>
      <c r="BU162" s="23">
        <f t="shared" si="1321"/>
        <v>0</v>
      </c>
      <c r="BV162" s="23">
        <f>+'QTR Raw'!AP65</f>
        <v>0</v>
      </c>
      <c r="BW162" s="23">
        <f t="shared" si="1321"/>
        <v>0</v>
      </c>
      <c r="BX162" s="23">
        <f>+'QTR Raw'!AR65</f>
        <v>0</v>
      </c>
      <c r="BY162" s="23">
        <f t="shared" si="1321"/>
        <v>0</v>
      </c>
      <c r="BZ162" s="23">
        <f>+'QTR Raw'!AT65</f>
        <v>0</v>
      </c>
      <c r="CA162" s="23">
        <f t="shared" si="1321"/>
        <v>0</v>
      </c>
      <c r="CB162" s="23">
        <f>+'QTR Raw'!AV65</f>
        <v>0</v>
      </c>
      <c r="CC162" s="23">
        <f t="shared" si="1321"/>
        <v>0</v>
      </c>
      <c r="CD162" s="23">
        <f>+'QTR Raw'!AX65</f>
        <v>0</v>
      </c>
      <c r="CE162" s="23">
        <f t="shared" si="1321"/>
        <v>0</v>
      </c>
      <c r="CF162" s="23">
        <f>+'QTR Raw'!AZ65</f>
        <v>0</v>
      </c>
      <c r="CG162" s="23">
        <f t="shared" si="1322"/>
        <v>0</v>
      </c>
      <c r="CH162" s="23">
        <f t="shared" si="1274"/>
        <v>0</v>
      </c>
      <c r="CJ162" s="23">
        <f>+'QTR Raw'!BD65</f>
        <v>0</v>
      </c>
      <c r="CL162" s="23">
        <f>+'QTR Raw'!BF65</f>
        <v>0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0</v>
      </c>
    </row>
    <row r="163" spans="1:110" s="23" customFormat="1" outlineLevel="1" x14ac:dyDescent="0.2">
      <c r="A163" s="23" t="s">
        <v>68</v>
      </c>
      <c r="B163" s="23">
        <f>'Annual Raw'!C52</f>
        <v>0</v>
      </c>
      <c r="C163" s="23">
        <f>'Annual Raw'!D52</f>
        <v>0</v>
      </c>
      <c r="D163" s="23">
        <f>'Annual Raw'!E52</f>
        <v>0</v>
      </c>
      <c r="E163" s="23">
        <f>'Annual Raw'!F52</f>
        <v>0</v>
      </c>
      <c r="F163" s="23">
        <f>'Annual Raw'!G52</f>
        <v>0</v>
      </c>
      <c r="G163" s="23">
        <f>'Annual Raw'!H52</f>
        <v>0</v>
      </c>
      <c r="H163" s="23">
        <f>'Annual Raw'!I52</f>
        <v>0</v>
      </c>
      <c r="I163" s="23">
        <f>'Annual Raw'!J52</f>
        <v>0</v>
      </c>
      <c r="J163" s="23">
        <f>'Annual Raw'!K52</f>
        <v>0</v>
      </c>
      <c r="K163" s="23">
        <f>'Annual Raw'!L52</f>
        <v>0</v>
      </c>
      <c r="L163" s="23">
        <f>'Annual Raw'!M52</f>
        <v>0</v>
      </c>
      <c r="M163" s="23">
        <f>'Annual Raw'!N52</f>
        <v>0</v>
      </c>
      <c r="N163" s="23">
        <f>'Annual Raw'!O52</f>
        <v>0</v>
      </c>
      <c r="O163" s="23">
        <f>'Annual Raw'!P52</f>
        <v>0</v>
      </c>
      <c r="P163" s="23">
        <f>'Annual Raw'!Q52</f>
        <v>0</v>
      </c>
      <c r="Q163" s="23">
        <f>'Annual Raw'!R52</f>
        <v>0</v>
      </c>
      <c r="R163" s="23">
        <f>'Annual Raw'!S52</f>
        <v>140</v>
      </c>
      <c r="S163" s="23">
        <f>'Annual Raw'!T52</f>
        <v>84</v>
      </c>
      <c r="T163" s="23">
        <f>'Annual Raw'!U52</f>
        <v>170</v>
      </c>
      <c r="U163" s="23">
        <f>'Annual Raw'!V52</f>
        <v>140</v>
      </c>
      <c r="V163" s="23">
        <f>'Annual Raw'!W52</f>
        <v>176</v>
      </c>
      <c r="W163" s="23">
        <f>'Annual Raw'!X52</f>
        <v>181</v>
      </c>
      <c r="X163" s="23">
        <f>'Annual Raw'!Y52</f>
        <v>236</v>
      </c>
      <c r="Y163" s="23">
        <f>'Annual Raw'!Z52</f>
        <v>264</v>
      </c>
      <c r="Z163" s="23">
        <f>'Annual Raw'!AA52</f>
        <v>313</v>
      </c>
      <c r="AA163" s="23">
        <f>'Annual Raw'!AB52</f>
        <v>330</v>
      </c>
      <c r="AB163" s="24">
        <f t="shared" si="1317"/>
        <v>0</v>
      </c>
      <c r="AC163" s="24">
        <f t="shared" si="1318"/>
        <v>0</v>
      </c>
      <c r="AD163" s="24">
        <f t="shared" si="1319"/>
        <v>0</v>
      </c>
      <c r="AE163" s="24">
        <f t="shared" si="1320"/>
        <v>0</v>
      </c>
      <c r="AJ163" s="23">
        <f>+'QTR Raw'!D66</f>
        <v>0</v>
      </c>
      <c r="AK163" s="23">
        <f t="shared" si="1321"/>
        <v>0</v>
      </c>
      <c r="AL163" s="23">
        <f>+'QTR Raw'!F66</f>
        <v>0</v>
      </c>
      <c r="AM163" s="23">
        <f t="shared" si="1321"/>
        <v>0</v>
      </c>
      <c r="AN163" s="23">
        <f>+'QTR Raw'!H66</f>
        <v>0</v>
      </c>
      <c r="AO163" s="23">
        <f t="shared" si="1321"/>
        <v>0</v>
      </c>
      <c r="AP163" s="23">
        <f>+'QTR Raw'!J66</f>
        <v>0</v>
      </c>
      <c r="AQ163" s="23">
        <f t="shared" si="1321"/>
        <v>0</v>
      </c>
      <c r="AR163" s="23">
        <f>+'QTR Raw'!L66</f>
        <v>0</v>
      </c>
      <c r="AS163" s="23">
        <f t="shared" si="1321"/>
        <v>0</v>
      </c>
      <c r="AT163" s="23">
        <f>+'QTR Raw'!N66</f>
        <v>0</v>
      </c>
      <c r="AU163" s="23">
        <f t="shared" si="1321"/>
        <v>0</v>
      </c>
      <c r="AV163" s="23">
        <f>+'QTR Raw'!P66</f>
        <v>0</v>
      </c>
      <c r="AW163" s="23">
        <f t="shared" si="1321"/>
        <v>0</v>
      </c>
      <c r="AX163" s="23">
        <f>+'QTR Raw'!R66</f>
        <v>0</v>
      </c>
      <c r="AY163" s="23">
        <f t="shared" si="1321"/>
        <v>0</v>
      </c>
      <c r="AZ163" s="23">
        <f>+'QTR Raw'!T66</f>
        <v>0</v>
      </c>
      <c r="BA163" s="23">
        <f t="shared" si="1321"/>
        <v>0</v>
      </c>
      <c r="BB163" s="23">
        <f>+'QTR Raw'!V66</f>
        <v>0</v>
      </c>
      <c r="BC163" s="23">
        <f t="shared" si="1321"/>
        <v>0</v>
      </c>
      <c r="BD163" s="23">
        <f>+'QTR Raw'!X66</f>
        <v>0</v>
      </c>
      <c r="BE163" s="23">
        <f t="shared" si="1321"/>
        <v>0</v>
      </c>
      <c r="BF163" s="23">
        <f>+'QTR Raw'!Z66</f>
        <v>0</v>
      </c>
      <c r="BG163" s="23">
        <f t="shared" si="1321"/>
        <v>0</v>
      </c>
      <c r="BH163" s="23">
        <f>+'QTR Raw'!AB66</f>
        <v>0</v>
      </c>
      <c r="BI163" s="23">
        <f t="shared" si="1321"/>
        <v>0</v>
      </c>
      <c r="BJ163" s="23">
        <f>+'QTR Raw'!AD66</f>
        <v>170</v>
      </c>
      <c r="BK163" s="23">
        <f t="shared" si="1321"/>
        <v>170</v>
      </c>
      <c r="BL163" s="23">
        <f>+'QTR Raw'!AF66</f>
        <v>178</v>
      </c>
      <c r="BM163" s="23">
        <f t="shared" si="1321"/>
        <v>178</v>
      </c>
      <c r="BN163" s="23">
        <f>+'QTR Raw'!AH66</f>
        <v>140</v>
      </c>
      <c r="BO163" s="23">
        <f t="shared" si="1321"/>
        <v>140</v>
      </c>
      <c r="BP163" s="23">
        <f>+'QTR Raw'!AJ66</f>
        <v>263</v>
      </c>
      <c r="BQ163" s="23">
        <f t="shared" si="1321"/>
        <v>263</v>
      </c>
      <c r="BR163" s="23">
        <f>+'QTR Raw'!AL66</f>
        <v>176</v>
      </c>
      <c r="BS163" s="23">
        <f t="shared" si="1321"/>
        <v>176</v>
      </c>
      <c r="BT163" s="23">
        <f>+'QTR Raw'!AN66</f>
        <v>157</v>
      </c>
      <c r="BU163" s="23">
        <f t="shared" si="1321"/>
        <v>157</v>
      </c>
      <c r="BV163" s="23">
        <f>+'QTR Raw'!AP66</f>
        <v>181</v>
      </c>
      <c r="BW163" s="23">
        <f t="shared" si="1321"/>
        <v>181</v>
      </c>
      <c r="BX163" s="23">
        <f>+'QTR Raw'!AR66</f>
        <v>230</v>
      </c>
      <c r="BY163" s="23">
        <f t="shared" si="1321"/>
        <v>230</v>
      </c>
      <c r="BZ163" s="23">
        <f>+'QTR Raw'!AT66</f>
        <v>236</v>
      </c>
      <c r="CA163" s="23">
        <f t="shared" si="1321"/>
        <v>236</v>
      </c>
      <c r="CB163" s="23">
        <f>+'QTR Raw'!AV66</f>
        <v>247</v>
      </c>
      <c r="CC163" s="23">
        <f t="shared" si="1321"/>
        <v>247</v>
      </c>
      <c r="CD163" s="23">
        <f>+'QTR Raw'!AX66</f>
        <v>264</v>
      </c>
      <c r="CE163" s="23">
        <f t="shared" si="1321"/>
        <v>264</v>
      </c>
      <c r="CF163" s="23">
        <f>+'QTR Raw'!AZ66</f>
        <v>274</v>
      </c>
      <c r="CG163" s="23">
        <f t="shared" si="1322"/>
        <v>274</v>
      </c>
      <c r="CH163" s="23">
        <f t="shared" si="1274"/>
        <v>313</v>
      </c>
      <c r="CJ163" s="23">
        <f>+'QTR Raw'!BD66</f>
        <v>327</v>
      </c>
      <c r="CL163" s="23">
        <f>+'QTR Raw'!BF66</f>
        <v>330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330</v>
      </c>
    </row>
    <row r="164" spans="1:110" s="23" customFormat="1" outlineLevel="1" x14ac:dyDescent="0.2">
      <c r="A164" s="23" t="s">
        <v>69</v>
      </c>
      <c r="B164" s="23">
        <v>0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23">
        <v>0</v>
      </c>
      <c r="X164" s="23">
        <v>0</v>
      </c>
      <c r="Y164" s="23">
        <v>0</v>
      </c>
      <c r="Z164" s="23">
        <v>0</v>
      </c>
      <c r="AA164" s="23">
        <v>0</v>
      </c>
      <c r="AB164" s="24">
        <f t="shared" si="1317"/>
        <v>5456.6703533434729</v>
      </c>
      <c r="AC164" s="24">
        <f t="shared" si="1318"/>
        <v>5842.6713101848673</v>
      </c>
      <c r="AD164" s="24">
        <f t="shared" si="1319"/>
        <v>6251.1174815069999</v>
      </c>
      <c r="AE164" s="24">
        <f t="shared" si="1320"/>
        <v>6688.4029865872672</v>
      </c>
      <c r="AJ164" s="23">
        <f>+'QTR Raw'!D87</f>
        <v>0</v>
      </c>
      <c r="AK164" s="23">
        <f t="shared" si="1321"/>
        <v>0</v>
      </c>
      <c r="AL164" s="23">
        <f>+'QTR Raw'!F87</f>
        <v>0</v>
      </c>
      <c r="AM164" s="23">
        <f t="shared" si="1321"/>
        <v>0</v>
      </c>
      <c r="AN164" s="23">
        <f>+'QTR Raw'!H87</f>
        <v>0</v>
      </c>
      <c r="AO164" s="23">
        <f t="shared" si="1321"/>
        <v>0</v>
      </c>
      <c r="AP164" s="23">
        <f>+'QTR Raw'!J87</f>
        <v>0</v>
      </c>
      <c r="AQ164" s="23">
        <f t="shared" si="1321"/>
        <v>0</v>
      </c>
      <c r="AR164" s="23">
        <f>+'QTR Raw'!L87</f>
        <v>0</v>
      </c>
      <c r="AS164" s="23">
        <f t="shared" si="1321"/>
        <v>0</v>
      </c>
      <c r="AT164" s="23">
        <f>+'QTR Raw'!N87</f>
        <v>0</v>
      </c>
      <c r="AU164" s="23">
        <f t="shared" si="1321"/>
        <v>0</v>
      </c>
      <c r="AV164" s="23">
        <f>+'QTR Raw'!P87</f>
        <v>0</v>
      </c>
      <c r="AW164" s="23">
        <f t="shared" si="1321"/>
        <v>0</v>
      </c>
      <c r="AX164" s="23">
        <f>+'QTR Raw'!R87</f>
        <v>0</v>
      </c>
      <c r="AY164" s="23">
        <f t="shared" si="1321"/>
        <v>0</v>
      </c>
      <c r="AZ164" s="23">
        <f>+'QTR Raw'!T87</f>
        <v>0</v>
      </c>
      <c r="BA164" s="23">
        <f t="shared" si="1321"/>
        <v>0</v>
      </c>
      <c r="BB164" s="23">
        <f>+'QTR Raw'!V87</f>
        <v>0</v>
      </c>
      <c r="BC164" s="23">
        <f t="shared" si="1321"/>
        <v>0</v>
      </c>
      <c r="BD164" s="23">
        <f>+'QTR Raw'!X87</f>
        <v>0</v>
      </c>
      <c r="BE164" s="23">
        <f t="shared" si="1321"/>
        <v>0</v>
      </c>
      <c r="BF164" s="23">
        <f>+'QTR Raw'!Z87</f>
        <v>0</v>
      </c>
      <c r="BG164" s="23">
        <f t="shared" si="1321"/>
        <v>0</v>
      </c>
      <c r="BH164" s="23">
        <f>+'QTR Raw'!AB87</f>
        <v>0</v>
      </c>
      <c r="BI164" s="23">
        <f t="shared" si="1321"/>
        <v>0</v>
      </c>
      <c r="BJ164" s="23">
        <f>+'QTR Raw'!AD87</f>
        <v>0</v>
      </c>
      <c r="BK164" s="23">
        <f t="shared" si="1321"/>
        <v>0</v>
      </c>
      <c r="BL164" s="23">
        <f>+'QTR Raw'!AF87</f>
        <v>0</v>
      </c>
      <c r="BM164" s="23">
        <f t="shared" si="1321"/>
        <v>0</v>
      </c>
      <c r="BN164" s="23">
        <f>+'QTR Raw'!AH87</f>
        <v>0</v>
      </c>
      <c r="BO164" s="23">
        <f t="shared" si="1321"/>
        <v>0</v>
      </c>
      <c r="BP164" s="23">
        <f>+'QTR Raw'!AJ87</f>
        <v>0</v>
      </c>
      <c r="BQ164" s="23">
        <f t="shared" si="1321"/>
        <v>0</v>
      </c>
      <c r="BR164" s="23">
        <f>+'QTR Raw'!AL87</f>
        <v>0</v>
      </c>
      <c r="BS164" s="23">
        <f t="shared" si="1321"/>
        <v>0</v>
      </c>
      <c r="BT164" s="23">
        <f>+'QTR Raw'!AN87</f>
        <v>0</v>
      </c>
      <c r="BU164" s="23">
        <f t="shared" si="1321"/>
        <v>0</v>
      </c>
      <c r="BV164" s="23">
        <f>+'QTR Raw'!AP87</f>
        <v>0</v>
      </c>
      <c r="BW164" s="23">
        <f t="shared" si="1321"/>
        <v>0</v>
      </c>
      <c r="BX164" s="23">
        <f>+'QTR Raw'!AR87</f>
        <v>0</v>
      </c>
      <c r="BY164" s="23">
        <f t="shared" si="1321"/>
        <v>0</v>
      </c>
      <c r="BZ164" s="23">
        <f>+'QTR Raw'!AT87</f>
        <v>0</v>
      </c>
      <c r="CA164" s="23">
        <f t="shared" si="1321"/>
        <v>0</v>
      </c>
      <c r="CB164" s="23">
        <f>+'QTR Raw'!AV87</f>
        <v>0</v>
      </c>
      <c r="CC164" s="23">
        <f t="shared" si="1321"/>
        <v>0</v>
      </c>
      <c r="CD164" s="23">
        <f>+'QTR Raw'!AX87</f>
        <v>0</v>
      </c>
      <c r="CE164" s="23">
        <f t="shared" si="1321"/>
        <v>0</v>
      </c>
      <c r="CF164" s="23">
        <f>+'QTR Raw'!AZ87</f>
        <v>0</v>
      </c>
      <c r="CG164" s="23">
        <f t="shared" si="1322"/>
        <v>0</v>
      </c>
      <c r="CH164" s="23">
        <f t="shared" si="1274"/>
        <v>0</v>
      </c>
      <c r="CI164" s="23">
        <f>CI22/90*CI196</f>
        <v>3460.0215106330966</v>
      </c>
      <c r="CJ164" s="23">
        <f>+'QTR Raw'!BD87</f>
        <v>0</v>
      </c>
      <c r="CK164" s="23">
        <f t="shared" ref="CK164:DB164" si="1323">CK22/90*CK196</f>
        <v>3838.4389815627746</v>
      </c>
      <c r="CL164" s="23">
        <f>+'QTR Raw'!BF87</f>
        <v>0</v>
      </c>
      <c r="CM164" s="24">
        <f t="shared" si="1323"/>
        <v>4399.0057839356259</v>
      </c>
      <c r="CN164" s="24">
        <f t="shared" si="1323"/>
        <v>4281.1150524300201</v>
      </c>
      <c r="CO164" s="24">
        <f t="shared" si="1323"/>
        <v>4512.669115849324</v>
      </c>
      <c r="CP164" s="24">
        <f t="shared" si="1323"/>
        <v>5456.6703533434729</v>
      </c>
      <c r="CQ164" s="24">
        <f t="shared" si="1323"/>
        <v>4657.1525776338913</v>
      </c>
      <c r="CR164" s="24">
        <f t="shared" si="1323"/>
        <v>4578.3537223418771</v>
      </c>
      <c r="CS164" s="24">
        <f t="shared" si="1323"/>
        <v>4843.1203330053477</v>
      </c>
      <c r="CT164" s="24">
        <f t="shared" si="1323"/>
        <v>5842.6713101848673</v>
      </c>
      <c r="CU164" s="24">
        <f t="shared" si="1323"/>
        <v>4973.7683907279161</v>
      </c>
      <c r="CV164" s="24">
        <f t="shared" si="1323"/>
        <v>4900.4018571229317</v>
      </c>
      <c r="CW164" s="24">
        <f t="shared" si="1323"/>
        <v>5184.896625354153</v>
      </c>
      <c r="CX164" s="24">
        <f t="shared" si="1323"/>
        <v>6251.1174815069999</v>
      </c>
      <c r="CY164" s="24">
        <f t="shared" si="1323"/>
        <v>5320.4383238983683</v>
      </c>
      <c r="CZ164" s="24">
        <f t="shared" si="1323"/>
        <v>5244.063933776767</v>
      </c>
      <c r="DA164" s="24">
        <f t="shared" si="1323"/>
        <v>5548.2353143791579</v>
      </c>
      <c r="DB164" s="24">
        <f t="shared" si="1323"/>
        <v>6688.4029865872672</v>
      </c>
      <c r="DE164" s="123"/>
      <c r="DF164" s="23">
        <v>0</v>
      </c>
    </row>
    <row r="165" spans="1:110" s="23" customFormat="1" outlineLevel="1" x14ac:dyDescent="0.2">
      <c r="A165" s="23" t="s">
        <v>70</v>
      </c>
      <c r="B165" s="23">
        <f>'Annual Raw'!C54</f>
        <v>0</v>
      </c>
      <c r="C165" s="23">
        <f>'Annual Raw'!D54</f>
        <v>0</v>
      </c>
      <c r="D165" s="23">
        <f>'Annual Raw'!E54</f>
        <v>0</v>
      </c>
      <c r="E165" s="23">
        <f>'Annual Raw'!F54</f>
        <v>0</v>
      </c>
      <c r="F165" s="23">
        <f>'Annual Raw'!G54</f>
        <v>0</v>
      </c>
      <c r="G165" s="23">
        <f>'Annual Raw'!H54</f>
        <v>0</v>
      </c>
      <c r="H165" s="23">
        <f>'Annual Raw'!I54</f>
        <v>0</v>
      </c>
      <c r="I165" s="23">
        <f>'Annual Raw'!J54</f>
        <v>0</v>
      </c>
      <c r="J165" s="23">
        <f>'Annual Raw'!K54</f>
        <v>0</v>
      </c>
      <c r="K165" s="23">
        <f>'Annual Raw'!L54</f>
        <v>0</v>
      </c>
      <c r="L165" s="23">
        <f>'Annual Raw'!M54</f>
        <v>0</v>
      </c>
      <c r="M165" s="23">
        <f>'Annual Raw'!N54</f>
        <v>0</v>
      </c>
      <c r="N165" s="23">
        <f>'Annual Raw'!O54</f>
        <v>0</v>
      </c>
      <c r="O165" s="23">
        <f>'Annual Raw'!P54</f>
        <v>0</v>
      </c>
      <c r="P165" s="23">
        <f>'Annual Raw'!Q54</f>
        <v>0</v>
      </c>
      <c r="Q165" s="23">
        <f>'Annual Raw'!R54</f>
        <v>0</v>
      </c>
      <c r="R165" s="23">
        <f>'Annual Raw'!S54</f>
        <v>890</v>
      </c>
      <c r="S165" s="23">
        <f>'Annual Raw'!T54</f>
        <v>928</v>
      </c>
      <c r="T165" s="23">
        <f>'Annual Raw'!U54</f>
        <v>877</v>
      </c>
      <c r="U165" s="23">
        <f>'Annual Raw'!V54</f>
        <v>829</v>
      </c>
      <c r="V165" s="23">
        <f>'Annual Raw'!W54</f>
        <v>899</v>
      </c>
      <c r="W165" s="23">
        <f>'Annual Raw'!X54</f>
        <v>850</v>
      </c>
      <c r="X165" s="23">
        <f>'Annual Raw'!Y54</f>
        <v>1135</v>
      </c>
      <c r="Y165" s="23">
        <f>'Annual Raw'!Z54</f>
        <v>1316</v>
      </c>
      <c r="Z165" s="23">
        <f>'Annual Raw'!AA54</f>
        <v>1539</v>
      </c>
      <c r="AA165" s="23">
        <f>'Annual Raw'!AB54</f>
        <v>1294</v>
      </c>
      <c r="AB165" s="24">
        <f t="shared" si="1317"/>
        <v>1439.2440760755103</v>
      </c>
      <c r="AC165" s="24">
        <f t="shared" si="1318"/>
        <v>1541.0551723153728</v>
      </c>
      <c r="AD165" s="24">
        <f t="shared" si="1319"/>
        <v>1648.7863883143207</v>
      </c>
      <c r="AE165" s="24">
        <f t="shared" si="1320"/>
        <v>1764.1242284231398</v>
      </c>
      <c r="AJ165" s="23">
        <f>+'QTR Raw'!D89</f>
        <v>0</v>
      </c>
      <c r="AK165" s="23" t="e">
        <f>+AK195*AK22/90</f>
        <v>#DIV/0!</v>
      </c>
      <c r="AL165" s="23">
        <f>+'QTR Raw'!F89</f>
        <v>0</v>
      </c>
      <c r="AM165" s="23" t="e">
        <f>+AM195*AM22/90</f>
        <v>#DIV/0!</v>
      </c>
      <c r="AN165" s="23">
        <f>+'QTR Raw'!H89</f>
        <v>0</v>
      </c>
      <c r="AO165" s="23" t="e">
        <f>+AO195*AO22/90</f>
        <v>#DIV/0!</v>
      </c>
      <c r="AP165" s="23">
        <f>+'QTR Raw'!J89</f>
        <v>0</v>
      </c>
      <c r="AQ165" s="23" t="e">
        <f>+AQ195*AQ22/90</f>
        <v>#DIV/0!</v>
      </c>
      <c r="AR165" s="23">
        <f>+'QTR Raw'!L89</f>
        <v>0</v>
      </c>
      <c r="AS165" s="23" t="e">
        <f>+AS195*AS22/90</f>
        <v>#DIV/0!</v>
      </c>
      <c r="AT165" s="23">
        <f>+'QTR Raw'!N89</f>
        <v>0</v>
      </c>
      <c r="AU165" s="23" t="e">
        <f>+AU195*AU22/90</f>
        <v>#DIV/0!</v>
      </c>
      <c r="AV165" s="23">
        <f>+'QTR Raw'!P89</f>
        <v>0</v>
      </c>
      <c r="AW165" s="23" t="e">
        <f>+AW195*AW22/90</f>
        <v>#DIV/0!</v>
      </c>
      <c r="AX165" s="23">
        <f>+'QTR Raw'!R89</f>
        <v>0</v>
      </c>
      <c r="AY165" s="23" t="e">
        <f>+AY195*AY22/90</f>
        <v>#DIV/0!</v>
      </c>
      <c r="AZ165" s="23">
        <f>+'QTR Raw'!T89</f>
        <v>0</v>
      </c>
      <c r="BA165" s="23" t="e">
        <f>+BA195*BA22/90</f>
        <v>#DIV/0!</v>
      </c>
      <c r="BB165" s="23">
        <f>+'QTR Raw'!V89</f>
        <v>0</v>
      </c>
      <c r="BC165" s="23" t="e">
        <f>+BC195*BC22/90</f>
        <v>#DIV/0!</v>
      </c>
      <c r="BD165" s="23">
        <f>+'QTR Raw'!X89</f>
        <v>0</v>
      </c>
      <c r="BE165" s="23" t="e">
        <f>+BE195*BE22/90</f>
        <v>#DIV/0!</v>
      </c>
      <c r="BF165" s="23">
        <f>+'QTR Raw'!Z89</f>
        <v>0</v>
      </c>
      <c r="BG165" s="23">
        <f>+BG195*BG22/90</f>
        <v>0</v>
      </c>
      <c r="BH165" s="23">
        <f>+'QTR Raw'!AB89</f>
        <v>0</v>
      </c>
      <c r="BI165" s="23">
        <f>+BI195*BI22/90</f>
        <v>0</v>
      </c>
      <c r="BJ165" s="23">
        <f>+'QTR Raw'!AD89</f>
        <v>877</v>
      </c>
      <c r="BK165" s="23">
        <f>+BK195*BK22/90</f>
        <v>782.88142153413094</v>
      </c>
      <c r="BL165" s="23">
        <f>+'QTR Raw'!AF89</f>
        <v>711</v>
      </c>
      <c r="BM165" s="23">
        <f>+BM195*BM22/90</f>
        <v>768.23613595706615</v>
      </c>
      <c r="BN165" s="23">
        <f>+'QTR Raw'!AH89</f>
        <v>829</v>
      </c>
      <c r="BO165" s="23">
        <f>+BO195*BO22/90</f>
        <v>634.687474828836</v>
      </c>
      <c r="BP165" s="23">
        <f>+'QTR Raw'!AJ89</f>
        <v>791</v>
      </c>
      <c r="BQ165" s="23">
        <f>+BQ195*BQ22/90</f>
        <v>935.9995676610464</v>
      </c>
      <c r="BR165" s="23">
        <f>+'QTR Raw'!AL89</f>
        <v>899</v>
      </c>
      <c r="BS165" s="23">
        <f>+BS195*BS22/90</f>
        <v>739.22849888924145</v>
      </c>
      <c r="BT165" s="23">
        <f>+'QTR Raw'!AN89</f>
        <v>840</v>
      </c>
      <c r="BU165" s="23">
        <f>+BU195*BU22/90</f>
        <v>889.79465323518025</v>
      </c>
      <c r="BV165" s="23">
        <f>+'QTR Raw'!AP89</f>
        <v>850</v>
      </c>
      <c r="BW165" s="23">
        <f>+BW195*BW22/90</f>
        <v>830.38461538461547</v>
      </c>
      <c r="BX165" s="23">
        <f>+'QTR Raw'!AR89</f>
        <v>889</v>
      </c>
      <c r="BY165" s="23">
        <f>+BY195*BY22/90</f>
        <v>1003.9027263547626</v>
      </c>
      <c r="BZ165" s="23">
        <f>+'QTR Raw'!AT89</f>
        <v>1135</v>
      </c>
      <c r="CA165" s="23">
        <f>+CA195*CA22/90</f>
        <v>1051.505747126437</v>
      </c>
      <c r="CB165" s="23">
        <f>+'QTR Raw'!AV89</f>
        <v>1009</v>
      </c>
      <c r="CC165" s="23">
        <f>+CC195*CC22/90</f>
        <v>1153.3257215350459</v>
      </c>
      <c r="CD165" s="23">
        <f>+'QTR Raw'!AX89</f>
        <v>1316</v>
      </c>
      <c r="CE165" s="23">
        <f>+CE195*CE22/90</f>
        <v>1106.3933132110517</v>
      </c>
      <c r="CF165" s="23">
        <f>+'QTR Raw'!AZ89</f>
        <v>1272</v>
      </c>
      <c r="CG165" s="23">
        <f>+CG195*CG22/90</f>
        <v>1310.7327502429544</v>
      </c>
      <c r="CH165" s="23">
        <f t="shared" si="1274"/>
        <v>1539</v>
      </c>
      <c r="CI165" s="23">
        <f>+CI195*CI22/90</f>
        <v>1367.8328037154731</v>
      </c>
      <c r="CJ165" s="23">
        <f>+'QTR Raw'!BD89</f>
        <v>1217</v>
      </c>
      <c r="CK165" s="23">
        <f t="shared" ref="CK165:DB165" si="1324">+CK195*CK22/90</f>
        <v>1248.6982733391865</v>
      </c>
      <c r="CL165" s="23">
        <f>+'QTR Raw'!BF89</f>
        <v>1294</v>
      </c>
      <c r="CM165" s="24">
        <f t="shared" si="1324"/>
        <v>1160.2758834921933</v>
      </c>
      <c r="CN165" s="24">
        <f t="shared" si="1324"/>
        <v>1129.1811817864748</v>
      </c>
      <c r="CO165" s="24">
        <f t="shared" si="1324"/>
        <v>1190.2555719341674</v>
      </c>
      <c r="CP165" s="24">
        <f t="shared" si="1324"/>
        <v>1439.2440760755103</v>
      </c>
      <c r="CQ165" s="24">
        <f t="shared" si="1324"/>
        <v>1228.364336620109</v>
      </c>
      <c r="CR165" s="24">
        <f t="shared" si="1324"/>
        <v>1207.5804559132469</v>
      </c>
      <c r="CS165" s="24">
        <f t="shared" si="1324"/>
        <v>1277.4149431122953</v>
      </c>
      <c r="CT165" s="24">
        <f t="shared" si="1324"/>
        <v>1541.0551723153728</v>
      </c>
      <c r="CU165" s="24">
        <f t="shared" si="1324"/>
        <v>1311.8745001226912</v>
      </c>
      <c r="CV165" s="24">
        <f t="shared" si="1324"/>
        <v>1292.5234413202352</v>
      </c>
      <c r="CW165" s="24">
        <f t="shared" si="1324"/>
        <v>1367.5614009800802</v>
      </c>
      <c r="CX165" s="24">
        <f t="shared" si="1324"/>
        <v>1648.7863883143207</v>
      </c>
      <c r="CY165" s="24">
        <f t="shared" si="1324"/>
        <v>1403.31169815012</v>
      </c>
      <c r="CZ165" s="24">
        <f t="shared" si="1324"/>
        <v>1383.1672911347607</v>
      </c>
      <c r="DA165" s="24">
        <f t="shared" si="1324"/>
        <v>1463.3951277632757</v>
      </c>
      <c r="DB165" s="24">
        <f t="shared" si="1324"/>
        <v>1764.1242284231398</v>
      </c>
      <c r="DE165" s="123"/>
      <c r="DF165" s="23">
        <v>1294</v>
      </c>
    </row>
    <row r="166" spans="1:110" s="23" customFormat="1" outlineLevel="1" x14ac:dyDescent="0.2">
      <c r="A166" s="23" t="s">
        <v>71</v>
      </c>
      <c r="B166" s="23">
        <f>'Annual Raw'!C55-Template!B138</f>
        <v>0</v>
      </c>
      <c r="C166" s="23">
        <f>'Annual Raw'!D55-Template!C138</f>
        <v>0</v>
      </c>
      <c r="D166" s="23">
        <f>'Annual Raw'!E55-Template!D138</f>
        <v>0</v>
      </c>
      <c r="E166" s="23">
        <f>'Annual Raw'!F55-Template!E138</f>
        <v>0</v>
      </c>
      <c r="F166" s="23">
        <f>'Annual Raw'!G55-Template!F138</f>
        <v>0</v>
      </c>
      <c r="G166" s="23">
        <f>'Annual Raw'!H55-Template!G138</f>
        <v>0</v>
      </c>
      <c r="H166" s="23">
        <f>'Annual Raw'!I55-Template!H138</f>
        <v>0</v>
      </c>
      <c r="I166" s="23">
        <f>'Annual Raw'!J55-Template!I138</f>
        <v>0</v>
      </c>
      <c r="J166" s="23">
        <f>'Annual Raw'!K55-Template!J138</f>
        <v>0</v>
      </c>
      <c r="K166" s="23">
        <f>'Annual Raw'!L55-Template!K138</f>
        <v>0</v>
      </c>
      <c r="L166" s="23">
        <f>'Annual Raw'!M55-Template!L138</f>
        <v>0</v>
      </c>
      <c r="M166" s="23">
        <f>'Annual Raw'!N55-Template!M138</f>
        <v>0</v>
      </c>
      <c r="N166" s="23">
        <f>'Annual Raw'!O55-Template!N138</f>
        <v>0</v>
      </c>
      <c r="O166" s="23">
        <f>'Annual Raw'!P55-Template!O138</f>
        <v>0</v>
      </c>
      <c r="P166" s="23">
        <f>'Annual Raw'!Q55-Template!P138</f>
        <v>0</v>
      </c>
      <c r="Q166" s="23">
        <f>'Annual Raw'!R55-Template!Q138</f>
        <v>0</v>
      </c>
      <c r="R166" s="23">
        <f>'Annual Raw'!S55-Template!R138</f>
        <v>1021</v>
      </c>
      <c r="S166" s="23">
        <f>'Annual Raw'!T55-Template!S138</f>
        <v>1160</v>
      </c>
      <c r="T166" s="23">
        <f>'Annual Raw'!U55-Template!T138</f>
        <v>1301</v>
      </c>
      <c r="U166" s="23">
        <f>'Annual Raw'!V55-Template!U138</f>
        <v>1674</v>
      </c>
      <c r="V166" s="23">
        <f>'Annual Raw'!W55-Template!V138</f>
        <v>2164</v>
      </c>
      <c r="W166" s="23">
        <f>'Annual Raw'!X55-Template!W138</f>
        <v>2280</v>
      </c>
      <c r="X166" s="23">
        <f>'Annual Raw'!Y55-Template!X138</f>
        <v>2438</v>
      </c>
      <c r="Y166" s="23">
        <f>'Annual Raw'!Z55-Template!Y138</f>
        <v>2635</v>
      </c>
      <c r="Z166" s="23">
        <f>'Annual Raw'!AA55-Template!Z138</f>
        <v>2762</v>
      </c>
      <c r="AA166" s="23">
        <f>'Annual Raw'!AB55-Template!AA138</f>
        <v>3566</v>
      </c>
      <c r="AB166" s="24">
        <f t="shared" si="1317"/>
        <v>0</v>
      </c>
      <c r="AC166" s="24">
        <f t="shared" si="1318"/>
        <v>0</v>
      </c>
      <c r="AD166" s="24">
        <f t="shared" si="1319"/>
        <v>0</v>
      </c>
      <c r="AE166" s="24">
        <f t="shared" si="1320"/>
        <v>0</v>
      </c>
      <c r="AJ166" s="23">
        <f>+'QTR Raw'!D91</f>
        <v>0</v>
      </c>
      <c r="AK166" s="23">
        <f t="shared" si="1321"/>
        <v>0</v>
      </c>
      <c r="AL166" s="23">
        <f>+'QTR Raw'!F91</f>
        <v>0</v>
      </c>
      <c r="AM166" s="23">
        <f t="shared" si="1321"/>
        <v>0</v>
      </c>
      <c r="AN166" s="23">
        <f>+'QTR Raw'!H91</f>
        <v>0</v>
      </c>
      <c r="AO166" s="23">
        <f t="shared" si="1321"/>
        <v>0</v>
      </c>
      <c r="AP166" s="23">
        <f>+'QTR Raw'!J91</f>
        <v>0</v>
      </c>
      <c r="AQ166" s="23">
        <f t="shared" si="1321"/>
        <v>0</v>
      </c>
      <c r="AR166" s="23">
        <f>+'QTR Raw'!L91</f>
        <v>0</v>
      </c>
      <c r="AS166" s="23">
        <f t="shared" si="1321"/>
        <v>0</v>
      </c>
      <c r="AT166" s="23">
        <f>+'QTR Raw'!N91</f>
        <v>0</v>
      </c>
      <c r="AU166" s="23">
        <f t="shared" si="1321"/>
        <v>0</v>
      </c>
      <c r="AV166" s="23">
        <f>+'QTR Raw'!P91</f>
        <v>0</v>
      </c>
      <c r="AW166" s="23">
        <f t="shared" si="1321"/>
        <v>0</v>
      </c>
      <c r="AX166" s="23">
        <f>+'QTR Raw'!R91</f>
        <v>0</v>
      </c>
      <c r="AY166" s="23">
        <f t="shared" si="1321"/>
        <v>0</v>
      </c>
      <c r="AZ166" s="23">
        <f>+'QTR Raw'!T91</f>
        <v>0</v>
      </c>
      <c r="BA166" s="23">
        <f t="shared" si="1321"/>
        <v>0</v>
      </c>
      <c r="BB166" s="23">
        <f>+'QTR Raw'!V91</f>
        <v>0</v>
      </c>
      <c r="BC166" s="23">
        <f t="shared" si="1321"/>
        <v>0</v>
      </c>
      <c r="BD166" s="23">
        <f>+'QTR Raw'!X91</f>
        <v>0</v>
      </c>
      <c r="BE166" s="23">
        <f t="shared" si="1321"/>
        <v>0</v>
      </c>
      <c r="BF166" s="23">
        <f>+'QTR Raw'!Z91</f>
        <v>0</v>
      </c>
      <c r="BG166" s="23">
        <f t="shared" si="1321"/>
        <v>0</v>
      </c>
      <c r="BH166" s="23">
        <f>+'QTR Raw'!AB91</f>
        <v>0</v>
      </c>
      <c r="BI166" s="23">
        <f t="shared" si="1321"/>
        <v>0</v>
      </c>
      <c r="BJ166" s="23">
        <f>+'QTR Raw'!AD91</f>
        <v>2307</v>
      </c>
      <c r="BK166" s="23">
        <f t="shared" si="1321"/>
        <v>2307</v>
      </c>
      <c r="BL166" s="23">
        <f>+'QTR Raw'!AF91</f>
        <v>2697</v>
      </c>
      <c r="BM166" s="23">
        <f t="shared" si="1321"/>
        <v>2697</v>
      </c>
      <c r="BN166" s="23">
        <f>+'QTR Raw'!AH91</f>
        <v>2950</v>
      </c>
      <c r="BO166" s="23">
        <f t="shared" si="1321"/>
        <v>2950</v>
      </c>
      <c r="BP166" s="23">
        <f>+'QTR Raw'!AJ91</f>
        <v>2968</v>
      </c>
      <c r="BQ166" s="23">
        <f t="shared" si="1321"/>
        <v>2968</v>
      </c>
      <c r="BR166" s="23">
        <f>+'QTR Raw'!AL91</f>
        <v>2212</v>
      </c>
      <c r="BS166" s="23">
        <f t="shared" si="1321"/>
        <v>2212</v>
      </c>
      <c r="BT166" s="23">
        <f>+'QTR Raw'!AN91</f>
        <v>2436</v>
      </c>
      <c r="BU166" s="23">
        <f t="shared" si="1321"/>
        <v>2436</v>
      </c>
      <c r="BV166" s="23">
        <f>+'QTR Raw'!AP91</f>
        <v>2533</v>
      </c>
      <c r="BW166" s="23">
        <f t="shared" si="1321"/>
        <v>2533</v>
      </c>
      <c r="BX166" s="23">
        <f>+'QTR Raw'!AR91</f>
        <v>2291</v>
      </c>
      <c r="BY166" s="23">
        <f t="shared" si="1321"/>
        <v>2291</v>
      </c>
      <c r="BZ166" s="23">
        <f>+'QTR Raw'!AT91</f>
        <v>2709</v>
      </c>
      <c r="CA166" s="23">
        <f t="shared" si="1321"/>
        <v>2709</v>
      </c>
      <c r="CB166" s="23">
        <f>+'QTR Raw'!AV91</f>
        <v>2657</v>
      </c>
      <c r="CC166" s="23">
        <f t="shared" si="1321"/>
        <v>2657</v>
      </c>
      <c r="CD166" s="23">
        <f>+'QTR Raw'!AX91</f>
        <v>2878</v>
      </c>
      <c r="CE166" s="23">
        <f t="shared" si="1321"/>
        <v>2878</v>
      </c>
      <c r="CF166" s="23">
        <f>+'QTR Raw'!AZ91</f>
        <v>2550</v>
      </c>
      <c r="CG166" s="23">
        <f t="shared" ref="CG166:CG167" si="1325">+CF166</f>
        <v>2550</v>
      </c>
      <c r="CH166" s="23">
        <f t="shared" si="1274"/>
        <v>2762</v>
      </c>
      <c r="CJ166" s="23">
        <f>+'QTR Raw'!BD91</f>
        <v>2736</v>
      </c>
      <c r="CL166" s="23">
        <f>+'QTR Raw'!BF91</f>
        <v>3669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3669</v>
      </c>
    </row>
    <row r="167" spans="1:110" s="23" customFormat="1" outlineLevel="1" x14ac:dyDescent="0.2">
      <c r="A167" s="23" t="s">
        <v>72</v>
      </c>
      <c r="B167" s="23">
        <f>'Annual Raw'!C57</f>
        <v>0</v>
      </c>
      <c r="C167" s="23">
        <f>'Annual Raw'!D57</f>
        <v>0</v>
      </c>
      <c r="D167" s="23">
        <f>'Annual Raw'!E57</f>
        <v>0</v>
      </c>
      <c r="E167" s="23">
        <f>'Annual Raw'!F57</f>
        <v>0</v>
      </c>
      <c r="F167" s="23">
        <f>'Annual Raw'!G57</f>
        <v>0</v>
      </c>
      <c r="G167" s="23">
        <f>'Annual Raw'!H57</f>
        <v>0</v>
      </c>
      <c r="H167" s="23">
        <f>'Annual Raw'!I57</f>
        <v>0</v>
      </c>
      <c r="I167" s="23">
        <f>'Annual Raw'!J57</f>
        <v>0</v>
      </c>
      <c r="J167" s="23">
        <f>'Annual Raw'!K57</f>
        <v>0</v>
      </c>
      <c r="K167" s="23">
        <f>'Annual Raw'!L57</f>
        <v>0</v>
      </c>
      <c r="L167" s="23">
        <f>'Annual Raw'!M57</f>
        <v>0</v>
      </c>
      <c r="M167" s="23">
        <f>'Annual Raw'!N57</f>
        <v>0</v>
      </c>
      <c r="N167" s="23">
        <f>'Annual Raw'!O57</f>
        <v>0</v>
      </c>
      <c r="O167" s="23">
        <f>'Annual Raw'!P57</f>
        <v>0</v>
      </c>
      <c r="P167" s="23">
        <f>'Annual Raw'!Q57</f>
        <v>0</v>
      </c>
      <c r="Q167" s="23">
        <f>'Annual Raw'!R57</f>
        <v>0</v>
      </c>
      <c r="R167" s="23">
        <f>'Annual Raw'!S57</f>
        <v>87</v>
      </c>
      <c r="S167" s="23">
        <f>'Annual Raw'!T57</f>
        <v>71</v>
      </c>
      <c r="T167" s="23">
        <f>'Annual Raw'!U57</f>
        <v>141</v>
      </c>
      <c r="U167" s="23">
        <f>'Annual Raw'!V57</f>
        <v>141</v>
      </c>
      <c r="V167" s="23">
        <f>'Annual Raw'!W57</f>
        <v>141</v>
      </c>
      <c r="W167" s="23">
        <f>'Annual Raw'!X57</f>
        <v>339</v>
      </c>
      <c r="X167" s="23">
        <f>'Annual Raw'!Y57</f>
        <v>355</v>
      </c>
      <c r="Y167" s="23">
        <f>'Annual Raw'!Z57</f>
        <v>324</v>
      </c>
      <c r="Z167" s="23">
        <f>'Annual Raw'!AA57</f>
        <v>269</v>
      </c>
      <c r="AA167" s="23">
        <f>'Annual Raw'!AB57</f>
        <v>230</v>
      </c>
      <c r="AB167" s="24">
        <f t="shared" si="1317"/>
        <v>0</v>
      </c>
      <c r="AC167" s="24">
        <f t="shared" si="1318"/>
        <v>0</v>
      </c>
      <c r="AD167" s="24">
        <f t="shared" si="1319"/>
        <v>0</v>
      </c>
      <c r="AE167" s="24">
        <f t="shared" si="1320"/>
        <v>0</v>
      </c>
      <c r="AJ167" s="23">
        <f>+'QTR Raw'!D92</f>
        <v>0</v>
      </c>
      <c r="AK167" s="23">
        <f t="shared" si="1321"/>
        <v>0</v>
      </c>
      <c r="AL167" s="23">
        <f>+'QTR Raw'!F92</f>
        <v>0</v>
      </c>
      <c r="AM167" s="23">
        <f t="shared" si="1321"/>
        <v>0</v>
      </c>
      <c r="AN167" s="23">
        <f>+'QTR Raw'!H92</f>
        <v>0</v>
      </c>
      <c r="AO167" s="23">
        <f t="shared" si="1321"/>
        <v>0</v>
      </c>
      <c r="AP167" s="23">
        <f>+'QTR Raw'!J92</f>
        <v>0</v>
      </c>
      <c r="AQ167" s="23">
        <f t="shared" si="1321"/>
        <v>0</v>
      </c>
      <c r="AR167" s="23">
        <f>+'QTR Raw'!L92</f>
        <v>0</v>
      </c>
      <c r="AS167" s="23">
        <f t="shared" si="1321"/>
        <v>0</v>
      </c>
      <c r="AT167" s="23">
        <f>+'QTR Raw'!N92</f>
        <v>0</v>
      </c>
      <c r="AU167" s="23">
        <f t="shared" si="1321"/>
        <v>0</v>
      </c>
      <c r="AV167" s="23">
        <f>+'QTR Raw'!P92</f>
        <v>0</v>
      </c>
      <c r="AW167" s="23">
        <f t="shared" si="1321"/>
        <v>0</v>
      </c>
      <c r="AX167" s="23">
        <f>+'QTR Raw'!R92</f>
        <v>0</v>
      </c>
      <c r="AY167" s="23">
        <f t="shared" si="1321"/>
        <v>0</v>
      </c>
      <c r="AZ167" s="23">
        <f>+'QTR Raw'!T92</f>
        <v>0</v>
      </c>
      <c r="BA167" s="23">
        <f t="shared" si="1321"/>
        <v>0</v>
      </c>
      <c r="BB167" s="23">
        <f>+'QTR Raw'!V92</f>
        <v>0</v>
      </c>
      <c r="BC167" s="23">
        <f t="shared" si="1321"/>
        <v>0</v>
      </c>
      <c r="BD167" s="23">
        <f>+'QTR Raw'!X92</f>
        <v>0</v>
      </c>
      <c r="BE167" s="23">
        <f t="shared" si="1321"/>
        <v>0</v>
      </c>
      <c r="BF167" s="23">
        <f>+'QTR Raw'!Z92</f>
        <v>0</v>
      </c>
      <c r="BG167" s="23">
        <f t="shared" si="1321"/>
        <v>0</v>
      </c>
      <c r="BH167" s="23">
        <f>+'QTR Raw'!AB92</f>
        <v>0</v>
      </c>
      <c r="BI167" s="23">
        <f t="shared" si="1321"/>
        <v>0</v>
      </c>
      <c r="BJ167" s="23">
        <f>+'QTR Raw'!AD92</f>
        <v>90</v>
      </c>
      <c r="BK167" s="23">
        <f t="shared" si="1321"/>
        <v>90</v>
      </c>
      <c r="BL167" s="23">
        <f>+'QTR Raw'!AF92</f>
        <v>46</v>
      </c>
      <c r="BM167" s="23">
        <f t="shared" si="1321"/>
        <v>46</v>
      </c>
      <c r="BN167" s="23">
        <f>+'QTR Raw'!AH92</f>
        <v>64</v>
      </c>
      <c r="BO167" s="23">
        <f t="shared" si="1321"/>
        <v>64</v>
      </c>
      <c r="BP167" s="23">
        <f>+'QTR Raw'!AJ92</f>
        <v>65</v>
      </c>
      <c r="BQ167" s="23">
        <f t="shared" si="1321"/>
        <v>65</v>
      </c>
      <c r="BR167" s="23">
        <f>+'QTR Raw'!AL92</f>
        <v>93</v>
      </c>
      <c r="BS167" s="23">
        <f t="shared" si="1321"/>
        <v>93</v>
      </c>
      <c r="BT167" s="23">
        <f>+'QTR Raw'!AN92</f>
        <v>101</v>
      </c>
      <c r="BU167" s="23">
        <f t="shared" si="1321"/>
        <v>101</v>
      </c>
      <c r="BV167" s="23">
        <f>+'QTR Raw'!AP92</f>
        <v>86</v>
      </c>
      <c r="BW167" s="23">
        <f t="shared" si="1321"/>
        <v>86</v>
      </c>
      <c r="BX167" s="23">
        <f>+'QTR Raw'!AR92</f>
        <v>88</v>
      </c>
      <c r="BY167" s="23">
        <f t="shared" si="1321"/>
        <v>88</v>
      </c>
      <c r="BZ167" s="23">
        <f>+'QTR Raw'!AT92</f>
        <v>84</v>
      </c>
      <c r="CA167" s="23">
        <f t="shared" si="1321"/>
        <v>84</v>
      </c>
      <c r="CB167" s="23">
        <f>+'QTR Raw'!AV92</f>
        <v>87</v>
      </c>
      <c r="CC167" s="23">
        <f t="shared" si="1321"/>
        <v>87</v>
      </c>
      <c r="CD167" s="23">
        <f>+'QTR Raw'!AX92</f>
        <v>81</v>
      </c>
      <c r="CE167" s="23">
        <f t="shared" si="1321"/>
        <v>81</v>
      </c>
      <c r="CF167" s="23">
        <f>+'QTR Raw'!AZ92</f>
        <v>199</v>
      </c>
      <c r="CG167" s="23">
        <f t="shared" si="1325"/>
        <v>199</v>
      </c>
      <c r="CH167" s="23">
        <f t="shared" si="1274"/>
        <v>269</v>
      </c>
      <c r="CJ167" s="23">
        <f>+'QTR Raw'!BD92</f>
        <v>119</v>
      </c>
      <c r="CL167" s="23">
        <f>+'QTR Raw'!BF92</f>
        <v>127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127</v>
      </c>
    </row>
    <row r="168" spans="1:110" s="22" customFormat="1" x14ac:dyDescent="0.2">
      <c r="A168" s="22" t="s">
        <v>73</v>
      </c>
      <c r="B168" s="22">
        <f>SUM(B161:B167)</f>
        <v>0</v>
      </c>
      <c r="C168" s="22">
        <f t="shared" ref="C168:V168" si="1326">SUM(C161:C167)</f>
        <v>0</v>
      </c>
      <c r="D168" s="22">
        <f t="shared" si="1326"/>
        <v>0</v>
      </c>
      <c r="E168" s="22">
        <f t="shared" si="1326"/>
        <v>0</v>
      </c>
      <c r="F168" s="22">
        <f t="shared" si="1326"/>
        <v>0</v>
      </c>
      <c r="G168" s="22">
        <f t="shared" si="1326"/>
        <v>0</v>
      </c>
      <c r="H168" s="22">
        <f t="shared" si="1326"/>
        <v>0</v>
      </c>
      <c r="I168" s="22">
        <f t="shared" si="1326"/>
        <v>0</v>
      </c>
      <c r="J168" s="22">
        <f t="shared" si="1326"/>
        <v>0</v>
      </c>
      <c r="K168" s="22">
        <f t="shared" si="1326"/>
        <v>0</v>
      </c>
      <c r="L168" s="22">
        <f t="shared" si="1326"/>
        <v>0</v>
      </c>
      <c r="M168" s="22">
        <f t="shared" si="1326"/>
        <v>0</v>
      </c>
      <c r="N168" s="22">
        <f t="shared" si="1326"/>
        <v>0</v>
      </c>
      <c r="O168" s="22">
        <f t="shared" si="1326"/>
        <v>0</v>
      </c>
      <c r="P168" s="22">
        <f t="shared" si="1326"/>
        <v>0</v>
      </c>
      <c r="Q168" s="22">
        <f t="shared" si="1326"/>
        <v>0</v>
      </c>
      <c r="R168" s="22">
        <f t="shared" si="1326"/>
        <v>2251</v>
      </c>
      <c r="S168" s="22">
        <f t="shared" si="1326"/>
        <v>2370</v>
      </c>
      <c r="T168" s="22">
        <f t="shared" si="1326"/>
        <v>2731</v>
      </c>
      <c r="U168" s="22">
        <f t="shared" si="1326"/>
        <v>3065</v>
      </c>
      <c r="V168" s="22">
        <f t="shared" si="1326"/>
        <v>3675</v>
      </c>
      <c r="W168" s="22">
        <f t="shared" ref="W168" si="1327">SUM(W161:W167)</f>
        <v>3852</v>
      </c>
      <c r="X168" s="22">
        <f t="shared" ref="X168:Y168" si="1328">SUM(X161:X167)</f>
        <v>4423</v>
      </c>
      <c r="Y168" s="22">
        <f t="shared" si="1328"/>
        <v>4817</v>
      </c>
      <c r="Z168" s="22">
        <f t="shared" ref="Z168:AA168" si="1329">SUM(Z161:Z167)</f>
        <v>5432</v>
      </c>
      <c r="AA168" s="22">
        <f t="shared" ref="AA168" si="1330">SUM(AA161:AA167)</f>
        <v>6200</v>
      </c>
      <c r="AB168" s="21">
        <f t="shared" ref="AB168:AD168" si="1331">SUM(AB161:AB167)</f>
        <v>6895.9144294189828</v>
      </c>
      <c r="AC168" s="21">
        <f t="shared" si="1331"/>
        <v>7383.7264825002403</v>
      </c>
      <c r="AD168" s="21">
        <f t="shared" si="1331"/>
        <v>7899.9038698213208</v>
      </c>
      <c r="AE168" s="21">
        <f t="shared" ref="AE168" si="1332">SUM(AE161:AE167)</f>
        <v>8452.5272150104065</v>
      </c>
      <c r="AJ168" s="22">
        <f t="shared" ref="AJ168" si="1333">SUM(AJ161:AJ167)</f>
        <v>0</v>
      </c>
      <c r="AK168" s="22" t="e">
        <f t="shared" ref="AK168" si="1334">SUM(AK161:AK167)</f>
        <v>#DIV/0!</v>
      </c>
      <c r="AL168" s="22">
        <f t="shared" ref="AL168:AM168" si="1335">SUM(AL161:AL167)</f>
        <v>0</v>
      </c>
      <c r="AM168" s="22" t="e">
        <f t="shared" si="1335"/>
        <v>#DIV/0!</v>
      </c>
      <c r="AN168" s="22">
        <f t="shared" ref="AN168:AO168" si="1336">SUM(AN161:AN167)</f>
        <v>0</v>
      </c>
      <c r="AO168" s="22" t="e">
        <f t="shared" si="1336"/>
        <v>#DIV/0!</v>
      </c>
      <c r="AP168" s="22">
        <f t="shared" ref="AP168:CE168" si="1337">SUM(AP161:AP167)</f>
        <v>0</v>
      </c>
      <c r="AQ168" s="22" t="e">
        <f t="shared" si="1337"/>
        <v>#DIV/0!</v>
      </c>
      <c r="AR168" s="22">
        <f t="shared" si="1337"/>
        <v>0</v>
      </c>
      <c r="AS168" s="22" t="e">
        <f t="shared" si="1337"/>
        <v>#DIV/0!</v>
      </c>
      <c r="AT168" s="22">
        <f t="shared" si="1337"/>
        <v>0</v>
      </c>
      <c r="AU168" s="22" t="e">
        <f t="shared" si="1337"/>
        <v>#DIV/0!</v>
      </c>
      <c r="AV168" s="22">
        <f t="shared" si="1337"/>
        <v>0</v>
      </c>
      <c r="AW168" s="22" t="e">
        <f t="shared" si="1337"/>
        <v>#DIV/0!</v>
      </c>
      <c r="AX168" s="22">
        <f t="shared" si="1337"/>
        <v>0</v>
      </c>
      <c r="AY168" s="22" t="e">
        <f t="shared" si="1337"/>
        <v>#DIV/0!</v>
      </c>
      <c r="AZ168" s="22">
        <f t="shared" si="1337"/>
        <v>0</v>
      </c>
      <c r="BA168" s="22" t="e">
        <f t="shared" si="1337"/>
        <v>#DIV/0!</v>
      </c>
      <c r="BB168" s="22">
        <f t="shared" si="1337"/>
        <v>0</v>
      </c>
      <c r="BC168" s="22" t="e">
        <f t="shared" si="1337"/>
        <v>#DIV/0!</v>
      </c>
      <c r="BD168" s="22">
        <f t="shared" si="1337"/>
        <v>0</v>
      </c>
      <c r="BE168" s="22" t="e">
        <f t="shared" si="1337"/>
        <v>#DIV/0!</v>
      </c>
      <c r="BF168" s="22">
        <f t="shared" si="1337"/>
        <v>0</v>
      </c>
      <c r="BG168" s="22">
        <f t="shared" si="1337"/>
        <v>0</v>
      </c>
      <c r="BH168" s="22">
        <f t="shared" ref="BH168" si="1338">SUM(BH161:BH167)</f>
        <v>0</v>
      </c>
      <c r="BI168" s="22">
        <f t="shared" si="1337"/>
        <v>0</v>
      </c>
      <c r="BJ168" s="22">
        <f t="shared" si="1337"/>
        <v>3686</v>
      </c>
      <c r="BK168" s="22">
        <f t="shared" si="1337"/>
        <v>3591.8814215341308</v>
      </c>
      <c r="BL168" s="22">
        <f t="shared" si="1337"/>
        <v>3805</v>
      </c>
      <c r="BM168" s="22">
        <f t="shared" si="1337"/>
        <v>3862.2361359570659</v>
      </c>
      <c r="BN168" s="22">
        <f t="shared" si="1337"/>
        <v>4264</v>
      </c>
      <c r="BO168" s="22">
        <f t="shared" si="1337"/>
        <v>4069.687474828836</v>
      </c>
      <c r="BP168" s="22">
        <f t="shared" si="1337"/>
        <v>4217</v>
      </c>
      <c r="BQ168" s="22">
        <f t="shared" si="1337"/>
        <v>4361.999567661047</v>
      </c>
      <c r="BR168" s="22">
        <f t="shared" si="1337"/>
        <v>3675</v>
      </c>
      <c r="BS168" s="22">
        <f t="shared" si="1337"/>
        <v>3515.2284988892416</v>
      </c>
      <c r="BT168" s="22">
        <f t="shared" si="1337"/>
        <v>3722</v>
      </c>
      <c r="BU168" s="22">
        <f t="shared" si="1337"/>
        <v>3771.7946532351802</v>
      </c>
      <c r="BV168" s="22">
        <f t="shared" si="1337"/>
        <v>3852</v>
      </c>
      <c r="BW168" s="22">
        <f t="shared" si="1337"/>
        <v>3832.3846153846152</v>
      </c>
      <c r="BX168" s="22">
        <f t="shared" si="1337"/>
        <v>3711</v>
      </c>
      <c r="BY168" s="22">
        <f t="shared" si="1337"/>
        <v>3825.9027263547628</v>
      </c>
      <c r="BZ168" s="22">
        <f t="shared" si="1337"/>
        <v>4423</v>
      </c>
      <c r="CA168" s="22">
        <f t="shared" si="1337"/>
        <v>4339.5057471264372</v>
      </c>
      <c r="CB168" s="22">
        <f t="shared" si="1337"/>
        <v>4225</v>
      </c>
      <c r="CC168" s="22">
        <f t="shared" si="1337"/>
        <v>4369.3257215350459</v>
      </c>
      <c r="CD168" s="22">
        <f t="shared" si="1337"/>
        <v>4817</v>
      </c>
      <c r="CE168" s="22">
        <f t="shared" si="1337"/>
        <v>4607.3933132110515</v>
      </c>
      <c r="CF168" s="22">
        <f t="shared" ref="CF168:CG168" si="1339">SUM(CF161:CF167)</f>
        <v>4584</v>
      </c>
      <c r="CG168" s="22">
        <f t="shared" si="1339"/>
        <v>4622.7327502429544</v>
      </c>
      <c r="CH168" s="22">
        <f t="shared" ref="CH168:CI168" si="1340">SUM(CH161:CH167)</f>
        <v>5432</v>
      </c>
      <c r="CI168" s="22">
        <f t="shared" si="1340"/>
        <v>4827.8543143485695</v>
      </c>
      <c r="CJ168" s="22">
        <f t="shared" ref="CJ168:DB168" si="1341">SUM(CJ161:CJ167)</f>
        <v>4958</v>
      </c>
      <c r="CK168" s="22">
        <f t="shared" si="1341"/>
        <v>5087.1372549019616</v>
      </c>
      <c r="CL168" s="22">
        <f t="shared" ref="CL168" si="1342">SUM(CL161:CL167)</f>
        <v>6200</v>
      </c>
      <c r="CM168" s="21">
        <f t="shared" si="1341"/>
        <v>5559.2816674278192</v>
      </c>
      <c r="CN168" s="21">
        <f t="shared" si="1341"/>
        <v>5410.2962342164947</v>
      </c>
      <c r="CO168" s="21">
        <f t="shared" si="1341"/>
        <v>5702.9246877834912</v>
      </c>
      <c r="CP168" s="21">
        <f t="shared" si="1341"/>
        <v>6895.9144294189828</v>
      </c>
      <c r="CQ168" s="21">
        <f t="shared" si="1341"/>
        <v>5885.5169142539999</v>
      </c>
      <c r="CR168" s="21">
        <f t="shared" si="1341"/>
        <v>5785.9341782551237</v>
      </c>
      <c r="CS168" s="21">
        <f t="shared" si="1341"/>
        <v>6120.5352761176428</v>
      </c>
      <c r="CT168" s="21">
        <f t="shared" si="1341"/>
        <v>7383.7264825002403</v>
      </c>
      <c r="CU168" s="21">
        <f t="shared" si="1341"/>
        <v>6285.6428908506077</v>
      </c>
      <c r="CV168" s="21">
        <f t="shared" si="1341"/>
        <v>6192.9252984431669</v>
      </c>
      <c r="CW168" s="21">
        <f t="shared" si="1341"/>
        <v>6552.4580263342332</v>
      </c>
      <c r="CX168" s="21">
        <f t="shared" si="1341"/>
        <v>7899.9038698213208</v>
      </c>
      <c r="CY168" s="21">
        <f t="shared" si="1341"/>
        <v>6723.7500220484881</v>
      </c>
      <c r="CZ168" s="21">
        <f t="shared" si="1341"/>
        <v>6627.2312249115275</v>
      </c>
      <c r="DA168" s="21">
        <f t="shared" si="1341"/>
        <v>7011.6304421424338</v>
      </c>
      <c r="DB168" s="21">
        <f t="shared" si="1341"/>
        <v>8452.5272150104065</v>
      </c>
      <c r="DE168" s="126"/>
      <c r="DF168" s="22">
        <v>6200</v>
      </c>
    </row>
    <row r="169" spans="1:110" s="22" customFormat="1" x14ac:dyDescent="0.2">
      <c r="A169" s="22" t="s">
        <v>74</v>
      </c>
      <c r="B169" s="22">
        <f>B160-B168</f>
        <v>0</v>
      </c>
      <c r="C169" s="22">
        <f t="shared" ref="C169:V169" si="1343">C160-C168</f>
        <v>0</v>
      </c>
      <c r="D169" s="22">
        <f t="shared" si="1343"/>
        <v>0</v>
      </c>
      <c r="E169" s="22">
        <f t="shared" si="1343"/>
        <v>0</v>
      </c>
      <c r="F169" s="22">
        <f t="shared" si="1343"/>
        <v>0</v>
      </c>
      <c r="G169" s="22">
        <f t="shared" si="1343"/>
        <v>0</v>
      </c>
      <c r="H169" s="22">
        <f t="shared" si="1343"/>
        <v>0</v>
      </c>
      <c r="I169" s="22">
        <f t="shared" si="1343"/>
        <v>0</v>
      </c>
      <c r="J169" s="22">
        <f t="shared" si="1343"/>
        <v>0</v>
      </c>
      <c r="K169" s="22">
        <f t="shared" si="1343"/>
        <v>0</v>
      </c>
      <c r="L169" s="22">
        <f t="shared" si="1343"/>
        <v>0</v>
      </c>
      <c r="M169" s="22">
        <f t="shared" si="1343"/>
        <v>0</v>
      </c>
      <c r="N169" s="22">
        <f t="shared" si="1343"/>
        <v>0</v>
      </c>
      <c r="O169" s="22">
        <f t="shared" si="1343"/>
        <v>0</v>
      </c>
      <c r="P169" s="22">
        <f t="shared" si="1343"/>
        <v>0</v>
      </c>
      <c r="Q169" s="22">
        <f t="shared" si="1343"/>
        <v>0</v>
      </c>
      <c r="R169" s="22">
        <f t="shared" si="1343"/>
        <v>452</v>
      </c>
      <c r="S169" s="22">
        <f t="shared" si="1343"/>
        <v>895</v>
      </c>
      <c r="T169" s="22">
        <f t="shared" si="1343"/>
        <v>821</v>
      </c>
      <c r="U169" s="22">
        <f t="shared" si="1343"/>
        <v>299</v>
      </c>
      <c r="V169" s="22">
        <f t="shared" si="1343"/>
        <v>-701</v>
      </c>
      <c r="W169" s="22">
        <f t="shared" ref="W169" si="1344">W160-W168</f>
        <v>-229</v>
      </c>
      <c r="X169" s="22">
        <f t="shared" ref="X169:Y169" si="1345">X160-X168</f>
        <v>632</v>
      </c>
      <c r="Y169" s="22">
        <f t="shared" si="1345"/>
        <v>-276</v>
      </c>
      <c r="Z169" s="22">
        <f t="shared" ref="Z169:AA169" si="1346">Z160-Z168</f>
        <v>-460</v>
      </c>
      <c r="AA169" s="22">
        <f t="shared" ref="AA169" si="1347">AA160-AA168</f>
        <v>-1140</v>
      </c>
      <c r="AB169" s="21">
        <f t="shared" ref="AB169:AD169" si="1348">AB160-AB168</f>
        <v>242.17265082239282</v>
      </c>
      <c r="AC169" s="21">
        <f t="shared" si="1348"/>
        <v>922.13216377418394</v>
      </c>
      <c r="AD169" s="21">
        <f t="shared" si="1348"/>
        <v>986.59605909720267</v>
      </c>
      <c r="AE169" s="21">
        <f t="shared" ref="AE169" si="1349">AE160-AE168</f>
        <v>1055.6115842875115</v>
      </c>
      <c r="AJ169" s="22">
        <f t="shared" ref="AJ169" si="1350">AJ160-AJ168</f>
        <v>0</v>
      </c>
      <c r="AK169" s="22" t="e">
        <f t="shared" ref="AK169" si="1351">AK160-AK168</f>
        <v>#DIV/0!</v>
      </c>
      <c r="AL169" s="22">
        <f t="shared" ref="AL169:AM169" si="1352">AL160-AL168</f>
        <v>0</v>
      </c>
      <c r="AM169" s="22" t="e">
        <f t="shared" si="1352"/>
        <v>#DIV/0!</v>
      </c>
      <c r="AN169" s="22">
        <f t="shared" ref="AN169:AO169" si="1353">AN160-AN168</f>
        <v>0</v>
      </c>
      <c r="AO169" s="22" t="e">
        <f t="shared" si="1353"/>
        <v>#DIV/0!</v>
      </c>
      <c r="AP169" s="22">
        <f t="shared" ref="AP169:CE169" si="1354">AP160-AP168</f>
        <v>0</v>
      </c>
      <c r="AQ169" s="22" t="e">
        <f t="shared" si="1354"/>
        <v>#DIV/0!</v>
      </c>
      <c r="AR169" s="22">
        <f t="shared" si="1354"/>
        <v>0</v>
      </c>
      <c r="AS169" s="22" t="e">
        <f t="shared" si="1354"/>
        <v>#DIV/0!</v>
      </c>
      <c r="AT169" s="22">
        <f t="shared" si="1354"/>
        <v>0</v>
      </c>
      <c r="AU169" s="22" t="e">
        <f t="shared" si="1354"/>
        <v>#DIV/0!</v>
      </c>
      <c r="AV169" s="22">
        <f t="shared" si="1354"/>
        <v>0</v>
      </c>
      <c r="AW169" s="22" t="e">
        <f t="shared" si="1354"/>
        <v>#DIV/0!</v>
      </c>
      <c r="AX169" s="22">
        <f t="shared" si="1354"/>
        <v>0</v>
      </c>
      <c r="AY169" s="22" t="e">
        <f t="shared" si="1354"/>
        <v>#DIV/0!</v>
      </c>
      <c r="AZ169" s="22">
        <f t="shared" si="1354"/>
        <v>0</v>
      </c>
      <c r="BA169" s="22" t="e">
        <f t="shared" si="1354"/>
        <v>#DIV/0!</v>
      </c>
      <c r="BB169" s="22">
        <f t="shared" si="1354"/>
        <v>0</v>
      </c>
      <c r="BC169" s="22" t="e">
        <f t="shared" si="1354"/>
        <v>#DIV/0!</v>
      </c>
      <c r="BD169" s="22">
        <f t="shared" si="1354"/>
        <v>0</v>
      </c>
      <c r="BE169" s="22" t="e">
        <f t="shared" si="1354"/>
        <v>#DIV/0!</v>
      </c>
      <c r="BF169" s="22">
        <f t="shared" si="1354"/>
        <v>0</v>
      </c>
      <c r="BG169" s="22">
        <f t="shared" si="1354"/>
        <v>0</v>
      </c>
      <c r="BH169" s="22">
        <f t="shared" ref="BH169" si="1355">BH160-BH168</f>
        <v>0</v>
      </c>
      <c r="BI169" s="22">
        <f t="shared" si="1354"/>
        <v>0</v>
      </c>
      <c r="BJ169" s="22">
        <f t="shared" si="1354"/>
        <v>-134</v>
      </c>
      <c r="BK169" s="22">
        <f t="shared" si="1354"/>
        <v>-209.5524278676985</v>
      </c>
      <c r="BL169" s="22">
        <f t="shared" si="1354"/>
        <v>-302</v>
      </c>
      <c r="BM169" s="22">
        <f t="shared" si="1354"/>
        <v>-238.88729874776345</v>
      </c>
      <c r="BN169" s="22">
        <f t="shared" si="1354"/>
        <v>-732</v>
      </c>
      <c r="BO169" s="22">
        <f t="shared" si="1354"/>
        <v>-921.62464760370494</v>
      </c>
      <c r="BP169" s="22">
        <f t="shared" si="1354"/>
        <v>-818</v>
      </c>
      <c r="BQ169" s="22">
        <f t="shared" si="1354"/>
        <v>-704.34673584089978</v>
      </c>
      <c r="BR169" s="22">
        <f t="shared" si="1354"/>
        <v>-517</v>
      </c>
      <c r="BS169" s="22">
        <f t="shared" si="1354"/>
        <v>-583.1123452872107</v>
      </c>
      <c r="BT169" s="22">
        <f t="shared" si="1354"/>
        <v>340</v>
      </c>
      <c r="BU169" s="22">
        <f t="shared" si="1354"/>
        <v>380.19139868268167</v>
      </c>
      <c r="BV169" s="22">
        <f t="shared" si="1354"/>
        <v>-117</v>
      </c>
      <c r="BW169" s="22">
        <f t="shared" si="1354"/>
        <v>-134.72307692307686</v>
      </c>
      <c r="BX169" s="22">
        <f t="shared" si="1354"/>
        <v>462</v>
      </c>
      <c r="BY169" s="22">
        <f t="shared" si="1354"/>
        <v>596.9363850555369</v>
      </c>
      <c r="BZ169" s="22">
        <f t="shared" si="1354"/>
        <v>819</v>
      </c>
      <c r="CA169" s="22">
        <f t="shared" si="1354"/>
        <v>754.19080459770157</v>
      </c>
      <c r="CB169" s="22">
        <f t="shared" si="1354"/>
        <v>703</v>
      </c>
      <c r="CC169" s="22">
        <f t="shared" si="1354"/>
        <v>848.47002854424318</v>
      </c>
      <c r="CD169" s="22">
        <f t="shared" si="1354"/>
        <v>-5</v>
      </c>
      <c r="CE169" s="22">
        <f t="shared" si="1354"/>
        <v>-122.54539122358892</v>
      </c>
      <c r="CF169" s="22">
        <f t="shared" ref="CF169:CG169" si="1356">CF160-CF168</f>
        <v>617</v>
      </c>
      <c r="CG169" s="22">
        <f t="shared" si="1356"/>
        <v>649.03368966634298</v>
      </c>
      <c r="CH169" s="22">
        <f t="shared" ref="CH169:CI169" si="1357">CH160-CH168</f>
        <v>-460</v>
      </c>
      <c r="CI169" s="22">
        <f t="shared" si="1357"/>
        <v>-408.83891469078299</v>
      </c>
      <c r="CJ169" s="22">
        <f t="shared" ref="CJ169:DB169" si="1358">CJ160-CJ168</f>
        <v>544</v>
      </c>
      <c r="CK169" s="22">
        <f t="shared" si="1358"/>
        <v>558.1691542288554</v>
      </c>
      <c r="CL169" s="22">
        <f t="shared" ref="CL169" si="1359">CL160-CL168</f>
        <v>-386</v>
      </c>
      <c r="CM169" s="21">
        <f t="shared" si="1358"/>
        <v>-210.77448558441301</v>
      </c>
      <c r="CN169" s="21">
        <f t="shared" si="1358"/>
        <v>-73.417138146033722</v>
      </c>
      <c r="CO169" s="21">
        <f t="shared" si="1358"/>
        <v>61.444414378055626</v>
      </c>
      <c r="CP169" s="21">
        <f t="shared" si="1358"/>
        <v>242.17265082239282</v>
      </c>
      <c r="CQ169" s="21">
        <f t="shared" si="1358"/>
        <v>349.96675844972833</v>
      </c>
      <c r="CR169" s="21">
        <f t="shared" si="1358"/>
        <v>484.89861274538271</v>
      </c>
      <c r="CS169" s="21">
        <f t="shared" si="1358"/>
        <v>661.93918072248835</v>
      </c>
      <c r="CT169" s="21">
        <f t="shared" si="1358"/>
        <v>922.13216377418394</v>
      </c>
      <c r="CU169" s="21">
        <f t="shared" si="1358"/>
        <v>784.99569199768121</v>
      </c>
      <c r="CV169" s="21">
        <f t="shared" si="1358"/>
        <v>773.41646106202461</v>
      </c>
      <c r="CW169" s="21">
        <f t="shared" si="1358"/>
        <v>818.31745964364563</v>
      </c>
      <c r="CX169" s="21">
        <f t="shared" si="1358"/>
        <v>986.59605909720267</v>
      </c>
      <c r="CY169" s="21">
        <f t="shared" si="1358"/>
        <v>839.70961968905704</v>
      </c>
      <c r="CZ169" s="21">
        <f t="shared" si="1358"/>
        <v>827.65566733048399</v>
      </c>
      <c r="DA169" s="21">
        <f t="shared" si="1358"/>
        <v>875.66216957272445</v>
      </c>
      <c r="DB169" s="21">
        <f t="shared" si="1358"/>
        <v>1055.6115842875115</v>
      </c>
      <c r="DE169" s="126"/>
      <c r="DF169" s="22">
        <v>-386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outlineLevel="1" x14ac:dyDescent="0.2">
      <c r="A171" s="23" t="s">
        <v>75</v>
      </c>
      <c r="B171" s="23">
        <f>'Annual Raw'!C75</f>
        <v>0</v>
      </c>
      <c r="C171" s="23">
        <f>'Annual Raw'!D75</f>
        <v>0</v>
      </c>
      <c r="D171" s="23">
        <f>'Annual Raw'!E75</f>
        <v>0</v>
      </c>
      <c r="E171" s="23">
        <f>'Annual Raw'!F75</f>
        <v>0</v>
      </c>
      <c r="F171" s="23">
        <f>'Annual Raw'!G75</f>
        <v>0</v>
      </c>
      <c r="G171" s="23">
        <f>'Annual Raw'!H75</f>
        <v>0</v>
      </c>
      <c r="H171" s="23">
        <f>'Annual Raw'!I75</f>
        <v>0</v>
      </c>
      <c r="I171" s="23">
        <f>'Annual Raw'!J75</f>
        <v>0</v>
      </c>
      <c r="J171" s="23">
        <f>'Annual Raw'!K75</f>
        <v>0</v>
      </c>
      <c r="K171" s="23">
        <f>'Annual Raw'!L75</f>
        <v>0</v>
      </c>
      <c r="L171" s="23">
        <f>'Annual Raw'!M75</f>
        <v>0</v>
      </c>
      <c r="M171" s="23">
        <f>'Annual Raw'!N75</f>
        <v>0</v>
      </c>
      <c r="N171" s="23">
        <f>'Annual Raw'!O75</f>
        <v>0</v>
      </c>
      <c r="O171" s="23">
        <f>'Annual Raw'!P75</f>
        <v>0</v>
      </c>
      <c r="P171" s="23">
        <f>'Annual Raw'!Q75</f>
        <v>0</v>
      </c>
      <c r="Q171" s="23">
        <f>'Annual Raw'!R75</f>
        <v>0</v>
      </c>
      <c r="R171" s="23">
        <f>'Annual Raw'!S75</f>
        <v>2641</v>
      </c>
      <c r="S171" s="23">
        <f>'Annual Raw'!T75</f>
        <v>3408</v>
      </c>
      <c r="T171" s="23">
        <f>'Annual Raw'!U75</f>
        <v>2315</v>
      </c>
      <c r="U171" s="23">
        <f>'Annual Raw'!V75</f>
        <v>2698</v>
      </c>
      <c r="V171" s="23">
        <f>'Annual Raw'!W75</f>
        <v>3293</v>
      </c>
      <c r="W171" s="23">
        <f>'Annual Raw'!X75</f>
        <v>4399</v>
      </c>
      <c r="X171" s="23">
        <f>'Annual Raw'!Y75</f>
        <v>2935</v>
      </c>
      <c r="Y171" s="23">
        <f>'Annual Raw'!Z75</f>
        <v>3872</v>
      </c>
      <c r="Z171" s="23">
        <f>'Annual Raw'!AA75</f>
        <v>4444</v>
      </c>
      <c r="AA171" s="23">
        <f>'Annual Raw'!AB75</f>
        <v>5105</v>
      </c>
      <c r="AB171" s="24">
        <f t="shared" ref="AB171:AB172" si="1360">+CP171</f>
        <v>0</v>
      </c>
      <c r="AC171" s="24">
        <f t="shared" ref="AC171:AC172" si="1361">+CT171</f>
        <v>0</v>
      </c>
      <c r="AD171" s="24">
        <f t="shared" ref="AD171:AD172" si="1362">+CX171</f>
        <v>0</v>
      </c>
      <c r="AE171" s="24">
        <f t="shared" ref="AE171:AE172" si="1363">+DB171</f>
        <v>0</v>
      </c>
      <c r="AJ171" s="23">
        <f>+'QTR Raw'!D80</f>
        <v>0</v>
      </c>
      <c r="AL171" s="23">
        <f>+'QTR Raw'!F80</f>
        <v>0</v>
      </c>
      <c r="AN171" s="23">
        <f>+'QTR Raw'!H80</f>
        <v>0</v>
      </c>
      <c r="AP171" s="23">
        <f>+'QTR Raw'!J80</f>
        <v>0</v>
      </c>
      <c r="AR171" s="23">
        <f>+'QTR Raw'!L80</f>
        <v>0</v>
      </c>
      <c r="AT171" s="23">
        <f>+'QTR Raw'!N80</f>
        <v>0</v>
      </c>
      <c r="AV171" s="23">
        <f>+'QTR Raw'!P80</f>
        <v>0</v>
      </c>
      <c r="AX171" s="23">
        <f>+'QTR Raw'!R80</f>
        <v>0</v>
      </c>
      <c r="AZ171" s="23">
        <f>+'QTR Raw'!T80</f>
        <v>0</v>
      </c>
      <c r="BB171" s="23">
        <f>+'QTR Raw'!V80</f>
        <v>0</v>
      </c>
      <c r="BD171" s="23">
        <f>+'QTR Raw'!X80</f>
        <v>0</v>
      </c>
      <c r="BF171" s="23">
        <f>+'QTR Raw'!Z80</f>
        <v>0</v>
      </c>
      <c r="BH171" s="23">
        <f>+'QTR Raw'!AB80</f>
        <v>0</v>
      </c>
      <c r="BJ171" s="23">
        <f>+'QTR Raw'!AD80</f>
        <v>2315</v>
      </c>
      <c r="BL171" s="23">
        <f>+'QTR Raw'!AF80</f>
        <v>1659</v>
      </c>
      <c r="BN171" s="23">
        <f>+'QTR Raw'!AH80</f>
        <v>2698</v>
      </c>
      <c r="BP171" s="23">
        <f>+'QTR Raw'!AJ80</f>
        <v>2742</v>
      </c>
      <c r="BR171" s="23">
        <f>+'QTR Raw'!AL80</f>
        <v>3293</v>
      </c>
      <c r="BT171" s="23">
        <f>+'QTR Raw'!AN80</f>
        <v>4214</v>
      </c>
      <c r="BV171" s="23">
        <f>+'QTR Raw'!AP80</f>
        <v>4399</v>
      </c>
      <c r="BX171" s="23">
        <f>+'QTR Raw'!AR80</f>
        <v>2532</v>
      </c>
      <c r="BZ171" s="23">
        <f>+'QTR Raw'!AT80</f>
        <v>2935</v>
      </c>
      <c r="CB171" s="23">
        <f>+'QTR Raw'!AV80</f>
        <v>3960</v>
      </c>
      <c r="CD171" s="23">
        <f>+'QTR Raw'!AX80</f>
        <v>3872</v>
      </c>
      <c r="CF171" s="23">
        <f>+'QTR Raw'!AZ80</f>
        <v>4012</v>
      </c>
      <c r="CH171" s="23">
        <f t="shared" ref="CH171:CH172" si="1364">Z171</f>
        <v>4444</v>
      </c>
      <c r="CJ171" s="23">
        <f>+'QTR Raw'!BD80</f>
        <v>4917</v>
      </c>
      <c r="CL171" s="23">
        <f>+'QTR Raw'!BF80</f>
        <v>5105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5105</v>
      </c>
    </row>
    <row r="172" spans="1:110" s="23" customFormat="1" outlineLevel="1" x14ac:dyDescent="0.2">
      <c r="A172" s="23" t="s">
        <v>76</v>
      </c>
      <c r="B172" s="23">
        <f>'Annual Raw'!C78</f>
        <v>0</v>
      </c>
      <c r="C172" s="23">
        <f>'Annual Raw'!D78</f>
        <v>0</v>
      </c>
      <c r="D172" s="23">
        <f>'Annual Raw'!E78</f>
        <v>0</v>
      </c>
      <c r="E172" s="23">
        <f>'Annual Raw'!F78</f>
        <v>0</v>
      </c>
      <c r="F172" s="23">
        <f>'Annual Raw'!G78</f>
        <v>0</v>
      </c>
      <c r="G172" s="23">
        <f>'Annual Raw'!H78</f>
        <v>0</v>
      </c>
      <c r="H172" s="23">
        <f>'Annual Raw'!I78</f>
        <v>0</v>
      </c>
      <c r="I172" s="23">
        <f>'Annual Raw'!J78</f>
        <v>0</v>
      </c>
      <c r="J172" s="23">
        <f>'Annual Raw'!K78</f>
        <v>0</v>
      </c>
      <c r="K172" s="23">
        <f>'Annual Raw'!L78</f>
        <v>0</v>
      </c>
      <c r="L172" s="23">
        <f>'Annual Raw'!M78</f>
        <v>0</v>
      </c>
      <c r="M172" s="23">
        <f>'Annual Raw'!N78</f>
        <v>0</v>
      </c>
      <c r="N172" s="23">
        <f>'Annual Raw'!O78</f>
        <v>0</v>
      </c>
      <c r="O172" s="23">
        <f>'Annual Raw'!P78</f>
        <v>0</v>
      </c>
      <c r="P172" s="23">
        <f>'Annual Raw'!Q78</f>
        <v>0</v>
      </c>
      <c r="Q172" s="23">
        <f>'Annual Raw'!R78</f>
        <v>0</v>
      </c>
      <c r="R172" s="23">
        <f>'Annual Raw'!S78</f>
        <v>175</v>
      </c>
      <c r="S172" s="23">
        <f>'Annual Raw'!T78</f>
        <v>354</v>
      </c>
      <c r="T172" s="23">
        <f>'Annual Raw'!U78</f>
        <v>469</v>
      </c>
      <c r="U172" s="23">
        <f>'Annual Raw'!V78</f>
        <v>403</v>
      </c>
      <c r="V172" s="23">
        <f>'Annual Raw'!W78</f>
        <v>247</v>
      </c>
      <c r="W172" s="23">
        <f>'Annual Raw'!X78</f>
        <v>160</v>
      </c>
      <c r="X172" s="23">
        <f>'Annual Raw'!Y78</f>
        <v>285</v>
      </c>
      <c r="Y172" s="23">
        <f>'Annual Raw'!Z78</f>
        <v>582</v>
      </c>
      <c r="Z172" s="23">
        <f>'Annual Raw'!AA78</f>
        <v>158</v>
      </c>
      <c r="AA172" s="23">
        <f>'Annual Raw'!AB78</f>
        <v>224</v>
      </c>
      <c r="AB172" s="24">
        <f t="shared" si="1360"/>
        <v>5266.9065698502791</v>
      </c>
      <c r="AC172" s="24">
        <f t="shared" si="1361"/>
        <v>5529.4400894153532</v>
      </c>
      <c r="AD172" s="24">
        <f t="shared" si="1362"/>
        <v>6712.6548622088822</v>
      </c>
      <c r="AE172" s="24">
        <f t="shared" si="1363"/>
        <v>8307.6975271636693</v>
      </c>
      <c r="AJ172" s="23">
        <f>+'QTR Raw'!D83</f>
        <v>0</v>
      </c>
      <c r="AK172" s="23" t="e">
        <f t="shared" ref="AK172:AM172" si="1365">+AK222</f>
        <v>#DIV/0!</v>
      </c>
      <c r="AL172" s="23">
        <f>+'QTR Raw'!F83</f>
        <v>0</v>
      </c>
      <c r="AM172" s="23" t="e">
        <f t="shared" si="1365"/>
        <v>#DIV/0!</v>
      </c>
      <c r="AN172" s="23">
        <f>+'QTR Raw'!H83</f>
        <v>0</v>
      </c>
      <c r="AO172" s="23" t="e">
        <f t="shared" ref="AO172" si="1366">+AO222</f>
        <v>#DIV/0!</v>
      </c>
      <c r="AP172" s="23">
        <f>+'QTR Raw'!J83</f>
        <v>0</v>
      </c>
      <c r="AQ172" s="23" t="e">
        <f t="shared" ref="AQ172" si="1367">+AQ222</f>
        <v>#DIV/0!</v>
      </c>
      <c r="AR172" s="23">
        <f>+'QTR Raw'!L83</f>
        <v>0</v>
      </c>
      <c r="AS172" s="23" t="e">
        <f t="shared" ref="AS172" si="1368">+AS222</f>
        <v>#DIV/0!</v>
      </c>
      <c r="AT172" s="23">
        <f>+'QTR Raw'!N83</f>
        <v>0</v>
      </c>
      <c r="AU172" s="23" t="e">
        <f t="shared" ref="AU172" si="1369">+AU222</f>
        <v>#DIV/0!</v>
      </c>
      <c r="AV172" s="23">
        <f>+'QTR Raw'!P83</f>
        <v>0</v>
      </c>
      <c r="AW172" s="23" t="e">
        <f t="shared" ref="AW172" si="1370">+AW222</f>
        <v>#DIV/0!</v>
      </c>
      <c r="AX172" s="23">
        <f>+'QTR Raw'!R83</f>
        <v>0</v>
      </c>
      <c r="AY172" s="23" t="e">
        <f t="shared" ref="AY172" si="1371">+AY222</f>
        <v>#DIV/0!</v>
      </c>
      <c r="AZ172" s="23">
        <f>+'QTR Raw'!T83</f>
        <v>0</v>
      </c>
      <c r="BA172" s="23" t="e">
        <f t="shared" ref="BA172" si="1372">+BA222</f>
        <v>#DIV/0!</v>
      </c>
      <c r="BB172" s="23">
        <f>+'QTR Raw'!V83</f>
        <v>0</v>
      </c>
      <c r="BC172" s="23" t="e">
        <f t="shared" ref="BC172" si="1373">+BC222</f>
        <v>#DIV/0!</v>
      </c>
      <c r="BD172" s="23">
        <f>+'QTR Raw'!X83</f>
        <v>0</v>
      </c>
      <c r="BE172" s="23" t="e">
        <f t="shared" ref="BE172" si="1374">+BE222</f>
        <v>#DIV/0!</v>
      </c>
      <c r="BF172" s="23">
        <f>+'QTR Raw'!Z83</f>
        <v>0</v>
      </c>
      <c r="BG172" s="23">
        <f t="shared" ref="BG172" si="1375">+BG222</f>
        <v>53</v>
      </c>
      <c r="BH172" s="23">
        <f>+'QTR Raw'!AB83</f>
        <v>0</v>
      </c>
      <c r="BI172" s="23">
        <f t="shared" ref="BI172" si="1376">+BI222</f>
        <v>28</v>
      </c>
      <c r="BJ172" s="23">
        <f>+'QTR Raw'!AD83</f>
        <v>469</v>
      </c>
      <c r="BK172" s="23">
        <f t="shared" ref="BK172" si="1377">+BK222</f>
        <v>3006.5524278676985</v>
      </c>
      <c r="BL172" s="23">
        <f>+'QTR Raw'!AF83</f>
        <v>358</v>
      </c>
      <c r="BM172" s="23">
        <f t="shared" ref="BM172" si="1378">+BM222</f>
        <v>1977.8872987477635</v>
      </c>
      <c r="BN172" s="23">
        <f>+'QTR Raw'!AH83</f>
        <v>403</v>
      </c>
      <c r="BO172" s="23">
        <f t="shared" ref="BO172" si="1379">+BO222</f>
        <v>3480.6246476037049</v>
      </c>
      <c r="BP172" s="23">
        <f>+'QTR Raw'!AJ83</f>
        <v>442</v>
      </c>
      <c r="BQ172" s="23">
        <f t="shared" ref="BQ172" si="1380">+BQ222</f>
        <v>3252.3467358408998</v>
      </c>
      <c r="BR172" s="23">
        <f>+'QTR Raw'!AL83</f>
        <v>247</v>
      </c>
      <c r="BS172" s="23">
        <f t="shared" ref="BS172" si="1381">+BS222</f>
        <v>3875.1123452872107</v>
      </c>
      <c r="BT172" s="23">
        <f>+'QTR Raw'!AN83</f>
        <v>130</v>
      </c>
      <c r="BU172" s="23">
        <f t="shared" ref="BU172" si="1382">+BU222</f>
        <v>4387.8086013173179</v>
      </c>
      <c r="BV172" s="23">
        <f>+'QTR Raw'!AP83</f>
        <v>160</v>
      </c>
      <c r="BW172" s="23">
        <f t="shared" ref="BW172" si="1383">+BW222</f>
        <v>4772.7230769230773</v>
      </c>
      <c r="BX172" s="23">
        <f>+'QTR Raw'!AR83</f>
        <v>108</v>
      </c>
      <c r="BY172" s="23">
        <f t="shared" ref="BY172" si="1384">+BY222</f>
        <v>2709.0636149444631</v>
      </c>
      <c r="BZ172" s="23">
        <f>+'QTR Raw'!AT83</f>
        <v>285</v>
      </c>
      <c r="CA172" s="23">
        <f t="shared" ref="CA172" si="1385">+CA222</f>
        <v>3414.8091954022984</v>
      </c>
      <c r="CB172" s="23">
        <f>+'QTR Raw'!AV83</f>
        <v>594</v>
      </c>
      <c r="CC172" s="23">
        <f t="shared" ref="CC172" si="1386">+CC222</f>
        <v>4671.5299714557568</v>
      </c>
      <c r="CD172" s="23">
        <f>+'QTR Raw'!AX83</f>
        <v>582</v>
      </c>
      <c r="CE172" s="23">
        <f t="shared" ref="CE172" si="1387">+CE222</f>
        <v>4712.5453912235889</v>
      </c>
      <c r="CF172" s="23">
        <f>+'QTR Raw'!AZ83</f>
        <v>138</v>
      </c>
      <c r="CG172" s="23">
        <f t="shared" ref="CG172:CI172" si="1388">+CG222</f>
        <v>4178.966310333657</v>
      </c>
      <c r="CH172" s="23">
        <f t="shared" si="1364"/>
        <v>158</v>
      </c>
      <c r="CI172" s="23">
        <f t="shared" si="1388"/>
        <v>5265.838914690783</v>
      </c>
      <c r="CJ172" s="23">
        <f>+'QTR Raw'!BD83</f>
        <v>116</v>
      </c>
      <c r="CK172" s="23">
        <f t="shared" ref="CK172:DB172" si="1389">+CK222</f>
        <v>5480.8308457711446</v>
      </c>
      <c r="CL172" s="23">
        <f>+'QTR Raw'!BF83</f>
        <v>224</v>
      </c>
      <c r="CM172" s="24">
        <f t="shared" si="1389"/>
        <v>5255.0219575420615</v>
      </c>
      <c r="CN172" s="24">
        <f t="shared" si="1389"/>
        <v>5183.3158495068628</v>
      </c>
      <c r="CO172" s="24">
        <f t="shared" si="1389"/>
        <v>5155.6593138141989</v>
      </c>
      <c r="CP172" s="24">
        <f t="shared" si="1389"/>
        <v>5266.9065698502791</v>
      </c>
      <c r="CQ172" s="24">
        <f t="shared" si="1389"/>
        <v>5324.6919544897501</v>
      </c>
      <c r="CR172" s="24">
        <f t="shared" si="1389"/>
        <v>5351.7328601491645</v>
      </c>
      <c r="CS172" s="24">
        <f t="shared" si="1389"/>
        <v>5392.984705681939</v>
      </c>
      <c r="CT172" s="24">
        <f t="shared" si="1389"/>
        <v>5529.4400894153532</v>
      </c>
      <c r="CU172" s="24">
        <f t="shared" si="1389"/>
        <v>5901.7717142229085</v>
      </c>
      <c r="CV172" s="24">
        <f t="shared" si="1389"/>
        <v>6152.8243581102925</v>
      </c>
      <c r="CW172" s="24">
        <f t="shared" si="1389"/>
        <v>6404.4461752754705</v>
      </c>
      <c r="CX172" s="24">
        <f t="shared" si="1389"/>
        <v>6712.6548622088822</v>
      </c>
      <c r="CY172" s="24">
        <f t="shared" si="1389"/>
        <v>7193.563040578696</v>
      </c>
      <c r="CZ172" s="24">
        <f t="shared" si="1389"/>
        <v>7544.0024523378861</v>
      </c>
      <c r="DA172" s="24">
        <f t="shared" si="1389"/>
        <v>7894.9369822389144</v>
      </c>
      <c r="DB172" s="24">
        <f t="shared" si="1389"/>
        <v>8307.6975271636693</v>
      </c>
      <c r="DE172" s="123"/>
      <c r="DF172" s="23">
        <v>224</v>
      </c>
    </row>
    <row r="173" spans="1:110" s="22" customFormat="1" x14ac:dyDescent="0.2">
      <c r="A173" s="22" t="s">
        <v>77</v>
      </c>
      <c r="B173" s="22">
        <f>B171+B172</f>
        <v>0</v>
      </c>
      <c r="C173" s="22">
        <f t="shared" ref="C173:V173" si="1390">C171+C172</f>
        <v>0</v>
      </c>
      <c r="D173" s="22">
        <f t="shared" si="1390"/>
        <v>0</v>
      </c>
      <c r="E173" s="22">
        <f t="shared" si="1390"/>
        <v>0</v>
      </c>
      <c r="F173" s="22">
        <f t="shared" si="1390"/>
        <v>0</v>
      </c>
      <c r="G173" s="22">
        <f t="shared" si="1390"/>
        <v>0</v>
      </c>
      <c r="H173" s="22">
        <f t="shared" si="1390"/>
        <v>0</v>
      </c>
      <c r="I173" s="22">
        <f t="shared" si="1390"/>
        <v>0</v>
      </c>
      <c r="J173" s="22">
        <f t="shared" si="1390"/>
        <v>0</v>
      </c>
      <c r="K173" s="22">
        <f t="shared" si="1390"/>
        <v>0</v>
      </c>
      <c r="L173" s="22">
        <f t="shared" si="1390"/>
        <v>0</v>
      </c>
      <c r="M173" s="22">
        <f t="shared" si="1390"/>
        <v>0</v>
      </c>
      <c r="N173" s="22">
        <f t="shared" si="1390"/>
        <v>0</v>
      </c>
      <c r="O173" s="22">
        <f t="shared" si="1390"/>
        <v>0</v>
      </c>
      <c r="P173" s="22">
        <f t="shared" si="1390"/>
        <v>0</v>
      </c>
      <c r="Q173" s="22">
        <f t="shared" si="1390"/>
        <v>0</v>
      </c>
      <c r="R173" s="22">
        <f t="shared" si="1390"/>
        <v>2816</v>
      </c>
      <c r="S173" s="22">
        <f t="shared" si="1390"/>
        <v>3762</v>
      </c>
      <c r="T173" s="22">
        <f t="shared" si="1390"/>
        <v>2784</v>
      </c>
      <c r="U173" s="22">
        <f t="shared" si="1390"/>
        <v>3101</v>
      </c>
      <c r="V173" s="22">
        <f t="shared" si="1390"/>
        <v>3540</v>
      </c>
      <c r="W173" s="22">
        <f t="shared" ref="W173" si="1391">W171+W172</f>
        <v>4559</v>
      </c>
      <c r="X173" s="22">
        <f t="shared" ref="X173:Y173" si="1392">X171+X172</f>
        <v>3220</v>
      </c>
      <c r="Y173" s="22">
        <f t="shared" si="1392"/>
        <v>4454</v>
      </c>
      <c r="Z173" s="22">
        <f t="shared" ref="Z173:AA173" si="1393">Z171+Z172</f>
        <v>4602</v>
      </c>
      <c r="AA173" s="22">
        <f t="shared" ref="AA173" si="1394">AA171+AA172</f>
        <v>5329</v>
      </c>
      <c r="AB173" s="21">
        <f t="shared" ref="AB173:AD173" si="1395">AB171+AB172</f>
        <v>5266.9065698502791</v>
      </c>
      <c r="AC173" s="21">
        <f t="shared" si="1395"/>
        <v>5529.4400894153532</v>
      </c>
      <c r="AD173" s="21">
        <f t="shared" si="1395"/>
        <v>6712.6548622088822</v>
      </c>
      <c r="AE173" s="21">
        <f t="shared" ref="AE173" si="1396">AE171+AE172</f>
        <v>8307.6975271636693</v>
      </c>
      <c r="AJ173" s="22">
        <f t="shared" ref="AJ173" si="1397">AJ171+AJ172</f>
        <v>0</v>
      </c>
      <c r="AK173" s="22" t="e">
        <f t="shared" ref="AK173" si="1398">AK171+AK172</f>
        <v>#DIV/0!</v>
      </c>
      <c r="AL173" s="22">
        <f t="shared" ref="AL173:AM173" si="1399">AL171+AL172</f>
        <v>0</v>
      </c>
      <c r="AM173" s="22" t="e">
        <f t="shared" si="1399"/>
        <v>#DIV/0!</v>
      </c>
      <c r="AN173" s="22">
        <f t="shared" ref="AN173:AO173" si="1400">AN171+AN172</f>
        <v>0</v>
      </c>
      <c r="AO173" s="22" t="e">
        <f t="shared" si="1400"/>
        <v>#DIV/0!</v>
      </c>
      <c r="AP173" s="22">
        <f t="shared" ref="AP173:CE173" si="1401">AP171+AP172</f>
        <v>0</v>
      </c>
      <c r="AQ173" s="22" t="e">
        <f t="shared" si="1401"/>
        <v>#DIV/0!</v>
      </c>
      <c r="AR173" s="22">
        <f t="shared" si="1401"/>
        <v>0</v>
      </c>
      <c r="AS173" s="22" t="e">
        <f t="shared" si="1401"/>
        <v>#DIV/0!</v>
      </c>
      <c r="AT173" s="22">
        <f t="shared" si="1401"/>
        <v>0</v>
      </c>
      <c r="AU173" s="22" t="e">
        <f t="shared" si="1401"/>
        <v>#DIV/0!</v>
      </c>
      <c r="AV173" s="22">
        <f t="shared" si="1401"/>
        <v>0</v>
      </c>
      <c r="AW173" s="22" t="e">
        <f t="shared" si="1401"/>
        <v>#DIV/0!</v>
      </c>
      <c r="AX173" s="22">
        <f t="shared" si="1401"/>
        <v>0</v>
      </c>
      <c r="AY173" s="22" t="e">
        <f t="shared" si="1401"/>
        <v>#DIV/0!</v>
      </c>
      <c r="AZ173" s="22">
        <f t="shared" si="1401"/>
        <v>0</v>
      </c>
      <c r="BA173" s="22" t="e">
        <f t="shared" si="1401"/>
        <v>#DIV/0!</v>
      </c>
      <c r="BB173" s="22">
        <f t="shared" si="1401"/>
        <v>0</v>
      </c>
      <c r="BC173" s="22" t="e">
        <f t="shared" si="1401"/>
        <v>#DIV/0!</v>
      </c>
      <c r="BD173" s="22">
        <f t="shared" si="1401"/>
        <v>0</v>
      </c>
      <c r="BE173" s="22" t="e">
        <f t="shared" si="1401"/>
        <v>#DIV/0!</v>
      </c>
      <c r="BF173" s="22">
        <f t="shared" si="1401"/>
        <v>0</v>
      </c>
      <c r="BG173" s="22">
        <f t="shared" si="1401"/>
        <v>53</v>
      </c>
      <c r="BH173" s="22">
        <f t="shared" si="1401"/>
        <v>0</v>
      </c>
      <c r="BI173" s="22">
        <f t="shared" si="1401"/>
        <v>28</v>
      </c>
      <c r="BJ173" s="22">
        <f t="shared" si="1401"/>
        <v>2784</v>
      </c>
      <c r="BK173" s="22">
        <f t="shared" si="1401"/>
        <v>3006.5524278676985</v>
      </c>
      <c r="BL173" s="22">
        <f t="shared" si="1401"/>
        <v>2017</v>
      </c>
      <c r="BM173" s="22">
        <f t="shared" si="1401"/>
        <v>1977.8872987477635</v>
      </c>
      <c r="BN173" s="22">
        <f t="shared" si="1401"/>
        <v>3101</v>
      </c>
      <c r="BO173" s="22">
        <f t="shared" si="1401"/>
        <v>3480.6246476037049</v>
      </c>
      <c r="BP173" s="22">
        <f t="shared" si="1401"/>
        <v>3184</v>
      </c>
      <c r="BQ173" s="22">
        <f t="shared" si="1401"/>
        <v>3252.3467358408998</v>
      </c>
      <c r="BR173" s="22">
        <f t="shared" si="1401"/>
        <v>3540</v>
      </c>
      <c r="BS173" s="22">
        <f t="shared" si="1401"/>
        <v>3875.1123452872107</v>
      </c>
      <c r="BT173" s="22">
        <f t="shared" si="1401"/>
        <v>4344</v>
      </c>
      <c r="BU173" s="22">
        <f t="shared" si="1401"/>
        <v>4387.8086013173179</v>
      </c>
      <c r="BV173" s="22">
        <f t="shared" si="1401"/>
        <v>4559</v>
      </c>
      <c r="BW173" s="22">
        <f t="shared" si="1401"/>
        <v>4772.7230769230773</v>
      </c>
      <c r="BX173" s="22">
        <f t="shared" si="1401"/>
        <v>2640</v>
      </c>
      <c r="BY173" s="22">
        <f t="shared" si="1401"/>
        <v>2709.0636149444631</v>
      </c>
      <c r="BZ173" s="22">
        <f t="shared" si="1401"/>
        <v>3220</v>
      </c>
      <c r="CA173" s="22">
        <f t="shared" si="1401"/>
        <v>3414.8091954022984</v>
      </c>
      <c r="CB173" s="22">
        <f t="shared" si="1401"/>
        <v>4554</v>
      </c>
      <c r="CC173" s="22">
        <f t="shared" si="1401"/>
        <v>4671.5299714557568</v>
      </c>
      <c r="CD173" s="22">
        <f t="shared" si="1401"/>
        <v>4454</v>
      </c>
      <c r="CE173" s="22">
        <f t="shared" si="1401"/>
        <v>4712.5453912235889</v>
      </c>
      <c r="CF173" s="22">
        <f t="shared" ref="CF173:CG173" si="1402">CF171+CF172</f>
        <v>4150</v>
      </c>
      <c r="CG173" s="22">
        <f t="shared" si="1402"/>
        <v>4178.966310333657</v>
      </c>
      <c r="CH173" s="22">
        <f t="shared" ref="CH173:CI173" si="1403">CH171+CH172</f>
        <v>4602</v>
      </c>
      <c r="CI173" s="22">
        <f t="shared" si="1403"/>
        <v>5265.838914690783</v>
      </c>
      <c r="CJ173" s="22">
        <f t="shared" ref="CJ173:DB173" si="1404">CJ171+CJ172</f>
        <v>5033</v>
      </c>
      <c r="CK173" s="22">
        <f t="shared" si="1404"/>
        <v>5480.8308457711446</v>
      </c>
      <c r="CL173" s="22">
        <f t="shared" ref="CL173" si="1405">CL171+CL172</f>
        <v>5329</v>
      </c>
      <c r="CM173" s="21">
        <f t="shared" si="1404"/>
        <v>5255.0219575420615</v>
      </c>
      <c r="CN173" s="21">
        <f t="shared" si="1404"/>
        <v>5183.3158495068628</v>
      </c>
      <c r="CO173" s="21">
        <f t="shared" si="1404"/>
        <v>5155.6593138141989</v>
      </c>
      <c r="CP173" s="21">
        <f t="shared" si="1404"/>
        <v>5266.9065698502791</v>
      </c>
      <c r="CQ173" s="21">
        <f t="shared" si="1404"/>
        <v>5324.6919544897501</v>
      </c>
      <c r="CR173" s="21">
        <f t="shared" si="1404"/>
        <v>5351.7328601491645</v>
      </c>
      <c r="CS173" s="21">
        <f t="shared" si="1404"/>
        <v>5392.984705681939</v>
      </c>
      <c r="CT173" s="21">
        <f t="shared" si="1404"/>
        <v>5529.4400894153532</v>
      </c>
      <c r="CU173" s="21">
        <f t="shared" si="1404"/>
        <v>5901.7717142229085</v>
      </c>
      <c r="CV173" s="21">
        <f t="shared" si="1404"/>
        <v>6152.8243581102925</v>
      </c>
      <c r="CW173" s="21">
        <f t="shared" si="1404"/>
        <v>6404.4461752754705</v>
      </c>
      <c r="CX173" s="21">
        <f t="shared" si="1404"/>
        <v>6712.6548622088822</v>
      </c>
      <c r="CY173" s="21">
        <f t="shared" si="1404"/>
        <v>7193.563040578696</v>
      </c>
      <c r="CZ173" s="21">
        <f t="shared" si="1404"/>
        <v>7544.0024523378861</v>
      </c>
      <c r="DA173" s="21">
        <f t="shared" si="1404"/>
        <v>7894.9369822389144</v>
      </c>
      <c r="DB173" s="21">
        <f t="shared" si="1404"/>
        <v>8307.6975271636693</v>
      </c>
      <c r="DE173" s="126"/>
      <c r="DF173" s="22">
        <v>5329</v>
      </c>
    </row>
    <row r="174" spans="1:110" s="23" customFormat="1" x14ac:dyDescent="0.2">
      <c r="AB174" s="24"/>
      <c r="AC174" s="24"/>
      <c r="AD174" s="24"/>
      <c r="AE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x14ac:dyDescent="0.2">
      <c r="A175" s="23" t="s">
        <v>78</v>
      </c>
      <c r="B175" s="23">
        <f>-'Annual Raw'!C49</f>
        <v>0</v>
      </c>
      <c r="C175" s="23">
        <f>-'Annual Raw'!D49</f>
        <v>0</v>
      </c>
      <c r="D175" s="23">
        <f>-'Annual Raw'!E49</f>
        <v>0</v>
      </c>
      <c r="E175" s="23">
        <f>-'Annual Raw'!F49</f>
        <v>0</v>
      </c>
      <c r="F175" s="23">
        <f>-'Annual Raw'!G49</f>
        <v>0</v>
      </c>
      <c r="G175" s="23">
        <f>-'Annual Raw'!H49</f>
        <v>0</v>
      </c>
      <c r="H175" s="23">
        <f>-'Annual Raw'!I49</f>
        <v>0</v>
      </c>
      <c r="I175" s="23">
        <f>-'Annual Raw'!J49</f>
        <v>0</v>
      </c>
      <c r="J175" s="23">
        <f>-'Annual Raw'!K49</f>
        <v>0</v>
      </c>
      <c r="K175" s="23">
        <f>-'Annual Raw'!L49</f>
        <v>0</v>
      </c>
      <c r="L175" s="23">
        <f>-'Annual Raw'!M49</f>
        <v>0</v>
      </c>
      <c r="M175" s="23">
        <f>-'Annual Raw'!N49</f>
        <v>0</v>
      </c>
      <c r="N175" s="23">
        <f>-'Annual Raw'!O49</f>
        <v>0</v>
      </c>
      <c r="O175" s="23">
        <f>-'Annual Raw'!P49</f>
        <v>0</v>
      </c>
      <c r="P175" s="23">
        <f>-'Annual Raw'!Q49</f>
        <v>0</v>
      </c>
      <c r="Q175" s="23">
        <f>-'Annual Raw'!R49</f>
        <v>0</v>
      </c>
      <c r="R175" s="23">
        <f>-'Annual Raw'!S49</f>
        <v>-1372</v>
      </c>
      <c r="S175" s="23">
        <f>-'Annual Raw'!T49</f>
        <v>-1393</v>
      </c>
      <c r="T175" s="23">
        <f>-'Annual Raw'!U49</f>
        <v>-1279</v>
      </c>
      <c r="U175" s="23">
        <f>-'Annual Raw'!V49</f>
        <v>-1277</v>
      </c>
      <c r="V175" s="23">
        <f>-'Annual Raw'!W49</f>
        <v>-1659</v>
      </c>
      <c r="W175" s="23">
        <f>-'Annual Raw'!X49</f>
        <v>-1564</v>
      </c>
      <c r="X175" s="23">
        <f>-'Annual Raw'!Y49</f>
        <v>-1610</v>
      </c>
      <c r="Y175" s="23">
        <f>-'Annual Raw'!Z49</f>
        <v>-1758</v>
      </c>
      <c r="Z175" s="23">
        <f>-'Annual Raw'!AA49</f>
        <v>-1981</v>
      </c>
      <c r="AA175" s="23">
        <f>-'Annual Raw'!AB49</f>
        <v>-2184</v>
      </c>
      <c r="AB175" s="24">
        <f t="shared" ref="AB175:AB176" si="1406">+CP175</f>
        <v>-2184</v>
      </c>
      <c r="AC175" s="24">
        <f t="shared" ref="AC175:AC176" si="1407">+CT175</f>
        <v>-2184</v>
      </c>
      <c r="AD175" s="24">
        <f t="shared" ref="AD175:AD176" si="1408">+CX175</f>
        <v>-2184</v>
      </c>
      <c r="AE175" s="24">
        <f t="shared" ref="AE175:AE176" si="1409">+DB175</f>
        <v>-2184</v>
      </c>
      <c r="AJ175" s="23">
        <f>+'QTR Raw'!D96</f>
        <v>0</v>
      </c>
      <c r="AK175" s="23">
        <f t="shared" ref="AK175:CE175" si="1410">+AJ175</f>
        <v>0</v>
      </c>
      <c r="AL175" s="23">
        <f>+'QTR Raw'!F96</f>
        <v>0</v>
      </c>
      <c r="AM175" s="23">
        <f t="shared" si="1410"/>
        <v>0</v>
      </c>
      <c r="AN175" s="23">
        <f>+'QTR Raw'!H96</f>
        <v>0</v>
      </c>
      <c r="AO175" s="23">
        <f t="shared" si="1410"/>
        <v>0</v>
      </c>
      <c r="AP175" s="23">
        <f>+'QTR Raw'!J96</f>
        <v>0</v>
      </c>
      <c r="AQ175" s="23">
        <f t="shared" si="1410"/>
        <v>0</v>
      </c>
      <c r="AR175" s="23">
        <f>+'QTR Raw'!L96</f>
        <v>0</v>
      </c>
      <c r="AS175" s="23">
        <f t="shared" si="1410"/>
        <v>0</v>
      </c>
      <c r="AT175" s="23">
        <f>+'QTR Raw'!N96</f>
        <v>0</v>
      </c>
      <c r="AU175" s="23">
        <f t="shared" si="1410"/>
        <v>0</v>
      </c>
      <c r="AV175" s="23">
        <f>+'QTR Raw'!P96</f>
        <v>0</v>
      </c>
      <c r="AW175" s="23">
        <f t="shared" si="1410"/>
        <v>0</v>
      </c>
      <c r="AX175" s="23">
        <f>+'QTR Raw'!R96</f>
        <v>0</v>
      </c>
      <c r="AY175" s="23">
        <f t="shared" si="1410"/>
        <v>0</v>
      </c>
      <c r="AZ175" s="23">
        <f>+'QTR Raw'!T96</f>
        <v>0</v>
      </c>
      <c r="BA175" s="23">
        <f t="shared" si="1410"/>
        <v>0</v>
      </c>
      <c r="BB175" s="23">
        <f>+'QTR Raw'!V96</f>
        <v>0</v>
      </c>
      <c r="BC175" s="23">
        <f t="shared" si="1410"/>
        <v>0</v>
      </c>
      <c r="BD175" s="23">
        <f>+'QTR Raw'!X96</f>
        <v>0</v>
      </c>
      <c r="BE175" s="23">
        <f t="shared" si="1410"/>
        <v>0</v>
      </c>
      <c r="BF175" s="23">
        <f>+'QTR Raw'!Z96</f>
        <v>0</v>
      </c>
      <c r="BG175" s="23">
        <f t="shared" si="1410"/>
        <v>0</v>
      </c>
      <c r="BH175" s="23">
        <f>+'QTR Raw'!AB96</f>
        <v>0</v>
      </c>
      <c r="BI175" s="23">
        <f t="shared" si="1410"/>
        <v>0</v>
      </c>
      <c r="BJ175" s="23">
        <f>+'QTR Raw'!AD96</f>
        <v>-1279</v>
      </c>
      <c r="BK175" s="23">
        <f t="shared" si="1410"/>
        <v>-1279</v>
      </c>
      <c r="BL175" s="23">
        <f>+'QTR Raw'!AF96</f>
        <v>-1280</v>
      </c>
      <c r="BM175" s="23">
        <f t="shared" si="1410"/>
        <v>-1280</v>
      </c>
      <c r="BN175" s="23">
        <f>+'QTR Raw'!AH96</f>
        <v>-1277</v>
      </c>
      <c r="BO175" s="23">
        <f t="shared" si="1410"/>
        <v>-1277</v>
      </c>
      <c r="BP175" s="23">
        <f>+'QTR Raw'!AJ96</f>
        <v>-1419</v>
      </c>
      <c r="BQ175" s="23">
        <f t="shared" si="1410"/>
        <v>-1419</v>
      </c>
      <c r="BR175" s="23">
        <f>+'QTR Raw'!AL96</f>
        <v>-1659</v>
      </c>
      <c r="BS175" s="23">
        <f t="shared" si="1410"/>
        <v>-1659</v>
      </c>
      <c r="BT175" s="23">
        <f>+'QTR Raw'!AN96</f>
        <v>-1805</v>
      </c>
      <c r="BU175" s="23">
        <f t="shared" si="1410"/>
        <v>-1805</v>
      </c>
      <c r="BV175" s="23">
        <f>+'QTR Raw'!AP96</f>
        <v>-1564</v>
      </c>
      <c r="BW175" s="23">
        <f t="shared" si="1410"/>
        <v>-1564</v>
      </c>
      <c r="BX175" s="23">
        <f>+'QTR Raw'!AR96</f>
        <v>-1433</v>
      </c>
      <c r="BY175" s="23">
        <f t="shared" si="1410"/>
        <v>-1433</v>
      </c>
      <c r="BZ175" s="23">
        <f>+'QTR Raw'!AT96</f>
        <v>-1610</v>
      </c>
      <c r="CA175" s="23">
        <f t="shared" si="1410"/>
        <v>-1610</v>
      </c>
      <c r="CB175" s="23">
        <f>+'QTR Raw'!AV96</f>
        <v>-1621</v>
      </c>
      <c r="CC175" s="23">
        <f t="shared" si="1410"/>
        <v>-1621</v>
      </c>
      <c r="CD175" s="23">
        <f>+'QTR Raw'!AX96</f>
        <v>-1758</v>
      </c>
      <c r="CE175" s="23">
        <f t="shared" si="1410"/>
        <v>-1758</v>
      </c>
      <c r="CF175" s="23">
        <f>+'QTR Raw'!AZ96</f>
        <v>-2007</v>
      </c>
      <c r="CG175" s="23">
        <f t="shared" ref="CG175:CI176" si="1411">+CF175</f>
        <v>-2007</v>
      </c>
      <c r="CH175" s="23">
        <f t="shared" ref="CH175:CH176" si="1412">Z175</f>
        <v>-1981</v>
      </c>
      <c r="CI175" s="23">
        <f t="shared" si="1411"/>
        <v>-1981</v>
      </c>
      <c r="CJ175" s="23">
        <f>+'QTR Raw'!BD96</f>
        <v>-2070</v>
      </c>
      <c r="CK175" s="23">
        <f t="shared" ref="CK175:CK176" si="1413">+CJ175</f>
        <v>-2070</v>
      </c>
      <c r="CL175" s="23">
        <f>+'QTR Raw'!BF96</f>
        <v>-2184</v>
      </c>
      <c r="CM175" s="24">
        <f t="shared" ref="CM175:CM176" si="1414">+CL175</f>
        <v>-2184</v>
      </c>
      <c r="CN175" s="24">
        <f t="shared" ref="CN175:CN176" si="1415">+CM175</f>
        <v>-2184</v>
      </c>
      <c r="CO175" s="24">
        <f t="shared" ref="CO175:CO176" si="1416">+CN175</f>
        <v>-2184</v>
      </c>
      <c r="CP175" s="24">
        <f t="shared" ref="CP175:CP176" si="1417">+CO175</f>
        <v>-2184</v>
      </c>
      <c r="CQ175" s="24">
        <f t="shared" ref="CQ175:CQ176" si="1418">+CP175</f>
        <v>-2184</v>
      </c>
      <c r="CR175" s="24">
        <f t="shared" ref="CR175:CR176" si="1419">+CQ175</f>
        <v>-2184</v>
      </c>
      <c r="CS175" s="24">
        <f t="shared" ref="CS175:CS176" si="1420">+CR175</f>
        <v>-2184</v>
      </c>
      <c r="CT175" s="24">
        <f t="shared" ref="CT175:CT176" si="1421">+CS175</f>
        <v>-2184</v>
      </c>
      <c r="CU175" s="24">
        <f t="shared" ref="CU175:CU176" si="1422">+CT175</f>
        <v>-2184</v>
      </c>
      <c r="CV175" s="24">
        <f t="shared" ref="CV175:CV176" si="1423">+CU175</f>
        <v>-2184</v>
      </c>
      <c r="CW175" s="24">
        <f t="shared" ref="CW175:CW176" si="1424">+CV175</f>
        <v>-2184</v>
      </c>
      <c r="CX175" s="24">
        <f t="shared" ref="CX175:CX176" si="1425">+CW175</f>
        <v>-2184</v>
      </c>
      <c r="CY175" s="24">
        <f t="shared" ref="CY175:CY176" si="1426">+CX175</f>
        <v>-2184</v>
      </c>
      <c r="CZ175" s="24">
        <f t="shared" ref="CZ175:CZ176" si="1427">+CY175</f>
        <v>-2184</v>
      </c>
      <c r="DA175" s="24">
        <f t="shared" ref="DA175:DA176" si="1428">+CZ175</f>
        <v>-2184</v>
      </c>
      <c r="DB175" s="24">
        <f t="shared" ref="DB175:DB176" si="1429">+DA175</f>
        <v>-2184</v>
      </c>
      <c r="DE175" s="123"/>
      <c r="DF175" s="23">
        <v>-2184</v>
      </c>
    </row>
    <row r="176" spans="1:110" s="23" customFormat="1" x14ac:dyDescent="0.2">
      <c r="A176" s="23" t="s">
        <v>79</v>
      </c>
      <c r="B176" s="23">
        <f>'Annual Raw'!C83</f>
        <v>0</v>
      </c>
      <c r="C176" s="23">
        <f>'Annual Raw'!D83</f>
        <v>0</v>
      </c>
      <c r="D176" s="23">
        <f>'Annual Raw'!E83</f>
        <v>0</v>
      </c>
      <c r="E176" s="23">
        <f>'Annual Raw'!F83</f>
        <v>0</v>
      </c>
      <c r="F176" s="23">
        <f>'Annual Raw'!G83</f>
        <v>0</v>
      </c>
      <c r="G176" s="23">
        <f>'Annual Raw'!H83</f>
        <v>0</v>
      </c>
      <c r="H176" s="23">
        <f>'Annual Raw'!I83</f>
        <v>0</v>
      </c>
      <c r="I176" s="23">
        <f>'Annual Raw'!J83</f>
        <v>0</v>
      </c>
      <c r="J176" s="23">
        <f>'Annual Raw'!K83</f>
        <v>0</v>
      </c>
      <c r="K176" s="23">
        <f>'Annual Raw'!L83</f>
        <v>0</v>
      </c>
      <c r="L176" s="23">
        <f>'Annual Raw'!M83</f>
        <v>0</v>
      </c>
      <c r="M176" s="23">
        <f>'Annual Raw'!N83</f>
        <v>0</v>
      </c>
      <c r="N176" s="23">
        <f>'Annual Raw'!O83</f>
        <v>0</v>
      </c>
      <c r="O176" s="23">
        <f>'Annual Raw'!P83</f>
        <v>0</v>
      </c>
      <c r="P176" s="23">
        <f>'Annual Raw'!Q83</f>
        <v>0</v>
      </c>
      <c r="Q176" s="23">
        <f>'Annual Raw'!R83</f>
        <v>0</v>
      </c>
      <c r="R176" s="23">
        <f>'Annual Raw'!S83</f>
        <v>0</v>
      </c>
      <c r="S176" s="23">
        <f>'Annual Raw'!T83</f>
        <v>0</v>
      </c>
      <c r="T176" s="23">
        <f>'Annual Raw'!U83</f>
        <v>0</v>
      </c>
      <c r="U176" s="23">
        <f>'Annual Raw'!V83</f>
        <v>0</v>
      </c>
      <c r="V176" s="23">
        <f>'Annual Raw'!W83</f>
        <v>0</v>
      </c>
      <c r="W176" s="23">
        <f>'Annual Raw'!X83</f>
        <v>0</v>
      </c>
      <c r="X176" s="23">
        <f>'Annual Raw'!Y83</f>
        <v>0</v>
      </c>
      <c r="Y176" s="23">
        <f>'Annual Raw'!Z83</f>
        <v>0</v>
      </c>
      <c r="Z176" s="23">
        <f>'Annual Raw'!AA83</f>
        <v>0</v>
      </c>
      <c r="AA176" s="23">
        <f>'Annual Raw'!AB83</f>
        <v>0</v>
      </c>
      <c r="AB176" s="24">
        <f t="shared" si="1406"/>
        <v>0</v>
      </c>
      <c r="AC176" s="24">
        <f t="shared" si="1407"/>
        <v>0</v>
      </c>
      <c r="AD176" s="24">
        <f t="shared" si="1408"/>
        <v>0</v>
      </c>
      <c r="AE176" s="24">
        <f t="shared" si="1409"/>
        <v>0</v>
      </c>
      <c r="AJ176" s="23">
        <f>+'QTR Raw'!D95</f>
        <v>0</v>
      </c>
      <c r="AK176" s="23">
        <f t="shared" ref="AK176:CE176" si="1430">+AJ176</f>
        <v>0</v>
      </c>
      <c r="AL176" s="23">
        <f>+'QTR Raw'!F95</f>
        <v>0</v>
      </c>
      <c r="AM176" s="23">
        <f t="shared" si="1430"/>
        <v>0</v>
      </c>
      <c r="AN176" s="23">
        <f>+'QTR Raw'!H95</f>
        <v>0</v>
      </c>
      <c r="AO176" s="23">
        <f t="shared" si="1430"/>
        <v>0</v>
      </c>
      <c r="AP176" s="23">
        <f>+'QTR Raw'!J95</f>
        <v>0</v>
      </c>
      <c r="AQ176" s="23">
        <f t="shared" si="1430"/>
        <v>0</v>
      </c>
      <c r="AR176" s="23">
        <f>+'QTR Raw'!L95</f>
        <v>0</v>
      </c>
      <c r="AS176" s="23">
        <f t="shared" si="1430"/>
        <v>0</v>
      </c>
      <c r="AT176" s="23">
        <f>+'QTR Raw'!N95</f>
        <v>0</v>
      </c>
      <c r="AU176" s="23">
        <f t="shared" si="1430"/>
        <v>0</v>
      </c>
      <c r="AV176" s="23">
        <f>+'QTR Raw'!P95</f>
        <v>0</v>
      </c>
      <c r="AW176" s="23">
        <f t="shared" si="1430"/>
        <v>0</v>
      </c>
      <c r="AX176" s="23">
        <f>+'QTR Raw'!R95</f>
        <v>0</v>
      </c>
      <c r="AY176" s="23">
        <f t="shared" si="1430"/>
        <v>0</v>
      </c>
      <c r="AZ176" s="23">
        <f>+'QTR Raw'!T95</f>
        <v>0</v>
      </c>
      <c r="BA176" s="23">
        <f t="shared" si="1430"/>
        <v>0</v>
      </c>
      <c r="BB176" s="23">
        <f>+'QTR Raw'!V95</f>
        <v>0</v>
      </c>
      <c r="BC176" s="23">
        <f t="shared" si="1430"/>
        <v>0</v>
      </c>
      <c r="BD176" s="23">
        <f>+'QTR Raw'!X95</f>
        <v>0</v>
      </c>
      <c r="BE176" s="23">
        <f t="shared" si="1430"/>
        <v>0</v>
      </c>
      <c r="BF176" s="23">
        <f>+'QTR Raw'!Z95</f>
        <v>0</v>
      </c>
      <c r="BG176" s="23">
        <f t="shared" si="1430"/>
        <v>0</v>
      </c>
      <c r="BH176" s="23">
        <f>+'QTR Raw'!AB95</f>
        <v>0</v>
      </c>
      <c r="BI176" s="23">
        <f t="shared" si="1430"/>
        <v>0</v>
      </c>
      <c r="BJ176" s="23">
        <f>+'QTR Raw'!AD95</f>
        <v>0</v>
      </c>
      <c r="BK176" s="23">
        <f t="shared" si="1430"/>
        <v>0</v>
      </c>
      <c r="BL176" s="23">
        <f>+'QTR Raw'!AF95</f>
        <v>0</v>
      </c>
      <c r="BM176" s="23">
        <f t="shared" si="1430"/>
        <v>0</v>
      </c>
      <c r="BN176" s="23">
        <f>+'QTR Raw'!AH95</f>
        <v>0</v>
      </c>
      <c r="BO176" s="23">
        <f t="shared" si="1430"/>
        <v>0</v>
      </c>
      <c r="BP176" s="23">
        <f>+'QTR Raw'!AJ95</f>
        <v>0</v>
      </c>
      <c r="BQ176" s="23">
        <f t="shared" si="1430"/>
        <v>0</v>
      </c>
      <c r="BR176" s="23">
        <f>+'QTR Raw'!AL95</f>
        <v>0</v>
      </c>
      <c r="BS176" s="23">
        <f t="shared" si="1430"/>
        <v>0</v>
      </c>
      <c r="BT176" s="23">
        <f>+'QTR Raw'!AN95</f>
        <v>0</v>
      </c>
      <c r="BU176" s="23">
        <f t="shared" si="1430"/>
        <v>0</v>
      </c>
      <c r="BV176" s="23">
        <f>+'QTR Raw'!AP95</f>
        <v>0</v>
      </c>
      <c r="BW176" s="23">
        <f t="shared" si="1430"/>
        <v>0</v>
      </c>
      <c r="BX176" s="23">
        <f>+'QTR Raw'!AR95</f>
        <v>0</v>
      </c>
      <c r="BY176" s="23">
        <f t="shared" si="1430"/>
        <v>0</v>
      </c>
      <c r="BZ176" s="23">
        <f>+'QTR Raw'!AT95</f>
        <v>0</v>
      </c>
      <c r="CA176" s="23">
        <f t="shared" si="1430"/>
        <v>0</v>
      </c>
      <c r="CB176" s="23">
        <f>+'QTR Raw'!AV95</f>
        <v>0</v>
      </c>
      <c r="CC176" s="23">
        <f t="shared" si="1430"/>
        <v>0</v>
      </c>
      <c r="CD176" s="23">
        <f>+'QTR Raw'!AX95</f>
        <v>0</v>
      </c>
      <c r="CE176" s="23">
        <f t="shared" si="1430"/>
        <v>0</v>
      </c>
      <c r="CF176" s="23">
        <f>+'QTR Raw'!AZ95</f>
        <v>0</v>
      </c>
      <c r="CG176" s="23">
        <f t="shared" si="1411"/>
        <v>0</v>
      </c>
      <c r="CH176" s="23">
        <f t="shared" si="1412"/>
        <v>0</v>
      </c>
      <c r="CI176" s="23">
        <f t="shared" si="1411"/>
        <v>0</v>
      </c>
      <c r="CJ176" s="23">
        <f>+'QTR Raw'!BD95</f>
        <v>0</v>
      </c>
      <c r="CK176" s="23">
        <f t="shared" si="1413"/>
        <v>0</v>
      </c>
      <c r="CL176" s="23">
        <f>+'QTR Raw'!BF95</f>
        <v>0</v>
      </c>
      <c r="CM176" s="24">
        <f t="shared" si="1414"/>
        <v>0</v>
      </c>
      <c r="CN176" s="24">
        <f t="shared" si="1415"/>
        <v>0</v>
      </c>
      <c r="CO176" s="24">
        <f t="shared" si="1416"/>
        <v>0</v>
      </c>
      <c r="CP176" s="24">
        <f t="shared" si="1417"/>
        <v>0</v>
      </c>
      <c r="CQ176" s="24">
        <f t="shared" si="1418"/>
        <v>0</v>
      </c>
      <c r="CR176" s="24">
        <f t="shared" si="1419"/>
        <v>0</v>
      </c>
      <c r="CS176" s="24">
        <f t="shared" si="1420"/>
        <v>0</v>
      </c>
      <c r="CT176" s="24">
        <f t="shared" si="1421"/>
        <v>0</v>
      </c>
      <c r="CU176" s="24">
        <f t="shared" si="1422"/>
        <v>0</v>
      </c>
      <c r="CV176" s="24">
        <f t="shared" si="1423"/>
        <v>0</v>
      </c>
      <c r="CW176" s="24">
        <f t="shared" si="1424"/>
        <v>0</v>
      </c>
      <c r="CX176" s="24">
        <f t="shared" si="1425"/>
        <v>0</v>
      </c>
      <c r="CY176" s="24">
        <f t="shared" si="1426"/>
        <v>0</v>
      </c>
      <c r="CZ176" s="24">
        <f t="shared" si="1427"/>
        <v>0</v>
      </c>
      <c r="DA176" s="24">
        <f t="shared" si="1428"/>
        <v>0</v>
      </c>
      <c r="DB176" s="24">
        <f t="shared" si="1429"/>
        <v>0</v>
      </c>
      <c r="DE176" s="123"/>
      <c r="DF176" s="23">
        <v>0</v>
      </c>
    </row>
    <row r="177" spans="1:110" s="26" customFormat="1" x14ac:dyDescent="0.2">
      <c r="A177" s="26" t="s">
        <v>438</v>
      </c>
      <c r="B177" s="26">
        <f t="shared" ref="B177:W177" si="1431">B175+B173+B169+B152+B150+B176</f>
        <v>0</v>
      </c>
      <c r="C177" s="26">
        <f t="shared" si="1431"/>
        <v>0</v>
      </c>
      <c r="D177" s="26">
        <f t="shared" si="1431"/>
        <v>0</v>
      </c>
      <c r="E177" s="26">
        <f t="shared" si="1431"/>
        <v>0</v>
      </c>
      <c r="F177" s="26">
        <f t="shared" si="1431"/>
        <v>0</v>
      </c>
      <c r="G177" s="26">
        <f t="shared" si="1431"/>
        <v>0</v>
      </c>
      <c r="H177" s="26">
        <f t="shared" si="1431"/>
        <v>0</v>
      </c>
      <c r="I177" s="26">
        <f t="shared" si="1431"/>
        <v>0</v>
      </c>
      <c r="J177" s="26">
        <f t="shared" si="1431"/>
        <v>0</v>
      </c>
      <c r="K177" s="26">
        <f t="shared" si="1431"/>
        <v>0</v>
      </c>
      <c r="L177" s="26">
        <f t="shared" si="1431"/>
        <v>0</v>
      </c>
      <c r="M177" s="26">
        <f t="shared" si="1431"/>
        <v>0</v>
      </c>
      <c r="N177" s="26">
        <f t="shared" si="1431"/>
        <v>0</v>
      </c>
      <c r="O177" s="26">
        <f t="shared" si="1431"/>
        <v>0</v>
      </c>
      <c r="P177" s="26">
        <f t="shared" si="1431"/>
        <v>0</v>
      </c>
      <c r="Q177" s="26">
        <f t="shared" si="1431"/>
        <v>0</v>
      </c>
      <c r="R177" s="26">
        <f t="shared" si="1431"/>
        <v>17639</v>
      </c>
      <c r="S177" s="26">
        <f t="shared" si="1431"/>
        <v>17571</v>
      </c>
      <c r="T177" s="26">
        <f t="shared" si="1431"/>
        <v>16528</v>
      </c>
      <c r="U177" s="26">
        <f t="shared" si="1431"/>
        <v>16536</v>
      </c>
      <c r="V177" s="26">
        <f t="shared" si="1431"/>
        <v>16552</v>
      </c>
      <c r="W177" s="26">
        <f t="shared" si="1431"/>
        <v>19252</v>
      </c>
      <c r="X177" s="26">
        <f t="shared" ref="X177:Y177" si="1432">X175+X173+X169+X152+X150+X176</f>
        <v>19486</v>
      </c>
      <c r="Y177" s="26">
        <f t="shared" si="1432"/>
        <v>21137</v>
      </c>
      <c r="Z177" s="26">
        <f t="shared" ref="Z177:AA177" si="1433">Z175+Z173+Z169+Z152+Z150+Z176</f>
        <v>22758</v>
      </c>
      <c r="AA177" s="26">
        <f t="shared" ref="AA177" si="1434">AA175+AA173+AA169+AA152+AA150+AA176</f>
        <v>24875</v>
      </c>
      <c r="AB177" s="27">
        <f t="shared" ref="AB177:AD177" si="1435">AB175+AB173+AB169+AB152+AB150+AB176</f>
        <v>26058.251317225633</v>
      </c>
      <c r="AC177" s="27">
        <f t="shared" si="1435"/>
        <v>27560.766949406698</v>
      </c>
      <c r="AD177" s="27">
        <f t="shared" si="1435"/>
        <v>29316.610704516508</v>
      </c>
      <c r="AE177" s="27">
        <f t="shared" ref="AE177" si="1436">AE175+AE173+AE169+AE152+AE150+AE176</f>
        <v>31441.778420944494</v>
      </c>
      <c r="AJ177" s="26">
        <f t="shared" ref="AJ177" si="1437">AJ175+AJ173+AJ169+AJ152+AJ150+AJ176</f>
        <v>0</v>
      </c>
      <c r="AK177" s="26" t="e">
        <f t="shared" ref="AK177:AL177" si="1438">AK175+AK173+AK169+AK152+AK150+AK176</f>
        <v>#DIV/0!</v>
      </c>
      <c r="AL177" s="26">
        <f t="shared" si="1438"/>
        <v>0</v>
      </c>
      <c r="AM177" s="26" t="e">
        <f t="shared" ref="AM177:AO177" si="1439">AM175+AM173+AM169+AM152+AM150+AM176</f>
        <v>#DIV/0!</v>
      </c>
      <c r="AN177" s="26">
        <f t="shared" si="1439"/>
        <v>0</v>
      </c>
      <c r="AO177" s="26" t="e">
        <f t="shared" si="1439"/>
        <v>#DIV/0!</v>
      </c>
      <c r="AP177" s="26">
        <f t="shared" ref="AP177:CE177" si="1440">AP175+AP173+AP169+AP152+AP150+AP176</f>
        <v>0</v>
      </c>
      <c r="AQ177" s="26" t="e">
        <f t="shared" si="1440"/>
        <v>#DIV/0!</v>
      </c>
      <c r="AR177" s="26">
        <f t="shared" si="1440"/>
        <v>0</v>
      </c>
      <c r="AS177" s="26" t="e">
        <f t="shared" si="1440"/>
        <v>#DIV/0!</v>
      </c>
      <c r="AT177" s="26">
        <f t="shared" si="1440"/>
        <v>0</v>
      </c>
      <c r="AU177" s="26" t="e">
        <f t="shared" si="1440"/>
        <v>#DIV/0!</v>
      </c>
      <c r="AV177" s="26">
        <f t="shared" si="1440"/>
        <v>0</v>
      </c>
      <c r="AW177" s="26" t="e">
        <f t="shared" si="1440"/>
        <v>#DIV/0!</v>
      </c>
      <c r="AX177" s="26">
        <f t="shared" si="1440"/>
        <v>0</v>
      </c>
      <c r="AY177" s="26" t="e">
        <f t="shared" si="1440"/>
        <v>#DIV/0!</v>
      </c>
      <c r="AZ177" s="26">
        <f t="shared" si="1440"/>
        <v>0</v>
      </c>
      <c r="BA177" s="26" t="e">
        <f t="shared" si="1440"/>
        <v>#DIV/0!</v>
      </c>
      <c r="BB177" s="26">
        <f t="shared" si="1440"/>
        <v>0</v>
      </c>
      <c r="BC177" s="26" t="e">
        <f t="shared" si="1440"/>
        <v>#DIV/0!</v>
      </c>
      <c r="BD177" s="26">
        <f t="shared" si="1440"/>
        <v>0</v>
      </c>
      <c r="BE177" s="26" t="e">
        <f t="shared" si="1440"/>
        <v>#DIV/0!</v>
      </c>
      <c r="BF177" s="26">
        <f t="shared" si="1440"/>
        <v>0</v>
      </c>
      <c r="BG177" s="26">
        <f t="shared" si="1440"/>
        <v>53</v>
      </c>
      <c r="BH177" s="26">
        <f t="shared" ref="BH177" si="1441">BH175+BH173+BH169+BH152+BH150+BH176</f>
        <v>0</v>
      </c>
      <c r="BI177" s="26">
        <f t="shared" si="1440"/>
        <v>28</v>
      </c>
      <c r="BJ177" s="26">
        <f t="shared" si="1440"/>
        <v>15573</v>
      </c>
      <c r="BK177" s="26">
        <f t="shared" si="1440"/>
        <v>15720</v>
      </c>
      <c r="BL177" s="26">
        <f t="shared" si="1440"/>
        <v>14632</v>
      </c>
      <c r="BM177" s="26">
        <f t="shared" si="1440"/>
        <v>14656</v>
      </c>
      <c r="BN177" s="26">
        <f t="shared" si="1440"/>
        <v>15337</v>
      </c>
      <c r="BO177" s="26">
        <f t="shared" si="1440"/>
        <v>15527</v>
      </c>
      <c r="BP177" s="26">
        <f t="shared" si="1440"/>
        <v>15490</v>
      </c>
      <c r="BQ177" s="26">
        <f t="shared" si="1440"/>
        <v>15672</v>
      </c>
      <c r="BR177" s="26">
        <f t="shared" si="1440"/>
        <v>16552</v>
      </c>
      <c r="BS177" s="26">
        <f t="shared" si="1440"/>
        <v>16821</v>
      </c>
      <c r="BT177" s="26">
        <f t="shared" si="1440"/>
        <v>17496</v>
      </c>
      <c r="BU177" s="26">
        <f t="shared" si="1440"/>
        <v>17580</v>
      </c>
      <c r="BV177" s="26">
        <f t="shared" si="1440"/>
        <v>19252</v>
      </c>
      <c r="BW177" s="26">
        <f t="shared" si="1440"/>
        <v>19448</v>
      </c>
      <c r="BX177" s="26">
        <f t="shared" si="1440"/>
        <v>18381</v>
      </c>
      <c r="BY177" s="26">
        <f t="shared" si="1440"/>
        <v>18585</v>
      </c>
      <c r="BZ177" s="26">
        <f t="shared" si="1440"/>
        <v>19486</v>
      </c>
      <c r="CA177" s="26">
        <f t="shared" si="1440"/>
        <v>19616</v>
      </c>
      <c r="CB177" s="26">
        <f t="shared" si="1440"/>
        <v>21386</v>
      </c>
      <c r="CC177" s="26">
        <f t="shared" si="1440"/>
        <v>21649</v>
      </c>
      <c r="CD177" s="26">
        <f t="shared" si="1440"/>
        <v>21137</v>
      </c>
      <c r="CE177" s="26">
        <f t="shared" si="1440"/>
        <v>21278</v>
      </c>
      <c r="CF177" s="26">
        <f t="shared" ref="CF177:CG177" si="1442">CF175+CF173+CF169+CF152+CF150+CF176</f>
        <v>22399</v>
      </c>
      <c r="CG177" s="26">
        <f t="shared" si="1442"/>
        <v>22460</v>
      </c>
      <c r="CH177" s="26">
        <f t="shared" ref="CH177:CI177" si="1443">CH175+CH173+CH169+CH152+CH150+CH176</f>
        <v>22758</v>
      </c>
      <c r="CI177" s="26">
        <f t="shared" si="1443"/>
        <v>23151</v>
      </c>
      <c r="CJ177" s="26">
        <f t="shared" ref="CJ177:DB177" si="1444">CJ175+CJ173+CJ169+CJ152+CJ150+CJ176</f>
        <v>24431</v>
      </c>
      <c r="CK177" s="26">
        <f t="shared" si="1444"/>
        <v>24553</v>
      </c>
      <c r="CL177" s="26">
        <f t="shared" ref="CL177" si="1445">CL175+CL173+CL169+CL152+CL150+CL176</f>
        <v>24875</v>
      </c>
      <c r="CM177" s="27">
        <f t="shared" si="1444"/>
        <v>25136.207471957649</v>
      </c>
      <c r="CN177" s="27">
        <f t="shared" si="1444"/>
        <v>25357.97967136083</v>
      </c>
      <c r="CO177" s="27">
        <f t="shared" si="1444"/>
        <v>25617.558745152252</v>
      </c>
      <c r="CP177" s="27">
        <f t="shared" si="1444"/>
        <v>26058.251317225633</v>
      </c>
      <c r="CQ177" s="27">
        <f t="shared" si="1444"/>
        <v>26368.978679175165</v>
      </c>
      <c r="CR177" s="27">
        <f t="shared" si="1444"/>
        <v>26672.615759940578</v>
      </c>
      <c r="CS177" s="27">
        <f t="shared" si="1444"/>
        <v>27029.172550561354</v>
      </c>
      <c r="CT177" s="27">
        <f t="shared" si="1444"/>
        <v>27560.766949406698</v>
      </c>
      <c r="CU177" s="27">
        <f t="shared" si="1444"/>
        <v>27927.669429728536</v>
      </c>
      <c r="CV177" s="27">
        <f t="shared" si="1444"/>
        <v>28295.689194116072</v>
      </c>
      <c r="CW177" s="27">
        <f t="shared" si="1444"/>
        <v>28717.673248864223</v>
      </c>
      <c r="CX177" s="27">
        <f t="shared" si="1444"/>
        <v>29316.610704516508</v>
      </c>
      <c r="CY177" s="27">
        <f t="shared" si="1444"/>
        <v>29770.143808681129</v>
      </c>
      <c r="CZ177" s="27">
        <f t="shared" si="1444"/>
        <v>30225.172360519824</v>
      </c>
      <c r="DA177" s="27">
        <f t="shared" si="1444"/>
        <v>30737.957050882658</v>
      </c>
      <c r="DB177" s="27">
        <f t="shared" si="1444"/>
        <v>31441.778420944494</v>
      </c>
      <c r="DE177" s="121"/>
      <c r="DF177" s="26">
        <v>24875</v>
      </c>
    </row>
    <row r="178" spans="1:110" s="23" customFormat="1" x14ac:dyDescent="0.2">
      <c r="A178" s="28" t="s">
        <v>439</v>
      </c>
      <c r="B178" s="23">
        <f t="shared" ref="B178:W178" si="1446">B177-B141</f>
        <v>0</v>
      </c>
      <c r="C178" s="23">
        <f t="shared" si="1446"/>
        <v>0</v>
      </c>
      <c r="D178" s="23">
        <f t="shared" si="1446"/>
        <v>0</v>
      </c>
      <c r="E178" s="23">
        <f t="shared" si="1446"/>
        <v>0</v>
      </c>
      <c r="F178" s="23">
        <f t="shared" si="1446"/>
        <v>0</v>
      </c>
      <c r="G178" s="23">
        <f t="shared" si="1446"/>
        <v>0</v>
      </c>
      <c r="H178" s="23">
        <f t="shared" si="1446"/>
        <v>0</v>
      </c>
      <c r="I178" s="23">
        <f t="shared" si="1446"/>
        <v>0</v>
      </c>
      <c r="J178" s="23">
        <f t="shared" si="1446"/>
        <v>0</v>
      </c>
      <c r="K178" s="23">
        <f t="shared" si="1446"/>
        <v>0</v>
      </c>
      <c r="L178" s="23">
        <f t="shared" si="1446"/>
        <v>0</v>
      </c>
      <c r="M178" s="23">
        <f t="shared" si="1446"/>
        <v>0</v>
      </c>
      <c r="N178" s="23">
        <f t="shared" si="1446"/>
        <v>0</v>
      </c>
      <c r="O178" s="23">
        <f t="shared" si="1446"/>
        <v>0</v>
      </c>
      <c r="P178" s="23">
        <f t="shared" si="1446"/>
        <v>0</v>
      </c>
      <c r="Q178" s="23">
        <f t="shared" si="1446"/>
        <v>0</v>
      </c>
      <c r="R178" s="23">
        <f t="shared" si="1446"/>
        <v>0</v>
      </c>
      <c r="S178" s="23">
        <f t="shared" si="1446"/>
        <v>0</v>
      </c>
      <c r="T178" s="23">
        <f t="shared" si="1446"/>
        <v>0</v>
      </c>
      <c r="U178" s="23">
        <f t="shared" si="1446"/>
        <v>0</v>
      </c>
      <c r="V178" s="23">
        <f t="shared" si="1446"/>
        <v>0</v>
      </c>
      <c r="W178" s="23">
        <f t="shared" si="1446"/>
        <v>0</v>
      </c>
      <c r="X178" s="23">
        <f t="shared" ref="X178:Y178" si="1447">X177-X141</f>
        <v>0</v>
      </c>
      <c r="Y178" s="23">
        <f t="shared" si="1447"/>
        <v>0</v>
      </c>
      <c r="Z178" s="23">
        <f t="shared" ref="Z178:AA178" si="1448">Z177-Z141</f>
        <v>0</v>
      </c>
      <c r="AA178" s="23">
        <f t="shared" ref="AA178" si="1449">AA177-AA141</f>
        <v>0</v>
      </c>
      <c r="AB178" s="24">
        <f t="shared" ref="AB178:AD178" si="1450">AB177-AB141</f>
        <v>0</v>
      </c>
      <c r="AC178" s="24">
        <f t="shared" si="1450"/>
        <v>0</v>
      </c>
      <c r="AD178" s="24">
        <f t="shared" si="1450"/>
        <v>0</v>
      </c>
      <c r="AE178" s="24">
        <f t="shared" ref="AE178" si="1451">AE177-AE141</f>
        <v>0</v>
      </c>
      <c r="AJ178" s="23">
        <f t="shared" ref="AJ178" si="1452">AJ177-AJ141</f>
        <v>0</v>
      </c>
      <c r="AK178" s="23" t="e">
        <f t="shared" ref="AK178" si="1453">AK177-AK141</f>
        <v>#DIV/0!</v>
      </c>
      <c r="AL178" s="23">
        <f t="shared" ref="AL178:AM178" si="1454">AL177-AL141</f>
        <v>0</v>
      </c>
      <c r="AM178" s="23" t="e">
        <f t="shared" si="1454"/>
        <v>#DIV/0!</v>
      </c>
      <c r="AN178" s="23">
        <f t="shared" ref="AN178:AO178" si="1455">AN177-AN141</f>
        <v>0</v>
      </c>
      <c r="AO178" s="23" t="e">
        <f t="shared" si="1455"/>
        <v>#DIV/0!</v>
      </c>
      <c r="AP178" s="23">
        <f t="shared" ref="AP178:CE178" si="1456">AP177-AP141</f>
        <v>0</v>
      </c>
      <c r="AQ178" s="23" t="e">
        <f t="shared" si="1456"/>
        <v>#DIV/0!</v>
      </c>
      <c r="AR178" s="23">
        <f t="shared" si="1456"/>
        <v>0</v>
      </c>
      <c r="AS178" s="23" t="e">
        <f t="shared" si="1456"/>
        <v>#DIV/0!</v>
      </c>
      <c r="AT178" s="23">
        <f t="shared" si="1456"/>
        <v>0</v>
      </c>
      <c r="AU178" s="23" t="e">
        <f t="shared" si="1456"/>
        <v>#DIV/0!</v>
      </c>
      <c r="AV178" s="23">
        <f t="shared" si="1456"/>
        <v>0</v>
      </c>
      <c r="AW178" s="23" t="e">
        <f t="shared" si="1456"/>
        <v>#DIV/0!</v>
      </c>
      <c r="AX178" s="23">
        <f t="shared" si="1456"/>
        <v>0</v>
      </c>
      <c r="AY178" s="23" t="e">
        <f t="shared" si="1456"/>
        <v>#DIV/0!</v>
      </c>
      <c r="AZ178" s="23">
        <f t="shared" si="1456"/>
        <v>0</v>
      </c>
      <c r="BA178" s="23" t="e">
        <f t="shared" si="1456"/>
        <v>#DIV/0!</v>
      </c>
      <c r="BB178" s="23">
        <f t="shared" si="1456"/>
        <v>0</v>
      </c>
      <c r="BC178" s="23" t="e">
        <f t="shared" si="1456"/>
        <v>#DIV/0!</v>
      </c>
      <c r="BD178" s="23">
        <f t="shared" si="1456"/>
        <v>0</v>
      </c>
      <c r="BE178" s="23" t="e">
        <f t="shared" si="1456"/>
        <v>#DIV/0!</v>
      </c>
      <c r="BF178" s="23">
        <f t="shared" si="1456"/>
        <v>0</v>
      </c>
      <c r="BG178" s="23">
        <f t="shared" si="1456"/>
        <v>0</v>
      </c>
      <c r="BH178" s="23">
        <f t="shared" ref="BH178" si="1457">BH177-BH141</f>
        <v>0</v>
      </c>
      <c r="BI178" s="23">
        <f t="shared" si="1456"/>
        <v>0</v>
      </c>
      <c r="BJ178" s="23">
        <f t="shared" si="1456"/>
        <v>0</v>
      </c>
      <c r="BK178" s="23">
        <f t="shared" si="1456"/>
        <v>0</v>
      </c>
      <c r="BL178" s="23">
        <f t="shared" si="1456"/>
        <v>0</v>
      </c>
      <c r="BM178" s="23">
        <f t="shared" si="1456"/>
        <v>0</v>
      </c>
      <c r="BN178" s="23">
        <f t="shared" si="1456"/>
        <v>0</v>
      </c>
      <c r="BO178" s="23">
        <f t="shared" si="1456"/>
        <v>0</v>
      </c>
      <c r="BP178" s="23">
        <f t="shared" si="1456"/>
        <v>0</v>
      </c>
      <c r="BQ178" s="23">
        <f t="shared" si="1456"/>
        <v>0</v>
      </c>
      <c r="BR178" s="23">
        <f t="shared" si="1456"/>
        <v>0</v>
      </c>
      <c r="BS178" s="23">
        <f t="shared" si="1456"/>
        <v>0</v>
      </c>
      <c r="BT178" s="23">
        <f t="shared" si="1456"/>
        <v>0</v>
      </c>
      <c r="BU178" s="23">
        <f t="shared" si="1456"/>
        <v>0</v>
      </c>
      <c r="BV178" s="23">
        <f t="shared" si="1456"/>
        <v>0</v>
      </c>
      <c r="BW178" s="23">
        <f t="shared" si="1456"/>
        <v>0</v>
      </c>
      <c r="BX178" s="23">
        <f t="shared" si="1456"/>
        <v>0</v>
      </c>
      <c r="BY178" s="23">
        <f t="shared" si="1456"/>
        <v>0</v>
      </c>
      <c r="BZ178" s="23">
        <f t="shared" si="1456"/>
        <v>0</v>
      </c>
      <c r="CA178" s="23">
        <f t="shared" si="1456"/>
        <v>0</v>
      </c>
      <c r="CB178" s="23">
        <f t="shared" si="1456"/>
        <v>0</v>
      </c>
      <c r="CC178" s="23">
        <f t="shared" si="1456"/>
        <v>0</v>
      </c>
      <c r="CD178" s="23">
        <f t="shared" si="1456"/>
        <v>0</v>
      </c>
      <c r="CE178" s="23">
        <f t="shared" si="1456"/>
        <v>0</v>
      </c>
      <c r="CF178" s="23">
        <f t="shared" ref="CF178:CG178" si="1458">CF177-CF141</f>
        <v>0</v>
      </c>
      <c r="CG178" s="23">
        <f t="shared" si="1458"/>
        <v>0</v>
      </c>
      <c r="CH178" s="23">
        <f t="shared" ref="CH178:CI178" si="1459">CH177-CH141</f>
        <v>0</v>
      </c>
      <c r="CI178" s="23">
        <f t="shared" si="1459"/>
        <v>0</v>
      </c>
      <c r="CJ178" s="23">
        <f t="shared" ref="CJ178:DB178" si="1460">CJ177-CJ141</f>
        <v>0</v>
      </c>
      <c r="CK178" s="23">
        <f t="shared" si="1460"/>
        <v>0</v>
      </c>
      <c r="CL178" s="23">
        <f t="shared" ref="CL178" si="1461">CL177-CL141</f>
        <v>0</v>
      </c>
      <c r="CM178" s="24">
        <f t="shared" si="1460"/>
        <v>0</v>
      </c>
      <c r="CN178" s="24">
        <f t="shared" si="1460"/>
        <v>0</v>
      </c>
      <c r="CO178" s="24">
        <f t="shared" si="1460"/>
        <v>0</v>
      </c>
      <c r="CP178" s="24">
        <f t="shared" si="1460"/>
        <v>0</v>
      </c>
      <c r="CQ178" s="24">
        <f t="shared" si="1460"/>
        <v>0</v>
      </c>
      <c r="CR178" s="24">
        <f t="shared" si="1460"/>
        <v>0</v>
      </c>
      <c r="CS178" s="24">
        <f t="shared" si="1460"/>
        <v>0</v>
      </c>
      <c r="CT178" s="24">
        <f t="shared" si="1460"/>
        <v>0</v>
      </c>
      <c r="CU178" s="24">
        <f t="shared" si="1460"/>
        <v>0</v>
      </c>
      <c r="CV178" s="24">
        <f t="shared" si="1460"/>
        <v>0</v>
      </c>
      <c r="CW178" s="24">
        <f t="shared" si="1460"/>
        <v>0</v>
      </c>
      <c r="CX178" s="24">
        <f t="shared" si="1460"/>
        <v>0</v>
      </c>
      <c r="CY178" s="24">
        <f t="shared" si="1460"/>
        <v>0</v>
      </c>
      <c r="CZ178" s="24">
        <f t="shared" si="1460"/>
        <v>0</v>
      </c>
      <c r="DA178" s="24">
        <f t="shared" si="1460"/>
        <v>0</v>
      </c>
      <c r="DB178" s="24">
        <f t="shared" si="1460"/>
        <v>0</v>
      </c>
      <c r="DE178" s="123"/>
      <c r="DF178" s="23">
        <v>0</v>
      </c>
    </row>
    <row r="179" spans="1:110" s="23" customFormat="1" x14ac:dyDescent="0.2">
      <c r="A179" s="28"/>
      <c r="AB179" s="24"/>
      <c r="AC179" s="24"/>
      <c r="AD179" s="24"/>
      <c r="AE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</row>
    <row r="180" spans="1:110" s="22" customFormat="1" x14ac:dyDescent="0.2">
      <c r="A180" s="22" t="s">
        <v>80</v>
      </c>
      <c r="B180" s="22">
        <f t="shared" ref="B180:W180" si="1462">B140-B173</f>
        <v>0</v>
      </c>
      <c r="C180" s="22">
        <f t="shared" si="1462"/>
        <v>0</v>
      </c>
      <c r="D180" s="22">
        <f t="shared" si="1462"/>
        <v>0</v>
      </c>
      <c r="E180" s="22">
        <f t="shared" si="1462"/>
        <v>0</v>
      </c>
      <c r="F180" s="22">
        <f t="shared" si="1462"/>
        <v>0</v>
      </c>
      <c r="G180" s="22">
        <f t="shared" si="1462"/>
        <v>0</v>
      </c>
      <c r="H180" s="22">
        <f t="shared" si="1462"/>
        <v>0</v>
      </c>
      <c r="I180" s="22">
        <f t="shared" si="1462"/>
        <v>0</v>
      </c>
      <c r="J180" s="22">
        <f t="shared" si="1462"/>
        <v>0</v>
      </c>
      <c r="K180" s="22">
        <f t="shared" si="1462"/>
        <v>0</v>
      </c>
      <c r="L180" s="22">
        <f t="shared" si="1462"/>
        <v>0</v>
      </c>
      <c r="M180" s="22">
        <f t="shared" si="1462"/>
        <v>0</v>
      </c>
      <c r="N180" s="22">
        <f t="shared" si="1462"/>
        <v>0</v>
      </c>
      <c r="O180" s="22">
        <f t="shared" si="1462"/>
        <v>0</v>
      </c>
      <c r="P180" s="22">
        <f t="shared" si="1462"/>
        <v>0</v>
      </c>
      <c r="Q180" s="22">
        <f t="shared" si="1462"/>
        <v>0</v>
      </c>
      <c r="R180" s="22">
        <f t="shared" si="1462"/>
        <v>5223</v>
      </c>
      <c r="S180" s="22">
        <f t="shared" si="1462"/>
        <v>3504</v>
      </c>
      <c r="T180" s="22">
        <f t="shared" si="1462"/>
        <v>3094</v>
      </c>
      <c r="U180" s="22">
        <f t="shared" si="1462"/>
        <v>2849</v>
      </c>
      <c r="V180" s="22">
        <f t="shared" si="1462"/>
        <v>168</v>
      </c>
      <c r="W180" s="22">
        <f t="shared" si="1462"/>
        <v>-1440</v>
      </c>
      <c r="X180" s="22">
        <f t="shared" ref="X180:Y180" si="1463">X140-X173</f>
        <v>522</v>
      </c>
      <c r="Y180" s="22">
        <f t="shared" si="1463"/>
        <v>176</v>
      </c>
      <c r="Z180" s="22">
        <f t="shared" ref="Z180:AA180" si="1464">Z140-Z173</f>
        <v>656</v>
      </c>
      <c r="AA180" s="22">
        <f t="shared" ref="AA180" si="1465">AA140-AA173</f>
        <v>1423</v>
      </c>
      <c r="AB180" s="21">
        <f t="shared" ref="AB180:AD180" si="1466">AB140-AB173</f>
        <v>1485.0934301497209</v>
      </c>
      <c r="AC180" s="21">
        <f t="shared" si="1466"/>
        <v>1222.5599105846468</v>
      </c>
      <c r="AD180" s="21">
        <f t="shared" si="1466"/>
        <v>39.34513779111785</v>
      </c>
      <c r="AE180" s="21">
        <f t="shared" ref="AE180" si="1467">AE140-AE173</f>
        <v>-1555.6975271636693</v>
      </c>
      <c r="AJ180" s="22">
        <f t="shared" ref="AJ180:AM180" si="1468">AJ140-AJ173</f>
        <v>0</v>
      </c>
      <c r="AK180" s="22" t="e">
        <f t="shared" si="1468"/>
        <v>#DIV/0!</v>
      </c>
      <c r="AL180" s="22">
        <f t="shared" si="1468"/>
        <v>0</v>
      </c>
      <c r="AM180" s="22" t="e">
        <f t="shared" si="1468"/>
        <v>#DIV/0!</v>
      </c>
      <c r="AN180" s="22">
        <f t="shared" ref="AN180:AO180" si="1469">AN140-AN173</f>
        <v>0</v>
      </c>
      <c r="AO180" s="22" t="e">
        <f t="shared" si="1469"/>
        <v>#DIV/0!</v>
      </c>
      <c r="AP180" s="22">
        <f t="shared" ref="AP180:CE180" si="1470">AP140-AP173</f>
        <v>0</v>
      </c>
      <c r="AQ180" s="22" t="e">
        <f t="shared" si="1470"/>
        <v>#DIV/0!</v>
      </c>
      <c r="AR180" s="22">
        <f t="shared" si="1470"/>
        <v>0</v>
      </c>
      <c r="AS180" s="22" t="e">
        <f t="shared" si="1470"/>
        <v>#DIV/0!</v>
      </c>
      <c r="AT180" s="22">
        <f t="shared" si="1470"/>
        <v>0</v>
      </c>
      <c r="AU180" s="22" t="e">
        <f t="shared" si="1470"/>
        <v>#DIV/0!</v>
      </c>
      <c r="AV180" s="22">
        <f t="shared" si="1470"/>
        <v>0</v>
      </c>
      <c r="AW180" s="22" t="e">
        <f t="shared" si="1470"/>
        <v>#DIV/0!</v>
      </c>
      <c r="AX180" s="22">
        <f t="shared" si="1470"/>
        <v>0</v>
      </c>
      <c r="AY180" s="22" t="e">
        <f t="shared" si="1470"/>
        <v>#DIV/0!</v>
      </c>
      <c r="AZ180" s="22">
        <f t="shared" si="1470"/>
        <v>0</v>
      </c>
      <c r="BA180" s="22" t="e">
        <f t="shared" si="1470"/>
        <v>#DIV/0!</v>
      </c>
      <c r="BB180" s="22">
        <f t="shared" si="1470"/>
        <v>0</v>
      </c>
      <c r="BC180" s="22" t="e">
        <f t="shared" si="1470"/>
        <v>#DIV/0!</v>
      </c>
      <c r="BD180" s="22">
        <f t="shared" si="1470"/>
        <v>0</v>
      </c>
      <c r="BE180" s="22" t="e">
        <f t="shared" si="1470"/>
        <v>#DIV/0!</v>
      </c>
      <c r="BF180" s="22">
        <f t="shared" si="1470"/>
        <v>0</v>
      </c>
      <c r="BG180" s="22">
        <f t="shared" si="1470"/>
        <v>-53</v>
      </c>
      <c r="BH180" s="22">
        <f t="shared" si="1470"/>
        <v>0</v>
      </c>
      <c r="BI180" s="22">
        <f t="shared" si="1470"/>
        <v>-28</v>
      </c>
      <c r="BJ180" s="22">
        <f t="shared" si="1470"/>
        <v>2139</v>
      </c>
      <c r="BK180" s="22">
        <f t="shared" si="1470"/>
        <v>1916.4475721323015</v>
      </c>
      <c r="BL180" s="22">
        <f t="shared" si="1470"/>
        <v>2087</v>
      </c>
      <c r="BM180" s="22">
        <f t="shared" si="1470"/>
        <v>2126.1127012522365</v>
      </c>
      <c r="BN180" s="22">
        <f t="shared" si="1470"/>
        <v>1650</v>
      </c>
      <c r="BO180" s="22">
        <f t="shared" si="1470"/>
        <v>1270.3753523962951</v>
      </c>
      <c r="BP180" s="22">
        <f t="shared" si="1470"/>
        <v>1123</v>
      </c>
      <c r="BQ180" s="22">
        <f t="shared" si="1470"/>
        <v>1054.6532641591002</v>
      </c>
      <c r="BR180" s="22">
        <f t="shared" si="1470"/>
        <v>168</v>
      </c>
      <c r="BS180" s="22">
        <f t="shared" si="1470"/>
        <v>-167.1123452872107</v>
      </c>
      <c r="BT180" s="22">
        <f t="shared" si="1470"/>
        <v>-1258</v>
      </c>
      <c r="BU180" s="22">
        <f t="shared" si="1470"/>
        <v>-1301.8086013173179</v>
      </c>
      <c r="BV180" s="22">
        <f t="shared" si="1470"/>
        <v>-1440</v>
      </c>
      <c r="BW180" s="22">
        <f t="shared" si="1470"/>
        <v>-1653.7230769230773</v>
      </c>
      <c r="BX180" s="22">
        <f t="shared" si="1470"/>
        <v>626</v>
      </c>
      <c r="BY180" s="22">
        <f t="shared" si="1470"/>
        <v>556.9363850555369</v>
      </c>
      <c r="BZ180" s="22">
        <f t="shared" si="1470"/>
        <v>522</v>
      </c>
      <c r="CA180" s="22">
        <f t="shared" si="1470"/>
        <v>327.19080459770157</v>
      </c>
      <c r="CB180" s="22">
        <f t="shared" si="1470"/>
        <v>719</v>
      </c>
      <c r="CC180" s="22">
        <f t="shared" si="1470"/>
        <v>601.47002854424318</v>
      </c>
      <c r="CD180" s="22">
        <f t="shared" si="1470"/>
        <v>176</v>
      </c>
      <c r="CE180" s="22">
        <f t="shared" si="1470"/>
        <v>-82.545391223588922</v>
      </c>
      <c r="CF180" s="22">
        <f t="shared" ref="CF180:CG180" si="1471">CF140-CF173</f>
        <v>613</v>
      </c>
      <c r="CG180" s="22">
        <f t="shared" si="1471"/>
        <v>584.03368966634298</v>
      </c>
      <c r="CH180" s="22">
        <f t="shared" ref="CH180:CI180" si="1472">CH140-CH173</f>
        <v>656</v>
      </c>
      <c r="CI180" s="22">
        <f t="shared" si="1472"/>
        <v>-7.8389146907829854</v>
      </c>
      <c r="CJ180" s="22">
        <f t="shared" ref="CJ180:DB180" si="1473">CJ140-CJ173</f>
        <v>1588</v>
      </c>
      <c r="CK180" s="22">
        <f t="shared" si="1473"/>
        <v>1140.1691542288554</v>
      </c>
      <c r="CL180" s="22">
        <f t="shared" ref="CL180" si="1474">CL140-CL173</f>
        <v>1423</v>
      </c>
      <c r="CM180" s="21">
        <f t="shared" si="1473"/>
        <v>1496.9780424579385</v>
      </c>
      <c r="CN180" s="21">
        <f t="shared" si="1473"/>
        <v>1568.6841504931372</v>
      </c>
      <c r="CO180" s="21">
        <f t="shared" si="1473"/>
        <v>1596.3406861858011</v>
      </c>
      <c r="CP180" s="21">
        <f t="shared" si="1473"/>
        <v>1485.0934301497209</v>
      </c>
      <c r="CQ180" s="21">
        <f t="shared" si="1473"/>
        <v>1427.3080455102499</v>
      </c>
      <c r="CR180" s="21">
        <f t="shared" si="1473"/>
        <v>1400.2671398508355</v>
      </c>
      <c r="CS180" s="21">
        <f t="shared" si="1473"/>
        <v>1359.015294318061</v>
      </c>
      <c r="CT180" s="21">
        <f t="shared" si="1473"/>
        <v>1222.5599105846468</v>
      </c>
      <c r="CU180" s="21">
        <f t="shared" si="1473"/>
        <v>850.22828577709151</v>
      </c>
      <c r="CV180" s="21">
        <f t="shared" si="1473"/>
        <v>599.17564188970755</v>
      </c>
      <c r="CW180" s="21">
        <f t="shared" si="1473"/>
        <v>347.55382472452948</v>
      </c>
      <c r="CX180" s="21">
        <f t="shared" si="1473"/>
        <v>39.34513779111785</v>
      </c>
      <c r="CY180" s="21">
        <f t="shared" si="1473"/>
        <v>-441.56304057869602</v>
      </c>
      <c r="CZ180" s="21">
        <f t="shared" si="1473"/>
        <v>-792.0024523378861</v>
      </c>
      <c r="DA180" s="21">
        <f t="shared" si="1473"/>
        <v>-1142.9369822389144</v>
      </c>
      <c r="DB180" s="21">
        <f t="shared" si="1473"/>
        <v>-1555.6975271636693</v>
      </c>
      <c r="DE180" s="126"/>
      <c r="DF180" s="22">
        <v>1423</v>
      </c>
    </row>
    <row r="181" spans="1:110" x14ac:dyDescent="0.2">
      <c r="AA181" s="2"/>
      <c r="CE181" s="111"/>
      <c r="CG181" s="111"/>
      <c r="CL181" s="2"/>
      <c r="CP181" s="24">
        <v>3273.8</v>
      </c>
      <c r="CT181" s="24">
        <v>4179.6000000000004</v>
      </c>
      <c r="CX181" s="24">
        <v>5096.3999999999996</v>
      </c>
    </row>
    <row r="182" spans="1:110" s="49" customFormat="1" x14ac:dyDescent="0.2">
      <c r="A182" s="49" t="s">
        <v>81</v>
      </c>
      <c r="B182" s="49">
        <f>'Annual Raw'!C85</f>
        <v>0</v>
      </c>
      <c r="C182" s="49">
        <f>'Annual Raw'!D85</f>
        <v>0</v>
      </c>
      <c r="D182" s="49">
        <f>'Annual Raw'!E85</f>
        <v>0</v>
      </c>
      <c r="E182" s="49">
        <f>'Annual Raw'!F85</f>
        <v>0</v>
      </c>
      <c r="F182" s="49">
        <f>'Annual Raw'!G85</f>
        <v>0</v>
      </c>
      <c r="G182" s="49">
        <f>'Annual Raw'!H85</f>
        <v>0</v>
      </c>
      <c r="H182" s="49">
        <f>'Annual Raw'!I85</f>
        <v>0</v>
      </c>
      <c r="I182" s="49">
        <f>'Annual Raw'!J85</f>
        <v>0</v>
      </c>
      <c r="J182" s="49">
        <f>'Annual Raw'!K85</f>
        <v>0</v>
      </c>
      <c r="K182" s="49">
        <f>'Annual Raw'!L85</f>
        <v>0</v>
      </c>
      <c r="L182" s="49">
        <f>'Annual Raw'!M85</f>
        <v>0</v>
      </c>
      <c r="M182" s="49">
        <f>'Annual Raw'!N85</f>
        <v>0</v>
      </c>
      <c r="N182" s="49">
        <f>'Annual Raw'!O85</f>
        <v>0</v>
      </c>
      <c r="O182" s="49">
        <f>'Annual Raw'!P85</f>
        <v>0</v>
      </c>
      <c r="P182" s="49">
        <f>'Annual Raw'!Q85</f>
        <v>0</v>
      </c>
      <c r="Q182" s="49">
        <f>'Annual Raw'!R85</f>
        <v>0</v>
      </c>
      <c r="R182" s="49">
        <f>'Annual Raw'!S85</f>
        <v>476</v>
      </c>
      <c r="S182" s="49">
        <f>'Annual Raw'!T85</f>
        <v>481</v>
      </c>
      <c r="T182" s="49">
        <f>'Annual Raw'!U85</f>
        <v>552</v>
      </c>
      <c r="U182" s="49">
        <f>'Annual Raw'!V85</f>
        <v>552</v>
      </c>
      <c r="V182" s="49">
        <f>'Annual Raw'!W85</f>
        <v>510</v>
      </c>
      <c r="W182" s="49">
        <f>'Annual Raw'!X85</f>
        <v>661</v>
      </c>
      <c r="X182" s="49">
        <f>'Annual Raw'!Y85</f>
        <v>680</v>
      </c>
      <c r="Y182" s="49">
        <f>'Annual Raw'!Z85</f>
        <v>991</v>
      </c>
      <c r="Z182" s="49">
        <f>'Annual Raw'!AA85</f>
        <v>1173</v>
      </c>
      <c r="AA182" s="49">
        <f>'Annual Raw'!AB85</f>
        <v>1110</v>
      </c>
      <c r="AB182" s="50"/>
      <c r="AC182" s="50"/>
      <c r="AD182" s="50"/>
      <c r="AE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E182" s="138"/>
      <c r="DF182" s="49">
        <v>1110</v>
      </c>
    </row>
    <row r="183" spans="1:110" s="29" customFormat="1" x14ac:dyDescent="0.2">
      <c r="A183" s="29" t="s">
        <v>82</v>
      </c>
      <c r="B183" s="29">
        <f>'Annual Raw'!C95</f>
        <v>0</v>
      </c>
      <c r="C183" s="29">
        <f>'Annual Raw'!D95</f>
        <v>0</v>
      </c>
      <c r="D183" s="29">
        <f>'Annual Raw'!E95</f>
        <v>0</v>
      </c>
      <c r="E183" s="29">
        <f>'Annual Raw'!F95</f>
        <v>0</v>
      </c>
      <c r="F183" s="29">
        <f>'Annual Raw'!G95</f>
        <v>0</v>
      </c>
      <c r="G183" s="29">
        <f>'Annual Raw'!H95</f>
        <v>0</v>
      </c>
      <c r="H183" s="29">
        <f>'Annual Raw'!I95</f>
        <v>0</v>
      </c>
      <c r="I183" s="29">
        <f>'Annual Raw'!J95</f>
        <v>0</v>
      </c>
      <c r="J183" s="29">
        <f>'Annual Raw'!K95</f>
        <v>0</v>
      </c>
      <c r="K183" s="29">
        <f>'Annual Raw'!L95</f>
        <v>0</v>
      </c>
      <c r="L183" s="29">
        <f>'Annual Raw'!M95</f>
        <v>0</v>
      </c>
      <c r="M183" s="29">
        <f>'Annual Raw'!N95</f>
        <v>0</v>
      </c>
      <c r="N183" s="29">
        <f>'Annual Raw'!O95</f>
        <v>0</v>
      </c>
      <c r="O183" s="29">
        <f>'Annual Raw'!P95</f>
        <v>0</v>
      </c>
      <c r="P183" s="29">
        <f>'Annual Raw'!Q95</f>
        <v>0</v>
      </c>
      <c r="Q183" s="29">
        <f>'Annual Raw'!R95</f>
        <v>0</v>
      </c>
      <c r="R183" s="29">
        <f>'Annual Raw'!S95</f>
        <v>0</v>
      </c>
      <c r="S183" s="29">
        <f>'Annual Raw'!T95</f>
        <v>0</v>
      </c>
      <c r="T183" s="29">
        <f>'Annual Raw'!U95</f>
        <v>0</v>
      </c>
      <c r="U183" s="29">
        <f>'Annual Raw'!V95</f>
        <v>21</v>
      </c>
      <c r="V183" s="29">
        <f>'Annual Raw'!W95</f>
        <v>18</v>
      </c>
      <c r="W183" s="29">
        <f>'Annual Raw'!X95</f>
        <v>19</v>
      </c>
      <c r="X183" s="29">
        <f>'Annual Raw'!Y95</f>
        <v>17</v>
      </c>
      <c r="Y183" s="29">
        <f>'Annual Raw'!Z95</f>
        <v>15</v>
      </c>
      <c r="Z183" s="29">
        <f>'Annual Raw'!AA95</f>
        <v>13</v>
      </c>
      <c r="AA183" s="29">
        <f>'Annual Raw'!AB95</f>
        <v>12</v>
      </c>
      <c r="AB183" s="30"/>
      <c r="AC183" s="30"/>
      <c r="AD183" s="30"/>
      <c r="AE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  <c r="DF183" s="29">
        <v>12</v>
      </c>
    </row>
    <row r="184" spans="1:110" s="29" customFormat="1" x14ac:dyDescent="0.2">
      <c r="A184" s="29" t="s">
        <v>83</v>
      </c>
      <c r="B184" s="29">
        <f>'Annual Raw'!C93</f>
        <v>0</v>
      </c>
      <c r="C184" s="29">
        <f>'Annual Raw'!D93</f>
        <v>0</v>
      </c>
      <c r="D184" s="29">
        <f>'Annual Raw'!E93</f>
        <v>0</v>
      </c>
      <c r="E184" s="29">
        <f>'Annual Raw'!F93</f>
        <v>0</v>
      </c>
      <c r="F184" s="29">
        <f>'Annual Raw'!G93</f>
        <v>0</v>
      </c>
      <c r="G184" s="29">
        <f>'Annual Raw'!H93</f>
        <v>0</v>
      </c>
      <c r="H184" s="29">
        <f>'Annual Raw'!I93</f>
        <v>0</v>
      </c>
      <c r="I184" s="29">
        <f>'Annual Raw'!J93</f>
        <v>0</v>
      </c>
      <c r="J184" s="29">
        <f>'Annual Raw'!K93</f>
        <v>0</v>
      </c>
      <c r="K184" s="29">
        <f>'Annual Raw'!L93</f>
        <v>0</v>
      </c>
      <c r="L184" s="29">
        <f>'Annual Raw'!M93</f>
        <v>0</v>
      </c>
      <c r="M184" s="29">
        <f>'Annual Raw'!N93</f>
        <v>0</v>
      </c>
      <c r="N184" s="29">
        <f>'Annual Raw'!O93</f>
        <v>0</v>
      </c>
      <c r="O184" s="29">
        <f>'Annual Raw'!P93</f>
        <v>0</v>
      </c>
      <c r="P184" s="29">
        <f>'Annual Raw'!Q93</f>
        <v>0</v>
      </c>
      <c r="Q184" s="29">
        <f>'Annual Raw'!R93</f>
        <v>0</v>
      </c>
      <c r="R184" s="29">
        <f>'Annual Raw'!S93</f>
        <v>474</v>
      </c>
      <c r="S184" s="29">
        <f>'Annual Raw'!T93</f>
        <v>481</v>
      </c>
      <c r="T184" s="29">
        <f>'Annual Raw'!U93</f>
        <v>552</v>
      </c>
      <c r="U184" s="29">
        <f>'Annual Raw'!V93</f>
        <v>531</v>
      </c>
      <c r="V184" s="29">
        <f>'Annual Raw'!W93</f>
        <v>492</v>
      </c>
      <c r="W184" s="29">
        <f>'Annual Raw'!X93</f>
        <v>642</v>
      </c>
      <c r="X184" s="29">
        <f>'Annual Raw'!Y93</f>
        <v>663</v>
      </c>
      <c r="Y184" s="29">
        <f>'Annual Raw'!Z93</f>
        <v>976</v>
      </c>
      <c r="Z184" s="29">
        <f>'Annual Raw'!AA93</f>
        <v>1160</v>
      </c>
      <c r="AA184" s="29">
        <f>'Annual Raw'!AB93</f>
        <v>1098</v>
      </c>
      <c r="AB184" s="30"/>
      <c r="AC184" s="30"/>
      <c r="AD184" s="30"/>
      <c r="AE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  <c r="DF184" s="29">
        <v>1098</v>
      </c>
    </row>
    <row r="185" spans="1:110" s="29" customFormat="1" x14ac:dyDescent="0.2">
      <c r="A185" s="29" t="s">
        <v>84</v>
      </c>
      <c r="B185" s="29">
        <f t="shared" ref="B185:V185" si="1475">B182-B183-B184</f>
        <v>0</v>
      </c>
      <c r="C185" s="29">
        <f t="shared" si="1475"/>
        <v>0</v>
      </c>
      <c r="D185" s="29">
        <f t="shared" si="1475"/>
        <v>0</v>
      </c>
      <c r="E185" s="29">
        <f t="shared" si="1475"/>
        <v>0</v>
      </c>
      <c r="F185" s="29">
        <f t="shared" si="1475"/>
        <v>0</v>
      </c>
      <c r="G185" s="29">
        <f t="shared" si="1475"/>
        <v>0</v>
      </c>
      <c r="H185" s="29">
        <f t="shared" si="1475"/>
        <v>0</v>
      </c>
      <c r="I185" s="29">
        <f t="shared" si="1475"/>
        <v>0</v>
      </c>
      <c r="J185" s="29">
        <f t="shared" si="1475"/>
        <v>0</v>
      </c>
      <c r="K185" s="29">
        <f t="shared" si="1475"/>
        <v>0</v>
      </c>
      <c r="L185" s="29">
        <f t="shared" si="1475"/>
        <v>0</v>
      </c>
      <c r="M185" s="29">
        <f t="shared" si="1475"/>
        <v>0</v>
      </c>
      <c r="N185" s="29">
        <f t="shared" si="1475"/>
        <v>0</v>
      </c>
      <c r="O185" s="29">
        <f t="shared" si="1475"/>
        <v>0</v>
      </c>
      <c r="P185" s="29">
        <f t="shared" si="1475"/>
        <v>0</v>
      </c>
      <c r="Q185" s="29">
        <f t="shared" si="1475"/>
        <v>0</v>
      </c>
      <c r="R185" s="29">
        <f t="shared" si="1475"/>
        <v>2</v>
      </c>
      <c r="S185" s="29">
        <f t="shared" si="1475"/>
        <v>0</v>
      </c>
      <c r="T185" s="29">
        <f t="shared" si="1475"/>
        <v>0</v>
      </c>
      <c r="U185" s="29">
        <f t="shared" si="1475"/>
        <v>0</v>
      </c>
      <c r="V185" s="29">
        <f t="shared" si="1475"/>
        <v>0</v>
      </c>
      <c r="W185" s="29">
        <f t="shared" ref="W185" si="1476">W182-W183-W184</f>
        <v>0</v>
      </c>
      <c r="X185" s="29">
        <f t="shared" ref="X185:Y185" si="1477">X182-X183-X184</f>
        <v>0</v>
      </c>
      <c r="Y185" s="29">
        <f t="shared" si="1477"/>
        <v>0</v>
      </c>
      <c r="Z185" s="29">
        <f t="shared" ref="Z185:AA185" si="1478">Z182-Z183-Z184</f>
        <v>0</v>
      </c>
      <c r="AA185" s="29">
        <f t="shared" ref="AA185" si="1479">AA182-AA183-AA184</f>
        <v>0</v>
      </c>
      <c r="AB185" s="30">
        <f t="shared" ref="AB185:AD185" si="1480">AB182-AB183-AB184</f>
        <v>0</v>
      </c>
      <c r="AC185" s="30">
        <f t="shared" si="1480"/>
        <v>0</v>
      </c>
      <c r="AD185" s="30">
        <f t="shared" si="1480"/>
        <v>0</v>
      </c>
      <c r="AE185" s="30">
        <f t="shared" ref="AE185" si="1481">AE182-AE183-AE184</f>
        <v>0</v>
      </c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  <c r="DF185" s="29">
        <v>0</v>
      </c>
    </row>
    <row r="186" spans="1:110" s="5" customFormat="1" x14ac:dyDescent="0.2">
      <c r="AB186" s="63"/>
      <c r="AC186" s="63"/>
      <c r="AD186" s="63"/>
      <c r="AE186" s="63"/>
      <c r="CE186" s="112"/>
      <c r="CG186" s="112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95" customFormat="1" x14ac:dyDescent="0.2">
      <c r="A187" s="95" t="s">
        <v>85</v>
      </c>
      <c r="B187" s="95" t="e">
        <f t="shared" ref="B187:W187" si="1482">B182/B132</f>
        <v>#DIV/0!</v>
      </c>
      <c r="C187" s="95" t="e">
        <f t="shared" si="1482"/>
        <v>#DIV/0!</v>
      </c>
      <c r="D187" s="95" t="e">
        <f t="shared" si="1482"/>
        <v>#DIV/0!</v>
      </c>
      <c r="E187" s="95" t="e">
        <f t="shared" si="1482"/>
        <v>#DIV/0!</v>
      </c>
      <c r="F187" s="95" t="e">
        <f t="shared" si="1482"/>
        <v>#DIV/0!</v>
      </c>
      <c r="G187" s="95" t="e">
        <f t="shared" si="1482"/>
        <v>#DIV/0!</v>
      </c>
      <c r="H187" s="95" t="e">
        <f t="shared" si="1482"/>
        <v>#DIV/0!</v>
      </c>
      <c r="I187" s="95" t="e">
        <f t="shared" si="1482"/>
        <v>#DIV/0!</v>
      </c>
      <c r="J187" s="95" t="e">
        <f t="shared" si="1482"/>
        <v>#DIV/0!</v>
      </c>
      <c r="K187" s="95" t="e">
        <f t="shared" si="1482"/>
        <v>#DIV/0!</v>
      </c>
      <c r="L187" s="95" t="e">
        <f t="shared" si="1482"/>
        <v>#DIV/0!</v>
      </c>
      <c r="M187" s="95" t="e">
        <f t="shared" si="1482"/>
        <v>#DIV/0!</v>
      </c>
      <c r="N187" s="95" t="e">
        <f t="shared" si="1482"/>
        <v>#DIV/0!</v>
      </c>
      <c r="O187" s="95" t="e">
        <f t="shared" si="1482"/>
        <v>#DIV/0!</v>
      </c>
      <c r="P187" s="95" t="e">
        <f t="shared" si="1482"/>
        <v>#DIV/0!</v>
      </c>
      <c r="Q187" s="95" t="e">
        <f t="shared" si="1482"/>
        <v>#DIV/0!</v>
      </c>
      <c r="R187" s="95">
        <f t="shared" si="1482"/>
        <v>4.9434001453941216E-2</v>
      </c>
      <c r="S187" s="95">
        <f t="shared" si="1482"/>
        <v>4.6540880503144651E-2</v>
      </c>
      <c r="T187" s="95">
        <f t="shared" si="1482"/>
        <v>5.1884575618009209E-2</v>
      </c>
      <c r="U187" s="95">
        <f t="shared" si="1482"/>
        <v>5.2267777672568884E-2</v>
      </c>
      <c r="V187" s="95">
        <f t="shared" si="1482"/>
        <v>3.9812646370023422E-2</v>
      </c>
      <c r="W187" s="95">
        <f t="shared" si="1482"/>
        <v>4.1155594296743668E-2</v>
      </c>
      <c r="X187" s="95">
        <f t="shared" ref="X187:Y187" si="1483">X182/X132</f>
        <v>4.3511645764013313E-2</v>
      </c>
      <c r="Y187" s="95">
        <f t="shared" si="1483"/>
        <v>6.0437884978959563E-2</v>
      </c>
      <c r="Z187" s="95">
        <f t="shared" ref="Z187:AA187" si="1484">Z182/Z132</f>
        <v>6.7514677103718196E-2</v>
      </c>
      <c r="AA187" s="95">
        <f t="shared" ref="AA187" si="1485">AA182/AA132</f>
        <v>6.1738695144335061E-2</v>
      </c>
      <c r="AB187" s="87">
        <f t="shared" ref="AB187:AD187" si="1486">AB182/AB132</f>
        <v>0</v>
      </c>
      <c r="AC187" s="87">
        <f t="shared" si="1486"/>
        <v>0</v>
      </c>
      <c r="AD187" s="87">
        <f t="shared" si="1486"/>
        <v>0</v>
      </c>
      <c r="AE187" s="87">
        <f t="shared" ref="AE187" si="1487">AE182/AE132</f>
        <v>0</v>
      </c>
      <c r="CM187" s="96"/>
      <c r="CN187" s="96"/>
      <c r="CO187" s="96"/>
      <c r="CP187" s="96"/>
      <c r="CQ187" s="96"/>
      <c r="CR187" s="96"/>
      <c r="CS187" s="96"/>
      <c r="CT187" s="96"/>
      <c r="CU187" s="96"/>
      <c r="CV187" s="96"/>
      <c r="CW187" s="96"/>
      <c r="CX187" s="96"/>
      <c r="CY187" s="96"/>
      <c r="CZ187" s="96"/>
      <c r="DA187" s="96"/>
      <c r="DB187" s="96"/>
      <c r="DE187" s="140"/>
      <c r="DF187" s="95">
        <v>0</v>
      </c>
    </row>
    <row r="188" spans="1:110" x14ac:dyDescent="0.2">
      <c r="A188" s="152" t="s">
        <v>492</v>
      </c>
      <c r="AA188" s="2"/>
      <c r="CE188" s="111"/>
      <c r="CG188" s="111"/>
      <c r="CL188" s="2"/>
    </row>
    <row r="189" spans="1:110" s="6" customFormat="1" x14ac:dyDescent="0.2">
      <c r="AB189" s="19"/>
      <c r="AC189" s="19"/>
      <c r="AD189" s="19"/>
      <c r="AE189" s="19"/>
      <c r="CE189" s="113"/>
      <c r="CG189" s="113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3"/>
    </row>
    <row r="190" spans="1:110" s="62" customFormat="1" x14ac:dyDescent="0.2">
      <c r="A190" s="153" t="s">
        <v>493</v>
      </c>
      <c r="AB190" s="63"/>
      <c r="AC190" s="63"/>
      <c r="AD190" s="63"/>
      <c r="AE190" s="63"/>
      <c r="CE190" s="114"/>
      <c r="CG190" s="114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62" customFormat="1" outlineLevel="1" x14ac:dyDescent="0.2">
      <c r="A191" s="68" t="s">
        <v>464</v>
      </c>
      <c r="B191" s="67" t="e">
        <f t="shared" ref="B191:AE191" si="1488">B156/B20*365</f>
        <v>#DIV/0!</v>
      </c>
      <c r="C191" s="67" t="e">
        <f t="shared" si="1488"/>
        <v>#DIV/0!</v>
      </c>
      <c r="D191" s="67" t="e">
        <f t="shared" si="1488"/>
        <v>#DIV/0!</v>
      </c>
      <c r="E191" s="67" t="e">
        <f t="shared" si="1488"/>
        <v>#DIV/0!</v>
      </c>
      <c r="F191" s="67" t="e">
        <f t="shared" si="1488"/>
        <v>#DIV/0!</v>
      </c>
      <c r="G191" s="67" t="e">
        <f t="shared" si="1488"/>
        <v>#DIV/0!</v>
      </c>
      <c r="H191" s="67" t="e">
        <f t="shared" si="1488"/>
        <v>#DIV/0!</v>
      </c>
      <c r="I191" s="67" t="e">
        <f t="shared" si="1488"/>
        <v>#DIV/0!</v>
      </c>
      <c r="J191" s="67" t="e">
        <f t="shared" si="1488"/>
        <v>#DIV/0!</v>
      </c>
      <c r="K191" s="67" t="e">
        <f t="shared" si="1488"/>
        <v>#DIV/0!</v>
      </c>
      <c r="L191" s="67" t="e">
        <f t="shared" si="1488"/>
        <v>#DIV/0!</v>
      </c>
      <c r="M191" s="67" t="e">
        <f t="shared" si="1488"/>
        <v>#DIV/0!</v>
      </c>
      <c r="N191" s="67" t="e">
        <f t="shared" si="1488"/>
        <v>#DIV/0!</v>
      </c>
      <c r="O191" s="67" t="e">
        <f t="shared" si="1488"/>
        <v>#DIV/0!</v>
      </c>
      <c r="P191" s="67" t="e">
        <f t="shared" si="1488"/>
        <v>#DIV/0!</v>
      </c>
      <c r="Q191" s="67" t="e">
        <f t="shared" si="1488"/>
        <v>#DIV/0!</v>
      </c>
      <c r="R191" s="67">
        <f t="shared" si="1488"/>
        <v>28.534772182254194</v>
      </c>
      <c r="S191" s="67">
        <f t="shared" si="1488"/>
        <v>32.211963294437524</v>
      </c>
      <c r="T191" s="67">
        <f t="shared" si="1488"/>
        <v>36.397719586433475</v>
      </c>
      <c r="U191" s="67">
        <f t="shared" si="1488"/>
        <v>32.790075631802253</v>
      </c>
      <c r="V191" s="67">
        <f t="shared" si="1488"/>
        <v>24.271589815381923</v>
      </c>
      <c r="W191" s="67">
        <f t="shared" si="1488"/>
        <v>26.44927536231884</v>
      </c>
      <c r="X191" s="67">
        <f t="shared" si="1488"/>
        <v>30.874148348116723</v>
      </c>
      <c r="Y191" s="67">
        <f t="shared" si="1488"/>
        <v>25.859120521172638</v>
      </c>
      <c r="Z191" s="67">
        <f t="shared" si="1488"/>
        <v>28.929490478641277</v>
      </c>
      <c r="AA191" s="67">
        <f t="shared" ref="AA191" si="1489">AA156/AA20*365</f>
        <v>23.748908296943227</v>
      </c>
      <c r="AB191" s="18">
        <f t="shared" si="1488"/>
        <v>40.430630387121553</v>
      </c>
      <c r="AC191" s="18">
        <f t="shared" si="1488"/>
        <v>50.993965088127347</v>
      </c>
      <c r="AD191" s="18">
        <f t="shared" si="1488"/>
        <v>51.002963618386929</v>
      </c>
      <c r="AE191" s="18">
        <f t="shared" si="1488"/>
        <v>51.002424126317386</v>
      </c>
      <c r="AI191" s="67" t="e">
        <f>AJ156/AI20*90</f>
        <v>#DIV/0!</v>
      </c>
      <c r="AJ191" s="67" t="e">
        <f>AJ156/AJ20*90</f>
        <v>#DIV/0!</v>
      </c>
      <c r="AK191" s="67" t="e">
        <f t="shared" ref="AK191:CE191" si="1490">+AJ191</f>
        <v>#DIV/0!</v>
      </c>
      <c r="AL191" s="67" t="e">
        <f>AL156/AL20*90</f>
        <v>#DIV/0!</v>
      </c>
      <c r="AM191" s="67" t="e">
        <f t="shared" ref="AM191:AM192" si="1491">+AL191</f>
        <v>#DIV/0!</v>
      </c>
      <c r="AN191" s="67" t="e">
        <f>AN156/AN20*90</f>
        <v>#DIV/0!</v>
      </c>
      <c r="AO191" s="67" t="e">
        <f t="shared" ref="AO191:AO192" si="1492">+AN191</f>
        <v>#DIV/0!</v>
      </c>
      <c r="AP191" s="67" t="e">
        <f>AP156/AP20*90</f>
        <v>#DIV/0!</v>
      </c>
      <c r="AQ191" s="67" t="e">
        <f t="shared" ref="AQ191:AQ192" si="1493">+AP191</f>
        <v>#DIV/0!</v>
      </c>
      <c r="AR191" s="67" t="e">
        <f>AR156/AR20*90</f>
        <v>#DIV/0!</v>
      </c>
      <c r="AS191" s="67" t="e">
        <f t="shared" ref="AS191:AS192" si="1494">+AR191</f>
        <v>#DIV/0!</v>
      </c>
      <c r="AT191" s="67" t="e">
        <f>AT156/AT20*90</f>
        <v>#DIV/0!</v>
      </c>
      <c r="AU191" s="67" t="e">
        <f t="shared" ref="AU191:AU192" si="1495">+AT191</f>
        <v>#DIV/0!</v>
      </c>
      <c r="AV191" s="67" t="e">
        <f>AV156/AV20*90</f>
        <v>#DIV/0!</v>
      </c>
      <c r="AW191" s="67" t="e">
        <f t="shared" ref="AW191:AW192" si="1496">+AV191</f>
        <v>#DIV/0!</v>
      </c>
      <c r="AX191" s="67" t="e">
        <f>AX156/AX20*90</f>
        <v>#DIV/0!</v>
      </c>
      <c r="AY191" s="67" t="e">
        <f t="shared" ref="AY191:AY192" si="1497">+AX191</f>
        <v>#DIV/0!</v>
      </c>
      <c r="AZ191" s="67" t="e">
        <f>AZ156/AZ20*90</f>
        <v>#DIV/0!</v>
      </c>
      <c r="BA191" s="67" t="e">
        <f t="shared" ref="BA191:BA192" si="1498">+AZ191</f>
        <v>#DIV/0!</v>
      </c>
      <c r="BB191" s="67" t="e">
        <f>BB156/BB20*90</f>
        <v>#DIV/0!</v>
      </c>
      <c r="BC191" s="67" t="e">
        <f t="shared" ref="BC191:BC192" si="1499">+BB191</f>
        <v>#DIV/0!</v>
      </c>
      <c r="BD191" s="67" t="e">
        <f>BD156/BD20*90</f>
        <v>#DIV/0!</v>
      </c>
      <c r="BE191" s="67" t="e">
        <f t="shared" ref="BE191:BE192" si="1500">+BD191</f>
        <v>#DIV/0!</v>
      </c>
      <c r="BF191" s="67">
        <f>BF156/BF20*90</f>
        <v>0</v>
      </c>
      <c r="BG191" s="67">
        <f t="shared" ref="BG191:BG192" si="1501">+BF191</f>
        <v>0</v>
      </c>
      <c r="BH191" s="67">
        <f>BH156/BH20*90</f>
        <v>0</v>
      </c>
      <c r="BI191" s="67">
        <f t="shared" ref="BI191:BI192" si="1502">+BH191</f>
        <v>0</v>
      </c>
      <c r="BJ191" s="67">
        <f>BJ156/BJ20*90</f>
        <v>32.681210415200567</v>
      </c>
      <c r="BK191" s="67">
        <f t="shared" ref="BK191:BK192" si="1503">+BJ191</f>
        <v>32.681210415200567</v>
      </c>
      <c r="BL191" s="67">
        <f>BL156/BL20*90</f>
        <v>38.479427549194995</v>
      </c>
      <c r="BM191" s="67">
        <f t="shared" ref="BM191:BM192" si="1504">+BL191</f>
        <v>38.479427549194995</v>
      </c>
      <c r="BN191" s="67">
        <f>BN156/BN20*90</f>
        <v>35.304067660088599</v>
      </c>
      <c r="BO191" s="67">
        <f t="shared" ref="BO191:BO192" si="1505">+BN191</f>
        <v>35.304067660088599</v>
      </c>
      <c r="BP191" s="67">
        <f>BP156/BP20*90</f>
        <v>33.2295719844358</v>
      </c>
      <c r="BQ191" s="67">
        <f t="shared" ref="BQ191:BQ192" si="1506">+BP191</f>
        <v>33.2295719844358</v>
      </c>
      <c r="BR191" s="67">
        <f>BR156/BR20*90</f>
        <v>21.70739447794351</v>
      </c>
      <c r="BS191" s="67">
        <f t="shared" ref="BS191:BS192" si="1507">+BR191</f>
        <v>21.70739447794351</v>
      </c>
      <c r="BT191" s="67">
        <f>BT156/BT20*90</f>
        <v>33.963580007748938</v>
      </c>
      <c r="BU191" s="67">
        <f t="shared" ref="BU191:BU192" si="1508">+BT191</f>
        <v>33.963580007748938</v>
      </c>
      <c r="BV191" s="67">
        <f>BV156/BV20*90</f>
        <v>25.162721893491124</v>
      </c>
      <c r="BW191" s="67">
        <f t="shared" ref="BW191:BW192" si="1509">+BV191</f>
        <v>25.162721893491124</v>
      </c>
      <c r="BX191" s="67">
        <f>BX156/BX20*90</f>
        <v>37.532817233254796</v>
      </c>
      <c r="BY191" s="67">
        <f t="shared" ref="BY191:BY192" si="1510">+BX191</f>
        <v>37.532817233254796</v>
      </c>
      <c r="BZ191" s="67">
        <f>BZ156/BZ20*90</f>
        <v>30.252873563218394</v>
      </c>
      <c r="CA191" s="67">
        <f t="shared" ref="CA191:CA192" si="1511">+BZ191</f>
        <v>30.252873563218394</v>
      </c>
      <c r="CB191" s="67">
        <f>CB156/CB20*90</f>
        <v>36.251189343482395</v>
      </c>
      <c r="CC191" s="67">
        <f t="shared" ref="CC191:CC192" si="1512">+CB191</f>
        <v>36.251189343482395</v>
      </c>
      <c r="CD191" s="67">
        <f>CD156/CD20*90</f>
        <v>25.451590434176925</v>
      </c>
      <c r="CE191" s="67">
        <f t="shared" si="1490"/>
        <v>25.451590434176925</v>
      </c>
      <c r="CF191" s="67">
        <f>CF156/CF20*90</f>
        <v>44.373177842565596</v>
      </c>
      <c r="CG191" s="67">
        <f t="shared" ref="CG191:CI192" si="1513">+CF191</f>
        <v>44.373177842565596</v>
      </c>
      <c r="CH191" s="67">
        <f>CH156/CH20*90</f>
        <v>30.491322415057446</v>
      </c>
      <c r="CI191" s="67">
        <f t="shared" si="1513"/>
        <v>30.491322415057446</v>
      </c>
      <c r="CJ191" s="67">
        <f>CJ156/CJ20*90</f>
        <v>35.741878841088678</v>
      </c>
      <c r="CK191" s="67">
        <f t="shared" ref="CK191:CK192" si="1514">+CJ191</f>
        <v>35.741878841088678</v>
      </c>
      <c r="CL191" s="67">
        <f>CL156/CL20*90</f>
        <v>25.272084805653709</v>
      </c>
      <c r="CM191" s="30">
        <f>+CL191+2.2</f>
        <v>27.472084805653708</v>
      </c>
      <c r="CN191" s="30">
        <f t="shared" ref="CN191:CT191" si="1515">+CM191+2.2</f>
        <v>29.672084805653707</v>
      </c>
      <c r="CO191" s="30">
        <f t="shared" si="1515"/>
        <v>31.872084805653706</v>
      </c>
      <c r="CP191" s="30">
        <f t="shared" si="1515"/>
        <v>34.072084805653709</v>
      </c>
      <c r="CQ191" s="30">
        <f t="shared" si="1515"/>
        <v>36.272084805653712</v>
      </c>
      <c r="CR191" s="30">
        <f t="shared" si="1515"/>
        <v>38.472084805653715</v>
      </c>
      <c r="CS191" s="30">
        <f t="shared" si="1515"/>
        <v>40.672084805653718</v>
      </c>
      <c r="CT191" s="30">
        <f t="shared" si="1515"/>
        <v>42.872084805653721</v>
      </c>
      <c r="CU191" s="30">
        <f t="shared" ref="CU191:CU192" si="1516">+CT191</f>
        <v>42.872084805653721</v>
      </c>
      <c r="CV191" s="30">
        <f t="shared" ref="CV191:CV192" si="1517">+CU191</f>
        <v>42.872084805653721</v>
      </c>
      <c r="CW191" s="30">
        <f t="shared" ref="CW191:CW192" si="1518">+CV191</f>
        <v>42.872084805653721</v>
      </c>
      <c r="CX191" s="30">
        <f t="shared" ref="CX191:CX192" si="1519">+CW191</f>
        <v>42.872084805653721</v>
      </c>
      <c r="CY191" s="30">
        <f t="shared" ref="CY191:CY192" si="1520">+CX191</f>
        <v>42.872084805653721</v>
      </c>
      <c r="CZ191" s="30">
        <f t="shared" ref="CZ191:CZ192" si="1521">+CY191</f>
        <v>42.872084805653721</v>
      </c>
      <c r="DA191" s="30">
        <f t="shared" ref="DA191:DA192" si="1522">+CZ191</f>
        <v>42.872084805653721</v>
      </c>
      <c r="DB191" s="30">
        <f t="shared" ref="DB191:DB192" si="1523">+DA191</f>
        <v>42.872084805653721</v>
      </c>
      <c r="DE191" s="139"/>
      <c r="DF191" s="62">
        <v>29.389354228586868</v>
      </c>
    </row>
    <row r="192" spans="1:110" s="62" customFormat="1" outlineLevel="1" x14ac:dyDescent="0.2">
      <c r="A192" s="68" t="s">
        <v>465</v>
      </c>
      <c r="B192" s="67" t="e">
        <f t="shared" ref="B192:AE192" si="1524">B157/B20*365</f>
        <v>#DIV/0!</v>
      </c>
      <c r="C192" s="67" t="e">
        <f t="shared" si="1524"/>
        <v>#DIV/0!</v>
      </c>
      <c r="D192" s="67" t="e">
        <f t="shared" si="1524"/>
        <v>#DIV/0!</v>
      </c>
      <c r="E192" s="67" t="e">
        <f t="shared" si="1524"/>
        <v>#DIV/0!</v>
      </c>
      <c r="F192" s="67" t="e">
        <f t="shared" si="1524"/>
        <v>#DIV/0!</v>
      </c>
      <c r="G192" s="67" t="e">
        <f t="shared" si="1524"/>
        <v>#DIV/0!</v>
      </c>
      <c r="H192" s="67" t="e">
        <f t="shared" si="1524"/>
        <v>#DIV/0!</v>
      </c>
      <c r="I192" s="67" t="e">
        <f t="shared" si="1524"/>
        <v>#DIV/0!</v>
      </c>
      <c r="J192" s="67" t="e">
        <f t="shared" si="1524"/>
        <v>#DIV/0!</v>
      </c>
      <c r="K192" s="67" t="e">
        <f t="shared" si="1524"/>
        <v>#DIV/0!</v>
      </c>
      <c r="L192" s="67" t="e">
        <f t="shared" si="1524"/>
        <v>#DIV/0!</v>
      </c>
      <c r="M192" s="67" t="e">
        <f t="shared" si="1524"/>
        <v>#DIV/0!</v>
      </c>
      <c r="N192" s="67" t="e">
        <f t="shared" si="1524"/>
        <v>#DIV/0!</v>
      </c>
      <c r="O192" s="67" t="e">
        <f t="shared" si="1524"/>
        <v>#DIV/0!</v>
      </c>
      <c r="P192" s="67" t="e">
        <f t="shared" si="1524"/>
        <v>#DIV/0!</v>
      </c>
      <c r="Q192" s="67" t="e">
        <f t="shared" si="1524"/>
        <v>#DIV/0!</v>
      </c>
      <c r="R192" s="67">
        <f t="shared" si="1524"/>
        <v>23.19544364508393</v>
      </c>
      <c r="S192" s="67">
        <f t="shared" si="1524"/>
        <v>23.321626826781465</v>
      </c>
      <c r="T192" s="67">
        <f t="shared" si="1524"/>
        <v>19.362740361387573</v>
      </c>
      <c r="U192" s="67">
        <f t="shared" si="1524"/>
        <v>22.353809260284081</v>
      </c>
      <c r="V192" s="67">
        <f t="shared" si="1524"/>
        <v>16.319450520605475</v>
      </c>
      <c r="W192" s="67">
        <f t="shared" si="1524"/>
        <v>18.836362242159346</v>
      </c>
      <c r="X192" s="67">
        <f t="shared" si="1524"/>
        <v>16.422419334104642</v>
      </c>
      <c r="Y192" s="67">
        <f t="shared" si="1524"/>
        <v>17.748953001395996</v>
      </c>
      <c r="Z192" s="67">
        <f t="shared" si="1524"/>
        <v>18.555784296906275</v>
      </c>
      <c r="AA192" s="67">
        <f t="shared" ref="AA192" si="1525">AA157/AA20*365</f>
        <v>17.213973799126638</v>
      </c>
      <c r="AB192" s="18">
        <f t="shared" si="1524"/>
        <v>26.483018908680382</v>
      </c>
      <c r="AC192" s="18">
        <f t="shared" si="1524"/>
        <v>30.114380840072556</v>
      </c>
      <c r="AD192" s="18">
        <f t="shared" si="1524"/>
        <v>30.119694903545948</v>
      </c>
      <c r="AE192" s="18">
        <f t="shared" si="1524"/>
        <v>30.119376307617703</v>
      </c>
      <c r="AI192" s="67" t="e">
        <f>AJ157/AI20*90</f>
        <v>#DIV/0!</v>
      </c>
      <c r="AJ192" s="67" t="e">
        <f>AJ157/AJ20*90</f>
        <v>#DIV/0!</v>
      </c>
      <c r="AK192" s="67" t="e">
        <f>+AJ192</f>
        <v>#DIV/0!</v>
      </c>
      <c r="AL192" s="67" t="e">
        <f>AL157/AL20*90</f>
        <v>#DIV/0!</v>
      </c>
      <c r="AM192" s="67" t="e">
        <f t="shared" si="1491"/>
        <v>#DIV/0!</v>
      </c>
      <c r="AN192" s="67" t="e">
        <f>AN157/AN20*90</f>
        <v>#DIV/0!</v>
      </c>
      <c r="AO192" s="67" t="e">
        <f t="shared" si="1492"/>
        <v>#DIV/0!</v>
      </c>
      <c r="AP192" s="67" t="e">
        <f>AP157/AP20*90</f>
        <v>#DIV/0!</v>
      </c>
      <c r="AQ192" s="67" t="e">
        <f t="shared" si="1493"/>
        <v>#DIV/0!</v>
      </c>
      <c r="AR192" s="67" t="e">
        <f>AR157/AR20*90</f>
        <v>#DIV/0!</v>
      </c>
      <c r="AS192" s="67" t="e">
        <f t="shared" si="1494"/>
        <v>#DIV/0!</v>
      </c>
      <c r="AT192" s="67" t="e">
        <f>AT157/AT20*90</f>
        <v>#DIV/0!</v>
      </c>
      <c r="AU192" s="67" t="e">
        <f t="shared" si="1495"/>
        <v>#DIV/0!</v>
      </c>
      <c r="AV192" s="67" t="e">
        <f>AV157/AV20*90</f>
        <v>#DIV/0!</v>
      </c>
      <c r="AW192" s="67" t="e">
        <f t="shared" si="1496"/>
        <v>#DIV/0!</v>
      </c>
      <c r="AX192" s="67" t="e">
        <f>AX157/AX20*90</f>
        <v>#DIV/0!</v>
      </c>
      <c r="AY192" s="67" t="e">
        <f t="shared" si="1497"/>
        <v>#DIV/0!</v>
      </c>
      <c r="AZ192" s="67" t="e">
        <f>AZ157/AZ20*90</f>
        <v>#DIV/0!</v>
      </c>
      <c r="BA192" s="67" t="e">
        <f t="shared" si="1498"/>
        <v>#DIV/0!</v>
      </c>
      <c r="BB192" s="67" t="e">
        <f>BB157/BB20*90</f>
        <v>#DIV/0!</v>
      </c>
      <c r="BC192" s="67" t="e">
        <f t="shared" si="1499"/>
        <v>#DIV/0!</v>
      </c>
      <c r="BD192" s="67" t="e">
        <f>BD157/BD20*90</f>
        <v>#DIV/0!</v>
      </c>
      <c r="BE192" s="67" t="e">
        <f t="shared" si="1500"/>
        <v>#DIV/0!</v>
      </c>
      <c r="BF192" s="67">
        <f>BF157/BF20*90</f>
        <v>0</v>
      </c>
      <c r="BG192" s="67">
        <f t="shared" si="1501"/>
        <v>0</v>
      </c>
      <c r="BH192" s="67">
        <f>BH157/BH20*90</f>
        <v>0</v>
      </c>
      <c r="BI192" s="67">
        <f t="shared" si="1502"/>
        <v>0</v>
      </c>
      <c r="BJ192" s="67">
        <f>BJ157/BJ20*90</f>
        <v>17.38564391273751</v>
      </c>
      <c r="BK192" s="67">
        <f t="shared" si="1503"/>
        <v>17.38564391273751</v>
      </c>
      <c r="BL192" s="67">
        <f>BL157/BL20*90</f>
        <v>21.694991055456171</v>
      </c>
      <c r="BM192" s="67">
        <f t="shared" si="1504"/>
        <v>21.694991055456171</v>
      </c>
      <c r="BN192" s="67">
        <f>BN157/BN20*90</f>
        <v>24.067660088602498</v>
      </c>
      <c r="BO192" s="67">
        <f t="shared" si="1505"/>
        <v>24.067660088602498</v>
      </c>
      <c r="BP192" s="67">
        <f>BP157/BP20*90</f>
        <v>21.673151750972764</v>
      </c>
      <c r="BQ192" s="67">
        <f t="shared" si="1506"/>
        <v>21.673151750972764</v>
      </c>
      <c r="BR192" s="67">
        <f>BR157/BR20*90</f>
        <v>14.59536655030149</v>
      </c>
      <c r="BS192" s="67">
        <f t="shared" si="1507"/>
        <v>14.59536655030149</v>
      </c>
      <c r="BT192" s="67">
        <f>BT157/BT20*90</f>
        <v>18.969391708640064</v>
      </c>
      <c r="BU192" s="67">
        <f t="shared" si="1508"/>
        <v>18.969391708640064</v>
      </c>
      <c r="BV192" s="67">
        <f>BV157/BV20*90</f>
        <v>17.920118343195266</v>
      </c>
      <c r="BW192" s="67">
        <f t="shared" si="1509"/>
        <v>17.920118343195266</v>
      </c>
      <c r="BX192" s="67">
        <f>BX157/BX20*90</f>
        <v>21.023224503534163</v>
      </c>
      <c r="BY192" s="67">
        <f t="shared" si="1510"/>
        <v>21.023224503534163</v>
      </c>
      <c r="BZ192" s="67">
        <f>BZ157/BZ20*90</f>
        <v>16.091954022988507</v>
      </c>
      <c r="CA192" s="67">
        <f t="shared" si="1511"/>
        <v>16.091954022988507</v>
      </c>
      <c r="CB192" s="67">
        <f>CB157/CB20*90</f>
        <v>21.579448144624166</v>
      </c>
      <c r="CC192" s="67">
        <f t="shared" si="1512"/>
        <v>21.579448144624166</v>
      </c>
      <c r="CD192" s="67">
        <f>CD157/CD20*90</f>
        <v>17.469236127234733</v>
      </c>
      <c r="CE192" s="114">
        <f t="shared" ref="CE192" si="1526">+CD192</f>
        <v>17.469236127234733</v>
      </c>
      <c r="CF192" s="67">
        <f>CF157/CF20*90</f>
        <v>23.381924198250729</v>
      </c>
      <c r="CG192" s="67">
        <f t="shared" si="1513"/>
        <v>23.381924198250729</v>
      </c>
      <c r="CH192" s="67">
        <f>CH157/CH20*90</f>
        <v>19.557565387435837</v>
      </c>
      <c r="CI192" s="67">
        <f t="shared" si="1513"/>
        <v>19.557565387435837</v>
      </c>
      <c r="CJ192" s="67">
        <f>CJ157/CJ20*90</f>
        <v>23.705004389815628</v>
      </c>
      <c r="CK192" s="67">
        <f t="shared" si="1514"/>
        <v>23.705004389815628</v>
      </c>
      <c r="CL192" s="67">
        <f>CL157/CL20*90</f>
        <v>18.31802120141343</v>
      </c>
      <c r="CM192" s="30">
        <f>+CL192+1</f>
        <v>19.31802120141343</v>
      </c>
      <c r="CN192" s="30">
        <f>+CM192+1</f>
        <v>20.31802120141343</v>
      </c>
      <c r="CO192" s="30">
        <f t="shared" ref="CO192:CS192" si="1527">+CN192+1</f>
        <v>21.31802120141343</v>
      </c>
      <c r="CP192" s="30">
        <f t="shared" si="1527"/>
        <v>22.31802120141343</v>
      </c>
      <c r="CQ192" s="30">
        <f t="shared" si="1527"/>
        <v>23.31802120141343</v>
      </c>
      <c r="CR192" s="30">
        <f t="shared" si="1527"/>
        <v>24.31802120141343</v>
      </c>
      <c r="CS192" s="30">
        <f t="shared" si="1527"/>
        <v>25.31802120141343</v>
      </c>
      <c r="CT192" s="30">
        <f t="shared" ref="CT192" si="1528">+CS192</f>
        <v>25.31802120141343</v>
      </c>
      <c r="CU192" s="30">
        <f t="shared" si="1516"/>
        <v>25.31802120141343</v>
      </c>
      <c r="CV192" s="30">
        <f t="shared" si="1517"/>
        <v>25.31802120141343</v>
      </c>
      <c r="CW192" s="30">
        <f t="shared" si="1518"/>
        <v>25.31802120141343</v>
      </c>
      <c r="CX192" s="30">
        <f t="shared" si="1519"/>
        <v>25.31802120141343</v>
      </c>
      <c r="CY192" s="30">
        <f t="shared" si="1520"/>
        <v>25.31802120141343</v>
      </c>
      <c r="CZ192" s="30">
        <f t="shared" si="1521"/>
        <v>25.31802120141343</v>
      </c>
      <c r="DA192" s="30">
        <f t="shared" si="1522"/>
        <v>25.31802120141343</v>
      </c>
      <c r="DB192" s="30">
        <f t="shared" si="1523"/>
        <v>25.31802120141343</v>
      </c>
      <c r="DE192" s="139"/>
      <c r="DF192" s="62">
        <v>21.302350716022694</v>
      </c>
    </row>
    <row r="193" spans="1:110" s="62" customFormat="1" outlineLevel="1" x14ac:dyDescent="0.2">
      <c r="A193" s="68" t="s">
        <v>466</v>
      </c>
      <c r="B193" s="67" t="e">
        <f>B194-B192-B191</f>
        <v>#DIV/0!</v>
      </c>
      <c r="C193" s="67" t="e">
        <f t="shared" ref="C193:U193" si="1529">C194-C192-C191</f>
        <v>#DIV/0!</v>
      </c>
      <c r="D193" s="67" t="e">
        <f t="shared" si="1529"/>
        <v>#DIV/0!</v>
      </c>
      <c r="E193" s="67" t="e">
        <f t="shared" si="1529"/>
        <v>#DIV/0!</v>
      </c>
      <c r="F193" s="67" t="e">
        <f t="shared" si="1529"/>
        <v>#DIV/0!</v>
      </c>
      <c r="G193" s="67" t="e">
        <f t="shared" si="1529"/>
        <v>#DIV/0!</v>
      </c>
      <c r="H193" s="67" t="e">
        <f t="shared" si="1529"/>
        <v>#DIV/0!</v>
      </c>
      <c r="I193" s="67" t="e">
        <f t="shared" si="1529"/>
        <v>#DIV/0!</v>
      </c>
      <c r="J193" s="67" t="e">
        <f t="shared" si="1529"/>
        <v>#DIV/0!</v>
      </c>
      <c r="K193" s="67" t="e">
        <f t="shared" si="1529"/>
        <v>#DIV/0!</v>
      </c>
      <c r="L193" s="67" t="e">
        <f t="shared" si="1529"/>
        <v>#DIV/0!</v>
      </c>
      <c r="M193" s="67" t="e">
        <f t="shared" si="1529"/>
        <v>#DIV/0!</v>
      </c>
      <c r="N193" s="67" t="e">
        <f t="shared" si="1529"/>
        <v>#DIV/0!</v>
      </c>
      <c r="O193" s="67" t="e">
        <f t="shared" si="1529"/>
        <v>#DIV/0!</v>
      </c>
      <c r="P193" s="67" t="e">
        <f t="shared" si="1529"/>
        <v>#DIV/0!</v>
      </c>
      <c r="Q193" s="67" t="e">
        <f t="shared" si="1529"/>
        <v>#DIV/0!</v>
      </c>
      <c r="R193" s="67">
        <f t="shared" si="1529"/>
        <v>66.566546762589951</v>
      </c>
      <c r="S193" s="67">
        <f t="shared" si="1529"/>
        <v>79.475472980627615</v>
      </c>
      <c r="T193" s="67">
        <f t="shared" si="1529"/>
        <v>69.51541211711276</v>
      </c>
      <c r="U193" s="67">
        <f t="shared" si="1529"/>
        <v>58.106437926581805</v>
      </c>
      <c r="V193" s="67">
        <f>V194-V192-V191</f>
        <v>54.387522967888721</v>
      </c>
      <c r="W193" s="67">
        <f t="shared" ref="W193" si="1530">W194-W192-W191</f>
        <v>56.11724560999923</v>
      </c>
      <c r="X193" s="67">
        <f t="shared" ref="X193:Y193" si="1531">X194-X192-X191</f>
        <v>71.296760509062864</v>
      </c>
      <c r="Y193" s="67">
        <f t="shared" si="1531"/>
        <v>52.801012098650531</v>
      </c>
      <c r="Z193" s="67">
        <f t="shared" ref="Z193:AA193" si="1532">Z194-Z192-Z191</f>
        <v>56.293532338308459</v>
      </c>
      <c r="AA193" s="67">
        <f t="shared" ref="AA193" si="1533">AA194-AA192-AA191</f>
        <v>59.850436681222718</v>
      </c>
      <c r="AB193" s="18">
        <f t="shared" ref="AB193:AD193" si="1534">AB194-AB192-AB191</f>
        <v>94.543874343401725</v>
      </c>
      <c r="AC193" s="18">
        <f t="shared" si="1534"/>
        <v>94.768884742771263</v>
      </c>
      <c r="AD193" s="18">
        <f t="shared" si="1534"/>
        <v>94.785607911396227</v>
      </c>
      <c r="AE193" s="18">
        <f t="shared" ref="AE193" si="1535">AE194-AE192-AE191</f>
        <v>94.78460530134879</v>
      </c>
      <c r="AI193" s="67" t="e">
        <f t="shared" ref="AI193:AK193" si="1536">AI194-AI192-AI191</f>
        <v>#DIV/0!</v>
      </c>
      <c r="AJ193" s="67" t="e">
        <f t="shared" ref="AJ193:AM193" si="1537">AJ194-AJ192-AJ191</f>
        <v>#DIV/0!</v>
      </c>
      <c r="AK193" s="67" t="e">
        <f t="shared" si="1536"/>
        <v>#DIV/0!</v>
      </c>
      <c r="AL193" s="67" t="e">
        <f t="shared" si="1537"/>
        <v>#DIV/0!</v>
      </c>
      <c r="AM193" s="67" t="e">
        <f t="shared" si="1537"/>
        <v>#DIV/0!</v>
      </c>
      <c r="AN193" s="67" t="e">
        <f t="shared" ref="AN193:AY193" si="1538">AN194-AN192-AN191</f>
        <v>#DIV/0!</v>
      </c>
      <c r="AO193" s="67" t="e">
        <f t="shared" si="1538"/>
        <v>#DIV/0!</v>
      </c>
      <c r="AP193" s="67" t="e">
        <f t="shared" si="1538"/>
        <v>#DIV/0!</v>
      </c>
      <c r="AQ193" s="67" t="e">
        <f t="shared" si="1538"/>
        <v>#DIV/0!</v>
      </c>
      <c r="AR193" s="67" t="e">
        <f t="shared" si="1538"/>
        <v>#DIV/0!</v>
      </c>
      <c r="AS193" s="67" t="e">
        <f t="shared" si="1538"/>
        <v>#DIV/0!</v>
      </c>
      <c r="AT193" s="67" t="e">
        <f t="shared" si="1538"/>
        <v>#DIV/0!</v>
      </c>
      <c r="AU193" s="67" t="e">
        <f t="shared" si="1538"/>
        <v>#DIV/0!</v>
      </c>
      <c r="AV193" s="67" t="e">
        <f t="shared" si="1538"/>
        <v>#DIV/0!</v>
      </c>
      <c r="AW193" s="67" t="e">
        <f t="shared" si="1538"/>
        <v>#DIV/0!</v>
      </c>
      <c r="AX193" s="67" t="e">
        <f t="shared" si="1538"/>
        <v>#DIV/0!</v>
      </c>
      <c r="AY193" s="67" t="e">
        <f t="shared" si="1538"/>
        <v>#DIV/0!</v>
      </c>
      <c r="AZ193" s="67" t="e">
        <f t="shared" ref="AZ193:BC193" si="1539">AZ194-AZ192-AZ191</f>
        <v>#DIV/0!</v>
      </c>
      <c r="BA193" s="67" t="e">
        <f t="shared" si="1539"/>
        <v>#DIV/0!</v>
      </c>
      <c r="BB193" s="67" t="e">
        <f t="shared" si="1539"/>
        <v>#DIV/0!</v>
      </c>
      <c r="BC193" s="67" t="e">
        <f t="shared" si="1539"/>
        <v>#DIV/0!</v>
      </c>
      <c r="BD193" s="67" t="e">
        <f t="shared" ref="BD193:CE193" si="1540">BD194-BD192-BD191</f>
        <v>#DIV/0!</v>
      </c>
      <c r="BE193" s="67" t="e">
        <f t="shared" si="1540"/>
        <v>#DIV/0!</v>
      </c>
      <c r="BF193" s="67">
        <f t="shared" si="1540"/>
        <v>0</v>
      </c>
      <c r="BG193" s="67">
        <f t="shared" si="1540"/>
        <v>0</v>
      </c>
      <c r="BH193" s="67">
        <f t="shared" si="1540"/>
        <v>0</v>
      </c>
      <c r="BI193" s="67">
        <f t="shared" si="1540"/>
        <v>0</v>
      </c>
      <c r="BJ193" s="67">
        <f t="shared" si="1540"/>
        <v>62.417311752287119</v>
      </c>
      <c r="BK193" s="67">
        <f t="shared" si="1540"/>
        <v>69.921166732361058</v>
      </c>
      <c r="BL193" s="67">
        <f t="shared" si="1540"/>
        <v>80.822898032200342</v>
      </c>
      <c r="BM193" s="67">
        <f t="shared" si="1540"/>
        <v>74.689682035893597</v>
      </c>
      <c r="BN193" s="67">
        <f t="shared" si="1540"/>
        <v>68.650825614176398</v>
      </c>
      <c r="BO193" s="67">
        <f t="shared" si="1540"/>
        <v>89.668595476065235</v>
      </c>
      <c r="BP193" s="67">
        <f t="shared" si="1540"/>
        <v>77.35408560311285</v>
      </c>
      <c r="BQ193" s="67">
        <f t="shared" si="1540"/>
        <v>65.370843989769838</v>
      </c>
      <c r="BR193" s="67">
        <f t="shared" si="1540"/>
        <v>53.897175499841325</v>
      </c>
      <c r="BS193" s="67">
        <f t="shared" si="1540"/>
        <v>65.546121188730211</v>
      </c>
      <c r="BT193" s="67">
        <f t="shared" si="1540"/>
        <v>88.709802402169686</v>
      </c>
      <c r="BU193" s="67">
        <f t="shared" si="1540"/>
        <v>83.745427944403815</v>
      </c>
      <c r="BV193" s="67">
        <f t="shared" si="1540"/>
        <v>56.369822485207095</v>
      </c>
      <c r="BW193" s="67">
        <f t="shared" si="1540"/>
        <v>57.701393095093863</v>
      </c>
      <c r="BX193" s="67">
        <f t="shared" si="1540"/>
        <v>67.85594076068665</v>
      </c>
      <c r="BY193" s="67">
        <f t="shared" si="1540"/>
        <v>60.089418777943372</v>
      </c>
      <c r="BZ193" s="67">
        <f t="shared" si="1540"/>
        <v>74.160919540229884</v>
      </c>
      <c r="CA193" s="67">
        <f t="shared" si="1540"/>
        <v>80.049627791563296</v>
      </c>
      <c r="CB193" s="67">
        <f t="shared" si="1540"/>
        <v>82.835394862036139</v>
      </c>
      <c r="CC193" s="67">
        <f t="shared" si="1540"/>
        <v>72.469478357380694</v>
      </c>
      <c r="CD193" s="67">
        <f t="shared" si="1540"/>
        <v>57.631762247504071</v>
      </c>
      <c r="CE193" s="114">
        <f t="shared" si="1540"/>
        <v>68.550124275062146</v>
      </c>
      <c r="CF193" s="67">
        <f t="shared" ref="CF193:CG193" si="1541">CF194-CF192-CF191</f>
        <v>83.877551020408148</v>
      </c>
      <c r="CG193" s="67">
        <f t="shared" si="1541"/>
        <v>81.398931153725243</v>
      </c>
      <c r="CH193" s="67">
        <f t="shared" ref="CH193" si="1542">CH194-CH192-CH191</f>
        <v>59.332681495966774</v>
      </c>
      <c r="CI193" s="67">
        <f>CH193</f>
        <v>59.332681495966774</v>
      </c>
      <c r="CJ193" s="67">
        <f t="shared" ref="CJ193:CL193" si="1543">CJ194-CJ192-CJ191</f>
        <v>85.46971027216857</v>
      </c>
      <c r="CK193" s="67">
        <f t="shared" ref="CK193:DB193" si="1544">CJ193</f>
        <v>85.46971027216857</v>
      </c>
      <c r="CL193" s="67">
        <f t="shared" si="1543"/>
        <v>79.674911660777397</v>
      </c>
      <c r="CM193" s="30">
        <f t="shared" si="1544"/>
        <v>79.674911660777397</v>
      </c>
      <c r="CN193" s="30">
        <f t="shared" si="1544"/>
        <v>79.674911660777397</v>
      </c>
      <c r="CO193" s="30">
        <f t="shared" si="1544"/>
        <v>79.674911660777397</v>
      </c>
      <c r="CP193" s="30">
        <f t="shared" si="1544"/>
        <v>79.674911660777397</v>
      </c>
      <c r="CQ193" s="30">
        <f t="shared" si="1544"/>
        <v>79.674911660777397</v>
      </c>
      <c r="CR193" s="30">
        <f t="shared" si="1544"/>
        <v>79.674911660777397</v>
      </c>
      <c r="CS193" s="30">
        <f t="shared" si="1544"/>
        <v>79.674911660777397</v>
      </c>
      <c r="CT193" s="30">
        <f t="shared" si="1544"/>
        <v>79.674911660777397</v>
      </c>
      <c r="CU193" s="30">
        <f t="shared" si="1544"/>
        <v>79.674911660777397</v>
      </c>
      <c r="CV193" s="30">
        <f t="shared" si="1544"/>
        <v>79.674911660777397</v>
      </c>
      <c r="CW193" s="30">
        <f t="shared" si="1544"/>
        <v>79.674911660777397</v>
      </c>
      <c r="CX193" s="30">
        <f t="shared" si="1544"/>
        <v>79.674911660777397</v>
      </c>
      <c r="CY193" s="30">
        <f t="shared" si="1544"/>
        <v>79.674911660777397</v>
      </c>
      <c r="CZ193" s="30">
        <f t="shared" si="1544"/>
        <v>79.674911660777397</v>
      </c>
      <c r="DA193" s="30">
        <f t="shared" si="1544"/>
        <v>79.674911660777397</v>
      </c>
      <c r="DB193" s="30">
        <f t="shared" si="1544"/>
        <v>79.674911660777397</v>
      </c>
      <c r="DE193" s="139"/>
      <c r="DF193" s="62">
        <v>92.655363415293166</v>
      </c>
    </row>
    <row r="194" spans="1:110" s="7" customFormat="1" outlineLevel="1" x14ac:dyDescent="0.2">
      <c r="A194" s="69" t="s">
        <v>467</v>
      </c>
      <c r="B194" s="70" t="e">
        <f t="shared" ref="B194:AE194" si="1545">B160/B20*365</f>
        <v>#DIV/0!</v>
      </c>
      <c r="C194" s="70" t="e">
        <f t="shared" si="1545"/>
        <v>#DIV/0!</v>
      </c>
      <c r="D194" s="70" t="e">
        <f t="shared" si="1545"/>
        <v>#DIV/0!</v>
      </c>
      <c r="E194" s="70" t="e">
        <f t="shared" si="1545"/>
        <v>#DIV/0!</v>
      </c>
      <c r="F194" s="70" t="e">
        <f t="shared" si="1545"/>
        <v>#DIV/0!</v>
      </c>
      <c r="G194" s="70" t="e">
        <f t="shared" si="1545"/>
        <v>#DIV/0!</v>
      </c>
      <c r="H194" s="70" t="e">
        <f t="shared" si="1545"/>
        <v>#DIV/0!</v>
      </c>
      <c r="I194" s="70" t="e">
        <f t="shared" si="1545"/>
        <v>#DIV/0!</v>
      </c>
      <c r="J194" s="70" t="e">
        <f t="shared" si="1545"/>
        <v>#DIV/0!</v>
      </c>
      <c r="K194" s="70" t="e">
        <f t="shared" si="1545"/>
        <v>#DIV/0!</v>
      </c>
      <c r="L194" s="70" t="e">
        <f t="shared" si="1545"/>
        <v>#DIV/0!</v>
      </c>
      <c r="M194" s="70" t="e">
        <f t="shared" si="1545"/>
        <v>#DIV/0!</v>
      </c>
      <c r="N194" s="70" t="e">
        <f t="shared" si="1545"/>
        <v>#DIV/0!</v>
      </c>
      <c r="O194" s="70" t="e">
        <f t="shared" si="1545"/>
        <v>#DIV/0!</v>
      </c>
      <c r="P194" s="70" t="e">
        <f t="shared" si="1545"/>
        <v>#DIV/0!</v>
      </c>
      <c r="Q194" s="70" t="e">
        <f t="shared" si="1545"/>
        <v>#DIV/0!</v>
      </c>
      <c r="R194" s="70">
        <f t="shared" si="1545"/>
        <v>118.29676258992806</v>
      </c>
      <c r="S194" s="70">
        <f t="shared" si="1545"/>
        <v>135.00906310184661</v>
      </c>
      <c r="T194" s="70">
        <f t="shared" si="1545"/>
        <v>125.27587206493381</v>
      </c>
      <c r="U194" s="70">
        <f t="shared" si="1545"/>
        <v>113.25032281866814</v>
      </c>
      <c r="V194" s="70">
        <f t="shared" si="1545"/>
        <v>94.978563303876115</v>
      </c>
      <c r="W194" s="70">
        <f t="shared" si="1545"/>
        <v>101.40288321447741</v>
      </c>
      <c r="X194" s="70">
        <f t="shared" si="1545"/>
        <v>118.59332819128423</v>
      </c>
      <c r="Y194" s="70">
        <f t="shared" si="1545"/>
        <v>96.409085621219162</v>
      </c>
      <c r="Z194" s="70">
        <f t="shared" si="1545"/>
        <v>103.77880711385602</v>
      </c>
      <c r="AA194" s="70">
        <f t="shared" ref="AA194" si="1546">AA160/AA20*365</f>
        <v>100.81331877729258</v>
      </c>
      <c r="AB194" s="71">
        <f t="shared" si="1545"/>
        <v>161.45752363920366</v>
      </c>
      <c r="AC194" s="71">
        <f t="shared" si="1545"/>
        <v>175.87723067097116</v>
      </c>
      <c r="AD194" s="71">
        <f t="shared" si="1545"/>
        <v>175.90826643332912</v>
      </c>
      <c r="AE194" s="71">
        <f t="shared" si="1545"/>
        <v>175.90640573528387</v>
      </c>
      <c r="AI194" s="70" t="e">
        <f t="shared" ref="AI194:CD194" si="1547">AI160/AI20*90</f>
        <v>#DIV/0!</v>
      </c>
      <c r="AJ194" s="70" t="e">
        <f t="shared" si="1547"/>
        <v>#DIV/0!</v>
      </c>
      <c r="AK194" s="70" t="e">
        <f t="shared" si="1547"/>
        <v>#DIV/0!</v>
      </c>
      <c r="AL194" s="70" t="e">
        <f t="shared" si="1547"/>
        <v>#DIV/0!</v>
      </c>
      <c r="AM194" s="70" t="e">
        <f t="shared" si="1547"/>
        <v>#DIV/0!</v>
      </c>
      <c r="AN194" s="70" t="e">
        <f t="shared" si="1547"/>
        <v>#DIV/0!</v>
      </c>
      <c r="AO194" s="70" t="e">
        <f t="shared" si="1547"/>
        <v>#DIV/0!</v>
      </c>
      <c r="AP194" s="70" t="e">
        <f t="shared" si="1547"/>
        <v>#DIV/0!</v>
      </c>
      <c r="AQ194" s="70" t="e">
        <f t="shared" si="1547"/>
        <v>#DIV/0!</v>
      </c>
      <c r="AR194" s="70" t="e">
        <f t="shared" si="1547"/>
        <v>#DIV/0!</v>
      </c>
      <c r="AS194" s="70" t="e">
        <f t="shared" si="1547"/>
        <v>#DIV/0!</v>
      </c>
      <c r="AT194" s="70" t="e">
        <f t="shared" si="1547"/>
        <v>#DIV/0!</v>
      </c>
      <c r="AU194" s="70" t="e">
        <f t="shared" si="1547"/>
        <v>#DIV/0!</v>
      </c>
      <c r="AV194" s="70" t="e">
        <f t="shared" si="1547"/>
        <v>#DIV/0!</v>
      </c>
      <c r="AW194" s="70" t="e">
        <f t="shared" si="1547"/>
        <v>#DIV/0!</v>
      </c>
      <c r="AX194" s="70" t="e">
        <f t="shared" si="1547"/>
        <v>#DIV/0!</v>
      </c>
      <c r="AY194" s="70" t="e">
        <f t="shared" si="1547"/>
        <v>#DIV/0!</v>
      </c>
      <c r="AZ194" s="70" t="e">
        <f t="shared" si="1547"/>
        <v>#DIV/0!</v>
      </c>
      <c r="BA194" s="70" t="e">
        <f t="shared" si="1547"/>
        <v>#DIV/0!</v>
      </c>
      <c r="BB194" s="70" t="e">
        <f t="shared" si="1547"/>
        <v>#DIV/0!</v>
      </c>
      <c r="BC194" s="70" t="e">
        <f t="shared" si="1547"/>
        <v>#DIV/0!</v>
      </c>
      <c r="BD194" s="70" t="e">
        <f t="shared" si="1547"/>
        <v>#DIV/0!</v>
      </c>
      <c r="BE194" s="70" t="e">
        <f t="shared" si="1547"/>
        <v>#DIV/0!</v>
      </c>
      <c r="BF194" s="70">
        <f t="shared" si="1547"/>
        <v>0</v>
      </c>
      <c r="BG194" s="70">
        <f t="shared" si="1547"/>
        <v>0</v>
      </c>
      <c r="BH194" s="70">
        <f t="shared" si="1547"/>
        <v>0</v>
      </c>
      <c r="BI194" s="70">
        <f t="shared" si="1547"/>
        <v>0</v>
      </c>
      <c r="BJ194" s="70">
        <f t="shared" si="1547"/>
        <v>112.48416608022519</v>
      </c>
      <c r="BK194" s="70">
        <f t="shared" si="1547"/>
        <v>119.98802106029913</v>
      </c>
      <c r="BL194" s="70">
        <f t="shared" si="1547"/>
        <v>140.99731663685151</v>
      </c>
      <c r="BM194" s="70">
        <f t="shared" si="1547"/>
        <v>134.86410064054476</v>
      </c>
      <c r="BN194" s="70">
        <f t="shared" si="1547"/>
        <v>128.02255336286748</v>
      </c>
      <c r="BO194" s="70">
        <f t="shared" si="1547"/>
        <v>149.04032322475632</v>
      </c>
      <c r="BP194" s="70">
        <f t="shared" si="1547"/>
        <v>132.25680933852141</v>
      </c>
      <c r="BQ194" s="70">
        <f t="shared" si="1547"/>
        <v>120.2735677251784</v>
      </c>
      <c r="BR194" s="70">
        <f t="shared" si="1547"/>
        <v>90.199936528086326</v>
      </c>
      <c r="BS194" s="70">
        <f t="shared" si="1547"/>
        <v>101.84888221697521</v>
      </c>
      <c r="BT194" s="70">
        <f t="shared" si="1547"/>
        <v>141.64277411855869</v>
      </c>
      <c r="BU194" s="70">
        <f t="shared" si="1547"/>
        <v>136.67839966079282</v>
      </c>
      <c r="BV194" s="70">
        <f t="shared" si="1547"/>
        <v>99.452662721893489</v>
      </c>
      <c r="BW194" s="70">
        <f t="shared" si="1547"/>
        <v>100.78423333178026</v>
      </c>
      <c r="BX194" s="70">
        <f t="shared" si="1547"/>
        <v>126.41198249747561</v>
      </c>
      <c r="BY194" s="70">
        <f t="shared" si="1547"/>
        <v>118.64546051473233</v>
      </c>
      <c r="BZ194" s="70">
        <f t="shared" si="1547"/>
        <v>120.50574712643679</v>
      </c>
      <c r="CA194" s="70">
        <f t="shared" si="1547"/>
        <v>126.39445537777019</v>
      </c>
      <c r="CB194" s="70">
        <f t="shared" si="1547"/>
        <v>140.6660323501427</v>
      </c>
      <c r="CC194" s="70">
        <f t="shared" si="1547"/>
        <v>130.30011584548726</v>
      </c>
      <c r="CD194" s="70">
        <f t="shared" si="1547"/>
        <v>100.55258880891573</v>
      </c>
      <c r="CE194" s="115">
        <f>CE160/CE22*90</f>
        <v>111.4709508364738</v>
      </c>
      <c r="CF194" s="70">
        <f>CF160/CF20*90</f>
        <v>151.63265306122449</v>
      </c>
      <c r="CG194" s="70">
        <f>CG160/CG22*90</f>
        <v>149.15403319454157</v>
      </c>
      <c r="CH194" s="70">
        <f>CH160/CH20*90</f>
        <v>109.38156929846005</v>
      </c>
      <c r="CI194" s="70">
        <f>CI191+CI192+CI193</f>
        <v>109.38156929846005</v>
      </c>
      <c r="CJ194" s="70">
        <f>CJ160/CJ20*90</f>
        <v>144.91659350307287</v>
      </c>
      <c r="CK194" s="70">
        <f t="shared" ref="CK194:DB194" si="1548">CK191+CK192+CK193</f>
        <v>144.91659350307287</v>
      </c>
      <c r="CL194" s="70">
        <f>CL160/CL20*90</f>
        <v>123.26501766784453</v>
      </c>
      <c r="CM194" s="50">
        <f t="shared" si="1548"/>
        <v>126.46501766784453</v>
      </c>
      <c r="CN194" s="50">
        <f t="shared" si="1548"/>
        <v>129.66501766784455</v>
      </c>
      <c r="CO194" s="50">
        <f t="shared" si="1548"/>
        <v>132.86501766784454</v>
      </c>
      <c r="CP194" s="50">
        <f t="shared" si="1548"/>
        <v>136.06501766784453</v>
      </c>
      <c r="CQ194" s="50">
        <f t="shared" si="1548"/>
        <v>139.26501766784455</v>
      </c>
      <c r="CR194" s="50">
        <f t="shared" si="1548"/>
        <v>142.46501766784453</v>
      </c>
      <c r="CS194" s="50">
        <f t="shared" si="1548"/>
        <v>145.66501766784455</v>
      </c>
      <c r="CT194" s="50">
        <f t="shared" si="1548"/>
        <v>147.86501766784454</v>
      </c>
      <c r="CU194" s="50">
        <f t="shared" si="1548"/>
        <v>147.86501766784454</v>
      </c>
      <c r="CV194" s="50">
        <f t="shared" si="1548"/>
        <v>147.86501766784454</v>
      </c>
      <c r="CW194" s="50">
        <f t="shared" si="1548"/>
        <v>147.86501766784454</v>
      </c>
      <c r="CX194" s="50">
        <f t="shared" si="1548"/>
        <v>147.86501766784454</v>
      </c>
      <c r="CY194" s="50">
        <f t="shared" si="1548"/>
        <v>147.86501766784454</v>
      </c>
      <c r="CZ194" s="50">
        <f t="shared" si="1548"/>
        <v>147.86501766784454</v>
      </c>
      <c r="DA194" s="50">
        <f t="shared" si="1548"/>
        <v>147.86501766784454</v>
      </c>
      <c r="DB194" s="50">
        <f t="shared" si="1548"/>
        <v>147.86501766784454</v>
      </c>
      <c r="DE194" s="138"/>
      <c r="DF194" s="7">
        <v>143.34706835990272</v>
      </c>
    </row>
    <row r="195" spans="1:110" s="62" customFormat="1" outlineLevel="1" x14ac:dyDescent="0.2">
      <c r="A195" s="68" t="s">
        <v>468</v>
      </c>
      <c r="B195" s="67" t="e">
        <f t="shared" ref="B195:AE195" si="1549">B165/B20*365</f>
        <v>#DIV/0!</v>
      </c>
      <c r="C195" s="67" t="e">
        <f t="shared" si="1549"/>
        <v>#DIV/0!</v>
      </c>
      <c r="D195" s="67" t="e">
        <f t="shared" si="1549"/>
        <v>#DIV/0!</v>
      </c>
      <c r="E195" s="67" t="e">
        <f t="shared" si="1549"/>
        <v>#DIV/0!</v>
      </c>
      <c r="F195" s="67" t="e">
        <f t="shared" si="1549"/>
        <v>#DIV/0!</v>
      </c>
      <c r="G195" s="67" t="e">
        <f t="shared" si="1549"/>
        <v>#DIV/0!</v>
      </c>
      <c r="H195" s="67" t="e">
        <f t="shared" si="1549"/>
        <v>#DIV/0!</v>
      </c>
      <c r="I195" s="67" t="e">
        <f t="shared" si="1549"/>
        <v>#DIV/0!</v>
      </c>
      <c r="J195" s="67" t="e">
        <f t="shared" si="1549"/>
        <v>#DIV/0!</v>
      </c>
      <c r="K195" s="67" t="e">
        <f t="shared" si="1549"/>
        <v>#DIV/0!</v>
      </c>
      <c r="L195" s="67" t="e">
        <f t="shared" si="1549"/>
        <v>#DIV/0!</v>
      </c>
      <c r="M195" s="67" t="e">
        <f t="shared" si="1549"/>
        <v>#DIV/0!</v>
      </c>
      <c r="N195" s="67" t="e">
        <f t="shared" si="1549"/>
        <v>#DIV/0!</v>
      </c>
      <c r="O195" s="67" t="e">
        <f t="shared" si="1549"/>
        <v>#DIV/0!</v>
      </c>
      <c r="P195" s="67" t="e">
        <f t="shared" si="1549"/>
        <v>#DIV/0!</v>
      </c>
      <c r="Q195" s="67" t="e">
        <f t="shared" si="1549"/>
        <v>#DIV/0!</v>
      </c>
      <c r="R195" s="67">
        <f t="shared" si="1549"/>
        <v>38.950839328537171</v>
      </c>
      <c r="S195" s="67">
        <f t="shared" si="1549"/>
        <v>38.373173218534042</v>
      </c>
      <c r="T195" s="67">
        <f t="shared" si="1549"/>
        <v>30.931007826843175</v>
      </c>
      <c r="U195" s="67">
        <f t="shared" si="1549"/>
        <v>27.908596199963103</v>
      </c>
      <c r="V195" s="67">
        <f t="shared" si="1549"/>
        <v>28.710735847405722</v>
      </c>
      <c r="W195" s="67">
        <f t="shared" si="1549"/>
        <v>23.790353500498426</v>
      </c>
      <c r="X195" s="67">
        <f t="shared" si="1549"/>
        <v>26.627779920298238</v>
      </c>
      <c r="Y195" s="67">
        <f t="shared" si="1549"/>
        <v>27.939739413680783</v>
      </c>
      <c r="Z195" s="67">
        <f t="shared" si="1549"/>
        <v>32.123005661348429</v>
      </c>
      <c r="AA195" s="67">
        <f t="shared" ref="AA195" si="1550">AA165/AA20*365</f>
        <v>25.781113537117903</v>
      </c>
      <c r="AB195" s="18">
        <f t="shared" si="1549"/>
        <v>32.5544899947743</v>
      </c>
      <c r="AC195" s="18">
        <f t="shared" si="1549"/>
        <v>32.631968296207027</v>
      </c>
      <c r="AD195" s="18">
        <f t="shared" si="1549"/>
        <v>32.637726619836805</v>
      </c>
      <c r="AE195" s="18">
        <f t="shared" si="1549"/>
        <v>32.63738138902216</v>
      </c>
      <c r="AI195" s="67" t="e">
        <f>AJ165/AI20*90</f>
        <v>#DIV/0!</v>
      </c>
      <c r="AJ195" s="67" t="e">
        <f>AJ165/AJ20*90</f>
        <v>#DIV/0!</v>
      </c>
      <c r="AK195" s="67" t="e">
        <f t="shared" ref="AK195:CE195" si="1551">+AJ195</f>
        <v>#DIV/0!</v>
      </c>
      <c r="AL195" s="67" t="e">
        <f>AL165/AL20*90</f>
        <v>#DIV/0!</v>
      </c>
      <c r="AM195" s="67" t="e">
        <f t="shared" ref="AM195" si="1552">+AL195</f>
        <v>#DIV/0!</v>
      </c>
      <c r="AN195" s="67" t="e">
        <f>AN165/AN20*90</f>
        <v>#DIV/0!</v>
      </c>
      <c r="AO195" s="67" t="e">
        <f t="shared" ref="AO195" si="1553">+AN195</f>
        <v>#DIV/0!</v>
      </c>
      <c r="AP195" s="67" t="e">
        <f>AP165/AP20*90</f>
        <v>#DIV/0!</v>
      </c>
      <c r="AQ195" s="67" t="e">
        <f t="shared" ref="AQ195" si="1554">+AP195</f>
        <v>#DIV/0!</v>
      </c>
      <c r="AR195" s="67" t="e">
        <f>AR165/AR20*90</f>
        <v>#DIV/0!</v>
      </c>
      <c r="AS195" s="67" t="e">
        <f t="shared" ref="AS195" si="1555">+AR195</f>
        <v>#DIV/0!</v>
      </c>
      <c r="AT195" s="67" t="e">
        <f>AT165/AT20*90</f>
        <v>#DIV/0!</v>
      </c>
      <c r="AU195" s="67" t="e">
        <f t="shared" ref="AU195" si="1556">+AT195</f>
        <v>#DIV/0!</v>
      </c>
      <c r="AV195" s="67" t="e">
        <f>AV165/AV20*90</f>
        <v>#DIV/0!</v>
      </c>
      <c r="AW195" s="67" t="e">
        <f t="shared" ref="AW195" si="1557">+AV195</f>
        <v>#DIV/0!</v>
      </c>
      <c r="AX195" s="67" t="e">
        <f>AX165/AX20*90</f>
        <v>#DIV/0!</v>
      </c>
      <c r="AY195" s="67" t="e">
        <f t="shared" ref="AY195" si="1558">+AX195</f>
        <v>#DIV/0!</v>
      </c>
      <c r="AZ195" s="67" t="e">
        <f>AZ165/AZ20*90</f>
        <v>#DIV/0!</v>
      </c>
      <c r="BA195" s="67" t="e">
        <f t="shared" ref="BA195" si="1559">+AZ195</f>
        <v>#DIV/0!</v>
      </c>
      <c r="BB195" s="67" t="e">
        <f>BB165/BB20*90</f>
        <v>#DIV/0!</v>
      </c>
      <c r="BC195" s="67" t="e">
        <f t="shared" ref="BC195" si="1560">+BB195</f>
        <v>#DIV/0!</v>
      </c>
      <c r="BD195" s="67" t="e">
        <f>BD165/BD20*90</f>
        <v>#DIV/0!</v>
      </c>
      <c r="BE195" s="67" t="e">
        <f t="shared" ref="BE195" si="1561">+BD195</f>
        <v>#DIV/0!</v>
      </c>
      <c r="BF195" s="67">
        <f>BF165/BF20*90</f>
        <v>0</v>
      </c>
      <c r="BG195" s="67">
        <f t="shared" ref="BG195" si="1562">+BF195</f>
        <v>0</v>
      </c>
      <c r="BH195" s="67">
        <f>BH165/BH20*90</f>
        <v>0</v>
      </c>
      <c r="BI195" s="67">
        <f t="shared" ref="BI195" si="1563">+BH195</f>
        <v>0</v>
      </c>
      <c r="BJ195" s="67">
        <f>BJ165/BJ20*90</f>
        <v>27.772695285010556</v>
      </c>
      <c r="BK195" s="67">
        <f t="shared" ref="BK195" si="1564">+BJ195</f>
        <v>27.772695285010556</v>
      </c>
      <c r="BL195" s="67">
        <f>BL165/BL20*90</f>
        <v>28.618067978533094</v>
      </c>
      <c r="BM195" s="67">
        <f t="shared" ref="BM195" si="1565">+BL195</f>
        <v>28.618067978533094</v>
      </c>
      <c r="BN195" s="67">
        <f>BN165/BN20*90</f>
        <v>30.048328634716068</v>
      </c>
      <c r="BO195" s="67">
        <f t="shared" ref="BO195" si="1566">+BN195</f>
        <v>30.048328634716068</v>
      </c>
      <c r="BP195" s="67">
        <f>BP165/BP20*90</f>
        <v>30.778210116731518</v>
      </c>
      <c r="BQ195" s="67">
        <f t="shared" ref="BQ195" si="1567">+BP195</f>
        <v>30.778210116731518</v>
      </c>
      <c r="BR195" s="67">
        <f>BR165/BR20*90</f>
        <v>25.677562678514757</v>
      </c>
      <c r="BS195" s="67">
        <f t="shared" ref="BS195" si="1568">+BR195</f>
        <v>25.677562678514757</v>
      </c>
      <c r="BT195" s="67">
        <f>BT165/BT20*90</f>
        <v>29.290972491282449</v>
      </c>
      <c r="BU195" s="67">
        <f t="shared" ref="BU195" si="1569">+BT195</f>
        <v>29.290972491282449</v>
      </c>
      <c r="BV195" s="67">
        <f>BV165/BV20*90</f>
        <v>22.633136094674558</v>
      </c>
      <c r="BW195" s="67">
        <f t="shared" ref="BW195" si="1570">+BV195</f>
        <v>22.633136094674558</v>
      </c>
      <c r="BX195" s="67">
        <f>BX165/BX20*90</f>
        <v>26.930326489397508</v>
      </c>
      <c r="BY195" s="67">
        <f t="shared" ref="BY195" si="1571">+BX195</f>
        <v>26.930326489397508</v>
      </c>
      <c r="BZ195" s="67">
        <f>BZ165/BZ20*90</f>
        <v>26.091954022988507</v>
      </c>
      <c r="CA195" s="67">
        <f t="shared" ref="CA195" si="1572">+BZ195</f>
        <v>26.091954022988507</v>
      </c>
      <c r="CB195" s="67">
        <f>CB165/CB20*90</f>
        <v>28.801141769743101</v>
      </c>
      <c r="CC195" s="67">
        <f t="shared" ref="CC195" si="1573">+CB195</f>
        <v>28.801141769743101</v>
      </c>
      <c r="CD195" s="67">
        <f>CD165/CD20*90</f>
        <v>27.499419549570465</v>
      </c>
      <c r="CE195" s="114">
        <f t="shared" si="1551"/>
        <v>27.499419549570465</v>
      </c>
      <c r="CF195" s="67">
        <f>CF165/CF20*90</f>
        <v>37.084548104956269</v>
      </c>
      <c r="CG195" s="67">
        <f t="shared" ref="CG195:CI195" si="1574">+CF195</f>
        <v>37.084548104956269</v>
      </c>
      <c r="CH195" s="67">
        <f>CH165/CH20*90</f>
        <v>33.857247616719633</v>
      </c>
      <c r="CI195" s="67">
        <f t="shared" si="1574"/>
        <v>33.857247616719633</v>
      </c>
      <c r="CJ195" s="67">
        <f>CJ165/CJ20*90</f>
        <v>32.054433713784022</v>
      </c>
      <c r="CK195" s="67">
        <f t="shared" ref="CK195" si="1575">+CJ195</f>
        <v>32.054433713784022</v>
      </c>
      <c r="CL195" s="67">
        <f>CL165/CL20*90</f>
        <v>27.434628975265017</v>
      </c>
      <c r="CM195" s="30">
        <f t="shared" ref="CM195" si="1576">+CL195</f>
        <v>27.434628975265017</v>
      </c>
      <c r="CN195" s="30">
        <f t="shared" ref="CN195" si="1577">+CM195</f>
        <v>27.434628975265017</v>
      </c>
      <c r="CO195" s="30">
        <f t="shared" ref="CO195" si="1578">+CN195</f>
        <v>27.434628975265017</v>
      </c>
      <c r="CP195" s="30">
        <f t="shared" ref="CP195" si="1579">+CO195</f>
        <v>27.434628975265017</v>
      </c>
      <c r="CQ195" s="30">
        <f t="shared" ref="CQ195" si="1580">+CP195</f>
        <v>27.434628975265017</v>
      </c>
      <c r="CR195" s="30">
        <f t="shared" ref="CR195" si="1581">+CQ195</f>
        <v>27.434628975265017</v>
      </c>
      <c r="CS195" s="30">
        <f t="shared" ref="CS195" si="1582">+CR195</f>
        <v>27.434628975265017</v>
      </c>
      <c r="CT195" s="30">
        <f t="shared" ref="CT195" si="1583">+CS195</f>
        <v>27.434628975265017</v>
      </c>
      <c r="CU195" s="30">
        <f t="shared" ref="CU195" si="1584">+CT195</f>
        <v>27.434628975265017</v>
      </c>
      <c r="CV195" s="30">
        <f t="shared" ref="CV195" si="1585">+CU195</f>
        <v>27.434628975265017</v>
      </c>
      <c r="CW195" s="30">
        <f t="shared" ref="CW195" si="1586">+CV195</f>
        <v>27.434628975265017</v>
      </c>
      <c r="CX195" s="30">
        <f t="shared" ref="CX195" si="1587">+CW195</f>
        <v>27.434628975265017</v>
      </c>
      <c r="CY195" s="30">
        <f t="shared" ref="CY195" si="1588">+CX195</f>
        <v>27.434628975265017</v>
      </c>
      <c r="CZ195" s="30">
        <f t="shared" ref="CZ195" si="1589">+CY195</f>
        <v>27.434628975265017</v>
      </c>
      <c r="DA195" s="30">
        <f t="shared" ref="DA195" si="1590">+CZ195</f>
        <v>27.434628975265017</v>
      </c>
      <c r="DB195" s="30">
        <f t="shared" ref="DB195" si="1591">+DA195</f>
        <v>27.434628975265017</v>
      </c>
      <c r="DE195" s="139"/>
      <c r="DF195" s="62">
        <v>31.904215077006214</v>
      </c>
    </row>
    <row r="196" spans="1:110" s="62" customFormat="1" outlineLevel="1" x14ac:dyDescent="0.2">
      <c r="A196" s="68" t="s">
        <v>466</v>
      </c>
      <c r="B196" s="67" t="e">
        <f>B197-B195</f>
        <v>#DIV/0!</v>
      </c>
      <c r="C196" s="67" t="e">
        <f t="shared" ref="C196:V196" si="1592">C197-C195</f>
        <v>#DIV/0!</v>
      </c>
      <c r="D196" s="67" t="e">
        <f t="shared" si="1592"/>
        <v>#DIV/0!</v>
      </c>
      <c r="E196" s="67" t="e">
        <f t="shared" si="1592"/>
        <v>#DIV/0!</v>
      </c>
      <c r="F196" s="67" t="e">
        <f t="shared" si="1592"/>
        <v>#DIV/0!</v>
      </c>
      <c r="G196" s="67" t="e">
        <f t="shared" si="1592"/>
        <v>#DIV/0!</v>
      </c>
      <c r="H196" s="67" t="e">
        <f t="shared" si="1592"/>
        <v>#DIV/0!</v>
      </c>
      <c r="I196" s="67" t="e">
        <f t="shared" si="1592"/>
        <v>#DIV/0!</v>
      </c>
      <c r="J196" s="67" t="e">
        <f t="shared" si="1592"/>
        <v>#DIV/0!</v>
      </c>
      <c r="K196" s="67" t="e">
        <f t="shared" si="1592"/>
        <v>#DIV/0!</v>
      </c>
      <c r="L196" s="67" t="e">
        <f t="shared" si="1592"/>
        <v>#DIV/0!</v>
      </c>
      <c r="M196" s="67" t="e">
        <f t="shared" si="1592"/>
        <v>#DIV/0!</v>
      </c>
      <c r="N196" s="67" t="e">
        <f t="shared" si="1592"/>
        <v>#DIV/0!</v>
      </c>
      <c r="O196" s="67" t="e">
        <f t="shared" si="1592"/>
        <v>#DIV/0!</v>
      </c>
      <c r="P196" s="67" t="e">
        <f t="shared" si="1592"/>
        <v>#DIV/0!</v>
      </c>
      <c r="Q196" s="67" t="e">
        <f t="shared" si="1592"/>
        <v>#DIV/0!</v>
      </c>
      <c r="R196" s="67">
        <f t="shared" si="1592"/>
        <v>59.564148681055158</v>
      </c>
      <c r="S196" s="67">
        <f t="shared" si="1592"/>
        <v>59.627279936558288</v>
      </c>
      <c r="T196" s="67">
        <f t="shared" si="1592"/>
        <v>65.388926466325245</v>
      </c>
      <c r="U196" s="67">
        <f t="shared" si="1592"/>
        <v>75.275779376498804</v>
      </c>
      <c r="V196" s="67">
        <f t="shared" si="1592"/>
        <v>88.655175430921332</v>
      </c>
      <c r="W196" s="67">
        <f t="shared" ref="W196" si="1593">W197-W195</f>
        <v>84.021930833525047</v>
      </c>
      <c r="X196" s="67">
        <f t="shared" ref="X196:Y196" si="1594">X197-X195</f>
        <v>77.138449672194369</v>
      </c>
      <c r="Y196" s="67">
        <f t="shared" si="1594"/>
        <v>74.329048394602125</v>
      </c>
      <c r="Z196" s="67">
        <f t="shared" ref="Z196:AA196" si="1595">Z197-Z195</f>
        <v>81.257219648882042</v>
      </c>
      <c r="AA196" s="67">
        <f t="shared" ref="AA196" si="1596">AA197-AA195</f>
        <v>97.745087336244552</v>
      </c>
      <c r="AB196" s="18">
        <f t="shared" ref="AB196:AD196" si="1597">AB197-AB195</f>
        <v>123.42529205128493</v>
      </c>
      <c r="AC196" s="18">
        <f t="shared" si="1597"/>
        <v>123.71903899628413</v>
      </c>
      <c r="AD196" s="18">
        <f t="shared" si="1597"/>
        <v>123.7408707858728</v>
      </c>
      <c r="AE196" s="18">
        <f t="shared" ref="AE196" si="1598">AE197-AE195</f>
        <v>123.73956189686456</v>
      </c>
      <c r="AI196" s="67" t="e">
        <f t="shared" ref="AI196:AK196" si="1599">AI197-AI195</f>
        <v>#DIV/0!</v>
      </c>
      <c r="AJ196" s="67" t="e">
        <f t="shared" ref="AJ196:AM196" si="1600">AJ197-AJ195</f>
        <v>#DIV/0!</v>
      </c>
      <c r="AK196" s="67" t="e">
        <f t="shared" si="1599"/>
        <v>#DIV/0!</v>
      </c>
      <c r="AL196" s="67" t="e">
        <f t="shared" si="1600"/>
        <v>#DIV/0!</v>
      </c>
      <c r="AM196" s="67" t="e">
        <f t="shared" si="1600"/>
        <v>#DIV/0!</v>
      </c>
      <c r="AN196" s="67" t="e">
        <f t="shared" ref="AN196:AY196" si="1601">AN197-AN195</f>
        <v>#DIV/0!</v>
      </c>
      <c r="AO196" s="67" t="e">
        <f t="shared" si="1601"/>
        <v>#DIV/0!</v>
      </c>
      <c r="AP196" s="67" t="e">
        <f t="shared" si="1601"/>
        <v>#DIV/0!</v>
      </c>
      <c r="AQ196" s="67" t="e">
        <f t="shared" si="1601"/>
        <v>#DIV/0!</v>
      </c>
      <c r="AR196" s="67" t="e">
        <f t="shared" si="1601"/>
        <v>#DIV/0!</v>
      </c>
      <c r="AS196" s="67" t="e">
        <f t="shared" si="1601"/>
        <v>#DIV/0!</v>
      </c>
      <c r="AT196" s="67" t="e">
        <f t="shared" si="1601"/>
        <v>#DIV/0!</v>
      </c>
      <c r="AU196" s="67" t="e">
        <f t="shared" si="1601"/>
        <v>#DIV/0!</v>
      </c>
      <c r="AV196" s="67" t="e">
        <f t="shared" si="1601"/>
        <v>#DIV/0!</v>
      </c>
      <c r="AW196" s="67" t="e">
        <f t="shared" si="1601"/>
        <v>#DIV/0!</v>
      </c>
      <c r="AX196" s="67" t="e">
        <f t="shared" si="1601"/>
        <v>#DIV/0!</v>
      </c>
      <c r="AY196" s="67" t="e">
        <f t="shared" si="1601"/>
        <v>#DIV/0!</v>
      </c>
      <c r="AZ196" s="67" t="e">
        <f t="shared" ref="AZ196:BC196" si="1602">AZ197-AZ195</f>
        <v>#DIV/0!</v>
      </c>
      <c r="BA196" s="67" t="e">
        <f t="shared" si="1602"/>
        <v>#DIV/0!</v>
      </c>
      <c r="BB196" s="67" t="e">
        <f t="shared" si="1602"/>
        <v>#DIV/0!</v>
      </c>
      <c r="BC196" s="67" t="e">
        <f t="shared" si="1602"/>
        <v>#DIV/0!</v>
      </c>
      <c r="BD196" s="67" t="e">
        <f t="shared" ref="BD196:CE196" si="1603">BD197-BD195</f>
        <v>#DIV/0!</v>
      </c>
      <c r="BE196" s="67" t="e">
        <f t="shared" si="1603"/>
        <v>#DIV/0!</v>
      </c>
      <c r="BF196" s="67">
        <f t="shared" si="1603"/>
        <v>0</v>
      </c>
      <c r="BG196" s="67">
        <f t="shared" si="1603"/>
        <v>0</v>
      </c>
      <c r="BH196" s="67">
        <f t="shared" si="1603"/>
        <v>0</v>
      </c>
      <c r="BI196" s="67">
        <f t="shared" si="1603"/>
        <v>0</v>
      </c>
      <c r="BJ196" s="67">
        <f t="shared" si="1603"/>
        <v>88.95496129486277</v>
      </c>
      <c r="BK196" s="67">
        <f t="shared" si="1603"/>
        <v>99.649191959006686</v>
      </c>
      <c r="BL196" s="67">
        <f t="shared" si="1603"/>
        <v>124.53488372093024</v>
      </c>
      <c r="BM196" s="67">
        <f t="shared" si="1603"/>
        <v>115.1376194640376</v>
      </c>
      <c r="BN196" s="67">
        <f t="shared" si="1603"/>
        <v>124.50664518727346</v>
      </c>
      <c r="BO196" s="67">
        <f t="shared" si="1603"/>
        <v>162.62493424513417</v>
      </c>
      <c r="BP196" s="67">
        <f t="shared" si="1603"/>
        <v>133.30739299610894</v>
      </c>
      <c r="BQ196" s="67">
        <f t="shared" si="1603"/>
        <v>112.65619291194741</v>
      </c>
      <c r="BR196" s="67">
        <f t="shared" si="1603"/>
        <v>79.289114566804187</v>
      </c>
      <c r="BS196" s="67">
        <f t="shared" si="1603"/>
        <v>96.426090312620602</v>
      </c>
      <c r="BT196" s="67">
        <f t="shared" si="1603"/>
        <v>100.4959318093762</v>
      </c>
      <c r="BU196" s="67">
        <f t="shared" si="1603"/>
        <v>94.871982443306521</v>
      </c>
      <c r="BV196" s="67">
        <f t="shared" si="1603"/>
        <v>79.934911242603548</v>
      </c>
      <c r="BW196" s="67">
        <f t="shared" si="1603"/>
        <v>81.823137492428842</v>
      </c>
      <c r="BX196" s="67">
        <f t="shared" si="1603"/>
        <v>85.486368226186471</v>
      </c>
      <c r="BY196" s="67">
        <f t="shared" si="1603"/>
        <v>75.70193740685545</v>
      </c>
      <c r="BZ196" s="67">
        <f t="shared" si="1603"/>
        <v>75.58620689655173</v>
      </c>
      <c r="CA196" s="67">
        <f t="shared" si="1603"/>
        <v>81.588089330024829</v>
      </c>
      <c r="CB196" s="67">
        <f t="shared" si="1603"/>
        <v>91.798287345385361</v>
      </c>
      <c r="CC196" s="67">
        <f t="shared" si="1603"/>
        <v>80.310765815760277</v>
      </c>
      <c r="CD196" s="67">
        <f t="shared" si="1603"/>
        <v>73.157650336661249</v>
      </c>
      <c r="CE196" s="114">
        <f t="shared" si="1603"/>
        <v>87.017398508699259</v>
      </c>
      <c r="CF196" s="67">
        <f t="shared" ref="CF196:CG196" si="1604">CF197-CF195</f>
        <v>96.559766763848387</v>
      </c>
      <c r="CG196" s="67">
        <f t="shared" si="1604"/>
        <v>93.706381640993385</v>
      </c>
      <c r="CH196" s="67">
        <f t="shared" ref="CH196" si="1605">CH197-CH195</f>
        <v>85.644096797848931</v>
      </c>
      <c r="CI196" s="67">
        <f>CH196</f>
        <v>85.644096797848931</v>
      </c>
      <c r="CJ196" s="67">
        <f t="shared" ref="CJ196:CL196" si="1606">CJ197-CJ195</f>
        <v>98.53380158033363</v>
      </c>
      <c r="CK196" s="67">
        <f t="shared" ref="CK196:DB196" si="1607">CJ196</f>
        <v>98.53380158033363</v>
      </c>
      <c r="CL196" s="67">
        <f t="shared" si="1606"/>
        <v>104.01413427561837</v>
      </c>
      <c r="CM196" s="30">
        <f t="shared" si="1607"/>
        <v>104.01413427561837</v>
      </c>
      <c r="CN196" s="30">
        <f t="shared" si="1607"/>
        <v>104.01413427561837</v>
      </c>
      <c r="CO196" s="30">
        <f t="shared" si="1607"/>
        <v>104.01413427561837</v>
      </c>
      <c r="CP196" s="30">
        <f t="shared" si="1607"/>
        <v>104.01413427561837</v>
      </c>
      <c r="CQ196" s="30">
        <f t="shared" si="1607"/>
        <v>104.01413427561837</v>
      </c>
      <c r="CR196" s="30">
        <f t="shared" si="1607"/>
        <v>104.01413427561837</v>
      </c>
      <c r="CS196" s="30">
        <f t="shared" si="1607"/>
        <v>104.01413427561837</v>
      </c>
      <c r="CT196" s="30">
        <f t="shared" si="1607"/>
        <v>104.01413427561837</v>
      </c>
      <c r="CU196" s="30">
        <f t="shared" si="1607"/>
        <v>104.01413427561837</v>
      </c>
      <c r="CV196" s="30">
        <f t="shared" si="1607"/>
        <v>104.01413427561837</v>
      </c>
      <c r="CW196" s="30">
        <f t="shared" si="1607"/>
        <v>104.01413427561837</v>
      </c>
      <c r="CX196" s="30">
        <f t="shared" si="1607"/>
        <v>104.01413427561837</v>
      </c>
      <c r="CY196" s="30">
        <f t="shared" si="1607"/>
        <v>104.01413427561837</v>
      </c>
      <c r="CZ196" s="30">
        <f t="shared" si="1607"/>
        <v>104.01413427561837</v>
      </c>
      <c r="DA196" s="30">
        <f t="shared" si="1607"/>
        <v>104.01413427561837</v>
      </c>
      <c r="DB196" s="30">
        <f t="shared" si="1607"/>
        <v>104.01413427561837</v>
      </c>
      <c r="DE196" s="139"/>
      <c r="DF196" s="62">
        <v>120.95987570926776</v>
      </c>
    </row>
    <row r="197" spans="1:110" s="7" customFormat="1" outlineLevel="1" x14ac:dyDescent="0.2">
      <c r="A197" s="69" t="s">
        <v>469</v>
      </c>
      <c r="B197" s="70" t="e">
        <f t="shared" ref="B197:AE197" si="1608">B168/B20*365</f>
        <v>#DIV/0!</v>
      </c>
      <c r="C197" s="70" t="e">
        <f t="shared" si="1608"/>
        <v>#DIV/0!</v>
      </c>
      <c r="D197" s="70" t="e">
        <f t="shared" si="1608"/>
        <v>#DIV/0!</v>
      </c>
      <c r="E197" s="70" t="e">
        <f t="shared" si="1608"/>
        <v>#DIV/0!</v>
      </c>
      <c r="F197" s="70" t="e">
        <f t="shared" si="1608"/>
        <v>#DIV/0!</v>
      </c>
      <c r="G197" s="70" t="e">
        <f t="shared" si="1608"/>
        <v>#DIV/0!</v>
      </c>
      <c r="H197" s="70" t="e">
        <f t="shared" si="1608"/>
        <v>#DIV/0!</v>
      </c>
      <c r="I197" s="70" t="e">
        <f t="shared" si="1608"/>
        <v>#DIV/0!</v>
      </c>
      <c r="J197" s="70" t="e">
        <f t="shared" si="1608"/>
        <v>#DIV/0!</v>
      </c>
      <c r="K197" s="70" t="e">
        <f t="shared" si="1608"/>
        <v>#DIV/0!</v>
      </c>
      <c r="L197" s="70" t="e">
        <f t="shared" si="1608"/>
        <v>#DIV/0!</v>
      </c>
      <c r="M197" s="70" t="e">
        <f t="shared" si="1608"/>
        <v>#DIV/0!</v>
      </c>
      <c r="N197" s="70" t="e">
        <f t="shared" si="1608"/>
        <v>#DIV/0!</v>
      </c>
      <c r="O197" s="70" t="e">
        <f t="shared" si="1608"/>
        <v>#DIV/0!</v>
      </c>
      <c r="P197" s="70" t="e">
        <f t="shared" si="1608"/>
        <v>#DIV/0!</v>
      </c>
      <c r="Q197" s="70" t="e">
        <f t="shared" si="1608"/>
        <v>#DIV/0!</v>
      </c>
      <c r="R197" s="70">
        <f t="shared" si="1608"/>
        <v>98.514988009592329</v>
      </c>
      <c r="S197" s="70">
        <f t="shared" si="1608"/>
        <v>98.00045315509233</v>
      </c>
      <c r="T197" s="70">
        <f t="shared" si="1608"/>
        <v>96.319934293168416</v>
      </c>
      <c r="U197" s="70">
        <f t="shared" si="1608"/>
        <v>103.1843755764619</v>
      </c>
      <c r="V197" s="70">
        <f t="shared" si="1608"/>
        <v>117.36591127832706</v>
      </c>
      <c r="W197" s="70">
        <f t="shared" si="1608"/>
        <v>107.81228433402347</v>
      </c>
      <c r="X197" s="70">
        <f t="shared" si="1608"/>
        <v>103.76622959249261</v>
      </c>
      <c r="Y197" s="70">
        <f t="shared" si="1608"/>
        <v>102.26878780828291</v>
      </c>
      <c r="Z197" s="70">
        <f t="shared" si="1608"/>
        <v>113.38022531023047</v>
      </c>
      <c r="AA197" s="70">
        <f t="shared" ref="AA197" si="1609">AA168/AA20*365</f>
        <v>123.52620087336246</v>
      </c>
      <c r="AB197" s="71">
        <f t="shared" si="1608"/>
        <v>155.97978204605923</v>
      </c>
      <c r="AC197" s="71">
        <f t="shared" si="1608"/>
        <v>156.35100729249115</v>
      </c>
      <c r="AD197" s="71">
        <f t="shared" si="1608"/>
        <v>156.3785974057096</v>
      </c>
      <c r="AE197" s="71">
        <f t="shared" si="1608"/>
        <v>156.37694328588671</v>
      </c>
      <c r="AI197" s="70" t="e">
        <f t="shared" ref="AI197:CD197" si="1610">AI168/AI20*90</f>
        <v>#DIV/0!</v>
      </c>
      <c r="AJ197" s="70" t="e">
        <f t="shared" si="1610"/>
        <v>#DIV/0!</v>
      </c>
      <c r="AK197" s="70" t="e">
        <f>AK168/AK20*90</f>
        <v>#DIV/0!</v>
      </c>
      <c r="AL197" s="70" t="e">
        <f t="shared" si="1610"/>
        <v>#DIV/0!</v>
      </c>
      <c r="AM197" s="70" t="e">
        <f t="shared" si="1610"/>
        <v>#DIV/0!</v>
      </c>
      <c r="AN197" s="70" t="e">
        <f t="shared" si="1610"/>
        <v>#DIV/0!</v>
      </c>
      <c r="AO197" s="70" t="e">
        <f t="shared" si="1610"/>
        <v>#DIV/0!</v>
      </c>
      <c r="AP197" s="70" t="e">
        <f t="shared" si="1610"/>
        <v>#DIV/0!</v>
      </c>
      <c r="AQ197" s="70" t="e">
        <f t="shared" si="1610"/>
        <v>#DIV/0!</v>
      </c>
      <c r="AR197" s="70" t="e">
        <f t="shared" si="1610"/>
        <v>#DIV/0!</v>
      </c>
      <c r="AS197" s="70" t="e">
        <f t="shared" si="1610"/>
        <v>#DIV/0!</v>
      </c>
      <c r="AT197" s="70" t="e">
        <f t="shared" si="1610"/>
        <v>#DIV/0!</v>
      </c>
      <c r="AU197" s="70" t="e">
        <f t="shared" si="1610"/>
        <v>#DIV/0!</v>
      </c>
      <c r="AV197" s="70" t="e">
        <f t="shared" si="1610"/>
        <v>#DIV/0!</v>
      </c>
      <c r="AW197" s="70" t="e">
        <f t="shared" si="1610"/>
        <v>#DIV/0!</v>
      </c>
      <c r="AX197" s="70" t="e">
        <f t="shared" si="1610"/>
        <v>#DIV/0!</v>
      </c>
      <c r="AY197" s="70" t="e">
        <f t="shared" si="1610"/>
        <v>#DIV/0!</v>
      </c>
      <c r="AZ197" s="70" t="e">
        <f t="shared" si="1610"/>
        <v>#DIV/0!</v>
      </c>
      <c r="BA197" s="70" t="e">
        <f t="shared" si="1610"/>
        <v>#DIV/0!</v>
      </c>
      <c r="BB197" s="70" t="e">
        <f t="shared" si="1610"/>
        <v>#DIV/0!</v>
      </c>
      <c r="BC197" s="70" t="e">
        <f t="shared" si="1610"/>
        <v>#DIV/0!</v>
      </c>
      <c r="BD197" s="70" t="e">
        <f t="shared" si="1610"/>
        <v>#DIV/0!</v>
      </c>
      <c r="BE197" s="70" t="e">
        <f t="shared" si="1610"/>
        <v>#DIV/0!</v>
      </c>
      <c r="BF197" s="70">
        <f t="shared" si="1610"/>
        <v>0</v>
      </c>
      <c r="BG197" s="70">
        <f t="shared" si="1610"/>
        <v>0</v>
      </c>
      <c r="BH197" s="70">
        <f t="shared" si="1610"/>
        <v>0</v>
      </c>
      <c r="BI197" s="70">
        <f t="shared" si="1610"/>
        <v>0</v>
      </c>
      <c r="BJ197" s="70">
        <f t="shared" si="1610"/>
        <v>116.72765657987333</v>
      </c>
      <c r="BK197" s="70">
        <f t="shared" si="1610"/>
        <v>127.42188724401724</v>
      </c>
      <c r="BL197" s="70">
        <f t="shared" si="1610"/>
        <v>153.15295169946333</v>
      </c>
      <c r="BM197" s="70">
        <f t="shared" si="1610"/>
        <v>143.75568744257069</v>
      </c>
      <c r="BN197" s="70">
        <f t="shared" si="1610"/>
        <v>154.55497382198953</v>
      </c>
      <c r="BO197" s="70">
        <f t="shared" si="1610"/>
        <v>192.67326287985023</v>
      </c>
      <c r="BP197" s="70">
        <f t="shared" si="1610"/>
        <v>164.08560311284046</v>
      </c>
      <c r="BQ197" s="70">
        <f t="shared" si="1610"/>
        <v>143.43440302867893</v>
      </c>
      <c r="BR197" s="70">
        <f t="shared" si="1610"/>
        <v>104.96667724531895</v>
      </c>
      <c r="BS197" s="70">
        <f t="shared" si="1610"/>
        <v>122.10365299113536</v>
      </c>
      <c r="BT197" s="70">
        <f t="shared" si="1610"/>
        <v>129.78690430065865</v>
      </c>
      <c r="BU197" s="70">
        <f t="shared" si="1610"/>
        <v>124.16295493458897</v>
      </c>
      <c r="BV197" s="70">
        <f t="shared" si="1610"/>
        <v>102.5680473372781</v>
      </c>
      <c r="BW197" s="70">
        <f t="shared" si="1610"/>
        <v>104.4562735871034</v>
      </c>
      <c r="BX197" s="70">
        <f t="shared" si="1610"/>
        <v>112.41669471558397</v>
      </c>
      <c r="BY197" s="70">
        <f t="shared" si="1610"/>
        <v>102.63226389625295</v>
      </c>
      <c r="BZ197" s="70">
        <f t="shared" si="1610"/>
        <v>101.67816091954023</v>
      </c>
      <c r="CA197" s="70">
        <f t="shared" si="1610"/>
        <v>107.68004335301333</v>
      </c>
      <c r="CB197" s="70">
        <f t="shared" si="1610"/>
        <v>120.59942911512846</v>
      </c>
      <c r="CC197" s="70">
        <f t="shared" si="1610"/>
        <v>109.11190758550337</v>
      </c>
      <c r="CD197" s="70">
        <f t="shared" si="1610"/>
        <v>100.65706988623171</v>
      </c>
      <c r="CE197" s="115">
        <f>CE168/CE22*90</f>
        <v>114.51681805826972</v>
      </c>
      <c r="CF197" s="70">
        <f>CF168/CF20*90</f>
        <v>133.64431486880466</v>
      </c>
      <c r="CG197" s="70">
        <f>CG168/CG22*90</f>
        <v>130.79092974594965</v>
      </c>
      <c r="CH197" s="70">
        <f>CH168/CH20*90</f>
        <v>119.50134441456856</v>
      </c>
      <c r="CI197" s="70">
        <f>CI195+CI196</f>
        <v>119.50134441456856</v>
      </c>
      <c r="CJ197" s="70">
        <f>CJ168/CJ20*90</f>
        <v>130.58823529411765</v>
      </c>
      <c r="CK197" s="70">
        <f t="shared" ref="CK197:DB197" si="1611">CK195+CK196</f>
        <v>130.58823529411765</v>
      </c>
      <c r="CL197" s="70">
        <f>CL168/CL20*90</f>
        <v>131.44876325088339</v>
      </c>
      <c r="CM197" s="50">
        <f t="shared" si="1611"/>
        <v>131.44876325088339</v>
      </c>
      <c r="CN197" s="50">
        <f t="shared" si="1611"/>
        <v>131.44876325088339</v>
      </c>
      <c r="CO197" s="50">
        <f t="shared" si="1611"/>
        <v>131.44876325088339</v>
      </c>
      <c r="CP197" s="50">
        <f t="shared" si="1611"/>
        <v>131.44876325088339</v>
      </c>
      <c r="CQ197" s="50">
        <f t="shared" si="1611"/>
        <v>131.44876325088339</v>
      </c>
      <c r="CR197" s="50">
        <f t="shared" si="1611"/>
        <v>131.44876325088339</v>
      </c>
      <c r="CS197" s="50">
        <f t="shared" si="1611"/>
        <v>131.44876325088339</v>
      </c>
      <c r="CT197" s="50">
        <f t="shared" si="1611"/>
        <v>131.44876325088339</v>
      </c>
      <c r="CU197" s="50">
        <f t="shared" si="1611"/>
        <v>131.44876325088339</v>
      </c>
      <c r="CV197" s="50">
        <f t="shared" si="1611"/>
        <v>131.44876325088339</v>
      </c>
      <c r="CW197" s="50">
        <f t="shared" si="1611"/>
        <v>131.44876325088339</v>
      </c>
      <c r="CX197" s="50">
        <f t="shared" si="1611"/>
        <v>131.44876325088339</v>
      </c>
      <c r="CY197" s="50">
        <f t="shared" si="1611"/>
        <v>131.44876325088339</v>
      </c>
      <c r="CZ197" s="50">
        <f t="shared" si="1611"/>
        <v>131.44876325088339</v>
      </c>
      <c r="DA197" s="50">
        <f t="shared" si="1611"/>
        <v>131.44876325088339</v>
      </c>
      <c r="DB197" s="50">
        <f t="shared" si="1611"/>
        <v>131.44876325088339</v>
      </c>
      <c r="DE197" s="138"/>
      <c r="DF197" s="7">
        <v>152.86409078627398</v>
      </c>
    </row>
    <row r="198" spans="1:110" s="7" customFormat="1" x14ac:dyDescent="0.2">
      <c r="A198" s="69" t="s">
        <v>470</v>
      </c>
      <c r="B198" s="70" t="e">
        <f>B194-B197</f>
        <v>#DIV/0!</v>
      </c>
      <c r="C198" s="70" t="e">
        <f t="shared" ref="C198:V198" si="1612">C194-C197</f>
        <v>#DIV/0!</v>
      </c>
      <c r="D198" s="70" t="e">
        <f t="shared" si="1612"/>
        <v>#DIV/0!</v>
      </c>
      <c r="E198" s="70" t="e">
        <f t="shared" si="1612"/>
        <v>#DIV/0!</v>
      </c>
      <c r="F198" s="70" t="e">
        <f t="shared" si="1612"/>
        <v>#DIV/0!</v>
      </c>
      <c r="G198" s="70" t="e">
        <f t="shared" si="1612"/>
        <v>#DIV/0!</v>
      </c>
      <c r="H198" s="70" t="e">
        <f t="shared" si="1612"/>
        <v>#DIV/0!</v>
      </c>
      <c r="I198" s="70" t="e">
        <f t="shared" si="1612"/>
        <v>#DIV/0!</v>
      </c>
      <c r="J198" s="70" t="e">
        <f t="shared" si="1612"/>
        <v>#DIV/0!</v>
      </c>
      <c r="K198" s="70" t="e">
        <f t="shared" si="1612"/>
        <v>#DIV/0!</v>
      </c>
      <c r="L198" s="70" t="e">
        <f t="shared" si="1612"/>
        <v>#DIV/0!</v>
      </c>
      <c r="M198" s="70" t="e">
        <f t="shared" si="1612"/>
        <v>#DIV/0!</v>
      </c>
      <c r="N198" s="70" t="e">
        <f t="shared" si="1612"/>
        <v>#DIV/0!</v>
      </c>
      <c r="O198" s="70" t="e">
        <f t="shared" si="1612"/>
        <v>#DIV/0!</v>
      </c>
      <c r="P198" s="70" t="e">
        <f t="shared" si="1612"/>
        <v>#DIV/0!</v>
      </c>
      <c r="Q198" s="70" t="e">
        <f t="shared" si="1612"/>
        <v>#DIV/0!</v>
      </c>
      <c r="R198" s="70">
        <f t="shared" si="1612"/>
        <v>19.781774580335735</v>
      </c>
      <c r="S198" s="70">
        <f t="shared" si="1612"/>
        <v>37.008609946754277</v>
      </c>
      <c r="T198" s="70">
        <f t="shared" si="1612"/>
        <v>28.955937771765392</v>
      </c>
      <c r="U198" s="70">
        <f t="shared" si="1612"/>
        <v>10.065947242206235</v>
      </c>
      <c r="V198" s="70">
        <f t="shared" si="1612"/>
        <v>-22.387347974450947</v>
      </c>
      <c r="W198" s="70">
        <f t="shared" ref="W198" si="1613">W194-W197</f>
        <v>-6.409401119546061</v>
      </c>
      <c r="X198" s="70">
        <f t="shared" ref="X198:Y198" si="1614">X194-X197</f>
        <v>14.827098598791622</v>
      </c>
      <c r="Y198" s="70">
        <f t="shared" si="1614"/>
        <v>-5.8597021870637462</v>
      </c>
      <c r="Z198" s="70">
        <f t="shared" ref="Z198:AA198" si="1615">Z194-Z197</f>
        <v>-9.6014181963744534</v>
      </c>
      <c r="AA198" s="70">
        <f t="shared" ref="AA198" si="1616">AA194-AA197</f>
        <v>-22.712882096069876</v>
      </c>
      <c r="AB198" s="71">
        <f t="shared" ref="AB198:AD198" si="1617">AB194-AB197</f>
        <v>5.4777415931444295</v>
      </c>
      <c r="AC198" s="71">
        <f t="shared" si="1617"/>
        <v>19.526223378480012</v>
      </c>
      <c r="AD198" s="71">
        <f t="shared" si="1617"/>
        <v>19.529669027619519</v>
      </c>
      <c r="AE198" s="71">
        <f t="shared" ref="AE198" si="1618">AE194-AE197</f>
        <v>19.529462449397158</v>
      </c>
      <c r="AI198" s="70" t="e">
        <f t="shared" ref="AI198:AK198" si="1619">AI194-AI197</f>
        <v>#DIV/0!</v>
      </c>
      <c r="AJ198" s="70" t="e">
        <f t="shared" ref="AJ198:AM198" si="1620">AJ194-AJ197</f>
        <v>#DIV/0!</v>
      </c>
      <c r="AK198" s="70" t="e">
        <f t="shared" si="1619"/>
        <v>#DIV/0!</v>
      </c>
      <c r="AL198" s="70" t="e">
        <f t="shared" si="1620"/>
        <v>#DIV/0!</v>
      </c>
      <c r="AM198" s="70" t="e">
        <f t="shared" si="1620"/>
        <v>#DIV/0!</v>
      </c>
      <c r="AN198" s="70" t="e">
        <f t="shared" ref="AN198:AY198" si="1621">AN194-AN197</f>
        <v>#DIV/0!</v>
      </c>
      <c r="AO198" s="70" t="e">
        <f t="shared" si="1621"/>
        <v>#DIV/0!</v>
      </c>
      <c r="AP198" s="70" t="e">
        <f t="shared" si="1621"/>
        <v>#DIV/0!</v>
      </c>
      <c r="AQ198" s="70" t="e">
        <f t="shared" si="1621"/>
        <v>#DIV/0!</v>
      </c>
      <c r="AR198" s="70" t="e">
        <f t="shared" si="1621"/>
        <v>#DIV/0!</v>
      </c>
      <c r="AS198" s="70" t="e">
        <f t="shared" si="1621"/>
        <v>#DIV/0!</v>
      </c>
      <c r="AT198" s="70" t="e">
        <f t="shared" si="1621"/>
        <v>#DIV/0!</v>
      </c>
      <c r="AU198" s="70" t="e">
        <f t="shared" si="1621"/>
        <v>#DIV/0!</v>
      </c>
      <c r="AV198" s="70" t="e">
        <f t="shared" si="1621"/>
        <v>#DIV/0!</v>
      </c>
      <c r="AW198" s="70" t="e">
        <f t="shared" si="1621"/>
        <v>#DIV/0!</v>
      </c>
      <c r="AX198" s="70" t="e">
        <f t="shared" si="1621"/>
        <v>#DIV/0!</v>
      </c>
      <c r="AY198" s="70" t="e">
        <f t="shared" si="1621"/>
        <v>#DIV/0!</v>
      </c>
      <c r="AZ198" s="70" t="e">
        <f t="shared" ref="AZ198:BC198" si="1622">AZ194-AZ197</f>
        <v>#DIV/0!</v>
      </c>
      <c r="BA198" s="70" t="e">
        <f t="shared" si="1622"/>
        <v>#DIV/0!</v>
      </c>
      <c r="BB198" s="70" t="e">
        <f t="shared" si="1622"/>
        <v>#DIV/0!</v>
      </c>
      <c r="BC198" s="70" t="e">
        <f t="shared" si="1622"/>
        <v>#DIV/0!</v>
      </c>
      <c r="BD198" s="70" t="e">
        <f t="shared" ref="BD198:CE198" si="1623">BD194-BD197</f>
        <v>#DIV/0!</v>
      </c>
      <c r="BE198" s="70" t="e">
        <f t="shared" si="1623"/>
        <v>#DIV/0!</v>
      </c>
      <c r="BF198" s="70">
        <f t="shared" si="1623"/>
        <v>0</v>
      </c>
      <c r="BG198" s="70">
        <f t="shared" si="1623"/>
        <v>0</v>
      </c>
      <c r="BH198" s="70">
        <f t="shared" si="1623"/>
        <v>0</v>
      </c>
      <c r="BI198" s="70">
        <f t="shared" si="1623"/>
        <v>0</v>
      </c>
      <c r="BJ198" s="70">
        <f t="shared" si="1623"/>
        <v>-4.2434904996481322</v>
      </c>
      <c r="BK198" s="70">
        <f t="shared" si="1623"/>
        <v>-7.4338661837181093</v>
      </c>
      <c r="BL198" s="70">
        <f t="shared" si="1623"/>
        <v>-12.155635062611822</v>
      </c>
      <c r="BM198" s="70">
        <f t="shared" si="1623"/>
        <v>-8.8915868020259268</v>
      </c>
      <c r="BN198" s="70">
        <f t="shared" si="1623"/>
        <v>-26.532420459122051</v>
      </c>
      <c r="BO198" s="70">
        <f t="shared" si="1623"/>
        <v>-43.632939655093907</v>
      </c>
      <c r="BP198" s="70">
        <f t="shared" si="1623"/>
        <v>-31.828793774319053</v>
      </c>
      <c r="BQ198" s="70">
        <f t="shared" si="1623"/>
        <v>-23.160835303500534</v>
      </c>
      <c r="BR198" s="70">
        <f t="shared" si="1623"/>
        <v>-14.766740717232622</v>
      </c>
      <c r="BS198" s="70">
        <f t="shared" si="1623"/>
        <v>-20.25477077416015</v>
      </c>
      <c r="BT198" s="70">
        <f t="shared" si="1623"/>
        <v>11.855869817900043</v>
      </c>
      <c r="BU198" s="70">
        <f t="shared" si="1623"/>
        <v>12.515444726203853</v>
      </c>
      <c r="BV198" s="70">
        <f t="shared" si="1623"/>
        <v>-3.1153846153846132</v>
      </c>
      <c r="BW198" s="70">
        <f t="shared" si="1623"/>
        <v>-3.6720402553231395</v>
      </c>
      <c r="BX198" s="70">
        <f t="shared" si="1623"/>
        <v>13.995287781891633</v>
      </c>
      <c r="BY198" s="70">
        <f t="shared" si="1623"/>
        <v>16.013196618479384</v>
      </c>
      <c r="BZ198" s="70">
        <f t="shared" si="1623"/>
        <v>18.827586206896555</v>
      </c>
      <c r="CA198" s="70">
        <f t="shared" si="1623"/>
        <v>18.714412024756854</v>
      </c>
      <c r="CB198" s="70">
        <f t="shared" si="1623"/>
        <v>20.066603235014242</v>
      </c>
      <c r="CC198" s="70">
        <f t="shared" si="1623"/>
        <v>21.188208259983881</v>
      </c>
      <c r="CD198" s="70">
        <f t="shared" si="1623"/>
        <v>-0.104481077315981</v>
      </c>
      <c r="CE198" s="115">
        <f t="shared" si="1623"/>
        <v>-3.0458672217959162</v>
      </c>
      <c r="CF198" s="70">
        <f t="shared" ref="CF198:CG198" si="1624">CF194-CF197</f>
        <v>17.988338192419832</v>
      </c>
      <c r="CG198" s="70">
        <f t="shared" si="1624"/>
        <v>18.363103448591914</v>
      </c>
      <c r="CH198" s="70">
        <f t="shared" ref="CH198:CI198" si="1625">CH194-CH197</f>
        <v>-10.119775116108514</v>
      </c>
      <c r="CI198" s="70">
        <f t="shared" si="1625"/>
        <v>-10.119775116108514</v>
      </c>
      <c r="CJ198" s="70">
        <f t="shared" ref="CJ198:DB198" si="1626">CJ194-CJ197</f>
        <v>14.328358208955223</v>
      </c>
      <c r="CK198" s="70">
        <f t="shared" si="1626"/>
        <v>14.328358208955223</v>
      </c>
      <c r="CL198" s="70">
        <f t="shared" ref="CL198" si="1627">CL194-CL197</f>
        <v>-8.1837455830388564</v>
      </c>
      <c r="CM198" s="50">
        <f t="shared" si="1626"/>
        <v>-4.9837455830388535</v>
      </c>
      <c r="CN198" s="50">
        <f t="shared" si="1626"/>
        <v>-1.7837455830388365</v>
      </c>
      <c r="CO198" s="50">
        <f t="shared" si="1626"/>
        <v>1.4162544169611522</v>
      </c>
      <c r="CP198" s="50">
        <f t="shared" si="1626"/>
        <v>4.6162544169611408</v>
      </c>
      <c r="CQ198" s="50">
        <f t="shared" si="1626"/>
        <v>7.8162544169611579</v>
      </c>
      <c r="CR198" s="50">
        <f t="shared" si="1626"/>
        <v>11.016254416961146</v>
      </c>
      <c r="CS198" s="50">
        <f t="shared" si="1626"/>
        <v>14.216254416961164</v>
      </c>
      <c r="CT198" s="50">
        <f t="shared" si="1626"/>
        <v>16.416254416961152</v>
      </c>
      <c r="CU198" s="50">
        <f t="shared" si="1626"/>
        <v>16.416254416961152</v>
      </c>
      <c r="CV198" s="50">
        <f t="shared" si="1626"/>
        <v>16.416254416961152</v>
      </c>
      <c r="CW198" s="50">
        <f t="shared" si="1626"/>
        <v>16.416254416961152</v>
      </c>
      <c r="CX198" s="50">
        <f t="shared" si="1626"/>
        <v>16.416254416961152</v>
      </c>
      <c r="CY198" s="50">
        <f t="shared" si="1626"/>
        <v>16.416254416961152</v>
      </c>
      <c r="CZ198" s="50">
        <f t="shared" si="1626"/>
        <v>16.416254416961152</v>
      </c>
      <c r="DA198" s="50">
        <f t="shared" si="1626"/>
        <v>16.416254416961152</v>
      </c>
      <c r="DB198" s="50">
        <f t="shared" si="1626"/>
        <v>16.416254416961152</v>
      </c>
      <c r="DE198" s="138"/>
      <c r="DF198" s="7">
        <v>-9.5170224263712555</v>
      </c>
    </row>
    <row r="199" spans="1:110" s="7" customFormat="1" x14ac:dyDescent="0.2">
      <c r="A199" s="69" t="s">
        <v>86</v>
      </c>
      <c r="AB199" s="77"/>
      <c r="AC199" s="77"/>
      <c r="AD199" s="77"/>
      <c r="AE199" s="77"/>
      <c r="CE199" s="115"/>
      <c r="CG199" s="115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E199" s="138"/>
    </row>
    <row r="200" spans="1:110" s="86" customFormat="1" x14ac:dyDescent="0.2">
      <c r="A200" s="86" t="s">
        <v>440</v>
      </c>
      <c r="C200" s="86" t="e">
        <f t="shared" ref="C200:Y200" si="1628">C22/B22-1</f>
        <v>#DIV/0!</v>
      </c>
      <c r="D200" s="86" t="e">
        <f t="shared" si="1628"/>
        <v>#DIV/0!</v>
      </c>
      <c r="E200" s="86" t="e">
        <f t="shared" si="1628"/>
        <v>#DIV/0!</v>
      </c>
      <c r="F200" s="86" t="e">
        <f t="shared" si="1628"/>
        <v>#DIV/0!</v>
      </c>
      <c r="G200" s="86" t="e">
        <f t="shared" si="1628"/>
        <v>#DIV/0!</v>
      </c>
      <c r="H200" s="86" t="e">
        <f t="shared" si="1628"/>
        <v>#DIV/0!</v>
      </c>
      <c r="I200" s="86" t="e">
        <f t="shared" si="1628"/>
        <v>#DIV/0!</v>
      </c>
      <c r="J200" s="86" t="e">
        <f t="shared" si="1628"/>
        <v>#DIV/0!</v>
      </c>
      <c r="K200" s="86" t="e">
        <f t="shared" si="1628"/>
        <v>#DIV/0!</v>
      </c>
      <c r="L200" s="86" t="e">
        <f t="shared" si="1628"/>
        <v>#DIV/0!</v>
      </c>
      <c r="M200" s="86" t="e">
        <f t="shared" si="1628"/>
        <v>#DIV/0!</v>
      </c>
      <c r="N200" s="86" t="e">
        <f t="shared" si="1628"/>
        <v>#DIV/0!</v>
      </c>
      <c r="O200" s="86" t="e">
        <f t="shared" si="1628"/>
        <v>#DIV/0!</v>
      </c>
      <c r="P200" s="86" t="e">
        <f t="shared" si="1628"/>
        <v>#DIV/0!</v>
      </c>
      <c r="Q200" s="86" t="e">
        <f t="shared" si="1628"/>
        <v>#DIV/0!</v>
      </c>
      <c r="R200" s="86" t="e">
        <f t="shared" si="1628"/>
        <v>#DIV/0!</v>
      </c>
      <c r="S200" s="86">
        <f t="shared" si="1628"/>
        <v>0.15214180206794681</v>
      </c>
      <c r="T200" s="86">
        <f t="shared" si="1628"/>
        <v>0.10536130536130539</v>
      </c>
      <c r="U200" s="86">
        <f t="shared" si="1628"/>
        <v>2.0033741037536856E-2</v>
      </c>
      <c r="V200" s="86">
        <f t="shared" si="1628"/>
        <v>4.5069257804424279E-2</v>
      </c>
      <c r="W200" s="86">
        <f t="shared" si="1628"/>
        <v>0.116320474777448</v>
      </c>
      <c r="X200" s="86">
        <f t="shared" si="1628"/>
        <v>0.2007797270955165</v>
      </c>
      <c r="Y200" s="86">
        <f t="shared" si="1628"/>
        <v>8.404663518299893E-2</v>
      </c>
      <c r="Z200" s="86">
        <f>Z22/Y22-1</f>
        <v>-4.8396977741474334E-2</v>
      </c>
      <c r="AA200" s="86">
        <f>AA22/Z22-1</f>
        <v>5.8941344778254745E-2</v>
      </c>
      <c r="AB200" s="87">
        <f t="shared" ref="AB200:AE200" si="1629">AB22/AA22-1</f>
        <v>9.002721850463935E-2</v>
      </c>
      <c r="AC200" s="87">
        <f t="shared" si="1629"/>
        <v>6.8197021081005449E-2</v>
      </c>
      <c r="AD200" s="87">
        <f t="shared" si="1629"/>
        <v>6.971867071655713E-2</v>
      </c>
      <c r="AE200" s="87">
        <f t="shared" si="1629"/>
        <v>6.9964491114310245E-2</v>
      </c>
      <c r="AN200" s="86" t="e">
        <f t="shared" ref="AN200:CI200" si="1630">+(AN22+AM22)/(AJ22+AI22)-1</f>
        <v>#DIV/0!</v>
      </c>
      <c r="AO200" s="86" t="e">
        <f t="shared" si="1630"/>
        <v>#DIV/0!</v>
      </c>
      <c r="AP200" s="86" t="e">
        <f t="shared" si="1630"/>
        <v>#DIV/0!</v>
      </c>
      <c r="AQ200" s="86" t="e">
        <f t="shared" si="1630"/>
        <v>#DIV/0!</v>
      </c>
      <c r="AR200" s="86" t="e">
        <f t="shared" si="1630"/>
        <v>#DIV/0!</v>
      </c>
      <c r="AS200" s="86" t="e">
        <f t="shared" si="1630"/>
        <v>#DIV/0!</v>
      </c>
      <c r="AT200" s="86" t="e">
        <f t="shared" si="1630"/>
        <v>#DIV/0!</v>
      </c>
      <c r="AU200" s="86" t="e">
        <f t="shared" si="1630"/>
        <v>#DIV/0!</v>
      </c>
      <c r="AV200" s="86" t="e">
        <f t="shared" si="1630"/>
        <v>#DIV/0!</v>
      </c>
      <c r="AW200" s="86" t="e">
        <f t="shared" si="1630"/>
        <v>#DIV/0!</v>
      </c>
      <c r="AX200" s="86" t="e">
        <f t="shared" si="1630"/>
        <v>#DIV/0!</v>
      </c>
      <c r="AY200" s="86" t="e">
        <f t="shared" si="1630"/>
        <v>#DIV/0!</v>
      </c>
      <c r="AZ200" s="86" t="e">
        <f t="shared" si="1630"/>
        <v>#DIV/0!</v>
      </c>
      <c r="BA200" s="86" t="e">
        <f t="shared" si="1630"/>
        <v>#DIV/0!</v>
      </c>
      <c r="BB200" s="86" t="e">
        <f t="shared" si="1630"/>
        <v>#DIV/0!</v>
      </c>
      <c r="BC200" s="86" t="e">
        <f t="shared" si="1630"/>
        <v>#DIV/0!</v>
      </c>
      <c r="BD200" s="86" t="e">
        <f t="shared" si="1630"/>
        <v>#DIV/0!</v>
      </c>
      <c r="BE200" s="86" t="e">
        <f t="shared" si="1630"/>
        <v>#DIV/0!</v>
      </c>
      <c r="BF200" s="86" t="e">
        <f t="shared" si="1630"/>
        <v>#DIV/0!</v>
      </c>
      <c r="BG200" s="86" t="e">
        <f t="shared" si="1630"/>
        <v>#DIV/0!</v>
      </c>
      <c r="BH200" s="86" t="e">
        <f t="shared" si="1630"/>
        <v>#DIV/0!</v>
      </c>
      <c r="BI200" s="86">
        <f t="shared" si="1630"/>
        <v>1.0401159980666987</v>
      </c>
      <c r="BJ200" s="86">
        <f t="shared" si="1630"/>
        <v>6.8744662681468727E-2</v>
      </c>
      <c r="BK200" s="86">
        <f t="shared" si="1630"/>
        <v>8.3165525573902555E-2</v>
      </c>
      <c r="BL200" s="86">
        <f t="shared" si="1630"/>
        <v>8.18965517241379E-2</v>
      </c>
      <c r="BM200" s="86">
        <f t="shared" si="1630"/>
        <v>0.1011608623548923</v>
      </c>
      <c r="BN200" s="86">
        <f t="shared" si="1630"/>
        <v>-2.5369556532161441E-2</v>
      </c>
      <c r="BO200" s="86">
        <f t="shared" si="1630"/>
        <v>-0.18869678378880828</v>
      </c>
      <c r="BP200" s="86">
        <f t="shared" si="1630"/>
        <v>-0.11637659886768714</v>
      </c>
      <c r="BQ200" s="86">
        <f t="shared" si="1630"/>
        <v>8.6488812392426784E-2</v>
      </c>
      <c r="BR200" s="86">
        <f t="shared" si="1630"/>
        <v>0.20680467308874761</v>
      </c>
      <c r="BS200" s="86">
        <f t="shared" si="1630"/>
        <v>0.31576535288725949</v>
      </c>
      <c r="BT200" s="86">
        <f t="shared" si="1630"/>
        <v>0.22733744660654964</v>
      </c>
      <c r="BU200" s="86">
        <f t="shared" si="1630"/>
        <v>5.2475247524752522E-2</v>
      </c>
      <c r="BV200" s="86">
        <f t="shared" si="1630"/>
        <v>3.8383152173913082E-2</v>
      </c>
      <c r="BW200" s="86">
        <f t="shared" si="1630"/>
        <v>0.16370602577499138</v>
      </c>
      <c r="BX200" s="86">
        <f t="shared" si="1630"/>
        <v>0.21287703016241299</v>
      </c>
      <c r="BY200" s="86">
        <f t="shared" si="1630"/>
        <v>0.19021636876763881</v>
      </c>
      <c r="BZ200" s="86">
        <f t="shared" si="1630"/>
        <v>0.18907425580634607</v>
      </c>
      <c r="CA200" s="86">
        <f t="shared" si="1630"/>
        <v>0.12870398084405865</v>
      </c>
      <c r="CB200" s="86">
        <f t="shared" si="1630"/>
        <v>8.0822572931611658E-2</v>
      </c>
      <c r="CC200" s="86">
        <f t="shared" si="1630"/>
        <v>6.8131520708188509E-2</v>
      </c>
      <c r="CD200" s="86">
        <f t="shared" si="1630"/>
        <v>8.8170563961485593E-2</v>
      </c>
      <c r="CE200" s="86">
        <f t="shared" si="1630"/>
        <v>5.1180058339962864E-2</v>
      </c>
      <c r="CF200" s="86">
        <f t="shared" si="1630"/>
        <v>-1.0619469026548645E-2</v>
      </c>
      <c r="CG200" s="86">
        <f t="shared" si="1630"/>
        <v>-7.2369394701790712E-2</v>
      </c>
      <c r="CH200" s="86">
        <f t="shared" si="1630"/>
        <v>-8.077360637087605E-2</v>
      </c>
      <c r="CI200" s="86">
        <f t="shared" si="1630"/>
        <v>-2.5353178607467219E-2</v>
      </c>
      <c r="CJ200" s="86">
        <f>+(CJ22+CI22)/(CF22+CE22)-1</f>
        <v>5.1431127012522282E-2</v>
      </c>
      <c r="CL200" s="86">
        <f>+(CL22+CK22)/(CH22+CG22)-1</f>
        <v>6.5869086908690866E-2</v>
      </c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E200" s="141"/>
      <c r="DF200" s="86">
        <v>5.8941344778254745E-2</v>
      </c>
    </row>
    <row r="201" spans="1:110" s="86" customFormat="1" x14ac:dyDescent="0.2">
      <c r="A201" s="86" t="s">
        <v>441</v>
      </c>
      <c r="C201" s="86" t="e">
        <f t="shared" ref="C201" si="1631">C198/B198-1</f>
        <v>#DIV/0!</v>
      </c>
      <c r="D201" s="86" t="e">
        <f t="shared" ref="D201" si="1632">D198/C198-1</f>
        <v>#DIV/0!</v>
      </c>
      <c r="E201" s="86" t="e">
        <f>E198/D198-1</f>
        <v>#DIV/0!</v>
      </c>
      <c r="F201" s="86" t="e">
        <f t="shared" ref="F201" si="1633">F198/E198-1</f>
        <v>#DIV/0!</v>
      </c>
      <c r="G201" s="86" t="e">
        <f t="shared" ref="G201" si="1634">G198/F198-1</f>
        <v>#DIV/0!</v>
      </c>
      <c r="H201" s="86" t="e">
        <f t="shared" ref="H201" si="1635">H198/G198-1</f>
        <v>#DIV/0!</v>
      </c>
      <c r="I201" s="86" t="e">
        <f t="shared" ref="I201" si="1636">I198/H198-1</f>
        <v>#DIV/0!</v>
      </c>
      <c r="J201" s="86" t="e">
        <f t="shared" ref="J201" si="1637">J198/I198-1</f>
        <v>#DIV/0!</v>
      </c>
      <c r="K201" s="86" t="e">
        <f>K198/J198-1</f>
        <v>#DIV/0!</v>
      </c>
      <c r="L201" s="86" t="e">
        <f t="shared" ref="L201" si="1638">L198/K198-1</f>
        <v>#DIV/0!</v>
      </c>
      <c r="M201" s="86" t="e">
        <f t="shared" ref="M201" si="1639">M198/L198-1</f>
        <v>#DIV/0!</v>
      </c>
      <c r="N201" s="86" t="e">
        <f t="shared" ref="N201" si="1640">N198/M198-1</f>
        <v>#DIV/0!</v>
      </c>
      <c r="O201" s="86" t="e">
        <f t="shared" ref="O201" si="1641">O198/N198-1</f>
        <v>#DIV/0!</v>
      </c>
      <c r="P201" s="86" t="e">
        <f t="shared" ref="P201" si="1642">P198/O198-1</f>
        <v>#DIV/0!</v>
      </c>
      <c r="Q201" s="86" t="e">
        <f t="shared" ref="Q201" si="1643">Q198/P198-1</f>
        <v>#DIV/0!</v>
      </c>
      <c r="R201" s="86" t="e">
        <f t="shared" ref="R201" si="1644">R198/Q198-1</f>
        <v>#DIV/0!</v>
      </c>
      <c r="S201" s="86">
        <f t="shared" ref="S201" si="1645">S198/R198-1</f>
        <v>0.87084378079725178</v>
      </c>
      <c r="T201" s="86">
        <f t="shared" ref="T201" si="1646">T198/S198-1</f>
        <v>-0.21758915524183631</v>
      </c>
      <c r="U201" s="86">
        <f t="shared" ref="U201" si="1647">U198/T198-1</f>
        <v>-0.65237018667648106</v>
      </c>
      <c r="V201" s="86">
        <f t="shared" ref="V201" si="1648">V198/U198-1</f>
        <v>-3.2240676844183551</v>
      </c>
      <c r="W201" s="86">
        <f t="shared" ref="W201:AA201" si="1649">W198/V198-1</f>
        <v>-0.71370431518460142</v>
      </c>
      <c r="X201" s="86">
        <f t="shared" si="1649"/>
        <v>-3.3133360390840596</v>
      </c>
      <c r="Y201" s="86">
        <f t="shared" si="1649"/>
        <v>-1.3952022135700439</v>
      </c>
      <c r="Z201" s="86">
        <f t="shared" si="1649"/>
        <v>0.63855054230762076</v>
      </c>
      <c r="AA201" s="86">
        <f t="shared" si="1649"/>
        <v>1.3655757546990697</v>
      </c>
      <c r="AB201" s="87">
        <f t="shared" ref="AB201" si="1650">AB198/AA198-1</f>
        <v>-1.2411733381071999</v>
      </c>
      <c r="AC201" s="87">
        <f t="shared" ref="AC201" si="1651">AC198/AB198-1</f>
        <v>2.5646485045803749</v>
      </c>
      <c r="AD201" s="87">
        <f t="shared" ref="AD201" si="1652">AD198/AC198-1</f>
        <v>1.7646265090376367E-4</v>
      </c>
      <c r="AE201" s="87">
        <f t="shared" ref="AE201" si="1653">AE198/AD198-1</f>
        <v>-1.0577661201938149E-5</v>
      </c>
      <c r="AN201" s="86" t="e">
        <f t="shared" ref="AN201:CI201" si="1654">+AN198/AJ198-1</f>
        <v>#DIV/0!</v>
      </c>
      <c r="AO201" s="86" t="e">
        <f t="shared" si="1654"/>
        <v>#DIV/0!</v>
      </c>
      <c r="AP201" s="86" t="e">
        <f t="shared" si="1654"/>
        <v>#DIV/0!</v>
      </c>
      <c r="AQ201" s="86" t="e">
        <f t="shared" si="1654"/>
        <v>#DIV/0!</v>
      </c>
      <c r="AR201" s="86" t="e">
        <f t="shared" si="1654"/>
        <v>#DIV/0!</v>
      </c>
      <c r="AS201" s="86" t="e">
        <f t="shared" si="1654"/>
        <v>#DIV/0!</v>
      </c>
      <c r="AT201" s="86" t="e">
        <f t="shared" si="1654"/>
        <v>#DIV/0!</v>
      </c>
      <c r="AU201" s="86" t="e">
        <f t="shared" si="1654"/>
        <v>#DIV/0!</v>
      </c>
      <c r="AV201" s="86" t="e">
        <f t="shared" si="1654"/>
        <v>#DIV/0!</v>
      </c>
      <c r="AW201" s="86" t="e">
        <f t="shared" si="1654"/>
        <v>#DIV/0!</v>
      </c>
      <c r="AX201" s="86" t="e">
        <f t="shared" si="1654"/>
        <v>#DIV/0!</v>
      </c>
      <c r="AY201" s="86" t="e">
        <f t="shared" si="1654"/>
        <v>#DIV/0!</v>
      </c>
      <c r="AZ201" s="86" t="e">
        <f t="shared" si="1654"/>
        <v>#DIV/0!</v>
      </c>
      <c r="BA201" s="86" t="e">
        <f t="shared" si="1654"/>
        <v>#DIV/0!</v>
      </c>
      <c r="BB201" s="86" t="e">
        <f t="shared" si="1654"/>
        <v>#DIV/0!</v>
      </c>
      <c r="BC201" s="86" t="e">
        <f t="shared" si="1654"/>
        <v>#DIV/0!</v>
      </c>
      <c r="BD201" s="86" t="e">
        <f t="shared" si="1654"/>
        <v>#DIV/0!</v>
      </c>
      <c r="BE201" s="86" t="e">
        <f t="shared" si="1654"/>
        <v>#DIV/0!</v>
      </c>
      <c r="BF201" s="86" t="e">
        <f t="shared" si="1654"/>
        <v>#DIV/0!</v>
      </c>
      <c r="BG201" s="86" t="e">
        <f t="shared" si="1654"/>
        <v>#DIV/0!</v>
      </c>
      <c r="BH201" s="86" t="e">
        <f t="shared" si="1654"/>
        <v>#DIV/0!</v>
      </c>
      <c r="BI201" s="86" t="e">
        <f t="shared" si="1654"/>
        <v>#DIV/0!</v>
      </c>
      <c r="BJ201" s="86" t="e">
        <f t="shared" si="1654"/>
        <v>#DIV/0!</v>
      </c>
      <c r="BK201" s="86" t="e">
        <f t="shared" si="1654"/>
        <v>#DIV/0!</v>
      </c>
      <c r="BL201" s="86" t="e">
        <f t="shared" si="1654"/>
        <v>#DIV/0!</v>
      </c>
      <c r="BM201" s="86" t="e">
        <f t="shared" si="1654"/>
        <v>#DIV/0!</v>
      </c>
      <c r="BN201" s="86">
        <f t="shared" si="1654"/>
        <v>5.2524990833188161</v>
      </c>
      <c r="BO201" s="86">
        <f t="shared" si="1654"/>
        <v>4.8694814483828299</v>
      </c>
      <c r="BP201" s="86">
        <f t="shared" si="1654"/>
        <v>1.618439399535589</v>
      </c>
      <c r="BQ201" s="86">
        <f t="shared" si="1654"/>
        <v>1.6048033741540255</v>
      </c>
      <c r="BR201" s="86">
        <f t="shared" si="1654"/>
        <v>-0.44344539767928703</v>
      </c>
      <c r="BS201" s="86">
        <f t="shared" si="1654"/>
        <v>-0.53579174508368199</v>
      </c>
      <c r="BT201" s="86">
        <f t="shared" si="1654"/>
        <v>-1.372488819462141</v>
      </c>
      <c r="BU201" s="86">
        <f t="shared" si="1654"/>
        <v>-1.5403710428488848</v>
      </c>
      <c r="BV201" s="86">
        <f t="shared" si="1654"/>
        <v>-0.78902693051629236</v>
      </c>
      <c r="BW201" s="86">
        <f t="shared" si="1654"/>
        <v>-0.81870739016174332</v>
      </c>
      <c r="BX201" s="86">
        <f t="shared" si="1654"/>
        <v>0.18045221454451932</v>
      </c>
      <c r="BY201" s="86">
        <f t="shared" si="1654"/>
        <v>0.27947483839325438</v>
      </c>
      <c r="BZ201" s="86">
        <f t="shared" si="1654"/>
        <v>-7.0434227330779109</v>
      </c>
      <c r="CA201" s="86">
        <f t="shared" si="1654"/>
        <v>-6.0964615645560194</v>
      </c>
      <c r="CB201" s="86">
        <f t="shared" si="1654"/>
        <v>0.43381140479142011</v>
      </c>
      <c r="CC201" s="86">
        <f t="shared" si="1654"/>
        <v>0.32317167925937307</v>
      </c>
      <c r="CD201" s="86">
        <f t="shared" si="1654"/>
        <v>-1.0055493612493835</v>
      </c>
      <c r="CE201" s="86">
        <f t="shared" si="1654"/>
        <v>-1.1627551652580166</v>
      </c>
      <c r="CF201" s="86">
        <f t="shared" si="1654"/>
        <v>-0.10356835276276566</v>
      </c>
      <c r="CG201" s="86">
        <f t="shared" si="1654"/>
        <v>-0.13333382307400998</v>
      </c>
      <c r="CH201" s="86">
        <f t="shared" si="1654"/>
        <v>95.85749205574696</v>
      </c>
      <c r="CI201" s="86">
        <f t="shared" si="1654"/>
        <v>2.3224610198673243</v>
      </c>
      <c r="CJ201" s="86">
        <f>+CJ198/CF198-1</f>
        <v>-0.20346404122015571</v>
      </c>
      <c r="CL201" s="86">
        <f>+CL198/CH198-1</f>
        <v>-0.19131151738618313</v>
      </c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E201" s="141"/>
      <c r="DF201" s="86">
        <v>-8.7899275166523072E-3</v>
      </c>
    </row>
    <row r="202" spans="1:110" s="103" customFormat="1" x14ac:dyDescent="0.2">
      <c r="A202" s="147" t="s">
        <v>87</v>
      </c>
      <c r="C202" s="103" t="e">
        <f>IF(C201&gt;C200,"RF",0)</f>
        <v>#DIV/0!</v>
      </c>
      <c r="D202" s="103" t="e">
        <f>IF(D201&gt;D200,"RF",0)</f>
        <v>#DIV/0!</v>
      </c>
      <c r="E202" s="103" t="e">
        <f t="shared" ref="E202:U202" si="1655">IF(E201&gt;E200,"RF",0)</f>
        <v>#DIV/0!</v>
      </c>
      <c r="F202" s="103" t="e">
        <f t="shared" si="1655"/>
        <v>#DIV/0!</v>
      </c>
      <c r="G202" s="103" t="e">
        <f t="shared" si="1655"/>
        <v>#DIV/0!</v>
      </c>
      <c r="H202" s="103" t="e">
        <f t="shared" si="1655"/>
        <v>#DIV/0!</v>
      </c>
      <c r="I202" s="103" t="e">
        <f t="shared" si="1655"/>
        <v>#DIV/0!</v>
      </c>
      <c r="J202" s="103" t="e">
        <f t="shared" si="1655"/>
        <v>#DIV/0!</v>
      </c>
      <c r="K202" s="103" t="e">
        <f t="shared" si="1655"/>
        <v>#DIV/0!</v>
      </c>
      <c r="L202" s="103" t="e">
        <f t="shared" si="1655"/>
        <v>#DIV/0!</v>
      </c>
      <c r="M202" s="103" t="e">
        <f t="shared" si="1655"/>
        <v>#DIV/0!</v>
      </c>
      <c r="N202" s="103" t="e">
        <f t="shared" si="1655"/>
        <v>#DIV/0!</v>
      </c>
      <c r="O202" s="103" t="e">
        <f t="shared" si="1655"/>
        <v>#DIV/0!</v>
      </c>
      <c r="P202" s="103" t="e">
        <f t="shared" si="1655"/>
        <v>#DIV/0!</v>
      </c>
      <c r="Q202" s="103" t="e">
        <f t="shared" si="1655"/>
        <v>#DIV/0!</v>
      </c>
      <c r="R202" s="103" t="e">
        <f t="shared" si="1655"/>
        <v>#DIV/0!</v>
      </c>
      <c r="S202" s="103" t="str">
        <f t="shared" si="1655"/>
        <v>RF</v>
      </c>
      <c r="T202" s="103">
        <f t="shared" si="1655"/>
        <v>0</v>
      </c>
      <c r="U202" s="103">
        <f t="shared" si="1655"/>
        <v>0</v>
      </c>
      <c r="V202" s="103">
        <f>IF(V201&gt;V200,"RF",0)</f>
        <v>0</v>
      </c>
      <c r="W202" s="103">
        <f t="shared" ref="W202" si="1656">IF(W201&gt;W200,"RF",0)</f>
        <v>0</v>
      </c>
      <c r="X202" s="103">
        <f t="shared" ref="X202:Y202" si="1657">IF(X201&gt;X200,"RF",0)</f>
        <v>0</v>
      </c>
      <c r="Y202" s="103">
        <f t="shared" si="1657"/>
        <v>0</v>
      </c>
      <c r="Z202" s="103" t="str">
        <f t="shared" ref="Z202:AA202" si="1658">IF(Z201&gt;Z200,"RF",0)</f>
        <v>RF</v>
      </c>
      <c r="AA202" s="103" t="str">
        <f t="shared" ref="AA202" si="1659">IF(AA201&gt;AA200,"RF",0)</f>
        <v>RF</v>
      </c>
      <c r="AB202" s="73">
        <f t="shared" ref="AB202:AD202" si="1660">IF(AB201&gt;AB200,"RF",0)</f>
        <v>0</v>
      </c>
      <c r="AC202" s="73" t="str">
        <f t="shared" si="1660"/>
        <v>RF</v>
      </c>
      <c r="AD202" s="73">
        <f t="shared" si="1660"/>
        <v>0</v>
      </c>
      <c r="AE202" s="73">
        <f t="shared" ref="AE202" si="1661">IF(AE201&gt;AE200,"RF",0)</f>
        <v>0</v>
      </c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E202" s="142"/>
      <c r="DF202" s="103">
        <v>0</v>
      </c>
    </row>
    <row r="203" spans="1:110" x14ac:dyDescent="0.2">
      <c r="A203" s="153" t="s">
        <v>494</v>
      </c>
      <c r="AA203" s="2"/>
      <c r="CL203" s="2"/>
    </row>
    <row r="204" spans="1:110" x14ac:dyDescent="0.2">
      <c r="A204" s="152" t="s">
        <v>495</v>
      </c>
      <c r="AA204" s="2"/>
      <c r="CL204" s="2"/>
    </row>
    <row r="205" spans="1:110" s="23" customFormat="1" x14ac:dyDescent="0.2">
      <c r="A205" s="23" t="s">
        <v>22</v>
      </c>
      <c r="C205" s="23">
        <f t="shared" ref="C205:AE205" si="1662">C60</f>
        <v>0</v>
      </c>
      <c r="D205" s="23">
        <f t="shared" si="1662"/>
        <v>0</v>
      </c>
      <c r="E205" s="23">
        <f t="shared" si="1662"/>
        <v>0</v>
      </c>
      <c r="F205" s="23">
        <f t="shared" si="1662"/>
        <v>0</v>
      </c>
      <c r="G205" s="23">
        <f t="shared" si="1662"/>
        <v>0</v>
      </c>
      <c r="H205" s="23">
        <f t="shared" si="1662"/>
        <v>0</v>
      </c>
      <c r="I205" s="23">
        <f t="shared" si="1662"/>
        <v>0</v>
      </c>
      <c r="J205" s="23">
        <f t="shared" si="1662"/>
        <v>0</v>
      </c>
      <c r="K205" s="23">
        <f t="shared" si="1662"/>
        <v>0</v>
      </c>
      <c r="L205" s="23">
        <f t="shared" si="1662"/>
        <v>0</v>
      </c>
      <c r="M205" s="23">
        <f t="shared" si="1662"/>
        <v>0</v>
      </c>
      <c r="N205" s="23">
        <f t="shared" si="1662"/>
        <v>0</v>
      </c>
      <c r="O205" s="23">
        <f t="shared" si="1662"/>
        <v>0</v>
      </c>
      <c r="P205" s="23">
        <f t="shared" si="1662"/>
        <v>0</v>
      </c>
      <c r="Q205" s="23">
        <f t="shared" si="1662"/>
        <v>0</v>
      </c>
      <c r="R205" s="23">
        <f t="shared" si="1662"/>
        <v>44</v>
      </c>
      <c r="S205" s="23">
        <f t="shared" si="1662"/>
        <v>292</v>
      </c>
      <c r="T205" s="23">
        <f t="shared" si="1662"/>
        <v>308</v>
      </c>
      <c r="U205" s="23">
        <f t="shared" si="1662"/>
        <v>224</v>
      </c>
      <c r="V205" s="23">
        <f t="shared" si="1662"/>
        <v>1171</v>
      </c>
      <c r="W205" s="23">
        <f t="shared" si="1662"/>
        <v>816</v>
      </c>
      <c r="X205" s="23">
        <f t="shared" si="1662"/>
        <v>1035</v>
      </c>
      <c r="Y205" s="23">
        <f t="shared" si="1662"/>
        <v>826</v>
      </c>
      <c r="Z205" s="23">
        <f t="shared" si="1662"/>
        <v>683</v>
      </c>
      <c r="AA205" s="23">
        <f t="shared" ref="AA205" si="1663">AA60</f>
        <v>1139</v>
      </c>
      <c r="AB205" s="24">
        <f t="shared" si="1662"/>
        <v>1183.2513172256315</v>
      </c>
      <c r="AC205" s="24">
        <f t="shared" si="1662"/>
        <v>1502.5156321810628</v>
      </c>
      <c r="AD205" s="24">
        <f t="shared" si="1662"/>
        <v>1755.8437551098104</v>
      </c>
      <c r="AE205" s="24">
        <f t="shared" si="1662"/>
        <v>2125.1677164279822</v>
      </c>
      <c r="AI205" s="23">
        <f t="shared" ref="AI205:BN205" si="1664">AI60</f>
        <v>0</v>
      </c>
      <c r="AJ205" s="23">
        <f t="shared" si="1664"/>
        <v>0</v>
      </c>
      <c r="AK205" s="23">
        <f t="shared" si="1664"/>
        <v>0</v>
      </c>
      <c r="AL205" s="23">
        <f t="shared" si="1664"/>
        <v>0</v>
      </c>
      <c r="AM205" s="23">
        <f t="shared" si="1664"/>
        <v>0</v>
      </c>
      <c r="AN205" s="23">
        <f t="shared" si="1664"/>
        <v>0</v>
      </c>
      <c r="AO205" s="23">
        <f t="shared" si="1664"/>
        <v>0</v>
      </c>
      <c r="AP205" s="23">
        <f t="shared" si="1664"/>
        <v>0</v>
      </c>
      <c r="AQ205" s="23">
        <f t="shared" si="1664"/>
        <v>0</v>
      </c>
      <c r="AR205" s="23">
        <f t="shared" si="1664"/>
        <v>0</v>
      </c>
      <c r="AS205" s="23">
        <f t="shared" si="1664"/>
        <v>0</v>
      </c>
      <c r="AT205" s="23">
        <f t="shared" si="1664"/>
        <v>0</v>
      </c>
      <c r="AU205" s="23">
        <f t="shared" si="1664"/>
        <v>0</v>
      </c>
      <c r="AV205" s="23">
        <f t="shared" si="1664"/>
        <v>0</v>
      </c>
      <c r="AW205" s="23">
        <f t="shared" si="1664"/>
        <v>0</v>
      </c>
      <c r="AX205" s="23">
        <f t="shared" si="1664"/>
        <v>0</v>
      </c>
      <c r="AY205" s="23">
        <f t="shared" si="1664"/>
        <v>0</v>
      </c>
      <c r="AZ205" s="23">
        <f t="shared" si="1664"/>
        <v>0</v>
      </c>
      <c r="BA205" s="23">
        <f t="shared" si="1664"/>
        <v>0</v>
      </c>
      <c r="BB205" s="23">
        <f t="shared" si="1664"/>
        <v>0</v>
      </c>
      <c r="BC205" s="23">
        <f t="shared" si="1664"/>
        <v>0</v>
      </c>
      <c r="BD205" s="23">
        <f t="shared" si="1664"/>
        <v>0</v>
      </c>
      <c r="BE205" s="23">
        <f t="shared" si="1664"/>
        <v>53</v>
      </c>
      <c r="BF205" s="23">
        <f t="shared" si="1664"/>
        <v>128</v>
      </c>
      <c r="BG205" s="23">
        <f t="shared" si="1664"/>
        <v>53</v>
      </c>
      <c r="BH205" s="23">
        <f t="shared" si="1664"/>
        <v>-1</v>
      </c>
      <c r="BI205" s="23">
        <f t="shared" si="1664"/>
        <v>28</v>
      </c>
      <c r="BJ205" s="23">
        <f t="shared" si="1664"/>
        <v>228</v>
      </c>
      <c r="BK205" s="23">
        <f t="shared" si="1664"/>
        <v>147</v>
      </c>
      <c r="BL205" s="23">
        <f t="shared" si="1664"/>
        <v>27</v>
      </c>
      <c r="BM205" s="23">
        <f t="shared" si="1664"/>
        <v>24</v>
      </c>
      <c r="BN205" s="23">
        <f t="shared" si="1664"/>
        <v>26</v>
      </c>
      <c r="BO205" s="23">
        <f t="shared" ref="BO205:CT205" si="1665">BO60</f>
        <v>190</v>
      </c>
      <c r="BP205" s="23">
        <f t="shared" si="1665"/>
        <v>232</v>
      </c>
      <c r="BQ205" s="23">
        <f t="shared" si="1665"/>
        <v>182</v>
      </c>
      <c r="BR205" s="23">
        <f t="shared" si="1665"/>
        <v>627</v>
      </c>
      <c r="BS205" s="23">
        <f t="shared" si="1665"/>
        <v>269</v>
      </c>
      <c r="BT205" s="23">
        <f t="shared" si="1665"/>
        <v>198</v>
      </c>
      <c r="BU205" s="23">
        <f t="shared" si="1665"/>
        <v>84</v>
      </c>
      <c r="BV205" s="23">
        <f t="shared" si="1665"/>
        <v>266</v>
      </c>
      <c r="BW205" s="23">
        <f t="shared" si="1665"/>
        <v>196</v>
      </c>
      <c r="BX205" s="23">
        <f t="shared" si="1665"/>
        <v>46</v>
      </c>
      <c r="BY205" s="23">
        <f t="shared" si="1665"/>
        <v>204</v>
      </c>
      <c r="BZ205" s="23">
        <f t="shared" si="1665"/>
        <v>589</v>
      </c>
      <c r="CA205" s="23">
        <f t="shared" si="1665"/>
        <v>130</v>
      </c>
      <c r="CB205" s="23">
        <f t="shared" si="1665"/>
        <v>118</v>
      </c>
      <c r="CC205" s="23">
        <f t="shared" si="1665"/>
        <v>263</v>
      </c>
      <c r="CD205" s="23">
        <f t="shared" si="1665"/>
        <v>315</v>
      </c>
      <c r="CE205" s="23">
        <f t="shared" si="1665"/>
        <v>141</v>
      </c>
      <c r="CF205" s="23">
        <f t="shared" si="1665"/>
        <v>46</v>
      </c>
      <c r="CG205" s="23">
        <f t="shared" si="1665"/>
        <v>61</v>
      </c>
      <c r="CH205" s="23">
        <f t="shared" si="1665"/>
        <v>435</v>
      </c>
      <c r="CI205" s="23">
        <f t="shared" si="1665"/>
        <v>393</v>
      </c>
      <c r="CJ205" s="23">
        <f t="shared" si="1665"/>
        <v>236</v>
      </c>
      <c r="CK205" s="23">
        <f t="shared" si="1665"/>
        <v>122</v>
      </c>
      <c r="CL205" s="23">
        <f t="shared" ref="CL205" si="1666">CL60</f>
        <v>387</v>
      </c>
      <c r="CM205" s="24">
        <f t="shared" si="1665"/>
        <v>261.20747195764812</v>
      </c>
      <c r="CN205" s="24">
        <f t="shared" si="1665"/>
        <v>221.77219940318076</v>
      </c>
      <c r="CO205" s="24">
        <f t="shared" si="1665"/>
        <v>259.57907379142142</v>
      </c>
      <c r="CP205" s="24">
        <f t="shared" si="1665"/>
        <v>440.69257207338131</v>
      </c>
      <c r="CQ205" s="24">
        <f t="shared" si="1665"/>
        <v>310.72736194953222</v>
      </c>
      <c r="CR205" s="24">
        <f t="shared" si="1665"/>
        <v>303.63708076541235</v>
      </c>
      <c r="CS205" s="24">
        <f t="shared" si="1665"/>
        <v>356.55679062077553</v>
      </c>
      <c r="CT205" s="24">
        <f t="shared" si="1665"/>
        <v>531.59439884534402</v>
      </c>
      <c r="CU205" s="24">
        <f t="shared" ref="CU205:DB205" si="1667">CU60</f>
        <v>366.90248032184104</v>
      </c>
      <c r="CV205" s="24">
        <f t="shared" si="1667"/>
        <v>368.0197643875365</v>
      </c>
      <c r="CW205" s="24">
        <f t="shared" si="1667"/>
        <v>421.98405474814916</v>
      </c>
      <c r="CX205" s="24">
        <f t="shared" si="1667"/>
        <v>598.93745565228596</v>
      </c>
      <c r="CY205" s="24">
        <f t="shared" si="1667"/>
        <v>453.53310416461773</v>
      </c>
      <c r="CZ205" s="24">
        <f t="shared" si="1667"/>
        <v>455.02855183869571</v>
      </c>
      <c r="DA205" s="24">
        <f t="shared" si="1667"/>
        <v>512.78469036283366</v>
      </c>
      <c r="DB205" s="24">
        <f t="shared" si="1667"/>
        <v>703.82137006183643</v>
      </c>
      <c r="DE205" s="123"/>
      <c r="DF205" s="23">
        <v>1138</v>
      </c>
    </row>
    <row r="206" spans="1:110" s="23" customFormat="1" x14ac:dyDescent="0.2">
      <c r="A206" s="23" t="s">
        <v>88</v>
      </c>
      <c r="C206" s="23">
        <f t="shared" ref="C206:AE206" si="1668">C44</f>
        <v>0</v>
      </c>
      <c r="D206" s="23">
        <f t="shared" si="1668"/>
        <v>0</v>
      </c>
      <c r="E206" s="23">
        <f t="shared" si="1668"/>
        <v>0</v>
      </c>
      <c r="F206" s="23">
        <f t="shared" si="1668"/>
        <v>0</v>
      </c>
      <c r="G206" s="23">
        <f t="shared" si="1668"/>
        <v>0</v>
      </c>
      <c r="H206" s="23">
        <f t="shared" si="1668"/>
        <v>0</v>
      </c>
      <c r="I206" s="23">
        <f t="shared" si="1668"/>
        <v>0</v>
      </c>
      <c r="J206" s="23">
        <f t="shared" si="1668"/>
        <v>0</v>
      </c>
      <c r="K206" s="23">
        <f t="shared" si="1668"/>
        <v>0</v>
      </c>
      <c r="L206" s="23">
        <f t="shared" si="1668"/>
        <v>0</v>
      </c>
      <c r="M206" s="23">
        <f t="shared" si="1668"/>
        <v>0</v>
      </c>
      <c r="N206" s="23">
        <f t="shared" si="1668"/>
        <v>0</v>
      </c>
      <c r="O206" s="23">
        <f t="shared" si="1668"/>
        <v>0</v>
      </c>
      <c r="P206" s="23">
        <f t="shared" si="1668"/>
        <v>0</v>
      </c>
      <c r="Q206" s="23">
        <f t="shared" si="1668"/>
        <v>0</v>
      </c>
      <c r="R206" s="23">
        <f t="shared" si="1668"/>
        <v>1226</v>
      </c>
      <c r="S206" s="23">
        <f t="shared" si="1668"/>
        <v>1213</v>
      </c>
      <c r="T206" s="23">
        <f t="shared" si="1668"/>
        <v>1296</v>
      </c>
      <c r="U206" s="23">
        <f t="shared" si="1668"/>
        <v>1528</v>
      </c>
      <c r="V206" s="23">
        <f t="shared" si="1668"/>
        <v>1250</v>
      </c>
      <c r="W206" s="23">
        <f t="shared" si="1668"/>
        <v>1235</v>
      </c>
      <c r="X206" s="23">
        <f t="shared" si="1668"/>
        <v>1305</v>
      </c>
      <c r="Y206" s="23">
        <f t="shared" si="1668"/>
        <v>1498</v>
      </c>
      <c r="Z206" s="23">
        <f t="shared" si="1668"/>
        <v>1331</v>
      </c>
      <c r="AA206" s="23">
        <f t="shared" ref="AA206" si="1669">AA44</f>
        <v>1349</v>
      </c>
      <c r="AB206" s="24">
        <f t="shared" si="1668"/>
        <v>1782.8279034470399</v>
      </c>
      <c r="AC206" s="24">
        <f t="shared" si="1668"/>
        <v>1839.9774003357984</v>
      </c>
      <c r="AD206" s="24">
        <f t="shared" si="1668"/>
        <v>1891.8349130067354</v>
      </c>
      <c r="AE206" s="24">
        <f t="shared" si="1668"/>
        <v>1938.8904737171106</v>
      </c>
      <c r="AI206" s="23">
        <f t="shared" ref="AI206:BN206" si="1670">AI44</f>
        <v>0</v>
      </c>
      <c r="AJ206" s="23">
        <f t="shared" si="1670"/>
        <v>0</v>
      </c>
      <c r="AK206" s="23">
        <f t="shared" si="1670"/>
        <v>0</v>
      </c>
      <c r="AL206" s="23">
        <f t="shared" si="1670"/>
        <v>0</v>
      </c>
      <c r="AM206" s="23">
        <f t="shared" si="1670"/>
        <v>0</v>
      </c>
      <c r="AN206" s="23">
        <f t="shared" si="1670"/>
        <v>0</v>
      </c>
      <c r="AO206" s="23">
        <f t="shared" si="1670"/>
        <v>0</v>
      </c>
      <c r="AP206" s="23">
        <f t="shared" si="1670"/>
        <v>0</v>
      </c>
      <c r="AQ206" s="23">
        <f t="shared" si="1670"/>
        <v>0</v>
      </c>
      <c r="AR206" s="23">
        <f t="shared" si="1670"/>
        <v>0</v>
      </c>
      <c r="AS206" s="23">
        <f t="shared" si="1670"/>
        <v>0</v>
      </c>
      <c r="AT206" s="23">
        <f t="shared" si="1670"/>
        <v>0</v>
      </c>
      <c r="AU206" s="23">
        <f t="shared" si="1670"/>
        <v>0</v>
      </c>
      <c r="AV206" s="23">
        <f t="shared" si="1670"/>
        <v>0</v>
      </c>
      <c r="AW206" s="23">
        <f t="shared" si="1670"/>
        <v>0</v>
      </c>
      <c r="AX206" s="23">
        <f t="shared" si="1670"/>
        <v>0</v>
      </c>
      <c r="AY206" s="23">
        <f t="shared" si="1670"/>
        <v>0</v>
      </c>
      <c r="AZ206" s="23">
        <f t="shared" si="1670"/>
        <v>0</v>
      </c>
      <c r="BA206" s="23">
        <f t="shared" si="1670"/>
        <v>0</v>
      </c>
      <c r="BB206" s="23">
        <f t="shared" si="1670"/>
        <v>0</v>
      </c>
      <c r="BC206" s="23">
        <f t="shared" si="1670"/>
        <v>0</v>
      </c>
      <c r="BD206" s="23">
        <f t="shared" si="1670"/>
        <v>0</v>
      </c>
      <c r="BE206" s="23">
        <f t="shared" si="1670"/>
        <v>308</v>
      </c>
      <c r="BF206" s="23">
        <f t="shared" si="1670"/>
        <v>313</v>
      </c>
      <c r="BG206" s="23">
        <f t="shared" si="1670"/>
        <v>305</v>
      </c>
      <c r="BH206" s="23">
        <f t="shared" si="1670"/>
        <v>303</v>
      </c>
      <c r="BI206" s="23">
        <f t="shared" si="1670"/>
        <v>332</v>
      </c>
      <c r="BJ206" s="23">
        <f t="shared" si="1670"/>
        <v>356</v>
      </c>
      <c r="BK206" s="23">
        <f t="shared" si="1670"/>
        <v>342</v>
      </c>
      <c r="BL206" s="23">
        <f t="shared" si="1670"/>
        <v>406</v>
      </c>
      <c r="BM206" s="23">
        <f t="shared" si="1670"/>
        <v>405</v>
      </c>
      <c r="BN206" s="23">
        <f t="shared" si="1670"/>
        <v>375</v>
      </c>
      <c r="BO206" s="23">
        <f t="shared" ref="BO206:CT206" si="1671">BO44</f>
        <v>298</v>
      </c>
      <c r="BP206" s="23">
        <f t="shared" si="1671"/>
        <v>299</v>
      </c>
      <c r="BQ206" s="23">
        <f t="shared" si="1671"/>
        <v>326</v>
      </c>
      <c r="BR206" s="23">
        <f t="shared" si="1671"/>
        <v>327</v>
      </c>
      <c r="BS206" s="23">
        <f t="shared" si="1671"/>
        <v>297</v>
      </c>
      <c r="BT206" s="23">
        <f t="shared" si="1671"/>
        <v>303</v>
      </c>
      <c r="BU206" s="23">
        <f t="shared" si="1671"/>
        <v>302</v>
      </c>
      <c r="BV206" s="23">
        <f t="shared" si="1671"/>
        <v>333</v>
      </c>
      <c r="BW206" s="23">
        <f t="shared" si="1671"/>
        <v>312</v>
      </c>
      <c r="BX206" s="23">
        <f t="shared" si="1671"/>
        <v>332</v>
      </c>
      <c r="BY206" s="23">
        <f t="shared" si="1671"/>
        <v>325</v>
      </c>
      <c r="BZ206" s="23">
        <f t="shared" si="1671"/>
        <v>336</v>
      </c>
      <c r="CA206" s="23">
        <f t="shared" si="1671"/>
        <v>399</v>
      </c>
      <c r="CB206" s="23">
        <f t="shared" si="1671"/>
        <v>401</v>
      </c>
      <c r="CC206" s="23">
        <f t="shared" si="1671"/>
        <v>370</v>
      </c>
      <c r="CD206" s="23">
        <f t="shared" si="1671"/>
        <v>328</v>
      </c>
      <c r="CE206" s="23">
        <f t="shared" si="1671"/>
        <v>317</v>
      </c>
      <c r="CF206" s="23">
        <f t="shared" si="1671"/>
        <v>336</v>
      </c>
      <c r="CG206" s="23">
        <f t="shared" si="1671"/>
        <v>364</v>
      </c>
      <c r="CH206" s="23">
        <f t="shared" si="1671"/>
        <v>314</v>
      </c>
      <c r="CI206" s="23">
        <f t="shared" si="1671"/>
        <v>322</v>
      </c>
      <c r="CJ206" s="23">
        <f t="shared" si="1671"/>
        <v>322</v>
      </c>
      <c r="CK206" s="23">
        <f t="shared" si="1671"/>
        <v>340</v>
      </c>
      <c r="CL206" s="23">
        <f t="shared" ref="CL206" si="1672">CL44</f>
        <v>365</v>
      </c>
      <c r="CM206" s="24">
        <f t="shared" si="1671"/>
        <v>440.04</v>
      </c>
      <c r="CN206" s="24">
        <f t="shared" si="1671"/>
        <v>443.87903999999997</v>
      </c>
      <c r="CO206" s="24">
        <f t="shared" si="1671"/>
        <v>447.62594303999998</v>
      </c>
      <c r="CP206" s="24">
        <f t="shared" si="1671"/>
        <v>451.28292040703991</v>
      </c>
      <c r="CQ206" s="24">
        <f t="shared" si="1671"/>
        <v>454.85213031727108</v>
      </c>
      <c r="CR206" s="24">
        <f t="shared" si="1671"/>
        <v>458.33567918965645</v>
      </c>
      <c r="CS206" s="24">
        <f t="shared" si="1671"/>
        <v>461.73562288910472</v>
      </c>
      <c r="CT206" s="24">
        <f t="shared" si="1671"/>
        <v>465.05396793976627</v>
      </c>
      <c r="CU206" s="24">
        <f t="shared" ref="CU206:DB206" si="1673">CU44</f>
        <v>468.29267270921184</v>
      </c>
      <c r="CV206" s="24">
        <f t="shared" si="1673"/>
        <v>471.45364856419076</v>
      </c>
      <c r="CW206" s="24">
        <f t="shared" si="1673"/>
        <v>474.53876099865016</v>
      </c>
      <c r="CX206" s="24">
        <f t="shared" si="1673"/>
        <v>477.54983073468259</v>
      </c>
      <c r="CY206" s="24">
        <f t="shared" si="1673"/>
        <v>480.48863479705017</v>
      </c>
      <c r="CZ206" s="24">
        <f t="shared" si="1673"/>
        <v>483.35690756192099</v>
      </c>
      <c r="DA206" s="24">
        <f t="shared" si="1673"/>
        <v>486.1563417804349</v>
      </c>
      <c r="DB206" s="24">
        <f t="shared" si="1673"/>
        <v>488.88858957770447</v>
      </c>
      <c r="DE206" s="123"/>
      <c r="DF206" s="23">
        <v>1349</v>
      </c>
    </row>
    <row r="207" spans="1:110" s="22" customFormat="1" x14ac:dyDescent="0.2">
      <c r="A207" s="22" t="s">
        <v>89</v>
      </c>
      <c r="C207" s="22">
        <f t="shared" ref="C207:W207" si="1674">C205+C206</f>
        <v>0</v>
      </c>
      <c r="D207" s="22">
        <f t="shared" si="1674"/>
        <v>0</v>
      </c>
      <c r="E207" s="22">
        <f t="shared" si="1674"/>
        <v>0</v>
      </c>
      <c r="F207" s="22">
        <f t="shared" si="1674"/>
        <v>0</v>
      </c>
      <c r="G207" s="22">
        <f t="shared" si="1674"/>
        <v>0</v>
      </c>
      <c r="H207" s="22">
        <f t="shared" si="1674"/>
        <v>0</v>
      </c>
      <c r="I207" s="22">
        <f t="shared" si="1674"/>
        <v>0</v>
      </c>
      <c r="J207" s="22">
        <f t="shared" si="1674"/>
        <v>0</v>
      </c>
      <c r="K207" s="22">
        <f t="shared" si="1674"/>
        <v>0</v>
      </c>
      <c r="L207" s="22">
        <f t="shared" si="1674"/>
        <v>0</v>
      </c>
      <c r="M207" s="22">
        <f t="shared" si="1674"/>
        <v>0</v>
      </c>
      <c r="N207" s="22">
        <f t="shared" si="1674"/>
        <v>0</v>
      </c>
      <c r="O207" s="22">
        <f t="shared" si="1674"/>
        <v>0</v>
      </c>
      <c r="P207" s="22">
        <f t="shared" si="1674"/>
        <v>0</v>
      </c>
      <c r="Q207" s="22">
        <f t="shared" si="1674"/>
        <v>0</v>
      </c>
      <c r="R207" s="22">
        <f t="shared" si="1674"/>
        <v>1270</v>
      </c>
      <c r="S207" s="22">
        <f t="shared" si="1674"/>
        <v>1505</v>
      </c>
      <c r="T207" s="22">
        <f t="shared" si="1674"/>
        <v>1604</v>
      </c>
      <c r="U207" s="22">
        <f t="shared" si="1674"/>
        <v>1752</v>
      </c>
      <c r="V207" s="22">
        <f t="shared" si="1674"/>
        <v>2421</v>
      </c>
      <c r="W207" s="22">
        <f t="shared" si="1674"/>
        <v>2051</v>
      </c>
      <c r="X207" s="22">
        <f t="shared" ref="X207:Y207" si="1675">X205+X206</f>
        <v>2340</v>
      </c>
      <c r="Y207" s="22">
        <f t="shared" si="1675"/>
        <v>2324</v>
      </c>
      <c r="Z207" s="22">
        <f t="shared" ref="Z207:AA207" si="1676">Z205+Z206</f>
        <v>2014</v>
      </c>
      <c r="AA207" s="22">
        <f t="shared" ref="AA207" si="1677">AA205+AA206</f>
        <v>2488</v>
      </c>
      <c r="AB207" s="21">
        <f t="shared" ref="AB207:AD207" si="1678">AB205+AB206</f>
        <v>2966.0792206726715</v>
      </c>
      <c r="AC207" s="21">
        <f t="shared" si="1678"/>
        <v>3342.4930325168611</v>
      </c>
      <c r="AD207" s="21">
        <f t="shared" si="1678"/>
        <v>3647.6786681165459</v>
      </c>
      <c r="AE207" s="21">
        <f t="shared" ref="AE207" si="1679">AE205+AE206</f>
        <v>4064.0581901450928</v>
      </c>
      <c r="AI207" s="22">
        <f t="shared" ref="AI207" si="1680">AI205+AI206</f>
        <v>0</v>
      </c>
      <c r="AJ207" s="22">
        <f t="shared" ref="AJ207:AL207" si="1681">AJ205+AJ206</f>
        <v>0</v>
      </c>
      <c r="AK207" s="22">
        <f t="shared" si="1681"/>
        <v>0</v>
      </c>
      <c r="AL207" s="22">
        <f t="shared" si="1681"/>
        <v>0</v>
      </c>
      <c r="AM207" s="22">
        <f t="shared" ref="AM207" si="1682">AM205+AM206</f>
        <v>0</v>
      </c>
      <c r="AN207" s="22">
        <f t="shared" ref="AN207:CD207" si="1683">AN205+AN206</f>
        <v>0</v>
      </c>
      <c r="AO207" s="22">
        <f t="shared" si="1683"/>
        <v>0</v>
      </c>
      <c r="AP207" s="22">
        <f t="shared" si="1683"/>
        <v>0</v>
      </c>
      <c r="AQ207" s="22">
        <f t="shared" si="1683"/>
        <v>0</v>
      </c>
      <c r="AR207" s="22">
        <f t="shared" si="1683"/>
        <v>0</v>
      </c>
      <c r="AS207" s="22">
        <f t="shared" si="1683"/>
        <v>0</v>
      </c>
      <c r="AT207" s="22">
        <f t="shared" si="1683"/>
        <v>0</v>
      </c>
      <c r="AU207" s="22">
        <f t="shared" si="1683"/>
        <v>0</v>
      </c>
      <c r="AV207" s="22">
        <f t="shared" si="1683"/>
        <v>0</v>
      </c>
      <c r="AW207" s="22">
        <f t="shared" si="1683"/>
        <v>0</v>
      </c>
      <c r="AX207" s="22">
        <f t="shared" si="1683"/>
        <v>0</v>
      </c>
      <c r="AY207" s="22">
        <f t="shared" si="1683"/>
        <v>0</v>
      </c>
      <c r="AZ207" s="22">
        <f t="shared" si="1683"/>
        <v>0</v>
      </c>
      <c r="BA207" s="22">
        <f t="shared" si="1683"/>
        <v>0</v>
      </c>
      <c r="BB207" s="22">
        <f t="shared" si="1683"/>
        <v>0</v>
      </c>
      <c r="BC207" s="22">
        <f t="shared" si="1683"/>
        <v>0</v>
      </c>
      <c r="BD207" s="22">
        <f t="shared" si="1683"/>
        <v>0</v>
      </c>
      <c r="BE207" s="22">
        <f t="shared" si="1683"/>
        <v>361</v>
      </c>
      <c r="BF207" s="22">
        <f t="shared" si="1683"/>
        <v>441</v>
      </c>
      <c r="BG207" s="22">
        <f t="shared" si="1683"/>
        <v>358</v>
      </c>
      <c r="BH207" s="22">
        <f t="shared" si="1683"/>
        <v>302</v>
      </c>
      <c r="BI207" s="22">
        <f t="shared" si="1683"/>
        <v>360</v>
      </c>
      <c r="BJ207" s="22">
        <f t="shared" si="1683"/>
        <v>584</v>
      </c>
      <c r="BK207" s="22">
        <f t="shared" si="1683"/>
        <v>489</v>
      </c>
      <c r="BL207" s="22">
        <f t="shared" si="1683"/>
        <v>433</v>
      </c>
      <c r="BM207" s="22">
        <f t="shared" si="1683"/>
        <v>429</v>
      </c>
      <c r="BN207" s="22">
        <f t="shared" si="1683"/>
        <v>401</v>
      </c>
      <c r="BO207" s="22">
        <f t="shared" si="1683"/>
        <v>488</v>
      </c>
      <c r="BP207" s="22">
        <f t="shared" si="1683"/>
        <v>531</v>
      </c>
      <c r="BQ207" s="22">
        <f t="shared" si="1683"/>
        <v>508</v>
      </c>
      <c r="BR207" s="22">
        <f t="shared" si="1683"/>
        <v>954</v>
      </c>
      <c r="BS207" s="22">
        <f t="shared" si="1683"/>
        <v>566</v>
      </c>
      <c r="BT207" s="22">
        <f t="shared" si="1683"/>
        <v>501</v>
      </c>
      <c r="BU207" s="22">
        <f t="shared" si="1683"/>
        <v>386</v>
      </c>
      <c r="BV207" s="22">
        <f t="shared" si="1683"/>
        <v>599</v>
      </c>
      <c r="BW207" s="22">
        <f t="shared" si="1683"/>
        <v>508</v>
      </c>
      <c r="BX207" s="22">
        <f t="shared" si="1683"/>
        <v>378</v>
      </c>
      <c r="BY207" s="22">
        <f t="shared" si="1683"/>
        <v>529</v>
      </c>
      <c r="BZ207" s="22">
        <f t="shared" si="1683"/>
        <v>925</v>
      </c>
      <c r="CA207" s="22">
        <f t="shared" si="1683"/>
        <v>529</v>
      </c>
      <c r="CB207" s="22">
        <f t="shared" si="1683"/>
        <v>519</v>
      </c>
      <c r="CC207" s="22">
        <f t="shared" si="1683"/>
        <v>633</v>
      </c>
      <c r="CD207" s="22">
        <f t="shared" si="1683"/>
        <v>643</v>
      </c>
      <c r="CE207" s="22">
        <f t="shared" ref="CE207:CF207" si="1684">CE205+CE206</f>
        <v>458</v>
      </c>
      <c r="CF207" s="22">
        <f t="shared" si="1684"/>
        <v>382</v>
      </c>
      <c r="CG207" s="22">
        <f t="shared" ref="CG207:CH207" si="1685">CG205+CG206</f>
        <v>425</v>
      </c>
      <c r="CH207" s="22">
        <f t="shared" si="1685"/>
        <v>749</v>
      </c>
      <c r="CI207" s="22">
        <f t="shared" ref="CI207:CJ207" si="1686">CI205+CI206</f>
        <v>715</v>
      </c>
      <c r="CJ207" s="22">
        <f t="shared" si="1686"/>
        <v>558</v>
      </c>
      <c r="CK207" s="22">
        <f t="shared" ref="CK207:DB207" si="1687">CK205+CK206</f>
        <v>462</v>
      </c>
      <c r="CL207" s="22">
        <f t="shared" si="1687"/>
        <v>752</v>
      </c>
      <c r="CM207" s="21">
        <f t="shared" si="1687"/>
        <v>701.24747195764814</v>
      </c>
      <c r="CN207" s="21">
        <f t="shared" si="1687"/>
        <v>665.65123940318074</v>
      </c>
      <c r="CO207" s="21">
        <f t="shared" si="1687"/>
        <v>707.2050168314214</v>
      </c>
      <c r="CP207" s="21">
        <f t="shared" si="1687"/>
        <v>891.97549248042128</v>
      </c>
      <c r="CQ207" s="21">
        <f t="shared" si="1687"/>
        <v>765.5794922668033</v>
      </c>
      <c r="CR207" s="21">
        <f t="shared" si="1687"/>
        <v>761.9727599550688</v>
      </c>
      <c r="CS207" s="21">
        <f t="shared" si="1687"/>
        <v>818.29241350988025</v>
      </c>
      <c r="CT207" s="21">
        <f t="shared" si="1687"/>
        <v>996.64836678511028</v>
      </c>
      <c r="CU207" s="21">
        <f t="shared" si="1687"/>
        <v>835.19515303105288</v>
      </c>
      <c r="CV207" s="21">
        <f t="shared" si="1687"/>
        <v>839.47341295172725</v>
      </c>
      <c r="CW207" s="21">
        <f t="shared" si="1687"/>
        <v>896.52281574679932</v>
      </c>
      <c r="CX207" s="21">
        <f t="shared" si="1687"/>
        <v>1076.4872863869687</v>
      </c>
      <c r="CY207" s="21">
        <f t="shared" si="1687"/>
        <v>934.02173896166789</v>
      </c>
      <c r="CZ207" s="21">
        <f t="shared" si="1687"/>
        <v>938.3854594006167</v>
      </c>
      <c r="DA207" s="21">
        <f t="shared" si="1687"/>
        <v>998.94103214326856</v>
      </c>
      <c r="DB207" s="21">
        <f t="shared" si="1687"/>
        <v>1192.709959639541</v>
      </c>
      <c r="DE207" s="126"/>
      <c r="DF207" s="22">
        <v>2487</v>
      </c>
    </row>
    <row r="208" spans="1:110" s="23" customFormat="1" x14ac:dyDescent="0.2">
      <c r="A208" s="23" t="s">
        <v>65</v>
      </c>
      <c r="C208" s="23">
        <f t="shared" ref="C208:AA208" si="1688">B160-C160+B175+B176-C175-C176</f>
        <v>0</v>
      </c>
      <c r="D208" s="23">
        <f t="shared" si="1688"/>
        <v>0</v>
      </c>
      <c r="E208" s="23">
        <f>D160-E160+D175+D176-E175-E176</f>
        <v>0</v>
      </c>
      <c r="F208" s="23">
        <f t="shared" si="1688"/>
        <v>0</v>
      </c>
      <c r="G208" s="23">
        <f t="shared" si="1688"/>
        <v>0</v>
      </c>
      <c r="H208" s="23">
        <f t="shared" si="1688"/>
        <v>0</v>
      </c>
      <c r="I208" s="23">
        <f t="shared" si="1688"/>
        <v>0</v>
      </c>
      <c r="J208" s="23">
        <f>I160-J160+I175+I176-J175-J176</f>
        <v>0</v>
      </c>
      <c r="K208" s="23">
        <f>J160-K160+J175+J176-K175-K176</f>
        <v>0</v>
      </c>
      <c r="L208" s="23">
        <f t="shared" si="1688"/>
        <v>0</v>
      </c>
      <c r="M208" s="23">
        <f t="shared" si="1688"/>
        <v>0</v>
      </c>
      <c r="N208" s="23">
        <f t="shared" si="1688"/>
        <v>0</v>
      </c>
      <c r="O208" s="23">
        <f t="shared" si="1688"/>
        <v>0</v>
      </c>
      <c r="P208" s="23">
        <f t="shared" si="1688"/>
        <v>0</v>
      </c>
      <c r="Q208" s="23">
        <f t="shared" si="1688"/>
        <v>0</v>
      </c>
      <c r="R208" s="23">
        <f t="shared" si="1688"/>
        <v>-1331</v>
      </c>
      <c r="S208" s="23">
        <f t="shared" si="1688"/>
        <v>-541</v>
      </c>
      <c r="T208" s="23">
        <f t="shared" si="1688"/>
        <v>-401</v>
      </c>
      <c r="U208" s="23">
        <f t="shared" si="1688"/>
        <v>186</v>
      </c>
      <c r="V208" s="23">
        <f t="shared" si="1688"/>
        <v>772</v>
      </c>
      <c r="W208" s="23">
        <f t="shared" si="1688"/>
        <v>-744</v>
      </c>
      <c r="X208" s="23">
        <f t="shared" si="1688"/>
        <v>-1386</v>
      </c>
      <c r="Y208" s="23">
        <f t="shared" si="1688"/>
        <v>662</v>
      </c>
      <c r="Z208" s="23">
        <f t="shared" si="1688"/>
        <v>-208</v>
      </c>
      <c r="AA208" s="23">
        <f t="shared" si="1688"/>
        <v>115</v>
      </c>
      <c r="AB208" s="24">
        <f t="shared" ref="AB208" si="1689">AA160-AB160+AA175+AA176-AB175-AB176</f>
        <v>-2078.0870802413756</v>
      </c>
      <c r="AC208" s="24">
        <f t="shared" ref="AC208" si="1690">AB160-AC160+AB175+AB176-AC175-AC176</f>
        <v>-1167.7715660330487</v>
      </c>
      <c r="AD208" s="24">
        <f t="shared" ref="AD208" si="1691">AC160-AD160+AC175+AC176-AD175-AD176</f>
        <v>-580.64128264409919</v>
      </c>
      <c r="AE208" s="24">
        <f t="shared" ref="AE208" si="1692">AD160-AE160+AD175+AD176-AE175-AE176</f>
        <v>-621.63887037939458</v>
      </c>
      <c r="AI208" s="23">
        <f>AH160-AI160+AH175+AH176-AI175-AJ176</f>
        <v>0</v>
      </c>
      <c r="AJ208" s="23">
        <f t="shared" ref="AJ208:AL208" si="1693">AI160-AJ160+AI175+AI176-AJ175-AK176</f>
        <v>0</v>
      </c>
      <c r="AK208" s="23" t="e">
        <f t="shared" si="1693"/>
        <v>#DIV/0!</v>
      </c>
      <c r="AL208" s="23" t="e">
        <f t="shared" si="1693"/>
        <v>#DIV/0!</v>
      </c>
      <c r="AM208" s="23" t="e">
        <f t="shared" ref="AM208" si="1694">AL160-AM160+AL175+AL176-AM175-AM176</f>
        <v>#DIV/0!</v>
      </c>
      <c r="AN208" s="23" t="e">
        <f t="shared" ref="AN208" si="1695">AM160-AN160+AM175+AM176-AN175-AN176</f>
        <v>#DIV/0!</v>
      </c>
      <c r="AO208" s="23" t="e">
        <f t="shared" ref="AO208" si="1696">AN160-AO160+AN175+AN176-AO175-AO176</f>
        <v>#DIV/0!</v>
      </c>
      <c r="AP208" s="23" t="e">
        <f t="shared" ref="AP208" si="1697">AO160-AP160+AO175+AO176-AP175-AP176</f>
        <v>#DIV/0!</v>
      </c>
      <c r="AQ208" s="23" t="e">
        <f t="shared" ref="AQ208" si="1698">AP160-AQ160+AP175+AP176-AQ175-AQ176</f>
        <v>#DIV/0!</v>
      </c>
      <c r="AR208" s="23" t="e">
        <f t="shared" ref="AR208" si="1699">AQ160-AR160+AQ175+AQ176-AR175-AR176</f>
        <v>#DIV/0!</v>
      </c>
      <c r="AS208" s="23" t="e">
        <f t="shared" ref="AS208" si="1700">AR160-AS160+AR175+AR176-AS175-AS176</f>
        <v>#DIV/0!</v>
      </c>
      <c r="AT208" s="23" t="e">
        <f t="shared" ref="AT208" si="1701">AS160-AT160+AS175+AS176-AT175-AT176</f>
        <v>#DIV/0!</v>
      </c>
      <c r="AU208" s="23" t="e">
        <f t="shared" ref="AU208" si="1702">AT160-AU160+AT175+AT176-AU175-AU176</f>
        <v>#DIV/0!</v>
      </c>
      <c r="AV208" s="23" t="e">
        <f t="shared" ref="AV208" si="1703">AU160-AV160+AU175+AU176-AV175-AV176</f>
        <v>#DIV/0!</v>
      </c>
      <c r="AW208" s="23" t="e">
        <f t="shared" ref="AW208" si="1704">AV160-AW160+AV175+AV176-AW175-AW176</f>
        <v>#DIV/0!</v>
      </c>
      <c r="AX208" s="23" t="e">
        <f t="shared" ref="AX208" si="1705">AW160-AX160+AW175+AW176-AX175-AX176</f>
        <v>#DIV/0!</v>
      </c>
      <c r="AY208" s="23" t="e">
        <f t="shared" ref="AY208" si="1706">AX160-AY160+AX175+AX176-AY175-AY176</f>
        <v>#DIV/0!</v>
      </c>
      <c r="AZ208" s="23" t="e">
        <f t="shared" ref="AZ208" si="1707">AY160-AZ160+AY175+AY176-AZ175-AZ176</f>
        <v>#DIV/0!</v>
      </c>
      <c r="BA208" s="23" t="e">
        <f t="shared" ref="BA208" si="1708">AZ160-BA160+AZ175+AZ176-BA175-BA176</f>
        <v>#DIV/0!</v>
      </c>
      <c r="BB208" s="23" t="e">
        <f t="shared" ref="BB208" si="1709">BA160-BB160+BA175+BA176-BB175-BB176</f>
        <v>#DIV/0!</v>
      </c>
      <c r="BC208" s="23" t="e">
        <f t="shared" ref="BC208" si="1710">BB160-BC160+BB175+BB176-BC175-BC176</f>
        <v>#DIV/0!</v>
      </c>
      <c r="BD208" s="23" t="e">
        <f t="shared" ref="BD208" si="1711">BC160-BD160+BC175+BC176-BD175-BD176</f>
        <v>#DIV/0!</v>
      </c>
      <c r="BE208" s="23" t="e">
        <f t="shared" ref="BE208" si="1712">BD160-BE160+BD175+BD176-BE175-BE176</f>
        <v>#DIV/0!</v>
      </c>
      <c r="BF208" s="23" t="e">
        <f t="shared" ref="BF208" si="1713">BE160-BF160+BE175+BE176-BF175-BF176</f>
        <v>#DIV/0!</v>
      </c>
      <c r="BG208" s="23">
        <f t="shared" ref="BG208" si="1714">BF160-BG160+BF175+BF176-BG175-BG176</f>
        <v>0</v>
      </c>
      <c r="BH208" s="23">
        <f t="shared" ref="BH208" si="1715">BG160-BH160+BG175+BG176-BH175-BH176</f>
        <v>0</v>
      </c>
      <c r="BI208" s="23">
        <f t="shared" ref="BI208" si="1716">BH160-BI160+BH175+BH176-BI175-BI176</f>
        <v>0</v>
      </c>
      <c r="BJ208" s="23">
        <f t="shared" ref="BJ208" si="1717">BI160-BJ160+BI175+BI176-BJ175-BJ176</f>
        <v>-2273</v>
      </c>
      <c r="BK208" s="23">
        <f t="shared" ref="BK208" si="1718">BJ160-BK160+BJ175+BJ176-BK175-BK176</f>
        <v>169.67100633356768</v>
      </c>
      <c r="BL208" s="23">
        <f t="shared" ref="BL208" si="1719">BK160-BL160+BK175+BK176-BL175-BL176</f>
        <v>-119.67100633356768</v>
      </c>
      <c r="BM208" s="23">
        <f t="shared" ref="BM208" si="1720">BL160-BM160+BL175+BL176-BM175-BM176</f>
        <v>-120.34883720930247</v>
      </c>
      <c r="BN208" s="23">
        <f t="shared" ref="BN208" si="1721">BM160-BN160+BM175+BM176-BN175-BN176</f>
        <v>88.348837209302474</v>
      </c>
      <c r="BO208" s="23">
        <f t="shared" ref="BO208" si="1722">BN160-BO160+BN175+BN176-BO175-BO176</f>
        <v>383.93717277486894</v>
      </c>
      <c r="BP208" s="23">
        <f t="shared" ref="BP208" si="1723">BO160-BP160+BO175+BO176-BP175-BP176</f>
        <v>-108.93717277486894</v>
      </c>
      <c r="BQ208" s="23">
        <f t="shared" ref="BQ208" si="1724">BP160-BQ160+BP175+BP176-BQ175-BQ176</f>
        <v>-258.65283182014718</v>
      </c>
      <c r="BR208" s="23">
        <f t="shared" ref="BR208" si="1725">BQ160-BR160+BQ175+BQ176-BR175-BR176</f>
        <v>739.65283182014718</v>
      </c>
      <c r="BS208" s="23">
        <f t="shared" ref="BS208" si="1726">BR160-BS160+BR175+BR176-BS175-BS176</f>
        <v>225.88384639796914</v>
      </c>
      <c r="BT208" s="23">
        <f t="shared" ref="BT208" si="1727">BS160-BT160+BS175+BS176-BT175-BT176</f>
        <v>-983.88384639796914</v>
      </c>
      <c r="BU208" s="23">
        <f t="shared" ref="BU208" si="1728">BT160-BU160+BT175+BT176-BU175-BU176</f>
        <v>-89.986051917861914</v>
      </c>
      <c r="BV208" s="23">
        <f t="shared" ref="BV208" si="1729">BU160-BV160+BU175+BU176-BV175-BV176</f>
        <v>175.98605191786191</v>
      </c>
      <c r="BW208" s="23">
        <f t="shared" ref="BW208" si="1730">BV160-BW160+BV175+BV176-BW175-BW176</f>
        <v>37.338461538461615</v>
      </c>
      <c r="BX208" s="23">
        <f t="shared" ref="BX208" si="1731">BW160-BX160+BW175+BW176-BX175-BX176</f>
        <v>-606.33846153846162</v>
      </c>
      <c r="BY208" s="23">
        <f t="shared" ref="BY208" si="1732">BX160-BY160+BX175+BX176-BY175-BY176</f>
        <v>-249.83911141029967</v>
      </c>
      <c r="BZ208" s="23">
        <f t="shared" ref="BZ208" si="1733">BY160-BZ160+BY175+BY176-BZ175-BZ176</f>
        <v>-642.16088858970033</v>
      </c>
      <c r="CA208" s="23">
        <f t="shared" ref="CA208" si="1734">BZ160-CA160+BZ175+BZ176-CA175-CA176</f>
        <v>148.30344827586123</v>
      </c>
      <c r="CB208" s="23">
        <f t="shared" ref="CB208" si="1735">CA160-CB160+CA175+CA176-CB175-CB176</f>
        <v>176.69655172413877</v>
      </c>
      <c r="CC208" s="23">
        <f t="shared" ref="CC208" si="1736">CB160-CC160+CB175+CB176-CC175-CC176</f>
        <v>-289.79575007928906</v>
      </c>
      <c r="CD208" s="23">
        <f t="shared" ref="CD208" si="1737">CC160-CD160+CC175+CC176-CD175-CD176</f>
        <v>542.79575007928906</v>
      </c>
      <c r="CE208" s="23">
        <f t="shared" ref="CE208" si="1738">CD160-CE160+CD175+CD176-CE175-CE176</f>
        <v>327.15207801253746</v>
      </c>
      <c r="CF208" s="23">
        <f t="shared" ref="CF208" si="1739">CE160-CF160+CE175+CE176-CF175-CF176</f>
        <v>-467.15207801253746</v>
      </c>
      <c r="CG208" s="23">
        <f t="shared" ref="CG208" si="1740">CF160-CG160+CF175+CF176-CG175-CG176</f>
        <v>-70.766439909297333</v>
      </c>
      <c r="CH208" s="23">
        <f t="shared" ref="CH208:CL208" si="1741">CG160-CH160+CG175+CG176-CH175-CH176</f>
        <v>273.76643990929733</v>
      </c>
      <c r="CI208" s="23">
        <f t="shared" si="1741"/>
        <v>552.98460034221353</v>
      </c>
      <c r="CJ208" s="23">
        <f t="shared" si="1741"/>
        <v>-993.98460034221353</v>
      </c>
      <c r="CK208" s="23">
        <f t="shared" ref="CK208" si="1742">CJ160-CK160+CJ175+CJ176-CK175-CK176</f>
        <v>-143.30640913081697</v>
      </c>
      <c r="CL208" s="23">
        <f t="shared" si="1741"/>
        <v>-54.693590869183026</v>
      </c>
      <c r="CM208" s="24">
        <f t="shared" ref="CM208" si="1743">CL160-CM160+CL175+CL176-CM175-CM176</f>
        <v>465.49281815659378</v>
      </c>
      <c r="CN208" s="24">
        <f t="shared" ref="CN208" si="1744">CM160-CN160+CM175+CM176-CN175-CN176</f>
        <v>11.628085772945269</v>
      </c>
      <c r="CO208" s="24">
        <f t="shared" ref="CO208" si="1745">CN160-CO160+CN175+CN176-CO175-CO176</f>
        <v>-427.49000609108589</v>
      </c>
      <c r="CP208" s="24">
        <f t="shared" ref="CP208" si="1746">CO160-CP160+CO175+CO176-CP175-CP176</f>
        <v>-1373.7179780798288</v>
      </c>
      <c r="CQ208" s="24">
        <f t="shared" ref="CQ208" si="1747">CP160-CQ160+CP175+CP176-CQ175-CQ176</f>
        <v>902.6034075376474</v>
      </c>
      <c r="CR208" s="24">
        <f t="shared" ref="CR208" si="1748">CQ160-CR160+CQ175+CQ176-CR175-CR176</f>
        <v>-35.349118296778215</v>
      </c>
      <c r="CS208" s="24">
        <f t="shared" ref="CS208" si="1749">CR160-CS160+CR175+CR176-CS175-CS176</f>
        <v>-511.64166583962469</v>
      </c>
      <c r="CT208" s="24">
        <f t="shared" ref="CT208" si="1750">CS160-CT160+CS175+CS176-CT175-CT176</f>
        <v>-1523.3841894342931</v>
      </c>
      <c r="CU208" s="24">
        <f t="shared" ref="CU208" si="1751">CT160-CU160+CT175+CT176-CU175-CU176</f>
        <v>1235.2200634261353</v>
      </c>
      <c r="CV208" s="24">
        <f t="shared" ref="CV208" si="1752">CU160-CV160+CU175+CU176-CV175-CV176</f>
        <v>104.29682334309746</v>
      </c>
      <c r="CW208" s="24">
        <f t="shared" ref="CW208" si="1753">CV160-CW160+CV175+CV176-CW175-CW176</f>
        <v>-404.43372647268734</v>
      </c>
      <c r="CX208" s="24">
        <f t="shared" ref="CX208" si="1754">CW160-CX160+CW175+CW176-CX175-CX176</f>
        <v>-1515.7244429406446</v>
      </c>
      <c r="CY208" s="24">
        <f t="shared" ref="CY208" si="1755">CX160-CY160+CX175+CX176-CY175-CY176</f>
        <v>1323.0402871809783</v>
      </c>
      <c r="CZ208" s="24">
        <f t="shared" ref="CZ208" si="1756">CY160-CZ160+CY175+CY176-CZ175-CZ176</f>
        <v>108.57274949553357</v>
      </c>
      <c r="DA208" s="24">
        <f t="shared" ref="DA208" si="1757">CZ160-DA160+CZ175+CZ176-DA175-DA176</f>
        <v>-432.40571947314675</v>
      </c>
      <c r="DB208" s="24">
        <f t="shared" ref="DB208" si="1758">DA160-DB160+DA175+DA176-DB175-DB176</f>
        <v>-1620.8461875827597</v>
      </c>
      <c r="DE208" s="123"/>
      <c r="DF208" s="23">
        <v>-639</v>
      </c>
    </row>
    <row r="209" spans="1:110" s="23" customFormat="1" x14ac:dyDescent="0.2">
      <c r="A209" s="23" t="s">
        <v>73</v>
      </c>
      <c r="C209" s="23">
        <f t="shared" ref="C209:AA209" si="1759">B168-C168</f>
        <v>0</v>
      </c>
      <c r="D209" s="23">
        <f t="shared" si="1759"/>
        <v>0</v>
      </c>
      <c r="E209" s="23">
        <f>D168-E168</f>
        <v>0</v>
      </c>
      <c r="F209" s="23">
        <f t="shared" si="1759"/>
        <v>0</v>
      </c>
      <c r="G209" s="23">
        <f t="shared" si="1759"/>
        <v>0</v>
      </c>
      <c r="H209" s="23">
        <f t="shared" si="1759"/>
        <v>0</v>
      </c>
      <c r="I209" s="23">
        <f t="shared" si="1759"/>
        <v>0</v>
      </c>
      <c r="J209" s="23">
        <f>I168-J168</f>
        <v>0</v>
      </c>
      <c r="K209" s="23">
        <f>J168-K168</f>
        <v>0</v>
      </c>
      <c r="L209" s="23">
        <f t="shared" si="1759"/>
        <v>0</v>
      </c>
      <c r="M209" s="23">
        <f t="shared" si="1759"/>
        <v>0</v>
      </c>
      <c r="N209" s="23">
        <f t="shared" si="1759"/>
        <v>0</v>
      </c>
      <c r="O209" s="23">
        <f t="shared" si="1759"/>
        <v>0</v>
      </c>
      <c r="P209" s="23">
        <f t="shared" si="1759"/>
        <v>0</v>
      </c>
      <c r="Q209" s="23">
        <f t="shared" si="1759"/>
        <v>0</v>
      </c>
      <c r="R209" s="23">
        <f t="shared" si="1759"/>
        <v>-2251</v>
      </c>
      <c r="S209" s="23">
        <f t="shared" si="1759"/>
        <v>-119</v>
      </c>
      <c r="T209" s="23">
        <f t="shared" si="1759"/>
        <v>-361</v>
      </c>
      <c r="U209" s="23">
        <f t="shared" si="1759"/>
        <v>-334</v>
      </c>
      <c r="V209" s="23">
        <f t="shared" si="1759"/>
        <v>-610</v>
      </c>
      <c r="W209" s="23">
        <f t="shared" si="1759"/>
        <v>-177</v>
      </c>
      <c r="X209" s="23">
        <f t="shared" si="1759"/>
        <v>-571</v>
      </c>
      <c r="Y209" s="23">
        <f t="shared" si="1759"/>
        <v>-394</v>
      </c>
      <c r="Z209" s="23">
        <f t="shared" si="1759"/>
        <v>-615</v>
      </c>
      <c r="AA209" s="23">
        <f t="shared" si="1759"/>
        <v>-768</v>
      </c>
      <c r="AB209" s="24">
        <f t="shared" ref="AB209" si="1760">AA168-AB168</f>
        <v>-695.91442941898276</v>
      </c>
      <c r="AC209" s="24">
        <f t="shared" ref="AC209" si="1761">AB168-AC168</f>
        <v>-487.81205308125755</v>
      </c>
      <c r="AD209" s="24">
        <f t="shared" ref="AD209" si="1762">AC168-AD168</f>
        <v>-516.17738732108046</v>
      </c>
      <c r="AE209" s="24">
        <f t="shared" ref="AE209" si="1763">AD168-AE168</f>
        <v>-552.62334518908574</v>
      </c>
      <c r="AI209" s="23">
        <f t="shared" ref="AI209" si="1764">AH168-AI168</f>
        <v>0</v>
      </c>
      <c r="AJ209" s="23">
        <f t="shared" ref="AJ209" si="1765">AI168-AJ168</f>
        <v>0</v>
      </c>
      <c r="AK209" s="23" t="e">
        <f t="shared" ref="AK209" si="1766">AJ168-AK168</f>
        <v>#DIV/0!</v>
      </c>
      <c r="AL209" s="23" t="e">
        <f t="shared" ref="AL209" si="1767">AK168-AL168</f>
        <v>#DIV/0!</v>
      </c>
      <c r="AM209" s="23" t="e">
        <f t="shared" ref="AM209" si="1768">AL168-AM168</f>
        <v>#DIV/0!</v>
      </c>
      <c r="AN209" s="23" t="e">
        <f t="shared" ref="AN209" si="1769">AM168-AN168</f>
        <v>#DIV/0!</v>
      </c>
      <c r="AO209" s="23" t="e">
        <f t="shared" ref="AO209" si="1770">AN168-AO168</f>
        <v>#DIV/0!</v>
      </c>
      <c r="AP209" s="23" t="e">
        <f t="shared" ref="AP209" si="1771">AO168-AP168</f>
        <v>#DIV/0!</v>
      </c>
      <c r="AQ209" s="23" t="e">
        <f t="shared" ref="AQ209" si="1772">AP168-AQ168</f>
        <v>#DIV/0!</v>
      </c>
      <c r="AR209" s="23" t="e">
        <f t="shared" ref="AR209" si="1773">AQ168-AR168</f>
        <v>#DIV/0!</v>
      </c>
      <c r="AS209" s="23" t="e">
        <f t="shared" ref="AS209" si="1774">AR168-AS168</f>
        <v>#DIV/0!</v>
      </c>
      <c r="AT209" s="23" t="e">
        <f t="shared" ref="AT209" si="1775">AS168-AT168</f>
        <v>#DIV/0!</v>
      </c>
      <c r="AU209" s="23" t="e">
        <f t="shared" ref="AU209" si="1776">AT168-AU168</f>
        <v>#DIV/0!</v>
      </c>
      <c r="AV209" s="23" t="e">
        <f t="shared" ref="AV209" si="1777">AU168-AV168</f>
        <v>#DIV/0!</v>
      </c>
      <c r="AW209" s="23" t="e">
        <f t="shared" ref="AW209" si="1778">AV168-AW168</f>
        <v>#DIV/0!</v>
      </c>
      <c r="AX209" s="23" t="e">
        <f t="shared" ref="AX209" si="1779">AW168-AX168</f>
        <v>#DIV/0!</v>
      </c>
      <c r="AY209" s="23" t="e">
        <f t="shared" ref="AY209" si="1780">AX168-AY168</f>
        <v>#DIV/0!</v>
      </c>
      <c r="AZ209" s="23" t="e">
        <f t="shared" ref="AZ209" si="1781">AY168-AZ168</f>
        <v>#DIV/0!</v>
      </c>
      <c r="BA209" s="23" t="e">
        <f t="shared" ref="BA209" si="1782">AZ168-BA168</f>
        <v>#DIV/0!</v>
      </c>
      <c r="BB209" s="23" t="e">
        <f t="shared" ref="BB209" si="1783">BA168-BB168</f>
        <v>#DIV/0!</v>
      </c>
      <c r="BC209" s="23" t="e">
        <f t="shared" ref="BC209" si="1784">BB168-BC168</f>
        <v>#DIV/0!</v>
      </c>
      <c r="BD209" s="23" t="e">
        <f t="shared" ref="BD209" si="1785">BC168-BD168</f>
        <v>#DIV/0!</v>
      </c>
      <c r="BE209" s="23" t="e">
        <f t="shared" ref="BE209" si="1786">BD168-BE168</f>
        <v>#DIV/0!</v>
      </c>
      <c r="BF209" s="23" t="e">
        <f t="shared" ref="BF209" si="1787">BE168-BF168</f>
        <v>#DIV/0!</v>
      </c>
      <c r="BG209" s="23">
        <f t="shared" ref="BG209" si="1788">BF168-BG168</f>
        <v>0</v>
      </c>
      <c r="BH209" s="23">
        <f t="shared" ref="BH209" si="1789">BG168-BH168</f>
        <v>0</v>
      </c>
      <c r="BI209" s="23">
        <f t="shared" ref="BI209" si="1790">BH168-BI168</f>
        <v>0</v>
      </c>
      <c r="BJ209" s="23">
        <f t="shared" ref="BJ209" si="1791">BI168-BJ168</f>
        <v>-3686</v>
      </c>
      <c r="BK209" s="23">
        <f t="shared" ref="BK209" si="1792">BJ168-BK168</f>
        <v>94.118578465869177</v>
      </c>
      <c r="BL209" s="23">
        <f t="shared" ref="BL209" si="1793">BK168-BL168</f>
        <v>-213.11857846586918</v>
      </c>
      <c r="BM209" s="23">
        <f t="shared" ref="BM209" si="1794">BL168-BM168</f>
        <v>-57.236135957065926</v>
      </c>
      <c r="BN209" s="23">
        <f t="shared" ref="BN209" si="1795">BM168-BN168</f>
        <v>-401.76386404293407</v>
      </c>
      <c r="BO209" s="23">
        <f t="shared" ref="BO209" si="1796">BN168-BO168</f>
        <v>194.312525171164</v>
      </c>
      <c r="BP209" s="23">
        <f t="shared" ref="BP209" si="1797">BO168-BP168</f>
        <v>-147.312525171164</v>
      </c>
      <c r="BQ209" s="23">
        <f t="shared" ref="BQ209" si="1798">BP168-BQ168</f>
        <v>-144.99956766104697</v>
      </c>
      <c r="BR209" s="23">
        <f t="shared" ref="BR209" si="1799">BQ168-BR168</f>
        <v>686.99956766104697</v>
      </c>
      <c r="BS209" s="23">
        <f t="shared" ref="BS209" si="1800">BR168-BS168</f>
        <v>159.77150111075844</v>
      </c>
      <c r="BT209" s="23">
        <f t="shared" ref="BT209" si="1801">BS168-BT168</f>
        <v>-206.77150111075844</v>
      </c>
      <c r="BU209" s="23">
        <f t="shared" ref="BU209" si="1802">BT168-BU168</f>
        <v>-49.794653235180249</v>
      </c>
      <c r="BV209" s="23">
        <f t="shared" ref="BV209" si="1803">BU168-BV168</f>
        <v>-80.205346764819751</v>
      </c>
      <c r="BW209" s="23">
        <f t="shared" ref="BW209" si="1804">BV168-BW168</f>
        <v>19.615384615384755</v>
      </c>
      <c r="BX209" s="23">
        <f t="shared" ref="BX209" si="1805">BW168-BX168</f>
        <v>121.38461538461524</v>
      </c>
      <c r="BY209" s="23">
        <f t="shared" ref="BY209" si="1806">BX168-BY168</f>
        <v>-114.90272635476276</v>
      </c>
      <c r="BZ209" s="23">
        <f t="shared" ref="BZ209" si="1807">BY168-BZ168</f>
        <v>-597.09727364523724</v>
      </c>
      <c r="CA209" s="23">
        <f t="shared" ref="CA209" si="1808">BZ168-CA168</f>
        <v>83.4942528735628</v>
      </c>
      <c r="CB209" s="23">
        <f t="shared" ref="CB209" si="1809">CA168-CB168</f>
        <v>114.5057471264372</v>
      </c>
      <c r="CC209" s="23">
        <f t="shared" ref="CC209" si="1810">CB168-CC168</f>
        <v>-144.32572153504589</v>
      </c>
      <c r="CD209" s="23">
        <f t="shared" ref="CD209" si="1811">CC168-CD168</f>
        <v>-447.67427846495411</v>
      </c>
      <c r="CE209" s="23">
        <f t="shared" ref="CE209" si="1812">CD168-CE168</f>
        <v>209.60668678894854</v>
      </c>
      <c r="CF209" s="23">
        <f t="shared" ref="CF209" si="1813">CE168-CF168</f>
        <v>23.393313211051463</v>
      </c>
      <c r="CG209" s="23">
        <f t="shared" ref="CG209" si="1814">CF168-CG168</f>
        <v>-38.732750242954353</v>
      </c>
      <c r="CH209" s="23">
        <f t="shared" ref="CH209:CL209" si="1815">CG168-CH168</f>
        <v>-809.26724975704565</v>
      </c>
      <c r="CI209" s="23">
        <f t="shared" si="1815"/>
        <v>604.14568565143054</v>
      </c>
      <c r="CJ209" s="23">
        <f t="shared" si="1815"/>
        <v>-130.14568565143054</v>
      </c>
      <c r="CK209" s="23">
        <f t="shared" ref="CK209" si="1816">CJ168-CK168</f>
        <v>-129.13725490196157</v>
      </c>
      <c r="CL209" s="23">
        <f t="shared" si="1815"/>
        <v>-1112.8627450980384</v>
      </c>
      <c r="CM209" s="24">
        <f t="shared" ref="CM209" si="1817">CL168-CM168</f>
        <v>640.71833257218077</v>
      </c>
      <c r="CN209" s="24">
        <f t="shared" ref="CN209" si="1818">CM168-CN168</f>
        <v>148.98543321132456</v>
      </c>
      <c r="CO209" s="24">
        <f t="shared" ref="CO209" si="1819">CN168-CO168</f>
        <v>-292.62845356699654</v>
      </c>
      <c r="CP209" s="24">
        <f t="shared" ref="CP209" si="1820">CO168-CP168</f>
        <v>-1192.9897416354916</v>
      </c>
      <c r="CQ209" s="24">
        <f t="shared" ref="CQ209" si="1821">CP168-CQ168</f>
        <v>1010.3975151649829</v>
      </c>
      <c r="CR209" s="24">
        <f t="shared" ref="CR209" si="1822">CQ168-CR168</f>
        <v>99.58273599887616</v>
      </c>
      <c r="CS209" s="24">
        <f t="shared" ref="CS209" si="1823">CR168-CS168</f>
        <v>-334.60109786251905</v>
      </c>
      <c r="CT209" s="24">
        <f t="shared" ref="CT209" si="1824">CS168-CT168</f>
        <v>-1263.1912063825976</v>
      </c>
      <c r="CU209" s="24">
        <f t="shared" ref="CU209" si="1825">CT168-CU168</f>
        <v>1098.0835916496326</v>
      </c>
      <c r="CV209" s="24">
        <f t="shared" ref="CV209" si="1826">CU168-CV168</f>
        <v>92.717592407440861</v>
      </c>
      <c r="CW209" s="24">
        <f t="shared" ref="CW209" si="1827">CV168-CW168</f>
        <v>-359.53272789106632</v>
      </c>
      <c r="CX209" s="24">
        <f t="shared" ref="CX209" si="1828">CW168-CX168</f>
        <v>-1347.4458434870876</v>
      </c>
      <c r="CY209" s="24">
        <f t="shared" ref="CY209" si="1829">CX168-CY168</f>
        <v>1176.1538477728327</v>
      </c>
      <c r="CZ209" s="24">
        <f t="shared" ref="CZ209" si="1830">CY168-CZ168</f>
        <v>96.518797136960529</v>
      </c>
      <c r="DA209" s="24">
        <f t="shared" ref="DA209" si="1831">CZ168-DA168</f>
        <v>-384.39921723090629</v>
      </c>
      <c r="DB209" s="24">
        <f t="shared" ref="DB209" si="1832">DA168-DB168</f>
        <v>-1440.8967728679727</v>
      </c>
      <c r="DE209" s="123"/>
      <c r="DF209" s="23">
        <v>-768</v>
      </c>
    </row>
    <row r="210" spans="1:110" s="22" customFormat="1" x14ac:dyDescent="0.2">
      <c r="A210" s="22" t="s">
        <v>90</v>
      </c>
      <c r="C210" s="22">
        <f t="shared" ref="C210:W210" si="1833">C208-C209</f>
        <v>0</v>
      </c>
      <c r="D210" s="22">
        <f t="shared" si="1833"/>
        <v>0</v>
      </c>
      <c r="E210" s="22">
        <f t="shared" si="1833"/>
        <v>0</v>
      </c>
      <c r="F210" s="22">
        <f t="shared" si="1833"/>
        <v>0</v>
      </c>
      <c r="G210" s="22">
        <f t="shared" si="1833"/>
        <v>0</v>
      </c>
      <c r="H210" s="22">
        <f t="shared" si="1833"/>
        <v>0</v>
      </c>
      <c r="I210" s="22">
        <f t="shared" si="1833"/>
        <v>0</v>
      </c>
      <c r="J210" s="22">
        <f>J208-J209</f>
        <v>0</v>
      </c>
      <c r="K210" s="22">
        <f t="shared" si="1833"/>
        <v>0</v>
      </c>
      <c r="L210" s="22">
        <f t="shared" si="1833"/>
        <v>0</v>
      </c>
      <c r="M210" s="22">
        <f t="shared" si="1833"/>
        <v>0</v>
      </c>
      <c r="N210" s="22">
        <f t="shared" si="1833"/>
        <v>0</v>
      </c>
      <c r="O210" s="22">
        <f t="shared" si="1833"/>
        <v>0</v>
      </c>
      <c r="P210" s="22">
        <f t="shared" si="1833"/>
        <v>0</v>
      </c>
      <c r="Q210" s="22">
        <f t="shared" si="1833"/>
        <v>0</v>
      </c>
      <c r="R210" s="22">
        <f t="shared" si="1833"/>
        <v>920</v>
      </c>
      <c r="S210" s="22">
        <f t="shared" si="1833"/>
        <v>-422</v>
      </c>
      <c r="T210" s="22">
        <f t="shared" si="1833"/>
        <v>-40</v>
      </c>
      <c r="U210" s="22">
        <f t="shared" si="1833"/>
        <v>520</v>
      </c>
      <c r="V210" s="22">
        <f t="shared" si="1833"/>
        <v>1382</v>
      </c>
      <c r="W210" s="22">
        <f t="shared" si="1833"/>
        <v>-567</v>
      </c>
      <c r="X210" s="22">
        <f t="shared" ref="X210:Y210" si="1834">X208-X209</f>
        <v>-815</v>
      </c>
      <c r="Y210" s="22">
        <f t="shared" si="1834"/>
        <v>1056</v>
      </c>
      <c r="Z210" s="22">
        <f t="shared" ref="Z210:AA210" si="1835">Z208-Z209</f>
        <v>407</v>
      </c>
      <c r="AA210" s="22">
        <f t="shared" ref="AA210" si="1836">AA208-AA209</f>
        <v>883</v>
      </c>
      <c r="AB210" s="21">
        <f t="shared" ref="AB210:AD210" si="1837">AB208-AB209</f>
        <v>-1382.1726508223928</v>
      </c>
      <c r="AC210" s="21">
        <f t="shared" si="1837"/>
        <v>-679.95951295179111</v>
      </c>
      <c r="AD210" s="21">
        <f t="shared" si="1837"/>
        <v>-64.463895323018733</v>
      </c>
      <c r="AE210" s="21">
        <f t="shared" ref="AE210" si="1838">AE208-AE209</f>
        <v>-69.015525190308836</v>
      </c>
      <c r="AI210" s="22">
        <f t="shared" ref="AI210" si="1839">AI208-AI209</f>
        <v>0</v>
      </c>
      <c r="AJ210" s="22">
        <f t="shared" ref="AJ210:AL210" si="1840">AJ208-AJ209</f>
        <v>0</v>
      </c>
      <c r="AK210" s="22" t="e">
        <f t="shared" si="1840"/>
        <v>#DIV/0!</v>
      </c>
      <c r="AL210" s="22" t="e">
        <f t="shared" si="1840"/>
        <v>#DIV/0!</v>
      </c>
      <c r="AM210" s="22" t="e">
        <f t="shared" ref="AM210" si="1841">AM208-AM209</f>
        <v>#DIV/0!</v>
      </c>
      <c r="AN210" s="22" t="e">
        <f t="shared" ref="AN210:CD210" si="1842">AN208-AN209</f>
        <v>#DIV/0!</v>
      </c>
      <c r="AO210" s="22" t="e">
        <f t="shared" si="1842"/>
        <v>#DIV/0!</v>
      </c>
      <c r="AP210" s="22" t="e">
        <f t="shared" si="1842"/>
        <v>#DIV/0!</v>
      </c>
      <c r="AQ210" s="22" t="e">
        <f t="shared" si="1842"/>
        <v>#DIV/0!</v>
      </c>
      <c r="AR210" s="22" t="e">
        <f t="shared" si="1842"/>
        <v>#DIV/0!</v>
      </c>
      <c r="AS210" s="22" t="e">
        <f t="shared" si="1842"/>
        <v>#DIV/0!</v>
      </c>
      <c r="AT210" s="22" t="e">
        <f t="shared" si="1842"/>
        <v>#DIV/0!</v>
      </c>
      <c r="AU210" s="22" t="e">
        <f t="shared" si="1842"/>
        <v>#DIV/0!</v>
      </c>
      <c r="AV210" s="22" t="e">
        <f t="shared" si="1842"/>
        <v>#DIV/0!</v>
      </c>
      <c r="AW210" s="22" t="e">
        <f t="shared" si="1842"/>
        <v>#DIV/0!</v>
      </c>
      <c r="AX210" s="22" t="e">
        <f t="shared" si="1842"/>
        <v>#DIV/0!</v>
      </c>
      <c r="AY210" s="22" t="e">
        <f t="shared" si="1842"/>
        <v>#DIV/0!</v>
      </c>
      <c r="AZ210" s="22" t="e">
        <f t="shared" si="1842"/>
        <v>#DIV/0!</v>
      </c>
      <c r="BA210" s="22" t="e">
        <f t="shared" si="1842"/>
        <v>#DIV/0!</v>
      </c>
      <c r="BB210" s="22" t="e">
        <f t="shared" si="1842"/>
        <v>#DIV/0!</v>
      </c>
      <c r="BC210" s="22" t="e">
        <f t="shared" si="1842"/>
        <v>#DIV/0!</v>
      </c>
      <c r="BD210" s="22" t="e">
        <f t="shared" si="1842"/>
        <v>#DIV/0!</v>
      </c>
      <c r="BE210" s="22" t="e">
        <f t="shared" si="1842"/>
        <v>#DIV/0!</v>
      </c>
      <c r="BF210" s="22" t="e">
        <f t="shared" si="1842"/>
        <v>#DIV/0!</v>
      </c>
      <c r="BG210" s="22">
        <f t="shared" si="1842"/>
        <v>0</v>
      </c>
      <c r="BH210" s="22">
        <f t="shared" si="1842"/>
        <v>0</v>
      </c>
      <c r="BI210" s="22">
        <f t="shared" si="1842"/>
        <v>0</v>
      </c>
      <c r="BJ210" s="22">
        <f t="shared" si="1842"/>
        <v>1413</v>
      </c>
      <c r="BK210" s="22">
        <f t="shared" si="1842"/>
        <v>75.552427867698498</v>
      </c>
      <c r="BL210" s="22">
        <f t="shared" si="1842"/>
        <v>93.447572132301502</v>
      </c>
      <c r="BM210" s="22">
        <f t="shared" si="1842"/>
        <v>-63.112701252236548</v>
      </c>
      <c r="BN210" s="22">
        <f t="shared" si="1842"/>
        <v>490.11270125223655</v>
      </c>
      <c r="BO210" s="22">
        <f t="shared" si="1842"/>
        <v>189.62464760370494</v>
      </c>
      <c r="BP210" s="22">
        <f t="shared" si="1842"/>
        <v>38.375352396295057</v>
      </c>
      <c r="BQ210" s="22">
        <f t="shared" si="1842"/>
        <v>-113.65326415910022</v>
      </c>
      <c r="BR210" s="22">
        <f t="shared" si="1842"/>
        <v>52.653264159100218</v>
      </c>
      <c r="BS210" s="22">
        <f t="shared" si="1842"/>
        <v>66.112345287210701</v>
      </c>
      <c r="BT210" s="22">
        <f t="shared" si="1842"/>
        <v>-777.1123452872107</v>
      </c>
      <c r="BU210" s="22">
        <f t="shared" si="1842"/>
        <v>-40.191398682681665</v>
      </c>
      <c r="BV210" s="22">
        <f t="shared" si="1842"/>
        <v>256.19139868268167</v>
      </c>
      <c r="BW210" s="22">
        <f t="shared" si="1842"/>
        <v>17.72307692307686</v>
      </c>
      <c r="BX210" s="22">
        <f t="shared" si="1842"/>
        <v>-727.72307692307686</v>
      </c>
      <c r="BY210" s="22">
        <f t="shared" si="1842"/>
        <v>-134.9363850555369</v>
      </c>
      <c r="BZ210" s="22">
        <f t="shared" si="1842"/>
        <v>-45.063614944463097</v>
      </c>
      <c r="CA210" s="22">
        <f t="shared" si="1842"/>
        <v>64.809195402298428</v>
      </c>
      <c r="CB210" s="22">
        <f t="shared" si="1842"/>
        <v>62.190804597701572</v>
      </c>
      <c r="CC210" s="22">
        <f t="shared" si="1842"/>
        <v>-145.47002854424318</v>
      </c>
      <c r="CD210" s="22">
        <f t="shared" si="1842"/>
        <v>990.47002854424318</v>
      </c>
      <c r="CE210" s="22">
        <f t="shared" ref="CE210:CF210" si="1843">CE208-CE209</f>
        <v>117.54539122358892</v>
      </c>
      <c r="CF210" s="22">
        <f t="shared" si="1843"/>
        <v>-490.54539122358892</v>
      </c>
      <c r="CG210" s="22">
        <f t="shared" ref="CG210:CH210" si="1844">CG208-CG209</f>
        <v>-32.03368966634298</v>
      </c>
      <c r="CH210" s="22">
        <f t="shared" si="1844"/>
        <v>1083.033689666343</v>
      </c>
      <c r="CI210" s="22">
        <f t="shared" ref="CI210:CJ210" si="1845">CI208-CI209</f>
        <v>-51.161085309217015</v>
      </c>
      <c r="CJ210" s="22">
        <f t="shared" si="1845"/>
        <v>-863.83891469078299</v>
      </c>
      <c r="CK210" s="22">
        <f t="shared" ref="CK210:DB210" si="1846">CK208-CK209</f>
        <v>-14.169154228855405</v>
      </c>
      <c r="CL210" s="22">
        <f t="shared" si="1846"/>
        <v>1058.1691542288554</v>
      </c>
      <c r="CM210" s="21">
        <f t="shared" si="1846"/>
        <v>-175.22551441558699</v>
      </c>
      <c r="CN210" s="21">
        <f t="shared" si="1846"/>
        <v>-137.35734743837929</v>
      </c>
      <c r="CO210" s="21">
        <f t="shared" si="1846"/>
        <v>-134.86155252408935</v>
      </c>
      <c r="CP210" s="21">
        <f t="shared" si="1846"/>
        <v>-180.7282364443372</v>
      </c>
      <c r="CQ210" s="21">
        <f t="shared" si="1846"/>
        <v>-107.79410762733551</v>
      </c>
      <c r="CR210" s="21">
        <f t="shared" si="1846"/>
        <v>-134.93185429565438</v>
      </c>
      <c r="CS210" s="21">
        <f t="shared" si="1846"/>
        <v>-177.04056797710564</v>
      </c>
      <c r="CT210" s="21">
        <f t="shared" si="1846"/>
        <v>-260.19298305169559</v>
      </c>
      <c r="CU210" s="21">
        <f t="shared" si="1846"/>
        <v>137.13647177650273</v>
      </c>
      <c r="CV210" s="21">
        <f t="shared" si="1846"/>
        <v>11.579230935656597</v>
      </c>
      <c r="CW210" s="21">
        <f t="shared" si="1846"/>
        <v>-44.900998581621025</v>
      </c>
      <c r="CX210" s="21">
        <f t="shared" si="1846"/>
        <v>-168.27859945355704</v>
      </c>
      <c r="CY210" s="21">
        <f t="shared" si="1846"/>
        <v>146.88643940814563</v>
      </c>
      <c r="CZ210" s="21">
        <f t="shared" si="1846"/>
        <v>12.053952358573042</v>
      </c>
      <c r="DA210" s="21">
        <f t="shared" si="1846"/>
        <v>-48.006502242240458</v>
      </c>
      <c r="DB210" s="21">
        <f t="shared" si="1846"/>
        <v>-179.94941471478705</v>
      </c>
      <c r="DE210" s="126"/>
      <c r="DF210" s="22">
        <v>129</v>
      </c>
    </row>
    <row r="211" spans="1:110" s="22" customFormat="1" x14ac:dyDescent="0.2">
      <c r="A211" s="22" t="s">
        <v>91</v>
      </c>
      <c r="C211" s="22">
        <f t="shared" ref="C211:W211" si="1847">C207+C210</f>
        <v>0</v>
      </c>
      <c r="D211" s="22">
        <f>D207+D210</f>
        <v>0</v>
      </c>
      <c r="E211" s="22">
        <f t="shared" si="1847"/>
        <v>0</v>
      </c>
      <c r="F211" s="22">
        <f t="shared" si="1847"/>
        <v>0</v>
      </c>
      <c r="G211" s="22">
        <f t="shared" si="1847"/>
        <v>0</v>
      </c>
      <c r="H211" s="22">
        <f t="shared" si="1847"/>
        <v>0</v>
      </c>
      <c r="I211" s="22">
        <f t="shared" si="1847"/>
        <v>0</v>
      </c>
      <c r="J211" s="22">
        <f>J207+J210</f>
        <v>0</v>
      </c>
      <c r="K211" s="22">
        <f t="shared" si="1847"/>
        <v>0</v>
      </c>
      <c r="L211" s="22">
        <f t="shared" si="1847"/>
        <v>0</v>
      </c>
      <c r="M211" s="22">
        <f t="shared" si="1847"/>
        <v>0</v>
      </c>
      <c r="N211" s="22">
        <f t="shared" si="1847"/>
        <v>0</v>
      </c>
      <c r="O211" s="22">
        <f t="shared" si="1847"/>
        <v>0</v>
      </c>
      <c r="P211" s="22">
        <f t="shared" si="1847"/>
        <v>0</v>
      </c>
      <c r="Q211" s="22">
        <f t="shared" si="1847"/>
        <v>0</v>
      </c>
      <c r="R211" s="22">
        <f t="shared" si="1847"/>
        <v>2190</v>
      </c>
      <c r="S211" s="22">
        <f t="shared" si="1847"/>
        <v>1083</v>
      </c>
      <c r="T211" s="22">
        <f t="shared" si="1847"/>
        <v>1564</v>
      </c>
      <c r="U211" s="22">
        <f t="shared" si="1847"/>
        <v>2272</v>
      </c>
      <c r="V211" s="22">
        <f t="shared" si="1847"/>
        <v>3803</v>
      </c>
      <c r="W211" s="22">
        <f t="shared" si="1847"/>
        <v>1484</v>
      </c>
      <c r="X211" s="22">
        <f t="shared" ref="X211:Y211" si="1848">X207+X210</f>
        <v>1525</v>
      </c>
      <c r="Y211" s="22">
        <f t="shared" si="1848"/>
        <v>3380</v>
      </c>
      <c r="Z211" s="22">
        <f t="shared" ref="Z211:AA211" si="1849">Z207+Z210</f>
        <v>2421</v>
      </c>
      <c r="AA211" s="22">
        <f t="shared" ref="AA211" si="1850">AA207+AA210</f>
        <v>3371</v>
      </c>
      <c r="AB211" s="21">
        <f t="shared" ref="AB211:AD211" si="1851">AB207+AB210</f>
        <v>1583.9065698502786</v>
      </c>
      <c r="AC211" s="21">
        <f t="shared" si="1851"/>
        <v>2662.53351956507</v>
      </c>
      <c r="AD211" s="21">
        <f t="shared" si="1851"/>
        <v>3583.2147727935271</v>
      </c>
      <c r="AE211" s="21">
        <f t="shared" ref="AE211" si="1852">AE207+AE210</f>
        <v>3995.042664954784</v>
      </c>
      <c r="AI211" s="22">
        <f t="shared" ref="AI211" si="1853">AI207+AI210</f>
        <v>0</v>
      </c>
      <c r="AJ211" s="22">
        <f t="shared" ref="AJ211:AL211" si="1854">AJ207+AJ210</f>
        <v>0</v>
      </c>
      <c r="AK211" s="22" t="e">
        <f t="shared" si="1854"/>
        <v>#DIV/0!</v>
      </c>
      <c r="AL211" s="22" t="e">
        <f t="shared" si="1854"/>
        <v>#DIV/0!</v>
      </c>
      <c r="AM211" s="22" t="e">
        <f t="shared" ref="AM211" si="1855">AM207+AM210</f>
        <v>#DIV/0!</v>
      </c>
      <c r="AN211" s="22" t="e">
        <f t="shared" ref="AN211:CD211" si="1856">AN207+AN210</f>
        <v>#DIV/0!</v>
      </c>
      <c r="AO211" s="22" t="e">
        <f t="shared" si="1856"/>
        <v>#DIV/0!</v>
      </c>
      <c r="AP211" s="22" t="e">
        <f t="shared" si="1856"/>
        <v>#DIV/0!</v>
      </c>
      <c r="AQ211" s="22" t="e">
        <f t="shared" si="1856"/>
        <v>#DIV/0!</v>
      </c>
      <c r="AR211" s="22" t="e">
        <f t="shared" si="1856"/>
        <v>#DIV/0!</v>
      </c>
      <c r="AS211" s="22" t="e">
        <f t="shared" si="1856"/>
        <v>#DIV/0!</v>
      </c>
      <c r="AT211" s="22" t="e">
        <f t="shared" si="1856"/>
        <v>#DIV/0!</v>
      </c>
      <c r="AU211" s="22" t="e">
        <f t="shared" si="1856"/>
        <v>#DIV/0!</v>
      </c>
      <c r="AV211" s="22" t="e">
        <f t="shared" si="1856"/>
        <v>#DIV/0!</v>
      </c>
      <c r="AW211" s="22" t="e">
        <f t="shared" si="1856"/>
        <v>#DIV/0!</v>
      </c>
      <c r="AX211" s="22" t="e">
        <f t="shared" si="1856"/>
        <v>#DIV/0!</v>
      </c>
      <c r="AY211" s="22" t="e">
        <f t="shared" si="1856"/>
        <v>#DIV/0!</v>
      </c>
      <c r="AZ211" s="22" t="e">
        <f t="shared" si="1856"/>
        <v>#DIV/0!</v>
      </c>
      <c r="BA211" s="22" t="e">
        <f t="shared" si="1856"/>
        <v>#DIV/0!</v>
      </c>
      <c r="BB211" s="22" t="e">
        <f t="shared" si="1856"/>
        <v>#DIV/0!</v>
      </c>
      <c r="BC211" s="22" t="e">
        <f t="shared" si="1856"/>
        <v>#DIV/0!</v>
      </c>
      <c r="BD211" s="22" t="e">
        <f t="shared" si="1856"/>
        <v>#DIV/0!</v>
      </c>
      <c r="BE211" s="22" t="e">
        <f t="shared" si="1856"/>
        <v>#DIV/0!</v>
      </c>
      <c r="BF211" s="22" t="e">
        <f t="shared" si="1856"/>
        <v>#DIV/0!</v>
      </c>
      <c r="BG211" s="22">
        <f t="shared" si="1856"/>
        <v>358</v>
      </c>
      <c r="BH211" s="22">
        <f t="shared" si="1856"/>
        <v>302</v>
      </c>
      <c r="BI211" s="22">
        <f t="shared" si="1856"/>
        <v>360</v>
      </c>
      <c r="BJ211" s="22">
        <f t="shared" si="1856"/>
        <v>1997</v>
      </c>
      <c r="BK211" s="22">
        <f t="shared" si="1856"/>
        <v>564.5524278676985</v>
      </c>
      <c r="BL211" s="22">
        <f t="shared" si="1856"/>
        <v>526.4475721323015</v>
      </c>
      <c r="BM211" s="22">
        <f t="shared" si="1856"/>
        <v>365.88729874776345</v>
      </c>
      <c r="BN211" s="22">
        <f t="shared" si="1856"/>
        <v>891.11270125223655</v>
      </c>
      <c r="BO211" s="22">
        <f t="shared" si="1856"/>
        <v>677.62464760370494</v>
      </c>
      <c r="BP211" s="22">
        <f t="shared" si="1856"/>
        <v>569.37535239629506</v>
      </c>
      <c r="BQ211" s="22">
        <f t="shared" si="1856"/>
        <v>394.34673584089978</v>
      </c>
      <c r="BR211" s="22">
        <f t="shared" si="1856"/>
        <v>1006.6532641591002</v>
      </c>
      <c r="BS211" s="22">
        <f t="shared" si="1856"/>
        <v>632.1123452872107</v>
      </c>
      <c r="BT211" s="22">
        <f t="shared" si="1856"/>
        <v>-276.1123452872107</v>
      </c>
      <c r="BU211" s="22">
        <f t="shared" si="1856"/>
        <v>345.80860131731833</v>
      </c>
      <c r="BV211" s="22">
        <f t="shared" si="1856"/>
        <v>855.19139868268167</v>
      </c>
      <c r="BW211" s="22">
        <f t="shared" si="1856"/>
        <v>525.72307692307686</v>
      </c>
      <c r="BX211" s="22">
        <f t="shared" si="1856"/>
        <v>-349.72307692307686</v>
      </c>
      <c r="BY211" s="22">
        <f t="shared" si="1856"/>
        <v>394.0636149444631</v>
      </c>
      <c r="BZ211" s="22">
        <f t="shared" si="1856"/>
        <v>879.9363850555369</v>
      </c>
      <c r="CA211" s="22">
        <f t="shared" si="1856"/>
        <v>593.80919540229843</v>
      </c>
      <c r="CB211" s="22">
        <f t="shared" si="1856"/>
        <v>581.19080459770157</v>
      </c>
      <c r="CC211" s="22">
        <f t="shared" si="1856"/>
        <v>487.52997145575682</v>
      </c>
      <c r="CD211" s="22">
        <f t="shared" si="1856"/>
        <v>1633.4700285442432</v>
      </c>
      <c r="CE211" s="22">
        <f t="shared" ref="CE211:CF211" si="1857">CE207+CE210</f>
        <v>575.54539122358892</v>
      </c>
      <c r="CF211" s="22">
        <f t="shared" si="1857"/>
        <v>-108.54539122358892</v>
      </c>
      <c r="CG211" s="22">
        <f t="shared" ref="CG211:CH211" si="1858">CG207+CG210</f>
        <v>392.96631033365702</v>
      </c>
      <c r="CH211" s="22">
        <f t="shared" si="1858"/>
        <v>1832.033689666343</v>
      </c>
      <c r="CI211" s="22">
        <f t="shared" ref="CI211:CJ211" si="1859">CI207+CI210</f>
        <v>663.83891469078299</v>
      </c>
      <c r="CJ211" s="22">
        <f t="shared" si="1859"/>
        <v>-305.83891469078299</v>
      </c>
      <c r="CK211" s="22">
        <f t="shared" ref="CK211:DB211" si="1860">CK207+CK210</f>
        <v>447.8308457711446</v>
      </c>
      <c r="CL211" s="22">
        <f t="shared" si="1860"/>
        <v>1810.1691542288554</v>
      </c>
      <c r="CM211" s="21">
        <f t="shared" si="1860"/>
        <v>526.02195754206116</v>
      </c>
      <c r="CN211" s="21">
        <f t="shared" si="1860"/>
        <v>528.29389196480145</v>
      </c>
      <c r="CO211" s="21">
        <f t="shared" si="1860"/>
        <v>572.34346430733206</v>
      </c>
      <c r="CP211" s="21">
        <f t="shared" si="1860"/>
        <v>711.24725603608408</v>
      </c>
      <c r="CQ211" s="21">
        <f t="shared" si="1860"/>
        <v>657.78538463946779</v>
      </c>
      <c r="CR211" s="21">
        <f t="shared" si="1860"/>
        <v>627.04090565941442</v>
      </c>
      <c r="CS211" s="21">
        <f t="shared" si="1860"/>
        <v>641.25184553277461</v>
      </c>
      <c r="CT211" s="21">
        <f t="shared" si="1860"/>
        <v>736.45538373341469</v>
      </c>
      <c r="CU211" s="21">
        <f t="shared" si="1860"/>
        <v>972.33162480755561</v>
      </c>
      <c r="CV211" s="21">
        <f t="shared" si="1860"/>
        <v>851.05264388738385</v>
      </c>
      <c r="CW211" s="21">
        <f t="shared" si="1860"/>
        <v>851.6218171651783</v>
      </c>
      <c r="CX211" s="21">
        <f t="shared" si="1860"/>
        <v>908.20868693341163</v>
      </c>
      <c r="CY211" s="21">
        <f t="shared" si="1860"/>
        <v>1080.9081783698134</v>
      </c>
      <c r="CZ211" s="21">
        <f t="shared" si="1860"/>
        <v>950.43941175918974</v>
      </c>
      <c r="DA211" s="21">
        <f t="shared" si="1860"/>
        <v>950.9345299010281</v>
      </c>
      <c r="DB211" s="21">
        <f t="shared" si="1860"/>
        <v>1012.760544924754</v>
      </c>
      <c r="DE211" s="126"/>
      <c r="DF211" s="22">
        <v>2616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92</v>
      </c>
      <c r="C213" s="22">
        <f t="shared" ref="C213:W213" si="1861">C214+C215</f>
        <v>0</v>
      </c>
      <c r="D213" s="22">
        <f>D214+D215</f>
        <v>0</v>
      </c>
      <c r="E213" s="22">
        <f t="shared" si="1861"/>
        <v>0</v>
      </c>
      <c r="F213" s="22">
        <f t="shared" si="1861"/>
        <v>0</v>
      </c>
      <c r="G213" s="22">
        <f t="shared" si="1861"/>
        <v>0</v>
      </c>
      <c r="H213" s="22">
        <f t="shared" si="1861"/>
        <v>0</v>
      </c>
      <c r="I213" s="22">
        <f t="shared" si="1861"/>
        <v>0</v>
      </c>
      <c r="J213" s="22">
        <f t="shared" si="1861"/>
        <v>0</v>
      </c>
      <c r="K213" s="22">
        <f t="shared" si="1861"/>
        <v>0</v>
      </c>
      <c r="L213" s="22">
        <f t="shared" si="1861"/>
        <v>0</v>
      </c>
      <c r="M213" s="22">
        <f t="shared" si="1861"/>
        <v>0</v>
      </c>
      <c r="N213" s="22">
        <f t="shared" si="1861"/>
        <v>0</v>
      </c>
      <c r="O213" s="22">
        <f t="shared" si="1861"/>
        <v>0</v>
      </c>
      <c r="P213" s="22">
        <f t="shared" si="1861"/>
        <v>0</v>
      </c>
      <c r="Q213" s="22">
        <f t="shared" si="1861"/>
        <v>0</v>
      </c>
      <c r="R213" s="22">
        <f t="shared" si="1861"/>
        <v>-16969</v>
      </c>
      <c r="S213" s="22">
        <f t="shared" si="1861"/>
        <v>223</v>
      </c>
      <c r="T213" s="22">
        <f t="shared" si="1861"/>
        <v>-1191</v>
      </c>
      <c r="U213" s="22">
        <f t="shared" si="1861"/>
        <v>-1739</v>
      </c>
      <c r="V213" s="22">
        <f t="shared" si="1861"/>
        <v>-2209</v>
      </c>
      <c r="W213" s="22">
        <f t="shared" si="1861"/>
        <v>-2349</v>
      </c>
      <c r="X213" s="22">
        <f t="shared" ref="X213:Y213" si="1862">X214+X215</f>
        <v>-2063</v>
      </c>
      <c r="Y213" s="22">
        <f t="shared" si="1862"/>
        <v>-2971</v>
      </c>
      <c r="Z213" s="22">
        <f t="shared" ref="Z213:AA213" si="1863">Z214+Z215</f>
        <v>-3211</v>
      </c>
      <c r="AA213" s="22">
        <f t="shared" ref="AA213" si="1864">AA214+AA215</f>
        <v>-3622</v>
      </c>
      <c r="AB213" s="21">
        <f t="shared" ref="AB213:AD213" si="1865">AB214+AB215</f>
        <v>-1646</v>
      </c>
      <c r="AC213" s="21">
        <f t="shared" si="1865"/>
        <v>-2400</v>
      </c>
      <c r="AD213" s="21">
        <f t="shared" si="1865"/>
        <v>-2400</v>
      </c>
      <c r="AE213" s="21">
        <f t="shared" ref="AE213" si="1866">AE214+AE215</f>
        <v>-2400</v>
      </c>
      <c r="AI213" s="22">
        <f t="shared" ref="AI213" si="1867">AI214+AI215</f>
        <v>0</v>
      </c>
      <c r="AJ213" s="22">
        <f t="shared" ref="AJ213:AL213" si="1868">AJ214+AJ215</f>
        <v>0</v>
      </c>
      <c r="AK213" s="22">
        <f t="shared" si="1868"/>
        <v>0</v>
      </c>
      <c r="AL213" s="22">
        <f t="shared" si="1868"/>
        <v>0</v>
      </c>
      <c r="AM213" s="22">
        <f t="shared" ref="AM213" si="1869">AM214+AM215</f>
        <v>0</v>
      </c>
      <c r="AN213" s="22">
        <f t="shared" ref="AN213:CD213" si="1870">AN214+AN215</f>
        <v>0</v>
      </c>
      <c r="AO213" s="22">
        <f t="shared" si="1870"/>
        <v>0</v>
      </c>
      <c r="AP213" s="22">
        <f t="shared" si="1870"/>
        <v>0</v>
      </c>
      <c r="AQ213" s="22">
        <f t="shared" si="1870"/>
        <v>0</v>
      </c>
      <c r="AR213" s="22">
        <f t="shared" si="1870"/>
        <v>0</v>
      </c>
      <c r="AS213" s="22">
        <f t="shared" si="1870"/>
        <v>0</v>
      </c>
      <c r="AT213" s="22">
        <f t="shared" si="1870"/>
        <v>0</v>
      </c>
      <c r="AU213" s="22">
        <f t="shared" si="1870"/>
        <v>0</v>
      </c>
      <c r="AV213" s="22">
        <f t="shared" si="1870"/>
        <v>0</v>
      </c>
      <c r="AW213" s="22">
        <f t="shared" si="1870"/>
        <v>0</v>
      </c>
      <c r="AX213" s="22">
        <f t="shared" si="1870"/>
        <v>0</v>
      </c>
      <c r="AY213" s="22">
        <f t="shared" si="1870"/>
        <v>0</v>
      </c>
      <c r="AZ213" s="22">
        <f t="shared" si="1870"/>
        <v>0</v>
      </c>
      <c r="BA213" s="22">
        <f t="shared" si="1870"/>
        <v>0</v>
      </c>
      <c r="BB213" s="22">
        <f t="shared" si="1870"/>
        <v>0</v>
      </c>
      <c r="BC213" s="22">
        <f t="shared" si="1870"/>
        <v>0</v>
      </c>
      <c r="BD213" s="22">
        <f t="shared" si="1870"/>
        <v>0</v>
      </c>
      <c r="BE213" s="22">
        <f t="shared" si="1870"/>
        <v>-308</v>
      </c>
      <c r="BF213" s="22">
        <f t="shared" si="1870"/>
        <v>-313</v>
      </c>
      <c r="BG213" s="22">
        <f t="shared" si="1870"/>
        <v>-305</v>
      </c>
      <c r="BH213" s="22">
        <f t="shared" si="1870"/>
        <v>-303</v>
      </c>
      <c r="BI213" s="22">
        <f t="shared" si="1870"/>
        <v>-332</v>
      </c>
      <c r="BJ213" s="22">
        <f t="shared" si="1870"/>
        <v>-14558</v>
      </c>
      <c r="BK213" s="22">
        <f t="shared" si="1870"/>
        <v>-342</v>
      </c>
      <c r="BL213" s="22">
        <f t="shared" si="1870"/>
        <v>-401</v>
      </c>
      <c r="BM213" s="22">
        <f t="shared" si="1870"/>
        <v>-405</v>
      </c>
      <c r="BN213" s="22">
        <f t="shared" si="1870"/>
        <v>-423</v>
      </c>
      <c r="BO213" s="22">
        <f t="shared" si="1870"/>
        <v>-298</v>
      </c>
      <c r="BP213" s="22">
        <f t="shared" si="1870"/>
        <v>-597</v>
      </c>
      <c r="BQ213" s="22">
        <f t="shared" si="1870"/>
        <v>-326</v>
      </c>
      <c r="BR213" s="22">
        <f t="shared" si="1870"/>
        <v>-972</v>
      </c>
      <c r="BS213" s="22">
        <f t="shared" si="1870"/>
        <v>-297</v>
      </c>
      <c r="BT213" s="22">
        <f t="shared" si="1870"/>
        <v>268</v>
      </c>
      <c r="BU213" s="22">
        <f t="shared" si="1870"/>
        <v>-302</v>
      </c>
      <c r="BV213" s="22">
        <f t="shared" si="1870"/>
        <v>-2090</v>
      </c>
      <c r="BW213" s="22">
        <f t="shared" si="1870"/>
        <v>-312</v>
      </c>
      <c r="BX213" s="22">
        <f t="shared" si="1870"/>
        <v>-670</v>
      </c>
      <c r="BY213" s="22">
        <f t="shared" si="1870"/>
        <v>-325</v>
      </c>
      <c r="BZ213" s="22">
        <f t="shared" si="1870"/>
        <v>-681</v>
      </c>
      <c r="CA213" s="22">
        <f t="shared" si="1870"/>
        <v>-399</v>
      </c>
      <c r="CB213" s="22">
        <f t="shared" si="1870"/>
        <v>-1094</v>
      </c>
      <c r="CC213" s="22">
        <f t="shared" si="1870"/>
        <v>-370</v>
      </c>
      <c r="CD213" s="22">
        <f t="shared" si="1870"/>
        <v>-1024</v>
      </c>
      <c r="CE213" s="22">
        <f t="shared" ref="CE213:CF213" si="1871">CE214+CE215</f>
        <v>-317</v>
      </c>
      <c r="CF213" s="22">
        <f t="shared" si="1871"/>
        <v>-1529</v>
      </c>
      <c r="CG213" s="22">
        <f t="shared" ref="CG213:CH213" si="1872">CG214+CG215</f>
        <v>-364</v>
      </c>
      <c r="CH213" s="22">
        <f t="shared" si="1872"/>
        <v>-1272</v>
      </c>
      <c r="CI213" s="22">
        <f t="shared" ref="CI213:CJ213" si="1873">CI214+CI215</f>
        <v>0</v>
      </c>
      <c r="CJ213" s="22">
        <f t="shared" si="1873"/>
        <v>-971</v>
      </c>
      <c r="CK213" s="22">
        <f t="shared" ref="CK213:DB213" si="1874">CK214+CK215</f>
        <v>0</v>
      </c>
      <c r="CL213" s="22">
        <f t="shared" si="1874"/>
        <v>-1897</v>
      </c>
      <c r="CM213" s="21">
        <f t="shared" si="1874"/>
        <v>-600</v>
      </c>
      <c r="CN213" s="21">
        <f t="shared" si="1874"/>
        <v>-600</v>
      </c>
      <c r="CO213" s="21">
        <f t="shared" si="1874"/>
        <v>-599.99999999999636</v>
      </c>
      <c r="CP213" s="21">
        <f t="shared" si="1874"/>
        <v>-600.00000000000364</v>
      </c>
      <c r="CQ213" s="21">
        <f t="shared" si="1874"/>
        <v>-599.99999999999636</v>
      </c>
      <c r="CR213" s="21">
        <f t="shared" si="1874"/>
        <v>-600</v>
      </c>
      <c r="CS213" s="21">
        <f t="shared" si="1874"/>
        <v>-600</v>
      </c>
      <c r="CT213" s="21">
        <f t="shared" si="1874"/>
        <v>-600</v>
      </c>
      <c r="CU213" s="21">
        <f t="shared" si="1874"/>
        <v>-600</v>
      </c>
      <c r="CV213" s="21">
        <f t="shared" si="1874"/>
        <v>-600</v>
      </c>
      <c r="CW213" s="21">
        <f t="shared" si="1874"/>
        <v>-600</v>
      </c>
      <c r="CX213" s="21">
        <f t="shared" si="1874"/>
        <v>-600</v>
      </c>
      <c r="CY213" s="21">
        <f t="shared" si="1874"/>
        <v>-600</v>
      </c>
      <c r="CZ213" s="21">
        <f t="shared" si="1874"/>
        <v>-600</v>
      </c>
      <c r="DA213" s="21">
        <f t="shared" si="1874"/>
        <v>-600</v>
      </c>
      <c r="DB213" s="21">
        <f t="shared" si="1874"/>
        <v>-600</v>
      </c>
      <c r="DE213" s="126"/>
      <c r="DF213" s="22">
        <v>-2868</v>
      </c>
    </row>
    <row r="214" spans="1:110" s="23" customFormat="1" x14ac:dyDescent="0.2">
      <c r="A214" s="23" t="s">
        <v>93</v>
      </c>
      <c r="C214" s="23">
        <f t="shared" ref="C214:AA214" si="1875">B152-C152</f>
        <v>0</v>
      </c>
      <c r="D214" s="23">
        <f t="shared" si="1875"/>
        <v>0</v>
      </c>
      <c r="E214" s="23">
        <f>D152-E152</f>
        <v>0</v>
      </c>
      <c r="F214" s="23">
        <f t="shared" si="1875"/>
        <v>0</v>
      </c>
      <c r="G214" s="23">
        <f t="shared" si="1875"/>
        <v>0</v>
      </c>
      <c r="H214" s="23">
        <f t="shared" si="1875"/>
        <v>0</v>
      </c>
      <c r="I214" s="23">
        <f t="shared" si="1875"/>
        <v>0</v>
      </c>
      <c r="J214" s="23">
        <f>I152-J152</f>
        <v>0</v>
      </c>
      <c r="K214" s="23">
        <f>J152-K152</f>
        <v>0</v>
      </c>
      <c r="L214" s="23">
        <f t="shared" si="1875"/>
        <v>0</v>
      </c>
      <c r="M214" s="23">
        <f t="shared" si="1875"/>
        <v>0</v>
      </c>
      <c r="N214" s="23">
        <f t="shared" si="1875"/>
        <v>0</v>
      </c>
      <c r="O214" s="23">
        <f t="shared" si="1875"/>
        <v>0</v>
      </c>
      <c r="P214" s="23">
        <f t="shared" si="1875"/>
        <v>0</v>
      </c>
      <c r="Q214" s="23">
        <f t="shared" si="1875"/>
        <v>0</v>
      </c>
      <c r="R214" s="23">
        <f t="shared" si="1875"/>
        <v>-99</v>
      </c>
      <c r="S214" s="23">
        <f t="shared" si="1875"/>
        <v>2</v>
      </c>
      <c r="T214" s="23">
        <f t="shared" si="1875"/>
        <v>-12</v>
      </c>
      <c r="U214" s="23">
        <f t="shared" si="1875"/>
        <v>-9</v>
      </c>
      <c r="V214" s="23">
        <f t="shared" si="1875"/>
        <v>-622</v>
      </c>
      <c r="W214" s="23">
        <f t="shared" si="1875"/>
        <v>-565</v>
      </c>
      <c r="X214" s="23">
        <f t="shared" si="1875"/>
        <v>716</v>
      </c>
      <c r="Y214" s="23">
        <f t="shared" si="1875"/>
        <v>-1</v>
      </c>
      <c r="Z214" s="23">
        <f t="shared" si="1875"/>
        <v>-85</v>
      </c>
      <c r="AA214" s="23">
        <f t="shared" si="1875"/>
        <v>-98</v>
      </c>
      <c r="AB214" s="24">
        <f t="shared" ref="AB214" si="1876">AA152-AB152</f>
        <v>-41</v>
      </c>
      <c r="AC214" s="24">
        <f t="shared" ref="AC214" si="1877">AB152-AC152</f>
        <v>0</v>
      </c>
      <c r="AD214" s="24">
        <f t="shared" ref="AD214" si="1878">AC152-AD152</f>
        <v>0</v>
      </c>
      <c r="AE214" s="24">
        <f t="shared" ref="AE214" si="1879">AD152-AE152</f>
        <v>0</v>
      </c>
      <c r="AI214" s="23">
        <f t="shared" ref="AI214" si="1880">AH152-AI152</f>
        <v>0</v>
      </c>
      <c r="AJ214" s="23">
        <f t="shared" ref="AJ214" si="1881">AI152-AJ152</f>
        <v>0</v>
      </c>
      <c r="AK214" s="23">
        <f t="shared" ref="AK214" si="1882">AJ152-AK152</f>
        <v>0</v>
      </c>
      <c r="AL214" s="23">
        <f t="shared" ref="AL214" si="1883">AK152-AL152</f>
        <v>0</v>
      </c>
      <c r="AM214" s="23">
        <f t="shared" ref="AM214" si="1884">AL152-AM152</f>
        <v>0</v>
      </c>
      <c r="AN214" s="23">
        <f t="shared" ref="AN214" si="1885">AM152-AN152</f>
        <v>0</v>
      </c>
      <c r="AO214" s="23">
        <f t="shared" ref="AO214" si="1886">AN152-AO152</f>
        <v>0</v>
      </c>
      <c r="AP214" s="23">
        <f t="shared" ref="AP214" si="1887">AO152-AP152</f>
        <v>0</v>
      </c>
      <c r="AQ214" s="23">
        <f t="shared" ref="AQ214" si="1888">AP152-AQ152</f>
        <v>0</v>
      </c>
      <c r="AR214" s="23">
        <f t="shared" ref="AR214" si="1889">AQ152-AR152</f>
        <v>0</v>
      </c>
      <c r="AS214" s="23">
        <f t="shared" ref="AS214" si="1890">AR152-AS152</f>
        <v>0</v>
      </c>
      <c r="AT214" s="23">
        <f t="shared" ref="AT214" si="1891">AS152-AT152</f>
        <v>0</v>
      </c>
      <c r="AU214" s="23">
        <f t="shared" ref="AU214" si="1892">AT152-AU152</f>
        <v>0</v>
      </c>
      <c r="AV214" s="23">
        <f t="shared" ref="AV214" si="1893">AU152-AV152</f>
        <v>0</v>
      </c>
      <c r="AW214" s="23">
        <f t="shared" ref="AW214" si="1894">AV152-AW152</f>
        <v>0</v>
      </c>
      <c r="AX214" s="23">
        <f t="shared" ref="AX214" si="1895">AW152-AX152</f>
        <v>0</v>
      </c>
      <c r="AY214" s="23">
        <f t="shared" ref="AY214" si="1896">AX152-AY152</f>
        <v>0</v>
      </c>
      <c r="AZ214" s="23">
        <f t="shared" ref="AZ214" si="1897">AY152-AZ152</f>
        <v>0</v>
      </c>
      <c r="BA214" s="23">
        <f t="shared" ref="BA214" si="1898">AZ152-BA152</f>
        <v>0</v>
      </c>
      <c r="BB214" s="23">
        <f t="shared" ref="BB214" si="1899">BA152-BB152</f>
        <v>0</v>
      </c>
      <c r="BC214" s="23">
        <f t="shared" ref="BC214" si="1900">BB152-BC152</f>
        <v>0</v>
      </c>
      <c r="BD214" s="23">
        <f t="shared" ref="BD214" si="1901">BC152-BD152</f>
        <v>0</v>
      </c>
      <c r="BE214" s="23">
        <f t="shared" ref="BE214" si="1902">BD152-BE152</f>
        <v>0</v>
      </c>
      <c r="BF214" s="23">
        <f t="shared" ref="BF214" si="1903">BE152-BF152</f>
        <v>0</v>
      </c>
      <c r="BG214" s="23">
        <f t="shared" ref="BG214" si="1904">BF152-BG152</f>
        <v>0</v>
      </c>
      <c r="BH214" s="23">
        <f t="shared" ref="BH214" si="1905">BG152-BH152</f>
        <v>0</v>
      </c>
      <c r="BI214" s="23">
        <f t="shared" ref="BI214" si="1906">BH152-BI152</f>
        <v>0</v>
      </c>
      <c r="BJ214" s="23">
        <f t="shared" ref="BJ214" si="1907">BI152-BJ152</f>
        <v>-109</v>
      </c>
      <c r="BK214" s="23">
        <f t="shared" ref="BK214" si="1908">BJ152-BK152</f>
        <v>0</v>
      </c>
      <c r="BL214" s="23">
        <f t="shared" ref="BL214" si="1909">BK152-BL152</f>
        <v>-2</v>
      </c>
      <c r="BM214" s="23">
        <f t="shared" ref="BM214" si="1910">BL152-BM152</f>
        <v>0</v>
      </c>
      <c r="BN214" s="23">
        <f t="shared" ref="BN214" si="1911">BM152-BN152</f>
        <v>-7</v>
      </c>
      <c r="BO214" s="23">
        <f t="shared" ref="BO214" si="1912">BN152-BO152</f>
        <v>0</v>
      </c>
      <c r="BP214" s="23">
        <f t="shared" ref="BP214" si="1913">BO152-BP152</f>
        <v>0</v>
      </c>
      <c r="BQ214" s="23">
        <f t="shared" ref="BQ214" si="1914">BP152-BQ152</f>
        <v>0</v>
      </c>
      <c r="BR214" s="23">
        <f t="shared" ref="BR214" si="1915">BQ152-BR152</f>
        <v>-623</v>
      </c>
      <c r="BS214" s="23">
        <f t="shared" ref="BS214" si="1916">BR152-BS152</f>
        <v>0</v>
      </c>
      <c r="BT214" s="23">
        <f t="shared" ref="BT214" si="1917">BS152-BT152</f>
        <v>618</v>
      </c>
      <c r="BU214" s="23">
        <f t="shared" ref="BU214" si="1918">BT152-BU152</f>
        <v>0</v>
      </c>
      <c r="BV214" s="23">
        <f t="shared" ref="BV214" si="1919">BU152-BV152</f>
        <v>-1183</v>
      </c>
      <c r="BW214" s="23">
        <f t="shared" ref="BW214" si="1920">BV152-BW152</f>
        <v>0</v>
      </c>
      <c r="BX214" s="23">
        <f t="shared" ref="BX214" si="1921">BW152-BX152</f>
        <v>201</v>
      </c>
      <c r="BY214" s="23">
        <f t="shared" ref="BY214" si="1922">BX152-BY152</f>
        <v>0</v>
      </c>
      <c r="BZ214" s="23">
        <f t="shared" ref="BZ214" si="1923">BY152-BZ152</f>
        <v>515</v>
      </c>
      <c r="CA214" s="23">
        <f t="shared" ref="CA214" si="1924">BZ152-CA152</f>
        <v>0</v>
      </c>
      <c r="CB214" s="23">
        <f t="shared" ref="CB214" si="1925">CA152-CB152</f>
        <v>-167</v>
      </c>
      <c r="CC214" s="23">
        <f t="shared" ref="CC214" si="1926">CB152-CC152</f>
        <v>0</v>
      </c>
      <c r="CD214" s="23">
        <f t="shared" ref="CD214" si="1927">CC152-CD152</f>
        <v>166</v>
      </c>
      <c r="CE214" s="23">
        <f t="shared" ref="CE214" si="1928">CD152-CE152</f>
        <v>0</v>
      </c>
      <c r="CF214" s="23">
        <f t="shared" ref="CF214" si="1929">CE152-CF152</f>
        <v>-343</v>
      </c>
      <c r="CG214" s="23">
        <f t="shared" ref="CG214" si="1930">CF152-CG152</f>
        <v>0</v>
      </c>
      <c r="CH214" s="23">
        <f t="shared" ref="CH214:CL214" si="1931">CG152-CH152</f>
        <v>259</v>
      </c>
      <c r="CI214" s="23">
        <f t="shared" si="1931"/>
        <v>0</v>
      </c>
      <c r="CJ214" s="23">
        <f t="shared" si="1931"/>
        <v>-46</v>
      </c>
      <c r="CK214" s="23">
        <f t="shared" ref="CK214" si="1932">CJ152-CK152</f>
        <v>0</v>
      </c>
      <c r="CL214" s="23">
        <f t="shared" si="1931"/>
        <v>-93</v>
      </c>
      <c r="CM214" s="24">
        <f t="shared" ref="CM214" si="1933">CL152-CM152</f>
        <v>0</v>
      </c>
      <c r="CN214" s="24">
        <f t="shared" ref="CN214" si="1934">CM152-CN152</f>
        <v>0</v>
      </c>
      <c r="CO214" s="24">
        <f t="shared" ref="CO214" si="1935">CN152-CO152</f>
        <v>0</v>
      </c>
      <c r="CP214" s="24">
        <f t="shared" ref="CP214" si="1936">CO152-CP152</f>
        <v>0</v>
      </c>
      <c r="CQ214" s="24">
        <f t="shared" ref="CQ214" si="1937">CP152-CQ152</f>
        <v>0</v>
      </c>
      <c r="CR214" s="24">
        <f t="shared" ref="CR214" si="1938">CQ152-CR152</f>
        <v>0</v>
      </c>
      <c r="CS214" s="24">
        <f t="shared" ref="CS214" si="1939">CR152-CS152</f>
        <v>0</v>
      </c>
      <c r="CT214" s="24">
        <f t="shared" ref="CT214" si="1940">CS152-CT152</f>
        <v>0</v>
      </c>
      <c r="CU214" s="24">
        <f t="shared" ref="CU214" si="1941">CT152-CU152</f>
        <v>0</v>
      </c>
      <c r="CV214" s="24">
        <f t="shared" ref="CV214" si="1942">CU152-CV152</f>
        <v>0</v>
      </c>
      <c r="CW214" s="24">
        <f t="shared" ref="CW214" si="1943">CV152-CW152</f>
        <v>0</v>
      </c>
      <c r="CX214" s="24">
        <f t="shared" ref="CX214" si="1944">CW152-CX152</f>
        <v>0</v>
      </c>
      <c r="CY214" s="24">
        <f t="shared" ref="CY214" si="1945">CX152-CY152</f>
        <v>0</v>
      </c>
      <c r="CZ214" s="24">
        <f t="shared" ref="CZ214" si="1946">CY152-CZ152</f>
        <v>0</v>
      </c>
      <c r="DA214" s="24">
        <f t="shared" ref="DA214" si="1947">CZ152-DA152</f>
        <v>0</v>
      </c>
      <c r="DB214" s="24">
        <f t="shared" ref="DB214" si="1948">DA152-DB152</f>
        <v>0</v>
      </c>
      <c r="DE214" s="123"/>
      <c r="DF214" s="23">
        <v>-139</v>
      </c>
    </row>
    <row r="215" spans="1:110" s="23" customFormat="1" x14ac:dyDescent="0.2">
      <c r="A215" s="23" t="s">
        <v>94</v>
      </c>
      <c r="C215" s="23">
        <f t="shared" ref="C215:AE215" si="1949">B150-C44-C150</f>
        <v>0</v>
      </c>
      <c r="D215" s="23">
        <f t="shared" si="1949"/>
        <v>0</v>
      </c>
      <c r="E215" s="23">
        <f t="shared" si="1949"/>
        <v>0</v>
      </c>
      <c r="F215" s="23">
        <f t="shared" si="1949"/>
        <v>0</v>
      </c>
      <c r="G215" s="23">
        <f t="shared" si="1949"/>
        <v>0</v>
      </c>
      <c r="H215" s="23">
        <f t="shared" si="1949"/>
        <v>0</v>
      </c>
      <c r="I215" s="23">
        <f t="shared" si="1949"/>
        <v>0</v>
      </c>
      <c r="J215" s="23">
        <f t="shared" si="1949"/>
        <v>0</v>
      </c>
      <c r="K215" s="23">
        <f t="shared" si="1949"/>
        <v>0</v>
      </c>
      <c r="L215" s="23">
        <f t="shared" si="1949"/>
        <v>0</v>
      </c>
      <c r="M215" s="23">
        <f t="shared" si="1949"/>
        <v>0</v>
      </c>
      <c r="N215" s="23">
        <f t="shared" si="1949"/>
        <v>0</v>
      </c>
      <c r="O215" s="23">
        <f t="shared" si="1949"/>
        <v>0</v>
      </c>
      <c r="P215" s="23">
        <f t="shared" si="1949"/>
        <v>0</v>
      </c>
      <c r="Q215" s="23">
        <f t="shared" si="1949"/>
        <v>0</v>
      </c>
      <c r="R215" s="23">
        <f t="shared" si="1949"/>
        <v>-16870</v>
      </c>
      <c r="S215" s="23">
        <f t="shared" si="1949"/>
        <v>221</v>
      </c>
      <c r="T215" s="23">
        <f t="shared" si="1949"/>
        <v>-1179</v>
      </c>
      <c r="U215" s="23">
        <f t="shared" si="1949"/>
        <v>-1730</v>
      </c>
      <c r="V215" s="23">
        <f t="shared" si="1949"/>
        <v>-1587</v>
      </c>
      <c r="W215" s="23">
        <f t="shared" si="1949"/>
        <v>-1784</v>
      </c>
      <c r="X215" s="23">
        <f t="shared" si="1949"/>
        <v>-2779</v>
      </c>
      <c r="Y215" s="23">
        <f t="shared" si="1949"/>
        <v>-2970</v>
      </c>
      <c r="Z215" s="23">
        <f t="shared" si="1949"/>
        <v>-3126</v>
      </c>
      <c r="AA215" s="23">
        <f t="shared" si="1949"/>
        <v>-3524</v>
      </c>
      <c r="AB215" s="24">
        <f t="shared" si="1949"/>
        <v>-1605</v>
      </c>
      <c r="AC215" s="24">
        <f t="shared" si="1949"/>
        <v>-2400</v>
      </c>
      <c r="AD215" s="24">
        <f t="shared" si="1949"/>
        <v>-2400</v>
      </c>
      <c r="AE215" s="24">
        <f t="shared" si="1949"/>
        <v>-2400</v>
      </c>
      <c r="AI215" s="23">
        <f t="shared" ref="AI215:BN215" si="1950">AH150-AI44-AI150</f>
        <v>0</v>
      </c>
      <c r="AJ215" s="23">
        <f t="shared" si="1950"/>
        <v>0</v>
      </c>
      <c r="AK215" s="23">
        <f t="shared" si="1950"/>
        <v>0</v>
      </c>
      <c r="AL215" s="23">
        <f t="shared" si="1950"/>
        <v>0</v>
      </c>
      <c r="AM215" s="23">
        <f t="shared" si="1950"/>
        <v>0</v>
      </c>
      <c r="AN215" s="23">
        <f t="shared" si="1950"/>
        <v>0</v>
      </c>
      <c r="AO215" s="23">
        <f t="shared" si="1950"/>
        <v>0</v>
      </c>
      <c r="AP215" s="23">
        <f t="shared" si="1950"/>
        <v>0</v>
      </c>
      <c r="AQ215" s="23">
        <f t="shared" si="1950"/>
        <v>0</v>
      </c>
      <c r="AR215" s="23">
        <f t="shared" si="1950"/>
        <v>0</v>
      </c>
      <c r="AS215" s="23">
        <f t="shared" si="1950"/>
        <v>0</v>
      </c>
      <c r="AT215" s="23">
        <f t="shared" si="1950"/>
        <v>0</v>
      </c>
      <c r="AU215" s="23">
        <f t="shared" si="1950"/>
        <v>0</v>
      </c>
      <c r="AV215" s="23">
        <f t="shared" si="1950"/>
        <v>0</v>
      </c>
      <c r="AW215" s="23">
        <f t="shared" si="1950"/>
        <v>0</v>
      </c>
      <c r="AX215" s="23">
        <f t="shared" si="1950"/>
        <v>0</v>
      </c>
      <c r="AY215" s="23">
        <f t="shared" si="1950"/>
        <v>0</v>
      </c>
      <c r="AZ215" s="23">
        <f t="shared" si="1950"/>
        <v>0</v>
      </c>
      <c r="BA215" s="23">
        <f t="shared" si="1950"/>
        <v>0</v>
      </c>
      <c r="BB215" s="23">
        <f t="shared" si="1950"/>
        <v>0</v>
      </c>
      <c r="BC215" s="23">
        <f t="shared" si="1950"/>
        <v>0</v>
      </c>
      <c r="BD215" s="23">
        <f t="shared" si="1950"/>
        <v>0</v>
      </c>
      <c r="BE215" s="23">
        <f t="shared" si="1950"/>
        <v>-308</v>
      </c>
      <c r="BF215" s="23">
        <f t="shared" si="1950"/>
        <v>-313</v>
      </c>
      <c r="BG215" s="23">
        <f t="shared" si="1950"/>
        <v>-305</v>
      </c>
      <c r="BH215" s="23">
        <f t="shared" si="1950"/>
        <v>-303</v>
      </c>
      <c r="BI215" s="23">
        <f t="shared" si="1950"/>
        <v>-332</v>
      </c>
      <c r="BJ215" s="23">
        <f t="shared" si="1950"/>
        <v>-14449</v>
      </c>
      <c r="BK215" s="23">
        <f t="shared" si="1950"/>
        <v>-342</v>
      </c>
      <c r="BL215" s="23">
        <f t="shared" si="1950"/>
        <v>-399</v>
      </c>
      <c r="BM215" s="23">
        <f t="shared" si="1950"/>
        <v>-405</v>
      </c>
      <c r="BN215" s="23">
        <f t="shared" si="1950"/>
        <v>-416</v>
      </c>
      <c r="BO215" s="23">
        <f t="shared" ref="BO215:CT215" si="1951">BN150-BO44-BO150</f>
        <v>-298</v>
      </c>
      <c r="BP215" s="23">
        <f t="shared" si="1951"/>
        <v>-597</v>
      </c>
      <c r="BQ215" s="23">
        <f t="shared" si="1951"/>
        <v>-326</v>
      </c>
      <c r="BR215" s="23">
        <f t="shared" si="1951"/>
        <v>-349</v>
      </c>
      <c r="BS215" s="23">
        <f t="shared" si="1951"/>
        <v>-297</v>
      </c>
      <c r="BT215" s="23">
        <f t="shared" si="1951"/>
        <v>-350</v>
      </c>
      <c r="BU215" s="23">
        <f t="shared" si="1951"/>
        <v>-302</v>
      </c>
      <c r="BV215" s="23">
        <f t="shared" si="1951"/>
        <v>-907</v>
      </c>
      <c r="BW215" s="23">
        <f t="shared" si="1951"/>
        <v>-312</v>
      </c>
      <c r="BX215" s="23">
        <f t="shared" si="1951"/>
        <v>-871</v>
      </c>
      <c r="BY215" s="23">
        <f t="shared" si="1951"/>
        <v>-325</v>
      </c>
      <c r="BZ215" s="23">
        <f t="shared" si="1951"/>
        <v>-1196</v>
      </c>
      <c r="CA215" s="23">
        <f t="shared" si="1951"/>
        <v>-399</v>
      </c>
      <c r="CB215" s="23">
        <f t="shared" si="1951"/>
        <v>-927</v>
      </c>
      <c r="CC215" s="23">
        <f t="shared" si="1951"/>
        <v>-370</v>
      </c>
      <c r="CD215" s="23">
        <f t="shared" si="1951"/>
        <v>-1190</v>
      </c>
      <c r="CE215" s="23">
        <f t="shared" si="1951"/>
        <v>-317</v>
      </c>
      <c r="CF215" s="23">
        <f t="shared" si="1951"/>
        <v>-1186</v>
      </c>
      <c r="CG215" s="23">
        <f t="shared" si="1951"/>
        <v>-364</v>
      </c>
      <c r="CH215" s="23">
        <f t="shared" si="1951"/>
        <v>-1531</v>
      </c>
      <c r="CI215" s="23">
        <f t="shared" si="1951"/>
        <v>0</v>
      </c>
      <c r="CJ215" s="23">
        <f t="shared" si="1951"/>
        <v>-925</v>
      </c>
      <c r="CK215" s="23">
        <f t="shared" si="1951"/>
        <v>0</v>
      </c>
      <c r="CL215" s="23">
        <f t="shared" si="1951"/>
        <v>-1804</v>
      </c>
      <c r="CM215" s="24">
        <f t="shared" si="1951"/>
        <v>-600</v>
      </c>
      <c r="CN215" s="24">
        <f t="shared" si="1951"/>
        <v>-600</v>
      </c>
      <c r="CO215" s="24">
        <f t="shared" si="1951"/>
        <v>-599.99999999999636</v>
      </c>
      <c r="CP215" s="24">
        <f t="shared" si="1951"/>
        <v>-600.00000000000364</v>
      </c>
      <c r="CQ215" s="24">
        <f t="shared" si="1951"/>
        <v>-599.99999999999636</v>
      </c>
      <c r="CR215" s="24">
        <f t="shared" si="1951"/>
        <v>-600</v>
      </c>
      <c r="CS215" s="24">
        <f t="shared" si="1951"/>
        <v>-600</v>
      </c>
      <c r="CT215" s="24">
        <f t="shared" si="1951"/>
        <v>-600</v>
      </c>
      <c r="CU215" s="24">
        <f t="shared" ref="CU215:DB215" si="1952">CT150-CU44-CU150</f>
        <v>-600</v>
      </c>
      <c r="CV215" s="24">
        <f t="shared" si="1952"/>
        <v>-600</v>
      </c>
      <c r="CW215" s="24">
        <f t="shared" si="1952"/>
        <v>-600</v>
      </c>
      <c r="CX215" s="24">
        <f t="shared" si="1952"/>
        <v>-600</v>
      </c>
      <c r="CY215" s="24">
        <f t="shared" si="1952"/>
        <v>-600</v>
      </c>
      <c r="CZ215" s="24">
        <f t="shared" si="1952"/>
        <v>-600</v>
      </c>
      <c r="DA215" s="24">
        <f t="shared" si="1952"/>
        <v>-600</v>
      </c>
      <c r="DB215" s="24">
        <f t="shared" si="1952"/>
        <v>-600</v>
      </c>
      <c r="DE215" s="123"/>
      <c r="DF215" s="23">
        <v>-2729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95</v>
      </c>
      <c r="C217" s="22">
        <f t="shared" ref="C217:W217" si="1953">C218+C219</f>
        <v>0</v>
      </c>
      <c r="D217" s="22">
        <f t="shared" si="1953"/>
        <v>0</v>
      </c>
      <c r="E217" s="22">
        <f t="shared" si="1953"/>
        <v>0</v>
      </c>
      <c r="F217" s="22">
        <f t="shared" si="1953"/>
        <v>0</v>
      </c>
      <c r="G217" s="22">
        <f t="shared" si="1953"/>
        <v>0</v>
      </c>
      <c r="H217" s="22">
        <f t="shared" si="1953"/>
        <v>0</v>
      </c>
      <c r="I217" s="22">
        <f t="shared" si="1953"/>
        <v>0</v>
      </c>
      <c r="J217" s="22">
        <f t="shared" si="1953"/>
        <v>0</v>
      </c>
      <c r="K217" s="22">
        <f t="shared" si="1953"/>
        <v>0</v>
      </c>
      <c r="L217" s="22">
        <f t="shared" si="1953"/>
        <v>0</v>
      </c>
      <c r="M217" s="22">
        <f t="shared" si="1953"/>
        <v>0</v>
      </c>
      <c r="N217" s="22">
        <f t="shared" si="1953"/>
        <v>0</v>
      </c>
      <c r="O217" s="22">
        <f t="shared" si="1953"/>
        <v>0</v>
      </c>
      <c r="P217" s="22">
        <f t="shared" si="1953"/>
        <v>0</v>
      </c>
      <c r="Q217" s="22">
        <f t="shared" si="1953"/>
        <v>0</v>
      </c>
      <c r="R217" s="22">
        <f t="shared" si="1953"/>
        <v>17595</v>
      </c>
      <c r="S217" s="22">
        <f t="shared" si="1953"/>
        <v>-360</v>
      </c>
      <c r="T217" s="22">
        <f t="shared" si="1953"/>
        <v>-1351</v>
      </c>
      <c r="U217" s="22">
        <f t="shared" si="1953"/>
        <v>-216</v>
      </c>
      <c r="V217" s="22">
        <f t="shared" si="1953"/>
        <v>-1155</v>
      </c>
      <c r="W217" s="22">
        <f t="shared" si="1953"/>
        <v>1884</v>
      </c>
      <c r="X217" s="22">
        <f t="shared" ref="X217:Y217" si="1954">X218+X219</f>
        <v>-801</v>
      </c>
      <c r="Y217" s="22">
        <f t="shared" si="1954"/>
        <v>825</v>
      </c>
      <c r="Z217" s="22">
        <f t="shared" ref="Z217:AA217" si="1955">Z218+Z219</f>
        <v>938</v>
      </c>
      <c r="AA217" s="22">
        <f t="shared" ref="AA217" si="1956">AA218+AA219</f>
        <v>978</v>
      </c>
      <c r="AB217" s="21">
        <f t="shared" ref="AB217:AD217" si="1957">AB218+AB219</f>
        <v>0</v>
      </c>
      <c r="AC217" s="21">
        <f t="shared" si="1957"/>
        <v>3.637978807091713E-12</v>
      </c>
      <c r="AD217" s="21">
        <f t="shared" si="1957"/>
        <v>3.637978807091713E-12</v>
      </c>
      <c r="AE217" s="21">
        <f t="shared" ref="AE217" si="1958">AE218+AE219</f>
        <v>0</v>
      </c>
      <c r="AI217" s="22">
        <f t="shared" ref="AI217" si="1959">AI218+AI219</f>
        <v>0</v>
      </c>
      <c r="AJ217" s="22">
        <f t="shared" ref="AJ217:AL217" si="1960">AJ218+AJ219</f>
        <v>0</v>
      </c>
      <c r="AK217" s="22">
        <f t="shared" si="1960"/>
        <v>0</v>
      </c>
      <c r="AL217" s="22">
        <f t="shared" si="1960"/>
        <v>0</v>
      </c>
      <c r="AM217" s="22">
        <f t="shared" ref="AM217" si="1961">AM218+AM219</f>
        <v>0</v>
      </c>
      <c r="AN217" s="22">
        <f t="shared" ref="AN217:CD217" si="1962">AN218+AN219</f>
        <v>0</v>
      </c>
      <c r="AO217" s="22">
        <f t="shared" si="1962"/>
        <v>0</v>
      </c>
      <c r="AP217" s="22">
        <f t="shared" si="1962"/>
        <v>0</v>
      </c>
      <c r="AQ217" s="22">
        <f t="shared" si="1962"/>
        <v>0</v>
      </c>
      <c r="AR217" s="22">
        <f t="shared" si="1962"/>
        <v>0</v>
      </c>
      <c r="AS217" s="22">
        <f t="shared" si="1962"/>
        <v>0</v>
      </c>
      <c r="AT217" s="22">
        <f t="shared" si="1962"/>
        <v>0</v>
      </c>
      <c r="AU217" s="22">
        <f t="shared" si="1962"/>
        <v>0</v>
      </c>
      <c r="AV217" s="22">
        <f t="shared" si="1962"/>
        <v>0</v>
      </c>
      <c r="AW217" s="22">
        <f t="shared" si="1962"/>
        <v>0</v>
      </c>
      <c r="AX217" s="22">
        <f t="shared" si="1962"/>
        <v>0</v>
      </c>
      <c r="AY217" s="22">
        <f t="shared" si="1962"/>
        <v>0</v>
      </c>
      <c r="AZ217" s="22">
        <f t="shared" si="1962"/>
        <v>0</v>
      </c>
      <c r="BA217" s="22">
        <f t="shared" si="1962"/>
        <v>0</v>
      </c>
      <c r="BB217" s="22">
        <f t="shared" si="1962"/>
        <v>0</v>
      </c>
      <c r="BC217" s="22">
        <f t="shared" si="1962"/>
        <v>0</v>
      </c>
      <c r="BD217" s="22">
        <f t="shared" si="1962"/>
        <v>0</v>
      </c>
      <c r="BE217" s="22">
        <f t="shared" si="1962"/>
        <v>0</v>
      </c>
      <c r="BF217" s="22">
        <f t="shared" si="1962"/>
        <v>-181</v>
      </c>
      <c r="BG217" s="22">
        <f t="shared" si="1962"/>
        <v>0</v>
      </c>
      <c r="BH217" s="22">
        <f t="shared" si="1962"/>
        <v>-52</v>
      </c>
      <c r="BI217" s="22">
        <f t="shared" si="1962"/>
        <v>0</v>
      </c>
      <c r="BJ217" s="22">
        <f t="shared" si="1962"/>
        <v>15317</v>
      </c>
      <c r="BK217" s="22">
        <f t="shared" si="1962"/>
        <v>0</v>
      </c>
      <c r="BL217" s="22">
        <f t="shared" si="1962"/>
        <v>-1115</v>
      </c>
      <c r="BM217" s="22">
        <f t="shared" si="1962"/>
        <v>0</v>
      </c>
      <c r="BN217" s="22">
        <f t="shared" si="1962"/>
        <v>655</v>
      </c>
      <c r="BO217" s="22">
        <f t="shared" si="1962"/>
        <v>0</v>
      </c>
      <c r="BP217" s="22">
        <f t="shared" si="1962"/>
        <v>-269</v>
      </c>
      <c r="BQ217" s="22">
        <f t="shared" si="1962"/>
        <v>0</v>
      </c>
      <c r="BR217" s="22">
        <f t="shared" si="1962"/>
        <v>253</v>
      </c>
      <c r="BS217" s="22">
        <f t="shared" si="1962"/>
        <v>0</v>
      </c>
      <c r="BT217" s="22">
        <f t="shared" si="1962"/>
        <v>477</v>
      </c>
      <c r="BU217" s="22">
        <f t="shared" si="1962"/>
        <v>0</v>
      </c>
      <c r="BV217" s="22">
        <f t="shared" si="1962"/>
        <v>1406</v>
      </c>
      <c r="BW217" s="22">
        <f t="shared" si="1962"/>
        <v>0</v>
      </c>
      <c r="BX217" s="22">
        <f t="shared" si="1962"/>
        <v>-1113</v>
      </c>
      <c r="BY217" s="22">
        <f t="shared" si="1962"/>
        <v>0</v>
      </c>
      <c r="BZ217" s="22">
        <f t="shared" si="1962"/>
        <v>312</v>
      </c>
      <c r="CA217" s="22">
        <f t="shared" si="1962"/>
        <v>0</v>
      </c>
      <c r="CB217" s="22">
        <f t="shared" si="1962"/>
        <v>1652</v>
      </c>
      <c r="CC217" s="22">
        <f t="shared" si="1962"/>
        <v>0</v>
      </c>
      <c r="CD217" s="22">
        <f t="shared" si="1962"/>
        <v>-827</v>
      </c>
      <c r="CE217" s="22">
        <f t="shared" ref="CE217:CF217" si="1963">CE218+CE219</f>
        <v>0</v>
      </c>
      <c r="CF217" s="22">
        <f t="shared" si="1963"/>
        <v>1075</v>
      </c>
      <c r="CG217" s="22">
        <f t="shared" ref="CG217:CH217" si="1964">CG218+CG219</f>
        <v>0</v>
      </c>
      <c r="CH217" s="22">
        <f t="shared" si="1964"/>
        <v>-137</v>
      </c>
      <c r="CI217" s="22">
        <f t="shared" ref="CI217:CJ217" si="1965">CI218+CI219</f>
        <v>0</v>
      </c>
      <c r="CJ217" s="22">
        <f t="shared" si="1965"/>
        <v>1044</v>
      </c>
      <c r="CK217" s="22">
        <f t="shared" ref="CK217:DB217" si="1966">CK218+CK219</f>
        <v>0</v>
      </c>
      <c r="CL217" s="22">
        <f t="shared" si="1966"/>
        <v>-65</v>
      </c>
      <c r="CM217" s="21">
        <f t="shared" si="1966"/>
        <v>0</v>
      </c>
      <c r="CN217" s="21">
        <f t="shared" si="1966"/>
        <v>0</v>
      </c>
      <c r="CO217" s="21">
        <f t="shared" si="1966"/>
        <v>0</v>
      </c>
      <c r="CP217" s="21">
        <f t="shared" si="1966"/>
        <v>0</v>
      </c>
      <c r="CQ217" s="21">
        <f t="shared" si="1966"/>
        <v>0</v>
      </c>
      <c r="CR217" s="21">
        <f t="shared" si="1966"/>
        <v>0</v>
      </c>
      <c r="CS217" s="21">
        <f t="shared" si="1966"/>
        <v>0</v>
      </c>
      <c r="CT217" s="21">
        <f t="shared" si="1966"/>
        <v>0</v>
      </c>
      <c r="CU217" s="21">
        <f t="shared" si="1966"/>
        <v>0</v>
      </c>
      <c r="CV217" s="21">
        <f t="shared" si="1966"/>
        <v>0</v>
      </c>
      <c r="CW217" s="21">
        <f t="shared" si="1966"/>
        <v>0</v>
      </c>
      <c r="CX217" s="21">
        <f t="shared" si="1966"/>
        <v>0</v>
      </c>
      <c r="CY217" s="21">
        <f t="shared" si="1966"/>
        <v>0</v>
      </c>
      <c r="CZ217" s="21">
        <f t="shared" si="1966"/>
        <v>0</v>
      </c>
      <c r="DA217" s="21">
        <f t="shared" si="1966"/>
        <v>0</v>
      </c>
      <c r="DB217" s="21">
        <f t="shared" si="1966"/>
        <v>0</v>
      </c>
      <c r="DE217" s="126"/>
      <c r="DF217" s="22">
        <v>979</v>
      </c>
    </row>
    <row r="218" spans="1:110" s="23" customFormat="1" x14ac:dyDescent="0.2">
      <c r="A218" s="23" t="s">
        <v>49</v>
      </c>
      <c r="C218" s="23">
        <f t="shared" ref="C218:AA218" si="1967">C140-B140</f>
        <v>0</v>
      </c>
      <c r="D218" s="23">
        <f t="shared" si="1967"/>
        <v>0</v>
      </c>
      <c r="E218" s="23">
        <f>E140-D140</f>
        <v>0</v>
      </c>
      <c r="F218" s="23">
        <f t="shared" si="1967"/>
        <v>0</v>
      </c>
      <c r="G218" s="23">
        <f t="shared" si="1967"/>
        <v>0</v>
      </c>
      <c r="H218" s="23">
        <f t="shared" si="1967"/>
        <v>0</v>
      </c>
      <c r="I218" s="23">
        <f t="shared" si="1967"/>
        <v>0</v>
      </c>
      <c r="J218" s="23">
        <f>J140-I140</f>
        <v>0</v>
      </c>
      <c r="K218" s="23">
        <f>K140-J140</f>
        <v>0</v>
      </c>
      <c r="L218" s="23">
        <f t="shared" si="1967"/>
        <v>0</v>
      </c>
      <c r="M218" s="23">
        <f t="shared" si="1967"/>
        <v>0</v>
      </c>
      <c r="N218" s="23">
        <f t="shared" si="1967"/>
        <v>0</v>
      </c>
      <c r="O218" s="23">
        <f t="shared" si="1967"/>
        <v>0</v>
      </c>
      <c r="P218" s="23">
        <f t="shared" si="1967"/>
        <v>0</v>
      </c>
      <c r="Q218" s="23">
        <f t="shared" si="1967"/>
        <v>0</v>
      </c>
      <c r="R218" s="23">
        <f t="shared" si="1967"/>
        <v>8039</v>
      </c>
      <c r="S218" s="23">
        <f t="shared" si="1967"/>
        <v>-773</v>
      </c>
      <c r="T218" s="23">
        <f t="shared" si="1967"/>
        <v>-1388</v>
      </c>
      <c r="U218" s="23">
        <f t="shared" si="1967"/>
        <v>72</v>
      </c>
      <c r="V218" s="23">
        <f t="shared" si="1967"/>
        <v>-2242</v>
      </c>
      <c r="W218" s="23">
        <f t="shared" si="1967"/>
        <v>-589</v>
      </c>
      <c r="X218" s="23">
        <f t="shared" si="1967"/>
        <v>623</v>
      </c>
      <c r="Y218" s="23">
        <f t="shared" si="1967"/>
        <v>888</v>
      </c>
      <c r="Z218" s="23">
        <f t="shared" si="1967"/>
        <v>628</v>
      </c>
      <c r="AA218" s="23">
        <f t="shared" si="1967"/>
        <v>1494</v>
      </c>
      <c r="AB218" s="24">
        <f t="shared" ref="AB218" si="1968">AB140-AA140</f>
        <v>0</v>
      </c>
      <c r="AC218" s="24">
        <f t="shared" ref="AC218" si="1969">AC140-AB140</f>
        <v>0</v>
      </c>
      <c r="AD218" s="24">
        <f t="shared" ref="AD218" si="1970">AD140-AC140</f>
        <v>0</v>
      </c>
      <c r="AE218" s="24">
        <f t="shared" ref="AE218" si="1971">AE140-AD140</f>
        <v>0</v>
      </c>
      <c r="AI218" s="23">
        <f t="shared" ref="AI218" si="1972">AI140-AH140</f>
        <v>0</v>
      </c>
      <c r="AJ218" s="23">
        <f t="shared" ref="AJ218" si="1973">AJ140-AI140</f>
        <v>0</v>
      </c>
      <c r="AK218" s="23">
        <f t="shared" ref="AK218" si="1974">AK140-AJ140</f>
        <v>0</v>
      </c>
      <c r="AL218" s="23">
        <f t="shared" ref="AL218" si="1975">AL140-AK140</f>
        <v>0</v>
      </c>
      <c r="AM218" s="23">
        <f t="shared" ref="AM218" si="1976">AM140-AL140</f>
        <v>0</v>
      </c>
      <c r="AN218" s="23">
        <f t="shared" ref="AN218" si="1977">AN140-AM140</f>
        <v>0</v>
      </c>
      <c r="AO218" s="23">
        <f t="shared" ref="AO218" si="1978">AO140-AN140</f>
        <v>0</v>
      </c>
      <c r="AP218" s="23">
        <f t="shared" ref="AP218" si="1979">AP140-AO140</f>
        <v>0</v>
      </c>
      <c r="AQ218" s="23">
        <f t="shared" ref="AQ218" si="1980">AQ140-AP140</f>
        <v>0</v>
      </c>
      <c r="AR218" s="23">
        <f t="shared" ref="AR218" si="1981">AR140-AQ140</f>
        <v>0</v>
      </c>
      <c r="AS218" s="23">
        <f t="shared" ref="AS218" si="1982">AS140-AR140</f>
        <v>0</v>
      </c>
      <c r="AT218" s="23">
        <f t="shared" ref="AT218" si="1983">AT140-AS140</f>
        <v>0</v>
      </c>
      <c r="AU218" s="23">
        <f t="shared" ref="AU218" si="1984">AU140-AT140</f>
        <v>0</v>
      </c>
      <c r="AV218" s="23">
        <f t="shared" ref="AV218" si="1985">AV140-AU140</f>
        <v>0</v>
      </c>
      <c r="AW218" s="23">
        <f t="shared" ref="AW218" si="1986">AW140-AV140</f>
        <v>0</v>
      </c>
      <c r="AX218" s="23">
        <f t="shared" ref="AX218" si="1987">AX140-AW140</f>
        <v>0</v>
      </c>
      <c r="AY218" s="23">
        <f t="shared" ref="AY218" si="1988">AY140-AX140</f>
        <v>0</v>
      </c>
      <c r="AZ218" s="23">
        <f t="shared" ref="AZ218" si="1989">AZ140-AY140</f>
        <v>0</v>
      </c>
      <c r="BA218" s="23">
        <f t="shared" ref="BA218" si="1990">BA140-AZ140</f>
        <v>0</v>
      </c>
      <c r="BB218" s="23">
        <f t="shared" ref="BB218" si="1991">BB140-BA140</f>
        <v>0</v>
      </c>
      <c r="BC218" s="23">
        <f t="shared" ref="BC218" si="1992">BC140-BB140</f>
        <v>0</v>
      </c>
      <c r="BD218" s="23">
        <f t="shared" ref="BD218" si="1993">BD140-BC140</f>
        <v>0</v>
      </c>
      <c r="BE218" s="23">
        <f t="shared" ref="BE218" si="1994">BE140-BD140</f>
        <v>0</v>
      </c>
      <c r="BF218" s="23">
        <f t="shared" ref="BF218" si="1995">BF140-BE140</f>
        <v>0</v>
      </c>
      <c r="BG218" s="23">
        <f t="shared" ref="BG218" si="1996">BG140-BF140</f>
        <v>0</v>
      </c>
      <c r="BH218" s="23">
        <f t="shared" ref="BH218" si="1997">BH140-BG140</f>
        <v>0</v>
      </c>
      <c r="BI218" s="23">
        <f t="shared" ref="BI218" si="1998">BI140-BH140</f>
        <v>0</v>
      </c>
      <c r="BJ218" s="23">
        <f t="shared" ref="BJ218" si="1999">BJ140-BI140</f>
        <v>4923</v>
      </c>
      <c r="BK218" s="23">
        <f t="shared" ref="BK218" si="2000">BK140-BJ140</f>
        <v>0</v>
      </c>
      <c r="BL218" s="23">
        <f t="shared" ref="BL218" si="2001">BL140-BK140</f>
        <v>-819</v>
      </c>
      <c r="BM218" s="23">
        <f t="shared" ref="BM218" si="2002">BM140-BL140</f>
        <v>0</v>
      </c>
      <c r="BN218" s="23">
        <f t="shared" ref="BN218" si="2003">BN140-BM140</f>
        <v>647</v>
      </c>
      <c r="BO218" s="23">
        <f t="shared" ref="BO218" si="2004">BO140-BN140</f>
        <v>0</v>
      </c>
      <c r="BP218" s="23">
        <f t="shared" ref="BP218" si="2005">BP140-BO140</f>
        <v>-444</v>
      </c>
      <c r="BQ218" s="23">
        <f t="shared" ref="BQ218" si="2006">BQ140-BP140</f>
        <v>0</v>
      </c>
      <c r="BR218" s="23">
        <f t="shared" ref="BR218" si="2007">BR140-BQ140</f>
        <v>-599</v>
      </c>
      <c r="BS218" s="23">
        <f t="shared" ref="BS218" si="2008">BS140-BR140</f>
        <v>0</v>
      </c>
      <c r="BT218" s="23">
        <f t="shared" ref="BT218" si="2009">BT140-BS140</f>
        <v>-622</v>
      </c>
      <c r="BU218" s="23">
        <f t="shared" ref="BU218" si="2010">BU140-BT140</f>
        <v>0</v>
      </c>
      <c r="BV218" s="23">
        <f t="shared" ref="BV218" si="2011">BV140-BU140</f>
        <v>33</v>
      </c>
      <c r="BW218" s="23">
        <f t="shared" ref="BW218" si="2012">BW140-BV140</f>
        <v>0</v>
      </c>
      <c r="BX218" s="23">
        <f t="shared" ref="BX218" si="2013">BX140-BW140</f>
        <v>147</v>
      </c>
      <c r="BY218" s="23">
        <f t="shared" ref="BY218" si="2014">BY140-BX140</f>
        <v>0</v>
      </c>
      <c r="BZ218" s="23">
        <f t="shared" ref="BZ218" si="2015">BZ140-BY140</f>
        <v>476</v>
      </c>
      <c r="CA218" s="23">
        <f t="shared" ref="CA218" si="2016">CA140-BZ140</f>
        <v>0</v>
      </c>
      <c r="CB218" s="23">
        <f t="shared" ref="CB218" si="2017">CB140-CA140</f>
        <v>1531</v>
      </c>
      <c r="CC218" s="23">
        <f t="shared" ref="CC218" si="2018">CC140-CB140</f>
        <v>0</v>
      </c>
      <c r="CD218" s="23">
        <f t="shared" ref="CD218" si="2019">CD140-CC140</f>
        <v>-643</v>
      </c>
      <c r="CE218" s="23">
        <f t="shared" ref="CE218" si="2020">CE140-CD140</f>
        <v>0</v>
      </c>
      <c r="CF218" s="23">
        <f t="shared" ref="CF218" si="2021">CF140-CE140</f>
        <v>133</v>
      </c>
      <c r="CG218" s="23">
        <f t="shared" ref="CG218" si="2022">CG140-CF140</f>
        <v>0</v>
      </c>
      <c r="CH218" s="23">
        <f t="shared" ref="CH218:CL218" si="2023">CH140-CG140</f>
        <v>495</v>
      </c>
      <c r="CI218" s="23">
        <f t="shared" si="2023"/>
        <v>0</v>
      </c>
      <c r="CJ218" s="23">
        <f t="shared" si="2023"/>
        <v>1363</v>
      </c>
      <c r="CK218" s="23">
        <f t="shared" ref="CK218" si="2024">CK140-CJ140</f>
        <v>0</v>
      </c>
      <c r="CL218" s="23">
        <f t="shared" si="2023"/>
        <v>131</v>
      </c>
      <c r="CM218" s="24">
        <f t="shared" ref="CM218" si="2025">CM140-CL140</f>
        <v>0</v>
      </c>
      <c r="CN218" s="24">
        <f t="shared" ref="CN218" si="2026">CN140-CM140</f>
        <v>0</v>
      </c>
      <c r="CO218" s="24">
        <f t="shared" ref="CO218" si="2027">CO140-CN140</f>
        <v>0</v>
      </c>
      <c r="CP218" s="24">
        <f t="shared" ref="CP218" si="2028">CP140-CO140</f>
        <v>0</v>
      </c>
      <c r="CQ218" s="24">
        <f t="shared" ref="CQ218" si="2029">CQ140-CP140</f>
        <v>0</v>
      </c>
      <c r="CR218" s="24">
        <f t="shared" ref="CR218" si="2030">CR140-CQ140</f>
        <v>0</v>
      </c>
      <c r="CS218" s="24">
        <f t="shared" ref="CS218" si="2031">CS140-CR140</f>
        <v>0</v>
      </c>
      <c r="CT218" s="24">
        <f t="shared" ref="CT218" si="2032">CT140-CS140</f>
        <v>0</v>
      </c>
      <c r="CU218" s="24">
        <f t="shared" ref="CU218" si="2033">CU140-CT140</f>
        <v>0</v>
      </c>
      <c r="CV218" s="24">
        <f t="shared" ref="CV218" si="2034">CV140-CU140</f>
        <v>0</v>
      </c>
      <c r="CW218" s="24">
        <f t="shared" ref="CW218" si="2035">CW140-CV140</f>
        <v>0</v>
      </c>
      <c r="CX218" s="24">
        <f t="shared" ref="CX218" si="2036">CX140-CW140</f>
        <v>0</v>
      </c>
      <c r="CY218" s="24">
        <f t="shared" ref="CY218" si="2037">CY140-CX140</f>
        <v>0</v>
      </c>
      <c r="CZ218" s="24">
        <f t="shared" ref="CZ218" si="2038">CZ140-CY140</f>
        <v>0</v>
      </c>
      <c r="DA218" s="24">
        <f t="shared" ref="DA218" si="2039">DA140-CZ140</f>
        <v>0</v>
      </c>
      <c r="DB218" s="24">
        <f t="shared" ref="DB218" si="2040">DB140-DA140</f>
        <v>0</v>
      </c>
      <c r="DE218" s="123"/>
      <c r="DF218" s="23">
        <v>1494</v>
      </c>
    </row>
    <row r="219" spans="1:110" s="23" customFormat="1" x14ac:dyDescent="0.2">
      <c r="A219" s="23" t="s">
        <v>27</v>
      </c>
      <c r="C219" s="23">
        <f t="shared" ref="C219:AE219" si="2041">C132-C60-B132+C134-B134</f>
        <v>0</v>
      </c>
      <c r="D219" s="23">
        <f t="shared" si="2041"/>
        <v>0</v>
      </c>
      <c r="E219" s="23">
        <f t="shared" si="2041"/>
        <v>0</v>
      </c>
      <c r="F219" s="23">
        <f t="shared" si="2041"/>
        <v>0</v>
      </c>
      <c r="G219" s="23">
        <f t="shared" si="2041"/>
        <v>0</v>
      </c>
      <c r="H219" s="23">
        <f t="shared" si="2041"/>
        <v>0</v>
      </c>
      <c r="I219" s="23">
        <f t="shared" si="2041"/>
        <v>0</v>
      </c>
      <c r="J219" s="23">
        <f t="shared" si="2041"/>
        <v>0</v>
      </c>
      <c r="K219" s="23">
        <f t="shared" si="2041"/>
        <v>0</v>
      </c>
      <c r="L219" s="23">
        <f t="shared" si="2041"/>
        <v>0</v>
      </c>
      <c r="M219" s="23">
        <f t="shared" si="2041"/>
        <v>0</v>
      </c>
      <c r="N219" s="23">
        <f t="shared" si="2041"/>
        <v>0</v>
      </c>
      <c r="O219" s="23">
        <f t="shared" si="2041"/>
        <v>0</v>
      </c>
      <c r="P219" s="23">
        <f t="shared" si="2041"/>
        <v>0</v>
      </c>
      <c r="Q219" s="23">
        <f t="shared" si="2041"/>
        <v>0</v>
      </c>
      <c r="R219" s="23">
        <f t="shared" si="2041"/>
        <v>9556</v>
      </c>
      <c r="S219" s="23">
        <f t="shared" si="2041"/>
        <v>413</v>
      </c>
      <c r="T219" s="23">
        <f t="shared" si="2041"/>
        <v>37</v>
      </c>
      <c r="U219" s="23">
        <f t="shared" si="2041"/>
        <v>-288</v>
      </c>
      <c r="V219" s="23">
        <f t="shared" si="2041"/>
        <v>1087</v>
      </c>
      <c r="W219" s="23">
        <f t="shared" si="2041"/>
        <v>2473</v>
      </c>
      <c r="X219" s="23">
        <f t="shared" si="2041"/>
        <v>-1424</v>
      </c>
      <c r="Y219" s="23">
        <f t="shared" si="2041"/>
        <v>-63</v>
      </c>
      <c r="Z219" s="23">
        <f t="shared" si="2041"/>
        <v>310</v>
      </c>
      <c r="AA219" s="23">
        <f t="shared" si="2041"/>
        <v>-516</v>
      </c>
      <c r="AB219" s="24">
        <f t="shared" si="2041"/>
        <v>0</v>
      </c>
      <c r="AC219" s="24">
        <f t="shared" si="2041"/>
        <v>3.637978807091713E-12</v>
      </c>
      <c r="AD219" s="24">
        <f t="shared" si="2041"/>
        <v>3.637978807091713E-12</v>
      </c>
      <c r="AE219" s="24">
        <f t="shared" si="2041"/>
        <v>0</v>
      </c>
      <c r="AI219" s="23">
        <f t="shared" ref="AI219:BN219" si="2042">AI132-AI60-AH132+AI134-AH134</f>
        <v>0</v>
      </c>
      <c r="AJ219" s="23">
        <f t="shared" si="2042"/>
        <v>0</v>
      </c>
      <c r="AK219" s="23">
        <f t="shared" si="2042"/>
        <v>0</v>
      </c>
      <c r="AL219" s="23">
        <f t="shared" si="2042"/>
        <v>0</v>
      </c>
      <c r="AM219" s="23">
        <f t="shared" si="2042"/>
        <v>0</v>
      </c>
      <c r="AN219" s="23">
        <f t="shared" si="2042"/>
        <v>0</v>
      </c>
      <c r="AO219" s="23">
        <f t="shared" si="2042"/>
        <v>0</v>
      </c>
      <c r="AP219" s="23">
        <f t="shared" si="2042"/>
        <v>0</v>
      </c>
      <c r="AQ219" s="23">
        <f t="shared" si="2042"/>
        <v>0</v>
      </c>
      <c r="AR219" s="23">
        <f t="shared" si="2042"/>
        <v>0</v>
      </c>
      <c r="AS219" s="23">
        <f t="shared" si="2042"/>
        <v>0</v>
      </c>
      <c r="AT219" s="23">
        <f t="shared" si="2042"/>
        <v>0</v>
      </c>
      <c r="AU219" s="23">
        <f t="shared" si="2042"/>
        <v>0</v>
      </c>
      <c r="AV219" s="23">
        <f t="shared" si="2042"/>
        <v>0</v>
      </c>
      <c r="AW219" s="23">
        <f t="shared" si="2042"/>
        <v>0</v>
      </c>
      <c r="AX219" s="23">
        <f t="shared" si="2042"/>
        <v>0</v>
      </c>
      <c r="AY219" s="23">
        <f t="shared" si="2042"/>
        <v>0</v>
      </c>
      <c r="AZ219" s="23">
        <f t="shared" si="2042"/>
        <v>0</v>
      </c>
      <c r="BA219" s="23">
        <f t="shared" si="2042"/>
        <v>0</v>
      </c>
      <c r="BB219" s="23">
        <f t="shared" si="2042"/>
        <v>0</v>
      </c>
      <c r="BC219" s="23">
        <f t="shared" si="2042"/>
        <v>0</v>
      </c>
      <c r="BD219" s="23">
        <f t="shared" si="2042"/>
        <v>0</v>
      </c>
      <c r="BE219" s="23">
        <f t="shared" si="2042"/>
        <v>0</v>
      </c>
      <c r="BF219" s="23">
        <f t="shared" si="2042"/>
        <v>-181</v>
      </c>
      <c r="BG219" s="23">
        <f t="shared" si="2042"/>
        <v>0</v>
      </c>
      <c r="BH219" s="23">
        <f t="shared" si="2042"/>
        <v>-52</v>
      </c>
      <c r="BI219" s="23">
        <f t="shared" si="2042"/>
        <v>0</v>
      </c>
      <c r="BJ219" s="23">
        <f t="shared" si="2042"/>
        <v>10394</v>
      </c>
      <c r="BK219" s="23">
        <f t="shared" si="2042"/>
        <v>0</v>
      </c>
      <c r="BL219" s="23">
        <f t="shared" si="2042"/>
        <v>-296</v>
      </c>
      <c r="BM219" s="23">
        <f t="shared" si="2042"/>
        <v>0</v>
      </c>
      <c r="BN219" s="23">
        <f t="shared" si="2042"/>
        <v>8</v>
      </c>
      <c r="BO219" s="23">
        <f t="shared" ref="BO219:CT219" si="2043">BO132-BO60-BN132+BO134-BN134</f>
        <v>0</v>
      </c>
      <c r="BP219" s="23">
        <f t="shared" si="2043"/>
        <v>175</v>
      </c>
      <c r="BQ219" s="23">
        <f t="shared" si="2043"/>
        <v>0</v>
      </c>
      <c r="BR219" s="23">
        <f t="shared" si="2043"/>
        <v>852</v>
      </c>
      <c r="BS219" s="23">
        <f t="shared" si="2043"/>
        <v>0</v>
      </c>
      <c r="BT219" s="23">
        <f t="shared" si="2043"/>
        <v>1099</v>
      </c>
      <c r="BU219" s="23">
        <f t="shared" si="2043"/>
        <v>0</v>
      </c>
      <c r="BV219" s="23">
        <f t="shared" si="2043"/>
        <v>1373</v>
      </c>
      <c r="BW219" s="23">
        <f t="shared" si="2043"/>
        <v>0</v>
      </c>
      <c r="BX219" s="23">
        <f t="shared" si="2043"/>
        <v>-1260</v>
      </c>
      <c r="BY219" s="23">
        <f t="shared" si="2043"/>
        <v>0</v>
      </c>
      <c r="BZ219" s="23">
        <f t="shared" si="2043"/>
        <v>-164</v>
      </c>
      <c r="CA219" s="23">
        <f t="shared" si="2043"/>
        <v>0</v>
      </c>
      <c r="CB219" s="23">
        <f t="shared" si="2043"/>
        <v>121</v>
      </c>
      <c r="CC219" s="23">
        <f t="shared" si="2043"/>
        <v>0</v>
      </c>
      <c r="CD219" s="23">
        <f t="shared" si="2043"/>
        <v>-184</v>
      </c>
      <c r="CE219" s="23">
        <f t="shared" si="2043"/>
        <v>0</v>
      </c>
      <c r="CF219" s="23">
        <f t="shared" si="2043"/>
        <v>942</v>
      </c>
      <c r="CG219" s="23">
        <f t="shared" si="2043"/>
        <v>0</v>
      </c>
      <c r="CH219" s="23">
        <f t="shared" si="2043"/>
        <v>-632</v>
      </c>
      <c r="CI219" s="23">
        <f t="shared" si="2043"/>
        <v>0</v>
      </c>
      <c r="CJ219" s="23">
        <f t="shared" si="2043"/>
        <v>-319</v>
      </c>
      <c r="CK219" s="23">
        <f t="shared" si="2043"/>
        <v>0</v>
      </c>
      <c r="CL219" s="23">
        <f t="shared" si="2043"/>
        <v>-196</v>
      </c>
      <c r="CM219" s="24">
        <f t="shared" si="2043"/>
        <v>0</v>
      </c>
      <c r="CN219" s="24">
        <f t="shared" si="2043"/>
        <v>0</v>
      </c>
      <c r="CO219" s="24">
        <f t="shared" si="2043"/>
        <v>0</v>
      </c>
      <c r="CP219" s="24">
        <f t="shared" si="2043"/>
        <v>0</v>
      </c>
      <c r="CQ219" s="24">
        <f t="shared" si="2043"/>
        <v>0</v>
      </c>
      <c r="CR219" s="24">
        <f t="shared" si="2043"/>
        <v>0</v>
      </c>
      <c r="CS219" s="24">
        <f t="shared" si="2043"/>
        <v>0</v>
      </c>
      <c r="CT219" s="24">
        <f t="shared" si="2043"/>
        <v>0</v>
      </c>
      <c r="CU219" s="24">
        <f t="shared" ref="CU219:DB219" si="2044">CU132-CU60-CT132+CU134-CT134</f>
        <v>0</v>
      </c>
      <c r="CV219" s="24">
        <f t="shared" si="2044"/>
        <v>0</v>
      </c>
      <c r="CW219" s="24">
        <f t="shared" si="2044"/>
        <v>0</v>
      </c>
      <c r="CX219" s="24">
        <f t="shared" si="2044"/>
        <v>0</v>
      </c>
      <c r="CY219" s="24">
        <f t="shared" si="2044"/>
        <v>0</v>
      </c>
      <c r="CZ219" s="24">
        <f t="shared" si="2044"/>
        <v>0</v>
      </c>
      <c r="DA219" s="24">
        <f t="shared" si="2044"/>
        <v>0</v>
      </c>
      <c r="DB219" s="24">
        <f t="shared" si="2044"/>
        <v>0</v>
      </c>
      <c r="DE219" s="123"/>
      <c r="DF219" s="23">
        <v>-515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3" customFormat="1" x14ac:dyDescent="0.2">
      <c r="A221" s="23" t="s">
        <v>442</v>
      </c>
      <c r="C221" s="23">
        <f t="shared" ref="C221" si="2045">B173</f>
        <v>0</v>
      </c>
      <c r="D221" s="23">
        <f t="shared" ref="D221" si="2046">C173</f>
        <v>0</v>
      </c>
      <c r="E221" s="23">
        <f>D173</f>
        <v>0</v>
      </c>
      <c r="F221" s="23">
        <f t="shared" ref="F221" si="2047">E173</f>
        <v>0</v>
      </c>
      <c r="G221" s="23">
        <f t="shared" ref="G221" si="2048">F173</f>
        <v>0</v>
      </c>
      <c r="H221" s="23">
        <f t="shared" ref="H221" si="2049">G173</f>
        <v>0</v>
      </c>
      <c r="I221" s="23">
        <f t="shared" ref="I221" si="2050">H173</f>
        <v>0</v>
      </c>
      <c r="J221" s="23">
        <f>I173</f>
        <v>0</v>
      </c>
      <c r="K221" s="23">
        <f>J173</f>
        <v>0</v>
      </c>
      <c r="L221" s="23">
        <f t="shared" ref="L221" si="2051">K173</f>
        <v>0</v>
      </c>
      <c r="M221" s="23">
        <f t="shared" ref="M221" si="2052">L173</f>
        <v>0</v>
      </c>
      <c r="N221" s="23">
        <f t="shared" ref="N221" si="2053">M173</f>
        <v>0</v>
      </c>
      <c r="O221" s="23">
        <f t="shared" ref="O221" si="2054">N173</f>
        <v>0</v>
      </c>
      <c r="P221" s="23">
        <f t="shared" ref="P221" si="2055">O173</f>
        <v>0</v>
      </c>
      <c r="Q221" s="23">
        <f t="shared" ref="Q221" si="2056">P173</f>
        <v>0</v>
      </c>
      <c r="R221" s="23">
        <f t="shared" ref="R221" si="2057">Q173</f>
        <v>0</v>
      </c>
      <c r="S221" s="23">
        <f t="shared" ref="S221" si="2058">R173</f>
        <v>2816</v>
      </c>
      <c r="T221" s="23">
        <f t="shared" ref="T221" si="2059">S173</f>
        <v>3762</v>
      </c>
      <c r="U221" s="23">
        <f t="shared" ref="U221" si="2060">T173</f>
        <v>2784</v>
      </c>
      <c r="V221" s="23">
        <f t="shared" ref="V221" si="2061">U173</f>
        <v>3101</v>
      </c>
      <c r="W221" s="23">
        <f t="shared" ref="W221:AA221" si="2062">V173</f>
        <v>3540</v>
      </c>
      <c r="X221" s="23">
        <f t="shared" si="2062"/>
        <v>4559</v>
      </c>
      <c r="Y221" s="23">
        <f t="shared" si="2062"/>
        <v>3220</v>
      </c>
      <c r="Z221" s="23">
        <f t="shared" si="2062"/>
        <v>4454</v>
      </c>
      <c r="AA221" s="23">
        <f t="shared" si="2062"/>
        <v>4602</v>
      </c>
      <c r="AB221" s="24">
        <f t="shared" ref="AB221" si="2063">AA173</f>
        <v>5329</v>
      </c>
      <c r="AC221" s="24">
        <f t="shared" ref="AC221" si="2064">AB173</f>
        <v>5266.9065698502791</v>
      </c>
      <c r="AD221" s="24">
        <f t="shared" ref="AD221" si="2065">AC173</f>
        <v>5529.4400894153532</v>
      </c>
      <c r="AE221" s="24">
        <f t="shared" ref="AE221" si="2066">AD173</f>
        <v>6712.6548622088822</v>
      </c>
      <c r="AI221" s="23">
        <f t="shared" ref="AI221" si="2067">AH173</f>
        <v>0</v>
      </c>
      <c r="AJ221" s="23">
        <f t="shared" ref="AJ221" si="2068">AI173</f>
        <v>0</v>
      </c>
      <c r="AK221" s="23">
        <f t="shared" ref="AK221" si="2069">AJ173</f>
        <v>0</v>
      </c>
      <c r="AL221" s="23" t="e">
        <f t="shared" ref="AL221" si="2070">AK173</f>
        <v>#DIV/0!</v>
      </c>
      <c r="AM221" s="23">
        <f t="shared" ref="AM221" si="2071">AL173</f>
        <v>0</v>
      </c>
      <c r="AN221" s="23" t="e">
        <f t="shared" ref="AN221" si="2072">AM173</f>
        <v>#DIV/0!</v>
      </c>
      <c r="AO221" s="23">
        <f t="shared" ref="AO221" si="2073">AN173</f>
        <v>0</v>
      </c>
      <c r="AP221" s="23" t="e">
        <f t="shared" ref="AP221" si="2074">AO173</f>
        <v>#DIV/0!</v>
      </c>
      <c r="AQ221" s="23">
        <f t="shared" ref="AQ221" si="2075">AP173</f>
        <v>0</v>
      </c>
      <c r="AR221" s="23" t="e">
        <f t="shared" ref="AR221" si="2076">AQ173</f>
        <v>#DIV/0!</v>
      </c>
      <c r="AS221" s="23">
        <f t="shared" ref="AS221" si="2077">AR173</f>
        <v>0</v>
      </c>
      <c r="AT221" s="23" t="e">
        <f t="shared" ref="AT221" si="2078">AS173</f>
        <v>#DIV/0!</v>
      </c>
      <c r="AU221" s="23">
        <f t="shared" ref="AU221" si="2079">AT173</f>
        <v>0</v>
      </c>
      <c r="AV221" s="23" t="e">
        <f t="shared" ref="AV221" si="2080">AU173</f>
        <v>#DIV/0!</v>
      </c>
      <c r="AW221" s="23">
        <f t="shared" ref="AW221" si="2081">AV173</f>
        <v>0</v>
      </c>
      <c r="AX221" s="23" t="e">
        <f t="shared" ref="AX221" si="2082">AW173</f>
        <v>#DIV/0!</v>
      </c>
      <c r="AY221" s="23">
        <f t="shared" ref="AY221" si="2083">AX173</f>
        <v>0</v>
      </c>
      <c r="AZ221" s="23" t="e">
        <f t="shared" ref="AZ221" si="2084">AY173</f>
        <v>#DIV/0!</v>
      </c>
      <c r="BA221" s="23">
        <f t="shared" ref="BA221" si="2085">AZ173</f>
        <v>0</v>
      </c>
      <c r="BB221" s="23" t="e">
        <f t="shared" ref="BB221" si="2086">BA173</f>
        <v>#DIV/0!</v>
      </c>
      <c r="BC221" s="23">
        <f t="shared" ref="BC221" si="2087">BB173</f>
        <v>0</v>
      </c>
      <c r="BD221" s="23" t="e">
        <f t="shared" ref="BD221" si="2088">BC173</f>
        <v>#DIV/0!</v>
      </c>
      <c r="BE221" s="23">
        <f t="shared" ref="BE221" si="2089">BD173</f>
        <v>0</v>
      </c>
      <c r="BF221" s="23" t="e">
        <f t="shared" ref="BF221" si="2090">BE173</f>
        <v>#DIV/0!</v>
      </c>
      <c r="BG221" s="23">
        <f t="shared" ref="BG221" si="2091">BF173</f>
        <v>0</v>
      </c>
      <c r="BH221" s="23">
        <f t="shared" ref="BH221" si="2092">BG173</f>
        <v>53</v>
      </c>
      <c r="BI221" s="23">
        <f t="shared" ref="BI221" si="2093">BH173</f>
        <v>0</v>
      </c>
      <c r="BJ221" s="23">
        <f t="shared" ref="BJ221" si="2094">BI173</f>
        <v>28</v>
      </c>
      <c r="BK221" s="23">
        <f t="shared" ref="BK221" si="2095">BJ173</f>
        <v>2784</v>
      </c>
      <c r="BL221" s="23">
        <f t="shared" ref="BL221" si="2096">BK173</f>
        <v>3006.5524278676985</v>
      </c>
      <c r="BM221" s="23">
        <f t="shared" ref="BM221" si="2097">BL173</f>
        <v>2017</v>
      </c>
      <c r="BN221" s="23">
        <f t="shared" ref="BN221" si="2098">BM173</f>
        <v>1977.8872987477635</v>
      </c>
      <c r="BO221" s="23">
        <f t="shared" ref="BO221" si="2099">BN173</f>
        <v>3101</v>
      </c>
      <c r="BP221" s="23">
        <f t="shared" ref="BP221" si="2100">BO173</f>
        <v>3480.6246476037049</v>
      </c>
      <c r="BQ221" s="23">
        <f t="shared" ref="BQ221" si="2101">BP173</f>
        <v>3184</v>
      </c>
      <c r="BR221" s="23">
        <f t="shared" ref="BR221" si="2102">BQ173</f>
        <v>3252.3467358408998</v>
      </c>
      <c r="BS221" s="23">
        <f t="shared" ref="BS221" si="2103">BR173</f>
        <v>3540</v>
      </c>
      <c r="BT221" s="23">
        <f t="shared" ref="BT221" si="2104">BS173</f>
        <v>3875.1123452872107</v>
      </c>
      <c r="BU221" s="23">
        <f t="shared" ref="BU221" si="2105">BT173</f>
        <v>4344</v>
      </c>
      <c r="BV221" s="23">
        <f t="shared" ref="BV221" si="2106">BU173</f>
        <v>4387.8086013173179</v>
      </c>
      <c r="BW221" s="23">
        <f t="shared" ref="BW221" si="2107">BV173</f>
        <v>4559</v>
      </c>
      <c r="BX221" s="23">
        <f t="shared" ref="BX221" si="2108">BW173</f>
        <v>4772.7230769230773</v>
      </c>
      <c r="BY221" s="23">
        <f t="shared" ref="BY221" si="2109">BX173</f>
        <v>2640</v>
      </c>
      <c r="BZ221" s="23">
        <f t="shared" ref="BZ221" si="2110">BY173</f>
        <v>2709.0636149444631</v>
      </c>
      <c r="CA221" s="23">
        <f t="shared" ref="CA221" si="2111">BZ173</f>
        <v>3220</v>
      </c>
      <c r="CB221" s="23">
        <f t="shared" ref="CB221" si="2112">CA173</f>
        <v>3414.8091954022984</v>
      </c>
      <c r="CC221" s="23">
        <f t="shared" ref="CC221" si="2113">CB173</f>
        <v>4554</v>
      </c>
      <c r="CD221" s="23">
        <f t="shared" ref="CD221" si="2114">CC173</f>
        <v>4671.5299714557568</v>
      </c>
      <c r="CE221" s="23">
        <f t="shared" ref="CE221" si="2115">CD173</f>
        <v>4454</v>
      </c>
      <c r="CF221" s="23">
        <f t="shared" ref="CF221" si="2116">CE173</f>
        <v>4712.5453912235889</v>
      </c>
      <c r="CG221" s="23">
        <f t="shared" ref="CG221" si="2117">CF173</f>
        <v>4150</v>
      </c>
      <c r="CH221" s="23">
        <f t="shared" ref="CH221:CL221" si="2118">CG173</f>
        <v>4178.966310333657</v>
      </c>
      <c r="CI221" s="23">
        <f t="shared" si="2118"/>
        <v>4602</v>
      </c>
      <c r="CJ221" s="23">
        <f t="shared" si="2118"/>
        <v>5265.838914690783</v>
      </c>
      <c r="CK221" s="23">
        <f t="shared" ref="CK221" si="2119">CJ173</f>
        <v>5033</v>
      </c>
      <c r="CL221" s="23">
        <f t="shared" si="2118"/>
        <v>5480.8308457711446</v>
      </c>
      <c r="CM221" s="24">
        <f t="shared" ref="CM221" si="2120">CL173</f>
        <v>5329</v>
      </c>
      <c r="CN221" s="24">
        <f t="shared" ref="CN221" si="2121">CM173</f>
        <v>5255.0219575420615</v>
      </c>
      <c r="CO221" s="24">
        <f t="shared" ref="CO221" si="2122">CN173</f>
        <v>5183.3158495068628</v>
      </c>
      <c r="CP221" s="24">
        <f t="shared" ref="CP221" si="2123">CO173</f>
        <v>5155.6593138141989</v>
      </c>
      <c r="CQ221" s="24">
        <f t="shared" ref="CQ221" si="2124">CP173</f>
        <v>5266.9065698502791</v>
      </c>
      <c r="CR221" s="24">
        <f t="shared" ref="CR221" si="2125">CQ173</f>
        <v>5324.6919544897501</v>
      </c>
      <c r="CS221" s="24">
        <f t="shared" ref="CS221" si="2126">CR173</f>
        <v>5351.7328601491645</v>
      </c>
      <c r="CT221" s="24">
        <f t="shared" ref="CT221" si="2127">CS173</f>
        <v>5392.984705681939</v>
      </c>
      <c r="CU221" s="24">
        <f t="shared" ref="CU221" si="2128">CT173</f>
        <v>5529.4400894153532</v>
      </c>
      <c r="CV221" s="24">
        <f t="shared" ref="CV221" si="2129">CU173</f>
        <v>5901.7717142229085</v>
      </c>
      <c r="CW221" s="24">
        <f t="shared" ref="CW221" si="2130">CV173</f>
        <v>6152.8243581102925</v>
      </c>
      <c r="CX221" s="24">
        <f t="shared" ref="CX221" si="2131">CW173</f>
        <v>6404.4461752754705</v>
      </c>
      <c r="CY221" s="24">
        <f t="shared" ref="CY221" si="2132">CX173</f>
        <v>6712.6548622088822</v>
      </c>
      <c r="CZ221" s="24">
        <f t="shared" ref="CZ221" si="2133">CY173</f>
        <v>7193.563040578696</v>
      </c>
      <c r="DA221" s="24">
        <f t="shared" ref="DA221" si="2134">CZ173</f>
        <v>7544.0024523378861</v>
      </c>
      <c r="DB221" s="24">
        <f t="shared" ref="DB221" si="2135">DA173</f>
        <v>7894.9369822389144</v>
      </c>
      <c r="DE221" s="123"/>
      <c r="DF221" s="23">
        <v>4602</v>
      </c>
    </row>
    <row r="222" spans="1:110" s="23" customFormat="1" x14ac:dyDescent="0.2">
      <c r="A222" s="23" t="s">
        <v>443</v>
      </c>
      <c r="C222" s="23">
        <f t="shared" ref="C222:W222" si="2136">C221+C217+C213+C211</f>
        <v>0</v>
      </c>
      <c r="D222" s="23">
        <f t="shared" si="2136"/>
        <v>0</v>
      </c>
      <c r="E222" s="23">
        <f t="shared" si="2136"/>
        <v>0</v>
      </c>
      <c r="F222" s="23">
        <f t="shared" si="2136"/>
        <v>0</v>
      </c>
      <c r="G222" s="23">
        <f t="shared" si="2136"/>
        <v>0</v>
      </c>
      <c r="H222" s="23">
        <f t="shared" si="2136"/>
        <v>0</v>
      </c>
      <c r="I222" s="23">
        <f t="shared" si="2136"/>
        <v>0</v>
      </c>
      <c r="J222" s="23">
        <f>J221+J217+J213+J211</f>
        <v>0</v>
      </c>
      <c r="K222" s="23">
        <f>K221+K217+K213+K211</f>
        <v>0</v>
      </c>
      <c r="L222" s="23">
        <f>L221+L217+L213+L211</f>
        <v>0</v>
      </c>
      <c r="M222" s="23">
        <f>M221+M217+M213+M211</f>
        <v>0</v>
      </c>
      <c r="N222" s="23">
        <f t="shared" si="2136"/>
        <v>0</v>
      </c>
      <c r="O222" s="23">
        <f t="shared" si="2136"/>
        <v>0</v>
      </c>
      <c r="P222" s="23">
        <f t="shared" si="2136"/>
        <v>0</v>
      </c>
      <c r="Q222" s="23">
        <f t="shared" si="2136"/>
        <v>0</v>
      </c>
      <c r="R222" s="23">
        <f t="shared" si="2136"/>
        <v>2816</v>
      </c>
      <c r="S222" s="23">
        <f t="shared" si="2136"/>
        <v>3762</v>
      </c>
      <c r="T222" s="23">
        <f t="shared" si="2136"/>
        <v>2784</v>
      </c>
      <c r="U222" s="23">
        <f t="shared" si="2136"/>
        <v>3101</v>
      </c>
      <c r="V222" s="23">
        <f t="shared" si="2136"/>
        <v>3540</v>
      </c>
      <c r="W222" s="23">
        <f t="shared" si="2136"/>
        <v>4559</v>
      </c>
      <c r="X222" s="23">
        <f t="shared" ref="X222:Y222" si="2137">X221+X217+X213+X211</f>
        <v>3220</v>
      </c>
      <c r="Y222" s="23">
        <f t="shared" si="2137"/>
        <v>4454</v>
      </c>
      <c r="Z222" s="23">
        <f t="shared" ref="Z222:AA222" si="2138">Z221+Z217+Z213+Z211</f>
        <v>4602</v>
      </c>
      <c r="AA222" s="23">
        <f t="shared" ref="AA222" si="2139">AA221+AA217+AA213+AA211</f>
        <v>5329</v>
      </c>
      <c r="AB222" s="24">
        <f t="shared" ref="AB222:AD222" si="2140">AB221+AB217+AB213+AB211</f>
        <v>5266.9065698502782</v>
      </c>
      <c r="AC222" s="24">
        <f t="shared" si="2140"/>
        <v>5529.4400894153532</v>
      </c>
      <c r="AD222" s="24">
        <f t="shared" si="2140"/>
        <v>6712.654862208884</v>
      </c>
      <c r="AE222" s="24">
        <f t="shared" ref="AE222" si="2141">AE221+AE217+AE213+AE211</f>
        <v>8307.6975271636657</v>
      </c>
      <c r="AI222" s="23">
        <f t="shared" ref="AI222" si="2142">AI221+AI217+AI213+AI211</f>
        <v>0</v>
      </c>
      <c r="AJ222" s="23">
        <f t="shared" ref="AJ222:AL222" si="2143">AJ221+AJ217+AJ213+AJ211</f>
        <v>0</v>
      </c>
      <c r="AK222" s="23" t="e">
        <f t="shared" si="2143"/>
        <v>#DIV/0!</v>
      </c>
      <c r="AL222" s="23" t="e">
        <f t="shared" si="2143"/>
        <v>#DIV/0!</v>
      </c>
      <c r="AM222" s="23" t="e">
        <f t="shared" ref="AM222" si="2144">AM221+AM217+AM213+AM211</f>
        <v>#DIV/0!</v>
      </c>
      <c r="AN222" s="23" t="e">
        <f t="shared" ref="AN222:CD222" si="2145">AN221+AN217+AN213+AN211</f>
        <v>#DIV/0!</v>
      </c>
      <c r="AO222" s="23" t="e">
        <f t="shared" si="2145"/>
        <v>#DIV/0!</v>
      </c>
      <c r="AP222" s="23" t="e">
        <f t="shared" si="2145"/>
        <v>#DIV/0!</v>
      </c>
      <c r="AQ222" s="23" t="e">
        <f t="shared" si="2145"/>
        <v>#DIV/0!</v>
      </c>
      <c r="AR222" s="23" t="e">
        <f t="shared" si="2145"/>
        <v>#DIV/0!</v>
      </c>
      <c r="AS222" s="23" t="e">
        <f t="shared" si="2145"/>
        <v>#DIV/0!</v>
      </c>
      <c r="AT222" s="23" t="e">
        <f t="shared" si="2145"/>
        <v>#DIV/0!</v>
      </c>
      <c r="AU222" s="23" t="e">
        <f t="shared" si="2145"/>
        <v>#DIV/0!</v>
      </c>
      <c r="AV222" s="23" t="e">
        <f t="shared" si="2145"/>
        <v>#DIV/0!</v>
      </c>
      <c r="AW222" s="23" t="e">
        <f t="shared" si="2145"/>
        <v>#DIV/0!</v>
      </c>
      <c r="AX222" s="23" t="e">
        <f t="shared" si="2145"/>
        <v>#DIV/0!</v>
      </c>
      <c r="AY222" s="23" t="e">
        <f t="shared" si="2145"/>
        <v>#DIV/0!</v>
      </c>
      <c r="AZ222" s="23" t="e">
        <f t="shared" si="2145"/>
        <v>#DIV/0!</v>
      </c>
      <c r="BA222" s="23" t="e">
        <f t="shared" si="2145"/>
        <v>#DIV/0!</v>
      </c>
      <c r="BB222" s="23" t="e">
        <f t="shared" si="2145"/>
        <v>#DIV/0!</v>
      </c>
      <c r="BC222" s="23" t="e">
        <f t="shared" si="2145"/>
        <v>#DIV/0!</v>
      </c>
      <c r="BD222" s="23" t="e">
        <f t="shared" si="2145"/>
        <v>#DIV/0!</v>
      </c>
      <c r="BE222" s="23" t="e">
        <f t="shared" si="2145"/>
        <v>#DIV/0!</v>
      </c>
      <c r="BF222" s="23" t="e">
        <f t="shared" si="2145"/>
        <v>#DIV/0!</v>
      </c>
      <c r="BG222" s="23">
        <f t="shared" si="2145"/>
        <v>53</v>
      </c>
      <c r="BH222" s="23">
        <f t="shared" si="2145"/>
        <v>0</v>
      </c>
      <c r="BI222" s="23">
        <f t="shared" si="2145"/>
        <v>28</v>
      </c>
      <c r="BJ222" s="23">
        <f t="shared" si="2145"/>
        <v>2784</v>
      </c>
      <c r="BK222" s="23">
        <f t="shared" si="2145"/>
        <v>3006.5524278676985</v>
      </c>
      <c r="BL222" s="23">
        <f t="shared" si="2145"/>
        <v>2017</v>
      </c>
      <c r="BM222" s="23">
        <f t="shared" si="2145"/>
        <v>1977.8872987477635</v>
      </c>
      <c r="BN222" s="23">
        <f t="shared" si="2145"/>
        <v>3101</v>
      </c>
      <c r="BO222" s="23">
        <f t="shared" si="2145"/>
        <v>3480.6246476037049</v>
      </c>
      <c r="BP222" s="23">
        <f t="shared" si="2145"/>
        <v>3184</v>
      </c>
      <c r="BQ222" s="23">
        <f t="shared" si="2145"/>
        <v>3252.3467358408998</v>
      </c>
      <c r="BR222" s="23">
        <f t="shared" si="2145"/>
        <v>3540</v>
      </c>
      <c r="BS222" s="23">
        <f t="shared" si="2145"/>
        <v>3875.1123452872107</v>
      </c>
      <c r="BT222" s="23">
        <f t="shared" si="2145"/>
        <v>4344</v>
      </c>
      <c r="BU222" s="23">
        <f t="shared" si="2145"/>
        <v>4387.8086013173179</v>
      </c>
      <c r="BV222" s="23">
        <f t="shared" si="2145"/>
        <v>4559</v>
      </c>
      <c r="BW222" s="23">
        <f t="shared" si="2145"/>
        <v>4772.7230769230773</v>
      </c>
      <c r="BX222" s="23">
        <f t="shared" si="2145"/>
        <v>2640.0000000000005</v>
      </c>
      <c r="BY222" s="23">
        <f t="shared" si="2145"/>
        <v>2709.0636149444631</v>
      </c>
      <c r="BZ222" s="23">
        <f t="shared" si="2145"/>
        <v>3220</v>
      </c>
      <c r="CA222" s="23">
        <f t="shared" si="2145"/>
        <v>3414.8091954022984</v>
      </c>
      <c r="CB222" s="23">
        <f t="shared" si="2145"/>
        <v>4554</v>
      </c>
      <c r="CC222" s="23">
        <f t="shared" si="2145"/>
        <v>4671.5299714557568</v>
      </c>
      <c r="CD222" s="23">
        <f t="shared" si="2145"/>
        <v>4454</v>
      </c>
      <c r="CE222" s="23">
        <f t="shared" ref="CE222:CF222" si="2146">CE221+CE217+CE213+CE211</f>
        <v>4712.5453912235889</v>
      </c>
      <c r="CF222" s="23">
        <f t="shared" si="2146"/>
        <v>4150</v>
      </c>
      <c r="CG222" s="23">
        <f t="shared" ref="CG222:CH222" si="2147">CG221+CG217+CG213+CG211</f>
        <v>4178.966310333657</v>
      </c>
      <c r="CH222" s="23">
        <f t="shared" si="2147"/>
        <v>4602</v>
      </c>
      <c r="CI222" s="23">
        <f t="shared" ref="CI222:CJ222" si="2148">CI221+CI217+CI213+CI211</f>
        <v>5265.838914690783</v>
      </c>
      <c r="CJ222" s="23">
        <f t="shared" si="2148"/>
        <v>5033</v>
      </c>
      <c r="CK222" s="23">
        <f t="shared" ref="CK222:DB222" si="2149">CK221+CK217+CK213+CK211</f>
        <v>5480.8308457711446</v>
      </c>
      <c r="CL222" s="23">
        <f t="shared" si="2149"/>
        <v>5329</v>
      </c>
      <c r="CM222" s="24">
        <f t="shared" si="2149"/>
        <v>5255.0219575420615</v>
      </c>
      <c r="CN222" s="24">
        <f t="shared" si="2149"/>
        <v>5183.3158495068628</v>
      </c>
      <c r="CO222" s="24">
        <f t="shared" si="2149"/>
        <v>5155.6593138141989</v>
      </c>
      <c r="CP222" s="24">
        <f t="shared" si="2149"/>
        <v>5266.9065698502791</v>
      </c>
      <c r="CQ222" s="24">
        <f t="shared" si="2149"/>
        <v>5324.6919544897501</v>
      </c>
      <c r="CR222" s="24">
        <f t="shared" si="2149"/>
        <v>5351.7328601491645</v>
      </c>
      <c r="CS222" s="24">
        <f t="shared" si="2149"/>
        <v>5392.984705681939</v>
      </c>
      <c r="CT222" s="24">
        <f t="shared" si="2149"/>
        <v>5529.4400894153532</v>
      </c>
      <c r="CU222" s="24">
        <f t="shared" si="2149"/>
        <v>5901.7717142229085</v>
      </c>
      <c r="CV222" s="24">
        <f t="shared" si="2149"/>
        <v>6152.8243581102925</v>
      </c>
      <c r="CW222" s="24">
        <f t="shared" si="2149"/>
        <v>6404.4461752754705</v>
      </c>
      <c r="CX222" s="24">
        <f t="shared" si="2149"/>
        <v>6712.6548622088822</v>
      </c>
      <c r="CY222" s="24">
        <f t="shared" si="2149"/>
        <v>7193.563040578696</v>
      </c>
      <c r="CZ222" s="24">
        <f t="shared" si="2149"/>
        <v>7544.0024523378861</v>
      </c>
      <c r="DA222" s="24">
        <f t="shared" si="2149"/>
        <v>7894.9369822389144</v>
      </c>
      <c r="DB222" s="24">
        <f t="shared" si="2149"/>
        <v>8307.6975271636693</v>
      </c>
      <c r="DE222" s="123"/>
      <c r="DF222" s="23">
        <v>5329</v>
      </c>
    </row>
    <row r="223" spans="1:110" s="28" customFormat="1" x14ac:dyDescent="0.2">
      <c r="A223" s="28" t="s">
        <v>444</v>
      </c>
      <c r="C223" s="28">
        <f t="shared" ref="C223:W223" si="2150">C222-C173</f>
        <v>0</v>
      </c>
      <c r="D223" s="28">
        <f t="shared" si="2150"/>
        <v>0</v>
      </c>
      <c r="E223" s="28">
        <f t="shared" si="2150"/>
        <v>0</v>
      </c>
      <c r="F223" s="28">
        <f t="shared" si="2150"/>
        <v>0</v>
      </c>
      <c r="G223" s="28">
        <f t="shared" si="2150"/>
        <v>0</v>
      </c>
      <c r="H223" s="28">
        <f t="shared" si="2150"/>
        <v>0</v>
      </c>
      <c r="I223" s="28">
        <f t="shared" si="2150"/>
        <v>0</v>
      </c>
      <c r="J223" s="28">
        <f>J222-J173</f>
        <v>0</v>
      </c>
      <c r="K223" s="28">
        <f t="shared" si="2150"/>
        <v>0</v>
      </c>
      <c r="L223" s="28">
        <f t="shared" si="2150"/>
        <v>0</v>
      </c>
      <c r="M223" s="28">
        <f t="shared" si="2150"/>
        <v>0</v>
      </c>
      <c r="N223" s="28">
        <f t="shared" si="2150"/>
        <v>0</v>
      </c>
      <c r="O223" s="28">
        <f t="shared" si="2150"/>
        <v>0</v>
      </c>
      <c r="P223" s="28">
        <f t="shared" si="2150"/>
        <v>0</v>
      </c>
      <c r="Q223" s="28">
        <f t="shared" si="2150"/>
        <v>0</v>
      </c>
      <c r="R223" s="28">
        <f t="shared" si="2150"/>
        <v>0</v>
      </c>
      <c r="S223" s="28">
        <f t="shared" si="2150"/>
        <v>0</v>
      </c>
      <c r="T223" s="28">
        <f t="shared" si="2150"/>
        <v>0</v>
      </c>
      <c r="U223" s="28">
        <f t="shared" si="2150"/>
        <v>0</v>
      </c>
      <c r="V223" s="28">
        <f t="shared" si="2150"/>
        <v>0</v>
      </c>
      <c r="W223" s="28">
        <f t="shared" si="2150"/>
        <v>0</v>
      </c>
      <c r="X223" s="28">
        <f t="shared" ref="X223:Y223" si="2151">X222-X173</f>
        <v>0</v>
      </c>
      <c r="Y223" s="28">
        <f t="shared" si="2151"/>
        <v>0</v>
      </c>
      <c r="Z223" s="28">
        <f t="shared" ref="Z223:AA223" si="2152">Z222-Z173</f>
        <v>0</v>
      </c>
      <c r="AA223" s="28">
        <f t="shared" ref="AA223" si="2153">AA222-AA173</f>
        <v>0</v>
      </c>
      <c r="AB223" s="30">
        <f t="shared" ref="AB223:AD223" si="2154">AB222-AB173</f>
        <v>0</v>
      </c>
      <c r="AC223" s="30">
        <f t="shared" si="2154"/>
        <v>0</v>
      </c>
      <c r="AD223" s="30">
        <f t="shared" si="2154"/>
        <v>0</v>
      </c>
      <c r="AE223" s="30">
        <f t="shared" ref="AE223" si="2155">AE222-AE173</f>
        <v>0</v>
      </c>
      <c r="AI223" s="28">
        <f t="shared" ref="AI223" si="2156">AI222-AI173</f>
        <v>0</v>
      </c>
      <c r="AJ223" s="28">
        <f t="shared" ref="AJ223:AL223" si="2157">AJ222-AJ173</f>
        <v>0</v>
      </c>
      <c r="AK223" s="28" t="e">
        <f t="shared" si="2157"/>
        <v>#DIV/0!</v>
      </c>
      <c r="AL223" s="28" t="e">
        <f t="shared" si="2157"/>
        <v>#DIV/0!</v>
      </c>
      <c r="AM223" s="28" t="e">
        <f t="shared" ref="AM223" si="2158">AM222-AM173</f>
        <v>#DIV/0!</v>
      </c>
      <c r="AN223" s="28" t="e">
        <f t="shared" ref="AN223:CD223" si="2159">AN222-AN173</f>
        <v>#DIV/0!</v>
      </c>
      <c r="AO223" s="28" t="e">
        <f t="shared" si="2159"/>
        <v>#DIV/0!</v>
      </c>
      <c r="AP223" s="28" t="e">
        <f t="shared" si="2159"/>
        <v>#DIV/0!</v>
      </c>
      <c r="AQ223" s="28" t="e">
        <f t="shared" si="2159"/>
        <v>#DIV/0!</v>
      </c>
      <c r="AR223" s="28" t="e">
        <f t="shared" si="2159"/>
        <v>#DIV/0!</v>
      </c>
      <c r="AS223" s="28" t="e">
        <f t="shared" si="2159"/>
        <v>#DIV/0!</v>
      </c>
      <c r="AT223" s="28" t="e">
        <f t="shared" si="2159"/>
        <v>#DIV/0!</v>
      </c>
      <c r="AU223" s="28" t="e">
        <f t="shared" si="2159"/>
        <v>#DIV/0!</v>
      </c>
      <c r="AV223" s="28" t="e">
        <f t="shared" si="2159"/>
        <v>#DIV/0!</v>
      </c>
      <c r="AW223" s="28" t="e">
        <f t="shared" si="2159"/>
        <v>#DIV/0!</v>
      </c>
      <c r="AX223" s="28" t="e">
        <f t="shared" si="2159"/>
        <v>#DIV/0!</v>
      </c>
      <c r="AY223" s="28" t="e">
        <f t="shared" si="2159"/>
        <v>#DIV/0!</v>
      </c>
      <c r="AZ223" s="28" t="e">
        <f t="shared" si="2159"/>
        <v>#DIV/0!</v>
      </c>
      <c r="BA223" s="28" t="e">
        <f t="shared" si="2159"/>
        <v>#DIV/0!</v>
      </c>
      <c r="BB223" s="28" t="e">
        <f t="shared" si="2159"/>
        <v>#DIV/0!</v>
      </c>
      <c r="BC223" s="28" t="e">
        <f t="shared" si="2159"/>
        <v>#DIV/0!</v>
      </c>
      <c r="BD223" s="28" t="e">
        <f t="shared" si="2159"/>
        <v>#DIV/0!</v>
      </c>
      <c r="BE223" s="28" t="e">
        <f t="shared" si="2159"/>
        <v>#DIV/0!</v>
      </c>
      <c r="BF223" s="28" t="e">
        <f t="shared" si="2159"/>
        <v>#DIV/0!</v>
      </c>
      <c r="BG223" s="28">
        <f t="shared" si="2159"/>
        <v>0</v>
      </c>
      <c r="BH223" s="28">
        <f t="shared" si="2159"/>
        <v>0</v>
      </c>
      <c r="BI223" s="28">
        <f t="shared" si="2159"/>
        <v>0</v>
      </c>
      <c r="BJ223" s="28">
        <f t="shared" si="2159"/>
        <v>0</v>
      </c>
      <c r="BK223" s="28">
        <f t="shared" si="2159"/>
        <v>0</v>
      </c>
      <c r="BL223" s="28">
        <f t="shared" si="2159"/>
        <v>0</v>
      </c>
      <c r="BM223" s="28">
        <f t="shared" si="2159"/>
        <v>0</v>
      </c>
      <c r="BN223" s="28">
        <f t="shared" si="2159"/>
        <v>0</v>
      </c>
      <c r="BO223" s="28">
        <f t="shared" si="2159"/>
        <v>0</v>
      </c>
      <c r="BP223" s="28">
        <f t="shared" si="2159"/>
        <v>0</v>
      </c>
      <c r="BQ223" s="28">
        <f t="shared" si="2159"/>
        <v>0</v>
      </c>
      <c r="BR223" s="28">
        <f t="shared" si="2159"/>
        <v>0</v>
      </c>
      <c r="BS223" s="28">
        <f t="shared" si="2159"/>
        <v>0</v>
      </c>
      <c r="BT223" s="28">
        <f t="shared" si="2159"/>
        <v>0</v>
      </c>
      <c r="BU223" s="28">
        <f t="shared" si="2159"/>
        <v>0</v>
      </c>
      <c r="BV223" s="28">
        <f t="shared" si="2159"/>
        <v>0</v>
      </c>
      <c r="BW223" s="28">
        <f t="shared" si="2159"/>
        <v>0</v>
      </c>
      <c r="BX223" s="28">
        <f t="shared" si="2159"/>
        <v>0</v>
      </c>
      <c r="BY223" s="28">
        <f t="shared" si="2159"/>
        <v>0</v>
      </c>
      <c r="BZ223" s="28">
        <f t="shared" si="2159"/>
        <v>0</v>
      </c>
      <c r="CA223" s="28">
        <f t="shared" si="2159"/>
        <v>0</v>
      </c>
      <c r="CB223" s="28">
        <f t="shared" si="2159"/>
        <v>0</v>
      </c>
      <c r="CC223" s="28">
        <f t="shared" si="2159"/>
        <v>0</v>
      </c>
      <c r="CD223" s="28">
        <f t="shared" si="2159"/>
        <v>0</v>
      </c>
      <c r="CE223" s="28">
        <f t="shared" ref="CE223:CF223" si="2160">CE222-CE173</f>
        <v>0</v>
      </c>
      <c r="CF223" s="28">
        <f t="shared" si="2160"/>
        <v>0</v>
      </c>
      <c r="CG223" s="28">
        <f t="shared" ref="CG223:CH223" si="2161">CG222-CG173</f>
        <v>0</v>
      </c>
      <c r="CH223" s="28">
        <f t="shared" si="2161"/>
        <v>0</v>
      </c>
      <c r="CI223" s="28">
        <f t="shared" ref="CI223:CJ223" si="2162">CI222-CI173</f>
        <v>0</v>
      </c>
      <c r="CJ223" s="28">
        <f t="shared" si="2162"/>
        <v>0</v>
      </c>
      <c r="CK223" s="28">
        <f t="shared" ref="CK223:DB223" si="2163">CK222-CK173</f>
        <v>0</v>
      </c>
      <c r="CL223" s="28">
        <f t="shared" si="2163"/>
        <v>0</v>
      </c>
      <c r="CM223" s="30">
        <f t="shared" si="2163"/>
        <v>0</v>
      </c>
      <c r="CN223" s="30">
        <f t="shared" si="2163"/>
        <v>0</v>
      </c>
      <c r="CO223" s="30">
        <f t="shared" si="2163"/>
        <v>0</v>
      </c>
      <c r="CP223" s="30">
        <f t="shared" si="2163"/>
        <v>0</v>
      </c>
      <c r="CQ223" s="30">
        <f t="shared" si="2163"/>
        <v>0</v>
      </c>
      <c r="CR223" s="30">
        <f t="shared" si="2163"/>
        <v>0</v>
      </c>
      <c r="CS223" s="30">
        <f t="shared" si="2163"/>
        <v>0</v>
      </c>
      <c r="CT223" s="30">
        <f t="shared" si="2163"/>
        <v>0</v>
      </c>
      <c r="CU223" s="30">
        <f t="shared" si="2163"/>
        <v>0</v>
      </c>
      <c r="CV223" s="30">
        <f t="shared" si="2163"/>
        <v>0</v>
      </c>
      <c r="CW223" s="30">
        <f t="shared" si="2163"/>
        <v>0</v>
      </c>
      <c r="CX223" s="30">
        <f t="shared" si="2163"/>
        <v>0</v>
      </c>
      <c r="CY223" s="30">
        <f t="shared" si="2163"/>
        <v>0</v>
      </c>
      <c r="CZ223" s="30">
        <f t="shared" si="2163"/>
        <v>0</v>
      </c>
      <c r="DA223" s="30">
        <f t="shared" si="2163"/>
        <v>0</v>
      </c>
      <c r="DB223" s="30">
        <f t="shared" si="2163"/>
        <v>0</v>
      </c>
      <c r="DE223" s="139"/>
      <c r="DF223" s="28">
        <v>0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96</v>
      </c>
      <c r="C225" s="22">
        <f t="shared" ref="C225:W225" si="2164">C211+C213</f>
        <v>0</v>
      </c>
      <c r="D225" s="22">
        <f t="shared" si="2164"/>
        <v>0</v>
      </c>
      <c r="E225" s="22">
        <f t="shared" si="2164"/>
        <v>0</v>
      </c>
      <c r="F225" s="22">
        <f t="shared" si="2164"/>
        <v>0</v>
      </c>
      <c r="G225" s="22">
        <f t="shared" si="2164"/>
        <v>0</v>
      </c>
      <c r="H225" s="22">
        <f t="shared" si="2164"/>
        <v>0</v>
      </c>
      <c r="I225" s="22">
        <f t="shared" si="2164"/>
        <v>0</v>
      </c>
      <c r="J225" s="22">
        <f>J211+J213</f>
        <v>0</v>
      </c>
      <c r="K225" s="22">
        <f t="shared" si="2164"/>
        <v>0</v>
      </c>
      <c r="L225" s="22">
        <f t="shared" si="2164"/>
        <v>0</v>
      </c>
      <c r="M225" s="22">
        <f t="shared" si="2164"/>
        <v>0</v>
      </c>
      <c r="N225" s="22">
        <f t="shared" si="2164"/>
        <v>0</v>
      </c>
      <c r="O225" s="22">
        <f t="shared" si="2164"/>
        <v>0</v>
      </c>
      <c r="P225" s="22">
        <f t="shared" si="2164"/>
        <v>0</v>
      </c>
      <c r="Q225" s="22">
        <f t="shared" si="2164"/>
        <v>0</v>
      </c>
      <c r="R225" s="22">
        <f t="shared" si="2164"/>
        <v>-14779</v>
      </c>
      <c r="S225" s="22">
        <f t="shared" si="2164"/>
        <v>1306</v>
      </c>
      <c r="T225" s="22">
        <f t="shared" si="2164"/>
        <v>373</v>
      </c>
      <c r="U225" s="22">
        <f t="shared" si="2164"/>
        <v>533</v>
      </c>
      <c r="V225" s="22">
        <f t="shared" si="2164"/>
        <v>1594</v>
      </c>
      <c r="W225" s="22">
        <f t="shared" si="2164"/>
        <v>-865</v>
      </c>
      <c r="X225" s="22">
        <f t="shared" ref="X225:Y225" si="2165">X211+X213</f>
        <v>-538</v>
      </c>
      <c r="Y225" s="22">
        <f t="shared" si="2165"/>
        <v>409</v>
      </c>
      <c r="Z225" s="22">
        <f t="shared" ref="Z225:AA225" si="2166">Z211+Z213</f>
        <v>-790</v>
      </c>
      <c r="AA225" s="22">
        <f t="shared" ref="AA225" si="2167">AA211+AA213</f>
        <v>-251</v>
      </c>
      <c r="AB225" s="21">
        <f t="shared" ref="AB225:AD225" si="2168">AB211+AB213</f>
        <v>-62.093430149721371</v>
      </c>
      <c r="AC225" s="21">
        <f t="shared" si="2168"/>
        <v>262.53351956507004</v>
      </c>
      <c r="AD225" s="21">
        <f t="shared" si="2168"/>
        <v>1183.2147727935271</v>
      </c>
      <c r="AE225" s="21">
        <f t="shared" ref="AE225" si="2169">AE211+AE213</f>
        <v>1595.042664954784</v>
      </c>
      <c r="AI225" s="22">
        <f t="shared" ref="AI225" si="2170">AI211+AI213</f>
        <v>0</v>
      </c>
      <c r="AJ225" s="22">
        <f t="shared" ref="AJ225:AL225" si="2171">AJ211+AJ213</f>
        <v>0</v>
      </c>
      <c r="AK225" s="22" t="e">
        <f t="shared" si="2171"/>
        <v>#DIV/0!</v>
      </c>
      <c r="AL225" s="22" t="e">
        <f t="shared" si="2171"/>
        <v>#DIV/0!</v>
      </c>
      <c r="AM225" s="22" t="e">
        <f t="shared" ref="AM225" si="2172">AM211+AM213</f>
        <v>#DIV/0!</v>
      </c>
      <c r="AN225" s="22" t="e">
        <f t="shared" ref="AN225:CD225" si="2173">AN211+AN213</f>
        <v>#DIV/0!</v>
      </c>
      <c r="AO225" s="22" t="e">
        <f t="shared" si="2173"/>
        <v>#DIV/0!</v>
      </c>
      <c r="AP225" s="22" t="e">
        <f t="shared" si="2173"/>
        <v>#DIV/0!</v>
      </c>
      <c r="AQ225" s="22" t="e">
        <f t="shared" si="2173"/>
        <v>#DIV/0!</v>
      </c>
      <c r="AR225" s="22" t="e">
        <f t="shared" si="2173"/>
        <v>#DIV/0!</v>
      </c>
      <c r="AS225" s="22" t="e">
        <f t="shared" si="2173"/>
        <v>#DIV/0!</v>
      </c>
      <c r="AT225" s="22" t="e">
        <f t="shared" si="2173"/>
        <v>#DIV/0!</v>
      </c>
      <c r="AU225" s="22" t="e">
        <f t="shared" si="2173"/>
        <v>#DIV/0!</v>
      </c>
      <c r="AV225" s="22" t="e">
        <f t="shared" si="2173"/>
        <v>#DIV/0!</v>
      </c>
      <c r="AW225" s="22" t="e">
        <f t="shared" si="2173"/>
        <v>#DIV/0!</v>
      </c>
      <c r="AX225" s="22" t="e">
        <f t="shared" si="2173"/>
        <v>#DIV/0!</v>
      </c>
      <c r="AY225" s="22" t="e">
        <f t="shared" si="2173"/>
        <v>#DIV/0!</v>
      </c>
      <c r="AZ225" s="22" t="e">
        <f t="shared" si="2173"/>
        <v>#DIV/0!</v>
      </c>
      <c r="BA225" s="22" t="e">
        <f t="shared" si="2173"/>
        <v>#DIV/0!</v>
      </c>
      <c r="BB225" s="22" t="e">
        <f t="shared" si="2173"/>
        <v>#DIV/0!</v>
      </c>
      <c r="BC225" s="22" t="e">
        <f t="shared" si="2173"/>
        <v>#DIV/0!</v>
      </c>
      <c r="BD225" s="22" t="e">
        <f t="shared" si="2173"/>
        <v>#DIV/0!</v>
      </c>
      <c r="BE225" s="22" t="e">
        <f t="shared" si="2173"/>
        <v>#DIV/0!</v>
      </c>
      <c r="BF225" s="22" t="e">
        <f t="shared" si="2173"/>
        <v>#DIV/0!</v>
      </c>
      <c r="BG225" s="22">
        <f t="shared" si="2173"/>
        <v>53</v>
      </c>
      <c r="BH225" s="22">
        <f t="shared" si="2173"/>
        <v>-1</v>
      </c>
      <c r="BI225" s="22">
        <f t="shared" si="2173"/>
        <v>28</v>
      </c>
      <c r="BJ225" s="22">
        <f t="shared" si="2173"/>
        <v>-12561</v>
      </c>
      <c r="BK225" s="22">
        <f t="shared" si="2173"/>
        <v>222.5524278676985</v>
      </c>
      <c r="BL225" s="22">
        <f t="shared" si="2173"/>
        <v>125.4475721323015</v>
      </c>
      <c r="BM225" s="22">
        <f t="shared" si="2173"/>
        <v>-39.112701252236548</v>
      </c>
      <c r="BN225" s="22">
        <f t="shared" si="2173"/>
        <v>468.11270125223655</v>
      </c>
      <c r="BO225" s="22">
        <f t="shared" si="2173"/>
        <v>379.62464760370494</v>
      </c>
      <c r="BP225" s="22">
        <f t="shared" si="2173"/>
        <v>-27.624647603704943</v>
      </c>
      <c r="BQ225" s="22">
        <f t="shared" si="2173"/>
        <v>68.346735840899782</v>
      </c>
      <c r="BR225" s="22">
        <f t="shared" si="2173"/>
        <v>34.653264159100218</v>
      </c>
      <c r="BS225" s="22">
        <f t="shared" si="2173"/>
        <v>335.1123452872107</v>
      </c>
      <c r="BT225" s="22">
        <f t="shared" si="2173"/>
        <v>-8.1123452872107009</v>
      </c>
      <c r="BU225" s="22">
        <f t="shared" si="2173"/>
        <v>43.808601317318335</v>
      </c>
      <c r="BV225" s="22">
        <f t="shared" si="2173"/>
        <v>-1234.8086013173183</v>
      </c>
      <c r="BW225" s="22">
        <f t="shared" si="2173"/>
        <v>213.72307692307686</v>
      </c>
      <c r="BX225" s="22">
        <f t="shared" si="2173"/>
        <v>-1019.7230769230769</v>
      </c>
      <c r="BY225" s="22">
        <f t="shared" si="2173"/>
        <v>69.063614944463097</v>
      </c>
      <c r="BZ225" s="22">
        <f t="shared" si="2173"/>
        <v>198.9363850555369</v>
      </c>
      <c r="CA225" s="22">
        <f t="shared" si="2173"/>
        <v>194.80919540229843</v>
      </c>
      <c r="CB225" s="22">
        <f t="shared" si="2173"/>
        <v>-512.80919540229843</v>
      </c>
      <c r="CC225" s="22">
        <f t="shared" si="2173"/>
        <v>117.52997145575682</v>
      </c>
      <c r="CD225" s="22">
        <f t="shared" si="2173"/>
        <v>609.47002854424318</v>
      </c>
      <c r="CE225" s="22">
        <f t="shared" ref="CE225:CF225" si="2174">CE211+CE213</f>
        <v>258.54539122358892</v>
      </c>
      <c r="CF225" s="22">
        <f t="shared" si="2174"/>
        <v>-1637.5453912235889</v>
      </c>
      <c r="CG225" s="22">
        <f t="shared" ref="CG225:CH225" si="2175">CG211+CG213</f>
        <v>28.96631033365702</v>
      </c>
      <c r="CH225" s="22">
        <f t="shared" si="2175"/>
        <v>560.03368966634298</v>
      </c>
      <c r="CI225" s="22">
        <f t="shared" ref="CI225:CJ225" si="2176">CI211+CI213</f>
        <v>663.83891469078299</v>
      </c>
      <c r="CJ225" s="22">
        <f t="shared" si="2176"/>
        <v>-1276.838914690783</v>
      </c>
      <c r="CK225" s="22">
        <f t="shared" ref="CK225:DB225" si="2177">CK211+CK213</f>
        <v>447.8308457711446</v>
      </c>
      <c r="CL225" s="22">
        <f t="shared" si="2177"/>
        <v>-86.830845771144595</v>
      </c>
      <c r="CM225" s="21">
        <f t="shared" si="2177"/>
        <v>-73.978042457938841</v>
      </c>
      <c r="CN225" s="21">
        <f t="shared" si="2177"/>
        <v>-71.706108035198554</v>
      </c>
      <c r="CO225" s="21">
        <f t="shared" si="2177"/>
        <v>-27.656535692664306</v>
      </c>
      <c r="CP225" s="21">
        <f t="shared" si="2177"/>
        <v>111.24725603608044</v>
      </c>
      <c r="CQ225" s="21">
        <f t="shared" si="2177"/>
        <v>57.785384639471431</v>
      </c>
      <c r="CR225" s="21">
        <f t="shared" si="2177"/>
        <v>27.04090565941442</v>
      </c>
      <c r="CS225" s="21">
        <f t="shared" si="2177"/>
        <v>41.25184553277461</v>
      </c>
      <c r="CT225" s="21">
        <f t="shared" si="2177"/>
        <v>136.45538373341469</v>
      </c>
      <c r="CU225" s="21">
        <f t="shared" si="2177"/>
        <v>372.33162480755561</v>
      </c>
      <c r="CV225" s="21">
        <f t="shared" si="2177"/>
        <v>251.05264388738385</v>
      </c>
      <c r="CW225" s="21">
        <f t="shared" si="2177"/>
        <v>251.6218171651783</v>
      </c>
      <c r="CX225" s="21">
        <f t="shared" si="2177"/>
        <v>308.20868693341163</v>
      </c>
      <c r="CY225" s="21">
        <f t="shared" si="2177"/>
        <v>480.90817836981341</v>
      </c>
      <c r="CZ225" s="21">
        <f t="shared" si="2177"/>
        <v>350.43941175918974</v>
      </c>
      <c r="DA225" s="21">
        <f t="shared" si="2177"/>
        <v>350.9345299010281</v>
      </c>
      <c r="DB225" s="21">
        <f t="shared" si="2177"/>
        <v>412.76054492475396</v>
      </c>
      <c r="DE225" s="126"/>
      <c r="DF225" s="22">
        <v>-252</v>
      </c>
    </row>
    <row r="226" spans="1:110" x14ac:dyDescent="0.2">
      <c r="A226" s="152" t="s">
        <v>496</v>
      </c>
      <c r="AA226" s="2"/>
      <c r="CL226" s="2"/>
    </row>
    <row r="227" spans="1:110" x14ac:dyDescent="0.2">
      <c r="AA227" s="2"/>
      <c r="CL227" s="2"/>
    </row>
    <row r="228" spans="1:110" s="7" customFormat="1" hidden="1" outlineLevel="1" x14ac:dyDescent="0.2">
      <c r="A228" s="61" t="s">
        <v>97</v>
      </c>
      <c r="AB228" s="77"/>
      <c r="AC228" s="77"/>
      <c r="AD228" s="77"/>
      <c r="AE228" s="77"/>
      <c r="CM228" s="50"/>
      <c r="CN228" s="50"/>
      <c r="CO228" s="50"/>
      <c r="CP228" s="50"/>
      <c r="CQ228" s="50"/>
      <c r="CR228" s="50"/>
      <c r="CS228" s="50"/>
      <c r="CT228" s="50"/>
      <c r="CU228" s="50"/>
      <c r="CV228" s="50"/>
      <c r="CW228" s="50"/>
      <c r="CX228" s="50"/>
      <c r="CY228" s="50"/>
      <c r="CZ228" s="50"/>
      <c r="DA228" s="50"/>
      <c r="DB228" s="50"/>
      <c r="DE228" s="138"/>
    </row>
    <row r="229" spans="1:110" s="62" customFormat="1" hidden="1" outlineLevel="1" x14ac:dyDescent="0.2">
      <c r="A229" s="62" t="s">
        <v>98</v>
      </c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2" t="s">
        <v>99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231" s="62" t="s">
        <v>100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11" customFormat="1" collapsed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83" customFormat="1" x14ac:dyDescent="0.2">
      <c r="A236" s="82" t="s">
        <v>101</v>
      </c>
      <c r="AB236" s="72"/>
      <c r="AC236" s="72"/>
      <c r="AD236" s="72"/>
      <c r="AE236" s="72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6" customFormat="1" x14ac:dyDescent="0.2">
      <c r="A237" s="66" t="s">
        <v>471</v>
      </c>
      <c r="AB237" s="50"/>
      <c r="AC237" s="50"/>
      <c r="AD237" s="50"/>
      <c r="AE237" s="50"/>
      <c r="AL237" s="66">
        <f t="shared" ref="AL237:BQ237" si="2178">SUM(AI22:AL22)</f>
        <v>0</v>
      </c>
      <c r="AM237" s="66">
        <f t="shared" si="2178"/>
        <v>0</v>
      </c>
      <c r="AN237" s="66">
        <f t="shared" si="2178"/>
        <v>0</v>
      </c>
      <c r="AO237" s="66">
        <f t="shared" si="2178"/>
        <v>0</v>
      </c>
      <c r="AP237" s="66">
        <f t="shared" si="2178"/>
        <v>0</v>
      </c>
      <c r="AQ237" s="66">
        <f t="shared" si="2178"/>
        <v>0</v>
      </c>
      <c r="AR237" s="66">
        <f t="shared" si="2178"/>
        <v>0</v>
      </c>
      <c r="AS237" s="66">
        <f t="shared" si="2178"/>
        <v>0</v>
      </c>
      <c r="AT237" s="66">
        <f t="shared" si="2178"/>
        <v>0</v>
      </c>
      <c r="AU237" s="66">
        <f t="shared" si="2178"/>
        <v>0</v>
      </c>
      <c r="AV237" s="66">
        <f t="shared" si="2178"/>
        <v>0</v>
      </c>
      <c r="AW237" s="66">
        <f t="shared" si="2178"/>
        <v>0</v>
      </c>
      <c r="AX237" s="66">
        <f t="shared" si="2178"/>
        <v>0</v>
      </c>
      <c r="AY237" s="66">
        <f t="shared" si="2178"/>
        <v>0</v>
      </c>
      <c r="AZ237" s="66">
        <f t="shared" si="2178"/>
        <v>0</v>
      </c>
      <c r="BA237" s="66">
        <f t="shared" si="2178"/>
        <v>0</v>
      </c>
      <c r="BB237" s="66">
        <f t="shared" si="2178"/>
        <v>0</v>
      </c>
      <c r="BC237" s="66">
        <f t="shared" si="2178"/>
        <v>0</v>
      </c>
      <c r="BD237" s="66">
        <f t="shared" si="2178"/>
        <v>0</v>
      </c>
      <c r="BE237" s="66">
        <f t="shared" si="2178"/>
        <v>2069</v>
      </c>
      <c r="BF237" s="66">
        <f t="shared" si="2178"/>
        <v>4684</v>
      </c>
      <c r="BG237" s="66">
        <f t="shared" si="2178"/>
        <v>7035</v>
      </c>
      <c r="BH237" s="66">
        <f t="shared" si="2178"/>
        <v>9092</v>
      </c>
      <c r="BI237" s="66">
        <f t="shared" si="2178"/>
        <v>9187</v>
      </c>
      <c r="BJ237" s="66">
        <f t="shared" si="2178"/>
        <v>9414</v>
      </c>
      <c r="BK237" s="66">
        <f t="shared" si="2178"/>
        <v>9600</v>
      </c>
      <c r="BL237" s="66">
        <f t="shared" si="2178"/>
        <v>9775</v>
      </c>
      <c r="BM237" s="66">
        <f t="shared" si="2178"/>
        <v>10027</v>
      </c>
      <c r="BN237" s="66">
        <f t="shared" si="2178"/>
        <v>9648</v>
      </c>
      <c r="BO237" s="66">
        <f t="shared" si="2178"/>
        <v>9012</v>
      </c>
      <c r="BP237" s="66">
        <f t="shared" si="2178"/>
        <v>9093</v>
      </c>
      <c r="BQ237" s="66">
        <f t="shared" si="2178"/>
        <v>9414</v>
      </c>
      <c r="BR237" s="66">
        <f t="shared" ref="BR237:CW237" si="2179">SUM(BO22:BR22)</f>
        <v>10102</v>
      </c>
      <c r="BS237" s="66">
        <f t="shared" si="2179"/>
        <v>10792</v>
      </c>
      <c r="BT237" s="66">
        <f t="shared" si="2179"/>
        <v>11060</v>
      </c>
      <c r="BU237" s="66">
        <f t="shared" si="2179"/>
        <v>11057</v>
      </c>
      <c r="BV237" s="66">
        <f t="shared" si="2179"/>
        <v>11286</v>
      </c>
      <c r="BW237" s="66">
        <f t="shared" si="2179"/>
        <v>11997</v>
      </c>
      <c r="BX237" s="66">
        <f t="shared" si="2179"/>
        <v>12387</v>
      </c>
      <c r="BY237" s="66">
        <f t="shared" si="2179"/>
        <v>13008</v>
      </c>
      <c r="BZ237" s="66">
        <f t="shared" si="2179"/>
        <v>13543</v>
      </c>
      <c r="CA237" s="66">
        <f t="shared" si="2179"/>
        <v>13868</v>
      </c>
      <c r="CB237" s="66">
        <f t="shared" si="2179"/>
        <v>14050</v>
      </c>
      <c r="CC237" s="66">
        <f t="shared" si="2179"/>
        <v>14299</v>
      </c>
      <c r="CD237" s="66">
        <f t="shared" si="2179"/>
        <v>14691</v>
      </c>
      <c r="CE237" s="66">
        <f t="shared" si="2179"/>
        <v>14685</v>
      </c>
      <c r="CF237" s="66">
        <f t="shared" si="2179"/>
        <v>14619</v>
      </c>
      <c r="CG237" s="66">
        <f t="shared" si="2179"/>
        <v>14196</v>
      </c>
      <c r="CH237" s="66">
        <f t="shared" si="2179"/>
        <v>13980</v>
      </c>
      <c r="CI237" s="66">
        <f t="shared" si="2179"/>
        <v>13995</v>
      </c>
      <c r="CJ237" s="66">
        <f t="shared" si="2179"/>
        <v>14325</v>
      </c>
      <c r="CK237" s="66">
        <f t="shared" si="2179"/>
        <v>14650</v>
      </c>
      <c r="CL237" s="66">
        <f t="shared" si="2179"/>
        <v>14804</v>
      </c>
      <c r="CM237" s="50">
        <f t="shared" si="2179"/>
        <v>14974.314625521143</v>
      </c>
      <c r="CN237" s="50">
        <f t="shared" si="2179"/>
        <v>15261.622289109695</v>
      </c>
      <c r="CO237" s="50">
        <f t="shared" si="2179"/>
        <v>15660.286047116295</v>
      </c>
      <c r="CP237" s="50">
        <f t="shared" si="2179"/>
        <v>16136.76294274268</v>
      </c>
      <c r="CQ237" s="50">
        <f t="shared" si="2179"/>
        <v>16360.12884964222</v>
      </c>
      <c r="CR237" s="50">
        <f t="shared" si="2179"/>
        <v>16617.319667778345</v>
      </c>
      <c r="CS237" s="50">
        <f t="shared" si="2179"/>
        <v>16903.248207694225</v>
      </c>
      <c r="CT237" s="50">
        <f t="shared" si="2179"/>
        <v>17237.242105328089</v>
      </c>
      <c r="CU237" s="50">
        <f t="shared" si="2179"/>
        <v>17511.199326401089</v>
      </c>
      <c r="CV237" s="50">
        <f t="shared" si="2179"/>
        <v>17789.856956271771</v>
      </c>
      <c r="CW237" s="50">
        <f t="shared" si="2179"/>
        <v>18085.58471025071</v>
      </c>
      <c r="CX237" s="50">
        <f t="shared" ref="CX237:DB237" si="2180">SUM(CU22:CX22)</f>
        <v>18438.99971173103</v>
      </c>
      <c r="CY237" s="50">
        <f t="shared" si="2180"/>
        <v>18738.961771720547</v>
      </c>
      <c r="CZ237" s="50">
        <f t="shared" si="2180"/>
        <v>19036.321232665417</v>
      </c>
      <c r="DA237" s="50">
        <f t="shared" si="2180"/>
        <v>19350.706217359904</v>
      </c>
      <c r="DB237" s="50">
        <f t="shared" si="2180"/>
        <v>19729.074943219206</v>
      </c>
      <c r="DE237" s="138"/>
    </row>
    <row r="238" spans="1:110" s="66" customFormat="1" x14ac:dyDescent="0.2">
      <c r="A238" s="66" t="s">
        <v>472</v>
      </c>
      <c r="AB238" s="50"/>
      <c r="AC238" s="50"/>
      <c r="AD238" s="50"/>
      <c r="AE238" s="50"/>
      <c r="AL238" s="66">
        <f t="shared" ref="AL238:BQ238" si="2181">SUM(AI40:AL40)</f>
        <v>0</v>
      </c>
      <c r="AM238" s="66">
        <f t="shared" si="2181"/>
        <v>0</v>
      </c>
      <c r="AN238" s="66">
        <f t="shared" si="2181"/>
        <v>0</v>
      </c>
      <c r="AO238" s="66">
        <f t="shared" si="2181"/>
        <v>0</v>
      </c>
      <c r="AP238" s="66">
        <f t="shared" si="2181"/>
        <v>0</v>
      </c>
      <c r="AQ238" s="66">
        <f t="shared" si="2181"/>
        <v>0</v>
      </c>
      <c r="AR238" s="66">
        <f t="shared" si="2181"/>
        <v>0</v>
      </c>
      <c r="AS238" s="66">
        <f t="shared" si="2181"/>
        <v>0</v>
      </c>
      <c r="AT238" s="66">
        <f t="shared" si="2181"/>
        <v>0</v>
      </c>
      <c r="AU238" s="66">
        <f t="shared" si="2181"/>
        <v>0</v>
      </c>
      <c r="AV238" s="66">
        <f t="shared" si="2181"/>
        <v>0</v>
      </c>
      <c r="AW238" s="66">
        <f t="shared" si="2181"/>
        <v>0</v>
      </c>
      <c r="AX238" s="66">
        <f t="shared" si="2181"/>
        <v>0</v>
      </c>
      <c r="AY238" s="66">
        <f t="shared" si="2181"/>
        <v>0</v>
      </c>
      <c r="AZ238" s="66">
        <f t="shared" si="2181"/>
        <v>0</v>
      </c>
      <c r="BA238" s="66">
        <f t="shared" si="2181"/>
        <v>0</v>
      </c>
      <c r="BB238" s="66">
        <f t="shared" si="2181"/>
        <v>0</v>
      </c>
      <c r="BC238" s="66">
        <f t="shared" si="2181"/>
        <v>0</v>
      </c>
      <c r="BD238" s="66">
        <f t="shared" si="2181"/>
        <v>0</v>
      </c>
      <c r="BE238" s="66">
        <f t="shared" si="2181"/>
        <v>478</v>
      </c>
      <c r="BF238" s="66">
        <f t="shared" si="2181"/>
        <v>1045</v>
      </c>
      <c r="BG238" s="66">
        <f t="shared" si="2181"/>
        <v>1551</v>
      </c>
      <c r="BH238" s="66">
        <f t="shared" si="2181"/>
        <v>1899</v>
      </c>
      <c r="BI238" s="66">
        <f t="shared" si="2181"/>
        <v>1801</v>
      </c>
      <c r="BJ238" s="66">
        <f t="shared" si="2181"/>
        <v>1883</v>
      </c>
      <c r="BK238" s="66">
        <f t="shared" si="2181"/>
        <v>2043</v>
      </c>
      <c r="BL238" s="66">
        <f t="shared" si="2181"/>
        <v>2166</v>
      </c>
      <c r="BM238" s="66">
        <f t="shared" si="2181"/>
        <v>2241</v>
      </c>
      <c r="BN238" s="66">
        <f t="shared" si="2181"/>
        <v>2080</v>
      </c>
      <c r="BO238" s="66">
        <f t="shared" si="2181"/>
        <v>2029</v>
      </c>
      <c r="BP238" s="66">
        <f t="shared" si="2181"/>
        <v>2256</v>
      </c>
      <c r="BQ238" s="66">
        <f t="shared" si="2181"/>
        <v>2482</v>
      </c>
      <c r="BR238" s="66">
        <f t="shared" ref="BR238:CW238" si="2182">SUM(BO40:BR40)</f>
        <v>2762</v>
      </c>
      <c r="BS238" s="66">
        <f t="shared" si="2182"/>
        <v>2860</v>
      </c>
      <c r="BT238" s="66">
        <f t="shared" si="2182"/>
        <v>2783</v>
      </c>
      <c r="BU238" s="66">
        <f t="shared" si="2182"/>
        <v>2511</v>
      </c>
      <c r="BV238" s="66">
        <f t="shared" si="2182"/>
        <v>2426</v>
      </c>
      <c r="BW238" s="66">
        <f t="shared" si="2182"/>
        <v>2299</v>
      </c>
      <c r="BX238" s="66">
        <f t="shared" si="2182"/>
        <v>2057</v>
      </c>
      <c r="BY238" s="66">
        <f t="shared" si="2182"/>
        <v>2292</v>
      </c>
      <c r="BZ238" s="66">
        <f t="shared" si="2182"/>
        <v>2319</v>
      </c>
      <c r="CA238" s="66">
        <f t="shared" si="2182"/>
        <v>2346</v>
      </c>
      <c r="CB238" s="66">
        <f t="shared" si="2182"/>
        <v>2560</v>
      </c>
      <c r="CC238" s="66">
        <f t="shared" si="2182"/>
        <v>2695</v>
      </c>
      <c r="CD238" s="66">
        <f t="shared" si="2182"/>
        <v>2639</v>
      </c>
      <c r="CE238" s="66">
        <f t="shared" si="2182"/>
        <v>2695</v>
      </c>
      <c r="CF238" s="66">
        <f t="shared" si="2182"/>
        <v>2536</v>
      </c>
      <c r="CG238" s="66">
        <f t="shared" si="2182"/>
        <v>2268</v>
      </c>
      <c r="CH238" s="66">
        <f t="shared" si="2182"/>
        <v>2407</v>
      </c>
      <c r="CI238" s="66">
        <f t="shared" si="2182"/>
        <v>2621</v>
      </c>
      <c r="CJ238" s="66">
        <f t="shared" si="2182"/>
        <v>2883</v>
      </c>
      <c r="CK238" s="66">
        <f t="shared" si="2182"/>
        <v>2974</v>
      </c>
      <c r="CL238" s="66">
        <f t="shared" si="2182"/>
        <v>3083</v>
      </c>
      <c r="CM238" s="50">
        <f t="shared" si="2182"/>
        <v>3022.5992950334357</v>
      </c>
      <c r="CN238" s="50">
        <f t="shared" si="2182"/>
        <v>3102.210694088898</v>
      </c>
      <c r="CO238" s="50">
        <f t="shared" si="2182"/>
        <v>3323.2764335861016</v>
      </c>
      <c r="CP238" s="50">
        <f t="shared" si="2182"/>
        <v>3462.7926399180978</v>
      </c>
      <c r="CQ238" s="50">
        <f t="shared" si="2182"/>
        <v>3537.5984259140737</v>
      </c>
      <c r="CR238" s="50">
        <f t="shared" si="2182"/>
        <v>3650.7762509707727</v>
      </c>
      <c r="CS238" s="50">
        <f t="shared" si="2182"/>
        <v>3783.7030162986489</v>
      </c>
      <c r="CT238" s="50">
        <f t="shared" si="2182"/>
        <v>3917.586822379451</v>
      </c>
      <c r="CU238" s="50">
        <f t="shared" si="2182"/>
        <v>3996.7680609920558</v>
      </c>
      <c r="CV238" s="50">
        <f t="shared" si="2182"/>
        <v>4074.6356436590363</v>
      </c>
      <c r="CW238" s="50">
        <f t="shared" si="2182"/>
        <v>4145.4795700162322</v>
      </c>
      <c r="CX238" s="50">
        <f t="shared" ref="CX238:DB238" si="2183">SUM(CU40:CX40)</f>
        <v>4209.0931645623732</v>
      </c>
      <c r="CY238" s="50">
        <f t="shared" si="2183"/>
        <v>4283.1053191036044</v>
      </c>
      <c r="CZ238" s="50">
        <f t="shared" si="2183"/>
        <v>4353.4305182459648</v>
      </c>
      <c r="DA238" s="50">
        <f t="shared" si="2183"/>
        <v>4424.3944382898953</v>
      </c>
      <c r="DB238" s="50">
        <f t="shared" si="2183"/>
        <v>4508.4809285377141</v>
      </c>
      <c r="DE238" s="138"/>
    </row>
    <row r="239" spans="1:110" s="66" customFormat="1" x14ac:dyDescent="0.2">
      <c r="A239" s="66" t="s">
        <v>473</v>
      </c>
      <c r="AB239" s="50"/>
      <c r="AC239" s="50"/>
      <c r="AD239" s="50"/>
      <c r="AE239" s="50"/>
      <c r="AL239" s="66">
        <f t="shared" ref="AL239:BQ239" si="2184">SUM(AI53:AL53)</f>
        <v>0</v>
      </c>
      <c r="AM239" s="66">
        <f t="shared" si="2184"/>
        <v>0</v>
      </c>
      <c r="AN239" s="66">
        <f t="shared" si="2184"/>
        <v>0</v>
      </c>
      <c r="AO239" s="66">
        <f t="shared" si="2184"/>
        <v>0</v>
      </c>
      <c r="AP239" s="66">
        <f t="shared" si="2184"/>
        <v>0</v>
      </c>
      <c r="AQ239" s="66">
        <f t="shared" si="2184"/>
        <v>0</v>
      </c>
      <c r="AR239" s="66">
        <f t="shared" si="2184"/>
        <v>0</v>
      </c>
      <c r="AS239" s="66">
        <f t="shared" si="2184"/>
        <v>0</v>
      </c>
      <c r="AT239" s="66">
        <f t="shared" si="2184"/>
        <v>0</v>
      </c>
      <c r="AU239" s="66">
        <f t="shared" si="2184"/>
        <v>0</v>
      </c>
      <c r="AV239" s="66">
        <f t="shared" si="2184"/>
        <v>0</v>
      </c>
      <c r="AW239" s="66">
        <f t="shared" si="2184"/>
        <v>0</v>
      </c>
      <c r="AX239" s="66">
        <f t="shared" si="2184"/>
        <v>0</v>
      </c>
      <c r="AY239" s="66">
        <f t="shared" si="2184"/>
        <v>0</v>
      </c>
      <c r="AZ239" s="66">
        <f t="shared" si="2184"/>
        <v>0</v>
      </c>
      <c r="BA239" s="66">
        <f t="shared" si="2184"/>
        <v>0</v>
      </c>
      <c r="BB239" s="66">
        <f t="shared" si="2184"/>
        <v>0</v>
      </c>
      <c r="BC239" s="66">
        <f t="shared" si="2184"/>
        <v>0</v>
      </c>
      <c r="BD239" s="66">
        <f t="shared" si="2184"/>
        <v>0</v>
      </c>
      <c r="BE239" s="66">
        <f t="shared" si="2184"/>
        <v>51</v>
      </c>
      <c r="BF239" s="66">
        <f t="shared" si="2184"/>
        <v>175</v>
      </c>
      <c r="BG239" s="66">
        <f t="shared" si="2184"/>
        <v>227</v>
      </c>
      <c r="BH239" s="66">
        <f t="shared" si="2184"/>
        <v>230</v>
      </c>
      <c r="BI239" s="66">
        <f t="shared" si="2184"/>
        <v>210</v>
      </c>
      <c r="BJ239" s="66">
        <f t="shared" si="2184"/>
        <v>349</v>
      </c>
      <c r="BK239" s="66">
        <f t="shared" si="2184"/>
        <v>449</v>
      </c>
      <c r="BL239" s="66">
        <f t="shared" si="2184"/>
        <v>482</v>
      </c>
      <c r="BM239" s="66">
        <f t="shared" si="2184"/>
        <v>477</v>
      </c>
      <c r="BN239" s="66">
        <f t="shared" si="2184"/>
        <v>238</v>
      </c>
      <c r="BO239" s="66">
        <f t="shared" si="2184"/>
        <v>277</v>
      </c>
      <c r="BP239" s="66">
        <f t="shared" si="2184"/>
        <v>472</v>
      </c>
      <c r="BQ239" s="66">
        <f t="shared" si="2184"/>
        <v>625</v>
      </c>
      <c r="BR239" s="66">
        <f t="shared" ref="BR239:CW239" si="2185">SUM(BO53:BR53)</f>
        <v>1241</v>
      </c>
      <c r="BS239" s="66">
        <f t="shared" si="2185"/>
        <v>1339</v>
      </c>
      <c r="BT239" s="66">
        <f t="shared" si="2185"/>
        <v>1329</v>
      </c>
      <c r="BU239" s="66">
        <f t="shared" si="2185"/>
        <v>1208</v>
      </c>
      <c r="BV239" s="66">
        <f t="shared" si="2185"/>
        <v>834</v>
      </c>
      <c r="BW239" s="66">
        <f t="shared" si="2185"/>
        <v>733</v>
      </c>
      <c r="BX239" s="66">
        <f t="shared" si="2185"/>
        <v>562</v>
      </c>
      <c r="BY239" s="66">
        <f t="shared" si="2185"/>
        <v>716</v>
      </c>
      <c r="BZ239" s="66">
        <f t="shared" si="2185"/>
        <v>673</v>
      </c>
      <c r="CA239" s="66">
        <f t="shared" si="2185"/>
        <v>629</v>
      </c>
      <c r="CB239" s="66">
        <f t="shared" si="2185"/>
        <v>703</v>
      </c>
      <c r="CC239" s="66">
        <f t="shared" si="2185"/>
        <v>757</v>
      </c>
      <c r="CD239" s="66">
        <f t="shared" si="2185"/>
        <v>854</v>
      </c>
      <c r="CE239" s="66">
        <f t="shared" si="2185"/>
        <v>968</v>
      </c>
      <c r="CF239" s="66">
        <f t="shared" si="2185"/>
        <v>893</v>
      </c>
      <c r="CG239" s="66">
        <f t="shared" si="2185"/>
        <v>693</v>
      </c>
      <c r="CH239" s="66">
        <f t="shared" si="2185"/>
        <v>812</v>
      </c>
      <c r="CI239" s="66">
        <f t="shared" si="2185"/>
        <v>933</v>
      </c>
      <c r="CJ239" s="66">
        <f t="shared" si="2185"/>
        <v>1123</v>
      </c>
      <c r="CK239" s="66">
        <f t="shared" si="2185"/>
        <v>1217</v>
      </c>
      <c r="CL239" s="66">
        <f t="shared" si="2185"/>
        <v>1183</v>
      </c>
      <c r="CM239" s="50">
        <f t="shared" si="2185"/>
        <v>1072.2074719576481</v>
      </c>
      <c r="CN239" s="50">
        <f t="shared" si="2185"/>
        <v>1061.9796713608289</v>
      </c>
      <c r="CO239" s="50">
        <f t="shared" si="2185"/>
        <v>1168.5587451522504</v>
      </c>
      <c r="CP239" s="50">
        <f t="shared" si="2185"/>
        <v>1211.2513172256317</v>
      </c>
      <c r="CQ239" s="50">
        <f t="shared" si="2185"/>
        <v>1260.7712072175157</v>
      </c>
      <c r="CR239" s="50">
        <f t="shared" si="2185"/>
        <v>1342.6360885797474</v>
      </c>
      <c r="CS239" s="50">
        <f t="shared" si="2185"/>
        <v>1439.6138054091014</v>
      </c>
      <c r="CT239" s="50">
        <f t="shared" si="2185"/>
        <v>1530.5156321810641</v>
      </c>
      <c r="CU239" s="50">
        <f t="shared" si="2185"/>
        <v>1586.6907505533729</v>
      </c>
      <c r="CV239" s="50">
        <f t="shared" si="2185"/>
        <v>1651.0734341754971</v>
      </c>
      <c r="CW239" s="50">
        <f t="shared" si="2185"/>
        <v>1716.5006983028709</v>
      </c>
      <c r="CX239" s="50">
        <f t="shared" ref="CX239:DB239" si="2186">SUM(CU53:CX53)</f>
        <v>1783.8437551098127</v>
      </c>
      <c r="CY239" s="50">
        <f t="shared" si="2186"/>
        <v>1870.4743789525894</v>
      </c>
      <c r="CZ239" s="50">
        <f t="shared" si="2186"/>
        <v>1957.4831664037486</v>
      </c>
      <c r="DA239" s="50">
        <f t="shared" si="2186"/>
        <v>2048.2838020184331</v>
      </c>
      <c r="DB239" s="50">
        <f t="shared" si="2186"/>
        <v>2153.1677164279836</v>
      </c>
      <c r="DE239" s="138"/>
    </row>
    <row r="240" spans="1:110" s="93" customFormat="1" x14ac:dyDescent="0.2"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11" customFormat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242" s="61" t="s">
        <v>339</v>
      </c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4" customFormat="1" hidden="1" outlineLevel="1" x14ac:dyDescent="0.2">
      <c r="A243" s="64" t="s">
        <v>474</v>
      </c>
      <c r="B243" s="64">
        <f t="shared" ref="B243:Z243" si="2187">B20-B249</f>
        <v>0</v>
      </c>
      <c r="C243" s="64">
        <f t="shared" si="2187"/>
        <v>0</v>
      </c>
      <c r="D243" s="64">
        <f t="shared" si="2187"/>
        <v>0</v>
      </c>
      <c r="E243" s="64">
        <f t="shared" si="2187"/>
        <v>0</v>
      </c>
      <c r="F243" s="64">
        <f t="shared" si="2187"/>
        <v>0</v>
      </c>
      <c r="G243" s="64">
        <f t="shared" si="2187"/>
        <v>0</v>
      </c>
      <c r="H243" s="64">
        <f t="shared" si="2187"/>
        <v>0</v>
      </c>
      <c r="I243" s="64">
        <f t="shared" si="2187"/>
        <v>0</v>
      </c>
      <c r="J243" s="64">
        <f t="shared" si="2187"/>
        <v>0</v>
      </c>
      <c r="K243" s="64">
        <f t="shared" si="2187"/>
        <v>0</v>
      </c>
      <c r="L243" s="64">
        <f t="shared" si="2187"/>
        <v>0</v>
      </c>
      <c r="M243" s="64">
        <f t="shared" si="2187"/>
        <v>0</v>
      </c>
      <c r="N243" s="64">
        <f t="shared" si="2187"/>
        <v>0</v>
      </c>
      <c r="O243" s="64">
        <f t="shared" si="2187"/>
        <v>0</v>
      </c>
      <c r="P243" s="64">
        <f t="shared" si="2187"/>
        <v>0</v>
      </c>
      <c r="Q243" s="64">
        <f t="shared" si="2187"/>
        <v>0</v>
      </c>
      <c r="R243" s="64">
        <f t="shared" si="2187"/>
        <v>8340</v>
      </c>
      <c r="S243" s="64">
        <f t="shared" si="2187"/>
        <v>8827</v>
      </c>
      <c r="T243" s="64">
        <f t="shared" si="2187"/>
        <v>10349</v>
      </c>
      <c r="U243" s="64">
        <f t="shared" si="2187"/>
        <v>10842</v>
      </c>
      <c r="V243" s="64">
        <f t="shared" si="2187"/>
        <v>11429</v>
      </c>
      <c r="W243" s="64">
        <f t="shared" si="2187"/>
        <v>13041</v>
      </c>
      <c r="X243" s="64">
        <f t="shared" si="2187"/>
        <v>15558</v>
      </c>
      <c r="Y243" s="64">
        <f t="shared" si="2187"/>
        <v>17192</v>
      </c>
      <c r="Z243" s="64">
        <f t="shared" si="2187"/>
        <v>17487</v>
      </c>
      <c r="AA243" s="64">
        <f t="shared" ref="AA243" si="2188">AA20-AA249</f>
        <v>18320</v>
      </c>
      <c r="AB243" s="30"/>
      <c r="AC243" s="30"/>
      <c r="AD243" s="30"/>
      <c r="AE243" s="30"/>
      <c r="AI243" s="64">
        <f t="shared" ref="AI243:BN243" si="2189">AI20-AI249</f>
        <v>0</v>
      </c>
      <c r="AJ243" s="64">
        <f t="shared" si="2189"/>
        <v>0</v>
      </c>
      <c r="AK243" s="64">
        <f t="shared" si="2189"/>
        <v>0</v>
      </c>
      <c r="AL243" s="64">
        <f t="shared" si="2189"/>
        <v>0</v>
      </c>
      <c r="AM243" s="64">
        <f t="shared" si="2189"/>
        <v>0</v>
      </c>
      <c r="AN243" s="64">
        <f t="shared" si="2189"/>
        <v>0</v>
      </c>
      <c r="AO243" s="64">
        <f t="shared" si="2189"/>
        <v>0</v>
      </c>
      <c r="AP243" s="64">
        <f t="shared" si="2189"/>
        <v>0</v>
      </c>
      <c r="AQ243" s="64">
        <f t="shared" si="2189"/>
        <v>0</v>
      </c>
      <c r="AR243" s="64">
        <f t="shared" si="2189"/>
        <v>0</v>
      </c>
      <c r="AS243" s="64">
        <f t="shared" si="2189"/>
        <v>0</v>
      </c>
      <c r="AT243" s="64">
        <f t="shared" si="2189"/>
        <v>0</v>
      </c>
      <c r="AU243" s="64">
        <f t="shared" si="2189"/>
        <v>0</v>
      </c>
      <c r="AV243" s="64">
        <f t="shared" si="2189"/>
        <v>0</v>
      </c>
      <c r="AW243" s="64">
        <f t="shared" si="2189"/>
        <v>0</v>
      </c>
      <c r="AX243" s="64">
        <f t="shared" si="2189"/>
        <v>0</v>
      </c>
      <c r="AY243" s="64">
        <f t="shared" si="2189"/>
        <v>0</v>
      </c>
      <c r="AZ243" s="64">
        <f t="shared" si="2189"/>
        <v>0</v>
      </c>
      <c r="BA243" s="64">
        <f t="shared" si="2189"/>
        <v>0</v>
      </c>
      <c r="BB243" s="64">
        <f t="shared" si="2189"/>
        <v>0</v>
      </c>
      <c r="BC243" s="64">
        <f t="shared" si="2189"/>
        <v>0</v>
      </c>
      <c r="BD243" s="64">
        <f t="shared" si="2189"/>
        <v>0</v>
      </c>
      <c r="BE243" s="64">
        <f t="shared" si="2189"/>
        <v>2069</v>
      </c>
      <c r="BF243" s="64">
        <f t="shared" si="2189"/>
        <v>2628</v>
      </c>
      <c r="BG243" s="64">
        <f t="shared" si="2189"/>
        <v>2368</v>
      </c>
      <c r="BH243" s="64">
        <f t="shared" si="2189"/>
        <v>2099</v>
      </c>
      <c r="BI243" s="64">
        <f t="shared" si="2189"/>
        <v>2164</v>
      </c>
      <c r="BJ243" s="64">
        <f t="shared" si="2189"/>
        <v>2842</v>
      </c>
      <c r="BK243" s="64">
        <f t="shared" si="2189"/>
        <v>2537</v>
      </c>
      <c r="BL243" s="64">
        <f t="shared" si="2189"/>
        <v>2236</v>
      </c>
      <c r="BM243" s="64">
        <f t="shared" si="2189"/>
        <v>2418</v>
      </c>
      <c r="BN243" s="64">
        <f t="shared" si="2189"/>
        <v>2483</v>
      </c>
      <c r="BO243" s="64">
        <f t="shared" ref="BO243:CT243" si="2190">BO20-BO249</f>
        <v>1901</v>
      </c>
      <c r="BP243" s="64">
        <f t="shared" si="2190"/>
        <v>2313</v>
      </c>
      <c r="BQ243" s="64">
        <f t="shared" si="2190"/>
        <v>2737</v>
      </c>
      <c r="BR243" s="64">
        <f t="shared" si="2190"/>
        <v>3151</v>
      </c>
      <c r="BS243" s="64">
        <f t="shared" si="2190"/>
        <v>2591</v>
      </c>
      <c r="BT243" s="64">
        <f t="shared" si="2190"/>
        <v>2581</v>
      </c>
      <c r="BU243" s="64">
        <f t="shared" si="2190"/>
        <v>2734</v>
      </c>
      <c r="BV243" s="64">
        <f t="shared" si="2190"/>
        <v>3380</v>
      </c>
      <c r="BW243" s="64">
        <f t="shared" si="2190"/>
        <v>3302</v>
      </c>
      <c r="BX243" s="64">
        <f t="shared" si="2190"/>
        <v>2971</v>
      </c>
      <c r="BY243" s="64">
        <f t="shared" si="2190"/>
        <v>3355</v>
      </c>
      <c r="BZ243" s="64">
        <f t="shared" si="2190"/>
        <v>3915</v>
      </c>
      <c r="CA243" s="64">
        <f t="shared" si="2190"/>
        <v>3627</v>
      </c>
      <c r="CB243" s="64">
        <f t="shared" si="2190"/>
        <v>3153</v>
      </c>
      <c r="CC243" s="64">
        <f t="shared" si="2190"/>
        <v>3604</v>
      </c>
      <c r="CD243" s="64">
        <f t="shared" si="2190"/>
        <v>4307</v>
      </c>
      <c r="CE243" s="64">
        <f t="shared" si="2190"/>
        <v>3621</v>
      </c>
      <c r="CF243" s="64">
        <f t="shared" si="2190"/>
        <v>3087</v>
      </c>
      <c r="CG243" s="64">
        <f t="shared" si="2190"/>
        <v>3181</v>
      </c>
      <c r="CH243" s="64">
        <f t="shared" si="2190"/>
        <v>4091</v>
      </c>
      <c r="CI243" s="64">
        <f t="shared" si="2190"/>
        <v>3636</v>
      </c>
      <c r="CJ243" s="64">
        <f t="shared" si="2190"/>
        <v>3417</v>
      </c>
      <c r="CK243" s="64">
        <f t="shared" si="2190"/>
        <v>3506</v>
      </c>
      <c r="CL243" s="64">
        <f t="shared" ref="CL243" si="2191">CL20-CL249</f>
        <v>4245</v>
      </c>
      <c r="CM243" s="30">
        <f t="shared" si="2190"/>
        <v>3806.3146255211441</v>
      </c>
      <c r="CN243" s="30">
        <f t="shared" si="2190"/>
        <v>3704.3076635885518</v>
      </c>
      <c r="CO243" s="30">
        <f t="shared" si="2190"/>
        <v>3904.6637580066003</v>
      </c>
      <c r="CP243" s="30">
        <f t="shared" si="2190"/>
        <v>4721.4768956263842</v>
      </c>
      <c r="CQ243" s="30">
        <f t="shared" si="2190"/>
        <v>4029.6805324206825</v>
      </c>
      <c r="CR243" s="30">
        <f t="shared" si="2190"/>
        <v>3961.4984817246777</v>
      </c>
      <c r="CS243" s="30">
        <f t="shared" si="2190"/>
        <v>4190.5922979224833</v>
      </c>
      <c r="CT243" s="30">
        <f t="shared" si="2190"/>
        <v>5055.470793260245</v>
      </c>
      <c r="CU243" s="30">
        <f t="shared" ref="CU243:DB243" si="2192">CU20-CU249</f>
        <v>4303.6377534936819</v>
      </c>
      <c r="CV243" s="30">
        <f t="shared" si="2192"/>
        <v>4240.1561115953618</v>
      </c>
      <c r="CW243" s="30">
        <f t="shared" si="2192"/>
        <v>4486.3200519014226</v>
      </c>
      <c r="CX243" s="30">
        <f t="shared" si="2192"/>
        <v>5408.885794740565</v>
      </c>
      <c r="CY243" s="30">
        <f t="shared" si="2192"/>
        <v>4603.5998134831989</v>
      </c>
      <c r="CZ243" s="30">
        <f t="shared" si="2192"/>
        <v>4537.515572540231</v>
      </c>
      <c r="DA243" s="30">
        <f t="shared" si="2192"/>
        <v>4800.7050365959085</v>
      </c>
      <c r="DB243" s="30">
        <f t="shared" si="2192"/>
        <v>5787.2545205998676</v>
      </c>
      <c r="DE243" s="139"/>
      <c r="DF243" s="64">
        <v>18320</v>
      </c>
    </row>
    <row r="244" spans="1:110" s="64" customFormat="1" hidden="1" outlineLevel="1" x14ac:dyDescent="0.2">
      <c r="A244" s="64" t="s">
        <v>475</v>
      </c>
      <c r="B244" s="64">
        <f t="shared" ref="B244:Z244" si="2193">B40-B250</f>
        <v>0</v>
      </c>
      <c r="C244" s="64">
        <f t="shared" si="2193"/>
        <v>0</v>
      </c>
      <c r="D244" s="64">
        <f t="shared" si="2193"/>
        <v>0</v>
      </c>
      <c r="E244" s="64">
        <f t="shared" si="2193"/>
        <v>0</v>
      </c>
      <c r="F244" s="64">
        <f t="shared" si="2193"/>
        <v>0</v>
      </c>
      <c r="G244" s="64">
        <f t="shared" si="2193"/>
        <v>0</v>
      </c>
      <c r="H244" s="64">
        <f t="shared" si="2193"/>
        <v>0</v>
      </c>
      <c r="I244" s="64">
        <f t="shared" si="2193"/>
        <v>0</v>
      </c>
      <c r="J244" s="64">
        <f t="shared" si="2193"/>
        <v>0</v>
      </c>
      <c r="K244" s="64">
        <f t="shared" si="2193"/>
        <v>0</v>
      </c>
      <c r="L244" s="64">
        <f t="shared" si="2193"/>
        <v>0</v>
      </c>
      <c r="M244" s="64">
        <f t="shared" si="2193"/>
        <v>0</v>
      </c>
      <c r="N244" s="64">
        <f t="shared" si="2193"/>
        <v>0</v>
      </c>
      <c r="O244" s="64">
        <f t="shared" si="2193"/>
        <v>0</v>
      </c>
      <c r="P244" s="64">
        <f t="shared" si="2193"/>
        <v>0</v>
      </c>
      <c r="Q244" s="64">
        <f t="shared" si="2193"/>
        <v>0</v>
      </c>
      <c r="R244" s="64">
        <f t="shared" si="2193"/>
        <v>1894</v>
      </c>
      <c r="S244" s="64">
        <f t="shared" si="2193"/>
        <v>2021</v>
      </c>
      <c r="T244" s="64">
        <f t="shared" si="2193"/>
        <v>1828</v>
      </c>
      <c r="U244" s="64">
        <f t="shared" si="2193"/>
        <v>2083</v>
      </c>
      <c r="V244" s="64">
        <f t="shared" si="2193"/>
        <v>2762</v>
      </c>
      <c r="W244" s="64">
        <f t="shared" si="2193"/>
        <v>2372</v>
      </c>
      <c r="X244" s="64">
        <f t="shared" si="2193"/>
        <v>2309</v>
      </c>
      <c r="Y244" s="64">
        <f t="shared" si="2193"/>
        <v>2637</v>
      </c>
      <c r="Z244" s="64">
        <f t="shared" si="2193"/>
        <v>2407</v>
      </c>
      <c r="AA244" s="64">
        <f t="shared" ref="AA244" si="2194">AA40-AA250</f>
        <v>3083</v>
      </c>
      <c r="AB244" s="30"/>
      <c r="AC244" s="30"/>
      <c r="AD244" s="30"/>
      <c r="AE244" s="30"/>
      <c r="AI244" s="64">
        <f t="shared" ref="AI244:BN244" si="2195">AI40-AI250</f>
        <v>0</v>
      </c>
      <c r="AJ244" s="64">
        <f t="shared" si="2195"/>
        <v>0</v>
      </c>
      <c r="AK244" s="64">
        <f t="shared" si="2195"/>
        <v>0</v>
      </c>
      <c r="AL244" s="64">
        <f t="shared" si="2195"/>
        <v>0</v>
      </c>
      <c r="AM244" s="64">
        <f t="shared" si="2195"/>
        <v>0</v>
      </c>
      <c r="AN244" s="64">
        <f t="shared" si="2195"/>
        <v>0</v>
      </c>
      <c r="AO244" s="64">
        <f t="shared" si="2195"/>
        <v>0</v>
      </c>
      <c r="AP244" s="64">
        <f t="shared" si="2195"/>
        <v>0</v>
      </c>
      <c r="AQ244" s="64">
        <f t="shared" si="2195"/>
        <v>0</v>
      </c>
      <c r="AR244" s="64">
        <f t="shared" si="2195"/>
        <v>0</v>
      </c>
      <c r="AS244" s="64">
        <f t="shared" si="2195"/>
        <v>0</v>
      </c>
      <c r="AT244" s="64">
        <f t="shared" si="2195"/>
        <v>0</v>
      </c>
      <c r="AU244" s="64">
        <f t="shared" si="2195"/>
        <v>0</v>
      </c>
      <c r="AV244" s="64">
        <f t="shared" si="2195"/>
        <v>0</v>
      </c>
      <c r="AW244" s="64">
        <f t="shared" si="2195"/>
        <v>0</v>
      </c>
      <c r="AX244" s="64">
        <f t="shared" si="2195"/>
        <v>0</v>
      </c>
      <c r="AY244" s="64">
        <f t="shared" si="2195"/>
        <v>0</v>
      </c>
      <c r="AZ244" s="64">
        <f t="shared" si="2195"/>
        <v>0</v>
      </c>
      <c r="BA244" s="64">
        <f t="shared" si="2195"/>
        <v>0</v>
      </c>
      <c r="BB244" s="64">
        <f t="shared" si="2195"/>
        <v>0</v>
      </c>
      <c r="BC244" s="64">
        <f t="shared" si="2195"/>
        <v>0</v>
      </c>
      <c r="BD244" s="64">
        <f t="shared" si="2195"/>
        <v>0</v>
      </c>
      <c r="BE244" s="64">
        <f t="shared" si="2195"/>
        <v>478</v>
      </c>
      <c r="BF244" s="64">
        <f t="shared" si="2195"/>
        <v>567</v>
      </c>
      <c r="BG244" s="64">
        <f t="shared" si="2195"/>
        <v>506</v>
      </c>
      <c r="BH244" s="64">
        <f t="shared" si="2195"/>
        <v>348</v>
      </c>
      <c r="BI244" s="64">
        <f t="shared" si="2195"/>
        <v>380</v>
      </c>
      <c r="BJ244" s="64">
        <f t="shared" si="2195"/>
        <v>649</v>
      </c>
      <c r="BK244" s="64">
        <f t="shared" si="2195"/>
        <v>666</v>
      </c>
      <c r="BL244" s="64">
        <f t="shared" si="2195"/>
        <v>471</v>
      </c>
      <c r="BM244" s="64">
        <f t="shared" si="2195"/>
        <v>455</v>
      </c>
      <c r="BN244" s="64">
        <f t="shared" si="2195"/>
        <v>488</v>
      </c>
      <c r="BO244" s="64">
        <f t="shared" ref="BO244:CT244" si="2196">BO40-BO250</f>
        <v>615</v>
      </c>
      <c r="BP244" s="64">
        <f t="shared" si="2196"/>
        <v>698</v>
      </c>
      <c r="BQ244" s="64">
        <f t="shared" si="2196"/>
        <v>681</v>
      </c>
      <c r="BR244" s="64">
        <f t="shared" si="2196"/>
        <v>768</v>
      </c>
      <c r="BS244" s="64">
        <f t="shared" si="2196"/>
        <v>713</v>
      </c>
      <c r="BT244" s="64">
        <f t="shared" si="2196"/>
        <v>621</v>
      </c>
      <c r="BU244" s="64">
        <f t="shared" si="2196"/>
        <v>409</v>
      </c>
      <c r="BV244" s="64">
        <f t="shared" si="2196"/>
        <v>683</v>
      </c>
      <c r="BW244" s="64">
        <f t="shared" si="2196"/>
        <v>586</v>
      </c>
      <c r="BX244" s="64">
        <f t="shared" si="2196"/>
        <v>379</v>
      </c>
      <c r="BY244" s="64">
        <f t="shared" si="2196"/>
        <v>644</v>
      </c>
      <c r="BZ244" s="64">
        <f t="shared" si="2196"/>
        <v>710</v>
      </c>
      <c r="CA244" s="64">
        <f t="shared" si="2196"/>
        <v>613</v>
      </c>
      <c r="CB244" s="64">
        <f t="shared" si="2196"/>
        <v>593</v>
      </c>
      <c r="CC244" s="64">
        <f t="shared" si="2196"/>
        <v>779</v>
      </c>
      <c r="CD244" s="64">
        <f t="shared" si="2196"/>
        <v>654</v>
      </c>
      <c r="CE244" s="64">
        <f t="shared" si="2196"/>
        <v>669</v>
      </c>
      <c r="CF244" s="64">
        <f t="shared" si="2196"/>
        <v>434</v>
      </c>
      <c r="CG244" s="64">
        <f t="shared" si="2196"/>
        <v>511</v>
      </c>
      <c r="CH244" s="64">
        <f t="shared" si="2196"/>
        <v>793</v>
      </c>
      <c r="CI244" s="64">
        <f t="shared" si="2196"/>
        <v>883</v>
      </c>
      <c r="CJ244" s="64">
        <f t="shared" si="2196"/>
        <v>696</v>
      </c>
      <c r="CK244" s="64">
        <f t="shared" si="2196"/>
        <v>602</v>
      </c>
      <c r="CL244" s="64">
        <f t="shared" ref="CL244" si="2197">CL40-CL250</f>
        <v>902</v>
      </c>
      <c r="CM244" s="30">
        <f t="shared" si="2196"/>
        <v>822.59929503343574</v>
      </c>
      <c r="CN244" s="30">
        <f t="shared" si="2196"/>
        <v>775.61139905546224</v>
      </c>
      <c r="CO244" s="30">
        <f t="shared" si="2196"/>
        <v>823.06573949720359</v>
      </c>
      <c r="CP244" s="30">
        <f t="shared" si="2196"/>
        <v>1041.5162063319963</v>
      </c>
      <c r="CQ244" s="30">
        <f t="shared" si="2196"/>
        <v>897.40508102941158</v>
      </c>
      <c r="CR244" s="30">
        <f t="shared" si="2196"/>
        <v>888.78922411216126</v>
      </c>
      <c r="CS244" s="30">
        <f t="shared" si="2196"/>
        <v>955.99250482507978</v>
      </c>
      <c r="CT244" s="30">
        <f t="shared" si="2196"/>
        <v>1175.4000124127983</v>
      </c>
      <c r="CU244" s="30">
        <f t="shared" ref="CU244:DB244" si="2198">CU40-CU250</f>
        <v>976.58631964201641</v>
      </c>
      <c r="CV244" s="30">
        <f t="shared" si="2198"/>
        <v>966.65680677914179</v>
      </c>
      <c r="CW244" s="30">
        <f t="shared" si="2198"/>
        <v>1026.8364311822756</v>
      </c>
      <c r="CX244" s="30">
        <f t="shared" si="2198"/>
        <v>1239.0136069589398</v>
      </c>
      <c r="CY244" s="30">
        <f t="shared" si="2198"/>
        <v>1050.5984741832467</v>
      </c>
      <c r="CZ244" s="30">
        <f t="shared" si="2198"/>
        <v>1036.9820059215022</v>
      </c>
      <c r="DA244" s="30">
        <f t="shared" si="2198"/>
        <v>1097.8003512262071</v>
      </c>
      <c r="DB244" s="30">
        <f t="shared" si="2198"/>
        <v>1323.1000972067577</v>
      </c>
      <c r="DE244" s="139"/>
      <c r="DF244" s="64">
        <v>3083</v>
      </c>
    </row>
    <row r="245" spans="1:110" s="89" customFormat="1" hidden="1" outlineLevel="1" x14ac:dyDescent="0.2">
      <c r="A245" s="86" t="s">
        <v>476</v>
      </c>
      <c r="B245" s="86" t="e">
        <f>+B244/B243</f>
        <v>#DIV/0!</v>
      </c>
      <c r="C245" s="86" t="e">
        <f t="shared" ref="C245" si="2199">+C244/C243</f>
        <v>#DIV/0!</v>
      </c>
      <c r="D245" s="86" t="e">
        <f t="shared" ref="D245" si="2200">+D244/D243</f>
        <v>#DIV/0!</v>
      </c>
      <c r="E245" s="86" t="e">
        <f t="shared" ref="E245" si="2201">+E244/E243</f>
        <v>#DIV/0!</v>
      </c>
      <c r="F245" s="86" t="e">
        <f t="shared" ref="F245" si="2202">+F244/F243</f>
        <v>#DIV/0!</v>
      </c>
      <c r="G245" s="86" t="e">
        <f t="shared" ref="G245" si="2203">+G244/G243</f>
        <v>#DIV/0!</v>
      </c>
      <c r="H245" s="86" t="e">
        <f t="shared" ref="H245" si="2204">+H244/H243</f>
        <v>#DIV/0!</v>
      </c>
      <c r="I245" s="86" t="e">
        <f t="shared" ref="I245" si="2205">+I244/I243</f>
        <v>#DIV/0!</v>
      </c>
      <c r="J245" s="86" t="e">
        <f t="shared" ref="J245" si="2206">+J244/J243</f>
        <v>#DIV/0!</v>
      </c>
      <c r="K245" s="86" t="e">
        <f t="shared" ref="K245" si="2207">+K244/K243</f>
        <v>#DIV/0!</v>
      </c>
      <c r="L245" s="86" t="e">
        <f t="shared" ref="L245" si="2208">+L244/L243</f>
        <v>#DIV/0!</v>
      </c>
      <c r="M245" s="86" t="e">
        <f t="shared" ref="M245" si="2209">+M244/M243</f>
        <v>#DIV/0!</v>
      </c>
      <c r="N245" s="86" t="e">
        <f t="shared" ref="N245" si="2210">+N244/N243</f>
        <v>#DIV/0!</v>
      </c>
      <c r="O245" s="86" t="e">
        <f t="shared" ref="O245" si="2211">+O244/O243</f>
        <v>#DIV/0!</v>
      </c>
      <c r="P245" s="86" t="e">
        <f t="shared" ref="P245" si="2212">+P244/P243</f>
        <v>#DIV/0!</v>
      </c>
      <c r="Q245" s="86" t="e">
        <f t="shared" ref="Q245" si="2213">+Q244/Q243</f>
        <v>#DIV/0!</v>
      </c>
      <c r="R245" s="86">
        <f t="shared" ref="R245" si="2214">+R244/R243</f>
        <v>0.22709832134292565</v>
      </c>
      <c r="S245" s="86">
        <f t="shared" ref="S245" si="2215">+S244/S243</f>
        <v>0.22895661039990936</v>
      </c>
      <c r="T245" s="86">
        <f t="shared" ref="T245" si="2216">+T244/T243</f>
        <v>0.17663542371243598</v>
      </c>
      <c r="U245" s="86">
        <f t="shared" ref="U245" si="2217">+U244/U243</f>
        <v>0.19212322449732522</v>
      </c>
      <c r="V245" s="86">
        <f t="shared" ref="V245" si="2218">+V244/V243</f>
        <v>0.24166593752734272</v>
      </c>
      <c r="W245" s="86">
        <f t="shared" ref="W245" si="2219">+W244/W243</f>
        <v>0.18188789203281958</v>
      </c>
      <c r="X245" s="86">
        <f t="shared" ref="X245:Y245" si="2220">+X244/X243</f>
        <v>0.14841239233834683</v>
      </c>
      <c r="Y245" s="86">
        <f t="shared" si="2220"/>
        <v>0.15338529548627269</v>
      </c>
      <c r="Z245" s="86">
        <f t="shared" ref="Z245:AA245" si="2221">+Z244/Z243</f>
        <v>0.13764510779436154</v>
      </c>
      <c r="AA245" s="86">
        <f t="shared" ref="AA245" si="2222">+AA244/AA243</f>
        <v>0.16828602620087335</v>
      </c>
      <c r="AB245" s="87"/>
      <c r="AC245" s="87"/>
      <c r="AD245" s="87"/>
      <c r="AE245" s="87"/>
      <c r="AF245" s="86"/>
      <c r="AG245" s="86"/>
      <c r="AH245" s="86"/>
      <c r="AI245" s="86" t="e">
        <f t="shared" ref="AI245" si="2223">+AI244/AI243</f>
        <v>#DIV/0!</v>
      </c>
      <c r="AJ245" s="86" t="e">
        <f t="shared" ref="AJ245" si="2224">+AJ244/AJ243</f>
        <v>#DIV/0!</v>
      </c>
      <c r="AK245" s="86" t="e">
        <f t="shared" ref="AK245" si="2225">+AK244/AK243</f>
        <v>#DIV/0!</v>
      </c>
      <c r="AL245" s="86" t="e">
        <f t="shared" ref="AL245" si="2226">+AL244/AL243</f>
        <v>#DIV/0!</v>
      </c>
      <c r="AM245" s="86" t="e">
        <f t="shared" ref="AM245" si="2227">+AM244/AM243</f>
        <v>#DIV/0!</v>
      </c>
      <c r="AN245" s="86" t="e">
        <f t="shared" ref="AN245" si="2228">+AN244/AN243</f>
        <v>#DIV/0!</v>
      </c>
      <c r="AO245" s="86" t="e">
        <f t="shared" ref="AO245" si="2229">+AO244/AO243</f>
        <v>#DIV/0!</v>
      </c>
      <c r="AP245" s="86" t="e">
        <f t="shared" ref="AP245" si="2230">+AP244/AP243</f>
        <v>#DIV/0!</v>
      </c>
      <c r="AQ245" s="86" t="e">
        <f t="shared" ref="AQ245" si="2231">+AQ244/AQ243</f>
        <v>#DIV/0!</v>
      </c>
      <c r="AR245" s="86" t="e">
        <f t="shared" ref="AR245" si="2232">+AR244/AR243</f>
        <v>#DIV/0!</v>
      </c>
      <c r="AS245" s="86" t="e">
        <f t="shared" ref="AS245" si="2233">+AS244/AS243</f>
        <v>#DIV/0!</v>
      </c>
      <c r="AT245" s="86" t="e">
        <f t="shared" ref="AT245" si="2234">+AT244/AT243</f>
        <v>#DIV/0!</v>
      </c>
      <c r="AU245" s="86" t="e">
        <f t="shared" ref="AU245" si="2235">+AU244/AU243</f>
        <v>#DIV/0!</v>
      </c>
      <c r="AV245" s="86" t="e">
        <f t="shared" ref="AV245" si="2236">+AV244/AV243</f>
        <v>#DIV/0!</v>
      </c>
      <c r="AW245" s="86" t="e">
        <f t="shared" ref="AW245" si="2237">+AW244/AW243</f>
        <v>#DIV/0!</v>
      </c>
      <c r="AX245" s="86" t="e">
        <f t="shared" ref="AX245" si="2238">+AX244/AX243</f>
        <v>#DIV/0!</v>
      </c>
      <c r="AY245" s="86" t="e">
        <f t="shared" ref="AY245" si="2239">+AY244/AY243</f>
        <v>#DIV/0!</v>
      </c>
      <c r="AZ245" s="86" t="e">
        <f t="shared" ref="AZ245" si="2240">+AZ244/AZ243</f>
        <v>#DIV/0!</v>
      </c>
      <c r="BA245" s="86" t="e">
        <f t="shared" ref="BA245" si="2241">+BA244/BA243</f>
        <v>#DIV/0!</v>
      </c>
      <c r="BB245" s="86" t="e">
        <f t="shared" ref="BB245" si="2242">+BB244/BB243</f>
        <v>#DIV/0!</v>
      </c>
      <c r="BC245" s="86" t="e">
        <f t="shared" ref="BC245" si="2243">+BC244/BC243</f>
        <v>#DIV/0!</v>
      </c>
      <c r="BD245" s="86" t="e">
        <f t="shared" ref="BD245" si="2244">+BD244/BD243</f>
        <v>#DIV/0!</v>
      </c>
      <c r="BE245" s="86">
        <f t="shared" ref="BE245" si="2245">+BE244/BE243</f>
        <v>0.23102948284195263</v>
      </c>
      <c r="BF245" s="86">
        <f t="shared" ref="BF245" si="2246">+BF244/BF243</f>
        <v>0.21575342465753425</v>
      </c>
      <c r="BG245" s="86">
        <f t="shared" ref="BG245" si="2247">+BG244/BG243</f>
        <v>0.21368243243243243</v>
      </c>
      <c r="BH245" s="86">
        <f t="shared" ref="BH245" si="2248">+BH244/BH243</f>
        <v>0.16579323487374942</v>
      </c>
      <c r="BI245" s="86">
        <f t="shared" ref="BI245" si="2249">+BI244/BI243</f>
        <v>0.1756007393715342</v>
      </c>
      <c r="BJ245" s="86">
        <f t="shared" ref="BJ245" si="2250">+BJ244/BJ243</f>
        <v>0.22836030964109783</v>
      </c>
      <c r="BK245" s="86">
        <f t="shared" ref="BK245" si="2251">+BK244/BK243</f>
        <v>0.26251478123768229</v>
      </c>
      <c r="BL245" s="86">
        <f t="shared" ref="BL245" si="2252">+BL244/BL243</f>
        <v>0.21064400715563505</v>
      </c>
      <c r="BM245" s="86">
        <f t="shared" ref="BM245" si="2253">+BM244/BM243</f>
        <v>0.18817204301075269</v>
      </c>
      <c r="BN245" s="86">
        <f t="shared" ref="BN245" si="2254">+BN244/BN243</f>
        <v>0.19653644784534838</v>
      </c>
      <c r="BO245" s="86">
        <f t="shared" ref="BO245" si="2255">+BO244/BO243</f>
        <v>0.32351394003156231</v>
      </c>
      <c r="BP245" s="86">
        <f t="shared" ref="BP245" si="2256">+BP244/BP243</f>
        <v>0.30177258971033288</v>
      </c>
      <c r="BQ245" s="86">
        <f t="shared" ref="BQ245" si="2257">+BQ244/BQ243</f>
        <v>0.24881256850566313</v>
      </c>
      <c r="BR245" s="86">
        <f t="shared" ref="BR245" si="2258">+BR244/BR243</f>
        <v>0.24373214852427802</v>
      </c>
      <c r="BS245" s="86">
        <f t="shared" ref="BS245" si="2259">+BS244/BS243</f>
        <v>0.27518332690081049</v>
      </c>
      <c r="BT245" s="86">
        <f t="shared" ref="BT245" si="2260">+BT244/BT243</f>
        <v>0.24060441689267725</v>
      </c>
      <c r="BU245" s="86">
        <f t="shared" ref="BU245" si="2261">+BU244/BU243</f>
        <v>0.14959765910753475</v>
      </c>
      <c r="BV245" s="86">
        <f t="shared" ref="BV245" si="2262">+BV244/BV243</f>
        <v>0.20207100591715976</v>
      </c>
      <c r="BW245" s="86">
        <f t="shared" ref="BW245" si="2263">+BW244/BW243</f>
        <v>0.17746820109024833</v>
      </c>
      <c r="BX245" s="86">
        <f t="shared" ref="BX245" si="2264">+BX244/BX243</f>
        <v>0.12756647593402895</v>
      </c>
      <c r="BY245" s="86">
        <f t="shared" ref="BY245" si="2265">+BY244/BY243</f>
        <v>0.19195230998509688</v>
      </c>
      <c r="BZ245" s="86">
        <f t="shared" ref="BZ245" si="2266">+BZ244/BZ243</f>
        <v>0.18135376756066413</v>
      </c>
      <c r="CA245" s="86">
        <f t="shared" ref="CA245" si="2267">+CA244/CA243</f>
        <v>0.1690102012682658</v>
      </c>
      <c r="CB245" s="86">
        <f t="shared" ref="CB245:CC245" si="2268">+CB244/CB243</f>
        <v>0.18807484934982557</v>
      </c>
      <c r="CC245" s="86">
        <f t="shared" si="2268"/>
        <v>0.21614872364039955</v>
      </c>
      <c r="CD245" s="86">
        <f t="shared" ref="CD245" si="2269">+CD244/CD243</f>
        <v>0.15184583236591595</v>
      </c>
      <c r="CE245" s="86">
        <f t="shared" ref="CE245:CF245" si="2270">+CE244/CE243</f>
        <v>0.18475559237779618</v>
      </c>
      <c r="CF245" s="86">
        <f t="shared" si="2270"/>
        <v>0.14058956916099774</v>
      </c>
      <c r="CG245" s="86">
        <f t="shared" ref="CG245:CH245" si="2271">+CG244/CG243</f>
        <v>0.16064130776485383</v>
      </c>
      <c r="CH245" s="86">
        <f t="shared" si="2271"/>
        <v>0.19384013688584698</v>
      </c>
      <c r="CI245" s="86">
        <f t="shared" ref="CI245:CJ245" si="2272">+CI244/CI243</f>
        <v>0.24284928492849284</v>
      </c>
      <c r="CJ245" s="86">
        <f t="shared" si="2272"/>
        <v>0.20368744512730466</v>
      </c>
      <c r="CK245" s="86">
        <f t="shared" ref="CK245:DB245" si="2273">+CK244/CK243</f>
        <v>0.17170564746149458</v>
      </c>
      <c r="CL245" s="86">
        <f t="shared" si="2273"/>
        <v>0.21248527679623086</v>
      </c>
      <c r="CM245" s="47">
        <f t="shared" si="2273"/>
        <v>0.21611437202745923</v>
      </c>
      <c r="CN245" s="47">
        <f t="shared" si="2273"/>
        <v>0.20938093417005429</v>
      </c>
      <c r="CO245" s="47">
        <f t="shared" si="2273"/>
        <v>0.21079042665568551</v>
      </c>
      <c r="CP245" s="47">
        <f t="shared" si="2273"/>
        <v>0.22059118986619999</v>
      </c>
      <c r="CQ245" s="47">
        <f t="shared" si="2273"/>
        <v>0.22269881540468631</v>
      </c>
      <c r="CR245" s="47">
        <f t="shared" si="2273"/>
        <v>0.22435682563362186</v>
      </c>
      <c r="CS245" s="47">
        <f t="shared" si="2273"/>
        <v>0.2281282541608784</v>
      </c>
      <c r="CT245" s="47">
        <f t="shared" si="2273"/>
        <v>0.23250060389623761</v>
      </c>
      <c r="CU245" s="47">
        <f t="shared" si="2273"/>
        <v>0.22692112477385584</v>
      </c>
      <c r="CV245" s="47">
        <f t="shared" si="2273"/>
        <v>0.22797670211614837</v>
      </c>
      <c r="CW245" s="47">
        <f t="shared" si="2273"/>
        <v>0.2288816712367801</v>
      </c>
      <c r="CX245" s="47">
        <f t="shared" si="2273"/>
        <v>0.2290700255057555</v>
      </c>
      <c r="CY245" s="47">
        <f t="shared" si="2273"/>
        <v>0.22821238090813492</v>
      </c>
      <c r="CZ245" s="47">
        <f t="shared" si="2273"/>
        <v>0.22853519494170463</v>
      </c>
      <c r="DA245" s="47">
        <f t="shared" si="2273"/>
        <v>0.22867481814809373</v>
      </c>
      <c r="DB245" s="47">
        <f t="shared" si="2273"/>
        <v>0.22862310487592208</v>
      </c>
      <c r="DE245" s="130"/>
      <c r="DF245" s="89">
        <v>0.16828602620087335</v>
      </c>
    </row>
    <row r="246" spans="1:110" s="64" customFormat="1" hidden="1" outlineLevel="1" x14ac:dyDescent="0.2">
      <c r="A246" s="64" t="s">
        <v>477</v>
      </c>
      <c r="B246" s="64">
        <f t="shared" ref="B246:Z246" si="2274">B53-B252</f>
        <v>0</v>
      </c>
      <c r="C246" s="64">
        <f t="shared" si="2274"/>
        <v>0</v>
      </c>
      <c r="D246" s="64">
        <f t="shared" si="2274"/>
        <v>0</v>
      </c>
      <c r="E246" s="64">
        <f t="shared" si="2274"/>
        <v>0</v>
      </c>
      <c r="F246" s="64">
        <f t="shared" si="2274"/>
        <v>0</v>
      </c>
      <c r="G246" s="64">
        <f t="shared" si="2274"/>
        <v>0</v>
      </c>
      <c r="H246" s="64">
        <f t="shared" si="2274"/>
        <v>0</v>
      </c>
      <c r="I246" s="64">
        <f t="shared" si="2274"/>
        <v>0</v>
      </c>
      <c r="J246" s="64">
        <f t="shared" si="2274"/>
        <v>0</v>
      </c>
      <c r="K246" s="64">
        <f t="shared" si="2274"/>
        <v>0</v>
      </c>
      <c r="L246" s="64">
        <f t="shared" si="2274"/>
        <v>0</v>
      </c>
      <c r="M246" s="64">
        <f t="shared" si="2274"/>
        <v>0</v>
      </c>
      <c r="N246" s="64">
        <f t="shared" si="2274"/>
        <v>0</v>
      </c>
      <c r="O246" s="64">
        <f t="shared" si="2274"/>
        <v>0</v>
      </c>
      <c r="P246" s="64">
        <f t="shared" si="2274"/>
        <v>0</v>
      </c>
      <c r="Q246" s="64">
        <f t="shared" si="2274"/>
        <v>0</v>
      </c>
      <c r="R246" s="64">
        <f t="shared" si="2274"/>
        <v>34</v>
      </c>
      <c r="S246" s="64">
        <f t="shared" si="2274"/>
        <v>291</v>
      </c>
      <c r="T246" s="64">
        <f t="shared" si="2274"/>
        <v>349</v>
      </c>
      <c r="U246" s="64">
        <f t="shared" si="2274"/>
        <v>238</v>
      </c>
      <c r="V246" s="64">
        <f t="shared" si="2274"/>
        <v>1220</v>
      </c>
      <c r="W246" s="64">
        <f t="shared" si="2274"/>
        <v>834</v>
      </c>
      <c r="X246" s="64">
        <f t="shared" si="2274"/>
        <v>673</v>
      </c>
      <c r="Y246" s="64">
        <f t="shared" si="2274"/>
        <v>854</v>
      </c>
      <c r="Z246" s="64">
        <f t="shared" si="2274"/>
        <v>812</v>
      </c>
      <c r="AA246" s="64">
        <f t="shared" ref="AA246" si="2275">AA53-AA252</f>
        <v>1184</v>
      </c>
      <c r="AB246" s="30"/>
      <c r="AC246" s="30"/>
      <c r="AD246" s="30"/>
      <c r="AE246" s="30"/>
      <c r="AI246" s="64">
        <f t="shared" ref="AI246:BN246" si="2276">AI53-AI252</f>
        <v>0</v>
      </c>
      <c r="AJ246" s="64">
        <f t="shared" si="2276"/>
        <v>0</v>
      </c>
      <c r="AK246" s="64">
        <f t="shared" si="2276"/>
        <v>0</v>
      </c>
      <c r="AL246" s="64">
        <f t="shared" si="2276"/>
        <v>0</v>
      </c>
      <c r="AM246" s="64">
        <f t="shared" si="2276"/>
        <v>0</v>
      </c>
      <c r="AN246" s="64">
        <f t="shared" si="2276"/>
        <v>0</v>
      </c>
      <c r="AO246" s="64">
        <f t="shared" si="2276"/>
        <v>0</v>
      </c>
      <c r="AP246" s="64">
        <f t="shared" si="2276"/>
        <v>0</v>
      </c>
      <c r="AQ246" s="64">
        <f t="shared" si="2276"/>
        <v>0</v>
      </c>
      <c r="AR246" s="64">
        <f t="shared" si="2276"/>
        <v>0</v>
      </c>
      <c r="AS246" s="64">
        <f t="shared" si="2276"/>
        <v>0</v>
      </c>
      <c r="AT246" s="64">
        <f t="shared" si="2276"/>
        <v>0</v>
      </c>
      <c r="AU246" s="64">
        <f t="shared" si="2276"/>
        <v>0</v>
      </c>
      <c r="AV246" s="64">
        <f t="shared" si="2276"/>
        <v>0</v>
      </c>
      <c r="AW246" s="64">
        <f t="shared" si="2276"/>
        <v>0</v>
      </c>
      <c r="AX246" s="64">
        <f t="shared" si="2276"/>
        <v>0</v>
      </c>
      <c r="AY246" s="64">
        <f t="shared" si="2276"/>
        <v>0</v>
      </c>
      <c r="AZ246" s="64">
        <f t="shared" si="2276"/>
        <v>0</v>
      </c>
      <c r="BA246" s="64">
        <f t="shared" si="2276"/>
        <v>0</v>
      </c>
      <c r="BB246" s="64">
        <f t="shared" si="2276"/>
        <v>0</v>
      </c>
      <c r="BC246" s="64">
        <f t="shared" si="2276"/>
        <v>0</v>
      </c>
      <c r="BD246" s="64">
        <f t="shared" si="2276"/>
        <v>0</v>
      </c>
      <c r="BE246" s="64">
        <f t="shared" si="2276"/>
        <v>51</v>
      </c>
      <c r="BF246" s="64">
        <f t="shared" si="2276"/>
        <v>124</v>
      </c>
      <c r="BG246" s="64">
        <f t="shared" si="2276"/>
        <v>52</v>
      </c>
      <c r="BH246" s="64">
        <f t="shared" si="2276"/>
        <v>3</v>
      </c>
      <c r="BI246" s="64">
        <f t="shared" si="2276"/>
        <v>31</v>
      </c>
      <c r="BJ246" s="64">
        <f t="shared" si="2276"/>
        <v>263</v>
      </c>
      <c r="BK246" s="64">
        <f t="shared" si="2276"/>
        <v>152</v>
      </c>
      <c r="BL246" s="64">
        <f t="shared" si="2276"/>
        <v>36</v>
      </c>
      <c r="BM246" s="64">
        <f t="shared" si="2276"/>
        <v>26</v>
      </c>
      <c r="BN246" s="64">
        <f t="shared" si="2276"/>
        <v>24</v>
      </c>
      <c r="BO246" s="64">
        <f t="shared" ref="BO246:CT246" si="2277">BO53-BO252</f>
        <v>191</v>
      </c>
      <c r="BP246" s="64">
        <f t="shared" si="2277"/>
        <v>231</v>
      </c>
      <c r="BQ246" s="64">
        <f t="shared" si="2277"/>
        <v>179</v>
      </c>
      <c r="BR246" s="64">
        <f t="shared" si="2277"/>
        <v>640</v>
      </c>
      <c r="BS246" s="64">
        <f t="shared" si="2277"/>
        <v>289</v>
      </c>
      <c r="BT246" s="64">
        <f t="shared" si="2277"/>
        <v>221</v>
      </c>
      <c r="BU246" s="64">
        <f t="shared" si="2277"/>
        <v>58</v>
      </c>
      <c r="BV246" s="64">
        <f t="shared" si="2277"/>
        <v>266</v>
      </c>
      <c r="BW246" s="64">
        <f t="shared" si="2277"/>
        <v>188</v>
      </c>
      <c r="BX246" s="64">
        <f t="shared" si="2277"/>
        <v>50</v>
      </c>
      <c r="BY246" s="64">
        <f t="shared" si="2277"/>
        <v>212</v>
      </c>
      <c r="BZ246" s="64">
        <f t="shared" si="2277"/>
        <v>223</v>
      </c>
      <c r="CA246" s="64">
        <f t="shared" si="2277"/>
        <v>144</v>
      </c>
      <c r="CB246" s="64">
        <f t="shared" si="2277"/>
        <v>124</v>
      </c>
      <c r="CC246" s="64">
        <f t="shared" si="2277"/>
        <v>266</v>
      </c>
      <c r="CD246" s="64">
        <f t="shared" si="2277"/>
        <v>320</v>
      </c>
      <c r="CE246" s="64">
        <f t="shared" si="2277"/>
        <v>258</v>
      </c>
      <c r="CF246" s="64">
        <f t="shared" si="2277"/>
        <v>49</v>
      </c>
      <c r="CG246" s="64">
        <f t="shared" si="2277"/>
        <v>66</v>
      </c>
      <c r="CH246" s="64">
        <f t="shared" si="2277"/>
        <v>439</v>
      </c>
      <c r="CI246" s="64">
        <f t="shared" si="2277"/>
        <v>379</v>
      </c>
      <c r="CJ246" s="64">
        <f t="shared" si="2277"/>
        <v>239</v>
      </c>
      <c r="CK246" s="64">
        <f t="shared" si="2277"/>
        <v>160</v>
      </c>
      <c r="CL246" s="64">
        <f t="shared" ref="CL246" si="2278">CL53-CL252</f>
        <v>405</v>
      </c>
      <c r="CM246" s="30">
        <f t="shared" si="2277"/>
        <v>268.20747195764812</v>
      </c>
      <c r="CN246" s="30">
        <f t="shared" si="2277"/>
        <v>228.77219940318076</v>
      </c>
      <c r="CO246" s="30">
        <f t="shared" si="2277"/>
        <v>266.57907379142142</v>
      </c>
      <c r="CP246" s="30">
        <f t="shared" si="2277"/>
        <v>447.69257207338131</v>
      </c>
      <c r="CQ246" s="30">
        <f t="shared" si="2277"/>
        <v>317.72736194953222</v>
      </c>
      <c r="CR246" s="30">
        <f t="shared" si="2277"/>
        <v>310.63708076541235</v>
      </c>
      <c r="CS246" s="30">
        <f t="shared" si="2277"/>
        <v>363.55679062077553</v>
      </c>
      <c r="CT246" s="30">
        <f t="shared" si="2277"/>
        <v>538.59439884534402</v>
      </c>
      <c r="CU246" s="30">
        <f t="shared" ref="CU246:DB246" si="2279">CU53-CU252</f>
        <v>373.90248032184104</v>
      </c>
      <c r="CV246" s="30">
        <f t="shared" si="2279"/>
        <v>375.0197643875365</v>
      </c>
      <c r="CW246" s="30">
        <f t="shared" si="2279"/>
        <v>428.98405474814916</v>
      </c>
      <c r="CX246" s="30">
        <f t="shared" si="2279"/>
        <v>605.93745565228596</v>
      </c>
      <c r="CY246" s="30">
        <f t="shared" si="2279"/>
        <v>460.53310416461773</v>
      </c>
      <c r="CZ246" s="30">
        <f t="shared" si="2279"/>
        <v>462.02855183869571</v>
      </c>
      <c r="DA246" s="30">
        <f t="shared" si="2279"/>
        <v>519.78469036283366</v>
      </c>
      <c r="DB246" s="30">
        <f t="shared" si="2279"/>
        <v>710.82137006183643</v>
      </c>
      <c r="DE246" s="139"/>
      <c r="DF246" s="64">
        <v>1184</v>
      </c>
    </row>
    <row r="247" spans="1:110" s="64" customFormat="1" hidden="1" outlineLevel="1" x14ac:dyDescent="0.2"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5" t="s">
        <v>352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4" customFormat="1" hidden="1" outlineLevel="1" x14ac:dyDescent="0.2">
      <c r="A249" s="64" t="s">
        <v>478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4" t="s">
        <v>479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89" customFormat="1" hidden="1" outlineLevel="1" x14ac:dyDescent="0.2">
      <c r="A251" s="86" t="s">
        <v>480</v>
      </c>
      <c r="B251" s="86" t="e">
        <f>+B250/B249</f>
        <v>#DIV/0!</v>
      </c>
      <c r="C251" s="86" t="e">
        <f t="shared" ref="C251:X251" si="2280">+C250/C249</f>
        <v>#DIV/0!</v>
      </c>
      <c r="D251" s="86" t="e">
        <f t="shared" si="2280"/>
        <v>#DIV/0!</v>
      </c>
      <c r="E251" s="86" t="e">
        <f t="shared" si="2280"/>
        <v>#DIV/0!</v>
      </c>
      <c r="F251" s="86" t="e">
        <f t="shared" si="2280"/>
        <v>#DIV/0!</v>
      </c>
      <c r="G251" s="86" t="e">
        <f t="shared" si="2280"/>
        <v>#DIV/0!</v>
      </c>
      <c r="H251" s="86" t="e">
        <f t="shared" si="2280"/>
        <v>#DIV/0!</v>
      </c>
      <c r="I251" s="86" t="e">
        <f t="shared" si="2280"/>
        <v>#DIV/0!</v>
      </c>
      <c r="J251" s="86" t="e">
        <f t="shared" si="2280"/>
        <v>#DIV/0!</v>
      </c>
      <c r="K251" s="86" t="e">
        <f t="shared" si="2280"/>
        <v>#DIV/0!</v>
      </c>
      <c r="L251" s="86" t="e">
        <f t="shared" si="2280"/>
        <v>#DIV/0!</v>
      </c>
      <c r="M251" s="86" t="e">
        <f t="shared" si="2280"/>
        <v>#DIV/0!</v>
      </c>
      <c r="N251" s="86" t="e">
        <f t="shared" si="2280"/>
        <v>#DIV/0!</v>
      </c>
      <c r="O251" s="86" t="e">
        <f t="shared" si="2280"/>
        <v>#DIV/0!</v>
      </c>
      <c r="P251" s="86" t="e">
        <f t="shared" si="2280"/>
        <v>#DIV/0!</v>
      </c>
      <c r="Q251" s="86" t="e">
        <f t="shared" si="2280"/>
        <v>#DIV/0!</v>
      </c>
      <c r="R251" s="86" t="e">
        <f t="shared" si="2280"/>
        <v>#DIV/0!</v>
      </c>
      <c r="S251" s="86" t="e">
        <f t="shared" si="2280"/>
        <v>#DIV/0!</v>
      </c>
      <c r="T251" s="86" t="e">
        <f t="shared" si="2280"/>
        <v>#DIV/0!</v>
      </c>
      <c r="U251" s="86" t="e">
        <f t="shared" si="2280"/>
        <v>#DIV/0!</v>
      </c>
      <c r="V251" s="86" t="e">
        <f t="shared" si="2280"/>
        <v>#DIV/0!</v>
      </c>
      <c r="W251" s="86" t="e">
        <f t="shared" si="2280"/>
        <v>#DIV/0!</v>
      </c>
      <c r="X251" s="86" t="e">
        <f t="shared" si="2280"/>
        <v>#DIV/0!</v>
      </c>
      <c r="Y251" s="86" t="e">
        <f t="shared" ref="Y251:Z251" si="2281">+Y250/Y249</f>
        <v>#DIV/0!</v>
      </c>
      <c r="Z251" s="86" t="e">
        <f t="shared" si="2281"/>
        <v>#DIV/0!</v>
      </c>
      <c r="AA251" s="86" t="e">
        <f t="shared" ref="AA251" si="2282">+AA250/AA249</f>
        <v>#DIV/0!</v>
      </c>
      <c r="AB251" s="87"/>
      <c r="AC251" s="87"/>
      <c r="AD251" s="87"/>
      <c r="AE251" s="87"/>
      <c r="AF251" s="86"/>
      <c r="AG251" s="86"/>
      <c r="AH251" s="86"/>
      <c r="AI251" s="86" t="e">
        <f t="shared" ref="AI251" si="2283">+AI250/AI249</f>
        <v>#DIV/0!</v>
      </c>
      <c r="AJ251" s="86" t="e">
        <f t="shared" ref="AJ251" si="2284">+AJ250/AJ249</f>
        <v>#DIV/0!</v>
      </c>
      <c r="AK251" s="86" t="e">
        <f t="shared" ref="AK251" si="2285">+AK250/AK249</f>
        <v>#DIV/0!</v>
      </c>
      <c r="AL251" s="86" t="e">
        <f t="shared" ref="AL251" si="2286">+AL250/AL249</f>
        <v>#DIV/0!</v>
      </c>
      <c r="AM251" s="86" t="e">
        <f t="shared" ref="AM251" si="2287">+AM250/AM249</f>
        <v>#DIV/0!</v>
      </c>
      <c r="AN251" s="86" t="e">
        <f t="shared" ref="AN251" si="2288">+AN250/AN249</f>
        <v>#DIV/0!</v>
      </c>
      <c r="AO251" s="86" t="e">
        <f t="shared" ref="AO251" si="2289">+AO250/AO249</f>
        <v>#DIV/0!</v>
      </c>
      <c r="AP251" s="86" t="e">
        <f t="shared" ref="AP251" si="2290">+AP250/AP249</f>
        <v>#DIV/0!</v>
      </c>
      <c r="AQ251" s="86" t="e">
        <f t="shared" ref="AQ251" si="2291">+AQ250/AQ249</f>
        <v>#DIV/0!</v>
      </c>
      <c r="AR251" s="86" t="e">
        <f t="shared" ref="AR251" si="2292">+AR250/AR249</f>
        <v>#DIV/0!</v>
      </c>
      <c r="AS251" s="86" t="e">
        <f t="shared" ref="AS251" si="2293">+AS250/AS249</f>
        <v>#DIV/0!</v>
      </c>
      <c r="AT251" s="86" t="e">
        <f t="shared" ref="AT251" si="2294">+AT250/AT249</f>
        <v>#DIV/0!</v>
      </c>
      <c r="AU251" s="86" t="e">
        <f t="shared" ref="AU251" si="2295">+AU250/AU249</f>
        <v>#DIV/0!</v>
      </c>
      <c r="AV251" s="86" t="e">
        <f t="shared" ref="AV251" si="2296">+AV250/AV249</f>
        <v>#DIV/0!</v>
      </c>
      <c r="AW251" s="86" t="e">
        <f t="shared" ref="AW251" si="2297">+AW250/AW249</f>
        <v>#DIV/0!</v>
      </c>
      <c r="AX251" s="86" t="e">
        <f t="shared" ref="AX251" si="2298">+AX250/AX249</f>
        <v>#DIV/0!</v>
      </c>
      <c r="AY251" s="86" t="e">
        <f t="shared" ref="AY251" si="2299">+AY250/AY249</f>
        <v>#DIV/0!</v>
      </c>
      <c r="AZ251" s="86" t="e">
        <f t="shared" ref="AZ251" si="2300">+AZ250/AZ249</f>
        <v>#DIV/0!</v>
      </c>
      <c r="BA251" s="86" t="e">
        <f t="shared" ref="BA251" si="2301">+BA250/BA249</f>
        <v>#DIV/0!</v>
      </c>
      <c r="BB251" s="86" t="e">
        <f t="shared" ref="BB251" si="2302">+BB250/BB249</f>
        <v>#DIV/0!</v>
      </c>
      <c r="BC251" s="86" t="e">
        <f t="shared" ref="BC251" si="2303">+BC250/BC249</f>
        <v>#DIV/0!</v>
      </c>
      <c r="BD251" s="86" t="e">
        <f t="shared" ref="BD251" si="2304">+BD250/BD249</f>
        <v>#DIV/0!</v>
      </c>
      <c r="BE251" s="86" t="e">
        <f t="shared" ref="BE251" si="2305">+BE250/BE249</f>
        <v>#DIV/0!</v>
      </c>
      <c r="BF251" s="86" t="e">
        <f t="shared" ref="BF251" si="2306">+BF250/BF249</f>
        <v>#DIV/0!</v>
      </c>
      <c r="BG251" s="86" t="e">
        <f t="shared" ref="BG251" si="2307">+BG250/BG249</f>
        <v>#DIV/0!</v>
      </c>
      <c r="BH251" s="86" t="e">
        <f t="shared" ref="BH251" si="2308">+BH250/BH249</f>
        <v>#DIV/0!</v>
      </c>
      <c r="BI251" s="86" t="e">
        <f t="shared" ref="BI251" si="2309">+BI250/BI249</f>
        <v>#DIV/0!</v>
      </c>
      <c r="BJ251" s="86" t="e">
        <f t="shared" ref="BJ251" si="2310">+BJ250/BJ249</f>
        <v>#DIV/0!</v>
      </c>
      <c r="BK251" s="86" t="e">
        <f t="shared" ref="BK251" si="2311">+BK250/BK249</f>
        <v>#DIV/0!</v>
      </c>
      <c r="BL251" s="86" t="e">
        <f t="shared" ref="BL251" si="2312">+BL250/BL249</f>
        <v>#DIV/0!</v>
      </c>
      <c r="BM251" s="86" t="e">
        <f t="shared" ref="BM251" si="2313">+BM250/BM249</f>
        <v>#DIV/0!</v>
      </c>
      <c r="BN251" s="86" t="e">
        <f t="shared" ref="BN251" si="2314">+BN250/BN249</f>
        <v>#DIV/0!</v>
      </c>
      <c r="BO251" s="86" t="e">
        <f t="shared" ref="BO251" si="2315">+BO250/BO249</f>
        <v>#DIV/0!</v>
      </c>
      <c r="BP251" s="86" t="e">
        <f t="shared" ref="BP251" si="2316">+BP250/BP249</f>
        <v>#DIV/0!</v>
      </c>
      <c r="BQ251" s="86" t="e">
        <f t="shared" ref="BQ251" si="2317">+BQ250/BQ249</f>
        <v>#DIV/0!</v>
      </c>
      <c r="BR251" s="86" t="e">
        <f t="shared" ref="BR251" si="2318">+BR250/BR249</f>
        <v>#DIV/0!</v>
      </c>
      <c r="BS251" s="86" t="e">
        <f t="shared" ref="BS251" si="2319">+BS250/BS249</f>
        <v>#DIV/0!</v>
      </c>
      <c r="BT251" s="86" t="e">
        <f t="shared" ref="BT251" si="2320">+BT250/BT249</f>
        <v>#DIV/0!</v>
      </c>
      <c r="BU251" s="86" t="e">
        <f t="shared" ref="BU251" si="2321">+BU250/BU249</f>
        <v>#DIV/0!</v>
      </c>
      <c r="BV251" s="86" t="e">
        <f t="shared" ref="BV251" si="2322">+BV250/BV249</f>
        <v>#DIV/0!</v>
      </c>
      <c r="BW251" s="86" t="e">
        <f t="shared" ref="BW251" si="2323">+BW250/BW249</f>
        <v>#DIV/0!</v>
      </c>
      <c r="BX251" s="86" t="e">
        <f t="shared" ref="BX251" si="2324">+BX250/BX249</f>
        <v>#DIV/0!</v>
      </c>
      <c r="BY251" s="86" t="e">
        <f t="shared" ref="BY251" si="2325">+BY250/BY249</f>
        <v>#DIV/0!</v>
      </c>
      <c r="BZ251" s="86" t="e">
        <f t="shared" ref="BZ251" si="2326">+BZ250/BZ249</f>
        <v>#DIV/0!</v>
      </c>
      <c r="CA251" s="86" t="e">
        <f t="shared" ref="CA251" si="2327">+CA250/CA249</f>
        <v>#DIV/0!</v>
      </c>
      <c r="CB251" s="86" t="e">
        <f t="shared" ref="CB251:CC251" si="2328">+CB250/CB249</f>
        <v>#DIV/0!</v>
      </c>
      <c r="CC251" s="86" t="e">
        <f t="shared" si="2328"/>
        <v>#DIV/0!</v>
      </c>
      <c r="CD251" s="86" t="e">
        <f t="shared" ref="CD251" si="2329">+CD250/CD249</f>
        <v>#DIV/0!</v>
      </c>
      <c r="CE251" s="86" t="e">
        <f t="shared" ref="CE251:CF251" si="2330">+CE250/CE249</f>
        <v>#DIV/0!</v>
      </c>
      <c r="CF251" s="86" t="e">
        <f t="shared" si="2330"/>
        <v>#DIV/0!</v>
      </c>
      <c r="CG251" s="86" t="e">
        <f t="shared" ref="CG251:CH251" si="2331">+CG250/CG249</f>
        <v>#DIV/0!</v>
      </c>
      <c r="CH251" s="86" t="e">
        <f t="shared" si="2331"/>
        <v>#DIV/0!</v>
      </c>
      <c r="CI251" s="86" t="e">
        <f t="shared" ref="CI251:CJ251" si="2332">+CI250/CI249</f>
        <v>#DIV/0!</v>
      </c>
      <c r="CJ251" s="86" t="e">
        <f t="shared" si="2332"/>
        <v>#DIV/0!</v>
      </c>
      <c r="CK251" s="86" t="e">
        <f t="shared" ref="CK251:DB251" si="2333">+CK250/CK249</f>
        <v>#DIV/0!</v>
      </c>
      <c r="CL251" s="86" t="e">
        <f t="shared" si="2333"/>
        <v>#DIV/0!</v>
      </c>
      <c r="CM251" s="47" t="e">
        <f t="shared" si="2333"/>
        <v>#DIV/0!</v>
      </c>
      <c r="CN251" s="47" t="e">
        <f t="shared" si="2333"/>
        <v>#DIV/0!</v>
      </c>
      <c r="CO251" s="47" t="e">
        <f t="shared" si="2333"/>
        <v>#DIV/0!</v>
      </c>
      <c r="CP251" s="47" t="e">
        <f t="shared" si="2333"/>
        <v>#DIV/0!</v>
      </c>
      <c r="CQ251" s="47" t="e">
        <f t="shared" si="2333"/>
        <v>#DIV/0!</v>
      </c>
      <c r="CR251" s="47" t="e">
        <f t="shared" si="2333"/>
        <v>#DIV/0!</v>
      </c>
      <c r="CS251" s="47" t="e">
        <f t="shared" si="2333"/>
        <v>#DIV/0!</v>
      </c>
      <c r="CT251" s="47" t="e">
        <f t="shared" si="2333"/>
        <v>#DIV/0!</v>
      </c>
      <c r="CU251" s="47" t="e">
        <f t="shared" si="2333"/>
        <v>#DIV/0!</v>
      </c>
      <c r="CV251" s="47" t="e">
        <f t="shared" si="2333"/>
        <v>#DIV/0!</v>
      </c>
      <c r="CW251" s="47" t="e">
        <f t="shared" si="2333"/>
        <v>#DIV/0!</v>
      </c>
      <c r="CX251" s="47" t="e">
        <f t="shared" si="2333"/>
        <v>#DIV/0!</v>
      </c>
      <c r="CY251" s="47" t="e">
        <f t="shared" si="2333"/>
        <v>#DIV/0!</v>
      </c>
      <c r="CZ251" s="47" t="e">
        <f t="shared" si="2333"/>
        <v>#DIV/0!</v>
      </c>
      <c r="DA251" s="47" t="e">
        <f t="shared" si="2333"/>
        <v>#DIV/0!</v>
      </c>
      <c r="DB251" s="47" t="e">
        <f t="shared" si="2333"/>
        <v>#DIV/0!</v>
      </c>
      <c r="DE251" s="130"/>
    </row>
    <row r="252" spans="1:110" s="64" customFormat="1" hidden="1" outlineLevel="1" x14ac:dyDescent="0.2">
      <c r="A252" s="64" t="s">
        <v>481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11" customFormat="1" collapsed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2" customFormat="1" x14ac:dyDescent="0.2">
      <c r="A255" s="154" t="s">
        <v>497</v>
      </c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63"/>
      <c r="AC255" s="63"/>
      <c r="AD255" s="63"/>
      <c r="AE255" s="63"/>
      <c r="AL255" s="180"/>
      <c r="CF255" s="180"/>
      <c r="CG255" s="180"/>
      <c r="CH255" s="180"/>
      <c r="CI255" s="180"/>
      <c r="CJ255" s="180"/>
      <c r="CK255" s="180"/>
      <c r="CL255" s="18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84" customFormat="1" x14ac:dyDescent="0.2">
      <c r="A256" s="84" t="s">
        <v>512</v>
      </c>
      <c r="B256" s="84" t="e">
        <f>B20/B177</f>
        <v>#DIV/0!</v>
      </c>
      <c r="C256" s="84" t="e">
        <f>C20/C177</f>
        <v>#DIV/0!</v>
      </c>
      <c r="D256" s="84" t="e">
        <f>D20/D177</f>
        <v>#DIV/0!</v>
      </c>
      <c r="E256" s="84" t="e">
        <f t="shared" ref="E256:Y256" si="2334">E22/(E173+E160+E150)</f>
        <v>#DIV/0!</v>
      </c>
      <c r="F256" s="84" t="e">
        <f t="shared" si="2334"/>
        <v>#DIV/0!</v>
      </c>
      <c r="G256" s="84" t="e">
        <f t="shared" si="2334"/>
        <v>#DIV/0!</v>
      </c>
      <c r="H256" s="84" t="e">
        <f t="shared" si="2334"/>
        <v>#DIV/0!</v>
      </c>
      <c r="I256" s="84" t="e">
        <f t="shared" si="2334"/>
        <v>#DIV/0!</v>
      </c>
      <c r="J256" s="84" t="e">
        <f t="shared" si="2334"/>
        <v>#DIV/0!</v>
      </c>
      <c r="K256" s="84" t="e">
        <f t="shared" si="2334"/>
        <v>#DIV/0!</v>
      </c>
      <c r="L256" s="84" t="e">
        <f t="shared" si="2334"/>
        <v>#DIV/0!</v>
      </c>
      <c r="M256" s="84" t="e">
        <f t="shared" si="2334"/>
        <v>#DIV/0!</v>
      </c>
      <c r="N256" s="84" t="e">
        <f t="shared" si="2334"/>
        <v>#DIV/0!</v>
      </c>
      <c r="O256" s="84" t="e">
        <f t="shared" si="2334"/>
        <v>#DIV/0!</v>
      </c>
      <c r="P256" s="84" t="e">
        <f t="shared" si="2334"/>
        <v>#DIV/0!</v>
      </c>
      <c r="Q256" s="84" t="e">
        <f t="shared" si="2334"/>
        <v>#DIV/0!</v>
      </c>
      <c r="R256" s="84">
        <f t="shared" si="2334"/>
        <v>0.35188772858290412</v>
      </c>
      <c r="S256" s="84">
        <f t="shared" si="2334"/>
        <v>0.40401186608278006</v>
      </c>
      <c r="T256" s="84">
        <f t="shared" si="2334"/>
        <v>0.46424200890890399</v>
      </c>
      <c r="U256" s="84">
        <f t="shared" si="2334"/>
        <v>0.4659922928709056</v>
      </c>
      <c r="V256" s="84">
        <f t="shared" si="2334"/>
        <v>0.47810460607207039</v>
      </c>
      <c r="W256" s="84">
        <f t="shared" si="2334"/>
        <v>0.48307152334888498</v>
      </c>
      <c r="X256" s="84">
        <f t="shared" si="2334"/>
        <v>0.54360208584035297</v>
      </c>
      <c r="Y256" s="84">
        <f t="shared" si="2334"/>
        <v>0.54166359413022636</v>
      </c>
      <c r="Z256" s="84">
        <f>Z22/(Z173+Z160+Z150)</f>
        <v>0.47396257119609436</v>
      </c>
      <c r="AA256" s="84">
        <f>AA22/(AA173+AA160+AA150)</f>
        <v>0.45570399556732133</v>
      </c>
      <c r="AB256" s="50">
        <f t="shared" ref="AB256:AE256" si="2335">AB22/(AB173+AB160+AB150)</f>
        <v>0.47012833645695057</v>
      </c>
      <c r="AC256" s="50">
        <f t="shared" si="2335"/>
        <v>0.47466563557191088</v>
      </c>
      <c r="AD256" s="50">
        <f t="shared" si="2335"/>
        <v>0.47786124025811821</v>
      </c>
      <c r="AE256" s="50">
        <f t="shared" si="2335"/>
        <v>0.47811479289811765</v>
      </c>
      <c r="AL256" s="84" t="e">
        <f>SUM(AI22:AL22)/(AL173+AL160+AL150)</f>
        <v>#DIV/0!</v>
      </c>
      <c r="AM256" s="84" t="e">
        <f t="shared" ref="AM256:CL256" si="2336">SUM(AJ22:AM22)/(AM173+AM160+AM150)</f>
        <v>#DIV/0!</v>
      </c>
      <c r="AN256" s="84" t="e">
        <f t="shared" si="2336"/>
        <v>#DIV/0!</v>
      </c>
      <c r="AO256" s="84" t="e">
        <f t="shared" si="2336"/>
        <v>#DIV/0!</v>
      </c>
      <c r="AP256" s="84" t="e">
        <f t="shared" si="2336"/>
        <v>#DIV/0!</v>
      </c>
      <c r="AQ256" s="84" t="e">
        <f t="shared" si="2336"/>
        <v>#DIV/0!</v>
      </c>
      <c r="AR256" s="84" t="e">
        <f t="shared" si="2336"/>
        <v>#DIV/0!</v>
      </c>
      <c r="AS256" s="84" t="e">
        <f t="shared" si="2336"/>
        <v>#DIV/0!</v>
      </c>
      <c r="AT256" s="84" t="e">
        <f t="shared" si="2336"/>
        <v>#DIV/0!</v>
      </c>
      <c r="AU256" s="84" t="e">
        <f t="shared" si="2336"/>
        <v>#DIV/0!</v>
      </c>
      <c r="AV256" s="84" t="e">
        <f t="shared" si="2336"/>
        <v>#DIV/0!</v>
      </c>
      <c r="AW256" s="84" t="e">
        <f t="shared" si="2336"/>
        <v>#DIV/0!</v>
      </c>
      <c r="AX256" s="84" t="e">
        <f t="shared" si="2336"/>
        <v>#DIV/0!</v>
      </c>
      <c r="AY256" s="84" t="e">
        <f t="shared" si="2336"/>
        <v>#DIV/0!</v>
      </c>
      <c r="AZ256" s="84" t="e">
        <f t="shared" si="2336"/>
        <v>#DIV/0!</v>
      </c>
      <c r="BA256" s="84" t="e">
        <f t="shared" si="2336"/>
        <v>#DIV/0!</v>
      </c>
      <c r="BB256" s="84" t="e">
        <f t="shared" si="2336"/>
        <v>#DIV/0!</v>
      </c>
      <c r="BC256" s="84" t="e">
        <f t="shared" si="2336"/>
        <v>#DIV/0!</v>
      </c>
      <c r="BD256" s="84" t="e">
        <f t="shared" si="2336"/>
        <v>#DIV/0!</v>
      </c>
      <c r="BE256" s="84" t="e">
        <f t="shared" si="2336"/>
        <v>#DIV/0!</v>
      </c>
      <c r="BF256" s="84" t="e">
        <f t="shared" si="2336"/>
        <v>#DIV/0!</v>
      </c>
      <c r="BG256" s="84">
        <f t="shared" si="2336"/>
        <v>132.73584905660377</v>
      </c>
      <c r="BH256" s="84" t="e">
        <f t="shared" si="2336"/>
        <v>#DIV/0!</v>
      </c>
      <c r="BI256" s="84">
        <f t="shared" si="2336"/>
        <v>328.10714285714283</v>
      </c>
      <c r="BJ256" s="84">
        <f t="shared" si="2336"/>
        <v>0.46081550736697829</v>
      </c>
      <c r="BK256" s="84">
        <f t="shared" si="2336"/>
        <v>0.46870694163412174</v>
      </c>
      <c r="BL256" s="84">
        <f t="shared" si="2336"/>
        <v>0.49857186575538098</v>
      </c>
      <c r="BM256" s="84">
        <f t="shared" si="2336"/>
        <v>0.50931476265916964</v>
      </c>
      <c r="BN256" s="84">
        <f t="shared" si="2336"/>
        <v>0.46473988439306357</v>
      </c>
      <c r="BO256" s="84">
        <f t="shared" si="2336"/>
        <v>0.4341942424662722</v>
      </c>
      <c r="BP256" s="84">
        <f t="shared" si="2336"/>
        <v>0.43283511043412032</v>
      </c>
      <c r="BQ256" s="84">
        <f t="shared" si="2336"/>
        <v>0.4412467865370599</v>
      </c>
      <c r="BR256" s="84">
        <f t="shared" si="2336"/>
        <v>0.47774887680302675</v>
      </c>
      <c r="BS256" s="84">
        <f t="shared" si="2336"/>
        <v>0.50775778573021346</v>
      </c>
      <c r="BT256" s="84">
        <f t="shared" si="2336"/>
        <v>0.48296943231441047</v>
      </c>
      <c r="BU256" s="84">
        <f t="shared" si="2336"/>
        <v>0.48003380105010207</v>
      </c>
      <c r="BV256" s="84">
        <f t="shared" si="2336"/>
        <v>0.48309220101018746</v>
      </c>
      <c r="BW256" s="84">
        <f t="shared" si="2336"/>
        <v>0.50967813620305946</v>
      </c>
      <c r="BX256" s="84">
        <f t="shared" si="2336"/>
        <v>0.55249776984834964</v>
      </c>
      <c r="BY256" s="84">
        <f t="shared" si="2336"/>
        <v>0.57205926585558209</v>
      </c>
      <c r="BZ256" s="84">
        <f t="shared" si="2336"/>
        <v>0.54326286654097633</v>
      </c>
      <c r="CA256" s="84">
        <f t="shared" si="2336"/>
        <v>0.5552640311035778</v>
      </c>
      <c r="CB256" s="84">
        <f t="shared" si="2336"/>
        <v>0.53068932955618509</v>
      </c>
      <c r="CC256" s="84">
        <f t="shared" si="2336"/>
        <v>0.53191082304851611</v>
      </c>
      <c r="CD256" s="84">
        <f t="shared" si="2336"/>
        <v>0.54168356624018288</v>
      </c>
      <c r="CE256" s="84">
        <f t="shared" si="2336"/>
        <v>0.54283552031710902</v>
      </c>
      <c r="CF256" s="84">
        <f t="shared" si="2336"/>
        <v>0.52106501283147988</v>
      </c>
      <c r="CG256" s="84">
        <f t="shared" si="2336"/>
        <v>0.50419572191306239</v>
      </c>
      <c r="CH256" s="84">
        <f t="shared" si="2336"/>
        <v>0.47396257119609436</v>
      </c>
      <c r="CI256" s="84">
        <f t="shared" si="2336"/>
        <v>0.47789208202217115</v>
      </c>
      <c r="CJ256" s="84">
        <f t="shared" si="2336"/>
        <v>0.46603552605894982</v>
      </c>
      <c r="CK256" s="84">
        <f t="shared" ref="CK256" si="2337">SUM(CH22:CK22)/(CK173+CK160+CK150)</f>
        <v>0.47274630072776924</v>
      </c>
      <c r="CL256" s="84">
        <f t="shared" si="2336"/>
        <v>0.45627985822160577</v>
      </c>
      <c r="CM256" s="50">
        <f t="shared" ref="CM256:DB256" si="2338">SUM(CJ22:CM22)/(CM173+CM160+CM150)</f>
        <v>0.46699161707558234</v>
      </c>
      <c r="CN256" s="50">
        <f t="shared" si="2338"/>
        <v>0.47487370927888423</v>
      </c>
      <c r="CO256" s="50">
        <f t="shared" si="2338"/>
        <v>0.47904724563780898</v>
      </c>
      <c r="CP256" s="50">
        <f t="shared" si="2338"/>
        <v>0.47012833645695057</v>
      </c>
      <c r="CQ256" s="50">
        <f t="shared" si="2338"/>
        <v>0.4865538816540429</v>
      </c>
      <c r="CR256" s="50">
        <f t="shared" si="2338"/>
        <v>0.49122175494184528</v>
      </c>
      <c r="CS256" s="50">
        <f t="shared" si="2338"/>
        <v>0.48966950394146541</v>
      </c>
      <c r="CT256" s="50">
        <f t="shared" si="2338"/>
        <v>0.47466563557191088</v>
      </c>
      <c r="CU256" s="50">
        <f t="shared" si="2338"/>
        <v>0.49211830446357052</v>
      </c>
      <c r="CV256" s="50">
        <f t="shared" si="2338"/>
        <v>0.49611110769389083</v>
      </c>
      <c r="CW256" s="50">
        <f t="shared" si="2338"/>
        <v>0.49360043430010214</v>
      </c>
      <c r="CX256" s="50">
        <f t="shared" si="2338"/>
        <v>0.47786124025811821</v>
      </c>
      <c r="CY256" s="50">
        <f t="shared" si="2338"/>
        <v>0.4949031881267415</v>
      </c>
      <c r="CZ256" s="50">
        <f t="shared" si="2338"/>
        <v>0.49804092487582857</v>
      </c>
      <c r="DA256" s="50">
        <f t="shared" si="2338"/>
        <v>0.49465517040050788</v>
      </c>
      <c r="DB256" s="50">
        <f t="shared" si="2338"/>
        <v>0.47811479289811765</v>
      </c>
      <c r="DE256" s="138"/>
      <c r="DF256" s="84">
        <v>0.45627985822160577</v>
      </c>
    </row>
    <row r="257" spans="1:110" s="84" customFormat="1" x14ac:dyDescent="0.2">
      <c r="A257" s="84" t="s">
        <v>513</v>
      </c>
      <c r="E257" s="181" t="e">
        <f>+E54</f>
        <v>#DIV/0!</v>
      </c>
      <c r="F257" s="181" t="e">
        <f t="shared" ref="F257:AE257" si="2339">+F54</f>
        <v>#DIV/0!</v>
      </c>
      <c r="G257" s="181" t="e">
        <f t="shared" si="2339"/>
        <v>#DIV/0!</v>
      </c>
      <c r="H257" s="181" t="e">
        <f t="shared" si="2339"/>
        <v>#DIV/0!</v>
      </c>
      <c r="I257" s="181" t="e">
        <f t="shared" si="2339"/>
        <v>#DIV/0!</v>
      </c>
      <c r="J257" s="181" t="e">
        <f t="shared" si="2339"/>
        <v>#DIV/0!</v>
      </c>
      <c r="K257" s="181" t="e">
        <f t="shared" si="2339"/>
        <v>#DIV/0!</v>
      </c>
      <c r="L257" s="181" t="e">
        <f t="shared" si="2339"/>
        <v>#DIV/0!</v>
      </c>
      <c r="M257" s="181" t="e">
        <f t="shared" si="2339"/>
        <v>#DIV/0!</v>
      </c>
      <c r="N257" s="181" t="e">
        <f t="shared" si="2339"/>
        <v>#DIV/0!</v>
      </c>
      <c r="O257" s="181" t="e">
        <f t="shared" si="2339"/>
        <v>#DIV/0!</v>
      </c>
      <c r="P257" s="181" t="e">
        <f t="shared" si="2339"/>
        <v>#DIV/0!</v>
      </c>
      <c r="Q257" s="181" t="e">
        <f t="shared" si="2339"/>
        <v>#DIV/0!</v>
      </c>
      <c r="R257" s="181">
        <f t="shared" si="2339"/>
        <v>4.5655968846515377E-3</v>
      </c>
      <c r="S257" s="181">
        <f t="shared" si="2339"/>
        <v>3.3916083916083917E-2</v>
      </c>
      <c r="T257" s="181">
        <f t="shared" si="2339"/>
        <v>3.6798819063686206E-2</v>
      </c>
      <c r="U257" s="181">
        <f t="shared" si="2339"/>
        <v>2.4602026049204053E-2</v>
      </c>
      <c r="V257" s="181">
        <f t="shared" si="2339"/>
        <v>0.12067260138476756</v>
      </c>
      <c r="W257" s="181">
        <f t="shared" si="2339"/>
        <v>7.3896863370547586E-2</v>
      </c>
      <c r="X257" s="181">
        <f t="shared" si="2339"/>
        <v>4.9660566706021252E-2</v>
      </c>
      <c r="Y257" s="181">
        <f t="shared" si="2339"/>
        <v>5.8130828398339121E-2</v>
      </c>
      <c r="Z257" s="181">
        <f t="shared" si="2339"/>
        <v>5.8082975679542202E-2</v>
      </c>
      <c r="AA257" s="181">
        <f t="shared" ref="AA257" si="2340">+AA54</f>
        <v>7.9978384220480953E-2</v>
      </c>
      <c r="AB257" s="182">
        <f t="shared" si="2339"/>
        <v>7.5061604457068484E-2</v>
      </c>
      <c r="AC257" s="182">
        <f t="shared" si="2339"/>
        <v>8.8791212818666351E-2</v>
      </c>
      <c r="AD257" s="182">
        <f t="shared" si="2339"/>
        <v>9.6742978632128052E-2</v>
      </c>
      <c r="AE257" s="182">
        <f t="shared" si="2339"/>
        <v>0.10913678024057667</v>
      </c>
      <c r="AL257" s="181" t="e">
        <f t="shared" ref="AL257:CW257" si="2341">+AL54</f>
        <v>#DIV/0!</v>
      </c>
      <c r="AM257" s="181" t="e">
        <f t="shared" si="2341"/>
        <v>#DIV/0!</v>
      </c>
      <c r="AN257" s="181" t="e">
        <f t="shared" si="2341"/>
        <v>#DIV/0!</v>
      </c>
      <c r="AO257" s="181" t="e">
        <f t="shared" si="2341"/>
        <v>#DIV/0!</v>
      </c>
      <c r="AP257" s="181" t="e">
        <f t="shared" si="2341"/>
        <v>#DIV/0!</v>
      </c>
      <c r="AQ257" s="181" t="e">
        <f t="shared" si="2341"/>
        <v>#DIV/0!</v>
      </c>
      <c r="AR257" s="181" t="e">
        <f t="shared" si="2341"/>
        <v>#DIV/0!</v>
      </c>
      <c r="AS257" s="181" t="e">
        <f t="shared" si="2341"/>
        <v>#DIV/0!</v>
      </c>
      <c r="AT257" s="181" t="e">
        <f t="shared" si="2341"/>
        <v>#DIV/0!</v>
      </c>
      <c r="AU257" s="181" t="e">
        <f t="shared" si="2341"/>
        <v>#DIV/0!</v>
      </c>
      <c r="AV257" s="181" t="e">
        <f t="shared" si="2341"/>
        <v>#DIV/0!</v>
      </c>
      <c r="AW257" s="181" t="e">
        <f t="shared" si="2341"/>
        <v>#DIV/0!</v>
      </c>
      <c r="AX257" s="181" t="e">
        <f t="shared" si="2341"/>
        <v>#DIV/0!</v>
      </c>
      <c r="AY257" s="181" t="e">
        <f t="shared" si="2341"/>
        <v>#DIV/0!</v>
      </c>
      <c r="AZ257" s="181" t="e">
        <f t="shared" si="2341"/>
        <v>#DIV/0!</v>
      </c>
      <c r="BA257" s="181" t="e">
        <f t="shared" si="2341"/>
        <v>#DIV/0!</v>
      </c>
      <c r="BB257" s="181" t="e">
        <f t="shared" si="2341"/>
        <v>#DIV/0!</v>
      </c>
      <c r="BC257" s="181" t="e">
        <f t="shared" si="2341"/>
        <v>#DIV/0!</v>
      </c>
      <c r="BD257" s="181" t="e">
        <f t="shared" si="2341"/>
        <v>#DIV/0!</v>
      </c>
      <c r="BE257" s="181">
        <f t="shared" si="2341"/>
        <v>2.4649589173513776E-2</v>
      </c>
      <c r="BF257" s="181">
        <f t="shared" si="2341"/>
        <v>4.7418738049713194E-2</v>
      </c>
      <c r="BG257" s="181">
        <f t="shared" si="2341"/>
        <v>2.2118247554232241E-2</v>
      </c>
      <c r="BH257" s="181">
        <f t="shared" si="2341"/>
        <v>1.4584346135148275E-3</v>
      </c>
      <c r="BI257" s="181">
        <f t="shared" si="2341"/>
        <v>1.432532347504621E-2</v>
      </c>
      <c r="BJ257" s="181">
        <f t="shared" si="2341"/>
        <v>9.2540464461646724E-2</v>
      </c>
      <c r="BK257" s="181">
        <f t="shared" si="2341"/>
        <v>5.9913283405597165E-2</v>
      </c>
      <c r="BL257" s="181">
        <f t="shared" si="2341"/>
        <v>1.6129032258064516E-2</v>
      </c>
      <c r="BM257" s="181">
        <f t="shared" si="2341"/>
        <v>1.0761589403973509E-2</v>
      </c>
      <c r="BN257" s="181">
        <f t="shared" si="2341"/>
        <v>9.7442143727161992E-3</v>
      </c>
      <c r="BO257" s="181">
        <f t="shared" si="2341"/>
        <v>0.10047343503419252</v>
      </c>
      <c r="BP257" s="181">
        <f t="shared" si="2341"/>
        <v>9.9870298313878086E-2</v>
      </c>
      <c r="BQ257" s="181">
        <f t="shared" si="2341"/>
        <v>6.5400073072707343E-2</v>
      </c>
      <c r="BR257" s="181">
        <f t="shared" si="2341"/>
        <v>0.20311012377023166</v>
      </c>
      <c r="BS257" s="181">
        <f t="shared" si="2341"/>
        <v>0.11153994596680818</v>
      </c>
      <c r="BT257" s="181">
        <f t="shared" si="2341"/>
        <v>8.5625726462611393E-2</v>
      </c>
      <c r="BU257" s="181">
        <f t="shared" si="2341"/>
        <v>2.121433796634967E-2</v>
      </c>
      <c r="BV257" s="181">
        <f t="shared" si="2341"/>
        <v>7.8698224852071008E-2</v>
      </c>
      <c r="BW257" s="181">
        <f t="shared" si="2341"/>
        <v>5.6935190793458511E-2</v>
      </c>
      <c r="BX257" s="181">
        <f t="shared" si="2341"/>
        <v>1.6829350387075059E-2</v>
      </c>
      <c r="BY257" s="181">
        <f t="shared" si="2341"/>
        <v>6.3189269746646792E-2</v>
      </c>
      <c r="BZ257" s="181">
        <f t="shared" si="2341"/>
        <v>5.6960408684546618E-2</v>
      </c>
      <c r="CA257" s="181">
        <f t="shared" si="2341"/>
        <v>3.9702233250620347E-2</v>
      </c>
      <c r="CB257" s="181">
        <f t="shared" si="2341"/>
        <v>3.9327624484617824E-2</v>
      </c>
      <c r="CC257" s="181">
        <f t="shared" si="2341"/>
        <v>7.3806881243063269E-2</v>
      </c>
      <c r="CD257" s="181">
        <f t="shared" si="2341"/>
        <v>7.429765498026468E-2</v>
      </c>
      <c r="CE257" s="181">
        <f t="shared" si="2341"/>
        <v>7.1251035625517808E-2</v>
      </c>
      <c r="CF257" s="181">
        <f t="shared" si="2341"/>
        <v>1.5873015873015872E-2</v>
      </c>
      <c r="CG257" s="181">
        <f t="shared" si="2341"/>
        <v>2.0748192392329456E-2</v>
      </c>
      <c r="CH257" s="181">
        <f t="shared" si="2341"/>
        <v>0.10730872647274504</v>
      </c>
      <c r="CI257" s="181">
        <f t="shared" si="2341"/>
        <v>0.10423542354235424</v>
      </c>
      <c r="CJ257" s="181">
        <f t="shared" si="2341"/>
        <v>6.9944395668715242E-2</v>
      </c>
      <c r="CK257" s="181">
        <f t="shared" si="2341"/>
        <v>4.5636052481460354E-2</v>
      </c>
      <c r="CL257" s="181">
        <f t="shared" ref="CL257" si="2342">+CL54</f>
        <v>9.5406360424028266E-2</v>
      </c>
      <c r="CM257" s="182">
        <f t="shared" si="2341"/>
        <v>7.0463820872644314E-2</v>
      </c>
      <c r="CN257" s="182">
        <f t="shared" si="2341"/>
        <v>6.175842294415617E-2</v>
      </c>
      <c r="CO257" s="182">
        <f t="shared" si="2341"/>
        <v>6.8271966630877007E-2</v>
      </c>
      <c r="CP257" s="182">
        <f t="shared" si="2341"/>
        <v>9.4820451729434388E-2</v>
      </c>
      <c r="CQ257" s="182">
        <f t="shared" si="2341"/>
        <v>7.8846786834158578E-2</v>
      </c>
      <c r="CR257" s="182">
        <f t="shared" si="2341"/>
        <v>7.8414035042157437E-2</v>
      </c>
      <c r="CS257" s="182">
        <f t="shared" si="2341"/>
        <v>8.6755466715531235E-2</v>
      </c>
      <c r="CT257" s="182">
        <f t="shared" si="2341"/>
        <v>0.10653694203186316</v>
      </c>
      <c r="CU257" s="182">
        <f t="shared" si="2341"/>
        <v>8.6880565172639812E-2</v>
      </c>
      <c r="CV257" s="182">
        <f t="shared" si="2341"/>
        <v>8.8444801209556181E-2</v>
      </c>
      <c r="CW257" s="182">
        <f t="shared" si="2341"/>
        <v>9.5620475085439846E-2</v>
      </c>
      <c r="CX257" s="182">
        <f t="shared" ref="CX257:DB257" si="2343">+CX54</f>
        <v>0.11202629869565392</v>
      </c>
      <c r="CY257" s="182">
        <f t="shared" si="2343"/>
        <v>0.10003760596561646</v>
      </c>
      <c r="CZ257" s="182">
        <f t="shared" si="2343"/>
        <v>0.10182412477761237</v>
      </c>
      <c r="DA257" s="182">
        <f t="shared" si="2343"/>
        <v>0.10827257379916085</v>
      </c>
      <c r="DB257" s="182">
        <f t="shared" si="2343"/>
        <v>0.12282531682884365</v>
      </c>
      <c r="DE257" s="138"/>
      <c r="DF257" s="84">
        <v>7.9910834909483919E-2</v>
      </c>
    </row>
    <row r="258" spans="1:110" s="84" customFormat="1" x14ac:dyDescent="0.2">
      <c r="A258" s="84" t="s">
        <v>514</v>
      </c>
      <c r="E258" s="84" t="e">
        <f>(E173+E160+E150+E152)/E132</f>
        <v>#DIV/0!</v>
      </c>
      <c r="F258" s="84" t="e">
        <f t="shared" ref="F258:AE258" si="2344">(F173+F160+F150+F152)/F132</f>
        <v>#DIV/0!</v>
      </c>
      <c r="G258" s="84" t="e">
        <f t="shared" si="2344"/>
        <v>#DIV/0!</v>
      </c>
      <c r="H258" s="84" t="e">
        <f t="shared" si="2344"/>
        <v>#DIV/0!</v>
      </c>
      <c r="I258" s="84" t="e">
        <f t="shared" si="2344"/>
        <v>#DIV/0!</v>
      </c>
      <c r="J258" s="84" t="e">
        <f t="shared" si="2344"/>
        <v>#DIV/0!</v>
      </c>
      <c r="K258" s="84" t="e">
        <f t="shared" si="2344"/>
        <v>#DIV/0!</v>
      </c>
      <c r="L258" s="84" t="e">
        <f t="shared" si="2344"/>
        <v>#DIV/0!</v>
      </c>
      <c r="M258" s="84" t="e">
        <f t="shared" si="2344"/>
        <v>#DIV/0!</v>
      </c>
      <c r="N258" s="84" t="e">
        <f t="shared" si="2344"/>
        <v>#DIV/0!</v>
      </c>
      <c r="O258" s="84" t="e">
        <f t="shared" si="2344"/>
        <v>#DIV/0!</v>
      </c>
      <c r="P258" s="84" t="e">
        <f t="shared" si="2344"/>
        <v>#DIV/0!</v>
      </c>
      <c r="Q258" s="84" t="e">
        <f t="shared" si="2344"/>
        <v>#DIV/0!</v>
      </c>
      <c r="R258" s="84">
        <f t="shared" si="2344"/>
        <v>2.2081213002388616</v>
      </c>
      <c r="S258" s="84">
        <f t="shared" si="2344"/>
        <v>2.0642477019835512</v>
      </c>
      <c r="T258" s="84">
        <f t="shared" si="2344"/>
        <v>1.9304445906570167</v>
      </c>
      <c r="U258" s="84">
        <f t="shared" si="2344"/>
        <v>1.976896127260676</v>
      </c>
      <c r="V258" s="84">
        <f t="shared" si="2344"/>
        <v>1.7085089773614364</v>
      </c>
      <c r="W258" s="84">
        <f t="shared" si="2344"/>
        <v>1.5358944025901251</v>
      </c>
      <c r="X258" s="84">
        <f t="shared" si="2344"/>
        <v>1.6329024827233172</v>
      </c>
      <c r="Y258" s="84">
        <f t="shared" si="2344"/>
        <v>1.6900652558394829</v>
      </c>
      <c r="Z258" s="84">
        <f t="shared" si="2344"/>
        <v>1.7365603775756877</v>
      </c>
      <c r="AA258" s="84">
        <f t="shared" ref="AA258" si="2345">(AA173+AA160+AA150+AA152)/AA132</f>
        <v>1.8498804160409366</v>
      </c>
      <c r="AB258" s="50">
        <f t="shared" si="2344"/>
        <v>1.8337180305665683</v>
      </c>
      <c r="AC258" s="50">
        <f t="shared" si="2344"/>
        <v>1.7967051611473859</v>
      </c>
      <c r="AD258" s="50">
        <f t="shared" si="2344"/>
        <v>1.7573345835044898</v>
      </c>
      <c r="AE258" s="50">
        <f t="shared" si="2344"/>
        <v>1.7142787209408767</v>
      </c>
      <c r="AL258" s="84" t="e">
        <f t="shared" ref="AL258:CW258" si="2346">(AL173+AL160+AL150+AL152)/AL132</f>
        <v>#DIV/0!</v>
      </c>
      <c r="AM258" s="84" t="e">
        <f t="shared" si="2346"/>
        <v>#DIV/0!</v>
      </c>
      <c r="AN258" s="84" t="e">
        <f t="shared" si="2346"/>
        <v>#DIV/0!</v>
      </c>
      <c r="AO258" s="84" t="e">
        <f t="shared" si="2346"/>
        <v>#DIV/0!</v>
      </c>
      <c r="AP258" s="84" t="e">
        <f t="shared" si="2346"/>
        <v>#DIV/0!</v>
      </c>
      <c r="AQ258" s="84" t="e">
        <f t="shared" si="2346"/>
        <v>#DIV/0!</v>
      </c>
      <c r="AR258" s="84" t="e">
        <f t="shared" si="2346"/>
        <v>#DIV/0!</v>
      </c>
      <c r="AS258" s="84" t="e">
        <f t="shared" si="2346"/>
        <v>#DIV/0!</v>
      </c>
      <c r="AT258" s="84" t="e">
        <f t="shared" si="2346"/>
        <v>#DIV/0!</v>
      </c>
      <c r="AU258" s="84" t="e">
        <f t="shared" si="2346"/>
        <v>#DIV/0!</v>
      </c>
      <c r="AV258" s="84" t="e">
        <f t="shared" si="2346"/>
        <v>#DIV/0!</v>
      </c>
      <c r="AW258" s="84" t="e">
        <f t="shared" si="2346"/>
        <v>#DIV/0!</v>
      </c>
      <c r="AX258" s="84" t="e">
        <f t="shared" si="2346"/>
        <v>#DIV/0!</v>
      </c>
      <c r="AY258" s="84" t="e">
        <f t="shared" si="2346"/>
        <v>#DIV/0!</v>
      </c>
      <c r="AZ258" s="84" t="e">
        <f t="shared" si="2346"/>
        <v>#DIV/0!</v>
      </c>
      <c r="BA258" s="84" t="e">
        <f t="shared" si="2346"/>
        <v>#DIV/0!</v>
      </c>
      <c r="BB258" s="84" t="e">
        <f t="shared" si="2346"/>
        <v>#DIV/0!</v>
      </c>
      <c r="BC258" s="84" t="e">
        <f t="shared" si="2346"/>
        <v>#DIV/0!</v>
      </c>
      <c r="BD258" s="84" t="e">
        <f t="shared" si="2346"/>
        <v>#DIV/0!</v>
      </c>
      <c r="BE258" s="84" t="e">
        <f t="shared" si="2346"/>
        <v>#DIV/0!</v>
      </c>
      <c r="BF258" s="84" t="e">
        <f t="shared" si="2346"/>
        <v>#DIV/0!</v>
      </c>
      <c r="BG258" s="84">
        <f t="shared" si="2346"/>
        <v>1</v>
      </c>
      <c r="BH258" s="84" t="e">
        <f t="shared" si="2346"/>
        <v>#DIV/0!</v>
      </c>
      <c r="BI258" s="84">
        <f t="shared" si="2346"/>
        <v>1</v>
      </c>
      <c r="BJ258" s="84">
        <f t="shared" si="2346"/>
        <v>1.9304445906570167</v>
      </c>
      <c r="BK258" s="84">
        <f t="shared" si="2346"/>
        <v>1.9090377731813581</v>
      </c>
      <c r="BL258" s="84">
        <f t="shared" si="2346"/>
        <v>1.8772731600495096</v>
      </c>
      <c r="BM258" s="84">
        <f t="shared" si="2346"/>
        <v>1.8807101867537821</v>
      </c>
      <c r="BN258" s="84">
        <f t="shared" si="2346"/>
        <v>1.976896127260676</v>
      </c>
      <c r="BO258" s="84">
        <f t="shared" si="2346"/>
        <v>1.941557759727359</v>
      </c>
      <c r="BP258" s="84">
        <f t="shared" si="2346"/>
        <v>1.8931803925082893</v>
      </c>
      <c r="BQ258" s="84">
        <f t="shared" si="2346"/>
        <v>1.8916320930835948</v>
      </c>
      <c r="BR258" s="84">
        <f t="shared" si="2346"/>
        <v>1.7085089773614364</v>
      </c>
      <c r="BS258" s="84">
        <f t="shared" si="2346"/>
        <v>1.681720964820647</v>
      </c>
      <c r="BT258" s="84">
        <f t="shared" si="2346"/>
        <v>1.6036079960994636</v>
      </c>
      <c r="BU258" s="84">
        <f t="shared" si="2346"/>
        <v>1.6035450905917303</v>
      </c>
      <c r="BV258" s="84">
        <f t="shared" si="2346"/>
        <v>1.5358944025901251</v>
      </c>
      <c r="BW258" s="84">
        <f t="shared" si="2346"/>
        <v>1.5282268939770325</v>
      </c>
      <c r="BX258" s="84">
        <f t="shared" si="2346"/>
        <v>1.5649946780202235</v>
      </c>
      <c r="BY258" s="84">
        <f t="shared" si="2346"/>
        <v>1.5649712999707772</v>
      </c>
      <c r="BZ258" s="84">
        <f t="shared" si="2346"/>
        <v>1.6329024827233172</v>
      </c>
      <c r="CA258" s="84">
        <f t="shared" si="2346"/>
        <v>1.6223826467271505</v>
      </c>
      <c r="CB258" s="84">
        <f t="shared" si="2346"/>
        <v>1.7008306789082506</v>
      </c>
      <c r="CC258" s="84">
        <f t="shared" si="2346"/>
        <v>1.6983732162673617</v>
      </c>
      <c r="CD258" s="84">
        <f t="shared" si="2346"/>
        <v>1.6900652558394829</v>
      </c>
      <c r="CE258" s="84">
        <f t="shared" si="2346"/>
        <v>1.6715076377561404</v>
      </c>
      <c r="CF258" s="84">
        <f t="shared" si="2346"/>
        <v>1.654869277314762</v>
      </c>
      <c r="CG258" s="84">
        <f t="shared" si="2346"/>
        <v>1.654800201959324</v>
      </c>
      <c r="CH258" s="84">
        <f t="shared" si="2346"/>
        <v>1.7365603775756877</v>
      </c>
      <c r="CI258" s="84">
        <f t="shared" si="2346"/>
        <v>1.6862641027944261</v>
      </c>
      <c r="CJ258" s="84">
        <f t="shared" si="2346"/>
        <v>1.7794558515753154</v>
      </c>
      <c r="CK258" s="84">
        <f t="shared" si="2346"/>
        <v>1.7813683082356027</v>
      </c>
      <c r="CL258" s="84">
        <f t="shared" ref="CL258" si="2347">(CL173+CL160+CL150+CL152)/CL132</f>
        <v>1.8498804160409366</v>
      </c>
      <c r="CM258" s="50">
        <f t="shared" si="2346"/>
        <v>1.8025830676506356</v>
      </c>
      <c r="CN258" s="50">
        <f t="shared" si="2346"/>
        <v>1.7848722884628987</v>
      </c>
      <c r="CO258" s="50">
        <f t="shared" si="2346"/>
        <v>1.7896203990819606</v>
      </c>
      <c r="CP258" s="50">
        <f t="shared" si="2346"/>
        <v>1.8337180305665683</v>
      </c>
      <c r="CQ258" s="50">
        <f t="shared" si="2346"/>
        <v>1.7685273609557461</v>
      </c>
      <c r="CR258" s="50">
        <f t="shared" si="2346"/>
        <v>1.7516925220526101</v>
      </c>
      <c r="CS258" s="50">
        <f t="shared" si="2346"/>
        <v>1.754999503329336</v>
      </c>
      <c r="CT258" s="50">
        <f t="shared" si="2346"/>
        <v>1.7967051611473859</v>
      </c>
      <c r="CU258" s="50">
        <f t="shared" si="2346"/>
        <v>1.7305954927729643</v>
      </c>
      <c r="CV258" s="50">
        <f t="shared" si="2346"/>
        <v>1.7136984635572423</v>
      </c>
      <c r="CW258" s="50">
        <f t="shared" si="2346"/>
        <v>1.7163730227308698</v>
      </c>
      <c r="CX258" s="50">
        <f t="shared" ref="CX258:DB258" si="2348">(CX173+CX160+CX150+CX152)/CX132</f>
        <v>1.7573345835044898</v>
      </c>
      <c r="CY258" s="50">
        <f t="shared" si="2348"/>
        <v>1.6909001776954247</v>
      </c>
      <c r="CZ258" s="50">
        <f t="shared" si="2348"/>
        <v>1.6732871180416595</v>
      </c>
      <c r="DA258" s="50">
        <f t="shared" si="2348"/>
        <v>1.6749290927670177</v>
      </c>
      <c r="DB258" s="50">
        <f t="shared" si="2348"/>
        <v>1.7142787209408767</v>
      </c>
      <c r="DE258" s="138"/>
      <c r="DF258" s="84">
        <v>1.8498804160409366</v>
      </c>
    </row>
    <row r="259" spans="1:110" s="84" customFormat="1" x14ac:dyDescent="0.2">
      <c r="A259" s="154" t="s">
        <v>498</v>
      </c>
      <c r="AB259" s="50"/>
      <c r="AC259" s="50"/>
      <c r="AD259" s="50"/>
      <c r="AE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50"/>
      <c r="DB259" s="50"/>
      <c r="DE259" s="138"/>
    </row>
    <row r="260" spans="1:110" s="88" customFormat="1" x14ac:dyDescent="0.2">
      <c r="A260" s="88" t="s">
        <v>102</v>
      </c>
      <c r="B260" s="88" t="e">
        <f t="shared" ref="B260:AE260" si="2349">B173/B132</f>
        <v>#DIV/0!</v>
      </c>
      <c r="C260" s="88" t="e">
        <f t="shared" si="2349"/>
        <v>#DIV/0!</v>
      </c>
      <c r="D260" s="88" t="e">
        <f t="shared" si="2349"/>
        <v>#DIV/0!</v>
      </c>
      <c r="F260" s="88" t="e">
        <f t="shared" si="2349"/>
        <v>#DIV/0!</v>
      </c>
      <c r="G260" s="88" t="e">
        <f t="shared" si="2349"/>
        <v>#DIV/0!</v>
      </c>
      <c r="H260" s="88" t="e">
        <f t="shared" si="2349"/>
        <v>#DIV/0!</v>
      </c>
      <c r="I260" s="88" t="e">
        <f t="shared" si="2349"/>
        <v>#DIV/0!</v>
      </c>
      <c r="J260" s="88" t="e">
        <f t="shared" si="2349"/>
        <v>#DIV/0!</v>
      </c>
      <c r="K260" s="88" t="e">
        <f t="shared" si="2349"/>
        <v>#DIV/0!</v>
      </c>
      <c r="L260" s="88" t="e">
        <f t="shared" si="2349"/>
        <v>#DIV/0!</v>
      </c>
      <c r="M260" s="88" t="e">
        <f t="shared" si="2349"/>
        <v>#DIV/0!</v>
      </c>
      <c r="N260" s="88" t="e">
        <f t="shared" si="2349"/>
        <v>#DIV/0!</v>
      </c>
      <c r="O260" s="88" t="e">
        <f t="shared" si="2349"/>
        <v>#DIV/0!</v>
      </c>
      <c r="P260" s="88" t="e">
        <f t="shared" si="2349"/>
        <v>#DIV/0!</v>
      </c>
      <c r="Q260" s="88" t="e">
        <f t="shared" si="2349"/>
        <v>#DIV/0!</v>
      </c>
      <c r="R260" s="88">
        <f t="shared" si="2349"/>
        <v>0.29244989095440854</v>
      </c>
      <c r="S260" s="88">
        <f t="shared" si="2349"/>
        <v>0.36400580551523948</v>
      </c>
      <c r="T260" s="88">
        <f t="shared" si="2349"/>
        <v>0.26167872920387253</v>
      </c>
      <c r="U260" s="88">
        <f t="shared" si="2349"/>
        <v>0.29362749739607991</v>
      </c>
      <c r="V260" s="88">
        <f t="shared" si="2349"/>
        <v>0.27634660421545665</v>
      </c>
      <c r="W260" s="88">
        <f t="shared" si="2349"/>
        <v>0.28385530166241207</v>
      </c>
      <c r="X260" s="88">
        <f t="shared" si="2349"/>
        <v>0.2060404402354748</v>
      </c>
      <c r="Y260" s="88">
        <f t="shared" si="2349"/>
        <v>0.27163505519302311</v>
      </c>
      <c r="Z260" s="88">
        <f t="shared" si="2349"/>
        <v>0.26487855416139061</v>
      </c>
      <c r="AA260" s="88">
        <f t="shared" ref="AA260" si="2350">AA173/AA132</f>
        <v>0.29640135713888427</v>
      </c>
      <c r="AB260" s="42">
        <f t="shared" si="2349"/>
        <v>0.27485844343955912</v>
      </c>
      <c r="AC260" s="42">
        <f t="shared" si="2349"/>
        <v>0.26757814897951743</v>
      </c>
      <c r="AD260" s="42">
        <f t="shared" si="2349"/>
        <v>0.29939661103239501</v>
      </c>
      <c r="AE260" s="42">
        <f t="shared" si="2349"/>
        <v>0.33845728518737267</v>
      </c>
      <c r="AL260" s="88" t="e">
        <f t="shared" ref="AL260:CW260" si="2351">AL173/AL132</f>
        <v>#DIV/0!</v>
      </c>
      <c r="AM260" s="88" t="e">
        <f t="shared" si="2351"/>
        <v>#DIV/0!</v>
      </c>
      <c r="AN260" s="88" t="e">
        <f t="shared" si="2351"/>
        <v>#DIV/0!</v>
      </c>
      <c r="AO260" s="88" t="e">
        <f t="shared" si="2351"/>
        <v>#DIV/0!</v>
      </c>
      <c r="AP260" s="88" t="e">
        <f t="shared" si="2351"/>
        <v>#DIV/0!</v>
      </c>
      <c r="AQ260" s="88" t="e">
        <f t="shared" si="2351"/>
        <v>#DIV/0!</v>
      </c>
      <c r="AR260" s="88" t="e">
        <f t="shared" si="2351"/>
        <v>#DIV/0!</v>
      </c>
      <c r="AS260" s="88" t="e">
        <f t="shared" si="2351"/>
        <v>#DIV/0!</v>
      </c>
      <c r="AT260" s="88" t="e">
        <f t="shared" si="2351"/>
        <v>#DIV/0!</v>
      </c>
      <c r="AU260" s="88" t="e">
        <f t="shared" si="2351"/>
        <v>#DIV/0!</v>
      </c>
      <c r="AV260" s="88" t="e">
        <f t="shared" si="2351"/>
        <v>#DIV/0!</v>
      </c>
      <c r="AW260" s="88" t="e">
        <f t="shared" si="2351"/>
        <v>#DIV/0!</v>
      </c>
      <c r="AX260" s="88" t="e">
        <f t="shared" si="2351"/>
        <v>#DIV/0!</v>
      </c>
      <c r="AY260" s="88" t="e">
        <f t="shared" si="2351"/>
        <v>#DIV/0!</v>
      </c>
      <c r="AZ260" s="88" t="e">
        <f t="shared" si="2351"/>
        <v>#DIV/0!</v>
      </c>
      <c r="BA260" s="88" t="e">
        <f t="shared" si="2351"/>
        <v>#DIV/0!</v>
      </c>
      <c r="BB260" s="88" t="e">
        <f t="shared" si="2351"/>
        <v>#DIV/0!</v>
      </c>
      <c r="BC260" s="88" t="e">
        <f t="shared" si="2351"/>
        <v>#DIV/0!</v>
      </c>
      <c r="BD260" s="88" t="e">
        <f t="shared" si="2351"/>
        <v>#DIV/0!</v>
      </c>
      <c r="BE260" s="88" t="e">
        <f t="shared" si="2351"/>
        <v>#DIV/0!</v>
      </c>
      <c r="BF260" s="88" t="e">
        <f t="shared" si="2351"/>
        <v>#DIV/0!</v>
      </c>
      <c r="BG260" s="88">
        <f t="shared" si="2351"/>
        <v>1</v>
      </c>
      <c r="BH260" s="88" t="e">
        <f t="shared" si="2351"/>
        <v>#DIV/0!</v>
      </c>
      <c r="BI260" s="88">
        <f t="shared" si="2351"/>
        <v>1</v>
      </c>
      <c r="BJ260" s="88">
        <f t="shared" si="2351"/>
        <v>0.26167872920387253</v>
      </c>
      <c r="BK260" s="88">
        <f t="shared" si="2351"/>
        <v>0.27874582123750219</v>
      </c>
      <c r="BL260" s="88">
        <f t="shared" si="2351"/>
        <v>0.19204036941826144</v>
      </c>
      <c r="BM260" s="88">
        <f t="shared" si="2351"/>
        <v>0.18788708072079069</v>
      </c>
      <c r="BN260" s="88">
        <f t="shared" si="2351"/>
        <v>0.29362749739607991</v>
      </c>
      <c r="BO260" s="88">
        <f t="shared" si="2351"/>
        <v>0.32374892080771139</v>
      </c>
      <c r="BP260" s="88">
        <f t="shared" si="2351"/>
        <v>0.28533022672282465</v>
      </c>
      <c r="BQ260" s="88">
        <f t="shared" si="2351"/>
        <v>0.28677777407996646</v>
      </c>
      <c r="BR260" s="88">
        <f t="shared" si="2351"/>
        <v>0.27634660421545665</v>
      </c>
      <c r="BS260" s="88">
        <f t="shared" si="2351"/>
        <v>0.29628506348246891</v>
      </c>
      <c r="BT260" s="88">
        <f t="shared" si="2351"/>
        <v>0.30257017482761023</v>
      </c>
      <c r="BU260" s="88">
        <f t="shared" si="2351"/>
        <v>0.30384381977129826</v>
      </c>
      <c r="BV260" s="88">
        <f t="shared" si="2351"/>
        <v>0.28385530166241207</v>
      </c>
      <c r="BW260" s="88">
        <f t="shared" si="2351"/>
        <v>0.29357957045722316</v>
      </c>
      <c r="BX260" s="88">
        <f t="shared" si="2351"/>
        <v>0.17562533262373603</v>
      </c>
      <c r="BY260" s="88">
        <f t="shared" si="2351"/>
        <v>0.1778067481586022</v>
      </c>
      <c r="BZ260" s="88">
        <f t="shared" si="2351"/>
        <v>0.2060404402354748</v>
      </c>
      <c r="CA260" s="88">
        <f t="shared" si="2351"/>
        <v>0.21670321077562499</v>
      </c>
      <c r="CB260" s="88">
        <f t="shared" si="2351"/>
        <v>0.28442945474985948</v>
      </c>
      <c r="CC260" s="88">
        <f t="shared" si="2351"/>
        <v>0.2870548096015581</v>
      </c>
      <c r="CD260" s="88">
        <f t="shared" si="2351"/>
        <v>0.27163505519302311</v>
      </c>
      <c r="CE260" s="88">
        <f t="shared" si="2351"/>
        <v>0.28495255721511603</v>
      </c>
      <c r="CF260" s="88">
        <f t="shared" si="2351"/>
        <v>0.23689918940518323</v>
      </c>
      <c r="CG260" s="88">
        <f t="shared" si="2351"/>
        <v>0.23772491668090659</v>
      </c>
      <c r="CH260" s="88">
        <f t="shared" si="2351"/>
        <v>0.26487855416139061</v>
      </c>
      <c r="CI260" s="88">
        <f t="shared" si="2351"/>
        <v>0.29638312121859534</v>
      </c>
      <c r="CJ260" s="88">
        <f t="shared" si="2351"/>
        <v>0.28468804796651392</v>
      </c>
      <c r="CK260" s="88">
        <f t="shared" si="2351"/>
        <v>0.30789454782153503</v>
      </c>
      <c r="CL260" s="88">
        <f t="shared" ref="CL260" si="2352">CL173/CL132</f>
        <v>0.29640135713888427</v>
      </c>
      <c r="CM260" s="42">
        <f t="shared" si="2351"/>
        <v>0.28810099696624014</v>
      </c>
      <c r="CN260" s="42">
        <f t="shared" si="2351"/>
        <v>0.28075623209289352</v>
      </c>
      <c r="CO260" s="42">
        <f t="shared" si="2351"/>
        <v>0.27538622098703197</v>
      </c>
      <c r="CP260" s="42">
        <f t="shared" si="2351"/>
        <v>0.27485844343955912</v>
      </c>
      <c r="CQ260" s="42">
        <f t="shared" si="2351"/>
        <v>0.2734400341219545</v>
      </c>
      <c r="CR260" s="42">
        <f t="shared" si="2351"/>
        <v>0.27060913379272961</v>
      </c>
      <c r="CS260" s="42">
        <f t="shared" si="2351"/>
        <v>0.26786561790687935</v>
      </c>
      <c r="CT260" s="42">
        <f t="shared" si="2351"/>
        <v>0.26757814897951743</v>
      </c>
      <c r="CU260" s="42">
        <f t="shared" si="2351"/>
        <v>0.2806135639370918</v>
      </c>
      <c r="CV260" s="42">
        <f t="shared" si="2351"/>
        <v>0.28751933274816133</v>
      </c>
      <c r="CW260" s="42">
        <f t="shared" si="2351"/>
        <v>0.29349015092638731</v>
      </c>
      <c r="CX260" s="42">
        <f t="shared" ref="CX260:DB260" si="2353">CX173/CX132</f>
        <v>0.29939661103239501</v>
      </c>
      <c r="CY260" s="42">
        <f t="shared" si="2353"/>
        <v>0.31448447210726271</v>
      </c>
      <c r="CZ260" s="42">
        <f t="shared" si="2353"/>
        <v>0.32337205691465815</v>
      </c>
      <c r="DA260" s="42">
        <f t="shared" si="2353"/>
        <v>0.33113628069163198</v>
      </c>
      <c r="DB260" s="42">
        <f t="shared" si="2353"/>
        <v>0.33845728518737267</v>
      </c>
      <c r="DE260" s="125"/>
      <c r="DF260" s="88">
        <v>0.29640135713888427</v>
      </c>
    </row>
    <row r="261" spans="1:110" s="89" customFormat="1" x14ac:dyDescent="0.2">
      <c r="A261" s="89" t="s">
        <v>103</v>
      </c>
      <c r="C261" s="89" t="e">
        <f t="shared" ref="C261:AE261" si="2354">C140/B140-1</f>
        <v>#DIV/0!</v>
      </c>
      <c r="D261" s="89" t="e">
        <f t="shared" si="2354"/>
        <v>#DIV/0!</v>
      </c>
      <c r="F261" s="89" t="e">
        <f t="shared" si="2354"/>
        <v>#DIV/0!</v>
      </c>
      <c r="G261" s="89" t="e">
        <f t="shared" si="2354"/>
        <v>#DIV/0!</v>
      </c>
      <c r="H261" s="89" t="e">
        <f t="shared" si="2354"/>
        <v>#DIV/0!</v>
      </c>
      <c r="I261" s="89" t="e">
        <f t="shared" si="2354"/>
        <v>#DIV/0!</v>
      </c>
      <c r="J261" s="89" t="e">
        <f t="shared" si="2354"/>
        <v>#DIV/0!</v>
      </c>
      <c r="K261" s="89" t="e">
        <f>K140/J140-1</f>
        <v>#DIV/0!</v>
      </c>
      <c r="L261" s="89" t="e">
        <f t="shared" si="2354"/>
        <v>#DIV/0!</v>
      </c>
      <c r="M261" s="89" t="e">
        <f t="shared" si="2354"/>
        <v>#DIV/0!</v>
      </c>
      <c r="N261" s="89" t="e">
        <f t="shared" si="2354"/>
        <v>#DIV/0!</v>
      </c>
      <c r="O261" s="89" t="e">
        <f t="shared" si="2354"/>
        <v>#DIV/0!</v>
      </c>
      <c r="P261" s="89" t="e">
        <f t="shared" si="2354"/>
        <v>#DIV/0!</v>
      </c>
      <c r="Q261" s="89" t="e">
        <f t="shared" si="2354"/>
        <v>#DIV/0!</v>
      </c>
      <c r="R261" s="89" t="e">
        <f t="shared" si="2354"/>
        <v>#DIV/0!</v>
      </c>
      <c r="S261" s="89">
        <f t="shared" si="2354"/>
        <v>-9.6156238338101718E-2</v>
      </c>
      <c r="T261" s="89">
        <f t="shared" si="2354"/>
        <v>-0.19102669969721997</v>
      </c>
      <c r="U261" s="89">
        <f t="shared" si="2354"/>
        <v>1.2249064307587654E-2</v>
      </c>
      <c r="V261" s="89">
        <f t="shared" si="2354"/>
        <v>-0.37680672268907567</v>
      </c>
      <c r="W261" s="89">
        <f t="shared" si="2354"/>
        <v>-0.15884573894282628</v>
      </c>
      <c r="X261" s="89">
        <f t="shared" si="2354"/>
        <v>0.19974350753446624</v>
      </c>
      <c r="Y261" s="89">
        <f t="shared" si="2354"/>
        <v>0.23730625334045974</v>
      </c>
      <c r="Z261" s="89">
        <f t="shared" si="2354"/>
        <v>0.13563714902807766</v>
      </c>
      <c r="AA261" s="89">
        <f t="shared" si="2354"/>
        <v>0.28413845568657292</v>
      </c>
      <c r="AB261" s="47">
        <f t="shared" si="2354"/>
        <v>0</v>
      </c>
      <c r="AC261" s="47">
        <f t="shared" si="2354"/>
        <v>0</v>
      </c>
      <c r="AD261" s="47">
        <f t="shared" si="2354"/>
        <v>0</v>
      </c>
      <c r="AE261" s="47">
        <f t="shared" si="2354"/>
        <v>0</v>
      </c>
      <c r="AL261" s="89" t="e">
        <f t="shared" ref="AL261:CW261" si="2355">AL140/AK140-1</f>
        <v>#DIV/0!</v>
      </c>
      <c r="AM261" s="89" t="e">
        <f t="shared" si="2355"/>
        <v>#DIV/0!</v>
      </c>
      <c r="AN261" s="89" t="e">
        <f t="shared" si="2355"/>
        <v>#DIV/0!</v>
      </c>
      <c r="AO261" s="89" t="e">
        <f t="shared" si="2355"/>
        <v>#DIV/0!</v>
      </c>
      <c r="AP261" s="89" t="e">
        <f t="shared" si="2355"/>
        <v>#DIV/0!</v>
      </c>
      <c r="AQ261" s="89" t="e">
        <f t="shared" si="2355"/>
        <v>#DIV/0!</v>
      </c>
      <c r="AR261" s="89" t="e">
        <f t="shared" si="2355"/>
        <v>#DIV/0!</v>
      </c>
      <c r="AS261" s="89" t="e">
        <f t="shared" si="2355"/>
        <v>#DIV/0!</v>
      </c>
      <c r="AT261" s="89" t="e">
        <f t="shared" si="2355"/>
        <v>#DIV/0!</v>
      </c>
      <c r="AU261" s="89" t="e">
        <f t="shared" si="2355"/>
        <v>#DIV/0!</v>
      </c>
      <c r="AV261" s="89" t="e">
        <f t="shared" si="2355"/>
        <v>#DIV/0!</v>
      </c>
      <c r="AW261" s="89" t="e">
        <f t="shared" si="2355"/>
        <v>#DIV/0!</v>
      </c>
      <c r="AX261" s="89" t="e">
        <f t="shared" si="2355"/>
        <v>#DIV/0!</v>
      </c>
      <c r="AY261" s="89" t="e">
        <f t="shared" si="2355"/>
        <v>#DIV/0!</v>
      </c>
      <c r="AZ261" s="89" t="e">
        <f t="shared" si="2355"/>
        <v>#DIV/0!</v>
      </c>
      <c r="BA261" s="89" t="e">
        <f t="shared" si="2355"/>
        <v>#DIV/0!</v>
      </c>
      <c r="BB261" s="89" t="e">
        <f t="shared" si="2355"/>
        <v>#DIV/0!</v>
      </c>
      <c r="BC261" s="89" t="e">
        <f t="shared" si="2355"/>
        <v>#DIV/0!</v>
      </c>
      <c r="BD261" s="89" t="e">
        <f t="shared" si="2355"/>
        <v>#DIV/0!</v>
      </c>
      <c r="BE261" s="89" t="e">
        <f t="shared" si="2355"/>
        <v>#DIV/0!</v>
      </c>
      <c r="BF261" s="89" t="e">
        <f t="shared" si="2355"/>
        <v>#DIV/0!</v>
      </c>
      <c r="BG261" s="89" t="e">
        <f t="shared" si="2355"/>
        <v>#DIV/0!</v>
      </c>
      <c r="BH261" s="89" t="e">
        <f t="shared" si="2355"/>
        <v>#DIV/0!</v>
      </c>
      <c r="BI261" s="89" t="e">
        <f t="shared" si="2355"/>
        <v>#DIV/0!</v>
      </c>
      <c r="BJ261" s="89" t="e">
        <f t="shared" si="2355"/>
        <v>#DIV/0!</v>
      </c>
      <c r="BK261" s="89">
        <f t="shared" si="2355"/>
        <v>0</v>
      </c>
      <c r="BL261" s="89">
        <f t="shared" si="2355"/>
        <v>-0.1663619744058501</v>
      </c>
      <c r="BM261" s="89">
        <f t="shared" si="2355"/>
        <v>0</v>
      </c>
      <c r="BN261" s="89">
        <f t="shared" si="2355"/>
        <v>0.15765107212475638</v>
      </c>
      <c r="BO261" s="89">
        <f t="shared" si="2355"/>
        <v>0</v>
      </c>
      <c r="BP261" s="89">
        <f t="shared" si="2355"/>
        <v>-9.3454009682172212E-2</v>
      </c>
      <c r="BQ261" s="89">
        <f t="shared" si="2355"/>
        <v>0</v>
      </c>
      <c r="BR261" s="89">
        <f t="shared" si="2355"/>
        <v>-0.13907592291618298</v>
      </c>
      <c r="BS261" s="89">
        <f t="shared" si="2355"/>
        <v>0</v>
      </c>
      <c r="BT261" s="89">
        <f t="shared" si="2355"/>
        <v>-0.16774541531823084</v>
      </c>
      <c r="BU261" s="89">
        <f t="shared" si="2355"/>
        <v>0</v>
      </c>
      <c r="BV261" s="89">
        <f t="shared" si="2355"/>
        <v>1.0693454309786077E-2</v>
      </c>
      <c r="BW261" s="89">
        <f t="shared" si="2355"/>
        <v>0</v>
      </c>
      <c r="BX261" s="89">
        <f t="shared" si="2355"/>
        <v>4.7130490541840375E-2</v>
      </c>
      <c r="BY261" s="89">
        <f t="shared" si="2355"/>
        <v>0</v>
      </c>
      <c r="BZ261" s="89">
        <f t="shared" si="2355"/>
        <v>0.14574402939375375</v>
      </c>
      <c r="CA261" s="89">
        <f t="shared" si="2355"/>
        <v>0</v>
      </c>
      <c r="CB261" s="89">
        <f t="shared" si="2355"/>
        <v>0.40913949759486901</v>
      </c>
      <c r="CC261" s="89">
        <f t="shared" si="2355"/>
        <v>0</v>
      </c>
      <c r="CD261" s="89">
        <f t="shared" si="2355"/>
        <v>-0.12194196851886974</v>
      </c>
      <c r="CE261" s="89">
        <f t="shared" si="2355"/>
        <v>0</v>
      </c>
      <c r="CF261" s="89">
        <f t="shared" si="2355"/>
        <v>2.8725701943844495E-2</v>
      </c>
      <c r="CG261" s="89">
        <f t="shared" si="2355"/>
        <v>0</v>
      </c>
      <c r="CH261" s="89">
        <f t="shared" si="2355"/>
        <v>0.10392609699769051</v>
      </c>
      <c r="CI261" s="89">
        <f t="shared" si="2355"/>
        <v>0</v>
      </c>
      <c r="CJ261" s="89">
        <f t="shared" si="2355"/>
        <v>0.25922403955876749</v>
      </c>
      <c r="CK261" s="89">
        <f t="shared" si="2355"/>
        <v>0</v>
      </c>
      <c r="CL261" s="89">
        <f t="shared" si="2355"/>
        <v>1.9785530886573088E-2</v>
      </c>
      <c r="CM261" s="47">
        <f t="shared" si="2355"/>
        <v>0</v>
      </c>
      <c r="CN261" s="47">
        <f t="shared" si="2355"/>
        <v>0</v>
      </c>
      <c r="CO261" s="47">
        <f t="shared" si="2355"/>
        <v>0</v>
      </c>
      <c r="CP261" s="47">
        <f t="shared" si="2355"/>
        <v>0</v>
      </c>
      <c r="CQ261" s="47">
        <f t="shared" si="2355"/>
        <v>0</v>
      </c>
      <c r="CR261" s="47">
        <f t="shared" si="2355"/>
        <v>0</v>
      </c>
      <c r="CS261" s="47">
        <f t="shared" si="2355"/>
        <v>0</v>
      </c>
      <c r="CT261" s="47">
        <f t="shared" si="2355"/>
        <v>0</v>
      </c>
      <c r="CU261" s="47">
        <f t="shared" si="2355"/>
        <v>0</v>
      </c>
      <c r="CV261" s="47">
        <f t="shared" si="2355"/>
        <v>0</v>
      </c>
      <c r="CW261" s="47">
        <f t="shared" si="2355"/>
        <v>0</v>
      </c>
      <c r="CX261" s="47">
        <f t="shared" ref="CX261:DB261" si="2356">CX140/CW140-1</f>
        <v>0</v>
      </c>
      <c r="CY261" s="47">
        <f t="shared" si="2356"/>
        <v>0</v>
      </c>
      <c r="CZ261" s="47">
        <f t="shared" si="2356"/>
        <v>0</v>
      </c>
      <c r="DA261" s="47">
        <f t="shared" si="2356"/>
        <v>0</v>
      </c>
      <c r="DB261" s="47">
        <f t="shared" si="2356"/>
        <v>0</v>
      </c>
      <c r="DE261" s="130"/>
      <c r="DF261" s="89">
        <v>0.28413845568657292</v>
      </c>
    </row>
    <row r="262" spans="1:110" s="89" customFormat="1" x14ac:dyDescent="0.2">
      <c r="A262" s="89" t="s">
        <v>104</v>
      </c>
      <c r="C262" s="89" t="e">
        <f>C40/B40-1</f>
        <v>#DIV/0!</v>
      </c>
      <c r="D262" s="89" t="e">
        <f>D40/C40-1</f>
        <v>#DIV/0!</v>
      </c>
      <c r="F262" s="89" t="e">
        <f t="shared" ref="F262:AE262" si="2357">F40/E40-1</f>
        <v>#DIV/0!</v>
      </c>
      <c r="G262" s="89" t="e">
        <f t="shared" si="2357"/>
        <v>#DIV/0!</v>
      </c>
      <c r="H262" s="89" t="e">
        <f t="shared" si="2357"/>
        <v>#DIV/0!</v>
      </c>
      <c r="I262" s="89" t="e">
        <f t="shared" si="2357"/>
        <v>#DIV/0!</v>
      </c>
      <c r="J262" s="89" t="e">
        <f t="shared" si="2357"/>
        <v>#DIV/0!</v>
      </c>
      <c r="K262" s="89" t="e">
        <f t="shared" si="2357"/>
        <v>#DIV/0!</v>
      </c>
      <c r="L262" s="89" t="e">
        <f t="shared" si="2357"/>
        <v>#DIV/0!</v>
      </c>
      <c r="M262" s="89" t="e">
        <f t="shared" si="2357"/>
        <v>#DIV/0!</v>
      </c>
      <c r="N262" s="89" t="e">
        <f t="shared" si="2357"/>
        <v>#DIV/0!</v>
      </c>
      <c r="O262" s="89" t="e">
        <f t="shared" si="2357"/>
        <v>#DIV/0!</v>
      </c>
      <c r="P262" s="89" t="e">
        <f t="shared" si="2357"/>
        <v>#DIV/0!</v>
      </c>
      <c r="Q262" s="89" t="e">
        <f t="shared" si="2357"/>
        <v>#DIV/0!</v>
      </c>
      <c r="R262" s="89" t="e">
        <f t="shared" si="2357"/>
        <v>#DIV/0!</v>
      </c>
      <c r="S262" s="89">
        <f t="shared" si="2357"/>
        <v>6.7053854276663216E-2</v>
      </c>
      <c r="T262" s="89">
        <f t="shared" si="2357"/>
        <v>-9.5497278574962929E-2</v>
      </c>
      <c r="U262" s="89">
        <f t="shared" si="2357"/>
        <v>0.13949671772428873</v>
      </c>
      <c r="V262" s="89">
        <f t="shared" si="2357"/>
        <v>0.32597215554488712</v>
      </c>
      <c r="W262" s="89">
        <f t="shared" si="2357"/>
        <v>-0.14120202751629252</v>
      </c>
      <c r="X262" s="89">
        <f t="shared" si="2357"/>
        <v>-2.6559865092748769E-2</v>
      </c>
      <c r="Y262" s="89">
        <f t="shared" si="2357"/>
        <v>0.14205283672585534</v>
      </c>
      <c r="Z262" s="89">
        <f t="shared" si="2357"/>
        <v>-8.7220326128175985E-2</v>
      </c>
      <c r="AA262" s="89">
        <f t="shared" si="2357"/>
        <v>0.28084752804320723</v>
      </c>
      <c r="AB262" s="47">
        <f t="shared" si="2357"/>
        <v>0.12318930908793324</v>
      </c>
      <c r="AC262" s="47">
        <f t="shared" si="2357"/>
        <v>0.13133740011417738</v>
      </c>
      <c r="AD262" s="47">
        <f t="shared" si="2357"/>
        <v>7.4409669880875162E-2</v>
      </c>
      <c r="AE262" s="47">
        <f t="shared" si="2357"/>
        <v>7.1128804298269621E-2</v>
      </c>
      <c r="AL262" s="89" t="e">
        <f t="shared" ref="AL262:CW262" si="2358">AL40/AK40-1</f>
        <v>#DIV/0!</v>
      </c>
      <c r="AM262" s="89" t="e">
        <f t="shared" si="2358"/>
        <v>#DIV/0!</v>
      </c>
      <c r="AN262" s="89" t="e">
        <f t="shared" si="2358"/>
        <v>#DIV/0!</v>
      </c>
      <c r="AO262" s="89" t="e">
        <f t="shared" si="2358"/>
        <v>#DIV/0!</v>
      </c>
      <c r="AP262" s="89" t="e">
        <f t="shared" si="2358"/>
        <v>#DIV/0!</v>
      </c>
      <c r="AQ262" s="89" t="e">
        <f t="shared" si="2358"/>
        <v>#DIV/0!</v>
      </c>
      <c r="AR262" s="89" t="e">
        <f t="shared" si="2358"/>
        <v>#DIV/0!</v>
      </c>
      <c r="AS262" s="89" t="e">
        <f t="shared" si="2358"/>
        <v>#DIV/0!</v>
      </c>
      <c r="AT262" s="89" t="e">
        <f t="shared" si="2358"/>
        <v>#DIV/0!</v>
      </c>
      <c r="AU262" s="89" t="e">
        <f t="shared" si="2358"/>
        <v>#DIV/0!</v>
      </c>
      <c r="AV262" s="89" t="e">
        <f t="shared" si="2358"/>
        <v>#DIV/0!</v>
      </c>
      <c r="AW262" s="89" t="e">
        <f t="shared" si="2358"/>
        <v>#DIV/0!</v>
      </c>
      <c r="AX262" s="89" t="e">
        <f t="shared" si="2358"/>
        <v>#DIV/0!</v>
      </c>
      <c r="AY262" s="89" t="e">
        <f t="shared" si="2358"/>
        <v>#DIV/0!</v>
      </c>
      <c r="AZ262" s="89" t="e">
        <f t="shared" si="2358"/>
        <v>#DIV/0!</v>
      </c>
      <c r="BA262" s="89" t="e">
        <f t="shared" si="2358"/>
        <v>#DIV/0!</v>
      </c>
      <c r="BB262" s="89" t="e">
        <f t="shared" si="2358"/>
        <v>#DIV/0!</v>
      </c>
      <c r="BC262" s="89" t="e">
        <f t="shared" si="2358"/>
        <v>#DIV/0!</v>
      </c>
      <c r="BD262" s="89" t="e">
        <f t="shared" si="2358"/>
        <v>#DIV/0!</v>
      </c>
      <c r="BE262" s="89" t="e">
        <f t="shared" si="2358"/>
        <v>#DIV/0!</v>
      </c>
      <c r="BF262" s="89">
        <f t="shared" si="2358"/>
        <v>0.18619246861924688</v>
      </c>
      <c r="BG262" s="89">
        <f t="shared" si="2358"/>
        <v>-0.10758377425044097</v>
      </c>
      <c r="BH262" s="89">
        <f t="shared" si="2358"/>
        <v>-0.31225296442687744</v>
      </c>
      <c r="BI262" s="89">
        <f t="shared" si="2358"/>
        <v>9.1954022988505857E-2</v>
      </c>
      <c r="BJ262" s="89">
        <f t="shared" si="2358"/>
        <v>0.70789473684210535</v>
      </c>
      <c r="BK262" s="89">
        <f t="shared" si="2358"/>
        <v>2.6194144838212585E-2</v>
      </c>
      <c r="BL262" s="89">
        <f t="shared" si="2358"/>
        <v>-0.2927927927927928</v>
      </c>
      <c r="BM262" s="89">
        <f t="shared" si="2358"/>
        <v>-3.3970276008492561E-2</v>
      </c>
      <c r="BN262" s="89">
        <f t="shared" si="2358"/>
        <v>7.2527472527472492E-2</v>
      </c>
      <c r="BO262" s="89">
        <f t="shared" si="2358"/>
        <v>0.26024590163934436</v>
      </c>
      <c r="BP262" s="89">
        <f t="shared" si="2358"/>
        <v>0.13495934959349598</v>
      </c>
      <c r="BQ262" s="89">
        <f t="shared" si="2358"/>
        <v>-2.4355300859598805E-2</v>
      </c>
      <c r="BR262" s="89">
        <f t="shared" si="2358"/>
        <v>0.12775330396475781</v>
      </c>
      <c r="BS262" s="89">
        <f t="shared" si="2358"/>
        <v>-7.161458333333337E-2</v>
      </c>
      <c r="BT262" s="89">
        <f t="shared" si="2358"/>
        <v>-0.12903225806451613</v>
      </c>
      <c r="BU262" s="89">
        <f t="shared" si="2358"/>
        <v>-0.34138486312399352</v>
      </c>
      <c r="BV262" s="89">
        <f t="shared" si="2358"/>
        <v>0.66992665036674826</v>
      </c>
      <c r="BW262" s="89">
        <f t="shared" si="2358"/>
        <v>-0.14202049780380677</v>
      </c>
      <c r="BX262" s="89">
        <f t="shared" si="2358"/>
        <v>-0.35324232081911267</v>
      </c>
      <c r="BY262" s="89">
        <f t="shared" si="2358"/>
        <v>0.69920844327176779</v>
      </c>
      <c r="BZ262" s="89">
        <f t="shared" si="2358"/>
        <v>0.10248447204968936</v>
      </c>
      <c r="CA262" s="89">
        <f t="shared" si="2358"/>
        <v>-0.13661971830985919</v>
      </c>
      <c r="CB262" s="89">
        <f t="shared" si="2358"/>
        <v>-3.2626427406199032E-2</v>
      </c>
      <c r="CC262" s="89">
        <f t="shared" si="2358"/>
        <v>0.31365935919055654</v>
      </c>
      <c r="CD262" s="89">
        <f t="shared" si="2358"/>
        <v>-0.16046213093709882</v>
      </c>
      <c r="CE262" s="89">
        <f t="shared" si="2358"/>
        <v>2.2935779816513735E-2</v>
      </c>
      <c r="CF262" s="89">
        <f t="shared" si="2358"/>
        <v>-0.35127055306427502</v>
      </c>
      <c r="CG262" s="89">
        <f t="shared" si="2358"/>
        <v>0.17741935483870974</v>
      </c>
      <c r="CH262" s="89">
        <f t="shared" si="2358"/>
        <v>0.55185909980430536</v>
      </c>
      <c r="CI262" s="89">
        <f t="shared" si="2358"/>
        <v>0.11349306431273654</v>
      </c>
      <c r="CJ262" s="89">
        <f t="shared" si="2358"/>
        <v>-0.21177802944507362</v>
      </c>
      <c r="CK262" s="89">
        <f t="shared" si="2358"/>
        <v>-0.13505747126436785</v>
      </c>
      <c r="CL262" s="89">
        <f t="shared" si="2358"/>
        <v>0.49833887043189362</v>
      </c>
      <c r="CM262" s="47">
        <f t="shared" si="2358"/>
        <v>-8.8027389098186526E-2</v>
      </c>
      <c r="CN262" s="47">
        <f t="shared" si="2358"/>
        <v>-5.7121245133164855E-2</v>
      </c>
      <c r="CO262" s="47">
        <f t="shared" si="2358"/>
        <v>6.1183139520036844E-2</v>
      </c>
      <c r="CP262" s="47">
        <f t="shared" si="2358"/>
        <v>0.26541071551373308</v>
      </c>
      <c r="CQ262" s="47">
        <f t="shared" si="2358"/>
        <v>-0.1383666662375943</v>
      </c>
      <c r="CR262" s="47">
        <f t="shared" si="2358"/>
        <v>-9.600855956116372E-3</v>
      </c>
      <c r="CS262" s="47">
        <f t="shared" si="2358"/>
        <v>7.5612168655678547E-2</v>
      </c>
      <c r="CT262" s="47">
        <f t="shared" si="2358"/>
        <v>0.22950756044668363</v>
      </c>
      <c r="CU262" s="47">
        <f t="shared" si="2358"/>
        <v>-0.16914555952970245</v>
      </c>
      <c r="CV262" s="47">
        <f t="shared" si="2358"/>
        <v>-1.0167573171119604E-2</v>
      </c>
      <c r="CW262" s="47">
        <f t="shared" si="2358"/>
        <v>6.225541886333974E-2</v>
      </c>
      <c r="CX262" s="47">
        <f t="shared" ref="CX262:DB262" si="2359">CX40/CW40-1</f>
        <v>0.2066319126721754</v>
      </c>
      <c r="CY262" s="47">
        <f t="shared" si="2359"/>
        <v>-0.15206865503127365</v>
      </c>
      <c r="CZ262" s="47">
        <f t="shared" si="2359"/>
        <v>-1.2960677743540594E-2</v>
      </c>
      <c r="DA262" s="47">
        <f t="shared" si="2359"/>
        <v>5.8649373814986694E-2</v>
      </c>
      <c r="DB262" s="47">
        <f t="shared" si="2359"/>
        <v>0.20522834204680129</v>
      </c>
      <c r="DE262" s="130"/>
      <c r="DF262" s="89">
        <v>0.28084752804320723</v>
      </c>
    </row>
    <row r="263" spans="1:110" s="103" customFormat="1" x14ac:dyDescent="0.2">
      <c r="A263" s="147" t="s">
        <v>105</v>
      </c>
      <c r="C263" s="103" t="e">
        <f>IF(C261&gt;C262,"RF",0)</f>
        <v>#DIV/0!</v>
      </c>
      <c r="D263" s="103" t="e">
        <f t="shared" ref="D263:U263" si="2360">IF(D261&gt;D262,"RF",0)</f>
        <v>#DIV/0!</v>
      </c>
      <c r="F263" s="103" t="e">
        <f t="shared" si="2360"/>
        <v>#DIV/0!</v>
      </c>
      <c r="G263" s="103" t="e">
        <f t="shared" si="2360"/>
        <v>#DIV/0!</v>
      </c>
      <c r="H263" s="103" t="e">
        <f t="shared" si="2360"/>
        <v>#DIV/0!</v>
      </c>
      <c r="I263" s="103" t="e">
        <f t="shared" si="2360"/>
        <v>#DIV/0!</v>
      </c>
      <c r="J263" s="103" t="e">
        <f t="shared" si="2360"/>
        <v>#DIV/0!</v>
      </c>
      <c r="K263" s="103" t="e">
        <f t="shared" si="2360"/>
        <v>#DIV/0!</v>
      </c>
      <c r="L263" s="103" t="e">
        <f t="shared" si="2360"/>
        <v>#DIV/0!</v>
      </c>
      <c r="M263" s="103" t="e">
        <f t="shared" si="2360"/>
        <v>#DIV/0!</v>
      </c>
      <c r="N263" s="103" t="e">
        <f t="shared" si="2360"/>
        <v>#DIV/0!</v>
      </c>
      <c r="O263" s="103" t="e">
        <f t="shared" si="2360"/>
        <v>#DIV/0!</v>
      </c>
      <c r="P263" s="103" t="e">
        <f t="shared" si="2360"/>
        <v>#DIV/0!</v>
      </c>
      <c r="Q263" s="103" t="e">
        <f t="shared" si="2360"/>
        <v>#DIV/0!</v>
      </c>
      <c r="R263" s="103" t="e">
        <f t="shared" si="2360"/>
        <v>#DIV/0!</v>
      </c>
      <c r="S263" s="103">
        <f t="shared" si="2360"/>
        <v>0</v>
      </c>
      <c r="T263" s="103">
        <f t="shared" si="2360"/>
        <v>0</v>
      </c>
      <c r="U263" s="103">
        <f t="shared" si="2360"/>
        <v>0</v>
      </c>
      <c r="V263" s="103">
        <f>IF(V261&gt;V262,"RF",0)</f>
        <v>0</v>
      </c>
      <c r="W263" s="103">
        <f t="shared" ref="W263:AE263" si="2361">IF(W261&gt;W262,"RF",0)</f>
        <v>0</v>
      </c>
      <c r="X263" s="103" t="str">
        <f t="shared" si="2361"/>
        <v>RF</v>
      </c>
      <c r="Y263" s="103" t="str">
        <f t="shared" si="2361"/>
        <v>RF</v>
      </c>
      <c r="Z263" s="103" t="str">
        <f t="shared" si="2361"/>
        <v>RF</v>
      </c>
      <c r="AA263" s="103" t="str">
        <f t="shared" ref="AA263" si="2362">IF(AA261&gt;AA262,"RF",0)</f>
        <v>RF</v>
      </c>
      <c r="AB263" s="73">
        <f t="shared" si="2361"/>
        <v>0</v>
      </c>
      <c r="AC263" s="73">
        <f t="shared" si="2361"/>
        <v>0</v>
      </c>
      <c r="AD263" s="73">
        <f t="shared" si="2361"/>
        <v>0</v>
      </c>
      <c r="AE263" s="73">
        <f t="shared" si="2361"/>
        <v>0</v>
      </c>
      <c r="AL263" s="103" t="e">
        <f t="shared" ref="AL263:CW263" si="2363">IF(AL261&gt;AL262,"RF",0)</f>
        <v>#DIV/0!</v>
      </c>
      <c r="AM263" s="103" t="e">
        <f t="shared" si="2363"/>
        <v>#DIV/0!</v>
      </c>
      <c r="AN263" s="103" t="e">
        <f t="shared" si="2363"/>
        <v>#DIV/0!</v>
      </c>
      <c r="AO263" s="103" t="e">
        <f t="shared" si="2363"/>
        <v>#DIV/0!</v>
      </c>
      <c r="AP263" s="103" t="e">
        <f t="shared" si="2363"/>
        <v>#DIV/0!</v>
      </c>
      <c r="AQ263" s="103" t="e">
        <f t="shared" si="2363"/>
        <v>#DIV/0!</v>
      </c>
      <c r="AR263" s="103" t="e">
        <f t="shared" si="2363"/>
        <v>#DIV/0!</v>
      </c>
      <c r="AS263" s="103" t="e">
        <f t="shared" si="2363"/>
        <v>#DIV/0!</v>
      </c>
      <c r="AT263" s="103" t="e">
        <f t="shared" si="2363"/>
        <v>#DIV/0!</v>
      </c>
      <c r="AU263" s="103" t="e">
        <f t="shared" si="2363"/>
        <v>#DIV/0!</v>
      </c>
      <c r="AV263" s="103" t="e">
        <f t="shared" si="2363"/>
        <v>#DIV/0!</v>
      </c>
      <c r="AW263" s="103" t="e">
        <f t="shared" si="2363"/>
        <v>#DIV/0!</v>
      </c>
      <c r="AX263" s="103" t="e">
        <f t="shared" si="2363"/>
        <v>#DIV/0!</v>
      </c>
      <c r="AY263" s="103" t="e">
        <f t="shared" si="2363"/>
        <v>#DIV/0!</v>
      </c>
      <c r="AZ263" s="103" t="e">
        <f t="shared" si="2363"/>
        <v>#DIV/0!</v>
      </c>
      <c r="BA263" s="103" t="e">
        <f t="shared" si="2363"/>
        <v>#DIV/0!</v>
      </c>
      <c r="BB263" s="103" t="e">
        <f t="shared" si="2363"/>
        <v>#DIV/0!</v>
      </c>
      <c r="BC263" s="103" t="e">
        <f t="shared" si="2363"/>
        <v>#DIV/0!</v>
      </c>
      <c r="BD263" s="103" t="e">
        <f t="shared" si="2363"/>
        <v>#DIV/0!</v>
      </c>
      <c r="BE263" s="103" t="e">
        <f t="shared" si="2363"/>
        <v>#DIV/0!</v>
      </c>
      <c r="BF263" s="103" t="e">
        <f t="shared" si="2363"/>
        <v>#DIV/0!</v>
      </c>
      <c r="BG263" s="103" t="e">
        <f t="shared" si="2363"/>
        <v>#DIV/0!</v>
      </c>
      <c r="BH263" s="103" t="e">
        <f t="shared" si="2363"/>
        <v>#DIV/0!</v>
      </c>
      <c r="BI263" s="103" t="e">
        <f t="shared" si="2363"/>
        <v>#DIV/0!</v>
      </c>
      <c r="BJ263" s="103" t="e">
        <f t="shared" si="2363"/>
        <v>#DIV/0!</v>
      </c>
      <c r="BK263" s="103">
        <f t="shared" si="2363"/>
        <v>0</v>
      </c>
      <c r="BL263" s="103" t="str">
        <f t="shared" si="2363"/>
        <v>RF</v>
      </c>
      <c r="BM263" s="103" t="str">
        <f t="shared" si="2363"/>
        <v>RF</v>
      </c>
      <c r="BN263" s="103" t="str">
        <f t="shared" si="2363"/>
        <v>RF</v>
      </c>
      <c r="BO263" s="103">
        <f t="shared" si="2363"/>
        <v>0</v>
      </c>
      <c r="BP263" s="103">
        <f t="shared" si="2363"/>
        <v>0</v>
      </c>
      <c r="BQ263" s="103" t="str">
        <f t="shared" si="2363"/>
        <v>RF</v>
      </c>
      <c r="BR263" s="103">
        <f t="shared" si="2363"/>
        <v>0</v>
      </c>
      <c r="BS263" s="103" t="str">
        <f t="shared" si="2363"/>
        <v>RF</v>
      </c>
      <c r="BT263" s="103">
        <f t="shared" si="2363"/>
        <v>0</v>
      </c>
      <c r="BU263" s="103" t="str">
        <f t="shared" si="2363"/>
        <v>RF</v>
      </c>
      <c r="BV263" s="103">
        <f t="shared" si="2363"/>
        <v>0</v>
      </c>
      <c r="BW263" s="103" t="str">
        <f t="shared" si="2363"/>
        <v>RF</v>
      </c>
      <c r="BX263" s="103" t="str">
        <f t="shared" si="2363"/>
        <v>RF</v>
      </c>
      <c r="BY263" s="103">
        <f t="shared" si="2363"/>
        <v>0</v>
      </c>
      <c r="BZ263" s="103" t="str">
        <f t="shared" si="2363"/>
        <v>RF</v>
      </c>
      <c r="CA263" s="103" t="str">
        <f t="shared" si="2363"/>
        <v>RF</v>
      </c>
      <c r="CB263" s="103" t="str">
        <f t="shared" si="2363"/>
        <v>RF</v>
      </c>
      <c r="CC263" s="103">
        <f t="shared" si="2363"/>
        <v>0</v>
      </c>
      <c r="CD263" s="103" t="str">
        <f t="shared" si="2363"/>
        <v>RF</v>
      </c>
      <c r="CE263" s="103">
        <f t="shared" si="2363"/>
        <v>0</v>
      </c>
      <c r="CF263" s="103" t="str">
        <f t="shared" si="2363"/>
        <v>RF</v>
      </c>
      <c r="CG263" s="103">
        <f t="shared" si="2363"/>
        <v>0</v>
      </c>
      <c r="CH263" s="103">
        <f t="shared" si="2363"/>
        <v>0</v>
      </c>
      <c r="CI263" s="103">
        <f t="shared" si="2363"/>
        <v>0</v>
      </c>
      <c r="CJ263" s="103" t="str">
        <f t="shared" si="2363"/>
        <v>RF</v>
      </c>
      <c r="CK263" s="103" t="str">
        <f t="shared" si="2363"/>
        <v>RF</v>
      </c>
      <c r="CL263" s="103">
        <f t="shared" ref="CL263" si="2364">IF(CL261&gt;CL262,"RF",0)</f>
        <v>0</v>
      </c>
      <c r="CM263" s="73" t="str">
        <f t="shared" si="2363"/>
        <v>RF</v>
      </c>
      <c r="CN263" s="73" t="str">
        <f t="shared" si="2363"/>
        <v>RF</v>
      </c>
      <c r="CO263" s="73">
        <f t="shared" si="2363"/>
        <v>0</v>
      </c>
      <c r="CP263" s="73">
        <f t="shared" si="2363"/>
        <v>0</v>
      </c>
      <c r="CQ263" s="73" t="str">
        <f t="shared" si="2363"/>
        <v>RF</v>
      </c>
      <c r="CR263" s="73" t="str">
        <f t="shared" si="2363"/>
        <v>RF</v>
      </c>
      <c r="CS263" s="73">
        <f t="shared" si="2363"/>
        <v>0</v>
      </c>
      <c r="CT263" s="73">
        <f t="shared" si="2363"/>
        <v>0</v>
      </c>
      <c r="CU263" s="73" t="str">
        <f t="shared" si="2363"/>
        <v>RF</v>
      </c>
      <c r="CV263" s="73" t="str">
        <f t="shared" si="2363"/>
        <v>RF</v>
      </c>
      <c r="CW263" s="73">
        <f t="shared" si="2363"/>
        <v>0</v>
      </c>
      <c r="CX263" s="73">
        <f t="shared" ref="CX263:DB263" si="2365">IF(CX261&gt;CX262,"RF",0)</f>
        <v>0</v>
      </c>
      <c r="CY263" s="73" t="str">
        <f t="shared" si="2365"/>
        <v>RF</v>
      </c>
      <c r="CZ263" s="73" t="str">
        <f t="shared" si="2365"/>
        <v>RF</v>
      </c>
      <c r="DA263" s="73">
        <f t="shared" si="2365"/>
        <v>0</v>
      </c>
      <c r="DB263" s="73">
        <f t="shared" si="2365"/>
        <v>0</v>
      </c>
      <c r="DE263" s="142"/>
      <c r="DF263" s="103" t="s">
        <v>533</v>
      </c>
    </row>
    <row r="264" spans="1:110" s="86" customFormat="1" x14ac:dyDescent="0.2">
      <c r="A264" s="86" t="s">
        <v>432</v>
      </c>
      <c r="B264" s="86" t="e">
        <f>B48/B20</f>
        <v>#DIV/0!</v>
      </c>
      <c r="C264" s="86" t="e">
        <f>C48/C20</f>
        <v>#DIV/0!</v>
      </c>
      <c r="D264" s="86" t="e">
        <f>D48/D20</f>
        <v>#DIV/0!</v>
      </c>
      <c r="F264" s="86" t="e">
        <f t="shared" ref="F264:AE264" si="2366">F48/F20</f>
        <v>#DIV/0!</v>
      </c>
      <c r="G264" s="86" t="e">
        <f t="shared" si="2366"/>
        <v>#DIV/0!</v>
      </c>
      <c r="H264" s="86" t="e">
        <f t="shared" si="2366"/>
        <v>#DIV/0!</v>
      </c>
      <c r="I264" s="86" t="e">
        <f t="shared" si="2366"/>
        <v>#DIV/0!</v>
      </c>
      <c r="J264" s="86" t="e">
        <f t="shared" si="2366"/>
        <v>#DIV/0!</v>
      </c>
      <c r="K264" s="86" t="e">
        <f t="shared" si="2366"/>
        <v>#DIV/0!</v>
      </c>
      <c r="L264" s="86" t="e">
        <f t="shared" si="2366"/>
        <v>#DIV/0!</v>
      </c>
      <c r="M264" s="86" t="e">
        <f t="shared" si="2366"/>
        <v>#DIV/0!</v>
      </c>
      <c r="N264" s="86" t="e">
        <f t="shared" si="2366"/>
        <v>#DIV/0!</v>
      </c>
      <c r="O264" s="86" t="e">
        <f t="shared" si="2366"/>
        <v>#DIV/0!</v>
      </c>
      <c r="P264" s="86" t="e">
        <f t="shared" si="2366"/>
        <v>#DIV/0!</v>
      </c>
      <c r="Q264" s="86" t="e">
        <f t="shared" si="2366"/>
        <v>#DIV/0!</v>
      </c>
      <c r="R264" s="86">
        <f t="shared" si="2366"/>
        <v>0.1026378896882494</v>
      </c>
      <c r="S264" s="86">
        <f t="shared" si="2366"/>
        <v>7.8509119746233147E-2</v>
      </c>
      <c r="T264" s="86">
        <f t="shared" si="2366"/>
        <v>5.4208136051792442E-2</v>
      </c>
      <c r="U264" s="86">
        <f t="shared" si="2366"/>
        <v>3.9107175797823281E-2</v>
      </c>
      <c r="V264" s="86">
        <f t="shared" si="2366"/>
        <v>2.7823956601627439E-2</v>
      </c>
      <c r="W264" s="86">
        <f t="shared" si="2366"/>
        <v>1.5489609692508243E-2</v>
      </c>
      <c r="X264" s="86">
        <f t="shared" si="2366"/>
        <v>1.504049363671423E-2</v>
      </c>
      <c r="Y264" s="86">
        <f t="shared" si="2366"/>
        <v>2.2452303396928806E-2</v>
      </c>
      <c r="Z264" s="86">
        <f t="shared" si="2366"/>
        <v>2.2816949734088179E-2</v>
      </c>
      <c r="AA264" s="86">
        <f t="shared" ref="AA264" si="2367">AA48/AA20</f>
        <v>2.6200873362445413E-2</v>
      </c>
      <c r="AB264" s="87">
        <f t="shared" si="2366"/>
        <v>1.20668620356695E-2</v>
      </c>
      <c r="AC264" s="87">
        <f t="shared" si="2366"/>
        <v>1.0858208516227728E-2</v>
      </c>
      <c r="AD264" s="87">
        <f t="shared" si="2366"/>
        <v>6.2227709196224753E-3</v>
      </c>
      <c r="AE264" s="87">
        <f t="shared" si="2366"/>
        <v>-4.5015784609997982E-3</v>
      </c>
      <c r="AL264" s="86" t="e">
        <f t="shared" ref="AL264:CW264" si="2368">AL48/AL20</f>
        <v>#DIV/0!</v>
      </c>
      <c r="AM264" s="86" t="e">
        <f t="shared" si="2368"/>
        <v>#DIV/0!</v>
      </c>
      <c r="AN264" s="86" t="e">
        <f t="shared" si="2368"/>
        <v>#DIV/0!</v>
      </c>
      <c r="AO264" s="86" t="e">
        <f t="shared" si="2368"/>
        <v>#DIV/0!</v>
      </c>
      <c r="AP264" s="86" t="e">
        <f t="shared" si="2368"/>
        <v>#DIV/0!</v>
      </c>
      <c r="AQ264" s="86" t="e">
        <f t="shared" si="2368"/>
        <v>#DIV/0!</v>
      </c>
      <c r="AR264" s="86" t="e">
        <f t="shared" si="2368"/>
        <v>#DIV/0!</v>
      </c>
      <c r="AS264" s="86" t="e">
        <f t="shared" si="2368"/>
        <v>#DIV/0!</v>
      </c>
      <c r="AT264" s="86" t="e">
        <f t="shared" si="2368"/>
        <v>#DIV/0!</v>
      </c>
      <c r="AU264" s="86" t="e">
        <f t="shared" si="2368"/>
        <v>#DIV/0!</v>
      </c>
      <c r="AV264" s="86" t="e">
        <f t="shared" si="2368"/>
        <v>#DIV/0!</v>
      </c>
      <c r="AW264" s="86" t="e">
        <f t="shared" si="2368"/>
        <v>#DIV/0!</v>
      </c>
      <c r="AX264" s="86" t="e">
        <f t="shared" si="2368"/>
        <v>#DIV/0!</v>
      </c>
      <c r="AY264" s="86" t="e">
        <f t="shared" si="2368"/>
        <v>#DIV/0!</v>
      </c>
      <c r="AZ264" s="86" t="e">
        <f t="shared" si="2368"/>
        <v>#DIV/0!</v>
      </c>
      <c r="BA264" s="86" t="e">
        <f t="shared" si="2368"/>
        <v>#DIV/0!</v>
      </c>
      <c r="BB264" s="86" t="e">
        <f t="shared" si="2368"/>
        <v>#DIV/0!</v>
      </c>
      <c r="BC264" s="86" t="e">
        <f t="shared" si="2368"/>
        <v>#DIV/0!</v>
      </c>
      <c r="BD264" s="86" t="e">
        <f t="shared" si="2368"/>
        <v>#DIV/0!</v>
      </c>
      <c r="BE264" s="86">
        <f t="shared" si="2368"/>
        <v>7.9748670855485745E-2</v>
      </c>
      <c r="BF264" s="86">
        <f t="shared" si="2368"/>
        <v>5.4794520547945202E-2</v>
      </c>
      <c r="BG264" s="86">
        <f t="shared" si="2368"/>
        <v>6.1233108108108107E-2</v>
      </c>
      <c r="BH264" s="86">
        <f t="shared" si="2368"/>
        <v>8.7184373511195803E-2</v>
      </c>
      <c r="BI264" s="86">
        <f t="shared" si="2368"/>
        <v>5.4066543438077631E-2</v>
      </c>
      <c r="BJ264" s="86">
        <f t="shared" si="2368"/>
        <v>3.7297677691766361E-2</v>
      </c>
      <c r="BK264" s="86">
        <f t="shared" si="2368"/>
        <v>4.690579424517146E-2</v>
      </c>
      <c r="BL264" s="86">
        <f t="shared" si="2368"/>
        <v>4.4275491949910553E-2</v>
      </c>
      <c r="BM264" s="86">
        <f t="shared" si="2368"/>
        <v>3.8461538461538464E-2</v>
      </c>
      <c r="BN264" s="86">
        <f t="shared" si="2368"/>
        <v>4.1884816753926704E-2</v>
      </c>
      <c r="BO264" s="86">
        <f t="shared" si="2368"/>
        <v>3.8926880589163597E-2</v>
      </c>
      <c r="BP264" s="86">
        <f t="shared" si="2368"/>
        <v>3.1560743623000431E-2</v>
      </c>
      <c r="BQ264" s="86">
        <f t="shared" si="2368"/>
        <v>3.4344172451589335E-2</v>
      </c>
      <c r="BR264" s="86">
        <f t="shared" si="2368"/>
        <v>1.9676293240241192E-2</v>
      </c>
      <c r="BS264" s="86">
        <f t="shared" si="2368"/>
        <v>2.3157082207641837E-2</v>
      </c>
      <c r="BT264" s="86">
        <f t="shared" si="2368"/>
        <v>1.9372336303758234E-2</v>
      </c>
      <c r="BU264" s="86">
        <f t="shared" si="2368"/>
        <v>1.7190929041697146E-2</v>
      </c>
      <c r="BV264" s="86">
        <f t="shared" si="2368"/>
        <v>1.3313609467455622E-2</v>
      </c>
      <c r="BW264" s="86">
        <f t="shared" si="2368"/>
        <v>1.4233797698364628E-2</v>
      </c>
      <c r="BX264" s="86">
        <f t="shared" si="2368"/>
        <v>1.8175698418041064E-2</v>
      </c>
      <c r="BY264" s="86">
        <f t="shared" si="2368"/>
        <v>2.0566318926974664E-2</v>
      </c>
      <c r="BZ264" s="86">
        <f t="shared" si="2368"/>
        <v>1.6347381864623246E-2</v>
      </c>
      <c r="CA264" s="86">
        <f t="shared" si="2368"/>
        <v>2.2883926109732562E-2</v>
      </c>
      <c r="CB264" s="86">
        <f t="shared" si="2368"/>
        <v>3.2032984459245163E-2</v>
      </c>
      <c r="CC264" s="86">
        <f t="shared" si="2368"/>
        <v>2.9966703662597113E-2</v>
      </c>
      <c r="CD264" s="86">
        <f t="shared" si="2368"/>
        <v>2.1824936150452751E-2</v>
      </c>
      <c r="CE264" s="86">
        <f t="shared" si="2368"/>
        <v>2.623584645125656E-2</v>
      </c>
      <c r="CF264" s="86">
        <f t="shared" si="2368"/>
        <v>3.1746031746031744E-2</v>
      </c>
      <c r="CG264" s="86">
        <f t="shared" si="2368"/>
        <v>3.1751021691292049E-2</v>
      </c>
      <c r="CH264" s="86">
        <f t="shared" si="2368"/>
        <v>2.5666096308970911E-2</v>
      </c>
      <c r="CI264" s="86">
        <f t="shared" si="2368"/>
        <v>2.9702970297029702E-2</v>
      </c>
      <c r="CJ264" s="86">
        <f t="shared" si="2368"/>
        <v>3.5703833772314897E-2</v>
      </c>
      <c r="CK264" s="86">
        <f t="shared" si="2368"/>
        <v>3.3656588705077012E-2</v>
      </c>
      <c r="CL264" s="86">
        <f t="shared" ref="CL264" si="2369">CL48/CL20</f>
        <v>3.109540636042403E-2</v>
      </c>
      <c r="CM264" s="87">
        <f t="shared" si="2368"/>
        <v>1.196327799459442E-2</v>
      </c>
      <c r="CN264" s="87">
        <f t="shared" si="2368"/>
        <v>1.293178151197292E-2</v>
      </c>
      <c r="CO264" s="87">
        <f t="shared" si="2368"/>
        <v>1.2855881050666268E-2</v>
      </c>
      <c r="CP264" s="87">
        <f t="shared" si="2368"/>
        <v>1.0819263354918656E-2</v>
      </c>
      <c r="CQ264" s="87">
        <f t="shared" si="2368"/>
        <v>1.2161778781381707E-2</v>
      </c>
      <c r="CR264" s="87">
        <f t="shared" si="2368"/>
        <v>1.1889734583801303E-2</v>
      </c>
      <c r="CS264" s="87">
        <f t="shared" si="2368"/>
        <v>1.1026798201768741E-2</v>
      </c>
      <c r="CT264" s="87">
        <f t="shared" si="2368"/>
        <v>8.871083732159021E-3</v>
      </c>
      <c r="CU264" s="87">
        <f t="shared" si="2368"/>
        <v>1.079488545812265E-2</v>
      </c>
      <c r="CV264" s="87">
        <f t="shared" si="2368"/>
        <v>7.6196899381078004E-3</v>
      </c>
      <c r="CW264" s="87">
        <f t="shared" si="2368"/>
        <v>5.0751337685234722E-3</v>
      </c>
      <c r="CX264" s="87">
        <f t="shared" ref="CX264:DB264" si="2370">CX48/CX20</f>
        <v>2.4417312253799568E-3</v>
      </c>
      <c r="CY264" s="87">
        <f t="shared" si="2370"/>
        <v>3.2477089595918558E-4</v>
      </c>
      <c r="CZ264" s="87">
        <f t="shared" si="2370"/>
        <v>-3.6979257203070852E-3</v>
      </c>
      <c r="DA264" s="87">
        <f t="shared" si="2370"/>
        <v>-6.2690985926892638E-3</v>
      </c>
      <c r="DB264" s="87">
        <f t="shared" si="2370"/>
        <v>-7.5046993648685981E-3</v>
      </c>
      <c r="DE264" s="141"/>
      <c r="DF264" s="86">
        <v>3.2423669278573361E-2</v>
      </c>
    </row>
    <row r="265" spans="1:110" s="86" customFormat="1" x14ac:dyDescent="0.2">
      <c r="A265" s="86" t="s">
        <v>433</v>
      </c>
      <c r="B265" s="86" t="e">
        <f>B44/B20</f>
        <v>#DIV/0!</v>
      </c>
      <c r="C265" s="86" t="e">
        <f>C44/C20</f>
        <v>#DIV/0!</v>
      </c>
      <c r="D265" s="86" t="e">
        <f>D44/D20</f>
        <v>#DIV/0!</v>
      </c>
      <c r="F265" s="86" t="e">
        <f t="shared" ref="F265:AE265" si="2371">F44/F20</f>
        <v>#DIV/0!</v>
      </c>
      <c r="G265" s="86" t="e">
        <f t="shared" si="2371"/>
        <v>#DIV/0!</v>
      </c>
      <c r="H265" s="86" t="e">
        <f t="shared" si="2371"/>
        <v>#DIV/0!</v>
      </c>
      <c r="I265" s="86" t="e">
        <f t="shared" si="2371"/>
        <v>#DIV/0!</v>
      </c>
      <c r="J265" s="86" t="e">
        <f t="shared" si="2371"/>
        <v>#DIV/0!</v>
      </c>
      <c r="K265" s="86" t="e">
        <f t="shared" si="2371"/>
        <v>#DIV/0!</v>
      </c>
      <c r="L265" s="86" t="e">
        <f t="shared" si="2371"/>
        <v>#DIV/0!</v>
      </c>
      <c r="M265" s="86" t="e">
        <f t="shared" si="2371"/>
        <v>#DIV/0!</v>
      </c>
      <c r="N265" s="86" t="e">
        <f t="shared" si="2371"/>
        <v>#DIV/0!</v>
      </c>
      <c r="O265" s="86" t="e">
        <f t="shared" si="2371"/>
        <v>#DIV/0!</v>
      </c>
      <c r="P265" s="86" t="e">
        <f t="shared" si="2371"/>
        <v>#DIV/0!</v>
      </c>
      <c r="Q265" s="86" t="e">
        <f t="shared" si="2371"/>
        <v>#DIV/0!</v>
      </c>
      <c r="R265" s="86">
        <f t="shared" si="2371"/>
        <v>0.14700239808153479</v>
      </c>
      <c r="S265" s="86">
        <f t="shared" si="2371"/>
        <v>0.13741928174917867</v>
      </c>
      <c r="T265" s="86">
        <f t="shared" si="2371"/>
        <v>0.12522949077205528</v>
      </c>
      <c r="U265" s="86">
        <f t="shared" si="2371"/>
        <v>0.14093340712045749</v>
      </c>
      <c r="V265" s="86">
        <f t="shared" si="2371"/>
        <v>0.10937089859130282</v>
      </c>
      <c r="W265" s="86">
        <f t="shared" si="2371"/>
        <v>9.4701326585384563E-2</v>
      </c>
      <c r="X265" s="86">
        <f t="shared" si="2371"/>
        <v>8.3879676050906279E-2</v>
      </c>
      <c r="Y265" s="86">
        <f t="shared" si="2371"/>
        <v>8.7133550488599346E-2</v>
      </c>
      <c r="Z265" s="86">
        <f t="shared" si="2371"/>
        <v>7.6113684451306687E-2</v>
      </c>
      <c r="AA265" s="86">
        <f t="shared" ref="AA265" si="2372">AA44/AA20</f>
        <v>7.3635371179039302E-2</v>
      </c>
      <c r="AB265" s="87">
        <f t="shared" si="2371"/>
        <v>0.11048237554043303</v>
      </c>
      <c r="AC265" s="87">
        <f t="shared" si="2371"/>
        <v>0.10674430335738309</v>
      </c>
      <c r="AD265" s="87">
        <f t="shared" si="2371"/>
        <v>0.10259964979570642</v>
      </c>
      <c r="AE265" s="87">
        <f t="shared" si="2371"/>
        <v>9.8275792417905461E-2</v>
      </c>
      <c r="AL265" s="86" t="e">
        <f t="shared" ref="AL265:CW265" si="2373">AL44/AL20</f>
        <v>#DIV/0!</v>
      </c>
      <c r="AM265" s="86" t="e">
        <f t="shared" si="2373"/>
        <v>#DIV/0!</v>
      </c>
      <c r="AN265" s="86" t="e">
        <f t="shared" si="2373"/>
        <v>#DIV/0!</v>
      </c>
      <c r="AO265" s="86" t="e">
        <f t="shared" si="2373"/>
        <v>#DIV/0!</v>
      </c>
      <c r="AP265" s="86" t="e">
        <f t="shared" si="2373"/>
        <v>#DIV/0!</v>
      </c>
      <c r="AQ265" s="86" t="e">
        <f t="shared" si="2373"/>
        <v>#DIV/0!</v>
      </c>
      <c r="AR265" s="86" t="e">
        <f t="shared" si="2373"/>
        <v>#DIV/0!</v>
      </c>
      <c r="AS265" s="86" t="e">
        <f t="shared" si="2373"/>
        <v>#DIV/0!</v>
      </c>
      <c r="AT265" s="86" t="e">
        <f t="shared" si="2373"/>
        <v>#DIV/0!</v>
      </c>
      <c r="AU265" s="86" t="e">
        <f t="shared" si="2373"/>
        <v>#DIV/0!</v>
      </c>
      <c r="AV265" s="86" t="e">
        <f t="shared" si="2373"/>
        <v>#DIV/0!</v>
      </c>
      <c r="AW265" s="86" t="e">
        <f t="shared" si="2373"/>
        <v>#DIV/0!</v>
      </c>
      <c r="AX265" s="86" t="e">
        <f t="shared" si="2373"/>
        <v>#DIV/0!</v>
      </c>
      <c r="AY265" s="86" t="e">
        <f t="shared" si="2373"/>
        <v>#DIV/0!</v>
      </c>
      <c r="AZ265" s="86" t="e">
        <f t="shared" si="2373"/>
        <v>#DIV/0!</v>
      </c>
      <c r="BA265" s="86" t="e">
        <f t="shared" si="2373"/>
        <v>#DIV/0!</v>
      </c>
      <c r="BB265" s="86" t="e">
        <f t="shared" si="2373"/>
        <v>#DIV/0!</v>
      </c>
      <c r="BC265" s="86" t="e">
        <f t="shared" si="2373"/>
        <v>#DIV/0!</v>
      </c>
      <c r="BD265" s="86" t="e">
        <f t="shared" si="2373"/>
        <v>#DIV/0!</v>
      </c>
      <c r="BE265" s="86">
        <f t="shared" si="2373"/>
        <v>0.14886418559690673</v>
      </c>
      <c r="BF265" s="86">
        <f t="shared" si="2373"/>
        <v>0.11910197869101978</v>
      </c>
      <c r="BG265" s="86">
        <f t="shared" si="2373"/>
        <v>0.12880067567567569</v>
      </c>
      <c r="BH265" s="86">
        <f t="shared" si="2373"/>
        <v>0.14435445450214388</v>
      </c>
      <c r="BI265" s="86">
        <f t="shared" si="2373"/>
        <v>0.15341959334565619</v>
      </c>
      <c r="BJ265" s="86">
        <f t="shared" si="2373"/>
        <v>0.12526389866291343</v>
      </c>
      <c r="BK265" s="86">
        <f t="shared" si="2373"/>
        <v>0.1348048876625936</v>
      </c>
      <c r="BL265" s="86">
        <f t="shared" si="2373"/>
        <v>0.18157423971377459</v>
      </c>
      <c r="BM265" s="86">
        <f t="shared" si="2373"/>
        <v>0.16749379652605459</v>
      </c>
      <c r="BN265" s="86">
        <f t="shared" si="2373"/>
        <v>0.15102698348771648</v>
      </c>
      <c r="BO265" s="86">
        <f t="shared" si="2373"/>
        <v>0.15675960021041557</v>
      </c>
      <c r="BP265" s="86">
        <f t="shared" si="2373"/>
        <v>0.12926934716817987</v>
      </c>
      <c r="BQ265" s="86">
        <f t="shared" si="2373"/>
        <v>0.11910851297040555</v>
      </c>
      <c r="BR265" s="86">
        <f t="shared" si="2373"/>
        <v>0.10377657886385275</v>
      </c>
      <c r="BS265" s="86">
        <f t="shared" si="2373"/>
        <v>0.1146275569278271</v>
      </c>
      <c r="BT265" s="86">
        <f t="shared" si="2373"/>
        <v>0.1173963580007749</v>
      </c>
      <c r="BU265" s="86">
        <f t="shared" si="2373"/>
        <v>0.11046086320409657</v>
      </c>
      <c r="BV265" s="86">
        <f t="shared" si="2373"/>
        <v>9.8520710059171596E-2</v>
      </c>
      <c r="BW265" s="86">
        <f t="shared" si="2373"/>
        <v>9.4488188976377951E-2</v>
      </c>
      <c r="BX265" s="86">
        <f t="shared" si="2373"/>
        <v>0.11174688657017839</v>
      </c>
      <c r="BY265" s="86">
        <f t="shared" si="2373"/>
        <v>9.6870342771982115E-2</v>
      </c>
      <c r="BZ265" s="86">
        <f t="shared" si="2373"/>
        <v>8.5823754789272025E-2</v>
      </c>
      <c r="CA265" s="86">
        <f t="shared" si="2373"/>
        <v>0.11000827129859388</v>
      </c>
      <c r="CB265" s="86">
        <f t="shared" si="2373"/>
        <v>0.12718046305106248</v>
      </c>
      <c r="CC265" s="86">
        <f t="shared" si="2373"/>
        <v>0.10266370699223086</v>
      </c>
      <c r="CD265" s="86">
        <f t="shared" si="2373"/>
        <v>7.6155096354771301E-2</v>
      </c>
      <c r="CE265" s="86">
        <f t="shared" si="2373"/>
        <v>8.7544877105771884E-2</v>
      </c>
      <c r="CF265" s="86">
        <f t="shared" si="2373"/>
        <v>0.10884353741496598</v>
      </c>
      <c r="CG265" s="86">
        <f t="shared" si="2373"/>
        <v>0.11442942470921094</v>
      </c>
      <c r="CH265" s="86">
        <f t="shared" si="2373"/>
        <v>7.6753849914446351E-2</v>
      </c>
      <c r="CI265" s="86">
        <f t="shared" si="2373"/>
        <v>8.8558855885588553E-2</v>
      </c>
      <c r="CJ265" s="86">
        <f t="shared" si="2373"/>
        <v>9.4234708808896686E-2</v>
      </c>
      <c r="CK265" s="86">
        <f t="shared" si="2373"/>
        <v>9.6976611523103246E-2</v>
      </c>
      <c r="CL265" s="86">
        <f t="shared" ref="CL265" si="2374">CL44/CL20</f>
        <v>8.5983510011778563E-2</v>
      </c>
      <c r="CM265" s="87">
        <f t="shared" si="2373"/>
        <v>0.11560788933462159</v>
      </c>
      <c r="CN265" s="87">
        <f t="shared" si="2373"/>
        <v>0.11982780058014719</v>
      </c>
      <c r="CO265" s="87">
        <f t="shared" si="2373"/>
        <v>0.11463879370461361</v>
      </c>
      <c r="CP265" s="87">
        <f t="shared" si="2373"/>
        <v>9.5580880809789395E-2</v>
      </c>
      <c r="CQ265" s="87">
        <f t="shared" si="2373"/>
        <v>0.11287548148240807</v>
      </c>
      <c r="CR265" s="87">
        <f t="shared" si="2373"/>
        <v>0.11569755265692175</v>
      </c>
      <c r="CS265" s="87">
        <f t="shared" si="2373"/>
        <v>0.11018385709294926</v>
      </c>
      <c r="CT265" s="87">
        <f t="shared" si="2373"/>
        <v>9.1990239278952599E-2</v>
      </c>
      <c r="CU265" s="87">
        <f t="shared" si="2373"/>
        <v>0.10881321791757521</v>
      </c>
      <c r="CV265" s="87">
        <f t="shared" si="2373"/>
        <v>0.11118780444779566</v>
      </c>
      <c r="CW265" s="87">
        <f t="shared" si="2373"/>
        <v>0.10577461159899368</v>
      </c>
      <c r="CX265" s="87">
        <f t="shared" ref="CX265:DB265" si="2375">CX44/CX20</f>
        <v>8.8289871307513548E-2</v>
      </c>
      <c r="CY265" s="87">
        <f t="shared" si="2375"/>
        <v>0.10437237254849492</v>
      </c>
      <c r="CZ265" s="87">
        <f t="shared" si="2375"/>
        <v>0.10652457271707477</v>
      </c>
      <c r="DA265" s="87">
        <f t="shared" si="2375"/>
        <v>0.10126769673921883</v>
      </c>
      <c r="DB265" s="87">
        <f t="shared" si="2375"/>
        <v>8.4476773543913461E-2</v>
      </c>
      <c r="DE265" s="141"/>
      <c r="DF265" s="86">
        <v>9.1124020534990538E-2</v>
      </c>
    </row>
    <row r="266" spans="1:110" s="85" customFormat="1" x14ac:dyDescent="0.2">
      <c r="AB266" s="58"/>
      <c r="AC266" s="58"/>
      <c r="AD266" s="58"/>
      <c r="AE266" s="58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E266" s="143"/>
    </row>
  </sheetData>
  <sortState xmlns:xlrd2="http://schemas.microsoft.com/office/spreadsheetml/2017/richdata2" ref="A32:DE37">
    <sortCondition ref="A32:A3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293380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Dalmia Bharat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2069</v>
      </c>
      <c r="Z6">
        <f>_xll.EQNXTDZ($A$1,$B6,Z$1,$B$1)</f>
        <v>2628</v>
      </c>
      <c r="AA6">
        <f>_xll.EQNXTDZ($A$1,$B6,AA$1,$B$1)</f>
        <v>2368</v>
      </c>
      <c r="AB6">
        <f>_xll.EQNXTDZ($A$1,$B6,AB$1,$B$1)</f>
        <v>2099</v>
      </c>
      <c r="AC6">
        <f>_xll.EQNXTDZ($A$1,$B6,AC$1,$B$1)</f>
        <v>2164</v>
      </c>
      <c r="AD6">
        <f>_xll.EQNXTDZ($A$1,$B6,AD$1,$B$1)</f>
        <v>2842</v>
      </c>
      <c r="AE6">
        <f>_xll.EQNXTDZ($A$1,$B6,AE$1,$B$1)</f>
        <v>2537</v>
      </c>
      <c r="AF6">
        <f>_xll.EQNXTDZ($A$1,$B6,AF$1,$B$1)</f>
        <v>2236</v>
      </c>
      <c r="AG6">
        <f>_xll.EQNXTDZ($A$1,$B6,AG$1,$B$1)</f>
        <v>2418</v>
      </c>
      <c r="AH6">
        <f>_xll.EQNXTDZ($A$1,$B6,AH$1,$B$1)</f>
        <v>2483</v>
      </c>
      <c r="AI6">
        <f>_xll.EQNXTDZ($A$1,$B6,AI$1,$B$1)</f>
        <v>1901</v>
      </c>
      <c r="AJ6">
        <f>_xll.EQNXTDZ($A$1,$B6,AJ$1,$B$1)</f>
        <v>2313</v>
      </c>
      <c r="AK6">
        <f>_xll.EQNXTDZ($A$1,$B6,AK$1,$B$1)</f>
        <v>2737</v>
      </c>
      <c r="AL6">
        <f>_xll.EQNXTDZ($A$1,$B6,AL$1,$B$1)</f>
        <v>3151</v>
      </c>
      <c r="AM6">
        <f>_xll.EQNXTDZ($A$1,$B6,AM$1,$B$1)</f>
        <v>2591</v>
      </c>
      <c r="AN6">
        <f>_xll.EQNXTDZ($A$1,$B6,AN$1,$B$1)</f>
        <v>2581</v>
      </c>
      <c r="AO6">
        <f>_xll.EQNXTDZ($A$1,$B6,AO$1,$B$1)</f>
        <v>2734</v>
      </c>
      <c r="AP6">
        <f>_xll.EQNXTDZ($A$1,$B6,AP$1,$B$1)</f>
        <v>3380</v>
      </c>
      <c r="AQ6">
        <f>_xll.EQNXTDZ($A$1,$B6,AQ$1,$B$1)</f>
        <v>3302</v>
      </c>
      <c r="AR6">
        <f>_xll.EQNXTDZ($A$1,$B6,AR$1,$B$1)</f>
        <v>2971</v>
      </c>
      <c r="AS6">
        <f>_xll.EQNXTDZ($A$1,$B6,AS$1,$B$1)</f>
        <v>3355</v>
      </c>
      <c r="AT6">
        <f>_xll.EQNXTDZ($A$1,$B6,AT$1,$B$1)</f>
        <v>3915</v>
      </c>
      <c r="AU6">
        <f>_xll.EQNXTDZ($A$1,$B6,AU$1,$B$1)</f>
        <v>3627</v>
      </c>
      <c r="AV6">
        <f>_xll.EQNXTDZ($A$1,$B6,AV$1,$B$1)</f>
        <v>3153</v>
      </c>
      <c r="AW6">
        <f>_xll.EQNXTDZ($A$1,$B6,AW$1,$B$1)</f>
        <v>3604</v>
      </c>
      <c r="AX6">
        <f>_xll.EQNXTDZ($A$1,$B6,AX$1,$B$1)</f>
        <v>4307</v>
      </c>
      <c r="AY6">
        <f>_xll.EQNXTDZ($A$1,$B6,AY$1,$B$1)</f>
        <v>3621</v>
      </c>
      <c r="AZ6">
        <f>_xll.EQNXTDZ($A$1,$B6,AZ$1,$B$1)</f>
        <v>3087</v>
      </c>
      <c r="BA6">
        <f>_xll.EQNXTDZ($A$1,$B6,BA$1,$B$1)</f>
        <v>3181</v>
      </c>
      <c r="BB6">
        <f>_xll.EQNXTDZ($A$1,$B6,BB$1,$B$1)</f>
        <v>4091</v>
      </c>
      <c r="BC6">
        <f>_xll.EQNXTDZ($A$1,$B6,BC$1,$B$1)</f>
        <v>3636</v>
      </c>
      <c r="BD6">
        <f>_xll.EQNXTDZ($A$1,$B6,BD$1,$B$1)</f>
        <v>3417</v>
      </c>
      <c r="BE6">
        <f>_xll.EQNXTDZ($A$1,$B6,BE$1,$B$1)</f>
        <v>3506</v>
      </c>
      <c r="BF6">
        <f>_xll.EQNXTDZ($A$1,$B6,BF$1,$B$1)</f>
        <v>4245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2069</v>
      </c>
      <c r="Z9">
        <f>_xll.EQNXTDZ($A$1,$B9,Z$1,$B$1)</f>
        <v>2628</v>
      </c>
      <c r="AA9">
        <f>_xll.EQNXTDZ($A$1,$B9,AA$1,$B$1)</f>
        <v>2368</v>
      </c>
      <c r="AB9">
        <f>_xll.EQNXTDZ($A$1,$B9,AB$1,$B$1)</f>
        <v>2099</v>
      </c>
      <c r="AC9">
        <f>_xll.EQNXTDZ($A$1,$B9,AC$1,$B$1)</f>
        <v>2164</v>
      </c>
      <c r="AD9">
        <f>_xll.EQNXTDZ($A$1,$B9,AD$1,$B$1)</f>
        <v>2842</v>
      </c>
      <c r="AE9">
        <f>_xll.EQNXTDZ($A$1,$B9,AE$1,$B$1)</f>
        <v>2537</v>
      </c>
      <c r="AF9">
        <f>_xll.EQNXTDZ($A$1,$B9,AF$1,$B$1)</f>
        <v>2236</v>
      </c>
      <c r="AG9">
        <f>_xll.EQNXTDZ($A$1,$B9,AG$1,$B$1)</f>
        <v>2418</v>
      </c>
      <c r="AH9">
        <f>_xll.EQNXTDZ($A$1,$B9,AH$1,$B$1)</f>
        <v>2483</v>
      </c>
      <c r="AI9">
        <f>_xll.EQNXTDZ($A$1,$B9,AI$1,$B$1)</f>
        <v>1901</v>
      </c>
      <c r="AJ9">
        <f>_xll.EQNXTDZ($A$1,$B9,AJ$1,$B$1)</f>
        <v>2313</v>
      </c>
      <c r="AK9">
        <f>_xll.EQNXTDZ($A$1,$B9,AK$1,$B$1)</f>
        <v>2737</v>
      </c>
      <c r="AL9">
        <f>_xll.EQNXTDZ($A$1,$B9,AL$1,$B$1)</f>
        <v>3151</v>
      </c>
      <c r="AM9">
        <f>_xll.EQNXTDZ($A$1,$B9,AM$1,$B$1)</f>
        <v>2591</v>
      </c>
      <c r="AN9">
        <f>_xll.EQNXTDZ($A$1,$B9,AN$1,$B$1)</f>
        <v>2581</v>
      </c>
      <c r="AO9">
        <f>_xll.EQNXTDZ($A$1,$B9,AO$1,$B$1)</f>
        <v>2734</v>
      </c>
      <c r="AP9">
        <f>_xll.EQNXTDZ($A$1,$B9,AP$1,$B$1)</f>
        <v>3380</v>
      </c>
      <c r="AQ9">
        <f>_xll.EQNXTDZ($A$1,$B9,AQ$1,$B$1)</f>
        <v>3302</v>
      </c>
      <c r="AR9">
        <f>_xll.EQNXTDZ($A$1,$B9,AR$1,$B$1)</f>
        <v>2971</v>
      </c>
      <c r="AS9">
        <f>_xll.EQNXTDZ($A$1,$B9,AS$1,$B$1)</f>
        <v>3355</v>
      </c>
      <c r="AT9">
        <f>_xll.EQNXTDZ($A$1,$B9,AT$1,$B$1)</f>
        <v>3915</v>
      </c>
      <c r="AU9">
        <f>_xll.EQNXTDZ($A$1,$B9,AU$1,$B$1)</f>
        <v>3627</v>
      </c>
      <c r="AV9">
        <f>_xll.EQNXTDZ($A$1,$B9,AV$1,$B$1)</f>
        <v>3153</v>
      </c>
      <c r="AW9">
        <f>_xll.EQNXTDZ($A$1,$B9,AW$1,$B$1)</f>
        <v>3604</v>
      </c>
      <c r="AX9">
        <f>_xll.EQNXTDZ($A$1,$B9,AX$1,$B$1)</f>
        <v>4307</v>
      </c>
      <c r="AY9">
        <f>_xll.EQNXTDZ($A$1,$B9,AY$1,$B$1)</f>
        <v>3621</v>
      </c>
      <c r="AZ9">
        <f>_xll.EQNXTDZ($A$1,$B9,AZ$1,$B$1)</f>
        <v>3087</v>
      </c>
      <c r="BA9">
        <f>_xll.EQNXTDZ($A$1,$B9,BA$1,$B$1)</f>
        <v>3181</v>
      </c>
      <c r="BB9">
        <f>_xll.EQNXTDZ($A$1,$B9,BB$1,$B$1)</f>
        <v>4091</v>
      </c>
      <c r="BC9">
        <f>_xll.EQNXTDZ($A$1,$B9,BC$1,$B$1)</f>
        <v>3636</v>
      </c>
      <c r="BD9">
        <f>_xll.EQNXTDZ($A$1,$B9,BD$1,$B$1)</f>
        <v>3417</v>
      </c>
      <c r="BE9">
        <f>_xll.EQNXTDZ($A$1,$B9,BE$1,$B$1)</f>
        <v>3506</v>
      </c>
      <c r="BF9">
        <f>_xll.EQNXTDZ($A$1,$B9,BF$1,$B$1)</f>
        <v>4245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29</v>
      </c>
      <c r="Z10">
        <f>_xll.EQNXTDZ($A$1,$B10,Z$1,$B$1)</f>
        <v>66</v>
      </c>
      <c r="AA10">
        <f>_xll.EQNXTDZ($A$1,$B10,AA$1,$B$1)</f>
        <v>-22</v>
      </c>
      <c r="AB10">
        <f>_xll.EQNXTDZ($A$1,$B10,AB$1,$B$1)</f>
        <v>-68</v>
      </c>
      <c r="AC10">
        <f>_xll.EQNXTDZ($A$1,$B10,AC$1,$B$1)</f>
        <v>-67</v>
      </c>
      <c r="AD10">
        <f>_xll.EQNXTDZ($A$1,$B10,AD$1,$B$1)</f>
        <v>10</v>
      </c>
      <c r="AE10">
        <f>_xll.EQNXTDZ($A$1,$B10,AE$1,$B$1)</f>
        <v>21</v>
      </c>
      <c r="AF10">
        <f>_xll.EQNXTDZ($A$1,$B10,AF$1,$B$1)</f>
        <v>9</v>
      </c>
      <c r="AG10">
        <f>_xll.EQNXTDZ($A$1,$B10,AG$1,$B$1)</f>
        <v>6</v>
      </c>
      <c r="AH10">
        <f>_xll.EQNXTDZ($A$1,$B10,AH$1,$B$1)</f>
        <v>-11</v>
      </c>
      <c r="AI10">
        <f>_xll.EQNXTDZ($A$1,$B10,AI$1,$B$1)</f>
        <v>53</v>
      </c>
      <c r="AJ10">
        <f>_xll.EQNXTDZ($A$1,$B10,AJ$1,$B$1)</f>
        <v>7</v>
      </c>
      <c r="AK10">
        <f>_xll.EQNXTDZ($A$1,$B10,AK$1,$B$1)</f>
        <v>32</v>
      </c>
      <c r="AL10">
        <f>_xll.EQNXTDZ($A$1,$B10,AL$1,$B$1)</f>
        <v>-32</v>
      </c>
      <c r="AM10">
        <f>_xll.EQNXTDZ($A$1,$B10,AM$1,$B$1)</f>
        <v>-142</v>
      </c>
      <c r="AN10">
        <f>_xll.EQNXTDZ($A$1,$B10,AN$1,$B$1)</f>
        <v>2</v>
      </c>
      <c r="AO10">
        <f>_xll.EQNXTDZ($A$1,$B10,AO$1,$B$1)</f>
        <v>83</v>
      </c>
      <c r="AP10">
        <f>_xll.EQNXTDZ($A$1,$B10,AP$1,$B$1)</f>
        <v>-8</v>
      </c>
      <c r="AQ10">
        <f>_xll.EQNXTDZ($A$1,$B10,AQ$1,$B$1)</f>
        <v>-21</v>
      </c>
      <c r="AR10">
        <f>_xll.EQNXTDZ($A$1,$B10,AR$1,$B$1)</f>
        <v>-4</v>
      </c>
      <c r="AS10">
        <f>_xll.EQNXTDZ($A$1,$B10,AS$1,$B$1)</f>
        <v>-124</v>
      </c>
      <c r="AT10">
        <f>_xll.EQNXTDZ($A$1,$B10,AT$1,$B$1)</f>
        <v>172</v>
      </c>
      <c r="AU10">
        <f>_xll.EQNXTDZ($A$1,$B10,AU$1,$B$1)</f>
        <v>-68</v>
      </c>
      <c r="AV10">
        <f>_xll.EQNXTDZ($A$1,$B10,AV$1,$B$1)</f>
        <v>-39</v>
      </c>
      <c r="AW10">
        <f>_xll.EQNXTDZ($A$1,$B10,AW$1,$B$1)</f>
        <v>-14</v>
      </c>
      <c r="AX10">
        <f>_xll.EQNXTDZ($A$1,$B10,AX$1,$B$1)</f>
        <v>137</v>
      </c>
      <c r="AY10">
        <f>_xll.EQNXTDZ($A$1,$B10,AY$1,$B$1)</f>
        <v>-80</v>
      </c>
      <c r="AZ10">
        <f>_xll.EQNXTDZ($A$1,$B10,AZ$1,$B$1)</f>
        <v>-83</v>
      </c>
      <c r="BA10">
        <f>_xll.EQNXTDZ($A$1,$B10,BA$1,$B$1)</f>
        <v>2</v>
      </c>
      <c r="BB10">
        <f>_xll.EQNXTDZ($A$1,$B10,BB$1,$B$1)</f>
        <v>142</v>
      </c>
      <c r="BC10">
        <f>_xll.EQNXTDZ($A$1,$B10,BC$1,$B$1)</f>
        <v>-101</v>
      </c>
      <c r="BD10">
        <f>_xll.EQNXTDZ($A$1,$B10,BD$1,$B$1)</f>
        <v>-42</v>
      </c>
      <c r="BE10">
        <f>_xll.EQNXTDZ($A$1,$B10,BE$1,$B$1)</f>
        <v>10</v>
      </c>
      <c r="BF10">
        <f>_xll.EQNXTDZ($A$1,$B10,BF$1,$B$1)</f>
        <v>147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321</v>
      </c>
      <c r="Z11">
        <f>_xll.EQNXTDZ($A$1,$B11,Z$1,$B$1)</f>
        <v>391</v>
      </c>
      <c r="AA11">
        <f>_xll.EQNXTDZ($A$1,$B11,AA$1,$B$1)</f>
        <v>446</v>
      </c>
      <c r="AB11">
        <f>_xll.EQNXTDZ($A$1,$B11,AB$1,$B$1)</f>
        <v>414</v>
      </c>
      <c r="AC11">
        <f>_xll.EQNXTDZ($A$1,$B11,AC$1,$B$1)</f>
        <v>424</v>
      </c>
      <c r="AD11">
        <f>_xll.EQNXTDZ($A$1,$B11,AD$1,$B$1)</f>
        <v>510</v>
      </c>
      <c r="AE11">
        <f>_xll.EQNXTDZ($A$1,$B11,AE$1,$B$1)</f>
        <v>372</v>
      </c>
      <c r="AF11">
        <f>_xll.EQNXTDZ($A$1,$B11,AF$1,$B$1)</f>
        <v>351</v>
      </c>
      <c r="AG11">
        <f>_xll.EQNXTDZ($A$1,$B11,AG$1,$B$1)</f>
        <v>415</v>
      </c>
      <c r="AH11">
        <f>_xll.EQNXTDZ($A$1,$B11,AH$1,$B$1)</f>
        <v>516</v>
      </c>
      <c r="AI11">
        <f>_xll.EQNXTDZ($A$1,$B11,AI$1,$B$1)</f>
        <v>256</v>
      </c>
      <c r="AJ11">
        <f>_xll.EQNXTDZ($A$1,$B11,AJ$1,$B$1)</f>
        <v>323</v>
      </c>
      <c r="AK11">
        <f>_xll.EQNXTDZ($A$1,$B11,AK$1,$B$1)</f>
        <v>377</v>
      </c>
      <c r="AL11">
        <f>_xll.EQNXTDZ($A$1,$B11,AL$1,$B$1)</f>
        <v>518</v>
      </c>
      <c r="AM11">
        <f>_xll.EQNXTDZ($A$1,$B11,AM$1,$B$1)</f>
        <v>407</v>
      </c>
      <c r="AN11">
        <f>_xll.EQNXTDZ($A$1,$B11,AN$1,$B$1)</f>
        <v>330</v>
      </c>
      <c r="AO11">
        <f>_xll.EQNXTDZ($A$1,$B11,AO$1,$B$1)</f>
        <v>356</v>
      </c>
      <c r="AP11">
        <f>_xll.EQNXTDZ($A$1,$B11,AP$1,$B$1)</f>
        <v>437</v>
      </c>
      <c r="AQ11">
        <f>_xll.EQNXTDZ($A$1,$B11,AQ$1,$B$1)</f>
        <v>439</v>
      </c>
      <c r="AR11">
        <f>_xll.EQNXTDZ($A$1,$B11,AR$1,$B$1)</f>
        <v>442</v>
      </c>
      <c r="AS11">
        <f>_xll.EQNXTDZ($A$1,$B11,AS$1,$B$1)</f>
        <v>493</v>
      </c>
      <c r="AT11">
        <f>_xll.EQNXTDZ($A$1,$B11,AT$1,$B$1)</f>
        <v>532</v>
      </c>
      <c r="AU11">
        <f>_xll.EQNXTDZ($A$1,$B11,AU$1,$B$1)</f>
        <v>538</v>
      </c>
      <c r="AV11">
        <f>_xll.EQNXTDZ($A$1,$B11,AV$1,$B$1)</f>
        <v>455</v>
      </c>
      <c r="AW11">
        <f>_xll.EQNXTDZ($A$1,$B11,AW$1,$B$1)</f>
        <v>500</v>
      </c>
      <c r="AX11">
        <f>_xll.EQNXTDZ($A$1,$B11,AX$1,$B$1)</f>
        <v>627</v>
      </c>
      <c r="AY11">
        <f>_xll.EQNXTDZ($A$1,$B11,AY$1,$B$1)</f>
        <v>579</v>
      </c>
      <c r="AZ11">
        <f>_xll.EQNXTDZ($A$1,$B11,AZ$1,$B$1)</f>
        <v>528</v>
      </c>
      <c r="BA11">
        <f>_xll.EQNXTDZ($A$1,$B11,BA$1,$B$1)</f>
        <v>510</v>
      </c>
      <c r="BB11">
        <f>_xll.EQNXTDZ($A$1,$B11,BB$1,$B$1)</f>
        <v>624</v>
      </c>
      <c r="BC11">
        <f>_xll.EQNXTDZ($A$1,$B11,BC$1,$B$1)</f>
        <v>568</v>
      </c>
      <c r="BD11">
        <f>_xll.EQNXTDZ($A$1,$B11,BD$1,$B$1)</f>
        <v>547</v>
      </c>
      <c r="BE11">
        <f>_xll.EQNXTDZ($A$1,$B11,BE$1,$B$1)</f>
        <v>574</v>
      </c>
      <c r="BF11">
        <f>_xll.EQNXTDZ($A$1,$B11,BF$1,$B$1)</f>
        <v>635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38</v>
      </c>
      <c r="Z12">
        <f>_xll.EQNXTDZ($A$1,$B12,Z$1,$B$1)</f>
        <v>60</v>
      </c>
      <c r="AA12">
        <f>_xll.EQNXTDZ($A$1,$B12,AA$1,$B$1)</f>
        <v>18</v>
      </c>
      <c r="AB12">
        <f>_xll.EQNXTDZ($A$1,$B12,AB$1,$B$1)</f>
        <v>9</v>
      </c>
      <c r="AC12">
        <f>_xll.EQNXTDZ($A$1,$B12,AC$1,$B$1)</f>
        <v>8</v>
      </c>
      <c r="AD12">
        <f>_xll.EQNXTDZ($A$1,$B12,AD$1,$B$1)</f>
        <v>103</v>
      </c>
      <c r="AE12">
        <f>_xll.EQNXTDZ($A$1,$B12,AE$1,$B$1)</f>
        <v>30</v>
      </c>
      <c r="AF12">
        <f>_xll.EQNXTDZ($A$1,$B12,AF$1,$B$1)</f>
        <v>16</v>
      </c>
      <c r="AG12">
        <f>_xll.EQNXTDZ($A$1,$B12,AG$1,$B$1)</f>
        <v>10</v>
      </c>
      <c r="AH12">
        <f>_xll.EQNXTDZ($A$1,$B12,AH$1,$B$1)</f>
        <v>11</v>
      </c>
      <c r="AI12">
        <f>_xll.EQNXTDZ($A$1,$B12,AI$1,$B$1)</f>
        <v>1</v>
      </c>
      <c r="AJ12">
        <f>_xll.EQNXTDZ($A$1,$B12,AJ$1,$B$1)</f>
        <v>4</v>
      </c>
      <c r="AK12">
        <f>_xll.EQNXTDZ($A$1,$B12,AK$1,$B$1)</f>
        <v>2</v>
      </c>
      <c r="AL12">
        <f>_xll.EQNXTDZ($A$1,$B12,AL$1,$B$1)</f>
        <v>2</v>
      </c>
      <c r="AM12">
        <f>_xll.EQNXTDZ($A$1,$B12,AM$1,$B$1)</f>
        <v>0</v>
      </c>
      <c r="AN12">
        <f>_xll.EQNXTDZ($A$1,$B12,AN$1,$B$1)</f>
        <v>2</v>
      </c>
      <c r="AO12">
        <f>_xll.EQNXTDZ($A$1,$B12,AO$1,$B$1)</f>
        <v>2</v>
      </c>
      <c r="AP12">
        <f>_xll.EQNXTDZ($A$1,$B12,AP$1,$B$1)</f>
        <v>3</v>
      </c>
      <c r="AQ12">
        <f>_xll.EQNXTDZ($A$1,$B12,AQ$1,$B$1)</f>
        <v>2</v>
      </c>
      <c r="AR12">
        <f>_xll.EQNXTDZ($A$1,$B12,AR$1,$B$1)</f>
        <v>3</v>
      </c>
      <c r="AS12">
        <f>_xll.EQNXTDZ($A$1,$B12,AS$1,$B$1)</f>
        <v>1</v>
      </c>
      <c r="AT12">
        <f>_xll.EQNXTDZ($A$1,$B12,AT$1,$B$1)</f>
        <v>46</v>
      </c>
      <c r="AU12">
        <f>_xll.EQNXTDZ($A$1,$B12,AU$1,$B$1)</f>
        <v>96</v>
      </c>
      <c r="AV12">
        <f>_xll.EQNXTDZ($A$1,$B12,AV$1,$B$1)</f>
        <v>117</v>
      </c>
      <c r="AW12">
        <f>_xll.EQNXTDZ($A$1,$B12,AW$1,$B$1)</f>
        <v>140</v>
      </c>
      <c r="AX12">
        <f>_xll.EQNXTDZ($A$1,$B12,AX$1,$B$1)</f>
        <v>214</v>
      </c>
      <c r="AY12">
        <f>_xll.EQNXTDZ($A$1,$B12,AY$1,$B$1)</f>
        <v>106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325</v>
      </c>
      <c r="Z14">
        <f>_xll.EQNXTDZ($A$1,$B14,Z$1,$B$1)</f>
        <v>473</v>
      </c>
      <c r="AA14">
        <f>_xll.EQNXTDZ($A$1,$B14,AA$1,$B$1)</f>
        <v>365</v>
      </c>
      <c r="AB14">
        <f>_xll.EQNXTDZ($A$1,$B14,AB$1,$B$1)</f>
        <v>368</v>
      </c>
      <c r="AC14">
        <f>_xll.EQNXTDZ($A$1,$B14,AC$1,$B$1)</f>
        <v>342</v>
      </c>
      <c r="AD14">
        <f>_xll.EQNXTDZ($A$1,$B14,AD$1,$B$1)</f>
        <v>957</v>
      </c>
      <c r="AE14">
        <f>_xll.EQNXTDZ($A$1,$B14,AE$1,$B$1)</f>
        <v>350</v>
      </c>
      <c r="AF14">
        <f>_xll.EQNXTDZ($A$1,$B14,AF$1,$B$1)</f>
        <v>373</v>
      </c>
      <c r="AG14">
        <f>_xll.EQNXTDZ($A$1,$B14,AG$1,$B$1)</f>
        <v>390</v>
      </c>
      <c r="AH14">
        <f>_xll.EQNXTDZ($A$1,$B14,AH$1,$B$1)</f>
        <v>909</v>
      </c>
      <c r="AI14">
        <f>_xll.EQNXTDZ($A$1,$B14,AI$1,$B$1)</f>
        <v>216</v>
      </c>
      <c r="AJ14">
        <f>_xll.EQNXTDZ($A$1,$B14,AJ$1,$B$1)</f>
        <v>304</v>
      </c>
      <c r="AK14">
        <f>_xll.EQNXTDZ($A$1,$B14,AK$1,$B$1)</f>
        <v>404</v>
      </c>
      <c r="AL14">
        <f>_xll.EQNXTDZ($A$1,$B14,AL$1,$B$1)</f>
        <v>1157</v>
      </c>
      <c r="AM14">
        <f>_xll.EQNXTDZ($A$1,$B14,AM$1,$B$1)</f>
        <v>393</v>
      </c>
      <c r="AN14">
        <f>_xll.EQNXTDZ($A$1,$B14,AN$1,$B$1)</f>
        <v>418</v>
      </c>
      <c r="AO14">
        <f>_xll.EQNXTDZ($A$1,$B14,AO$1,$B$1)</f>
        <v>436</v>
      </c>
      <c r="AP14">
        <f>_xll.EQNXTDZ($A$1,$B14,AP$1,$B$1)</f>
        <v>472</v>
      </c>
      <c r="AQ14">
        <f>_xll.EQNXTDZ($A$1,$B14,AQ$1,$B$1)</f>
        <v>464</v>
      </c>
      <c r="AR14">
        <f>_xll.EQNXTDZ($A$1,$B14,AR$1,$B$1)</f>
        <v>474</v>
      </c>
      <c r="AS14">
        <f>_xll.EQNXTDZ($A$1,$B14,AS$1,$B$1)</f>
        <v>482</v>
      </c>
      <c r="AT14">
        <f>_xll.EQNXTDZ($A$1,$B14,AT$1,$B$1)</f>
        <v>571</v>
      </c>
      <c r="AU14">
        <f>_xll.EQNXTDZ($A$1,$B14,AU$1,$B$1)</f>
        <v>515</v>
      </c>
      <c r="AV14">
        <f>_xll.EQNXTDZ($A$1,$B14,AV$1,$B$1)</f>
        <v>472</v>
      </c>
      <c r="AW14">
        <f>_xll.EQNXTDZ($A$1,$B14,AW$1,$B$1)</f>
        <v>509</v>
      </c>
      <c r="AX14">
        <f>_xll.EQNXTDZ($A$1,$B14,AX$1,$B$1)</f>
        <v>663</v>
      </c>
      <c r="AY14">
        <f>_xll.EQNXTDZ($A$1,$B14,AY$1,$B$1)</f>
        <v>532</v>
      </c>
      <c r="AZ14">
        <f>_xll.EQNXTDZ($A$1,$B14,AZ$1,$B$1)</f>
        <v>546</v>
      </c>
      <c r="BA14">
        <f>_xll.EQNXTDZ($A$1,$B14,BA$1,$B$1)</f>
        <v>521</v>
      </c>
      <c r="BB14">
        <f>_xll.EQNXTDZ($A$1,$B14,BB$1,$B$1)</f>
        <v>572</v>
      </c>
      <c r="BC14">
        <f>_xll.EQNXTDZ($A$1,$B14,BC$1,$B$1)</f>
        <v>539</v>
      </c>
      <c r="BD14">
        <f>_xll.EQNXTDZ($A$1,$B14,BD$1,$B$1)</f>
        <v>545</v>
      </c>
      <c r="BE14">
        <f>_xll.EQNXTDZ($A$1,$B14,BE$1,$B$1)</f>
        <v>579</v>
      </c>
      <c r="BF14">
        <f>_xll.EQNXTDZ($A$1,$B14,BF$1,$B$1)</f>
        <v>612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374</v>
      </c>
      <c r="Z15">
        <f>_xll.EQNXTDZ($A$1,$B15,Z$1,$B$1)</f>
        <v>403</v>
      </c>
      <c r="AA15">
        <f>_xll.EQNXTDZ($A$1,$B15,AA$1,$B$1)</f>
        <v>405</v>
      </c>
      <c r="AB15">
        <f>_xll.EQNXTDZ($A$1,$B15,AB$1,$B$1)</f>
        <v>429</v>
      </c>
      <c r="AC15">
        <f>_xll.EQNXTDZ($A$1,$B15,AC$1,$B$1)</f>
        <v>465</v>
      </c>
      <c r="AD15">
        <f>_xll.EQNXTDZ($A$1,$B15,AD$1,$B$1)</f>
        <v>457</v>
      </c>
      <c r="AE15">
        <f>_xll.EQNXTDZ($A$1,$B15,AE$1,$B$1)</f>
        <v>464</v>
      </c>
      <c r="AF15">
        <f>_xll.EQNXTDZ($A$1,$B15,AF$1,$B$1)</f>
        <v>430</v>
      </c>
      <c r="AG15">
        <f>_xll.EQNXTDZ($A$1,$B15,AG$1,$B$1)</f>
        <v>458</v>
      </c>
      <c r="AH15">
        <f>_xll.EQNXTDZ($A$1,$B15,AH$1,$B$1)</f>
        <v>386</v>
      </c>
      <c r="AI15">
        <f>_xll.EQNXTDZ($A$1,$B15,AI$1,$B$1)</f>
        <v>251</v>
      </c>
      <c r="AJ15">
        <f>_xll.EQNXTDZ($A$1,$B15,AJ$1,$B$1)</f>
        <v>346</v>
      </c>
      <c r="AK15">
        <f>_xll.EQNXTDZ($A$1,$B15,AK$1,$B$1)</f>
        <v>494</v>
      </c>
      <c r="AL15">
        <f>_xll.EQNXTDZ($A$1,$B15,AL$1,$B$1)</f>
        <v>563</v>
      </c>
      <c r="AM15">
        <f>_xll.EQNXTDZ($A$1,$B15,AM$1,$B$1)</f>
        <v>520</v>
      </c>
      <c r="AN15">
        <f>_xll.EQNXTDZ($A$1,$B15,AN$1,$B$1)</f>
        <v>507</v>
      </c>
      <c r="AO15">
        <f>_xll.EQNXTDZ($A$1,$B15,AO$1,$B$1)</f>
        <v>670</v>
      </c>
      <c r="AP15">
        <f>_xll.EQNXTDZ($A$1,$B15,AP$1,$B$1)</f>
        <v>873</v>
      </c>
      <c r="AQ15">
        <f>_xll.EQNXTDZ($A$1,$B15,AQ$1,$B$1)</f>
        <v>952</v>
      </c>
      <c r="AR15">
        <f>_xll.EQNXTDZ($A$1,$B15,AR$1,$B$1)</f>
        <v>892</v>
      </c>
      <c r="AS15">
        <f>_xll.EQNXTDZ($A$1,$B15,AS$1,$B$1)</f>
        <v>964</v>
      </c>
      <c r="AT15">
        <f>_xll.EQNXTDZ($A$1,$B15,AT$1,$B$1)</f>
        <v>871</v>
      </c>
      <c r="AU15">
        <f>_xll.EQNXTDZ($A$1,$B15,AU$1,$B$1)</f>
        <v>902</v>
      </c>
      <c r="AV15">
        <f>_xll.EQNXTDZ($A$1,$B15,AV$1,$B$1)</f>
        <v>698</v>
      </c>
      <c r="AW15">
        <f>_xll.EQNXTDZ($A$1,$B15,AW$1,$B$1)</f>
        <v>726</v>
      </c>
      <c r="AX15">
        <f>_xll.EQNXTDZ($A$1,$B15,AX$1,$B$1)</f>
        <v>790</v>
      </c>
      <c r="AY15">
        <f>_xll.EQNXTDZ($A$1,$B15,AY$1,$B$1)</f>
        <v>757</v>
      </c>
      <c r="AZ15">
        <f>_xll.EQNXTDZ($A$1,$B15,AZ$1,$B$1)</f>
        <v>707</v>
      </c>
      <c r="BA15">
        <f>_xll.EQNXTDZ($A$1,$B15,BA$1,$B$1)</f>
        <v>666</v>
      </c>
      <c r="BB15">
        <f>_xll.EQNXTDZ($A$1,$B15,BB$1,$B$1)</f>
        <v>773</v>
      </c>
      <c r="BC15">
        <f>_xll.EQNXTDZ($A$1,$B15,BC$1,$B$1)</f>
        <v>725</v>
      </c>
      <c r="BD15">
        <f>_xll.EQNXTDZ($A$1,$B15,BD$1,$B$1)</f>
        <v>717</v>
      </c>
      <c r="BE15">
        <f>_xll.EQNXTDZ($A$1,$B15,BE$1,$B$1)</f>
        <v>744</v>
      </c>
      <c r="BF15">
        <f>_xll.EQNXTDZ($A$1,$B15,BF$1,$B$1)</f>
        <v>794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157</v>
      </c>
      <c r="Z16">
        <f>_xll.EQNXTDZ($A$1,$B16,Z$1,$B$1)</f>
        <v>128</v>
      </c>
      <c r="AA16">
        <f>_xll.EQNXTDZ($A$1,$B16,AA$1,$B$1)</f>
        <v>168</v>
      </c>
      <c r="AB16">
        <f>_xll.EQNXTDZ($A$1,$B16,AB$1,$B$1)</f>
        <v>165</v>
      </c>
      <c r="AC16">
        <f>_xll.EQNXTDZ($A$1,$B16,AC$1,$B$1)</f>
        <v>159</v>
      </c>
      <c r="AD16">
        <f>_xll.EQNXTDZ($A$1,$B16,AD$1,$B$1)</f>
        <v>156</v>
      </c>
      <c r="AE16">
        <f>_xll.EQNXTDZ($A$1,$B16,AE$1,$B$1)</f>
        <v>173</v>
      </c>
      <c r="AF16">
        <f>_xll.EQNXTDZ($A$1,$B16,AF$1,$B$1)</f>
        <v>169</v>
      </c>
      <c r="AG16">
        <f>_xll.EQNXTDZ($A$1,$B16,AG$1,$B$1)</f>
        <v>169</v>
      </c>
      <c r="AH16">
        <f>_xll.EQNXTDZ($A$1,$B16,AH$1,$B$1)</f>
        <v>164</v>
      </c>
      <c r="AI16">
        <f>_xll.EQNXTDZ($A$1,$B16,AI$1,$B$1)</f>
        <v>162</v>
      </c>
      <c r="AJ16">
        <f>_xll.EQNXTDZ($A$1,$B16,AJ$1,$B$1)</f>
        <v>158</v>
      </c>
      <c r="AK16">
        <f>_xll.EQNXTDZ($A$1,$B16,AK$1,$B$1)</f>
        <v>164</v>
      </c>
      <c r="AL16">
        <f>_xll.EQNXTDZ($A$1,$B16,AL$1,$B$1)</f>
        <v>175</v>
      </c>
      <c r="AM16">
        <f>_xll.EQNXTDZ($A$1,$B16,AM$1,$B$1)</f>
        <v>183</v>
      </c>
      <c r="AN16">
        <f>_xll.EQNXTDZ($A$1,$B16,AN$1,$B$1)</f>
        <v>198</v>
      </c>
      <c r="AO16">
        <f>_xll.EQNXTDZ($A$1,$B16,AO$1,$B$1)</f>
        <v>184</v>
      </c>
      <c r="AP16">
        <f>_xll.EQNXTDZ($A$1,$B16,AP$1,$B$1)</f>
        <v>179</v>
      </c>
      <c r="AQ16">
        <f>_xll.EQNXTDZ($A$1,$B16,AQ$1,$B$1)</f>
        <v>198</v>
      </c>
      <c r="AR16">
        <f>_xll.EQNXTDZ($A$1,$B16,AR$1,$B$1)</f>
        <v>189</v>
      </c>
      <c r="AS16">
        <f>_xll.EQNXTDZ($A$1,$B16,AS$1,$B$1)</f>
        <v>193</v>
      </c>
      <c r="AT16">
        <f>_xll.EQNXTDZ($A$1,$B16,AT$1,$B$1)</f>
        <v>191</v>
      </c>
      <c r="AU16">
        <f>_xll.EQNXTDZ($A$1,$B16,AU$1,$B$1)</f>
        <v>222</v>
      </c>
      <c r="AV16">
        <f>_xll.EQNXTDZ($A$1,$B16,AV$1,$B$1)</f>
        <v>226</v>
      </c>
      <c r="AW16">
        <f>_xll.EQNXTDZ($A$1,$B16,AW$1,$B$1)</f>
        <v>221</v>
      </c>
      <c r="AX16">
        <f>_xll.EQNXTDZ($A$1,$B16,AX$1,$B$1)</f>
        <v>202</v>
      </c>
      <c r="AY16">
        <f>_xll.EQNXTDZ($A$1,$B16,AY$1,$B$1)</f>
        <v>228</v>
      </c>
      <c r="AZ16">
        <f>_xll.EQNXTDZ($A$1,$B16,AZ$1,$B$1)</f>
        <v>219</v>
      </c>
      <c r="BA16">
        <f>_xll.EQNXTDZ($A$1,$B16,BA$1,$B$1)</f>
        <v>223</v>
      </c>
      <c r="BB16">
        <f>_xll.EQNXTDZ($A$1,$B16,BB$1,$B$1)</f>
        <v>215</v>
      </c>
      <c r="BC16">
        <f>_xll.EQNXTDZ($A$1,$B16,BC$1,$B$1)</f>
        <v>227</v>
      </c>
      <c r="BD16">
        <f>_xll.EQNXTDZ($A$1,$B16,BD$1,$B$1)</f>
        <v>226</v>
      </c>
      <c r="BE16">
        <f>_xll.EQNXTDZ($A$1,$B16,BE$1,$B$1)</f>
        <v>224</v>
      </c>
      <c r="BF16">
        <f>_xll.EQNXTDZ($A$1,$B16,BF$1,$B$1)</f>
        <v>217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370</v>
      </c>
      <c r="Z18">
        <f>_xll.EQNXTDZ($A$1,$B18,Z$1,$B$1)</f>
        <v>527</v>
      </c>
      <c r="AA18">
        <f>_xll.EQNXTDZ($A$1,$B18,AA$1,$B$1)</f>
        <v>465</v>
      </c>
      <c r="AB18">
        <f>_xll.EQNXTDZ($A$1,$B18,AB$1,$B$1)</f>
        <v>392</v>
      </c>
      <c r="AC18">
        <f>_xll.EQNXTDZ($A$1,$B18,AC$1,$B$1)</f>
        <v>453</v>
      </c>
      <c r="AD18">
        <f>_xll.EQNXTDZ($A$1,$B18,AD$1,$B$1)</f>
        <v>0</v>
      </c>
      <c r="AE18">
        <f>_xll.EQNXTDZ($A$1,$B18,AE$1,$B$1)</f>
        <v>461</v>
      </c>
      <c r="AF18">
        <f>_xll.EQNXTDZ($A$1,$B18,AF$1,$B$1)</f>
        <v>413</v>
      </c>
      <c r="AG18">
        <f>_xll.EQNXTDZ($A$1,$B18,AG$1,$B$1)</f>
        <v>513</v>
      </c>
      <c r="AH18">
        <f>_xll.EQNXTDZ($A$1,$B18,AH$1,$B$1)</f>
        <v>0</v>
      </c>
      <c r="AI18">
        <f>_xll.EQNXTDZ($A$1,$B18,AI$1,$B$1)</f>
        <v>347</v>
      </c>
      <c r="AJ18">
        <f>_xll.EQNXTDZ($A$1,$B18,AJ$1,$B$1)</f>
        <v>473</v>
      </c>
      <c r="AK18">
        <f>_xll.EQNXTDZ($A$1,$B18,AK$1,$B$1)</f>
        <v>583</v>
      </c>
      <c r="AL18">
        <f>_xll.EQNXTDZ($A$1,$B18,AL$1,$B$1)</f>
        <v>0</v>
      </c>
      <c r="AM18">
        <f>_xll.EQNXTDZ($A$1,$B18,AM$1,$B$1)</f>
        <v>517</v>
      </c>
      <c r="AN18">
        <f>_xll.EQNXTDZ($A$1,$B18,AN$1,$B$1)</f>
        <v>503</v>
      </c>
      <c r="AO18">
        <f>_xll.EQNXTDZ($A$1,$B18,AO$1,$B$1)</f>
        <v>594</v>
      </c>
      <c r="AP18">
        <f>_xll.EQNXTDZ($A$1,$B18,AP$1,$B$1)</f>
        <v>741</v>
      </c>
      <c r="AQ18">
        <f>_xll.EQNXTDZ($A$1,$B18,AQ$1,$B$1)</f>
        <v>682</v>
      </c>
      <c r="AR18">
        <f>_xll.EQNXTDZ($A$1,$B18,AR$1,$B$1)</f>
        <v>596</v>
      </c>
      <c r="AS18">
        <f>_xll.EQNXTDZ($A$1,$B18,AS$1,$B$1)</f>
        <v>702</v>
      </c>
      <c r="AT18">
        <f>_xll.EQNXTDZ($A$1,$B18,AT$1,$B$1)</f>
        <v>822</v>
      </c>
      <c r="AU18">
        <f>_xll.EQNXTDZ($A$1,$B18,AU$1,$B$1)</f>
        <v>809</v>
      </c>
      <c r="AV18">
        <f>_xll.EQNXTDZ($A$1,$B18,AV$1,$B$1)</f>
        <v>631</v>
      </c>
      <c r="AW18">
        <f>_xll.EQNXTDZ($A$1,$B18,AW$1,$B$1)</f>
        <v>743</v>
      </c>
      <c r="AX18">
        <f>_xll.EQNXTDZ($A$1,$B18,AX$1,$B$1)</f>
        <v>1020</v>
      </c>
      <c r="AY18">
        <f>_xll.EQNXTDZ($A$1,$B18,AY$1,$B$1)</f>
        <v>830</v>
      </c>
      <c r="AZ18">
        <f>_xll.EQNXTDZ($A$1,$B18,AZ$1,$B$1)</f>
        <v>736</v>
      </c>
      <c r="BA18">
        <f>_xll.EQNXTDZ($A$1,$B18,BA$1,$B$1)</f>
        <v>748</v>
      </c>
      <c r="BB18">
        <f>_xll.EQNXTDZ($A$1,$B18,BB$1,$B$1)</f>
        <v>972</v>
      </c>
      <c r="BC18">
        <f>_xll.EQNXTDZ($A$1,$B18,BC$1,$B$1)</f>
        <v>795</v>
      </c>
      <c r="BD18">
        <f>_xll.EQNXTDZ($A$1,$B18,BD$1,$B$1)</f>
        <v>728</v>
      </c>
      <c r="BE18">
        <f>_xll.EQNXTDZ($A$1,$B18,BE$1,$B$1)</f>
        <v>773</v>
      </c>
      <c r="BF18">
        <f>_xll.EQNXTDZ($A$1,$B18,BF$1,$B$1)</f>
        <v>938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42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4</v>
      </c>
      <c r="AG19">
        <f>_xll.EQNXTDZ($A$1,$B19,AG$1,$B$1)</f>
        <v>2</v>
      </c>
      <c r="AH19">
        <f>_xll.EQNXTDZ($A$1,$B19,AH$1,$B$1)</f>
        <v>20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13</v>
      </c>
      <c r="AA20">
        <f>_xll.EQNXTDZ($A$1,$B20,AA$1,$B$1)</f>
        <v>17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-23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478</v>
      </c>
      <c r="Z22">
        <f>_xll.EQNXTDZ($A$1,$B22,Z$1,$B$1)</f>
        <v>567</v>
      </c>
      <c r="AA22">
        <f>_xll.EQNXTDZ($A$1,$B22,AA$1,$B$1)</f>
        <v>506</v>
      </c>
      <c r="AB22">
        <f>_xll.EQNXTDZ($A$1,$B22,AB$1,$B$1)</f>
        <v>348</v>
      </c>
      <c r="AC22">
        <f>_xll.EQNXTDZ($A$1,$B22,AC$1,$B$1)</f>
        <v>380</v>
      </c>
      <c r="AD22">
        <f>_xll.EQNXTDZ($A$1,$B22,AD$1,$B$1)</f>
        <v>649</v>
      </c>
      <c r="AE22">
        <f>_xll.EQNXTDZ($A$1,$B22,AE$1,$B$1)</f>
        <v>666</v>
      </c>
      <c r="AF22">
        <f>_xll.EQNXTDZ($A$1,$B22,AF$1,$B$1)</f>
        <v>471</v>
      </c>
      <c r="AG22">
        <f>_xll.EQNXTDZ($A$1,$B22,AG$1,$B$1)</f>
        <v>455</v>
      </c>
      <c r="AH22">
        <f>_xll.EQNXTDZ($A$1,$B22,AH$1,$B$1)</f>
        <v>488</v>
      </c>
      <c r="AI22">
        <f>_xll.EQNXTDZ($A$1,$B22,AI$1,$B$1)</f>
        <v>615</v>
      </c>
      <c r="AJ22">
        <f>_xll.EQNXTDZ($A$1,$B22,AJ$1,$B$1)</f>
        <v>698</v>
      </c>
      <c r="AK22">
        <f>_xll.EQNXTDZ($A$1,$B22,AK$1,$B$1)</f>
        <v>681</v>
      </c>
      <c r="AL22">
        <f>_xll.EQNXTDZ($A$1,$B22,AL$1,$B$1)</f>
        <v>768</v>
      </c>
      <c r="AM22">
        <f>_xll.EQNXTDZ($A$1,$B22,AM$1,$B$1)</f>
        <v>713</v>
      </c>
      <c r="AN22">
        <f>_xll.EQNXTDZ($A$1,$B22,AN$1,$B$1)</f>
        <v>621</v>
      </c>
      <c r="AO22">
        <f>_xll.EQNXTDZ($A$1,$B22,AO$1,$B$1)</f>
        <v>409</v>
      </c>
      <c r="AP22">
        <f>_xll.EQNXTDZ($A$1,$B22,AP$1,$B$1)</f>
        <v>683</v>
      </c>
      <c r="AQ22">
        <f>_xll.EQNXTDZ($A$1,$B22,AQ$1,$B$1)</f>
        <v>586</v>
      </c>
      <c r="AR22">
        <f>_xll.EQNXTDZ($A$1,$B22,AR$1,$B$1)</f>
        <v>379</v>
      </c>
      <c r="AS22">
        <f>_xll.EQNXTDZ($A$1,$B22,AS$1,$B$1)</f>
        <v>644</v>
      </c>
      <c r="AT22">
        <f>_xll.EQNXTDZ($A$1,$B22,AT$1,$B$1)</f>
        <v>710</v>
      </c>
      <c r="AU22">
        <f>_xll.EQNXTDZ($A$1,$B22,AU$1,$B$1)</f>
        <v>613</v>
      </c>
      <c r="AV22">
        <f>_xll.EQNXTDZ($A$1,$B22,AV$1,$B$1)</f>
        <v>593</v>
      </c>
      <c r="AW22">
        <f>_xll.EQNXTDZ($A$1,$B22,AW$1,$B$1)</f>
        <v>779</v>
      </c>
      <c r="AX22">
        <f>_xll.EQNXTDZ($A$1,$B22,AX$1,$B$1)</f>
        <v>654</v>
      </c>
      <c r="AY22">
        <f>_xll.EQNXTDZ($A$1,$B22,AY$1,$B$1)</f>
        <v>669</v>
      </c>
      <c r="AZ22">
        <f>_xll.EQNXTDZ($A$1,$B22,AZ$1,$B$1)</f>
        <v>434</v>
      </c>
      <c r="BA22">
        <f>_xll.EQNXTDZ($A$1,$B22,BA$1,$B$1)</f>
        <v>511</v>
      </c>
      <c r="BB22">
        <f>_xll.EQNXTDZ($A$1,$B22,BB$1,$B$1)</f>
        <v>793</v>
      </c>
      <c r="BC22">
        <f>_xll.EQNXTDZ($A$1,$B22,BC$1,$B$1)</f>
        <v>883</v>
      </c>
      <c r="BD22">
        <f>_xll.EQNXTDZ($A$1,$B22,BD$1,$B$1)</f>
        <v>696</v>
      </c>
      <c r="BE22">
        <f>_xll.EQNXTDZ($A$1,$B22,BE$1,$B$1)</f>
        <v>602</v>
      </c>
      <c r="BF22">
        <f>_xll.EQNXTDZ($A$1,$B22,BF$1,$B$1)</f>
        <v>902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48</v>
      </c>
      <c r="Z23">
        <f>_xll.EQNXTDZ($A$1,$B23,Z$1,$B$1)</f>
        <v>67</v>
      </c>
      <c r="AA23">
        <f>_xll.EQNXTDZ($A$1,$B23,AA$1,$B$1)</f>
        <v>43</v>
      </c>
      <c r="AB23">
        <f>_xll.EQNXTDZ($A$1,$B23,AB$1,$B$1)</f>
        <v>74</v>
      </c>
      <c r="AC23">
        <f>_xll.EQNXTDZ($A$1,$B23,AC$1,$B$1)</f>
        <v>109</v>
      </c>
      <c r="AD23">
        <f>_xll.EQNXTDZ($A$1,$B23,AD$1,$B$1)</f>
        <v>77</v>
      </c>
      <c r="AE23">
        <f>_xll.EQNXTDZ($A$1,$B23,AE$1,$B$1)</f>
        <v>47</v>
      </c>
      <c r="AF23">
        <f>_xll.EQNXTDZ($A$1,$B23,AF$1,$B$1)</f>
        <v>49</v>
      </c>
      <c r="AG23">
        <f>_xll.EQNXTDZ($A$1,$B23,AG$1,$B$1)</f>
        <v>68</v>
      </c>
      <c r="AH23">
        <f>_xll.EQNXTDZ($A$1,$B23,AH$1,$B$1)</f>
        <v>56</v>
      </c>
      <c r="AI23">
        <f>_xll.EQNXTDZ($A$1,$B23,AI$1,$B$1)</f>
        <v>56</v>
      </c>
      <c r="AJ23">
        <f>_xll.EQNXTDZ($A$1,$B23,AJ$1,$B$1)</f>
        <v>41</v>
      </c>
      <c r="AK23">
        <f>_xll.EQNXTDZ($A$1,$B23,AK$1,$B$1)</f>
        <v>50</v>
      </c>
      <c r="AL23">
        <f>_xll.EQNXTDZ($A$1,$B23,AL$1,$B$1)</f>
        <v>41</v>
      </c>
      <c r="AM23">
        <f>_xll.EQNXTDZ($A$1,$B23,AM$1,$B$1)</f>
        <v>30</v>
      </c>
      <c r="AN23">
        <f>_xll.EQNXTDZ($A$1,$B23,AN$1,$B$1)</f>
        <v>45</v>
      </c>
      <c r="AO23">
        <f>_xll.EQNXTDZ($A$1,$B23,AO$1,$B$1)</f>
        <v>33</v>
      </c>
      <c r="AP23">
        <f>_xll.EQNXTDZ($A$1,$B23,AP$1,$B$1)</f>
        <v>52</v>
      </c>
      <c r="AQ23">
        <f>_xll.EQNXTDZ($A$1,$B23,AQ$1,$B$1)</f>
        <v>25</v>
      </c>
      <c r="AR23">
        <f>_xll.EQNXTDZ($A$1,$B23,AR$1,$B$1)</f>
        <v>36</v>
      </c>
      <c r="AS23">
        <f>_xll.EQNXTDZ($A$1,$B23,AS$1,$B$1)</f>
        <v>36</v>
      </c>
      <c r="AT23">
        <f>_xll.EQNXTDZ($A$1,$B23,AT$1,$B$1)</f>
        <v>38</v>
      </c>
      <c r="AU23">
        <f>_xll.EQNXTDZ($A$1,$B23,AU$1,$B$1)</f>
        <v>54</v>
      </c>
      <c r="AV23">
        <f>_xll.EQNXTDZ($A$1,$B23,AV$1,$B$1)</f>
        <v>81</v>
      </c>
      <c r="AW23">
        <f>_xll.EQNXTDZ($A$1,$B23,AW$1,$B$1)</f>
        <v>60</v>
      </c>
      <c r="AX23">
        <f>_xll.EQNXTDZ($A$1,$B23,AX$1,$B$1)</f>
        <v>120</v>
      </c>
      <c r="AY23">
        <f>_xll.EQNXTDZ($A$1,$B23,AY$1,$B$1)</f>
        <v>50</v>
      </c>
      <c r="AZ23">
        <f>_xll.EQNXTDZ($A$1,$B23,AZ$1,$B$1)</f>
        <v>73</v>
      </c>
      <c r="BA23">
        <f>_xll.EQNXTDZ($A$1,$B23,BA$1,$B$1)</f>
        <v>37</v>
      </c>
      <c r="BB23">
        <f>_xll.EQNXTDZ($A$1,$B23,BB$1,$B$1)</f>
        <v>93</v>
      </c>
      <c r="BC23">
        <f>_xll.EQNXTDZ($A$1,$B23,BC$1,$B$1)</f>
        <v>49</v>
      </c>
      <c r="BD23">
        <f>_xll.EQNXTDZ($A$1,$B23,BD$1,$B$1)</f>
        <v>66</v>
      </c>
      <c r="BE23">
        <f>_xll.EQNXTDZ($A$1,$B23,BE$1,$B$1)</f>
        <v>62</v>
      </c>
      <c r="BF23">
        <f>_xll.EQNXTDZ($A$1,$B23,BF$1,$B$1)</f>
        <v>45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526</v>
      </c>
      <c r="Z24">
        <f>_xll.EQNXTDZ($A$1,$B24,Z$1,$B$1)</f>
        <v>634</v>
      </c>
      <c r="AA24">
        <f>_xll.EQNXTDZ($A$1,$B24,AA$1,$B$1)</f>
        <v>549</v>
      </c>
      <c r="AB24">
        <f>_xll.EQNXTDZ($A$1,$B24,AB$1,$B$1)</f>
        <v>422</v>
      </c>
      <c r="AC24">
        <f>_xll.EQNXTDZ($A$1,$B24,AC$1,$B$1)</f>
        <v>489</v>
      </c>
      <c r="AD24">
        <f>_xll.EQNXTDZ($A$1,$B24,AD$1,$B$1)</f>
        <v>726</v>
      </c>
      <c r="AE24">
        <f>_xll.EQNXTDZ($A$1,$B24,AE$1,$B$1)</f>
        <v>713</v>
      </c>
      <c r="AF24">
        <f>_xll.EQNXTDZ($A$1,$B24,AF$1,$B$1)</f>
        <v>520</v>
      </c>
      <c r="AG24">
        <f>_xll.EQNXTDZ($A$1,$B24,AG$1,$B$1)</f>
        <v>523</v>
      </c>
      <c r="AH24">
        <f>_xll.EQNXTDZ($A$1,$B24,AH$1,$B$1)</f>
        <v>544</v>
      </c>
      <c r="AI24">
        <f>_xll.EQNXTDZ($A$1,$B24,AI$1,$B$1)</f>
        <v>671</v>
      </c>
      <c r="AJ24">
        <f>_xll.EQNXTDZ($A$1,$B24,AJ$1,$B$1)</f>
        <v>739</v>
      </c>
      <c r="AK24">
        <f>_xll.EQNXTDZ($A$1,$B24,AK$1,$B$1)</f>
        <v>731</v>
      </c>
      <c r="AL24">
        <f>_xll.EQNXTDZ($A$1,$B24,AL$1,$B$1)</f>
        <v>809</v>
      </c>
      <c r="AM24">
        <f>_xll.EQNXTDZ($A$1,$B24,AM$1,$B$1)</f>
        <v>743</v>
      </c>
      <c r="AN24">
        <f>_xll.EQNXTDZ($A$1,$B24,AN$1,$B$1)</f>
        <v>666</v>
      </c>
      <c r="AO24">
        <f>_xll.EQNXTDZ($A$1,$B24,AO$1,$B$1)</f>
        <v>442</v>
      </c>
      <c r="AP24">
        <f>_xll.EQNXTDZ($A$1,$B24,AP$1,$B$1)</f>
        <v>735</v>
      </c>
      <c r="AQ24">
        <f>_xll.EQNXTDZ($A$1,$B24,AQ$1,$B$1)</f>
        <v>611</v>
      </c>
      <c r="AR24">
        <f>_xll.EQNXTDZ($A$1,$B24,AR$1,$B$1)</f>
        <v>415</v>
      </c>
      <c r="AS24">
        <f>_xll.EQNXTDZ($A$1,$B24,AS$1,$B$1)</f>
        <v>680</v>
      </c>
      <c r="AT24">
        <f>_xll.EQNXTDZ($A$1,$B24,AT$1,$B$1)</f>
        <v>748</v>
      </c>
      <c r="AU24">
        <f>_xll.EQNXTDZ($A$1,$B24,AU$1,$B$1)</f>
        <v>667</v>
      </c>
      <c r="AV24">
        <f>_xll.EQNXTDZ($A$1,$B24,AV$1,$B$1)</f>
        <v>674</v>
      </c>
      <c r="AW24">
        <f>_xll.EQNXTDZ($A$1,$B24,AW$1,$B$1)</f>
        <v>839</v>
      </c>
      <c r="AX24">
        <f>_xll.EQNXTDZ($A$1,$B24,AX$1,$B$1)</f>
        <v>774</v>
      </c>
      <c r="AY24">
        <f>_xll.EQNXTDZ($A$1,$B24,AY$1,$B$1)</f>
        <v>719</v>
      </c>
      <c r="AZ24">
        <f>_xll.EQNXTDZ($A$1,$B24,AZ$1,$B$1)</f>
        <v>507</v>
      </c>
      <c r="BA24">
        <f>_xll.EQNXTDZ($A$1,$B24,BA$1,$B$1)</f>
        <v>548</v>
      </c>
      <c r="BB24">
        <f>_xll.EQNXTDZ($A$1,$B24,BB$1,$B$1)</f>
        <v>886</v>
      </c>
      <c r="BC24">
        <f>_xll.EQNXTDZ($A$1,$B24,BC$1,$B$1)</f>
        <v>932</v>
      </c>
      <c r="BD24">
        <f>_xll.EQNXTDZ($A$1,$B24,BD$1,$B$1)</f>
        <v>762</v>
      </c>
      <c r="BE24">
        <f>_xll.EQNXTDZ($A$1,$B24,BE$1,$B$1)</f>
        <v>664</v>
      </c>
      <c r="BF24">
        <f>_xll.EQNXTDZ($A$1,$B24,BF$1,$B$1)</f>
        <v>947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165</v>
      </c>
      <c r="Z25">
        <f>_xll.EQNXTDZ($A$1,$B25,Z$1,$B$1)</f>
        <v>144</v>
      </c>
      <c r="AA25">
        <f>_xll.EQNXTDZ($A$1,$B25,AA$1,$B$1)</f>
        <v>145</v>
      </c>
      <c r="AB25">
        <f>_xll.EQNXTDZ($A$1,$B25,AB$1,$B$1)</f>
        <v>183</v>
      </c>
      <c r="AC25">
        <f>_xll.EQNXTDZ($A$1,$B25,AC$1,$B$1)</f>
        <v>117</v>
      </c>
      <c r="AD25">
        <f>_xll.EQNXTDZ($A$1,$B25,AD$1,$B$1)</f>
        <v>106</v>
      </c>
      <c r="AE25">
        <f>_xll.EQNXTDZ($A$1,$B25,AE$1,$B$1)</f>
        <v>119</v>
      </c>
      <c r="AF25">
        <f>_xll.EQNXTDZ($A$1,$B25,AF$1,$B$1)</f>
        <v>99</v>
      </c>
      <c r="AG25">
        <f>_xll.EQNXTDZ($A$1,$B25,AG$1,$B$1)</f>
        <v>93</v>
      </c>
      <c r="AH25">
        <f>_xll.EQNXTDZ($A$1,$B25,AH$1,$B$1)</f>
        <v>104</v>
      </c>
      <c r="AI25">
        <f>_xll.EQNXTDZ($A$1,$B25,AI$1,$B$1)</f>
        <v>74</v>
      </c>
      <c r="AJ25">
        <f>_xll.EQNXTDZ($A$1,$B25,AJ$1,$B$1)</f>
        <v>73</v>
      </c>
      <c r="AK25">
        <f>_xll.EQNXTDZ($A$1,$B25,AK$1,$B$1)</f>
        <v>94</v>
      </c>
      <c r="AL25">
        <f>_xll.EQNXTDZ($A$1,$B25,AL$1,$B$1)</f>
        <v>62</v>
      </c>
      <c r="AM25">
        <f>_xll.EQNXTDZ($A$1,$B25,AM$1,$B$1)</f>
        <v>60</v>
      </c>
      <c r="AN25">
        <f>_xll.EQNXTDZ($A$1,$B25,AN$1,$B$1)</f>
        <v>50</v>
      </c>
      <c r="AO25">
        <f>_xll.EQNXTDZ($A$1,$B25,AO$1,$B$1)</f>
        <v>47</v>
      </c>
      <c r="AP25">
        <f>_xll.EQNXTDZ($A$1,$B25,AP$1,$B$1)</f>
        <v>45</v>
      </c>
      <c r="AQ25">
        <f>_xll.EQNXTDZ($A$1,$B25,AQ$1,$B$1)</f>
        <v>47</v>
      </c>
      <c r="AR25">
        <f>_xll.EQNXTDZ($A$1,$B25,AR$1,$B$1)</f>
        <v>54</v>
      </c>
      <c r="AS25">
        <f>_xll.EQNXTDZ($A$1,$B25,AS$1,$B$1)</f>
        <v>69</v>
      </c>
      <c r="AT25">
        <f>_xll.EQNXTDZ($A$1,$B25,AT$1,$B$1)</f>
        <v>64</v>
      </c>
      <c r="AU25">
        <f>_xll.EQNXTDZ($A$1,$B25,AU$1,$B$1)</f>
        <v>83</v>
      </c>
      <c r="AV25">
        <f>_xll.EQNXTDZ($A$1,$B25,AV$1,$B$1)</f>
        <v>101</v>
      </c>
      <c r="AW25">
        <f>_xll.EQNXTDZ($A$1,$B25,AW$1,$B$1)</f>
        <v>108</v>
      </c>
      <c r="AX25">
        <f>_xll.EQNXTDZ($A$1,$B25,AX$1,$B$1)</f>
        <v>94</v>
      </c>
      <c r="AY25">
        <f>_xll.EQNXTDZ($A$1,$B25,AY$1,$B$1)</f>
        <v>95</v>
      </c>
      <c r="AZ25">
        <f>_xll.EQNXTDZ($A$1,$B25,AZ$1,$B$1)</f>
        <v>98</v>
      </c>
      <c r="BA25">
        <f>_xll.EQNXTDZ($A$1,$B25,BA$1,$B$1)</f>
        <v>101</v>
      </c>
      <c r="BB25">
        <f>_xll.EQNXTDZ($A$1,$B25,BB$1,$B$1)</f>
        <v>105</v>
      </c>
      <c r="BC25">
        <f>_xll.EQNXTDZ($A$1,$B25,BC$1,$B$1)</f>
        <v>108</v>
      </c>
      <c r="BD25">
        <f>_xll.EQNXTDZ($A$1,$B25,BD$1,$B$1)</f>
        <v>122</v>
      </c>
      <c r="BE25">
        <f>_xll.EQNXTDZ($A$1,$B25,BE$1,$B$1)</f>
        <v>118</v>
      </c>
      <c r="BF25">
        <f>_xll.EQNXTDZ($A$1,$B25,BF$1,$B$1)</f>
        <v>132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-6</v>
      </c>
      <c r="AO26">
        <f>_xll.EQNXTDZ($A$1,$B26,AO$1,$B$1)</f>
        <v>0</v>
      </c>
      <c r="AP26">
        <f>_xll.EQNXTDZ($A$1,$B26,AP$1,$B$1)</f>
        <v>4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-144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-113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16</v>
      </c>
      <c r="BD26">
        <f>_xll.EQNXTDZ($A$1,$B26,BD$1,$B$1)</f>
        <v>0</v>
      </c>
      <c r="BE26">
        <f>_xll.EQNXTDZ($A$1,$B26,BE$1,$B$1)</f>
        <v>-32</v>
      </c>
      <c r="BF26">
        <f>_xll.EQNXTDZ($A$1,$B26,BF$1,$B$1)</f>
        <v>-10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361</v>
      </c>
      <c r="Z27">
        <f>_xll.EQNXTDZ($A$1,$B27,Z$1,$B$1)</f>
        <v>490</v>
      </c>
      <c r="AA27">
        <f>_xll.EQNXTDZ($A$1,$B27,AA$1,$B$1)</f>
        <v>404</v>
      </c>
      <c r="AB27">
        <f>_xll.EQNXTDZ($A$1,$B27,AB$1,$B$1)</f>
        <v>239</v>
      </c>
      <c r="AC27">
        <f>_xll.EQNXTDZ($A$1,$B27,AC$1,$B$1)</f>
        <v>372</v>
      </c>
      <c r="AD27">
        <f>_xll.EQNXTDZ($A$1,$B27,AD$1,$B$1)</f>
        <v>620</v>
      </c>
      <c r="AE27">
        <f>_xll.EQNXTDZ($A$1,$B27,AE$1,$B$1)</f>
        <v>594</v>
      </c>
      <c r="AF27">
        <f>_xll.EQNXTDZ($A$1,$B27,AF$1,$B$1)</f>
        <v>421</v>
      </c>
      <c r="AG27">
        <f>_xll.EQNXTDZ($A$1,$B27,AG$1,$B$1)</f>
        <v>430</v>
      </c>
      <c r="AH27">
        <f>_xll.EQNXTDZ($A$1,$B27,AH$1,$B$1)</f>
        <v>440</v>
      </c>
      <c r="AI27">
        <f>_xll.EQNXTDZ($A$1,$B27,AI$1,$B$1)</f>
        <v>597</v>
      </c>
      <c r="AJ27">
        <f>_xll.EQNXTDZ($A$1,$B27,AJ$1,$B$1)</f>
        <v>666</v>
      </c>
      <c r="AK27">
        <f>_xll.EQNXTDZ($A$1,$B27,AK$1,$B$1)</f>
        <v>637</v>
      </c>
      <c r="AL27">
        <f>_xll.EQNXTDZ($A$1,$B27,AL$1,$B$1)</f>
        <v>747</v>
      </c>
      <c r="AM27">
        <f>_xll.EQNXTDZ($A$1,$B27,AM$1,$B$1)</f>
        <v>683</v>
      </c>
      <c r="AN27">
        <f>_xll.EQNXTDZ($A$1,$B27,AN$1,$B$1)</f>
        <v>610</v>
      </c>
      <c r="AO27">
        <f>_xll.EQNXTDZ($A$1,$B27,AO$1,$B$1)</f>
        <v>395</v>
      </c>
      <c r="AP27">
        <f>_xll.EQNXTDZ($A$1,$B27,AP$1,$B$1)</f>
        <v>694</v>
      </c>
      <c r="AQ27">
        <f>_xll.EQNXTDZ($A$1,$B27,AQ$1,$B$1)</f>
        <v>564</v>
      </c>
      <c r="AR27">
        <f>_xll.EQNXTDZ($A$1,$B27,AR$1,$B$1)</f>
        <v>361</v>
      </c>
      <c r="AS27">
        <f>_xll.EQNXTDZ($A$1,$B27,AS$1,$B$1)</f>
        <v>611</v>
      </c>
      <c r="AT27">
        <f>_xll.EQNXTDZ($A$1,$B27,AT$1,$B$1)</f>
        <v>540</v>
      </c>
      <c r="AU27">
        <f>_xll.EQNXTDZ($A$1,$B27,AU$1,$B$1)</f>
        <v>584</v>
      </c>
      <c r="AV27">
        <f>_xll.EQNXTDZ($A$1,$B27,AV$1,$B$1)</f>
        <v>573</v>
      </c>
      <c r="AW27">
        <f>_xll.EQNXTDZ($A$1,$B27,AW$1,$B$1)</f>
        <v>731</v>
      </c>
      <c r="AX27">
        <f>_xll.EQNXTDZ($A$1,$B27,AX$1,$B$1)</f>
        <v>680</v>
      </c>
      <c r="AY27">
        <f>_xll.EQNXTDZ($A$1,$B27,AY$1,$B$1)</f>
        <v>511</v>
      </c>
      <c r="AZ27">
        <f>_xll.EQNXTDZ($A$1,$B27,AZ$1,$B$1)</f>
        <v>409</v>
      </c>
      <c r="BA27">
        <f>_xll.EQNXTDZ($A$1,$B27,BA$1,$B$1)</f>
        <v>447</v>
      </c>
      <c r="BB27">
        <f>_xll.EQNXTDZ($A$1,$B27,BB$1,$B$1)</f>
        <v>781</v>
      </c>
      <c r="BC27">
        <f>_xll.EQNXTDZ($A$1,$B27,BC$1,$B$1)</f>
        <v>840</v>
      </c>
      <c r="BD27">
        <f>_xll.EQNXTDZ($A$1,$B27,BD$1,$B$1)</f>
        <v>640</v>
      </c>
      <c r="BE27">
        <f>_xll.EQNXTDZ($A$1,$B27,BE$1,$B$1)</f>
        <v>514</v>
      </c>
      <c r="BF27">
        <f>_xll.EQNXTDZ($A$1,$B27,BF$1,$B$1)</f>
        <v>805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308</v>
      </c>
      <c r="Z28">
        <f>_xll.EQNXTDZ($A$1,$B28,Z$1,$B$1)</f>
        <v>313</v>
      </c>
      <c r="AA28">
        <f>_xll.EQNXTDZ($A$1,$B28,AA$1,$B$1)</f>
        <v>305</v>
      </c>
      <c r="AB28">
        <f>_xll.EQNXTDZ($A$1,$B28,AB$1,$B$1)</f>
        <v>303</v>
      </c>
      <c r="AC28">
        <f>_xll.EQNXTDZ($A$1,$B28,AC$1,$B$1)</f>
        <v>332</v>
      </c>
      <c r="AD28">
        <f>_xll.EQNXTDZ($A$1,$B28,AD$1,$B$1)</f>
        <v>356</v>
      </c>
      <c r="AE28">
        <f>_xll.EQNXTDZ($A$1,$B28,AE$1,$B$1)</f>
        <v>342</v>
      </c>
      <c r="AF28">
        <f>_xll.EQNXTDZ($A$1,$B28,AF$1,$B$1)</f>
        <v>406</v>
      </c>
      <c r="AG28">
        <f>_xll.EQNXTDZ($A$1,$B28,AG$1,$B$1)</f>
        <v>405</v>
      </c>
      <c r="AH28">
        <f>_xll.EQNXTDZ($A$1,$B28,AH$1,$B$1)</f>
        <v>375</v>
      </c>
      <c r="AI28">
        <f>_xll.EQNXTDZ($A$1,$B28,AI$1,$B$1)</f>
        <v>298</v>
      </c>
      <c r="AJ28">
        <f>_xll.EQNXTDZ($A$1,$B28,AJ$1,$B$1)</f>
        <v>299</v>
      </c>
      <c r="AK28">
        <f>_xll.EQNXTDZ($A$1,$B28,AK$1,$B$1)</f>
        <v>326</v>
      </c>
      <c r="AL28">
        <f>_xll.EQNXTDZ($A$1,$B28,AL$1,$B$1)</f>
        <v>327</v>
      </c>
      <c r="AM28">
        <f>_xll.EQNXTDZ($A$1,$B28,AM$1,$B$1)</f>
        <v>297</v>
      </c>
      <c r="AN28">
        <f>_xll.EQNXTDZ($A$1,$B28,AN$1,$B$1)</f>
        <v>303</v>
      </c>
      <c r="AO28">
        <f>_xll.EQNXTDZ($A$1,$B28,AO$1,$B$1)</f>
        <v>302</v>
      </c>
      <c r="AP28">
        <f>_xll.EQNXTDZ($A$1,$B28,AP$1,$B$1)</f>
        <v>333</v>
      </c>
      <c r="AQ28">
        <f>_xll.EQNXTDZ($A$1,$B28,AQ$1,$B$1)</f>
        <v>312</v>
      </c>
      <c r="AR28">
        <f>_xll.EQNXTDZ($A$1,$B28,AR$1,$B$1)</f>
        <v>332</v>
      </c>
      <c r="AS28">
        <f>_xll.EQNXTDZ($A$1,$B28,AS$1,$B$1)</f>
        <v>325</v>
      </c>
      <c r="AT28">
        <f>_xll.EQNXTDZ($A$1,$B28,AT$1,$B$1)</f>
        <v>336</v>
      </c>
      <c r="AU28">
        <f>_xll.EQNXTDZ($A$1,$B28,AU$1,$B$1)</f>
        <v>399</v>
      </c>
      <c r="AV28">
        <f>_xll.EQNXTDZ($A$1,$B28,AV$1,$B$1)</f>
        <v>401</v>
      </c>
      <c r="AW28">
        <f>_xll.EQNXTDZ($A$1,$B28,AW$1,$B$1)</f>
        <v>370</v>
      </c>
      <c r="AX28">
        <f>_xll.EQNXTDZ($A$1,$B28,AX$1,$B$1)</f>
        <v>328</v>
      </c>
      <c r="AY28">
        <f>_xll.EQNXTDZ($A$1,$B28,AY$1,$B$1)</f>
        <v>317</v>
      </c>
      <c r="AZ28">
        <f>_xll.EQNXTDZ($A$1,$B28,AZ$1,$B$1)</f>
        <v>336</v>
      </c>
      <c r="BA28">
        <f>_xll.EQNXTDZ($A$1,$B28,BA$1,$B$1)</f>
        <v>364</v>
      </c>
      <c r="BB28">
        <f>_xll.EQNXTDZ($A$1,$B28,BB$1,$B$1)</f>
        <v>314</v>
      </c>
      <c r="BC28">
        <f>_xll.EQNXTDZ($A$1,$B28,BC$1,$B$1)</f>
        <v>322</v>
      </c>
      <c r="BD28">
        <f>_xll.EQNXTDZ($A$1,$B28,BD$1,$B$1)</f>
        <v>322</v>
      </c>
      <c r="BE28">
        <f>_xll.EQNXTDZ($A$1,$B28,BE$1,$B$1)</f>
        <v>340</v>
      </c>
      <c r="BF28">
        <f>_xll.EQNXTDZ($A$1,$B28,BF$1,$B$1)</f>
        <v>365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2</v>
      </c>
      <c r="Z29">
        <f>_xll.EQNXTDZ($A$1,$B29,Z$1,$B$1)</f>
        <v>53</v>
      </c>
      <c r="AA29">
        <f>_xll.EQNXTDZ($A$1,$B29,AA$1,$B$1)</f>
        <v>47</v>
      </c>
      <c r="AB29">
        <f>_xll.EQNXTDZ($A$1,$B29,AB$1,$B$1)</f>
        <v>-67</v>
      </c>
      <c r="AC29">
        <f>_xll.EQNXTDZ($A$1,$B29,AC$1,$B$1)</f>
        <v>9</v>
      </c>
      <c r="AD29">
        <f>_xll.EQNXTDZ($A$1,$B29,AD$1,$B$1)</f>
        <v>1</v>
      </c>
      <c r="AE29">
        <f>_xll.EQNXTDZ($A$1,$B29,AE$1,$B$1)</f>
        <v>100</v>
      </c>
      <c r="AF29">
        <f>_xll.EQNXTDZ($A$1,$B29,AF$1,$B$1)</f>
        <v>-21</v>
      </c>
      <c r="AG29">
        <f>_xll.EQNXTDZ($A$1,$B29,AG$1,$B$1)</f>
        <v>-1</v>
      </c>
      <c r="AH29">
        <f>_xll.EQNXTDZ($A$1,$B29,AH$1,$B$1)</f>
        <v>41</v>
      </c>
      <c r="AI29">
        <f>_xll.EQNXTDZ($A$1,$B29,AI$1,$B$1)</f>
        <v>108</v>
      </c>
      <c r="AJ29">
        <f>_xll.EQNXTDZ($A$1,$B29,AJ$1,$B$1)</f>
        <v>136</v>
      </c>
      <c r="AK29">
        <f>_xll.EQNXTDZ($A$1,$B29,AK$1,$B$1)</f>
        <v>132</v>
      </c>
      <c r="AL29">
        <f>_xll.EQNXTDZ($A$1,$B29,AL$1,$B$1)</f>
        <v>-220</v>
      </c>
      <c r="AM29">
        <f>_xll.EQNXTDZ($A$1,$B29,AM$1,$B$1)</f>
        <v>97</v>
      </c>
      <c r="AN29">
        <f>_xll.EQNXTDZ($A$1,$B29,AN$1,$B$1)</f>
        <v>92</v>
      </c>
      <c r="AO29">
        <f>_xll.EQNXTDZ($A$1,$B29,AO$1,$B$1)</f>
        <v>35</v>
      </c>
      <c r="AP29">
        <f>_xll.EQNXTDZ($A$1,$B29,AP$1,$B$1)</f>
        <v>91</v>
      </c>
      <c r="AQ29">
        <f>_xll.EQNXTDZ($A$1,$B29,AQ$1,$B$1)</f>
        <v>64</v>
      </c>
      <c r="AR29">
        <f>_xll.EQNXTDZ($A$1,$B29,AR$1,$B$1)</f>
        <v>-21</v>
      </c>
      <c r="AS29">
        <f>_xll.EQNXTDZ($A$1,$B29,AS$1,$B$1)</f>
        <v>74</v>
      </c>
      <c r="AT29">
        <f>_xll.EQNXTDZ($A$1,$B29,AT$1,$B$1)</f>
        <v>125</v>
      </c>
      <c r="AU29">
        <f>_xll.EQNXTDZ($A$1,$B29,AU$1,$B$1)</f>
        <v>41</v>
      </c>
      <c r="AV29">
        <f>_xll.EQNXTDZ($A$1,$B29,AV$1,$B$1)</f>
        <v>48</v>
      </c>
      <c r="AW29">
        <f>_xll.EQNXTDZ($A$1,$B29,AW$1,$B$1)</f>
        <v>95</v>
      </c>
      <c r="AX29">
        <f>_xll.EQNXTDZ($A$1,$B29,AX$1,$B$1)</f>
        <v>32</v>
      </c>
      <c r="AY29">
        <f>_xll.EQNXTDZ($A$1,$B29,AY$1,$B$1)</f>
        <v>49</v>
      </c>
      <c r="AZ29">
        <f>_xll.EQNXTDZ($A$1,$B29,AZ$1,$B$1)</f>
        <v>24</v>
      </c>
      <c r="BA29">
        <f>_xll.EQNXTDZ($A$1,$B29,BA$1,$B$1)</f>
        <v>17</v>
      </c>
      <c r="BB29">
        <f>_xll.EQNXTDZ($A$1,$B29,BB$1,$B$1)</f>
        <v>28</v>
      </c>
      <c r="BC29">
        <f>_xll.EQNXTDZ($A$1,$B29,BC$1,$B$1)</f>
        <v>123</v>
      </c>
      <c r="BD29">
        <f>_xll.EQNXTDZ($A$1,$B29,BD$1,$B$1)</f>
        <v>79</v>
      </c>
      <c r="BE29">
        <f>_xll.EQNXTDZ($A$1,$B29,BE$1,$B$1)</f>
        <v>46</v>
      </c>
      <c r="BF29">
        <f>_xll.EQNXTDZ($A$1,$B29,BF$1,$B$1)</f>
        <v>45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51</v>
      </c>
      <c r="Z30">
        <f>_xll.EQNXTDZ($A$1,$B30,Z$1,$B$1)</f>
        <v>124</v>
      </c>
      <c r="AA30">
        <f>_xll.EQNXTDZ($A$1,$B30,AA$1,$B$1)</f>
        <v>52</v>
      </c>
      <c r="AB30">
        <f>_xll.EQNXTDZ($A$1,$B30,AB$1,$B$1)</f>
        <v>3</v>
      </c>
      <c r="AC30">
        <f>_xll.EQNXTDZ($A$1,$B30,AC$1,$B$1)</f>
        <v>31</v>
      </c>
      <c r="AD30">
        <f>_xll.EQNXTDZ($A$1,$B30,AD$1,$B$1)</f>
        <v>263</v>
      </c>
      <c r="AE30">
        <f>_xll.EQNXTDZ($A$1,$B30,AE$1,$B$1)</f>
        <v>152</v>
      </c>
      <c r="AF30">
        <f>_xll.EQNXTDZ($A$1,$B30,AF$1,$B$1)</f>
        <v>36</v>
      </c>
      <c r="AG30">
        <f>_xll.EQNXTDZ($A$1,$B30,AG$1,$B$1)</f>
        <v>26</v>
      </c>
      <c r="AH30">
        <f>_xll.EQNXTDZ($A$1,$B30,AH$1,$B$1)</f>
        <v>24</v>
      </c>
      <c r="AI30">
        <f>_xll.EQNXTDZ($A$1,$B30,AI$1,$B$1)</f>
        <v>191</v>
      </c>
      <c r="AJ30">
        <f>_xll.EQNXTDZ($A$1,$B30,AJ$1,$B$1)</f>
        <v>231</v>
      </c>
      <c r="AK30">
        <f>_xll.EQNXTDZ($A$1,$B30,AK$1,$B$1)</f>
        <v>179</v>
      </c>
      <c r="AL30">
        <f>_xll.EQNXTDZ($A$1,$B30,AL$1,$B$1)</f>
        <v>640</v>
      </c>
      <c r="AM30">
        <f>_xll.EQNXTDZ($A$1,$B30,AM$1,$B$1)</f>
        <v>289</v>
      </c>
      <c r="AN30">
        <f>_xll.EQNXTDZ($A$1,$B30,AN$1,$B$1)</f>
        <v>215</v>
      </c>
      <c r="AO30">
        <f>_xll.EQNXTDZ($A$1,$B30,AO$1,$B$1)</f>
        <v>58</v>
      </c>
      <c r="AP30">
        <f>_xll.EQNXTDZ($A$1,$B30,AP$1,$B$1)</f>
        <v>270</v>
      </c>
      <c r="AQ30">
        <f>_xll.EQNXTDZ($A$1,$B30,AQ$1,$B$1)</f>
        <v>188</v>
      </c>
      <c r="AR30">
        <f>_xll.EQNXTDZ($A$1,$B30,AR$1,$B$1)</f>
        <v>50</v>
      </c>
      <c r="AS30">
        <f>_xll.EQNXTDZ($A$1,$B30,AS$1,$B$1)</f>
        <v>212</v>
      </c>
      <c r="AT30">
        <f>_xll.EQNXTDZ($A$1,$B30,AT$1,$B$1)</f>
        <v>79</v>
      </c>
      <c r="AU30">
        <f>_xll.EQNXTDZ($A$1,$B30,AU$1,$B$1)</f>
        <v>144</v>
      </c>
      <c r="AV30">
        <f>_xll.EQNXTDZ($A$1,$B30,AV$1,$B$1)</f>
        <v>124</v>
      </c>
      <c r="AW30">
        <f>_xll.EQNXTDZ($A$1,$B30,AW$1,$B$1)</f>
        <v>266</v>
      </c>
      <c r="AX30">
        <f>_xll.EQNXTDZ($A$1,$B30,AX$1,$B$1)</f>
        <v>320</v>
      </c>
      <c r="AY30">
        <f>_xll.EQNXTDZ($A$1,$B30,AY$1,$B$1)</f>
        <v>145</v>
      </c>
      <c r="AZ30">
        <f>_xll.EQNXTDZ($A$1,$B30,AZ$1,$B$1)</f>
        <v>49</v>
      </c>
      <c r="BA30">
        <f>_xll.EQNXTDZ($A$1,$B30,BA$1,$B$1)</f>
        <v>66</v>
      </c>
      <c r="BB30">
        <f>_xll.EQNXTDZ($A$1,$B30,BB$1,$B$1)</f>
        <v>439</v>
      </c>
      <c r="BC30">
        <f>_xll.EQNXTDZ($A$1,$B30,BC$1,$B$1)</f>
        <v>395</v>
      </c>
      <c r="BD30">
        <f>_xll.EQNXTDZ($A$1,$B30,BD$1,$B$1)</f>
        <v>239</v>
      </c>
      <c r="BE30">
        <f>_xll.EQNXTDZ($A$1,$B30,BE$1,$B$1)</f>
        <v>128</v>
      </c>
      <c r="BF30">
        <f>_xll.EQNXTDZ($A$1,$B30,BF$1,$B$1)</f>
        <v>395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2</v>
      </c>
      <c r="Z34">
        <f>_xll.EQNXTDZ($A$1,$B34,Z$1,$B$1)</f>
        <v>4</v>
      </c>
      <c r="AA34">
        <f>_xll.EQNXTDZ($A$1,$B34,AA$1,$B$1)</f>
        <v>1</v>
      </c>
      <c r="AB34">
        <f>_xll.EQNXTDZ($A$1,$B34,AB$1,$B$1)</f>
        <v>-4</v>
      </c>
      <c r="AC34">
        <f>_xll.EQNXTDZ($A$1,$B34,AC$1,$B$1)</f>
        <v>-3</v>
      </c>
      <c r="AD34">
        <f>_xll.EQNXTDZ($A$1,$B34,AD$1,$B$1)</f>
        <v>-35</v>
      </c>
      <c r="AE34">
        <f>_xll.EQNXTDZ($A$1,$B34,AE$1,$B$1)</f>
        <v>-5</v>
      </c>
      <c r="AF34">
        <f>_xll.EQNXTDZ($A$1,$B34,AF$1,$B$1)</f>
        <v>-9</v>
      </c>
      <c r="AG34">
        <f>_xll.EQNXTDZ($A$1,$B34,AG$1,$B$1)</f>
        <v>-2</v>
      </c>
      <c r="AH34">
        <f>_xll.EQNXTDZ($A$1,$B34,AH$1,$B$1)</f>
        <v>2</v>
      </c>
      <c r="AI34">
        <f>_xll.EQNXTDZ($A$1,$B34,AI$1,$B$1)</f>
        <v>2</v>
      </c>
      <c r="AJ34">
        <f>_xll.EQNXTDZ($A$1,$B34,AJ$1,$B$1)</f>
        <v>0</v>
      </c>
      <c r="AK34">
        <f>_xll.EQNXTDZ($A$1,$B34,AK$1,$B$1)</f>
        <v>-1</v>
      </c>
      <c r="AL34">
        <f>_xll.EQNXTDZ($A$1,$B34,AL$1,$B$1)</f>
        <v>-12</v>
      </c>
      <c r="AM34">
        <f>_xll.EQNXTDZ($A$1,$B34,AM$1,$B$1)</f>
        <v>-11</v>
      </c>
      <c r="AN34">
        <f>_xll.EQNXTDZ($A$1,$B34,AN$1,$B$1)</f>
        <v>-5</v>
      </c>
      <c r="AO34">
        <f>_xll.EQNXTDZ($A$1,$B34,AO$1,$B$1)</f>
        <v>-8</v>
      </c>
      <c r="AP34">
        <f>_xll.EQNXTDZ($A$1,$B34,AP$1,$B$1)</f>
        <v>-5</v>
      </c>
      <c r="AQ34">
        <f>_xll.EQNXTDZ($A$1,$B34,AQ$1,$B$1)</f>
        <v>-9</v>
      </c>
      <c r="AR34">
        <f>_xll.EQNXTDZ($A$1,$B34,AR$1,$B$1)</f>
        <v>-1</v>
      </c>
      <c r="AS34">
        <f>_xll.EQNXTDZ($A$1,$B34,AS$1,$B$1)</f>
        <v>-14</v>
      </c>
      <c r="AT34">
        <f>_xll.EQNXTDZ($A$1,$B34,AT$1,$B$1)</f>
        <v>-20</v>
      </c>
      <c r="AU34">
        <f>_xll.EQNXTDZ($A$1,$B34,AU$1,$B$1)</f>
        <v>-14</v>
      </c>
      <c r="AV34">
        <f>_xll.EQNXTDZ($A$1,$B34,AV$1,$B$1)</f>
        <v>-5</v>
      </c>
      <c r="AW34">
        <f>_xll.EQNXTDZ($A$1,$B34,AW$1,$B$1)</f>
        <v>-3</v>
      </c>
      <c r="AX34">
        <f>_xll.EQNXTDZ($A$1,$B34,AX$1,$B$1)</f>
        <v>-5</v>
      </c>
      <c r="AY34">
        <f>_xll.EQNXTDZ($A$1,$B34,AY$1,$B$1)</f>
        <v>-4</v>
      </c>
      <c r="AZ34">
        <f>_xll.EQNXTDZ($A$1,$B34,AZ$1,$B$1)</f>
        <v>-3</v>
      </c>
      <c r="BA34">
        <f>_xll.EQNXTDZ($A$1,$B34,BA$1,$B$1)</f>
        <v>-5</v>
      </c>
      <c r="BB34">
        <f>_xll.EQNXTDZ($A$1,$B34,BB$1,$B$1)</f>
        <v>-4</v>
      </c>
      <c r="BC34">
        <f>_xll.EQNXTDZ($A$1,$B34,BC$1,$B$1)</f>
        <v>-2</v>
      </c>
      <c r="BD34">
        <f>_xll.EQNXTDZ($A$1,$B34,BD$1,$B$1)</f>
        <v>-3</v>
      </c>
      <c r="BE34">
        <f>_xll.EQNXTDZ($A$1,$B34,BE$1,$B$1)</f>
        <v>-6</v>
      </c>
      <c r="BF34">
        <f>_xll.EQNXTDZ($A$1,$B34,BF$1,$B$1)</f>
        <v>-7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1</v>
      </c>
      <c r="AM35">
        <f>_xll.EQNXTDZ($A$1,$B35,AM$1,$B$1)</f>
        <v>2</v>
      </c>
      <c r="AN35">
        <f>_xll.EQNXTDZ($A$1,$B35,AN$1,$B$1)</f>
        <v>1</v>
      </c>
      <c r="AO35">
        <f>_xll.EQNXTDZ($A$1,$B35,AO$1,$B$1)</f>
        <v>2</v>
      </c>
      <c r="AP35">
        <f>_xll.EQNXTDZ($A$1,$B35,AP$1,$B$1)</f>
        <v>0</v>
      </c>
      <c r="AQ35">
        <f>_xll.EQNXTDZ($A$1,$B35,AQ$1,$B$1)</f>
        <v>17</v>
      </c>
      <c r="AR35">
        <f>_xll.EQNXTDZ($A$1,$B35,AR$1,$B$1)</f>
        <v>6</v>
      </c>
      <c r="AS35">
        <f>_xll.EQNXTDZ($A$1,$B35,AS$1,$B$1)</f>
        <v>2</v>
      </c>
      <c r="AT35">
        <f>_xll.EQNXTDZ($A$1,$B35,AT$1,$B$1)</f>
        <v>529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53</v>
      </c>
      <c r="Z38">
        <f>_xll.EQNXTDZ($A$1,$B38,Z$1,$B$1)</f>
        <v>128</v>
      </c>
      <c r="AA38">
        <f>_xll.EQNXTDZ($A$1,$B38,AA$1,$B$1)</f>
        <v>53</v>
      </c>
      <c r="AB38">
        <f>_xll.EQNXTDZ($A$1,$B38,AB$1,$B$1)</f>
        <v>-1</v>
      </c>
      <c r="AC38">
        <f>_xll.EQNXTDZ($A$1,$B38,AC$1,$B$1)</f>
        <v>28</v>
      </c>
      <c r="AD38">
        <f>_xll.EQNXTDZ($A$1,$B38,AD$1,$B$1)</f>
        <v>228</v>
      </c>
      <c r="AE38">
        <f>_xll.EQNXTDZ($A$1,$B38,AE$1,$B$1)</f>
        <v>147</v>
      </c>
      <c r="AF38">
        <f>_xll.EQNXTDZ($A$1,$B38,AF$1,$B$1)</f>
        <v>27</v>
      </c>
      <c r="AG38">
        <f>_xll.EQNXTDZ($A$1,$B38,AG$1,$B$1)</f>
        <v>24</v>
      </c>
      <c r="AH38">
        <f>_xll.EQNXTDZ($A$1,$B38,AH$1,$B$1)</f>
        <v>26</v>
      </c>
      <c r="AI38">
        <f>_xll.EQNXTDZ($A$1,$B38,AI$1,$B$1)</f>
        <v>190</v>
      </c>
      <c r="AJ38">
        <f>_xll.EQNXTDZ($A$1,$B38,AJ$1,$B$1)</f>
        <v>232</v>
      </c>
      <c r="AK38">
        <f>_xll.EQNXTDZ($A$1,$B38,AK$1,$B$1)</f>
        <v>182</v>
      </c>
      <c r="AL38">
        <f>_xll.EQNXTDZ($A$1,$B38,AL$1,$B$1)</f>
        <v>627</v>
      </c>
      <c r="AM38">
        <f>_xll.EQNXTDZ($A$1,$B38,AM$1,$B$1)</f>
        <v>269</v>
      </c>
      <c r="AN38">
        <f>_xll.EQNXTDZ($A$1,$B38,AN$1,$B$1)</f>
        <v>198</v>
      </c>
      <c r="AO38">
        <f>_xll.EQNXTDZ($A$1,$B38,AO$1,$B$1)</f>
        <v>84</v>
      </c>
      <c r="AP38">
        <f>_xll.EQNXTDZ($A$1,$B38,AP$1,$B$1)</f>
        <v>266</v>
      </c>
      <c r="AQ38">
        <f>_xll.EQNXTDZ($A$1,$B38,AQ$1,$B$1)</f>
        <v>196</v>
      </c>
      <c r="AR38">
        <f>_xll.EQNXTDZ($A$1,$B38,AR$1,$B$1)</f>
        <v>46</v>
      </c>
      <c r="AS38">
        <f>_xll.EQNXTDZ($A$1,$B38,AS$1,$B$1)</f>
        <v>204</v>
      </c>
      <c r="AT38">
        <f>_xll.EQNXTDZ($A$1,$B38,AT$1,$B$1)</f>
        <v>589</v>
      </c>
      <c r="AU38">
        <f>_xll.EQNXTDZ($A$1,$B38,AU$1,$B$1)</f>
        <v>130</v>
      </c>
      <c r="AV38">
        <f>_xll.EQNXTDZ($A$1,$B38,AV$1,$B$1)</f>
        <v>118</v>
      </c>
      <c r="AW38">
        <f>_xll.EQNXTDZ($A$1,$B38,AW$1,$B$1)</f>
        <v>263</v>
      </c>
      <c r="AX38">
        <f>_xll.EQNXTDZ($A$1,$B38,AX$1,$B$1)</f>
        <v>315</v>
      </c>
      <c r="AY38">
        <f>_xll.EQNXTDZ($A$1,$B38,AY$1,$B$1)</f>
        <v>141</v>
      </c>
      <c r="AZ38">
        <f>_xll.EQNXTDZ($A$1,$B38,AZ$1,$B$1)</f>
        <v>46</v>
      </c>
      <c r="BA38">
        <f>_xll.EQNXTDZ($A$1,$B38,BA$1,$B$1)</f>
        <v>61</v>
      </c>
      <c r="BB38">
        <f>_xll.EQNXTDZ($A$1,$B38,BB$1,$B$1)</f>
        <v>435</v>
      </c>
      <c r="BC38">
        <f>_xll.EQNXTDZ($A$1,$B38,BC$1,$B$1)</f>
        <v>393</v>
      </c>
      <c r="BD38">
        <f>_xll.EQNXTDZ($A$1,$B38,BD$1,$B$1)</f>
        <v>236</v>
      </c>
      <c r="BE38">
        <f>_xll.EQNXTDZ($A$1,$B38,BE$1,$B$1)</f>
        <v>122</v>
      </c>
      <c r="BF38">
        <f>_xll.EQNXTDZ($A$1,$B38,BF$1,$B$1)</f>
        <v>387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-3</v>
      </c>
      <c r="AJ39">
        <f>_xll.EQNXTDZ($A$1,$B39,AJ$1,$B$1)</f>
        <v>1</v>
      </c>
      <c r="AK39">
        <f>_xll.EQNXTDZ($A$1,$B39,AK$1,$B$1)</f>
        <v>4</v>
      </c>
      <c r="AL39">
        <f>_xll.EQNXTDZ($A$1,$B39,AL$1,$B$1)</f>
        <v>-2</v>
      </c>
      <c r="AM39">
        <f>_xll.EQNXTDZ($A$1,$B39,AM$1,$B$1)</f>
        <v>-11</v>
      </c>
      <c r="AN39">
        <f>_xll.EQNXTDZ($A$1,$B39,AN$1,$B$1)</f>
        <v>-13</v>
      </c>
      <c r="AO39">
        <f>_xll.EQNXTDZ($A$1,$B39,AO$1,$B$1)</f>
        <v>32</v>
      </c>
      <c r="AP39">
        <f>_xll.EQNXTDZ($A$1,$B39,AP$1,$B$1)</f>
        <v>1</v>
      </c>
      <c r="AQ39">
        <f>_xll.EQNXTDZ($A$1,$B39,AQ$1,$B$1)</f>
        <v>0</v>
      </c>
      <c r="AR39">
        <f>_xll.EQNXTDZ($A$1,$B39,AR$1,$B$1)</f>
        <v>-9</v>
      </c>
      <c r="AS39">
        <f>_xll.EQNXTDZ($A$1,$B39,AS$1,$B$1)</f>
        <v>4</v>
      </c>
      <c r="AT39">
        <f>_xll.EQNXTDZ($A$1,$B39,AT$1,$B$1)</f>
        <v>1</v>
      </c>
      <c r="AU39">
        <f>_xll.EQNXTDZ($A$1,$B39,AU$1,$B$1)</f>
        <v>0</v>
      </c>
      <c r="AV39">
        <f>_xll.EQNXTDZ($A$1,$B39,AV$1,$B$1)</f>
        <v>-1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-1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66</v>
      </c>
      <c r="Z40">
        <f>_xll.EQNXTDZ($A$1,$B40,Z$1,$B$1)</f>
        <v>0</v>
      </c>
      <c r="AA40">
        <f>_xll.EQNXTDZ($A$1,$B40,AA$1,$B$1)</f>
        <v>36</v>
      </c>
      <c r="AB40">
        <f>_xll.EQNXTDZ($A$1,$B40,AB$1,$B$1)</f>
        <v>-27</v>
      </c>
      <c r="AC40">
        <f>_xll.EQNXTDZ($A$1,$B40,AC$1,$B$1)</f>
        <v>34</v>
      </c>
      <c r="AD40">
        <f>_xll.EQNXTDZ($A$1,$B40,AD$1,$B$1)</f>
        <v>-16</v>
      </c>
      <c r="AE40">
        <f>_xll.EQNXTDZ($A$1,$B40,AE$1,$B$1)</f>
        <v>-123</v>
      </c>
      <c r="AF40">
        <f>_xll.EQNXTDZ($A$1,$B40,AF$1,$B$1)</f>
        <v>-140</v>
      </c>
      <c r="AG40">
        <f>_xll.EQNXTDZ($A$1,$B40,AG$1,$B$1)</f>
        <v>133</v>
      </c>
      <c r="AH40">
        <f>_xll.EQNXTDZ($A$1,$B40,AH$1,$B$1)</f>
        <v>-81</v>
      </c>
      <c r="AI40">
        <f>_xll.EQNXTDZ($A$1,$B40,AI$1,$B$1)</f>
        <v>297</v>
      </c>
      <c r="AJ40">
        <f>_xll.EQNXTDZ($A$1,$B40,AJ$1,$B$1)</f>
        <v>144</v>
      </c>
      <c r="AK40">
        <f>_xll.EQNXTDZ($A$1,$B40,AK$1,$B$1)</f>
        <v>105</v>
      </c>
      <c r="AL40">
        <f>_xll.EQNXTDZ($A$1,$B40,AL$1,$B$1)</f>
        <v>613</v>
      </c>
      <c r="AM40">
        <f>_xll.EQNXTDZ($A$1,$B40,AM$1,$B$1)</f>
        <v>582</v>
      </c>
      <c r="AN40">
        <f>_xll.EQNXTDZ($A$1,$B40,AN$1,$B$1)</f>
        <v>1036</v>
      </c>
      <c r="AO40">
        <f>_xll.EQNXTDZ($A$1,$B40,AO$1,$B$1)</f>
        <v>400</v>
      </c>
      <c r="AP40">
        <f>_xll.EQNXTDZ($A$1,$B40,AP$1,$B$1)</f>
        <v>-204</v>
      </c>
      <c r="AQ40">
        <f>_xll.EQNXTDZ($A$1,$B40,AQ$1,$B$1)</f>
        <v>-1002</v>
      </c>
      <c r="AR40">
        <f>_xll.EQNXTDZ($A$1,$B40,AR$1,$B$1)</f>
        <v>-186</v>
      </c>
      <c r="AS40">
        <f>_xll.EQNXTDZ($A$1,$B40,AS$1,$B$1)</f>
        <v>69</v>
      </c>
      <c r="AT40">
        <f>_xll.EQNXTDZ($A$1,$B40,AT$1,$B$1)</f>
        <v>-194</v>
      </c>
      <c r="AU40">
        <f>_xll.EQNXTDZ($A$1,$B40,AU$1,$B$1)</f>
        <v>31</v>
      </c>
      <c r="AV40">
        <f>_xll.EQNXTDZ($A$1,$B40,AV$1,$B$1)</f>
        <v>159</v>
      </c>
      <c r="AW40">
        <f>_xll.EQNXTDZ($A$1,$B40,AW$1,$B$1)</f>
        <v>385</v>
      </c>
      <c r="AX40">
        <f>_xll.EQNXTDZ($A$1,$B40,AX$1,$B$1)</f>
        <v>-503</v>
      </c>
      <c r="AY40">
        <f>_xll.EQNXTDZ($A$1,$B40,AY$1,$B$1)</f>
        <v>645</v>
      </c>
      <c r="AZ40">
        <f>_xll.EQNXTDZ($A$1,$B40,AZ$1,$B$1)</f>
        <v>382</v>
      </c>
      <c r="BA40">
        <f>_xll.EQNXTDZ($A$1,$B40,BA$1,$B$1)</f>
        <v>-483</v>
      </c>
      <c r="BB40">
        <f>_xll.EQNXTDZ($A$1,$B40,BB$1,$B$1)</f>
        <v>-80</v>
      </c>
      <c r="BC40">
        <f>_xll.EQNXTDZ($A$1,$B40,BC$1,$B$1)</f>
        <v>288</v>
      </c>
      <c r="BD40">
        <f>_xll.EQNXTDZ($A$1,$B40,BD$1,$B$1)</f>
        <v>-524</v>
      </c>
      <c r="BE40">
        <f>_xll.EQNXTDZ($A$1,$B40,BE$1,$B$1)</f>
        <v>-106</v>
      </c>
      <c r="BF40">
        <f>_xll.EQNXTDZ($A$1,$B40,BF$1,$B$1)</f>
        <v>-29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119</v>
      </c>
      <c r="Z41">
        <f>_xll.EQNXTDZ($A$1,$B41,Z$1,$B$1)</f>
        <v>128</v>
      </c>
      <c r="AA41">
        <f>_xll.EQNXTDZ($A$1,$B41,AA$1,$B$1)</f>
        <v>89</v>
      </c>
      <c r="AB41">
        <f>_xll.EQNXTDZ($A$1,$B41,AB$1,$B$1)</f>
        <v>-28</v>
      </c>
      <c r="AC41">
        <f>_xll.EQNXTDZ($A$1,$B41,AC$1,$B$1)</f>
        <v>62</v>
      </c>
      <c r="AD41">
        <f>_xll.EQNXTDZ($A$1,$B41,AD$1,$B$1)</f>
        <v>212</v>
      </c>
      <c r="AE41">
        <f>_xll.EQNXTDZ($A$1,$B41,AE$1,$B$1)</f>
        <v>24</v>
      </c>
      <c r="AF41">
        <f>_xll.EQNXTDZ($A$1,$B41,AF$1,$B$1)</f>
        <v>-113</v>
      </c>
      <c r="AG41">
        <f>_xll.EQNXTDZ($A$1,$B41,AG$1,$B$1)</f>
        <v>157</v>
      </c>
      <c r="AH41">
        <f>_xll.EQNXTDZ($A$1,$B41,AH$1,$B$1)</f>
        <v>-55</v>
      </c>
      <c r="AI41">
        <f>_xll.EQNXTDZ($A$1,$B41,AI$1,$B$1)</f>
        <v>487</v>
      </c>
      <c r="AJ41">
        <f>_xll.EQNXTDZ($A$1,$B41,AJ$1,$B$1)</f>
        <v>376</v>
      </c>
      <c r="AK41">
        <f>_xll.EQNXTDZ($A$1,$B41,AK$1,$B$1)</f>
        <v>287</v>
      </c>
      <c r="AL41">
        <f>_xll.EQNXTDZ($A$1,$B41,AL$1,$B$1)</f>
        <v>1240</v>
      </c>
      <c r="AM41">
        <f>_xll.EQNXTDZ($A$1,$B41,AM$1,$B$1)</f>
        <v>851</v>
      </c>
      <c r="AN41">
        <f>_xll.EQNXTDZ($A$1,$B41,AN$1,$B$1)</f>
        <v>1234</v>
      </c>
      <c r="AO41">
        <f>_xll.EQNXTDZ($A$1,$B41,AO$1,$B$1)</f>
        <v>484</v>
      </c>
      <c r="AP41">
        <f>_xll.EQNXTDZ($A$1,$B41,AP$1,$B$1)</f>
        <v>62</v>
      </c>
      <c r="AQ41">
        <f>_xll.EQNXTDZ($A$1,$B41,AQ$1,$B$1)</f>
        <v>-806</v>
      </c>
      <c r="AR41">
        <f>_xll.EQNXTDZ($A$1,$B41,AR$1,$B$1)</f>
        <v>-140</v>
      </c>
      <c r="AS41">
        <f>_xll.EQNXTDZ($A$1,$B41,AS$1,$B$1)</f>
        <v>273</v>
      </c>
      <c r="AT41">
        <f>_xll.EQNXTDZ($A$1,$B41,AT$1,$B$1)</f>
        <v>395</v>
      </c>
      <c r="AU41">
        <f>_xll.EQNXTDZ($A$1,$B41,AU$1,$B$1)</f>
        <v>161</v>
      </c>
      <c r="AV41">
        <f>_xll.EQNXTDZ($A$1,$B41,AV$1,$B$1)</f>
        <v>277</v>
      </c>
      <c r="AW41">
        <f>_xll.EQNXTDZ($A$1,$B41,AW$1,$B$1)</f>
        <v>648</v>
      </c>
      <c r="AX41">
        <f>_xll.EQNXTDZ($A$1,$B41,AX$1,$B$1)</f>
        <v>-188</v>
      </c>
      <c r="AY41">
        <f>_xll.EQNXTDZ($A$1,$B41,AY$1,$B$1)</f>
        <v>786</v>
      </c>
      <c r="AZ41">
        <f>_xll.EQNXTDZ($A$1,$B41,AZ$1,$B$1)</f>
        <v>428</v>
      </c>
      <c r="BA41">
        <f>_xll.EQNXTDZ($A$1,$B41,BA$1,$B$1)</f>
        <v>-422</v>
      </c>
      <c r="BB41">
        <f>_xll.EQNXTDZ($A$1,$B41,BB$1,$B$1)</f>
        <v>355</v>
      </c>
      <c r="BC41">
        <f>_xll.EQNXTDZ($A$1,$B41,BC$1,$B$1)</f>
        <v>681</v>
      </c>
      <c r="BD41">
        <f>_xll.EQNXTDZ($A$1,$B41,BD$1,$B$1)</f>
        <v>-288</v>
      </c>
      <c r="BE41">
        <f>_xll.EQNXTDZ($A$1,$B41,BE$1,$B$1)</f>
        <v>16</v>
      </c>
      <c r="BF41">
        <f>_xll.EQNXTDZ($A$1,$B41,BF$1,$B$1)</f>
        <v>358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53</v>
      </c>
      <c r="Z42">
        <f>_xll.EQNXTDZ($A$1,$B42,Z$1,$B$1)</f>
        <v>128</v>
      </c>
      <c r="AA42">
        <f>_xll.EQNXTDZ($A$1,$B42,AA$1,$B$1)</f>
        <v>53</v>
      </c>
      <c r="AB42">
        <f>_xll.EQNXTDZ($A$1,$B42,AB$1,$B$1)</f>
        <v>-1</v>
      </c>
      <c r="AC42">
        <f>_xll.EQNXTDZ($A$1,$B42,AC$1,$B$1)</f>
        <v>28</v>
      </c>
      <c r="AD42">
        <f>_xll.EQNXTDZ($A$1,$B42,AD$1,$B$1)</f>
        <v>228</v>
      </c>
      <c r="AE42">
        <f>_xll.EQNXTDZ($A$1,$B42,AE$1,$B$1)</f>
        <v>147</v>
      </c>
      <c r="AF42">
        <f>_xll.EQNXTDZ($A$1,$B42,AF$1,$B$1)</f>
        <v>27</v>
      </c>
      <c r="AG42">
        <f>_xll.EQNXTDZ($A$1,$B42,AG$1,$B$1)</f>
        <v>24</v>
      </c>
      <c r="AH42">
        <f>_xll.EQNXTDZ($A$1,$B42,AH$1,$B$1)</f>
        <v>26</v>
      </c>
      <c r="AI42">
        <f>_xll.EQNXTDZ($A$1,$B42,AI$1,$B$1)</f>
        <v>190</v>
      </c>
      <c r="AJ42">
        <f>_xll.EQNXTDZ($A$1,$B42,AJ$1,$B$1)</f>
        <v>232</v>
      </c>
      <c r="AK42">
        <f>_xll.EQNXTDZ($A$1,$B42,AK$1,$B$1)</f>
        <v>182</v>
      </c>
      <c r="AL42">
        <f>_xll.EQNXTDZ($A$1,$B42,AL$1,$B$1)</f>
        <v>627</v>
      </c>
      <c r="AM42">
        <f>_xll.EQNXTDZ($A$1,$B42,AM$1,$B$1)</f>
        <v>269</v>
      </c>
      <c r="AN42">
        <f>_xll.EQNXTDZ($A$1,$B42,AN$1,$B$1)</f>
        <v>198</v>
      </c>
      <c r="AO42">
        <f>_xll.EQNXTDZ($A$1,$B42,AO$1,$B$1)</f>
        <v>84</v>
      </c>
      <c r="AP42">
        <f>_xll.EQNXTDZ($A$1,$B42,AP$1,$B$1)</f>
        <v>266</v>
      </c>
      <c r="AQ42">
        <f>_xll.EQNXTDZ($A$1,$B42,AQ$1,$B$1)</f>
        <v>196</v>
      </c>
      <c r="AR42">
        <f>_xll.EQNXTDZ($A$1,$B42,AR$1,$B$1)</f>
        <v>46</v>
      </c>
      <c r="AS42">
        <f>_xll.EQNXTDZ($A$1,$B42,AS$1,$B$1)</f>
        <v>204</v>
      </c>
      <c r="AT42">
        <f>_xll.EQNXTDZ($A$1,$B42,AT$1,$B$1)</f>
        <v>589</v>
      </c>
      <c r="AU42">
        <f>_xll.EQNXTDZ($A$1,$B42,AU$1,$B$1)</f>
        <v>130</v>
      </c>
      <c r="AV42">
        <f>_xll.EQNXTDZ($A$1,$B42,AV$1,$B$1)</f>
        <v>118</v>
      </c>
      <c r="AW42">
        <f>_xll.EQNXTDZ($A$1,$B42,AW$1,$B$1)</f>
        <v>263</v>
      </c>
      <c r="AX42">
        <f>_xll.EQNXTDZ($A$1,$B42,AX$1,$B$1)</f>
        <v>315</v>
      </c>
      <c r="AY42">
        <f>_xll.EQNXTDZ($A$1,$B42,AY$1,$B$1)</f>
        <v>141</v>
      </c>
      <c r="AZ42">
        <f>_xll.EQNXTDZ($A$1,$B42,AZ$1,$B$1)</f>
        <v>46</v>
      </c>
      <c r="BA42">
        <f>_xll.EQNXTDZ($A$1,$B42,BA$1,$B$1)</f>
        <v>61</v>
      </c>
      <c r="BB42">
        <f>_xll.EQNXTDZ($A$1,$B42,BB$1,$B$1)</f>
        <v>435</v>
      </c>
      <c r="BC42">
        <f>_xll.EQNXTDZ($A$1,$B42,BC$1,$B$1)</f>
        <v>393</v>
      </c>
      <c r="BD42">
        <f>_xll.EQNXTDZ($A$1,$B42,BD$1,$B$1)</f>
        <v>236</v>
      </c>
      <c r="BE42">
        <f>_xll.EQNXTDZ($A$1,$B42,BE$1,$B$1)</f>
        <v>122</v>
      </c>
      <c r="BF42">
        <f>_xll.EQNXTDZ($A$1,$B42,BF$1,$B$1)</f>
        <v>387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56.9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56.9</v>
      </c>
      <c r="AC45">
        <f>_xll.EQNXTDZ($A$1,$B45,AC$1,$B$1)</f>
        <v>56.9</v>
      </c>
      <c r="AD45">
        <f>_xll.EQNXTDZ($A$1,$B45,AD$1,$B$1)</f>
        <v>39</v>
      </c>
      <c r="AE45">
        <f>_xll.EQNXTDZ($A$1,$B45,AE$1,$B$1)</f>
        <v>39</v>
      </c>
      <c r="AF45">
        <f>_xll.EQNXTDZ($A$1,$B45,AF$1,$B$1)</f>
        <v>39</v>
      </c>
      <c r="AG45">
        <f>_xll.EQNXTDZ($A$1,$B45,AG$1,$B$1)</f>
        <v>39</v>
      </c>
      <c r="AH45">
        <f>_xll.EQNXTDZ($A$1,$B45,AH$1,$B$1)</f>
        <v>39</v>
      </c>
      <c r="AI45">
        <f>_xll.EQNXTDZ($A$1,$B45,AI$1,$B$1)</f>
        <v>37</v>
      </c>
      <c r="AJ45">
        <f>_xll.EQNXTDZ($A$1,$B45,AJ$1,$B$1)</f>
        <v>37</v>
      </c>
      <c r="AK45">
        <f>_xll.EQNXTDZ($A$1,$B45,AK$1,$B$1)</f>
        <v>37</v>
      </c>
      <c r="AL45">
        <f>_xll.EQNXTDZ($A$1,$B45,AL$1,$B$1)</f>
        <v>37</v>
      </c>
      <c r="AM45">
        <f>_xll.EQNXTDZ($A$1,$B45,AM$1,$B$1)</f>
        <v>37</v>
      </c>
      <c r="AN45">
        <f>_xll.EQNXTDZ($A$1,$B45,AN$1,$B$1)</f>
        <v>37</v>
      </c>
      <c r="AO45">
        <f>_xll.EQNXTDZ($A$1,$B45,AO$1,$B$1)</f>
        <v>37</v>
      </c>
      <c r="AP45">
        <f>_xll.EQNXTDZ($A$1,$B45,AP$1,$B$1)</f>
        <v>37</v>
      </c>
      <c r="AQ45">
        <f>_xll.EQNXTDZ($A$1,$B45,AQ$1,$B$1)</f>
        <v>37</v>
      </c>
      <c r="AR45">
        <f>_xll.EQNXTDZ($A$1,$B45,AR$1,$B$1)</f>
        <v>37</v>
      </c>
      <c r="AS45">
        <f>_xll.EQNXTDZ($A$1,$B45,AS$1,$B$1)</f>
        <v>38</v>
      </c>
      <c r="AT45">
        <f>_xll.EQNXTDZ($A$1,$B45,AT$1,$B$1)</f>
        <v>37</v>
      </c>
      <c r="AU45">
        <f>_xll.EQNXTDZ($A$1,$B45,AU$1,$B$1)</f>
        <v>37</v>
      </c>
      <c r="AV45">
        <f>_xll.EQNXTDZ($A$1,$B45,AV$1,$B$1)</f>
        <v>38</v>
      </c>
      <c r="AW45">
        <f>_xll.EQNXTDZ($A$1,$B45,AW$1,$B$1)</f>
        <v>38</v>
      </c>
      <c r="AX45">
        <f>_xll.EQNXTDZ($A$1,$B45,AX$1,$B$1)</f>
        <v>38</v>
      </c>
      <c r="AY45">
        <f>_xll.EQNXTDZ($A$1,$B45,AY$1,$B$1)</f>
        <v>38</v>
      </c>
      <c r="AZ45">
        <f>_xll.EQNXTDZ($A$1,$B45,AZ$1,$B$1)</f>
        <v>38</v>
      </c>
      <c r="BA45">
        <f>_xll.EQNXTDZ($A$1,$B45,BA$1,$B$1)</f>
        <v>38</v>
      </c>
      <c r="BB45">
        <f>_xll.EQNXTDZ($A$1,$B45,BB$1,$B$1)</f>
        <v>38</v>
      </c>
      <c r="BC45">
        <f>_xll.EQNXTDZ($A$1,$B45,BC$1,$B$1)</f>
        <v>38</v>
      </c>
      <c r="BD45">
        <f>_xll.EQNXTDZ($A$1,$B45,BD$1,$B$1)</f>
        <v>38</v>
      </c>
      <c r="BE45">
        <f>_xll.EQNXTDZ($A$1,$B45,BE$1,$B$1)</f>
        <v>38</v>
      </c>
      <c r="BF45">
        <f>_xll.EQNXTDZ($A$1,$B45,BF$1,$B$1)</f>
        <v>38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1099</v>
      </c>
      <c r="AD48" s="55">
        <f>_xll.EQNXTDZ($A$1,$B48,AD$5)</f>
        <v>989.85</v>
      </c>
      <c r="AE48" s="55">
        <f>_xll.EQNXTDZ($A$1,$B48,AE$5)</f>
        <v>1047.7</v>
      </c>
      <c r="AF48" s="55">
        <f>_xll.EQNXTDZ($A$1,$B48,AF$5)</f>
        <v>821.2</v>
      </c>
      <c r="AG48" s="55">
        <f>_xll.EQNXTDZ($A$1,$B48,AG$5)</f>
        <v>799.95</v>
      </c>
      <c r="AH48" s="55">
        <f>_xll.EQNXTDZ($A$1,$B48,AH$5)</f>
        <v>489</v>
      </c>
      <c r="AI48" s="55">
        <f>_xll.EQNXTDZ($A$1,$B48,AI$5)</f>
        <v>675.7</v>
      </c>
      <c r="AJ48" s="55">
        <f>_xll.EQNXTDZ($A$1,$B48,AJ$5)</f>
        <v>782.25</v>
      </c>
      <c r="AK48" s="55">
        <f>_xll.EQNXTDZ($A$1,$B48,AK$5)</f>
        <v>1078.6500000000001</v>
      </c>
      <c r="AL48" s="55">
        <f>_xll.EQNXTDZ($A$1,$B48,AL$5)</f>
        <v>1587.05</v>
      </c>
      <c r="AM48" s="55">
        <f>_xll.EQNXTDZ($A$1,$B48,AM$5)</f>
        <v>1893.2</v>
      </c>
      <c r="AN48" s="55">
        <f>_xll.EQNXTDZ($A$1,$B48,AN$5)</f>
        <v>2107.9</v>
      </c>
      <c r="AO48" s="55">
        <f>_xll.EQNXTDZ($A$1,$B48,AO$5)</f>
        <v>1846.75</v>
      </c>
      <c r="AP48" s="55">
        <f>_xll.EQNXTDZ($A$1,$B48,AP$5)</f>
        <v>1494.7</v>
      </c>
      <c r="AQ48" s="55">
        <f>_xll.EQNXTDZ($A$1,$B48,AQ$5)</f>
        <v>1283.3499999999999</v>
      </c>
      <c r="AR48" s="55">
        <f>_xll.EQNXTDZ($A$1,$B48,AR$5)</f>
        <v>1598.85</v>
      </c>
      <c r="AS48" s="55">
        <f>_xll.EQNXTDZ($A$1,$B48,AS$5)</f>
        <v>1860.75</v>
      </c>
      <c r="AT48" s="55">
        <f>_xll.EQNXTDZ($A$1,$B48,AT$5)</f>
        <v>1963.85</v>
      </c>
      <c r="AU48" s="55">
        <f>_xll.EQNXTDZ($A$1,$B48,AU$5)</f>
        <v>2167.1</v>
      </c>
      <c r="AV48" s="55">
        <f>_xll.EQNXTDZ($A$1,$B48,AV$5)</f>
        <v>2405.3000000000002</v>
      </c>
      <c r="AW48" s="55">
        <f>_xll.EQNXTDZ($A$1,$B48,AW$5)</f>
        <v>2274.3000000000002</v>
      </c>
      <c r="AX48" s="55">
        <f>_xll.EQNXTDZ($A$1,$B48,AX$5)</f>
        <v>1942.2</v>
      </c>
      <c r="AY48" s="55">
        <f>_xll.EQNXTDZ($A$1,$B48,AY$5)</f>
        <v>1814.7</v>
      </c>
      <c r="AZ48" s="55">
        <f>_xll.EQNXTDZ($A$1,$B48,AZ$5)</f>
        <v>1933.4</v>
      </c>
      <c r="BA48" s="55">
        <f>_xll.EQNXTDZ($A$1,$B48,BA$5)</f>
        <v>1766.4</v>
      </c>
      <c r="BB48" s="55">
        <f>_xll.EQNXTDZ($A$1,$B48,BB$5)</f>
        <v>1819.45</v>
      </c>
      <c r="BC48" s="55">
        <f>_xll.EQNXTDZ($A$1,$B48,BC$5)</f>
        <v>2209.25</v>
      </c>
      <c r="BD48" s="55">
        <f>_xll.EQNXTDZ($A$1,$B48,BD$5)</f>
        <v>2225.1</v>
      </c>
      <c r="BE48" s="55">
        <f>_xll.EQNXTDZ($A$1,$B48,BE$5)</f>
        <v>2132.75</v>
      </c>
      <c r="BF48" s="55">
        <f>_xll.EQNXTDZ($A$1,$B48,BF$5)</f>
        <v>1775.95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74.89</v>
      </c>
      <c r="AD49" s="55">
        <f>_xll.EQNXTDZ($A$1,$B49,AD$5)</f>
        <v>54.26</v>
      </c>
      <c r="AE49" s="55">
        <f>_xll.EQNXTDZ($A$1,$B49,AE$5)</f>
        <v>54.26</v>
      </c>
      <c r="AF49" s="55">
        <f>_xll.EQNXTDZ($A$1,$B49,AF$5)</f>
        <v>54.26</v>
      </c>
      <c r="AG49" s="55">
        <f>_xll.EQNXTDZ($A$1,$B49,AG$5)</f>
        <v>54.26</v>
      </c>
      <c r="AH49" s="55">
        <f>_xll.EQNXTDZ($A$1,$B49,AH$5)</f>
        <v>54.28</v>
      </c>
      <c r="AI49" s="55">
        <f>_xll.EQNXTDZ($A$1,$B49,AI$5)</f>
        <v>55.81</v>
      </c>
      <c r="AJ49" s="55">
        <f>_xll.EQNXTDZ($A$1,$B49,AJ$5)</f>
        <v>56.07</v>
      </c>
      <c r="AK49" s="55">
        <f>_xll.EQNXTDZ($A$1,$B49,AK$5)</f>
        <v>56.07</v>
      </c>
      <c r="AL49" s="55">
        <f>_xll.EQNXTDZ($A$1,$B49,AL$5)</f>
        <v>55.97</v>
      </c>
      <c r="AM49" s="55">
        <f>_xll.EQNXTDZ($A$1,$B49,AM$5)</f>
        <v>55.97</v>
      </c>
      <c r="AN49" s="55">
        <f>_xll.EQNXTDZ($A$1,$B49,AN$5)</f>
        <v>55.97</v>
      </c>
      <c r="AO49" s="55">
        <f>_xll.EQNXTDZ($A$1,$B49,AO$5)</f>
        <v>55.97</v>
      </c>
      <c r="AP49" s="55">
        <f>_xll.EQNXTDZ($A$1,$B49,AP$5)</f>
        <v>55.9</v>
      </c>
      <c r="AQ49" s="55">
        <f>_xll.EQNXTDZ($A$1,$B49,AQ$5)</f>
        <v>55.9</v>
      </c>
      <c r="AR49" s="55">
        <f>_xll.EQNXTDZ($A$1,$B49,AR$5)</f>
        <v>55.87</v>
      </c>
      <c r="AS49" s="55">
        <f>_xll.EQNXTDZ($A$1,$B49,AS$5)</f>
        <v>55.86</v>
      </c>
      <c r="AT49" s="55">
        <f>_xll.EQNXTDZ($A$1,$B49,AT$5)</f>
        <v>55.86</v>
      </c>
      <c r="AU49" s="55">
        <f>_xll.EQNXTDZ($A$1,$B49,AU$5)</f>
        <v>55.86</v>
      </c>
      <c r="AV49" s="55">
        <f>_xll.EQNXTDZ($A$1,$B49,AV$5)</f>
        <v>55.85</v>
      </c>
      <c r="AW49" s="55">
        <f>_xll.EQNXTDZ($A$1,$B49,AW$5)</f>
        <v>55.84</v>
      </c>
      <c r="AX49" s="55">
        <f>_xll.EQNXTDZ($A$1,$B49,AX$5)</f>
        <v>55.84</v>
      </c>
      <c r="AY49" s="55">
        <f>_xll.EQNXTDZ($A$1,$B49,AY$5)</f>
        <v>55.84</v>
      </c>
      <c r="AZ49" s="55">
        <f>_xll.EQNXTDZ($A$1,$B49,AZ$5)</f>
        <v>55.84</v>
      </c>
      <c r="BA49" s="55">
        <f>_xll.EQNXTDZ($A$1,$B49,BA$5)</f>
        <v>55.84</v>
      </c>
      <c r="BB49" s="55">
        <f>_xll.EQNXTDZ($A$1,$B49,BB$5)</f>
        <v>55.84</v>
      </c>
      <c r="BC49" s="55">
        <f>_xll.EQNXTDZ($A$1,$B49,BC$5)</f>
        <v>55.84</v>
      </c>
      <c r="BD49" s="55">
        <f>_xll.EQNXTDZ($A$1,$B49,BD$5)</f>
        <v>55.84</v>
      </c>
      <c r="BE49" s="55">
        <f>_xll.EQNXTDZ($A$1,$B49,BE$5)</f>
        <v>55.84</v>
      </c>
      <c r="BF49" s="55">
        <f>_xll.EQNXTDZ($A$1,$B49,BF$5)</f>
        <v>55.84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68.099999999999994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39</v>
      </c>
      <c r="AE56" s="55">
        <f>_xll.EQNXTDZ($A$1,$B56,AE$5,$B$1)</f>
        <v>0</v>
      </c>
      <c r="AF56" s="55">
        <f>_xll.EQNXTDZ($A$1,$B56,AF$5,$B$1)</f>
        <v>39</v>
      </c>
      <c r="AG56" s="55">
        <f>_xll.EQNXTDZ($A$1,$B56,AG$5,$B$1)</f>
        <v>0</v>
      </c>
      <c r="AH56" s="55">
        <f>_xll.EQNXTDZ($A$1,$B56,AH$5,$B$1)</f>
        <v>39</v>
      </c>
      <c r="AI56" s="55">
        <f>_xll.EQNXTDZ($A$1,$B56,AI$5,$B$1)</f>
        <v>0</v>
      </c>
      <c r="AJ56" s="55">
        <f>_xll.EQNXTDZ($A$1,$B56,AJ$5,$B$1)</f>
        <v>37</v>
      </c>
      <c r="AK56" s="55">
        <f>_xll.EQNXTDZ($A$1,$B56,AK$5,$B$1)</f>
        <v>0</v>
      </c>
      <c r="AL56" s="55">
        <f>_xll.EQNXTDZ($A$1,$B56,AL$5,$B$1)</f>
        <v>37</v>
      </c>
      <c r="AM56" s="55">
        <f>_xll.EQNXTDZ($A$1,$B56,AM$5,$B$1)</f>
        <v>0</v>
      </c>
      <c r="AN56" s="55">
        <f>_xll.EQNXTDZ($A$1,$B56,AN$5,$B$1)</f>
        <v>37</v>
      </c>
      <c r="AO56" s="55">
        <f>_xll.EQNXTDZ($A$1,$B56,AO$5,$B$1)</f>
        <v>0</v>
      </c>
      <c r="AP56" s="55">
        <f>_xll.EQNXTDZ($A$1,$B56,AP$5,$B$1)</f>
        <v>37</v>
      </c>
      <c r="AQ56" s="55">
        <f>_xll.EQNXTDZ($A$1,$B56,AQ$5,$B$1)</f>
        <v>0</v>
      </c>
      <c r="AR56" s="55">
        <f>_xll.EQNXTDZ($A$1,$B56,AR$5,$B$1)</f>
        <v>37</v>
      </c>
      <c r="AS56" s="55">
        <f>_xll.EQNXTDZ($A$1,$B56,AS$5,$B$1)</f>
        <v>0</v>
      </c>
      <c r="AT56" s="55">
        <f>_xll.EQNXTDZ($A$1,$B56,AT$5,$B$1)</f>
        <v>37</v>
      </c>
      <c r="AU56" s="55">
        <f>_xll.EQNXTDZ($A$1,$B56,AU$5,$B$1)</f>
        <v>0</v>
      </c>
      <c r="AV56" s="55">
        <f>_xll.EQNXTDZ($A$1,$B56,AV$5,$B$1)</f>
        <v>38</v>
      </c>
      <c r="AW56" s="55">
        <f>_xll.EQNXTDZ($A$1,$B56,AW$5,$B$1)</f>
        <v>0</v>
      </c>
      <c r="AX56" s="55">
        <f>_xll.EQNXTDZ($A$1,$B56,AX$5,$B$1)</f>
        <v>38</v>
      </c>
      <c r="AY56" s="55">
        <f>_xll.EQNXTDZ($A$1,$B56,AY$5,$B$1)</f>
        <v>0</v>
      </c>
      <c r="AZ56" s="55">
        <f>_xll.EQNXTDZ($A$1,$B56,AZ$5,$B$1)</f>
        <v>38</v>
      </c>
      <c r="BA56" s="55">
        <f>_xll.EQNXTDZ($A$1,$B56,BA$5,$B$1)</f>
        <v>0</v>
      </c>
      <c r="BB56" s="55">
        <f>_xll.EQNXTDZ($A$1,$B56,BB$5,$B$1)</f>
        <v>38</v>
      </c>
      <c r="BC56" s="55">
        <f>_xll.EQNXTDZ($A$1,$B56,BC$5,$B$1)</f>
        <v>0</v>
      </c>
      <c r="BD56" s="55">
        <f>_xll.EQNXTDZ($A$1,$B56,BD$5,$B$1)</f>
        <v>38</v>
      </c>
      <c r="BE56" s="55">
        <f>_xll.EQNXTDZ($A$1,$B56,BE$5,$B$1)</f>
        <v>0</v>
      </c>
      <c r="BF56" s="55">
        <f>_xll.EQNXTDZ($A$1,$B56,BF$5,$B$1)</f>
        <v>38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10600</v>
      </c>
      <c r="AE58" s="55">
        <f>_xll.EQNXTDZ($A$1,$B58,AE$5,$B$1)</f>
        <v>0</v>
      </c>
      <c r="AF58" s="55">
        <f>_xll.EQNXTDZ($A$1,$B58,AF$5,$B$1)</f>
        <v>10464</v>
      </c>
      <c r="AG58" s="55">
        <f>_xll.EQNXTDZ($A$1,$B58,AG$5,$B$1)</f>
        <v>0</v>
      </c>
      <c r="AH58" s="55">
        <f>_xll.EQNXTDZ($A$1,$B58,AH$5,$B$1)</f>
        <v>10522</v>
      </c>
      <c r="AI58" s="55">
        <f>_xll.EQNXTDZ($A$1,$B58,AI$5,$B$1)</f>
        <v>0</v>
      </c>
      <c r="AJ58" s="55">
        <f>_xll.EQNXTDZ($A$1,$B58,AJ$5,$B$1)</f>
        <v>11122</v>
      </c>
      <c r="AK58" s="55">
        <f>_xll.EQNXTDZ($A$1,$B58,AK$5,$B$1)</f>
        <v>0</v>
      </c>
      <c r="AL58" s="55">
        <f>_xll.EQNXTDZ($A$1,$B58,AL$5,$B$1)</f>
        <v>12773</v>
      </c>
      <c r="AM58" s="55">
        <f>_xll.EQNXTDZ($A$1,$B58,AM$5,$B$1)</f>
        <v>0</v>
      </c>
      <c r="AN58" s="55">
        <f>_xll.EQNXTDZ($A$1,$B58,AN$5,$B$1)</f>
        <v>14320</v>
      </c>
      <c r="AO58" s="55">
        <f>_xll.EQNXTDZ($A$1,$B58,AO$5,$B$1)</f>
        <v>0</v>
      </c>
      <c r="AP58" s="55">
        <f>_xll.EQNXTDZ($A$1,$B58,AP$5,$B$1)</f>
        <v>16024</v>
      </c>
      <c r="AQ58" s="55">
        <f>_xll.EQNXTDZ($A$1,$B58,AQ$5,$B$1)</f>
        <v>0</v>
      </c>
      <c r="AR58" s="55">
        <f>_xll.EQNXTDZ($A$1,$B58,AR$5,$B$1)</f>
        <v>14995</v>
      </c>
      <c r="AS58" s="55">
        <f>_xll.EQNXTDZ($A$1,$B58,AS$5,$B$1)</f>
        <v>0</v>
      </c>
      <c r="AT58" s="55">
        <f>_xll.EQNXTDZ($A$1,$B58,AT$5,$B$1)</f>
        <v>15591</v>
      </c>
      <c r="AU58" s="55">
        <f>_xll.EQNXTDZ($A$1,$B58,AU$5,$B$1)</f>
        <v>0</v>
      </c>
      <c r="AV58" s="55">
        <f>_xll.EQNXTDZ($A$1,$B58,AV$5,$B$1)</f>
        <v>15973</v>
      </c>
      <c r="AW58" s="55">
        <f>_xll.EQNXTDZ($A$1,$B58,AW$5,$B$1)</f>
        <v>0</v>
      </c>
      <c r="AX58" s="55">
        <f>_xll.EQNXTDZ($A$1,$B58,AX$5,$B$1)</f>
        <v>16359</v>
      </c>
      <c r="AY58" s="55">
        <f>_xll.EQNXTDZ($A$1,$B58,AY$5,$B$1)</f>
        <v>0</v>
      </c>
      <c r="AZ58" s="55">
        <f>_xll.EQNXTDZ($A$1,$B58,AZ$5,$B$1)</f>
        <v>17480</v>
      </c>
      <c r="BA58" s="55">
        <f>_xll.EQNXTDZ($A$1,$B58,BA$5,$B$1)</f>
        <v>0</v>
      </c>
      <c r="BB58" s="55">
        <f>_xll.EQNXTDZ($A$1,$B58,BB$5,$B$1)</f>
        <v>17336</v>
      </c>
      <c r="BC58" s="55">
        <f>_xll.EQNXTDZ($A$1,$B58,BC$5,$B$1)</f>
        <v>0</v>
      </c>
      <c r="BD58" s="55">
        <f>_xll.EQNXTDZ($A$1,$B58,BD$5,$B$1)</f>
        <v>17641</v>
      </c>
      <c r="BE58" s="55">
        <f>_xll.EQNXTDZ($A$1,$B58,BE$5,$B$1)</f>
        <v>0</v>
      </c>
      <c r="BF58" s="55">
        <f>_xll.EQNXTDZ($A$1,$B58,BF$5,$B$1)</f>
        <v>17941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10639</v>
      </c>
      <c r="AE59" s="55">
        <f>_xll.EQNXTDZ($A$1,$B59,AE$5,$B$1)</f>
        <v>0</v>
      </c>
      <c r="AF59" s="55">
        <f>_xll.EQNXTDZ($A$1,$B59,AF$5,$B$1)</f>
        <v>10503</v>
      </c>
      <c r="AG59" s="55">
        <f>_xll.EQNXTDZ($A$1,$B59,AG$5,$B$1)</f>
        <v>0</v>
      </c>
      <c r="AH59" s="55">
        <f>_xll.EQNXTDZ($A$1,$B59,AH$5,$B$1)</f>
        <v>10561</v>
      </c>
      <c r="AI59" s="55">
        <f>_xll.EQNXTDZ($A$1,$B59,AI$5,$B$1)</f>
        <v>0</v>
      </c>
      <c r="AJ59" s="55">
        <f>_xll.EQNXTDZ($A$1,$B59,AJ$5,$B$1)</f>
        <v>11159</v>
      </c>
      <c r="AK59" s="55">
        <f>_xll.EQNXTDZ($A$1,$B59,AK$5,$B$1)</f>
        <v>0</v>
      </c>
      <c r="AL59" s="55">
        <f>_xll.EQNXTDZ($A$1,$B59,AL$5,$B$1)</f>
        <v>12810</v>
      </c>
      <c r="AM59" s="55">
        <f>_xll.EQNXTDZ($A$1,$B59,AM$5,$B$1)</f>
        <v>0</v>
      </c>
      <c r="AN59" s="55">
        <f>_xll.EQNXTDZ($A$1,$B59,AN$5,$B$1)</f>
        <v>14357</v>
      </c>
      <c r="AO59" s="55">
        <f>_xll.EQNXTDZ($A$1,$B59,AO$5,$B$1)</f>
        <v>0</v>
      </c>
      <c r="AP59" s="55">
        <f>_xll.EQNXTDZ($A$1,$B59,AP$5,$B$1)</f>
        <v>16061</v>
      </c>
      <c r="AQ59" s="55">
        <f>_xll.EQNXTDZ($A$1,$B59,AQ$5,$B$1)</f>
        <v>0</v>
      </c>
      <c r="AR59" s="55">
        <f>_xll.EQNXTDZ($A$1,$B59,AR$5,$B$1)</f>
        <v>15032</v>
      </c>
      <c r="AS59" s="55">
        <f>_xll.EQNXTDZ($A$1,$B59,AS$5,$B$1)</f>
        <v>0</v>
      </c>
      <c r="AT59" s="55">
        <f>_xll.EQNXTDZ($A$1,$B59,AT$5,$B$1)</f>
        <v>15628</v>
      </c>
      <c r="AU59" s="55">
        <f>_xll.EQNXTDZ($A$1,$B59,AU$5,$B$1)</f>
        <v>0</v>
      </c>
      <c r="AV59" s="55">
        <f>_xll.EQNXTDZ($A$1,$B59,AV$5,$B$1)</f>
        <v>16011</v>
      </c>
      <c r="AW59" s="55">
        <f>_xll.EQNXTDZ($A$1,$B59,AW$5,$B$1)</f>
        <v>0</v>
      </c>
      <c r="AX59" s="55">
        <f>_xll.EQNXTDZ($A$1,$B59,AX$5,$B$1)</f>
        <v>16397</v>
      </c>
      <c r="AY59" s="55">
        <f>_xll.EQNXTDZ($A$1,$B59,AY$5,$B$1)</f>
        <v>0</v>
      </c>
      <c r="AZ59" s="55">
        <f>_xll.EQNXTDZ($A$1,$B59,AZ$5,$B$1)</f>
        <v>17518</v>
      </c>
      <c r="BA59" s="55">
        <f>_xll.EQNXTDZ($A$1,$B59,BA$5,$B$1)</f>
        <v>0</v>
      </c>
      <c r="BB59" s="55">
        <f>_xll.EQNXTDZ($A$1,$B59,BB$5,$B$1)</f>
        <v>17374</v>
      </c>
      <c r="BC59" s="55">
        <f>_xll.EQNXTDZ($A$1,$B59,BC$5,$B$1)</f>
        <v>0</v>
      </c>
      <c r="BD59" s="55">
        <f>_xll.EQNXTDZ($A$1,$B59,BD$5,$B$1)</f>
        <v>17679</v>
      </c>
      <c r="BE59" s="55">
        <f>_xll.EQNXTDZ($A$1,$B59,BE$5,$B$1)</f>
        <v>0</v>
      </c>
      <c r="BF59" s="55">
        <f>_xll.EQNXTDZ($A$1,$B59,BF$5,$B$1)</f>
        <v>17979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11</v>
      </c>
      <c r="AE60" s="55">
        <f>_xll.EQNXTDZ($A$1,$B60,AE$5,$B$1)</f>
        <v>0</v>
      </c>
      <c r="AF60" s="55">
        <f>_xll.EQNXTDZ($A$1,$B60,AF$5,$B$1)</f>
        <v>25</v>
      </c>
      <c r="AG60" s="55">
        <f>_xll.EQNXTDZ($A$1,$B60,AG$5,$B$1)</f>
        <v>0</v>
      </c>
      <c r="AH60" s="55">
        <f>_xll.EQNXTDZ($A$1,$B60,AH$5,$B$1)</f>
        <v>25</v>
      </c>
      <c r="AI60" s="55">
        <f>_xll.EQNXTDZ($A$1,$B60,AI$5,$B$1)</f>
        <v>0</v>
      </c>
      <c r="AJ60" s="55">
        <f>_xll.EQNXTDZ($A$1,$B60,AJ$5,$B$1)</f>
        <v>24</v>
      </c>
      <c r="AK60" s="55">
        <f>_xll.EQNXTDZ($A$1,$B60,AK$5,$B$1)</f>
        <v>0</v>
      </c>
      <c r="AL60" s="55">
        <f>_xll.EQNXTDZ($A$1,$B60,AL$5,$B$1)</f>
        <v>34</v>
      </c>
      <c r="AM60" s="55">
        <f>_xll.EQNXTDZ($A$1,$B60,AM$5,$B$1)</f>
        <v>0</v>
      </c>
      <c r="AN60" s="55">
        <f>_xll.EQNXTDZ($A$1,$B60,AN$5,$B$1)</f>
        <v>53</v>
      </c>
      <c r="AO60" s="55">
        <f>_xll.EQNXTDZ($A$1,$B60,AO$5,$B$1)</f>
        <v>0</v>
      </c>
      <c r="AP60" s="55">
        <f>_xll.EQNXTDZ($A$1,$B60,AP$5,$B$1)</f>
        <v>72</v>
      </c>
      <c r="AQ60" s="55">
        <f>_xll.EQNXTDZ($A$1,$B60,AQ$5,$B$1)</f>
        <v>0</v>
      </c>
      <c r="AR60" s="55">
        <f>_xll.EQNXTDZ($A$1,$B60,AR$5,$B$1)</f>
        <v>83</v>
      </c>
      <c r="AS60" s="55">
        <f>_xll.EQNXTDZ($A$1,$B60,AS$5,$B$1)</f>
        <v>0</v>
      </c>
      <c r="AT60" s="55">
        <f>_xll.EQNXTDZ($A$1,$B60,AT$5,$B$1)</f>
        <v>116</v>
      </c>
      <c r="AU60" s="55">
        <f>_xll.EQNXTDZ($A$1,$B60,AU$5,$B$1)</f>
        <v>0</v>
      </c>
      <c r="AV60" s="55">
        <f>_xll.EQNXTDZ($A$1,$B60,AV$5,$B$1)</f>
        <v>102</v>
      </c>
      <c r="AW60" s="55">
        <f>_xll.EQNXTDZ($A$1,$B60,AW$5,$B$1)</f>
        <v>0</v>
      </c>
      <c r="AX60" s="55">
        <f>_xll.EQNXTDZ($A$1,$B60,AX$5,$B$1)</f>
        <v>110</v>
      </c>
      <c r="AY60" s="55">
        <f>_xll.EQNXTDZ($A$1,$B60,AY$5,$B$1)</f>
        <v>0</v>
      </c>
      <c r="AZ60" s="55">
        <f>_xll.EQNXTDZ($A$1,$B60,AZ$5,$B$1)</f>
        <v>118</v>
      </c>
      <c r="BA60" s="55">
        <f>_xll.EQNXTDZ($A$1,$B60,BA$5,$B$1)</f>
        <v>0</v>
      </c>
      <c r="BB60" s="55">
        <f>_xll.EQNXTDZ($A$1,$B60,BB$5,$B$1)</f>
        <v>126</v>
      </c>
      <c r="BC60" s="55">
        <f>_xll.EQNXTDZ($A$1,$B60,BC$5,$B$1)</f>
        <v>0</v>
      </c>
      <c r="BD60" s="55">
        <f>_xll.EQNXTDZ($A$1,$B60,BD$5,$B$1)</f>
        <v>131</v>
      </c>
      <c r="BE60" s="55">
        <f>_xll.EQNXTDZ($A$1,$B60,BE$5,$B$1)</f>
        <v>0</v>
      </c>
      <c r="BF60" s="55">
        <f>_xll.EQNXTDZ($A$1,$B60,BF$5,$B$1)</f>
        <v>144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4015</v>
      </c>
      <c r="AE61" s="55">
        <f>_xll.EQNXTDZ($A$1,$B61,AE$5,$B$1)</f>
        <v>0</v>
      </c>
      <c r="AF61" s="55">
        <f>_xll.EQNXTDZ($A$1,$B61,AF$5,$B$1)</f>
        <v>3235</v>
      </c>
      <c r="AG61" s="55">
        <f>_xll.EQNXTDZ($A$1,$B61,AG$5,$B$1)</f>
        <v>0</v>
      </c>
      <c r="AH61" s="55">
        <f>_xll.EQNXTDZ($A$1,$B61,AH$5,$B$1)</f>
        <v>3505</v>
      </c>
      <c r="AI61" s="55">
        <f>_xll.EQNXTDZ($A$1,$B61,AI$5,$B$1)</f>
        <v>0</v>
      </c>
      <c r="AJ61" s="55">
        <f>_xll.EQNXTDZ($A$1,$B61,AJ$5,$B$1)</f>
        <v>3112</v>
      </c>
      <c r="AK61" s="55">
        <f>_xll.EQNXTDZ($A$1,$B61,AK$5,$B$1)</f>
        <v>0</v>
      </c>
      <c r="AL61" s="55">
        <f>_xll.EQNXTDZ($A$1,$B61,AL$5,$B$1)</f>
        <v>2089</v>
      </c>
      <c r="AM61" s="55">
        <f>_xll.EQNXTDZ($A$1,$B61,AM$5,$B$1)</f>
        <v>0</v>
      </c>
      <c r="AN61" s="55">
        <f>_xll.EQNXTDZ($A$1,$B61,AN$5,$B$1)</f>
        <v>1631</v>
      </c>
      <c r="AO61" s="55">
        <f>_xll.EQNXTDZ($A$1,$B61,AO$5,$B$1)</f>
        <v>0</v>
      </c>
      <c r="AP61" s="55">
        <f>_xll.EQNXTDZ($A$1,$B61,AP$5,$B$1)</f>
        <v>1922</v>
      </c>
      <c r="AQ61" s="55">
        <f>_xll.EQNXTDZ($A$1,$B61,AQ$5,$B$1)</f>
        <v>0</v>
      </c>
      <c r="AR61" s="55">
        <f>_xll.EQNXTDZ($A$1,$B61,AR$5,$B$1)</f>
        <v>2220</v>
      </c>
      <c r="AS61" s="55">
        <f>_xll.EQNXTDZ($A$1,$B61,AS$5,$B$1)</f>
        <v>0</v>
      </c>
      <c r="AT61" s="55">
        <f>_xll.EQNXTDZ($A$1,$B61,AT$5,$B$1)</f>
        <v>3210</v>
      </c>
      <c r="AU61" s="55">
        <f>_xll.EQNXTDZ($A$1,$B61,AU$5,$B$1)</f>
        <v>0</v>
      </c>
      <c r="AV61" s="55">
        <f>_xll.EQNXTDZ($A$1,$B61,AV$5,$B$1)</f>
        <v>4472</v>
      </c>
      <c r="AW61" s="55">
        <f>_xll.EQNXTDZ($A$1,$B61,AW$5,$B$1)</f>
        <v>0</v>
      </c>
      <c r="AX61" s="55">
        <f>_xll.EQNXTDZ($A$1,$B61,AX$5,$B$1)</f>
        <v>4431</v>
      </c>
      <c r="AY61" s="55">
        <f>_xll.EQNXTDZ($A$1,$B61,AY$5,$B$1)</f>
        <v>0</v>
      </c>
      <c r="AZ61" s="55">
        <f>_xll.EQNXTDZ($A$1,$B61,AZ$5,$B$1)</f>
        <v>4348</v>
      </c>
      <c r="BA61" s="55">
        <f>_xll.EQNXTDZ($A$1,$B61,BA$5,$B$1)</f>
        <v>0</v>
      </c>
      <c r="BB61" s="55">
        <f>_xll.EQNXTDZ($A$1,$B61,BB$5,$B$1)</f>
        <v>4605</v>
      </c>
      <c r="BC61" s="55">
        <f>_xll.EQNXTDZ($A$1,$B61,BC$5,$B$1)</f>
        <v>0</v>
      </c>
      <c r="BD61" s="55">
        <f>_xll.EQNXTDZ($A$1,$B61,BD$5,$B$1)</f>
        <v>5665</v>
      </c>
      <c r="BE61" s="55">
        <f>_xll.EQNXTDZ($A$1,$B61,BE$5,$B$1)</f>
        <v>0</v>
      </c>
      <c r="BF61" s="55">
        <f>_xll.EQNXTDZ($A$1,$B61,BF$5,$B$1)</f>
        <v>6168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4015</v>
      </c>
      <c r="AE63" s="55">
        <f>_xll.EQNXTDZ($A$1,$B63,AE$5,$B$1)</f>
        <v>0</v>
      </c>
      <c r="AF63" s="55">
        <f>_xll.EQNXTDZ($A$1,$B63,AF$5,$B$1)</f>
        <v>3235</v>
      </c>
      <c r="AG63" s="55">
        <f>_xll.EQNXTDZ($A$1,$B63,AG$5,$B$1)</f>
        <v>0</v>
      </c>
      <c r="AH63" s="55">
        <f>_xll.EQNXTDZ($A$1,$B63,AH$5,$B$1)</f>
        <v>3505</v>
      </c>
      <c r="AI63" s="55">
        <f>_xll.EQNXTDZ($A$1,$B63,AI$5,$B$1)</f>
        <v>0</v>
      </c>
      <c r="AJ63" s="55">
        <f>_xll.EQNXTDZ($A$1,$B63,AJ$5,$B$1)</f>
        <v>3112</v>
      </c>
      <c r="AK63" s="55">
        <f>_xll.EQNXTDZ($A$1,$B63,AK$5,$B$1)</f>
        <v>0</v>
      </c>
      <c r="AL63" s="55">
        <f>_xll.EQNXTDZ($A$1,$B63,AL$5,$B$1)</f>
        <v>2089</v>
      </c>
      <c r="AM63" s="55">
        <f>_xll.EQNXTDZ($A$1,$B63,AM$5,$B$1)</f>
        <v>0</v>
      </c>
      <c r="AN63" s="55">
        <f>_xll.EQNXTDZ($A$1,$B63,AN$5,$B$1)</f>
        <v>1631</v>
      </c>
      <c r="AO63" s="55">
        <f>_xll.EQNXTDZ($A$1,$B63,AO$5,$B$1)</f>
        <v>0</v>
      </c>
      <c r="AP63" s="55">
        <f>_xll.EQNXTDZ($A$1,$B63,AP$5,$B$1)</f>
        <v>1922</v>
      </c>
      <c r="AQ63" s="55">
        <f>_xll.EQNXTDZ($A$1,$B63,AQ$5,$B$1)</f>
        <v>0</v>
      </c>
      <c r="AR63" s="55">
        <f>_xll.EQNXTDZ($A$1,$B63,AR$5,$B$1)</f>
        <v>2220</v>
      </c>
      <c r="AS63" s="55">
        <f>_xll.EQNXTDZ($A$1,$B63,AS$5,$B$1)</f>
        <v>0</v>
      </c>
      <c r="AT63" s="55">
        <f>_xll.EQNXTDZ($A$1,$B63,AT$5,$B$1)</f>
        <v>3210</v>
      </c>
      <c r="AU63" s="55">
        <f>_xll.EQNXTDZ($A$1,$B63,AU$5,$B$1)</f>
        <v>0</v>
      </c>
      <c r="AV63" s="55">
        <f>_xll.EQNXTDZ($A$1,$B63,AV$5,$B$1)</f>
        <v>4472</v>
      </c>
      <c r="AW63" s="55">
        <f>_xll.EQNXTDZ($A$1,$B63,AW$5,$B$1)</f>
        <v>0</v>
      </c>
      <c r="AX63" s="55">
        <f>_xll.EQNXTDZ($A$1,$B63,AX$5,$B$1)</f>
        <v>4431</v>
      </c>
      <c r="AY63" s="55">
        <f>_xll.EQNXTDZ($A$1,$B63,AY$5,$B$1)</f>
        <v>0</v>
      </c>
      <c r="AZ63" s="55">
        <f>_xll.EQNXTDZ($A$1,$B63,AZ$5,$B$1)</f>
        <v>4348</v>
      </c>
      <c r="BA63" s="55">
        <f>_xll.EQNXTDZ($A$1,$B63,BA$5,$B$1)</f>
        <v>0</v>
      </c>
      <c r="BB63" s="55">
        <f>_xll.EQNXTDZ($A$1,$B63,BB$5,$B$1)</f>
        <v>4605</v>
      </c>
      <c r="BC63" s="55">
        <f>_xll.EQNXTDZ($A$1,$B63,BC$5,$B$1)</f>
        <v>0</v>
      </c>
      <c r="BD63" s="55">
        <f>_xll.EQNXTDZ($A$1,$B63,BD$5,$B$1)</f>
        <v>5665</v>
      </c>
      <c r="BE63" s="55">
        <f>_xll.EQNXTDZ($A$1,$B63,BE$5,$B$1)</f>
        <v>0</v>
      </c>
      <c r="BF63" s="55">
        <f>_xll.EQNXTDZ($A$1,$B63,BF$5,$B$1)</f>
        <v>6168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242</v>
      </c>
      <c r="AE64" s="55">
        <f>_xll.EQNXTDZ($A$1,$B64,AE$5,$B$1)</f>
        <v>0</v>
      </c>
      <c r="AF64" s="55">
        <f>_xll.EQNXTDZ($A$1,$B64,AF$5,$B$1)</f>
        <v>173</v>
      </c>
      <c r="AG64" s="55">
        <f>_xll.EQNXTDZ($A$1,$B64,AG$5,$B$1)</f>
        <v>0</v>
      </c>
      <c r="AH64" s="55">
        <f>_xll.EQNXTDZ($A$1,$B64,AH$5,$B$1)</f>
        <v>278</v>
      </c>
      <c r="AI64" s="55">
        <f>_xll.EQNXTDZ($A$1,$B64,AI$5,$B$1)</f>
        <v>0</v>
      </c>
      <c r="AJ64" s="55">
        <f>_xll.EQNXTDZ($A$1,$B64,AJ$5,$B$1)</f>
        <v>127</v>
      </c>
      <c r="AK64" s="55">
        <f>_xll.EQNXTDZ($A$1,$B64,AK$5,$B$1)</f>
        <v>0</v>
      </c>
      <c r="AL64" s="55">
        <f>_xll.EQNXTDZ($A$1,$B64,AL$5,$B$1)</f>
        <v>295</v>
      </c>
      <c r="AM64" s="55">
        <f>_xll.EQNXTDZ($A$1,$B64,AM$5,$B$1)</f>
        <v>0</v>
      </c>
      <c r="AN64" s="55">
        <f>_xll.EQNXTDZ($A$1,$B64,AN$5,$B$1)</f>
        <v>188</v>
      </c>
      <c r="AO64" s="55">
        <f>_xll.EQNXTDZ($A$1,$B64,AO$5,$B$1)</f>
        <v>0</v>
      </c>
      <c r="AP64" s="55">
        <f>_xll.EQNXTDZ($A$1,$B64,AP$5,$B$1)</f>
        <v>202</v>
      </c>
      <c r="AQ64" s="55">
        <f>_xll.EQNXTDZ($A$1,$B64,AQ$5,$B$1)</f>
        <v>0</v>
      </c>
      <c r="AR64" s="55">
        <f>_xll.EQNXTDZ($A$1,$B64,AR$5,$B$1)</f>
        <v>213</v>
      </c>
      <c r="AS64" s="55">
        <f>_xll.EQNXTDZ($A$1,$B64,AS$5,$B$1)</f>
        <v>0</v>
      </c>
      <c r="AT64" s="55">
        <f>_xll.EQNXTDZ($A$1,$B64,AT$5,$B$1)</f>
        <v>259</v>
      </c>
      <c r="AU64" s="55">
        <f>_xll.EQNXTDZ($A$1,$B64,AU$5,$B$1)</f>
        <v>0</v>
      </c>
      <c r="AV64" s="55">
        <f>_xll.EQNXTDZ($A$1,$B64,AV$5,$B$1)</f>
        <v>225</v>
      </c>
      <c r="AW64" s="55">
        <f>_xll.EQNXTDZ($A$1,$B64,AW$5,$B$1)</f>
        <v>0</v>
      </c>
      <c r="AX64" s="55">
        <f>_xll.EQNXTDZ($A$1,$B64,AX$5,$B$1)</f>
        <v>278</v>
      </c>
      <c r="AY64" s="55">
        <f>_xll.EQNXTDZ($A$1,$B64,AY$5,$B$1)</f>
        <v>0</v>
      </c>
      <c r="AZ64" s="55">
        <f>_xll.EQNXTDZ($A$1,$B64,AZ$5,$B$1)</f>
        <v>289</v>
      </c>
      <c r="BA64" s="55">
        <f>_xll.EQNXTDZ($A$1,$B64,BA$5,$B$1)</f>
        <v>0</v>
      </c>
      <c r="BB64" s="55">
        <f>_xll.EQNXTDZ($A$1,$B64,BB$5,$B$1)</f>
        <v>549</v>
      </c>
      <c r="BC64" s="55">
        <f>_xll.EQNXTDZ($A$1,$B64,BC$5,$B$1)</f>
        <v>0</v>
      </c>
      <c r="BD64" s="55">
        <f>_xll.EQNXTDZ($A$1,$B64,BD$5,$B$1)</f>
        <v>559</v>
      </c>
      <c r="BE64" s="55">
        <f>_xll.EQNXTDZ($A$1,$B64,BE$5,$B$1)</f>
        <v>0</v>
      </c>
      <c r="BF64" s="55">
        <f>_xll.EQNXTDZ($A$1,$B64,BF$5,$B$1)</f>
        <v>780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3</v>
      </c>
      <c r="AI65" s="55">
        <f>_xll.EQNXTDZ($A$1,$B65,AI$5,$B$1)</f>
        <v>0</v>
      </c>
      <c r="AJ65" s="55">
        <f>_xll.EQNXTDZ($A$1,$B65,AJ$5,$B$1)</f>
        <v>3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170</v>
      </c>
      <c r="AE66" s="55">
        <f>_xll.EQNXTDZ($A$1,$B66,AE$5,$B$1)</f>
        <v>0</v>
      </c>
      <c r="AF66" s="55">
        <f>_xll.EQNXTDZ($A$1,$B66,AF$5,$B$1)</f>
        <v>178</v>
      </c>
      <c r="AG66" s="55">
        <f>_xll.EQNXTDZ($A$1,$B66,AG$5,$B$1)</f>
        <v>0</v>
      </c>
      <c r="AH66" s="55">
        <f>_xll.EQNXTDZ($A$1,$B66,AH$5,$B$1)</f>
        <v>140</v>
      </c>
      <c r="AI66" s="55">
        <f>_xll.EQNXTDZ($A$1,$B66,AI$5,$B$1)</f>
        <v>0</v>
      </c>
      <c r="AJ66" s="55">
        <f>_xll.EQNXTDZ($A$1,$B66,AJ$5,$B$1)</f>
        <v>263</v>
      </c>
      <c r="AK66" s="55">
        <f>_xll.EQNXTDZ($A$1,$B66,AK$5,$B$1)</f>
        <v>0</v>
      </c>
      <c r="AL66" s="55">
        <f>_xll.EQNXTDZ($A$1,$B66,AL$5,$B$1)</f>
        <v>176</v>
      </c>
      <c r="AM66" s="55">
        <f>_xll.EQNXTDZ($A$1,$B66,AM$5,$B$1)</f>
        <v>0</v>
      </c>
      <c r="AN66" s="55">
        <f>_xll.EQNXTDZ($A$1,$B66,AN$5,$B$1)</f>
        <v>157</v>
      </c>
      <c r="AO66" s="55">
        <f>_xll.EQNXTDZ($A$1,$B66,AO$5,$B$1)</f>
        <v>0</v>
      </c>
      <c r="AP66" s="55">
        <f>_xll.EQNXTDZ($A$1,$B66,AP$5,$B$1)</f>
        <v>181</v>
      </c>
      <c r="AQ66" s="55">
        <f>_xll.EQNXTDZ($A$1,$B66,AQ$5,$B$1)</f>
        <v>0</v>
      </c>
      <c r="AR66" s="55">
        <f>_xll.EQNXTDZ($A$1,$B66,AR$5,$B$1)</f>
        <v>230</v>
      </c>
      <c r="AS66" s="55">
        <f>_xll.EQNXTDZ($A$1,$B66,AS$5,$B$1)</f>
        <v>0</v>
      </c>
      <c r="AT66" s="55">
        <f>_xll.EQNXTDZ($A$1,$B66,AT$5,$B$1)</f>
        <v>236</v>
      </c>
      <c r="AU66" s="55">
        <f>_xll.EQNXTDZ($A$1,$B66,AU$5,$B$1)</f>
        <v>0</v>
      </c>
      <c r="AV66" s="55">
        <f>_xll.EQNXTDZ($A$1,$B66,AV$5,$B$1)</f>
        <v>247</v>
      </c>
      <c r="AW66" s="55">
        <f>_xll.EQNXTDZ($A$1,$B66,AW$5,$B$1)</f>
        <v>0</v>
      </c>
      <c r="AX66" s="55">
        <f>_xll.EQNXTDZ($A$1,$B66,AX$5,$B$1)</f>
        <v>264</v>
      </c>
      <c r="AY66" s="55">
        <f>_xll.EQNXTDZ($A$1,$B66,AY$5,$B$1)</f>
        <v>0</v>
      </c>
      <c r="AZ66" s="55">
        <f>_xll.EQNXTDZ($A$1,$B66,AZ$5,$B$1)</f>
        <v>274</v>
      </c>
      <c r="BA66" s="55">
        <f>_xll.EQNXTDZ($A$1,$B66,BA$5,$B$1)</f>
        <v>0</v>
      </c>
      <c r="BB66" s="55">
        <f>_xll.EQNXTDZ($A$1,$B66,BB$5,$B$1)</f>
        <v>313</v>
      </c>
      <c r="BC66" s="55">
        <f>_xll.EQNXTDZ($A$1,$B66,BC$5,$B$1)</f>
        <v>0</v>
      </c>
      <c r="BD66" s="55">
        <f>_xll.EQNXTDZ($A$1,$B66,BD$5,$B$1)</f>
        <v>327</v>
      </c>
      <c r="BE66" s="55">
        <f>_xll.EQNXTDZ($A$1,$B66,BE$5,$B$1)</f>
        <v>0</v>
      </c>
      <c r="BF66" s="55">
        <f>_xll.EQNXTDZ($A$1,$B66,BF$5,$B$1)</f>
        <v>330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15077</v>
      </c>
      <c r="AE67" s="55">
        <f>_xll.EQNXTDZ($A$1,$B67,AE$5,$B$1)</f>
        <v>0</v>
      </c>
      <c r="AF67" s="55">
        <f>_xll.EQNXTDZ($A$1,$B67,AF$5,$B$1)</f>
        <v>14114</v>
      </c>
      <c r="AG67" s="55">
        <f>_xll.EQNXTDZ($A$1,$B67,AG$5,$B$1)</f>
        <v>0</v>
      </c>
      <c r="AH67" s="55">
        <f>_xll.EQNXTDZ($A$1,$B67,AH$5,$B$1)</f>
        <v>14512</v>
      </c>
      <c r="AI67" s="55">
        <f>_xll.EQNXTDZ($A$1,$B67,AI$5,$B$1)</f>
        <v>0</v>
      </c>
      <c r="AJ67" s="55">
        <f>_xll.EQNXTDZ($A$1,$B67,AJ$5,$B$1)</f>
        <v>14688</v>
      </c>
      <c r="AK67" s="55">
        <f>_xll.EQNXTDZ($A$1,$B67,AK$5,$B$1)</f>
        <v>0</v>
      </c>
      <c r="AL67" s="55">
        <f>_xll.EQNXTDZ($A$1,$B67,AL$5,$B$1)</f>
        <v>15404</v>
      </c>
      <c r="AM67" s="55">
        <f>_xll.EQNXTDZ($A$1,$B67,AM$5,$B$1)</f>
        <v>0</v>
      </c>
      <c r="AN67" s="55">
        <f>_xll.EQNXTDZ($A$1,$B67,AN$5,$B$1)</f>
        <v>16386</v>
      </c>
      <c r="AO67" s="55">
        <f>_xll.EQNXTDZ($A$1,$B67,AO$5,$B$1)</f>
        <v>0</v>
      </c>
      <c r="AP67" s="55">
        <f>_xll.EQNXTDZ($A$1,$B67,AP$5,$B$1)</f>
        <v>18438</v>
      </c>
      <c r="AQ67" s="55">
        <f>_xll.EQNXTDZ($A$1,$B67,AQ$5,$B$1)</f>
        <v>0</v>
      </c>
      <c r="AR67" s="55">
        <f>_xll.EQNXTDZ($A$1,$B67,AR$5,$B$1)</f>
        <v>17778</v>
      </c>
      <c r="AS67" s="55">
        <f>_xll.EQNXTDZ($A$1,$B67,AS$5,$B$1)</f>
        <v>0</v>
      </c>
      <c r="AT67" s="55">
        <f>_xll.EQNXTDZ($A$1,$B67,AT$5,$B$1)</f>
        <v>19449</v>
      </c>
      <c r="AU67" s="55">
        <f>_xll.EQNXTDZ($A$1,$B67,AU$5,$B$1)</f>
        <v>0</v>
      </c>
      <c r="AV67" s="55">
        <f>_xll.EQNXTDZ($A$1,$B67,AV$5,$B$1)</f>
        <v>21057</v>
      </c>
      <c r="AW67" s="55">
        <f>_xll.EQNXTDZ($A$1,$B67,AW$5,$B$1)</f>
        <v>0</v>
      </c>
      <c r="AX67" s="55">
        <f>_xll.EQNXTDZ($A$1,$B67,AX$5,$B$1)</f>
        <v>21480</v>
      </c>
      <c r="AY67" s="55">
        <f>_xll.EQNXTDZ($A$1,$B67,AY$5,$B$1)</f>
        <v>0</v>
      </c>
      <c r="AZ67" s="55">
        <f>_xll.EQNXTDZ($A$1,$B67,AZ$5,$B$1)</f>
        <v>22547</v>
      </c>
      <c r="BA67" s="55">
        <f>_xll.EQNXTDZ($A$1,$B67,BA$5,$B$1)</f>
        <v>0</v>
      </c>
      <c r="BB67" s="55">
        <f>_xll.EQNXTDZ($A$1,$B67,BB$5,$B$1)</f>
        <v>22967</v>
      </c>
      <c r="BC67" s="55">
        <f>_xll.EQNXTDZ($A$1,$B67,BC$5,$B$1)</f>
        <v>0</v>
      </c>
      <c r="BD67" s="55">
        <f>_xll.EQNXTDZ($A$1,$B67,BD$5,$B$1)</f>
        <v>24361</v>
      </c>
      <c r="BE67" s="55">
        <f>_xll.EQNXTDZ($A$1,$B67,BE$5,$B$1)</f>
        <v>0</v>
      </c>
      <c r="BF67" s="55">
        <f>_xll.EQNXTDZ($A$1,$B67,BF$5,$B$1)</f>
        <v>25401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11972</v>
      </c>
      <c r="AE68" s="55">
        <f>_xll.EQNXTDZ($A$1,$B68,AE$5,$B$1)</f>
        <v>0</v>
      </c>
      <c r="AF68" s="55">
        <f>_xll.EQNXTDZ($A$1,$B68,AF$5,$B$1)</f>
        <v>8842</v>
      </c>
      <c r="AG68" s="55">
        <f>_xll.EQNXTDZ($A$1,$B68,AG$5,$B$1)</f>
        <v>0</v>
      </c>
      <c r="AH68" s="55">
        <f>_xll.EQNXTDZ($A$1,$B68,AH$5,$B$1)</f>
        <v>11207</v>
      </c>
      <c r="AI68" s="55">
        <f>_xll.EQNXTDZ($A$1,$B68,AI$5,$B$1)</f>
        <v>0</v>
      </c>
      <c r="AJ68" s="55">
        <f>_xll.EQNXTDZ($A$1,$B68,AJ$5,$B$1)</f>
        <v>11164</v>
      </c>
      <c r="AK68" s="55">
        <f>_xll.EQNXTDZ($A$1,$B68,AK$5,$B$1)</f>
        <v>0</v>
      </c>
      <c r="AL68" s="55">
        <f>_xll.EQNXTDZ($A$1,$B68,AL$5,$B$1)</f>
        <v>12567</v>
      </c>
      <c r="AM68" s="55">
        <f>_xll.EQNXTDZ($A$1,$B68,AM$5,$B$1)</f>
        <v>0</v>
      </c>
      <c r="AN68" s="55">
        <f>_xll.EQNXTDZ($A$1,$B68,AN$5,$B$1)</f>
        <v>12335</v>
      </c>
      <c r="AO68" s="55">
        <f>_xll.EQNXTDZ($A$1,$B68,AO$5,$B$1)</f>
        <v>0</v>
      </c>
      <c r="AP68" s="55">
        <f>_xll.EQNXTDZ($A$1,$B68,AP$5,$B$1)</f>
        <v>13101</v>
      </c>
      <c r="AQ68" s="55">
        <f>_xll.EQNXTDZ($A$1,$B68,AQ$5,$B$1)</f>
        <v>0</v>
      </c>
      <c r="AR68" s="55">
        <f>_xll.EQNXTDZ($A$1,$B68,AR$5,$B$1)</f>
        <v>13289</v>
      </c>
      <c r="AS68" s="55">
        <f>_xll.EQNXTDZ($A$1,$B68,AS$5,$B$1)</f>
        <v>0</v>
      </c>
      <c r="AT68" s="55">
        <f>_xll.EQNXTDZ($A$1,$B68,AT$5,$B$1)</f>
        <v>13878</v>
      </c>
      <c r="AU68" s="55">
        <f>_xll.EQNXTDZ($A$1,$B68,AU$5,$B$1)</f>
        <v>0</v>
      </c>
      <c r="AV68" s="55">
        <f>_xll.EQNXTDZ($A$1,$B68,AV$5,$B$1)</f>
        <v>14513</v>
      </c>
      <c r="AW68" s="55">
        <f>_xll.EQNXTDZ($A$1,$B68,AW$5,$B$1)</f>
        <v>0</v>
      </c>
      <c r="AX68" s="55">
        <f>_xll.EQNXTDZ($A$1,$B68,AX$5,$B$1)</f>
        <v>15044</v>
      </c>
      <c r="AY68" s="55">
        <f>_xll.EQNXTDZ($A$1,$B68,AY$5,$B$1)</f>
        <v>0</v>
      </c>
      <c r="AZ68" s="55">
        <f>_xll.EQNXTDZ($A$1,$B68,AZ$5,$B$1)</f>
        <v>15393</v>
      </c>
      <c r="BA68" s="55">
        <f>_xll.EQNXTDZ($A$1,$B68,BA$5,$B$1)</f>
        <v>0</v>
      </c>
      <c r="BB68" s="55">
        <f>_xll.EQNXTDZ($A$1,$B68,BB$5,$B$1)</f>
        <v>16476</v>
      </c>
      <c r="BC68" s="55">
        <f>_xll.EQNXTDZ($A$1,$B68,BC$5,$B$1)</f>
        <v>0</v>
      </c>
      <c r="BD68" s="55">
        <f>_xll.EQNXTDZ($A$1,$B68,BD$5,$B$1)</f>
        <v>16341</v>
      </c>
      <c r="BE68" s="55">
        <f>_xll.EQNXTDZ($A$1,$B68,BE$5,$B$1)</f>
        <v>0</v>
      </c>
      <c r="BF68" s="55">
        <f>_xll.EQNXTDZ($A$1,$B68,BF$5,$B$1)</f>
        <v>18335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11972</v>
      </c>
      <c r="AE71" s="55">
        <f>_xll.EQNXTDZ($A$1,$B71,AE$5,$B$1)</f>
        <v>0</v>
      </c>
      <c r="AF71" s="55">
        <f>_xll.EQNXTDZ($A$1,$B71,AF$5,$B$1)</f>
        <v>8842</v>
      </c>
      <c r="AG71" s="55">
        <f>_xll.EQNXTDZ($A$1,$B71,AG$5,$B$1)</f>
        <v>0</v>
      </c>
      <c r="AH71" s="55">
        <f>_xll.EQNXTDZ($A$1,$B71,AH$5,$B$1)</f>
        <v>11207</v>
      </c>
      <c r="AI71" s="55">
        <f>_xll.EQNXTDZ($A$1,$B71,AI$5,$B$1)</f>
        <v>0</v>
      </c>
      <c r="AJ71" s="55">
        <f>_xll.EQNXTDZ($A$1,$B71,AJ$5,$B$1)</f>
        <v>11164</v>
      </c>
      <c r="AK71" s="55">
        <f>_xll.EQNXTDZ($A$1,$B71,AK$5,$B$1)</f>
        <v>0</v>
      </c>
      <c r="AL71" s="55">
        <f>_xll.EQNXTDZ($A$1,$B71,AL$5,$B$1)</f>
        <v>12567</v>
      </c>
      <c r="AM71" s="55">
        <f>_xll.EQNXTDZ($A$1,$B71,AM$5,$B$1)</f>
        <v>0</v>
      </c>
      <c r="AN71" s="55">
        <f>_xll.EQNXTDZ($A$1,$B71,AN$5,$B$1)</f>
        <v>12335</v>
      </c>
      <c r="AO71" s="55">
        <f>_xll.EQNXTDZ($A$1,$B71,AO$5,$B$1)</f>
        <v>0</v>
      </c>
      <c r="AP71" s="55">
        <f>_xll.EQNXTDZ($A$1,$B71,AP$5,$B$1)</f>
        <v>13101</v>
      </c>
      <c r="AQ71" s="55">
        <f>_xll.EQNXTDZ($A$1,$B71,AQ$5,$B$1)</f>
        <v>0</v>
      </c>
      <c r="AR71" s="55">
        <f>_xll.EQNXTDZ($A$1,$B71,AR$5,$B$1)</f>
        <v>13289</v>
      </c>
      <c r="AS71" s="55">
        <f>_xll.EQNXTDZ($A$1,$B71,AS$5,$B$1)</f>
        <v>0</v>
      </c>
      <c r="AT71" s="55">
        <f>_xll.EQNXTDZ($A$1,$B71,AT$5,$B$1)</f>
        <v>13878</v>
      </c>
      <c r="AU71" s="55">
        <f>_xll.EQNXTDZ($A$1,$B71,AU$5,$B$1)</f>
        <v>0</v>
      </c>
      <c r="AV71" s="55">
        <f>_xll.EQNXTDZ($A$1,$B71,AV$5,$B$1)</f>
        <v>14513</v>
      </c>
      <c r="AW71" s="55">
        <f>_xll.EQNXTDZ($A$1,$B71,AW$5,$B$1)</f>
        <v>0</v>
      </c>
      <c r="AX71" s="55">
        <f>_xll.EQNXTDZ($A$1,$B71,AX$5,$B$1)</f>
        <v>15044</v>
      </c>
      <c r="AY71" s="55">
        <f>_xll.EQNXTDZ($A$1,$B71,AY$5,$B$1)</f>
        <v>0</v>
      </c>
      <c r="AZ71" s="55">
        <f>_xll.EQNXTDZ($A$1,$B71,AZ$5,$B$1)</f>
        <v>15393</v>
      </c>
      <c r="BA71" s="55">
        <f>_xll.EQNXTDZ($A$1,$B71,BA$5,$B$1)</f>
        <v>0</v>
      </c>
      <c r="BB71" s="55">
        <f>_xll.EQNXTDZ($A$1,$B71,BB$5,$B$1)</f>
        <v>16476</v>
      </c>
      <c r="BC71" s="55">
        <f>_xll.EQNXTDZ($A$1,$B71,BC$5,$B$1)</f>
        <v>0</v>
      </c>
      <c r="BD71" s="55">
        <f>_xll.EQNXTDZ($A$1,$B71,BD$5,$B$1)</f>
        <v>16341</v>
      </c>
      <c r="BE71" s="55">
        <f>_xll.EQNXTDZ($A$1,$B71,BE$5,$B$1)</f>
        <v>0</v>
      </c>
      <c r="BF71" s="55">
        <f>_xll.EQNXTDZ($A$1,$B71,BF$5,$B$1)</f>
        <v>18335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1620</v>
      </c>
      <c r="AE72" s="55">
        <f>_xll.EQNXTDZ($A$1,$B72,AE$5,$B$1)</f>
        <v>0</v>
      </c>
      <c r="AF72" s="55">
        <f>_xll.EQNXTDZ($A$1,$B72,AF$5,$B$1)</f>
        <v>4199</v>
      </c>
      <c r="AG72" s="55">
        <f>_xll.EQNXTDZ($A$1,$B72,AG$5,$B$1)</f>
        <v>0</v>
      </c>
      <c r="AH72" s="55">
        <f>_xll.EQNXTDZ($A$1,$B72,AH$5,$B$1)</f>
        <v>1218</v>
      </c>
      <c r="AI72" s="55">
        <f>_xll.EQNXTDZ($A$1,$B72,AI$5,$B$1)</f>
        <v>0</v>
      </c>
      <c r="AJ72" s="55">
        <f>_xll.EQNXTDZ($A$1,$B72,AJ$5,$B$1)</f>
        <v>1116</v>
      </c>
      <c r="AK72" s="55">
        <f>_xll.EQNXTDZ($A$1,$B72,AK$5,$B$1)</f>
        <v>0</v>
      </c>
      <c r="AL72" s="55">
        <f>_xll.EQNXTDZ($A$1,$B72,AL$5,$B$1)</f>
        <v>1011</v>
      </c>
      <c r="AM72" s="55">
        <f>_xll.EQNXTDZ($A$1,$B72,AM$5,$B$1)</f>
        <v>0</v>
      </c>
      <c r="AN72" s="55">
        <f>_xll.EQNXTDZ($A$1,$B72,AN$5,$B$1)</f>
        <v>909</v>
      </c>
      <c r="AO72" s="55">
        <f>_xll.EQNXTDZ($A$1,$B72,AO$5,$B$1)</f>
        <v>0</v>
      </c>
      <c r="AP72" s="55">
        <f>_xll.EQNXTDZ($A$1,$B72,AP$5,$B$1)</f>
        <v>933</v>
      </c>
      <c r="AQ72" s="55">
        <f>_xll.EQNXTDZ($A$1,$B72,AQ$5,$B$1)</f>
        <v>0</v>
      </c>
      <c r="AR72" s="55">
        <f>_xll.EQNXTDZ($A$1,$B72,AR$5,$B$1)</f>
        <v>831</v>
      </c>
      <c r="AS72" s="55">
        <f>_xll.EQNXTDZ($A$1,$B72,AS$5,$B$1)</f>
        <v>0</v>
      </c>
      <c r="AT72" s="55">
        <f>_xll.EQNXTDZ($A$1,$B72,AT$5,$B$1)</f>
        <v>730</v>
      </c>
      <c r="AU72" s="55">
        <f>_xll.EQNXTDZ($A$1,$B72,AU$5,$B$1)</f>
        <v>0</v>
      </c>
      <c r="AV72" s="55">
        <f>_xll.EQNXTDZ($A$1,$B72,AV$5,$B$1)</f>
        <v>628</v>
      </c>
      <c r="AW72" s="55">
        <f>_xll.EQNXTDZ($A$1,$B72,AW$5,$B$1)</f>
        <v>0</v>
      </c>
      <c r="AX72" s="55">
        <f>_xll.EQNXTDZ($A$1,$B72,AX$5,$B$1)</f>
        <v>527</v>
      </c>
      <c r="AY72" s="55">
        <f>_xll.EQNXTDZ($A$1,$B72,AY$5,$B$1)</f>
        <v>0</v>
      </c>
      <c r="AZ72" s="55">
        <f>_xll.EQNXTDZ($A$1,$B72,AZ$5,$B$1)</f>
        <v>425</v>
      </c>
      <c r="BA72" s="55">
        <f>_xll.EQNXTDZ($A$1,$B72,BA$5,$B$1)</f>
        <v>0</v>
      </c>
      <c r="BB72" s="55">
        <f>_xll.EQNXTDZ($A$1,$B72,BB$5,$B$1)</f>
        <v>374</v>
      </c>
      <c r="BC72" s="55">
        <f>_xll.EQNXTDZ($A$1,$B72,BC$5,$B$1)</f>
        <v>0</v>
      </c>
      <c r="BD72" s="55">
        <f>_xll.EQNXTDZ($A$1,$B72,BD$5,$B$1)</f>
        <v>374</v>
      </c>
      <c r="BE72" s="55">
        <f>_xll.EQNXTDZ($A$1,$B72,BE$5,$B$1)</f>
        <v>0</v>
      </c>
      <c r="BF72" s="55">
        <f>_xll.EQNXTDZ($A$1,$B72,BF$5,$B$1)</f>
        <v>374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501</v>
      </c>
      <c r="AE74" s="55">
        <f>_xll.EQNXTDZ($A$1,$B74,AE$5,$B$1)</f>
        <v>0</v>
      </c>
      <c r="AF74" s="55">
        <f>_xll.EQNXTDZ($A$1,$B74,AF$5,$B$1)</f>
        <v>1045</v>
      </c>
      <c r="AG74" s="55">
        <f>_xll.EQNXTDZ($A$1,$B74,AG$5,$B$1)</f>
        <v>0</v>
      </c>
      <c r="AH74" s="55">
        <f>_xll.EQNXTDZ($A$1,$B74,AH$5,$B$1)</f>
        <v>1702</v>
      </c>
      <c r="AI74" s="55">
        <f>_xll.EQNXTDZ($A$1,$B74,AI$5,$B$1)</f>
        <v>0</v>
      </c>
      <c r="AJ74" s="55">
        <f>_xll.EQNXTDZ($A$1,$B74,AJ$5,$B$1)</f>
        <v>2145</v>
      </c>
      <c r="AK74" s="55">
        <f>_xll.EQNXTDZ($A$1,$B74,AK$5,$B$1)</f>
        <v>0</v>
      </c>
      <c r="AL74" s="55">
        <f>_xll.EQNXTDZ($A$1,$B74,AL$5,$B$1)</f>
        <v>869</v>
      </c>
      <c r="AM74" s="55">
        <f>_xll.EQNXTDZ($A$1,$B74,AM$5,$B$1)</f>
        <v>0</v>
      </c>
      <c r="AN74" s="55">
        <f>_xll.EQNXTDZ($A$1,$B74,AN$5,$B$1)</f>
        <v>1250</v>
      </c>
      <c r="AO74" s="55">
        <f>_xll.EQNXTDZ($A$1,$B74,AO$5,$B$1)</f>
        <v>0</v>
      </c>
      <c r="AP74" s="55">
        <f>_xll.EQNXTDZ($A$1,$B74,AP$5,$B$1)</f>
        <v>1034</v>
      </c>
      <c r="AQ74" s="55">
        <f>_xll.EQNXTDZ($A$1,$B74,AQ$5,$B$1)</f>
        <v>0</v>
      </c>
      <c r="AR74" s="55">
        <f>_xll.EQNXTDZ($A$1,$B74,AR$5,$B$1)</f>
        <v>1487</v>
      </c>
      <c r="AS74" s="55">
        <f>_xll.EQNXTDZ($A$1,$B74,AS$5,$B$1)</f>
        <v>0</v>
      </c>
      <c r="AT74" s="55">
        <f>_xll.EQNXTDZ($A$1,$B74,AT$5,$B$1)</f>
        <v>1859</v>
      </c>
      <c r="AU74" s="55">
        <f>_xll.EQNXTDZ($A$1,$B74,AU$5,$B$1)</f>
        <v>0</v>
      </c>
      <c r="AV74" s="55">
        <f>_xll.EQNXTDZ($A$1,$B74,AV$5,$B$1)</f>
        <v>1852</v>
      </c>
      <c r="AW74" s="55">
        <f>_xll.EQNXTDZ($A$1,$B74,AW$5,$B$1)</f>
        <v>0</v>
      </c>
      <c r="AX74" s="55">
        <f>_xll.EQNXTDZ($A$1,$B74,AX$5,$B$1)</f>
        <v>2284</v>
      </c>
      <c r="AY74" s="55">
        <f>_xll.EQNXTDZ($A$1,$B74,AY$5,$B$1)</f>
        <v>0</v>
      </c>
      <c r="AZ74" s="55">
        <f>_xll.EQNXTDZ($A$1,$B74,AZ$5,$B$1)</f>
        <v>2887</v>
      </c>
      <c r="BA74" s="55">
        <f>_xll.EQNXTDZ($A$1,$B74,BA$5,$B$1)</f>
        <v>0</v>
      </c>
      <c r="BB74" s="55">
        <f>_xll.EQNXTDZ($A$1,$B74,BB$5,$B$1)</f>
        <v>2497</v>
      </c>
      <c r="BC74" s="55">
        <f>_xll.EQNXTDZ($A$1,$B74,BC$5,$B$1)</f>
        <v>0</v>
      </c>
      <c r="BD74" s="55">
        <f>_xll.EQNXTDZ($A$1,$B74,BD$5,$B$1)</f>
        <v>3488</v>
      </c>
      <c r="BE74" s="55">
        <f>_xll.EQNXTDZ($A$1,$B74,BE$5,$B$1)</f>
        <v>0</v>
      </c>
      <c r="BF74" s="55">
        <f>_xll.EQNXTDZ($A$1,$B74,BF$5,$B$1)</f>
        <v>2593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109</v>
      </c>
      <c r="AE77" s="55">
        <f>_xll.EQNXTDZ($A$1,$B77,AE$5,$B$1)</f>
        <v>0</v>
      </c>
      <c r="AF77" s="55">
        <f>_xll.EQNXTDZ($A$1,$B77,AF$5,$B$1)</f>
        <v>111</v>
      </c>
      <c r="AG77" s="55">
        <f>_xll.EQNXTDZ($A$1,$B77,AG$5,$B$1)</f>
        <v>0</v>
      </c>
      <c r="AH77" s="55">
        <f>_xll.EQNXTDZ($A$1,$B77,AH$5,$B$1)</f>
        <v>118</v>
      </c>
      <c r="AI77" s="55">
        <f>_xll.EQNXTDZ($A$1,$B77,AI$5,$B$1)</f>
        <v>0</v>
      </c>
      <c r="AJ77" s="55">
        <f>_xll.EQNXTDZ($A$1,$B77,AJ$5,$B$1)</f>
        <v>118</v>
      </c>
      <c r="AK77" s="55">
        <f>_xll.EQNXTDZ($A$1,$B77,AK$5,$B$1)</f>
        <v>0</v>
      </c>
      <c r="AL77" s="55">
        <f>_xll.EQNXTDZ($A$1,$B77,AL$5,$B$1)</f>
        <v>741</v>
      </c>
      <c r="AM77" s="55">
        <f>_xll.EQNXTDZ($A$1,$B77,AM$5,$B$1)</f>
        <v>0</v>
      </c>
      <c r="AN77" s="55">
        <f>_xll.EQNXTDZ($A$1,$B77,AN$5,$B$1)</f>
        <v>123</v>
      </c>
      <c r="AO77" s="55">
        <f>_xll.EQNXTDZ($A$1,$B77,AO$5,$B$1)</f>
        <v>0</v>
      </c>
      <c r="AP77" s="55">
        <f>_xll.EQNXTDZ($A$1,$B77,AP$5,$B$1)</f>
        <v>1306</v>
      </c>
      <c r="AQ77" s="55">
        <f>_xll.EQNXTDZ($A$1,$B77,AQ$5,$B$1)</f>
        <v>0</v>
      </c>
      <c r="AR77" s="55">
        <f>_xll.EQNXTDZ($A$1,$B77,AR$5,$B$1)</f>
        <v>1105</v>
      </c>
      <c r="AS77" s="55">
        <f>_xll.EQNXTDZ($A$1,$B77,AS$5,$B$1)</f>
        <v>0</v>
      </c>
      <c r="AT77" s="55">
        <f>_xll.EQNXTDZ($A$1,$B77,AT$5,$B$1)</f>
        <v>590</v>
      </c>
      <c r="AU77" s="55">
        <f>_xll.EQNXTDZ($A$1,$B77,AU$5,$B$1)</f>
        <v>0</v>
      </c>
      <c r="AV77" s="55">
        <f>_xll.EQNXTDZ($A$1,$B77,AV$5,$B$1)</f>
        <v>757</v>
      </c>
      <c r="AW77" s="55">
        <f>_xll.EQNXTDZ($A$1,$B77,AW$5,$B$1)</f>
        <v>0</v>
      </c>
      <c r="AX77" s="55">
        <f>_xll.EQNXTDZ($A$1,$B77,AX$5,$B$1)</f>
        <v>591</v>
      </c>
      <c r="AY77" s="55">
        <f>_xll.EQNXTDZ($A$1,$B77,AY$5,$B$1)</f>
        <v>0</v>
      </c>
      <c r="AZ77" s="55">
        <f>_xll.EQNXTDZ($A$1,$B77,AZ$5,$B$1)</f>
        <v>934</v>
      </c>
      <c r="BA77" s="55">
        <f>_xll.EQNXTDZ($A$1,$B77,BA$5,$B$1)</f>
        <v>0</v>
      </c>
      <c r="BB77" s="55">
        <f>_xll.EQNXTDZ($A$1,$B77,BB$5,$B$1)</f>
        <v>716</v>
      </c>
      <c r="BC77" s="55">
        <f>_xll.EQNXTDZ($A$1,$B77,BC$5,$B$1)</f>
        <v>0</v>
      </c>
      <c r="BD77" s="55">
        <f>_xll.EQNXTDZ($A$1,$B77,BD$5,$B$1)</f>
        <v>721</v>
      </c>
      <c r="BE77" s="55">
        <f>_xll.EQNXTDZ($A$1,$B77,BE$5,$B$1)</f>
        <v>0</v>
      </c>
      <c r="BF77" s="55">
        <f>_xll.EQNXTDZ($A$1,$B77,BF$5,$B$1)</f>
        <v>814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63</v>
      </c>
      <c r="AE78" s="55">
        <f>_xll.EQNXTDZ($A$1,$B78,AE$5,$B$1)</f>
        <v>0</v>
      </c>
      <c r="AF78" s="55">
        <f>_xll.EQNXTDZ($A$1,$B78,AF$5,$B$1)</f>
        <v>13</v>
      </c>
      <c r="AG78" s="55">
        <f>_xll.EQNXTDZ($A$1,$B78,AG$5,$B$1)</f>
        <v>0</v>
      </c>
      <c r="AH78" s="55">
        <f>_xll.EQNXTDZ($A$1,$B78,AH$5,$B$1)</f>
        <v>71</v>
      </c>
      <c r="AI78" s="55">
        <f>_xll.EQNXTDZ($A$1,$B78,AI$5,$B$1)</f>
        <v>0</v>
      </c>
      <c r="AJ78" s="55">
        <f>_xll.EQNXTDZ($A$1,$B78,AJ$5,$B$1)</f>
        <v>69</v>
      </c>
      <c r="AK78" s="55">
        <f>_xll.EQNXTDZ($A$1,$B78,AK$5,$B$1)</f>
        <v>0</v>
      </c>
      <c r="AL78" s="55">
        <f>_xll.EQNXTDZ($A$1,$B78,AL$5,$B$1)</f>
        <v>11</v>
      </c>
      <c r="AM78" s="55">
        <f>_xll.EQNXTDZ($A$1,$B78,AM$5,$B$1)</f>
        <v>0</v>
      </c>
      <c r="AN78" s="55">
        <f>_xll.EQNXTDZ($A$1,$B78,AN$5,$B$1)</f>
        <v>10</v>
      </c>
      <c r="AO78" s="55">
        <f>_xll.EQNXTDZ($A$1,$B78,AO$5,$B$1)</f>
        <v>0</v>
      </c>
      <c r="AP78" s="55">
        <f>_xll.EQNXTDZ($A$1,$B78,AP$5,$B$1)</f>
        <v>9</v>
      </c>
      <c r="AQ78" s="55">
        <f>_xll.EQNXTDZ($A$1,$B78,AQ$5,$B$1)</f>
        <v>0</v>
      </c>
      <c r="AR78" s="55">
        <f>_xll.EQNXTDZ($A$1,$B78,AR$5,$B$1)</f>
        <v>10</v>
      </c>
      <c r="AS78" s="55">
        <f>_xll.EQNXTDZ($A$1,$B78,AS$5,$B$1)</f>
        <v>0</v>
      </c>
      <c r="AT78" s="55">
        <f>_xll.EQNXTDZ($A$1,$B78,AT$5,$B$1)</f>
        <v>11</v>
      </c>
      <c r="AU78" s="55">
        <f>_xll.EQNXTDZ($A$1,$B78,AU$5,$B$1)</f>
        <v>0</v>
      </c>
      <c r="AV78" s="55">
        <f>_xll.EQNXTDZ($A$1,$B78,AV$5,$B$1)</f>
        <v>12</v>
      </c>
      <c r="AW78" s="55">
        <f>_xll.EQNXTDZ($A$1,$B78,AW$5,$B$1)</f>
        <v>0</v>
      </c>
      <c r="AX78" s="55">
        <f>_xll.EQNXTDZ($A$1,$B78,AX$5,$B$1)</f>
        <v>13</v>
      </c>
      <c r="AY78" s="55">
        <f>_xll.EQNXTDZ($A$1,$B78,AY$5,$B$1)</f>
        <v>0</v>
      </c>
      <c r="AZ78" s="55">
        <f>_xll.EQNXTDZ($A$1,$B78,AZ$5,$B$1)</f>
        <v>15</v>
      </c>
      <c r="BA78" s="55">
        <f>_xll.EQNXTDZ($A$1,$B78,BA$5,$B$1)</f>
        <v>0</v>
      </c>
      <c r="BB78" s="55">
        <f>_xll.EQNXTDZ($A$1,$B78,BB$5,$B$1)</f>
        <v>14</v>
      </c>
      <c r="BC78" s="55">
        <f>_xll.EQNXTDZ($A$1,$B78,BC$5,$B$1)</f>
        <v>0</v>
      </c>
      <c r="BD78" s="55">
        <f>_xll.EQNXTDZ($A$1,$B78,BD$5,$B$1)</f>
        <v>17</v>
      </c>
      <c r="BE78" s="55">
        <f>_xll.EQNXTDZ($A$1,$B78,BE$5,$B$1)</f>
        <v>0</v>
      </c>
      <c r="BF78" s="55">
        <f>_xll.EQNXTDZ($A$1,$B78,BF$5,$B$1)</f>
        <v>19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869</v>
      </c>
      <c r="AE79" s="55">
        <f>_xll.EQNXTDZ($A$1,$B79,AE$5,$B$1)</f>
        <v>0</v>
      </c>
      <c r="AF79" s="55">
        <f>_xll.EQNXTDZ($A$1,$B79,AF$5,$B$1)</f>
        <v>802</v>
      </c>
      <c r="AG79" s="55">
        <f>_xll.EQNXTDZ($A$1,$B79,AG$5,$B$1)</f>
        <v>0</v>
      </c>
      <c r="AH79" s="55">
        <f>_xll.EQNXTDZ($A$1,$B79,AH$5,$B$1)</f>
        <v>626</v>
      </c>
      <c r="AI79" s="55">
        <f>_xll.EQNXTDZ($A$1,$B79,AI$5,$B$1)</f>
        <v>0</v>
      </c>
      <c r="AJ79" s="55">
        <f>_xll.EQNXTDZ($A$1,$B79,AJ$5,$B$1)</f>
        <v>592</v>
      </c>
      <c r="AK79" s="55">
        <f>_xll.EQNXTDZ($A$1,$B79,AK$5,$B$1)</f>
        <v>0</v>
      </c>
      <c r="AL79" s="55">
        <f>_xll.EQNXTDZ($A$1,$B79,AL$5,$B$1)</f>
        <v>775</v>
      </c>
      <c r="AM79" s="55">
        <f>_xll.EQNXTDZ($A$1,$B79,AM$5,$B$1)</f>
        <v>0</v>
      </c>
      <c r="AN79" s="55">
        <f>_xll.EQNXTDZ($A$1,$B79,AN$5,$B$1)</f>
        <v>663</v>
      </c>
      <c r="AO79" s="55">
        <f>_xll.EQNXTDZ($A$1,$B79,AO$5,$B$1)</f>
        <v>0</v>
      </c>
      <c r="AP79" s="55">
        <f>_xll.EQNXTDZ($A$1,$B79,AP$5,$B$1)</f>
        <v>928</v>
      </c>
      <c r="AQ79" s="55">
        <f>_xll.EQNXTDZ($A$1,$B79,AQ$5,$B$1)</f>
        <v>0</v>
      </c>
      <c r="AR79" s="55">
        <f>_xll.EQNXTDZ($A$1,$B79,AR$5,$B$1)</f>
        <v>1031</v>
      </c>
      <c r="AS79" s="55">
        <f>_xll.EQNXTDZ($A$1,$B79,AS$5,$B$1)</f>
        <v>0</v>
      </c>
      <c r="AT79" s="55">
        <f>_xll.EQNXTDZ($A$1,$B79,AT$5,$B$1)</f>
        <v>1991</v>
      </c>
      <c r="AU79" s="55">
        <f>_xll.EQNXTDZ($A$1,$B79,AU$5,$B$1)</f>
        <v>0</v>
      </c>
      <c r="AV79" s="55">
        <f>_xll.EQNXTDZ($A$1,$B79,AV$5,$B$1)</f>
        <v>1546</v>
      </c>
      <c r="AW79" s="55">
        <f>_xll.EQNXTDZ($A$1,$B79,AW$5,$B$1)</f>
        <v>0</v>
      </c>
      <c r="AX79" s="55">
        <f>_xll.EQNXTDZ($A$1,$B79,AX$5,$B$1)</f>
        <v>1423</v>
      </c>
      <c r="AY79" s="55">
        <f>_xll.EQNXTDZ($A$1,$B79,AY$5,$B$1)</f>
        <v>0</v>
      </c>
      <c r="AZ79" s="55">
        <f>_xll.EQNXTDZ($A$1,$B79,AZ$5,$B$1)</f>
        <v>1436</v>
      </c>
      <c r="BA79" s="55">
        <f>_xll.EQNXTDZ($A$1,$B79,BA$5,$B$1)</f>
        <v>0</v>
      </c>
      <c r="BB79" s="55">
        <f>_xll.EQNXTDZ($A$1,$B79,BB$5,$B$1)</f>
        <v>1780</v>
      </c>
      <c r="BC79" s="55">
        <f>_xll.EQNXTDZ($A$1,$B79,BC$5,$B$1)</f>
        <v>0</v>
      </c>
      <c r="BD79" s="55">
        <f>_xll.EQNXTDZ($A$1,$B79,BD$5,$B$1)</f>
        <v>2032</v>
      </c>
      <c r="BE79" s="55">
        <f>_xll.EQNXTDZ($A$1,$B79,BE$5,$B$1)</f>
        <v>0</v>
      </c>
      <c r="BF79" s="55">
        <f>_xll.EQNXTDZ($A$1,$B79,BF$5,$B$1)</f>
        <v>2361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2315</v>
      </c>
      <c r="AE80" s="55">
        <f>_xll.EQNXTDZ($A$1,$B80,AE$5,$B$1)</f>
        <v>0</v>
      </c>
      <c r="AF80" s="55">
        <f>_xll.EQNXTDZ($A$1,$B80,AF$5,$B$1)</f>
        <v>1659</v>
      </c>
      <c r="AG80" s="55">
        <f>_xll.EQNXTDZ($A$1,$B80,AG$5,$B$1)</f>
        <v>0</v>
      </c>
      <c r="AH80" s="55">
        <f>_xll.EQNXTDZ($A$1,$B80,AH$5,$B$1)</f>
        <v>2698</v>
      </c>
      <c r="AI80" s="55">
        <f>_xll.EQNXTDZ($A$1,$B80,AI$5,$B$1)</f>
        <v>0</v>
      </c>
      <c r="AJ80" s="55">
        <f>_xll.EQNXTDZ($A$1,$B80,AJ$5,$B$1)</f>
        <v>2742</v>
      </c>
      <c r="AK80" s="55">
        <f>_xll.EQNXTDZ($A$1,$B80,AK$5,$B$1)</f>
        <v>0</v>
      </c>
      <c r="AL80" s="55">
        <f>_xll.EQNXTDZ($A$1,$B80,AL$5,$B$1)</f>
        <v>3293</v>
      </c>
      <c r="AM80" s="55">
        <f>_xll.EQNXTDZ($A$1,$B80,AM$5,$B$1)</f>
        <v>0</v>
      </c>
      <c r="AN80" s="55">
        <f>_xll.EQNXTDZ($A$1,$B80,AN$5,$B$1)</f>
        <v>4214</v>
      </c>
      <c r="AO80" s="55">
        <f>_xll.EQNXTDZ($A$1,$B80,AO$5,$B$1)</f>
        <v>0</v>
      </c>
      <c r="AP80" s="55">
        <f>_xll.EQNXTDZ($A$1,$B80,AP$5,$B$1)</f>
        <v>4399</v>
      </c>
      <c r="AQ80" s="55">
        <f>_xll.EQNXTDZ($A$1,$B80,AQ$5,$B$1)</f>
        <v>0</v>
      </c>
      <c r="AR80" s="55">
        <f>_xll.EQNXTDZ($A$1,$B80,AR$5,$B$1)</f>
        <v>2532</v>
      </c>
      <c r="AS80" s="55">
        <f>_xll.EQNXTDZ($A$1,$B80,AS$5,$B$1)</f>
        <v>0</v>
      </c>
      <c r="AT80" s="55">
        <f>_xll.EQNXTDZ($A$1,$B80,AT$5,$B$1)</f>
        <v>2935</v>
      </c>
      <c r="AU80" s="55">
        <f>_xll.EQNXTDZ($A$1,$B80,AU$5,$B$1)</f>
        <v>0</v>
      </c>
      <c r="AV80" s="55">
        <f>_xll.EQNXTDZ($A$1,$B80,AV$5,$B$1)</f>
        <v>3960</v>
      </c>
      <c r="AW80" s="55">
        <f>_xll.EQNXTDZ($A$1,$B80,AW$5,$B$1)</f>
        <v>0</v>
      </c>
      <c r="AX80" s="55">
        <f>_xll.EQNXTDZ($A$1,$B80,AX$5,$B$1)</f>
        <v>3872</v>
      </c>
      <c r="AY80" s="55">
        <f>_xll.EQNXTDZ($A$1,$B80,AY$5,$B$1)</f>
        <v>0</v>
      </c>
      <c r="AZ80" s="55">
        <f>_xll.EQNXTDZ($A$1,$B80,AZ$5,$B$1)</f>
        <v>4012</v>
      </c>
      <c r="BA80" s="55">
        <f>_xll.EQNXTDZ($A$1,$B80,BA$5,$B$1)</f>
        <v>0</v>
      </c>
      <c r="BB80" s="55">
        <f>_xll.EQNXTDZ($A$1,$B80,BB$5,$B$1)</f>
        <v>4444</v>
      </c>
      <c r="BC80" s="55">
        <f>_xll.EQNXTDZ($A$1,$B80,BC$5,$B$1)</f>
        <v>0</v>
      </c>
      <c r="BD80" s="55">
        <f>_xll.EQNXTDZ($A$1,$B80,BD$5,$B$1)</f>
        <v>4917</v>
      </c>
      <c r="BE80" s="55">
        <f>_xll.EQNXTDZ($A$1,$B80,BE$5,$B$1)</f>
        <v>0</v>
      </c>
      <c r="BF80" s="55">
        <f>_xll.EQNXTDZ($A$1,$B80,BF$5,$B$1)</f>
        <v>5105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1032</v>
      </c>
      <c r="AE81" s="55">
        <f>_xll.EQNXTDZ($A$1,$B81,AE$5,$B$1)</f>
        <v>0</v>
      </c>
      <c r="AF81" s="55">
        <f>_xll.EQNXTDZ($A$1,$B81,AF$5,$B$1)</f>
        <v>956</v>
      </c>
      <c r="AG81" s="55">
        <f>_xll.EQNXTDZ($A$1,$B81,AG$5,$B$1)</f>
        <v>0</v>
      </c>
      <c r="AH81" s="55">
        <f>_xll.EQNXTDZ($A$1,$B81,AH$5,$B$1)</f>
        <v>974</v>
      </c>
      <c r="AI81" s="55">
        <f>_xll.EQNXTDZ($A$1,$B81,AI$5,$B$1)</f>
        <v>0</v>
      </c>
      <c r="AJ81" s="55">
        <f>_xll.EQNXTDZ($A$1,$B81,AJ$5,$B$1)</f>
        <v>854</v>
      </c>
      <c r="AK81" s="55">
        <f>_xll.EQNXTDZ($A$1,$B81,AK$5,$B$1)</f>
        <v>0</v>
      </c>
      <c r="AL81" s="55">
        <f>_xll.EQNXTDZ($A$1,$B81,AL$5,$B$1)</f>
        <v>760</v>
      </c>
      <c r="AM81" s="55">
        <f>_xll.EQNXTDZ($A$1,$B81,AM$5,$B$1)</f>
        <v>0</v>
      </c>
      <c r="AN81" s="55">
        <f>_xll.EQNXTDZ($A$1,$B81,AN$5,$B$1)</f>
        <v>974</v>
      </c>
      <c r="AO81" s="55">
        <f>_xll.EQNXTDZ($A$1,$B81,AO$5,$B$1)</f>
        <v>0</v>
      </c>
      <c r="AP81" s="55">
        <f>_xll.EQNXTDZ($A$1,$B81,AP$5,$B$1)</f>
        <v>945</v>
      </c>
      <c r="AQ81" s="55">
        <f>_xll.EQNXTDZ($A$1,$B81,AQ$5,$B$1)</f>
        <v>0</v>
      </c>
      <c r="AR81" s="55">
        <f>_xll.EQNXTDZ($A$1,$B81,AR$5,$B$1)</f>
        <v>1239</v>
      </c>
      <c r="AS81" s="55">
        <f>_xll.EQNXTDZ($A$1,$B81,AS$5,$B$1)</f>
        <v>0</v>
      </c>
      <c r="AT81" s="55">
        <f>_xll.EQNXTDZ($A$1,$B81,AT$5,$B$1)</f>
        <v>1316</v>
      </c>
      <c r="AU81" s="55">
        <f>_xll.EQNXTDZ($A$1,$B81,AU$5,$B$1)</f>
        <v>0</v>
      </c>
      <c r="AV81" s="55">
        <f>_xll.EQNXTDZ($A$1,$B81,AV$5,$B$1)</f>
        <v>1270</v>
      </c>
      <c r="AW81" s="55">
        <f>_xll.EQNXTDZ($A$1,$B81,AW$5,$B$1)</f>
        <v>0</v>
      </c>
      <c r="AX81" s="55">
        <f>_xll.EQNXTDZ($A$1,$B81,AX$5,$B$1)</f>
        <v>1218</v>
      </c>
      <c r="AY81" s="55">
        <f>_xll.EQNXTDZ($A$1,$B81,AY$5,$B$1)</f>
        <v>0</v>
      </c>
      <c r="AZ81" s="55">
        <f>_xll.EQNXTDZ($A$1,$B81,AZ$5,$B$1)</f>
        <v>1522</v>
      </c>
      <c r="BA81" s="55">
        <f>_xll.EQNXTDZ($A$1,$B81,BA$5,$B$1)</f>
        <v>0</v>
      </c>
      <c r="BB81" s="55">
        <f>_xll.EQNXTDZ($A$1,$B81,BB$5,$B$1)</f>
        <v>1386</v>
      </c>
      <c r="BC81" s="55">
        <f>_xll.EQNXTDZ($A$1,$B81,BC$5,$B$1)</f>
        <v>0</v>
      </c>
      <c r="BD81" s="55">
        <f>_xll.EQNXTDZ($A$1,$B81,BD$5,$B$1)</f>
        <v>1357</v>
      </c>
      <c r="BE81" s="55">
        <f>_xll.EQNXTDZ($A$1,$B81,BE$5,$B$1)</f>
        <v>0</v>
      </c>
      <c r="BF81" s="55">
        <f>_xll.EQNXTDZ($A$1,$B81,BF$5,$B$1)</f>
        <v>1192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549</v>
      </c>
      <c r="AE82" s="55">
        <f>_xll.EQNXTDZ($A$1,$B82,AE$5,$B$1)</f>
        <v>0</v>
      </c>
      <c r="AF82" s="55">
        <f>_xll.EQNXTDZ($A$1,$B82,AF$5,$B$1)</f>
        <v>539</v>
      </c>
      <c r="AG82" s="55">
        <f>_xll.EQNXTDZ($A$1,$B82,AG$5,$B$1)</f>
        <v>0</v>
      </c>
      <c r="AH82" s="55">
        <f>_xll.EQNXTDZ($A$1,$B82,AH$5,$B$1)</f>
        <v>664</v>
      </c>
      <c r="AI82" s="55">
        <f>_xll.EQNXTDZ($A$1,$B82,AI$5,$B$1)</f>
        <v>0</v>
      </c>
      <c r="AJ82" s="55">
        <f>_xll.EQNXTDZ($A$1,$B82,AJ$5,$B$1)</f>
        <v>557</v>
      </c>
      <c r="AK82" s="55">
        <f>_xll.EQNXTDZ($A$1,$B82,AK$5,$B$1)</f>
        <v>0</v>
      </c>
      <c r="AL82" s="55">
        <f>_xll.EQNXTDZ($A$1,$B82,AL$5,$B$1)</f>
        <v>511</v>
      </c>
      <c r="AM82" s="55">
        <f>_xll.EQNXTDZ($A$1,$B82,AM$5,$B$1)</f>
        <v>0</v>
      </c>
      <c r="AN82" s="55">
        <f>_xll.EQNXTDZ($A$1,$B82,AN$5,$B$1)</f>
        <v>544</v>
      </c>
      <c r="AO82" s="55">
        <f>_xll.EQNXTDZ($A$1,$B82,AO$5,$B$1)</f>
        <v>0</v>
      </c>
      <c r="AP82" s="55">
        <f>_xll.EQNXTDZ($A$1,$B82,AP$5,$B$1)</f>
        <v>673</v>
      </c>
      <c r="AQ82" s="55">
        <f>_xll.EQNXTDZ($A$1,$B82,AQ$5,$B$1)</f>
        <v>0</v>
      </c>
      <c r="AR82" s="55">
        <f>_xll.EQNXTDZ($A$1,$B82,AR$5,$B$1)</f>
        <v>694</v>
      </c>
      <c r="AS82" s="55">
        <f>_xll.EQNXTDZ($A$1,$B82,AS$5,$B$1)</f>
        <v>0</v>
      </c>
      <c r="AT82" s="55">
        <f>_xll.EQNXTDZ($A$1,$B82,AT$5,$B$1)</f>
        <v>700</v>
      </c>
      <c r="AU82" s="55">
        <f>_xll.EQNXTDZ($A$1,$B82,AU$5,$B$1)</f>
        <v>0</v>
      </c>
      <c r="AV82" s="55">
        <f>_xll.EQNXTDZ($A$1,$B82,AV$5,$B$1)</f>
        <v>756</v>
      </c>
      <c r="AW82" s="55">
        <f>_xll.EQNXTDZ($A$1,$B82,AW$5,$B$1)</f>
        <v>0</v>
      </c>
      <c r="AX82" s="55">
        <f>_xll.EQNXTDZ($A$1,$B82,AX$5,$B$1)</f>
        <v>836</v>
      </c>
      <c r="AY82" s="55">
        <f>_xll.EQNXTDZ($A$1,$B82,AY$5,$B$1)</f>
        <v>0</v>
      </c>
      <c r="AZ82" s="55">
        <f>_xll.EQNXTDZ($A$1,$B82,AZ$5,$B$1)</f>
        <v>802</v>
      </c>
      <c r="BA82" s="55">
        <f>_xll.EQNXTDZ($A$1,$B82,BA$5,$B$1)</f>
        <v>0</v>
      </c>
      <c r="BB82" s="55">
        <f>_xll.EQNXTDZ($A$1,$B82,BB$5,$B$1)</f>
        <v>889</v>
      </c>
      <c r="BC82" s="55">
        <f>_xll.EQNXTDZ($A$1,$B82,BC$5,$B$1)</f>
        <v>0</v>
      </c>
      <c r="BD82" s="55">
        <f>_xll.EQNXTDZ($A$1,$B82,BD$5,$B$1)</f>
        <v>900</v>
      </c>
      <c r="BE82" s="55">
        <f>_xll.EQNXTDZ($A$1,$B82,BE$5,$B$1)</f>
        <v>0</v>
      </c>
      <c r="BF82" s="55">
        <f>_xll.EQNXTDZ($A$1,$B82,BF$5,$B$1)</f>
        <v>864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469</v>
      </c>
      <c r="AE83" s="55">
        <f>_xll.EQNXTDZ($A$1,$B83,AE$5,$B$1)</f>
        <v>0</v>
      </c>
      <c r="AF83" s="55">
        <f>_xll.EQNXTDZ($A$1,$B83,AF$5,$B$1)</f>
        <v>358</v>
      </c>
      <c r="AG83" s="55">
        <f>_xll.EQNXTDZ($A$1,$B83,AG$5,$B$1)</f>
        <v>0</v>
      </c>
      <c r="AH83" s="55">
        <f>_xll.EQNXTDZ($A$1,$B83,AH$5,$B$1)</f>
        <v>403</v>
      </c>
      <c r="AI83" s="55">
        <f>_xll.EQNXTDZ($A$1,$B83,AI$5,$B$1)</f>
        <v>0</v>
      </c>
      <c r="AJ83" s="55">
        <f>_xll.EQNXTDZ($A$1,$B83,AJ$5,$B$1)</f>
        <v>442</v>
      </c>
      <c r="AK83" s="55">
        <f>_xll.EQNXTDZ($A$1,$B83,AK$5,$B$1)</f>
        <v>0</v>
      </c>
      <c r="AL83" s="55">
        <f>_xll.EQNXTDZ($A$1,$B83,AL$5,$B$1)</f>
        <v>247</v>
      </c>
      <c r="AM83" s="55">
        <f>_xll.EQNXTDZ($A$1,$B83,AM$5,$B$1)</f>
        <v>0</v>
      </c>
      <c r="AN83" s="55">
        <f>_xll.EQNXTDZ($A$1,$B83,AN$5,$B$1)</f>
        <v>130</v>
      </c>
      <c r="AO83" s="55">
        <f>_xll.EQNXTDZ($A$1,$B83,AO$5,$B$1)</f>
        <v>0</v>
      </c>
      <c r="AP83" s="55">
        <f>_xll.EQNXTDZ($A$1,$B83,AP$5,$B$1)</f>
        <v>160</v>
      </c>
      <c r="AQ83" s="55">
        <f>_xll.EQNXTDZ($A$1,$B83,AQ$5,$B$1)</f>
        <v>0</v>
      </c>
      <c r="AR83" s="55">
        <f>_xll.EQNXTDZ($A$1,$B83,AR$5,$B$1)</f>
        <v>108</v>
      </c>
      <c r="AS83" s="55">
        <f>_xll.EQNXTDZ($A$1,$B83,AS$5,$B$1)</f>
        <v>0</v>
      </c>
      <c r="AT83" s="55">
        <f>_xll.EQNXTDZ($A$1,$B83,AT$5,$B$1)</f>
        <v>285</v>
      </c>
      <c r="AU83" s="55">
        <f>_xll.EQNXTDZ($A$1,$B83,AU$5,$B$1)</f>
        <v>0</v>
      </c>
      <c r="AV83" s="55">
        <f>_xll.EQNXTDZ($A$1,$B83,AV$5,$B$1)</f>
        <v>594</v>
      </c>
      <c r="AW83" s="55">
        <f>_xll.EQNXTDZ($A$1,$B83,AW$5,$B$1)</f>
        <v>0</v>
      </c>
      <c r="AX83" s="55">
        <f>_xll.EQNXTDZ($A$1,$B83,AX$5,$B$1)</f>
        <v>582</v>
      </c>
      <c r="AY83" s="55">
        <f>_xll.EQNXTDZ($A$1,$B83,AY$5,$B$1)</f>
        <v>0</v>
      </c>
      <c r="AZ83" s="55">
        <f>_xll.EQNXTDZ($A$1,$B83,AZ$5,$B$1)</f>
        <v>138</v>
      </c>
      <c r="BA83" s="55">
        <f>_xll.EQNXTDZ($A$1,$B83,BA$5,$B$1)</f>
        <v>0</v>
      </c>
      <c r="BB83" s="55">
        <f>_xll.EQNXTDZ($A$1,$B83,BB$5,$B$1)</f>
        <v>158</v>
      </c>
      <c r="BC83" s="55">
        <f>_xll.EQNXTDZ($A$1,$B83,BC$5,$B$1)</f>
        <v>0</v>
      </c>
      <c r="BD83" s="55">
        <f>_xll.EQNXTDZ($A$1,$B83,BD$5,$B$1)</f>
        <v>116</v>
      </c>
      <c r="BE83" s="55">
        <f>_xll.EQNXTDZ($A$1,$B83,BE$5,$B$1)</f>
        <v>0</v>
      </c>
      <c r="BF83" s="55">
        <f>_xll.EQNXTDZ($A$1,$B83,BF$5,$B$1)</f>
        <v>224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976</v>
      </c>
      <c r="AE84" s="55">
        <f>_xll.EQNXTDZ($A$1,$B84,AE$5,$B$1)</f>
        <v>0</v>
      </c>
      <c r="AF84" s="55">
        <f>_xll.EQNXTDZ($A$1,$B84,AF$5,$B$1)</f>
        <v>1165</v>
      </c>
      <c r="AG84" s="55">
        <f>_xll.EQNXTDZ($A$1,$B84,AG$5,$B$1)</f>
        <v>0</v>
      </c>
      <c r="AH84" s="55">
        <f>_xll.EQNXTDZ($A$1,$B84,AH$5,$B$1)</f>
        <v>1126</v>
      </c>
      <c r="AI84" s="55">
        <f>_xll.EQNXTDZ($A$1,$B84,AI$5,$B$1)</f>
        <v>0</v>
      </c>
      <c r="AJ84" s="55">
        <f>_xll.EQNXTDZ($A$1,$B84,AJ$5,$B$1)</f>
        <v>1236</v>
      </c>
      <c r="AK84" s="55">
        <f>_xll.EQNXTDZ($A$1,$B84,AK$5,$B$1)</f>
        <v>0</v>
      </c>
      <c r="AL84" s="55">
        <f>_xll.EQNXTDZ($A$1,$B84,AL$5,$B$1)</f>
        <v>1035</v>
      </c>
      <c r="AM84" s="55">
        <f>_xll.EQNXTDZ($A$1,$B84,AM$5,$B$1)</f>
        <v>0</v>
      </c>
      <c r="AN84" s="55">
        <f>_xll.EQNXTDZ($A$1,$B84,AN$5,$B$1)</f>
        <v>1836</v>
      </c>
      <c r="AO84" s="55">
        <f>_xll.EQNXTDZ($A$1,$B84,AO$5,$B$1)</f>
        <v>0</v>
      </c>
      <c r="AP84" s="55">
        <f>_xll.EQNXTDZ($A$1,$B84,AP$5,$B$1)</f>
        <v>1170</v>
      </c>
      <c r="AQ84" s="55">
        <f>_xll.EQNXTDZ($A$1,$B84,AQ$5,$B$1)</f>
        <v>0</v>
      </c>
      <c r="AR84" s="55">
        <f>_xll.EQNXTDZ($A$1,$B84,AR$5,$B$1)</f>
        <v>1189</v>
      </c>
      <c r="AS84" s="55">
        <f>_xll.EQNXTDZ($A$1,$B84,AS$5,$B$1)</f>
        <v>0</v>
      </c>
      <c r="AT84" s="55">
        <f>_xll.EQNXTDZ($A$1,$B84,AT$5,$B$1)</f>
        <v>1216</v>
      </c>
      <c r="AU84" s="55">
        <f>_xll.EQNXTDZ($A$1,$B84,AU$5,$B$1)</f>
        <v>0</v>
      </c>
      <c r="AV84" s="55">
        <f>_xll.EQNXTDZ($A$1,$B84,AV$5,$B$1)</f>
        <v>1335</v>
      </c>
      <c r="AW84" s="55">
        <f>_xll.EQNXTDZ($A$1,$B84,AW$5,$B$1)</f>
        <v>0</v>
      </c>
      <c r="AX84" s="55">
        <f>_xll.EQNXTDZ($A$1,$B84,AX$5,$B$1)</f>
        <v>1313</v>
      </c>
      <c r="AY84" s="55">
        <f>_xll.EQNXTDZ($A$1,$B84,AY$5,$B$1)</f>
        <v>0</v>
      </c>
      <c r="AZ84" s="55">
        <f>_xll.EQNXTDZ($A$1,$B84,AZ$5,$B$1)</f>
        <v>1416</v>
      </c>
      <c r="BA84" s="55">
        <f>_xll.EQNXTDZ($A$1,$B84,BA$5,$B$1)</f>
        <v>0</v>
      </c>
      <c r="BB84" s="55">
        <f>_xll.EQNXTDZ($A$1,$B84,BB$5,$B$1)</f>
        <v>1425</v>
      </c>
      <c r="BC84" s="55">
        <f>_xll.EQNXTDZ($A$1,$B84,BC$5,$B$1)</f>
        <v>0</v>
      </c>
      <c r="BD84" s="55">
        <f>_xll.EQNXTDZ($A$1,$B84,BD$5,$B$1)</f>
        <v>1183</v>
      </c>
      <c r="BE84" s="55">
        <f>_xll.EQNXTDZ($A$1,$B84,BE$5,$B$1)</f>
        <v>0</v>
      </c>
      <c r="BF84" s="55">
        <f>_xll.EQNXTDZ($A$1,$B84,BF$5,$B$1)</f>
        <v>1365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63</v>
      </c>
      <c r="AE85" s="55">
        <f>_xll.EQNXTDZ($A$1,$B85,AE$5,$B$1)</f>
        <v>0</v>
      </c>
      <c r="AF85" s="55">
        <f>_xll.EQNXTDZ($A$1,$B85,AF$5,$B$1)</f>
        <v>28</v>
      </c>
      <c r="AG85" s="55">
        <f>_xll.EQNXTDZ($A$1,$B85,AG$5,$B$1)</f>
        <v>0</v>
      </c>
      <c r="AH85" s="55">
        <f>_xll.EQNXTDZ($A$1,$B85,AH$5,$B$1)</f>
        <v>71</v>
      </c>
      <c r="AI85" s="55">
        <f>_xll.EQNXTDZ($A$1,$B85,AI$5,$B$1)</f>
        <v>0</v>
      </c>
      <c r="AJ85" s="55">
        <f>_xll.EQNXTDZ($A$1,$B85,AJ$5,$B$1)</f>
        <v>91</v>
      </c>
      <c r="AK85" s="55">
        <f>_xll.EQNXTDZ($A$1,$B85,AK$5,$B$1)</f>
        <v>0</v>
      </c>
      <c r="AL85" s="55">
        <f>_xll.EQNXTDZ($A$1,$B85,AL$5,$B$1)</f>
        <v>66</v>
      </c>
      <c r="AM85" s="55">
        <f>_xll.EQNXTDZ($A$1,$B85,AM$5,$B$1)</f>
        <v>0</v>
      </c>
      <c r="AN85" s="55">
        <f>_xll.EQNXTDZ($A$1,$B85,AN$5,$B$1)</f>
        <v>35</v>
      </c>
      <c r="AO85" s="55">
        <f>_xll.EQNXTDZ($A$1,$B85,AO$5,$B$1)</f>
        <v>0</v>
      </c>
      <c r="AP85" s="55">
        <f>_xll.EQNXTDZ($A$1,$B85,AP$5,$B$1)</f>
        <v>10</v>
      </c>
      <c r="AQ85" s="55">
        <f>_xll.EQNXTDZ($A$1,$B85,AQ$5,$B$1)</f>
        <v>0</v>
      </c>
      <c r="AR85" s="55">
        <f>_xll.EQNXTDZ($A$1,$B85,AR$5,$B$1)</f>
        <v>10</v>
      </c>
      <c r="AS85" s="55">
        <f>_xll.EQNXTDZ($A$1,$B85,AS$5,$B$1)</f>
        <v>0</v>
      </c>
      <c r="AT85" s="55">
        <f>_xll.EQNXTDZ($A$1,$B85,AT$5,$B$1)</f>
        <v>8</v>
      </c>
      <c r="AU85" s="55">
        <f>_xll.EQNXTDZ($A$1,$B85,AU$5,$B$1)</f>
        <v>0</v>
      </c>
      <c r="AV85" s="55">
        <f>_xll.EQNXTDZ($A$1,$B85,AV$5,$B$1)</f>
        <v>9</v>
      </c>
      <c r="AW85" s="55">
        <f>_xll.EQNXTDZ($A$1,$B85,AW$5,$B$1)</f>
        <v>0</v>
      </c>
      <c r="AX85" s="55">
        <f>_xll.EQNXTDZ($A$1,$B85,AX$5,$B$1)</f>
        <v>9</v>
      </c>
      <c r="AY85" s="55">
        <f>_xll.EQNXTDZ($A$1,$B85,AY$5,$B$1)</f>
        <v>0</v>
      </c>
      <c r="AZ85" s="55">
        <f>_xll.EQNXTDZ($A$1,$B85,AZ$5,$B$1)</f>
        <v>10</v>
      </c>
      <c r="BA85" s="55">
        <f>_xll.EQNXTDZ($A$1,$B85,BA$5,$B$1)</f>
        <v>0</v>
      </c>
      <c r="BB85" s="55">
        <f>_xll.EQNXTDZ($A$1,$B85,BB$5,$B$1)</f>
        <v>12</v>
      </c>
      <c r="BC85" s="55">
        <f>_xll.EQNXTDZ($A$1,$B85,BC$5,$B$1)</f>
        <v>0</v>
      </c>
      <c r="BD85" s="55">
        <f>_xll.EQNXTDZ($A$1,$B85,BD$5,$B$1)</f>
        <v>13</v>
      </c>
      <c r="BE85" s="55">
        <f>_xll.EQNXTDZ($A$1,$B85,BE$5,$B$1)</f>
        <v>0</v>
      </c>
      <c r="BF85" s="55">
        <f>_xll.EQNXTDZ($A$1,$B85,BF$5,$B$1)</f>
        <v>13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5404</v>
      </c>
      <c r="AE86" s="55">
        <f>_xll.EQNXTDZ($A$1,$B86,AE$5,$B$1)</f>
        <v>0</v>
      </c>
      <c r="AF86" s="55">
        <f>_xll.EQNXTDZ($A$1,$B86,AF$5,$B$1)</f>
        <v>4705</v>
      </c>
      <c r="AG86" s="55">
        <f>_xll.EQNXTDZ($A$1,$B86,AG$5,$B$1)</f>
        <v>0</v>
      </c>
      <c r="AH86" s="55">
        <f>_xll.EQNXTDZ($A$1,$B86,AH$5,$B$1)</f>
        <v>5936</v>
      </c>
      <c r="AI86" s="55">
        <f>_xll.EQNXTDZ($A$1,$B86,AI$5,$B$1)</f>
        <v>0</v>
      </c>
      <c r="AJ86" s="55">
        <f>_xll.EQNXTDZ($A$1,$B86,AJ$5,$B$1)</f>
        <v>5922</v>
      </c>
      <c r="AK86" s="55">
        <f>_xll.EQNXTDZ($A$1,$B86,AK$5,$B$1)</f>
        <v>0</v>
      </c>
      <c r="AL86" s="55">
        <f>_xll.EQNXTDZ($A$1,$B86,AL$5,$B$1)</f>
        <v>5912</v>
      </c>
      <c r="AM86" s="55">
        <f>_xll.EQNXTDZ($A$1,$B86,AM$5,$B$1)</f>
        <v>0</v>
      </c>
      <c r="AN86" s="55">
        <f>_xll.EQNXTDZ($A$1,$B86,AN$5,$B$1)</f>
        <v>7733</v>
      </c>
      <c r="AO86" s="55">
        <f>_xll.EQNXTDZ($A$1,$B86,AO$5,$B$1)</f>
        <v>0</v>
      </c>
      <c r="AP86" s="55">
        <f>_xll.EQNXTDZ($A$1,$B86,AP$5,$B$1)</f>
        <v>7357</v>
      </c>
      <c r="AQ86" s="55">
        <f>_xll.EQNXTDZ($A$1,$B86,AQ$5,$B$1)</f>
        <v>0</v>
      </c>
      <c r="AR86" s="55">
        <f>_xll.EQNXTDZ($A$1,$B86,AR$5,$B$1)</f>
        <v>5772</v>
      </c>
      <c r="AS86" s="55">
        <f>_xll.EQNXTDZ($A$1,$B86,AS$5,$B$1)</f>
        <v>0</v>
      </c>
      <c r="AT86" s="55">
        <f>_xll.EQNXTDZ($A$1,$B86,AT$5,$B$1)</f>
        <v>6460</v>
      </c>
      <c r="AU86" s="55">
        <f>_xll.EQNXTDZ($A$1,$B86,AU$5,$B$1)</f>
        <v>0</v>
      </c>
      <c r="AV86" s="55">
        <f>_xll.EQNXTDZ($A$1,$B86,AV$5,$B$1)</f>
        <v>7924</v>
      </c>
      <c r="AW86" s="55">
        <f>_xll.EQNXTDZ($A$1,$B86,AW$5,$B$1)</f>
        <v>0</v>
      </c>
      <c r="AX86" s="55">
        <f>_xll.EQNXTDZ($A$1,$B86,AX$5,$B$1)</f>
        <v>7830</v>
      </c>
      <c r="AY86" s="55">
        <f>_xll.EQNXTDZ($A$1,$B86,AY$5,$B$1)</f>
        <v>0</v>
      </c>
      <c r="AZ86" s="55">
        <f>_xll.EQNXTDZ($A$1,$B86,AZ$5,$B$1)</f>
        <v>7900</v>
      </c>
      <c r="BA86" s="55">
        <f>_xll.EQNXTDZ($A$1,$B86,BA$5,$B$1)</f>
        <v>0</v>
      </c>
      <c r="BB86" s="55">
        <f>_xll.EQNXTDZ($A$1,$B86,BB$5,$B$1)</f>
        <v>8314</v>
      </c>
      <c r="BC86" s="55">
        <f>_xll.EQNXTDZ($A$1,$B86,BC$5,$B$1)</f>
        <v>0</v>
      </c>
      <c r="BD86" s="55">
        <f>_xll.EQNXTDZ($A$1,$B86,BD$5,$B$1)</f>
        <v>8486</v>
      </c>
      <c r="BE86" s="55">
        <f>_xll.EQNXTDZ($A$1,$B86,BE$5,$B$1)</f>
        <v>0</v>
      </c>
      <c r="BF86" s="55">
        <f>_xll.EQNXTDZ($A$1,$B86,BF$5,$B$1)</f>
        <v>8763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908</v>
      </c>
      <c r="AE88" s="55">
        <f>_xll.EQNXTDZ($A$1,$B88,AE$5,$B$1)</f>
        <v>0</v>
      </c>
      <c r="AF88" s="55">
        <f>_xll.EQNXTDZ($A$1,$B88,AF$5,$B$1)</f>
        <v>869</v>
      </c>
      <c r="AG88" s="55">
        <f>_xll.EQNXTDZ($A$1,$B88,AG$5,$B$1)</f>
        <v>0</v>
      </c>
      <c r="AH88" s="55">
        <f>_xll.EQNXTDZ($A$1,$B88,AH$5,$B$1)</f>
        <v>1246</v>
      </c>
      <c r="AI88" s="55">
        <f>_xll.EQNXTDZ($A$1,$B88,AI$5,$B$1)</f>
        <v>0</v>
      </c>
      <c r="AJ88" s="55">
        <f>_xll.EQNXTDZ($A$1,$B88,AJ$5,$B$1)</f>
        <v>1195</v>
      </c>
      <c r="AK88" s="55">
        <f>_xll.EQNXTDZ($A$1,$B88,AK$5,$B$1)</f>
        <v>0</v>
      </c>
      <c r="AL88" s="55">
        <f>_xll.EQNXTDZ($A$1,$B88,AL$5,$B$1)</f>
        <v>1619</v>
      </c>
      <c r="AM88" s="55">
        <f>_xll.EQNXTDZ($A$1,$B88,AM$5,$B$1)</f>
        <v>0</v>
      </c>
      <c r="AN88" s="55">
        <f>_xll.EQNXTDZ($A$1,$B88,AN$5,$B$1)</f>
        <v>1455</v>
      </c>
      <c r="AO88" s="55">
        <f>_xll.EQNXTDZ($A$1,$B88,AO$5,$B$1)</f>
        <v>0</v>
      </c>
      <c r="AP88" s="55">
        <f>_xll.EQNXTDZ($A$1,$B88,AP$5,$B$1)</f>
        <v>1197</v>
      </c>
      <c r="AQ88" s="55">
        <f>_xll.EQNXTDZ($A$1,$B88,AQ$5,$B$1)</f>
        <v>0</v>
      </c>
      <c r="AR88" s="55">
        <f>_xll.EQNXTDZ($A$1,$B88,AR$5,$B$1)</f>
        <v>1046</v>
      </c>
      <c r="AS88" s="55">
        <f>_xll.EQNXTDZ($A$1,$B88,AS$5,$B$1)</f>
        <v>0</v>
      </c>
      <c r="AT88" s="55">
        <f>_xll.EQNXTDZ($A$1,$B88,AT$5,$B$1)</f>
        <v>532</v>
      </c>
      <c r="AU88" s="55">
        <f>_xll.EQNXTDZ($A$1,$B88,AU$5,$B$1)</f>
        <v>0</v>
      </c>
      <c r="AV88" s="55">
        <f>_xll.EQNXTDZ($A$1,$B88,AV$5,$B$1)</f>
        <v>801</v>
      </c>
      <c r="AW88" s="55">
        <f>_xll.EQNXTDZ($A$1,$B88,AW$5,$B$1)</f>
        <v>0</v>
      </c>
      <c r="AX88" s="55">
        <f>_xll.EQNXTDZ($A$1,$B88,AX$5,$B$1)</f>
        <v>199</v>
      </c>
      <c r="AY88" s="55">
        <f>_xll.EQNXTDZ($A$1,$B88,AY$5,$B$1)</f>
        <v>0</v>
      </c>
      <c r="AZ88" s="55">
        <f>_xll.EQNXTDZ($A$1,$B88,AZ$5,$B$1)</f>
        <v>415</v>
      </c>
      <c r="BA88" s="55">
        <f>_xll.EQNXTDZ($A$1,$B88,BA$5,$B$1)</f>
        <v>0</v>
      </c>
      <c r="BB88" s="55">
        <f>_xll.EQNXTDZ($A$1,$B88,BB$5,$B$1)</f>
        <v>653</v>
      </c>
      <c r="BC88" s="55">
        <f>_xll.EQNXTDZ($A$1,$B88,BC$5,$B$1)</f>
        <v>0</v>
      </c>
      <c r="BD88" s="55">
        <f>_xll.EQNXTDZ($A$1,$B88,BD$5,$B$1)</f>
        <v>956</v>
      </c>
      <c r="BE88" s="55">
        <f>_xll.EQNXTDZ($A$1,$B88,BE$5,$B$1)</f>
        <v>0</v>
      </c>
      <c r="BF88" s="55">
        <f>_xll.EQNXTDZ($A$1,$B88,BF$5,$B$1)</f>
        <v>584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877</v>
      </c>
      <c r="AE89" s="55">
        <f>_xll.EQNXTDZ($A$1,$B89,AE$5,$B$1)</f>
        <v>0</v>
      </c>
      <c r="AF89" s="55">
        <f>_xll.EQNXTDZ($A$1,$B89,AF$5,$B$1)</f>
        <v>711</v>
      </c>
      <c r="AG89" s="55">
        <f>_xll.EQNXTDZ($A$1,$B89,AG$5,$B$1)</f>
        <v>0</v>
      </c>
      <c r="AH89" s="55">
        <f>_xll.EQNXTDZ($A$1,$B89,AH$5,$B$1)</f>
        <v>829</v>
      </c>
      <c r="AI89" s="55">
        <f>_xll.EQNXTDZ($A$1,$B89,AI$5,$B$1)</f>
        <v>0</v>
      </c>
      <c r="AJ89" s="55">
        <f>_xll.EQNXTDZ($A$1,$B89,AJ$5,$B$1)</f>
        <v>791</v>
      </c>
      <c r="AK89" s="55">
        <f>_xll.EQNXTDZ($A$1,$B89,AK$5,$B$1)</f>
        <v>0</v>
      </c>
      <c r="AL89" s="55">
        <f>_xll.EQNXTDZ($A$1,$B89,AL$5,$B$1)</f>
        <v>899</v>
      </c>
      <c r="AM89" s="55">
        <f>_xll.EQNXTDZ($A$1,$B89,AM$5,$B$1)</f>
        <v>0</v>
      </c>
      <c r="AN89" s="55">
        <f>_xll.EQNXTDZ($A$1,$B89,AN$5,$B$1)</f>
        <v>840</v>
      </c>
      <c r="AO89" s="55">
        <f>_xll.EQNXTDZ($A$1,$B89,AO$5,$B$1)</f>
        <v>0</v>
      </c>
      <c r="AP89" s="55">
        <f>_xll.EQNXTDZ($A$1,$B89,AP$5,$B$1)</f>
        <v>850</v>
      </c>
      <c r="AQ89" s="55">
        <f>_xll.EQNXTDZ($A$1,$B89,AQ$5,$B$1)</f>
        <v>0</v>
      </c>
      <c r="AR89" s="55">
        <f>_xll.EQNXTDZ($A$1,$B89,AR$5,$B$1)</f>
        <v>889</v>
      </c>
      <c r="AS89" s="55">
        <f>_xll.EQNXTDZ($A$1,$B89,AS$5,$B$1)</f>
        <v>0</v>
      </c>
      <c r="AT89" s="55">
        <f>_xll.EQNXTDZ($A$1,$B89,AT$5,$B$1)</f>
        <v>1135</v>
      </c>
      <c r="AU89" s="55">
        <f>_xll.EQNXTDZ($A$1,$B89,AU$5,$B$1)</f>
        <v>0</v>
      </c>
      <c r="AV89" s="55">
        <f>_xll.EQNXTDZ($A$1,$B89,AV$5,$B$1)</f>
        <v>1009</v>
      </c>
      <c r="AW89" s="55">
        <f>_xll.EQNXTDZ($A$1,$B89,AW$5,$B$1)</f>
        <v>0</v>
      </c>
      <c r="AX89" s="55">
        <f>_xll.EQNXTDZ($A$1,$B89,AX$5,$B$1)</f>
        <v>1316</v>
      </c>
      <c r="AY89" s="55">
        <f>_xll.EQNXTDZ($A$1,$B89,AY$5,$B$1)</f>
        <v>0</v>
      </c>
      <c r="AZ89" s="55">
        <f>_xll.EQNXTDZ($A$1,$B89,AZ$5,$B$1)</f>
        <v>1272</v>
      </c>
      <c r="BA89" s="55">
        <f>_xll.EQNXTDZ($A$1,$B89,BA$5,$B$1)</f>
        <v>0</v>
      </c>
      <c r="BB89" s="55">
        <f>_xll.EQNXTDZ($A$1,$B89,BB$5,$B$1)</f>
        <v>1539</v>
      </c>
      <c r="BC89" s="55">
        <f>_xll.EQNXTDZ($A$1,$B89,BC$5,$B$1)</f>
        <v>0</v>
      </c>
      <c r="BD89" s="55">
        <f>_xll.EQNXTDZ($A$1,$B89,BD$5,$B$1)</f>
        <v>1217</v>
      </c>
      <c r="BE89" s="55">
        <f>_xll.EQNXTDZ($A$1,$B89,BE$5,$B$1)</f>
        <v>0</v>
      </c>
      <c r="BF89" s="55">
        <f>_xll.EQNXTDZ($A$1,$B89,BF$5,$B$1)</f>
        <v>1294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2307</v>
      </c>
      <c r="AE91" s="55">
        <f>_xll.EQNXTDZ($A$1,$B91,AE$5,$B$1)</f>
        <v>0</v>
      </c>
      <c r="AF91" s="55">
        <f>_xll.EQNXTDZ($A$1,$B91,AF$5,$B$1)</f>
        <v>2697</v>
      </c>
      <c r="AG91" s="55">
        <f>_xll.EQNXTDZ($A$1,$B91,AG$5,$B$1)</f>
        <v>0</v>
      </c>
      <c r="AH91" s="55">
        <f>_xll.EQNXTDZ($A$1,$B91,AH$5,$B$1)</f>
        <v>2950</v>
      </c>
      <c r="AI91" s="55">
        <f>_xll.EQNXTDZ($A$1,$B91,AI$5,$B$1)</f>
        <v>0</v>
      </c>
      <c r="AJ91" s="55">
        <f>_xll.EQNXTDZ($A$1,$B91,AJ$5,$B$1)</f>
        <v>2968</v>
      </c>
      <c r="AK91" s="55">
        <f>_xll.EQNXTDZ($A$1,$B91,AK$5,$B$1)</f>
        <v>0</v>
      </c>
      <c r="AL91" s="55">
        <f>_xll.EQNXTDZ($A$1,$B91,AL$5,$B$1)</f>
        <v>2212</v>
      </c>
      <c r="AM91" s="55">
        <f>_xll.EQNXTDZ($A$1,$B91,AM$5,$B$1)</f>
        <v>0</v>
      </c>
      <c r="AN91" s="55">
        <f>_xll.EQNXTDZ($A$1,$B91,AN$5,$B$1)</f>
        <v>2436</v>
      </c>
      <c r="AO91" s="55">
        <f>_xll.EQNXTDZ($A$1,$B91,AO$5,$B$1)</f>
        <v>0</v>
      </c>
      <c r="AP91" s="55">
        <f>_xll.EQNXTDZ($A$1,$B91,AP$5,$B$1)</f>
        <v>2533</v>
      </c>
      <c r="AQ91" s="55">
        <f>_xll.EQNXTDZ($A$1,$B91,AQ$5,$B$1)</f>
        <v>0</v>
      </c>
      <c r="AR91" s="55">
        <f>_xll.EQNXTDZ($A$1,$B91,AR$5,$B$1)</f>
        <v>2291</v>
      </c>
      <c r="AS91" s="55">
        <f>_xll.EQNXTDZ($A$1,$B91,AS$5,$B$1)</f>
        <v>0</v>
      </c>
      <c r="AT91" s="55">
        <f>_xll.EQNXTDZ($A$1,$B91,AT$5,$B$1)</f>
        <v>2709</v>
      </c>
      <c r="AU91" s="55">
        <f>_xll.EQNXTDZ($A$1,$B91,AU$5,$B$1)</f>
        <v>0</v>
      </c>
      <c r="AV91" s="55">
        <f>_xll.EQNXTDZ($A$1,$B91,AV$5,$B$1)</f>
        <v>2657</v>
      </c>
      <c r="AW91" s="55">
        <f>_xll.EQNXTDZ($A$1,$B91,AW$5,$B$1)</f>
        <v>0</v>
      </c>
      <c r="AX91" s="55">
        <f>_xll.EQNXTDZ($A$1,$B91,AX$5,$B$1)</f>
        <v>2878</v>
      </c>
      <c r="AY91" s="55">
        <f>_xll.EQNXTDZ($A$1,$B91,AY$5,$B$1)</f>
        <v>0</v>
      </c>
      <c r="AZ91" s="55">
        <f>_xll.EQNXTDZ($A$1,$B91,AZ$5,$B$1)</f>
        <v>2550</v>
      </c>
      <c r="BA91" s="55">
        <f>_xll.EQNXTDZ($A$1,$B91,BA$5,$B$1)</f>
        <v>0</v>
      </c>
      <c r="BB91" s="55">
        <f>_xll.EQNXTDZ($A$1,$B91,BB$5,$B$1)</f>
        <v>2916</v>
      </c>
      <c r="BC91" s="55">
        <f>_xll.EQNXTDZ($A$1,$B91,BC$5,$B$1)</f>
        <v>0</v>
      </c>
      <c r="BD91" s="55">
        <f>_xll.EQNXTDZ($A$1,$B91,BD$5,$B$1)</f>
        <v>2736</v>
      </c>
      <c r="BE91" s="55">
        <f>_xll.EQNXTDZ($A$1,$B91,BE$5,$B$1)</f>
        <v>0</v>
      </c>
      <c r="BF91" s="55">
        <f>_xll.EQNXTDZ($A$1,$B91,BF$5,$B$1)</f>
        <v>3669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90</v>
      </c>
      <c r="AE92" s="55">
        <f>_xll.EQNXTDZ($A$1,$B92,AE$5,$B$1)</f>
        <v>0</v>
      </c>
      <c r="AF92" s="55">
        <f>_xll.EQNXTDZ($A$1,$B92,AF$5,$B$1)</f>
        <v>46</v>
      </c>
      <c r="AG92" s="55">
        <f>_xll.EQNXTDZ($A$1,$B92,AG$5,$B$1)</f>
        <v>0</v>
      </c>
      <c r="AH92" s="55">
        <f>_xll.EQNXTDZ($A$1,$B92,AH$5,$B$1)</f>
        <v>64</v>
      </c>
      <c r="AI92" s="55">
        <f>_xll.EQNXTDZ($A$1,$B92,AI$5,$B$1)</f>
        <v>0</v>
      </c>
      <c r="AJ92" s="55">
        <f>_xll.EQNXTDZ($A$1,$B92,AJ$5,$B$1)</f>
        <v>65</v>
      </c>
      <c r="AK92" s="55">
        <f>_xll.EQNXTDZ($A$1,$B92,AK$5,$B$1)</f>
        <v>0</v>
      </c>
      <c r="AL92" s="55">
        <f>_xll.EQNXTDZ($A$1,$B92,AL$5,$B$1)</f>
        <v>93</v>
      </c>
      <c r="AM92" s="55">
        <f>_xll.EQNXTDZ($A$1,$B92,AM$5,$B$1)</f>
        <v>0</v>
      </c>
      <c r="AN92" s="55">
        <f>_xll.EQNXTDZ($A$1,$B92,AN$5,$B$1)</f>
        <v>101</v>
      </c>
      <c r="AO92" s="55">
        <f>_xll.EQNXTDZ($A$1,$B92,AO$5,$B$1)</f>
        <v>0</v>
      </c>
      <c r="AP92" s="55">
        <f>_xll.EQNXTDZ($A$1,$B92,AP$5,$B$1)</f>
        <v>86</v>
      </c>
      <c r="AQ92" s="55">
        <f>_xll.EQNXTDZ($A$1,$B92,AQ$5,$B$1)</f>
        <v>0</v>
      </c>
      <c r="AR92" s="55">
        <f>_xll.EQNXTDZ($A$1,$B92,AR$5,$B$1)</f>
        <v>88</v>
      </c>
      <c r="AS92" s="55">
        <f>_xll.EQNXTDZ($A$1,$B92,AS$5,$B$1)</f>
        <v>0</v>
      </c>
      <c r="AT92" s="55">
        <f>_xll.EQNXTDZ($A$1,$B92,AT$5,$B$1)</f>
        <v>84</v>
      </c>
      <c r="AU92" s="55">
        <f>_xll.EQNXTDZ($A$1,$B92,AU$5,$B$1)</f>
        <v>0</v>
      </c>
      <c r="AV92" s="55">
        <f>_xll.EQNXTDZ($A$1,$B92,AV$5,$B$1)</f>
        <v>87</v>
      </c>
      <c r="AW92" s="55">
        <f>_xll.EQNXTDZ($A$1,$B92,AW$5,$B$1)</f>
        <v>0</v>
      </c>
      <c r="AX92" s="55">
        <f>_xll.EQNXTDZ($A$1,$B92,AX$5,$B$1)</f>
        <v>81</v>
      </c>
      <c r="AY92" s="55">
        <f>_xll.EQNXTDZ($A$1,$B92,AY$5,$B$1)</f>
        <v>0</v>
      </c>
      <c r="AZ92" s="55">
        <f>_xll.EQNXTDZ($A$1,$B92,AZ$5,$B$1)</f>
        <v>199</v>
      </c>
      <c r="BA92" s="55">
        <f>_xll.EQNXTDZ($A$1,$B92,BA$5,$B$1)</f>
        <v>0</v>
      </c>
      <c r="BB92" s="55">
        <f>_xll.EQNXTDZ($A$1,$B92,BB$5,$B$1)</f>
        <v>115</v>
      </c>
      <c r="BC92" s="55">
        <f>_xll.EQNXTDZ($A$1,$B92,BC$5,$B$1)</f>
        <v>0</v>
      </c>
      <c r="BD92" s="55">
        <f>_xll.EQNXTDZ($A$1,$B92,BD$5,$B$1)</f>
        <v>119</v>
      </c>
      <c r="BE92" s="55">
        <f>_xll.EQNXTDZ($A$1,$B92,BE$5,$B$1)</f>
        <v>0</v>
      </c>
      <c r="BF92" s="55">
        <f>_xll.EQNXTDZ($A$1,$B92,BF$5,$B$1)</f>
        <v>127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4182</v>
      </c>
      <c r="AE93" s="55">
        <f>_xll.EQNXTDZ($A$1,$B93,AE$5,$B$1)</f>
        <v>0</v>
      </c>
      <c r="AF93" s="55">
        <f>_xll.EQNXTDZ($A$1,$B93,AF$5,$B$1)</f>
        <v>4323</v>
      </c>
      <c r="AG93" s="55">
        <f>_xll.EQNXTDZ($A$1,$B93,AG$5,$B$1)</f>
        <v>0</v>
      </c>
      <c r="AH93" s="55">
        <f>_xll.EQNXTDZ($A$1,$B93,AH$5,$B$1)</f>
        <v>5089</v>
      </c>
      <c r="AI93" s="55">
        <f>_xll.EQNXTDZ($A$1,$B93,AI$5,$B$1)</f>
        <v>0</v>
      </c>
      <c r="AJ93" s="55">
        <f>_xll.EQNXTDZ($A$1,$B93,AJ$5,$B$1)</f>
        <v>5019</v>
      </c>
      <c r="AK93" s="55">
        <f>_xll.EQNXTDZ($A$1,$B93,AK$5,$B$1)</f>
        <v>0</v>
      </c>
      <c r="AL93" s="55">
        <f>_xll.EQNXTDZ($A$1,$B93,AL$5,$B$1)</f>
        <v>4823</v>
      </c>
      <c r="AM93" s="55">
        <f>_xll.EQNXTDZ($A$1,$B93,AM$5,$B$1)</f>
        <v>0</v>
      </c>
      <c r="AN93" s="55">
        <f>_xll.EQNXTDZ($A$1,$B93,AN$5,$B$1)</f>
        <v>4832</v>
      </c>
      <c r="AO93" s="55">
        <f>_xll.EQNXTDZ($A$1,$B93,AO$5,$B$1)</f>
        <v>0</v>
      </c>
      <c r="AP93" s="55">
        <f>_xll.EQNXTDZ($A$1,$B93,AP$5,$B$1)</f>
        <v>4666</v>
      </c>
      <c r="AQ93" s="55">
        <f>_xll.EQNXTDZ($A$1,$B93,AQ$5,$B$1)</f>
        <v>0</v>
      </c>
      <c r="AR93" s="55">
        <f>_xll.EQNXTDZ($A$1,$B93,AR$5,$B$1)</f>
        <v>4314</v>
      </c>
      <c r="AS93" s="55">
        <f>_xll.EQNXTDZ($A$1,$B93,AS$5,$B$1)</f>
        <v>0</v>
      </c>
      <c r="AT93" s="55">
        <f>_xll.EQNXTDZ($A$1,$B93,AT$5,$B$1)</f>
        <v>4460</v>
      </c>
      <c r="AU93" s="55">
        <f>_xll.EQNXTDZ($A$1,$B93,AU$5,$B$1)</f>
        <v>0</v>
      </c>
      <c r="AV93" s="55">
        <f>_xll.EQNXTDZ($A$1,$B93,AV$5,$B$1)</f>
        <v>4554</v>
      </c>
      <c r="AW93" s="55">
        <f>_xll.EQNXTDZ($A$1,$B93,AW$5,$B$1)</f>
        <v>0</v>
      </c>
      <c r="AX93" s="55">
        <f>_xll.EQNXTDZ($A$1,$B93,AX$5,$B$1)</f>
        <v>4474</v>
      </c>
      <c r="AY93" s="55">
        <f>_xll.EQNXTDZ($A$1,$B93,AY$5,$B$1)</f>
        <v>0</v>
      </c>
      <c r="AZ93" s="55">
        <f>_xll.EQNXTDZ($A$1,$B93,AZ$5,$B$1)</f>
        <v>4436</v>
      </c>
      <c r="BA93" s="55">
        <f>_xll.EQNXTDZ($A$1,$B93,BA$5,$B$1)</f>
        <v>0</v>
      </c>
      <c r="BB93" s="55">
        <f>_xll.EQNXTDZ($A$1,$B93,BB$5,$B$1)</f>
        <v>5223</v>
      </c>
      <c r="BC93" s="55">
        <f>_xll.EQNXTDZ($A$1,$B93,BC$5,$B$1)</f>
        <v>0</v>
      </c>
      <c r="BD93" s="55">
        <f>_xll.EQNXTDZ($A$1,$B93,BD$5,$B$1)</f>
        <v>5028</v>
      </c>
      <c r="BE93" s="55">
        <f>_xll.EQNXTDZ($A$1,$B93,BE$5,$B$1)</f>
        <v>0</v>
      </c>
      <c r="BF93" s="55">
        <f>_xll.EQNXTDZ($A$1,$B93,BF$5,$B$1)</f>
        <v>5674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1222</v>
      </c>
      <c r="AE94" s="55">
        <f>_xll.EQNXTDZ($A$1,$B94,AE$5,$B$1)</f>
        <v>0</v>
      </c>
      <c r="AF94" s="55">
        <f>_xll.EQNXTDZ($A$1,$B94,AF$5,$B$1)</f>
        <v>382</v>
      </c>
      <c r="AG94" s="55">
        <f>_xll.EQNXTDZ($A$1,$B94,AG$5,$B$1)</f>
        <v>0</v>
      </c>
      <c r="AH94" s="55">
        <f>_xll.EQNXTDZ($A$1,$B94,AH$5,$B$1)</f>
        <v>847</v>
      </c>
      <c r="AI94" s="55">
        <f>_xll.EQNXTDZ($A$1,$B94,AI$5,$B$1)</f>
        <v>0</v>
      </c>
      <c r="AJ94" s="55">
        <f>_xll.EQNXTDZ($A$1,$B94,AJ$5,$B$1)</f>
        <v>903</v>
      </c>
      <c r="AK94" s="55">
        <f>_xll.EQNXTDZ($A$1,$B94,AK$5,$B$1)</f>
        <v>0</v>
      </c>
      <c r="AL94" s="55">
        <f>_xll.EQNXTDZ($A$1,$B94,AL$5,$B$1)</f>
        <v>1089</v>
      </c>
      <c r="AM94" s="55">
        <f>_xll.EQNXTDZ($A$1,$B94,AM$5,$B$1)</f>
        <v>0</v>
      </c>
      <c r="AN94" s="55">
        <f>_xll.EQNXTDZ($A$1,$B94,AN$5,$B$1)</f>
        <v>2901</v>
      </c>
      <c r="AO94" s="55">
        <f>_xll.EQNXTDZ($A$1,$B94,AO$5,$B$1)</f>
        <v>0</v>
      </c>
      <c r="AP94" s="55">
        <f>_xll.EQNXTDZ($A$1,$B94,AP$5,$B$1)</f>
        <v>2691</v>
      </c>
      <c r="AQ94" s="55">
        <f>_xll.EQNXTDZ($A$1,$B94,AQ$5,$B$1)</f>
        <v>0</v>
      </c>
      <c r="AR94" s="55">
        <f>_xll.EQNXTDZ($A$1,$B94,AR$5,$B$1)</f>
        <v>1458</v>
      </c>
      <c r="AS94" s="55">
        <f>_xll.EQNXTDZ($A$1,$B94,AS$5,$B$1)</f>
        <v>0</v>
      </c>
      <c r="AT94" s="55">
        <f>_xll.EQNXTDZ($A$1,$B94,AT$5,$B$1)</f>
        <v>2000</v>
      </c>
      <c r="AU94" s="55">
        <f>_xll.EQNXTDZ($A$1,$B94,AU$5,$B$1)</f>
        <v>0</v>
      </c>
      <c r="AV94" s="55">
        <f>_xll.EQNXTDZ($A$1,$B94,AV$5,$B$1)</f>
        <v>3370</v>
      </c>
      <c r="AW94" s="55">
        <f>_xll.EQNXTDZ($A$1,$B94,AW$5,$B$1)</f>
        <v>0</v>
      </c>
      <c r="AX94" s="55">
        <f>_xll.EQNXTDZ($A$1,$B94,AX$5,$B$1)</f>
        <v>3356</v>
      </c>
      <c r="AY94" s="55">
        <f>_xll.EQNXTDZ($A$1,$B94,AY$5,$B$1)</f>
        <v>0</v>
      </c>
      <c r="AZ94" s="55">
        <f>_xll.EQNXTDZ($A$1,$B94,AZ$5,$B$1)</f>
        <v>3464</v>
      </c>
      <c r="BA94" s="55">
        <f>_xll.EQNXTDZ($A$1,$B94,BA$5,$B$1)</f>
        <v>0</v>
      </c>
      <c r="BB94" s="55">
        <f>_xll.EQNXTDZ($A$1,$B94,BB$5,$B$1)</f>
        <v>3091</v>
      </c>
      <c r="BC94" s="55">
        <f>_xll.EQNXTDZ($A$1,$B94,BC$5,$B$1)</f>
        <v>0</v>
      </c>
      <c r="BD94" s="55">
        <f>_xll.EQNXTDZ($A$1,$B94,BD$5,$B$1)</f>
        <v>3458</v>
      </c>
      <c r="BE94" s="55">
        <f>_xll.EQNXTDZ($A$1,$B94,BE$5,$B$1)</f>
        <v>0</v>
      </c>
      <c r="BF94" s="55">
        <f>_xll.EQNXTDZ($A$1,$B94,BF$5,$B$1)</f>
        <v>3089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-1279</v>
      </c>
      <c r="AE96" s="55">
        <f>_xll.EQNXTDZ($A$1,$B96,AE$5,$B$1)</f>
        <v>0</v>
      </c>
      <c r="AF96" s="55">
        <f>_xll.EQNXTDZ($A$1,$B96,AF$5,$B$1)</f>
        <v>-1280</v>
      </c>
      <c r="AG96" s="55">
        <f>_xll.EQNXTDZ($A$1,$B96,AG$5,$B$1)</f>
        <v>0</v>
      </c>
      <c r="AH96" s="55">
        <f>_xll.EQNXTDZ($A$1,$B96,AH$5,$B$1)</f>
        <v>-1277</v>
      </c>
      <c r="AI96" s="55">
        <f>_xll.EQNXTDZ($A$1,$B96,AI$5,$B$1)</f>
        <v>0</v>
      </c>
      <c r="AJ96" s="55">
        <f>_xll.EQNXTDZ($A$1,$B96,AJ$5,$B$1)</f>
        <v>-1419</v>
      </c>
      <c r="AK96" s="55">
        <f>_xll.EQNXTDZ($A$1,$B96,AK$5,$B$1)</f>
        <v>0</v>
      </c>
      <c r="AL96" s="55">
        <f>_xll.EQNXTDZ($A$1,$B96,AL$5,$B$1)</f>
        <v>-1659</v>
      </c>
      <c r="AM96" s="55">
        <f>_xll.EQNXTDZ($A$1,$B96,AM$5,$B$1)</f>
        <v>0</v>
      </c>
      <c r="AN96" s="55">
        <f>_xll.EQNXTDZ($A$1,$B96,AN$5,$B$1)</f>
        <v>-1805</v>
      </c>
      <c r="AO96" s="55">
        <f>_xll.EQNXTDZ($A$1,$B96,AO$5,$B$1)</f>
        <v>0</v>
      </c>
      <c r="AP96" s="55">
        <f>_xll.EQNXTDZ($A$1,$B96,AP$5,$B$1)</f>
        <v>-1564</v>
      </c>
      <c r="AQ96" s="55">
        <f>_xll.EQNXTDZ($A$1,$B96,AQ$5,$B$1)</f>
        <v>0</v>
      </c>
      <c r="AR96" s="55">
        <f>_xll.EQNXTDZ($A$1,$B96,AR$5,$B$1)</f>
        <v>-1433</v>
      </c>
      <c r="AS96" s="55">
        <f>_xll.EQNXTDZ($A$1,$B96,AS$5,$B$1)</f>
        <v>0</v>
      </c>
      <c r="AT96" s="55">
        <f>_xll.EQNXTDZ($A$1,$B96,AT$5,$B$1)</f>
        <v>-1610</v>
      </c>
      <c r="AU96" s="55">
        <f>_xll.EQNXTDZ($A$1,$B96,AU$5,$B$1)</f>
        <v>0</v>
      </c>
      <c r="AV96" s="55">
        <f>_xll.EQNXTDZ($A$1,$B96,AV$5,$B$1)</f>
        <v>-1621</v>
      </c>
      <c r="AW96" s="55">
        <f>_xll.EQNXTDZ($A$1,$B96,AW$5,$B$1)</f>
        <v>0</v>
      </c>
      <c r="AX96" s="55">
        <f>_xll.EQNXTDZ($A$1,$B96,AX$5,$B$1)</f>
        <v>-1758</v>
      </c>
      <c r="AY96" s="55">
        <f>_xll.EQNXTDZ($A$1,$B96,AY$5,$B$1)</f>
        <v>0</v>
      </c>
      <c r="AZ96" s="55">
        <f>_xll.EQNXTDZ($A$1,$B96,AZ$5,$B$1)</f>
        <v>-2007</v>
      </c>
      <c r="BA96" s="55">
        <f>_xll.EQNXTDZ($A$1,$B96,BA$5,$B$1)</f>
        <v>0</v>
      </c>
      <c r="BB96" s="55">
        <f>_xll.EQNXTDZ($A$1,$B96,BB$5,$B$1)</f>
        <v>-1981</v>
      </c>
      <c r="BC96" s="55">
        <f>_xll.EQNXTDZ($A$1,$B96,BC$5,$B$1)</f>
        <v>0</v>
      </c>
      <c r="BD96" s="55">
        <f>_xll.EQNXTDZ($A$1,$B96,BD$5,$B$1)</f>
        <v>-2070</v>
      </c>
      <c r="BE96" s="55">
        <f>_xll.EQNXTDZ($A$1,$B96,BE$5,$B$1)</f>
        <v>0</v>
      </c>
      <c r="BF96" s="55">
        <f>_xll.EQNXTDZ($A$1,$B96,BF$5,$B$1)</f>
        <v>-2184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15077</v>
      </c>
      <c r="AE97" s="55">
        <f>_xll.EQNXTDZ($A$1,$B97,AE$5,$B$1)</f>
        <v>0</v>
      </c>
      <c r="AF97" s="55">
        <f>_xll.EQNXTDZ($A$1,$B97,AF$5,$B$1)</f>
        <v>14114</v>
      </c>
      <c r="AG97" s="55">
        <f>_xll.EQNXTDZ($A$1,$B97,AG$5,$B$1)</f>
        <v>0</v>
      </c>
      <c r="AH97" s="55">
        <f>_xll.EQNXTDZ($A$1,$B97,AH$5,$B$1)</f>
        <v>14512</v>
      </c>
      <c r="AI97" s="55">
        <f>_xll.EQNXTDZ($A$1,$B97,AI$5,$B$1)</f>
        <v>0</v>
      </c>
      <c r="AJ97" s="55">
        <f>_xll.EQNXTDZ($A$1,$B97,AJ$5,$B$1)</f>
        <v>14688</v>
      </c>
      <c r="AK97" s="55">
        <f>_xll.EQNXTDZ($A$1,$B97,AK$5,$B$1)</f>
        <v>0</v>
      </c>
      <c r="AL97" s="55">
        <f>_xll.EQNXTDZ($A$1,$B97,AL$5,$B$1)</f>
        <v>15404</v>
      </c>
      <c r="AM97" s="55">
        <f>_xll.EQNXTDZ($A$1,$B97,AM$5,$B$1)</f>
        <v>0</v>
      </c>
      <c r="AN97" s="55">
        <f>_xll.EQNXTDZ($A$1,$B97,AN$5,$B$1)</f>
        <v>16386</v>
      </c>
      <c r="AO97" s="55">
        <f>_xll.EQNXTDZ($A$1,$B97,AO$5,$B$1)</f>
        <v>0</v>
      </c>
      <c r="AP97" s="55">
        <f>_xll.EQNXTDZ($A$1,$B97,AP$5,$B$1)</f>
        <v>18438</v>
      </c>
      <c r="AQ97" s="55">
        <f>_xll.EQNXTDZ($A$1,$B97,AQ$5,$B$1)</f>
        <v>0</v>
      </c>
      <c r="AR97" s="55">
        <f>_xll.EQNXTDZ($A$1,$B97,AR$5,$B$1)</f>
        <v>17778</v>
      </c>
      <c r="AS97" s="55">
        <f>_xll.EQNXTDZ($A$1,$B97,AS$5,$B$1)</f>
        <v>0</v>
      </c>
      <c r="AT97" s="55">
        <f>_xll.EQNXTDZ($A$1,$B97,AT$5,$B$1)</f>
        <v>19449</v>
      </c>
      <c r="AU97" s="55">
        <f>_xll.EQNXTDZ($A$1,$B97,AU$5,$B$1)</f>
        <v>0</v>
      </c>
      <c r="AV97" s="55">
        <f>_xll.EQNXTDZ($A$1,$B97,AV$5,$B$1)</f>
        <v>21057</v>
      </c>
      <c r="AW97" s="55">
        <f>_xll.EQNXTDZ($A$1,$B97,AW$5,$B$1)</f>
        <v>0</v>
      </c>
      <c r="AX97" s="55">
        <f>_xll.EQNXTDZ($A$1,$B97,AX$5,$B$1)</f>
        <v>21480</v>
      </c>
      <c r="AY97" s="55">
        <f>_xll.EQNXTDZ($A$1,$B97,AY$5,$B$1)</f>
        <v>0</v>
      </c>
      <c r="AZ97" s="55">
        <f>_xll.EQNXTDZ($A$1,$B97,AZ$5,$B$1)</f>
        <v>22547</v>
      </c>
      <c r="BA97" s="55">
        <f>_xll.EQNXTDZ($A$1,$B97,BA$5,$B$1)</f>
        <v>0</v>
      </c>
      <c r="BB97" s="55">
        <f>_xll.EQNXTDZ($A$1,$B97,BB$5,$B$1)</f>
        <v>22967</v>
      </c>
      <c r="BC97" s="55">
        <f>_xll.EQNXTDZ($A$1,$B97,BC$5,$B$1)</f>
        <v>0</v>
      </c>
      <c r="BD97" s="55">
        <f>_xll.EQNXTDZ($A$1,$B97,BD$5,$B$1)</f>
        <v>24361</v>
      </c>
      <c r="BE97" s="55">
        <f>_xll.EQNXTDZ($A$1,$B97,BE$5,$B$1)</f>
        <v>0</v>
      </c>
      <c r="BF97" s="55">
        <f>_xll.EQNXTDZ($A$1,$B97,BF$5,$B$1)</f>
        <v>25401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293380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Dalmia Bharat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8340</v>
      </c>
      <c r="T6" s="100">
        <f>_xll.EQNXTDZ($A$1,$B6,T$1,$B$1)</f>
        <v>8827</v>
      </c>
      <c r="U6" s="100">
        <f>_xll.EQNXTDZ($A$1,$B6,U$1,$B$1)</f>
        <v>10349</v>
      </c>
      <c r="V6" s="100">
        <f>_xll.EQNXTDZ($A$1,$B6,V$1,$B$1)</f>
        <v>10842</v>
      </c>
      <c r="W6" s="100">
        <f>_xll.EQNXTDZ($A$1,$B6,W$1,$B$1)</f>
        <v>11429</v>
      </c>
      <c r="X6" s="100">
        <f>_xll.EQNXTDZ($A$1,$B6,X$1,$B$1)</f>
        <v>13041</v>
      </c>
      <c r="Y6" s="100">
        <f>_xll.EQNXTDZ($A$1,$B6,Y$1,$B$1)</f>
        <v>15558</v>
      </c>
      <c r="Z6" s="100">
        <f>_xll.EQNXTDZ($A$1,$B6,Z$1,$B$1)</f>
        <v>17192</v>
      </c>
      <c r="AA6" s="100">
        <f>_xll.EQNXTDZ($A$1,$B6,AA$1,$B$1)</f>
        <v>17487</v>
      </c>
      <c r="AB6" s="100">
        <f>_xll.EQNXTDZ($A$1,$B6,AB$1,$B$1)</f>
        <v>18320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865</v>
      </c>
      <c r="V8" s="100">
        <f>_xll.EQNXTDZ($A$1,$B8,V$1,$B$1)</f>
        <v>1168</v>
      </c>
      <c r="W8" s="100">
        <f>_xll.EQNXTDZ($A$1,$B8,W$1,$B$1)</f>
        <v>1319</v>
      </c>
      <c r="X8" s="100">
        <f>_xll.EQNXTDZ($A$1,$B8,X$1,$B$1)</f>
        <v>1755</v>
      </c>
      <c r="Y8" s="100">
        <f>_xll.EQNXTDZ($A$1,$B8,Y$1,$B$1)</f>
        <v>2006</v>
      </c>
      <c r="Z8" s="100">
        <f>_xll.EQNXTDZ($A$1,$B8,Z$1,$B$1)</f>
        <v>2501</v>
      </c>
      <c r="AA8" s="100">
        <f>_xll.EQNXTDZ($A$1,$B8,AA$1,$B$1)</f>
        <v>3507</v>
      </c>
      <c r="AB8" s="100">
        <f>_xll.EQNXTDZ($A$1,$B8,AB$1,$B$1)</f>
        <v>3516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893</v>
      </c>
      <c r="T9" s="100">
        <f>_xll.EQNXTDZ($A$1,$B9,T$1,$B$1)</f>
        <v>247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7447</v>
      </c>
      <c r="T10" s="100">
        <f>_xll.EQNXTDZ($A$1,$B10,T$1,$B$1)</f>
        <v>8580</v>
      </c>
      <c r="U10" s="100">
        <f>_xll.EQNXTDZ($A$1,$B10,U$1,$B$1)</f>
        <v>9484</v>
      </c>
      <c r="V10" s="100">
        <f>_xll.EQNXTDZ($A$1,$B10,V$1,$B$1)</f>
        <v>9674</v>
      </c>
      <c r="W10" s="100">
        <f>_xll.EQNXTDZ($A$1,$B10,W$1,$B$1)</f>
        <v>10110</v>
      </c>
      <c r="X10" s="100">
        <f>_xll.EQNXTDZ($A$1,$B10,X$1,$B$1)</f>
        <v>11286</v>
      </c>
      <c r="Y10" s="100">
        <f>_xll.EQNXTDZ($A$1,$B10,Y$1,$B$1)</f>
        <v>13552</v>
      </c>
      <c r="Z10" s="100">
        <f>_xll.EQNXTDZ($A$1,$B10,Z$1,$B$1)</f>
        <v>14691</v>
      </c>
      <c r="AA10" s="100">
        <f>_xll.EQNXTDZ($A$1,$B10,AA$1,$B$1)</f>
        <v>13980</v>
      </c>
      <c r="AB10" s="100">
        <f>_xll.EQNXTDZ($A$1,$B10,AB$1,$B$1)</f>
        <v>14804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84</v>
      </c>
      <c r="T11" s="100">
        <f>_xll.EQNXTDZ($A$1,$B11,T$1,$B$1)</f>
        <v>1</v>
      </c>
      <c r="U11" s="100">
        <f>_xll.EQNXTDZ($A$1,$B11,U$1,$B$1)</f>
        <v>-147</v>
      </c>
      <c r="V11" s="100">
        <f>_xll.EQNXTDZ($A$1,$B11,V$1,$B$1)</f>
        <v>25</v>
      </c>
      <c r="W11" s="100">
        <f>_xll.EQNXTDZ($A$1,$B11,W$1,$B$1)</f>
        <v>60</v>
      </c>
      <c r="X11" s="100">
        <f>_xll.EQNXTDZ($A$1,$B11,X$1,$B$1)</f>
        <v>-65</v>
      </c>
      <c r="Y11" s="100">
        <f>_xll.EQNXTDZ($A$1,$B11,Y$1,$B$1)</f>
        <v>23</v>
      </c>
      <c r="Z11" s="100">
        <f>_xll.EQNXTDZ($A$1,$B11,Z$1,$B$1)</f>
        <v>16</v>
      </c>
      <c r="AA11" s="100">
        <f>_xll.EQNXTDZ($A$1,$B11,AA$1,$B$1)</f>
        <v>-19</v>
      </c>
      <c r="AB11" s="100">
        <f>_xll.EQNXTDZ($A$1,$B11,AB$1,$B$1)</f>
        <v>14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1173</v>
      </c>
      <c r="T12" s="100">
        <f>_xll.EQNXTDZ($A$1,$B12,T$1,$B$1)</f>
        <v>1509</v>
      </c>
      <c r="U12" s="100">
        <f>_xll.EQNXTDZ($A$1,$B12,U$1,$B$1)</f>
        <v>1932</v>
      </c>
      <c r="V12" s="100">
        <f>_xll.EQNXTDZ($A$1,$B12,V$1,$B$1)</f>
        <v>1721</v>
      </c>
      <c r="W12" s="100">
        <f>_xll.EQNXTDZ($A$1,$B12,W$1,$B$1)</f>
        <v>1483</v>
      </c>
      <c r="X12" s="100">
        <f>_xll.EQNXTDZ($A$1,$B12,X$1,$B$1)</f>
        <v>1537</v>
      </c>
      <c r="Y12" s="100">
        <f>_xll.EQNXTDZ($A$1,$B12,Y$1,$B$1)</f>
        <v>1958</v>
      </c>
      <c r="Z12" s="100">
        <f>_xll.EQNXTDZ($A$1,$B12,Z$1,$B$1)</f>
        <v>2687</v>
      </c>
      <c r="AA12" s="100">
        <f>_xll.EQNXTDZ($A$1,$B12,AA$1,$B$1)</f>
        <v>2347</v>
      </c>
      <c r="AB12" s="100">
        <f>_xll.EQNXTDZ($A$1,$B12,AB$1,$B$1)</f>
        <v>2324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1036</v>
      </c>
      <c r="T13" s="100">
        <f>_xll.EQNXTDZ($A$1,$B13,T$1,$B$1)</f>
        <v>1405</v>
      </c>
      <c r="U13" s="100">
        <f>_xll.EQNXTDZ($A$1,$B13,U$1,$B$1)</f>
        <v>1756</v>
      </c>
      <c r="V13" s="100">
        <f>_xll.EQNXTDZ($A$1,$B13,V$1,$B$1)</f>
        <v>1738</v>
      </c>
      <c r="W13" s="100">
        <f>_xll.EQNXTDZ($A$1,$B13,W$1,$B$1)</f>
        <v>1659</v>
      </c>
      <c r="X13" s="100">
        <f>_xll.EQNXTDZ($A$1,$B13,X$1,$B$1)</f>
        <v>2570</v>
      </c>
      <c r="Y13" s="100">
        <f>_xll.EQNXTDZ($A$1,$B13,Y$1,$B$1)</f>
        <v>3679</v>
      </c>
      <c r="Z13" s="100">
        <f>_xll.EQNXTDZ($A$1,$B13,Z$1,$B$1)</f>
        <v>3116</v>
      </c>
      <c r="AA13" s="100">
        <f>_xll.EQNXTDZ($A$1,$B13,AA$1,$B$1)</f>
        <v>2903</v>
      </c>
      <c r="AB13" s="100">
        <f>_xll.EQNXTDZ($A$1,$B13,AB$1,$B$1)</f>
        <v>2980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591</v>
      </c>
      <c r="T14" s="100">
        <f>_xll.EQNXTDZ($A$1,$B14,T$1,$B$1)</f>
        <v>609</v>
      </c>
      <c r="U14" s="100">
        <f>_xll.EQNXTDZ($A$1,$B14,U$1,$B$1)</f>
        <v>648</v>
      </c>
      <c r="V14" s="100">
        <f>_xll.EQNXTDZ($A$1,$B14,V$1,$B$1)</f>
        <v>675</v>
      </c>
      <c r="W14" s="100">
        <f>_xll.EQNXTDZ($A$1,$B14,W$1,$B$1)</f>
        <v>659</v>
      </c>
      <c r="X14" s="100">
        <f>_xll.EQNXTDZ($A$1,$B14,X$1,$B$1)</f>
        <v>744</v>
      </c>
      <c r="Y14" s="100">
        <f>_xll.EQNXTDZ($A$1,$B14,Y$1,$B$1)</f>
        <v>771</v>
      </c>
      <c r="Z14" s="100">
        <f>_xll.EQNXTDZ($A$1,$B14,Z$1,$B$1)</f>
        <v>871</v>
      </c>
      <c r="AA14" s="100">
        <f>_xll.EQNXTDZ($A$1,$B14,AA$1,$B$1)</f>
        <v>885</v>
      </c>
      <c r="AB14" s="100">
        <f>_xll.EQNXTDZ($A$1,$B14,AB$1,$B$1)</f>
        <v>894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533</v>
      </c>
      <c r="T15" s="100">
        <f>_xll.EQNXTDZ($A$1,$B15,T$1,$B$1)</f>
        <v>582</v>
      </c>
      <c r="U15" s="100">
        <f>_xll.EQNXTDZ($A$1,$B15,U$1,$B$1)</f>
        <v>652</v>
      </c>
      <c r="V15" s="100">
        <f>_xll.EQNXTDZ($A$1,$B15,V$1,$B$1)</f>
        <v>663</v>
      </c>
      <c r="W15" s="100">
        <f>_xll.EQNXTDZ($A$1,$B15,W$1,$B$1)</f>
        <v>644</v>
      </c>
      <c r="X15" s="100">
        <f>_xll.EQNXTDZ($A$1,$B15,X$1,$B$1)</f>
        <v>812</v>
      </c>
      <c r="Y15" s="100">
        <f>_xll.EQNXTDZ($A$1,$B15,Y$1,$B$1)</f>
        <v>933</v>
      </c>
      <c r="Z15" s="100">
        <f>_xll.EQNXTDZ($A$1,$B15,Z$1,$B$1)</f>
        <v>977</v>
      </c>
      <c r="AA15" s="100">
        <f>_xll.EQNXTDZ($A$1,$B15,AA$1,$B$1)</f>
        <v>1008</v>
      </c>
      <c r="AB15" s="100">
        <f>_xll.EQNXTDZ($A$1,$B15,AB$1,$B$1)</f>
        <v>1059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244</v>
      </c>
      <c r="T17" s="100">
        <f>_xll.EQNXTDZ($A$1,$B17,T$1,$B$1)</f>
        <v>261</v>
      </c>
      <c r="U17" s="100">
        <f>_xll.EQNXTDZ($A$1,$B17,U$1,$B$1)</f>
        <v>353</v>
      </c>
      <c r="V17" s="100">
        <f>_xll.EQNXTDZ($A$1,$B17,V$1,$B$1)</f>
        <v>308</v>
      </c>
      <c r="W17" s="100">
        <f>_xll.EQNXTDZ($A$1,$B17,W$1,$B$1)</f>
        <v>351</v>
      </c>
      <c r="X17" s="100">
        <f>_xll.EQNXTDZ($A$1,$B17,X$1,$B$1)</f>
        <v>399.58</v>
      </c>
      <c r="Y17" s="100">
        <f>_xll.EQNXTDZ($A$1,$B17,Y$1,$B$1)</f>
        <v>470.38</v>
      </c>
      <c r="Z17" s="100">
        <f>_xll.EQNXTDZ($A$1,$B17,Z$1,$B$1)</f>
        <v>509</v>
      </c>
      <c r="AA17" s="100">
        <f>_xll.EQNXTDZ($A$1,$B17,AA$1,$B$1)</f>
        <v>498</v>
      </c>
      <c r="AB17" s="100">
        <f>_xll.EQNXTDZ($A$1,$B17,AB$1,$B$1)</f>
        <v>525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1586</v>
      </c>
      <c r="T18" s="100">
        <f>_xll.EQNXTDZ($A$1,$B18,T$1,$B$1)</f>
        <v>1791</v>
      </c>
      <c r="U18" s="100">
        <f>_xll.EQNXTDZ($A$1,$B18,U$1,$B$1)</f>
        <v>2049</v>
      </c>
      <c r="V18" s="100">
        <f>_xll.EQNXTDZ($A$1,$B18,V$1,$B$1)</f>
        <v>2093</v>
      </c>
      <c r="W18" s="100">
        <f>_xll.EQNXTDZ($A$1,$B18,W$1,$B$1)</f>
        <v>2183</v>
      </c>
      <c r="X18" s="100">
        <f>_xll.EQNXTDZ($A$1,$B18,X$1,$B$1)</f>
        <v>2501</v>
      </c>
      <c r="Y18" s="100">
        <f>_xll.EQNXTDZ($A$1,$B18,Y$1,$B$1)</f>
        <v>2991</v>
      </c>
      <c r="Z18" s="100">
        <f>_xll.EQNXTDZ($A$1,$B18,Z$1,$B$1)</f>
        <v>3388</v>
      </c>
      <c r="AA18" s="100">
        <f>_xll.EQNXTDZ($A$1,$B18,AA$1,$B$1)</f>
        <v>3428</v>
      </c>
      <c r="AB18" s="100">
        <f>_xll.EQNXTDZ($A$1,$B18,AB$1,$B$1)</f>
        <v>3364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306</v>
      </c>
      <c r="T19" s="100">
        <f>_xll.EQNXTDZ($A$1,$B19,T$1,$B$1)</f>
        <v>401</v>
      </c>
      <c r="U19" s="100">
        <f>_xll.EQNXTDZ($A$1,$B19,U$1,$B$1)</f>
        <v>413</v>
      </c>
      <c r="V19" s="100">
        <f>_xll.EQNXTDZ($A$1,$B19,V$1,$B$1)</f>
        <v>368</v>
      </c>
      <c r="W19" s="100">
        <f>_xll.EQNXTDZ($A$1,$B19,W$1,$B$1)</f>
        <v>309</v>
      </c>
      <c r="X19" s="100">
        <f>_xll.EQNXTDZ($A$1,$B19,X$1,$B$1)</f>
        <v>415.42</v>
      </c>
      <c r="Y19" s="100">
        <f>_xll.EQNXTDZ($A$1,$B19,Y$1,$B$1)</f>
        <v>417.62</v>
      </c>
      <c r="Z19" s="100">
        <f>_xll.EQNXTDZ($A$1,$B19,Z$1,$B$1)</f>
        <v>490</v>
      </c>
      <c r="AA19" s="100">
        <f>_xll.EQNXTDZ($A$1,$B19,AA$1,$B$1)</f>
        <v>523</v>
      </c>
      <c r="AB19" s="100">
        <f>_xll.EQNXTDZ($A$1,$B19,AB$1,$B$1)</f>
        <v>561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5553</v>
      </c>
      <c r="T21" s="100">
        <f>_xll.EQNXTDZ($A$1,$B21,T$1,$B$1)</f>
        <v>6559</v>
      </c>
      <c r="U21" s="100">
        <f>_xll.EQNXTDZ($A$1,$B21,U$1,$B$1)</f>
        <v>7656</v>
      </c>
      <c r="V21" s="100">
        <f>_xll.EQNXTDZ($A$1,$B21,V$1,$B$1)</f>
        <v>7591</v>
      </c>
      <c r="W21" s="100">
        <f>_xll.EQNXTDZ($A$1,$B21,W$1,$B$1)</f>
        <v>7348</v>
      </c>
      <c r="X21" s="100">
        <f>_xll.EQNXTDZ($A$1,$B21,X$1,$B$1)</f>
        <v>8914</v>
      </c>
      <c r="Y21" s="100">
        <f>_xll.EQNXTDZ($A$1,$B21,Y$1,$B$1)</f>
        <v>11243</v>
      </c>
      <c r="Z21" s="100">
        <f>_xll.EQNXTDZ($A$1,$B21,Z$1,$B$1)</f>
        <v>12054</v>
      </c>
      <c r="AA21" s="100">
        <f>_xll.EQNXTDZ($A$1,$B21,AA$1,$B$1)</f>
        <v>11573</v>
      </c>
      <c r="AB21" s="100">
        <f>_xll.EQNXTDZ($A$1,$B21,AB$1,$B$1)</f>
        <v>11721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1894</v>
      </c>
      <c r="T22" s="100">
        <f>_xll.EQNXTDZ($A$1,$B22,T$1,$B$1)</f>
        <v>2021</v>
      </c>
      <c r="U22" s="100">
        <f>_xll.EQNXTDZ($A$1,$B22,U$1,$B$1)</f>
        <v>1828</v>
      </c>
      <c r="V22" s="100">
        <f>_xll.EQNXTDZ($A$1,$B22,V$1,$B$1)</f>
        <v>2083</v>
      </c>
      <c r="W22" s="100">
        <f>_xll.EQNXTDZ($A$1,$B22,W$1,$B$1)</f>
        <v>2762</v>
      </c>
      <c r="X22" s="100">
        <f>_xll.EQNXTDZ($A$1,$B22,X$1,$B$1)</f>
        <v>2372</v>
      </c>
      <c r="Y22" s="100">
        <f>_xll.EQNXTDZ($A$1,$B22,Y$1,$B$1)</f>
        <v>2309</v>
      </c>
      <c r="Z22" s="100">
        <f>_xll.EQNXTDZ($A$1,$B22,Z$1,$B$1)</f>
        <v>2637</v>
      </c>
      <c r="AA22" s="100">
        <f>_xll.EQNXTDZ($A$1,$B22,AA$1,$B$1)</f>
        <v>2407</v>
      </c>
      <c r="AB22" s="100">
        <f>_xll.EQNXTDZ($A$1,$B22,AB$1,$B$1)</f>
        <v>3083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296</v>
      </c>
      <c r="T23" s="100">
        <f>_xll.EQNXTDZ($A$1,$B23,T$1,$B$1)</f>
        <v>274</v>
      </c>
      <c r="U23" s="100">
        <f>_xll.EQNXTDZ($A$1,$B23,U$1,$B$1)</f>
        <v>368</v>
      </c>
      <c r="V23" s="100">
        <f>_xll.EQNXTDZ($A$1,$B23,V$1,$B$1)</f>
        <v>226</v>
      </c>
      <c r="W23" s="100">
        <f>_xll.EQNXTDZ($A$1,$B23,W$1,$B$1)</f>
        <v>204</v>
      </c>
      <c r="X23" s="100">
        <f>_xll.EQNXTDZ($A$1,$B23,X$1,$B$1)</f>
        <v>214</v>
      </c>
      <c r="Y23" s="100">
        <f>_xll.EQNXTDZ($A$1,$B23,Y$1,$B$1)</f>
        <v>145</v>
      </c>
      <c r="Z23" s="100">
        <f>_xll.EQNXTDZ($A$1,$B23,Z$1,$B$1)</f>
        <v>317</v>
      </c>
      <c r="AA23" s="100">
        <f>_xll.EQNXTDZ($A$1,$B23,AA$1,$B$1)</f>
        <v>253</v>
      </c>
      <c r="AB23" s="100">
        <f>_xll.EQNXTDZ($A$1,$B23,AB$1,$B$1)</f>
        <v>222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2190</v>
      </c>
      <c r="T24" s="100">
        <f>_xll.EQNXTDZ($A$1,$B24,T$1,$B$1)</f>
        <v>2295</v>
      </c>
      <c r="U24" s="100">
        <f>_xll.EQNXTDZ($A$1,$B24,U$1,$B$1)</f>
        <v>2196</v>
      </c>
      <c r="V24" s="100">
        <f>_xll.EQNXTDZ($A$1,$B24,V$1,$B$1)</f>
        <v>2309</v>
      </c>
      <c r="W24" s="100">
        <f>_xll.EQNXTDZ($A$1,$B24,W$1,$B$1)</f>
        <v>2966</v>
      </c>
      <c r="X24" s="100">
        <f>_xll.EQNXTDZ($A$1,$B24,X$1,$B$1)</f>
        <v>2586</v>
      </c>
      <c r="Y24" s="100">
        <f>_xll.EQNXTDZ($A$1,$B24,Y$1,$B$1)</f>
        <v>2454</v>
      </c>
      <c r="Z24" s="100">
        <f>_xll.EQNXTDZ($A$1,$B24,Z$1,$B$1)</f>
        <v>2954</v>
      </c>
      <c r="AA24" s="100">
        <f>_xll.EQNXTDZ($A$1,$B24,AA$1,$B$1)</f>
        <v>2660</v>
      </c>
      <c r="AB24" s="100">
        <f>_xll.EQNXTDZ($A$1,$B24,AB$1,$B$1)</f>
        <v>3305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856</v>
      </c>
      <c r="T25" s="100">
        <f>_xll.EQNXTDZ($A$1,$B25,T$1,$B$1)</f>
        <v>693</v>
      </c>
      <c r="U25" s="100">
        <f>_xll.EQNXTDZ($A$1,$B25,U$1,$B$1)</f>
        <v>561</v>
      </c>
      <c r="V25" s="100">
        <f>_xll.EQNXTDZ($A$1,$B25,V$1,$B$1)</f>
        <v>424</v>
      </c>
      <c r="W25" s="100">
        <f>_xll.EQNXTDZ($A$1,$B25,W$1,$B$1)</f>
        <v>318</v>
      </c>
      <c r="X25" s="100">
        <f>_xll.EQNXTDZ($A$1,$B25,X$1,$B$1)</f>
        <v>202</v>
      </c>
      <c r="Y25" s="100">
        <f>_xll.EQNXTDZ($A$1,$B25,Y$1,$B$1)</f>
        <v>234</v>
      </c>
      <c r="Z25" s="100">
        <f>_xll.EQNXTDZ($A$1,$B25,Z$1,$B$1)</f>
        <v>386</v>
      </c>
      <c r="AA25" s="100">
        <f>_xll.EQNXTDZ($A$1,$B25,AA$1,$B$1)</f>
        <v>399</v>
      </c>
      <c r="AB25" s="100">
        <f>_xll.EQNXTDZ($A$1,$B25,AB$1,$B$1)</f>
        <v>480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1334</v>
      </c>
      <c r="T26" s="100">
        <f>_xll.EQNXTDZ($A$1,$B26,T$1,$B$1)</f>
        <v>1602</v>
      </c>
      <c r="U26" s="100">
        <f>_xll.EQNXTDZ($A$1,$B26,U$1,$B$1)</f>
        <v>1635</v>
      </c>
      <c r="V26" s="100">
        <f>_xll.EQNXTDZ($A$1,$B26,V$1,$B$1)</f>
        <v>1885</v>
      </c>
      <c r="W26" s="100">
        <f>_xll.EQNXTDZ($A$1,$B26,W$1,$B$1)</f>
        <v>2648</v>
      </c>
      <c r="X26" s="100">
        <f>_xll.EQNXTDZ($A$1,$B26,X$1,$B$1)</f>
        <v>2384</v>
      </c>
      <c r="Y26" s="100">
        <f>_xll.EQNXTDZ($A$1,$B26,Y$1,$B$1)</f>
        <v>2220</v>
      </c>
      <c r="Z26" s="100">
        <f>_xll.EQNXTDZ($A$1,$B26,Z$1,$B$1)</f>
        <v>2568</v>
      </c>
      <c r="AA26" s="100">
        <f>_xll.EQNXTDZ($A$1,$B26,AA$1,$B$1)</f>
        <v>2261</v>
      </c>
      <c r="AB26" s="100">
        <f>_xll.EQNXTDZ($A$1,$B26,AB$1,$B$1)</f>
        <v>2825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1226</v>
      </c>
      <c r="T27" s="100">
        <f>_xll.EQNXTDZ($A$1,$B27,T$1,$B$1)</f>
        <v>1213</v>
      </c>
      <c r="U27" s="100">
        <f>_xll.EQNXTDZ($A$1,$B27,U$1,$B$1)</f>
        <v>1296</v>
      </c>
      <c r="V27" s="100">
        <f>_xll.EQNXTDZ($A$1,$B27,V$1,$B$1)</f>
        <v>1528</v>
      </c>
      <c r="W27" s="100">
        <f>_xll.EQNXTDZ($A$1,$B27,W$1,$B$1)</f>
        <v>1250</v>
      </c>
      <c r="X27" s="100">
        <f>_xll.EQNXTDZ($A$1,$B27,X$1,$B$1)</f>
        <v>1235</v>
      </c>
      <c r="Y27" s="100">
        <f>_xll.EQNXTDZ($A$1,$B27,Y$1,$B$1)</f>
        <v>1305</v>
      </c>
      <c r="Z27" s="100">
        <f>_xll.EQNXTDZ($A$1,$B27,Z$1,$B$1)</f>
        <v>1498</v>
      </c>
      <c r="AA27" s="100">
        <f>_xll.EQNXTDZ($A$1,$B27,AA$1,$B$1)</f>
        <v>1331</v>
      </c>
      <c r="AB27" s="100">
        <f>_xll.EQNXTDZ($A$1,$B27,AB$1,$B$1)</f>
        <v>1349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5</v>
      </c>
      <c r="Y28" s="100">
        <f>_xll.EQNXTDZ($A$1,$B28,Y$1,$B$1)</f>
        <v>554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-34</v>
      </c>
      <c r="X29" s="100">
        <f>_xll.EQNXTDZ($A$1,$B29,X$1,$B$1)</f>
        <v>-2</v>
      </c>
      <c r="Y29" s="100">
        <f>_xll.EQNXTDZ($A$1,$B29,Y$1,$B$1)</f>
        <v>-144</v>
      </c>
      <c r="Z29" s="100">
        <f>_xll.EQNXTDZ($A$1,$B29,Z$1,$B$1)</f>
        <v>0</v>
      </c>
      <c r="AA29" s="100">
        <f>_xll.EQNXTDZ($A$1,$B29,AA$1,$B$1)</f>
        <v>-113</v>
      </c>
      <c r="AB29" s="100">
        <f>_xll.EQNXTDZ($A$1,$B29,AB$1,$B$1)</f>
        <v>-26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74</v>
      </c>
      <c r="T30" s="100">
        <f>_xll.EQNXTDZ($A$1,$B30,T$1,$B$1)</f>
        <v>98</v>
      </c>
      <c r="U30" s="100">
        <f>_xll.EQNXTDZ($A$1,$B30,U$1,$B$1)</f>
        <v>-10</v>
      </c>
      <c r="V30" s="100">
        <f>_xll.EQNXTDZ($A$1,$B30,V$1,$B$1)</f>
        <v>119</v>
      </c>
      <c r="W30" s="100">
        <f>_xll.EQNXTDZ($A$1,$B30,W$1,$B$1)</f>
        <v>178</v>
      </c>
      <c r="X30" s="100">
        <f>_xll.EQNXTDZ($A$1,$B30,X$1,$B$1)</f>
        <v>315</v>
      </c>
      <c r="Y30" s="100">
        <f>_xll.EQNXTDZ($A$1,$B30,Y$1,$B$1)</f>
        <v>242</v>
      </c>
      <c r="Z30" s="100">
        <f>_xll.EQNXTDZ($A$1,$B30,Z$1,$B$1)</f>
        <v>216</v>
      </c>
      <c r="AA30" s="100">
        <f>_xll.EQNXTDZ($A$1,$B30,AA$1,$B$1)</f>
        <v>118</v>
      </c>
      <c r="AB30" s="100">
        <f>_xll.EQNXTDZ($A$1,$B30,AB$1,$B$1)</f>
        <v>292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10</v>
      </c>
      <c r="T32" s="100">
        <f>_xll.EQNXTDZ($A$1,$B32,T$1,$B$1)</f>
        <v>1</v>
      </c>
      <c r="U32" s="100">
        <f>_xll.EQNXTDZ($A$1,$B32,U$1,$B$1)</f>
        <v>-41</v>
      </c>
      <c r="V32" s="100">
        <f>_xll.EQNXTDZ($A$1,$B32,V$1,$B$1)</f>
        <v>-14</v>
      </c>
      <c r="W32" s="100">
        <f>_xll.EQNXTDZ($A$1,$B32,W$1,$B$1)</f>
        <v>-12</v>
      </c>
      <c r="X32" s="100">
        <f>_xll.EQNXTDZ($A$1,$B32,X$1,$B$1)</f>
        <v>-29</v>
      </c>
      <c r="Y32" s="100">
        <f>_xll.EQNXTDZ($A$1,$B32,Y$1,$B$1)</f>
        <v>-44</v>
      </c>
      <c r="Z32" s="100">
        <f>_xll.EQNXTDZ($A$1,$B32,Z$1,$B$1)</f>
        <v>-27</v>
      </c>
      <c r="AA32" s="100">
        <f>_xll.EQNXTDZ($A$1,$B32,AA$1,$B$1)</f>
        <v>-16</v>
      </c>
      <c r="AB32" s="100">
        <f>_xll.EQNXTDZ($A$1,$B32,AB$1,$B$1)</f>
        <v>-18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-1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44</v>
      </c>
      <c r="T35" s="100">
        <f>_xll.EQNXTDZ($A$1,$B35,T$1,$B$1)</f>
        <v>292</v>
      </c>
      <c r="U35" s="100">
        <f>_xll.EQNXTDZ($A$1,$B35,U$1,$B$1)</f>
        <v>308</v>
      </c>
      <c r="V35" s="100">
        <f>_xll.EQNXTDZ($A$1,$B35,V$1,$B$1)</f>
        <v>224</v>
      </c>
      <c r="W35" s="100">
        <f>_xll.EQNXTDZ($A$1,$B35,W$1,$B$1)</f>
        <v>1171</v>
      </c>
      <c r="X35" s="100">
        <f>_xll.EQNXTDZ($A$1,$B35,X$1,$B$1)</f>
        <v>816</v>
      </c>
      <c r="Y35" s="100">
        <f>_xll.EQNXTDZ($A$1,$B35,Y$1,$B$1)</f>
        <v>1035</v>
      </c>
      <c r="Z35" s="100">
        <f>_xll.EQNXTDZ($A$1,$B35,Z$1,$B$1)</f>
        <v>826</v>
      </c>
      <c r="AA35" s="100">
        <f>_xll.EQNXTDZ($A$1,$B35,AA$1,$B$1)</f>
        <v>683</v>
      </c>
      <c r="AB35" s="100">
        <f>_xll.EQNXTDZ($A$1,$B35,AB$1,$B$1)</f>
        <v>1139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-2</v>
      </c>
      <c r="X36" s="100">
        <f>_xll.EQNXTDZ($A$1,$B36,X$1,$B$1)</f>
        <v>8</v>
      </c>
      <c r="Y36" s="100">
        <f>_xll.EQNXTDZ($A$1,$B36,Y$1,$B$1)</f>
        <v>-4</v>
      </c>
      <c r="Z36" s="100">
        <f>_xll.EQNXTDZ($A$1,$B36,Z$1,$B$1)</f>
        <v>-1</v>
      </c>
      <c r="AA36" s="100">
        <f>_xll.EQNXTDZ($A$1,$B36,AA$1,$B$1)</f>
        <v>0</v>
      </c>
      <c r="AB36" s="100">
        <f>_xll.EQNXTDZ($A$1,$B36,AB$1,$B$1)</f>
        <v>-1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39</v>
      </c>
      <c r="V41" s="55">
        <f>_xll.EQNXTDZ($A$1,$B41,V$1,$B$1)</f>
        <v>39</v>
      </c>
      <c r="W41" s="55">
        <f>_xll.EQNXTDZ($A$1,$B41,W$1,$B$1)</f>
        <v>37</v>
      </c>
      <c r="X41" s="55">
        <f>_xll.EQNXTDZ($A$1,$B41,X$1,$B$1)</f>
        <v>37</v>
      </c>
      <c r="Y41" s="55">
        <f>_xll.EQNXTDZ($A$1,$B41,Y$1,$B$1)</f>
        <v>37</v>
      </c>
      <c r="Z41" s="55">
        <f>_xll.EQNXTDZ($A$1,$B41,Z$1,$B$1)</f>
        <v>38</v>
      </c>
      <c r="AA41" s="55">
        <f>_xll.EQNXTDZ($A$1,$B41,AA$1,$B$1)</f>
        <v>38</v>
      </c>
      <c r="AB41" s="55">
        <f>_xll.EQNXTDZ($A$1,$B41,AB$1,$B$1)</f>
        <v>38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6666</v>
      </c>
      <c r="T42" s="55">
        <f>_xll.EQNXTDZ($A$1,$B42,T$1,$B$1)</f>
        <v>6668</v>
      </c>
      <c r="U42" s="55">
        <f>_xll.EQNXTDZ($A$1,$B42,U$1,$B$1)</f>
        <v>14</v>
      </c>
      <c r="V42" s="55">
        <f>_xll.EQNXTDZ($A$1,$B42,V$1,$B$1)</f>
        <v>11</v>
      </c>
      <c r="W42" s="55">
        <f>_xll.EQNXTDZ($A$1,$B42,W$1,$B$1)</f>
        <v>6</v>
      </c>
      <c r="X42" s="55">
        <f>_xll.EQNXTDZ($A$1,$B42,X$1,$B$1)</f>
        <v>21</v>
      </c>
      <c r="Y42" s="55">
        <f>_xll.EQNXTDZ($A$1,$B42,Y$1,$B$1)</f>
        <v>12</v>
      </c>
      <c r="Z42" s="55">
        <f>_xll.EQNXTDZ($A$1,$B42,Z$1,$B$1)</f>
        <v>1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2963</v>
      </c>
      <c r="T43" s="55">
        <f>_xll.EQNXTDZ($A$1,$B43,T$1,$B$1)</f>
        <v>3667</v>
      </c>
      <c r="U43" s="55">
        <f>_xll.EQNXTDZ($A$1,$B43,U$1,$B$1)</f>
        <v>10586</v>
      </c>
      <c r="V43" s="55">
        <f>_xll.EQNXTDZ($A$1,$B43,V$1,$B$1)</f>
        <v>10511</v>
      </c>
      <c r="W43" s="55">
        <f>_xll.EQNXTDZ($A$1,$B43,W$1,$B$1)</f>
        <v>12767</v>
      </c>
      <c r="X43" s="55">
        <f>_xll.EQNXTDZ($A$1,$B43,X$1,$B$1)</f>
        <v>16003</v>
      </c>
      <c r="Y43" s="55">
        <f>_xll.EQNXTDZ($A$1,$B43,Y$1,$B$1)</f>
        <v>15579</v>
      </c>
      <c r="Z43" s="55">
        <f>_xll.EQNXTDZ($A$1,$B43,Z$1,$B$1)</f>
        <v>16358</v>
      </c>
      <c r="AA43" s="55">
        <f>_xll.EQNXTDZ($A$1,$B43,AA$1,$B$1)</f>
        <v>17336</v>
      </c>
      <c r="AB43" s="55">
        <f>_xll.EQNXTDZ($A$1,$B43,AB$1,$B$1)</f>
        <v>17941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9629</v>
      </c>
      <c r="T44" s="55">
        <f>_xll.EQNXTDZ($A$1,$B44,T$1,$B$1)</f>
        <v>10335</v>
      </c>
      <c r="U44" s="55">
        <f>_xll.EQNXTDZ($A$1,$B44,U$1,$B$1)</f>
        <v>10639</v>
      </c>
      <c r="V44" s="55">
        <f>_xll.EQNXTDZ($A$1,$B44,V$1,$B$1)</f>
        <v>10561</v>
      </c>
      <c r="W44" s="55">
        <f>_xll.EQNXTDZ($A$1,$B44,W$1,$B$1)</f>
        <v>12810</v>
      </c>
      <c r="X44" s="55">
        <f>_xll.EQNXTDZ($A$1,$B44,X$1,$B$1)</f>
        <v>16061</v>
      </c>
      <c r="Y44" s="55">
        <f>_xll.EQNXTDZ($A$1,$B44,Y$1,$B$1)</f>
        <v>15628</v>
      </c>
      <c r="Z44" s="55">
        <f>_xll.EQNXTDZ($A$1,$B44,Z$1,$B$1)</f>
        <v>16397</v>
      </c>
      <c r="AA44" s="55">
        <f>_xll.EQNXTDZ($A$1,$B44,AA$1,$B$1)</f>
        <v>17374</v>
      </c>
      <c r="AB44" s="55">
        <f>_xll.EQNXTDZ($A$1,$B44,AB$1,$B$1)</f>
        <v>17979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-29</v>
      </c>
      <c r="T45" s="55">
        <f>_xll.EQNXTDZ($A$1,$B45,T$1,$B$1)</f>
        <v>-30</v>
      </c>
      <c r="U45" s="55">
        <f>_xll.EQNXTDZ($A$1,$B45,U$1,$B$1)</f>
        <v>11</v>
      </c>
      <c r="V45" s="55">
        <f>_xll.EQNXTDZ($A$1,$B45,V$1,$B$1)</f>
        <v>25</v>
      </c>
      <c r="W45" s="55">
        <f>_xll.EQNXTDZ($A$1,$B45,W$1,$B$1)</f>
        <v>34</v>
      </c>
      <c r="X45" s="55">
        <f>_xll.EQNXTDZ($A$1,$B45,X$1,$B$1)</f>
        <v>72</v>
      </c>
      <c r="Y45" s="55">
        <f>_xll.EQNXTDZ($A$1,$B45,Y$1,$B$1)</f>
        <v>116</v>
      </c>
      <c r="Z45" s="55">
        <f>_xll.EQNXTDZ($A$1,$B45,Z$1,$B$1)</f>
        <v>110</v>
      </c>
      <c r="AA45" s="55">
        <f>_xll.EQNXTDZ($A$1,$B45,AA$1,$B$1)</f>
        <v>126</v>
      </c>
      <c r="AB45" s="55">
        <f>_xll.EQNXTDZ($A$1,$B45,AB$1,$B$1)</f>
        <v>144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5926</v>
      </c>
      <c r="T47" s="55">
        <f>_xll.EQNXTDZ($A$1,$B47,T$1,$B$1)</f>
        <v>5231</v>
      </c>
      <c r="U47" s="55">
        <f>_xll.EQNXTDZ($A$1,$B47,U$1,$B$1)</f>
        <v>3943</v>
      </c>
      <c r="V47" s="55">
        <f>_xll.EQNXTDZ($A$1,$B47,V$1,$B$1)</f>
        <v>3147</v>
      </c>
      <c r="W47" s="55">
        <f>_xll.EQNXTDZ($A$1,$B47,W$1,$B$1)</f>
        <v>1889</v>
      </c>
      <c r="X47" s="55">
        <f>_xll.EQNXTDZ($A$1,$B47,X$1,$B$1)</f>
        <v>1917</v>
      </c>
      <c r="Y47" s="55">
        <f>_xll.EQNXTDZ($A$1,$B47,Y$1,$B$1)</f>
        <v>3210</v>
      </c>
      <c r="Z47" s="55">
        <f>_xll.EQNXTDZ($A$1,$B47,Z$1,$B$1)</f>
        <v>4431</v>
      </c>
      <c r="AA47" s="55">
        <f>_xll.EQNXTDZ($A$1,$B47,AA$1,$B$1)</f>
        <v>4605</v>
      </c>
      <c r="AB47" s="55">
        <f>_xll.EQNXTDZ($A$1,$B47,AB$1,$B$1)</f>
        <v>6168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328</v>
      </c>
      <c r="T48" s="55">
        <f>_xll.EQNXTDZ($A$1,$B48,T$1,$B$1)</f>
        <v>228</v>
      </c>
      <c r="U48" s="55">
        <f>_xll.EQNXTDZ($A$1,$B48,U$1,$B$1)</f>
        <v>72</v>
      </c>
      <c r="V48" s="55">
        <f>_xll.EQNXTDZ($A$1,$B48,V$1,$B$1)</f>
        <v>358</v>
      </c>
      <c r="W48" s="55">
        <f>_xll.EQNXTDZ($A$1,$B48,W$1,$B$1)</f>
        <v>200</v>
      </c>
      <c r="X48" s="55">
        <f>_xll.EQNXTDZ($A$1,$B48,X$1,$B$1)</f>
        <v>5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1372</v>
      </c>
      <c r="T49" s="55">
        <f>_xll.EQNXTDZ($A$1,$B49,T$1,$B$1)</f>
        <v>1393</v>
      </c>
      <c r="U49" s="55">
        <f>_xll.EQNXTDZ($A$1,$B49,U$1,$B$1)</f>
        <v>1279</v>
      </c>
      <c r="V49" s="55">
        <f>_xll.EQNXTDZ($A$1,$B49,V$1,$B$1)</f>
        <v>1277</v>
      </c>
      <c r="W49" s="55">
        <f>_xll.EQNXTDZ($A$1,$B49,W$1,$B$1)</f>
        <v>1659</v>
      </c>
      <c r="X49" s="55">
        <f>_xll.EQNXTDZ($A$1,$B49,X$1,$B$1)</f>
        <v>1564</v>
      </c>
      <c r="Y49" s="55">
        <f>_xll.EQNXTDZ($A$1,$B49,Y$1,$B$1)</f>
        <v>1610</v>
      </c>
      <c r="Z49" s="55">
        <f>_xll.EQNXTDZ($A$1,$B49,Z$1,$B$1)</f>
        <v>1758</v>
      </c>
      <c r="AA49" s="55">
        <f>_xll.EQNXTDZ($A$1,$B49,AA$1,$B$1)</f>
        <v>1981</v>
      </c>
      <c r="AB49" s="55">
        <f>_xll.EQNXTDZ($A$1,$B49,AB$1,$B$1)</f>
        <v>2184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113</v>
      </c>
      <c r="T50" s="55">
        <f>_xll.EQNXTDZ($A$1,$B50,T$1,$B$1)</f>
        <v>127</v>
      </c>
      <c r="U50" s="55">
        <f>_xll.EQNXTDZ($A$1,$B50,U$1,$B$1)</f>
        <v>242</v>
      </c>
      <c r="V50" s="55">
        <f>_xll.EQNXTDZ($A$1,$B50,V$1,$B$1)</f>
        <v>278</v>
      </c>
      <c r="W50" s="55">
        <f>_xll.EQNXTDZ($A$1,$B50,W$1,$B$1)</f>
        <v>295</v>
      </c>
      <c r="X50" s="55">
        <f>_xll.EQNXTDZ($A$1,$B50,X$1,$B$1)</f>
        <v>202</v>
      </c>
      <c r="Y50" s="55">
        <f>_xll.EQNXTDZ($A$1,$B50,Y$1,$B$1)</f>
        <v>259</v>
      </c>
      <c r="Z50" s="55">
        <f>_xll.EQNXTDZ($A$1,$B50,Z$1,$B$1)</f>
        <v>278</v>
      </c>
      <c r="AA50" s="55">
        <f>_xll.EQNXTDZ($A$1,$B50,AA$1,$B$1)</f>
        <v>549</v>
      </c>
      <c r="AB50" s="55">
        <f>_xll.EQNXTDZ($A$1,$B50,AB$1,$B$1)</f>
        <v>780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3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140</v>
      </c>
      <c r="T52" s="55">
        <f>_xll.EQNXTDZ($A$1,$B52,T$1,$B$1)</f>
        <v>84</v>
      </c>
      <c r="U52" s="55">
        <f>_xll.EQNXTDZ($A$1,$B52,U$1,$B$1)</f>
        <v>170</v>
      </c>
      <c r="V52" s="55">
        <f>_xll.EQNXTDZ($A$1,$B52,V$1,$B$1)</f>
        <v>140</v>
      </c>
      <c r="W52" s="55">
        <f>_xll.EQNXTDZ($A$1,$B52,W$1,$B$1)</f>
        <v>176</v>
      </c>
      <c r="X52" s="55">
        <f>_xll.EQNXTDZ($A$1,$B52,X$1,$B$1)</f>
        <v>181</v>
      </c>
      <c r="Y52" s="55">
        <f>_xll.EQNXTDZ($A$1,$B52,Y$1,$B$1)</f>
        <v>236</v>
      </c>
      <c r="Z52" s="55">
        <f>_xll.EQNXTDZ($A$1,$B52,Z$1,$B$1)</f>
        <v>264</v>
      </c>
      <c r="AA52" s="55">
        <f>_xll.EQNXTDZ($A$1,$B52,AA$1,$B$1)</f>
        <v>313</v>
      </c>
      <c r="AB52" s="55">
        <f>_xll.EQNXTDZ($A$1,$B52,AB$1,$B$1)</f>
        <v>330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7879</v>
      </c>
      <c r="T53" s="55">
        <f>_xll.EQNXTDZ($A$1,$B53,T$1,$B$1)</f>
        <v>7063</v>
      </c>
      <c r="U53" s="55">
        <f>_xll.EQNXTDZ($A$1,$B53,U$1,$B$1)</f>
        <v>5706</v>
      </c>
      <c r="V53" s="55">
        <f>_xll.EQNXTDZ($A$1,$B53,V$1,$B$1)</f>
        <v>5203</v>
      </c>
      <c r="W53" s="55">
        <f>_xll.EQNXTDZ($A$1,$B53,W$1,$B$1)</f>
        <v>4219</v>
      </c>
      <c r="X53" s="55">
        <f>_xll.EQNXTDZ($A$1,$B53,X$1,$B$1)</f>
        <v>3869</v>
      </c>
      <c r="Y53" s="55">
        <f>_xll.EQNXTDZ($A$1,$B53,Y$1,$B$1)</f>
        <v>5315</v>
      </c>
      <c r="Z53" s="55">
        <f>_xll.EQNXTDZ($A$1,$B53,Z$1,$B$1)</f>
        <v>6731</v>
      </c>
      <c r="AA53" s="55">
        <f>_xll.EQNXTDZ($A$1,$B53,AA$1,$B$1)</f>
        <v>7448</v>
      </c>
      <c r="AB53" s="55">
        <f>_xll.EQNXTDZ($A$1,$B53,AB$1,$B$1)</f>
        <v>9462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890</v>
      </c>
      <c r="T54" s="55">
        <f>_xll.EQNXTDZ($A$1,$B54,T$1,$B$1)</f>
        <v>928</v>
      </c>
      <c r="U54" s="55">
        <f>_xll.EQNXTDZ($A$1,$B54,U$1,$B$1)</f>
        <v>877</v>
      </c>
      <c r="V54" s="55">
        <f>_xll.EQNXTDZ($A$1,$B54,V$1,$B$1)</f>
        <v>829</v>
      </c>
      <c r="W54" s="55">
        <f>_xll.EQNXTDZ($A$1,$B54,W$1,$B$1)</f>
        <v>899</v>
      </c>
      <c r="X54" s="55">
        <f>_xll.EQNXTDZ($A$1,$B54,X$1,$B$1)</f>
        <v>850</v>
      </c>
      <c r="Y54" s="55">
        <f>_xll.EQNXTDZ($A$1,$B54,Y$1,$B$1)</f>
        <v>1135</v>
      </c>
      <c r="Z54" s="55">
        <f>_xll.EQNXTDZ($A$1,$B54,Z$1,$B$1)</f>
        <v>1316</v>
      </c>
      <c r="AA54" s="55">
        <f>_xll.EQNXTDZ($A$1,$B54,AA$1,$B$1)</f>
        <v>1539</v>
      </c>
      <c r="AB54" s="55">
        <f>_xll.EQNXTDZ($A$1,$B54,AB$1,$B$1)</f>
        <v>1294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1573</v>
      </c>
      <c r="T55" s="55">
        <f>_xll.EQNXTDZ($A$1,$B55,T$1,$B$1)</f>
        <v>2104</v>
      </c>
      <c r="U55" s="55">
        <f>_xll.EQNXTDZ($A$1,$B55,U$1,$B$1)</f>
        <v>2256</v>
      </c>
      <c r="V55" s="55">
        <f>_xll.EQNXTDZ($A$1,$B55,V$1,$B$1)</f>
        <v>2873</v>
      </c>
      <c r="W55" s="55">
        <f>_xll.EQNXTDZ($A$1,$B55,W$1,$B$1)</f>
        <v>2961</v>
      </c>
      <c r="X55" s="55">
        <f>_xll.EQNXTDZ($A$1,$B55,X$1,$B$1)</f>
        <v>3269</v>
      </c>
      <c r="Y55" s="55">
        <f>_xll.EQNXTDZ($A$1,$B55,Y$1,$B$1)</f>
        <v>2605</v>
      </c>
      <c r="Z55" s="55">
        <f>_xll.EQNXTDZ($A$1,$B55,Z$1,$B$1)</f>
        <v>2820</v>
      </c>
      <c r="AA55" s="55">
        <f>_xll.EQNXTDZ($A$1,$B55,AA$1,$B$1)</f>
        <v>2961</v>
      </c>
      <c r="AB55" s="55">
        <f>_xll.EQNXTDZ($A$1,$B55,AB$1,$B$1)</f>
        <v>3811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1233</v>
      </c>
      <c r="T56" s="55">
        <f>_xll.EQNXTDZ($A$1,$B56,T$1,$B$1)</f>
        <v>863</v>
      </c>
      <c r="U56" s="55">
        <f>_xll.EQNXTDZ($A$1,$B56,U$1,$B$1)</f>
        <v>908</v>
      </c>
      <c r="V56" s="55">
        <f>_xll.EQNXTDZ($A$1,$B56,V$1,$B$1)</f>
        <v>1246</v>
      </c>
      <c r="W56" s="55">
        <f>_xll.EQNXTDZ($A$1,$B56,W$1,$B$1)</f>
        <v>822</v>
      </c>
      <c r="X56" s="55">
        <f>_xll.EQNXTDZ($A$1,$B56,X$1,$B$1)</f>
        <v>208</v>
      </c>
      <c r="Y56" s="55">
        <f>_xll.EQNXTDZ($A$1,$B56,Y$1,$B$1)</f>
        <v>365</v>
      </c>
      <c r="Z56" s="55">
        <f>_xll.EQNXTDZ($A$1,$B56,Z$1,$B$1)</f>
        <v>14</v>
      </c>
      <c r="AA56" s="55">
        <f>_xll.EQNXTDZ($A$1,$B56,AA$1,$B$1)</f>
        <v>454</v>
      </c>
      <c r="AB56" s="55">
        <f>_xll.EQNXTDZ($A$1,$B56,AB$1,$B$1)</f>
        <v>339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87</v>
      </c>
      <c r="T57" s="55">
        <f>_xll.EQNXTDZ($A$1,$B57,T$1,$B$1)</f>
        <v>71</v>
      </c>
      <c r="U57" s="55">
        <f>_xll.EQNXTDZ($A$1,$B57,U$1,$B$1)</f>
        <v>141</v>
      </c>
      <c r="V57" s="55">
        <f>_xll.EQNXTDZ($A$1,$B57,V$1,$B$1)</f>
        <v>141</v>
      </c>
      <c r="W57" s="55">
        <f>_xll.EQNXTDZ($A$1,$B57,W$1,$B$1)</f>
        <v>141</v>
      </c>
      <c r="X57" s="55">
        <f>_xll.EQNXTDZ($A$1,$B57,X$1,$B$1)</f>
        <v>339</v>
      </c>
      <c r="Y57" s="55">
        <f>_xll.EQNXTDZ($A$1,$B57,Y$1,$B$1)</f>
        <v>355</v>
      </c>
      <c r="Z57" s="55">
        <f>_xll.EQNXTDZ($A$1,$B57,Z$1,$B$1)</f>
        <v>324</v>
      </c>
      <c r="AA57" s="55">
        <f>_xll.EQNXTDZ($A$1,$B57,AA$1,$B$1)</f>
        <v>269</v>
      </c>
      <c r="AB57" s="55">
        <f>_xll.EQNXTDZ($A$1,$B57,AB$1,$B$1)</f>
        <v>230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3783</v>
      </c>
      <c r="T59" s="55">
        <f>_xll.EQNXTDZ($A$1,$B59,T$1,$B$1)</f>
        <v>3966</v>
      </c>
      <c r="U59" s="55">
        <f>_xll.EQNXTDZ($A$1,$B59,U$1,$B$1)</f>
        <v>4182</v>
      </c>
      <c r="V59" s="55">
        <f>_xll.EQNXTDZ($A$1,$B59,V$1,$B$1)</f>
        <v>5089</v>
      </c>
      <c r="W59" s="55">
        <f>_xll.EQNXTDZ($A$1,$B59,W$1,$B$1)</f>
        <v>4823</v>
      </c>
      <c r="X59" s="55">
        <f>_xll.EQNXTDZ($A$1,$B59,X$1,$B$1)</f>
        <v>4666</v>
      </c>
      <c r="Y59" s="55">
        <f>_xll.EQNXTDZ($A$1,$B59,Y$1,$B$1)</f>
        <v>4460</v>
      </c>
      <c r="Z59" s="55">
        <f>_xll.EQNXTDZ($A$1,$B59,Z$1,$B$1)</f>
        <v>4474</v>
      </c>
      <c r="AA59" s="55">
        <f>_xll.EQNXTDZ($A$1,$B59,AA$1,$B$1)</f>
        <v>5223</v>
      </c>
      <c r="AB59" s="55">
        <f>_xll.EQNXTDZ($A$1,$B59,AB$1,$B$1)</f>
        <v>5674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21262</v>
      </c>
      <c r="T60" s="55">
        <f>_xll.EQNXTDZ($A$1,$B60,T$1,$B$1)</f>
        <v>21334</v>
      </c>
      <c r="U60" s="55">
        <f>_xll.EQNXTDZ($A$1,$B60,U$1,$B$1)</f>
        <v>20538</v>
      </c>
      <c r="V60" s="55">
        <f>_xll.EQNXTDZ($A$1,$B60,V$1,$B$1)</f>
        <v>20878</v>
      </c>
      <c r="W60" s="55">
        <f>_xll.EQNXTDZ($A$1,$B60,W$1,$B$1)</f>
        <v>21886</v>
      </c>
      <c r="X60" s="55">
        <f>_xll.EQNXTDZ($A$1,$B60,X$1,$B$1)</f>
        <v>24668</v>
      </c>
      <c r="Y60" s="55">
        <f>_xll.EQNXTDZ($A$1,$B60,Y$1,$B$1)</f>
        <v>25519</v>
      </c>
      <c r="Z60" s="55">
        <f>_xll.EQNXTDZ($A$1,$B60,Z$1,$B$1)</f>
        <v>27712</v>
      </c>
      <c r="AA60" s="55">
        <f>_xll.EQNXTDZ($A$1,$B60,AA$1,$B$1)</f>
        <v>30171</v>
      </c>
      <c r="AB60" s="55">
        <f>_xll.EQNXTDZ($A$1,$B60,AB$1,$B$1)</f>
        <v>33259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17835</v>
      </c>
      <c r="T62" s="55">
        <f>_xll.EQNXTDZ($A$1,$B62,T$1,$B$1)</f>
        <v>17565</v>
      </c>
      <c r="U62" s="55">
        <f>_xll.EQNXTDZ($A$1,$B62,U$1,$B$1)</f>
        <v>18318</v>
      </c>
      <c r="V62" s="55">
        <f>_xll.EQNXTDZ($A$1,$B62,V$1,$B$1)</f>
        <v>18744</v>
      </c>
      <c r="W62" s="55">
        <f>_xll.EQNXTDZ($A$1,$B62,W$1,$B$1)</f>
        <v>20923</v>
      </c>
      <c r="X62" s="55">
        <f>_xll.EQNXTDZ($A$1,$B62,X$1,$B$1)</f>
        <v>22547</v>
      </c>
      <c r="Y62" s="55">
        <f>_xll.EQNXTDZ($A$1,$B62,Y$1,$B$1)</f>
        <v>24372</v>
      </c>
      <c r="Z62" s="55">
        <f>_xll.EQNXTDZ($A$1,$B62,Z$1,$B$1)</f>
        <v>26549</v>
      </c>
      <c r="AA62" s="55">
        <f>_xll.EQNXTDZ($A$1,$B62,AA$1,$B$1)</f>
        <v>29242</v>
      </c>
      <c r="AB62" s="55">
        <f>_xll.EQNXTDZ($A$1,$B62,AB$1,$B$1)</f>
        <v>32465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2319</v>
      </c>
      <c r="T63" s="55">
        <f>_xll.EQNXTDZ($A$1,$B63,T$1,$B$1)</f>
        <v>3528</v>
      </c>
      <c r="U63" s="55">
        <f>_xll.EQNXTDZ($A$1,$B63,U$1,$B$1)</f>
        <v>4745</v>
      </c>
      <c r="V63" s="55">
        <f>_xll.EQNXTDZ($A$1,$B63,V$1,$B$1)</f>
        <v>6189</v>
      </c>
      <c r="W63" s="55">
        <f>_xll.EQNXTDZ($A$1,$B63,W$1,$B$1)</f>
        <v>7298</v>
      </c>
      <c r="X63" s="55">
        <f>_xll.EQNXTDZ($A$1,$B63,X$1,$B$1)</f>
        <v>8412</v>
      </c>
      <c r="Y63" s="55">
        <f>_xll.EQNXTDZ($A$1,$B63,Y$1,$B$1)</f>
        <v>9589</v>
      </c>
      <c r="Z63" s="55">
        <f>_xll.EQNXTDZ($A$1,$B63,Z$1,$B$1)</f>
        <v>10818</v>
      </c>
      <c r="AA63" s="55">
        <f>_xll.EQNXTDZ($A$1,$B63,AA$1,$B$1)</f>
        <v>11977</v>
      </c>
      <c r="AB63" s="55">
        <f>_xll.EQNXTDZ($A$1,$B63,AB$1,$B$1)</f>
        <v>13135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15516</v>
      </c>
      <c r="T65" s="55">
        <f>_xll.EQNXTDZ($A$1,$B65,T$1,$B$1)</f>
        <v>14037</v>
      </c>
      <c r="U65" s="55">
        <f>_xll.EQNXTDZ($A$1,$B65,U$1,$B$1)</f>
        <v>13573</v>
      </c>
      <c r="V65" s="55">
        <f>_xll.EQNXTDZ($A$1,$B65,V$1,$B$1)</f>
        <v>12555</v>
      </c>
      <c r="W65" s="55">
        <f>_xll.EQNXTDZ($A$1,$B65,W$1,$B$1)</f>
        <v>13625</v>
      </c>
      <c r="X65" s="55">
        <f>_xll.EQNXTDZ($A$1,$B65,X$1,$B$1)</f>
        <v>14135</v>
      </c>
      <c r="Y65" s="55">
        <f>_xll.EQNXTDZ($A$1,$B65,Y$1,$B$1)</f>
        <v>14783</v>
      </c>
      <c r="Z65" s="55">
        <f>_xll.EQNXTDZ($A$1,$B65,Z$1,$B$1)</f>
        <v>15731</v>
      </c>
      <c r="AA65" s="55">
        <f>_xll.EQNXTDZ($A$1,$B65,AA$1,$B$1)</f>
        <v>17265</v>
      </c>
      <c r="AB65" s="55">
        <f>_xll.EQNXTDZ($A$1,$B65,AB$1,$B$1)</f>
        <v>19330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128</v>
      </c>
      <c r="T67" s="55">
        <f>_xll.EQNXTDZ($A$1,$B67,T$1,$B$1)</f>
        <v>173</v>
      </c>
      <c r="U67" s="55">
        <f>_xll.EQNXTDZ($A$1,$B67,U$1,$B$1)</f>
        <v>501</v>
      </c>
      <c r="V67" s="55">
        <f>_xll.EQNXTDZ($A$1,$B67,V$1,$B$1)</f>
        <v>1702</v>
      </c>
      <c r="W67" s="55">
        <f>_xll.EQNXTDZ($A$1,$B67,W$1,$B$1)</f>
        <v>869</v>
      </c>
      <c r="X67" s="55">
        <f>_xll.EQNXTDZ($A$1,$B67,X$1,$B$1)</f>
        <v>1034</v>
      </c>
      <c r="Y67" s="55">
        <f>_xll.EQNXTDZ($A$1,$B67,Y$1,$B$1)</f>
        <v>1859</v>
      </c>
      <c r="Z67" s="55">
        <f>_xll.EQNXTDZ($A$1,$B67,Z$1,$B$1)</f>
        <v>2284</v>
      </c>
      <c r="AA67" s="55">
        <f>_xll.EQNXTDZ($A$1,$B67,AA$1,$B$1)</f>
        <v>2497</v>
      </c>
      <c r="AB67" s="55">
        <f>_xll.EQNXTDZ($A$1,$B67,AB$1,$B$1)</f>
        <v>2593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19</v>
      </c>
      <c r="V68" s="55">
        <f>_xll.EQNXTDZ($A$1,$B68,V$1,$B$1)</f>
        <v>38</v>
      </c>
      <c r="W68" s="55">
        <f>_xll.EQNXTDZ($A$1,$B68,W$1,$B$1)</f>
        <v>137</v>
      </c>
      <c r="X68" s="55">
        <f>_xll.EQNXTDZ($A$1,$B68,X$1,$B$1)</f>
        <v>11</v>
      </c>
      <c r="Y68" s="55">
        <f>_xll.EQNXTDZ($A$1,$B68,Y$1,$B$1)</f>
        <v>12</v>
      </c>
      <c r="Z68" s="55">
        <f>_xll.EQNXTDZ($A$1,$B68,Z$1,$B$1)</f>
        <v>111</v>
      </c>
      <c r="AA68" s="55">
        <f>_xll.EQNXTDZ($A$1,$B68,AA$1,$B$1)</f>
        <v>119</v>
      </c>
      <c r="AB68" s="55">
        <f>_xll.EQNXTDZ($A$1,$B68,AB$1,$B$1)</f>
        <v>133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1</v>
      </c>
      <c r="X70" s="55">
        <f>_xll.EQNXTDZ($A$1,$B70,X$1,$B$1)</f>
        <v>1</v>
      </c>
      <c r="Y70" s="55">
        <f>_xll.EQNXTDZ($A$1,$B70,Y$1,$B$1)</f>
        <v>1</v>
      </c>
      <c r="Z70" s="55">
        <f>_xll.EQNXTDZ($A$1,$B70,Z$1,$B$1)</f>
        <v>1</v>
      </c>
      <c r="AA70" s="55">
        <f>_xll.EQNXTDZ($A$1,$B70,AA$1,$B$1)</f>
        <v>41</v>
      </c>
      <c r="AB70" s="55">
        <f>_xll.EQNXTDZ($A$1,$B70,AB$1,$B$1)</f>
        <v>41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99</v>
      </c>
      <c r="T71" s="55">
        <f>_xll.EQNXTDZ($A$1,$B71,T$1,$B$1)</f>
        <v>97</v>
      </c>
      <c r="U71" s="55">
        <f>_xll.EQNXTDZ($A$1,$B71,U$1,$B$1)</f>
        <v>109</v>
      </c>
      <c r="V71" s="55">
        <f>_xll.EQNXTDZ($A$1,$B71,V$1,$B$1)</f>
        <v>118</v>
      </c>
      <c r="W71" s="55">
        <f>_xll.EQNXTDZ($A$1,$B71,W$1,$B$1)</f>
        <v>740</v>
      </c>
      <c r="X71" s="55">
        <f>_xll.EQNXTDZ($A$1,$B71,X$1,$B$1)</f>
        <v>1305</v>
      </c>
      <c r="Y71" s="55">
        <f>_xll.EQNXTDZ($A$1,$B71,Y$1,$B$1)</f>
        <v>589</v>
      </c>
      <c r="Z71" s="55">
        <f>_xll.EQNXTDZ($A$1,$B71,Z$1,$B$1)</f>
        <v>590</v>
      </c>
      <c r="AA71" s="55">
        <f>_xll.EQNXTDZ($A$1,$B71,AA$1,$B$1)</f>
        <v>675</v>
      </c>
      <c r="AB71" s="55">
        <f>_xll.EQNXTDZ($A$1,$B71,AB$1,$B$1)</f>
        <v>773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365</v>
      </c>
      <c r="T72" s="55">
        <f>_xll.EQNXTDZ($A$1,$B72,T$1,$B$1)</f>
        <v>251</v>
      </c>
      <c r="U72" s="55">
        <f>_xll.EQNXTDZ($A$1,$B72,U$1,$B$1)</f>
        <v>527</v>
      </c>
      <c r="V72" s="55">
        <f>_xll.EQNXTDZ($A$1,$B72,V$1,$B$1)</f>
        <v>382</v>
      </c>
      <c r="W72" s="55">
        <f>_xll.EQNXTDZ($A$1,$B72,W$1,$B$1)</f>
        <v>356</v>
      </c>
      <c r="X72" s="55">
        <f>_xll.EQNXTDZ($A$1,$B72,X$1,$B$1)</f>
        <v>576</v>
      </c>
      <c r="Y72" s="55">
        <f>_xll.EQNXTDZ($A$1,$B72,Y$1,$B$1)</f>
        <v>788</v>
      </c>
      <c r="Z72" s="55">
        <f>_xll.EQNXTDZ($A$1,$B72,Z$1,$B$1)</f>
        <v>948</v>
      </c>
      <c r="AA72" s="55">
        <f>_xll.EQNXTDZ($A$1,$B72,AA$1,$B$1)</f>
        <v>923</v>
      </c>
      <c r="AB72" s="55">
        <f>_xll.EQNXTDZ($A$1,$B72,AB$1,$B$1)</f>
        <v>994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378</v>
      </c>
      <c r="T73" s="55">
        <f>_xll.EQNXTDZ($A$1,$B73,T$1,$B$1)</f>
        <v>586</v>
      </c>
      <c r="U73" s="55">
        <f>_xll.EQNXTDZ($A$1,$B73,U$1,$B$1)</f>
        <v>405</v>
      </c>
      <c r="V73" s="55">
        <f>_xll.EQNXTDZ($A$1,$B73,V$1,$B$1)</f>
        <v>147</v>
      </c>
      <c r="W73" s="55">
        <f>_xll.EQNXTDZ($A$1,$B73,W$1,$B$1)</f>
        <v>98</v>
      </c>
      <c r="X73" s="55">
        <f>_xll.EQNXTDZ($A$1,$B73,X$1,$B$1)</f>
        <v>94</v>
      </c>
      <c r="Y73" s="55">
        <f>_xll.EQNXTDZ($A$1,$B73,Y$1,$B$1)</f>
        <v>137</v>
      </c>
      <c r="Z73" s="55">
        <f>_xll.EQNXTDZ($A$1,$B73,Z$1,$B$1)</f>
        <v>191</v>
      </c>
      <c r="AA73" s="55">
        <f>_xll.EQNXTDZ($A$1,$B73,AA$1,$B$1)</f>
        <v>322</v>
      </c>
      <c r="AB73" s="55">
        <f>_xll.EQNXTDZ($A$1,$B73,AB$1,$B$1)</f>
        <v>618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16486</v>
      </c>
      <c r="T74" s="55">
        <f>_xll.EQNXTDZ($A$1,$B74,T$1,$B$1)</f>
        <v>15144</v>
      </c>
      <c r="U74" s="55">
        <f>_xll.EQNXTDZ($A$1,$B74,U$1,$B$1)</f>
        <v>15134</v>
      </c>
      <c r="V74" s="55">
        <f>_xll.EQNXTDZ($A$1,$B74,V$1,$B$1)</f>
        <v>14942</v>
      </c>
      <c r="W74" s="55">
        <f>_xll.EQNXTDZ($A$1,$B74,W$1,$B$1)</f>
        <v>15826</v>
      </c>
      <c r="X74" s="55">
        <f>_xll.EQNXTDZ($A$1,$B74,X$1,$B$1)</f>
        <v>17156</v>
      </c>
      <c r="Y74" s="55">
        <f>_xll.EQNXTDZ($A$1,$B74,Y$1,$B$1)</f>
        <v>18169</v>
      </c>
      <c r="Z74" s="55">
        <f>_xll.EQNXTDZ($A$1,$B74,Z$1,$B$1)</f>
        <v>19856</v>
      </c>
      <c r="AA74" s="55">
        <f>_xll.EQNXTDZ($A$1,$B74,AA$1,$B$1)</f>
        <v>21842</v>
      </c>
      <c r="AB74" s="55">
        <f>_xll.EQNXTDZ($A$1,$B74,AB$1,$B$1)</f>
        <v>24482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2641</v>
      </c>
      <c r="T75" s="55">
        <f>_xll.EQNXTDZ($A$1,$B75,T$1,$B$1)</f>
        <v>3408</v>
      </c>
      <c r="U75" s="55">
        <f>_xll.EQNXTDZ($A$1,$B75,U$1,$B$1)</f>
        <v>2315</v>
      </c>
      <c r="V75" s="55">
        <f>_xll.EQNXTDZ($A$1,$B75,V$1,$B$1)</f>
        <v>2698</v>
      </c>
      <c r="W75" s="55">
        <f>_xll.EQNXTDZ($A$1,$B75,W$1,$B$1)</f>
        <v>3293</v>
      </c>
      <c r="X75" s="55">
        <f>_xll.EQNXTDZ($A$1,$B75,X$1,$B$1)</f>
        <v>4399</v>
      </c>
      <c r="Y75" s="55">
        <f>_xll.EQNXTDZ($A$1,$B75,Y$1,$B$1)</f>
        <v>2935</v>
      </c>
      <c r="Z75" s="55">
        <f>_xll.EQNXTDZ($A$1,$B75,Z$1,$B$1)</f>
        <v>3872</v>
      </c>
      <c r="AA75" s="55">
        <f>_xll.EQNXTDZ($A$1,$B75,AA$1,$B$1)</f>
        <v>4444</v>
      </c>
      <c r="AB75" s="55">
        <f>_xll.EQNXTDZ($A$1,$B75,AB$1,$B$1)</f>
        <v>5105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652</v>
      </c>
      <c r="T76" s="55">
        <f>_xll.EQNXTDZ($A$1,$B76,T$1,$B$1)</f>
        <v>779</v>
      </c>
      <c r="U76" s="55">
        <f>_xll.EQNXTDZ($A$1,$B76,U$1,$B$1)</f>
        <v>1032</v>
      </c>
      <c r="V76" s="55">
        <f>_xll.EQNXTDZ($A$1,$B76,V$1,$B$1)</f>
        <v>974</v>
      </c>
      <c r="W76" s="55">
        <f>_xll.EQNXTDZ($A$1,$B76,W$1,$B$1)</f>
        <v>760</v>
      </c>
      <c r="X76" s="55">
        <f>_xll.EQNXTDZ($A$1,$B76,X$1,$B$1)</f>
        <v>945</v>
      </c>
      <c r="Y76" s="55">
        <f>_xll.EQNXTDZ($A$1,$B76,Y$1,$B$1)</f>
        <v>1316</v>
      </c>
      <c r="Z76" s="55">
        <f>_xll.EQNXTDZ($A$1,$B76,Z$1,$B$1)</f>
        <v>1218</v>
      </c>
      <c r="AA76" s="55">
        <f>_xll.EQNXTDZ($A$1,$B76,AA$1,$B$1)</f>
        <v>1386</v>
      </c>
      <c r="AB76" s="55">
        <f>_xll.EQNXTDZ($A$1,$B76,AB$1,$B$1)</f>
        <v>1192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530</v>
      </c>
      <c r="T77" s="55">
        <f>_xll.EQNXTDZ($A$1,$B77,T$1,$B$1)</f>
        <v>564</v>
      </c>
      <c r="U77" s="55">
        <f>_xll.EQNXTDZ($A$1,$B77,U$1,$B$1)</f>
        <v>549</v>
      </c>
      <c r="V77" s="55">
        <f>_xll.EQNXTDZ($A$1,$B77,V$1,$B$1)</f>
        <v>664</v>
      </c>
      <c r="W77" s="55">
        <f>_xll.EQNXTDZ($A$1,$B77,W$1,$B$1)</f>
        <v>511</v>
      </c>
      <c r="X77" s="55">
        <f>_xll.EQNXTDZ($A$1,$B77,X$1,$B$1)</f>
        <v>673</v>
      </c>
      <c r="Y77" s="55">
        <f>_xll.EQNXTDZ($A$1,$B77,Y$1,$B$1)</f>
        <v>700</v>
      </c>
      <c r="Z77" s="55">
        <f>_xll.EQNXTDZ($A$1,$B77,Z$1,$B$1)</f>
        <v>836</v>
      </c>
      <c r="AA77" s="55">
        <f>_xll.EQNXTDZ($A$1,$B77,AA$1,$B$1)</f>
        <v>889</v>
      </c>
      <c r="AB77" s="55">
        <f>_xll.EQNXTDZ($A$1,$B77,AB$1,$B$1)</f>
        <v>864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175</v>
      </c>
      <c r="T78" s="55">
        <f>_xll.EQNXTDZ($A$1,$B78,T$1,$B$1)</f>
        <v>354</v>
      </c>
      <c r="U78" s="55">
        <f>_xll.EQNXTDZ($A$1,$B78,U$1,$B$1)</f>
        <v>469</v>
      </c>
      <c r="V78" s="55">
        <f>_xll.EQNXTDZ($A$1,$B78,V$1,$B$1)</f>
        <v>403</v>
      </c>
      <c r="W78" s="55">
        <f>_xll.EQNXTDZ($A$1,$B78,W$1,$B$1)</f>
        <v>247</v>
      </c>
      <c r="X78" s="55">
        <f>_xll.EQNXTDZ($A$1,$B78,X$1,$B$1)</f>
        <v>160</v>
      </c>
      <c r="Y78" s="55">
        <f>_xll.EQNXTDZ($A$1,$B78,Y$1,$B$1)</f>
        <v>285</v>
      </c>
      <c r="Z78" s="55">
        <f>_xll.EQNXTDZ($A$1,$B78,Z$1,$B$1)</f>
        <v>582</v>
      </c>
      <c r="AA78" s="55">
        <f>_xll.EQNXTDZ($A$1,$B78,AA$1,$B$1)</f>
        <v>158</v>
      </c>
      <c r="AB78" s="55">
        <f>_xll.EQNXTDZ($A$1,$B78,AB$1,$B$1)</f>
        <v>224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593</v>
      </c>
      <c r="T79" s="55">
        <f>_xll.EQNXTDZ($A$1,$B79,T$1,$B$1)</f>
        <v>795</v>
      </c>
      <c r="U79" s="55">
        <f>_xll.EQNXTDZ($A$1,$B79,U$1,$B$1)</f>
        <v>723</v>
      </c>
      <c r="V79" s="55">
        <f>_xll.EQNXTDZ($A$1,$B79,V$1,$B$1)</f>
        <v>954</v>
      </c>
      <c r="W79" s="55">
        <f>_xll.EQNXTDZ($A$1,$B79,W$1,$B$1)</f>
        <v>835</v>
      </c>
      <c r="X79" s="55">
        <f>_xll.EQNXTDZ($A$1,$B79,X$1,$B$1)</f>
        <v>786</v>
      </c>
      <c r="Y79" s="55">
        <f>_xll.EQNXTDZ($A$1,$B79,Y$1,$B$1)</f>
        <v>892</v>
      </c>
      <c r="Z79" s="55">
        <f>_xll.EQNXTDZ($A$1,$B79,Z$1,$B$1)</f>
        <v>910</v>
      </c>
      <c r="AA79" s="55">
        <f>_xll.EQNXTDZ($A$1,$B79,AA$1,$B$1)</f>
        <v>1085</v>
      </c>
      <c r="AB79" s="55">
        <f>_xll.EQNXTDZ($A$1,$B79,AB$1,$B$1)</f>
        <v>1019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185</v>
      </c>
      <c r="T80" s="55">
        <f>_xll.EQNXTDZ($A$1,$B80,T$1,$B$1)</f>
        <v>290</v>
      </c>
      <c r="U80" s="55">
        <f>_xll.EQNXTDZ($A$1,$B80,U$1,$B$1)</f>
        <v>314</v>
      </c>
      <c r="V80" s="55">
        <f>_xll.EQNXTDZ($A$1,$B80,V$1,$B$1)</f>
        <v>241</v>
      </c>
      <c r="W80" s="55">
        <f>_xll.EQNXTDZ($A$1,$B80,W$1,$B$1)</f>
        <v>266</v>
      </c>
      <c r="X80" s="55">
        <f>_xll.EQNXTDZ($A$1,$B80,X$1,$B$1)</f>
        <v>394</v>
      </c>
      <c r="Y80" s="55">
        <f>_xll.EQNXTDZ($A$1,$B80,Y$1,$B$1)</f>
        <v>332</v>
      </c>
      <c r="Z80" s="55">
        <f>_xll.EQNXTDZ($A$1,$B80,Z$1,$B$1)</f>
        <v>412</v>
      </c>
      <c r="AA80" s="55">
        <f>_xll.EQNXTDZ($A$1,$B80,AA$1,$B$1)</f>
        <v>352</v>
      </c>
      <c r="AB80" s="55">
        <f>_xll.EQNXTDZ($A$1,$B80,AB$1,$B$1)</f>
        <v>359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2</v>
      </c>
      <c r="V81" s="55">
        <f>_xll.EQNXTDZ($A$1,$B81,V$1,$B$1)</f>
        <v>2</v>
      </c>
      <c r="W81" s="55">
        <f>_xll.EQNXTDZ($A$1,$B81,W$1,$B$1)</f>
        <v>148</v>
      </c>
      <c r="X81" s="55">
        <f>_xll.EQNXTDZ($A$1,$B81,X$1,$B$1)</f>
        <v>155</v>
      </c>
      <c r="Y81" s="55">
        <f>_xll.EQNXTDZ($A$1,$B81,Y$1,$B$1)</f>
        <v>890</v>
      </c>
      <c r="Z81" s="55">
        <f>_xll.EQNXTDZ($A$1,$B81,Z$1,$B$1)</f>
        <v>26</v>
      </c>
      <c r="AA81" s="55">
        <f>_xll.EQNXTDZ($A$1,$B81,AA$1,$B$1)</f>
        <v>15</v>
      </c>
      <c r="AB81" s="55">
        <f>_xll.EQNXTDZ($A$1,$B81,AB$1,$B$1)</f>
        <v>14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4776</v>
      </c>
      <c r="T82" s="55">
        <f>_xll.EQNXTDZ($A$1,$B82,T$1,$B$1)</f>
        <v>6190</v>
      </c>
      <c r="U82" s="55">
        <f>_xll.EQNXTDZ($A$1,$B82,U$1,$B$1)</f>
        <v>5402</v>
      </c>
      <c r="V82" s="55">
        <f>_xll.EQNXTDZ($A$1,$B82,V$1,$B$1)</f>
        <v>5934</v>
      </c>
      <c r="W82" s="55">
        <f>_xll.EQNXTDZ($A$1,$B82,W$1,$B$1)</f>
        <v>5912</v>
      </c>
      <c r="X82" s="55">
        <f>_xll.EQNXTDZ($A$1,$B82,X$1,$B$1)</f>
        <v>7357</v>
      </c>
      <c r="Y82" s="55">
        <f>_xll.EQNXTDZ($A$1,$B82,Y$1,$B$1)</f>
        <v>6460</v>
      </c>
      <c r="Z82" s="55">
        <f>_xll.EQNXTDZ($A$1,$B82,Z$1,$B$1)</f>
        <v>7830</v>
      </c>
      <c r="AA82" s="55">
        <f>_xll.EQNXTDZ($A$1,$B82,AA$1,$B$1)</f>
        <v>8314</v>
      </c>
      <c r="AB82" s="55">
        <f>_xll.EQNXTDZ($A$1,$B82,AB$1,$B$1)</f>
        <v>8763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21262</v>
      </c>
      <c r="T84" s="55">
        <f>_xll.EQNXTDZ($A$1,$B84,T$1,$B$1)</f>
        <v>21334</v>
      </c>
      <c r="U84" s="55">
        <f>_xll.EQNXTDZ($A$1,$B84,U$1,$B$1)</f>
        <v>20538</v>
      </c>
      <c r="V84" s="55">
        <f>_xll.EQNXTDZ($A$1,$B84,V$1,$B$1)</f>
        <v>20878</v>
      </c>
      <c r="W84" s="55">
        <f>_xll.EQNXTDZ($A$1,$B84,W$1,$B$1)</f>
        <v>21886</v>
      </c>
      <c r="X84" s="55">
        <f>_xll.EQNXTDZ($A$1,$B84,X$1,$B$1)</f>
        <v>24668</v>
      </c>
      <c r="Y84" s="55">
        <f>_xll.EQNXTDZ($A$1,$B84,Y$1,$B$1)</f>
        <v>25519</v>
      </c>
      <c r="Z84" s="55">
        <f>_xll.EQNXTDZ($A$1,$B84,Z$1,$B$1)</f>
        <v>27712</v>
      </c>
      <c r="AA84" s="55">
        <f>_xll.EQNXTDZ($A$1,$B84,AA$1,$B$1)</f>
        <v>30171</v>
      </c>
      <c r="AB84" s="55">
        <f>_xll.EQNXTDZ($A$1,$B84,AB$1,$B$1)</f>
        <v>33259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476</v>
      </c>
      <c r="T85" s="55">
        <f>_xll.EQNXTDZ($A$1,$B85,T$1,$B$1)</f>
        <v>481</v>
      </c>
      <c r="U85" s="55">
        <f>_xll.EQNXTDZ($A$1,$B85,U$1,$B$1)</f>
        <v>552</v>
      </c>
      <c r="V85" s="55">
        <f>_xll.EQNXTDZ($A$1,$B85,V$1,$B$1)</f>
        <v>552</v>
      </c>
      <c r="W85" s="55">
        <f>_xll.EQNXTDZ($A$1,$B85,W$1,$B$1)</f>
        <v>510</v>
      </c>
      <c r="X85" s="55">
        <f>_xll.EQNXTDZ($A$1,$B85,X$1,$B$1)</f>
        <v>661</v>
      </c>
      <c r="Y85" s="55">
        <f>_xll.EQNXTDZ($A$1,$B85,Y$1,$B$1)</f>
        <v>680</v>
      </c>
      <c r="Z85" s="55">
        <f>_xll.EQNXTDZ($A$1,$B85,Z$1,$B$1)</f>
        <v>991</v>
      </c>
      <c r="AA85" s="55">
        <f>_xll.EQNXTDZ($A$1,$B85,AA$1,$B$1)</f>
        <v>1173</v>
      </c>
      <c r="AB85" s="55">
        <f>_xll.EQNXTDZ($A$1,$B85,AB$1,$B$1)</f>
        <v>1110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2906</v>
      </c>
      <c r="T86" s="55">
        <f>_xll.EQNXTDZ($A$1,$B86,T$1,$B$1)</f>
        <v>1901</v>
      </c>
      <c r="U86" s="55">
        <f>_xll.EQNXTDZ($A$1,$B86,U$1,$B$1)</f>
        <v>1620</v>
      </c>
      <c r="V86" s="55">
        <f>_xll.EQNXTDZ($A$1,$B86,V$1,$B$1)</f>
        <v>1218</v>
      </c>
      <c r="W86" s="55">
        <f>_xll.EQNXTDZ($A$1,$B86,W$1,$B$1)</f>
        <v>1011</v>
      </c>
      <c r="X86" s="55">
        <f>_xll.EQNXTDZ($A$1,$B86,X$1,$B$1)</f>
        <v>933</v>
      </c>
      <c r="Y86" s="55">
        <f>_xll.EQNXTDZ($A$1,$B86,Y$1,$B$1)</f>
        <v>730</v>
      </c>
      <c r="Z86" s="55">
        <f>_xll.EQNXTDZ($A$1,$B86,Z$1,$B$1)</f>
        <v>528</v>
      </c>
      <c r="AA86" s="55">
        <f>_xll.EQNXTDZ($A$1,$B86,AA$1,$B$1)</f>
        <v>375</v>
      </c>
      <c r="AB86" s="55">
        <f>_xll.EQNXTDZ($A$1,$B86,AB$1,$B$1)</f>
        <v>375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232</v>
      </c>
      <c r="T87" s="55">
        <f>_xll.EQNXTDZ($A$1,$B87,T$1,$B$1)</f>
        <v>311</v>
      </c>
      <c r="U87" s="55">
        <f>_xll.EQNXTDZ($A$1,$B87,U$1,$B$1)</f>
        <v>540</v>
      </c>
      <c r="V87" s="55">
        <f>_xll.EQNXTDZ($A$1,$B87,V$1,$B$1)</f>
        <v>474</v>
      </c>
      <c r="W87" s="55">
        <f>_xll.EQNXTDZ($A$1,$B87,W$1,$B$1)</f>
        <v>228</v>
      </c>
      <c r="X87" s="55">
        <f>_xll.EQNXTDZ($A$1,$B87,X$1,$B$1)</f>
        <v>8</v>
      </c>
      <c r="Y87" s="55">
        <f>_xll.EQNXTDZ($A$1,$B87,Y$1,$B$1)</f>
        <v>8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320</v>
      </c>
      <c r="T88" s="55">
        <f>_xll.EQNXTDZ($A$1,$B88,T$1,$B$1)</f>
        <v>247</v>
      </c>
      <c r="U88" s="55">
        <f>_xll.EQNXTDZ($A$1,$B88,U$1,$B$1)</f>
        <v>138</v>
      </c>
      <c r="V88" s="55">
        <f>_xll.EQNXTDZ($A$1,$B88,V$1,$B$1)</f>
        <v>725</v>
      </c>
      <c r="W88" s="55">
        <f>_xll.EQNXTDZ($A$1,$B88,W$1,$B$1)</f>
        <v>325</v>
      </c>
      <c r="X88" s="55">
        <f>_xll.EQNXTDZ($A$1,$B88,X$1,$B$1)</f>
        <v>981</v>
      </c>
      <c r="Y88" s="55">
        <f>_xll.EQNXTDZ($A$1,$B88,Y$1,$B$1)</f>
        <v>159</v>
      </c>
      <c r="Z88" s="55">
        <f>_xll.EQNXTDZ($A$1,$B88,Z$1,$B$1)</f>
        <v>185</v>
      </c>
      <c r="AA88" s="55">
        <f>_xll.EQNXTDZ($A$1,$B88,AA$1,$B$1)</f>
        <v>199</v>
      </c>
      <c r="AB88" s="55">
        <f>_xll.EQNXTDZ($A$1,$B88,AB$1,$B$1)</f>
        <v>245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386</v>
      </c>
      <c r="U89" s="55">
        <f>_xll.EQNXTDZ($A$1,$B89,U$1,$B$1)</f>
        <v>277</v>
      </c>
      <c r="V89" s="55">
        <f>_xll.EQNXTDZ($A$1,$B89,V$1,$B$1)</f>
        <v>0</v>
      </c>
      <c r="W89" s="55">
        <f>_xll.EQNXTDZ($A$1,$B89,W$1,$B$1)</f>
        <v>241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3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3767</v>
      </c>
      <c r="T91" s="55">
        <f>_xll.EQNXTDZ($A$1,$B91,T$1,$B$1)</f>
        <v>3179</v>
      </c>
      <c r="U91" s="55">
        <f>_xll.EQNXTDZ($A$1,$B91,U$1,$B$1)</f>
        <v>3318</v>
      </c>
      <c r="V91" s="55">
        <f>_xll.EQNXTDZ($A$1,$B91,V$1,$B$1)</f>
        <v>3318</v>
      </c>
      <c r="W91" s="55">
        <f>_xll.EQNXTDZ($A$1,$B91,W$1,$B$1)</f>
        <v>3318</v>
      </c>
      <c r="X91" s="55">
        <f>_xll.EQNXTDZ($A$1,$B91,X$1,$B$1)</f>
        <v>3444</v>
      </c>
      <c r="Y91" s="55">
        <f>_xll.EQNXTDZ($A$1,$B91,Y$1,$B$1)</f>
        <v>3444</v>
      </c>
      <c r="Z91" s="55">
        <f>_xll.EQNXTDZ($A$1,$B91,Z$1,$B$1)</f>
        <v>3444</v>
      </c>
      <c r="AA91" s="55">
        <f>_xll.EQNXTDZ($A$1,$B91,AA$1,$B$1)</f>
        <v>3444</v>
      </c>
      <c r="AB91" s="55">
        <f>_xll.EQNXTDZ($A$1,$B91,AB$1,$B$1)</f>
        <v>3444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861</v>
      </c>
      <c r="T92" s="55">
        <f>_xll.EQNXTDZ($A$1,$B92,T$1,$B$1)</f>
        <v>1278</v>
      </c>
      <c r="U92" s="55">
        <f>_xll.EQNXTDZ($A$1,$B92,U$1,$B$1)</f>
        <v>1698</v>
      </c>
      <c r="V92" s="55">
        <f>_xll.EQNXTDZ($A$1,$B92,V$1,$B$1)</f>
        <v>2100</v>
      </c>
      <c r="W92" s="55">
        <f>_xll.EQNXTDZ($A$1,$B92,W$1,$B$1)</f>
        <v>2307</v>
      </c>
      <c r="X92" s="55">
        <f>_xll.EQNXTDZ($A$1,$B92,X$1,$B$1)</f>
        <v>2510</v>
      </c>
      <c r="Y92" s="55">
        <f>_xll.EQNXTDZ($A$1,$B92,Y$1,$B$1)</f>
        <v>2713</v>
      </c>
      <c r="Z92" s="55">
        <f>_xll.EQNXTDZ($A$1,$B92,Z$1,$B$1)</f>
        <v>2916</v>
      </c>
      <c r="AA92" s="55">
        <f>_xll.EQNXTDZ($A$1,$B92,AA$1,$B$1)</f>
        <v>3069</v>
      </c>
      <c r="AB92" s="55">
        <f>_xll.EQNXTDZ($A$1,$B92,AB$1,$B$1)</f>
        <v>3069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474</v>
      </c>
      <c r="T93" s="55">
        <f>_xll.EQNXTDZ($A$1,$B93,T$1,$B$1)</f>
        <v>481</v>
      </c>
      <c r="U93" s="55">
        <f>_xll.EQNXTDZ($A$1,$B93,U$1,$B$1)</f>
        <v>552</v>
      </c>
      <c r="V93" s="55">
        <f>_xll.EQNXTDZ($A$1,$B93,V$1,$B$1)</f>
        <v>531</v>
      </c>
      <c r="W93" s="55">
        <f>_xll.EQNXTDZ($A$1,$B93,W$1,$B$1)</f>
        <v>492</v>
      </c>
      <c r="X93" s="55">
        <f>_xll.EQNXTDZ($A$1,$B93,X$1,$B$1)</f>
        <v>642</v>
      </c>
      <c r="Y93" s="55">
        <f>_xll.EQNXTDZ($A$1,$B93,Y$1,$B$1)</f>
        <v>663</v>
      </c>
      <c r="Z93" s="55">
        <f>_xll.EQNXTDZ($A$1,$B93,Z$1,$B$1)</f>
        <v>976</v>
      </c>
      <c r="AA93" s="55">
        <f>_xll.EQNXTDZ($A$1,$B93,AA$1,$B$1)</f>
        <v>1160</v>
      </c>
      <c r="AB93" s="55">
        <f>_xll.EQNXTDZ($A$1,$B93,AB$1,$B$1)</f>
        <v>1098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21</v>
      </c>
      <c r="W95" s="55">
        <f>_xll.EQNXTDZ($A$1,$B95,W$1,$B$1)</f>
        <v>18</v>
      </c>
      <c r="X95" s="55">
        <f>_xll.EQNXTDZ($A$1,$B95,X$1,$B$1)</f>
        <v>19</v>
      </c>
      <c r="Y95" s="55">
        <f>_xll.EQNXTDZ($A$1,$B95,Y$1,$B$1)</f>
        <v>17</v>
      </c>
      <c r="Z95" s="55">
        <f>_xll.EQNXTDZ($A$1,$B95,Z$1,$B$1)</f>
        <v>15</v>
      </c>
      <c r="AA95" s="55">
        <f>_xll.EQNXTDZ($A$1,$B95,AA$1,$B$1)</f>
        <v>13</v>
      </c>
      <c r="AB95" s="55">
        <f>_xll.EQNXTDZ($A$1,$B95,AB$1,$B$1)</f>
        <v>12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2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39</v>
      </c>
      <c r="V104" s="55">
        <f>_xll.EQNXTDZ($A$1,$B104,V$1,$B$1)</f>
        <v>39</v>
      </c>
      <c r="W104" s="55">
        <f>_xll.EQNXTDZ($A$1,$B104,W$1,$B$1)</f>
        <v>37</v>
      </c>
      <c r="X104" s="55">
        <f>_xll.EQNXTDZ($A$1,$B104,X$1,$B$1)</f>
        <v>37</v>
      </c>
      <c r="Y104" s="55">
        <f>_xll.EQNXTDZ($A$1,$B104,Y$1,$B$1)</f>
        <v>37</v>
      </c>
      <c r="Z104" s="55">
        <f>_xll.EQNXTDZ($A$1,$B104,Z$1,$B$1)</f>
        <v>38</v>
      </c>
      <c r="AA104" s="55">
        <f>_xll.EQNXTDZ($A$1,$B104,AA$1,$B$1)</f>
        <v>38</v>
      </c>
      <c r="AB104" s="55">
        <f>_xll.EQNXTDZ($A$1,$B104,AB$1,$B$1)</f>
        <v>38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989.85</v>
      </c>
      <c r="V106" s="55">
        <f>_xll.EQNXTDZ($A$1,$B106,V$1,$B$1)</f>
        <v>489</v>
      </c>
      <c r="W106" s="55">
        <f>_xll.EQNXTDZ($A$1,$B106,W$1,$B$1)</f>
        <v>1587.05</v>
      </c>
      <c r="X106" s="55">
        <f>_xll.EQNXTDZ($A$1,$B106,X$1,$B$1)</f>
        <v>1494.7</v>
      </c>
      <c r="Y106" s="55">
        <f>_xll.EQNXTDZ($A$1,$B106,Y$1,$B$1)</f>
        <v>1963.85</v>
      </c>
      <c r="Z106" s="55">
        <f>_xll.EQNXTDZ($A$1,$B106,Z$1,$B$1)</f>
        <v>1942.2</v>
      </c>
      <c r="AA106" s="55">
        <f>_xll.EQNXTDZ($A$1,$B106,AA$1,$B$1)</f>
        <v>1819.45</v>
      </c>
      <c r="AB106" s="55">
        <f>_xll.EQNXTDZ($A$1,$B106,AB$1,$B$1)</f>
        <v>1775.95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1218</v>
      </c>
      <c r="V107" s="55">
        <f>_xll.EQNXTDZ($A$1,$B107,V$1,$B$1)</f>
        <v>1220</v>
      </c>
      <c r="W107" s="55">
        <f>_xll.EQNXTDZ($A$1,$B107,W$1,$B$1)</f>
        <v>1690.6</v>
      </c>
      <c r="X107" s="55">
        <f>_xll.EQNXTDZ($A$1,$B107,X$1,$B$1)</f>
        <v>2547.1999999999998</v>
      </c>
      <c r="Y107" s="55">
        <f>_xll.EQNXTDZ($A$1,$B107,Y$1,$B$1)</f>
        <v>1989</v>
      </c>
      <c r="Z107" s="55">
        <f>_xll.EQNXTDZ($A$1,$B107,Z$1,$B$1)</f>
        <v>2428.85</v>
      </c>
      <c r="AA107" s="55">
        <f>_xll.EQNXTDZ($A$1,$B107,AA$1,$B$1)</f>
        <v>2064.4499999999998</v>
      </c>
      <c r="AB107" s="55">
        <f>_xll.EQNXTDZ($A$1,$B107,AB$1,$B$1)</f>
        <v>2495.9499999999998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903</v>
      </c>
      <c r="V108" s="55">
        <f>_xll.EQNXTDZ($A$1,$B108,V$1,$B$1)</f>
        <v>406</v>
      </c>
      <c r="W108" s="55">
        <f>_xll.EQNXTDZ($A$1,$B108,W$1,$B$1)</f>
        <v>417</v>
      </c>
      <c r="X108" s="55">
        <f>_xll.EQNXTDZ($A$1,$B108,X$1,$B$1)</f>
        <v>1279.45</v>
      </c>
      <c r="Y108" s="55">
        <f>_xll.EQNXTDZ($A$1,$B108,Y$1,$B$1)</f>
        <v>1212.5999999999999</v>
      </c>
      <c r="Z108" s="55">
        <f>_xll.EQNXTDZ($A$1,$B108,Z$1,$B$1)</f>
        <v>1805</v>
      </c>
      <c r="AA108" s="55">
        <f>_xll.EQNXTDZ($A$1,$B108,AA$1,$B$1)</f>
        <v>1602</v>
      </c>
      <c r="AB108" s="55">
        <f>_xll.EQNXTDZ($A$1,$B108,AB$1,$B$1)</f>
        <v>1714.05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19302.075000000001</v>
      </c>
      <c r="V109" s="55">
        <f>_xll.EQNXTDZ($A$1,$B109,V$1,$B$1)</f>
        <v>9535.5</v>
      </c>
      <c r="W109" s="55">
        <f>_xll.EQNXTDZ($A$1,$B109,W$1,$B$1)</f>
        <v>29360.424999999999</v>
      </c>
      <c r="X109" s="55">
        <f>_xll.EQNXTDZ($A$1,$B109,X$1,$B$1)</f>
        <v>27651.95</v>
      </c>
      <c r="Y109" s="55">
        <f>_xll.EQNXTDZ($A$1,$B109,Y$1,$B$1)</f>
        <v>36331.224999999999</v>
      </c>
      <c r="Z109" s="55">
        <f>_xll.EQNXTDZ($A$1,$B109,Z$1,$B$1)</f>
        <v>36901.800000000003</v>
      </c>
      <c r="AA109" s="55">
        <f>_xll.EQNXTDZ($A$1,$B109,AA$1,$B$1)</f>
        <v>34569.550000000003</v>
      </c>
      <c r="AB109" s="55">
        <f>_xll.EQNXTDZ($A$1,$B109,AB$1,$B$1)</f>
        <v>33743.050000000003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1.7</v>
      </c>
      <c r="U110" s="55">
        <f>_xll.EQNXTDZ($A$1,$B110,U$1,$B$1)</f>
        <v>2</v>
      </c>
      <c r="V110" s="55">
        <f>_xll.EQNXTDZ($A$1,$B110,V$1,$B$1)</f>
        <v>2</v>
      </c>
      <c r="W110" s="55">
        <f>_xll.EQNXTDZ($A$1,$B110,W$1,$B$1)</f>
        <v>1.33</v>
      </c>
      <c r="X110" s="55">
        <f>_xll.EQNXTDZ($A$1,$B110,X$1,$B$1)</f>
        <v>9</v>
      </c>
      <c r="Y110" s="55">
        <f>_xll.EQNXTDZ($A$1,$B110,Y$1,$B$1)</f>
        <v>9</v>
      </c>
      <c r="Z110" s="55">
        <f>_xll.EQNXTDZ($A$1,$B110,Z$1,$B$1)</f>
        <v>9</v>
      </c>
      <c r="AA110" s="55">
        <f>_xll.EQNXTDZ($A$1,$B110,AA$1,$B$1)</f>
        <v>9</v>
      </c>
      <c r="AB110" s="55">
        <f>_xll.EQNXTDZ($A$1,$B110,AB$1,$B$1)</f>
        <v>9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54.26</v>
      </c>
      <c r="V112" s="56">
        <f>_xll.EQNXTDZ($A$1,$B112,V$5)</f>
        <v>54.28</v>
      </c>
      <c r="W112" s="56">
        <f>_xll.EQNXTDZ($A$1,$B112,W$5)</f>
        <v>55.97</v>
      </c>
      <c r="X112" s="56">
        <f>_xll.EQNXTDZ($A$1,$B112,X$5)</f>
        <v>55.9</v>
      </c>
      <c r="Y112" s="56">
        <f>_xll.EQNXTDZ($A$1,$B112,Y$5)</f>
        <v>55.86</v>
      </c>
      <c r="Z112" s="56">
        <f>_xll.EQNXTDZ($A$1,$B112,Z$5)</f>
        <v>55.84</v>
      </c>
      <c r="AA112" s="56">
        <f>_xll.EQNXTDZ($A$1,$B112,AA$5)</f>
        <v>55.84</v>
      </c>
      <c r="AB112" s="56">
        <f>_xll.EQNXTDZ($A$1,$B112,AB$5)</f>
        <v>55.84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293380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1132.25</v>
      </c>
      <c r="CD6" cm="1">
        <f t="array" ref="CD6">_xll.EQNXTDZ($A$1,$B6,CD$1)</f>
        <v>1100</v>
      </c>
      <c r="CE6" cm="1">
        <f t="array" ref="CE6">_xll.EQNXTDZ($A$1,$B6,CE$1)</f>
        <v>1030</v>
      </c>
      <c r="CF6" cm="1">
        <f t="array" ref="CF6">_xll.EQNXTDZ($A$1,$B6,CF$1)</f>
        <v>1150</v>
      </c>
      <c r="CG6" cm="1">
        <f t="array" ref="CG6">_xll.EQNXTDZ($A$1,$B6,CG$1)</f>
        <v>999.95</v>
      </c>
      <c r="CH6" cm="1">
        <f t="array" ref="CH6">_xll.EQNXTDZ($A$1,$B6,CH$1)</f>
        <v>1114.8</v>
      </c>
      <c r="CI6" cm="1">
        <f t="array" ref="CI6">_xll.EQNXTDZ($A$1,$B6,CI$1)</f>
        <v>1182</v>
      </c>
      <c r="CJ6" cm="1">
        <f t="array" ref="CJ6">_xll.EQNXTDZ($A$1,$B6,CJ$1)</f>
        <v>1045</v>
      </c>
      <c r="CK6" cm="1">
        <f t="array" ref="CK6">_xll.EQNXTDZ($A$1,$B6,CK$1)</f>
        <v>921</v>
      </c>
      <c r="CL6" cm="1">
        <f t="array" ref="CL6">_xll.EQNXTDZ($A$1,$B6,CL$1)</f>
        <v>905.45</v>
      </c>
      <c r="CM6" cm="1">
        <f t="array" ref="CM6">_xll.EQNXTDZ($A$1,$B6,CM$1)</f>
        <v>820.3</v>
      </c>
      <c r="CN6" cm="1">
        <f t="array" ref="CN6">_xll.EQNXTDZ($A$1,$B6,CN$1)</f>
        <v>810.15</v>
      </c>
      <c r="CO6" cm="1">
        <f t="array" ref="CO6">_xll.EQNXTDZ($A$1,$B6,CO$1)</f>
        <v>885.9</v>
      </c>
      <c r="CP6" cm="1">
        <f t="array" ref="CP6">_xll.EQNXTDZ($A$1,$B6,CP$1)</f>
        <v>810</v>
      </c>
      <c r="CQ6" cm="1">
        <f t="array" ref="CQ6">_xll.EQNXTDZ($A$1,$B6,CQ$1)</f>
        <v>872</v>
      </c>
      <c r="CR6" cm="1">
        <f t="array" ref="CR6">_xll.EQNXTDZ($A$1,$B6,CR$1)</f>
        <v>799</v>
      </c>
      <c r="CS6" cm="1">
        <f t="array" ref="CS6">_xll.EQNXTDZ($A$1,$B6,CS$1)</f>
        <v>490</v>
      </c>
      <c r="CT6" cm="1">
        <f t="array" ref="CT6">_xll.EQNXTDZ($A$1,$B6,CT$1)</f>
        <v>506</v>
      </c>
      <c r="CU6" cm="1">
        <f t="array" ref="CU6">_xll.EQNXTDZ($A$1,$B6,CU$1)</f>
        <v>565</v>
      </c>
      <c r="CV6" cm="1">
        <f t="array" ref="CV6">_xll.EQNXTDZ($A$1,$B6,CV$1)</f>
        <v>677.85</v>
      </c>
      <c r="CW6" cm="1">
        <f t="array" ref="CW6">_xll.EQNXTDZ($A$1,$B6,CW$1)</f>
        <v>767.9</v>
      </c>
      <c r="CX6" cm="1">
        <f t="array" ref="CX6">_xll.EQNXTDZ($A$1,$B6,CX$1)</f>
        <v>753.5</v>
      </c>
      <c r="CY6" cm="1">
        <f t="array" ref="CY6">_xll.EQNXTDZ($A$1,$B6,CY$1)</f>
        <v>781.45</v>
      </c>
      <c r="CZ6" cm="1">
        <f t="array" ref="CZ6">_xll.EQNXTDZ($A$1,$B6,CZ$1)</f>
        <v>845</v>
      </c>
      <c r="DA6" cm="1">
        <f t="array" ref="DA6">_xll.EQNXTDZ($A$1,$B6,DA$1)</f>
        <v>1105.7</v>
      </c>
      <c r="DB6" cm="1">
        <f t="array" ref="DB6">_xll.EQNXTDZ($A$1,$B6,DB$1)</f>
        <v>1083.9000000000001</v>
      </c>
      <c r="DC6" cm="1">
        <f t="array" ref="DC6">_xll.EQNXTDZ($A$1,$B6,DC$1)</f>
        <v>1160.75</v>
      </c>
      <c r="DD6" cm="1">
        <f t="array" ref="DD6">_xll.EQNXTDZ($A$1,$B6,DD$1)</f>
        <v>1438</v>
      </c>
      <c r="DE6" cm="1">
        <f t="array" ref="DE6">_xll.EQNXTDZ($A$1,$B6,DE$1)</f>
        <v>1598</v>
      </c>
      <c r="DF6" cm="1">
        <f t="array" ref="DF6">_xll.EQNXTDZ($A$1,$B6,DF$1)</f>
        <v>1534</v>
      </c>
      <c r="DG6" cm="1">
        <f t="array" ref="DG6">_xll.EQNXTDZ($A$1,$B6,DG$1)</f>
        <v>1778.4</v>
      </c>
      <c r="DH6" cm="1">
        <f t="array" ref="DH6">_xll.EQNXTDZ($A$1,$B6,DH$1)</f>
        <v>1893</v>
      </c>
      <c r="DI6" cm="1">
        <f t="array" ref="DI6">_xll.EQNXTDZ($A$1,$B6,DI$1)</f>
        <v>2156.6</v>
      </c>
      <c r="DJ6" cm="1">
        <f t="array" ref="DJ6">_xll.EQNXTDZ($A$1,$B6,DJ$1)</f>
        <v>2235</v>
      </c>
      <c r="DK6" cm="1">
        <f t="array" ref="DK6">_xll.EQNXTDZ($A$1,$B6,DK$1)</f>
        <v>2099</v>
      </c>
      <c r="DL6" cm="1">
        <f t="array" ref="DL6">_xll.EQNXTDZ($A$1,$B6,DL$1)</f>
        <v>2010.8</v>
      </c>
      <c r="DM6" cm="1">
        <f t="array" ref="DM6">_xll.EQNXTDZ($A$1,$B6,DM$1)</f>
        <v>1874.85</v>
      </c>
      <c r="DN6" cm="1">
        <f t="array" ref="DN6">_xll.EQNXTDZ($A$1,$B6,DN$1)</f>
        <v>1849.55</v>
      </c>
      <c r="DO6" cm="1">
        <f t="array" ref="DO6">_xll.EQNXTDZ($A$1,$B6,DO$1)</f>
        <v>1795</v>
      </c>
      <c r="DP6" cm="1">
        <f t="array" ref="DP6">_xll.EQNXTDZ($A$1,$B6,DP$1)</f>
        <v>1560</v>
      </c>
      <c r="DQ6" cm="1">
        <f t="array" ref="DQ6">_xll.EQNXTDZ($A$1,$B6,DQ$1)</f>
        <v>1502</v>
      </c>
      <c r="DR6" cm="1">
        <f t="array" ref="DR6">_xll.EQNXTDZ($A$1,$B6,DR$1)</f>
        <v>1519.15</v>
      </c>
      <c r="DS6" cm="1">
        <f t="array" ref="DS6">_xll.EQNXTDZ($A$1,$B6,DS$1)</f>
        <v>1372.9</v>
      </c>
      <c r="DT6" cm="1">
        <f t="array" ref="DT6">_xll.EQNXTDZ($A$1,$B6,DT$1)</f>
        <v>1280</v>
      </c>
      <c r="DU6" cm="1">
        <f t="array" ref="DU6">_xll.EQNXTDZ($A$1,$B6,DU$1)</f>
        <v>1590.1</v>
      </c>
      <c r="DV6" cm="1">
        <f t="array" ref="DV6">_xll.EQNXTDZ($A$1,$B6,DV$1)</f>
        <v>1536</v>
      </c>
      <c r="DW6" cm="1">
        <f t="array" ref="DW6">_xll.EQNXTDZ($A$1,$B6,DW$1)</f>
        <v>1595</v>
      </c>
      <c r="DX6" cm="1">
        <f t="array" ref="DX6">_xll.EQNXTDZ($A$1,$B6,DX$1)</f>
        <v>1615</v>
      </c>
      <c r="DY6" cm="1">
        <f t="array" ref="DY6">_xll.EQNXTDZ($A$1,$B6,DY$1)</f>
        <v>1828</v>
      </c>
      <c r="DZ6" cm="1">
        <f t="array" ref="DZ6">_xll.EQNXTDZ($A$1,$B6,DZ$1)</f>
        <v>1862.8</v>
      </c>
      <c r="EA6" cm="1">
        <f t="array" ref="EA6">_xll.EQNXTDZ($A$1,$B6,EA$1)</f>
        <v>1771.05</v>
      </c>
      <c r="EB6" cm="1">
        <f t="array" ref="EB6">_xll.EQNXTDZ($A$1,$B6,EB$1)</f>
        <v>1843.1</v>
      </c>
      <c r="EC6" cm="1">
        <f t="array" ref="EC6">_xll.EQNXTDZ($A$1,$B6,EC$1)</f>
        <v>1987.3</v>
      </c>
      <c r="ED6" cm="1">
        <f t="array" ref="ED6">_xll.EQNXTDZ($A$1,$B6,ED$1)</f>
        <v>1999</v>
      </c>
      <c r="EE6" cm="1">
        <f t="array" ref="EE6">_xll.EQNXTDZ($A$1,$B6,EE$1)</f>
        <v>2130</v>
      </c>
      <c r="EF6" cm="1">
        <f t="array" ref="EF6">_xll.EQNXTDZ($A$1,$B6,EF$1)</f>
        <v>2183.8000000000002</v>
      </c>
      <c r="EG6" cm="1">
        <f t="array" ref="EG6">_xll.EQNXTDZ($A$1,$B6,EG$1)</f>
        <v>1935</v>
      </c>
      <c r="EH6" cm="1">
        <f t="array" ref="EH6">_xll.EQNXTDZ($A$1,$B6,EH$1)</f>
        <v>2069.85</v>
      </c>
      <c r="EI6" cm="1">
        <f t="array" ref="EI6">_xll.EQNXTDZ($A$1,$B6,EI$1)</f>
        <v>2404.35</v>
      </c>
      <c r="EJ6" cm="1">
        <f t="array" ref="EJ6">_xll.EQNXTDZ($A$1,$B6,EJ$1)</f>
        <v>2119.4</v>
      </c>
      <c r="EK6" cm="1">
        <f t="array" ref="EK6">_xll.EQNXTDZ($A$1,$B6,EK$1)</f>
        <v>2245.35</v>
      </c>
      <c r="EL6" cm="1">
        <f t="array" ref="EL6">_xll.EQNXTDZ($A$1,$B6,EL$1)</f>
        <v>2307.5</v>
      </c>
      <c r="EM6" cm="1">
        <f t="array" ref="EM6">_xll.EQNXTDZ($A$1,$B6,EM$1)</f>
        <v>2300</v>
      </c>
      <c r="EN6" cm="1">
        <f t="array" ref="EN6">_xll.EQNXTDZ($A$1,$B6,EN$1)</f>
        <v>2025</v>
      </c>
      <c r="EO6" cm="1">
        <f t="array" ref="EO6">_xll.EQNXTDZ($A$1,$B6,EO$1)</f>
        <v>1942.05</v>
      </c>
      <c r="EP6" cm="1">
        <f t="array" ref="EP6">_xll.EQNXTDZ($A$1,$B6,EP$1)</f>
        <v>1841.15</v>
      </c>
      <c r="EQ6" cm="1">
        <f t="array" ref="EQ6">_xll.EQNXTDZ($A$1,$B6,EQ$1)</f>
        <v>1824.95</v>
      </c>
      <c r="ER6" cm="1">
        <f t="array" ref="ER6">_xll.EQNXTDZ($A$1,$B6,ER$1)</f>
        <v>1820</v>
      </c>
      <c r="ES6" cm="1">
        <f t="array" ref="ES6">_xll.EQNXTDZ($A$1,$B6,ES$1)</f>
        <v>1845.1</v>
      </c>
      <c r="ET6" cm="1">
        <f t="array" ref="ET6">_xll.EQNXTDZ($A$1,$B6,ET$1)</f>
        <v>1900</v>
      </c>
      <c r="EU6" cm="1">
        <f t="array" ref="EU6">_xll.EQNXTDZ($A$1,$B6,EU$1)</f>
        <v>1930</v>
      </c>
      <c r="EV6" cm="1">
        <f t="array" ref="EV6">_xll.EQNXTDZ($A$1,$B6,EV$1)</f>
        <v>1854.25</v>
      </c>
      <c r="EW6" cm="1">
        <f t="array" ref="EW6">_xll.EQNXTDZ($A$1,$B6,EW$1)</f>
        <v>1850</v>
      </c>
      <c r="EX6" cm="1">
        <f t="array" ref="EX6">_xll.EQNXTDZ($A$1,$B6,EX$1)</f>
        <v>1768.8</v>
      </c>
      <c r="EY6" cm="1">
        <f t="array" ref="EY6">_xll.EQNXTDZ($A$1,$B6,EY$1)</f>
        <v>1875</v>
      </c>
      <c r="EZ6" cm="1">
        <f t="array" ref="EZ6">_xll.EQNXTDZ($A$1,$B6,EZ$1)</f>
        <v>1708</v>
      </c>
      <c r="FA6" cm="1">
        <f t="array" ref="FA6">_xll.EQNXTDZ($A$1,$B6,FA$1)</f>
        <v>1821.95</v>
      </c>
      <c r="FB6" cm="1">
        <f t="array" ref="FB6">_xll.EQNXTDZ($A$1,$B6,FB$1)</f>
        <v>1949.9</v>
      </c>
      <c r="FC6" cm="1">
        <f t="array" ref="FC6">_xll.EQNXTDZ($A$1,$B6,FC$1)</f>
        <v>2016.4</v>
      </c>
      <c r="FD6" cm="1">
        <f t="array" ref="FD6">_xll.EQNXTDZ($A$1,$B6,FD$1)</f>
        <v>2200</v>
      </c>
      <c r="FE6" cm="1">
        <f t="array" ref="FE6">_xll.EQNXTDZ($A$1,$B6,FE$1)</f>
        <v>2239</v>
      </c>
      <c r="FF6" cm="1">
        <f t="array" ref="FF6">_xll.EQNXTDZ($A$1,$B6,FF$1)</f>
        <v>2408.9</v>
      </c>
      <c r="FG6" cm="1">
        <f t="array" ref="FG6">_xll.EQNXTDZ($A$1,$B6,FG$1)</f>
        <v>2227.1999999999998</v>
      </c>
      <c r="FH6" cm="1">
        <f t="array" ref="FH6">_xll.EQNXTDZ($A$1,$B6,FH$1)</f>
        <v>2080.8000000000002</v>
      </c>
      <c r="FI6" cm="1">
        <f t="array" ref="FI6">_xll.EQNXTDZ($A$1,$B6,FI$1)</f>
        <v>2010.7</v>
      </c>
      <c r="FJ6" cm="1">
        <f t="array" ref="FJ6">_xll.EQNXTDZ($A$1,$B6,FJ$1)</f>
        <v>2145.3000000000002</v>
      </c>
      <c r="FK6" cm="1">
        <f t="array" ref="FK6">_xll.EQNXTDZ($A$1,$B6,FK$1)</f>
        <v>2085</v>
      </c>
      <c r="FL6" cm="1">
        <f t="array" ref="FL6">_xll.EQNXTDZ($A$1,$B6,FL$1)</f>
        <v>1911.7</v>
      </c>
      <c r="FM6" cm="1">
        <f t="array" ref="FM6">_xll.EQNXTDZ($A$1,$B6,FM$1)</f>
        <v>1850</v>
      </c>
      <c r="FN6" cm="1">
        <f t="array" ref="FN6">_xll.EQNXTDZ($A$1,$B6,FN$1)</f>
        <v>1928.7</v>
      </c>
      <c r="FO6" cm="1">
        <f t="array" ref="FO6">_xll.EQNXTDZ($A$1,$B6,FO$1)</f>
        <v>1748.3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1180</v>
      </c>
      <c r="CD7" s="116" cm="1">
        <f t="array" ref="CD7">_xll.EQNXTDZ($A$1,$B7,CD$1)</f>
        <v>1119</v>
      </c>
      <c r="CE7" s="116" cm="1">
        <f t="array" ref="CE7">_xll.EQNXTDZ($A$1,$B7,CE$1)</f>
        <v>1219.7</v>
      </c>
      <c r="CF7" s="116" cm="1">
        <f t="array" ref="CF7">_xll.EQNXTDZ($A$1,$B7,CF$1)</f>
        <v>1204.8</v>
      </c>
      <c r="CG7" s="116" cm="1">
        <f t="array" ref="CG7">_xll.EQNXTDZ($A$1,$B7,CG$1)</f>
        <v>1179.1500000000001</v>
      </c>
      <c r="CH7" s="116" cm="1">
        <f t="array" ref="CH7">_xll.EQNXTDZ($A$1,$B7,CH$1)</f>
        <v>1219.9000000000001</v>
      </c>
      <c r="CI7" s="116" cm="1">
        <f t="array" ref="CI7">_xll.EQNXTDZ($A$1,$B7,CI$1)</f>
        <v>1200</v>
      </c>
      <c r="CJ7" s="116" cm="1">
        <f t="array" ref="CJ7">_xll.EQNXTDZ($A$1,$B7,CJ$1)</f>
        <v>1070</v>
      </c>
      <c r="CK7" s="116" cm="1">
        <f t="array" ref="CK7">_xll.EQNXTDZ($A$1,$B7,CK$1)</f>
        <v>1044.9000000000001</v>
      </c>
      <c r="CL7" s="116" cm="1">
        <f t="array" ref="CL7">_xll.EQNXTDZ($A$1,$B7,CL$1)</f>
        <v>927.15</v>
      </c>
      <c r="CM7" s="116" cm="1">
        <f t="array" ref="CM7">_xll.EQNXTDZ($A$1,$B7,CM$1)</f>
        <v>865.25</v>
      </c>
      <c r="CN7" s="116" cm="1">
        <f t="array" ref="CN7">_xll.EQNXTDZ($A$1,$B7,CN$1)</f>
        <v>897.7</v>
      </c>
      <c r="CO7" s="116" cm="1">
        <f t="array" ref="CO7">_xll.EQNXTDZ($A$1,$B7,CO$1)</f>
        <v>891.05</v>
      </c>
      <c r="CP7" s="116" cm="1">
        <f t="array" ref="CP7">_xll.EQNXTDZ($A$1,$B7,CP$1)</f>
        <v>919</v>
      </c>
      <c r="CQ7" s="116" cm="1">
        <f t="array" ref="CQ7">_xll.EQNXTDZ($A$1,$B7,CQ$1)</f>
        <v>916.4</v>
      </c>
      <c r="CR7" s="116" cm="1">
        <f t="array" ref="CR7">_xll.EQNXTDZ($A$1,$B7,CR$1)</f>
        <v>808.85</v>
      </c>
      <c r="CS7" s="116" cm="1">
        <f t="array" ref="CS7">_xll.EQNXTDZ($A$1,$B7,CS$1)</f>
        <v>569.9</v>
      </c>
      <c r="CT7" s="116" cm="1">
        <f t="array" ref="CT7">_xll.EQNXTDZ($A$1,$B7,CT$1)</f>
        <v>577.5</v>
      </c>
      <c r="CU7" s="116" cm="1">
        <f t="array" ref="CU7">_xll.EQNXTDZ($A$1,$B7,CU$1)</f>
        <v>720</v>
      </c>
      <c r="CV7" s="116" cm="1">
        <f t="array" ref="CV7">_xll.EQNXTDZ($A$1,$B7,CV$1)</f>
        <v>774.75</v>
      </c>
      <c r="CW7" s="116" cm="1">
        <f t="array" ref="CW7">_xll.EQNXTDZ($A$1,$B7,CW$1)</f>
        <v>825</v>
      </c>
      <c r="CX7" s="116" cm="1">
        <f t="array" ref="CX7">_xll.EQNXTDZ($A$1,$B7,CX$1)</f>
        <v>807.8</v>
      </c>
      <c r="CY7" s="116" cm="1">
        <f t="array" ref="CY7">_xll.EQNXTDZ($A$1,$B7,CY$1)</f>
        <v>874.4</v>
      </c>
      <c r="CZ7" s="116" cm="1">
        <f t="array" ref="CZ7">_xll.EQNXTDZ($A$1,$B7,CZ$1)</f>
        <v>1111</v>
      </c>
      <c r="DA7" s="116" cm="1">
        <f t="array" ref="DA7">_xll.EQNXTDZ($A$1,$B7,DA$1)</f>
        <v>1198</v>
      </c>
      <c r="DB7" s="116" cm="1">
        <f t="array" ref="DB7">_xll.EQNXTDZ($A$1,$B7,DB$1)</f>
        <v>1229.8</v>
      </c>
      <c r="DC7" s="116" cm="1">
        <f t="array" ref="DC7">_xll.EQNXTDZ($A$1,$B7,DC$1)</f>
        <v>1574</v>
      </c>
      <c r="DD7" s="116" cm="1">
        <f t="array" ref="DD7">_xll.EQNXTDZ($A$1,$B7,DD$1)</f>
        <v>1689.75</v>
      </c>
      <c r="DE7" s="116" cm="1">
        <f t="array" ref="DE7">_xll.EQNXTDZ($A$1,$B7,DE$1)</f>
        <v>1600</v>
      </c>
      <c r="DF7" s="116" cm="1">
        <f t="array" ref="DF7">_xll.EQNXTDZ($A$1,$B7,DF$1)</f>
        <v>1911</v>
      </c>
      <c r="DG7" s="116" cm="1">
        <f t="array" ref="DG7">_xll.EQNXTDZ($A$1,$B7,DG$1)</f>
        <v>1944</v>
      </c>
      <c r="DH7" s="116" cm="1">
        <f t="array" ref="DH7">_xll.EQNXTDZ($A$1,$B7,DH$1)</f>
        <v>2375</v>
      </c>
      <c r="DI7" s="116" cm="1">
        <f t="array" ref="DI7">_xll.EQNXTDZ($A$1,$B7,DI$1)</f>
        <v>2214.4</v>
      </c>
      <c r="DJ7" s="116" cm="1">
        <f t="array" ref="DJ7">_xll.EQNXTDZ($A$1,$B7,DJ$1)</f>
        <v>2548.4</v>
      </c>
      <c r="DK7" s="116" cm="1">
        <f t="array" ref="DK7">_xll.EQNXTDZ($A$1,$B7,DK$1)</f>
        <v>2167</v>
      </c>
      <c r="DL7" s="116" cm="1">
        <f t="array" ref="DL7">_xll.EQNXTDZ($A$1,$B7,DL$1)</f>
        <v>2199</v>
      </c>
      <c r="DM7" s="116" cm="1">
        <f t="array" ref="DM7">_xll.EQNXTDZ($A$1,$B7,DM$1)</f>
        <v>1970</v>
      </c>
      <c r="DN7" s="116" cm="1">
        <f t="array" ref="DN7">_xll.EQNXTDZ($A$1,$B7,DN$1)</f>
        <v>2104.15</v>
      </c>
      <c r="DO7" s="116" cm="1">
        <f t="array" ref="DO7">_xll.EQNXTDZ($A$1,$B7,DO$1)</f>
        <v>2015</v>
      </c>
      <c r="DP7" s="116" cm="1">
        <f t="array" ref="DP7">_xll.EQNXTDZ($A$1,$B7,DP$1)</f>
        <v>1560.35</v>
      </c>
      <c r="DQ7" s="116" cm="1">
        <f t="array" ref="DQ7">_xll.EQNXTDZ($A$1,$B7,DQ$1)</f>
        <v>1640.5</v>
      </c>
      <c r="DR7" s="116" cm="1">
        <f t="array" ref="DR7">_xll.EQNXTDZ($A$1,$B7,DR$1)</f>
        <v>1519.15</v>
      </c>
      <c r="DS7" s="116" cm="1">
        <f t="array" ref="DS7">_xll.EQNXTDZ($A$1,$B7,DS$1)</f>
        <v>1410</v>
      </c>
      <c r="DT7" s="116" cm="1">
        <f t="array" ref="DT7">_xll.EQNXTDZ($A$1,$B7,DT$1)</f>
        <v>1618.95</v>
      </c>
      <c r="DU7" s="116" cm="1">
        <f t="array" ref="DU7">_xll.EQNXTDZ($A$1,$B7,DU$1)</f>
        <v>1706.05</v>
      </c>
      <c r="DV7" s="116" cm="1">
        <f t="array" ref="DV7">_xll.EQNXTDZ($A$1,$B7,DV$1)</f>
        <v>1794.7</v>
      </c>
      <c r="DW7" s="116" cm="1">
        <f t="array" ref="DW7">_xll.EQNXTDZ($A$1,$B7,DW$1)</f>
        <v>1632</v>
      </c>
      <c r="DX7" s="116" cm="1">
        <f t="array" ref="DX7">_xll.EQNXTDZ($A$1,$B7,DX$1)</f>
        <v>1826</v>
      </c>
      <c r="DY7" s="116" cm="1">
        <f t="array" ref="DY7">_xll.EQNXTDZ($A$1,$B7,DY$1)</f>
        <v>1946.85</v>
      </c>
      <c r="DZ7" s="116" cm="1">
        <f t="array" ref="DZ7">_xll.EQNXTDZ($A$1,$B7,DZ$1)</f>
        <v>1918.35</v>
      </c>
      <c r="EA7" s="116" cm="1">
        <f t="array" ref="EA7">_xll.EQNXTDZ($A$1,$B7,EA$1)</f>
        <v>1989.8</v>
      </c>
      <c r="EB7" s="116" cm="1">
        <f t="array" ref="EB7">_xll.EQNXTDZ($A$1,$B7,EB$1)</f>
        <v>1979</v>
      </c>
      <c r="EC7" s="116" cm="1">
        <f t="array" ref="EC7">_xll.EQNXTDZ($A$1,$B7,EC$1)</f>
        <v>2078</v>
      </c>
      <c r="ED7" s="116" cm="1">
        <f t="array" ref="ED7">_xll.EQNXTDZ($A$1,$B7,ED$1)</f>
        <v>2160</v>
      </c>
      <c r="EE7" s="116" cm="1">
        <f t="array" ref="EE7">_xll.EQNXTDZ($A$1,$B7,EE$1)</f>
        <v>2288.8000000000002</v>
      </c>
      <c r="EF7" s="116" cm="1">
        <f t="array" ref="EF7">_xll.EQNXTDZ($A$1,$B7,EF$1)</f>
        <v>2218</v>
      </c>
      <c r="EG7" s="116" cm="1">
        <f t="array" ref="EG7">_xll.EQNXTDZ($A$1,$B7,EG$1)</f>
        <v>2118</v>
      </c>
      <c r="EH7" s="116" cm="1">
        <f t="array" ref="EH7">_xll.EQNXTDZ($A$1,$B7,EH$1)</f>
        <v>2424.75</v>
      </c>
      <c r="EI7" s="116" cm="1">
        <f t="array" ref="EI7">_xll.EQNXTDZ($A$1,$B7,EI$1)</f>
        <v>2409.5500000000002</v>
      </c>
      <c r="EJ7" s="116" cm="1">
        <f t="array" ref="EJ7">_xll.EQNXTDZ($A$1,$B7,EJ$1)</f>
        <v>2260.4499999999998</v>
      </c>
      <c r="EK7" s="116" cm="1">
        <f t="array" ref="EK7">_xll.EQNXTDZ($A$1,$B7,EK$1)</f>
        <v>2430.6999999999998</v>
      </c>
      <c r="EL7" s="116" cm="1">
        <f t="array" ref="EL7">_xll.EQNXTDZ($A$1,$B7,EL$1)</f>
        <v>2428.6</v>
      </c>
      <c r="EM7" s="116" cm="1">
        <f t="array" ref="EM7">_xll.EQNXTDZ($A$1,$B7,EM$1)</f>
        <v>2300</v>
      </c>
      <c r="EN7" s="116" cm="1">
        <f t="array" ref="EN7">_xll.EQNXTDZ($A$1,$B7,EN$1)</f>
        <v>2103.15</v>
      </c>
      <c r="EO7" s="116" cm="1">
        <f t="array" ref="EO7">_xll.EQNXTDZ($A$1,$B7,EO$1)</f>
        <v>2058.9</v>
      </c>
      <c r="EP7" s="116" cm="1">
        <f t="array" ref="EP7">_xll.EQNXTDZ($A$1,$B7,EP$1)</f>
        <v>1860.15</v>
      </c>
      <c r="EQ7" s="116" cm="1">
        <f t="array" ref="EQ7">_xll.EQNXTDZ($A$1,$B7,EQ$1)</f>
        <v>1912.55</v>
      </c>
      <c r="ER7" s="116" cm="1">
        <f t="array" ref="ER7">_xll.EQNXTDZ($A$1,$B7,ER$1)</f>
        <v>1960</v>
      </c>
      <c r="ES7" s="116" cm="1">
        <f t="array" ref="ES7">_xll.EQNXTDZ($A$1,$B7,ES$1)</f>
        <v>1894.8</v>
      </c>
      <c r="ET7" s="116" cm="1">
        <f t="array" ref="ET7">_xll.EQNXTDZ($A$1,$B7,ET$1)</f>
        <v>1982.95</v>
      </c>
      <c r="EU7" s="116" cm="1">
        <f t="array" ref="EU7">_xll.EQNXTDZ($A$1,$B7,EU$1)</f>
        <v>1982</v>
      </c>
      <c r="EV7" s="116" cm="1">
        <f t="array" ref="EV7">_xll.EQNXTDZ($A$1,$B7,EV$1)</f>
        <v>1865</v>
      </c>
      <c r="EW7" s="116" cm="1">
        <f t="array" ref="EW7">_xll.EQNXTDZ($A$1,$B7,EW$1)</f>
        <v>1974.6</v>
      </c>
      <c r="EX7" s="116" cm="1">
        <f t="array" ref="EX7">_xll.EQNXTDZ($A$1,$B7,EX$1)</f>
        <v>1872.7</v>
      </c>
      <c r="EY7" s="116" cm="1">
        <f t="array" ref="EY7">_xll.EQNXTDZ($A$1,$B7,EY$1)</f>
        <v>1918.95</v>
      </c>
      <c r="EZ7" s="116" cm="1">
        <f t="array" ref="EZ7">_xll.EQNXTDZ($A$1,$B7,EZ$1)</f>
        <v>1859.6</v>
      </c>
      <c r="FA7" s="116" cm="1">
        <f t="array" ref="FA7">_xll.EQNXTDZ($A$1,$B7,FA$1)</f>
        <v>2019.1</v>
      </c>
      <c r="FB7" s="116" cm="1">
        <f t="array" ref="FB7">_xll.EQNXTDZ($A$1,$B7,FB$1)</f>
        <v>2167</v>
      </c>
      <c r="FC7" s="116" cm="1">
        <f t="array" ref="FC7">_xll.EQNXTDZ($A$1,$B7,FC$1)</f>
        <v>2222</v>
      </c>
      <c r="FD7" s="116" cm="1">
        <f t="array" ref="FD7">_xll.EQNXTDZ($A$1,$B7,FD$1)</f>
        <v>2343</v>
      </c>
      <c r="FE7" s="116" cm="1">
        <f t="array" ref="FE7">_xll.EQNXTDZ($A$1,$B7,FE$1)</f>
        <v>2408.5</v>
      </c>
      <c r="FF7" s="116" cm="1">
        <f t="array" ref="FF7">_xll.EQNXTDZ($A$1,$B7,FF$1)</f>
        <v>2496.3000000000002</v>
      </c>
      <c r="FG7" s="116" cm="1">
        <f t="array" ref="FG7">_xll.EQNXTDZ($A$1,$B7,FG$1)</f>
        <v>2319.9</v>
      </c>
      <c r="FH7" s="116" cm="1">
        <f t="array" ref="FH7">_xll.EQNXTDZ($A$1,$B7,FH$1)</f>
        <v>2099.6</v>
      </c>
      <c r="FI7" s="116" cm="1">
        <f t="array" ref="FI7">_xll.EQNXTDZ($A$1,$B7,FI$1)</f>
        <v>2197</v>
      </c>
      <c r="FJ7" s="116" cm="1">
        <f t="array" ref="FJ7">_xll.EQNXTDZ($A$1,$B7,FJ$1)</f>
        <v>2260</v>
      </c>
      <c r="FK7" s="116" cm="1">
        <f t="array" ref="FK7">_xll.EQNXTDZ($A$1,$B7,FK$1)</f>
        <v>2219.9</v>
      </c>
      <c r="FL7" s="116" cm="1">
        <f t="array" ref="FL7">_xll.EQNXTDZ($A$1,$B7,FL$1)</f>
        <v>1975</v>
      </c>
      <c r="FM7" s="116" cm="1">
        <f t="array" ref="FM7">_xll.EQNXTDZ($A$1,$B7,FM$1)</f>
        <v>2004.4</v>
      </c>
      <c r="FN7" s="116" cm="1">
        <f t="array" ref="FN7">_xll.EQNXTDZ($A$1,$B7,FN$1)</f>
        <v>2007.6</v>
      </c>
      <c r="FO7" s="116" cm="1">
        <f t="array" ref="FO7">_xll.EQNXTDZ($A$1,$B7,FO$1)</f>
        <v>1773.3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1180</v>
      </c>
      <c r="IP7" s="116">
        <f>+MAX(CD7:CF7)</f>
        <v>1219.7</v>
      </c>
      <c r="IQ7" s="116">
        <f>+MAX(CG7:CI7)</f>
        <v>1219.9000000000001</v>
      </c>
      <c r="IR7" s="116">
        <f>+MAX(CJ7:CL7)</f>
        <v>1070</v>
      </c>
      <c r="IS7" s="116">
        <f>+MAX(CM7:CO7)</f>
        <v>897.7</v>
      </c>
      <c r="IT7" s="116">
        <f>+MAX(CP7:CR7)</f>
        <v>919</v>
      </c>
      <c r="IU7" s="116">
        <f>+MAX(CS7:CU7)</f>
        <v>720</v>
      </c>
      <c r="IV7" s="116">
        <f>+MAX(CV7:CX7)</f>
        <v>825</v>
      </c>
      <c r="IW7" s="116">
        <f>+MAX(CY7:DA7)</f>
        <v>1198</v>
      </c>
      <c r="IX7" s="116">
        <f>+MAX(DB7:DD7)</f>
        <v>1689.75</v>
      </c>
      <c r="IY7" s="116">
        <f>+MAX(DE7:DG7)</f>
        <v>1944</v>
      </c>
      <c r="IZ7" s="116">
        <f>+MAX(DH7:DJ7)</f>
        <v>2548.4</v>
      </c>
      <c r="JA7" s="116">
        <f>+MAX(DK7:DM7)</f>
        <v>2199</v>
      </c>
      <c r="JB7" s="116">
        <f>+MAX(DN7:DP7)</f>
        <v>2104.15</v>
      </c>
      <c r="JC7" s="116">
        <f>+MAX(DQ7:DS7)</f>
        <v>1640.5</v>
      </c>
      <c r="JD7" s="116">
        <f>+MAX(DT7:DV7)</f>
        <v>1794.7</v>
      </c>
      <c r="JE7" s="116">
        <f>+MAX(DW7:DY7)</f>
        <v>1946.85</v>
      </c>
      <c r="JF7" s="116">
        <f>+MAX(DZ7:EB7)</f>
        <v>1989.8</v>
      </c>
      <c r="JG7" s="116">
        <f>+MAX(EC7:EE7)</f>
        <v>2288.8000000000002</v>
      </c>
      <c r="JH7" s="116">
        <f>+MAX(EF7:EH7)</f>
        <v>2424.75</v>
      </c>
      <c r="JI7" s="116">
        <f>+MAX(EI7:EK7)</f>
        <v>2430.6999999999998</v>
      </c>
      <c r="JJ7" s="116">
        <f>+MAX(EL7:EN7)</f>
        <v>2428.6</v>
      </c>
      <c r="JK7" s="116">
        <f>MAX(EO7:EQ7)</f>
        <v>2058.9</v>
      </c>
      <c r="JL7" s="116">
        <f>MAX(ER7:ET7)</f>
        <v>1982.95</v>
      </c>
      <c r="JM7" s="116">
        <f>MAX(EU7:EW7)</f>
        <v>1982</v>
      </c>
      <c r="JN7" s="116">
        <f>MAX(EX7:EZ7)</f>
        <v>1918.95</v>
      </c>
      <c r="JO7" s="116">
        <f>MAX(FA7:FC7)</f>
        <v>2222</v>
      </c>
      <c r="JP7" s="116">
        <f>MAX(FD7:FF7)</f>
        <v>2496.3000000000002</v>
      </c>
      <c r="JQ7" s="116">
        <f>MAX(FG7:FI7)</f>
        <v>2319.9</v>
      </c>
      <c r="JR7" s="116">
        <f>MAX(FJ7:FL7)</f>
        <v>2260</v>
      </c>
      <c r="JS7" s="116">
        <f>MAX(FM7:FO7)</f>
        <v>2007.6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1021</v>
      </c>
      <c r="CD8" s="116" cm="1">
        <f t="array" ref="CD8">_xll.EQNXTDZ($A$1,$B8,CD$1)</f>
        <v>860</v>
      </c>
      <c r="CE8" s="116" cm="1">
        <f t="array" ref="CE8">_xll.EQNXTDZ($A$1,$B8,CE$1)</f>
        <v>1020</v>
      </c>
      <c r="CF8" s="116" cm="1">
        <f t="array" ref="CF8">_xll.EQNXTDZ($A$1,$B8,CF$1)</f>
        <v>966.05</v>
      </c>
      <c r="CG8" s="116" cm="1">
        <f t="array" ref="CG8">_xll.EQNXTDZ($A$1,$B8,CG$1)</f>
        <v>984.65</v>
      </c>
      <c r="CH8" s="116" cm="1">
        <f t="array" ref="CH8">_xll.EQNXTDZ($A$1,$B8,CH$1)</f>
        <v>1021</v>
      </c>
      <c r="CI8" s="116" cm="1">
        <f t="array" ref="CI8">_xll.EQNXTDZ($A$1,$B8,CI$1)</f>
        <v>1035.45</v>
      </c>
      <c r="CJ8" s="116" cm="1">
        <f t="array" ref="CJ8">_xll.EQNXTDZ($A$1,$B8,CJ$1)</f>
        <v>899.55</v>
      </c>
      <c r="CK8" s="116" cm="1">
        <f t="array" ref="CK8">_xll.EQNXTDZ($A$1,$B8,CK$1)</f>
        <v>896.05</v>
      </c>
      <c r="CL8" s="116" cm="1">
        <f t="array" ref="CL8">_xll.EQNXTDZ($A$1,$B8,CL$1)</f>
        <v>750.1</v>
      </c>
      <c r="CM8" s="116" cm="1">
        <f t="array" ref="CM8">_xll.EQNXTDZ($A$1,$B8,CM$1)</f>
        <v>763.6</v>
      </c>
      <c r="CN8" s="116" cm="1">
        <f t="array" ref="CN8">_xll.EQNXTDZ($A$1,$B8,CN$1)</f>
        <v>800.5</v>
      </c>
      <c r="CO8" s="116" cm="1">
        <f t="array" ref="CO8">_xll.EQNXTDZ($A$1,$B8,CO$1)</f>
        <v>771.7</v>
      </c>
      <c r="CP8" s="116" cm="1">
        <f t="array" ref="CP8">_xll.EQNXTDZ($A$1,$B8,CP$1)</f>
        <v>780</v>
      </c>
      <c r="CQ8" s="116" cm="1">
        <f t="array" ref="CQ8">_xll.EQNXTDZ($A$1,$B8,CQ$1)</f>
        <v>765</v>
      </c>
      <c r="CR8" s="116" cm="1">
        <f t="array" ref="CR8">_xll.EQNXTDZ($A$1,$B8,CR$1)</f>
        <v>402.7</v>
      </c>
      <c r="CS8" s="116" cm="1">
        <f t="array" ref="CS8">_xll.EQNXTDZ($A$1,$B8,CS$1)</f>
        <v>415.55</v>
      </c>
      <c r="CT8" s="116" cm="1">
        <f t="array" ref="CT8">_xll.EQNXTDZ($A$1,$B8,CT$1)</f>
        <v>474.8</v>
      </c>
      <c r="CU8" s="116" cm="1">
        <f t="array" ref="CU8">_xll.EQNXTDZ($A$1,$B8,CU$1)</f>
        <v>549.5</v>
      </c>
      <c r="CV8" s="116" cm="1">
        <f t="array" ref="CV8">_xll.EQNXTDZ($A$1,$B8,CV$1)</f>
        <v>670.9</v>
      </c>
      <c r="CW8" s="116" cm="1">
        <f t="array" ref="CW8">_xll.EQNXTDZ($A$1,$B8,CW$1)</f>
        <v>732.7</v>
      </c>
      <c r="CX8" s="116" cm="1">
        <f t="array" ref="CX8">_xll.EQNXTDZ($A$1,$B8,CX$1)</f>
        <v>652.29999999999995</v>
      </c>
      <c r="CY8" s="116" cm="1">
        <f t="array" ref="CY8">_xll.EQNXTDZ($A$1,$B8,CY$1)</f>
        <v>740</v>
      </c>
      <c r="CZ8" s="116" cm="1">
        <f t="array" ref="CZ8">_xll.EQNXTDZ($A$1,$B8,CZ$1)</f>
        <v>825.2</v>
      </c>
      <c r="DA8" s="116" cm="1">
        <f t="array" ref="DA8">_xll.EQNXTDZ($A$1,$B8,DA$1)</f>
        <v>945</v>
      </c>
      <c r="DB8" s="116" cm="1">
        <f t="array" ref="DB8">_xll.EQNXTDZ($A$1,$B8,DB$1)</f>
        <v>1061</v>
      </c>
      <c r="DC8" s="116" cm="1">
        <f t="array" ref="DC8">_xll.EQNXTDZ($A$1,$B8,DC$1)</f>
        <v>1135.5999999999999</v>
      </c>
      <c r="DD8" s="116" cm="1">
        <f t="array" ref="DD8">_xll.EQNXTDZ($A$1,$B8,DD$1)</f>
        <v>1423.3</v>
      </c>
      <c r="DE8" s="116" cm="1">
        <f t="array" ref="DE8">_xll.EQNXTDZ($A$1,$B8,DE$1)</f>
        <v>1405.1</v>
      </c>
      <c r="DF8" s="116" cm="1">
        <f t="array" ref="DF8">_xll.EQNXTDZ($A$1,$B8,DF$1)</f>
        <v>1502.95</v>
      </c>
      <c r="DG8" s="116" cm="1">
        <f t="array" ref="DG8">_xll.EQNXTDZ($A$1,$B8,DG$1)</f>
        <v>1728</v>
      </c>
      <c r="DH8" s="116" cm="1">
        <f t="array" ref="DH8">_xll.EQNXTDZ($A$1,$B8,DH$1)</f>
        <v>1877.1</v>
      </c>
      <c r="DI8" s="116" cm="1">
        <f t="array" ref="DI8">_xll.EQNXTDZ($A$1,$B8,DI$1)</f>
        <v>1836.4</v>
      </c>
      <c r="DJ8" s="116" cm="1">
        <f t="array" ref="DJ8">_xll.EQNXTDZ($A$1,$B8,DJ$1)</f>
        <v>1995.25</v>
      </c>
      <c r="DK8" s="116" cm="1">
        <f t="array" ref="DK8">_xll.EQNXTDZ($A$1,$B8,DK$1)</f>
        <v>1842</v>
      </c>
      <c r="DL8" s="116" cm="1">
        <f t="array" ref="DL8">_xll.EQNXTDZ($A$1,$B8,DL$1)</f>
        <v>1801</v>
      </c>
      <c r="DM8" s="116" cm="1">
        <f t="array" ref="DM8">_xll.EQNXTDZ($A$1,$B8,DM$1)</f>
        <v>1756.15</v>
      </c>
      <c r="DN8" s="116" cm="1">
        <f t="array" ref="DN8">_xll.EQNXTDZ($A$1,$B8,DN$1)</f>
        <v>1666</v>
      </c>
      <c r="DO8" s="116" cm="1">
        <f t="array" ref="DO8">_xll.EQNXTDZ($A$1,$B8,DO$1)</f>
        <v>1493.15</v>
      </c>
      <c r="DP8" s="116" cm="1">
        <f t="array" ref="DP8">_xll.EQNXTDZ($A$1,$B8,DP$1)</f>
        <v>1278.1500000000001</v>
      </c>
      <c r="DQ8" s="116" cm="1">
        <f t="array" ref="DQ8">_xll.EQNXTDZ($A$1,$B8,DQ$1)</f>
        <v>1485</v>
      </c>
      <c r="DR8" s="116" cm="1">
        <f t="array" ref="DR8">_xll.EQNXTDZ($A$1,$B8,DR$1)</f>
        <v>1253.5999999999999</v>
      </c>
      <c r="DS8" s="116" cm="1">
        <f t="array" ref="DS8">_xll.EQNXTDZ($A$1,$B8,DS$1)</f>
        <v>1212.5</v>
      </c>
      <c r="DT8" s="116" cm="1">
        <f t="array" ref="DT8">_xll.EQNXTDZ($A$1,$B8,DT$1)</f>
        <v>1272.5</v>
      </c>
      <c r="DU8" s="116" cm="1">
        <f t="array" ref="DU8">_xll.EQNXTDZ($A$1,$B8,DU$1)</f>
        <v>1504.25</v>
      </c>
      <c r="DV8" s="116" cm="1">
        <f t="array" ref="DV8">_xll.EQNXTDZ($A$1,$B8,DV$1)</f>
        <v>1495.65</v>
      </c>
      <c r="DW8" s="116" cm="1">
        <f t="array" ref="DW8">_xll.EQNXTDZ($A$1,$B8,DW$1)</f>
        <v>1476.05</v>
      </c>
      <c r="DX8" s="116" cm="1">
        <f t="array" ref="DX8">_xll.EQNXTDZ($A$1,$B8,DX$1)</f>
        <v>1575.25</v>
      </c>
      <c r="DY8" s="116" cm="1">
        <f t="array" ref="DY8">_xll.EQNXTDZ($A$1,$B8,DY$1)</f>
        <v>1753.7</v>
      </c>
      <c r="DZ8" s="116" cm="1">
        <f t="array" ref="DZ8">_xll.EQNXTDZ($A$1,$B8,DZ$1)</f>
        <v>1672</v>
      </c>
      <c r="EA8" s="116" cm="1">
        <f t="array" ref="EA8">_xll.EQNXTDZ($A$1,$B8,EA$1)</f>
        <v>1734.8</v>
      </c>
      <c r="EB8" s="116" cm="1">
        <f t="array" ref="EB8">_xll.EQNXTDZ($A$1,$B8,EB$1)</f>
        <v>1706.65</v>
      </c>
      <c r="EC8" s="116" cm="1">
        <f t="array" ref="EC8">_xll.EQNXTDZ($A$1,$B8,EC$1)</f>
        <v>1901.5</v>
      </c>
      <c r="ED8" s="116" cm="1">
        <f t="array" ref="ED8">_xll.EQNXTDZ($A$1,$B8,ED$1)</f>
        <v>1984.15</v>
      </c>
      <c r="EE8" s="116" cm="1">
        <f t="array" ref="EE8">_xll.EQNXTDZ($A$1,$B8,EE$1)</f>
        <v>2077.1</v>
      </c>
      <c r="EF8" s="116" cm="1">
        <f t="array" ref="EF8">_xll.EQNXTDZ($A$1,$B8,EF$1)</f>
        <v>1880.65</v>
      </c>
      <c r="EG8" s="116" cm="1">
        <f t="array" ref="EG8">_xll.EQNXTDZ($A$1,$B8,EG$1)</f>
        <v>1873.3</v>
      </c>
      <c r="EH8" s="116" cm="1">
        <f t="array" ref="EH8">_xll.EQNXTDZ($A$1,$B8,EH$1)</f>
        <v>2069.85</v>
      </c>
      <c r="EI8" s="116" cm="1">
        <f t="array" ref="EI8">_xll.EQNXTDZ($A$1,$B8,EI$1)</f>
        <v>1995.05</v>
      </c>
      <c r="EJ8" s="116" cm="1">
        <f t="array" ref="EJ8">_xll.EQNXTDZ($A$1,$B8,EJ$1)</f>
        <v>2065.0500000000002</v>
      </c>
      <c r="EK8" s="116" cm="1">
        <f t="array" ref="EK8">_xll.EQNXTDZ($A$1,$B8,EK$1)</f>
        <v>2137.1999999999998</v>
      </c>
      <c r="EL8" s="116" cm="1">
        <f t="array" ref="EL8">_xll.EQNXTDZ($A$1,$B8,EL$1)</f>
        <v>2071.0500000000002</v>
      </c>
      <c r="EM8" s="116" cm="1">
        <f t="array" ref="EM8">_xll.EQNXTDZ($A$1,$B8,EM$1)</f>
        <v>1986.3</v>
      </c>
      <c r="EN8" s="116" cm="1">
        <f t="array" ref="EN8">_xll.EQNXTDZ($A$1,$B8,EN$1)</f>
        <v>1803.15</v>
      </c>
      <c r="EO8" s="116" cm="1">
        <f t="array" ref="EO8">_xll.EQNXTDZ($A$1,$B8,EO$1)</f>
        <v>1767.05</v>
      </c>
      <c r="EP8" s="116" cm="1">
        <f t="array" ref="EP8">_xll.EQNXTDZ($A$1,$B8,EP$1)</f>
        <v>1698.9</v>
      </c>
      <c r="EQ8" s="116" cm="1">
        <f t="array" ref="EQ8">_xll.EQNXTDZ($A$1,$B8,EQ$1)</f>
        <v>1651.4</v>
      </c>
      <c r="ER8" s="116" cm="1">
        <f t="array" ref="ER8">_xll.EQNXTDZ($A$1,$B8,ER$1)</f>
        <v>1751.1</v>
      </c>
      <c r="ES8" s="116" cm="1">
        <f t="array" ref="ES8">_xll.EQNXTDZ($A$1,$B8,ES$1)</f>
        <v>1705.45</v>
      </c>
      <c r="ET8" s="116" cm="1">
        <f t="array" ref="ET8">_xll.EQNXTDZ($A$1,$B8,ET$1)</f>
        <v>1794.25</v>
      </c>
      <c r="EU8" s="116" cm="1">
        <f t="array" ref="EU8">_xll.EQNXTDZ($A$1,$B8,EU$1)</f>
        <v>1751</v>
      </c>
      <c r="EV8" s="116" cm="1">
        <f t="array" ref="EV8">_xll.EQNXTDZ($A$1,$B8,EV$1)</f>
        <v>1676.55</v>
      </c>
      <c r="EW8" s="116" cm="1">
        <f t="array" ref="EW8">_xll.EQNXTDZ($A$1,$B8,EW$1)</f>
        <v>1713</v>
      </c>
      <c r="EX8" s="116" cm="1">
        <f t="array" ref="EX8">_xll.EQNXTDZ($A$1,$B8,EX$1)</f>
        <v>1673.5</v>
      </c>
      <c r="EY8" s="116" cm="1">
        <f t="array" ref="EY8">_xll.EQNXTDZ($A$1,$B8,EY$1)</f>
        <v>1664.45</v>
      </c>
      <c r="EZ8" s="116" cm="1">
        <f t="array" ref="EZ8">_xll.EQNXTDZ($A$1,$B8,EZ$1)</f>
        <v>1601</v>
      </c>
      <c r="FA8" s="116" cm="1">
        <f t="array" ref="FA8">_xll.EQNXTDZ($A$1,$B8,FA$1)</f>
        <v>1700</v>
      </c>
      <c r="FB8" s="116" cm="1">
        <f t="array" ref="FB8">_xll.EQNXTDZ($A$1,$B8,FB$1)</f>
        <v>1902.7</v>
      </c>
      <c r="FC8" s="116" cm="1">
        <f t="array" ref="FC8">_xll.EQNXTDZ($A$1,$B8,FC$1)</f>
        <v>2011.6</v>
      </c>
      <c r="FD8" s="116" cm="1">
        <f t="array" ref="FD8">_xll.EQNXTDZ($A$1,$B8,FD$1)</f>
        <v>2121.8000000000002</v>
      </c>
      <c r="FE8" s="116" cm="1">
        <f t="array" ref="FE8">_xll.EQNXTDZ($A$1,$B8,FE$1)</f>
        <v>2185.8000000000002</v>
      </c>
      <c r="FF8" s="116" cm="1">
        <f t="array" ref="FF8">_xll.EQNXTDZ($A$1,$B8,FF$1)</f>
        <v>2202.1</v>
      </c>
      <c r="FG8" s="116" cm="1">
        <f t="array" ref="FG8">_xll.EQNXTDZ($A$1,$B8,FG$1)</f>
        <v>2083.4</v>
      </c>
      <c r="FH8" s="116" cm="1">
        <f t="array" ref="FH8">_xll.EQNXTDZ($A$1,$B8,FH$1)</f>
        <v>1982</v>
      </c>
      <c r="FI8" s="116" cm="1">
        <f t="array" ref="FI8">_xll.EQNXTDZ($A$1,$B8,FI$1)</f>
        <v>1933</v>
      </c>
      <c r="FJ8" s="116" cm="1">
        <f t="array" ref="FJ8">_xll.EQNXTDZ($A$1,$B8,FJ$1)</f>
        <v>2020.7</v>
      </c>
      <c r="FK8" s="116" cm="1">
        <f t="array" ref="FK8">_xll.EQNXTDZ($A$1,$B8,FK$1)</f>
        <v>1859</v>
      </c>
      <c r="FL8" s="116" cm="1">
        <f t="array" ref="FL8">_xll.EQNXTDZ($A$1,$B8,FL$1)</f>
        <v>1717.3</v>
      </c>
      <c r="FM8" s="116" cm="1">
        <f t="array" ref="FM8">_xll.EQNXTDZ($A$1,$B8,FM$1)</f>
        <v>1747.1</v>
      </c>
      <c r="FN8" s="116" cm="1">
        <f t="array" ref="FN8">_xll.EQNXTDZ($A$1,$B8,FN$1)</f>
        <v>1675.1</v>
      </c>
      <c r="FO8" s="116" cm="1">
        <f t="array" ref="FO8">_xll.EQNXTDZ($A$1,$B8,FO$1)</f>
        <v>1605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860</v>
      </c>
      <c r="IQ8" s="116">
        <f>+MIN(CG8:CI8)</f>
        <v>984.65</v>
      </c>
      <c r="IR8" s="116">
        <f>+MIN(CJ8:CL8)</f>
        <v>750.1</v>
      </c>
      <c r="IS8" s="116">
        <f>+MIN(CM8:CO8)</f>
        <v>763.6</v>
      </c>
      <c r="IT8" s="116">
        <f>+MIN(CP8:CR8)</f>
        <v>402.7</v>
      </c>
      <c r="IU8" s="116">
        <f>+MIN(CS8:CU8)</f>
        <v>415.55</v>
      </c>
      <c r="IV8" s="116">
        <f>+MIN(CV8:CX8)</f>
        <v>652.29999999999995</v>
      </c>
      <c r="IW8" s="116">
        <f>+MIN(CY8:DA8)</f>
        <v>740</v>
      </c>
      <c r="IX8" s="116">
        <f>+MIN(DB8:DD8)</f>
        <v>1061</v>
      </c>
      <c r="IY8" s="116">
        <f>+MIN(DE8:DG8)</f>
        <v>1405.1</v>
      </c>
      <c r="IZ8" s="116">
        <f>+MIN(DH8:DJ8)</f>
        <v>1836.4</v>
      </c>
      <c r="JA8" s="116">
        <f>+MIN(DK8:DM8)</f>
        <v>1756.15</v>
      </c>
      <c r="JB8" s="116">
        <f>+MIN(DN8:DP8)</f>
        <v>1278.1500000000001</v>
      </c>
      <c r="JC8" s="116">
        <f>+MIN(DQ8:DS8)</f>
        <v>1212.5</v>
      </c>
      <c r="JD8" s="116">
        <f>+MIN(DT8:DV8)</f>
        <v>1272.5</v>
      </c>
      <c r="JE8" s="116">
        <f>+MIN(DW8:DY8)</f>
        <v>1476.05</v>
      </c>
      <c r="JF8" s="116">
        <f>+MIN(DZ8:EB8)</f>
        <v>1672</v>
      </c>
      <c r="JG8" s="116">
        <f>+MIN(EC8:EE8)</f>
        <v>1901.5</v>
      </c>
      <c r="JH8" s="116">
        <f>+MIN(EF8:EH8)</f>
        <v>1873.3</v>
      </c>
      <c r="JI8" s="116">
        <f>+MIN(EI8:EK8)</f>
        <v>1995.05</v>
      </c>
      <c r="JJ8" s="116">
        <f>+MIN(EL8:EN8)</f>
        <v>1803.15</v>
      </c>
      <c r="JK8" s="116">
        <f>MIN(EO8:EQ8)</f>
        <v>1651.4</v>
      </c>
      <c r="JL8" s="116">
        <f>MIN(ER8:ET8)</f>
        <v>1705.45</v>
      </c>
      <c r="JM8" s="116">
        <f>MIN(EU8:EW8)</f>
        <v>1676.55</v>
      </c>
      <c r="JN8" s="116">
        <f>MIN(EX8:EZ8)</f>
        <v>1601</v>
      </c>
      <c r="JO8" s="116">
        <f>MIN(FA8:FC8)</f>
        <v>1700</v>
      </c>
      <c r="JP8" s="116">
        <f>MIN(FD8:FF8)</f>
        <v>2121.8000000000002</v>
      </c>
      <c r="JQ8" s="116">
        <f>MIN(FG8:FI8)</f>
        <v>1933</v>
      </c>
      <c r="JR8" s="116">
        <f>MIN(FJ8:FL8)</f>
        <v>1717.3</v>
      </c>
      <c r="JS8" s="116">
        <f>MIN(FM8:FO8)</f>
        <v>1605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1099.8499999999999</v>
      </c>
      <c r="CD9" s="116" cm="1">
        <f t="array" ref="CD9">_xll.EQNXTDZ($A$1,$B9,CD$1)</f>
        <v>1031.3499999999999</v>
      </c>
      <c r="CE9" s="116" cm="1">
        <f t="array" ref="CE9">_xll.EQNXTDZ($A$1,$B9,CE$1)</f>
        <v>1153.2</v>
      </c>
      <c r="CF9" s="116" cm="1">
        <f t="array" ref="CF9">_xll.EQNXTDZ($A$1,$B9,CF$1)</f>
        <v>989.5</v>
      </c>
      <c r="CG9" s="116" cm="1">
        <f t="array" ref="CG9">_xll.EQNXTDZ($A$1,$B9,CG$1)</f>
        <v>1148.3499999999999</v>
      </c>
      <c r="CH9" s="116" cm="1">
        <f t="array" ref="CH9">_xll.EQNXTDZ($A$1,$B9,CH$1)</f>
        <v>1181.7</v>
      </c>
      <c r="CI9" s="116" cm="1">
        <f t="array" ref="CI9">_xll.EQNXTDZ($A$1,$B9,CI$1)</f>
        <v>1047.8499999999999</v>
      </c>
      <c r="CJ9" s="116" cm="1">
        <f t="array" ref="CJ9">_xll.EQNXTDZ($A$1,$B9,CJ$1)</f>
        <v>921.55</v>
      </c>
      <c r="CK9" s="116" cm="1">
        <f t="array" ref="CK9">_xll.EQNXTDZ($A$1,$B9,CK$1)</f>
        <v>900.15</v>
      </c>
      <c r="CL9" s="116" cm="1">
        <f t="array" ref="CL9">_xll.EQNXTDZ($A$1,$B9,CL$1)</f>
        <v>822.6</v>
      </c>
      <c r="CM9" s="116" cm="1">
        <f t="array" ref="CM9">_xll.EQNXTDZ($A$1,$B9,CM$1)</f>
        <v>809.8</v>
      </c>
      <c r="CN9" s="116" cm="1">
        <f t="array" ref="CN9">_xll.EQNXTDZ($A$1,$B9,CN$1)</f>
        <v>880.9</v>
      </c>
      <c r="CO9" s="116" cm="1">
        <f t="array" ref="CO9">_xll.EQNXTDZ($A$1,$B9,CO$1)</f>
        <v>800.3</v>
      </c>
      <c r="CP9" s="116" cm="1">
        <f t="array" ref="CP9">_xll.EQNXTDZ($A$1,$B9,CP$1)</f>
        <v>873.55</v>
      </c>
      <c r="CQ9" s="116" cm="1">
        <f t="array" ref="CQ9">_xll.EQNXTDZ($A$1,$B9,CQ$1)</f>
        <v>782.1</v>
      </c>
      <c r="CR9" s="116" cm="1">
        <f t="array" ref="CR9">_xll.EQNXTDZ($A$1,$B9,CR$1)</f>
        <v>490.6</v>
      </c>
      <c r="CS9" s="116" cm="1">
        <f t="array" ref="CS9">_xll.EQNXTDZ($A$1,$B9,CS$1)</f>
        <v>521.65</v>
      </c>
      <c r="CT9" s="116" cm="1">
        <f t="array" ref="CT9">_xll.EQNXTDZ($A$1,$B9,CT$1)</f>
        <v>554.85</v>
      </c>
      <c r="CU9" s="116" cm="1">
        <f t="array" ref="CU9">_xll.EQNXTDZ($A$1,$B9,CU$1)</f>
        <v>673.3</v>
      </c>
      <c r="CV9" s="116" cm="1">
        <f t="array" ref="CV9">_xll.EQNXTDZ($A$1,$B9,CV$1)</f>
        <v>760.65</v>
      </c>
      <c r="CW9" s="116" cm="1">
        <f t="array" ref="CW9">_xll.EQNXTDZ($A$1,$B9,CW$1)</f>
        <v>749.75</v>
      </c>
      <c r="CX9" s="116" cm="1">
        <f t="array" ref="CX9">_xll.EQNXTDZ($A$1,$B9,CX$1)</f>
        <v>781.45</v>
      </c>
      <c r="CY9" s="116" cm="1">
        <f t="array" ref="CY9">_xll.EQNXTDZ($A$1,$B9,CY$1)</f>
        <v>842.85</v>
      </c>
      <c r="CZ9" s="116" cm="1">
        <f t="array" ref="CZ9">_xll.EQNXTDZ($A$1,$B9,CZ$1)</f>
        <v>1101.7</v>
      </c>
      <c r="DA9" s="116" cm="1">
        <f t="array" ref="DA9">_xll.EQNXTDZ($A$1,$B9,DA$1)</f>
        <v>1079.75</v>
      </c>
      <c r="DB9" s="116" cm="1">
        <f t="array" ref="DB9">_xll.EQNXTDZ($A$1,$B9,DB$1)</f>
        <v>1154.95</v>
      </c>
      <c r="DC9" s="116" cm="1">
        <f t="array" ref="DC9">_xll.EQNXTDZ($A$1,$B9,DC$1)</f>
        <v>1436.15</v>
      </c>
      <c r="DD9" s="116" cm="1">
        <f t="array" ref="DD9">_xll.EQNXTDZ($A$1,$B9,DD$1)</f>
        <v>1589</v>
      </c>
      <c r="DE9" s="116" cm="1">
        <f t="array" ref="DE9">_xll.EQNXTDZ($A$1,$B9,DE$1)</f>
        <v>1506.35</v>
      </c>
      <c r="DF9" s="116" cm="1">
        <f t="array" ref="DF9">_xll.EQNXTDZ($A$1,$B9,DF$1)</f>
        <v>1765</v>
      </c>
      <c r="DG9" s="116" cm="1">
        <f t="array" ref="DG9">_xll.EQNXTDZ($A$1,$B9,DG$1)</f>
        <v>1891.15</v>
      </c>
      <c r="DH9" s="116" cm="1">
        <f t="array" ref="DH9">_xll.EQNXTDZ($A$1,$B9,DH$1)</f>
        <v>2139.1</v>
      </c>
      <c r="DI9" s="116" cm="1">
        <f t="array" ref="DI9">_xll.EQNXTDZ($A$1,$B9,DI$1)</f>
        <v>2199.8000000000002</v>
      </c>
      <c r="DJ9" s="116" cm="1">
        <f t="array" ref="DJ9">_xll.EQNXTDZ($A$1,$B9,DJ$1)</f>
        <v>2105.75</v>
      </c>
      <c r="DK9" s="116" cm="1">
        <f t="array" ref="DK9">_xll.EQNXTDZ($A$1,$B9,DK$1)</f>
        <v>2012.25</v>
      </c>
      <c r="DL9" s="116" cm="1">
        <f t="array" ref="DL9">_xll.EQNXTDZ($A$1,$B9,DL$1)</f>
        <v>1873.4</v>
      </c>
      <c r="DM9" s="116" cm="1">
        <f t="array" ref="DM9">_xll.EQNXTDZ($A$1,$B9,DM$1)</f>
        <v>1847.9</v>
      </c>
      <c r="DN9" s="116" cm="1">
        <f t="array" ref="DN9">_xll.EQNXTDZ($A$1,$B9,DN$1)</f>
        <v>1781.8</v>
      </c>
      <c r="DO9" s="116" cm="1">
        <f t="array" ref="DO9">_xll.EQNXTDZ($A$1,$B9,DO$1)</f>
        <v>1567</v>
      </c>
      <c r="DP9" s="116" cm="1">
        <f t="array" ref="DP9">_xll.EQNXTDZ($A$1,$B9,DP$1)</f>
        <v>1495.6</v>
      </c>
      <c r="DQ9" s="116" cm="1">
        <f t="array" ref="DQ9">_xll.EQNXTDZ($A$1,$B9,DQ$1)</f>
        <v>1519.15</v>
      </c>
      <c r="DR9" s="116" cm="1">
        <f t="array" ref="DR9">_xll.EQNXTDZ($A$1,$B9,DR$1)</f>
        <v>1362.5</v>
      </c>
      <c r="DS9" s="116" cm="1">
        <f t="array" ref="DS9">_xll.EQNXTDZ($A$1,$B9,DS$1)</f>
        <v>1283.6500000000001</v>
      </c>
      <c r="DT9" s="116" cm="1">
        <f t="array" ref="DT9">_xll.EQNXTDZ($A$1,$B9,DT$1)</f>
        <v>1599.65</v>
      </c>
      <c r="DU9" s="116" cm="1">
        <f t="array" ref="DU9">_xll.EQNXTDZ($A$1,$B9,DU$1)</f>
        <v>1536.35</v>
      </c>
      <c r="DV9" s="116" cm="1">
        <f t="array" ref="DV9">_xll.EQNXTDZ($A$1,$B9,DV$1)</f>
        <v>1598</v>
      </c>
      <c r="DW9" s="116" cm="1">
        <f t="array" ref="DW9">_xll.EQNXTDZ($A$1,$B9,DW$1)</f>
        <v>1600.95</v>
      </c>
      <c r="DX9" s="116" cm="1">
        <f t="array" ref="DX9">_xll.EQNXTDZ($A$1,$B9,DX$1)</f>
        <v>1820.7</v>
      </c>
      <c r="DY9" s="116" cm="1">
        <f t="array" ref="DY9">_xll.EQNXTDZ($A$1,$B9,DY$1)</f>
        <v>1862.8</v>
      </c>
      <c r="DZ9" s="116" cm="1">
        <f t="array" ref="DZ9">_xll.EQNXTDZ($A$1,$B9,DZ$1)</f>
        <v>1767.75</v>
      </c>
      <c r="EA9" s="116" cm="1">
        <f t="array" ref="EA9">_xll.EQNXTDZ($A$1,$B9,EA$1)</f>
        <v>1833.9</v>
      </c>
      <c r="EB9" s="116" cm="1">
        <f t="array" ref="EB9">_xll.EQNXTDZ($A$1,$B9,EB$1)</f>
        <v>1968.25</v>
      </c>
      <c r="EC9" s="116" cm="1">
        <f t="array" ref="EC9">_xll.EQNXTDZ($A$1,$B9,EC$1)</f>
        <v>1996.2</v>
      </c>
      <c r="ED9" s="116" cm="1">
        <f t="array" ref="ED9">_xll.EQNXTDZ($A$1,$B9,ED$1)</f>
        <v>2129.9499999999998</v>
      </c>
      <c r="EE9" s="116" cm="1">
        <f t="array" ref="EE9">_xll.EQNXTDZ($A$1,$B9,EE$1)</f>
        <v>2166.1999999999998</v>
      </c>
      <c r="EF9" s="116" cm="1">
        <f t="array" ref="EF9">_xll.EQNXTDZ($A$1,$B9,EF$1)</f>
        <v>1953.8</v>
      </c>
      <c r="EG9" s="116" cm="1">
        <f t="array" ref="EG9">_xll.EQNXTDZ($A$1,$B9,EG$1)</f>
        <v>2085.0500000000002</v>
      </c>
      <c r="EH9" s="116" cm="1">
        <f t="array" ref="EH9">_xll.EQNXTDZ($A$1,$B9,EH$1)</f>
        <v>2404.35</v>
      </c>
      <c r="EI9" s="116" cm="1">
        <f t="array" ref="EI9">_xll.EQNXTDZ($A$1,$B9,EI$1)</f>
        <v>2104.25</v>
      </c>
      <c r="EJ9" s="116" cm="1">
        <f t="array" ref="EJ9">_xll.EQNXTDZ($A$1,$B9,EJ$1)</f>
        <v>2217.5500000000002</v>
      </c>
      <c r="EK9" s="116" cm="1">
        <f t="array" ref="EK9">_xll.EQNXTDZ($A$1,$B9,EK$1)</f>
        <v>2275.1999999999998</v>
      </c>
      <c r="EL9" s="116" cm="1">
        <f t="array" ref="EL9">_xll.EQNXTDZ($A$1,$B9,EL$1)</f>
        <v>2279.8000000000002</v>
      </c>
      <c r="EM9" s="116" cm="1">
        <f t="array" ref="EM9">_xll.EQNXTDZ($A$1,$B9,EM$1)</f>
        <v>2024.9</v>
      </c>
      <c r="EN9" s="116" cm="1">
        <f t="array" ref="EN9">_xll.EQNXTDZ($A$1,$B9,EN$1)</f>
        <v>1942.15</v>
      </c>
      <c r="EO9" s="116" cm="1">
        <f t="array" ref="EO9">_xll.EQNXTDZ($A$1,$B9,EO$1)</f>
        <v>1838.15</v>
      </c>
      <c r="EP9" s="116" cm="1">
        <f t="array" ref="EP9">_xll.EQNXTDZ($A$1,$B9,EP$1)</f>
        <v>1775.7</v>
      </c>
      <c r="EQ9" s="116" cm="1">
        <f t="array" ref="EQ9">_xll.EQNXTDZ($A$1,$B9,EQ$1)</f>
        <v>1813.45</v>
      </c>
      <c r="ER9" s="116" cm="1">
        <f t="array" ref="ER9">_xll.EQNXTDZ($A$1,$B9,ER$1)</f>
        <v>1850.55</v>
      </c>
      <c r="ES9" s="116" cm="1">
        <f t="array" ref="ES9">_xll.EQNXTDZ($A$1,$B9,ES$1)</f>
        <v>1891.05</v>
      </c>
      <c r="ET9" s="116" cm="1">
        <f t="array" ref="ET9">_xll.EQNXTDZ($A$1,$B9,ET$1)</f>
        <v>1933.2</v>
      </c>
      <c r="EU9" s="116" cm="1">
        <f t="array" ref="EU9">_xll.EQNXTDZ($A$1,$B9,EU$1)</f>
        <v>1833.2</v>
      </c>
      <c r="EV9" s="116" cm="1">
        <f t="array" ref="EV9">_xll.EQNXTDZ($A$1,$B9,EV$1)</f>
        <v>1820.35</v>
      </c>
      <c r="EW9" s="116" cm="1">
        <f t="array" ref="EW9">_xll.EQNXTDZ($A$1,$B9,EW$1)</f>
        <v>1767.25</v>
      </c>
      <c r="EX9" s="116" cm="1">
        <f t="array" ref="EX9">_xll.EQNXTDZ($A$1,$B9,EX$1)</f>
        <v>1866.35</v>
      </c>
      <c r="EY9" s="116" cm="1">
        <f t="array" ref="EY9">_xll.EQNXTDZ($A$1,$B9,EY$1)</f>
        <v>1689.65</v>
      </c>
      <c r="EZ9" s="116" cm="1">
        <f t="array" ref="EZ9">_xll.EQNXTDZ($A$1,$B9,EZ$1)</f>
        <v>1821.55</v>
      </c>
      <c r="FA9" s="116" cm="1">
        <f t="array" ref="FA9">_xll.EQNXTDZ($A$1,$B9,FA$1)</f>
        <v>1942.7</v>
      </c>
      <c r="FB9" s="116" cm="1">
        <f t="array" ref="FB9">_xll.EQNXTDZ($A$1,$B9,FB$1)</f>
        <v>2016.4</v>
      </c>
      <c r="FC9" s="116" cm="1">
        <f t="array" ref="FC9">_xll.EQNXTDZ($A$1,$B9,FC$1)</f>
        <v>2207.6</v>
      </c>
      <c r="FD9" s="116" cm="1">
        <f t="array" ref="FD9">_xll.EQNXTDZ($A$1,$B9,FD$1)</f>
        <v>2235.5</v>
      </c>
      <c r="FE9" s="116" cm="1">
        <f t="array" ref="FE9">_xll.EQNXTDZ($A$1,$B9,FE$1)</f>
        <v>2401.5</v>
      </c>
      <c r="FF9" s="116" cm="1">
        <f t="array" ref="FF9">_xll.EQNXTDZ($A$1,$B9,FF$1)</f>
        <v>2227.1999999999998</v>
      </c>
      <c r="FG9" s="116" cm="1">
        <f t="array" ref="FG9">_xll.EQNXTDZ($A$1,$B9,FG$1)</f>
        <v>2096.8000000000002</v>
      </c>
      <c r="FH9" s="116" cm="1">
        <f t="array" ref="FH9">_xll.EQNXTDZ($A$1,$B9,FH$1)</f>
        <v>2009.4</v>
      </c>
      <c r="FI9" s="116" cm="1">
        <f t="array" ref="FI9">_xll.EQNXTDZ($A$1,$B9,FI$1)</f>
        <v>2130.9</v>
      </c>
      <c r="FJ9" s="116" cm="1">
        <f t="array" ref="FJ9">_xll.EQNXTDZ($A$1,$B9,FJ$1)</f>
        <v>2065.5</v>
      </c>
      <c r="FK9" s="116" cm="1">
        <f t="array" ref="FK9">_xll.EQNXTDZ($A$1,$B9,FK$1)</f>
        <v>1993</v>
      </c>
      <c r="FL9" s="116" cm="1">
        <f t="array" ref="FL9">_xll.EQNXTDZ($A$1,$B9,FL$1)</f>
        <v>1779.2</v>
      </c>
      <c r="FM9" s="116" cm="1">
        <f t="array" ref="FM9">_xll.EQNXTDZ($A$1,$B9,FM$1)</f>
        <v>1906.3</v>
      </c>
      <c r="FN9" s="116" cm="1">
        <f t="array" ref="FN9">_xll.EQNXTDZ($A$1,$B9,FN$1)</f>
        <v>1748.2</v>
      </c>
      <c r="FO9" s="116" cm="1">
        <f t="array" ref="FO9">_xll.EQNXTDZ($A$1,$B9,FO$1)</f>
        <v>1709.6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1099.8499999999999</v>
      </c>
      <c r="IP9" s="116">
        <f>+CF9</f>
        <v>989.5</v>
      </c>
      <c r="IQ9" s="116">
        <f>+CI9</f>
        <v>1047.8499999999999</v>
      </c>
      <c r="IR9" s="116">
        <f>+CL9</f>
        <v>822.6</v>
      </c>
      <c r="IS9" s="116">
        <f>+CO9</f>
        <v>800.3</v>
      </c>
      <c r="IT9" s="116">
        <f>+CR9</f>
        <v>490.6</v>
      </c>
      <c r="IU9" s="116">
        <f>+CU9</f>
        <v>673.3</v>
      </c>
      <c r="IV9" s="116">
        <f>+CX9</f>
        <v>781.45</v>
      </c>
      <c r="IW9" s="116">
        <f>+DA9</f>
        <v>1079.75</v>
      </c>
      <c r="IX9" s="116">
        <f>+DD9</f>
        <v>1589</v>
      </c>
      <c r="IY9" s="116">
        <f>+DG9</f>
        <v>1891.15</v>
      </c>
      <c r="IZ9" s="116">
        <f>+DJ9</f>
        <v>2105.75</v>
      </c>
      <c r="JA9" s="116">
        <f>+DM9</f>
        <v>1847.9</v>
      </c>
      <c r="JB9" s="116">
        <f>+DP9</f>
        <v>1495.6</v>
      </c>
      <c r="JC9" s="116">
        <f>+DS9</f>
        <v>1283.6500000000001</v>
      </c>
      <c r="JD9" s="116">
        <f>+DV9</f>
        <v>1598</v>
      </c>
      <c r="JE9" s="116">
        <f>+DY9</f>
        <v>1862.8</v>
      </c>
      <c r="JF9" s="116">
        <f>+EB9</f>
        <v>1968.25</v>
      </c>
      <c r="JG9" s="116">
        <f>+EE9</f>
        <v>2166.1999999999998</v>
      </c>
      <c r="JH9" s="116">
        <f>+EH9</f>
        <v>2404.35</v>
      </c>
      <c r="JI9" s="116">
        <f>+EK9</f>
        <v>2275.1999999999998</v>
      </c>
      <c r="JJ9" s="116">
        <f>+EN9</f>
        <v>1942.15</v>
      </c>
      <c r="JK9" s="116">
        <f>EQ9</f>
        <v>1813.45</v>
      </c>
      <c r="JL9" s="116">
        <f>ET9</f>
        <v>1933.2</v>
      </c>
      <c r="JM9" s="116">
        <f>EW9</f>
        <v>1767.25</v>
      </c>
      <c r="JN9" s="116">
        <f>EZ9</f>
        <v>1821.55</v>
      </c>
      <c r="JO9" s="116">
        <f>FC9</f>
        <v>2207.6</v>
      </c>
      <c r="JP9" s="116">
        <f>FF9</f>
        <v>2227.1999999999998</v>
      </c>
      <c r="JQ9" s="116">
        <f>FI9</f>
        <v>2130.9</v>
      </c>
      <c r="JR9" s="116">
        <f>FL9</f>
        <v>1779.2</v>
      </c>
      <c r="JS9" s="116">
        <f>FO9</f>
        <v>1709.6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1070</v>
      </c>
      <c r="CD13" cm="1">
        <f t="array" ref="CD13">_xll.EQNXTDZ($A$1,$B13,CD$1)</f>
        <v>1134.45</v>
      </c>
      <c r="CE13" cm="1">
        <f t="array" ref="CE13">_xll.EQNXTDZ($A$1,$B13,CE$1)</f>
        <v>1030</v>
      </c>
      <c r="CF13" cm="1">
        <f t="array" ref="CF13">_xll.EQNXTDZ($A$1,$B13,CF$1)</f>
        <v>1155.05</v>
      </c>
      <c r="CG13" cm="1">
        <f t="array" ref="CG13">_xll.EQNXTDZ($A$1,$B13,CG$1)</f>
        <v>994</v>
      </c>
      <c r="CH13" cm="1">
        <f t="array" ref="CH13">_xll.EQNXTDZ($A$1,$B13,CH$1)</f>
        <v>1118.7</v>
      </c>
      <c r="CI13" cm="1">
        <f t="array" ref="CI13">_xll.EQNXTDZ($A$1,$B13,CI$1)</f>
        <v>1175.0999999999999</v>
      </c>
      <c r="CJ13" cm="1">
        <f t="array" ref="CJ13">_xll.EQNXTDZ($A$1,$B13,CJ$1)</f>
        <v>1044.9000000000001</v>
      </c>
      <c r="CK13" cm="1">
        <f t="array" ref="CK13">_xll.EQNXTDZ($A$1,$B13,CK$1)</f>
        <v>913.2</v>
      </c>
      <c r="CL13" cm="1">
        <f t="array" ref="CL13">_xll.EQNXTDZ($A$1,$B13,CL$1)</f>
        <v>892.8</v>
      </c>
      <c r="CM13" cm="1">
        <f t="array" ref="CM13">_xll.EQNXTDZ($A$1,$B13,CM$1)</f>
        <v>817.3</v>
      </c>
      <c r="CN13" cm="1">
        <f t="array" ref="CN13">_xll.EQNXTDZ($A$1,$B13,CN$1)</f>
        <v>814</v>
      </c>
      <c r="CO13" cm="1">
        <f t="array" ref="CO13">_xll.EQNXTDZ($A$1,$B13,CO$1)</f>
        <v>885</v>
      </c>
      <c r="CP13" cm="1">
        <f t="array" ref="CP13">_xll.EQNXTDZ($A$1,$B13,CP$1)</f>
        <v>813.7</v>
      </c>
      <c r="CQ13" cm="1">
        <f t="array" ref="CQ13">_xll.EQNXTDZ($A$1,$B13,CQ$1)</f>
        <v>872.25</v>
      </c>
      <c r="CR13" cm="1">
        <f t="array" ref="CR13">_xll.EQNXTDZ($A$1,$B13,CR$1)</f>
        <v>804.7</v>
      </c>
      <c r="CS13" cm="1">
        <f t="array" ref="CS13">_xll.EQNXTDZ($A$1,$B13,CS$1)</f>
        <v>495</v>
      </c>
      <c r="CT13" cm="1">
        <f t="array" ref="CT13">_xll.EQNXTDZ($A$1,$B13,CT$1)</f>
        <v>510.4</v>
      </c>
      <c r="CU13" cm="1">
        <f t="array" ref="CU13">_xll.EQNXTDZ($A$1,$B13,CU$1)</f>
        <v>565.04999999999995</v>
      </c>
      <c r="CV13" cm="1">
        <f t="array" ref="CV13">_xll.EQNXTDZ($A$1,$B13,CV$1)</f>
        <v>677.95</v>
      </c>
      <c r="CW13" cm="1">
        <f t="array" ref="CW13">_xll.EQNXTDZ($A$1,$B13,CW$1)</f>
        <v>769.5</v>
      </c>
      <c r="CX13" cm="1">
        <f t="array" ref="CX13">_xll.EQNXTDZ($A$1,$B13,CX$1)</f>
        <v>751</v>
      </c>
      <c r="CY13" cm="1">
        <f t="array" ref="CY13">_xll.EQNXTDZ($A$1,$B13,CY$1)</f>
        <v>781.6</v>
      </c>
      <c r="CZ13" cm="1">
        <f t="array" ref="CZ13">_xll.EQNXTDZ($A$1,$B13,CZ$1)</f>
        <v>847</v>
      </c>
      <c r="DA13" cm="1">
        <f t="array" ref="DA13">_xll.EQNXTDZ($A$1,$B13,DA$1)</f>
        <v>1107.1500000000001</v>
      </c>
      <c r="DB13" cm="1">
        <f t="array" ref="DB13">_xll.EQNXTDZ($A$1,$B13,DB$1)</f>
        <v>1082.55</v>
      </c>
      <c r="DC13" cm="1">
        <f t="array" ref="DC13">_xll.EQNXTDZ($A$1,$B13,DC$1)</f>
        <v>1156.5999999999999</v>
      </c>
      <c r="DD13" cm="1">
        <f t="array" ref="DD13">_xll.EQNXTDZ($A$1,$B13,DD$1)</f>
        <v>1452.7</v>
      </c>
      <c r="DE13" cm="1">
        <f t="array" ref="DE13">_xll.EQNXTDZ($A$1,$B13,DE$1)</f>
        <v>1591.7</v>
      </c>
      <c r="DF13" cm="1">
        <f t="array" ref="DF13">_xll.EQNXTDZ($A$1,$B13,DF$1)</f>
        <v>1523.1</v>
      </c>
      <c r="DG13" cm="1">
        <f t="array" ref="DG13">_xll.EQNXTDZ($A$1,$B13,DG$1)</f>
        <v>1773.55</v>
      </c>
      <c r="DH13" cm="1">
        <f t="array" ref="DH13">_xll.EQNXTDZ($A$1,$B13,DH$1)</f>
        <v>1896.9</v>
      </c>
      <c r="DI13" cm="1">
        <f t="array" ref="DI13">_xll.EQNXTDZ($A$1,$B13,DI$1)</f>
        <v>2165.9</v>
      </c>
      <c r="DJ13" cm="1">
        <f t="array" ref="DJ13">_xll.EQNXTDZ($A$1,$B13,DJ$1)</f>
        <v>2227</v>
      </c>
      <c r="DK13" cm="1">
        <f t="array" ref="DK13">_xll.EQNXTDZ($A$1,$B13,DK$1)</f>
        <v>2101.5</v>
      </c>
      <c r="DL13" cm="1">
        <f t="array" ref="DL13">_xll.EQNXTDZ($A$1,$B13,DL$1)</f>
        <v>2011.9</v>
      </c>
      <c r="DM13" cm="1">
        <f t="array" ref="DM13">_xll.EQNXTDZ($A$1,$B13,DM$1)</f>
        <v>1884</v>
      </c>
      <c r="DN13" cm="1">
        <f t="array" ref="DN13">_xll.EQNXTDZ($A$1,$B13,DN$1)</f>
        <v>1859.25</v>
      </c>
      <c r="DO13" cm="1">
        <f t="array" ref="DO13">_xll.EQNXTDZ($A$1,$B13,DO$1)</f>
        <v>1783.05</v>
      </c>
      <c r="DP13" cm="1">
        <f t="array" ref="DP13">_xll.EQNXTDZ($A$1,$B13,DP$1)</f>
        <v>1552.7</v>
      </c>
      <c r="DQ13" cm="1">
        <f t="array" ref="DQ13">_xll.EQNXTDZ($A$1,$B13,DQ$1)</f>
        <v>1502.85</v>
      </c>
      <c r="DR13" cm="1">
        <f t="array" ref="DR13">_xll.EQNXTDZ($A$1,$B13,DR$1)</f>
        <v>1516.2</v>
      </c>
      <c r="DS13" cm="1">
        <f t="array" ref="DS13">_xll.EQNXTDZ($A$1,$B13,DS$1)</f>
        <v>1369.05</v>
      </c>
      <c r="DT13" cm="1">
        <f t="array" ref="DT13">_xll.EQNXTDZ($A$1,$B13,DT$1)</f>
        <v>1274.6500000000001</v>
      </c>
      <c r="DU13" cm="1">
        <f t="array" ref="DU13">_xll.EQNXTDZ($A$1,$B13,DU$1)</f>
        <v>1599.3</v>
      </c>
      <c r="DV13" cm="1">
        <f t="array" ref="DV13">_xll.EQNXTDZ($A$1,$B13,DV$1)</f>
        <v>1542.7</v>
      </c>
      <c r="DW13" cm="1">
        <f t="array" ref="DW13">_xll.EQNXTDZ($A$1,$B13,DW$1)</f>
        <v>1593.35</v>
      </c>
      <c r="DX13" cm="1">
        <f t="array" ref="DX13">_xll.EQNXTDZ($A$1,$B13,DX$1)</f>
        <v>1614.45</v>
      </c>
      <c r="DY13" cm="1">
        <f t="array" ref="DY13">_xll.EQNXTDZ($A$1,$B13,DY$1)</f>
        <v>1830</v>
      </c>
      <c r="DZ13" cm="1">
        <f t="array" ref="DZ13">_xll.EQNXTDZ($A$1,$B13,DZ$1)</f>
        <v>1863.2</v>
      </c>
      <c r="EA13" cm="1">
        <f t="array" ref="EA13">_xll.EQNXTDZ($A$1,$B13,EA$1)</f>
        <v>1776.7</v>
      </c>
      <c r="EB13" cm="1">
        <f t="array" ref="EB13">_xll.EQNXTDZ($A$1,$B13,EB$1)</f>
        <v>1842.5</v>
      </c>
      <c r="EC13" cm="1">
        <f t="array" ref="EC13">_xll.EQNXTDZ($A$1,$B13,EC$1)</f>
        <v>1980</v>
      </c>
      <c r="ED13" cm="1">
        <f t="array" ref="ED13">_xll.EQNXTDZ($A$1,$B13,ED$1)</f>
        <v>1990.85</v>
      </c>
      <c r="EE13" cm="1">
        <f t="array" ref="EE13">_xll.EQNXTDZ($A$1,$B13,EE$1)</f>
        <v>2137.3000000000002</v>
      </c>
      <c r="EF13" cm="1">
        <f t="array" ref="EF13">_xll.EQNXTDZ($A$1,$B13,EF$1)</f>
        <v>2180</v>
      </c>
      <c r="EG13" cm="1">
        <f t="array" ref="EG13">_xll.EQNXTDZ($A$1,$B13,EG$1)</f>
        <v>1936.05</v>
      </c>
      <c r="EH13" cm="1">
        <f t="array" ref="EH13">_xll.EQNXTDZ($A$1,$B13,EH$1)</f>
        <v>2075.9</v>
      </c>
      <c r="EI13" cm="1">
        <f t="array" ref="EI13">_xll.EQNXTDZ($A$1,$B13,EI$1)</f>
        <v>2416.9499999999998</v>
      </c>
      <c r="EJ13" cm="1">
        <f t="array" ref="EJ13">_xll.EQNXTDZ($A$1,$B13,EJ$1)</f>
        <v>2116.65</v>
      </c>
      <c r="EK13" cm="1">
        <f t="array" ref="EK13">_xll.EQNXTDZ($A$1,$B13,EK$1)</f>
        <v>2235.3000000000002</v>
      </c>
      <c r="EL13" cm="1">
        <f t="array" ref="EL13">_xll.EQNXTDZ($A$1,$B13,EL$1)</f>
        <v>2280.0500000000002</v>
      </c>
      <c r="EM13" cm="1">
        <f t="array" ref="EM13">_xll.EQNXTDZ($A$1,$B13,EM$1)</f>
        <v>2300</v>
      </c>
      <c r="EN13" cm="1">
        <f t="array" ref="EN13">_xll.EQNXTDZ($A$1,$B13,EN$1)</f>
        <v>2031.5</v>
      </c>
      <c r="EO13" cm="1">
        <f t="array" ref="EO13">_xll.EQNXTDZ($A$1,$B13,EO$1)</f>
        <v>1944.15</v>
      </c>
      <c r="EP13" cm="1">
        <f t="array" ref="EP13">_xll.EQNXTDZ($A$1,$B13,EP$1)</f>
        <v>1843</v>
      </c>
      <c r="EQ13" cm="1">
        <f t="array" ref="EQ13">_xll.EQNXTDZ($A$1,$B13,EQ$1)</f>
        <v>1814.9</v>
      </c>
      <c r="ER13" cm="1">
        <f t="array" ref="ER13">_xll.EQNXTDZ($A$1,$B13,ER$1)</f>
        <v>1816.35</v>
      </c>
      <c r="ES13" cm="1">
        <f t="array" ref="ES13">_xll.EQNXTDZ($A$1,$B13,ES$1)</f>
        <v>1850.65</v>
      </c>
      <c r="ET13" cm="1">
        <f t="array" ref="ET13">_xll.EQNXTDZ($A$1,$B13,ET$1)</f>
        <v>1891.35</v>
      </c>
      <c r="EU13" cm="1">
        <f t="array" ref="EU13">_xll.EQNXTDZ($A$1,$B13,EU$1)</f>
        <v>1928</v>
      </c>
      <c r="EV13" cm="1">
        <f t="array" ref="EV13">_xll.EQNXTDZ($A$1,$B13,EV$1)</f>
        <v>1872</v>
      </c>
      <c r="EW13" cm="1">
        <f t="array" ref="EW13">_xll.EQNXTDZ($A$1,$B13,EW$1)</f>
        <v>1849.8</v>
      </c>
      <c r="EX13" cm="1">
        <f t="array" ref="EX13">_xll.EQNXTDZ($A$1,$B13,EX$1)</f>
        <v>1771.05</v>
      </c>
      <c r="EY13" cm="1">
        <f t="array" ref="EY13">_xll.EQNXTDZ($A$1,$B13,EY$1)</f>
        <v>1833.1</v>
      </c>
      <c r="EZ13" cm="1">
        <f t="array" ref="EZ13">_xll.EQNXTDZ($A$1,$B13,EZ$1)</f>
        <v>1700</v>
      </c>
      <c r="FA13" cm="1">
        <f t="array" ref="FA13">_xll.EQNXTDZ($A$1,$B13,FA$1)</f>
        <v>1819</v>
      </c>
      <c r="FB13" cm="1">
        <f t="array" ref="FB13">_xll.EQNXTDZ($A$1,$B13,FB$1)</f>
        <v>1944.25</v>
      </c>
      <c r="FC13" cm="1">
        <f t="array" ref="FC13">_xll.EQNXTDZ($A$1,$B13,FC$1)</f>
        <v>2016.4</v>
      </c>
      <c r="FD13" cm="1">
        <f t="array" ref="FD13">_xll.EQNXTDZ($A$1,$B13,FD$1)</f>
        <v>2199.5</v>
      </c>
      <c r="FE13" cm="1">
        <f t="array" ref="FE13">_xll.EQNXTDZ($A$1,$B13,FE$1)</f>
        <v>2223.9499999999998</v>
      </c>
      <c r="FF13" cm="1">
        <f t="array" ref="FF13">_xll.EQNXTDZ($A$1,$B13,FF$1)</f>
        <v>2413.75</v>
      </c>
      <c r="FG13" cm="1">
        <f t="array" ref="FG13">_xll.EQNXTDZ($A$1,$B13,FG$1)</f>
        <v>2229.5</v>
      </c>
      <c r="FH13" cm="1">
        <f t="array" ref="FH13">_xll.EQNXTDZ($A$1,$B13,FH$1)</f>
        <v>2169.5500000000002</v>
      </c>
      <c r="FI13" cm="1">
        <f t="array" ref="FI13">_xll.EQNXTDZ($A$1,$B13,FI$1)</f>
        <v>2015</v>
      </c>
      <c r="FJ13" cm="1">
        <f t="array" ref="FJ13">_xll.EQNXTDZ($A$1,$B13,FJ$1)</f>
        <v>2149</v>
      </c>
      <c r="FK13" cm="1">
        <f t="array" ref="FK13">_xll.EQNXTDZ($A$1,$B13,FK$1)</f>
        <v>2066.25</v>
      </c>
      <c r="FL13" cm="1">
        <f t="array" ref="FL13">_xll.EQNXTDZ($A$1,$B13,FL$1)</f>
        <v>1919.05</v>
      </c>
      <c r="FM13" cm="1">
        <f t="array" ref="FM13">_xll.EQNXTDZ($A$1,$B13,FM$1)</f>
        <v>1885.65</v>
      </c>
      <c r="FN13" cm="1">
        <f t="array" ref="FN13">_xll.EQNXTDZ($A$1,$B13,FN$1)</f>
        <v>1906.35</v>
      </c>
      <c r="FO13" cm="1">
        <f t="array" ref="FO13">_xll.EQNXTDZ($A$1,$B13,FO$1)</f>
        <v>1737.1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1141</v>
      </c>
      <c r="CD14" s="116" cm="1">
        <f t="array" ref="CD14">_xll.EQNXTDZ($A$1,$B14,CD$1)</f>
        <v>1134.45</v>
      </c>
      <c r="CE14" s="116" cm="1">
        <f t="array" ref="CE14">_xll.EQNXTDZ($A$1,$B14,CE$1)</f>
        <v>1215</v>
      </c>
      <c r="CF14" s="116" cm="1">
        <f t="array" ref="CF14">_xll.EQNXTDZ($A$1,$B14,CF$1)</f>
        <v>1218</v>
      </c>
      <c r="CG14" s="116" cm="1">
        <f t="array" ref="CG14">_xll.EQNXTDZ($A$1,$B14,CG$1)</f>
        <v>1220</v>
      </c>
      <c r="CH14" s="116" cm="1">
        <f t="array" ref="CH14">_xll.EQNXTDZ($A$1,$B14,CH$1)</f>
        <v>1219.9000000000001</v>
      </c>
      <c r="CI14" s="116" cm="1">
        <f t="array" ref="CI14">_xll.EQNXTDZ($A$1,$B14,CI$1)</f>
        <v>1198</v>
      </c>
      <c r="CJ14" s="116" cm="1">
        <f t="array" ref="CJ14">_xll.EQNXTDZ($A$1,$B14,CJ$1)</f>
        <v>1051.7</v>
      </c>
      <c r="CK14" s="116" cm="1">
        <f t="array" ref="CK14">_xll.EQNXTDZ($A$1,$B14,CK$1)</f>
        <v>1071</v>
      </c>
      <c r="CL14" s="116" cm="1">
        <f t="array" ref="CL14">_xll.EQNXTDZ($A$1,$B14,CL$1)</f>
        <v>926</v>
      </c>
      <c r="CM14" s="116" cm="1">
        <f t="array" ref="CM14">_xll.EQNXTDZ($A$1,$B14,CM$1)</f>
        <v>866.2</v>
      </c>
      <c r="CN14" s="116" cm="1">
        <f t="array" ref="CN14">_xll.EQNXTDZ($A$1,$B14,CN$1)</f>
        <v>898</v>
      </c>
      <c r="CO14" s="116" cm="1">
        <f t="array" ref="CO14">_xll.EQNXTDZ($A$1,$B14,CO$1)</f>
        <v>890</v>
      </c>
      <c r="CP14" s="116" cm="1">
        <f t="array" ref="CP14">_xll.EQNXTDZ($A$1,$B14,CP$1)</f>
        <v>918</v>
      </c>
      <c r="CQ14" s="116" cm="1">
        <f t="array" ref="CQ14">_xll.EQNXTDZ($A$1,$B14,CQ$1)</f>
        <v>915</v>
      </c>
      <c r="CR14" s="116" cm="1">
        <f t="array" ref="CR14">_xll.EQNXTDZ($A$1,$B14,CR$1)</f>
        <v>805</v>
      </c>
      <c r="CS14" s="116" cm="1">
        <f t="array" ref="CS14">_xll.EQNXTDZ($A$1,$B14,CS$1)</f>
        <v>570.75</v>
      </c>
      <c r="CT14" s="116" cm="1">
        <f t="array" ref="CT14">_xll.EQNXTDZ($A$1,$B14,CT$1)</f>
        <v>577</v>
      </c>
      <c r="CU14" s="116" cm="1">
        <f t="array" ref="CU14">_xll.EQNXTDZ($A$1,$B14,CU$1)</f>
        <v>720</v>
      </c>
      <c r="CV14" s="116" cm="1">
        <f t="array" ref="CV14">_xll.EQNXTDZ($A$1,$B14,CV$1)</f>
        <v>775</v>
      </c>
      <c r="CW14" s="116" cm="1">
        <f t="array" ref="CW14">_xll.EQNXTDZ($A$1,$B14,CW$1)</f>
        <v>824.55</v>
      </c>
      <c r="CX14" s="116" cm="1">
        <f t="array" ref="CX14">_xll.EQNXTDZ($A$1,$B14,CX$1)</f>
        <v>806.2</v>
      </c>
      <c r="CY14" s="116" cm="1">
        <f t="array" ref="CY14">_xll.EQNXTDZ($A$1,$B14,CY$1)</f>
        <v>874</v>
      </c>
      <c r="CZ14" s="116" cm="1">
        <f t="array" ref="CZ14">_xll.EQNXTDZ($A$1,$B14,CZ$1)</f>
        <v>1110</v>
      </c>
      <c r="DA14" s="116" cm="1">
        <f t="array" ref="DA14">_xll.EQNXTDZ($A$1,$B14,DA$1)</f>
        <v>1195.7</v>
      </c>
      <c r="DB14" s="116" cm="1">
        <f t="array" ref="DB14">_xll.EQNXTDZ($A$1,$B14,DB$1)</f>
        <v>1229</v>
      </c>
      <c r="DC14" s="116" cm="1">
        <f t="array" ref="DC14">_xll.EQNXTDZ($A$1,$B14,DC$1)</f>
        <v>1570</v>
      </c>
      <c r="DD14" s="116" cm="1">
        <f t="array" ref="DD14">_xll.EQNXTDZ($A$1,$B14,DD$1)</f>
        <v>1690.6</v>
      </c>
      <c r="DE14" s="116" cm="1">
        <f t="array" ref="DE14">_xll.EQNXTDZ($A$1,$B14,DE$1)</f>
        <v>1601.5</v>
      </c>
      <c r="DF14" s="116" cm="1">
        <f t="array" ref="DF14">_xll.EQNXTDZ($A$1,$B14,DF$1)</f>
        <v>1910</v>
      </c>
      <c r="DG14" s="116" cm="1">
        <f t="array" ref="DG14">_xll.EQNXTDZ($A$1,$B14,DG$1)</f>
        <v>1944.5</v>
      </c>
      <c r="DH14" s="116" cm="1">
        <f t="array" ref="DH14">_xll.EQNXTDZ($A$1,$B14,DH$1)</f>
        <v>2403.9</v>
      </c>
      <c r="DI14" s="116" cm="1">
        <f t="array" ref="DI14">_xll.EQNXTDZ($A$1,$B14,DI$1)</f>
        <v>2212.9499999999998</v>
      </c>
      <c r="DJ14" s="116" cm="1">
        <f t="array" ref="DJ14">_xll.EQNXTDZ($A$1,$B14,DJ$1)</f>
        <v>2547.1999999999998</v>
      </c>
      <c r="DK14" s="116" cm="1">
        <f t="array" ref="DK14">_xll.EQNXTDZ($A$1,$B14,DK$1)</f>
        <v>2164.75</v>
      </c>
      <c r="DL14" s="116" cm="1">
        <f t="array" ref="DL14">_xll.EQNXTDZ($A$1,$B14,DL$1)</f>
        <v>2195</v>
      </c>
      <c r="DM14" s="116" cm="1">
        <f t="array" ref="DM14">_xll.EQNXTDZ($A$1,$B14,DM$1)</f>
        <v>1953.75</v>
      </c>
      <c r="DN14" s="116" cm="1">
        <f t="array" ref="DN14">_xll.EQNXTDZ($A$1,$B14,DN$1)</f>
        <v>2102.8000000000002</v>
      </c>
      <c r="DO14" s="116" cm="1">
        <f t="array" ref="DO14">_xll.EQNXTDZ($A$1,$B14,DO$1)</f>
        <v>2012.3</v>
      </c>
      <c r="DP14" s="116" cm="1">
        <f t="array" ref="DP14">_xll.EQNXTDZ($A$1,$B14,DP$1)</f>
        <v>1560.25</v>
      </c>
      <c r="DQ14" s="116" cm="1">
        <f t="array" ref="DQ14">_xll.EQNXTDZ($A$1,$B14,DQ$1)</f>
        <v>1640.8</v>
      </c>
      <c r="DR14" s="116" cm="1">
        <f t="array" ref="DR14">_xll.EQNXTDZ($A$1,$B14,DR$1)</f>
        <v>1516.2</v>
      </c>
      <c r="DS14" s="116" cm="1">
        <f t="array" ref="DS14">_xll.EQNXTDZ($A$1,$B14,DS$1)</f>
        <v>1410</v>
      </c>
      <c r="DT14" s="116" cm="1">
        <f t="array" ref="DT14">_xll.EQNXTDZ($A$1,$B14,DT$1)</f>
        <v>1617.95</v>
      </c>
      <c r="DU14" s="116" cm="1">
        <f t="array" ref="DU14">_xll.EQNXTDZ($A$1,$B14,DU$1)</f>
        <v>1705.8</v>
      </c>
      <c r="DV14" s="116" cm="1">
        <f t="array" ref="DV14">_xll.EQNXTDZ($A$1,$B14,DV$1)</f>
        <v>1795.5</v>
      </c>
      <c r="DW14" s="116" cm="1">
        <f t="array" ref="DW14">_xll.EQNXTDZ($A$1,$B14,DW$1)</f>
        <v>1629.45</v>
      </c>
      <c r="DX14" s="116" cm="1">
        <f t="array" ref="DX14">_xll.EQNXTDZ($A$1,$B14,DX$1)</f>
        <v>1825</v>
      </c>
      <c r="DY14" s="116" cm="1">
        <f t="array" ref="DY14">_xll.EQNXTDZ($A$1,$B14,DY$1)</f>
        <v>1946.35</v>
      </c>
      <c r="DZ14" s="116" cm="1">
        <f t="array" ref="DZ14">_xll.EQNXTDZ($A$1,$B14,DZ$1)</f>
        <v>1918.15</v>
      </c>
      <c r="EA14" s="116" cm="1">
        <f t="array" ref="EA14">_xll.EQNXTDZ($A$1,$B14,EA$1)</f>
        <v>1989</v>
      </c>
      <c r="EB14" s="116" cm="1">
        <f t="array" ref="EB14">_xll.EQNXTDZ($A$1,$B14,EB$1)</f>
        <v>1978.95</v>
      </c>
      <c r="EC14" s="116" cm="1">
        <f t="array" ref="EC14">_xll.EQNXTDZ($A$1,$B14,EC$1)</f>
        <v>2168</v>
      </c>
      <c r="ED14" s="116" cm="1">
        <f t="array" ref="ED14">_xll.EQNXTDZ($A$1,$B14,ED$1)</f>
        <v>2160.5500000000002</v>
      </c>
      <c r="EE14" s="116" cm="1">
        <f t="array" ref="EE14">_xll.EQNXTDZ($A$1,$B14,EE$1)</f>
        <v>2289.4499999999998</v>
      </c>
      <c r="EF14" s="116" cm="1">
        <f t="array" ref="EF14">_xll.EQNXTDZ($A$1,$B14,EF$1)</f>
        <v>2211.85</v>
      </c>
      <c r="EG14" s="116" cm="1">
        <f t="array" ref="EG14">_xll.EQNXTDZ($A$1,$B14,EG$1)</f>
        <v>2116.4</v>
      </c>
      <c r="EH14" s="116" cm="1">
        <f t="array" ref="EH14">_xll.EQNXTDZ($A$1,$B14,EH$1)</f>
        <v>2424.4</v>
      </c>
      <c r="EI14" s="116" cm="1">
        <f t="array" ref="EI14">_xll.EQNXTDZ($A$1,$B14,EI$1)</f>
        <v>2416.9499999999998</v>
      </c>
      <c r="EJ14" s="116" cm="1">
        <f t="array" ref="EJ14">_xll.EQNXTDZ($A$1,$B14,EJ$1)</f>
        <v>2260.65</v>
      </c>
      <c r="EK14" s="116" cm="1">
        <f t="array" ref="EK14">_xll.EQNXTDZ($A$1,$B14,EK$1)</f>
        <v>2428.85</v>
      </c>
      <c r="EL14" s="116" cm="1">
        <f t="array" ref="EL14">_xll.EQNXTDZ($A$1,$B14,EL$1)</f>
        <v>2428.5500000000002</v>
      </c>
      <c r="EM14" s="116" cm="1">
        <f t="array" ref="EM14">_xll.EQNXTDZ($A$1,$B14,EM$1)</f>
        <v>2319.75</v>
      </c>
      <c r="EN14" s="116" cm="1">
        <f t="array" ref="EN14">_xll.EQNXTDZ($A$1,$B14,EN$1)</f>
        <v>2126.5500000000002</v>
      </c>
      <c r="EO14" s="116" cm="1">
        <f t="array" ref="EO14">_xll.EQNXTDZ($A$1,$B14,EO$1)</f>
        <v>2064.4499999999998</v>
      </c>
      <c r="EP14" s="116" cm="1">
        <f t="array" ref="EP14">_xll.EQNXTDZ($A$1,$B14,EP$1)</f>
        <v>1858.15</v>
      </c>
      <c r="EQ14" s="116" cm="1">
        <f t="array" ref="EQ14">_xll.EQNXTDZ($A$1,$B14,EQ$1)</f>
        <v>1913.9</v>
      </c>
      <c r="ER14" s="116" cm="1">
        <f t="array" ref="ER14">_xll.EQNXTDZ($A$1,$B14,ER$1)</f>
        <v>1960</v>
      </c>
      <c r="ES14" s="116" cm="1">
        <f t="array" ref="ES14">_xll.EQNXTDZ($A$1,$B14,ES$1)</f>
        <v>1894.65</v>
      </c>
      <c r="ET14" s="116" cm="1">
        <f t="array" ref="ET14">_xll.EQNXTDZ($A$1,$B14,ET$1)</f>
        <v>1981.7</v>
      </c>
      <c r="EU14" s="116" cm="1">
        <f t="array" ref="EU14">_xll.EQNXTDZ($A$1,$B14,EU$1)</f>
        <v>1983.2</v>
      </c>
      <c r="EV14" s="116" cm="1">
        <f t="array" ref="EV14">_xll.EQNXTDZ($A$1,$B14,EV$1)</f>
        <v>1872</v>
      </c>
      <c r="EW14" s="116" cm="1">
        <f t="array" ref="EW14">_xll.EQNXTDZ($A$1,$B14,EW$1)</f>
        <v>1975.3</v>
      </c>
      <c r="EX14" s="116" cm="1">
        <f t="array" ref="EX14">_xll.EQNXTDZ($A$1,$B14,EX$1)</f>
        <v>1874.3</v>
      </c>
      <c r="EY14" s="116" cm="1">
        <f t="array" ref="EY14">_xll.EQNXTDZ($A$1,$B14,EY$1)</f>
        <v>1919.85</v>
      </c>
      <c r="EZ14" s="116" cm="1">
        <f t="array" ref="EZ14">_xll.EQNXTDZ($A$1,$B14,EZ$1)</f>
        <v>1860</v>
      </c>
      <c r="FA14" s="116" cm="1">
        <f t="array" ref="FA14">_xll.EQNXTDZ($A$1,$B14,FA$1)</f>
        <v>2017.05</v>
      </c>
      <c r="FB14" s="116" cm="1">
        <f t="array" ref="FB14">_xll.EQNXTDZ($A$1,$B14,FB$1)</f>
        <v>2166.6999999999998</v>
      </c>
      <c r="FC14" s="116" cm="1">
        <f t="array" ref="FC14">_xll.EQNXTDZ($A$1,$B14,FC$1)</f>
        <v>2232.65</v>
      </c>
      <c r="FD14" s="116" cm="1">
        <f t="array" ref="FD14">_xll.EQNXTDZ($A$1,$B14,FD$1)</f>
        <v>2341.9</v>
      </c>
      <c r="FE14" s="116" cm="1">
        <f t="array" ref="FE14">_xll.EQNXTDZ($A$1,$B14,FE$1)</f>
        <v>2409.1999999999998</v>
      </c>
      <c r="FF14" s="116" cm="1">
        <f t="array" ref="FF14">_xll.EQNXTDZ($A$1,$B14,FF$1)</f>
        <v>2495.9499999999998</v>
      </c>
      <c r="FG14" s="116" cm="1">
        <f t="array" ref="FG14">_xll.EQNXTDZ($A$1,$B14,FG$1)</f>
        <v>2320</v>
      </c>
      <c r="FH14" s="116" cm="1">
        <f t="array" ref="FH14">_xll.EQNXTDZ($A$1,$B14,FH$1)</f>
        <v>2169.5500000000002</v>
      </c>
      <c r="FI14" s="116" cm="1">
        <f t="array" ref="FI14">_xll.EQNXTDZ($A$1,$B14,FI$1)</f>
        <v>2196.5</v>
      </c>
      <c r="FJ14" s="116" cm="1">
        <f t="array" ref="FJ14">_xll.EQNXTDZ($A$1,$B14,FJ$1)</f>
        <v>2260.4</v>
      </c>
      <c r="FK14" s="116" cm="1">
        <f t="array" ref="FK14">_xll.EQNXTDZ($A$1,$B14,FK$1)</f>
        <v>2219.8000000000002</v>
      </c>
      <c r="FL14" s="116" cm="1">
        <f t="array" ref="FL14">_xll.EQNXTDZ($A$1,$B14,FL$1)</f>
        <v>1975.7</v>
      </c>
      <c r="FM14" s="116" cm="1">
        <f t="array" ref="FM14">_xll.EQNXTDZ($A$1,$B14,FM$1)</f>
        <v>2003.4</v>
      </c>
      <c r="FN14" s="116" cm="1">
        <f t="array" ref="FN14">_xll.EQNXTDZ($A$1,$B14,FN$1)</f>
        <v>2005.25</v>
      </c>
      <c r="FO14" s="116" cm="1">
        <f t="array" ref="FO14">_xll.EQNXTDZ($A$1,$B14,FO$1)</f>
        <v>1773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1141</v>
      </c>
      <c r="IP14" s="116">
        <f>+MAX(CD14:CF14)</f>
        <v>1218</v>
      </c>
      <c r="IQ14" s="116">
        <f>+MAX(CG14:CI14)</f>
        <v>1220</v>
      </c>
      <c r="IR14" s="116">
        <f>+MAX(CJ14:CL14)</f>
        <v>1071</v>
      </c>
      <c r="IS14" s="116">
        <f>+MAX(CM14:CO14)</f>
        <v>898</v>
      </c>
      <c r="IT14" s="116">
        <f>+MAX(CP14:CR14)</f>
        <v>918</v>
      </c>
      <c r="IU14" s="116">
        <f>+MAX(CS14:CU14)</f>
        <v>720</v>
      </c>
      <c r="IV14" s="116">
        <f>+MAX(CV14:CX14)</f>
        <v>824.55</v>
      </c>
      <c r="IW14" s="116">
        <f>+MAX(CY14:DA14)</f>
        <v>1195.7</v>
      </c>
      <c r="IX14" s="116">
        <f>+MAX(DB14:DD14)</f>
        <v>1690.6</v>
      </c>
      <c r="IY14" s="116">
        <f>+MAX(DE14:DG14)</f>
        <v>1944.5</v>
      </c>
      <c r="IZ14" s="116">
        <f>+MAX(DH14:DJ14)</f>
        <v>2547.1999999999998</v>
      </c>
      <c r="JA14" s="116">
        <f>+MAX(DK14:DM14)</f>
        <v>2195</v>
      </c>
      <c r="JB14" s="116">
        <f>+MAX(DN14:DP14)</f>
        <v>2102.8000000000002</v>
      </c>
      <c r="JC14" s="116">
        <f>+MAX(DQ14:DS14)</f>
        <v>1640.8</v>
      </c>
      <c r="JD14" s="116">
        <f>+MAX(DT14:DV14)</f>
        <v>1795.5</v>
      </c>
      <c r="JE14" s="116">
        <f>+MAX(DW14:DY14)</f>
        <v>1946.35</v>
      </c>
      <c r="JF14" s="116">
        <f>+MAX(DZ14:EB14)</f>
        <v>1989</v>
      </c>
      <c r="JG14" s="116">
        <f>+MAX(EC14:EE14)</f>
        <v>2289.4499999999998</v>
      </c>
      <c r="JH14" s="116">
        <f>+MAX(EF14:EH14)</f>
        <v>2424.4</v>
      </c>
      <c r="JI14" s="116">
        <f>+MAX(EI14:EK14)</f>
        <v>2428.85</v>
      </c>
      <c r="JJ14" s="116">
        <f>+MAX(EL14:EN14)</f>
        <v>2428.5500000000002</v>
      </c>
      <c r="JK14" s="116">
        <f>MAX(EO14:EQ14)</f>
        <v>2064.4499999999998</v>
      </c>
      <c r="JL14" s="116">
        <f>MAX(ER14:ET14)</f>
        <v>1981.7</v>
      </c>
      <c r="JM14" s="116">
        <f>MAX(EU14:EW14)</f>
        <v>1983.2</v>
      </c>
      <c r="JN14" s="116">
        <f>MAX(EX14:EZ14)</f>
        <v>1919.85</v>
      </c>
      <c r="JO14" s="116">
        <f>MAX(FA14:FC14)</f>
        <v>2232.65</v>
      </c>
      <c r="JP14" s="116">
        <f>MAX(FD14:FF14)</f>
        <v>2495.9499999999998</v>
      </c>
      <c r="JQ14" s="116">
        <f>MAX(FG14:FI14)</f>
        <v>2320</v>
      </c>
      <c r="JR14" s="116">
        <f>MAX(FJ14:FL14)</f>
        <v>2260.4</v>
      </c>
      <c r="JS14" s="116">
        <f>MAX(FM14:FO14)</f>
        <v>2005.25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1031</v>
      </c>
      <c r="CD15" s="116" cm="1">
        <f t="array" ref="CD15">_xll.EQNXTDZ($A$1,$B15,CD$1)</f>
        <v>903</v>
      </c>
      <c r="CE15" s="116" cm="1">
        <f t="array" ref="CE15">_xll.EQNXTDZ($A$1,$B15,CE$1)</f>
        <v>981.05</v>
      </c>
      <c r="CF15" s="116" cm="1">
        <f t="array" ref="CF15">_xll.EQNXTDZ($A$1,$B15,CF$1)</f>
        <v>930.1</v>
      </c>
      <c r="CG15" s="116" cm="1">
        <f t="array" ref="CG15">_xll.EQNXTDZ($A$1,$B15,CG$1)</f>
        <v>980.05</v>
      </c>
      <c r="CH15" s="116" cm="1">
        <f t="array" ref="CH15">_xll.EQNXTDZ($A$1,$B15,CH$1)</f>
        <v>1027</v>
      </c>
      <c r="CI15" s="116" cm="1">
        <f t="array" ref="CI15">_xll.EQNXTDZ($A$1,$B15,CI$1)</f>
        <v>1035.9000000000001</v>
      </c>
      <c r="CJ15" s="116" cm="1">
        <f t="array" ref="CJ15">_xll.EQNXTDZ($A$1,$B15,CJ$1)</f>
        <v>900</v>
      </c>
      <c r="CK15" s="116" cm="1">
        <f t="array" ref="CK15">_xll.EQNXTDZ($A$1,$B15,CK$1)</f>
        <v>898.25</v>
      </c>
      <c r="CL15" s="116" cm="1">
        <f t="array" ref="CL15">_xll.EQNXTDZ($A$1,$B15,CL$1)</f>
        <v>752</v>
      </c>
      <c r="CM15" s="116" cm="1">
        <f t="array" ref="CM15">_xll.EQNXTDZ($A$1,$B15,CM$1)</f>
        <v>762.3</v>
      </c>
      <c r="CN15" s="116" cm="1">
        <f t="array" ref="CN15">_xll.EQNXTDZ($A$1,$B15,CN$1)</f>
        <v>800</v>
      </c>
      <c r="CO15" s="116" cm="1">
        <f t="array" ref="CO15">_xll.EQNXTDZ($A$1,$B15,CO$1)</f>
        <v>761</v>
      </c>
      <c r="CP15" s="116" cm="1">
        <f t="array" ref="CP15">_xll.EQNXTDZ($A$1,$B15,CP$1)</f>
        <v>781.9</v>
      </c>
      <c r="CQ15" s="116" cm="1">
        <f t="array" ref="CQ15">_xll.EQNXTDZ($A$1,$B15,CQ$1)</f>
        <v>767</v>
      </c>
      <c r="CR15" s="116" cm="1">
        <f t="array" ref="CR15">_xll.EQNXTDZ($A$1,$B15,CR$1)</f>
        <v>406</v>
      </c>
      <c r="CS15" s="116" cm="1">
        <f t="array" ref="CS15">_xll.EQNXTDZ($A$1,$B15,CS$1)</f>
        <v>417</v>
      </c>
      <c r="CT15" s="116" cm="1">
        <f t="array" ref="CT15">_xll.EQNXTDZ($A$1,$B15,CT$1)</f>
        <v>475</v>
      </c>
      <c r="CU15" s="116" cm="1">
        <f t="array" ref="CU15">_xll.EQNXTDZ($A$1,$B15,CU$1)</f>
        <v>549.79999999999995</v>
      </c>
      <c r="CV15" s="116" cm="1">
        <f t="array" ref="CV15">_xll.EQNXTDZ($A$1,$B15,CV$1)</f>
        <v>671</v>
      </c>
      <c r="CW15" s="116" cm="1">
        <f t="array" ref="CW15">_xll.EQNXTDZ($A$1,$B15,CW$1)</f>
        <v>715</v>
      </c>
      <c r="CX15" s="116" cm="1">
        <f t="array" ref="CX15">_xll.EQNXTDZ($A$1,$B15,CX$1)</f>
        <v>651.95000000000005</v>
      </c>
      <c r="CY15" s="116" cm="1">
        <f t="array" ref="CY15">_xll.EQNXTDZ($A$1,$B15,CY$1)</f>
        <v>740</v>
      </c>
      <c r="CZ15" s="116" cm="1">
        <f t="array" ref="CZ15">_xll.EQNXTDZ($A$1,$B15,CZ$1)</f>
        <v>826.95</v>
      </c>
      <c r="DA15" s="116" cm="1">
        <f t="array" ref="DA15">_xll.EQNXTDZ($A$1,$B15,DA$1)</f>
        <v>944.3</v>
      </c>
      <c r="DB15" s="116" cm="1">
        <f t="array" ref="DB15">_xll.EQNXTDZ($A$1,$B15,DB$1)</f>
        <v>1064.05</v>
      </c>
      <c r="DC15" s="116" cm="1">
        <f t="array" ref="DC15">_xll.EQNXTDZ($A$1,$B15,DC$1)</f>
        <v>1137.3</v>
      </c>
      <c r="DD15" s="116" cm="1">
        <f t="array" ref="DD15">_xll.EQNXTDZ($A$1,$B15,DD$1)</f>
        <v>1425</v>
      </c>
      <c r="DE15" s="116" cm="1">
        <f t="array" ref="DE15">_xll.EQNXTDZ($A$1,$B15,DE$1)</f>
        <v>1405.9</v>
      </c>
      <c r="DF15" s="116" cm="1">
        <f t="array" ref="DF15">_xll.EQNXTDZ($A$1,$B15,DF$1)</f>
        <v>1505.25</v>
      </c>
      <c r="DG15" s="116" cm="1">
        <f t="array" ref="DG15">_xll.EQNXTDZ($A$1,$B15,DG$1)</f>
        <v>1726.4</v>
      </c>
      <c r="DH15" s="116" cm="1">
        <f t="array" ref="DH15">_xll.EQNXTDZ($A$1,$B15,DH$1)</f>
        <v>1878.95</v>
      </c>
      <c r="DI15" s="116" cm="1">
        <f t="array" ref="DI15">_xll.EQNXTDZ($A$1,$B15,DI$1)</f>
        <v>1837.85</v>
      </c>
      <c r="DJ15" s="116" cm="1">
        <f t="array" ref="DJ15">_xll.EQNXTDZ($A$1,$B15,DJ$1)</f>
        <v>1995</v>
      </c>
      <c r="DK15" s="116" cm="1">
        <f t="array" ref="DK15">_xll.EQNXTDZ($A$1,$B15,DK$1)</f>
        <v>1841.5</v>
      </c>
      <c r="DL15" s="116" cm="1">
        <f t="array" ref="DL15">_xll.EQNXTDZ($A$1,$B15,DL$1)</f>
        <v>1803</v>
      </c>
      <c r="DM15" s="116" cm="1">
        <f t="array" ref="DM15">_xll.EQNXTDZ($A$1,$B15,DM$1)</f>
        <v>1756.45</v>
      </c>
      <c r="DN15" s="116" cm="1">
        <f t="array" ref="DN15">_xll.EQNXTDZ($A$1,$B15,DN$1)</f>
        <v>1670.1</v>
      </c>
      <c r="DO15" s="116" cm="1">
        <f t="array" ref="DO15">_xll.EQNXTDZ($A$1,$B15,DO$1)</f>
        <v>1493.65</v>
      </c>
      <c r="DP15" s="116" cm="1">
        <f t="array" ref="DP15">_xll.EQNXTDZ($A$1,$B15,DP$1)</f>
        <v>1279.45</v>
      </c>
      <c r="DQ15" s="116" cm="1">
        <f t="array" ref="DQ15">_xll.EQNXTDZ($A$1,$B15,DQ$1)</f>
        <v>1485.85</v>
      </c>
      <c r="DR15" s="116" cm="1">
        <f t="array" ref="DR15">_xll.EQNXTDZ($A$1,$B15,DR$1)</f>
        <v>1254.55</v>
      </c>
      <c r="DS15" s="116" cm="1">
        <f t="array" ref="DS15">_xll.EQNXTDZ($A$1,$B15,DS$1)</f>
        <v>1212.5999999999999</v>
      </c>
      <c r="DT15" s="116" cm="1">
        <f t="array" ref="DT15">_xll.EQNXTDZ($A$1,$B15,DT$1)</f>
        <v>1274.2</v>
      </c>
      <c r="DU15" s="116" cm="1">
        <f t="array" ref="DU15">_xll.EQNXTDZ($A$1,$B15,DU$1)</f>
        <v>1503.4</v>
      </c>
      <c r="DV15" s="116" cm="1">
        <f t="array" ref="DV15">_xll.EQNXTDZ($A$1,$B15,DV$1)</f>
        <v>1498.2</v>
      </c>
      <c r="DW15" s="116" cm="1">
        <f t="array" ref="DW15">_xll.EQNXTDZ($A$1,$B15,DW$1)</f>
        <v>1478.05</v>
      </c>
      <c r="DX15" s="116" cm="1">
        <f t="array" ref="DX15">_xll.EQNXTDZ($A$1,$B15,DX$1)</f>
        <v>1578.55</v>
      </c>
      <c r="DY15" s="116" cm="1">
        <f t="array" ref="DY15">_xll.EQNXTDZ($A$1,$B15,DY$1)</f>
        <v>1756.35</v>
      </c>
      <c r="DZ15" s="116" cm="1">
        <f t="array" ref="DZ15">_xll.EQNXTDZ($A$1,$B15,DZ$1)</f>
        <v>1675</v>
      </c>
      <c r="EA15" s="116" cm="1">
        <f t="array" ref="EA15">_xll.EQNXTDZ($A$1,$B15,EA$1)</f>
        <v>1736.35</v>
      </c>
      <c r="EB15" s="116" cm="1">
        <f t="array" ref="EB15">_xll.EQNXTDZ($A$1,$B15,EB$1)</f>
        <v>1708.3</v>
      </c>
      <c r="EC15" s="116" cm="1">
        <f t="array" ref="EC15">_xll.EQNXTDZ($A$1,$B15,EC$1)</f>
        <v>1885.95</v>
      </c>
      <c r="ED15" s="116" cm="1">
        <f t="array" ref="ED15">_xll.EQNXTDZ($A$1,$B15,ED$1)</f>
        <v>1987</v>
      </c>
      <c r="EE15" s="116" cm="1">
        <f t="array" ref="EE15">_xll.EQNXTDZ($A$1,$B15,EE$1)</f>
        <v>2050</v>
      </c>
      <c r="EF15" s="116" cm="1">
        <f t="array" ref="EF15">_xll.EQNXTDZ($A$1,$B15,EF$1)</f>
        <v>1881.25</v>
      </c>
      <c r="EG15" s="116" cm="1">
        <f t="array" ref="EG15">_xll.EQNXTDZ($A$1,$B15,EG$1)</f>
        <v>1877</v>
      </c>
      <c r="EH15" s="116" cm="1">
        <f t="array" ref="EH15">_xll.EQNXTDZ($A$1,$B15,EH$1)</f>
        <v>2075.9</v>
      </c>
      <c r="EI15" s="116" cm="1">
        <f t="array" ref="EI15">_xll.EQNXTDZ($A$1,$B15,EI$1)</f>
        <v>1998</v>
      </c>
      <c r="EJ15" s="116" cm="1">
        <f t="array" ref="EJ15">_xll.EQNXTDZ($A$1,$B15,EJ$1)</f>
        <v>2065.0500000000002</v>
      </c>
      <c r="EK15" s="116" cm="1">
        <f t="array" ref="EK15">_xll.EQNXTDZ($A$1,$B15,EK$1)</f>
        <v>2137</v>
      </c>
      <c r="EL15" s="116" cm="1">
        <f t="array" ref="EL15">_xll.EQNXTDZ($A$1,$B15,EL$1)</f>
        <v>2072.5</v>
      </c>
      <c r="EM15" s="116" cm="1">
        <f t="array" ref="EM15">_xll.EQNXTDZ($A$1,$B15,EM$1)</f>
        <v>1985.95</v>
      </c>
      <c r="EN15" s="116" cm="1">
        <f t="array" ref="EN15">_xll.EQNXTDZ($A$1,$B15,EN$1)</f>
        <v>1805</v>
      </c>
      <c r="EO15" s="116" cm="1">
        <f t="array" ref="EO15">_xll.EQNXTDZ($A$1,$B15,EO$1)</f>
        <v>1766.75</v>
      </c>
      <c r="EP15" s="116" cm="1">
        <f t="array" ref="EP15">_xll.EQNXTDZ($A$1,$B15,EP$1)</f>
        <v>1700.05</v>
      </c>
      <c r="EQ15" s="116" cm="1">
        <f t="array" ref="EQ15">_xll.EQNXTDZ($A$1,$B15,EQ$1)</f>
        <v>1664.2</v>
      </c>
      <c r="ER15" s="116" cm="1">
        <f t="array" ref="ER15">_xll.EQNXTDZ($A$1,$B15,ER$1)</f>
        <v>1750.05</v>
      </c>
      <c r="ES15" s="116" cm="1">
        <f t="array" ref="ES15">_xll.EQNXTDZ($A$1,$B15,ES$1)</f>
        <v>1706</v>
      </c>
      <c r="ET15" s="116" cm="1">
        <f t="array" ref="ET15">_xll.EQNXTDZ($A$1,$B15,ET$1)</f>
        <v>1795</v>
      </c>
      <c r="EU15" s="116" cm="1">
        <f t="array" ref="EU15">_xll.EQNXTDZ($A$1,$B15,EU$1)</f>
        <v>1740</v>
      </c>
      <c r="EV15" s="116" cm="1">
        <f t="array" ref="EV15">_xll.EQNXTDZ($A$1,$B15,EV$1)</f>
        <v>1677.05</v>
      </c>
      <c r="EW15" s="116" cm="1">
        <f t="array" ref="EW15">_xll.EQNXTDZ($A$1,$B15,EW$1)</f>
        <v>1714.05</v>
      </c>
      <c r="EX15" s="116" cm="1">
        <f t="array" ref="EX15">_xll.EQNXTDZ($A$1,$B15,EX$1)</f>
        <v>1675</v>
      </c>
      <c r="EY15" s="116" cm="1">
        <f t="array" ref="EY15">_xll.EQNXTDZ($A$1,$B15,EY$1)</f>
        <v>1665</v>
      </c>
      <c r="EZ15" s="116" cm="1">
        <f t="array" ref="EZ15">_xll.EQNXTDZ($A$1,$B15,EZ$1)</f>
        <v>1602</v>
      </c>
      <c r="FA15" s="116" cm="1">
        <f t="array" ref="FA15">_xll.EQNXTDZ($A$1,$B15,FA$1)</f>
        <v>1714.05</v>
      </c>
      <c r="FB15" s="116" cm="1">
        <f t="array" ref="FB15">_xll.EQNXTDZ($A$1,$B15,FB$1)</f>
        <v>1870</v>
      </c>
      <c r="FC15" s="116" cm="1">
        <f t="array" ref="FC15">_xll.EQNXTDZ($A$1,$B15,FC$1)</f>
        <v>2007.9</v>
      </c>
      <c r="FD15" s="116" cm="1">
        <f t="array" ref="FD15">_xll.EQNXTDZ($A$1,$B15,FD$1)</f>
        <v>2121.6999999999998</v>
      </c>
      <c r="FE15" s="116" cm="1">
        <f t="array" ref="FE15">_xll.EQNXTDZ($A$1,$B15,FE$1)</f>
        <v>2190.1</v>
      </c>
      <c r="FF15" s="116" cm="1">
        <f t="array" ref="FF15">_xll.EQNXTDZ($A$1,$B15,FF$1)</f>
        <v>2202.5</v>
      </c>
      <c r="FG15" s="116" cm="1">
        <f t="array" ref="FG15">_xll.EQNXTDZ($A$1,$B15,FG$1)</f>
        <v>2085</v>
      </c>
      <c r="FH15" s="116" cm="1">
        <f t="array" ref="FH15">_xll.EQNXTDZ($A$1,$B15,FH$1)</f>
        <v>1970.15</v>
      </c>
      <c r="FI15" s="116" cm="1">
        <f t="array" ref="FI15">_xll.EQNXTDZ($A$1,$B15,FI$1)</f>
        <v>1933.4</v>
      </c>
      <c r="FJ15" s="116" cm="1">
        <f t="array" ref="FJ15">_xll.EQNXTDZ($A$1,$B15,FJ$1)</f>
        <v>2020.7</v>
      </c>
      <c r="FK15" s="116" cm="1">
        <f t="array" ref="FK15">_xll.EQNXTDZ($A$1,$B15,FK$1)</f>
        <v>1859.45</v>
      </c>
      <c r="FL15" s="116" cm="1">
        <f t="array" ref="FL15">_xll.EQNXTDZ($A$1,$B15,FL$1)</f>
        <v>1721.5</v>
      </c>
      <c r="FM15" s="116" cm="1">
        <f t="array" ref="FM15">_xll.EQNXTDZ($A$1,$B15,FM$1)</f>
        <v>1747.5</v>
      </c>
      <c r="FN15" s="116" cm="1">
        <f t="array" ref="FN15">_xll.EQNXTDZ($A$1,$B15,FN$1)</f>
        <v>1675.45</v>
      </c>
      <c r="FO15" s="116" cm="1">
        <f t="array" ref="FO15">_xll.EQNXTDZ($A$1,$B15,FO$1)</f>
        <v>1605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903</v>
      </c>
      <c r="IQ15" s="116">
        <f>+MIN(CG15:CI15)</f>
        <v>980.05</v>
      </c>
      <c r="IR15" s="116">
        <f>+MIN(CJ15:CL15)</f>
        <v>752</v>
      </c>
      <c r="IS15" s="116">
        <f>+MIN(CM15:CO15)</f>
        <v>761</v>
      </c>
      <c r="IT15" s="116">
        <f>+MIN(CP15:CR15)</f>
        <v>406</v>
      </c>
      <c r="IU15" s="116">
        <f>+MIN(CS15:CU15)</f>
        <v>417</v>
      </c>
      <c r="IV15" s="116">
        <f>+MIN(CV15:CX15)</f>
        <v>651.95000000000005</v>
      </c>
      <c r="IW15" s="116">
        <f>+MIN(CY15:DA15)</f>
        <v>740</v>
      </c>
      <c r="IX15" s="116">
        <f>+MIN(DB15:DD15)</f>
        <v>1064.05</v>
      </c>
      <c r="IY15" s="116">
        <f>+MIN(DE15:DG15)</f>
        <v>1405.9</v>
      </c>
      <c r="IZ15" s="116">
        <f>+MIN(DH15:DJ15)</f>
        <v>1837.85</v>
      </c>
      <c r="JA15" s="116">
        <f>+MIN(DK15:DM15)</f>
        <v>1756.45</v>
      </c>
      <c r="JB15" s="116">
        <f>+MIN(DN15:DP15)</f>
        <v>1279.45</v>
      </c>
      <c r="JC15" s="116">
        <f>+MIN(DQ15:DS15)</f>
        <v>1212.5999999999999</v>
      </c>
      <c r="JD15" s="116">
        <f>+MIN(DT15:DV15)</f>
        <v>1274.2</v>
      </c>
      <c r="JE15" s="116">
        <f>+MIN(DW15:DY15)</f>
        <v>1478.05</v>
      </c>
      <c r="JF15" s="116">
        <f>+MIN(DZ15:EB15)</f>
        <v>1675</v>
      </c>
      <c r="JG15" s="116">
        <f>+MIN(EC15:EE15)</f>
        <v>1885.95</v>
      </c>
      <c r="JH15" s="116">
        <f>+MIN(EF15:EH15)</f>
        <v>1877</v>
      </c>
      <c r="JI15" s="116">
        <f>+MIN(EI15:EK15)</f>
        <v>1998</v>
      </c>
      <c r="JJ15" s="116">
        <f>+MIN(EL15:EN15)</f>
        <v>1805</v>
      </c>
      <c r="JK15" s="116">
        <f>MIN(EO15:EQ15)</f>
        <v>1664.2</v>
      </c>
      <c r="JL15" s="116">
        <f>MIN(ER15:ET15)</f>
        <v>1706</v>
      </c>
      <c r="JM15" s="116">
        <f>MIN(EU15:EW15)</f>
        <v>1677.05</v>
      </c>
      <c r="JN15" s="116">
        <f>MIN(EX15:EZ15)</f>
        <v>1602</v>
      </c>
      <c r="JO15" s="116">
        <f>MIN(FA15:FC15)</f>
        <v>1714.05</v>
      </c>
      <c r="JP15" s="116">
        <f>MIN(FD15:FF15)</f>
        <v>2121.6999999999998</v>
      </c>
      <c r="JQ15" s="116">
        <f>MIN(FG15:FI15)</f>
        <v>1933.4</v>
      </c>
      <c r="JR15" s="116">
        <f>MIN(FJ15:FL15)</f>
        <v>1721.5</v>
      </c>
      <c r="JS15" s="116">
        <f>MIN(FM15:FO15)</f>
        <v>1605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1099</v>
      </c>
      <c r="CD16" s="116" cm="1">
        <f t="array" ref="CD16">_xll.EQNXTDZ($A$1,$B16,CD$1)</f>
        <v>1035</v>
      </c>
      <c r="CE16" s="116" cm="1">
        <f t="array" ref="CE16">_xll.EQNXTDZ($A$1,$B16,CE$1)</f>
        <v>1154.05</v>
      </c>
      <c r="CF16" s="116" cm="1">
        <f t="array" ref="CF16">_xll.EQNXTDZ($A$1,$B16,CF$1)</f>
        <v>989.85</v>
      </c>
      <c r="CG16" s="116" cm="1">
        <f t="array" ref="CG16">_xll.EQNXTDZ($A$1,$B16,CG$1)</f>
        <v>1140.25</v>
      </c>
      <c r="CH16" s="116" cm="1">
        <f t="array" ref="CH16">_xll.EQNXTDZ($A$1,$B16,CH$1)</f>
        <v>1194.3</v>
      </c>
      <c r="CI16" s="116" cm="1">
        <f t="array" ref="CI16">_xll.EQNXTDZ($A$1,$B16,CI$1)</f>
        <v>1047.7</v>
      </c>
      <c r="CJ16" s="116" cm="1">
        <f t="array" ref="CJ16">_xll.EQNXTDZ($A$1,$B16,CJ$1)</f>
        <v>926.2</v>
      </c>
      <c r="CK16" s="116" cm="1">
        <f t="array" ref="CK16">_xll.EQNXTDZ($A$1,$B16,CK$1)</f>
        <v>904.1</v>
      </c>
      <c r="CL16" s="116" cm="1">
        <f t="array" ref="CL16">_xll.EQNXTDZ($A$1,$B16,CL$1)</f>
        <v>821.2</v>
      </c>
      <c r="CM16" s="116" cm="1">
        <f t="array" ref="CM16">_xll.EQNXTDZ($A$1,$B16,CM$1)</f>
        <v>809.05</v>
      </c>
      <c r="CN16" s="116" cm="1">
        <f t="array" ref="CN16">_xll.EQNXTDZ($A$1,$B16,CN$1)</f>
        <v>876.35</v>
      </c>
      <c r="CO16" s="116" cm="1">
        <f t="array" ref="CO16">_xll.EQNXTDZ($A$1,$B16,CO$1)</f>
        <v>799.95</v>
      </c>
      <c r="CP16" s="116" cm="1">
        <f t="array" ref="CP16">_xll.EQNXTDZ($A$1,$B16,CP$1)</f>
        <v>873.85</v>
      </c>
      <c r="CQ16" s="116" cm="1">
        <f t="array" ref="CQ16">_xll.EQNXTDZ($A$1,$B16,CQ$1)</f>
        <v>783.75</v>
      </c>
      <c r="CR16" s="116" cm="1">
        <f t="array" ref="CR16">_xll.EQNXTDZ($A$1,$B16,CR$1)</f>
        <v>489</v>
      </c>
      <c r="CS16" s="116" cm="1">
        <f t="array" ref="CS16">_xll.EQNXTDZ($A$1,$B16,CS$1)</f>
        <v>521.6</v>
      </c>
      <c r="CT16" s="116" cm="1">
        <f t="array" ref="CT16">_xll.EQNXTDZ($A$1,$B16,CT$1)</f>
        <v>554.70000000000005</v>
      </c>
      <c r="CU16" s="116" cm="1">
        <f t="array" ref="CU16">_xll.EQNXTDZ($A$1,$B16,CU$1)</f>
        <v>675.7</v>
      </c>
      <c r="CV16" s="116" cm="1">
        <f t="array" ref="CV16">_xll.EQNXTDZ($A$1,$B16,CV$1)</f>
        <v>761.1</v>
      </c>
      <c r="CW16" s="116" cm="1">
        <f t="array" ref="CW16">_xll.EQNXTDZ($A$1,$B16,CW$1)</f>
        <v>748.85</v>
      </c>
      <c r="CX16" s="116" cm="1">
        <f t="array" ref="CX16">_xll.EQNXTDZ($A$1,$B16,CX$1)</f>
        <v>782.25</v>
      </c>
      <c r="CY16" s="116" cm="1">
        <f t="array" ref="CY16">_xll.EQNXTDZ($A$1,$B16,CY$1)</f>
        <v>841.9</v>
      </c>
      <c r="CZ16" s="116" cm="1">
        <f t="array" ref="CZ16">_xll.EQNXTDZ($A$1,$B16,CZ$1)</f>
        <v>1099.1500000000001</v>
      </c>
      <c r="DA16" s="116" cm="1">
        <f t="array" ref="DA16">_xll.EQNXTDZ($A$1,$B16,DA$1)</f>
        <v>1078.6500000000001</v>
      </c>
      <c r="DB16" s="116" cm="1">
        <f t="array" ref="DB16">_xll.EQNXTDZ($A$1,$B16,DB$1)</f>
        <v>1156.3499999999999</v>
      </c>
      <c r="DC16" s="116" cm="1">
        <f t="array" ref="DC16">_xll.EQNXTDZ($A$1,$B16,DC$1)</f>
        <v>1434.75</v>
      </c>
      <c r="DD16" s="116" cm="1">
        <f t="array" ref="DD16">_xll.EQNXTDZ($A$1,$B16,DD$1)</f>
        <v>1587.05</v>
      </c>
      <c r="DE16" s="116" cm="1">
        <f t="array" ref="DE16">_xll.EQNXTDZ($A$1,$B16,DE$1)</f>
        <v>1507.3</v>
      </c>
      <c r="DF16" s="116" cm="1">
        <f t="array" ref="DF16">_xll.EQNXTDZ($A$1,$B16,DF$1)</f>
        <v>1762.35</v>
      </c>
      <c r="DG16" s="116" cm="1">
        <f t="array" ref="DG16">_xll.EQNXTDZ($A$1,$B16,DG$1)</f>
        <v>1893.2</v>
      </c>
      <c r="DH16" s="116" cm="1">
        <f t="array" ref="DH16">_xll.EQNXTDZ($A$1,$B16,DH$1)</f>
        <v>2138.75</v>
      </c>
      <c r="DI16" s="116" cm="1">
        <f t="array" ref="DI16">_xll.EQNXTDZ($A$1,$B16,DI$1)</f>
        <v>2199.5</v>
      </c>
      <c r="DJ16" s="116" cm="1">
        <f t="array" ref="DJ16">_xll.EQNXTDZ($A$1,$B16,DJ$1)</f>
        <v>2107.9</v>
      </c>
      <c r="DK16" s="116" cm="1">
        <f t="array" ref="DK16">_xll.EQNXTDZ($A$1,$B16,DK$1)</f>
        <v>2013.75</v>
      </c>
      <c r="DL16" s="116" cm="1">
        <f t="array" ref="DL16">_xll.EQNXTDZ($A$1,$B16,DL$1)</f>
        <v>1873.35</v>
      </c>
      <c r="DM16" s="116" cm="1">
        <f t="array" ref="DM16">_xll.EQNXTDZ($A$1,$B16,DM$1)</f>
        <v>1846.75</v>
      </c>
      <c r="DN16" s="116" cm="1">
        <f t="array" ref="DN16">_xll.EQNXTDZ($A$1,$B16,DN$1)</f>
        <v>1781.1</v>
      </c>
      <c r="DO16" s="116" cm="1">
        <f t="array" ref="DO16">_xll.EQNXTDZ($A$1,$B16,DO$1)</f>
        <v>1564.45</v>
      </c>
      <c r="DP16" s="116" cm="1">
        <f t="array" ref="DP16">_xll.EQNXTDZ($A$1,$B16,DP$1)</f>
        <v>1494.7</v>
      </c>
      <c r="DQ16" s="116" cm="1">
        <f t="array" ref="DQ16">_xll.EQNXTDZ($A$1,$B16,DQ$1)</f>
        <v>1518.3</v>
      </c>
      <c r="DR16" s="116" cm="1">
        <f t="array" ref="DR16">_xll.EQNXTDZ($A$1,$B16,DR$1)</f>
        <v>1361.1</v>
      </c>
      <c r="DS16" s="116" cm="1">
        <f t="array" ref="DS16">_xll.EQNXTDZ($A$1,$B16,DS$1)</f>
        <v>1283.3499999999999</v>
      </c>
      <c r="DT16" s="116" cm="1">
        <f t="array" ref="DT16">_xll.EQNXTDZ($A$1,$B16,DT$1)</f>
        <v>1599.05</v>
      </c>
      <c r="DU16" s="116" cm="1">
        <f t="array" ref="DU16">_xll.EQNXTDZ($A$1,$B16,DU$1)</f>
        <v>1537.15</v>
      </c>
      <c r="DV16" s="116" cm="1">
        <f t="array" ref="DV16">_xll.EQNXTDZ($A$1,$B16,DV$1)</f>
        <v>1598.85</v>
      </c>
      <c r="DW16" s="116" cm="1">
        <f t="array" ref="DW16">_xll.EQNXTDZ($A$1,$B16,DW$1)</f>
        <v>1601.1</v>
      </c>
      <c r="DX16" s="116" cm="1">
        <f t="array" ref="DX16">_xll.EQNXTDZ($A$1,$B16,DX$1)</f>
        <v>1819.45</v>
      </c>
      <c r="DY16" s="116" cm="1">
        <f t="array" ref="DY16">_xll.EQNXTDZ($A$1,$B16,DY$1)</f>
        <v>1860.75</v>
      </c>
      <c r="DZ16" s="116" cm="1">
        <f t="array" ref="DZ16">_xll.EQNXTDZ($A$1,$B16,DZ$1)</f>
        <v>1768.35</v>
      </c>
      <c r="EA16" s="116" cm="1">
        <f t="array" ref="EA16">_xll.EQNXTDZ($A$1,$B16,EA$1)</f>
        <v>1835.1</v>
      </c>
      <c r="EB16" s="116" cm="1">
        <f t="array" ref="EB16">_xll.EQNXTDZ($A$1,$B16,EB$1)</f>
        <v>1963.85</v>
      </c>
      <c r="EC16" s="116" cm="1">
        <f t="array" ref="EC16">_xll.EQNXTDZ($A$1,$B16,EC$1)</f>
        <v>1995.15</v>
      </c>
      <c r="ED16" s="116" cm="1">
        <f t="array" ref="ED16">_xll.EQNXTDZ($A$1,$B16,ED$1)</f>
        <v>2128.4</v>
      </c>
      <c r="EE16" s="116" cm="1">
        <f t="array" ref="EE16">_xll.EQNXTDZ($A$1,$B16,EE$1)</f>
        <v>2167.1</v>
      </c>
      <c r="EF16" s="116" cm="1">
        <f t="array" ref="EF16">_xll.EQNXTDZ($A$1,$B16,EF$1)</f>
        <v>1954.35</v>
      </c>
      <c r="EG16" s="116" cm="1">
        <f t="array" ref="EG16">_xll.EQNXTDZ($A$1,$B16,EG$1)</f>
        <v>2081.6999999999998</v>
      </c>
      <c r="EH16" s="116" cm="1">
        <f t="array" ref="EH16">_xll.EQNXTDZ($A$1,$B16,EH$1)</f>
        <v>2405.3000000000002</v>
      </c>
      <c r="EI16" s="116" cm="1">
        <f t="array" ref="EI16">_xll.EQNXTDZ($A$1,$B16,EI$1)</f>
        <v>2100.4</v>
      </c>
      <c r="EJ16" s="116" cm="1">
        <f t="array" ref="EJ16">_xll.EQNXTDZ($A$1,$B16,EJ$1)</f>
        <v>2221.1</v>
      </c>
      <c r="EK16" s="116" cm="1">
        <f t="array" ref="EK16">_xll.EQNXTDZ($A$1,$B16,EK$1)</f>
        <v>2274.3000000000002</v>
      </c>
      <c r="EL16" s="116" cm="1">
        <f t="array" ref="EL16">_xll.EQNXTDZ($A$1,$B16,EL$1)</f>
        <v>2276.35</v>
      </c>
      <c r="EM16" s="116" cm="1">
        <f t="array" ref="EM16">_xll.EQNXTDZ($A$1,$B16,EM$1)</f>
        <v>2023.7</v>
      </c>
      <c r="EN16" s="116" cm="1">
        <f t="array" ref="EN16">_xll.EQNXTDZ($A$1,$B16,EN$1)</f>
        <v>1942.2</v>
      </c>
      <c r="EO16" s="116" cm="1">
        <f t="array" ref="EO16">_xll.EQNXTDZ($A$1,$B16,EO$1)</f>
        <v>1835.6</v>
      </c>
      <c r="EP16" s="116" cm="1">
        <f t="array" ref="EP16">_xll.EQNXTDZ($A$1,$B16,EP$1)</f>
        <v>1774.95</v>
      </c>
      <c r="EQ16" s="116" cm="1">
        <f t="array" ref="EQ16">_xll.EQNXTDZ($A$1,$B16,EQ$1)</f>
        <v>1814.7</v>
      </c>
      <c r="ER16" s="116" cm="1">
        <f t="array" ref="ER16">_xll.EQNXTDZ($A$1,$B16,ER$1)</f>
        <v>1849.9</v>
      </c>
      <c r="ES16" s="116" cm="1">
        <f t="array" ref="ES16">_xll.EQNXTDZ($A$1,$B16,ES$1)</f>
        <v>1888.85</v>
      </c>
      <c r="ET16" s="116" cm="1">
        <f t="array" ref="ET16">_xll.EQNXTDZ($A$1,$B16,ET$1)</f>
        <v>1933.4</v>
      </c>
      <c r="EU16" s="116" cm="1">
        <f t="array" ref="EU16">_xll.EQNXTDZ($A$1,$B16,EU$1)</f>
        <v>1831.2</v>
      </c>
      <c r="EV16" s="116" cm="1">
        <f t="array" ref="EV16">_xll.EQNXTDZ($A$1,$B16,EV$1)</f>
        <v>1818.35</v>
      </c>
      <c r="EW16" s="116" cm="1">
        <f t="array" ref="EW16">_xll.EQNXTDZ($A$1,$B16,EW$1)</f>
        <v>1766.4</v>
      </c>
      <c r="EX16" s="116" cm="1">
        <f t="array" ref="EX16">_xll.EQNXTDZ($A$1,$B16,EX$1)</f>
        <v>1870.35</v>
      </c>
      <c r="EY16" s="116" cm="1">
        <f t="array" ref="EY16">_xll.EQNXTDZ($A$1,$B16,EY$1)</f>
        <v>1687.75</v>
      </c>
      <c r="EZ16" s="116" cm="1">
        <f t="array" ref="EZ16">_xll.EQNXTDZ($A$1,$B16,EZ$1)</f>
        <v>1819.45</v>
      </c>
      <c r="FA16" s="116" cm="1">
        <f t="array" ref="FA16">_xll.EQNXTDZ($A$1,$B16,FA$1)</f>
        <v>1947.65</v>
      </c>
      <c r="FB16" s="116" cm="1">
        <f t="array" ref="FB16">_xll.EQNXTDZ($A$1,$B16,FB$1)</f>
        <v>2015.35</v>
      </c>
      <c r="FC16" s="116" cm="1">
        <f t="array" ref="FC16">_xll.EQNXTDZ($A$1,$B16,FC$1)</f>
        <v>2209.25</v>
      </c>
      <c r="FD16" s="116" cm="1">
        <f t="array" ref="FD16">_xll.EQNXTDZ($A$1,$B16,FD$1)</f>
        <v>2233.75</v>
      </c>
      <c r="FE16" s="116" cm="1">
        <f t="array" ref="FE16">_xll.EQNXTDZ($A$1,$B16,FE$1)</f>
        <v>2402.0500000000002</v>
      </c>
      <c r="FF16" s="116" cm="1">
        <f t="array" ref="FF16">_xll.EQNXTDZ($A$1,$B16,FF$1)</f>
        <v>2225.1</v>
      </c>
      <c r="FG16" s="116" cm="1">
        <f t="array" ref="FG16">_xll.EQNXTDZ($A$1,$B16,FG$1)</f>
        <v>2096.3000000000002</v>
      </c>
      <c r="FH16" s="116" cm="1">
        <f t="array" ref="FH16">_xll.EQNXTDZ($A$1,$B16,FH$1)</f>
        <v>2009.25</v>
      </c>
      <c r="FI16" s="116" cm="1">
        <f t="array" ref="FI16">_xll.EQNXTDZ($A$1,$B16,FI$1)</f>
        <v>2132.75</v>
      </c>
      <c r="FJ16" s="116" cm="1">
        <f t="array" ref="FJ16">_xll.EQNXTDZ($A$1,$B16,FJ$1)</f>
        <v>2065.5500000000002</v>
      </c>
      <c r="FK16" s="116" cm="1">
        <f t="array" ref="FK16">_xll.EQNXTDZ($A$1,$B16,FK$1)</f>
        <v>1990.1</v>
      </c>
      <c r="FL16" s="116" cm="1">
        <f t="array" ref="FL16">_xll.EQNXTDZ($A$1,$B16,FL$1)</f>
        <v>1775.95</v>
      </c>
      <c r="FM16" s="116" cm="1">
        <f t="array" ref="FM16">_xll.EQNXTDZ($A$1,$B16,FM$1)</f>
        <v>1906.5</v>
      </c>
      <c r="FN16" s="116" cm="1">
        <f t="array" ref="FN16">_xll.EQNXTDZ($A$1,$B16,FN$1)</f>
        <v>1751.15</v>
      </c>
      <c r="FO16" s="116" cm="1">
        <f t="array" ref="FO16">_xll.EQNXTDZ($A$1,$B16,FO$1)</f>
        <v>1709.75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1099</v>
      </c>
      <c r="IP16" s="116">
        <f>+CF16</f>
        <v>989.85</v>
      </c>
      <c r="IQ16" s="116">
        <f>+CI16</f>
        <v>1047.7</v>
      </c>
      <c r="IR16" s="116">
        <f>+CL16</f>
        <v>821.2</v>
      </c>
      <c r="IS16" s="116">
        <f>+CO16</f>
        <v>799.95</v>
      </c>
      <c r="IT16" s="116">
        <f>+CR16</f>
        <v>489</v>
      </c>
      <c r="IU16" s="116">
        <f>+CU16</f>
        <v>675.7</v>
      </c>
      <c r="IV16" s="116">
        <f>+CX16</f>
        <v>782.25</v>
      </c>
      <c r="IW16" s="116">
        <f>+DA16</f>
        <v>1078.6500000000001</v>
      </c>
      <c r="IX16" s="116">
        <f>+DD16</f>
        <v>1587.05</v>
      </c>
      <c r="IY16" s="116">
        <f>+DG16</f>
        <v>1893.2</v>
      </c>
      <c r="IZ16" s="116">
        <f>+DJ16</f>
        <v>2107.9</v>
      </c>
      <c r="JA16" s="116">
        <f>+DM16</f>
        <v>1846.75</v>
      </c>
      <c r="JB16" s="116">
        <f>+DP16</f>
        <v>1494.7</v>
      </c>
      <c r="JC16" s="116">
        <f>+DS16</f>
        <v>1283.3499999999999</v>
      </c>
      <c r="JD16" s="116">
        <f>+DV16</f>
        <v>1598.85</v>
      </c>
      <c r="JE16" s="116">
        <f>+DY16</f>
        <v>1860.75</v>
      </c>
      <c r="JF16" s="116">
        <f>+EB16</f>
        <v>1963.85</v>
      </c>
      <c r="JG16" s="116">
        <f>+EE16</f>
        <v>2167.1</v>
      </c>
      <c r="JH16" s="116">
        <f>+EH16</f>
        <v>2405.3000000000002</v>
      </c>
      <c r="JI16" s="116">
        <f>+EK16</f>
        <v>2274.3000000000002</v>
      </c>
      <c r="JJ16" s="116">
        <f>+EN16</f>
        <v>1942.2</v>
      </c>
      <c r="JK16" s="116">
        <f>EQ16</f>
        <v>1814.7</v>
      </c>
      <c r="JL16" s="116">
        <f>ET16</f>
        <v>1933.4</v>
      </c>
      <c r="JM16" s="116">
        <f>EW16</f>
        <v>1766.4</v>
      </c>
      <c r="JN16" s="116">
        <f>EZ16</f>
        <v>1819.45</v>
      </c>
      <c r="JO16" s="116">
        <f>FC16</f>
        <v>2209.25</v>
      </c>
      <c r="JP16" s="116">
        <f>FF16</f>
        <v>2225.1</v>
      </c>
      <c r="JQ16" s="116">
        <f>FI16</f>
        <v>2132.75</v>
      </c>
      <c r="JR16" s="116">
        <f>FL16</f>
        <v>1775.95</v>
      </c>
      <c r="JS16" s="116">
        <f>FO16</f>
        <v>1709.75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1141</v>
      </c>
      <c r="IP19" s="116">
        <f t="shared" si="1"/>
        <v>1218</v>
      </c>
      <c r="IQ19" s="116">
        <f t="shared" si="1"/>
        <v>1220</v>
      </c>
      <c r="IR19" s="116">
        <f t="shared" si="1"/>
        <v>1071</v>
      </c>
      <c r="IS19" s="116">
        <f t="shared" si="1"/>
        <v>898</v>
      </c>
      <c r="IT19" s="116">
        <f t="shared" si="1"/>
        <v>918</v>
      </c>
      <c r="IU19" s="116">
        <f t="shared" si="1"/>
        <v>720</v>
      </c>
      <c r="IV19" s="116">
        <f t="shared" si="1"/>
        <v>824.55</v>
      </c>
      <c r="IW19" s="116">
        <f t="shared" si="1"/>
        <v>1195.7</v>
      </c>
      <c r="IX19" s="116">
        <f t="shared" si="1"/>
        <v>1690.6</v>
      </c>
      <c r="IY19" s="116">
        <f t="shared" si="1"/>
        <v>1944.5</v>
      </c>
      <c r="IZ19" s="116">
        <f t="shared" si="1"/>
        <v>2547.1999999999998</v>
      </c>
      <c r="JA19" s="116">
        <f t="shared" si="1"/>
        <v>2195</v>
      </c>
      <c r="JB19" s="116">
        <f t="shared" si="1"/>
        <v>2102.8000000000002</v>
      </c>
      <c r="JC19" s="116">
        <f t="shared" si="1"/>
        <v>1640.8</v>
      </c>
      <c r="JD19" s="116">
        <f t="shared" si="1"/>
        <v>1795.5</v>
      </c>
      <c r="JE19" s="116">
        <f t="shared" si="1"/>
        <v>1946.35</v>
      </c>
      <c r="JF19" s="116">
        <f t="shared" si="1"/>
        <v>1989</v>
      </c>
      <c r="JG19" s="116">
        <f t="shared" si="1"/>
        <v>2289.4499999999998</v>
      </c>
      <c r="JH19" s="116">
        <f t="shared" si="1"/>
        <v>2424.4</v>
      </c>
      <c r="JI19" s="116">
        <f t="shared" si="1"/>
        <v>2428.85</v>
      </c>
      <c r="JJ19" s="116">
        <f t="shared" ref="JJ19:JJ21" si="2">+IF(JJ14=0,JJ7,JJ14)</f>
        <v>2428.5500000000002</v>
      </c>
      <c r="JK19" s="116">
        <f t="shared" ref="JK19" si="3">+IF(JK14=0,JK7,JK14)</f>
        <v>2064.4499999999998</v>
      </c>
      <c r="JL19" s="116">
        <f t="shared" ref="JL19:JM19" si="4">+IF(JL14=0,JL7,JL14)</f>
        <v>1981.7</v>
      </c>
      <c r="JM19" s="116">
        <f t="shared" si="4"/>
        <v>1983.2</v>
      </c>
      <c r="JN19" s="116">
        <f t="shared" ref="JN19:JO19" si="5">+IF(JN14=0,JN7,JN14)</f>
        <v>1919.85</v>
      </c>
      <c r="JO19" s="116">
        <f t="shared" si="5"/>
        <v>2232.65</v>
      </c>
      <c r="JP19" s="116">
        <f t="shared" ref="JP19" si="6">+IF(JP14=0,JP7,JP14)</f>
        <v>2495.9499999999998</v>
      </c>
      <c r="JQ19" s="116">
        <f t="shared" ref="JQ19:KH19" si="7">+IF(JQ14=0,JQ7,JQ14)</f>
        <v>2320</v>
      </c>
      <c r="JR19" s="116">
        <f t="shared" si="7"/>
        <v>2260.4</v>
      </c>
      <c r="JS19" s="116">
        <f t="shared" si="7"/>
        <v>2005.25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903</v>
      </c>
      <c r="IQ20" s="116">
        <f t="shared" si="1"/>
        <v>980.05</v>
      </c>
      <c r="IR20" s="116">
        <f t="shared" si="1"/>
        <v>752</v>
      </c>
      <c r="IS20" s="116">
        <f t="shared" si="1"/>
        <v>761</v>
      </c>
      <c r="IT20" s="116">
        <f t="shared" si="1"/>
        <v>406</v>
      </c>
      <c r="IU20" s="116">
        <f t="shared" si="1"/>
        <v>417</v>
      </c>
      <c r="IV20" s="116">
        <f t="shared" si="1"/>
        <v>651.95000000000005</v>
      </c>
      <c r="IW20" s="116">
        <f t="shared" si="1"/>
        <v>740</v>
      </c>
      <c r="IX20" s="116">
        <f t="shared" si="1"/>
        <v>1064.05</v>
      </c>
      <c r="IY20" s="116">
        <f t="shared" si="1"/>
        <v>1405.9</v>
      </c>
      <c r="IZ20" s="116">
        <f t="shared" si="1"/>
        <v>1837.85</v>
      </c>
      <c r="JA20" s="116">
        <f t="shared" si="1"/>
        <v>1756.45</v>
      </c>
      <c r="JB20" s="116">
        <f t="shared" si="1"/>
        <v>1279.45</v>
      </c>
      <c r="JC20" s="116">
        <f t="shared" si="1"/>
        <v>1212.5999999999999</v>
      </c>
      <c r="JD20" s="116">
        <f t="shared" si="1"/>
        <v>1274.2</v>
      </c>
      <c r="JE20" s="116">
        <f t="shared" si="1"/>
        <v>1478.05</v>
      </c>
      <c r="JF20" s="116">
        <f t="shared" si="1"/>
        <v>1675</v>
      </c>
      <c r="JG20" s="116">
        <f t="shared" si="1"/>
        <v>1885.95</v>
      </c>
      <c r="JH20" s="116">
        <f t="shared" si="1"/>
        <v>1877</v>
      </c>
      <c r="JI20" s="116">
        <f t="shared" si="1"/>
        <v>1998</v>
      </c>
      <c r="JJ20" s="116">
        <f t="shared" si="2"/>
        <v>1805</v>
      </c>
      <c r="JK20" s="116">
        <f t="shared" ref="JK20" si="9">+IF(JK15=0,JK8,JK15)</f>
        <v>1664.2</v>
      </c>
      <c r="JL20" s="116">
        <f t="shared" ref="JL20:JM20" si="10">+IF(JL15=0,JL8,JL15)</f>
        <v>1706</v>
      </c>
      <c r="JM20" s="116">
        <f t="shared" si="10"/>
        <v>1677.05</v>
      </c>
      <c r="JN20" s="116">
        <f t="shared" ref="JN20:JO20" si="11">+IF(JN15=0,JN8,JN15)</f>
        <v>1602</v>
      </c>
      <c r="JO20" s="116">
        <f t="shared" si="11"/>
        <v>1714.05</v>
      </c>
      <c r="JP20" s="116">
        <f t="shared" ref="JP20" si="12">+IF(JP15=0,JP8,JP15)</f>
        <v>2121.6999999999998</v>
      </c>
      <c r="JQ20" s="116">
        <f t="shared" ref="JQ20:KH20" si="13">+IF(JQ15=0,JQ8,JQ15)</f>
        <v>1933.4</v>
      </c>
      <c r="JR20" s="116">
        <f t="shared" si="13"/>
        <v>1721.5</v>
      </c>
      <c r="JS20" s="116">
        <f t="shared" si="13"/>
        <v>1605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1099</v>
      </c>
      <c r="IP21" s="116">
        <f t="shared" si="1"/>
        <v>989.85</v>
      </c>
      <c r="IQ21" s="116">
        <f t="shared" si="1"/>
        <v>1047.7</v>
      </c>
      <c r="IR21" s="116">
        <f t="shared" si="1"/>
        <v>821.2</v>
      </c>
      <c r="IS21" s="116">
        <f t="shared" si="1"/>
        <v>799.95</v>
      </c>
      <c r="IT21" s="116">
        <f t="shared" si="1"/>
        <v>489</v>
      </c>
      <c r="IU21" s="116">
        <f t="shared" si="1"/>
        <v>675.7</v>
      </c>
      <c r="IV21" s="116">
        <f t="shared" si="1"/>
        <v>782.25</v>
      </c>
      <c r="IW21" s="116">
        <f t="shared" si="1"/>
        <v>1078.6500000000001</v>
      </c>
      <c r="IX21" s="116">
        <f t="shared" si="1"/>
        <v>1587.05</v>
      </c>
      <c r="IY21" s="116">
        <f t="shared" si="1"/>
        <v>1893.2</v>
      </c>
      <c r="IZ21" s="116">
        <f t="shared" si="1"/>
        <v>2107.9</v>
      </c>
      <c r="JA21" s="116">
        <f t="shared" si="1"/>
        <v>1846.75</v>
      </c>
      <c r="JB21" s="116">
        <f t="shared" si="1"/>
        <v>1494.7</v>
      </c>
      <c r="JC21" s="116">
        <f t="shared" si="1"/>
        <v>1283.3499999999999</v>
      </c>
      <c r="JD21" s="116">
        <f t="shared" si="1"/>
        <v>1598.85</v>
      </c>
      <c r="JE21" s="116">
        <f t="shared" si="1"/>
        <v>1860.75</v>
      </c>
      <c r="JF21" s="116">
        <f t="shared" si="1"/>
        <v>1963.85</v>
      </c>
      <c r="JG21" s="116">
        <f t="shared" si="1"/>
        <v>2167.1</v>
      </c>
      <c r="JH21" s="116">
        <f t="shared" si="1"/>
        <v>2405.3000000000002</v>
      </c>
      <c r="JI21" s="116">
        <f t="shared" si="1"/>
        <v>2274.3000000000002</v>
      </c>
      <c r="JJ21" s="116">
        <f t="shared" si="2"/>
        <v>1942.2</v>
      </c>
      <c r="JK21" s="116">
        <f t="shared" ref="JK21" si="14">+IF(JK16=0,JK9,JK16)</f>
        <v>1814.7</v>
      </c>
      <c r="JL21" s="116">
        <f t="shared" ref="JL21:JM21" si="15">+IF(JL16=0,JL9,JL16)</f>
        <v>1933.4</v>
      </c>
      <c r="JM21" s="116">
        <f t="shared" si="15"/>
        <v>1766.4</v>
      </c>
      <c r="JN21" s="116">
        <f t="shared" ref="JN21:JO21" si="16">+IF(JN16=0,JN9,JN16)</f>
        <v>1819.45</v>
      </c>
      <c r="JO21" s="116">
        <f t="shared" si="16"/>
        <v>2209.25</v>
      </c>
      <c r="JP21" s="116">
        <f t="shared" ref="JP21" si="17">+IF(JP16=0,JP9,JP16)</f>
        <v>2225.1</v>
      </c>
      <c r="JQ21" s="116">
        <f t="shared" ref="JQ21:KH21" si="18">+IF(JQ16=0,JQ9,JQ16)</f>
        <v>2132.75</v>
      </c>
      <c r="JR21" s="116">
        <f t="shared" si="18"/>
        <v>1775.95</v>
      </c>
      <c r="JS21" s="116">
        <f t="shared" si="18"/>
        <v>1709.75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293380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56900220</v>
      </c>
      <c r="AD6" cm="1">
        <f t="array" ref="AD6">_xll.EQNXTDZ($A$1,$B6,AD$1)</f>
        <v>192958553</v>
      </c>
      <c r="AE6" cm="1">
        <f t="array" ref="AE6">_xll.EQNXTDZ($A$1,$B6,AE$1)</f>
        <v>192958553</v>
      </c>
      <c r="AF6" cm="1">
        <f t="array" ref="AF6">_xll.EQNXTDZ($A$1,$B6,AF$1)</f>
        <v>192958553</v>
      </c>
      <c r="AG6" cm="1">
        <f t="array" ref="AG6">_xll.EQNXTDZ($A$1,$B6,AG$1)</f>
        <v>192958553</v>
      </c>
      <c r="AH6" cm="1">
        <f t="array" ref="AH6">_xll.EQNXTDZ($A$1,$B6,AH$1)</f>
        <v>192958553</v>
      </c>
      <c r="AI6" cm="1">
        <f t="array" ref="AI6">_xll.EQNXTDZ($A$1,$B6,AI$1)</f>
        <v>187647745</v>
      </c>
      <c r="AJ6" cm="1">
        <f t="array" ref="AJ6">_xll.EQNXTDZ($A$1,$B6,AJ$1)</f>
        <v>186792013</v>
      </c>
      <c r="AK6" cm="1">
        <f t="array" ref="AK6">_xll.EQNXTDZ($A$1,$B6,AK$1)</f>
        <v>186792013</v>
      </c>
      <c r="AL6" cm="1">
        <f t="array" ref="AL6">_xll.EQNXTDZ($A$1,$B6,AL$1)</f>
        <v>187117513</v>
      </c>
      <c r="AM6" cm="1">
        <f t="array" ref="AM6">_xll.EQNXTDZ($A$1,$B6,AM$1)</f>
        <v>187117513</v>
      </c>
      <c r="AN6" cm="1">
        <f t="array" ref="AN6">_xll.EQNXTDZ($A$1,$B6,AN$1)</f>
        <v>187117513</v>
      </c>
      <c r="AO6" cm="1">
        <f t="array" ref="AO6">_xll.EQNXTDZ($A$1,$B6,AO$1)</f>
        <v>187128673</v>
      </c>
      <c r="AP6" cm="1">
        <f t="array" ref="AP6">_xll.EQNXTDZ($A$1,$B6,AP$1)</f>
        <v>187368673</v>
      </c>
      <c r="AQ6" cm="1">
        <f t="array" ref="AQ6">_xll.EQNXTDZ($A$1,$B6,AQ$1)</f>
        <v>187368673</v>
      </c>
      <c r="AR6" cm="1">
        <f t="array" ref="AR6">_xll.EQNXTDZ($A$1,$B6,AR$1)</f>
        <v>187468673</v>
      </c>
      <c r="AS6" cm="1">
        <f t="array" ref="AS6">_xll.EQNXTDZ($A$1,$B6,AS$1)</f>
        <v>187479833</v>
      </c>
      <c r="AT6" cm="1">
        <f t="array" ref="AT6">_xll.EQNXTDZ($A$1,$B6,AT$1)</f>
        <v>187480361</v>
      </c>
      <c r="AU6" cm="1">
        <f t="array" ref="AU6">_xll.EQNXTDZ($A$1,$B6,AU$1)</f>
        <v>187480361</v>
      </c>
      <c r="AV6" cm="1">
        <f t="array" ref="AV6">_xll.EQNXTDZ($A$1,$B6,AV$1)</f>
        <v>187530361</v>
      </c>
      <c r="AW6" cm="1">
        <f t="array" ref="AW6">_xll.EQNXTDZ($A$1,$B6,AW$1)</f>
        <v>187547629</v>
      </c>
      <c r="AX6" cm="1">
        <f t="array" ref="AX6">_xll.EQNXTDZ($A$1,$B6,AX$1)</f>
        <v>187547629</v>
      </c>
      <c r="AY6" cm="1">
        <f t="array" ref="AY6">_xll.EQNXTDZ($A$1,$B6,AY$1)</f>
        <v>187547629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5.6900219999999999</v>
      </c>
      <c r="AD7" s="100">
        <f t="shared" si="1"/>
        <v>19.295855299999999</v>
      </c>
      <c r="AE7" s="100">
        <f t="shared" si="1"/>
        <v>19.295855299999999</v>
      </c>
      <c r="AF7" s="100">
        <f t="shared" si="1"/>
        <v>19.295855299999999</v>
      </c>
      <c r="AG7" s="100">
        <f t="shared" si="1"/>
        <v>19.295855299999999</v>
      </c>
      <c r="AH7" s="100">
        <f t="shared" si="1"/>
        <v>19.295855299999999</v>
      </c>
      <c r="AI7" s="100">
        <f t="shared" si="1"/>
        <v>18.764774500000001</v>
      </c>
      <c r="AJ7" s="100">
        <f t="shared" si="1"/>
        <v>18.679201299999999</v>
      </c>
      <c r="AK7" s="100">
        <f t="shared" si="1"/>
        <v>18.679201299999999</v>
      </c>
      <c r="AL7" s="100">
        <f t="shared" si="1"/>
        <v>18.7117513</v>
      </c>
      <c r="AM7" s="100">
        <f t="shared" si="1"/>
        <v>18.7117513</v>
      </c>
      <c r="AN7" s="100">
        <f t="shared" si="1"/>
        <v>18.7117513</v>
      </c>
      <c r="AO7" s="100">
        <f t="shared" si="1"/>
        <v>18.712867299999999</v>
      </c>
      <c r="AP7" s="100">
        <f t="shared" si="1"/>
        <v>18.7368673</v>
      </c>
      <c r="AQ7" s="100">
        <f t="shared" si="1"/>
        <v>18.7368673</v>
      </c>
      <c r="AR7" s="100">
        <f t="shared" si="1"/>
        <v>18.746867300000002</v>
      </c>
      <c r="AS7" s="100">
        <f t="shared" si="1"/>
        <v>18.747983300000001</v>
      </c>
      <c r="AT7" s="100">
        <f t="shared" ref="AT7:AX7" si="2">+AT6/10^7</f>
        <v>18.7480361</v>
      </c>
      <c r="AU7" s="100">
        <f t="shared" si="2"/>
        <v>18.7480361</v>
      </c>
      <c r="AV7" s="100">
        <f t="shared" si="2"/>
        <v>18.753036099999999</v>
      </c>
      <c r="AW7" s="100">
        <f t="shared" si="2"/>
        <v>18.754762899999999</v>
      </c>
      <c r="AX7" s="100">
        <f t="shared" si="2"/>
        <v>18.754762899999999</v>
      </c>
      <c r="AY7" s="100">
        <f t="shared" ref="AY7" si="3">+AY6/10^7</f>
        <v>18.754762899999999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293380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43460</v>
      </c>
      <c r="B4" s="116">
        <v>1070</v>
      </c>
      <c r="C4" s="116">
        <v>1031</v>
      </c>
      <c r="D4" s="116">
        <v>1031</v>
      </c>
      <c r="E4" s="116">
        <v>1070</v>
      </c>
      <c r="F4" s="116">
        <v>1031</v>
      </c>
      <c r="G4">
        <v>95</v>
      </c>
      <c r="H4" s="116"/>
      <c r="I4" s="116"/>
      <c r="L4" s="170">
        <v>43455</v>
      </c>
      <c r="M4" s="116">
        <v>1130.05</v>
      </c>
      <c r="N4" s="116">
        <v>1180</v>
      </c>
      <c r="O4" s="116">
        <v>1105</v>
      </c>
      <c r="P4" s="116">
        <v>1132.25</v>
      </c>
      <c r="Q4" s="116">
        <v>1130.05</v>
      </c>
      <c r="R4">
        <v>26515</v>
      </c>
    </row>
    <row r="5" spans="1:18" x14ac:dyDescent="0.25">
      <c r="A5" s="170">
        <v>43461</v>
      </c>
      <c r="B5" s="116">
        <v>1035</v>
      </c>
      <c r="C5" s="116">
        <v>1035</v>
      </c>
      <c r="D5" s="116">
        <v>1035</v>
      </c>
      <c r="E5" s="116">
        <v>1035</v>
      </c>
      <c r="F5" s="116">
        <v>1035</v>
      </c>
      <c r="G5">
        <v>12</v>
      </c>
      <c r="H5" s="116"/>
      <c r="I5" s="116"/>
      <c r="L5" s="170">
        <v>43458</v>
      </c>
      <c r="M5" s="116">
        <v>1073.55</v>
      </c>
      <c r="N5" s="116">
        <v>1121</v>
      </c>
      <c r="O5" s="116">
        <v>1073.55</v>
      </c>
      <c r="P5" s="116">
        <v>1120</v>
      </c>
      <c r="Q5" s="116">
        <v>1073.55</v>
      </c>
      <c r="R5">
        <v>893</v>
      </c>
    </row>
    <row r="6" spans="1:18" x14ac:dyDescent="0.25">
      <c r="A6" s="170">
        <v>43462</v>
      </c>
      <c r="B6" s="116">
        <v>1086.75</v>
      </c>
      <c r="C6" s="116">
        <v>1086.75</v>
      </c>
      <c r="D6" s="116">
        <v>1086.75</v>
      </c>
      <c r="E6" s="116">
        <v>1086.75</v>
      </c>
      <c r="F6" s="116">
        <v>1086.75</v>
      </c>
      <c r="G6">
        <v>3</v>
      </c>
      <c r="H6" s="116"/>
      <c r="I6" s="116"/>
      <c r="L6" s="170">
        <v>43460</v>
      </c>
      <c r="M6" s="116">
        <v>1106.25</v>
      </c>
      <c r="N6" s="116">
        <v>1121</v>
      </c>
      <c r="O6" s="116">
        <v>1021</v>
      </c>
      <c r="P6" s="116">
        <v>1073</v>
      </c>
      <c r="Q6" s="116">
        <v>1106.25</v>
      </c>
      <c r="R6">
        <v>3489</v>
      </c>
    </row>
    <row r="7" spans="1:18" x14ac:dyDescent="0.25">
      <c r="A7" s="170">
        <v>43465</v>
      </c>
      <c r="B7" s="116">
        <v>1141</v>
      </c>
      <c r="C7" s="116">
        <v>1099</v>
      </c>
      <c r="D7" s="116">
        <v>1035</v>
      </c>
      <c r="E7" s="116">
        <v>1141</v>
      </c>
      <c r="F7" s="116">
        <v>1099</v>
      </c>
      <c r="G7">
        <v>535</v>
      </c>
      <c r="H7" s="116"/>
      <c r="I7" s="116"/>
      <c r="L7" s="170">
        <v>43461</v>
      </c>
      <c r="M7" s="116">
        <v>1081</v>
      </c>
      <c r="N7" s="116">
        <v>1121</v>
      </c>
      <c r="O7" s="116">
        <v>1060.05</v>
      </c>
      <c r="P7" s="116">
        <v>1060.05</v>
      </c>
      <c r="Q7" s="116">
        <v>1081</v>
      </c>
      <c r="R7">
        <v>560</v>
      </c>
    </row>
    <row r="8" spans="1:18" x14ac:dyDescent="0.25">
      <c r="A8" s="170">
        <v>43466</v>
      </c>
      <c r="B8" s="116">
        <v>1134.45</v>
      </c>
      <c r="C8" s="116">
        <v>1070.0999999999999</v>
      </c>
      <c r="D8" s="116">
        <v>1070.0999999999999</v>
      </c>
      <c r="E8" s="116">
        <v>1134.45</v>
      </c>
      <c r="F8" s="116">
        <v>1070.0999999999999</v>
      </c>
      <c r="G8">
        <v>206</v>
      </c>
      <c r="H8" s="116"/>
      <c r="I8" s="116"/>
      <c r="L8" s="170">
        <v>43462</v>
      </c>
      <c r="M8" s="116">
        <v>1099.8</v>
      </c>
      <c r="N8" s="116">
        <v>1119.9000000000001</v>
      </c>
      <c r="O8" s="116">
        <v>1071</v>
      </c>
      <c r="P8" s="116">
        <v>1071</v>
      </c>
      <c r="Q8" s="116">
        <v>1099.8</v>
      </c>
      <c r="R8">
        <v>6582</v>
      </c>
    </row>
    <row r="9" spans="1:18" x14ac:dyDescent="0.25">
      <c r="A9" s="170">
        <v>43467</v>
      </c>
      <c r="B9" s="116">
        <v>1100</v>
      </c>
      <c r="C9" s="116">
        <v>1070.25</v>
      </c>
      <c r="D9" s="116">
        <v>1051</v>
      </c>
      <c r="E9" s="116">
        <v>1051</v>
      </c>
      <c r="F9" s="116">
        <v>1070.25</v>
      </c>
      <c r="G9">
        <v>351</v>
      </c>
      <c r="H9" s="116"/>
      <c r="I9" s="116"/>
      <c r="L9" s="170">
        <v>43465</v>
      </c>
      <c r="M9" s="116">
        <v>1099.8499999999999</v>
      </c>
      <c r="N9" s="116">
        <v>1119.9000000000001</v>
      </c>
      <c r="O9" s="116">
        <v>1051</v>
      </c>
      <c r="P9" s="116">
        <v>1119.9000000000001</v>
      </c>
      <c r="Q9" s="116">
        <v>1099.8499999999999</v>
      </c>
      <c r="R9">
        <v>9313</v>
      </c>
    </row>
    <row r="10" spans="1:18" x14ac:dyDescent="0.25">
      <c r="A10" s="170">
        <v>43468</v>
      </c>
      <c r="B10" s="116">
        <v>1055.25</v>
      </c>
      <c r="C10" s="116">
        <v>1055.25</v>
      </c>
      <c r="D10" s="116">
        <v>1055.25</v>
      </c>
      <c r="E10" s="116">
        <v>1055.25</v>
      </c>
      <c r="F10" s="116">
        <v>1055.25</v>
      </c>
      <c r="G10">
        <v>1</v>
      </c>
      <c r="H10" s="116"/>
      <c r="I10" s="116"/>
      <c r="L10" s="170">
        <v>43466</v>
      </c>
      <c r="M10" s="116">
        <v>1093.05</v>
      </c>
      <c r="N10" s="116">
        <v>1119</v>
      </c>
      <c r="O10" s="116">
        <v>1080</v>
      </c>
      <c r="P10" s="116">
        <v>1100</v>
      </c>
      <c r="Q10" s="116">
        <v>1093.05</v>
      </c>
      <c r="R10">
        <v>1498</v>
      </c>
    </row>
    <row r="11" spans="1:18" x14ac:dyDescent="0.25">
      <c r="A11" s="170">
        <v>43469</v>
      </c>
      <c r="B11" s="116">
        <v>1099</v>
      </c>
      <c r="C11" s="116">
        <v>1079.3499999999999</v>
      </c>
      <c r="D11" s="116">
        <v>1079</v>
      </c>
      <c r="E11" s="116">
        <v>1099</v>
      </c>
      <c r="F11" s="116">
        <v>1079.3499999999999</v>
      </c>
      <c r="G11">
        <v>43</v>
      </c>
      <c r="H11" s="116"/>
      <c r="I11" s="116"/>
      <c r="L11" s="170">
        <v>43467</v>
      </c>
      <c r="M11" s="116">
        <v>1081</v>
      </c>
      <c r="N11" s="116">
        <v>1099.8</v>
      </c>
      <c r="O11" s="116">
        <v>1066</v>
      </c>
      <c r="P11" s="116">
        <v>1093</v>
      </c>
      <c r="Q11" s="116">
        <v>1081</v>
      </c>
      <c r="R11">
        <v>2783</v>
      </c>
    </row>
    <row r="12" spans="1:18" x14ac:dyDescent="0.25">
      <c r="A12" s="170">
        <v>43488</v>
      </c>
      <c r="B12" s="116">
        <v>903</v>
      </c>
      <c r="C12" s="116">
        <v>903</v>
      </c>
      <c r="D12" s="116">
        <v>903</v>
      </c>
      <c r="E12" s="116">
        <v>903</v>
      </c>
      <c r="F12" s="116">
        <v>903</v>
      </c>
      <c r="G12">
        <v>38</v>
      </c>
      <c r="H12" s="116"/>
      <c r="I12" s="116"/>
      <c r="L12" s="170">
        <v>43468</v>
      </c>
      <c r="M12" s="116">
        <v>1080.3499999999999</v>
      </c>
      <c r="N12" s="116">
        <v>1115</v>
      </c>
      <c r="O12" s="116">
        <v>1061</v>
      </c>
      <c r="P12" s="116">
        <v>1115</v>
      </c>
      <c r="Q12" s="116">
        <v>1080.3499999999999</v>
      </c>
      <c r="R12">
        <v>799</v>
      </c>
    </row>
    <row r="13" spans="1:18" x14ac:dyDescent="0.25">
      <c r="A13" s="170">
        <v>43489</v>
      </c>
      <c r="B13" s="116">
        <v>948.15</v>
      </c>
      <c r="C13" s="116">
        <v>948.15</v>
      </c>
      <c r="D13" s="116">
        <v>948.15</v>
      </c>
      <c r="E13" s="116">
        <v>948.15</v>
      </c>
      <c r="F13" s="116">
        <v>948.15</v>
      </c>
      <c r="G13">
        <v>21</v>
      </c>
      <c r="H13" s="116"/>
      <c r="I13" s="116"/>
      <c r="L13" s="170">
        <v>43469</v>
      </c>
      <c r="M13" s="116">
        <v>1090</v>
      </c>
      <c r="N13" s="116">
        <v>1100</v>
      </c>
      <c r="O13" s="116">
        <v>1060</v>
      </c>
      <c r="P13" s="116">
        <v>1100</v>
      </c>
      <c r="Q13" s="116">
        <v>1090</v>
      </c>
      <c r="R13">
        <v>1547</v>
      </c>
    </row>
    <row r="14" spans="1:18" x14ac:dyDescent="0.25">
      <c r="A14" s="170">
        <v>43490</v>
      </c>
      <c r="B14" s="116">
        <v>995.55</v>
      </c>
      <c r="C14" s="116">
        <v>995.55</v>
      </c>
      <c r="D14" s="116">
        <v>995.55</v>
      </c>
      <c r="E14" s="116">
        <v>995.55</v>
      </c>
      <c r="F14" s="116">
        <v>995.55</v>
      </c>
      <c r="G14">
        <v>121</v>
      </c>
      <c r="H14" s="116"/>
      <c r="I14" s="116"/>
      <c r="L14" s="170">
        <v>43487</v>
      </c>
      <c r="M14" s="116">
        <v>860</v>
      </c>
      <c r="N14" s="116">
        <v>860</v>
      </c>
      <c r="O14" s="116">
        <v>860</v>
      </c>
      <c r="P14" s="116">
        <v>860</v>
      </c>
      <c r="Q14" s="116">
        <v>860</v>
      </c>
      <c r="R14">
        <v>30</v>
      </c>
    </row>
    <row r="15" spans="1:18" x14ac:dyDescent="0.25">
      <c r="A15" s="170">
        <v>43493</v>
      </c>
      <c r="B15" s="116">
        <v>1045.3</v>
      </c>
      <c r="C15" s="116">
        <v>1045.3</v>
      </c>
      <c r="D15" s="116">
        <v>1045.3</v>
      </c>
      <c r="E15" s="116">
        <v>1045.3</v>
      </c>
      <c r="F15" s="116">
        <v>1045.3</v>
      </c>
      <c r="G15">
        <v>1057</v>
      </c>
      <c r="H15" s="116"/>
      <c r="I15" s="116"/>
      <c r="L15" s="170">
        <v>43488</v>
      </c>
      <c r="M15" s="116">
        <v>903</v>
      </c>
      <c r="N15" s="116">
        <v>903</v>
      </c>
      <c r="O15" s="116">
        <v>903</v>
      </c>
      <c r="P15" s="116">
        <v>903</v>
      </c>
      <c r="Q15" s="116">
        <v>903</v>
      </c>
      <c r="R15">
        <v>147</v>
      </c>
    </row>
    <row r="16" spans="1:18" x14ac:dyDescent="0.25">
      <c r="A16" s="170">
        <v>43494</v>
      </c>
      <c r="B16" s="116">
        <v>1089.5</v>
      </c>
      <c r="C16" s="116">
        <v>1044.05</v>
      </c>
      <c r="D16" s="116">
        <v>1000</v>
      </c>
      <c r="E16" s="116">
        <v>1063</v>
      </c>
      <c r="F16" s="116">
        <v>1044.05</v>
      </c>
      <c r="G16">
        <v>9582</v>
      </c>
      <c r="H16" s="116"/>
      <c r="I16" s="116"/>
      <c r="L16" s="170">
        <v>43489</v>
      </c>
      <c r="M16" s="116">
        <v>948.15</v>
      </c>
      <c r="N16" s="116">
        <v>948.15</v>
      </c>
      <c r="O16" s="116">
        <v>948.15</v>
      </c>
      <c r="P16" s="116">
        <v>948.15</v>
      </c>
      <c r="Q16" s="116">
        <v>948.15</v>
      </c>
      <c r="R16">
        <v>110</v>
      </c>
    </row>
    <row r="17" spans="1:18" x14ac:dyDescent="0.25">
      <c r="A17" s="170">
        <v>43495</v>
      </c>
      <c r="B17" s="116">
        <v>1040</v>
      </c>
      <c r="C17" s="116">
        <v>1032.3499999999999</v>
      </c>
      <c r="D17" s="116">
        <v>1002.65</v>
      </c>
      <c r="E17" s="116">
        <v>1002.65</v>
      </c>
      <c r="F17" s="116">
        <v>1032.3499999999999</v>
      </c>
      <c r="G17">
        <v>76580</v>
      </c>
      <c r="H17" s="116"/>
      <c r="I17" s="116"/>
      <c r="L17" s="170">
        <v>43490</v>
      </c>
      <c r="M17" s="116">
        <v>995.55</v>
      </c>
      <c r="N17" s="116">
        <v>995.55</v>
      </c>
      <c r="O17" s="116">
        <v>995.55</v>
      </c>
      <c r="P17" s="116">
        <v>995.55</v>
      </c>
      <c r="Q17" s="116">
        <v>995.55</v>
      </c>
      <c r="R17">
        <v>150</v>
      </c>
    </row>
    <row r="18" spans="1:18" x14ac:dyDescent="0.25">
      <c r="A18" s="170">
        <v>43496</v>
      </c>
      <c r="B18" s="116">
        <v>1035</v>
      </c>
      <c r="C18" s="116">
        <v>1035</v>
      </c>
      <c r="D18" s="116">
        <v>981.1</v>
      </c>
      <c r="E18" s="116">
        <v>1030</v>
      </c>
      <c r="F18" s="116">
        <v>1035</v>
      </c>
      <c r="G18">
        <v>8810</v>
      </c>
      <c r="H18" s="116"/>
      <c r="I18" s="116"/>
      <c r="L18" s="170">
        <v>43493</v>
      </c>
      <c r="M18" s="116">
        <v>1045.3</v>
      </c>
      <c r="N18" s="116">
        <v>1045.3</v>
      </c>
      <c r="O18" s="116">
        <v>1044.7</v>
      </c>
      <c r="P18" s="116">
        <v>1044.7</v>
      </c>
      <c r="Q18" s="116">
        <v>1045.3</v>
      </c>
      <c r="R18">
        <v>3724</v>
      </c>
    </row>
    <row r="19" spans="1:18" x14ac:dyDescent="0.25">
      <c r="A19" s="170">
        <v>43497</v>
      </c>
      <c r="B19" s="116">
        <v>1047</v>
      </c>
      <c r="C19" s="116">
        <v>1040.4000000000001</v>
      </c>
      <c r="D19" s="116">
        <v>1018.05</v>
      </c>
      <c r="E19" s="116">
        <v>1030</v>
      </c>
      <c r="F19" s="116">
        <v>1040.4000000000001</v>
      </c>
      <c r="G19">
        <v>1319</v>
      </c>
      <c r="H19" s="116"/>
      <c r="I19" s="116"/>
      <c r="L19" s="170">
        <v>43494</v>
      </c>
      <c r="M19" s="116">
        <v>1040</v>
      </c>
      <c r="N19" s="116">
        <v>1097.55</v>
      </c>
      <c r="O19" s="116">
        <v>1001</v>
      </c>
      <c r="P19" s="116">
        <v>1097.55</v>
      </c>
      <c r="Q19" s="116">
        <v>1040</v>
      </c>
      <c r="R19">
        <v>38592</v>
      </c>
    </row>
    <row r="20" spans="1:18" x14ac:dyDescent="0.25">
      <c r="A20" s="170">
        <v>43500</v>
      </c>
      <c r="B20" s="116">
        <v>1060</v>
      </c>
      <c r="C20" s="116">
        <v>1035.5</v>
      </c>
      <c r="D20" s="116">
        <v>1013.1</v>
      </c>
      <c r="E20" s="116">
        <v>1060</v>
      </c>
      <c r="F20" s="116">
        <v>1035.5</v>
      </c>
      <c r="G20">
        <v>6043</v>
      </c>
      <c r="H20" s="116"/>
      <c r="I20" s="116"/>
      <c r="L20" s="170">
        <v>43495</v>
      </c>
      <c r="M20" s="116">
        <v>1034.2</v>
      </c>
      <c r="N20" s="116">
        <v>1049.8499999999999</v>
      </c>
      <c r="O20" s="116">
        <v>1003</v>
      </c>
      <c r="P20" s="116">
        <v>1049.8499999999999</v>
      </c>
      <c r="Q20" s="116">
        <v>1034.2</v>
      </c>
      <c r="R20">
        <v>7091</v>
      </c>
    </row>
    <row r="21" spans="1:18" x14ac:dyDescent="0.25">
      <c r="A21" s="170">
        <v>43501</v>
      </c>
      <c r="B21" s="116">
        <v>1050</v>
      </c>
      <c r="C21" s="116">
        <v>1044.25</v>
      </c>
      <c r="D21" s="116">
        <v>1030.05</v>
      </c>
      <c r="E21" s="116">
        <v>1050</v>
      </c>
      <c r="F21" s="116">
        <v>1044.25</v>
      </c>
      <c r="G21">
        <v>3850</v>
      </c>
      <c r="H21" s="116"/>
      <c r="I21" s="116"/>
      <c r="L21" s="170">
        <v>43496</v>
      </c>
      <c r="M21" s="116">
        <v>1031.3499999999999</v>
      </c>
      <c r="N21" s="116">
        <v>1040</v>
      </c>
      <c r="O21" s="116">
        <v>995</v>
      </c>
      <c r="P21" s="116">
        <v>1000</v>
      </c>
      <c r="Q21" s="116">
        <v>1031.3499999999999</v>
      </c>
      <c r="R21">
        <v>12186</v>
      </c>
    </row>
    <row r="22" spans="1:18" x14ac:dyDescent="0.25">
      <c r="A22" s="170">
        <v>43502</v>
      </c>
      <c r="B22" s="116">
        <v>1065</v>
      </c>
      <c r="C22" s="116">
        <v>1042.25</v>
      </c>
      <c r="D22" s="116">
        <v>1035.3</v>
      </c>
      <c r="E22" s="116">
        <v>1035.3</v>
      </c>
      <c r="F22" s="116">
        <v>1042.25</v>
      </c>
      <c r="G22">
        <v>2632</v>
      </c>
      <c r="H22" s="116"/>
      <c r="I22" s="116"/>
      <c r="L22" s="170">
        <v>43497</v>
      </c>
      <c r="M22" s="116">
        <v>1047.25</v>
      </c>
      <c r="N22" s="116">
        <v>1058.2</v>
      </c>
      <c r="O22" s="116">
        <v>1030</v>
      </c>
      <c r="P22" s="116">
        <v>1030</v>
      </c>
      <c r="Q22" s="116">
        <v>1047.25</v>
      </c>
      <c r="R22">
        <v>81285</v>
      </c>
    </row>
    <row r="23" spans="1:18" x14ac:dyDescent="0.25">
      <c r="A23" s="170">
        <v>43503</v>
      </c>
      <c r="B23" s="116">
        <v>1133.9000000000001</v>
      </c>
      <c r="C23" s="116">
        <v>1113.7</v>
      </c>
      <c r="D23" s="116">
        <v>981.05</v>
      </c>
      <c r="E23" s="116">
        <v>981.05</v>
      </c>
      <c r="F23" s="116">
        <v>1113.7</v>
      </c>
      <c r="G23">
        <v>5043</v>
      </c>
      <c r="H23" s="116"/>
      <c r="I23" s="116"/>
      <c r="L23" s="170">
        <v>43500</v>
      </c>
      <c r="M23" s="116">
        <v>1044.55</v>
      </c>
      <c r="N23" s="116">
        <v>1057</v>
      </c>
      <c r="O23" s="116">
        <v>1020</v>
      </c>
      <c r="P23" s="116">
        <v>1020</v>
      </c>
      <c r="Q23" s="116">
        <v>1044.55</v>
      </c>
      <c r="R23">
        <v>86316</v>
      </c>
    </row>
    <row r="24" spans="1:18" x14ac:dyDescent="0.25">
      <c r="A24" s="170">
        <v>43504</v>
      </c>
      <c r="B24" s="116">
        <v>1104.9000000000001</v>
      </c>
      <c r="C24" s="116">
        <v>1095.3</v>
      </c>
      <c r="D24" s="116">
        <v>1062.05</v>
      </c>
      <c r="E24" s="116">
        <v>1062.05</v>
      </c>
      <c r="F24" s="116">
        <v>1095.3</v>
      </c>
      <c r="G24">
        <v>5430</v>
      </c>
      <c r="H24" s="116"/>
      <c r="I24" s="116"/>
      <c r="L24" s="170">
        <v>43501</v>
      </c>
      <c r="M24" s="116">
        <v>1047.2</v>
      </c>
      <c r="N24" s="116">
        <v>1050</v>
      </c>
      <c r="O24" s="116">
        <v>1030</v>
      </c>
      <c r="P24" s="116">
        <v>1030</v>
      </c>
      <c r="Q24" s="116">
        <v>1047.2</v>
      </c>
      <c r="R24">
        <v>67809</v>
      </c>
    </row>
    <row r="25" spans="1:18" x14ac:dyDescent="0.25">
      <c r="A25" s="170">
        <v>43507</v>
      </c>
      <c r="B25" s="116">
        <v>1102.5</v>
      </c>
      <c r="C25" s="116">
        <v>1081</v>
      </c>
      <c r="D25" s="116">
        <v>1075.8499999999999</v>
      </c>
      <c r="E25" s="116">
        <v>1102.5</v>
      </c>
      <c r="F25" s="116">
        <v>1081</v>
      </c>
      <c r="G25">
        <v>64455</v>
      </c>
      <c r="H25" s="116"/>
      <c r="I25" s="116"/>
      <c r="L25" s="170">
        <v>43502</v>
      </c>
      <c r="M25" s="116">
        <v>1050</v>
      </c>
      <c r="N25" s="116">
        <v>1060</v>
      </c>
      <c r="O25" s="116">
        <v>1041.05</v>
      </c>
      <c r="P25" s="116">
        <v>1060</v>
      </c>
      <c r="Q25" s="116">
        <v>1050</v>
      </c>
      <c r="R25">
        <v>83415</v>
      </c>
    </row>
    <row r="26" spans="1:18" x14ac:dyDescent="0.25">
      <c r="A26" s="170">
        <v>43508</v>
      </c>
      <c r="B26" s="116">
        <v>1080.1500000000001</v>
      </c>
      <c r="C26" s="116">
        <v>1069.75</v>
      </c>
      <c r="D26" s="116">
        <v>1050.5</v>
      </c>
      <c r="E26" s="116">
        <v>1080.1500000000001</v>
      </c>
      <c r="F26" s="116">
        <v>1069.75</v>
      </c>
      <c r="G26">
        <v>1636</v>
      </c>
      <c r="H26" s="116"/>
      <c r="I26" s="116"/>
      <c r="L26" s="170">
        <v>43503</v>
      </c>
      <c r="M26" s="116">
        <v>1119.5999999999999</v>
      </c>
      <c r="N26" s="116">
        <v>1124.95</v>
      </c>
      <c r="O26" s="116">
        <v>1042.05</v>
      </c>
      <c r="P26" s="116">
        <v>1044</v>
      </c>
      <c r="Q26" s="116">
        <v>1119.5999999999999</v>
      </c>
      <c r="R26">
        <v>26427</v>
      </c>
    </row>
    <row r="27" spans="1:18" x14ac:dyDescent="0.25">
      <c r="A27" s="170">
        <v>43509</v>
      </c>
      <c r="B27" s="116">
        <v>1078.5</v>
      </c>
      <c r="C27" s="116">
        <v>1077.6500000000001</v>
      </c>
      <c r="D27" s="116">
        <v>1064</v>
      </c>
      <c r="E27" s="116">
        <v>1066</v>
      </c>
      <c r="F27" s="116">
        <v>1077.6500000000001</v>
      </c>
      <c r="G27">
        <v>14239</v>
      </c>
      <c r="H27" s="116"/>
      <c r="I27" s="116"/>
      <c r="L27" s="170">
        <v>43504</v>
      </c>
      <c r="M27" s="116">
        <v>1098.25</v>
      </c>
      <c r="N27" s="116">
        <v>1107.55</v>
      </c>
      <c r="O27" s="116">
        <v>1077.7</v>
      </c>
      <c r="P27" s="116">
        <v>1100.05</v>
      </c>
      <c r="Q27" s="116">
        <v>1098.25</v>
      </c>
      <c r="R27">
        <v>129076</v>
      </c>
    </row>
    <row r="28" spans="1:18" x14ac:dyDescent="0.25">
      <c r="A28" s="170">
        <v>43510</v>
      </c>
      <c r="B28" s="116">
        <v>1075</v>
      </c>
      <c r="C28" s="116">
        <v>1061.1500000000001</v>
      </c>
      <c r="D28" s="116">
        <v>1061</v>
      </c>
      <c r="E28" s="116">
        <v>1065.05</v>
      </c>
      <c r="F28" s="116">
        <v>1061.1500000000001</v>
      </c>
      <c r="G28">
        <v>731</v>
      </c>
      <c r="H28" s="116"/>
      <c r="I28" s="116"/>
      <c r="L28" s="170">
        <v>43507</v>
      </c>
      <c r="M28" s="116">
        <v>1087.4000000000001</v>
      </c>
      <c r="N28" s="116">
        <v>1100.45</v>
      </c>
      <c r="O28" s="116">
        <v>1085</v>
      </c>
      <c r="P28" s="116">
        <v>1095.05</v>
      </c>
      <c r="Q28" s="116">
        <v>1087.4000000000001</v>
      </c>
      <c r="R28">
        <v>215403</v>
      </c>
    </row>
    <row r="29" spans="1:18" x14ac:dyDescent="0.25">
      <c r="A29" s="170">
        <v>43511</v>
      </c>
      <c r="B29" s="116">
        <v>1070</v>
      </c>
      <c r="C29" s="116">
        <v>1062.5</v>
      </c>
      <c r="D29" s="116">
        <v>1053.55</v>
      </c>
      <c r="E29" s="116">
        <v>1062</v>
      </c>
      <c r="F29" s="116">
        <v>1062.5</v>
      </c>
      <c r="G29">
        <v>3417</v>
      </c>
      <c r="H29" s="116"/>
      <c r="I29" s="116"/>
      <c r="L29" s="170">
        <v>43508</v>
      </c>
      <c r="M29" s="116">
        <v>1079.55</v>
      </c>
      <c r="N29" s="116">
        <v>1094.5</v>
      </c>
      <c r="O29" s="116">
        <v>1050</v>
      </c>
      <c r="P29" s="116">
        <v>1084.05</v>
      </c>
      <c r="Q29" s="116">
        <v>1079.55</v>
      </c>
      <c r="R29">
        <v>112186</v>
      </c>
    </row>
    <row r="30" spans="1:18" x14ac:dyDescent="0.25">
      <c r="A30" s="170">
        <v>43514</v>
      </c>
      <c r="B30" s="116">
        <v>1046.3</v>
      </c>
      <c r="C30" s="116">
        <v>1044.95</v>
      </c>
      <c r="D30" s="116">
        <v>1041.0999999999999</v>
      </c>
      <c r="E30" s="116">
        <v>1046</v>
      </c>
      <c r="F30" s="116">
        <v>1044.95</v>
      </c>
      <c r="G30">
        <v>279</v>
      </c>
      <c r="H30" s="116"/>
      <c r="I30" s="116"/>
      <c r="L30" s="170">
        <v>43509</v>
      </c>
      <c r="M30" s="116">
        <v>1077.5</v>
      </c>
      <c r="N30" s="116">
        <v>1089.9000000000001</v>
      </c>
      <c r="O30" s="116">
        <v>1065.05</v>
      </c>
      <c r="P30" s="116">
        <v>1089.9000000000001</v>
      </c>
      <c r="Q30" s="116">
        <v>1077.5</v>
      </c>
      <c r="R30">
        <v>73764</v>
      </c>
    </row>
    <row r="31" spans="1:18" x14ac:dyDescent="0.25">
      <c r="A31" s="170">
        <v>43515</v>
      </c>
      <c r="B31" s="116">
        <v>1082</v>
      </c>
      <c r="C31" s="116">
        <v>1070.5</v>
      </c>
      <c r="D31" s="116">
        <v>1046</v>
      </c>
      <c r="E31" s="116">
        <v>1046.05</v>
      </c>
      <c r="F31" s="116">
        <v>1070.5</v>
      </c>
      <c r="G31">
        <v>3919</v>
      </c>
      <c r="H31" s="116"/>
      <c r="I31" s="116"/>
      <c r="L31" s="170">
        <v>43510</v>
      </c>
      <c r="M31" s="116">
        <v>1068</v>
      </c>
      <c r="N31" s="116">
        <v>1097.7</v>
      </c>
      <c r="O31" s="116">
        <v>1062</v>
      </c>
      <c r="P31" s="116">
        <v>1062.05</v>
      </c>
      <c r="Q31" s="116">
        <v>1068</v>
      </c>
      <c r="R31">
        <v>93988</v>
      </c>
    </row>
    <row r="32" spans="1:18" x14ac:dyDescent="0.25">
      <c r="A32" s="170">
        <v>43516</v>
      </c>
      <c r="B32" s="116">
        <v>1091.5</v>
      </c>
      <c r="C32" s="116">
        <v>1069.3</v>
      </c>
      <c r="D32" s="116">
        <v>1051</v>
      </c>
      <c r="E32" s="116">
        <v>1053.3499999999999</v>
      </c>
      <c r="F32" s="116">
        <v>1069.3</v>
      </c>
      <c r="G32">
        <v>5675</v>
      </c>
      <c r="H32" s="116"/>
      <c r="I32" s="116"/>
      <c r="L32" s="170">
        <v>43511</v>
      </c>
      <c r="M32" s="116">
        <v>1067.25</v>
      </c>
      <c r="N32" s="116">
        <v>1075.7</v>
      </c>
      <c r="O32" s="116">
        <v>1059.3499999999999</v>
      </c>
      <c r="P32" s="116">
        <v>1066.05</v>
      </c>
      <c r="Q32" s="116">
        <v>1067.25</v>
      </c>
      <c r="R32">
        <v>22648</v>
      </c>
    </row>
    <row r="33" spans="1:18" x14ac:dyDescent="0.25">
      <c r="A33" s="170">
        <v>43517</v>
      </c>
      <c r="B33" s="116">
        <v>1134.3499999999999</v>
      </c>
      <c r="C33" s="116">
        <v>1124.8</v>
      </c>
      <c r="D33" s="116">
        <v>1053.25</v>
      </c>
      <c r="E33" s="116">
        <v>1064.7</v>
      </c>
      <c r="F33" s="116">
        <v>1124.8</v>
      </c>
      <c r="G33">
        <v>5361</v>
      </c>
      <c r="H33" s="116"/>
      <c r="I33" s="116"/>
      <c r="L33" s="170">
        <v>43514</v>
      </c>
      <c r="M33" s="116">
        <v>1050.45</v>
      </c>
      <c r="N33" s="116">
        <v>1063.6500000000001</v>
      </c>
      <c r="O33" s="116">
        <v>1042</v>
      </c>
      <c r="P33" s="116">
        <v>1048</v>
      </c>
      <c r="Q33" s="116">
        <v>1050.45</v>
      </c>
      <c r="R33">
        <v>64585</v>
      </c>
    </row>
    <row r="34" spans="1:18" x14ac:dyDescent="0.25">
      <c r="A34" s="170">
        <v>43518</v>
      </c>
      <c r="B34" s="116">
        <v>1150</v>
      </c>
      <c r="C34" s="116">
        <v>1140.05</v>
      </c>
      <c r="D34" s="116">
        <v>1110</v>
      </c>
      <c r="E34" s="116">
        <v>1123.5</v>
      </c>
      <c r="F34" s="116">
        <v>1140.05</v>
      </c>
      <c r="G34">
        <v>4628</v>
      </c>
      <c r="H34" s="116"/>
      <c r="I34" s="116"/>
      <c r="L34" s="170">
        <v>43515</v>
      </c>
      <c r="M34" s="116">
        <v>1076.9000000000001</v>
      </c>
      <c r="N34" s="116">
        <v>1089.9000000000001</v>
      </c>
      <c r="O34" s="116">
        <v>1039.9000000000001</v>
      </c>
      <c r="P34" s="116">
        <v>1039.9000000000001</v>
      </c>
      <c r="Q34" s="116">
        <v>1076.9000000000001</v>
      </c>
      <c r="R34">
        <v>57268</v>
      </c>
    </row>
    <row r="35" spans="1:18" x14ac:dyDescent="0.25">
      <c r="A35" s="170">
        <v>43521</v>
      </c>
      <c r="B35" s="116">
        <v>1167.5999999999999</v>
      </c>
      <c r="C35" s="116">
        <v>1164.8499999999999</v>
      </c>
      <c r="D35" s="116">
        <v>1130.05</v>
      </c>
      <c r="E35" s="116">
        <v>1130.05</v>
      </c>
      <c r="F35" s="116">
        <v>1164.8499999999999</v>
      </c>
      <c r="G35">
        <v>6587</v>
      </c>
      <c r="H35" s="116"/>
      <c r="I35" s="116"/>
      <c r="L35" s="170">
        <v>43516</v>
      </c>
      <c r="M35" s="116">
        <v>1077.55</v>
      </c>
      <c r="N35" s="116">
        <v>1096</v>
      </c>
      <c r="O35" s="116">
        <v>1053.75</v>
      </c>
      <c r="P35" s="116">
        <v>1089.95</v>
      </c>
      <c r="Q35" s="116">
        <v>1077.55</v>
      </c>
      <c r="R35">
        <v>27235</v>
      </c>
    </row>
    <row r="36" spans="1:18" x14ac:dyDescent="0.25">
      <c r="A36" s="170">
        <v>43522</v>
      </c>
      <c r="B36" s="116">
        <v>1170</v>
      </c>
      <c r="C36" s="116">
        <v>1169.8</v>
      </c>
      <c r="D36" s="116">
        <v>1132.2</v>
      </c>
      <c r="E36" s="116">
        <v>1140</v>
      </c>
      <c r="F36" s="116">
        <v>1169.8</v>
      </c>
      <c r="G36">
        <v>4475</v>
      </c>
      <c r="H36" s="116"/>
      <c r="I36" s="116"/>
      <c r="L36" s="170">
        <v>43517</v>
      </c>
      <c r="M36" s="116">
        <v>1129.0999999999999</v>
      </c>
      <c r="N36" s="116">
        <v>1135.95</v>
      </c>
      <c r="O36" s="116">
        <v>1056.45</v>
      </c>
      <c r="P36" s="116">
        <v>1070.7</v>
      </c>
      <c r="Q36" s="116">
        <v>1129.0999999999999</v>
      </c>
      <c r="R36">
        <v>95542</v>
      </c>
    </row>
    <row r="37" spans="1:18" x14ac:dyDescent="0.25">
      <c r="A37" s="170">
        <v>43523</v>
      </c>
      <c r="B37" s="116">
        <v>1215</v>
      </c>
      <c r="C37" s="116">
        <v>1211.0999999999999</v>
      </c>
      <c r="D37" s="116">
        <v>1171</v>
      </c>
      <c r="E37" s="116">
        <v>1175</v>
      </c>
      <c r="F37" s="116">
        <v>1211.0999999999999</v>
      </c>
      <c r="G37">
        <v>9497</v>
      </c>
      <c r="H37" s="116"/>
      <c r="I37" s="116"/>
      <c r="L37" s="170">
        <v>43518</v>
      </c>
      <c r="M37" s="116">
        <v>1143.5</v>
      </c>
      <c r="N37" s="116">
        <v>1159.8</v>
      </c>
      <c r="O37" s="116">
        <v>1094.95</v>
      </c>
      <c r="P37" s="116">
        <v>1106.9000000000001</v>
      </c>
      <c r="Q37" s="116">
        <v>1143.5</v>
      </c>
      <c r="R37">
        <v>22781</v>
      </c>
    </row>
    <row r="38" spans="1:18" x14ac:dyDescent="0.25">
      <c r="A38" s="170">
        <v>43524</v>
      </c>
      <c r="B38" s="116">
        <v>1209.9000000000001</v>
      </c>
      <c r="C38" s="116">
        <v>1154.05</v>
      </c>
      <c r="D38" s="116">
        <v>1100</v>
      </c>
      <c r="E38" s="116">
        <v>1171.9000000000001</v>
      </c>
      <c r="F38" s="116">
        <v>1154.05</v>
      </c>
      <c r="G38">
        <v>1564010</v>
      </c>
      <c r="H38" s="116"/>
      <c r="I38" s="116"/>
      <c r="L38" s="170">
        <v>43521</v>
      </c>
      <c r="M38" s="116">
        <v>1165.8</v>
      </c>
      <c r="N38" s="116">
        <v>1169</v>
      </c>
      <c r="O38" s="116">
        <v>1137.2</v>
      </c>
      <c r="P38" s="116">
        <v>1142.5</v>
      </c>
      <c r="Q38" s="116">
        <v>1165.8</v>
      </c>
      <c r="R38">
        <v>26081</v>
      </c>
    </row>
    <row r="39" spans="1:18" x14ac:dyDescent="0.25">
      <c r="A39" s="170">
        <v>43525</v>
      </c>
      <c r="B39" s="116">
        <v>1198</v>
      </c>
      <c r="C39" s="116">
        <v>1165.75</v>
      </c>
      <c r="D39" s="116">
        <v>1150.2</v>
      </c>
      <c r="E39" s="116">
        <v>1155.05</v>
      </c>
      <c r="F39" s="116">
        <v>1165.75</v>
      </c>
      <c r="G39">
        <v>8233</v>
      </c>
      <c r="H39" s="116"/>
      <c r="I39" s="116"/>
      <c r="L39" s="170">
        <v>43522</v>
      </c>
      <c r="M39" s="116">
        <v>1175.5999999999999</v>
      </c>
      <c r="N39" s="116">
        <v>1179.7</v>
      </c>
      <c r="O39" s="116">
        <v>1075</v>
      </c>
      <c r="P39" s="116">
        <v>1140.0999999999999</v>
      </c>
      <c r="Q39" s="116">
        <v>1175.5999999999999</v>
      </c>
      <c r="R39">
        <v>49756</v>
      </c>
    </row>
    <row r="40" spans="1:18" x14ac:dyDescent="0.25">
      <c r="A40" s="170">
        <v>43529</v>
      </c>
      <c r="B40" s="116">
        <v>1188</v>
      </c>
      <c r="C40" s="116">
        <v>1185.6500000000001</v>
      </c>
      <c r="D40" s="116">
        <v>1173</v>
      </c>
      <c r="E40" s="116">
        <v>1175</v>
      </c>
      <c r="F40" s="116">
        <v>1185.6500000000001</v>
      </c>
      <c r="G40">
        <v>1296</v>
      </c>
      <c r="H40" s="116"/>
      <c r="I40" s="116"/>
      <c r="L40" s="170">
        <v>43523</v>
      </c>
      <c r="M40" s="116">
        <v>1214.4000000000001</v>
      </c>
      <c r="N40" s="116">
        <v>1219.7</v>
      </c>
      <c r="O40" s="116">
        <v>1159.3499999999999</v>
      </c>
      <c r="P40" s="116">
        <v>1179.95</v>
      </c>
      <c r="Q40" s="116">
        <v>1214.4000000000001</v>
      </c>
      <c r="R40">
        <v>114195</v>
      </c>
    </row>
    <row r="41" spans="1:18" x14ac:dyDescent="0.25">
      <c r="A41" s="170">
        <v>43530</v>
      </c>
      <c r="B41" s="116">
        <v>1200</v>
      </c>
      <c r="C41" s="116">
        <v>1178.2</v>
      </c>
      <c r="D41" s="116">
        <v>1170.3</v>
      </c>
      <c r="E41" s="116">
        <v>1179.95</v>
      </c>
      <c r="F41" s="116">
        <v>1178.2</v>
      </c>
      <c r="G41">
        <v>1326</v>
      </c>
      <c r="H41" s="116"/>
      <c r="I41" s="116"/>
      <c r="L41" s="170">
        <v>43524</v>
      </c>
      <c r="M41" s="116">
        <v>1153.2</v>
      </c>
      <c r="N41" s="116">
        <v>1205</v>
      </c>
      <c r="O41" s="116">
        <v>1088</v>
      </c>
      <c r="P41" s="116">
        <v>1151</v>
      </c>
      <c r="Q41" s="116">
        <v>1153.2</v>
      </c>
      <c r="R41">
        <v>1285790</v>
      </c>
    </row>
    <row r="42" spans="1:18" x14ac:dyDescent="0.25">
      <c r="A42" s="170">
        <v>43531</v>
      </c>
      <c r="B42" s="116">
        <v>1181</v>
      </c>
      <c r="C42" s="116">
        <v>1137.75</v>
      </c>
      <c r="D42" s="116">
        <v>1101</v>
      </c>
      <c r="E42" s="116">
        <v>1180</v>
      </c>
      <c r="F42" s="116">
        <v>1137.75</v>
      </c>
      <c r="G42">
        <v>496784</v>
      </c>
      <c r="H42" s="116"/>
      <c r="I42" s="116"/>
      <c r="L42" s="170">
        <v>43525</v>
      </c>
      <c r="M42" s="116">
        <v>1171.8</v>
      </c>
      <c r="N42" s="116">
        <v>1197</v>
      </c>
      <c r="O42" s="116">
        <v>1145.0999999999999</v>
      </c>
      <c r="P42" s="116">
        <v>1150</v>
      </c>
      <c r="Q42" s="116">
        <v>1171.8</v>
      </c>
      <c r="R42">
        <v>472576</v>
      </c>
    </row>
    <row r="43" spans="1:18" x14ac:dyDescent="0.25">
      <c r="A43" s="170">
        <v>43532</v>
      </c>
      <c r="B43" s="116">
        <v>1149.8499999999999</v>
      </c>
      <c r="C43" s="116">
        <v>1130.3499999999999</v>
      </c>
      <c r="D43" s="116">
        <v>1122.05</v>
      </c>
      <c r="E43" s="116">
        <v>1149.8499999999999</v>
      </c>
      <c r="F43" s="116">
        <v>1130.3499999999999</v>
      </c>
      <c r="G43">
        <v>890</v>
      </c>
      <c r="H43" s="116"/>
      <c r="I43" s="116"/>
      <c r="L43" s="170">
        <v>43529</v>
      </c>
      <c r="M43" s="116">
        <v>1185.8499999999999</v>
      </c>
      <c r="N43" s="116">
        <v>1192</v>
      </c>
      <c r="O43" s="116">
        <v>1148.1500000000001</v>
      </c>
      <c r="P43" s="116">
        <v>1150</v>
      </c>
      <c r="Q43" s="116">
        <v>1185.8499999999999</v>
      </c>
      <c r="R43">
        <v>79044</v>
      </c>
    </row>
    <row r="44" spans="1:18" x14ac:dyDescent="0.25">
      <c r="A44" s="170">
        <v>43535</v>
      </c>
      <c r="B44" s="116">
        <v>1157</v>
      </c>
      <c r="C44" s="116">
        <v>1144</v>
      </c>
      <c r="D44" s="116">
        <v>1121.05</v>
      </c>
      <c r="E44" s="116">
        <v>1140</v>
      </c>
      <c r="F44" s="116">
        <v>1144</v>
      </c>
      <c r="G44">
        <v>6488</v>
      </c>
      <c r="H44" s="116"/>
      <c r="I44" s="116"/>
      <c r="L44" s="170">
        <v>43530</v>
      </c>
      <c r="M44" s="116">
        <v>1178.1500000000001</v>
      </c>
      <c r="N44" s="116">
        <v>1204.8</v>
      </c>
      <c r="O44" s="116">
        <v>1156.55</v>
      </c>
      <c r="P44" s="116">
        <v>1186.9000000000001</v>
      </c>
      <c r="Q44" s="116">
        <v>1178.1500000000001</v>
      </c>
      <c r="R44">
        <v>49599</v>
      </c>
    </row>
    <row r="45" spans="1:18" x14ac:dyDescent="0.25">
      <c r="A45" s="170">
        <v>43536</v>
      </c>
      <c r="B45" s="116">
        <v>1156</v>
      </c>
      <c r="C45" s="116">
        <v>1152.0999999999999</v>
      </c>
      <c r="D45" s="116">
        <v>1125.75</v>
      </c>
      <c r="E45" s="116">
        <v>1125.75</v>
      </c>
      <c r="F45" s="116">
        <v>1152.0999999999999</v>
      </c>
      <c r="G45">
        <v>6510</v>
      </c>
      <c r="H45" s="116"/>
      <c r="I45" s="116"/>
      <c r="L45" s="170">
        <v>43531</v>
      </c>
      <c r="M45" s="116">
        <v>1138.2</v>
      </c>
      <c r="N45" s="116">
        <v>1186</v>
      </c>
      <c r="O45" s="116">
        <v>1105</v>
      </c>
      <c r="P45" s="116">
        <v>1179.05</v>
      </c>
      <c r="Q45" s="116">
        <v>1138.2</v>
      </c>
      <c r="R45">
        <v>555854</v>
      </c>
    </row>
    <row r="46" spans="1:18" x14ac:dyDescent="0.25">
      <c r="A46" s="170">
        <v>43537</v>
      </c>
      <c r="B46" s="116">
        <v>1218</v>
      </c>
      <c r="C46" s="116">
        <v>1157.0999999999999</v>
      </c>
      <c r="D46" s="116">
        <v>1138.5999999999999</v>
      </c>
      <c r="E46" s="116">
        <v>1218</v>
      </c>
      <c r="F46" s="116">
        <v>1157.0999999999999</v>
      </c>
      <c r="G46">
        <v>2305</v>
      </c>
      <c r="H46" s="116"/>
      <c r="I46" s="116"/>
      <c r="L46" s="170">
        <v>43532</v>
      </c>
      <c r="M46" s="116">
        <v>1132.7</v>
      </c>
      <c r="N46" s="116">
        <v>1153</v>
      </c>
      <c r="O46" s="116">
        <v>1126</v>
      </c>
      <c r="P46" s="116">
        <v>1133.9000000000001</v>
      </c>
      <c r="Q46" s="116">
        <v>1132.7</v>
      </c>
      <c r="R46">
        <v>6826</v>
      </c>
    </row>
    <row r="47" spans="1:18" x14ac:dyDescent="0.25">
      <c r="A47" s="170">
        <v>43538</v>
      </c>
      <c r="B47" s="116">
        <v>1153</v>
      </c>
      <c r="C47" s="116">
        <v>1123.6500000000001</v>
      </c>
      <c r="D47" s="116">
        <v>1120</v>
      </c>
      <c r="E47" s="116">
        <v>1132.3499999999999</v>
      </c>
      <c r="F47" s="116">
        <v>1123.6500000000001</v>
      </c>
      <c r="G47">
        <v>4553</v>
      </c>
      <c r="H47" s="116"/>
      <c r="I47" s="116"/>
      <c r="L47" s="170">
        <v>43535</v>
      </c>
      <c r="M47" s="116">
        <v>1149.2</v>
      </c>
      <c r="N47" s="116">
        <v>1161.55</v>
      </c>
      <c r="O47" s="116">
        <v>1122.1500000000001</v>
      </c>
      <c r="P47" s="116">
        <v>1122.1500000000001</v>
      </c>
      <c r="Q47" s="116">
        <v>1149.2</v>
      </c>
      <c r="R47">
        <v>61197</v>
      </c>
    </row>
    <row r="48" spans="1:18" x14ac:dyDescent="0.25">
      <c r="A48" s="170">
        <v>43539</v>
      </c>
      <c r="B48" s="116">
        <v>1124</v>
      </c>
      <c r="C48" s="116">
        <v>1107.3499999999999</v>
      </c>
      <c r="D48" s="116">
        <v>1075</v>
      </c>
      <c r="E48" s="116">
        <v>1118</v>
      </c>
      <c r="F48" s="116">
        <v>1107.3499999999999</v>
      </c>
      <c r="G48">
        <v>2785</v>
      </c>
      <c r="H48" s="116"/>
      <c r="I48" s="116"/>
      <c r="L48" s="170">
        <v>43536</v>
      </c>
      <c r="M48" s="116">
        <v>1151.5999999999999</v>
      </c>
      <c r="N48" s="116">
        <v>1159.8</v>
      </c>
      <c r="O48" s="116">
        <v>1138.55</v>
      </c>
      <c r="P48" s="116">
        <v>1151</v>
      </c>
      <c r="Q48" s="116">
        <v>1151.5999999999999</v>
      </c>
      <c r="R48">
        <v>105409</v>
      </c>
    </row>
    <row r="49" spans="1:18" x14ac:dyDescent="0.25">
      <c r="A49" s="170">
        <v>43542</v>
      </c>
      <c r="B49" s="116">
        <v>1107</v>
      </c>
      <c r="C49" s="116">
        <v>1039.6500000000001</v>
      </c>
      <c r="D49" s="116">
        <v>1019</v>
      </c>
      <c r="E49" s="116">
        <v>1107</v>
      </c>
      <c r="F49" s="116">
        <v>1039.6500000000001</v>
      </c>
      <c r="G49">
        <v>4771</v>
      </c>
      <c r="H49" s="116"/>
      <c r="I49" s="116"/>
      <c r="L49" s="170">
        <v>43537</v>
      </c>
      <c r="M49" s="116">
        <v>1155.3</v>
      </c>
      <c r="N49" s="116">
        <v>1162</v>
      </c>
      <c r="O49" s="116">
        <v>1140.8</v>
      </c>
      <c r="P49" s="116">
        <v>1155.8</v>
      </c>
      <c r="Q49" s="116">
        <v>1155.3</v>
      </c>
      <c r="R49">
        <v>65735</v>
      </c>
    </row>
    <row r="50" spans="1:18" x14ac:dyDescent="0.25">
      <c r="A50" s="170">
        <v>43543</v>
      </c>
      <c r="B50" s="116">
        <v>1062.8499999999999</v>
      </c>
      <c r="C50" s="116">
        <v>1010.35</v>
      </c>
      <c r="D50" s="116">
        <v>1005</v>
      </c>
      <c r="E50" s="116">
        <v>1040</v>
      </c>
      <c r="F50" s="116">
        <v>1010.35</v>
      </c>
      <c r="G50">
        <v>3357</v>
      </c>
      <c r="H50" s="116"/>
      <c r="I50" s="116"/>
      <c r="L50" s="170">
        <v>43538</v>
      </c>
      <c r="M50" s="116">
        <v>1124.8499999999999</v>
      </c>
      <c r="N50" s="116">
        <v>1155</v>
      </c>
      <c r="O50" s="116">
        <v>1116</v>
      </c>
      <c r="P50" s="116">
        <v>1150.8499999999999</v>
      </c>
      <c r="Q50" s="116">
        <v>1124.8499999999999</v>
      </c>
      <c r="R50">
        <v>64908</v>
      </c>
    </row>
    <row r="51" spans="1:18" x14ac:dyDescent="0.25">
      <c r="A51" s="170">
        <v>43544</v>
      </c>
      <c r="B51" s="116">
        <v>1028</v>
      </c>
      <c r="C51" s="116">
        <v>1016.8</v>
      </c>
      <c r="D51" s="116">
        <v>1002.1</v>
      </c>
      <c r="E51" s="116">
        <v>1011</v>
      </c>
      <c r="F51" s="116">
        <v>1016.8</v>
      </c>
      <c r="G51">
        <v>1610</v>
      </c>
      <c r="H51" s="116"/>
      <c r="I51" s="116"/>
      <c r="L51" s="170">
        <v>43539</v>
      </c>
      <c r="M51" s="116">
        <v>1112.6500000000001</v>
      </c>
      <c r="N51" s="116">
        <v>1130</v>
      </c>
      <c r="O51" s="116">
        <v>1076.25</v>
      </c>
      <c r="P51" s="116">
        <v>1126</v>
      </c>
      <c r="Q51" s="116">
        <v>1112.6500000000001</v>
      </c>
      <c r="R51">
        <v>139390</v>
      </c>
    </row>
    <row r="52" spans="1:18" x14ac:dyDescent="0.25">
      <c r="A52" s="170">
        <v>43546</v>
      </c>
      <c r="B52" s="116">
        <v>1025.05</v>
      </c>
      <c r="C52" s="116">
        <v>1016.8</v>
      </c>
      <c r="D52" s="116">
        <v>1010</v>
      </c>
      <c r="E52" s="116">
        <v>1025</v>
      </c>
      <c r="F52" s="116">
        <v>1016.8</v>
      </c>
      <c r="G52">
        <v>691</v>
      </c>
      <c r="H52" s="116"/>
      <c r="I52" s="116"/>
      <c r="L52" s="170">
        <v>43542</v>
      </c>
      <c r="M52" s="116">
        <v>1040.45</v>
      </c>
      <c r="N52" s="116">
        <v>1099.9000000000001</v>
      </c>
      <c r="O52" s="116">
        <v>1012.05</v>
      </c>
      <c r="P52" s="116">
        <v>1079.3</v>
      </c>
      <c r="Q52" s="116">
        <v>1040.45</v>
      </c>
      <c r="R52">
        <v>153868</v>
      </c>
    </row>
    <row r="53" spans="1:18" x14ac:dyDescent="0.25">
      <c r="A53" s="170">
        <v>43549</v>
      </c>
      <c r="B53" s="116">
        <v>998</v>
      </c>
      <c r="C53" s="116">
        <v>989.8</v>
      </c>
      <c r="D53" s="116">
        <v>980</v>
      </c>
      <c r="E53" s="116">
        <v>991</v>
      </c>
      <c r="F53" s="116">
        <v>989.8</v>
      </c>
      <c r="G53">
        <v>3458</v>
      </c>
      <c r="H53" s="116"/>
      <c r="I53" s="116"/>
      <c r="L53" s="170">
        <v>43543</v>
      </c>
      <c r="M53" s="116">
        <v>1009.9</v>
      </c>
      <c r="N53" s="116">
        <v>1063</v>
      </c>
      <c r="O53" s="116">
        <v>1003.85</v>
      </c>
      <c r="P53" s="116">
        <v>1030.2</v>
      </c>
      <c r="Q53" s="116">
        <v>1009.9</v>
      </c>
      <c r="R53">
        <v>99187</v>
      </c>
    </row>
    <row r="54" spans="1:18" x14ac:dyDescent="0.25">
      <c r="A54" s="170">
        <v>43550</v>
      </c>
      <c r="B54" s="116">
        <v>999.9</v>
      </c>
      <c r="C54" s="116">
        <v>984.35</v>
      </c>
      <c r="D54" s="116">
        <v>930.1</v>
      </c>
      <c r="E54" s="116">
        <v>980</v>
      </c>
      <c r="F54" s="116">
        <v>984.35</v>
      </c>
      <c r="G54">
        <v>2370</v>
      </c>
      <c r="H54" s="116"/>
      <c r="I54" s="116"/>
      <c r="L54" s="170">
        <v>43544</v>
      </c>
      <c r="M54" s="116">
        <v>1021.8</v>
      </c>
      <c r="N54" s="116">
        <v>1030.8499999999999</v>
      </c>
      <c r="O54" s="116">
        <v>989.7</v>
      </c>
      <c r="P54" s="116">
        <v>1009.9</v>
      </c>
      <c r="Q54" s="116">
        <v>1021.8</v>
      </c>
      <c r="R54">
        <v>223764</v>
      </c>
    </row>
    <row r="55" spans="1:18" x14ac:dyDescent="0.25">
      <c r="A55" s="170">
        <v>43551</v>
      </c>
      <c r="B55" s="116">
        <v>999</v>
      </c>
      <c r="C55" s="116">
        <v>991.75</v>
      </c>
      <c r="D55" s="116">
        <v>974.5</v>
      </c>
      <c r="E55" s="116">
        <v>985</v>
      </c>
      <c r="F55" s="116">
        <v>991.75</v>
      </c>
      <c r="G55">
        <v>3299</v>
      </c>
      <c r="H55" s="116"/>
      <c r="I55" s="116"/>
      <c r="L55" s="170">
        <v>43546</v>
      </c>
      <c r="M55" s="116">
        <v>1015.95</v>
      </c>
      <c r="N55" s="116">
        <v>1030</v>
      </c>
      <c r="O55" s="116">
        <v>1008.1</v>
      </c>
      <c r="P55" s="116">
        <v>1023.95</v>
      </c>
      <c r="Q55" s="116">
        <v>1015.95</v>
      </c>
      <c r="R55">
        <v>88959</v>
      </c>
    </row>
    <row r="56" spans="1:18" x14ac:dyDescent="0.25">
      <c r="A56" s="170">
        <v>43552</v>
      </c>
      <c r="B56" s="116">
        <v>992</v>
      </c>
      <c r="C56" s="116">
        <v>985</v>
      </c>
      <c r="D56" s="116">
        <v>979.95</v>
      </c>
      <c r="E56" s="116">
        <v>986.2</v>
      </c>
      <c r="F56" s="116">
        <v>985</v>
      </c>
      <c r="G56">
        <v>5479</v>
      </c>
      <c r="H56" s="116"/>
      <c r="I56" s="116"/>
      <c r="L56" s="170">
        <v>43549</v>
      </c>
      <c r="M56" s="116">
        <v>990.55</v>
      </c>
      <c r="N56" s="116">
        <v>1016</v>
      </c>
      <c r="O56" s="116">
        <v>985</v>
      </c>
      <c r="P56" s="116">
        <v>1015.85</v>
      </c>
      <c r="Q56" s="116">
        <v>990.55</v>
      </c>
      <c r="R56">
        <v>59583</v>
      </c>
    </row>
    <row r="57" spans="1:18" x14ac:dyDescent="0.25">
      <c r="A57" s="170">
        <v>43553</v>
      </c>
      <c r="B57" s="116">
        <v>993</v>
      </c>
      <c r="C57" s="116">
        <v>989.85</v>
      </c>
      <c r="D57" s="116">
        <v>976.5</v>
      </c>
      <c r="E57" s="116">
        <v>993</v>
      </c>
      <c r="F57" s="116">
        <v>989.85</v>
      </c>
      <c r="G57">
        <v>72177</v>
      </c>
      <c r="H57" s="116"/>
      <c r="I57" s="116"/>
      <c r="L57" s="170">
        <v>43550</v>
      </c>
      <c r="M57" s="116">
        <v>990.45</v>
      </c>
      <c r="N57" s="116">
        <v>1000</v>
      </c>
      <c r="O57" s="116">
        <v>980</v>
      </c>
      <c r="P57" s="116">
        <v>988</v>
      </c>
      <c r="Q57" s="116">
        <v>990.45</v>
      </c>
      <c r="R57">
        <v>70471</v>
      </c>
    </row>
    <row r="58" spans="1:18" x14ac:dyDescent="0.25">
      <c r="A58" s="170">
        <v>43556</v>
      </c>
      <c r="B58" s="116">
        <v>1005</v>
      </c>
      <c r="C58" s="116">
        <v>987.95</v>
      </c>
      <c r="D58" s="116">
        <v>980.05</v>
      </c>
      <c r="E58" s="116">
        <v>994</v>
      </c>
      <c r="F58" s="116">
        <v>987.95</v>
      </c>
      <c r="G58">
        <v>3454</v>
      </c>
      <c r="H58" s="116"/>
      <c r="I58" s="116"/>
      <c r="L58" s="170">
        <v>43551</v>
      </c>
      <c r="M58" s="116">
        <v>987.45</v>
      </c>
      <c r="N58" s="116">
        <v>1000</v>
      </c>
      <c r="O58" s="116">
        <v>975</v>
      </c>
      <c r="P58" s="116">
        <v>1000</v>
      </c>
      <c r="Q58" s="116">
        <v>987.45</v>
      </c>
      <c r="R58">
        <v>243460</v>
      </c>
    </row>
    <row r="59" spans="1:18" x14ac:dyDescent="0.25">
      <c r="A59" s="170">
        <v>43557</v>
      </c>
      <c r="B59" s="116">
        <v>1150</v>
      </c>
      <c r="C59" s="116">
        <v>1070.45</v>
      </c>
      <c r="D59" s="116">
        <v>1017.9</v>
      </c>
      <c r="E59" s="116">
        <v>1017.9</v>
      </c>
      <c r="F59" s="116">
        <v>1070.45</v>
      </c>
      <c r="G59">
        <v>16962</v>
      </c>
      <c r="H59" s="116"/>
      <c r="I59" s="116"/>
      <c r="L59" s="170">
        <v>43552</v>
      </c>
      <c r="M59" s="116">
        <v>989.4</v>
      </c>
      <c r="N59" s="116">
        <v>1000</v>
      </c>
      <c r="O59" s="116">
        <v>966.05</v>
      </c>
      <c r="P59" s="116">
        <v>990</v>
      </c>
      <c r="Q59" s="116">
        <v>989.4</v>
      </c>
      <c r="R59">
        <v>352603</v>
      </c>
    </row>
    <row r="60" spans="1:18" x14ac:dyDescent="0.25">
      <c r="A60" s="170">
        <v>43558</v>
      </c>
      <c r="B60" s="116">
        <v>1119.9000000000001</v>
      </c>
      <c r="C60" s="116">
        <v>1107.8499999999999</v>
      </c>
      <c r="D60" s="116">
        <v>1070.45</v>
      </c>
      <c r="E60" s="116">
        <v>1070.45</v>
      </c>
      <c r="F60" s="116">
        <v>1107.8499999999999</v>
      </c>
      <c r="G60">
        <v>3742</v>
      </c>
      <c r="H60" s="116"/>
      <c r="I60" s="116"/>
      <c r="L60" s="170">
        <v>43553</v>
      </c>
      <c r="M60" s="116">
        <v>989.5</v>
      </c>
      <c r="N60" s="116">
        <v>995.9</v>
      </c>
      <c r="O60" s="116">
        <v>978.05</v>
      </c>
      <c r="P60" s="116">
        <v>995.9</v>
      </c>
      <c r="Q60" s="116">
        <v>989.5</v>
      </c>
      <c r="R60">
        <v>422417</v>
      </c>
    </row>
    <row r="61" spans="1:18" x14ac:dyDescent="0.25">
      <c r="A61" s="170">
        <v>43559</v>
      </c>
      <c r="B61" s="116">
        <v>1145</v>
      </c>
      <c r="C61" s="116">
        <v>1139.6500000000001</v>
      </c>
      <c r="D61" s="116">
        <v>1096</v>
      </c>
      <c r="E61" s="116">
        <v>1103.05</v>
      </c>
      <c r="F61" s="116">
        <v>1139.6500000000001</v>
      </c>
      <c r="G61">
        <v>7450</v>
      </c>
      <c r="H61" s="116"/>
      <c r="I61" s="116"/>
      <c r="L61" s="170">
        <v>43556</v>
      </c>
      <c r="M61" s="116">
        <v>990</v>
      </c>
      <c r="N61" s="116">
        <v>1009.05</v>
      </c>
      <c r="O61" s="116">
        <v>984.65</v>
      </c>
      <c r="P61" s="116">
        <v>999.95</v>
      </c>
      <c r="Q61" s="116">
        <v>990</v>
      </c>
      <c r="R61">
        <v>1356848</v>
      </c>
    </row>
    <row r="62" spans="1:18" x14ac:dyDescent="0.25">
      <c r="A62" s="170">
        <v>43560</v>
      </c>
      <c r="B62" s="116">
        <v>1220</v>
      </c>
      <c r="C62" s="116">
        <v>1111.3499999999999</v>
      </c>
      <c r="D62" s="116">
        <v>1102.05</v>
      </c>
      <c r="E62" s="116">
        <v>1209</v>
      </c>
      <c r="F62" s="116">
        <v>1111.3499999999999</v>
      </c>
      <c r="G62">
        <v>4275</v>
      </c>
      <c r="H62" s="116"/>
      <c r="I62" s="116"/>
      <c r="L62" s="170">
        <v>43557</v>
      </c>
      <c r="M62" s="116">
        <v>1073.25</v>
      </c>
      <c r="N62" s="116">
        <v>1155</v>
      </c>
      <c r="O62" s="116">
        <v>1000</v>
      </c>
      <c r="P62" s="116">
        <v>1000.15</v>
      </c>
      <c r="Q62" s="116">
        <v>1073.25</v>
      </c>
      <c r="R62">
        <v>579896</v>
      </c>
    </row>
    <row r="63" spans="1:18" x14ac:dyDescent="0.25">
      <c r="A63" s="170">
        <v>43563</v>
      </c>
      <c r="B63" s="116">
        <v>1131.5</v>
      </c>
      <c r="C63" s="116">
        <v>1089.45</v>
      </c>
      <c r="D63" s="116">
        <v>1085</v>
      </c>
      <c r="E63" s="116">
        <v>1120</v>
      </c>
      <c r="F63" s="116">
        <v>1089.45</v>
      </c>
      <c r="G63">
        <v>2517</v>
      </c>
      <c r="H63" s="116"/>
      <c r="I63" s="116"/>
      <c r="L63" s="170">
        <v>43558</v>
      </c>
      <c r="M63" s="116">
        <v>1107.8499999999999</v>
      </c>
      <c r="N63" s="116">
        <v>1120</v>
      </c>
      <c r="O63" s="116">
        <v>1068.95</v>
      </c>
      <c r="P63" s="116">
        <v>1075</v>
      </c>
      <c r="Q63" s="116">
        <v>1107.8499999999999</v>
      </c>
      <c r="R63">
        <v>76142</v>
      </c>
    </row>
    <row r="64" spans="1:18" x14ac:dyDescent="0.25">
      <c r="A64" s="170">
        <v>43564</v>
      </c>
      <c r="B64" s="116">
        <v>1099.75</v>
      </c>
      <c r="C64" s="116">
        <v>1071.9000000000001</v>
      </c>
      <c r="D64" s="116">
        <v>1070</v>
      </c>
      <c r="E64" s="116">
        <v>1072</v>
      </c>
      <c r="F64" s="116">
        <v>1071.9000000000001</v>
      </c>
      <c r="G64">
        <v>2049</v>
      </c>
      <c r="H64" s="116"/>
      <c r="I64" s="116"/>
      <c r="L64" s="170">
        <v>43559</v>
      </c>
      <c r="M64" s="116">
        <v>1144.25</v>
      </c>
      <c r="N64" s="116">
        <v>1150</v>
      </c>
      <c r="O64" s="116">
        <v>1099.8499999999999</v>
      </c>
      <c r="P64" s="116">
        <v>1107</v>
      </c>
      <c r="Q64" s="116">
        <v>1144.25</v>
      </c>
      <c r="R64">
        <v>205571</v>
      </c>
    </row>
    <row r="65" spans="1:18" x14ac:dyDescent="0.25">
      <c r="A65" s="170">
        <v>43565</v>
      </c>
      <c r="B65" s="116">
        <v>1129</v>
      </c>
      <c r="C65" s="116">
        <v>1066.5</v>
      </c>
      <c r="D65" s="116">
        <v>1061.5</v>
      </c>
      <c r="E65" s="116">
        <v>1119.95</v>
      </c>
      <c r="F65" s="116">
        <v>1066.5</v>
      </c>
      <c r="G65">
        <v>4313</v>
      </c>
      <c r="H65" s="116"/>
      <c r="I65" s="116"/>
      <c r="L65" s="170">
        <v>43560</v>
      </c>
      <c r="M65" s="116">
        <v>1115.0999999999999</v>
      </c>
      <c r="N65" s="116">
        <v>1148.9000000000001</v>
      </c>
      <c r="O65" s="116">
        <v>1100.5999999999999</v>
      </c>
      <c r="P65" s="116">
        <v>1140</v>
      </c>
      <c r="Q65" s="116">
        <v>1115.0999999999999</v>
      </c>
      <c r="R65">
        <v>59389</v>
      </c>
    </row>
    <row r="66" spans="1:18" x14ac:dyDescent="0.25">
      <c r="A66" s="170">
        <v>43566</v>
      </c>
      <c r="B66" s="116">
        <v>1120</v>
      </c>
      <c r="C66" s="116">
        <v>1113.5</v>
      </c>
      <c r="D66" s="116">
        <v>1080</v>
      </c>
      <c r="E66" s="116">
        <v>1080</v>
      </c>
      <c r="F66" s="116">
        <v>1113.5</v>
      </c>
      <c r="G66">
        <v>4607</v>
      </c>
      <c r="H66" s="116"/>
      <c r="I66" s="116"/>
      <c r="L66" s="170">
        <v>43563</v>
      </c>
      <c r="M66" s="116">
        <v>1089.2</v>
      </c>
      <c r="N66" s="116">
        <v>1137</v>
      </c>
      <c r="O66" s="116">
        <v>1081.6500000000001</v>
      </c>
      <c r="P66" s="116">
        <v>1110</v>
      </c>
      <c r="Q66" s="116">
        <v>1089.2</v>
      </c>
      <c r="R66">
        <v>75830</v>
      </c>
    </row>
    <row r="67" spans="1:18" x14ac:dyDescent="0.25">
      <c r="A67" s="170">
        <v>43567</v>
      </c>
      <c r="B67" s="116">
        <v>1111.95</v>
      </c>
      <c r="C67" s="116">
        <v>1095.3</v>
      </c>
      <c r="D67" s="116">
        <v>1085</v>
      </c>
      <c r="E67" s="116">
        <v>1111.95</v>
      </c>
      <c r="F67" s="116">
        <v>1095.3</v>
      </c>
      <c r="G67">
        <v>3454</v>
      </c>
      <c r="H67" s="116"/>
      <c r="I67" s="116"/>
      <c r="L67" s="170">
        <v>43564</v>
      </c>
      <c r="M67" s="116">
        <v>1068.5</v>
      </c>
      <c r="N67" s="116">
        <v>1103.75</v>
      </c>
      <c r="O67" s="116">
        <v>1061.25</v>
      </c>
      <c r="P67" s="116">
        <v>1095.05</v>
      </c>
      <c r="Q67" s="116">
        <v>1068.5</v>
      </c>
      <c r="R67">
        <v>85018</v>
      </c>
    </row>
    <row r="68" spans="1:18" x14ac:dyDescent="0.25">
      <c r="A68" s="170">
        <v>43570</v>
      </c>
      <c r="B68" s="116">
        <v>1122.9000000000001</v>
      </c>
      <c r="C68" s="116">
        <v>1086.0999999999999</v>
      </c>
      <c r="D68" s="116">
        <v>1080</v>
      </c>
      <c r="E68" s="116">
        <v>1119.9000000000001</v>
      </c>
      <c r="F68" s="116">
        <v>1086.0999999999999</v>
      </c>
      <c r="G68">
        <v>1660</v>
      </c>
      <c r="H68" s="116"/>
      <c r="I68" s="116"/>
      <c r="L68" s="170">
        <v>43565</v>
      </c>
      <c r="M68" s="116">
        <v>1063.3</v>
      </c>
      <c r="N68" s="116">
        <v>1096.7</v>
      </c>
      <c r="O68" s="116">
        <v>1053</v>
      </c>
      <c r="P68" s="116">
        <v>1074.55</v>
      </c>
      <c r="Q68" s="116">
        <v>1063.3</v>
      </c>
      <c r="R68">
        <v>97361</v>
      </c>
    </row>
    <row r="69" spans="1:18" x14ac:dyDescent="0.25">
      <c r="A69" s="170">
        <v>43571</v>
      </c>
      <c r="B69" s="116">
        <v>1119.8</v>
      </c>
      <c r="C69" s="116">
        <v>1112.55</v>
      </c>
      <c r="D69" s="116">
        <v>1031.05</v>
      </c>
      <c r="E69" s="116">
        <v>1064</v>
      </c>
      <c r="F69" s="116">
        <v>1112.55</v>
      </c>
      <c r="G69">
        <v>4753</v>
      </c>
      <c r="H69" s="116"/>
      <c r="I69" s="116"/>
      <c r="L69" s="170">
        <v>43566</v>
      </c>
      <c r="M69" s="116">
        <v>1114.9000000000001</v>
      </c>
      <c r="N69" s="116">
        <v>1124.8</v>
      </c>
      <c r="O69" s="116">
        <v>1061.6500000000001</v>
      </c>
      <c r="P69" s="116">
        <v>1063</v>
      </c>
      <c r="Q69" s="116">
        <v>1114.9000000000001</v>
      </c>
      <c r="R69">
        <v>82941</v>
      </c>
    </row>
    <row r="70" spans="1:18" x14ac:dyDescent="0.25">
      <c r="A70" s="170">
        <v>43573</v>
      </c>
      <c r="B70" s="116">
        <v>1107.75</v>
      </c>
      <c r="C70" s="116">
        <v>1086.6500000000001</v>
      </c>
      <c r="D70" s="116">
        <v>1078.05</v>
      </c>
      <c r="E70" s="116">
        <v>1105.5</v>
      </c>
      <c r="F70" s="116">
        <v>1086.6500000000001</v>
      </c>
      <c r="G70">
        <v>1838</v>
      </c>
      <c r="H70" s="116"/>
      <c r="I70" s="116"/>
      <c r="L70" s="170">
        <v>43567</v>
      </c>
      <c r="M70" s="116">
        <v>1101.5999999999999</v>
      </c>
      <c r="N70" s="116">
        <v>1119</v>
      </c>
      <c r="O70" s="116">
        <v>1081</v>
      </c>
      <c r="P70" s="116">
        <v>1119</v>
      </c>
      <c r="Q70" s="116">
        <v>1101.5999999999999</v>
      </c>
      <c r="R70">
        <v>98557</v>
      </c>
    </row>
    <row r="71" spans="1:18" x14ac:dyDescent="0.25">
      <c r="A71" s="170">
        <v>43577</v>
      </c>
      <c r="B71" s="116">
        <v>1087.2</v>
      </c>
      <c r="C71" s="116">
        <v>1054.0999999999999</v>
      </c>
      <c r="D71" s="116">
        <v>1047</v>
      </c>
      <c r="E71" s="116">
        <v>1082</v>
      </c>
      <c r="F71" s="116">
        <v>1054.0999999999999</v>
      </c>
      <c r="G71">
        <v>3952</v>
      </c>
      <c r="H71" s="116"/>
      <c r="I71" s="116"/>
      <c r="L71" s="170">
        <v>43570</v>
      </c>
      <c r="M71" s="116">
        <v>1087.3499999999999</v>
      </c>
      <c r="N71" s="116">
        <v>1115</v>
      </c>
      <c r="O71" s="116">
        <v>1081</v>
      </c>
      <c r="P71" s="116">
        <v>1106.5</v>
      </c>
      <c r="Q71" s="116">
        <v>1087.3499999999999</v>
      </c>
      <c r="R71">
        <v>29501</v>
      </c>
    </row>
    <row r="72" spans="1:18" x14ac:dyDescent="0.25">
      <c r="A72" s="170">
        <v>43578</v>
      </c>
      <c r="B72" s="116">
        <v>1093.2</v>
      </c>
      <c r="C72" s="116">
        <v>1076.05</v>
      </c>
      <c r="D72" s="116">
        <v>1065</v>
      </c>
      <c r="E72" s="116">
        <v>1074</v>
      </c>
      <c r="F72" s="116">
        <v>1076.05</v>
      </c>
      <c r="G72">
        <v>4545</v>
      </c>
      <c r="H72" s="116"/>
      <c r="I72" s="116"/>
      <c r="L72" s="170">
        <v>43571</v>
      </c>
      <c r="M72" s="116">
        <v>1115.0999999999999</v>
      </c>
      <c r="N72" s="116">
        <v>1120</v>
      </c>
      <c r="O72" s="116">
        <v>1080.25</v>
      </c>
      <c r="P72" s="116">
        <v>1082.25</v>
      </c>
      <c r="Q72" s="116">
        <v>1115.0999999999999</v>
      </c>
      <c r="R72">
        <v>90670</v>
      </c>
    </row>
    <row r="73" spans="1:18" x14ac:dyDescent="0.25">
      <c r="A73" s="170">
        <v>43579</v>
      </c>
      <c r="B73" s="116">
        <v>1088.95</v>
      </c>
      <c r="C73" s="116">
        <v>1085.5999999999999</v>
      </c>
      <c r="D73" s="116">
        <v>1065.1500000000001</v>
      </c>
      <c r="E73" s="116">
        <v>1079.6500000000001</v>
      </c>
      <c r="F73" s="116">
        <v>1085.5999999999999</v>
      </c>
      <c r="G73">
        <v>1206</v>
      </c>
      <c r="H73" s="116"/>
      <c r="I73" s="116"/>
      <c r="L73" s="170">
        <v>43573</v>
      </c>
      <c r="M73" s="116">
        <v>1090.45</v>
      </c>
      <c r="N73" s="116">
        <v>1114.2</v>
      </c>
      <c r="O73" s="116">
        <v>1082.75</v>
      </c>
      <c r="P73" s="116">
        <v>1090</v>
      </c>
      <c r="Q73" s="116">
        <v>1090.45</v>
      </c>
      <c r="R73">
        <v>42864</v>
      </c>
    </row>
    <row r="74" spans="1:18" x14ac:dyDescent="0.25">
      <c r="A74" s="170">
        <v>43580</v>
      </c>
      <c r="B74" s="116">
        <v>1177.3</v>
      </c>
      <c r="C74" s="116">
        <v>1138.55</v>
      </c>
      <c r="D74" s="116">
        <v>1090</v>
      </c>
      <c r="E74" s="116">
        <v>1090</v>
      </c>
      <c r="F74" s="116">
        <v>1138.55</v>
      </c>
      <c r="G74">
        <v>8136</v>
      </c>
      <c r="H74" s="116"/>
      <c r="I74" s="116"/>
      <c r="L74" s="170">
        <v>43577</v>
      </c>
      <c r="M74" s="116">
        <v>1059.3</v>
      </c>
      <c r="N74" s="116">
        <v>1092.4000000000001</v>
      </c>
      <c r="O74" s="116">
        <v>1048.75</v>
      </c>
      <c r="P74" s="116">
        <v>1075.25</v>
      </c>
      <c r="Q74" s="116">
        <v>1059.3</v>
      </c>
      <c r="R74">
        <v>14940</v>
      </c>
    </row>
    <row r="75" spans="1:18" x14ac:dyDescent="0.25">
      <c r="A75" s="170">
        <v>43581</v>
      </c>
      <c r="B75" s="116">
        <v>1173.2</v>
      </c>
      <c r="C75" s="116">
        <v>1144.5999999999999</v>
      </c>
      <c r="D75" s="116">
        <v>1140</v>
      </c>
      <c r="E75" s="116">
        <v>1151.9000000000001</v>
      </c>
      <c r="F75" s="116">
        <v>1144.5999999999999</v>
      </c>
      <c r="G75">
        <v>1579</v>
      </c>
      <c r="H75" s="116"/>
      <c r="I75" s="116"/>
      <c r="L75" s="170">
        <v>43578</v>
      </c>
      <c r="M75" s="116">
        <v>1077.55</v>
      </c>
      <c r="N75" s="116">
        <v>1097</v>
      </c>
      <c r="O75" s="116">
        <v>1056.0999999999999</v>
      </c>
      <c r="P75" s="116">
        <v>1065.55</v>
      </c>
      <c r="Q75" s="116">
        <v>1077.55</v>
      </c>
      <c r="R75">
        <v>23588</v>
      </c>
    </row>
    <row r="76" spans="1:18" x14ac:dyDescent="0.25">
      <c r="A76" s="170">
        <v>43585</v>
      </c>
      <c r="B76" s="116">
        <v>1149.9000000000001</v>
      </c>
      <c r="C76" s="116">
        <v>1140.25</v>
      </c>
      <c r="D76" s="116">
        <v>1134.95</v>
      </c>
      <c r="E76" s="116">
        <v>1146</v>
      </c>
      <c r="F76" s="116">
        <v>1140.25</v>
      </c>
      <c r="G76">
        <v>2021</v>
      </c>
      <c r="H76" s="116"/>
      <c r="I76" s="116"/>
      <c r="L76" s="170">
        <v>43579</v>
      </c>
      <c r="M76" s="116">
        <v>1087.5999999999999</v>
      </c>
      <c r="N76" s="116">
        <v>1097</v>
      </c>
      <c r="O76" s="116">
        <v>1062.75</v>
      </c>
      <c r="P76" s="116">
        <v>1087.9000000000001</v>
      </c>
      <c r="Q76" s="116">
        <v>1087.5999999999999</v>
      </c>
      <c r="R76">
        <v>323487</v>
      </c>
    </row>
    <row r="77" spans="1:18" x14ac:dyDescent="0.25">
      <c r="A77" s="170">
        <v>43587</v>
      </c>
      <c r="B77" s="116">
        <v>1139.75</v>
      </c>
      <c r="C77" s="116">
        <v>1117.25</v>
      </c>
      <c r="D77" s="116">
        <v>1110</v>
      </c>
      <c r="E77" s="116">
        <v>1118.7</v>
      </c>
      <c r="F77" s="116">
        <v>1117.25</v>
      </c>
      <c r="G77">
        <v>353</v>
      </c>
      <c r="H77" s="116"/>
      <c r="I77" s="116"/>
      <c r="L77" s="170">
        <v>43580</v>
      </c>
      <c r="M77" s="116">
        <v>1139.7</v>
      </c>
      <c r="N77" s="116">
        <v>1179.1500000000001</v>
      </c>
      <c r="O77" s="116">
        <v>1084.1500000000001</v>
      </c>
      <c r="P77" s="116">
        <v>1100</v>
      </c>
      <c r="Q77" s="116">
        <v>1139.7</v>
      </c>
      <c r="R77">
        <v>143001</v>
      </c>
    </row>
    <row r="78" spans="1:18" x14ac:dyDescent="0.25">
      <c r="A78" s="170">
        <v>43588</v>
      </c>
      <c r="B78" s="116">
        <v>1112.3499999999999</v>
      </c>
      <c r="C78" s="116">
        <v>1090.5</v>
      </c>
      <c r="D78" s="116">
        <v>1070</v>
      </c>
      <c r="E78" s="116">
        <v>1097.5999999999999</v>
      </c>
      <c r="F78" s="116">
        <v>1090.5</v>
      </c>
      <c r="G78">
        <v>7678</v>
      </c>
      <c r="H78" s="116"/>
      <c r="I78" s="116"/>
      <c r="L78" s="170">
        <v>43581</v>
      </c>
      <c r="M78" s="116">
        <v>1148.4000000000001</v>
      </c>
      <c r="N78" s="116">
        <v>1174.95</v>
      </c>
      <c r="O78" s="116">
        <v>1138.7</v>
      </c>
      <c r="P78" s="116">
        <v>1139.7</v>
      </c>
      <c r="Q78" s="116">
        <v>1148.4000000000001</v>
      </c>
      <c r="R78">
        <v>33762</v>
      </c>
    </row>
    <row r="79" spans="1:18" x14ac:dyDescent="0.25">
      <c r="A79" s="170">
        <v>43591</v>
      </c>
      <c r="B79" s="116">
        <v>1115</v>
      </c>
      <c r="C79" s="116">
        <v>1112.4000000000001</v>
      </c>
      <c r="D79" s="116">
        <v>1090</v>
      </c>
      <c r="E79" s="116">
        <v>1090</v>
      </c>
      <c r="F79" s="116">
        <v>1112.4000000000001</v>
      </c>
      <c r="G79">
        <v>930</v>
      </c>
      <c r="H79" s="116"/>
      <c r="I79" s="116"/>
      <c r="L79" s="170">
        <v>43585</v>
      </c>
      <c r="M79" s="116">
        <v>1148.3499999999999</v>
      </c>
      <c r="N79" s="116">
        <v>1154</v>
      </c>
      <c r="O79" s="116">
        <v>1125</v>
      </c>
      <c r="P79" s="116">
        <v>1125</v>
      </c>
      <c r="Q79" s="116">
        <v>1148.3499999999999</v>
      </c>
      <c r="R79">
        <v>27976</v>
      </c>
    </row>
    <row r="80" spans="1:18" x14ac:dyDescent="0.25">
      <c r="A80" s="170">
        <v>43592</v>
      </c>
      <c r="B80" s="116">
        <v>1139.9000000000001</v>
      </c>
      <c r="C80" s="116">
        <v>1125.8499999999999</v>
      </c>
      <c r="D80" s="116">
        <v>1122.1500000000001</v>
      </c>
      <c r="E80" s="116">
        <v>1122.4000000000001</v>
      </c>
      <c r="F80" s="116">
        <v>1125.8499999999999</v>
      </c>
      <c r="G80">
        <v>846</v>
      </c>
      <c r="H80" s="116"/>
      <c r="I80" s="116"/>
      <c r="L80" s="170">
        <v>43587</v>
      </c>
      <c r="M80" s="116">
        <v>1114</v>
      </c>
      <c r="N80" s="116">
        <v>1135.8</v>
      </c>
      <c r="O80" s="116">
        <v>1102.25</v>
      </c>
      <c r="P80" s="116">
        <v>1114.8</v>
      </c>
      <c r="Q80" s="116">
        <v>1114</v>
      </c>
      <c r="R80">
        <v>31864</v>
      </c>
    </row>
    <row r="81" spans="1:18" x14ac:dyDescent="0.25">
      <c r="A81" s="170">
        <v>43593</v>
      </c>
      <c r="B81" s="116">
        <v>1117</v>
      </c>
      <c r="C81" s="116">
        <v>1102.0999999999999</v>
      </c>
      <c r="D81" s="116">
        <v>1100.2</v>
      </c>
      <c r="E81" s="116">
        <v>1111</v>
      </c>
      <c r="F81" s="116">
        <v>1102.0999999999999</v>
      </c>
      <c r="G81">
        <v>733</v>
      </c>
      <c r="H81" s="116"/>
      <c r="I81" s="116"/>
      <c r="L81" s="170">
        <v>43588</v>
      </c>
      <c r="M81" s="116">
        <v>1098.8499999999999</v>
      </c>
      <c r="N81" s="116">
        <v>1114</v>
      </c>
      <c r="O81" s="116">
        <v>1070</v>
      </c>
      <c r="P81" s="116">
        <v>1110.0999999999999</v>
      </c>
      <c r="Q81" s="116">
        <v>1098.8499999999999</v>
      </c>
      <c r="R81">
        <v>25459</v>
      </c>
    </row>
    <row r="82" spans="1:18" x14ac:dyDescent="0.25">
      <c r="A82" s="170">
        <v>43594</v>
      </c>
      <c r="B82" s="116">
        <v>1122.5</v>
      </c>
      <c r="C82" s="116">
        <v>1110.95</v>
      </c>
      <c r="D82" s="116">
        <v>1093</v>
      </c>
      <c r="E82" s="116">
        <v>1093</v>
      </c>
      <c r="F82" s="116">
        <v>1110.95</v>
      </c>
      <c r="G82">
        <v>953</v>
      </c>
      <c r="H82" s="116"/>
      <c r="I82" s="116"/>
      <c r="L82" s="170">
        <v>43591</v>
      </c>
      <c r="M82" s="116">
        <v>1112.5</v>
      </c>
      <c r="N82" s="116">
        <v>1122</v>
      </c>
      <c r="O82" s="116">
        <v>1070.45</v>
      </c>
      <c r="P82" s="116">
        <v>1070.45</v>
      </c>
      <c r="Q82" s="116">
        <v>1112.5</v>
      </c>
      <c r="R82">
        <v>9474</v>
      </c>
    </row>
    <row r="83" spans="1:18" x14ac:dyDescent="0.25">
      <c r="A83" s="170">
        <v>43595</v>
      </c>
      <c r="B83" s="116">
        <v>1141.6500000000001</v>
      </c>
      <c r="C83" s="116">
        <v>1117.55</v>
      </c>
      <c r="D83" s="116">
        <v>1080</v>
      </c>
      <c r="E83" s="116">
        <v>1140</v>
      </c>
      <c r="F83" s="116">
        <v>1117.55</v>
      </c>
      <c r="G83">
        <v>2124</v>
      </c>
      <c r="H83" s="116"/>
      <c r="I83" s="116"/>
      <c r="L83" s="170">
        <v>43592</v>
      </c>
      <c r="M83" s="116">
        <v>1123.55</v>
      </c>
      <c r="N83" s="116">
        <v>1141</v>
      </c>
      <c r="O83" s="116">
        <v>1115.55</v>
      </c>
      <c r="P83" s="116">
        <v>1118</v>
      </c>
      <c r="Q83" s="116">
        <v>1123.55</v>
      </c>
      <c r="R83">
        <v>60984</v>
      </c>
    </row>
    <row r="84" spans="1:18" x14ac:dyDescent="0.25">
      <c r="A84" s="170">
        <v>43598</v>
      </c>
      <c r="B84" s="116">
        <v>1120.8</v>
      </c>
      <c r="C84" s="116">
        <v>1074.4000000000001</v>
      </c>
      <c r="D84" s="116">
        <v>1070</v>
      </c>
      <c r="E84" s="116">
        <v>1120</v>
      </c>
      <c r="F84" s="116">
        <v>1074.4000000000001</v>
      </c>
      <c r="G84">
        <v>1188</v>
      </c>
      <c r="H84" s="116"/>
      <c r="I84" s="116"/>
      <c r="L84" s="170">
        <v>43593</v>
      </c>
      <c r="M84" s="116">
        <v>1109.6500000000001</v>
      </c>
      <c r="N84" s="116">
        <v>1124.25</v>
      </c>
      <c r="O84" s="116">
        <v>1101.9000000000001</v>
      </c>
      <c r="P84" s="116">
        <v>1115.2</v>
      </c>
      <c r="Q84" s="116">
        <v>1109.6500000000001</v>
      </c>
      <c r="R84">
        <v>11153</v>
      </c>
    </row>
    <row r="85" spans="1:18" x14ac:dyDescent="0.25">
      <c r="A85" s="170">
        <v>43599</v>
      </c>
      <c r="B85" s="116">
        <v>1087</v>
      </c>
      <c r="C85" s="116">
        <v>1069.6500000000001</v>
      </c>
      <c r="D85" s="116">
        <v>1054</v>
      </c>
      <c r="E85" s="116">
        <v>1073.5</v>
      </c>
      <c r="F85" s="116">
        <v>1069.6500000000001</v>
      </c>
      <c r="G85">
        <v>4303</v>
      </c>
      <c r="H85" s="116"/>
      <c r="I85" s="116"/>
      <c r="L85" s="170">
        <v>43594</v>
      </c>
      <c r="M85" s="116">
        <v>1116.5</v>
      </c>
      <c r="N85" s="116">
        <v>1125</v>
      </c>
      <c r="O85" s="116">
        <v>1105.25</v>
      </c>
      <c r="P85" s="116">
        <v>1114.5</v>
      </c>
      <c r="Q85" s="116">
        <v>1116.5</v>
      </c>
      <c r="R85">
        <v>34163</v>
      </c>
    </row>
    <row r="86" spans="1:18" x14ac:dyDescent="0.25">
      <c r="A86" s="170">
        <v>43600</v>
      </c>
      <c r="B86" s="116">
        <v>1095.75</v>
      </c>
      <c r="C86" s="116">
        <v>1037.05</v>
      </c>
      <c r="D86" s="116">
        <v>1030</v>
      </c>
      <c r="E86" s="116">
        <v>1079.2</v>
      </c>
      <c r="F86" s="116">
        <v>1037.05</v>
      </c>
      <c r="G86">
        <v>1271</v>
      </c>
      <c r="H86" s="116"/>
      <c r="I86" s="116"/>
      <c r="L86" s="170">
        <v>43595</v>
      </c>
      <c r="M86" s="116">
        <v>1116</v>
      </c>
      <c r="N86" s="116">
        <v>1148</v>
      </c>
      <c r="O86" s="116">
        <v>1076.45</v>
      </c>
      <c r="P86" s="116">
        <v>1148</v>
      </c>
      <c r="Q86" s="116">
        <v>1116</v>
      </c>
      <c r="R86">
        <v>48504</v>
      </c>
    </row>
    <row r="87" spans="1:18" x14ac:dyDescent="0.25">
      <c r="A87" s="170">
        <v>43601</v>
      </c>
      <c r="B87" s="116">
        <v>1048</v>
      </c>
      <c r="C87" s="116">
        <v>1048</v>
      </c>
      <c r="D87" s="116">
        <v>1029.05</v>
      </c>
      <c r="E87" s="116">
        <v>1036.3499999999999</v>
      </c>
      <c r="F87" s="116">
        <v>1048</v>
      </c>
      <c r="G87">
        <v>660</v>
      </c>
      <c r="H87" s="116"/>
      <c r="I87" s="116"/>
      <c r="L87" s="170">
        <v>43598</v>
      </c>
      <c r="M87" s="116">
        <v>1070.55</v>
      </c>
      <c r="N87" s="116">
        <v>1129.1500000000001</v>
      </c>
      <c r="O87" s="116">
        <v>1061.6500000000001</v>
      </c>
      <c r="P87" s="116">
        <v>1119.3499999999999</v>
      </c>
      <c r="Q87" s="116">
        <v>1070.55</v>
      </c>
      <c r="R87">
        <v>12422</v>
      </c>
    </row>
    <row r="88" spans="1:18" x14ac:dyDescent="0.25">
      <c r="A88" s="170">
        <v>43602</v>
      </c>
      <c r="B88" s="116">
        <v>1056.3499999999999</v>
      </c>
      <c r="C88" s="116">
        <v>1032.8499999999999</v>
      </c>
      <c r="D88" s="116">
        <v>1027</v>
      </c>
      <c r="E88" s="116">
        <v>1038.05</v>
      </c>
      <c r="F88" s="116">
        <v>1032.8499999999999</v>
      </c>
      <c r="G88">
        <v>735</v>
      </c>
      <c r="H88" s="116"/>
      <c r="I88" s="116"/>
      <c r="L88" s="170">
        <v>43599</v>
      </c>
      <c r="M88" s="116">
        <v>1071.8</v>
      </c>
      <c r="N88" s="116">
        <v>1088.3499999999999</v>
      </c>
      <c r="O88" s="116">
        <v>1060</v>
      </c>
      <c r="P88" s="116">
        <v>1076.8499999999999</v>
      </c>
      <c r="Q88" s="116">
        <v>1071.8</v>
      </c>
      <c r="R88">
        <v>29003</v>
      </c>
    </row>
    <row r="89" spans="1:18" x14ac:dyDescent="0.25">
      <c r="A89" s="170">
        <v>43605</v>
      </c>
      <c r="B89" s="116">
        <v>1100</v>
      </c>
      <c r="C89" s="116">
        <v>1089.25</v>
      </c>
      <c r="D89" s="116">
        <v>1068</v>
      </c>
      <c r="E89" s="116">
        <v>1076.4000000000001</v>
      </c>
      <c r="F89" s="116">
        <v>1089.25</v>
      </c>
      <c r="G89">
        <v>3662</v>
      </c>
      <c r="H89" s="116"/>
      <c r="I89" s="116"/>
      <c r="L89" s="170">
        <v>43600</v>
      </c>
      <c r="M89" s="116">
        <v>1037.5999999999999</v>
      </c>
      <c r="N89" s="116">
        <v>1100</v>
      </c>
      <c r="O89" s="116">
        <v>1031</v>
      </c>
      <c r="P89" s="116">
        <v>1076.0999999999999</v>
      </c>
      <c r="Q89" s="116">
        <v>1037.5999999999999</v>
      </c>
      <c r="R89">
        <v>35223</v>
      </c>
    </row>
    <row r="90" spans="1:18" x14ac:dyDescent="0.25">
      <c r="A90" s="170">
        <v>43606</v>
      </c>
      <c r="B90" s="116">
        <v>1102</v>
      </c>
      <c r="C90" s="116">
        <v>1087.8</v>
      </c>
      <c r="D90" s="116">
        <v>1075</v>
      </c>
      <c r="E90" s="116">
        <v>1101.9000000000001</v>
      </c>
      <c r="F90" s="116">
        <v>1087.8</v>
      </c>
      <c r="G90">
        <v>36408</v>
      </c>
      <c r="H90" s="116"/>
      <c r="I90" s="116"/>
      <c r="L90" s="170">
        <v>43601</v>
      </c>
      <c r="M90" s="116">
        <v>1036.2</v>
      </c>
      <c r="N90" s="116">
        <v>1050</v>
      </c>
      <c r="O90" s="116">
        <v>1021</v>
      </c>
      <c r="P90" s="116">
        <v>1040.05</v>
      </c>
      <c r="Q90" s="116">
        <v>1036.2</v>
      </c>
      <c r="R90">
        <v>95948</v>
      </c>
    </row>
    <row r="91" spans="1:18" x14ac:dyDescent="0.25">
      <c r="A91" s="170">
        <v>43607</v>
      </c>
      <c r="B91" s="116">
        <v>1092.95</v>
      </c>
      <c r="C91" s="116">
        <v>1081.7</v>
      </c>
      <c r="D91" s="116">
        <v>1063.8</v>
      </c>
      <c r="E91" s="116">
        <v>1085</v>
      </c>
      <c r="F91" s="116">
        <v>1081.7</v>
      </c>
      <c r="G91">
        <v>2718</v>
      </c>
      <c r="H91" s="116"/>
      <c r="I91" s="116"/>
      <c r="L91" s="170">
        <v>43602</v>
      </c>
      <c r="M91" s="116">
        <v>1027.95</v>
      </c>
      <c r="N91" s="116">
        <v>1060</v>
      </c>
      <c r="O91" s="116">
        <v>1023.25</v>
      </c>
      <c r="P91" s="116">
        <v>1054.8</v>
      </c>
      <c r="Q91" s="116">
        <v>1027.95</v>
      </c>
      <c r="R91">
        <v>31738</v>
      </c>
    </row>
    <row r="92" spans="1:18" x14ac:dyDescent="0.25">
      <c r="A92" s="170">
        <v>43608</v>
      </c>
      <c r="B92" s="116">
        <v>1122</v>
      </c>
      <c r="C92" s="116">
        <v>1096.55</v>
      </c>
      <c r="D92" s="116">
        <v>1069.6500000000001</v>
      </c>
      <c r="E92" s="116">
        <v>1069.6500000000001</v>
      </c>
      <c r="F92" s="116">
        <v>1096.55</v>
      </c>
      <c r="G92">
        <v>4929</v>
      </c>
      <c r="H92" s="116"/>
      <c r="I92" s="116"/>
      <c r="L92" s="170">
        <v>43605</v>
      </c>
      <c r="M92" s="116">
        <v>1090.25</v>
      </c>
      <c r="N92" s="116">
        <v>1101</v>
      </c>
      <c r="O92" s="116">
        <v>1045.75</v>
      </c>
      <c r="P92" s="116">
        <v>1059</v>
      </c>
      <c r="Q92" s="116">
        <v>1090.25</v>
      </c>
      <c r="R92">
        <v>158408</v>
      </c>
    </row>
    <row r="93" spans="1:18" x14ac:dyDescent="0.25">
      <c r="A93" s="170">
        <v>43609</v>
      </c>
      <c r="B93" s="116">
        <v>1195</v>
      </c>
      <c r="C93" s="116">
        <v>1129.6500000000001</v>
      </c>
      <c r="D93" s="116">
        <v>1095</v>
      </c>
      <c r="E93" s="116">
        <v>1110.5</v>
      </c>
      <c r="F93" s="116">
        <v>1129.6500000000001</v>
      </c>
      <c r="G93">
        <v>34981</v>
      </c>
      <c r="H93" s="116"/>
      <c r="I93" s="116"/>
      <c r="L93" s="170">
        <v>43606</v>
      </c>
      <c r="M93" s="116">
        <v>1090.3</v>
      </c>
      <c r="N93" s="116">
        <v>1119.95</v>
      </c>
      <c r="O93" s="116">
        <v>1083.75</v>
      </c>
      <c r="P93" s="116">
        <v>1110</v>
      </c>
      <c r="Q93" s="116">
        <v>1090.3</v>
      </c>
      <c r="R93">
        <v>66819</v>
      </c>
    </row>
    <row r="94" spans="1:18" x14ac:dyDescent="0.25">
      <c r="A94" s="170">
        <v>43612</v>
      </c>
      <c r="B94" s="116">
        <v>1185.7</v>
      </c>
      <c r="C94" s="116">
        <v>1177.0999999999999</v>
      </c>
      <c r="D94" s="116">
        <v>1159</v>
      </c>
      <c r="E94" s="116">
        <v>1159</v>
      </c>
      <c r="F94" s="116">
        <v>1177.0999999999999</v>
      </c>
      <c r="G94">
        <v>3972</v>
      </c>
      <c r="H94" s="116"/>
      <c r="I94" s="116"/>
      <c r="L94" s="170">
        <v>43607</v>
      </c>
      <c r="M94" s="116">
        <v>1086.4000000000001</v>
      </c>
      <c r="N94" s="116">
        <v>1096.45</v>
      </c>
      <c r="O94" s="116">
        <v>1064.95</v>
      </c>
      <c r="P94" s="116">
        <v>1089.0999999999999</v>
      </c>
      <c r="Q94" s="116">
        <v>1086.4000000000001</v>
      </c>
      <c r="R94">
        <v>184866</v>
      </c>
    </row>
    <row r="95" spans="1:18" x14ac:dyDescent="0.25">
      <c r="A95" s="170">
        <v>43613</v>
      </c>
      <c r="B95" s="116">
        <v>1219.9000000000001</v>
      </c>
      <c r="C95" s="116">
        <v>1214</v>
      </c>
      <c r="D95" s="116">
        <v>1193.8</v>
      </c>
      <c r="E95" s="116">
        <v>1193.8</v>
      </c>
      <c r="F95" s="116">
        <v>1214</v>
      </c>
      <c r="G95">
        <v>3725</v>
      </c>
      <c r="H95" s="116"/>
      <c r="I95" s="116"/>
      <c r="L95" s="170">
        <v>43608</v>
      </c>
      <c r="M95" s="116">
        <v>1098.45</v>
      </c>
      <c r="N95" s="116">
        <v>1125.1500000000001</v>
      </c>
      <c r="O95" s="116">
        <v>1076.3</v>
      </c>
      <c r="P95" s="116">
        <v>1100</v>
      </c>
      <c r="Q95" s="116">
        <v>1098.45</v>
      </c>
      <c r="R95">
        <v>696599</v>
      </c>
    </row>
    <row r="96" spans="1:18" x14ac:dyDescent="0.25">
      <c r="A96" s="170">
        <v>43614</v>
      </c>
      <c r="B96" s="116">
        <v>1210.55</v>
      </c>
      <c r="C96" s="116">
        <v>1199.9000000000001</v>
      </c>
      <c r="D96" s="116">
        <v>1180</v>
      </c>
      <c r="E96" s="116">
        <v>1195</v>
      </c>
      <c r="F96" s="116">
        <v>1199.9000000000001</v>
      </c>
      <c r="G96">
        <v>11444</v>
      </c>
      <c r="H96" s="116"/>
      <c r="I96" s="116"/>
      <c r="L96" s="170">
        <v>43609</v>
      </c>
      <c r="M96" s="116">
        <v>1133.3499999999999</v>
      </c>
      <c r="N96" s="116">
        <v>1199</v>
      </c>
      <c r="O96" s="116">
        <v>1095</v>
      </c>
      <c r="P96" s="116">
        <v>1109.75</v>
      </c>
      <c r="Q96" s="116">
        <v>1133.3499999999999</v>
      </c>
      <c r="R96">
        <v>794324</v>
      </c>
    </row>
    <row r="97" spans="1:18" x14ac:dyDescent="0.25">
      <c r="A97" s="170">
        <v>43615</v>
      </c>
      <c r="B97" s="116">
        <v>1198.5</v>
      </c>
      <c r="C97" s="116">
        <v>1197.05</v>
      </c>
      <c r="D97" s="116">
        <v>1182.5</v>
      </c>
      <c r="E97" s="116">
        <v>1189.0999999999999</v>
      </c>
      <c r="F97" s="116">
        <v>1197.05</v>
      </c>
      <c r="G97">
        <v>600</v>
      </c>
      <c r="H97" s="116"/>
      <c r="I97" s="116"/>
      <c r="L97" s="170">
        <v>43612</v>
      </c>
      <c r="M97" s="116">
        <v>1170.05</v>
      </c>
      <c r="N97" s="116">
        <v>1180</v>
      </c>
      <c r="O97" s="116">
        <v>1133.4000000000001</v>
      </c>
      <c r="P97" s="116">
        <v>1139</v>
      </c>
      <c r="Q97" s="116">
        <v>1170.05</v>
      </c>
      <c r="R97">
        <v>515678</v>
      </c>
    </row>
    <row r="98" spans="1:18" x14ac:dyDescent="0.25">
      <c r="A98" s="170">
        <v>43616</v>
      </c>
      <c r="B98" s="116">
        <v>1197</v>
      </c>
      <c r="C98" s="116">
        <v>1194.3</v>
      </c>
      <c r="D98" s="116">
        <v>1180</v>
      </c>
      <c r="E98" s="116">
        <v>1186</v>
      </c>
      <c r="F98" s="116">
        <v>1194.3</v>
      </c>
      <c r="G98">
        <v>1265</v>
      </c>
      <c r="H98" s="116"/>
      <c r="I98" s="116"/>
      <c r="L98" s="170">
        <v>43613</v>
      </c>
      <c r="M98" s="116">
        <v>1213.55</v>
      </c>
      <c r="N98" s="116">
        <v>1219.9000000000001</v>
      </c>
      <c r="O98" s="116">
        <v>1182</v>
      </c>
      <c r="P98" s="116">
        <v>1182</v>
      </c>
      <c r="Q98" s="116">
        <v>1213.55</v>
      </c>
      <c r="R98">
        <v>561889</v>
      </c>
    </row>
    <row r="99" spans="1:18" x14ac:dyDescent="0.25">
      <c r="A99" s="170">
        <v>43619</v>
      </c>
      <c r="B99" s="116">
        <v>1198</v>
      </c>
      <c r="C99" s="116">
        <v>1192.3</v>
      </c>
      <c r="D99" s="116">
        <v>1170</v>
      </c>
      <c r="E99" s="116">
        <v>1175.0999999999999</v>
      </c>
      <c r="F99" s="116">
        <v>1192.3</v>
      </c>
      <c r="G99">
        <v>1891</v>
      </c>
      <c r="H99" s="116"/>
      <c r="I99" s="116"/>
      <c r="L99" s="170">
        <v>43614</v>
      </c>
      <c r="M99" s="116">
        <v>1201.25</v>
      </c>
      <c r="N99" s="116">
        <v>1212</v>
      </c>
      <c r="O99" s="116">
        <v>1185</v>
      </c>
      <c r="P99" s="116">
        <v>1210</v>
      </c>
      <c r="Q99" s="116">
        <v>1201.25</v>
      </c>
      <c r="R99">
        <v>33407</v>
      </c>
    </row>
    <row r="100" spans="1:18" x14ac:dyDescent="0.25">
      <c r="A100" s="170">
        <v>43620</v>
      </c>
      <c r="B100" s="116">
        <v>1185</v>
      </c>
      <c r="C100" s="116">
        <v>1180</v>
      </c>
      <c r="D100" s="116">
        <v>1150</v>
      </c>
      <c r="E100" s="116">
        <v>1182.25</v>
      </c>
      <c r="F100" s="116">
        <v>1180</v>
      </c>
      <c r="G100">
        <v>2587</v>
      </c>
      <c r="H100" s="116"/>
      <c r="I100" s="116"/>
      <c r="L100" s="170">
        <v>43615</v>
      </c>
      <c r="M100" s="116">
        <v>1196.25</v>
      </c>
      <c r="N100" s="116">
        <v>1204.8</v>
      </c>
      <c r="O100" s="116">
        <v>1181.3499999999999</v>
      </c>
      <c r="P100" s="116">
        <v>1185.05</v>
      </c>
      <c r="Q100" s="116">
        <v>1196.25</v>
      </c>
      <c r="R100">
        <v>49928</v>
      </c>
    </row>
    <row r="101" spans="1:18" x14ac:dyDescent="0.25">
      <c r="A101" s="170">
        <v>43622</v>
      </c>
      <c r="B101" s="116">
        <v>1167</v>
      </c>
      <c r="C101" s="116">
        <v>1127.6500000000001</v>
      </c>
      <c r="D101" s="116">
        <v>1120</v>
      </c>
      <c r="E101" s="116">
        <v>1164</v>
      </c>
      <c r="F101" s="116">
        <v>1127.6500000000001</v>
      </c>
      <c r="G101">
        <v>2648</v>
      </c>
      <c r="H101" s="116"/>
      <c r="I101" s="116"/>
      <c r="L101" s="170">
        <v>43616</v>
      </c>
      <c r="M101" s="116">
        <v>1181.7</v>
      </c>
      <c r="N101" s="116">
        <v>1195.05</v>
      </c>
      <c r="O101" s="116">
        <v>1174.7</v>
      </c>
      <c r="P101" s="116">
        <v>1195</v>
      </c>
      <c r="Q101" s="116">
        <v>1181.7</v>
      </c>
      <c r="R101">
        <v>52193</v>
      </c>
    </row>
    <row r="102" spans="1:18" x14ac:dyDescent="0.25">
      <c r="A102" s="170">
        <v>43623</v>
      </c>
      <c r="B102" s="116">
        <v>1151.0999999999999</v>
      </c>
      <c r="C102" s="116">
        <v>1138.7</v>
      </c>
      <c r="D102" s="116">
        <v>1121</v>
      </c>
      <c r="E102" s="116">
        <v>1123.95</v>
      </c>
      <c r="F102" s="116">
        <v>1138.7</v>
      </c>
      <c r="G102">
        <v>879</v>
      </c>
      <c r="H102" s="116"/>
      <c r="I102" s="116"/>
      <c r="L102" s="170">
        <v>43619</v>
      </c>
      <c r="M102" s="116">
        <v>1189.3499999999999</v>
      </c>
      <c r="N102" s="116">
        <v>1200</v>
      </c>
      <c r="O102" s="116">
        <v>1176.05</v>
      </c>
      <c r="P102" s="116">
        <v>1182</v>
      </c>
      <c r="Q102" s="116">
        <v>1189.3499999999999</v>
      </c>
      <c r="R102">
        <v>66749</v>
      </c>
    </row>
    <row r="103" spans="1:18" x14ac:dyDescent="0.25">
      <c r="A103" s="170">
        <v>43626</v>
      </c>
      <c r="B103" s="116">
        <v>1170</v>
      </c>
      <c r="C103" s="116">
        <v>1160.8499999999999</v>
      </c>
      <c r="D103" s="116">
        <v>1122</v>
      </c>
      <c r="E103" s="116">
        <v>1151.0999999999999</v>
      </c>
      <c r="F103" s="116">
        <v>1160.8499999999999</v>
      </c>
      <c r="G103">
        <v>4079</v>
      </c>
      <c r="H103" s="116"/>
      <c r="I103" s="116"/>
      <c r="L103" s="170">
        <v>43620</v>
      </c>
      <c r="M103" s="116">
        <v>1179.0999999999999</v>
      </c>
      <c r="N103" s="116">
        <v>1187.95</v>
      </c>
      <c r="O103" s="116">
        <v>1145.4000000000001</v>
      </c>
      <c r="P103" s="116">
        <v>1171</v>
      </c>
      <c r="Q103" s="116">
        <v>1179.0999999999999</v>
      </c>
      <c r="R103">
        <v>108903</v>
      </c>
    </row>
    <row r="104" spans="1:18" x14ac:dyDescent="0.25">
      <c r="A104" s="170">
        <v>43627</v>
      </c>
      <c r="B104" s="116">
        <v>1186</v>
      </c>
      <c r="C104" s="116">
        <v>1175.05</v>
      </c>
      <c r="D104" s="116">
        <v>1159.45</v>
      </c>
      <c r="E104" s="116">
        <v>1161</v>
      </c>
      <c r="F104" s="116">
        <v>1175.05</v>
      </c>
      <c r="G104">
        <v>920</v>
      </c>
      <c r="H104" s="116"/>
      <c r="I104" s="116"/>
      <c r="L104" s="170">
        <v>43622</v>
      </c>
      <c r="M104" s="116">
        <v>1127.05</v>
      </c>
      <c r="N104" s="116">
        <v>1189.95</v>
      </c>
      <c r="O104" s="116">
        <v>1111.25</v>
      </c>
      <c r="P104" s="116">
        <v>1189.95</v>
      </c>
      <c r="Q104" s="116">
        <v>1127.05</v>
      </c>
      <c r="R104">
        <v>57276</v>
      </c>
    </row>
    <row r="105" spans="1:18" x14ac:dyDescent="0.25">
      <c r="A105" s="170">
        <v>43628</v>
      </c>
      <c r="B105" s="116">
        <v>1178.5999999999999</v>
      </c>
      <c r="C105" s="116">
        <v>1170.05</v>
      </c>
      <c r="D105" s="116">
        <v>1140</v>
      </c>
      <c r="E105" s="116">
        <v>1157.75</v>
      </c>
      <c r="F105" s="116">
        <v>1170.05</v>
      </c>
      <c r="G105">
        <v>354</v>
      </c>
      <c r="H105" s="116"/>
      <c r="I105" s="116"/>
      <c r="L105" s="170">
        <v>43623</v>
      </c>
      <c r="M105" s="116">
        <v>1130.05</v>
      </c>
      <c r="N105" s="116">
        <v>1150</v>
      </c>
      <c r="O105" s="116">
        <v>1109.95</v>
      </c>
      <c r="P105" s="116">
        <v>1115.05</v>
      </c>
      <c r="Q105" s="116">
        <v>1130.05</v>
      </c>
      <c r="R105">
        <v>38497</v>
      </c>
    </row>
    <row r="106" spans="1:18" x14ac:dyDescent="0.25">
      <c r="A106" s="170">
        <v>43629</v>
      </c>
      <c r="B106" s="116">
        <v>1180</v>
      </c>
      <c r="C106" s="116">
        <v>1175.3499999999999</v>
      </c>
      <c r="D106" s="116">
        <v>1141.8</v>
      </c>
      <c r="E106" s="116">
        <v>1156.0999999999999</v>
      </c>
      <c r="F106" s="116">
        <v>1175.3499999999999</v>
      </c>
      <c r="G106">
        <v>813</v>
      </c>
      <c r="H106" s="116"/>
      <c r="I106" s="116"/>
      <c r="L106" s="170">
        <v>43626</v>
      </c>
      <c r="M106" s="116">
        <v>1162.95</v>
      </c>
      <c r="N106" s="116">
        <v>1169</v>
      </c>
      <c r="O106" s="116">
        <v>1117.9000000000001</v>
      </c>
      <c r="P106" s="116">
        <v>1130.0999999999999</v>
      </c>
      <c r="Q106" s="116">
        <v>1162.95</v>
      </c>
      <c r="R106">
        <v>69084</v>
      </c>
    </row>
    <row r="107" spans="1:18" x14ac:dyDescent="0.25">
      <c r="A107" s="170">
        <v>43630</v>
      </c>
      <c r="B107" s="116">
        <v>1180</v>
      </c>
      <c r="C107" s="116">
        <v>1166.25</v>
      </c>
      <c r="D107" s="116">
        <v>1152</v>
      </c>
      <c r="E107" s="116">
        <v>1164</v>
      </c>
      <c r="F107" s="116">
        <v>1166.25</v>
      </c>
      <c r="G107">
        <v>2705</v>
      </c>
      <c r="H107" s="116"/>
      <c r="I107" s="116"/>
      <c r="L107" s="170">
        <v>43627</v>
      </c>
      <c r="M107" s="116">
        <v>1178.55</v>
      </c>
      <c r="N107" s="116">
        <v>1185</v>
      </c>
      <c r="O107" s="116">
        <v>1148</v>
      </c>
      <c r="P107" s="116">
        <v>1165</v>
      </c>
      <c r="Q107" s="116">
        <v>1178.55</v>
      </c>
      <c r="R107">
        <v>51509</v>
      </c>
    </row>
    <row r="108" spans="1:18" x14ac:dyDescent="0.25">
      <c r="A108" s="170">
        <v>43633</v>
      </c>
      <c r="B108" s="116">
        <v>1148.95</v>
      </c>
      <c r="C108" s="116">
        <v>1105.7</v>
      </c>
      <c r="D108" s="116">
        <v>1090</v>
      </c>
      <c r="E108" s="116">
        <v>1145.55</v>
      </c>
      <c r="F108" s="116">
        <v>1105.7</v>
      </c>
      <c r="G108">
        <v>2178</v>
      </c>
      <c r="H108" s="116"/>
      <c r="I108" s="116"/>
      <c r="L108" s="170">
        <v>43628</v>
      </c>
      <c r="M108" s="116">
        <v>1170.9000000000001</v>
      </c>
      <c r="N108" s="116">
        <v>1178</v>
      </c>
      <c r="O108" s="116">
        <v>1136</v>
      </c>
      <c r="P108" s="116">
        <v>1174.8499999999999</v>
      </c>
      <c r="Q108" s="116">
        <v>1170.9000000000001</v>
      </c>
      <c r="R108">
        <v>28178</v>
      </c>
    </row>
    <row r="109" spans="1:18" x14ac:dyDescent="0.25">
      <c r="A109" s="170">
        <v>43634</v>
      </c>
      <c r="B109" s="116">
        <v>1115</v>
      </c>
      <c r="C109" s="116">
        <v>1098.3499999999999</v>
      </c>
      <c r="D109" s="116">
        <v>1081.55</v>
      </c>
      <c r="E109" s="116">
        <v>1098.75</v>
      </c>
      <c r="F109" s="116">
        <v>1098.3499999999999</v>
      </c>
      <c r="G109">
        <v>11702</v>
      </c>
      <c r="H109" s="116"/>
      <c r="I109" s="116"/>
      <c r="L109" s="170">
        <v>43629</v>
      </c>
      <c r="M109" s="116">
        <v>1170.25</v>
      </c>
      <c r="N109" s="116">
        <v>1177.7</v>
      </c>
      <c r="O109" s="116">
        <v>1141.8</v>
      </c>
      <c r="P109" s="116">
        <v>1160.3</v>
      </c>
      <c r="Q109" s="116">
        <v>1170.25</v>
      </c>
      <c r="R109">
        <v>52960</v>
      </c>
    </row>
    <row r="110" spans="1:18" x14ac:dyDescent="0.25">
      <c r="A110" s="170">
        <v>43635</v>
      </c>
      <c r="B110" s="116">
        <v>1115</v>
      </c>
      <c r="C110" s="116">
        <v>1083.1500000000001</v>
      </c>
      <c r="D110" s="116">
        <v>1076.5</v>
      </c>
      <c r="E110" s="116">
        <v>1105.0999999999999</v>
      </c>
      <c r="F110" s="116">
        <v>1083.1500000000001</v>
      </c>
      <c r="G110">
        <v>1568</v>
      </c>
      <c r="H110" s="116"/>
      <c r="I110" s="116"/>
      <c r="L110" s="170">
        <v>43630</v>
      </c>
      <c r="M110" s="116">
        <v>1160.5</v>
      </c>
      <c r="N110" s="116">
        <v>1170</v>
      </c>
      <c r="O110" s="116">
        <v>1152</v>
      </c>
      <c r="P110" s="116">
        <v>1160.3</v>
      </c>
      <c r="Q110" s="116">
        <v>1160.5</v>
      </c>
      <c r="R110">
        <v>14954</v>
      </c>
    </row>
    <row r="111" spans="1:18" x14ac:dyDescent="0.25">
      <c r="A111" s="170">
        <v>43636</v>
      </c>
      <c r="B111" s="116">
        <v>1090</v>
      </c>
      <c r="C111" s="116">
        <v>1068.25</v>
      </c>
      <c r="D111" s="116">
        <v>1035.9000000000001</v>
      </c>
      <c r="E111" s="116">
        <v>1076.4000000000001</v>
      </c>
      <c r="F111" s="116">
        <v>1068.25</v>
      </c>
      <c r="G111">
        <v>2907</v>
      </c>
      <c r="H111" s="116"/>
      <c r="I111" s="116"/>
      <c r="L111" s="170">
        <v>43633</v>
      </c>
      <c r="M111" s="116">
        <v>1101.5999999999999</v>
      </c>
      <c r="N111" s="116">
        <v>1157.8499999999999</v>
      </c>
      <c r="O111" s="116">
        <v>1086</v>
      </c>
      <c r="P111" s="116">
        <v>1151.3499999999999</v>
      </c>
      <c r="Q111" s="116">
        <v>1101.5999999999999</v>
      </c>
      <c r="R111">
        <v>50988</v>
      </c>
    </row>
    <row r="112" spans="1:18" x14ac:dyDescent="0.25">
      <c r="A112" s="170">
        <v>43637</v>
      </c>
      <c r="B112" s="116">
        <v>1110</v>
      </c>
      <c r="C112" s="116">
        <v>1077.55</v>
      </c>
      <c r="D112" s="116">
        <v>1050.05</v>
      </c>
      <c r="E112" s="116">
        <v>1059.3</v>
      </c>
      <c r="F112" s="116">
        <v>1077.55</v>
      </c>
      <c r="G112">
        <v>1549</v>
      </c>
      <c r="H112" s="116"/>
      <c r="I112" s="116"/>
      <c r="L112" s="170">
        <v>43634</v>
      </c>
      <c r="M112" s="116">
        <v>1098.7</v>
      </c>
      <c r="N112" s="116">
        <v>1115</v>
      </c>
      <c r="O112" s="116">
        <v>1080</v>
      </c>
      <c r="P112" s="116">
        <v>1100.1500000000001</v>
      </c>
      <c r="Q112" s="116">
        <v>1098.7</v>
      </c>
      <c r="R112">
        <v>29422</v>
      </c>
    </row>
    <row r="113" spans="1:18" x14ac:dyDescent="0.25">
      <c r="A113" s="170">
        <v>43640</v>
      </c>
      <c r="B113" s="116">
        <v>1086</v>
      </c>
      <c r="C113" s="116">
        <v>1063.3499999999999</v>
      </c>
      <c r="D113" s="116">
        <v>1060</v>
      </c>
      <c r="E113" s="116">
        <v>1071.05</v>
      </c>
      <c r="F113" s="116">
        <v>1063.3499999999999</v>
      </c>
      <c r="G113">
        <v>1059</v>
      </c>
      <c r="H113" s="116"/>
      <c r="I113" s="116"/>
      <c r="L113" s="170">
        <v>43635</v>
      </c>
      <c r="M113" s="116">
        <v>1084.05</v>
      </c>
      <c r="N113" s="116">
        <v>1117.75</v>
      </c>
      <c r="O113" s="116">
        <v>1076.45</v>
      </c>
      <c r="P113" s="116">
        <v>1104.8</v>
      </c>
      <c r="Q113" s="116">
        <v>1084.05</v>
      </c>
      <c r="R113">
        <v>30559</v>
      </c>
    </row>
    <row r="114" spans="1:18" x14ac:dyDescent="0.25">
      <c r="A114" s="170">
        <v>43641</v>
      </c>
      <c r="B114" s="116">
        <v>1060</v>
      </c>
      <c r="C114" s="116">
        <v>1058.5</v>
      </c>
      <c r="D114" s="116">
        <v>1041</v>
      </c>
      <c r="E114" s="116">
        <v>1058.25</v>
      </c>
      <c r="F114" s="116">
        <v>1058.5</v>
      </c>
      <c r="G114">
        <v>1057</v>
      </c>
      <c r="H114" s="116"/>
      <c r="I114" s="116"/>
      <c r="L114" s="170">
        <v>43636</v>
      </c>
      <c r="M114" s="116">
        <v>1069.1500000000001</v>
      </c>
      <c r="N114" s="116">
        <v>1098.95</v>
      </c>
      <c r="O114" s="116">
        <v>1035.45</v>
      </c>
      <c r="P114" s="116">
        <v>1080.2</v>
      </c>
      <c r="Q114" s="116">
        <v>1069.1500000000001</v>
      </c>
      <c r="R114">
        <v>102865</v>
      </c>
    </row>
    <row r="115" spans="1:18" x14ac:dyDescent="0.25">
      <c r="A115" s="170">
        <v>43642</v>
      </c>
      <c r="B115" s="116">
        <v>1068</v>
      </c>
      <c r="C115" s="116">
        <v>1058.3</v>
      </c>
      <c r="D115" s="116">
        <v>1056.6500000000001</v>
      </c>
      <c r="E115" s="116">
        <v>1059.3</v>
      </c>
      <c r="F115" s="116">
        <v>1058.3</v>
      </c>
      <c r="G115">
        <v>1145</v>
      </c>
      <c r="H115" s="116"/>
      <c r="I115" s="116"/>
      <c r="L115" s="170">
        <v>43637</v>
      </c>
      <c r="M115" s="116">
        <v>1074.0999999999999</v>
      </c>
      <c r="N115" s="116">
        <v>1098</v>
      </c>
      <c r="O115" s="116">
        <v>1050</v>
      </c>
      <c r="P115" s="116">
        <v>1095</v>
      </c>
      <c r="Q115" s="116">
        <v>1074.0999999999999</v>
      </c>
      <c r="R115">
        <v>109740</v>
      </c>
    </row>
    <row r="116" spans="1:18" x14ac:dyDescent="0.25">
      <c r="A116" s="170">
        <v>43643</v>
      </c>
      <c r="B116" s="116">
        <v>1089.4000000000001</v>
      </c>
      <c r="C116" s="116">
        <v>1069.1500000000001</v>
      </c>
      <c r="D116" s="116">
        <v>1057.0999999999999</v>
      </c>
      <c r="E116" s="116">
        <v>1058.2</v>
      </c>
      <c r="F116" s="116">
        <v>1069.1500000000001</v>
      </c>
      <c r="G116">
        <v>784</v>
      </c>
      <c r="H116" s="116"/>
      <c r="I116" s="116"/>
      <c r="L116" s="170">
        <v>43640</v>
      </c>
      <c r="M116" s="116">
        <v>1063.5999999999999</v>
      </c>
      <c r="N116" s="116">
        <v>1088.8</v>
      </c>
      <c r="O116" s="116">
        <v>1060.0999999999999</v>
      </c>
      <c r="P116" s="116">
        <v>1074.0999999999999</v>
      </c>
      <c r="Q116" s="116">
        <v>1063.5999999999999</v>
      </c>
      <c r="R116">
        <v>23574</v>
      </c>
    </row>
    <row r="117" spans="1:18" x14ac:dyDescent="0.25">
      <c r="A117" s="170">
        <v>43644</v>
      </c>
      <c r="B117" s="116">
        <v>1065.5</v>
      </c>
      <c r="C117" s="116">
        <v>1047.7</v>
      </c>
      <c r="D117" s="116">
        <v>1043.5999999999999</v>
      </c>
      <c r="E117" s="116">
        <v>1065.5</v>
      </c>
      <c r="F117" s="116">
        <v>1047.7</v>
      </c>
      <c r="G117">
        <v>922</v>
      </c>
      <c r="H117" s="116"/>
      <c r="I117" s="116"/>
      <c r="L117" s="170">
        <v>43641</v>
      </c>
      <c r="M117" s="116">
        <v>1060.1500000000001</v>
      </c>
      <c r="N117" s="116">
        <v>1070.45</v>
      </c>
      <c r="O117" s="116">
        <v>1040.25</v>
      </c>
      <c r="P117" s="116">
        <v>1064</v>
      </c>
      <c r="Q117" s="116">
        <v>1060.1500000000001</v>
      </c>
      <c r="R117">
        <v>75274</v>
      </c>
    </row>
    <row r="118" spans="1:18" x14ac:dyDescent="0.25">
      <c r="A118" s="170">
        <v>43647</v>
      </c>
      <c r="B118" s="116">
        <v>1050</v>
      </c>
      <c r="C118" s="116">
        <v>1037.25</v>
      </c>
      <c r="D118" s="116">
        <v>1035.5</v>
      </c>
      <c r="E118" s="116">
        <v>1044.9000000000001</v>
      </c>
      <c r="F118" s="116">
        <v>1037.25</v>
      </c>
      <c r="G118">
        <v>791</v>
      </c>
      <c r="H118" s="116"/>
      <c r="I118" s="116"/>
      <c r="L118" s="170">
        <v>43642</v>
      </c>
      <c r="M118" s="116">
        <v>1059.75</v>
      </c>
      <c r="N118" s="116">
        <v>1070</v>
      </c>
      <c r="O118" s="116">
        <v>1057</v>
      </c>
      <c r="P118" s="116">
        <v>1061.05</v>
      </c>
      <c r="Q118" s="116">
        <v>1059.75</v>
      </c>
      <c r="R118">
        <v>66232</v>
      </c>
    </row>
    <row r="119" spans="1:18" x14ac:dyDescent="0.25">
      <c r="A119" s="170">
        <v>43648</v>
      </c>
      <c r="B119" s="116">
        <v>1051.7</v>
      </c>
      <c r="C119" s="116">
        <v>1046</v>
      </c>
      <c r="D119" s="116">
        <v>1037.45</v>
      </c>
      <c r="E119" s="116">
        <v>1043.55</v>
      </c>
      <c r="F119" s="116">
        <v>1046</v>
      </c>
      <c r="G119">
        <v>2328</v>
      </c>
      <c r="H119" s="116"/>
      <c r="I119" s="116"/>
      <c r="L119" s="170">
        <v>43643</v>
      </c>
      <c r="M119" s="116">
        <v>1069.75</v>
      </c>
      <c r="N119" s="116">
        <v>1088.9000000000001</v>
      </c>
      <c r="O119" s="116">
        <v>1055.45</v>
      </c>
      <c r="P119" s="116">
        <v>1059.95</v>
      </c>
      <c r="Q119" s="116">
        <v>1069.75</v>
      </c>
      <c r="R119">
        <v>74091</v>
      </c>
    </row>
    <row r="120" spans="1:18" x14ac:dyDescent="0.25">
      <c r="A120" s="170">
        <v>43649</v>
      </c>
      <c r="B120" s="116">
        <v>1050</v>
      </c>
      <c r="C120" s="116">
        <v>1028.2</v>
      </c>
      <c r="D120" s="116">
        <v>1022.3</v>
      </c>
      <c r="E120" s="116">
        <v>1036</v>
      </c>
      <c r="F120" s="116">
        <v>1028.2</v>
      </c>
      <c r="G120">
        <v>2246</v>
      </c>
      <c r="H120" s="116"/>
      <c r="I120" s="116"/>
      <c r="L120" s="170">
        <v>43644</v>
      </c>
      <c r="M120" s="116">
        <v>1047.8499999999999</v>
      </c>
      <c r="N120" s="116">
        <v>1067</v>
      </c>
      <c r="O120" s="116">
        <v>1042</v>
      </c>
      <c r="P120" s="116">
        <v>1061</v>
      </c>
      <c r="Q120" s="116">
        <v>1047.8499999999999</v>
      </c>
      <c r="R120">
        <v>43109</v>
      </c>
    </row>
    <row r="121" spans="1:18" x14ac:dyDescent="0.25">
      <c r="A121" s="170">
        <v>43650</v>
      </c>
      <c r="B121" s="116">
        <v>1041.6500000000001</v>
      </c>
      <c r="C121" s="116">
        <v>1037.2</v>
      </c>
      <c r="D121" s="116">
        <v>1020</v>
      </c>
      <c r="E121" s="116">
        <v>1038.5999999999999</v>
      </c>
      <c r="F121" s="116">
        <v>1037.2</v>
      </c>
      <c r="G121">
        <v>1247</v>
      </c>
      <c r="H121" s="116"/>
      <c r="I121" s="116"/>
      <c r="L121" s="170">
        <v>43647</v>
      </c>
      <c r="M121" s="116">
        <v>1040</v>
      </c>
      <c r="N121" s="116">
        <v>1051</v>
      </c>
      <c r="O121" s="116">
        <v>1033.3</v>
      </c>
      <c r="P121" s="116">
        <v>1045</v>
      </c>
      <c r="Q121" s="116">
        <v>1040</v>
      </c>
      <c r="R121">
        <v>36021</v>
      </c>
    </row>
    <row r="122" spans="1:18" x14ac:dyDescent="0.25">
      <c r="A122" s="170">
        <v>43651</v>
      </c>
      <c r="B122" s="116">
        <v>1041.25</v>
      </c>
      <c r="C122" s="116">
        <v>1015.45</v>
      </c>
      <c r="D122" s="116">
        <v>1009.45</v>
      </c>
      <c r="E122" s="116">
        <v>1040</v>
      </c>
      <c r="F122" s="116">
        <v>1015.45</v>
      </c>
      <c r="G122">
        <v>1176</v>
      </c>
      <c r="H122" s="116"/>
      <c r="I122" s="116"/>
      <c r="L122" s="170">
        <v>43648</v>
      </c>
      <c r="M122" s="116">
        <v>1044.7</v>
      </c>
      <c r="N122" s="116">
        <v>1070</v>
      </c>
      <c r="O122" s="116">
        <v>1025</v>
      </c>
      <c r="P122" s="116">
        <v>1070</v>
      </c>
      <c r="Q122" s="116">
        <v>1044.7</v>
      </c>
      <c r="R122">
        <v>55866</v>
      </c>
    </row>
    <row r="123" spans="1:18" x14ac:dyDescent="0.25">
      <c r="A123" s="170">
        <v>43654</v>
      </c>
      <c r="B123" s="116">
        <v>1016.1</v>
      </c>
      <c r="C123" s="116">
        <v>986.15</v>
      </c>
      <c r="D123" s="116">
        <v>970</v>
      </c>
      <c r="E123" s="116">
        <v>1013.25</v>
      </c>
      <c r="F123" s="116">
        <v>986.15</v>
      </c>
      <c r="G123">
        <v>2357</v>
      </c>
      <c r="H123" s="116"/>
      <c r="I123" s="116"/>
      <c r="L123" s="170">
        <v>43649</v>
      </c>
      <c r="M123" s="116">
        <v>1034</v>
      </c>
      <c r="N123" s="116">
        <v>1050</v>
      </c>
      <c r="O123" s="116">
        <v>1022.05</v>
      </c>
      <c r="P123" s="116">
        <v>1035.0999999999999</v>
      </c>
      <c r="Q123" s="116">
        <v>1034</v>
      </c>
      <c r="R123">
        <v>46083</v>
      </c>
    </row>
    <row r="124" spans="1:18" x14ac:dyDescent="0.25">
      <c r="A124" s="170">
        <v>43655</v>
      </c>
      <c r="B124" s="116">
        <v>1014.35</v>
      </c>
      <c r="C124" s="116">
        <v>994.1</v>
      </c>
      <c r="D124" s="116">
        <v>975.05</v>
      </c>
      <c r="E124" s="116">
        <v>987.8</v>
      </c>
      <c r="F124" s="116">
        <v>994.1</v>
      </c>
      <c r="G124">
        <v>993</v>
      </c>
      <c r="H124" s="116"/>
      <c r="I124" s="116"/>
      <c r="L124" s="170">
        <v>43650</v>
      </c>
      <c r="M124" s="116">
        <v>1038.45</v>
      </c>
      <c r="N124" s="116">
        <v>1043.45</v>
      </c>
      <c r="O124" s="116">
        <v>1017.3</v>
      </c>
      <c r="P124" s="116">
        <v>1043.45</v>
      </c>
      <c r="Q124" s="116">
        <v>1038.45</v>
      </c>
      <c r="R124">
        <v>166853</v>
      </c>
    </row>
    <row r="125" spans="1:18" x14ac:dyDescent="0.25">
      <c r="A125" s="170">
        <v>43656</v>
      </c>
      <c r="B125" s="116">
        <v>996.7</v>
      </c>
      <c r="C125" s="116">
        <v>992.55</v>
      </c>
      <c r="D125" s="116">
        <v>978</v>
      </c>
      <c r="E125" s="116">
        <v>987.6</v>
      </c>
      <c r="F125" s="116">
        <v>992.55</v>
      </c>
      <c r="G125">
        <v>620</v>
      </c>
      <c r="H125" s="116"/>
      <c r="I125" s="116"/>
      <c r="L125" s="170">
        <v>43651</v>
      </c>
      <c r="M125" s="116">
        <v>1016.2</v>
      </c>
      <c r="N125" s="116">
        <v>1050</v>
      </c>
      <c r="O125" s="116">
        <v>1007</v>
      </c>
      <c r="P125" s="116">
        <v>1047</v>
      </c>
      <c r="Q125" s="116">
        <v>1016.2</v>
      </c>
      <c r="R125">
        <v>55057</v>
      </c>
    </row>
    <row r="126" spans="1:18" x14ac:dyDescent="0.25">
      <c r="A126" s="170">
        <v>43657</v>
      </c>
      <c r="B126" s="116">
        <v>1040</v>
      </c>
      <c r="C126" s="116">
        <v>1018.7</v>
      </c>
      <c r="D126" s="116">
        <v>983</v>
      </c>
      <c r="E126" s="116">
        <v>990.5</v>
      </c>
      <c r="F126" s="116">
        <v>1018.7</v>
      </c>
      <c r="G126">
        <v>423</v>
      </c>
      <c r="H126" s="116"/>
      <c r="I126" s="116"/>
      <c r="L126" s="170">
        <v>43654</v>
      </c>
      <c r="M126" s="116">
        <v>991.7</v>
      </c>
      <c r="N126" s="116">
        <v>1027.95</v>
      </c>
      <c r="O126" s="116">
        <v>965</v>
      </c>
      <c r="P126" s="116">
        <v>997.05</v>
      </c>
      <c r="Q126" s="116">
        <v>991.7</v>
      </c>
      <c r="R126">
        <v>38270</v>
      </c>
    </row>
    <row r="127" spans="1:18" x14ac:dyDescent="0.25">
      <c r="A127" s="170">
        <v>43658</v>
      </c>
      <c r="B127" s="116">
        <v>1012</v>
      </c>
      <c r="C127" s="116">
        <v>999.75</v>
      </c>
      <c r="D127" s="116">
        <v>990</v>
      </c>
      <c r="E127" s="116">
        <v>1010</v>
      </c>
      <c r="F127" s="116">
        <v>999.75</v>
      </c>
      <c r="G127">
        <v>584</v>
      </c>
      <c r="H127" s="116"/>
      <c r="I127" s="116"/>
      <c r="L127" s="170">
        <v>43655</v>
      </c>
      <c r="M127" s="116">
        <v>993.4</v>
      </c>
      <c r="N127" s="116">
        <v>1012.9</v>
      </c>
      <c r="O127" s="116">
        <v>976</v>
      </c>
      <c r="P127" s="116">
        <v>988.5</v>
      </c>
      <c r="Q127" s="116">
        <v>993.4</v>
      </c>
      <c r="R127">
        <v>30092</v>
      </c>
    </row>
    <row r="128" spans="1:18" x14ac:dyDescent="0.25">
      <c r="A128" s="170">
        <v>43661</v>
      </c>
      <c r="B128" s="116">
        <v>1014.3</v>
      </c>
      <c r="C128" s="116">
        <v>999.55</v>
      </c>
      <c r="D128" s="116">
        <v>995</v>
      </c>
      <c r="E128" s="116">
        <v>995</v>
      </c>
      <c r="F128" s="116">
        <v>999.55</v>
      </c>
      <c r="G128">
        <v>592</v>
      </c>
      <c r="H128" s="116"/>
      <c r="I128" s="116"/>
      <c r="L128" s="170">
        <v>43656</v>
      </c>
      <c r="M128" s="116">
        <v>989.15</v>
      </c>
      <c r="N128" s="116">
        <v>997</v>
      </c>
      <c r="O128" s="116">
        <v>978</v>
      </c>
      <c r="P128" s="116">
        <v>994</v>
      </c>
      <c r="Q128" s="116">
        <v>989.15</v>
      </c>
      <c r="R128">
        <v>7625</v>
      </c>
    </row>
    <row r="129" spans="1:18" x14ac:dyDescent="0.25">
      <c r="A129" s="170">
        <v>43662</v>
      </c>
      <c r="B129" s="116">
        <v>1024.75</v>
      </c>
      <c r="C129" s="116">
        <v>1014.8</v>
      </c>
      <c r="D129" s="116">
        <v>977.85</v>
      </c>
      <c r="E129" s="116">
        <v>992.8</v>
      </c>
      <c r="F129" s="116">
        <v>1014.8</v>
      </c>
      <c r="G129">
        <v>1062</v>
      </c>
      <c r="H129" s="116"/>
      <c r="I129" s="116"/>
      <c r="L129" s="170">
        <v>43657</v>
      </c>
      <c r="M129" s="116">
        <v>1020.5</v>
      </c>
      <c r="N129" s="116">
        <v>1044.9000000000001</v>
      </c>
      <c r="O129" s="116">
        <v>988.8</v>
      </c>
      <c r="P129" s="116">
        <v>995</v>
      </c>
      <c r="Q129" s="116">
        <v>1020.5</v>
      </c>
      <c r="R129">
        <v>32337</v>
      </c>
    </row>
    <row r="130" spans="1:18" x14ac:dyDescent="0.25">
      <c r="A130" s="170">
        <v>43663</v>
      </c>
      <c r="B130" s="116">
        <v>1018.95</v>
      </c>
      <c r="C130" s="116">
        <v>1009</v>
      </c>
      <c r="D130" s="116">
        <v>1005.5</v>
      </c>
      <c r="E130" s="116">
        <v>1008.4</v>
      </c>
      <c r="F130" s="116">
        <v>1009</v>
      </c>
      <c r="G130">
        <v>333</v>
      </c>
      <c r="H130" s="116"/>
      <c r="I130" s="116"/>
      <c r="L130" s="170">
        <v>43658</v>
      </c>
      <c r="M130" s="116">
        <v>1004.2</v>
      </c>
      <c r="N130" s="116">
        <v>1020</v>
      </c>
      <c r="O130" s="116">
        <v>989.95</v>
      </c>
      <c r="P130" s="116">
        <v>1020</v>
      </c>
      <c r="Q130" s="116">
        <v>1004.2</v>
      </c>
      <c r="R130">
        <v>11214</v>
      </c>
    </row>
    <row r="131" spans="1:18" x14ac:dyDescent="0.25">
      <c r="A131" s="170">
        <v>43664</v>
      </c>
      <c r="B131" s="116">
        <v>1016</v>
      </c>
      <c r="C131" s="116">
        <v>999.05</v>
      </c>
      <c r="D131" s="116">
        <v>991</v>
      </c>
      <c r="E131" s="116">
        <v>1001</v>
      </c>
      <c r="F131" s="116">
        <v>999.05</v>
      </c>
      <c r="G131">
        <v>309</v>
      </c>
      <c r="H131" s="116"/>
      <c r="I131" s="116"/>
      <c r="L131" s="170">
        <v>43661</v>
      </c>
      <c r="M131" s="116">
        <v>1000.55</v>
      </c>
      <c r="N131" s="116">
        <v>1014.8</v>
      </c>
      <c r="O131" s="116">
        <v>991.05</v>
      </c>
      <c r="P131" s="116">
        <v>991.05</v>
      </c>
      <c r="Q131" s="116">
        <v>1000.55</v>
      </c>
      <c r="R131">
        <v>36743</v>
      </c>
    </row>
    <row r="132" spans="1:18" x14ac:dyDescent="0.25">
      <c r="A132" s="170">
        <v>43665</v>
      </c>
      <c r="B132" s="116">
        <v>1021.8</v>
      </c>
      <c r="C132" s="116">
        <v>1006.35</v>
      </c>
      <c r="D132" s="116">
        <v>990</v>
      </c>
      <c r="E132" s="116">
        <v>1021.8</v>
      </c>
      <c r="F132" s="116">
        <v>1006.35</v>
      </c>
      <c r="G132">
        <v>252</v>
      </c>
      <c r="H132" s="116"/>
      <c r="I132" s="116"/>
      <c r="L132" s="170">
        <v>43662</v>
      </c>
      <c r="M132" s="116">
        <v>1012.9</v>
      </c>
      <c r="N132" s="116">
        <v>1025</v>
      </c>
      <c r="O132" s="116">
        <v>978</v>
      </c>
      <c r="P132" s="116">
        <v>993.6</v>
      </c>
      <c r="Q132" s="116">
        <v>1012.9</v>
      </c>
      <c r="R132">
        <v>16059</v>
      </c>
    </row>
    <row r="133" spans="1:18" x14ac:dyDescent="0.25">
      <c r="A133" s="170">
        <v>43668</v>
      </c>
      <c r="B133" s="116">
        <v>1002.5</v>
      </c>
      <c r="C133" s="116">
        <v>994.9</v>
      </c>
      <c r="D133" s="116">
        <v>990</v>
      </c>
      <c r="E133" s="116">
        <v>1002.5</v>
      </c>
      <c r="F133" s="116">
        <v>994.9</v>
      </c>
      <c r="G133">
        <v>1726</v>
      </c>
      <c r="H133" s="116"/>
      <c r="I133" s="116"/>
      <c r="L133" s="170">
        <v>43663</v>
      </c>
      <c r="M133" s="116">
        <v>1009.95</v>
      </c>
      <c r="N133" s="116">
        <v>1021.95</v>
      </c>
      <c r="O133" s="116">
        <v>1005.45</v>
      </c>
      <c r="P133" s="116">
        <v>1006.55</v>
      </c>
      <c r="Q133" s="116">
        <v>1009.95</v>
      </c>
      <c r="R133">
        <v>35805</v>
      </c>
    </row>
    <row r="134" spans="1:18" x14ac:dyDescent="0.25">
      <c r="A134" s="170">
        <v>43669</v>
      </c>
      <c r="B134" s="116">
        <v>1010.25</v>
      </c>
      <c r="C134" s="116">
        <v>974.7</v>
      </c>
      <c r="D134" s="116">
        <v>968.85</v>
      </c>
      <c r="E134" s="116">
        <v>989.85</v>
      </c>
      <c r="F134" s="116">
        <v>974.7</v>
      </c>
      <c r="G134">
        <v>1171</v>
      </c>
      <c r="H134" s="116"/>
      <c r="I134" s="116"/>
      <c r="L134" s="170">
        <v>43664</v>
      </c>
      <c r="M134" s="116">
        <v>997.1</v>
      </c>
      <c r="N134" s="116">
        <v>1026</v>
      </c>
      <c r="O134" s="116">
        <v>990.1</v>
      </c>
      <c r="P134" s="116">
        <v>1007.15</v>
      </c>
      <c r="Q134" s="116">
        <v>997.1</v>
      </c>
      <c r="R134">
        <v>75339</v>
      </c>
    </row>
    <row r="135" spans="1:18" x14ac:dyDescent="0.25">
      <c r="A135" s="170">
        <v>43670</v>
      </c>
      <c r="B135" s="116">
        <v>979.8</v>
      </c>
      <c r="C135" s="116">
        <v>950.55</v>
      </c>
      <c r="D135" s="116">
        <v>950</v>
      </c>
      <c r="E135" s="116">
        <v>977.25</v>
      </c>
      <c r="F135" s="116">
        <v>950.55</v>
      </c>
      <c r="G135">
        <v>807</v>
      </c>
      <c r="H135" s="116"/>
      <c r="I135" s="116"/>
      <c r="L135" s="170">
        <v>43665</v>
      </c>
      <c r="M135" s="116">
        <v>1004.1</v>
      </c>
      <c r="N135" s="116">
        <v>1026.5999999999999</v>
      </c>
      <c r="O135" s="116">
        <v>986</v>
      </c>
      <c r="P135" s="116">
        <v>995</v>
      </c>
      <c r="Q135" s="116">
        <v>1004.1</v>
      </c>
      <c r="R135">
        <v>28786</v>
      </c>
    </row>
    <row r="136" spans="1:18" x14ac:dyDescent="0.25">
      <c r="A136" s="170">
        <v>43671</v>
      </c>
      <c r="B136" s="116">
        <v>965.55</v>
      </c>
      <c r="C136" s="116">
        <v>959</v>
      </c>
      <c r="D136" s="116">
        <v>951.65</v>
      </c>
      <c r="E136" s="116">
        <v>965</v>
      </c>
      <c r="F136" s="116">
        <v>959</v>
      </c>
      <c r="G136">
        <v>1354</v>
      </c>
      <c r="H136" s="116"/>
      <c r="I136" s="116"/>
      <c r="L136" s="170">
        <v>43668</v>
      </c>
      <c r="M136" s="116">
        <v>998.2</v>
      </c>
      <c r="N136" s="116">
        <v>1016.05</v>
      </c>
      <c r="O136" s="116">
        <v>990.75</v>
      </c>
      <c r="P136" s="116">
        <v>1005</v>
      </c>
      <c r="Q136" s="116">
        <v>998.2</v>
      </c>
      <c r="R136">
        <v>87989</v>
      </c>
    </row>
    <row r="137" spans="1:18" x14ac:dyDescent="0.25">
      <c r="A137" s="170">
        <v>43672</v>
      </c>
      <c r="B137" s="116">
        <v>991.8</v>
      </c>
      <c r="C137" s="116">
        <v>987.2</v>
      </c>
      <c r="D137" s="116">
        <v>954</v>
      </c>
      <c r="E137" s="116">
        <v>954</v>
      </c>
      <c r="F137" s="116">
        <v>987.2</v>
      </c>
      <c r="G137">
        <v>107</v>
      </c>
      <c r="H137" s="116"/>
      <c r="I137" s="116"/>
      <c r="L137" s="170">
        <v>43669</v>
      </c>
      <c r="M137" s="116">
        <v>978.25</v>
      </c>
      <c r="N137" s="116">
        <v>1015</v>
      </c>
      <c r="O137" s="116">
        <v>970.1</v>
      </c>
      <c r="P137" s="116">
        <v>991.5</v>
      </c>
      <c r="Q137" s="116">
        <v>978.25</v>
      </c>
      <c r="R137">
        <v>28881</v>
      </c>
    </row>
    <row r="138" spans="1:18" x14ac:dyDescent="0.25">
      <c r="A138" s="170">
        <v>43675</v>
      </c>
      <c r="B138" s="116">
        <v>990</v>
      </c>
      <c r="C138" s="116">
        <v>956.25</v>
      </c>
      <c r="D138" s="116">
        <v>952.55</v>
      </c>
      <c r="E138" s="116">
        <v>985.9</v>
      </c>
      <c r="F138" s="116">
        <v>956.25</v>
      </c>
      <c r="G138">
        <v>2101</v>
      </c>
      <c r="H138" s="116"/>
      <c r="I138" s="116"/>
      <c r="L138" s="170">
        <v>43670</v>
      </c>
      <c r="M138" s="116">
        <v>952</v>
      </c>
      <c r="N138" s="116">
        <v>986.05</v>
      </c>
      <c r="O138" s="116">
        <v>950</v>
      </c>
      <c r="P138" s="116">
        <v>978.25</v>
      </c>
      <c r="Q138" s="116">
        <v>952</v>
      </c>
      <c r="R138">
        <v>15634</v>
      </c>
    </row>
    <row r="139" spans="1:18" x14ac:dyDescent="0.25">
      <c r="A139" s="170">
        <v>43676</v>
      </c>
      <c r="B139" s="116">
        <v>963.2</v>
      </c>
      <c r="C139" s="116">
        <v>936.35</v>
      </c>
      <c r="D139" s="116">
        <v>932</v>
      </c>
      <c r="E139" s="116">
        <v>963.2</v>
      </c>
      <c r="F139" s="116">
        <v>936.35</v>
      </c>
      <c r="G139">
        <v>745</v>
      </c>
      <c r="H139" s="116"/>
      <c r="I139" s="116"/>
      <c r="L139" s="170">
        <v>43671</v>
      </c>
      <c r="M139" s="116">
        <v>959.9</v>
      </c>
      <c r="N139" s="116">
        <v>967.95</v>
      </c>
      <c r="O139" s="116">
        <v>942.05</v>
      </c>
      <c r="P139" s="116">
        <v>948</v>
      </c>
      <c r="Q139" s="116">
        <v>959.9</v>
      </c>
      <c r="R139">
        <v>62165</v>
      </c>
    </row>
    <row r="140" spans="1:18" x14ac:dyDescent="0.25">
      <c r="A140" s="170">
        <v>43677</v>
      </c>
      <c r="B140" s="116">
        <v>935</v>
      </c>
      <c r="C140" s="116">
        <v>926.2</v>
      </c>
      <c r="D140" s="116">
        <v>900</v>
      </c>
      <c r="E140" s="116">
        <v>920</v>
      </c>
      <c r="F140" s="116">
        <v>926.2</v>
      </c>
      <c r="G140">
        <v>3049</v>
      </c>
      <c r="H140" s="116"/>
      <c r="I140" s="116"/>
      <c r="L140" s="170">
        <v>43672</v>
      </c>
      <c r="M140" s="116">
        <v>986.3</v>
      </c>
      <c r="N140" s="116">
        <v>990</v>
      </c>
      <c r="O140" s="116">
        <v>955.05</v>
      </c>
      <c r="P140" s="116">
        <v>970</v>
      </c>
      <c r="Q140" s="116">
        <v>986.3</v>
      </c>
      <c r="R140">
        <v>40753</v>
      </c>
    </row>
    <row r="141" spans="1:18" x14ac:dyDescent="0.25">
      <c r="A141" s="170">
        <v>43678</v>
      </c>
      <c r="B141" s="116">
        <v>941.7</v>
      </c>
      <c r="C141" s="116">
        <v>928.2</v>
      </c>
      <c r="D141" s="116">
        <v>900</v>
      </c>
      <c r="E141" s="116">
        <v>913.2</v>
      </c>
      <c r="F141" s="116">
        <v>928.2</v>
      </c>
      <c r="G141">
        <v>1420</v>
      </c>
      <c r="H141" s="116"/>
      <c r="I141" s="116"/>
      <c r="L141" s="170">
        <v>43675</v>
      </c>
      <c r="M141" s="116">
        <v>956.25</v>
      </c>
      <c r="N141" s="116">
        <v>986.45</v>
      </c>
      <c r="O141" s="116">
        <v>954.05</v>
      </c>
      <c r="P141" s="116">
        <v>986</v>
      </c>
      <c r="Q141" s="116">
        <v>956.25</v>
      </c>
      <c r="R141">
        <v>33583</v>
      </c>
    </row>
    <row r="142" spans="1:18" x14ac:dyDescent="0.25">
      <c r="A142" s="170">
        <v>43679</v>
      </c>
      <c r="B142" s="116">
        <v>991.35</v>
      </c>
      <c r="C142" s="116">
        <v>986.6</v>
      </c>
      <c r="D142" s="116">
        <v>932.25</v>
      </c>
      <c r="E142" s="116">
        <v>932.25</v>
      </c>
      <c r="F142" s="116">
        <v>986.6</v>
      </c>
      <c r="G142">
        <v>2181</v>
      </c>
      <c r="H142" s="116"/>
      <c r="I142" s="116"/>
      <c r="L142" s="170">
        <v>43676</v>
      </c>
      <c r="M142" s="116">
        <v>938.25</v>
      </c>
      <c r="N142" s="116">
        <v>968.7</v>
      </c>
      <c r="O142" s="116">
        <v>931.9</v>
      </c>
      <c r="P142" s="116">
        <v>956.25</v>
      </c>
      <c r="Q142" s="116">
        <v>938.25</v>
      </c>
      <c r="R142">
        <v>56609</v>
      </c>
    </row>
    <row r="143" spans="1:18" x14ac:dyDescent="0.25">
      <c r="A143" s="170">
        <v>43682</v>
      </c>
      <c r="B143" s="116">
        <v>997</v>
      </c>
      <c r="C143" s="116">
        <v>956.35</v>
      </c>
      <c r="D143" s="116">
        <v>945</v>
      </c>
      <c r="E143" s="116">
        <v>988.3</v>
      </c>
      <c r="F143" s="116">
        <v>956.35</v>
      </c>
      <c r="G143">
        <v>2804</v>
      </c>
      <c r="H143" s="116"/>
      <c r="I143" s="116"/>
      <c r="L143" s="170">
        <v>43677</v>
      </c>
      <c r="M143" s="116">
        <v>921.55</v>
      </c>
      <c r="N143" s="116">
        <v>938</v>
      </c>
      <c r="O143" s="116">
        <v>899.55</v>
      </c>
      <c r="P143" s="116">
        <v>922</v>
      </c>
      <c r="Q143" s="116">
        <v>921.55</v>
      </c>
      <c r="R143">
        <v>89595</v>
      </c>
    </row>
    <row r="144" spans="1:18" x14ac:dyDescent="0.25">
      <c r="A144" s="170">
        <v>43683</v>
      </c>
      <c r="B144" s="116">
        <v>999</v>
      </c>
      <c r="C144" s="116">
        <v>994.65</v>
      </c>
      <c r="D144" s="116">
        <v>957.8</v>
      </c>
      <c r="E144" s="116">
        <v>959.9</v>
      </c>
      <c r="F144" s="116">
        <v>994.65</v>
      </c>
      <c r="G144">
        <v>2926</v>
      </c>
      <c r="H144" s="116"/>
      <c r="I144" s="116"/>
      <c r="L144" s="170">
        <v>43678</v>
      </c>
      <c r="M144" s="116">
        <v>924.6</v>
      </c>
      <c r="N144" s="116">
        <v>941.05</v>
      </c>
      <c r="O144" s="116">
        <v>902.25</v>
      </c>
      <c r="P144" s="116">
        <v>921</v>
      </c>
      <c r="Q144" s="116">
        <v>924.6</v>
      </c>
      <c r="R144">
        <v>37115</v>
      </c>
    </row>
    <row r="145" spans="1:18" x14ac:dyDescent="0.25">
      <c r="A145" s="170">
        <v>43684</v>
      </c>
      <c r="B145" s="116">
        <v>1017.9</v>
      </c>
      <c r="C145" s="116">
        <v>1008.85</v>
      </c>
      <c r="D145" s="116">
        <v>993</v>
      </c>
      <c r="E145" s="116">
        <v>999.9</v>
      </c>
      <c r="F145" s="116">
        <v>1008.85</v>
      </c>
      <c r="G145">
        <v>1110</v>
      </c>
      <c r="H145" s="116"/>
      <c r="I145" s="116"/>
      <c r="L145" s="170">
        <v>43679</v>
      </c>
      <c r="M145" s="116">
        <v>988</v>
      </c>
      <c r="N145" s="116">
        <v>989.95</v>
      </c>
      <c r="O145" s="116">
        <v>933.35</v>
      </c>
      <c r="P145" s="116">
        <v>939.7</v>
      </c>
      <c r="Q145" s="116">
        <v>988</v>
      </c>
      <c r="R145">
        <v>87615</v>
      </c>
    </row>
    <row r="146" spans="1:18" x14ac:dyDescent="0.25">
      <c r="A146" s="170">
        <v>43685</v>
      </c>
      <c r="B146" s="116">
        <v>1017</v>
      </c>
      <c r="C146" s="116">
        <v>1008.6</v>
      </c>
      <c r="D146" s="116">
        <v>1006</v>
      </c>
      <c r="E146" s="116">
        <v>1008.45</v>
      </c>
      <c r="F146" s="116">
        <v>1008.6</v>
      </c>
      <c r="G146">
        <v>1325</v>
      </c>
      <c r="H146" s="116"/>
      <c r="I146" s="116"/>
      <c r="L146" s="170">
        <v>43682</v>
      </c>
      <c r="M146" s="116">
        <v>955.1</v>
      </c>
      <c r="N146" s="116">
        <v>1000</v>
      </c>
      <c r="O146" s="116">
        <v>944.95</v>
      </c>
      <c r="P146" s="116">
        <v>989</v>
      </c>
      <c r="Q146" s="116">
        <v>955.1</v>
      </c>
      <c r="R146">
        <v>48558</v>
      </c>
    </row>
    <row r="147" spans="1:18" x14ac:dyDescent="0.25">
      <c r="A147" s="170">
        <v>43686</v>
      </c>
      <c r="B147" s="116">
        <v>1071</v>
      </c>
      <c r="C147" s="116">
        <v>1023.9</v>
      </c>
      <c r="D147" s="116">
        <v>1013</v>
      </c>
      <c r="E147" s="116">
        <v>1071</v>
      </c>
      <c r="F147" s="116">
        <v>1023.9</v>
      </c>
      <c r="G147">
        <v>535</v>
      </c>
      <c r="H147" s="116"/>
      <c r="I147" s="116"/>
      <c r="L147" s="170">
        <v>43683</v>
      </c>
      <c r="M147" s="116">
        <v>993.5</v>
      </c>
      <c r="N147" s="116">
        <v>999</v>
      </c>
      <c r="O147" s="116">
        <v>941</v>
      </c>
      <c r="P147" s="116">
        <v>941</v>
      </c>
      <c r="Q147" s="116">
        <v>993.5</v>
      </c>
      <c r="R147">
        <v>96689</v>
      </c>
    </row>
    <row r="148" spans="1:18" x14ac:dyDescent="0.25">
      <c r="A148" s="170">
        <v>43690</v>
      </c>
      <c r="B148" s="116">
        <v>1018</v>
      </c>
      <c r="C148" s="116">
        <v>989.1</v>
      </c>
      <c r="D148" s="116">
        <v>983.95</v>
      </c>
      <c r="E148" s="116">
        <v>1018</v>
      </c>
      <c r="F148" s="116">
        <v>989.1</v>
      </c>
      <c r="G148">
        <v>4306</v>
      </c>
      <c r="H148" s="116"/>
      <c r="I148" s="116"/>
      <c r="L148" s="170">
        <v>43684</v>
      </c>
      <c r="M148" s="116">
        <v>1009.4</v>
      </c>
      <c r="N148" s="116">
        <v>1019</v>
      </c>
      <c r="O148" s="116">
        <v>980.25</v>
      </c>
      <c r="P148" s="116">
        <v>980.25</v>
      </c>
      <c r="Q148" s="116">
        <v>1009.4</v>
      </c>
      <c r="R148">
        <v>81903</v>
      </c>
    </row>
    <row r="149" spans="1:18" x14ac:dyDescent="0.25">
      <c r="A149" s="170">
        <v>43691</v>
      </c>
      <c r="B149" s="116">
        <v>1000.45</v>
      </c>
      <c r="C149" s="116">
        <v>990.75</v>
      </c>
      <c r="D149" s="116">
        <v>981.5</v>
      </c>
      <c r="E149" s="116">
        <v>991.2</v>
      </c>
      <c r="F149" s="116">
        <v>990.75</v>
      </c>
      <c r="G149">
        <v>3389</v>
      </c>
      <c r="H149" s="116"/>
      <c r="I149" s="116"/>
      <c r="L149" s="170">
        <v>43685</v>
      </c>
      <c r="M149" s="116">
        <v>1009.45</v>
      </c>
      <c r="N149" s="116">
        <v>1019.75</v>
      </c>
      <c r="O149" s="116">
        <v>1005.1</v>
      </c>
      <c r="P149" s="116">
        <v>1009.4</v>
      </c>
      <c r="Q149" s="116">
        <v>1009.45</v>
      </c>
      <c r="R149">
        <v>21604</v>
      </c>
    </row>
    <row r="150" spans="1:18" x14ac:dyDescent="0.25">
      <c r="A150" s="170">
        <v>43693</v>
      </c>
      <c r="B150" s="116">
        <v>1006.5</v>
      </c>
      <c r="C150" s="116">
        <v>993.4</v>
      </c>
      <c r="D150" s="116">
        <v>964.35</v>
      </c>
      <c r="E150" s="116">
        <v>974.2</v>
      </c>
      <c r="F150" s="116">
        <v>993.4</v>
      </c>
      <c r="G150">
        <v>545</v>
      </c>
      <c r="H150" s="116"/>
      <c r="I150" s="116"/>
      <c r="L150" s="170">
        <v>43686</v>
      </c>
      <c r="M150" s="116">
        <v>1025.0999999999999</v>
      </c>
      <c r="N150" s="116">
        <v>1044.9000000000001</v>
      </c>
      <c r="O150" s="116">
        <v>1003.4</v>
      </c>
      <c r="P150" s="116">
        <v>1014.6</v>
      </c>
      <c r="Q150" s="116">
        <v>1025.0999999999999</v>
      </c>
      <c r="R150">
        <v>53093</v>
      </c>
    </row>
    <row r="151" spans="1:18" x14ac:dyDescent="0.25">
      <c r="A151" s="170">
        <v>43696</v>
      </c>
      <c r="B151" s="116">
        <v>1000</v>
      </c>
      <c r="C151" s="116">
        <v>987.2</v>
      </c>
      <c r="D151" s="116">
        <v>980</v>
      </c>
      <c r="E151" s="116">
        <v>991.05</v>
      </c>
      <c r="F151" s="116">
        <v>987.2</v>
      </c>
      <c r="G151">
        <v>5347</v>
      </c>
      <c r="H151" s="116"/>
      <c r="I151" s="116"/>
      <c r="L151" s="170">
        <v>43690</v>
      </c>
      <c r="M151" s="116">
        <v>991.35</v>
      </c>
      <c r="N151" s="116">
        <v>1025</v>
      </c>
      <c r="O151" s="116">
        <v>985.15</v>
      </c>
      <c r="P151" s="116">
        <v>1020</v>
      </c>
      <c r="Q151" s="116">
        <v>991.35</v>
      </c>
      <c r="R151">
        <v>14325</v>
      </c>
    </row>
    <row r="152" spans="1:18" x14ac:dyDescent="0.25">
      <c r="A152" s="170">
        <v>43697</v>
      </c>
      <c r="B152" s="116">
        <v>990</v>
      </c>
      <c r="C152" s="116">
        <v>958.3</v>
      </c>
      <c r="D152" s="116">
        <v>953.55</v>
      </c>
      <c r="E152" s="116">
        <v>985</v>
      </c>
      <c r="F152" s="116">
        <v>958.3</v>
      </c>
      <c r="G152">
        <v>665</v>
      </c>
      <c r="H152" s="116"/>
      <c r="I152" s="116"/>
      <c r="L152" s="170">
        <v>43691</v>
      </c>
      <c r="M152" s="116">
        <v>989.9</v>
      </c>
      <c r="N152" s="116">
        <v>1000.85</v>
      </c>
      <c r="O152" s="116">
        <v>976</v>
      </c>
      <c r="P152" s="116">
        <v>976</v>
      </c>
      <c r="Q152" s="116">
        <v>989.9</v>
      </c>
      <c r="R152">
        <v>21040</v>
      </c>
    </row>
    <row r="153" spans="1:18" x14ac:dyDescent="0.25">
      <c r="A153" s="170">
        <v>43698</v>
      </c>
      <c r="B153" s="116">
        <v>963.9</v>
      </c>
      <c r="C153" s="116">
        <v>949.75</v>
      </c>
      <c r="D153" s="116">
        <v>947.25</v>
      </c>
      <c r="E153" s="116">
        <v>958.55</v>
      </c>
      <c r="F153" s="116">
        <v>949.75</v>
      </c>
      <c r="G153">
        <v>2354</v>
      </c>
      <c r="H153" s="116"/>
      <c r="I153" s="116"/>
      <c r="L153" s="170">
        <v>43693</v>
      </c>
      <c r="M153" s="116">
        <v>998.4</v>
      </c>
      <c r="N153" s="116">
        <v>1006.45</v>
      </c>
      <c r="O153" s="116">
        <v>960</v>
      </c>
      <c r="P153" s="116">
        <v>975.5</v>
      </c>
      <c r="Q153" s="116">
        <v>998.4</v>
      </c>
      <c r="R153">
        <v>20917</v>
      </c>
    </row>
    <row r="154" spans="1:18" x14ac:dyDescent="0.25">
      <c r="A154" s="170">
        <v>43699</v>
      </c>
      <c r="B154" s="116">
        <v>955.4</v>
      </c>
      <c r="C154" s="116">
        <v>932.9</v>
      </c>
      <c r="D154" s="116">
        <v>921.15</v>
      </c>
      <c r="E154" s="116">
        <v>943.35</v>
      </c>
      <c r="F154" s="116">
        <v>932.9</v>
      </c>
      <c r="G154">
        <v>755</v>
      </c>
      <c r="H154" s="116"/>
      <c r="I154" s="116"/>
      <c r="L154" s="170">
        <v>43696</v>
      </c>
      <c r="M154" s="116">
        <v>987.6</v>
      </c>
      <c r="N154" s="116">
        <v>1002</v>
      </c>
      <c r="O154" s="116">
        <v>978</v>
      </c>
      <c r="P154" s="116">
        <v>1000</v>
      </c>
      <c r="Q154" s="116">
        <v>987.6</v>
      </c>
      <c r="R154">
        <v>46281</v>
      </c>
    </row>
    <row r="155" spans="1:18" x14ac:dyDescent="0.25">
      <c r="A155" s="170">
        <v>43700</v>
      </c>
      <c r="B155" s="116">
        <v>927.9</v>
      </c>
      <c r="C155" s="116">
        <v>913.25</v>
      </c>
      <c r="D155" s="116">
        <v>910</v>
      </c>
      <c r="E155" s="116">
        <v>920</v>
      </c>
      <c r="F155" s="116">
        <v>913.25</v>
      </c>
      <c r="G155">
        <v>1605</v>
      </c>
      <c r="H155" s="116"/>
      <c r="I155" s="116"/>
      <c r="L155" s="170">
        <v>43697</v>
      </c>
      <c r="M155" s="116">
        <v>956.5</v>
      </c>
      <c r="N155" s="116">
        <v>993.9</v>
      </c>
      <c r="O155" s="116">
        <v>951.05</v>
      </c>
      <c r="P155" s="116">
        <v>990</v>
      </c>
      <c r="Q155" s="116">
        <v>956.5</v>
      </c>
      <c r="R155">
        <v>33952</v>
      </c>
    </row>
    <row r="156" spans="1:18" x14ac:dyDescent="0.25">
      <c r="A156" s="170">
        <v>43703</v>
      </c>
      <c r="B156" s="116">
        <v>920.95</v>
      </c>
      <c r="C156" s="116">
        <v>919.1</v>
      </c>
      <c r="D156" s="116">
        <v>903.75</v>
      </c>
      <c r="E156" s="116">
        <v>920.7</v>
      </c>
      <c r="F156" s="116">
        <v>919.1</v>
      </c>
      <c r="G156">
        <v>868</v>
      </c>
      <c r="H156" s="116"/>
      <c r="I156" s="116"/>
      <c r="L156" s="170">
        <v>43698</v>
      </c>
      <c r="M156" s="116">
        <v>950.45</v>
      </c>
      <c r="N156" s="116">
        <v>965.15</v>
      </c>
      <c r="O156" s="116">
        <v>942</v>
      </c>
      <c r="P156" s="116">
        <v>964.95</v>
      </c>
      <c r="Q156" s="116">
        <v>950.45</v>
      </c>
      <c r="R156">
        <v>81725</v>
      </c>
    </row>
    <row r="157" spans="1:18" x14ac:dyDescent="0.25">
      <c r="A157" s="170">
        <v>43704</v>
      </c>
      <c r="B157" s="116">
        <v>948</v>
      </c>
      <c r="C157" s="116">
        <v>933.35</v>
      </c>
      <c r="D157" s="116">
        <v>919.1</v>
      </c>
      <c r="E157" s="116">
        <v>919.1</v>
      </c>
      <c r="F157" s="116">
        <v>933.35</v>
      </c>
      <c r="G157">
        <v>59051</v>
      </c>
      <c r="H157" s="116"/>
      <c r="I157" s="116"/>
      <c r="L157" s="170">
        <v>43699</v>
      </c>
      <c r="M157" s="116">
        <v>933.95</v>
      </c>
      <c r="N157" s="116">
        <v>957.85</v>
      </c>
      <c r="O157" s="116">
        <v>921.25</v>
      </c>
      <c r="P157" s="116">
        <v>957.85</v>
      </c>
      <c r="Q157" s="116">
        <v>933.95</v>
      </c>
      <c r="R157">
        <v>34640</v>
      </c>
    </row>
    <row r="158" spans="1:18" x14ac:dyDescent="0.25">
      <c r="A158" s="170">
        <v>43705</v>
      </c>
      <c r="B158" s="116">
        <v>943.65</v>
      </c>
      <c r="C158" s="116">
        <v>930.6</v>
      </c>
      <c r="D158" s="116">
        <v>920</v>
      </c>
      <c r="E158" s="116">
        <v>928</v>
      </c>
      <c r="F158" s="116">
        <v>930.6</v>
      </c>
      <c r="G158">
        <v>587</v>
      </c>
      <c r="H158" s="116"/>
      <c r="I158" s="116"/>
      <c r="L158" s="170">
        <v>43700</v>
      </c>
      <c r="M158" s="116">
        <v>914.8</v>
      </c>
      <c r="N158" s="116">
        <v>940.75</v>
      </c>
      <c r="O158" s="116">
        <v>909</v>
      </c>
      <c r="P158" s="116">
        <v>927.15</v>
      </c>
      <c r="Q158" s="116">
        <v>914.8</v>
      </c>
      <c r="R158">
        <v>44177</v>
      </c>
    </row>
    <row r="159" spans="1:18" x14ac:dyDescent="0.25">
      <c r="A159" s="170">
        <v>43706</v>
      </c>
      <c r="B159" s="116">
        <v>936.95</v>
      </c>
      <c r="C159" s="116">
        <v>913.7</v>
      </c>
      <c r="D159" s="116">
        <v>910</v>
      </c>
      <c r="E159" s="116">
        <v>932.25</v>
      </c>
      <c r="F159" s="116">
        <v>913.7</v>
      </c>
      <c r="G159">
        <v>168</v>
      </c>
      <c r="H159" s="116"/>
      <c r="I159" s="116"/>
      <c r="L159" s="170">
        <v>43703</v>
      </c>
      <c r="M159" s="116">
        <v>919.1</v>
      </c>
      <c r="N159" s="116">
        <v>938.95</v>
      </c>
      <c r="O159" s="116">
        <v>901</v>
      </c>
      <c r="P159" s="116">
        <v>921</v>
      </c>
      <c r="Q159" s="116">
        <v>919.1</v>
      </c>
      <c r="R159">
        <v>72070</v>
      </c>
    </row>
    <row r="160" spans="1:18" x14ac:dyDescent="0.25">
      <c r="A160" s="170">
        <v>43707</v>
      </c>
      <c r="B160" s="116">
        <v>930.05</v>
      </c>
      <c r="C160" s="116">
        <v>904.1</v>
      </c>
      <c r="D160" s="116">
        <v>898.25</v>
      </c>
      <c r="E160" s="116">
        <v>915</v>
      </c>
      <c r="F160" s="116">
        <v>904.1</v>
      </c>
      <c r="G160">
        <v>67051</v>
      </c>
      <c r="H160" s="116"/>
      <c r="I160" s="116"/>
      <c r="L160" s="170">
        <v>43704</v>
      </c>
      <c r="M160" s="116">
        <v>938.7</v>
      </c>
      <c r="N160" s="116">
        <v>951</v>
      </c>
      <c r="O160" s="116">
        <v>920</v>
      </c>
      <c r="P160" s="116">
        <v>927.9</v>
      </c>
      <c r="Q160" s="116">
        <v>938.7</v>
      </c>
      <c r="R160">
        <v>38986</v>
      </c>
    </row>
    <row r="161" spans="1:18" x14ac:dyDescent="0.25">
      <c r="A161" s="170">
        <v>43711</v>
      </c>
      <c r="B161" s="116">
        <v>926</v>
      </c>
      <c r="C161" s="116">
        <v>905.7</v>
      </c>
      <c r="D161" s="116">
        <v>890</v>
      </c>
      <c r="E161" s="116">
        <v>892.8</v>
      </c>
      <c r="F161" s="116">
        <v>905.7</v>
      </c>
      <c r="G161">
        <v>9229</v>
      </c>
      <c r="H161" s="116"/>
      <c r="I161" s="116"/>
      <c r="L161" s="170">
        <v>43705</v>
      </c>
      <c r="M161" s="116">
        <v>930.4</v>
      </c>
      <c r="N161" s="116">
        <v>945</v>
      </c>
      <c r="O161" s="116">
        <v>917.8</v>
      </c>
      <c r="P161" s="116">
        <v>943</v>
      </c>
      <c r="Q161" s="116">
        <v>930.4</v>
      </c>
      <c r="R161">
        <v>36208</v>
      </c>
    </row>
    <row r="162" spans="1:18" x14ac:dyDescent="0.25">
      <c r="A162" s="170">
        <v>43712</v>
      </c>
      <c r="B162" s="116">
        <v>903.1</v>
      </c>
      <c r="C162" s="116">
        <v>890.35</v>
      </c>
      <c r="D162" s="116">
        <v>888</v>
      </c>
      <c r="E162" s="116">
        <v>900</v>
      </c>
      <c r="F162" s="116">
        <v>890.35</v>
      </c>
      <c r="G162">
        <v>9914</v>
      </c>
      <c r="H162" s="116"/>
      <c r="I162" s="116"/>
      <c r="L162" s="170">
        <v>43706</v>
      </c>
      <c r="M162" s="116">
        <v>912.8</v>
      </c>
      <c r="N162" s="116">
        <v>938.45</v>
      </c>
      <c r="O162" s="116">
        <v>908</v>
      </c>
      <c r="P162" s="116">
        <v>924.2</v>
      </c>
      <c r="Q162" s="116">
        <v>912.8</v>
      </c>
      <c r="R162">
        <v>26909</v>
      </c>
    </row>
    <row r="163" spans="1:18" x14ac:dyDescent="0.25">
      <c r="A163" s="170">
        <v>43713</v>
      </c>
      <c r="B163" s="116">
        <v>898</v>
      </c>
      <c r="C163" s="116">
        <v>870.55</v>
      </c>
      <c r="D163" s="116">
        <v>865.3</v>
      </c>
      <c r="E163" s="116">
        <v>895</v>
      </c>
      <c r="F163" s="116">
        <v>870.55</v>
      </c>
      <c r="G163">
        <v>5085</v>
      </c>
      <c r="H163" s="116"/>
      <c r="I163" s="116"/>
      <c r="L163" s="170">
        <v>43707</v>
      </c>
      <c r="M163" s="116">
        <v>900.15</v>
      </c>
      <c r="N163" s="116">
        <v>934.95</v>
      </c>
      <c r="O163" s="116">
        <v>896.05</v>
      </c>
      <c r="P163" s="116">
        <v>910</v>
      </c>
      <c r="Q163" s="116">
        <v>900.15</v>
      </c>
      <c r="R163">
        <v>47916</v>
      </c>
    </row>
    <row r="164" spans="1:18" x14ac:dyDescent="0.25">
      <c r="A164" s="170">
        <v>43714</v>
      </c>
      <c r="B164" s="116">
        <v>879.4</v>
      </c>
      <c r="C164" s="116">
        <v>867.4</v>
      </c>
      <c r="D164" s="116">
        <v>860.15</v>
      </c>
      <c r="E164" s="116">
        <v>879</v>
      </c>
      <c r="F164" s="116">
        <v>867.4</v>
      </c>
      <c r="G164">
        <v>543</v>
      </c>
      <c r="H164" s="116"/>
      <c r="I164" s="116"/>
      <c r="L164" s="170">
        <v>43711</v>
      </c>
      <c r="M164" s="116">
        <v>902.45</v>
      </c>
      <c r="N164" s="116">
        <v>927.15</v>
      </c>
      <c r="O164" s="116">
        <v>890</v>
      </c>
      <c r="P164" s="116">
        <v>905.45</v>
      </c>
      <c r="Q164" s="116">
        <v>902.45</v>
      </c>
      <c r="R164">
        <v>67886</v>
      </c>
    </row>
    <row r="165" spans="1:18" x14ac:dyDescent="0.25">
      <c r="A165" s="170">
        <v>43717</v>
      </c>
      <c r="B165" s="116">
        <v>865</v>
      </c>
      <c r="C165" s="116">
        <v>847.3</v>
      </c>
      <c r="D165" s="116">
        <v>842.85</v>
      </c>
      <c r="E165" s="116">
        <v>862</v>
      </c>
      <c r="F165" s="116">
        <v>847.3</v>
      </c>
      <c r="G165">
        <v>15176</v>
      </c>
      <c r="H165" s="116"/>
      <c r="I165" s="116"/>
      <c r="L165" s="170">
        <v>43712</v>
      </c>
      <c r="M165" s="116">
        <v>896</v>
      </c>
      <c r="N165" s="116">
        <v>904.9</v>
      </c>
      <c r="O165" s="116">
        <v>885.1</v>
      </c>
      <c r="P165" s="116">
        <v>897.15</v>
      </c>
      <c r="Q165" s="116">
        <v>896</v>
      </c>
      <c r="R165">
        <v>49458</v>
      </c>
    </row>
    <row r="166" spans="1:18" x14ac:dyDescent="0.25">
      <c r="A166" s="170">
        <v>43719</v>
      </c>
      <c r="B166" s="116">
        <v>863</v>
      </c>
      <c r="C166" s="116">
        <v>852.05</v>
      </c>
      <c r="D166" s="116">
        <v>843.9</v>
      </c>
      <c r="E166" s="116">
        <v>845</v>
      </c>
      <c r="F166" s="116">
        <v>852.05</v>
      </c>
      <c r="G166">
        <v>1989</v>
      </c>
      <c r="H166" s="116"/>
      <c r="I166" s="116"/>
      <c r="L166" s="170">
        <v>43713</v>
      </c>
      <c r="M166" s="116">
        <v>872.75</v>
      </c>
      <c r="N166" s="116">
        <v>899.95</v>
      </c>
      <c r="O166" s="116">
        <v>865</v>
      </c>
      <c r="P166" s="116">
        <v>890.7</v>
      </c>
      <c r="Q166" s="116">
        <v>872.75</v>
      </c>
      <c r="R166">
        <v>88468</v>
      </c>
    </row>
    <row r="167" spans="1:18" x14ac:dyDescent="0.25">
      <c r="A167" s="170">
        <v>43720</v>
      </c>
      <c r="B167" s="116">
        <v>853.05</v>
      </c>
      <c r="C167" s="116">
        <v>847.2</v>
      </c>
      <c r="D167" s="116">
        <v>845.75</v>
      </c>
      <c r="E167" s="116">
        <v>852.05</v>
      </c>
      <c r="F167" s="116">
        <v>847.2</v>
      </c>
      <c r="G167">
        <v>1227</v>
      </c>
      <c r="H167" s="116"/>
      <c r="I167" s="116"/>
      <c r="L167" s="170">
        <v>43714</v>
      </c>
      <c r="M167" s="116">
        <v>869.15</v>
      </c>
      <c r="N167" s="116">
        <v>885</v>
      </c>
      <c r="O167" s="116">
        <v>861.25</v>
      </c>
      <c r="P167" s="116">
        <v>875</v>
      </c>
      <c r="Q167" s="116">
        <v>869.15</v>
      </c>
      <c r="R167">
        <v>37629</v>
      </c>
    </row>
    <row r="168" spans="1:18" x14ac:dyDescent="0.25">
      <c r="A168" s="170">
        <v>43721</v>
      </c>
      <c r="B168" s="116">
        <v>856.7</v>
      </c>
      <c r="C168" s="116">
        <v>840.45</v>
      </c>
      <c r="D168" s="116">
        <v>836.65</v>
      </c>
      <c r="E168" s="116">
        <v>855.5</v>
      </c>
      <c r="F168" s="116">
        <v>840.45</v>
      </c>
      <c r="G168">
        <v>5489</v>
      </c>
      <c r="H168" s="116"/>
      <c r="I168" s="116"/>
      <c r="L168" s="170">
        <v>43717</v>
      </c>
      <c r="M168" s="116">
        <v>846.95</v>
      </c>
      <c r="N168" s="116">
        <v>873.35</v>
      </c>
      <c r="O168" s="116">
        <v>841</v>
      </c>
      <c r="P168" s="116">
        <v>864.95</v>
      </c>
      <c r="Q168" s="116">
        <v>846.95</v>
      </c>
      <c r="R168">
        <v>238794</v>
      </c>
    </row>
    <row r="169" spans="1:18" x14ac:dyDescent="0.25">
      <c r="A169" s="170">
        <v>43724</v>
      </c>
      <c r="B169" s="116">
        <v>855.5</v>
      </c>
      <c r="C169" s="116">
        <v>847.4</v>
      </c>
      <c r="D169" s="116">
        <v>847.25</v>
      </c>
      <c r="E169" s="116">
        <v>847.25</v>
      </c>
      <c r="F169" s="116">
        <v>847.4</v>
      </c>
      <c r="G169">
        <v>724</v>
      </c>
      <c r="H169" s="116"/>
      <c r="I169" s="116"/>
      <c r="L169" s="170">
        <v>43719</v>
      </c>
      <c r="M169" s="116">
        <v>849.95</v>
      </c>
      <c r="N169" s="116">
        <v>865</v>
      </c>
      <c r="O169" s="116">
        <v>842.75</v>
      </c>
      <c r="P169" s="116">
        <v>846.95</v>
      </c>
      <c r="Q169" s="116">
        <v>849.95</v>
      </c>
      <c r="R169">
        <v>197798</v>
      </c>
    </row>
    <row r="170" spans="1:18" x14ac:dyDescent="0.25">
      <c r="A170" s="170">
        <v>43725</v>
      </c>
      <c r="B170" s="116">
        <v>852</v>
      </c>
      <c r="C170" s="116">
        <v>825.65</v>
      </c>
      <c r="D170" s="116">
        <v>820</v>
      </c>
      <c r="E170" s="116">
        <v>850</v>
      </c>
      <c r="F170" s="116">
        <v>825.65</v>
      </c>
      <c r="G170">
        <v>1431</v>
      </c>
      <c r="H170" s="116"/>
      <c r="I170" s="116"/>
      <c r="L170" s="170">
        <v>43720</v>
      </c>
      <c r="M170" s="116">
        <v>848</v>
      </c>
      <c r="N170" s="116">
        <v>856.8</v>
      </c>
      <c r="O170" s="116">
        <v>845</v>
      </c>
      <c r="P170" s="116">
        <v>846</v>
      </c>
      <c r="Q170" s="116">
        <v>848</v>
      </c>
      <c r="R170">
        <v>64823</v>
      </c>
    </row>
    <row r="171" spans="1:18" x14ac:dyDescent="0.25">
      <c r="A171" s="170">
        <v>43726</v>
      </c>
      <c r="B171" s="116">
        <v>825.3</v>
      </c>
      <c r="C171" s="116">
        <v>797.4</v>
      </c>
      <c r="D171" s="116">
        <v>795</v>
      </c>
      <c r="E171" s="116">
        <v>825.3</v>
      </c>
      <c r="F171" s="116">
        <v>797.4</v>
      </c>
      <c r="G171">
        <v>4355</v>
      </c>
      <c r="H171" s="116"/>
      <c r="I171" s="116"/>
      <c r="L171" s="170">
        <v>43721</v>
      </c>
      <c r="M171" s="116">
        <v>840.05</v>
      </c>
      <c r="N171" s="116">
        <v>858</v>
      </c>
      <c r="O171" s="116">
        <v>836</v>
      </c>
      <c r="P171" s="116">
        <v>849</v>
      </c>
      <c r="Q171" s="116">
        <v>840.05</v>
      </c>
      <c r="R171">
        <v>180488</v>
      </c>
    </row>
    <row r="172" spans="1:18" x14ac:dyDescent="0.25">
      <c r="A172" s="170">
        <v>43727</v>
      </c>
      <c r="B172" s="116">
        <v>798</v>
      </c>
      <c r="C172" s="116">
        <v>761.8</v>
      </c>
      <c r="D172" s="116">
        <v>752</v>
      </c>
      <c r="E172" s="116">
        <v>798</v>
      </c>
      <c r="F172" s="116">
        <v>761.8</v>
      </c>
      <c r="G172">
        <v>3693</v>
      </c>
      <c r="H172" s="116"/>
      <c r="I172" s="116"/>
      <c r="L172" s="170">
        <v>43724</v>
      </c>
      <c r="M172" s="116">
        <v>849.9</v>
      </c>
      <c r="N172" s="116">
        <v>856.65</v>
      </c>
      <c r="O172" s="116">
        <v>839</v>
      </c>
      <c r="P172" s="116">
        <v>845.35</v>
      </c>
      <c r="Q172" s="116">
        <v>849.9</v>
      </c>
      <c r="R172">
        <v>85824</v>
      </c>
    </row>
    <row r="173" spans="1:18" x14ac:dyDescent="0.25">
      <c r="A173" s="170">
        <v>43728</v>
      </c>
      <c r="B173" s="116">
        <v>810</v>
      </c>
      <c r="C173" s="116">
        <v>805</v>
      </c>
      <c r="D173" s="116">
        <v>759.9</v>
      </c>
      <c r="E173" s="116">
        <v>763.5</v>
      </c>
      <c r="F173" s="116">
        <v>805</v>
      </c>
      <c r="G173">
        <v>11427</v>
      </c>
      <c r="H173" s="116"/>
      <c r="I173" s="116"/>
      <c r="L173" s="170">
        <v>43725</v>
      </c>
      <c r="M173" s="116">
        <v>826.4</v>
      </c>
      <c r="N173" s="116">
        <v>854.35</v>
      </c>
      <c r="O173" s="116">
        <v>819</v>
      </c>
      <c r="P173" s="116">
        <v>854.3</v>
      </c>
      <c r="Q173" s="116">
        <v>826.4</v>
      </c>
      <c r="R173">
        <v>75187</v>
      </c>
    </row>
    <row r="174" spans="1:18" x14ac:dyDescent="0.25">
      <c r="A174" s="170">
        <v>43731</v>
      </c>
      <c r="B174" s="116">
        <v>826.5</v>
      </c>
      <c r="C174" s="116">
        <v>796.75</v>
      </c>
      <c r="D174" s="116">
        <v>765.8</v>
      </c>
      <c r="E174" s="116">
        <v>826.5</v>
      </c>
      <c r="F174" s="116">
        <v>796.75</v>
      </c>
      <c r="G174">
        <v>5550</v>
      </c>
      <c r="H174" s="116"/>
      <c r="I174" s="116"/>
      <c r="L174" s="170">
        <v>43726</v>
      </c>
      <c r="M174" s="116">
        <v>799.95</v>
      </c>
      <c r="N174" s="116">
        <v>831.7</v>
      </c>
      <c r="O174" s="116">
        <v>791.6</v>
      </c>
      <c r="P174" s="116">
        <v>825.05</v>
      </c>
      <c r="Q174" s="116">
        <v>799.95</v>
      </c>
      <c r="R174">
        <v>149138</v>
      </c>
    </row>
    <row r="175" spans="1:18" x14ac:dyDescent="0.25">
      <c r="A175" s="170">
        <v>43732</v>
      </c>
      <c r="B175" s="116">
        <v>849</v>
      </c>
      <c r="C175" s="116">
        <v>839.65</v>
      </c>
      <c r="D175" s="116">
        <v>803.3</v>
      </c>
      <c r="E175" s="116">
        <v>806.9</v>
      </c>
      <c r="F175" s="116">
        <v>839.65</v>
      </c>
      <c r="G175">
        <v>12016</v>
      </c>
      <c r="H175" s="116"/>
      <c r="I175" s="116"/>
      <c r="L175" s="170">
        <v>43727</v>
      </c>
      <c r="M175" s="116">
        <v>756.7</v>
      </c>
      <c r="N175" s="116">
        <v>804.4</v>
      </c>
      <c r="O175" s="116">
        <v>750.1</v>
      </c>
      <c r="P175" s="116">
        <v>800</v>
      </c>
      <c r="Q175" s="116">
        <v>756.7</v>
      </c>
      <c r="R175">
        <v>430694</v>
      </c>
    </row>
    <row r="176" spans="1:18" x14ac:dyDescent="0.25">
      <c r="A176" s="170">
        <v>43733</v>
      </c>
      <c r="B176" s="116">
        <v>888</v>
      </c>
      <c r="C176" s="116">
        <v>797.65</v>
      </c>
      <c r="D176" s="116">
        <v>790.05</v>
      </c>
      <c r="E176" s="116">
        <v>830</v>
      </c>
      <c r="F176" s="116">
        <v>797.65</v>
      </c>
      <c r="G176">
        <v>12502</v>
      </c>
      <c r="H176" s="116"/>
      <c r="I176" s="116"/>
      <c r="L176" s="170">
        <v>43728</v>
      </c>
      <c r="M176" s="116">
        <v>793.15</v>
      </c>
      <c r="N176" s="116">
        <v>815</v>
      </c>
      <c r="O176" s="116">
        <v>759.75</v>
      </c>
      <c r="P176" s="116">
        <v>771.1</v>
      </c>
      <c r="Q176" s="116">
        <v>793.15</v>
      </c>
      <c r="R176">
        <v>536033</v>
      </c>
    </row>
    <row r="177" spans="1:18" x14ac:dyDescent="0.25">
      <c r="A177" s="170">
        <v>43734</v>
      </c>
      <c r="B177" s="116">
        <v>873</v>
      </c>
      <c r="C177" s="116">
        <v>859.45</v>
      </c>
      <c r="D177" s="116">
        <v>790.6</v>
      </c>
      <c r="E177" s="116">
        <v>796</v>
      </c>
      <c r="F177" s="116">
        <v>859.45</v>
      </c>
      <c r="G177">
        <v>21090</v>
      </c>
      <c r="H177" s="116"/>
      <c r="I177" s="116"/>
      <c r="L177" s="170">
        <v>43731</v>
      </c>
      <c r="M177" s="116">
        <v>798.85</v>
      </c>
      <c r="N177" s="116">
        <v>832</v>
      </c>
      <c r="O177" s="116">
        <v>782</v>
      </c>
      <c r="P177" s="116">
        <v>820</v>
      </c>
      <c r="Q177" s="116">
        <v>798.85</v>
      </c>
      <c r="R177">
        <v>1124580</v>
      </c>
    </row>
    <row r="178" spans="1:18" x14ac:dyDescent="0.25">
      <c r="A178" s="170">
        <v>43735</v>
      </c>
      <c r="B178" s="116">
        <v>855.1</v>
      </c>
      <c r="C178" s="116">
        <v>816.4</v>
      </c>
      <c r="D178" s="116">
        <v>809.6</v>
      </c>
      <c r="E178" s="116">
        <v>851</v>
      </c>
      <c r="F178" s="116">
        <v>816.4</v>
      </c>
      <c r="G178">
        <v>17076</v>
      </c>
      <c r="H178" s="116"/>
      <c r="I178" s="116"/>
      <c r="L178" s="170">
        <v>43732</v>
      </c>
      <c r="M178" s="116">
        <v>837.95</v>
      </c>
      <c r="N178" s="116">
        <v>851</v>
      </c>
      <c r="O178" s="116">
        <v>790</v>
      </c>
      <c r="P178" s="116">
        <v>806.4</v>
      </c>
      <c r="Q178" s="116">
        <v>837.95</v>
      </c>
      <c r="R178">
        <v>310404</v>
      </c>
    </row>
    <row r="179" spans="1:18" x14ac:dyDescent="0.25">
      <c r="A179" s="170">
        <v>43738</v>
      </c>
      <c r="B179" s="116">
        <v>873.9</v>
      </c>
      <c r="C179" s="116">
        <v>821.2</v>
      </c>
      <c r="D179" s="116">
        <v>807</v>
      </c>
      <c r="E179" s="116">
        <v>819.5</v>
      </c>
      <c r="F179" s="116">
        <v>821.2</v>
      </c>
      <c r="G179">
        <v>1994036</v>
      </c>
      <c r="H179" s="116"/>
      <c r="I179" s="116"/>
      <c r="L179" s="170">
        <v>43733</v>
      </c>
      <c r="M179" s="116">
        <v>798.3</v>
      </c>
      <c r="N179" s="116">
        <v>846.7</v>
      </c>
      <c r="O179" s="116">
        <v>790.05</v>
      </c>
      <c r="P179" s="116">
        <v>840.5</v>
      </c>
      <c r="Q179" s="116">
        <v>798.3</v>
      </c>
      <c r="R179">
        <v>148094</v>
      </c>
    </row>
    <row r="180" spans="1:18" x14ac:dyDescent="0.25">
      <c r="A180" s="170">
        <v>43739</v>
      </c>
      <c r="B180" s="116">
        <v>818</v>
      </c>
      <c r="C180" s="116">
        <v>800.15</v>
      </c>
      <c r="D180" s="116">
        <v>796.05</v>
      </c>
      <c r="E180" s="116">
        <v>817.3</v>
      </c>
      <c r="F180" s="116">
        <v>800.15</v>
      </c>
      <c r="G180">
        <v>14067</v>
      </c>
      <c r="H180" s="116"/>
      <c r="I180" s="116"/>
      <c r="L180" s="170">
        <v>43734</v>
      </c>
      <c r="M180" s="116">
        <v>859.15</v>
      </c>
      <c r="N180" s="116">
        <v>873.75</v>
      </c>
      <c r="O180" s="116">
        <v>788.5</v>
      </c>
      <c r="P180" s="116">
        <v>798.9</v>
      </c>
      <c r="Q180" s="116">
        <v>859.15</v>
      </c>
      <c r="R180">
        <v>557460</v>
      </c>
    </row>
    <row r="181" spans="1:18" x14ac:dyDescent="0.25">
      <c r="A181" s="170">
        <v>43741</v>
      </c>
      <c r="B181" s="116">
        <v>814</v>
      </c>
      <c r="C181" s="116">
        <v>794.45</v>
      </c>
      <c r="D181" s="116">
        <v>791.5</v>
      </c>
      <c r="E181" s="116">
        <v>806.2</v>
      </c>
      <c r="F181" s="116">
        <v>794.45</v>
      </c>
      <c r="G181">
        <v>1481</v>
      </c>
      <c r="H181" s="116"/>
      <c r="I181" s="116"/>
      <c r="L181" s="170">
        <v>43735</v>
      </c>
      <c r="M181" s="116">
        <v>816.1</v>
      </c>
      <c r="N181" s="116">
        <v>859</v>
      </c>
      <c r="O181" s="116">
        <v>808.55</v>
      </c>
      <c r="P181" s="116">
        <v>859</v>
      </c>
      <c r="Q181" s="116">
        <v>816.1</v>
      </c>
      <c r="R181">
        <v>129308</v>
      </c>
    </row>
    <row r="182" spans="1:18" x14ac:dyDescent="0.25">
      <c r="A182" s="170">
        <v>43742</v>
      </c>
      <c r="B182" s="116">
        <v>802.95</v>
      </c>
      <c r="C182" s="116">
        <v>800.65</v>
      </c>
      <c r="D182" s="116">
        <v>788.95</v>
      </c>
      <c r="E182" s="116">
        <v>797.5</v>
      </c>
      <c r="F182" s="116">
        <v>800.65</v>
      </c>
      <c r="G182">
        <v>1954</v>
      </c>
      <c r="H182" s="116"/>
      <c r="I182" s="116"/>
      <c r="L182" s="170">
        <v>43738</v>
      </c>
      <c r="M182" s="116">
        <v>822.6</v>
      </c>
      <c r="N182" s="116">
        <v>872</v>
      </c>
      <c r="O182" s="116">
        <v>807.1</v>
      </c>
      <c r="P182" s="116">
        <v>816</v>
      </c>
      <c r="Q182" s="116">
        <v>822.6</v>
      </c>
      <c r="R182">
        <v>327301</v>
      </c>
    </row>
    <row r="183" spans="1:18" x14ac:dyDescent="0.25">
      <c r="A183" s="170">
        <v>43745</v>
      </c>
      <c r="B183" s="116">
        <v>792.05</v>
      </c>
      <c r="C183" s="116">
        <v>778.8</v>
      </c>
      <c r="D183" s="116">
        <v>775.4</v>
      </c>
      <c r="E183" s="116">
        <v>792.05</v>
      </c>
      <c r="F183" s="116">
        <v>778.8</v>
      </c>
      <c r="G183">
        <v>1859</v>
      </c>
      <c r="H183" s="116"/>
      <c r="I183" s="116"/>
      <c r="L183" s="170">
        <v>43739</v>
      </c>
      <c r="M183" s="116">
        <v>800.15</v>
      </c>
      <c r="N183" s="116">
        <v>820.3</v>
      </c>
      <c r="O183" s="116">
        <v>796.1</v>
      </c>
      <c r="P183" s="116">
        <v>820.3</v>
      </c>
      <c r="Q183" s="116">
        <v>800.15</v>
      </c>
      <c r="R183">
        <v>152047</v>
      </c>
    </row>
    <row r="184" spans="1:18" x14ac:dyDescent="0.25">
      <c r="A184" s="170">
        <v>43747</v>
      </c>
      <c r="B184" s="116">
        <v>786.8</v>
      </c>
      <c r="C184" s="116">
        <v>770.9</v>
      </c>
      <c r="D184" s="116">
        <v>765</v>
      </c>
      <c r="E184" s="116">
        <v>784</v>
      </c>
      <c r="F184" s="116">
        <v>770.9</v>
      </c>
      <c r="G184">
        <v>1546</v>
      </c>
      <c r="H184" s="116"/>
      <c r="I184" s="116"/>
      <c r="L184" s="170">
        <v>43741</v>
      </c>
      <c r="M184" s="116">
        <v>794.3</v>
      </c>
      <c r="N184" s="116">
        <v>814.8</v>
      </c>
      <c r="O184" s="116">
        <v>792</v>
      </c>
      <c r="P184" s="116">
        <v>807.5</v>
      </c>
      <c r="Q184" s="116">
        <v>794.3</v>
      </c>
      <c r="R184">
        <v>45131</v>
      </c>
    </row>
    <row r="185" spans="1:18" x14ac:dyDescent="0.25">
      <c r="A185" s="170">
        <v>43748</v>
      </c>
      <c r="B185" s="116">
        <v>794</v>
      </c>
      <c r="C185" s="116">
        <v>773.8</v>
      </c>
      <c r="D185" s="116">
        <v>762.3</v>
      </c>
      <c r="E185" s="116">
        <v>774.3</v>
      </c>
      <c r="F185" s="116">
        <v>773.8</v>
      </c>
      <c r="G185">
        <v>1713</v>
      </c>
      <c r="H185" s="116"/>
      <c r="I185" s="116"/>
      <c r="L185" s="170">
        <v>43742</v>
      </c>
      <c r="M185" s="116">
        <v>795.9</v>
      </c>
      <c r="N185" s="116">
        <v>803.15</v>
      </c>
      <c r="O185" s="116">
        <v>791.55</v>
      </c>
      <c r="P185" s="116">
        <v>797.5</v>
      </c>
      <c r="Q185" s="116">
        <v>795.9</v>
      </c>
      <c r="R185">
        <v>72660</v>
      </c>
    </row>
    <row r="186" spans="1:18" x14ac:dyDescent="0.25">
      <c r="A186" s="170">
        <v>43749</v>
      </c>
      <c r="B186" s="116">
        <v>792.8</v>
      </c>
      <c r="C186" s="116">
        <v>781.15</v>
      </c>
      <c r="D186" s="116">
        <v>779</v>
      </c>
      <c r="E186" s="116">
        <v>785.9</v>
      </c>
      <c r="F186" s="116">
        <v>781.15</v>
      </c>
      <c r="G186">
        <v>767</v>
      </c>
      <c r="H186" s="116"/>
      <c r="I186" s="116"/>
      <c r="L186" s="170">
        <v>43745</v>
      </c>
      <c r="M186" s="116">
        <v>779.8</v>
      </c>
      <c r="N186" s="116">
        <v>794.5</v>
      </c>
      <c r="O186" s="116">
        <v>776.85</v>
      </c>
      <c r="P186" s="116">
        <v>791.6</v>
      </c>
      <c r="Q186" s="116">
        <v>779.8</v>
      </c>
      <c r="R186">
        <v>387620</v>
      </c>
    </row>
    <row r="187" spans="1:18" x14ac:dyDescent="0.25">
      <c r="A187" s="170">
        <v>43752</v>
      </c>
      <c r="B187" s="116">
        <v>821.6</v>
      </c>
      <c r="C187" s="116">
        <v>809.1</v>
      </c>
      <c r="D187" s="116">
        <v>797</v>
      </c>
      <c r="E187" s="116">
        <v>797</v>
      </c>
      <c r="F187" s="116">
        <v>809.1</v>
      </c>
      <c r="G187">
        <v>8929</v>
      </c>
      <c r="H187" s="116"/>
      <c r="I187" s="116"/>
      <c r="L187" s="170">
        <v>43747</v>
      </c>
      <c r="M187" s="116">
        <v>771.5</v>
      </c>
      <c r="N187" s="116">
        <v>785.95</v>
      </c>
      <c r="O187" s="116">
        <v>763.6</v>
      </c>
      <c r="P187" s="116">
        <v>779.85</v>
      </c>
      <c r="Q187" s="116">
        <v>771.5</v>
      </c>
      <c r="R187">
        <v>32761</v>
      </c>
    </row>
    <row r="188" spans="1:18" x14ac:dyDescent="0.25">
      <c r="A188" s="170">
        <v>43753</v>
      </c>
      <c r="B188" s="116">
        <v>815</v>
      </c>
      <c r="C188" s="116">
        <v>806.25</v>
      </c>
      <c r="D188" s="116">
        <v>800</v>
      </c>
      <c r="E188" s="116">
        <v>806</v>
      </c>
      <c r="F188" s="116">
        <v>806.25</v>
      </c>
      <c r="G188">
        <v>2028</v>
      </c>
      <c r="H188" s="116"/>
      <c r="I188" s="116"/>
      <c r="L188" s="170">
        <v>43748</v>
      </c>
      <c r="M188" s="116">
        <v>781.85</v>
      </c>
      <c r="N188" s="116">
        <v>794.7</v>
      </c>
      <c r="O188" s="116">
        <v>775.9</v>
      </c>
      <c r="P188" s="116">
        <v>775.9</v>
      </c>
      <c r="Q188" s="116">
        <v>781.85</v>
      </c>
      <c r="R188">
        <v>35898</v>
      </c>
    </row>
    <row r="189" spans="1:18" x14ac:dyDescent="0.25">
      <c r="A189" s="170">
        <v>43754</v>
      </c>
      <c r="B189" s="116">
        <v>819.15</v>
      </c>
      <c r="C189" s="116">
        <v>807.7</v>
      </c>
      <c r="D189" s="116">
        <v>792.35</v>
      </c>
      <c r="E189" s="116">
        <v>814.8</v>
      </c>
      <c r="F189" s="116">
        <v>807.7</v>
      </c>
      <c r="G189">
        <v>854</v>
      </c>
      <c r="H189" s="116"/>
      <c r="I189" s="116"/>
      <c r="L189" s="170">
        <v>43749</v>
      </c>
      <c r="M189" s="116">
        <v>783</v>
      </c>
      <c r="N189" s="116">
        <v>794.9</v>
      </c>
      <c r="O189" s="116">
        <v>779.95</v>
      </c>
      <c r="P189" s="116">
        <v>784.9</v>
      </c>
      <c r="Q189" s="116">
        <v>783</v>
      </c>
      <c r="R189">
        <v>27165</v>
      </c>
    </row>
    <row r="190" spans="1:18" x14ac:dyDescent="0.25">
      <c r="A190" s="170">
        <v>43755</v>
      </c>
      <c r="B190" s="116">
        <v>814.35</v>
      </c>
      <c r="C190" s="116">
        <v>795.85</v>
      </c>
      <c r="D190" s="116">
        <v>781.5</v>
      </c>
      <c r="E190" s="116">
        <v>810</v>
      </c>
      <c r="F190" s="116">
        <v>795.85</v>
      </c>
      <c r="G190">
        <v>1757</v>
      </c>
      <c r="H190" s="116"/>
      <c r="I190" s="116"/>
      <c r="L190" s="170">
        <v>43752</v>
      </c>
      <c r="M190" s="116">
        <v>810.45</v>
      </c>
      <c r="N190" s="116">
        <v>820</v>
      </c>
      <c r="O190" s="116">
        <v>780</v>
      </c>
      <c r="P190" s="116">
        <v>780</v>
      </c>
      <c r="Q190" s="116">
        <v>810.45</v>
      </c>
      <c r="R190">
        <v>58138</v>
      </c>
    </row>
    <row r="191" spans="1:18" x14ac:dyDescent="0.25">
      <c r="A191" s="170">
        <v>43756</v>
      </c>
      <c r="B191" s="116">
        <v>830</v>
      </c>
      <c r="C191" s="116">
        <v>815.45</v>
      </c>
      <c r="D191" s="116">
        <v>809.7</v>
      </c>
      <c r="E191" s="116">
        <v>810.4</v>
      </c>
      <c r="F191" s="116">
        <v>815.45</v>
      </c>
      <c r="G191">
        <v>1841</v>
      </c>
      <c r="H191" s="116"/>
      <c r="I191" s="116"/>
      <c r="L191" s="170">
        <v>43753</v>
      </c>
      <c r="M191" s="116">
        <v>808.8</v>
      </c>
      <c r="N191" s="116">
        <v>816</v>
      </c>
      <c r="O191" s="116">
        <v>799.25</v>
      </c>
      <c r="P191" s="116">
        <v>808.65</v>
      </c>
      <c r="Q191" s="116">
        <v>808.8</v>
      </c>
      <c r="R191">
        <v>242468</v>
      </c>
    </row>
    <row r="192" spans="1:18" x14ac:dyDescent="0.25">
      <c r="A192" s="170">
        <v>43760</v>
      </c>
      <c r="B192" s="116">
        <v>836.5</v>
      </c>
      <c r="C192" s="116">
        <v>803.1</v>
      </c>
      <c r="D192" s="116">
        <v>796.85</v>
      </c>
      <c r="E192" s="116">
        <v>814.85</v>
      </c>
      <c r="F192" s="116">
        <v>803.1</v>
      </c>
      <c r="G192">
        <v>3976</v>
      </c>
      <c r="H192" s="116"/>
      <c r="I192" s="116"/>
      <c r="L192" s="170">
        <v>43754</v>
      </c>
      <c r="M192" s="116">
        <v>810.95</v>
      </c>
      <c r="N192" s="116">
        <v>819.95</v>
      </c>
      <c r="O192" s="116">
        <v>802</v>
      </c>
      <c r="P192" s="116">
        <v>814.9</v>
      </c>
      <c r="Q192" s="116">
        <v>810.95</v>
      </c>
      <c r="R192">
        <v>55072</v>
      </c>
    </row>
    <row r="193" spans="1:18" x14ac:dyDescent="0.25">
      <c r="A193" s="170">
        <v>43761</v>
      </c>
      <c r="B193" s="116">
        <v>866.2</v>
      </c>
      <c r="C193" s="116">
        <v>810</v>
      </c>
      <c r="D193" s="116">
        <v>801</v>
      </c>
      <c r="E193" s="116">
        <v>807</v>
      </c>
      <c r="F193" s="116">
        <v>810</v>
      </c>
      <c r="G193">
        <v>46654</v>
      </c>
      <c r="H193" s="116"/>
      <c r="I193" s="116"/>
      <c r="L193" s="170">
        <v>43755</v>
      </c>
      <c r="M193" s="116">
        <v>807.35</v>
      </c>
      <c r="N193" s="116">
        <v>815</v>
      </c>
      <c r="O193" s="116">
        <v>797.75</v>
      </c>
      <c r="P193" s="116">
        <v>810.55</v>
      </c>
      <c r="Q193" s="116">
        <v>807.35</v>
      </c>
      <c r="R193">
        <v>319977</v>
      </c>
    </row>
    <row r="194" spans="1:18" x14ac:dyDescent="0.25">
      <c r="A194" s="170">
        <v>43762</v>
      </c>
      <c r="B194" s="116">
        <v>842.4</v>
      </c>
      <c r="C194" s="116">
        <v>809.75</v>
      </c>
      <c r="D194" s="116">
        <v>806.1</v>
      </c>
      <c r="E194" s="116">
        <v>815</v>
      </c>
      <c r="F194" s="116">
        <v>809.75</v>
      </c>
      <c r="G194">
        <v>4654</v>
      </c>
      <c r="H194" s="116"/>
      <c r="I194" s="116"/>
      <c r="L194" s="170">
        <v>43756</v>
      </c>
      <c r="M194" s="116">
        <v>817.15</v>
      </c>
      <c r="N194" s="116">
        <v>832</v>
      </c>
      <c r="O194" s="116">
        <v>807.65</v>
      </c>
      <c r="P194" s="116">
        <v>809.6</v>
      </c>
      <c r="Q194" s="116">
        <v>817.15</v>
      </c>
      <c r="R194">
        <v>120027</v>
      </c>
    </row>
    <row r="195" spans="1:18" x14ac:dyDescent="0.25">
      <c r="A195" s="170">
        <v>43763</v>
      </c>
      <c r="B195" s="116">
        <v>832.05</v>
      </c>
      <c r="C195" s="116">
        <v>808.85</v>
      </c>
      <c r="D195" s="116">
        <v>806.05</v>
      </c>
      <c r="E195" s="116">
        <v>820</v>
      </c>
      <c r="F195" s="116">
        <v>808.85</v>
      </c>
      <c r="G195">
        <v>15167</v>
      </c>
      <c r="H195" s="116"/>
      <c r="I195" s="116"/>
      <c r="L195" s="170">
        <v>43760</v>
      </c>
      <c r="M195" s="116">
        <v>804.5</v>
      </c>
      <c r="N195" s="116">
        <v>838.05</v>
      </c>
      <c r="O195" s="116">
        <v>796.8</v>
      </c>
      <c r="P195" s="116">
        <v>815</v>
      </c>
      <c r="Q195" s="116">
        <v>804.5</v>
      </c>
      <c r="R195">
        <v>141546</v>
      </c>
    </row>
    <row r="196" spans="1:18" x14ac:dyDescent="0.25">
      <c r="A196" s="170">
        <v>43765</v>
      </c>
      <c r="B196" s="116">
        <v>816.15</v>
      </c>
      <c r="C196" s="116">
        <v>814.95</v>
      </c>
      <c r="D196" s="116">
        <v>812.45</v>
      </c>
      <c r="E196" s="116">
        <v>815.3</v>
      </c>
      <c r="F196" s="116">
        <v>814.95</v>
      </c>
      <c r="G196">
        <v>661</v>
      </c>
      <c r="H196" s="116"/>
      <c r="I196" s="116"/>
      <c r="L196" s="170">
        <v>43761</v>
      </c>
      <c r="M196" s="116">
        <v>810.5</v>
      </c>
      <c r="N196" s="116">
        <v>865.25</v>
      </c>
      <c r="O196" s="116">
        <v>798.8</v>
      </c>
      <c r="P196" s="116">
        <v>805</v>
      </c>
      <c r="Q196" s="116">
        <v>810.5</v>
      </c>
      <c r="R196">
        <v>160635</v>
      </c>
    </row>
    <row r="197" spans="1:18" x14ac:dyDescent="0.25">
      <c r="A197" s="170">
        <v>43767</v>
      </c>
      <c r="B197" s="116">
        <v>830</v>
      </c>
      <c r="C197" s="116">
        <v>812.05</v>
      </c>
      <c r="D197" s="116">
        <v>807.2</v>
      </c>
      <c r="E197" s="116">
        <v>815</v>
      </c>
      <c r="F197" s="116">
        <v>812.05</v>
      </c>
      <c r="G197">
        <v>1481</v>
      </c>
      <c r="H197" s="116"/>
      <c r="I197" s="116"/>
      <c r="L197" s="170">
        <v>43762</v>
      </c>
      <c r="M197" s="116">
        <v>810.4</v>
      </c>
      <c r="N197" s="116">
        <v>827.7</v>
      </c>
      <c r="O197" s="116">
        <v>805.35</v>
      </c>
      <c r="P197" s="116">
        <v>810</v>
      </c>
      <c r="Q197" s="116">
        <v>810.4</v>
      </c>
      <c r="R197">
        <v>68041</v>
      </c>
    </row>
    <row r="198" spans="1:18" x14ac:dyDescent="0.25">
      <c r="A198" s="170">
        <v>43768</v>
      </c>
      <c r="B198" s="116">
        <v>820.4</v>
      </c>
      <c r="C198" s="116">
        <v>812.65</v>
      </c>
      <c r="D198" s="116">
        <v>809</v>
      </c>
      <c r="E198" s="116">
        <v>813.6</v>
      </c>
      <c r="F198" s="116">
        <v>812.65</v>
      </c>
      <c r="G198">
        <v>1261</v>
      </c>
      <c r="H198" s="116"/>
      <c r="I198" s="116"/>
      <c r="L198" s="170">
        <v>43763</v>
      </c>
      <c r="M198" s="116">
        <v>808.1</v>
      </c>
      <c r="N198" s="116">
        <v>838.8</v>
      </c>
      <c r="O198" s="116">
        <v>806.1</v>
      </c>
      <c r="P198" s="116">
        <v>820</v>
      </c>
      <c r="Q198" s="116">
        <v>808.1</v>
      </c>
      <c r="R198">
        <v>91957</v>
      </c>
    </row>
    <row r="199" spans="1:18" x14ac:dyDescent="0.25">
      <c r="A199" s="170">
        <v>43769</v>
      </c>
      <c r="B199" s="116">
        <v>815.55</v>
      </c>
      <c r="C199" s="116">
        <v>809.05</v>
      </c>
      <c r="D199" s="116">
        <v>806.5</v>
      </c>
      <c r="E199" s="116">
        <v>811.2</v>
      </c>
      <c r="F199" s="116">
        <v>809.05</v>
      </c>
      <c r="G199">
        <v>1611</v>
      </c>
      <c r="H199" s="116"/>
      <c r="I199" s="116"/>
      <c r="L199" s="170">
        <v>43765</v>
      </c>
      <c r="M199" s="116">
        <v>814.4</v>
      </c>
      <c r="N199" s="116">
        <v>823</v>
      </c>
      <c r="O199" s="116">
        <v>801.1</v>
      </c>
      <c r="P199" s="116">
        <v>801.1</v>
      </c>
      <c r="Q199" s="116">
        <v>814.4</v>
      </c>
      <c r="R199">
        <v>4177</v>
      </c>
    </row>
    <row r="200" spans="1:18" x14ac:dyDescent="0.25">
      <c r="A200" s="170">
        <v>43770</v>
      </c>
      <c r="B200" s="116">
        <v>824.4</v>
      </c>
      <c r="C200" s="116">
        <v>814.75</v>
      </c>
      <c r="D200" s="116">
        <v>808.2</v>
      </c>
      <c r="E200" s="116">
        <v>814</v>
      </c>
      <c r="F200" s="116">
        <v>814.75</v>
      </c>
      <c r="G200">
        <v>3446</v>
      </c>
      <c r="H200" s="116"/>
      <c r="I200" s="116"/>
      <c r="L200" s="170">
        <v>43767</v>
      </c>
      <c r="M200" s="116">
        <v>812.85</v>
      </c>
      <c r="N200" s="116">
        <v>831.95</v>
      </c>
      <c r="O200" s="116">
        <v>808</v>
      </c>
      <c r="P200" s="116">
        <v>819.4</v>
      </c>
      <c r="Q200" s="116">
        <v>812.85</v>
      </c>
      <c r="R200">
        <v>102761</v>
      </c>
    </row>
    <row r="201" spans="1:18" x14ac:dyDescent="0.25">
      <c r="A201" s="170">
        <v>43773</v>
      </c>
      <c r="B201" s="116">
        <v>844</v>
      </c>
      <c r="C201" s="116">
        <v>812.6</v>
      </c>
      <c r="D201" s="116">
        <v>807.8</v>
      </c>
      <c r="E201" s="116">
        <v>814.25</v>
      </c>
      <c r="F201" s="116">
        <v>812.6</v>
      </c>
      <c r="G201">
        <v>6327</v>
      </c>
      <c r="H201" s="116"/>
      <c r="I201" s="116"/>
      <c r="L201" s="170">
        <v>43768</v>
      </c>
      <c r="M201" s="116">
        <v>814.35</v>
      </c>
      <c r="N201" s="116">
        <v>822</v>
      </c>
      <c r="O201" s="116">
        <v>808.5</v>
      </c>
      <c r="P201" s="116">
        <v>819</v>
      </c>
      <c r="Q201" s="116">
        <v>814.35</v>
      </c>
      <c r="R201">
        <v>39173</v>
      </c>
    </row>
    <row r="202" spans="1:18" x14ac:dyDescent="0.25">
      <c r="A202" s="170">
        <v>43774</v>
      </c>
      <c r="B202" s="116">
        <v>852.4</v>
      </c>
      <c r="C202" s="116">
        <v>821.15</v>
      </c>
      <c r="D202" s="116">
        <v>802</v>
      </c>
      <c r="E202" s="116">
        <v>818.75</v>
      </c>
      <c r="F202" s="116">
        <v>821.15</v>
      </c>
      <c r="G202">
        <v>1583057</v>
      </c>
      <c r="H202" s="116"/>
      <c r="I202" s="116"/>
      <c r="L202" s="170">
        <v>43769</v>
      </c>
      <c r="M202" s="116">
        <v>809.8</v>
      </c>
      <c r="N202" s="116">
        <v>819</v>
      </c>
      <c r="O202" s="116">
        <v>806.25</v>
      </c>
      <c r="P202" s="116">
        <v>817.6</v>
      </c>
      <c r="Q202" s="116">
        <v>809.8</v>
      </c>
      <c r="R202">
        <v>83389</v>
      </c>
    </row>
    <row r="203" spans="1:18" x14ac:dyDescent="0.25">
      <c r="A203" s="170">
        <v>43775</v>
      </c>
      <c r="B203" s="116">
        <v>838</v>
      </c>
      <c r="C203" s="116">
        <v>821.85</v>
      </c>
      <c r="D203" s="116">
        <v>820</v>
      </c>
      <c r="E203" s="116">
        <v>824.55</v>
      </c>
      <c r="F203" s="116">
        <v>821.85</v>
      </c>
      <c r="G203">
        <v>11638</v>
      </c>
      <c r="H203" s="116"/>
      <c r="I203" s="116"/>
      <c r="L203" s="170">
        <v>43770</v>
      </c>
      <c r="M203" s="116">
        <v>814.3</v>
      </c>
      <c r="N203" s="116">
        <v>825.3</v>
      </c>
      <c r="O203" s="116">
        <v>808.5</v>
      </c>
      <c r="P203" s="116">
        <v>810.15</v>
      </c>
      <c r="Q203" s="116">
        <v>814.3</v>
      </c>
      <c r="R203">
        <v>108850</v>
      </c>
    </row>
    <row r="204" spans="1:18" x14ac:dyDescent="0.25">
      <c r="A204" s="170">
        <v>43776</v>
      </c>
      <c r="B204" s="116">
        <v>829.75</v>
      </c>
      <c r="C204" s="116">
        <v>826.6</v>
      </c>
      <c r="D204" s="116">
        <v>800</v>
      </c>
      <c r="E204" s="116">
        <v>825.55</v>
      </c>
      <c r="F204" s="116">
        <v>826.6</v>
      </c>
      <c r="G204">
        <v>8407</v>
      </c>
      <c r="H204" s="116"/>
      <c r="I204" s="116"/>
      <c r="L204" s="170">
        <v>43773</v>
      </c>
      <c r="M204" s="116">
        <v>812.75</v>
      </c>
      <c r="N204" s="116">
        <v>844</v>
      </c>
      <c r="O204" s="116">
        <v>807</v>
      </c>
      <c r="P204" s="116">
        <v>815.2</v>
      </c>
      <c r="Q204" s="116">
        <v>812.75</v>
      </c>
      <c r="R204">
        <v>100817</v>
      </c>
    </row>
    <row r="205" spans="1:18" x14ac:dyDescent="0.25">
      <c r="A205" s="170">
        <v>43777</v>
      </c>
      <c r="B205" s="116">
        <v>837.8</v>
      </c>
      <c r="C205" s="116">
        <v>819.2</v>
      </c>
      <c r="D205" s="116">
        <v>817.45</v>
      </c>
      <c r="E205" s="116">
        <v>827</v>
      </c>
      <c r="F205" s="116">
        <v>819.2</v>
      </c>
      <c r="G205">
        <v>5859</v>
      </c>
      <c r="H205" s="116"/>
      <c r="I205" s="116"/>
      <c r="L205" s="170">
        <v>43774</v>
      </c>
      <c r="M205" s="116">
        <v>823.35</v>
      </c>
      <c r="N205" s="116">
        <v>844</v>
      </c>
      <c r="O205" s="116">
        <v>800.5</v>
      </c>
      <c r="P205" s="116">
        <v>818</v>
      </c>
      <c r="Q205" s="116">
        <v>823.35</v>
      </c>
      <c r="R205">
        <v>4437139</v>
      </c>
    </row>
    <row r="206" spans="1:18" x14ac:dyDescent="0.25">
      <c r="A206" s="170">
        <v>43780</v>
      </c>
      <c r="B206" s="116">
        <v>827.9</v>
      </c>
      <c r="C206" s="116">
        <v>823.9</v>
      </c>
      <c r="D206" s="116">
        <v>817</v>
      </c>
      <c r="E206" s="116">
        <v>821.5</v>
      </c>
      <c r="F206" s="116">
        <v>823.9</v>
      </c>
      <c r="G206">
        <v>104221</v>
      </c>
      <c r="H206" s="116"/>
      <c r="I206" s="116"/>
      <c r="L206" s="170">
        <v>43775</v>
      </c>
      <c r="M206" s="116">
        <v>821.15</v>
      </c>
      <c r="N206" s="116">
        <v>838.45</v>
      </c>
      <c r="O206" s="116">
        <v>819.95</v>
      </c>
      <c r="P206" s="116">
        <v>827.85</v>
      </c>
      <c r="Q206" s="116">
        <v>821.15</v>
      </c>
      <c r="R206">
        <v>169716</v>
      </c>
    </row>
    <row r="207" spans="1:18" x14ac:dyDescent="0.25">
      <c r="A207" s="170">
        <v>43782</v>
      </c>
      <c r="B207" s="116">
        <v>826.5</v>
      </c>
      <c r="C207" s="116">
        <v>821.45</v>
      </c>
      <c r="D207" s="116">
        <v>816</v>
      </c>
      <c r="E207" s="116">
        <v>823.9</v>
      </c>
      <c r="F207" s="116">
        <v>821.45</v>
      </c>
      <c r="G207">
        <v>9263</v>
      </c>
      <c r="H207" s="116"/>
      <c r="I207" s="116"/>
      <c r="L207" s="170">
        <v>43776</v>
      </c>
      <c r="M207" s="116">
        <v>825.2</v>
      </c>
      <c r="N207" s="116">
        <v>829</v>
      </c>
      <c r="O207" s="116">
        <v>815</v>
      </c>
      <c r="P207" s="116">
        <v>821.55</v>
      </c>
      <c r="Q207" s="116">
        <v>825.2</v>
      </c>
      <c r="R207">
        <v>121314</v>
      </c>
    </row>
    <row r="208" spans="1:18" x14ac:dyDescent="0.25">
      <c r="A208" s="170">
        <v>43783</v>
      </c>
      <c r="B208" s="116">
        <v>840.45</v>
      </c>
      <c r="C208" s="116">
        <v>828.7</v>
      </c>
      <c r="D208" s="116">
        <v>819</v>
      </c>
      <c r="E208" s="116">
        <v>822.15</v>
      </c>
      <c r="F208" s="116">
        <v>828.7</v>
      </c>
      <c r="G208">
        <v>6710</v>
      </c>
      <c r="H208" s="116"/>
      <c r="I208" s="116"/>
      <c r="L208" s="170">
        <v>43777</v>
      </c>
      <c r="M208" s="116">
        <v>820.05</v>
      </c>
      <c r="N208" s="116">
        <v>837</v>
      </c>
      <c r="O208" s="116">
        <v>816.2</v>
      </c>
      <c r="P208" s="116">
        <v>826</v>
      </c>
      <c r="Q208" s="116">
        <v>820.05</v>
      </c>
      <c r="R208">
        <v>117768</v>
      </c>
    </row>
    <row r="209" spans="1:18" x14ac:dyDescent="0.25">
      <c r="A209" s="170">
        <v>43784</v>
      </c>
      <c r="B209" s="116">
        <v>838.5</v>
      </c>
      <c r="C209" s="116">
        <v>829.45</v>
      </c>
      <c r="D209" s="116">
        <v>827</v>
      </c>
      <c r="E209" s="116">
        <v>830.65</v>
      </c>
      <c r="F209" s="116">
        <v>829.45</v>
      </c>
      <c r="G209">
        <v>2158</v>
      </c>
      <c r="H209" s="116"/>
      <c r="I209" s="116"/>
      <c r="L209" s="170">
        <v>43780</v>
      </c>
      <c r="M209" s="116">
        <v>822.9</v>
      </c>
      <c r="N209" s="116">
        <v>830</v>
      </c>
      <c r="O209" s="116">
        <v>815.5</v>
      </c>
      <c r="P209" s="116">
        <v>825</v>
      </c>
      <c r="Q209" s="116">
        <v>822.9</v>
      </c>
      <c r="R209">
        <v>64098</v>
      </c>
    </row>
    <row r="210" spans="1:18" x14ac:dyDescent="0.25">
      <c r="A210" s="170">
        <v>43787</v>
      </c>
      <c r="B210" s="116">
        <v>841.95</v>
      </c>
      <c r="C210" s="116">
        <v>833.15</v>
      </c>
      <c r="D210" s="116">
        <v>828.8</v>
      </c>
      <c r="E210" s="116">
        <v>840.45</v>
      </c>
      <c r="F210" s="116">
        <v>833.15</v>
      </c>
      <c r="G210">
        <v>3204</v>
      </c>
      <c r="H210" s="116"/>
      <c r="I210" s="116"/>
      <c r="L210" s="170">
        <v>43782</v>
      </c>
      <c r="M210" s="116">
        <v>821.6</v>
      </c>
      <c r="N210" s="116">
        <v>826.5</v>
      </c>
      <c r="O210" s="116">
        <v>815.85</v>
      </c>
      <c r="P210" s="116">
        <v>825</v>
      </c>
      <c r="Q210" s="116">
        <v>821.6</v>
      </c>
      <c r="R210">
        <v>123785</v>
      </c>
    </row>
    <row r="211" spans="1:18" x14ac:dyDescent="0.25">
      <c r="A211" s="170">
        <v>43788</v>
      </c>
      <c r="B211" s="116">
        <v>854.35</v>
      </c>
      <c r="C211" s="116">
        <v>845.25</v>
      </c>
      <c r="D211" s="116">
        <v>833.4</v>
      </c>
      <c r="E211" s="116">
        <v>837.5</v>
      </c>
      <c r="F211" s="116">
        <v>845.25</v>
      </c>
      <c r="G211">
        <v>3882</v>
      </c>
      <c r="H211" s="116"/>
      <c r="I211" s="116"/>
      <c r="L211" s="170">
        <v>43783</v>
      </c>
      <c r="M211" s="116">
        <v>829.85</v>
      </c>
      <c r="N211" s="116">
        <v>841.7</v>
      </c>
      <c r="O211" s="116">
        <v>817.9</v>
      </c>
      <c r="P211" s="116">
        <v>824</v>
      </c>
      <c r="Q211" s="116">
        <v>829.85</v>
      </c>
      <c r="R211">
        <v>146853</v>
      </c>
    </row>
    <row r="212" spans="1:18" x14ac:dyDescent="0.25">
      <c r="A212" s="170">
        <v>43789</v>
      </c>
      <c r="B212" s="116">
        <v>851.65</v>
      </c>
      <c r="C212" s="116">
        <v>841.8</v>
      </c>
      <c r="D212" s="116">
        <v>840</v>
      </c>
      <c r="E212" s="116">
        <v>849.7</v>
      </c>
      <c r="F212" s="116">
        <v>841.8</v>
      </c>
      <c r="G212">
        <v>8516</v>
      </c>
      <c r="H212" s="116"/>
      <c r="I212" s="116"/>
      <c r="L212" s="170">
        <v>43784</v>
      </c>
      <c r="M212" s="116">
        <v>829.8</v>
      </c>
      <c r="N212" s="116">
        <v>838.5</v>
      </c>
      <c r="O212" s="116">
        <v>827.7</v>
      </c>
      <c r="P212" s="116">
        <v>830</v>
      </c>
      <c r="Q212" s="116">
        <v>829.8</v>
      </c>
      <c r="R212">
        <v>81794</v>
      </c>
    </row>
    <row r="213" spans="1:18" x14ac:dyDescent="0.25">
      <c r="A213" s="170">
        <v>43790</v>
      </c>
      <c r="B213" s="116">
        <v>856.65</v>
      </c>
      <c r="C213" s="116">
        <v>852.8</v>
      </c>
      <c r="D213" s="116">
        <v>840</v>
      </c>
      <c r="E213" s="116">
        <v>844.45</v>
      </c>
      <c r="F213" s="116">
        <v>852.8</v>
      </c>
      <c r="G213">
        <v>13685</v>
      </c>
      <c r="H213" s="116"/>
      <c r="I213" s="116"/>
      <c r="L213" s="170">
        <v>43787</v>
      </c>
      <c r="M213" s="116">
        <v>831.6</v>
      </c>
      <c r="N213" s="116">
        <v>840</v>
      </c>
      <c r="O213" s="116">
        <v>828</v>
      </c>
      <c r="P213" s="116">
        <v>834</v>
      </c>
      <c r="Q213" s="116">
        <v>831.6</v>
      </c>
      <c r="R213">
        <v>61500</v>
      </c>
    </row>
    <row r="214" spans="1:18" x14ac:dyDescent="0.25">
      <c r="A214" s="170">
        <v>43791</v>
      </c>
      <c r="B214" s="116">
        <v>884.9</v>
      </c>
      <c r="C214" s="116">
        <v>866.9</v>
      </c>
      <c r="D214" s="116">
        <v>857.45</v>
      </c>
      <c r="E214" s="116">
        <v>857.45</v>
      </c>
      <c r="F214" s="116">
        <v>866.9</v>
      </c>
      <c r="G214">
        <v>25037</v>
      </c>
      <c r="H214" s="116"/>
      <c r="I214" s="116"/>
      <c r="L214" s="170">
        <v>43788</v>
      </c>
      <c r="M214" s="116">
        <v>843.2</v>
      </c>
      <c r="N214" s="116">
        <v>855</v>
      </c>
      <c r="O214" s="116">
        <v>833</v>
      </c>
      <c r="P214" s="116">
        <v>833</v>
      </c>
      <c r="Q214" s="116">
        <v>843.2</v>
      </c>
      <c r="R214">
        <v>96909</v>
      </c>
    </row>
    <row r="215" spans="1:18" x14ac:dyDescent="0.25">
      <c r="A215" s="170">
        <v>43794</v>
      </c>
      <c r="B215" s="116">
        <v>881.65</v>
      </c>
      <c r="C215" s="116">
        <v>870.25</v>
      </c>
      <c r="D215" s="116">
        <v>865</v>
      </c>
      <c r="E215" s="116">
        <v>880</v>
      </c>
      <c r="F215" s="116">
        <v>870.25</v>
      </c>
      <c r="G215">
        <v>8018</v>
      </c>
      <c r="H215" s="116"/>
      <c r="I215" s="116"/>
      <c r="L215" s="170">
        <v>43789</v>
      </c>
      <c r="M215" s="116">
        <v>841</v>
      </c>
      <c r="N215" s="116">
        <v>852.5</v>
      </c>
      <c r="O215" s="116">
        <v>838.1</v>
      </c>
      <c r="P215" s="116">
        <v>850</v>
      </c>
      <c r="Q215" s="116">
        <v>841</v>
      </c>
      <c r="R215">
        <v>53124</v>
      </c>
    </row>
    <row r="216" spans="1:18" x14ac:dyDescent="0.25">
      <c r="A216" s="170">
        <v>43795</v>
      </c>
      <c r="B216" s="116">
        <v>872</v>
      </c>
      <c r="C216" s="116">
        <v>867.8</v>
      </c>
      <c r="D216" s="116">
        <v>865.95</v>
      </c>
      <c r="E216" s="116">
        <v>871</v>
      </c>
      <c r="F216" s="116">
        <v>867.8</v>
      </c>
      <c r="G216">
        <v>4650</v>
      </c>
      <c r="H216" s="116"/>
      <c r="I216" s="116"/>
      <c r="L216" s="170">
        <v>43790</v>
      </c>
      <c r="M216" s="116">
        <v>852.2</v>
      </c>
      <c r="N216" s="116">
        <v>855</v>
      </c>
      <c r="O216" s="116">
        <v>836</v>
      </c>
      <c r="P216" s="116">
        <v>836</v>
      </c>
      <c r="Q216" s="116">
        <v>852.2</v>
      </c>
      <c r="R216">
        <v>122039</v>
      </c>
    </row>
    <row r="217" spans="1:18" x14ac:dyDescent="0.25">
      <c r="A217" s="170">
        <v>43796</v>
      </c>
      <c r="B217" s="116">
        <v>898</v>
      </c>
      <c r="C217" s="116">
        <v>882.8</v>
      </c>
      <c r="D217" s="116">
        <v>870</v>
      </c>
      <c r="E217" s="116">
        <v>870</v>
      </c>
      <c r="F217" s="116">
        <v>882.8</v>
      </c>
      <c r="G217">
        <v>8999</v>
      </c>
      <c r="H217" s="116"/>
      <c r="I217" s="116"/>
      <c r="L217" s="170">
        <v>43791</v>
      </c>
      <c r="M217" s="116">
        <v>867.8</v>
      </c>
      <c r="N217" s="116">
        <v>885.35</v>
      </c>
      <c r="O217" s="116">
        <v>855</v>
      </c>
      <c r="P217" s="116">
        <v>855</v>
      </c>
      <c r="Q217" s="116">
        <v>867.8</v>
      </c>
      <c r="R217">
        <v>220658</v>
      </c>
    </row>
    <row r="218" spans="1:18" x14ac:dyDescent="0.25">
      <c r="A218" s="170">
        <v>43797</v>
      </c>
      <c r="B218" s="116">
        <v>883.1</v>
      </c>
      <c r="C218" s="116">
        <v>879.05</v>
      </c>
      <c r="D218" s="116">
        <v>867</v>
      </c>
      <c r="E218" s="116">
        <v>883.1</v>
      </c>
      <c r="F218" s="116">
        <v>879.05</v>
      </c>
      <c r="G218">
        <v>4001</v>
      </c>
      <c r="H218" s="116"/>
      <c r="I218" s="116"/>
      <c r="L218" s="170">
        <v>43794</v>
      </c>
      <c r="M218" s="116">
        <v>871.55</v>
      </c>
      <c r="N218" s="116">
        <v>883.1</v>
      </c>
      <c r="O218" s="116">
        <v>865</v>
      </c>
      <c r="P218" s="116">
        <v>870.3</v>
      </c>
      <c r="Q218" s="116">
        <v>871.55</v>
      </c>
      <c r="R218">
        <v>67761</v>
      </c>
    </row>
    <row r="219" spans="1:18" x14ac:dyDescent="0.25">
      <c r="A219" s="170">
        <v>43798</v>
      </c>
      <c r="B219" s="116">
        <v>895</v>
      </c>
      <c r="C219" s="116">
        <v>876.35</v>
      </c>
      <c r="D219" s="116">
        <v>872</v>
      </c>
      <c r="E219" s="116">
        <v>882.85</v>
      </c>
      <c r="F219" s="116">
        <v>876.35</v>
      </c>
      <c r="G219">
        <v>3138</v>
      </c>
      <c r="H219" s="116"/>
      <c r="I219" s="116"/>
      <c r="L219" s="170">
        <v>43795</v>
      </c>
      <c r="M219" s="116">
        <v>868.9</v>
      </c>
      <c r="N219" s="116">
        <v>877.35</v>
      </c>
      <c r="O219" s="116">
        <v>865</v>
      </c>
      <c r="P219" s="116">
        <v>874.75</v>
      </c>
      <c r="Q219" s="116">
        <v>868.9</v>
      </c>
      <c r="R219">
        <v>117274</v>
      </c>
    </row>
    <row r="220" spans="1:18" x14ac:dyDescent="0.25">
      <c r="A220" s="170">
        <v>43801</v>
      </c>
      <c r="B220" s="116">
        <v>890</v>
      </c>
      <c r="C220" s="116">
        <v>870.25</v>
      </c>
      <c r="D220" s="116">
        <v>868</v>
      </c>
      <c r="E220" s="116">
        <v>885</v>
      </c>
      <c r="F220" s="116">
        <v>870.25</v>
      </c>
      <c r="G220">
        <v>2353</v>
      </c>
      <c r="H220" s="116"/>
      <c r="I220" s="116"/>
      <c r="L220" s="170">
        <v>43796</v>
      </c>
      <c r="M220" s="116">
        <v>882.25</v>
      </c>
      <c r="N220" s="116">
        <v>897.7</v>
      </c>
      <c r="O220" s="116">
        <v>868.2</v>
      </c>
      <c r="P220" s="116">
        <v>870</v>
      </c>
      <c r="Q220" s="116">
        <v>882.25</v>
      </c>
      <c r="R220">
        <v>89642</v>
      </c>
    </row>
    <row r="221" spans="1:18" x14ac:dyDescent="0.25">
      <c r="A221" s="170">
        <v>43802</v>
      </c>
      <c r="B221" s="116">
        <v>875</v>
      </c>
      <c r="C221" s="116">
        <v>862.85</v>
      </c>
      <c r="D221" s="116">
        <v>855.25</v>
      </c>
      <c r="E221" s="116">
        <v>875</v>
      </c>
      <c r="F221" s="116">
        <v>862.85</v>
      </c>
      <c r="G221">
        <v>2677</v>
      </c>
      <c r="H221" s="116"/>
      <c r="I221" s="116"/>
      <c r="L221" s="170">
        <v>43797</v>
      </c>
      <c r="M221" s="116">
        <v>875.55</v>
      </c>
      <c r="N221" s="116">
        <v>888</v>
      </c>
      <c r="O221" s="116">
        <v>868</v>
      </c>
      <c r="P221" s="116">
        <v>887.2</v>
      </c>
      <c r="Q221" s="116">
        <v>875.55</v>
      </c>
      <c r="R221">
        <v>55813</v>
      </c>
    </row>
    <row r="222" spans="1:18" x14ac:dyDescent="0.25">
      <c r="A222" s="170">
        <v>43803</v>
      </c>
      <c r="B222" s="116">
        <v>875</v>
      </c>
      <c r="C222" s="116">
        <v>868.8</v>
      </c>
      <c r="D222" s="116">
        <v>847</v>
      </c>
      <c r="E222" s="116">
        <v>859.95</v>
      </c>
      <c r="F222" s="116">
        <v>868.8</v>
      </c>
      <c r="G222">
        <v>3565</v>
      </c>
      <c r="H222" s="116"/>
      <c r="I222" s="116"/>
      <c r="L222" s="170">
        <v>43798</v>
      </c>
      <c r="M222" s="116">
        <v>880.9</v>
      </c>
      <c r="N222" s="116">
        <v>896.5</v>
      </c>
      <c r="O222" s="116">
        <v>870.25</v>
      </c>
      <c r="P222" s="116">
        <v>880.05</v>
      </c>
      <c r="Q222" s="116">
        <v>880.9</v>
      </c>
      <c r="R222">
        <v>95377</v>
      </c>
    </row>
    <row r="223" spans="1:18" x14ac:dyDescent="0.25">
      <c r="A223" s="170">
        <v>43804</v>
      </c>
      <c r="B223" s="116">
        <v>860</v>
      </c>
      <c r="C223" s="116">
        <v>845.4</v>
      </c>
      <c r="D223" s="116">
        <v>840.95</v>
      </c>
      <c r="E223" s="116">
        <v>860</v>
      </c>
      <c r="F223" s="116">
        <v>845.4</v>
      </c>
      <c r="G223">
        <v>6944</v>
      </c>
      <c r="H223" s="116"/>
      <c r="I223" s="116"/>
      <c r="L223" s="170">
        <v>43801</v>
      </c>
      <c r="M223" s="116">
        <v>870.55</v>
      </c>
      <c r="N223" s="116">
        <v>891.05</v>
      </c>
      <c r="O223" s="116">
        <v>868</v>
      </c>
      <c r="P223" s="116">
        <v>885.9</v>
      </c>
      <c r="Q223" s="116">
        <v>870.55</v>
      </c>
      <c r="R223">
        <v>48557</v>
      </c>
    </row>
    <row r="224" spans="1:18" x14ac:dyDescent="0.25">
      <c r="A224" s="170">
        <v>43805</v>
      </c>
      <c r="B224" s="116">
        <v>860.8</v>
      </c>
      <c r="C224" s="116">
        <v>845.05</v>
      </c>
      <c r="D224" s="116">
        <v>839.95</v>
      </c>
      <c r="E224" s="116">
        <v>852.6</v>
      </c>
      <c r="F224" s="116">
        <v>845.05</v>
      </c>
      <c r="G224">
        <v>4727</v>
      </c>
      <c r="H224" s="116"/>
      <c r="I224" s="116"/>
      <c r="L224" s="170">
        <v>43802</v>
      </c>
      <c r="M224" s="116">
        <v>860.95</v>
      </c>
      <c r="N224" s="116">
        <v>877</v>
      </c>
      <c r="O224" s="116">
        <v>855.25</v>
      </c>
      <c r="P224" s="116">
        <v>873.35</v>
      </c>
      <c r="Q224" s="116">
        <v>860.95</v>
      </c>
      <c r="R224">
        <v>62820</v>
      </c>
    </row>
    <row r="225" spans="1:18" x14ac:dyDescent="0.25">
      <c r="A225" s="170">
        <v>43808</v>
      </c>
      <c r="B225" s="116">
        <v>845</v>
      </c>
      <c r="C225" s="116">
        <v>834.05</v>
      </c>
      <c r="D225" s="116">
        <v>830</v>
      </c>
      <c r="E225" s="116">
        <v>845</v>
      </c>
      <c r="F225" s="116">
        <v>834.05</v>
      </c>
      <c r="G225">
        <v>2185</v>
      </c>
      <c r="H225" s="116"/>
      <c r="I225" s="116"/>
      <c r="L225" s="170">
        <v>43803</v>
      </c>
      <c r="M225" s="116">
        <v>857.9</v>
      </c>
      <c r="N225" s="116">
        <v>875</v>
      </c>
      <c r="O225" s="116">
        <v>847</v>
      </c>
      <c r="P225" s="116">
        <v>859.95</v>
      </c>
      <c r="Q225" s="116">
        <v>857.9</v>
      </c>
      <c r="R225">
        <v>57962</v>
      </c>
    </row>
    <row r="226" spans="1:18" x14ac:dyDescent="0.25">
      <c r="A226" s="170">
        <v>43809</v>
      </c>
      <c r="B226" s="116">
        <v>836.15</v>
      </c>
      <c r="C226" s="116">
        <v>829.05</v>
      </c>
      <c r="D226" s="116">
        <v>827.9</v>
      </c>
      <c r="E226" s="116">
        <v>836.15</v>
      </c>
      <c r="F226" s="116">
        <v>829.05</v>
      </c>
      <c r="G226">
        <v>3910</v>
      </c>
      <c r="H226" s="116"/>
      <c r="I226" s="116"/>
      <c r="L226" s="170">
        <v>43804</v>
      </c>
      <c r="M226" s="116">
        <v>845.45</v>
      </c>
      <c r="N226" s="116">
        <v>863.6</v>
      </c>
      <c r="O226" s="116">
        <v>842</v>
      </c>
      <c r="P226" s="116">
        <v>860.8</v>
      </c>
      <c r="Q226" s="116">
        <v>845.45</v>
      </c>
      <c r="R226">
        <v>116508</v>
      </c>
    </row>
    <row r="227" spans="1:18" x14ac:dyDescent="0.25">
      <c r="A227" s="170">
        <v>43810</v>
      </c>
      <c r="B227" s="116">
        <v>830</v>
      </c>
      <c r="C227" s="116">
        <v>826.8</v>
      </c>
      <c r="D227" s="116">
        <v>812</v>
      </c>
      <c r="E227" s="116">
        <v>829</v>
      </c>
      <c r="F227" s="116">
        <v>826.8</v>
      </c>
      <c r="G227">
        <v>3486</v>
      </c>
      <c r="H227" s="116"/>
      <c r="I227" s="116"/>
      <c r="L227" s="170">
        <v>43805</v>
      </c>
      <c r="M227" s="116">
        <v>845.75</v>
      </c>
      <c r="N227" s="116">
        <v>855.45</v>
      </c>
      <c r="O227" s="116">
        <v>839.95</v>
      </c>
      <c r="P227" s="116">
        <v>842.1</v>
      </c>
      <c r="Q227" s="116">
        <v>845.75</v>
      </c>
      <c r="R227">
        <v>124988</v>
      </c>
    </row>
    <row r="228" spans="1:18" x14ac:dyDescent="0.25">
      <c r="A228" s="170">
        <v>43811</v>
      </c>
      <c r="B228" s="116">
        <v>826.2</v>
      </c>
      <c r="C228" s="116">
        <v>814.2</v>
      </c>
      <c r="D228" s="116">
        <v>812</v>
      </c>
      <c r="E228" s="116">
        <v>825.3</v>
      </c>
      <c r="F228" s="116">
        <v>814.2</v>
      </c>
      <c r="G228">
        <v>1237</v>
      </c>
      <c r="H228" s="116"/>
      <c r="I228" s="116"/>
      <c r="L228" s="170">
        <v>43808</v>
      </c>
      <c r="M228" s="116">
        <v>835.1</v>
      </c>
      <c r="N228" s="116">
        <v>845.7</v>
      </c>
      <c r="O228" s="116">
        <v>830</v>
      </c>
      <c r="P228" s="116">
        <v>844.45</v>
      </c>
      <c r="Q228" s="116">
        <v>835.1</v>
      </c>
      <c r="R228">
        <v>39922</v>
      </c>
    </row>
    <row r="229" spans="1:18" x14ac:dyDescent="0.25">
      <c r="A229" s="170">
        <v>43812</v>
      </c>
      <c r="B229" s="116">
        <v>826</v>
      </c>
      <c r="C229" s="116">
        <v>812.65</v>
      </c>
      <c r="D229" s="116">
        <v>798</v>
      </c>
      <c r="E229" s="116">
        <v>823.9</v>
      </c>
      <c r="F229" s="116">
        <v>812.65</v>
      </c>
      <c r="G229">
        <v>4660</v>
      </c>
      <c r="H229" s="116"/>
      <c r="I229" s="116"/>
      <c r="L229" s="170">
        <v>43809</v>
      </c>
      <c r="M229" s="116">
        <v>829.8</v>
      </c>
      <c r="N229" s="116">
        <v>845.35</v>
      </c>
      <c r="O229" s="116">
        <v>828</v>
      </c>
      <c r="P229" s="116">
        <v>841.5</v>
      </c>
      <c r="Q229" s="116">
        <v>829.8</v>
      </c>
      <c r="R229">
        <v>91435</v>
      </c>
    </row>
    <row r="230" spans="1:18" x14ac:dyDescent="0.25">
      <c r="A230" s="170">
        <v>43815</v>
      </c>
      <c r="B230" s="116">
        <v>816.2</v>
      </c>
      <c r="C230" s="116">
        <v>803.35</v>
      </c>
      <c r="D230" s="116">
        <v>801.6</v>
      </c>
      <c r="E230" s="116">
        <v>812.95</v>
      </c>
      <c r="F230" s="116">
        <v>803.35</v>
      </c>
      <c r="G230">
        <v>1397</v>
      </c>
      <c r="H230" s="116"/>
      <c r="I230" s="116"/>
      <c r="L230" s="170">
        <v>43810</v>
      </c>
      <c r="M230" s="116">
        <v>828.15</v>
      </c>
      <c r="N230" s="116">
        <v>835</v>
      </c>
      <c r="O230" s="116">
        <v>811</v>
      </c>
      <c r="P230" s="116">
        <v>825.4</v>
      </c>
      <c r="Q230" s="116">
        <v>828.15</v>
      </c>
      <c r="R230">
        <v>63120</v>
      </c>
    </row>
    <row r="231" spans="1:18" x14ac:dyDescent="0.25">
      <c r="A231" s="170">
        <v>43816</v>
      </c>
      <c r="B231" s="116">
        <v>832</v>
      </c>
      <c r="C231" s="116">
        <v>825.75</v>
      </c>
      <c r="D231" s="116">
        <v>801</v>
      </c>
      <c r="E231" s="116">
        <v>804.75</v>
      </c>
      <c r="F231" s="116">
        <v>825.75</v>
      </c>
      <c r="G231">
        <v>15710</v>
      </c>
      <c r="H231" s="116"/>
      <c r="I231" s="116"/>
      <c r="L231" s="170">
        <v>43811</v>
      </c>
      <c r="M231" s="116">
        <v>814.8</v>
      </c>
      <c r="N231" s="116">
        <v>829.45</v>
      </c>
      <c r="O231" s="116">
        <v>812.4</v>
      </c>
      <c r="P231" s="116">
        <v>828.15</v>
      </c>
      <c r="Q231" s="116">
        <v>814.8</v>
      </c>
      <c r="R231">
        <v>43109</v>
      </c>
    </row>
    <row r="232" spans="1:18" x14ac:dyDescent="0.25">
      <c r="A232" s="170">
        <v>43817</v>
      </c>
      <c r="B232" s="116">
        <v>830</v>
      </c>
      <c r="C232" s="116">
        <v>808.6</v>
      </c>
      <c r="D232" s="116">
        <v>805.7</v>
      </c>
      <c r="E232" s="116">
        <v>830</v>
      </c>
      <c r="F232" s="116">
        <v>808.6</v>
      </c>
      <c r="G232">
        <v>4630</v>
      </c>
      <c r="H232" s="116"/>
      <c r="I232" s="116"/>
      <c r="L232" s="170">
        <v>43812</v>
      </c>
      <c r="M232" s="116">
        <v>811.85</v>
      </c>
      <c r="N232" s="116">
        <v>826.5</v>
      </c>
      <c r="O232" s="116">
        <v>797</v>
      </c>
      <c r="P232" s="116">
        <v>815.25</v>
      </c>
      <c r="Q232" s="116">
        <v>811.85</v>
      </c>
      <c r="R232">
        <v>145039</v>
      </c>
    </row>
    <row r="233" spans="1:18" x14ac:dyDescent="0.25">
      <c r="A233" s="170">
        <v>43818</v>
      </c>
      <c r="B233" s="116">
        <v>829.15</v>
      </c>
      <c r="C233" s="116">
        <v>809.85</v>
      </c>
      <c r="D233" s="116">
        <v>807.5</v>
      </c>
      <c r="E233" s="116">
        <v>811</v>
      </c>
      <c r="F233" s="116">
        <v>809.85</v>
      </c>
      <c r="G233">
        <v>9128</v>
      </c>
      <c r="H233" s="116"/>
      <c r="I233" s="116"/>
      <c r="L233" s="170">
        <v>43815</v>
      </c>
      <c r="M233" s="116">
        <v>802.75</v>
      </c>
      <c r="N233" s="116">
        <v>818.5</v>
      </c>
      <c r="O233" s="116">
        <v>801</v>
      </c>
      <c r="P233" s="116">
        <v>808.4</v>
      </c>
      <c r="Q233" s="116">
        <v>802.75</v>
      </c>
      <c r="R233">
        <v>126385</v>
      </c>
    </row>
    <row r="234" spans="1:18" x14ac:dyDescent="0.25">
      <c r="A234" s="170">
        <v>43819</v>
      </c>
      <c r="B234" s="116">
        <v>813</v>
      </c>
      <c r="C234" s="116">
        <v>802.4</v>
      </c>
      <c r="D234" s="116">
        <v>801</v>
      </c>
      <c r="E234" s="116">
        <v>810</v>
      </c>
      <c r="F234" s="116">
        <v>802.4</v>
      </c>
      <c r="G234">
        <v>383</v>
      </c>
      <c r="H234" s="116"/>
      <c r="I234" s="116"/>
      <c r="L234" s="170">
        <v>43816</v>
      </c>
      <c r="M234" s="116">
        <v>828.8</v>
      </c>
      <c r="N234" s="116">
        <v>832.75</v>
      </c>
      <c r="O234" s="116">
        <v>800</v>
      </c>
      <c r="P234" s="116">
        <v>804.1</v>
      </c>
      <c r="Q234" s="116">
        <v>828.8</v>
      </c>
      <c r="R234">
        <v>84452</v>
      </c>
    </row>
    <row r="235" spans="1:18" x14ac:dyDescent="0.25">
      <c r="A235" s="170">
        <v>43822</v>
      </c>
      <c r="B235" s="116">
        <v>829</v>
      </c>
      <c r="C235" s="116">
        <v>799.45</v>
      </c>
      <c r="D235" s="116">
        <v>792.05</v>
      </c>
      <c r="E235" s="116">
        <v>802</v>
      </c>
      <c r="F235" s="116">
        <v>799.45</v>
      </c>
      <c r="G235">
        <v>3201</v>
      </c>
      <c r="H235" s="116"/>
      <c r="I235" s="116"/>
      <c r="L235" s="170">
        <v>43817</v>
      </c>
      <c r="M235" s="116">
        <v>809.45</v>
      </c>
      <c r="N235" s="116">
        <v>832.35</v>
      </c>
      <c r="O235" s="116">
        <v>805</v>
      </c>
      <c r="P235" s="116">
        <v>832.35</v>
      </c>
      <c r="Q235" s="116">
        <v>809.45</v>
      </c>
      <c r="R235">
        <v>70326</v>
      </c>
    </row>
    <row r="236" spans="1:18" x14ac:dyDescent="0.25">
      <c r="A236" s="170">
        <v>43823</v>
      </c>
      <c r="B236" s="116">
        <v>804</v>
      </c>
      <c r="C236" s="116">
        <v>796.2</v>
      </c>
      <c r="D236" s="116">
        <v>794.65</v>
      </c>
      <c r="E236" s="116">
        <v>802</v>
      </c>
      <c r="F236" s="116">
        <v>796.2</v>
      </c>
      <c r="G236">
        <v>2283</v>
      </c>
      <c r="H236" s="116"/>
      <c r="I236" s="116"/>
      <c r="L236" s="170">
        <v>43818</v>
      </c>
      <c r="M236" s="116">
        <v>809.9</v>
      </c>
      <c r="N236" s="116">
        <v>829.8</v>
      </c>
      <c r="O236" s="116">
        <v>807</v>
      </c>
      <c r="P236" s="116">
        <v>810</v>
      </c>
      <c r="Q236" s="116">
        <v>809.9</v>
      </c>
      <c r="R236">
        <v>146401</v>
      </c>
    </row>
    <row r="237" spans="1:18" x14ac:dyDescent="0.25">
      <c r="A237" s="170">
        <v>43825</v>
      </c>
      <c r="B237" s="116">
        <v>803.9</v>
      </c>
      <c r="C237" s="116">
        <v>795.55</v>
      </c>
      <c r="D237" s="116">
        <v>787</v>
      </c>
      <c r="E237" s="116">
        <v>796</v>
      </c>
      <c r="F237" s="116">
        <v>795.55</v>
      </c>
      <c r="G237">
        <v>9351</v>
      </c>
      <c r="H237" s="116"/>
      <c r="I237" s="116"/>
      <c r="L237" s="170">
        <v>43819</v>
      </c>
      <c r="M237" s="116">
        <v>803.3</v>
      </c>
      <c r="N237" s="116">
        <v>815</v>
      </c>
      <c r="O237" s="116">
        <v>801</v>
      </c>
      <c r="P237" s="116">
        <v>807.05</v>
      </c>
      <c r="Q237" s="116">
        <v>803.3</v>
      </c>
      <c r="R237">
        <v>45020</v>
      </c>
    </row>
    <row r="238" spans="1:18" x14ac:dyDescent="0.25">
      <c r="A238" s="170">
        <v>43826</v>
      </c>
      <c r="B238" s="116">
        <v>797.65</v>
      </c>
      <c r="C238" s="116">
        <v>791.8</v>
      </c>
      <c r="D238" s="116">
        <v>788.05</v>
      </c>
      <c r="E238" s="116">
        <v>796</v>
      </c>
      <c r="F238" s="116">
        <v>791.8</v>
      </c>
      <c r="G238">
        <v>955</v>
      </c>
      <c r="H238" s="116"/>
      <c r="I238" s="116"/>
      <c r="L238" s="170">
        <v>43822</v>
      </c>
      <c r="M238" s="116">
        <v>798.9</v>
      </c>
      <c r="N238" s="116">
        <v>815</v>
      </c>
      <c r="O238" s="116">
        <v>792</v>
      </c>
      <c r="P238" s="116">
        <v>805.4</v>
      </c>
      <c r="Q238" s="116">
        <v>798.9</v>
      </c>
      <c r="R238">
        <v>36636</v>
      </c>
    </row>
    <row r="239" spans="1:18" x14ac:dyDescent="0.25">
      <c r="A239" s="170">
        <v>43829</v>
      </c>
      <c r="B239" s="116">
        <v>799.5</v>
      </c>
      <c r="C239" s="116">
        <v>775.4</v>
      </c>
      <c r="D239" s="116">
        <v>772.2</v>
      </c>
      <c r="E239" s="116">
        <v>794.6</v>
      </c>
      <c r="F239" s="116">
        <v>775.4</v>
      </c>
      <c r="G239">
        <v>6561</v>
      </c>
      <c r="H239" s="116"/>
      <c r="I239" s="116"/>
      <c r="L239" s="170">
        <v>43823</v>
      </c>
      <c r="M239" s="116">
        <v>795.65</v>
      </c>
      <c r="N239" s="116">
        <v>807.9</v>
      </c>
      <c r="O239" s="116">
        <v>792</v>
      </c>
      <c r="P239" s="116">
        <v>807.9</v>
      </c>
      <c r="Q239" s="116">
        <v>795.65</v>
      </c>
      <c r="R239">
        <v>192154</v>
      </c>
    </row>
    <row r="240" spans="1:18" x14ac:dyDescent="0.25">
      <c r="A240" s="170">
        <v>43830</v>
      </c>
      <c r="B240" s="116">
        <v>809.9</v>
      </c>
      <c r="C240" s="116">
        <v>799.95</v>
      </c>
      <c r="D240" s="116">
        <v>761</v>
      </c>
      <c r="E240" s="116">
        <v>776</v>
      </c>
      <c r="F240" s="116">
        <v>799.95</v>
      </c>
      <c r="G240">
        <v>5325</v>
      </c>
      <c r="H240" s="116"/>
      <c r="I240" s="116"/>
      <c r="L240" s="170">
        <v>43825</v>
      </c>
      <c r="M240" s="116">
        <v>795.75</v>
      </c>
      <c r="N240" s="116">
        <v>804.75</v>
      </c>
      <c r="O240" s="116">
        <v>793</v>
      </c>
      <c r="P240" s="116">
        <v>796.1</v>
      </c>
      <c r="Q240" s="116">
        <v>795.75</v>
      </c>
      <c r="R240">
        <v>44345</v>
      </c>
    </row>
    <row r="241" spans="1:18" x14ac:dyDescent="0.25">
      <c r="A241" s="170">
        <v>43831</v>
      </c>
      <c r="B241" s="116">
        <v>813.75</v>
      </c>
      <c r="C241" s="116">
        <v>802.85</v>
      </c>
      <c r="D241" s="116">
        <v>791</v>
      </c>
      <c r="E241" s="116">
        <v>813.7</v>
      </c>
      <c r="F241" s="116">
        <v>802.85</v>
      </c>
      <c r="G241">
        <v>1279</v>
      </c>
      <c r="H241" s="116"/>
      <c r="I241" s="116"/>
      <c r="L241" s="170">
        <v>43826</v>
      </c>
      <c r="M241" s="116">
        <v>790.8</v>
      </c>
      <c r="N241" s="116">
        <v>799</v>
      </c>
      <c r="O241" s="116">
        <v>787.5</v>
      </c>
      <c r="P241" s="116">
        <v>791.05</v>
      </c>
      <c r="Q241" s="116">
        <v>790.8</v>
      </c>
      <c r="R241">
        <v>108385</v>
      </c>
    </row>
    <row r="242" spans="1:18" x14ac:dyDescent="0.25">
      <c r="A242" s="170">
        <v>43832</v>
      </c>
      <c r="B242" s="116">
        <v>832</v>
      </c>
      <c r="C242" s="116">
        <v>819</v>
      </c>
      <c r="D242" s="116">
        <v>804.65</v>
      </c>
      <c r="E242" s="116">
        <v>804.65</v>
      </c>
      <c r="F242" s="116">
        <v>819</v>
      </c>
      <c r="G242">
        <v>6791</v>
      </c>
      <c r="H242" s="116"/>
      <c r="I242" s="116"/>
      <c r="L242" s="170">
        <v>43829</v>
      </c>
      <c r="M242" s="116">
        <v>777.85</v>
      </c>
      <c r="N242" s="116">
        <v>800</v>
      </c>
      <c r="O242" s="116">
        <v>771.7</v>
      </c>
      <c r="P242" s="116">
        <v>790</v>
      </c>
      <c r="Q242" s="116">
        <v>777.85</v>
      </c>
      <c r="R242">
        <v>110599</v>
      </c>
    </row>
    <row r="243" spans="1:18" x14ac:dyDescent="0.25">
      <c r="A243" s="170">
        <v>43833</v>
      </c>
      <c r="B243" s="116">
        <v>828.75</v>
      </c>
      <c r="C243" s="116">
        <v>805.9</v>
      </c>
      <c r="D243" s="116">
        <v>800.2</v>
      </c>
      <c r="E243" s="116">
        <v>819</v>
      </c>
      <c r="F243" s="116">
        <v>805.9</v>
      </c>
      <c r="G243">
        <v>4482</v>
      </c>
      <c r="H243" s="116"/>
      <c r="I243" s="116"/>
      <c r="L243" s="170">
        <v>43830</v>
      </c>
      <c r="M243" s="116">
        <v>800.3</v>
      </c>
      <c r="N243" s="116">
        <v>811</v>
      </c>
      <c r="O243" s="116">
        <v>773.3</v>
      </c>
      <c r="P243" s="116">
        <v>777.3</v>
      </c>
      <c r="Q243" s="116">
        <v>800.3</v>
      </c>
      <c r="R243">
        <v>211285</v>
      </c>
    </row>
    <row r="244" spans="1:18" x14ac:dyDescent="0.25">
      <c r="A244" s="170">
        <v>43836</v>
      </c>
      <c r="B244" s="116">
        <v>802</v>
      </c>
      <c r="C244" s="116">
        <v>788.3</v>
      </c>
      <c r="D244" s="116">
        <v>785</v>
      </c>
      <c r="E244" s="116">
        <v>794.7</v>
      </c>
      <c r="F244" s="116">
        <v>788.3</v>
      </c>
      <c r="G244">
        <v>12025</v>
      </c>
      <c r="H244" s="116"/>
      <c r="I244" s="116"/>
      <c r="L244" s="170">
        <v>43831</v>
      </c>
      <c r="M244" s="116">
        <v>805</v>
      </c>
      <c r="N244" s="116">
        <v>814</v>
      </c>
      <c r="O244" s="116">
        <v>791.25</v>
      </c>
      <c r="P244" s="116">
        <v>810</v>
      </c>
      <c r="Q244" s="116">
        <v>805</v>
      </c>
      <c r="R244">
        <v>38108</v>
      </c>
    </row>
    <row r="245" spans="1:18" x14ac:dyDescent="0.25">
      <c r="A245" s="170">
        <v>43837</v>
      </c>
      <c r="B245" s="116">
        <v>800.65</v>
      </c>
      <c r="C245" s="116">
        <v>794.3</v>
      </c>
      <c r="D245" s="116">
        <v>781.9</v>
      </c>
      <c r="E245" s="116">
        <v>800.1</v>
      </c>
      <c r="F245" s="116">
        <v>794.3</v>
      </c>
      <c r="G245">
        <v>7534</v>
      </c>
      <c r="H245" s="116"/>
      <c r="I245" s="116"/>
      <c r="L245" s="170">
        <v>43832</v>
      </c>
      <c r="M245" s="116">
        <v>820</v>
      </c>
      <c r="N245" s="116">
        <v>832</v>
      </c>
      <c r="O245" s="116">
        <v>800.1</v>
      </c>
      <c r="P245" s="116">
        <v>804</v>
      </c>
      <c r="Q245" s="116">
        <v>820</v>
      </c>
      <c r="R245">
        <v>173072</v>
      </c>
    </row>
    <row r="246" spans="1:18" x14ac:dyDescent="0.25">
      <c r="A246" s="170">
        <v>43838</v>
      </c>
      <c r="B246" s="116">
        <v>822</v>
      </c>
      <c r="C246" s="116">
        <v>805.45</v>
      </c>
      <c r="D246" s="116">
        <v>786</v>
      </c>
      <c r="E246" s="116">
        <v>790.9</v>
      </c>
      <c r="F246" s="116">
        <v>805.45</v>
      </c>
      <c r="G246">
        <v>2952</v>
      </c>
      <c r="H246" s="116"/>
      <c r="I246" s="116"/>
      <c r="L246" s="170">
        <v>43833</v>
      </c>
      <c r="M246" s="116">
        <v>803.75</v>
      </c>
      <c r="N246" s="116">
        <v>830</v>
      </c>
      <c r="O246" s="116">
        <v>801</v>
      </c>
      <c r="P246" s="116">
        <v>820</v>
      </c>
      <c r="Q246" s="116">
        <v>803.75</v>
      </c>
      <c r="R246">
        <v>157209</v>
      </c>
    </row>
    <row r="247" spans="1:18" x14ac:dyDescent="0.25">
      <c r="A247" s="170">
        <v>43839</v>
      </c>
      <c r="B247" s="116">
        <v>823</v>
      </c>
      <c r="C247" s="116">
        <v>801.65</v>
      </c>
      <c r="D247" s="116">
        <v>799.85</v>
      </c>
      <c r="E247" s="116">
        <v>811.2</v>
      </c>
      <c r="F247" s="116">
        <v>801.65</v>
      </c>
      <c r="G247">
        <v>2478</v>
      </c>
      <c r="H247" s="116"/>
      <c r="I247" s="116"/>
      <c r="L247" s="170">
        <v>43836</v>
      </c>
      <c r="M247" s="116">
        <v>788.95</v>
      </c>
      <c r="N247" s="116">
        <v>805.4</v>
      </c>
      <c r="O247" s="116">
        <v>781.3</v>
      </c>
      <c r="P247" s="116">
        <v>803.75</v>
      </c>
      <c r="Q247" s="116">
        <v>788.95</v>
      </c>
      <c r="R247">
        <v>107552</v>
      </c>
    </row>
    <row r="248" spans="1:18" x14ac:dyDescent="0.25">
      <c r="A248" s="170">
        <v>43840</v>
      </c>
      <c r="B248" s="116">
        <v>819</v>
      </c>
      <c r="C248" s="116">
        <v>805.95</v>
      </c>
      <c r="D248" s="116">
        <v>803</v>
      </c>
      <c r="E248" s="116">
        <v>810.65</v>
      </c>
      <c r="F248" s="116">
        <v>805.95</v>
      </c>
      <c r="G248">
        <v>3135</v>
      </c>
      <c r="H248" s="116"/>
      <c r="I248" s="116"/>
      <c r="L248" s="170">
        <v>43837</v>
      </c>
      <c r="M248" s="116">
        <v>794.75</v>
      </c>
      <c r="N248" s="116">
        <v>803.95</v>
      </c>
      <c r="O248" s="116">
        <v>780</v>
      </c>
      <c r="P248" s="116">
        <v>790</v>
      </c>
      <c r="Q248" s="116">
        <v>794.75</v>
      </c>
      <c r="R248">
        <v>118028</v>
      </c>
    </row>
    <row r="249" spans="1:18" x14ac:dyDescent="0.25">
      <c r="A249" s="170">
        <v>43843</v>
      </c>
      <c r="B249" s="116">
        <v>814.9</v>
      </c>
      <c r="C249" s="116">
        <v>810.9</v>
      </c>
      <c r="D249" s="116">
        <v>803</v>
      </c>
      <c r="E249" s="116">
        <v>814.9</v>
      </c>
      <c r="F249" s="116">
        <v>810.9</v>
      </c>
      <c r="G249">
        <v>3165</v>
      </c>
      <c r="H249" s="116"/>
      <c r="I249" s="116"/>
      <c r="L249" s="170">
        <v>43838</v>
      </c>
      <c r="M249" s="116">
        <v>805.6</v>
      </c>
      <c r="N249" s="116">
        <v>822.4</v>
      </c>
      <c r="O249" s="116">
        <v>784.4</v>
      </c>
      <c r="P249" s="116">
        <v>795</v>
      </c>
      <c r="Q249" s="116">
        <v>805.6</v>
      </c>
      <c r="R249">
        <v>151215</v>
      </c>
    </row>
    <row r="250" spans="1:18" x14ac:dyDescent="0.25">
      <c r="A250" s="170">
        <v>43844</v>
      </c>
      <c r="B250" s="116">
        <v>859</v>
      </c>
      <c r="C250" s="116">
        <v>832.85</v>
      </c>
      <c r="D250" s="116">
        <v>818.45</v>
      </c>
      <c r="E250" s="116">
        <v>820</v>
      </c>
      <c r="F250" s="116">
        <v>832.85</v>
      </c>
      <c r="G250">
        <v>20815</v>
      </c>
      <c r="H250" s="116"/>
      <c r="I250" s="116"/>
      <c r="L250" s="170">
        <v>43839</v>
      </c>
      <c r="M250" s="116">
        <v>802.65</v>
      </c>
      <c r="N250" s="116">
        <v>823.15</v>
      </c>
      <c r="O250" s="116">
        <v>799</v>
      </c>
      <c r="P250" s="116">
        <v>810</v>
      </c>
      <c r="Q250" s="116">
        <v>802.65</v>
      </c>
      <c r="R250">
        <v>310890</v>
      </c>
    </row>
    <row r="251" spans="1:18" x14ac:dyDescent="0.25">
      <c r="A251" s="170">
        <v>43845</v>
      </c>
      <c r="B251" s="116">
        <v>852</v>
      </c>
      <c r="C251" s="116">
        <v>833.35</v>
      </c>
      <c r="D251" s="116">
        <v>827.1</v>
      </c>
      <c r="E251" s="116">
        <v>836.55</v>
      </c>
      <c r="F251" s="116">
        <v>833.35</v>
      </c>
      <c r="G251">
        <v>10823</v>
      </c>
      <c r="H251" s="116"/>
      <c r="I251" s="116"/>
      <c r="L251" s="170">
        <v>43840</v>
      </c>
      <c r="M251" s="116">
        <v>805.5</v>
      </c>
      <c r="N251" s="116">
        <v>819.9</v>
      </c>
      <c r="O251" s="116">
        <v>801.65</v>
      </c>
      <c r="P251" s="116">
        <v>805.55</v>
      </c>
      <c r="Q251" s="116">
        <v>805.5</v>
      </c>
      <c r="R251">
        <v>160274</v>
      </c>
    </row>
    <row r="252" spans="1:18" x14ac:dyDescent="0.25">
      <c r="A252" s="170">
        <v>43846</v>
      </c>
      <c r="B252" s="116">
        <v>877.1</v>
      </c>
      <c r="C252" s="116">
        <v>859.5</v>
      </c>
      <c r="D252" s="116">
        <v>835</v>
      </c>
      <c r="E252" s="116">
        <v>835</v>
      </c>
      <c r="F252" s="116">
        <v>859.5</v>
      </c>
      <c r="G252">
        <v>19380</v>
      </c>
      <c r="H252" s="116"/>
      <c r="I252" s="116"/>
      <c r="L252" s="170">
        <v>43843</v>
      </c>
      <c r="M252" s="116">
        <v>811.35</v>
      </c>
      <c r="N252" s="116">
        <v>815</v>
      </c>
      <c r="O252" s="116">
        <v>802.55</v>
      </c>
      <c r="P252" s="116">
        <v>810</v>
      </c>
      <c r="Q252" s="116">
        <v>811.35</v>
      </c>
      <c r="R252">
        <v>339494</v>
      </c>
    </row>
    <row r="253" spans="1:18" x14ac:dyDescent="0.25">
      <c r="A253" s="170">
        <v>43847</v>
      </c>
      <c r="B253" s="116">
        <v>883.25</v>
      </c>
      <c r="C253" s="116">
        <v>866</v>
      </c>
      <c r="D253" s="116">
        <v>854.8</v>
      </c>
      <c r="E253" s="116">
        <v>855.55</v>
      </c>
      <c r="F253" s="116">
        <v>866</v>
      </c>
      <c r="G253">
        <v>3030</v>
      </c>
      <c r="H253" s="116"/>
      <c r="I253" s="116"/>
      <c r="L253" s="170">
        <v>43844</v>
      </c>
      <c r="M253" s="116">
        <v>833.6</v>
      </c>
      <c r="N253" s="116">
        <v>859</v>
      </c>
      <c r="O253" s="116">
        <v>818.15</v>
      </c>
      <c r="P253" s="116">
        <v>818.7</v>
      </c>
      <c r="Q253" s="116">
        <v>833.6</v>
      </c>
      <c r="R253">
        <v>449232</v>
      </c>
    </row>
    <row r="254" spans="1:18" x14ac:dyDescent="0.25">
      <c r="A254" s="170">
        <v>43850</v>
      </c>
      <c r="B254" s="116">
        <v>876.4</v>
      </c>
      <c r="C254" s="116">
        <v>853.65</v>
      </c>
      <c r="D254" s="116">
        <v>851.05</v>
      </c>
      <c r="E254" s="116">
        <v>875</v>
      </c>
      <c r="F254" s="116">
        <v>853.65</v>
      </c>
      <c r="G254">
        <v>2047</v>
      </c>
      <c r="H254" s="116"/>
      <c r="I254" s="116"/>
      <c r="L254" s="170">
        <v>43845</v>
      </c>
      <c r="M254" s="116">
        <v>833.85</v>
      </c>
      <c r="N254" s="116">
        <v>853</v>
      </c>
      <c r="O254" s="116">
        <v>826.8</v>
      </c>
      <c r="P254" s="116">
        <v>834.95</v>
      </c>
      <c r="Q254" s="116">
        <v>833.85</v>
      </c>
      <c r="R254">
        <v>152454</v>
      </c>
    </row>
    <row r="255" spans="1:18" x14ac:dyDescent="0.25">
      <c r="A255" s="170">
        <v>43851</v>
      </c>
      <c r="B255" s="116">
        <v>860</v>
      </c>
      <c r="C255" s="116">
        <v>851.2</v>
      </c>
      <c r="D255" s="116">
        <v>835.25</v>
      </c>
      <c r="E255" s="116">
        <v>855.85</v>
      </c>
      <c r="F255" s="116">
        <v>851.2</v>
      </c>
      <c r="G255">
        <v>3545</v>
      </c>
      <c r="H255" s="116"/>
      <c r="I255" s="116"/>
      <c r="L255" s="170">
        <v>43846</v>
      </c>
      <c r="M255" s="116">
        <v>860.2</v>
      </c>
      <c r="N255" s="116">
        <v>877</v>
      </c>
      <c r="O255" s="116">
        <v>835.5</v>
      </c>
      <c r="P255" s="116">
        <v>835.5</v>
      </c>
      <c r="Q255" s="116">
        <v>860.2</v>
      </c>
      <c r="R255">
        <v>307698</v>
      </c>
    </row>
    <row r="256" spans="1:18" x14ac:dyDescent="0.25">
      <c r="A256" s="170">
        <v>43852</v>
      </c>
      <c r="B256" s="116">
        <v>869</v>
      </c>
      <c r="C256" s="116">
        <v>846.35</v>
      </c>
      <c r="D256" s="116">
        <v>840.4</v>
      </c>
      <c r="E256" s="116">
        <v>857.45</v>
      </c>
      <c r="F256" s="116">
        <v>846.35</v>
      </c>
      <c r="G256">
        <v>3642</v>
      </c>
      <c r="H256" s="116"/>
      <c r="I256" s="116"/>
      <c r="L256" s="170">
        <v>43847</v>
      </c>
      <c r="M256" s="116">
        <v>867.35</v>
      </c>
      <c r="N256" s="116">
        <v>884.05</v>
      </c>
      <c r="O256" s="116">
        <v>853.7</v>
      </c>
      <c r="P256" s="116">
        <v>860</v>
      </c>
      <c r="Q256" s="116">
        <v>867.35</v>
      </c>
      <c r="R256">
        <v>126603</v>
      </c>
    </row>
    <row r="257" spans="1:18" x14ac:dyDescent="0.25">
      <c r="A257" s="170">
        <v>43853</v>
      </c>
      <c r="B257" s="116">
        <v>865</v>
      </c>
      <c r="C257" s="116">
        <v>857.15</v>
      </c>
      <c r="D257" s="116">
        <v>852.05</v>
      </c>
      <c r="E257" s="116">
        <v>852.25</v>
      </c>
      <c r="F257" s="116">
        <v>857.15</v>
      </c>
      <c r="G257">
        <v>3641</v>
      </c>
      <c r="H257" s="116"/>
      <c r="I257" s="116"/>
      <c r="L257" s="170">
        <v>43850</v>
      </c>
      <c r="M257" s="116">
        <v>854.8</v>
      </c>
      <c r="N257" s="116">
        <v>877.05</v>
      </c>
      <c r="O257" s="116">
        <v>850.05</v>
      </c>
      <c r="P257" s="116">
        <v>872.45</v>
      </c>
      <c r="Q257" s="116">
        <v>854.8</v>
      </c>
      <c r="R257">
        <v>133363</v>
      </c>
    </row>
    <row r="258" spans="1:18" x14ac:dyDescent="0.25">
      <c r="A258" s="170">
        <v>43854</v>
      </c>
      <c r="B258" s="116">
        <v>871.95</v>
      </c>
      <c r="C258" s="116">
        <v>865.65</v>
      </c>
      <c r="D258" s="116">
        <v>848</v>
      </c>
      <c r="E258" s="116">
        <v>858.55</v>
      </c>
      <c r="F258" s="116">
        <v>865.65</v>
      </c>
      <c r="G258">
        <v>3277</v>
      </c>
      <c r="H258" s="116"/>
      <c r="I258" s="116"/>
      <c r="L258" s="170">
        <v>43851</v>
      </c>
      <c r="M258" s="116">
        <v>852</v>
      </c>
      <c r="N258" s="116">
        <v>860.35</v>
      </c>
      <c r="O258" s="116">
        <v>835.25</v>
      </c>
      <c r="P258" s="116">
        <v>855</v>
      </c>
      <c r="Q258" s="116">
        <v>852</v>
      </c>
      <c r="R258">
        <v>237195</v>
      </c>
    </row>
    <row r="259" spans="1:18" x14ac:dyDescent="0.25">
      <c r="A259" s="170">
        <v>43857</v>
      </c>
      <c r="B259" s="116">
        <v>872.15</v>
      </c>
      <c r="C259" s="116">
        <v>860.9</v>
      </c>
      <c r="D259" s="116">
        <v>855</v>
      </c>
      <c r="E259" s="116">
        <v>864.85</v>
      </c>
      <c r="F259" s="116">
        <v>860.9</v>
      </c>
      <c r="G259">
        <v>1878</v>
      </c>
      <c r="H259" s="116"/>
      <c r="I259" s="116"/>
      <c r="L259" s="170">
        <v>43852</v>
      </c>
      <c r="M259" s="116">
        <v>846.55</v>
      </c>
      <c r="N259" s="116">
        <v>870</v>
      </c>
      <c r="O259" s="116">
        <v>840</v>
      </c>
      <c r="P259" s="116">
        <v>855.85</v>
      </c>
      <c r="Q259" s="116">
        <v>846.55</v>
      </c>
      <c r="R259">
        <v>85845</v>
      </c>
    </row>
    <row r="260" spans="1:18" x14ac:dyDescent="0.25">
      <c r="A260" s="170">
        <v>43858</v>
      </c>
      <c r="B260" s="116">
        <v>866</v>
      </c>
      <c r="C260" s="116">
        <v>860.05</v>
      </c>
      <c r="D260" s="116">
        <v>852.8</v>
      </c>
      <c r="E260" s="116">
        <v>866</v>
      </c>
      <c r="F260" s="116">
        <v>860.05</v>
      </c>
      <c r="G260">
        <v>1704</v>
      </c>
      <c r="H260" s="116"/>
      <c r="I260" s="116"/>
      <c r="L260" s="170">
        <v>43853</v>
      </c>
      <c r="M260" s="116">
        <v>856.8</v>
      </c>
      <c r="N260" s="116">
        <v>866.95</v>
      </c>
      <c r="O260" s="116">
        <v>848</v>
      </c>
      <c r="P260" s="116">
        <v>848</v>
      </c>
      <c r="Q260" s="116">
        <v>856.8</v>
      </c>
      <c r="R260">
        <v>87885</v>
      </c>
    </row>
    <row r="261" spans="1:18" x14ac:dyDescent="0.25">
      <c r="A261" s="170">
        <v>43859</v>
      </c>
      <c r="B261" s="116">
        <v>918</v>
      </c>
      <c r="C261" s="116">
        <v>887.3</v>
      </c>
      <c r="D261" s="116">
        <v>860</v>
      </c>
      <c r="E261" s="116">
        <v>860</v>
      </c>
      <c r="F261" s="116">
        <v>887.3</v>
      </c>
      <c r="G261">
        <v>12885</v>
      </c>
      <c r="H261" s="116"/>
      <c r="I261" s="116"/>
      <c r="L261" s="170">
        <v>43854</v>
      </c>
      <c r="M261" s="116">
        <v>865.95</v>
      </c>
      <c r="N261" s="116">
        <v>872</v>
      </c>
      <c r="O261" s="116">
        <v>847.6</v>
      </c>
      <c r="P261" s="116">
        <v>858.55</v>
      </c>
      <c r="Q261" s="116">
        <v>865.95</v>
      </c>
      <c r="R261">
        <v>130022</v>
      </c>
    </row>
    <row r="262" spans="1:18" x14ac:dyDescent="0.25">
      <c r="A262" s="170">
        <v>43860</v>
      </c>
      <c r="B262" s="116">
        <v>898</v>
      </c>
      <c r="C262" s="116">
        <v>874.55</v>
      </c>
      <c r="D262" s="116">
        <v>873.25</v>
      </c>
      <c r="E262" s="116">
        <v>896.05</v>
      </c>
      <c r="F262" s="116">
        <v>874.55</v>
      </c>
      <c r="G262">
        <v>3420</v>
      </c>
      <c r="H262" s="116"/>
      <c r="I262" s="116"/>
      <c r="L262" s="170">
        <v>43857</v>
      </c>
      <c r="M262" s="116">
        <v>861.1</v>
      </c>
      <c r="N262" s="116">
        <v>873</v>
      </c>
      <c r="O262" s="116">
        <v>856.55</v>
      </c>
      <c r="P262" s="116">
        <v>865.95</v>
      </c>
      <c r="Q262" s="116">
        <v>861.1</v>
      </c>
      <c r="R262">
        <v>60336</v>
      </c>
    </row>
    <row r="263" spans="1:18" x14ac:dyDescent="0.25">
      <c r="A263" s="170">
        <v>43861</v>
      </c>
      <c r="B263" s="116">
        <v>895</v>
      </c>
      <c r="C263" s="116">
        <v>873.85</v>
      </c>
      <c r="D263" s="116">
        <v>872</v>
      </c>
      <c r="E263" s="116">
        <v>883.85</v>
      </c>
      <c r="F263" s="116">
        <v>873.85</v>
      </c>
      <c r="G263">
        <v>3582</v>
      </c>
      <c r="H263" s="116"/>
      <c r="I263" s="116"/>
      <c r="L263" s="170">
        <v>43858</v>
      </c>
      <c r="M263" s="116">
        <v>860.05</v>
      </c>
      <c r="N263" s="116">
        <v>866.8</v>
      </c>
      <c r="O263" s="116">
        <v>850</v>
      </c>
      <c r="P263" s="116">
        <v>861.3</v>
      </c>
      <c r="Q263" s="116">
        <v>860.05</v>
      </c>
      <c r="R263">
        <v>48042</v>
      </c>
    </row>
    <row r="264" spans="1:18" x14ac:dyDescent="0.25">
      <c r="A264" s="170">
        <v>43862</v>
      </c>
      <c r="B264" s="116">
        <v>892</v>
      </c>
      <c r="C264" s="116">
        <v>843.5</v>
      </c>
      <c r="D264" s="116">
        <v>838</v>
      </c>
      <c r="E264" s="116">
        <v>872.25</v>
      </c>
      <c r="F264" s="116">
        <v>843.5</v>
      </c>
      <c r="G264">
        <v>3455</v>
      </c>
      <c r="H264" s="116"/>
      <c r="I264" s="116"/>
      <c r="L264" s="170">
        <v>43859</v>
      </c>
      <c r="M264" s="116">
        <v>886.65</v>
      </c>
      <c r="N264" s="116">
        <v>919</v>
      </c>
      <c r="O264" s="116">
        <v>860.05</v>
      </c>
      <c r="P264" s="116">
        <v>865</v>
      </c>
      <c r="Q264" s="116">
        <v>886.65</v>
      </c>
      <c r="R264">
        <v>207527</v>
      </c>
    </row>
    <row r="265" spans="1:18" x14ac:dyDescent="0.25">
      <c r="A265" s="170">
        <v>43864</v>
      </c>
      <c r="B265" s="116">
        <v>869.75</v>
      </c>
      <c r="C265" s="116">
        <v>854.15</v>
      </c>
      <c r="D265" s="116">
        <v>844.6</v>
      </c>
      <c r="E265" s="116">
        <v>847.6</v>
      </c>
      <c r="F265" s="116">
        <v>854.15</v>
      </c>
      <c r="G265">
        <v>4018</v>
      </c>
      <c r="H265" s="116"/>
      <c r="I265" s="116"/>
      <c r="L265" s="170">
        <v>43860</v>
      </c>
      <c r="M265" s="116">
        <v>877.8</v>
      </c>
      <c r="N265" s="116">
        <v>898</v>
      </c>
      <c r="O265" s="116">
        <v>872</v>
      </c>
      <c r="P265" s="116">
        <v>892</v>
      </c>
      <c r="Q265" s="116">
        <v>877.8</v>
      </c>
      <c r="R265">
        <v>83415</v>
      </c>
    </row>
    <row r="266" spans="1:18" x14ac:dyDescent="0.25">
      <c r="A266" s="170">
        <v>43865</v>
      </c>
      <c r="B266" s="116">
        <v>897.35</v>
      </c>
      <c r="C266" s="116">
        <v>877.7</v>
      </c>
      <c r="D266" s="116">
        <v>862.25</v>
      </c>
      <c r="E266" s="116">
        <v>862.25</v>
      </c>
      <c r="F266" s="116">
        <v>877.7</v>
      </c>
      <c r="G266">
        <v>3040</v>
      </c>
      <c r="H266" s="116"/>
      <c r="I266" s="116"/>
      <c r="L266" s="170">
        <v>43861</v>
      </c>
      <c r="M266" s="116">
        <v>873.55</v>
      </c>
      <c r="N266" s="116">
        <v>895.5</v>
      </c>
      <c r="O266" s="116">
        <v>871.45</v>
      </c>
      <c r="P266" s="116">
        <v>885</v>
      </c>
      <c r="Q266" s="116">
        <v>873.55</v>
      </c>
      <c r="R266">
        <v>162129</v>
      </c>
    </row>
    <row r="267" spans="1:18" x14ac:dyDescent="0.25">
      <c r="A267" s="170">
        <v>43866</v>
      </c>
      <c r="B267" s="116">
        <v>903.95</v>
      </c>
      <c r="C267" s="116">
        <v>884.95</v>
      </c>
      <c r="D267" s="116">
        <v>877.95</v>
      </c>
      <c r="E267" s="116">
        <v>878</v>
      </c>
      <c r="F267" s="116">
        <v>884.95</v>
      </c>
      <c r="G267">
        <v>4565</v>
      </c>
      <c r="H267" s="116"/>
      <c r="I267" s="116"/>
      <c r="L267" s="170">
        <v>43862</v>
      </c>
      <c r="M267" s="116">
        <v>848.1</v>
      </c>
      <c r="N267" s="116">
        <v>894.95</v>
      </c>
      <c r="O267" s="116">
        <v>838</v>
      </c>
      <c r="P267" s="116">
        <v>872</v>
      </c>
      <c r="Q267" s="116">
        <v>848.1</v>
      </c>
      <c r="R267">
        <v>90936</v>
      </c>
    </row>
    <row r="268" spans="1:18" x14ac:dyDescent="0.25">
      <c r="A268" s="170">
        <v>43867</v>
      </c>
      <c r="B268" s="116">
        <v>898.4</v>
      </c>
      <c r="C268" s="116">
        <v>891.95</v>
      </c>
      <c r="D268" s="116">
        <v>882.4</v>
      </c>
      <c r="E268" s="116">
        <v>885.45</v>
      </c>
      <c r="F268" s="116">
        <v>891.95</v>
      </c>
      <c r="G268">
        <v>4732</v>
      </c>
      <c r="H268" s="116"/>
      <c r="I268" s="116"/>
      <c r="L268" s="170">
        <v>43864</v>
      </c>
      <c r="M268" s="116">
        <v>853</v>
      </c>
      <c r="N268" s="116">
        <v>870.9</v>
      </c>
      <c r="O268" s="116">
        <v>844.45</v>
      </c>
      <c r="P268" s="116">
        <v>850</v>
      </c>
      <c r="Q268" s="116">
        <v>853</v>
      </c>
      <c r="R268">
        <v>165834</v>
      </c>
    </row>
    <row r="269" spans="1:18" x14ac:dyDescent="0.25">
      <c r="A269" s="170">
        <v>43868</v>
      </c>
      <c r="B269" s="116">
        <v>903.55</v>
      </c>
      <c r="C269" s="116">
        <v>889.9</v>
      </c>
      <c r="D269" s="116">
        <v>885</v>
      </c>
      <c r="E269" s="116">
        <v>887.4</v>
      </c>
      <c r="F269" s="116">
        <v>889.9</v>
      </c>
      <c r="G269">
        <v>3587</v>
      </c>
      <c r="H269" s="116"/>
      <c r="I269" s="116"/>
      <c r="L269" s="170">
        <v>43865</v>
      </c>
      <c r="M269" s="116">
        <v>876.15</v>
      </c>
      <c r="N269" s="116">
        <v>898.7</v>
      </c>
      <c r="O269" s="116">
        <v>855.4</v>
      </c>
      <c r="P269" s="116">
        <v>855.4</v>
      </c>
      <c r="Q269" s="116">
        <v>876.15</v>
      </c>
      <c r="R269">
        <v>154422</v>
      </c>
    </row>
    <row r="270" spans="1:18" x14ac:dyDescent="0.25">
      <c r="A270" s="170">
        <v>43871</v>
      </c>
      <c r="B270" s="116">
        <v>915</v>
      </c>
      <c r="C270" s="116">
        <v>903.45</v>
      </c>
      <c r="D270" s="116">
        <v>890</v>
      </c>
      <c r="E270" s="116">
        <v>890</v>
      </c>
      <c r="F270" s="116">
        <v>903.45</v>
      </c>
      <c r="G270">
        <v>10411</v>
      </c>
      <c r="H270" s="116"/>
      <c r="I270" s="116"/>
      <c r="L270" s="170">
        <v>43866</v>
      </c>
      <c r="M270" s="116">
        <v>885.25</v>
      </c>
      <c r="N270" s="116">
        <v>904.75</v>
      </c>
      <c r="O270" s="116">
        <v>875.1</v>
      </c>
      <c r="P270" s="116">
        <v>876.2</v>
      </c>
      <c r="Q270" s="116">
        <v>885.25</v>
      </c>
      <c r="R270">
        <v>211842</v>
      </c>
    </row>
    <row r="271" spans="1:18" x14ac:dyDescent="0.25">
      <c r="A271" s="170">
        <v>43872</v>
      </c>
      <c r="B271" s="116">
        <v>906.1</v>
      </c>
      <c r="C271" s="116">
        <v>895.85</v>
      </c>
      <c r="D271" s="116">
        <v>884.4</v>
      </c>
      <c r="E271" s="116">
        <v>904.8</v>
      </c>
      <c r="F271" s="116">
        <v>895.85</v>
      </c>
      <c r="G271">
        <v>2771</v>
      </c>
      <c r="H271" s="116"/>
      <c r="I271" s="116"/>
      <c r="L271" s="170">
        <v>43867</v>
      </c>
      <c r="M271" s="116">
        <v>892.3</v>
      </c>
      <c r="N271" s="116">
        <v>899</v>
      </c>
      <c r="O271" s="116">
        <v>880</v>
      </c>
      <c r="P271" s="116">
        <v>887.9</v>
      </c>
      <c r="Q271" s="116">
        <v>892.3</v>
      </c>
      <c r="R271">
        <v>120458</v>
      </c>
    </row>
    <row r="272" spans="1:18" x14ac:dyDescent="0.25">
      <c r="A272" s="170">
        <v>43873</v>
      </c>
      <c r="B272" s="116">
        <v>899</v>
      </c>
      <c r="C272" s="116">
        <v>890.05</v>
      </c>
      <c r="D272" s="116">
        <v>887.65</v>
      </c>
      <c r="E272" s="116">
        <v>899</v>
      </c>
      <c r="F272" s="116">
        <v>890.05</v>
      </c>
      <c r="G272">
        <v>2834</v>
      </c>
      <c r="H272" s="116"/>
      <c r="I272" s="116"/>
      <c r="L272" s="170">
        <v>43868</v>
      </c>
      <c r="M272" s="116">
        <v>888.3</v>
      </c>
      <c r="N272" s="116">
        <v>904</v>
      </c>
      <c r="O272" s="116">
        <v>881.85</v>
      </c>
      <c r="P272" s="116">
        <v>882.1</v>
      </c>
      <c r="Q272" s="116">
        <v>888.3</v>
      </c>
      <c r="R272">
        <v>238750</v>
      </c>
    </row>
    <row r="273" spans="1:18" x14ac:dyDescent="0.25">
      <c r="A273" s="170">
        <v>43874</v>
      </c>
      <c r="B273" s="116">
        <v>892.25</v>
      </c>
      <c r="C273" s="116">
        <v>874.05</v>
      </c>
      <c r="D273" s="116">
        <v>871.65</v>
      </c>
      <c r="E273" s="116">
        <v>890</v>
      </c>
      <c r="F273" s="116">
        <v>874.05</v>
      </c>
      <c r="G273">
        <v>1574</v>
      </c>
      <c r="H273" s="116"/>
      <c r="I273" s="116"/>
      <c r="L273" s="170">
        <v>43871</v>
      </c>
      <c r="M273" s="116">
        <v>902.3</v>
      </c>
      <c r="N273" s="116">
        <v>916.4</v>
      </c>
      <c r="O273" s="116">
        <v>885.05</v>
      </c>
      <c r="P273" s="116">
        <v>886</v>
      </c>
      <c r="Q273" s="116">
        <v>902.3</v>
      </c>
      <c r="R273">
        <v>126802</v>
      </c>
    </row>
    <row r="274" spans="1:18" x14ac:dyDescent="0.25">
      <c r="A274" s="170">
        <v>43875</v>
      </c>
      <c r="B274" s="116">
        <v>876.75</v>
      </c>
      <c r="C274" s="116">
        <v>853.15</v>
      </c>
      <c r="D274" s="116">
        <v>851</v>
      </c>
      <c r="E274" s="116">
        <v>876.75</v>
      </c>
      <c r="F274" s="116">
        <v>853.15</v>
      </c>
      <c r="G274">
        <v>3793</v>
      </c>
      <c r="H274" s="116"/>
      <c r="I274" s="116"/>
      <c r="L274" s="170">
        <v>43872</v>
      </c>
      <c r="M274" s="116">
        <v>898.15</v>
      </c>
      <c r="N274" s="116">
        <v>908.15</v>
      </c>
      <c r="O274" s="116">
        <v>883</v>
      </c>
      <c r="P274" s="116">
        <v>908</v>
      </c>
      <c r="Q274" s="116">
        <v>898.15</v>
      </c>
      <c r="R274">
        <v>128276</v>
      </c>
    </row>
    <row r="275" spans="1:18" x14ac:dyDescent="0.25">
      <c r="A275" s="170">
        <v>43878</v>
      </c>
      <c r="B275" s="116">
        <v>871.5</v>
      </c>
      <c r="C275" s="116">
        <v>862.85</v>
      </c>
      <c r="D275" s="116">
        <v>857.9</v>
      </c>
      <c r="E275" s="116">
        <v>859.75</v>
      </c>
      <c r="F275" s="116">
        <v>862.85</v>
      </c>
      <c r="G275">
        <v>1776</v>
      </c>
      <c r="H275" s="116"/>
      <c r="I275" s="116"/>
      <c r="L275" s="170">
        <v>43873</v>
      </c>
      <c r="M275" s="116">
        <v>891.55</v>
      </c>
      <c r="N275" s="116">
        <v>900</v>
      </c>
      <c r="O275" s="116">
        <v>888.25</v>
      </c>
      <c r="P275" s="116">
        <v>900</v>
      </c>
      <c r="Q275" s="116">
        <v>891.55</v>
      </c>
      <c r="R275">
        <v>165679</v>
      </c>
    </row>
    <row r="276" spans="1:18" x14ac:dyDescent="0.25">
      <c r="A276" s="170">
        <v>43879</v>
      </c>
      <c r="B276" s="116">
        <v>859.95</v>
      </c>
      <c r="C276" s="116">
        <v>840.55</v>
      </c>
      <c r="D276" s="116">
        <v>838</v>
      </c>
      <c r="E276" s="116">
        <v>858.5</v>
      </c>
      <c r="F276" s="116">
        <v>840.55</v>
      </c>
      <c r="G276">
        <v>1944</v>
      </c>
      <c r="H276" s="116"/>
      <c r="I276" s="116"/>
      <c r="L276" s="170">
        <v>43874</v>
      </c>
      <c r="M276" s="116">
        <v>874.35</v>
      </c>
      <c r="N276" s="116">
        <v>897</v>
      </c>
      <c r="O276" s="116">
        <v>871.25</v>
      </c>
      <c r="P276" s="116">
        <v>890</v>
      </c>
      <c r="Q276" s="116">
        <v>874.35</v>
      </c>
      <c r="R276">
        <v>91466</v>
      </c>
    </row>
    <row r="277" spans="1:18" x14ac:dyDescent="0.25">
      <c r="A277" s="170">
        <v>43880</v>
      </c>
      <c r="B277" s="116">
        <v>889.8</v>
      </c>
      <c r="C277" s="116">
        <v>865.5</v>
      </c>
      <c r="D277" s="116">
        <v>853</v>
      </c>
      <c r="E277" s="116">
        <v>853</v>
      </c>
      <c r="F277" s="116">
        <v>865.5</v>
      </c>
      <c r="G277">
        <v>1713</v>
      </c>
      <c r="H277" s="116"/>
      <c r="I277" s="116"/>
      <c r="L277" s="170">
        <v>43875</v>
      </c>
      <c r="M277" s="116">
        <v>852.8</v>
      </c>
      <c r="N277" s="116">
        <v>878.1</v>
      </c>
      <c r="O277" s="116">
        <v>850.05</v>
      </c>
      <c r="P277" s="116">
        <v>875</v>
      </c>
      <c r="Q277" s="116">
        <v>852.8</v>
      </c>
      <c r="R277">
        <v>95605</v>
      </c>
    </row>
    <row r="278" spans="1:18" x14ac:dyDescent="0.25">
      <c r="A278" s="170">
        <v>43881</v>
      </c>
      <c r="B278" s="116">
        <v>887.6</v>
      </c>
      <c r="C278" s="116">
        <v>868.65</v>
      </c>
      <c r="D278" s="116">
        <v>865.4</v>
      </c>
      <c r="E278" s="116">
        <v>870.75</v>
      </c>
      <c r="F278" s="116">
        <v>868.65</v>
      </c>
      <c r="G278">
        <v>1767</v>
      </c>
      <c r="H278" s="116"/>
      <c r="I278" s="116"/>
      <c r="L278" s="170">
        <v>43878</v>
      </c>
      <c r="M278" s="116">
        <v>864.8</v>
      </c>
      <c r="N278" s="116">
        <v>873.05</v>
      </c>
      <c r="O278" s="116">
        <v>855.1</v>
      </c>
      <c r="P278" s="116">
        <v>864</v>
      </c>
      <c r="Q278" s="116">
        <v>864.8</v>
      </c>
      <c r="R278">
        <v>35847</v>
      </c>
    </row>
    <row r="279" spans="1:18" x14ac:dyDescent="0.25">
      <c r="A279" s="170">
        <v>43885</v>
      </c>
      <c r="B279" s="116">
        <v>870</v>
      </c>
      <c r="C279" s="116">
        <v>839.3</v>
      </c>
      <c r="D279" s="116">
        <v>829</v>
      </c>
      <c r="E279" s="116">
        <v>870</v>
      </c>
      <c r="F279" s="116">
        <v>839.3</v>
      </c>
      <c r="G279">
        <v>1905</v>
      </c>
      <c r="H279" s="116"/>
      <c r="I279" s="116"/>
      <c r="L279" s="170">
        <v>43879</v>
      </c>
      <c r="M279" s="116">
        <v>840.1</v>
      </c>
      <c r="N279" s="116">
        <v>861.7</v>
      </c>
      <c r="O279" s="116">
        <v>837</v>
      </c>
      <c r="P279" s="116">
        <v>860</v>
      </c>
      <c r="Q279" s="116">
        <v>840.1</v>
      </c>
      <c r="R279">
        <v>77193</v>
      </c>
    </row>
    <row r="280" spans="1:18" x14ac:dyDescent="0.25">
      <c r="A280" s="170">
        <v>43886</v>
      </c>
      <c r="B280" s="116">
        <v>849.6</v>
      </c>
      <c r="C280" s="116">
        <v>815.5</v>
      </c>
      <c r="D280" s="116">
        <v>811</v>
      </c>
      <c r="E280" s="116">
        <v>841</v>
      </c>
      <c r="F280" s="116">
        <v>815.5</v>
      </c>
      <c r="G280">
        <v>1980</v>
      </c>
      <c r="H280" s="116"/>
      <c r="I280" s="116"/>
      <c r="L280" s="170">
        <v>43880</v>
      </c>
      <c r="M280" s="116">
        <v>867.7</v>
      </c>
      <c r="N280" s="116">
        <v>890.6</v>
      </c>
      <c r="O280" s="116">
        <v>850.1</v>
      </c>
      <c r="P280" s="116">
        <v>850.1</v>
      </c>
      <c r="Q280" s="116">
        <v>867.7</v>
      </c>
      <c r="R280">
        <v>153192</v>
      </c>
    </row>
    <row r="281" spans="1:18" x14ac:dyDescent="0.25">
      <c r="A281" s="170">
        <v>43887</v>
      </c>
      <c r="B281" s="116">
        <v>826</v>
      </c>
      <c r="C281" s="116">
        <v>803.9</v>
      </c>
      <c r="D281" s="116">
        <v>801.65</v>
      </c>
      <c r="E281" s="116">
        <v>814.9</v>
      </c>
      <c r="F281" s="116">
        <v>803.9</v>
      </c>
      <c r="G281">
        <v>6240</v>
      </c>
      <c r="H281" s="116"/>
      <c r="I281" s="116"/>
      <c r="L281" s="170">
        <v>43881</v>
      </c>
      <c r="M281" s="116">
        <v>869.05</v>
      </c>
      <c r="N281" s="116">
        <v>888.8</v>
      </c>
      <c r="O281" s="116">
        <v>862.3</v>
      </c>
      <c r="P281" s="116">
        <v>869.4</v>
      </c>
      <c r="Q281" s="116">
        <v>869.05</v>
      </c>
      <c r="R281">
        <v>172893</v>
      </c>
    </row>
    <row r="282" spans="1:18" x14ac:dyDescent="0.25">
      <c r="A282" s="170">
        <v>43888</v>
      </c>
      <c r="B282" s="116">
        <v>813</v>
      </c>
      <c r="C282" s="116">
        <v>798.9</v>
      </c>
      <c r="D282" s="116">
        <v>794.7</v>
      </c>
      <c r="E282" s="116">
        <v>813</v>
      </c>
      <c r="F282" s="116">
        <v>798.9</v>
      </c>
      <c r="G282">
        <v>2072</v>
      </c>
      <c r="H282" s="116"/>
      <c r="I282" s="116"/>
      <c r="L282" s="170">
        <v>43885</v>
      </c>
      <c r="M282" s="116">
        <v>837.95</v>
      </c>
      <c r="N282" s="116">
        <v>869.9</v>
      </c>
      <c r="O282" s="116">
        <v>828.75</v>
      </c>
      <c r="P282" s="116">
        <v>869</v>
      </c>
      <c r="Q282" s="116">
        <v>837.95</v>
      </c>
      <c r="R282">
        <v>64573</v>
      </c>
    </row>
    <row r="283" spans="1:18" x14ac:dyDescent="0.25">
      <c r="A283" s="170">
        <v>43889</v>
      </c>
      <c r="B283" s="116">
        <v>798.5</v>
      </c>
      <c r="C283" s="116">
        <v>783.75</v>
      </c>
      <c r="D283" s="116">
        <v>767</v>
      </c>
      <c r="E283" s="116">
        <v>781</v>
      </c>
      <c r="F283" s="116">
        <v>783.75</v>
      </c>
      <c r="G283">
        <v>2232</v>
      </c>
      <c r="H283" s="116"/>
      <c r="I283" s="116"/>
      <c r="L283" s="170">
        <v>43886</v>
      </c>
      <c r="M283" s="116">
        <v>815.65</v>
      </c>
      <c r="N283" s="116">
        <v>849.7</v>
      </c>
      <c r="O283" s="116">
        <v>810.55</v>
      </c>
      <c r="P283" s="116">
        <v>842.45</v>
      </c>
      <c r="Q283" s="116">
        <v>815.65</v>
      </c>
      <c r="R283">
        <v>157696</v>
      </c>
    </row>
    <row r="284" spans="1:18" x14ac:dyDescent="0.25">
      <c r="A284" s="170">
        <v>43892</v>
      </c>
      <c r="B284" s="116">
        <v>805</v>
      </c>
      <c r="C284" s="116">
        <v>765.95</v>
      </c>
      <c r="D284" s="116">
        <v>752</v>
      </c>
      <c r="E284" s="116">
        <v>804.7</v>
      </c>
      <c r="F284" s="116">
        <v>765.95</v>
      </c>
      <c r="G284">
        <v>2914</v>
      </c>
      <c r="H284" s="116"/>
      <c r="I284" s="116"/>
      <c r="L284" s="170">
        <v>43887</v>
      </c>
      <c r="M284" s="116">
        <v>802.3</v>
      </c>
      <c r="N284" s="116">
        <v>825</v>
      </c>
      <c r="O284" s="116">
        <v>800</v>
      </c>
      <c r="P284" s="116">
        <v>805</v>
      </c>
      <c r="Q284" s="116">
        <v>802.3</v>
      </c>
      <c r="R284">
        <v>100626</v>
      </c>
    </row>
    <row r="285" spans="1:18" x14ac:dyDescent="0.25">
      <c r="A285" s="170">
        <v>43893</v>
      </c>
      <c r="B285" s="116">
        <v>778.15</v>
      </c>
      <c r="C285" s="116">
        <v>749.95</v>
      </c>
      <c r="D285" s="116">
        <v>744</v>
      </c>
      <c r="E285" s="116">
        <v>774.3</v>
      </c>
      <c r="F285" s="116">
        <v>749.95</v>
      </c>
      <c r="G285">
        <v>2407</v>
      </c>
      <c r="H285" s="116"/>
      <c r="I285" s="116"/>
      <c r="L285" s="170">
        <v>43888</v>
      </c>
      <c r="M285" s="116">
        <v>799</v>
      </c>
      <c r="N285" s="116">
        <v>812.55</v>
      </c>
      <c r="O285" s="116">
        <v>794.45</v>
      </c>
      <c r="P285" s="116">
        <v>801</v>
      </c>
      <c r="Q285" s="116">
        <v>799</v>
      </c>
      <c r="R285">
        <v>133490</v>
      </c>
    </row>
    <row r="286" spans="1:18" x14ac:dyDescent="0.25">
      <c r="A286" s="170">
        <v>43894</v>
      </c>
      <c r="B286" s="116">
        <v>763</v>
      </c>
      <c r="C286" s="116">
        <v>729.3</v>
      </c>
      <c r="D286" s="116">
        <v>717.7</v>
      </c>
      <c r="E286" s="116">
        <v>754</v>
      </c>
      <c r="F286" s="116">
        <v>729.3</v>
      </c>
      <c r="G286">
        <v>2380</v>
      </c>
      <c r="H286" s="116"/>
      <c r="I286" s="116"/>
      <c r="L286" s="170">
        <v>43889</v>
      </c>
      <c r="M286" s="116">
        <v>782.1</v>
      </c>
      <c r="N286" s="116">
        <v>799</v>
      </c>
      <c r="O286" s="116">
        <v>765</v>
      </c>
      <c r="P286" s="116">
        <v>790</v>
      </c>
      <c r="Q286" s="116">
        <v>782.1</v>
      </c>
      <c r="R286">
        <v>139239</v>
      </c>
    </row>
    <row r="287" spans="1:18" x14ac:dyDescent="0.25">
      <c r="A287" s="170">
        <v>43895</v>
      </c>
      <c r="B287" s="116">
        <v>749.3</v>
      </c>
      <c r="C287" s="116">
        <v>745.4</v>
      </c>
      <c r="D287" s="116">
        <v>726</v>
      </c>
      <c r="E287" s="116">
        <v>735.45</v>
      </c>
      <c r="F287" s="116">
        <v>745.4</v>
      </c>
      <c r="G287">
        <v>1228</v>
      </c>
      <c r="H287" s="116"/>
      <c r="I287" s="116"/>
      <c r="L287" s="170">
        <v>43892</v>
      </c>
      <c r="M287" s="116">
        <v>763.35</v>
      </c>
      <c r="N287" s="116">
        <v>808.85</v>
      </c>
      <c r="O287" s="116">
        <v>751</v>
      </c>
      <c r="P287" s="116">
        <v>799</v>
      </c>
      <c r="Q287" s="116">
        <v>763.35</v>
      </c>
      <c r="R287">
        <v>125568</v>
      </c>
    </row>
    <row r="288" spans="1:18" x14ac:dyDescent="0.25">
      <c r="A288" s="170">
        <v>43896</v>
      </c>
      <c r="B288" s="116">
        <v>749.3</v>
      </c>
      <c r="C288" s="116">
        <v>744.2</v>
      </c>
      <c r="D288" s="116">
        <v>724.2</v>
      </c>
      <c r="E288" s="116">
        <v>724.2</v>
      </c>
      <c r="F288" s="116">
        <v>744.2</v>
      </c>
      <c r="G288">
        <v>3680</v>
      </c>
      <c r="H288" s="116"/>
      <c r="I288" s="116"/>
      <c r="L288" s="170">
        <v>43893</v>
      </c>
      <c r="M288" s="116">
        <v>750.7</v>
      </c>
      <c r="N288" s="116">
        <v>778.6</v>
      </c>
      <c r="O288" s="116">
        <v>740.3</v>
      </c>
      <c r="P288" s="116">
        <v>778.6</v>
      </c>
      <c r="Q288" s="116">
        <v>750.7</v>
      </c>
      <c r="R288">
        <v>117185</v>
      </c>
    </row>
    <row r="289" spans="1:18" x14ac:dyDescent="0.25">
      <c r="A289" s="170">
        <v>43899</v>
      </c>
      <c r="B289" s="116">
        <v>751.05</v>
      </c>
      <c r="C289" s="116">
        <v>742.35</v>
      </c>
      <c r="D289" s="116">
        <v>705.5</v>
      </c>
      <c r="E289" s="116">
        <v>730.8</v>
      </c>
      <c r="F289" s="116">
        <v>742.35</v>
      </c>
      <c r="G289">
        <v>4611</v>
      </c>
      <c r="H289" s="116"/>
      <c r="I289" s="116"/>
      <c r="L289" s="170">
        <v>43894</v>
      </c>
      <c r="M289" s="116">
        <v>728.85</v>
      </c>
      <c r="N289" s="116">
        <v>763.15</v>
      </c>
      <c r="O289" s="116">
        <v>711.8</v>
      </c>
      <c r="P289" s="116">
        <v>757.55</v>
      </c>
      <c r="Q289" s="116">
        <v>728.85</v>
      </c>
      <c r="R289">
        <v>43542</v>
      </c>
    </row>
    <row r="290" spans="1:18" x14ac:dyDescent="0.25">
      <c r="A290" s="170">
        <v>43901</v>
      </c>
      <c r="B290" s="116">
        <v>751.1</v>
      </c>
      <c r="C290" s="116">
        <v>724.3</v>
      </c>
      <c r="D290" s="116">
        <v>692</v>
      </c>
      <c r="E290" s="116">
        <v>692</v>
      </c>
      <c r="F290" s="116">
        <v>724.3</v>
      </c>
      <c r="G290">
        <v>1051</v>
      </c>
      <c r="H290" s="116"/>
      <c r="I290" s="116"/>
      <c r="L290" s="170">
        <v>43895</v>
      </c>
      <c r="M290" s="116">
        <v>745.75</v>
      </c>
      <c r="N290" s="116">
        <v>749</v>
      </c>
      <c r="O290" s="116">
        <v>723.05</v>
      </c>
      <c r="P290" s="116">
        <v>730.25</v>
      </c>
      <c r="Q290" s="116">
        <v>745.75</v>
      </c>
      <c r="R290">
        <v>168093</v>
      </c>
    </row>
    <row r="291" spans="1:18" x14ac:dyDescent="0.25">
      <c r="A291" s="170">
        <v>43902</v>
      </c>
      <c r="B291" s="116">
        <v>712</v>
      </c>
      <c r="C291" s="116">
        <v>637.70000000000005</v>
      </c>
      <c r="D291" s="116">
        <v>610</v>
      </c>
      <c r="E291" s="116">
        <v>696</v>
      </c>
      <c r="F291" s="116">
        <v>637.70000000000005</v>
      </c>
      <c r="G291">
        <v>275871</v>
      </c>
      <c r="H291" s="116"/>
      <c r="I291" s="116"/>
      <c r="L291" s="170">
        <v>43896</v>
      </c>
      <c r="M291" s="116">
        <v>744.7</v>
      </c>
      <c r="N291" s="116">
        <v>749.95</v>
      </c>
      <c r="O291" s="116">
        <v>712.05</v>
      </c>
      <c r="P291" s="116">
        <v>720</v>
      </c>
      <c r="Q291" s="116">
        <v>744.7</v>
      </c>
      <c r="R291">
        <v>84204</v>
      </c>
    </row>
    <row r="292" spans="1:18" x14ac:dyDescent="0.25">
      <c r="A292" s="170">
        <v>43903</v>
      </c>
      <c r="B292" s="116">
        <v>667</v>
      </c>
      <c r="C292" s="116">
        <v>624.1</v>
      </c>
      <c r="D292" s="116">
        <v>597.35</v>
      </c>
      <c r="E292" s="116">
        <v>605.75</v>
      </c>
      <c r="F292" s="116">
        <v>624.1</v>
      </c>
      <c r="G292">
        <v>3920</v>
      </c>
      <c r="H292" s="116"/>
      <c r="I292" s="116"/>
      <c r="L292" s="170">
        <v>43899</v>
      </c>
      <c r="M292" s="116">
        <v>744.4</v>
      </c>
      <c r="N292" s="116">
        <v>752.6</v>
      </c>
      <c r="O292" s="116">
        <v>704.8</v>
      </c>
      <c r="P292" s="116">
        <v>741.5</v>
      </c>
      <c r="Q292" s="116">
        <v>744.4</v>
      </c>
      <c r="R292">
        <v>155624</v>
      </c>
    </row>
    <row r="293" spans="1:18" x14ac:dyDescent="0.25">
      <c r="A293" s="170">
        <v>43906</v>
      </c>
      <c r="B293" s="116">
        <v>642</v>
      </c>
      <c r="C293" s="116">
        <v>584</v>
      </c>
      <c r="D293" s="116">
        <v>577.6</v>
      </c>
      <c r="E293" s="116">
        <v>611.70000000000005</v>
      </c>
      <c r="F293" s="116">
        <v>584</v>
      </c>
      <c r="G293">
        <v>6424</v>
      </c>
      <c r="H293" s="116"/>
      <c r="I293" s="116"/>
      <c r="L293" s="170">
        <v>43901</v>
      </c>
      <c r="M293" s="116">
        <v>726.85</v>
      </c>
      <c r="N293" s="116">
        <v>759.15</v>
      </c>
      <c r="O293" s="116">
        <v>720.2</v>
      </c>
      <c r="P293" s="116">
        <v>744.4</v>
      </c>
      <c r="Q293" s="116">
        <v>726.85</v>
      </c>
      <c r="R293">
        <v>62211</v>
      </c>
    </row>
    <row r="294" spans="1:18" x14ac:dyDescent="0.25">
      <c r="A294" s="170">
        <v>43907</v>
      </c>
      <c r="B294" s="116">
        <v>609.20000000000005</v>
      </c>
      <c r="C294" s="116">
        <v>543.20000000000005</v>
      </c>
      <c r="D294" s="116">
        <v>541.9</v>
      </c>
      <c r="E294" s="116">
        <v>582.65</v>
      </c>
      <c r="F294" s="116">
        <v>543.20000000000005</v>
      </c>
      <c r="G294">
        <v>36050</v>
      </c>
      <c r="H294" s="116"/>
      <c r="I294" s="116"/>
      <c r="L294" s="170">
        <v>43902</v>
      </c>
      <c r="M294" s="116">
        <v>637.85</v>
      </c>
      <c r="N294" s="116">
        <v>714.7</v>
      </c>
      <c r="O294" s="116">
        <v>608.85</v>
      </c>
      <c r="P294" s="116">
        <v>690.2</v>
      </c>
      <c r="Q294" s="116">
        <v>637.85</v>
      </c>
      <c r="R294">
        <v>321374</v>
      </c>
    </row>
    <row r="295" spans="1:18" x14ac:dyDescent="0.25">
      <c r="A295" s="170">
        <v>43908</v>
      </c>
      <c r="B295" s="116">
        <v>574.6</v>
      </c>
      <c r="C295" s="116">
        <v>523.20000000000005</v>
      </c>
      <c r="D295" s="116">
        <v>521</v>
      </c>
      <c r="E295" s="116">
        <v>574.20000000000005</v>
      </c>
      <c r="F295" s="116">
        <v>523.20000000000005</v>
      </c>
      <c r="G295">
        <v>7029</v>
      </c>
      <c r="H295" s="116"/>
      <c r="I295" s="116"/>
      <c r="L295" s="170">
        <v>43903</v>
      </c>
      <c r="M295" s="116">
        <v>623.6</v>
      </c>
      <c r="N295" s="116">
        <v>669.95</v>
      </c>
      <c r="O295" s="116">
        <v>542</v>
      </c>
      <c r="P295" s="116">
        <v>542</v>
      </c>
      <c r="Q295" s="116">
        <v>623.6</v>
      </c>
      <c r="R295">
        <v>408495</v>
      </c>
    </row>
    <row r="296" spans="1:18" x14ac:dyDescent="0.25">
      <c r="A296" s="170">
        <v>43909</v>
      </c>
      <c r="B296" s="116">
        <v>515</v>
      </c>
      <c r="C296" s="116">
        <v>486.5</v>
      </c>
      <c r="D296" s="116">
        <v>485</v>
      </c>
      <c r="E296" s="116">
        <v>507.5</v>
      </c>
      <c r="F296" s="116">
        <v>486.5</v>
      </c>
      <c r="G296">
        <v>4911</v>
      </c>
      <c r="H296" s="116"/>
      <c r="I296" s="116"/>
      <c r="L296" s="170">
        <v>43906</v>
      </c>
      <c r="M296" s="116">
        <v>584.6</v>
      </c>
      <c r="N296" s="116">
        <v>644.79999999999995</v>
      </c>
      <c r="O296" s="116">
        <v>575</v>
      </c>
      <c r="P296" s="116">
        <v>610</v>
      </c>
      <c r="Q296" s="116">
        <v>584.6</v>
      </c>
      <c r="R296">
        <v>199064</v>
      </c>
    </row>
    <row r="297" spans="1:18" x14ac:dyDescent="0.25">
      <c r="A297" s="170">
        <v>43910</v>
      </c>
      <c r="B297" s="116">
        <v>519.20000000000005</v>
      </c>
      <c r="C297" s="116">
        <v>511.1</v>
      </c>
      <c r="D297" s="116">
        <v>494.25</v>
      </c>
      <c r="E297" s="116">
        <v>503.95</v>
      </c>
      <c r="F297" s="116">
        <v>511.1</v>
      </c>
      <c r="G297">
        <v>2845</v>
      </c>
      <c r="H297" s="116"/>
      <c r="I297" s="116"/>
      <c r="L297" s="170">
        <v>43907</v>
      </c>
      <c r="M297" s="116">
        <v>547.6</v>
      </c>
      <c r="N297" s="116">
        <v>611.95000000000005</v>
      </c>
      <c r="O297" s="116">
        <v>538.35</v>
      </c>
      <c r="P297" s="116">
        <v>585.20000000000005</v>
      </c>
      <c r="Q297" s="116">
        <v>547.6</v>
      </c>
      <c r="R297">
        <v>124687</v>
      </c>
    </row>
    <row r="298" spans="1:18" x14ac:dyDescent="0.25">
      <c r="A298" s="170">
        <v>43913</v>
      </c>
      <c r="B298" s="116">
        <v>499.9</v>
      </c>
      <c r="C298" s="116">
        <v>408.9</v>
      </c>
      <c r="D298" s="116">
        <v>408.9</v>
      </c>
      <c r="E298" s="116">
        <v>481.35</v>
      </c>
      <c r="F298" s="116">
        <v>408.9</v>
      </c>
      <c r="G298">
        <v>5502</v>
      </c>
      <c r="H298" s="116"/>
      <c r="I298" s="116"/>
      <c r="L298" s="170">
        <v>43908</v>
      </c>
      <c r="M298" s="116">
        <v>525.85</v>
      </c>
      <c r="N298" s="116">
        <v>582.6</v>
      </c>
      <c r="O298" s="116">
        <v>520.04999999999995</v>
      </c>
      <c r="P298" s="116">
        <v>548.04999999999995</v>
      </c>
      <c r="Q298" s="116">
        <v>525.85</v>
      </c>
      <c r="R298">
        <v>665822</v>
      </c>
    </row>
    <row r="299" spans="1:18" x14ac:dyDescent="0.25">
      <c r="A299" s="170">
        <v>43914</v>
      </c>
      <c r="B299" s="116">
        <v>449.5</v>
      </c>
      <c r="C299" s="116">
        <v>433.75</v>
      </c>
      <c r="D299" s="116">
        <v>406</v>
      </c>
      <c r="E299" s="116">
        <v>414.9</v>
      </c>
      <c r="F299" s="116">
        <v>433.75</v>
      </c>
      <c r="G299">
        <v>11467</v>
      </c>
      <c r="H299" s="116"/>
      <c r="I299" s="116"/>
      <c r="L299" s="170">
        <v>43909</v>
      </c>
      <c r="M299" s="116">
        <v>487.55</v>
      </c>
      <c r="N299" s="116">
        <v>519.4</v>
      </c>
      <c r="O299" s="116">
        <v>484.45</v>
      </c>
      <c r="P299" s="116">
        <v>505</v>
      </c>
      <c r="Q299" s="116">
        <v>487.55</v>
      </c>
      <c r="R299">
        <v>282087</v>
      </c>
    </row>
    <row r="300" spans="1:18" x14ac:dyDescent="0.25">
      <c r="A300" s="170">
        <v>43915</v>
      </c>
      <c r="B300" s="116">
        <v>453</v>
      </c>
      <c r="C300" s="116">
        <v>439.9</v>
      </c>
      <c r="D300" s="116">
        <v>426</v>
      </c>
      <c r="E300" s="116">
        <v>429.2</v>
      </c>
      <c r="F300" s="116">
        <v>439.9</v>
      </c>
      <c r="G300">
        <v>4326</v>
      </c>
      <c r="H300" s="116"/>
      <c r="I300" s="116"/>
      <c r="L300" s="170">
        <v>43910</v>
      </c>
      <c r="M300" s="116">
        <v>511.1</v>
      </c>
      <c r="N300" s="116">
        <v>520</v>
      </c>
      <c r="O300" s="116">
        <v>488.1</v>
      </c>
      <c r="P300" s="116">
        <v>488.1</v>
      </c>
      <c r="Q300" s="116">
        <v>511.1</v>
      </c>
      <c r="R300">
        <v>198998</v>
      </c>
    </row>
    <row r="301" spans="1:18" x14ac:dyDescent="0.25">
      <c r="A301" s="170">
        <v>43916</v>
      </c>
      <c r="B301" s="116">
        <v>483.85</v>
      </c>
      <c r="C301" s="116">
        <v>483.85</v>
      </c>
      <c r="D301" s="116">
        <v>440</v>
      </c>
      <c r="E301" s="116">
        <v>449.8</v>
      </c>
      <c r="F301" s="116">
        <v>483.85</v>
      </c>
      <c r="G301">
        <v>2305</v>
      </c>
      <c r="H301" s="116"/>
      <c r="I301" s="116"/>
      <c r="L301" s="170">
        <v>43913</v>
      </c>
      <c r="M301" s="116">
        <v>408.9</v>
      </c>
      <c r="N301" s="116">
        <v>505</v>
      </c>
      <c r="O301" s="116">
        <v>408.9</v>
      </c>
      <c r="P301" s="116">
        <v>488</v>
      </c>
      <c r="Q301" s="116">
        <v>408.9</v>
      </c>
      <c r="R301">
        <v>293457</v>
      </c>
    </row>
    <row r="302" spans="1:18" x14ac:dyDescent="0.25">
      <c r="A302" s="170">
        <v>43917</v>
      </c>
      <c r="B302" s="116">
        <v>532.20000000000005</v>
      </c>
      <c r="C302" s="116">
        <v>502.75</v>
      </c>
      <c r="D302" s="116">
        <v>489.05</v>
      </c>
      <c r="E302" s="116">
        <v>525</v>
      </c>
      <c r="F302" s="116">
        <v>502.75</v>
      </c>
      <c r="G302">
        <v>4513</v>
      </c>
      <c r="H302" s="116"/>
      <c r="I302" s="116"/>
      <c r="L302" s="170">
        <v>43914</v>
      </c>
      <c r="M302" s="116">
        <v>432.35</v>
      </c>
      <c r="N302" s="116">
        <v>449.75</v>
      </c>
      <c r="O302" s="116">
        <v>402.7</v>
      </c>
      <c r="P302" s="116">
        <v>412</v>
      </c>
      <c r="Q302" s="116">
        <v>432.35</v>
      </c>
      <c r="R302">
        <v>461050</v>
      </c>
    </row>
    <row r="303" spans="1:18" x14ac:dyDescent="0.25">
      <c r="A303" s="170">
        <v>43920</v>
      </c>
      <c r="B303" s="116">
        <v>532</v>
      </c>
      <c r="C303" s="116">
        <v>500.55</v>
      </c>
      <c r="D303" s="116">
        <v>475.6</v>
      </c>
      <c r="E303" s="116">
        <v>475.6</v>
      </c>
      <c r="F303" s="116">
        <v>500.55</v>
      </c>
      <c r="G303">
        <v>3471</v>
      </c>
      <c r="H303" s="116"/>
      <c r="I303" s="116"/>
      <c r="L303" s="170">
        <v>43915</v>
      </c>
      <c r="M303" s="116">
        <v>442.3</v>
      </c>
      <c r="N303" s="116">
        <v>453</v>
      </c>
      <c r="O303" s="116">
        <v>410</v>
      </c>
      <c r="P303" s="116">
        <v>410</v>
      </c>
      <c r="Q303" s="116">
        <v>442.3</v>
      </c>
      <c r="R303">
        <v>99423</v>
      </c>
    </row>
    <row r="304" spans="1:18" x14ac:dyDescent="0.25">
      <c r="A304" s="170">
        <v>43921</v>
      </c>
      <c r="B304" s="116">
        <v>548.75</v>
      </c>
      <c r="C304" s="116">
        <v>489</v>
      </c>
      <c r="D304" s="116">
        <v>475</v>
      </c>
      <c r="E304" s="116">
        <v>528.75</v>
      </c>
      <c r="F304" s="116">
        <v>489</v>
      </c>
      <c r="G304">
        <v>4058</v>
      </c>
      <c r="H304" s="116"/>
      <c r="I304" s="116"/>
      <c r="L304" s="170">
        <v>43916</v>
      </c>
      <c r="M304" s="116">
        <v>486.5</v>
      </c>
      <c r="N304" s="116">
        <v>486.5</v>
      </c>
      <c r="O304" s="116">
        <v>439.95</v>
      </c>
      <c r="P304" s="116">
        <v>448</v>
      </c>
      <c r="Q304" s="116">
        <v>486.5</v>
      </c>
      <c r="R304">
        <v>113888</v>
      </c>
    </row>
    <row r="305" spans="1:18" x14ac:dyDescent="0.25">
      <c r="A305" s="170">
        <v>43922</v>
      </c>
      <c r="B305" s="116">
        <v>495.3</v>
      </c>
      <c r="C305" s="116">
        <v>458.6</v>
      </c>
      <c r="D305" s="116">
        <v>453</v>
      </c>
      <c r="E305" s="116">
        <v>495</v>
      </c>
      <c r="F305" s="116">
        <v>458.6</v>
      </c>
      <c r="G305">
        <v>2177</v>
      </c>
      <c r="H305" s="116"/>
      <c r="I305" s="116"/>
      <c r="L305" s="170">
        <v>43917</v>
      </c>
      <c r="M305" s="116">
        <v>503.75</v>
      </c>
      <c r="N305" s="116">
        <v>535.15</v>
      </c>
      <c r="O305" s="116">
        <v>489.1</v>
      </c>
      <c r="P305" s="116">
        <v>525</v>
      </c>
      <c r="Q305" s="116">
        <v>503.75</v>
      </c>
      <c r="R305">
        <v>138704</v>
      </c>
    </row>
    <row r="306" spans="1:18" x14ac:dyDescent="0.25">
      <c r="A306" s="170">
        <v>43924</v>
      </c>
      <c r="B306" s="116">
        <v>461.1</v>
      </c>
      <c r="C306" s="116">
        <v>423</v>
      </c>
      <c r="D306" s="116">
        <v>417</v>
      </c>
      <c r="E306" s="116">
        <v>461.1</v>
      </c>
      <c r="F306" s="116">
        <v>423</v>
      </c>
      <c r="G306">
        <v>59879</v>
      </c>
      <c r="H306" s="116"/>
      <c r="I306" s="116"/>
      <c r="L306" s="170">
        <v>43920</v>
      </c>
      <c r="M306" s="116">
        <v>499.9</v>
      </c>
      <c r="N306" s="116">
        <v>540</v>
      </c>
      <c r="O306" s="116">
        <v>455.5</v>
      </c>
      <c r="P306" s="116">
        <v>503.75</v>
      </c>
      <c r="Q306" s="116">
        <v>499.9</v>
      </c>
      <c r="R306">
        <v>114921</v>
      </c>
    </row>
    <row r="307" spans="1:18" x14ac:dyDescent="0.25">
      <c r="A307" s="170">
        <v>43928</v>
      </c>
      <c r="B307" s="116">
        <v>465.3</v>
      </c>
      <c r="C307" s="116">
        <v>463.6</v>
      </c>
      <c r="D307" s="116">
        <v>429.55</v>
      </c>
      <c r="E307" s="116">
        <v>429.55</v>
      </c>
      <c r="F307" s="116">
        <v>463.6</v>
      </c>
      <c r="G307">
        <v>18495</v>
      </c>
      <c r="H307" s="116"/>
      <c r="I307" s="116"/>
      <c r="L307" s="170">
        <v>43921</v>
      </c>
      <c r="M307" s="116">
        <v>490.6</v>
      </c>
      <c r="N307" s="116">
        <v>549.70000000000005</v>
      </c>
      <c r="O307" s="116">
        <v>476.05</v>
      </c>
      <c r="P307" s="116">
        <v>549.70000000000005</v>
      </c>
      <c r="Q307" s="116">
        <v>490.6</v>
      </c>
      <c r="R307">
        <v>422492</v>
      </c>
    </row>
    <row r="308" spans="1:18" x14ac:dyDescent="0.25">
      <c r="A308" s="170">
        <v>43929</v>
      </c>
      <c r="B308" s="116">
        <v>500</v>
      </c>
      <c r="C308" s="116">
        <v>462.1</v>
      </c>
      <c r="D308" s="116">
        <v>458.9</v>
      </c>
      <c r="E308" s="116">
        <v>465</v>
      </c>
      <c r="F308" s="116">
        <v>462.1</v>
      </c>
      <c r="G308">
        <v>3609</v>
      </c>
      <c r="H308" s="116"/>
      <c r="I308" s="116"/>
      <c r="L308" s="170">
        <v>43922</v>
      </c>
      <c r="M308" s="116">
        <v>457.4</v>
      </c>
      <c r="N308" s="116">
        <v>500.8</v>
      </c>
      <c r="O308" s="116">
        <v>452.1</v>
      </c>
      <c r="P308" s="116">
        <v>490</v>
      </c>
      <c r="Q308" s="116">
        <v>457.4</v>
      </c>
      <c r="R308">
        <v>52304</v>
      </c>
    </row>
    <row r="309" spans="1:18" x14ac:dyDescent="0.25">
      <c r="A309" s="170">
        <v>43930</v>
      </c>
      <c r="B309" s="116">
        <v>486.8</v>
      </c>
      <c r="C309" s="116">
        <v>480.9</v>
      </c>
      <c r="D309" s="116">
        <v>466.65</v>
      </c>
      <c r="E309" s="116">
        <v>473.85</v>
      </c>
      <c r="F309" s="116">
        <v>480.9</v>
      </c>
      <c r="G309">
        <v>10622</v>
      </c>
      <c r="H309" s="116"/>
      <c r="I309" s="116"/>
      <c r="L309" s="170">
        <v>43924</v>
      </c>
      <c r="M309" s="116">
        <v>422.3</v>
      </c>
      <c r="N309" s="116">
        <v>468.5</v>
      </c>
      <c r="O309" s="116">
        <v>415.55</v>
      </c>
      <c r="P309" s="116">
        <v>460.05</v>
      </c>
      <c r="Q309" s="116">
        <v>422.3</v>
      </c>
      <c r="R309">
        <v>136297</v>
      </c>
    </row>
    <row r="310" spans="1:18" x14ac:dyDescent="0.25">
      <c r="A310" s="170">
        <v>43934</v>
      </c>
      <c r="B310" s="116">
        <v>508.7</v>
      </c>
      <c r="C310" s="116">
        <v>494.7</v>
      </c>
      <c r="D310" s="116">
        <v>474.8</v>
      </c>
      <c r="E310" s="116">
        <v>479.95</v>
      </c>
      <c r="F310" s="116">
        <v>494.7</v>
      </c>
      <c r="G310">
        <v>11772</v>
      </c>
      <c r="H310" s="116"/>
      <c r="I310" s="116"/>
      <c r="L310" s="170">
        <v>43928</v>
      </c>
      <c r="M310" s="116">
        <v>463.85</v>
      </c>
      <c r="N310" s="116">
        <v>464.5</v>
      </c>
      <c r="O310" s="116">
        <v>428.25</v>
      </c>
      <c r="P310" s="116">
        <v>428.25</v>
      </c>
      <c r="Q310" s="116">
        <v>463.85</v>
      </c>
      <c r="R310">
        <v>386396</v>
      </c>
    </row>
    <row r="311" spans="1:18" x14ac:dyDescent="0.25">
      <c r="A311" s="170">
        <v>43936</v>
      </c>
      <c r="B311" s="116">
        <v>560</v>
      </c>
      <c r="C311" s="116">
        <v>544.04999999999995</v>
      </c>
      <c r="D311" s="116">
        <v>504.9</v>
      </c>
      <c r="E311" s="116">
        <v>504.9</v>
      </c>
      <c r="F311" s="116">
        <v>544.04999999999995</v>
      </c>
      <c r="G311">
        <v>16610</v>
      </c>
      <c r="H311" s="116"/>
      <c r="I311" s="116"/>
      <c r="L311" s="170">
        <v>43929</v>
      </c>
      <c r="M311" s="116">
        <v>462.95</v>
      </c>
      <c r="N311" s="116">
        <v>503</v>
      </c>
      <c r="O311" s="116">
        <v>455.15</v>
      </c>
      <c r="P311" s="116">
        <v>463.85</v>
      </c>
      <c r="Q311" s="116">
        <v>462.95</v>
      </c>
      <c r="R311">
        <v>69189</v>
      </c>
    </row>
    <row r="312" spans="1:18" x14ac:dyDescent="0.25">
      <c r="A312" s="170">
        <v>43937</v>
      </c>
      <c r="B312" s="116">
        <v>570.75</v>
      </c>
      <c r="C312" s="116">
        <v>535.29999999999995</v>
      </c>
      <c r="D312" s="116">
        <v>525</v>
      </c>
      <c r="E312" s="116">
        <v>550.79999999999995</v>
      </c>
      <c r="F312" s="116">
        <v>535.29999999999995</v>
      </c>
      <c r="G312">
        <v>13326</v>
      </c>
      <c r="H312" s="116"/>
      <c r="I312" s="116"/>
      <c r="L312" s="170">
        <v>43930</v>
      </c>
      <c r="M312" s="116">
        <v>480.95</v>
      </c>
      <c r="N312" s="116">
        <v>488.15</v>
      </c>
      <c r="O312" s="116">
        <v>465.05</v>
      </c>
      <c r="P312" s="116">
        <v>479.8</v>
      </c>
      <c r="Q312" s="116">
        <v>480.95</v>
      </c>
      <c r="R312">
        <v>161793</v>
      </c>
    </row>
    <row r="313" spans="1:18" x14ac:dyDescent="0.25">
      <c r="A313" s="170">
        <v>43938</v>
      </c>
      <c r="B313" s="116">
        <v>552.79999999999995</v>
      </c>
      <c r="C313" s="116">
        <v>540.6</v>
      </c>
      <c r="D313" s="116">
        <v>533</v>
      </c>
      <c r="E313" s="116">
        <v>552.79999999999995</v>
      </c>
      <c r="F313" s="116">
        <v>540.6</v>
      </c>
      <c r="G313">
        <v>4373</v>
      </c>
      <c r="H313" s="116"/>
      <c r="I313" s="116"/>
      <c r="L313" s="170">
        <v>43934</v>
      </c>
      <c r="M313" s="116">
        <v>494.75</v>
      </c>
      <c r="N313" s="116">
        <v>509</v>
      </c>
      <c r="O313" s="116">
        <v>472.35</v>
      </c>
      <c r="P313" s="116">
        <v>481.1</v>
      </c>
      <c r="Q313" s="116">
        <v>494.75</v>
      </c>
      <c r="R313">
        <v>215695</v>
      </c>
    </row>
    <row r="314" spans="1:18" x14ac:dyDescent="0.25">
      <c r="A314" s="170">
        <v>43941</v>
      </c>
      <c r="B314" s="116">
        <v>554</v>
      </c>
      <c r="C314" s="116">
        <v>540.04999999999995</v>
      </c>
      <c r="D314" s="116">
        <v>540</v>
      </c>
      <c r="E314" s="116">
        <v>545.20000000000005</v>
      </c>
      <c r="F314" s="116">
        <v>540.04999999999995</v>
      </c>
      <c r="G314">
        <v>10282</v>
      </c>
      <c r="H314" s="116"/>
      <c r="I314" s="116"/>
      <c r="L314" s="170">
        <v>43936</v>
      </c>
      <c r="M314" s="116">
        <v>536.75</v>
      </c>
      <c r="N314" s="116">
        <v>560</v>
      </c>
      <c r="O314" s="116">
        <v>506.25</v>
      </c>
      <c r="P314" s="116">
        <v>506.4</v>
      </c>
      <c r="Q314" s="116">
        <v>536.75</v>
      </c>
      <c r="R314">
        <v>410481</v>
      </c>
    </row>
    <row r="315" spans="1:18" x14ac:dyDescent="0.25">
      <c r="A315" s="170">
        <v>43942</v>
      </c>
      <c r="B315" s="116">
        <v>545.65</v>
      </c>
      <c r="C315" s="116">
        <v>533.04999999999995</v>
      </c>
      <c r="D315" s="116">
        <v>528.04999999999995</v>
      </c>
      <c r="E315" s="116">
        <v>528.04999999999995</v>
      </c>
      <c r="F315" s="116">
        <v>533.04999999999995</v>
      </c>
      <c r="G315">
        <v>13487</v>
      </c>
      <c r="H315" s="116"/>
      <c r="I315" s="116"/>
      <c r="L315" s="170">
        <v>43937</v>
      </c>
      <c r="M315" s="116">
        <v>533.9</v>
      </c>
      <c r="N315" s="116">
        <v>569.9</v>
      </c>
      <c r="O315" s="116">
        <v>526.54999999999995</v>
      </c>
      <c r="P315" s="116">
        <v>550</v>
      </c>
      <c r="Q315" s="116">
        <v>533.9</v>
      </c>
      <c r="R315">
        <v>216110</v>
      </c>
    </row>
    <row r="316" spans="1:18" x14ac:dyDescent="0.25">
      <c r="A316" s="170">
        <v>43943</v>
      </c>
      <c r="B316" s="116">
        <v>545</v>
      </c>
      <c r="C316" s="116">
        <v>526.79999999999995</v>
      </c>
      <c r="D316" s="116">
        <v>525</v>
      </c>
      <c r="E316" s="116">
        <v>544</v>
      </c>
      <c r="F316" s="116">
        <v>526.79999999999995</v>
      </c>
      <c r="G316">
        <v>3031</v>
      </c>
      <c r="H316" s="116"/>
      <c r="I316" s="116"/>
      <c r="L316" s="170">
        <v>43938</v>
      </c>
      <c r="M316" s="116">
        <v>540.35</v>
      </c>
      <c r="N316" s="116">
        <v>553</v>
      </c>
      <c r="O316" s="116">
        <v>532.9</v>
      </c>
      <c r="P316" s="116">
        <v>553</v>
      </c>
      <c r="Q316" s="116">
        <v>540.35</v>
      </c>
      <c r="R316">
        <v>273639</v>
      </c>
    </row>
    <row r="317" spans="1:18" x14ac:dyDescent="0.25">
      <c r="A317" s="170">
        <v>43944</v>
      </c>
      <c r="B317" s="116">
        <v>536.9</v>
      </c>
      <c r="C317" s="116">
        <v>532.4</v>
      </c>
      <c r="D317" s="116">
        <v>525.1</v>
      </c>
      <c r="E317" s="116">
        <v>533.95000000000005</v>
      </c>
      <c r="F317" s="116">
        <v>532.4</v>
      </c>
      <c r="G317">
        <v>1786</v>
      </c>
      <c r="H317" s="116"/>
      <c r="I317" s="116"/>
      <c r="L317" s="170">
        <v>43941</v>
      </c>
      <c r="M317" s="116">
        <v>540.04999999999995</v>
      </c>
      <c r="N317" s="116">
        <v>555</v>
      </c>
      <c r="O317" s="116">
        <v>538.15</v>
      </c>
      <c r="P317" s="116">
        <v>546</v>
      </c>
      <c r="Q317" s="116">
        <v>540.04999999999995</v>
      </c>
      <c r="R317">
        <v>261699</v>
      </c>
    </row>
    <row r="318" spans="1:18" x14ac:dyDescent="0.25">
      <c r="A318" s="170">
        <v>43945</v>
      </c>
      <c r="B318" s="116">
        <v>533.20000000000005</v>
      </c>
      <c r="C318" s="116">
        <v>522.29999999999995</v>
      </c>
      <c r="D318" s="116">
        <v>521</v>
      </c>
      <c r="E318" s="116">
        <v>526.54999999999995</v>
      </c>
      <c r="F318" s="116">
        <v>522.29999999999995</v>
      </c>
      <c r="G318">
        <v>1248</v>
      </c>
      <c r="H318" s="116"/>
      <c r="I318" s="116"/>
      <c r="L318" s="170">
        <v>43942</v>
      </c>
      <c r="M318" s="116">
        <v>534.35</v>
      </c>
      <c r="N318" s="116">
        <v>548</v>
      </c>
      <c r="O318" s="116">
        <v>525.70000000000005</v>
      </c>
      <c r="P318" s="116">
        <v>538.15</v>
      </c>
      <c r="Q318" s="116">
        <v>534.35</v>
      </c>
      <c r="R318">
        <v>890819</v>
      </c>
    </row>
    <row r="319" spans="1:18" x14ac:dyDescent="0.25">
      <c r="A319" s="170">
        <v>43948</v>
      </c>
      <c r="B319" s="116">
        <v>546</v>
      </c>
      <c r="C319" s="116">
        <v>533.35</v>
      </c>
      <c r="D319" s="116">
        <v>524</v>
      </c>
      <c r="E319" s="116">
        <v>529.45000000000005</v>
      </c>
      <c r="F319" s="116">
        <v>533.35</v>
      </c>
      <c r="G319">
        <v>1924</v>
      </c>
      <c r="H319" s="116"/>
      <c r="I319" s="116"/>
      <c r="L319" s="170">
        <v>43943</v>
      </c>
      <c r="M319" s="116">
        <v>525.20000000000005</v>
      </c>
      <c r="N319" s="116">
        <v>545.25</v>
      </c>
      <c r="O319" s="116">
        <v>523.70000000000005</v>
      </c>
      <c r="P319" s="116">
        <v>540</v>
      </c>
      <c r="Q319" s="116">
        <v>525.20000000000005</v>
      </c>
      <c r="R319">
        <v>62496</v>
      </c>
    </row>
    <row r="320" spans="1:18" x14ac:dyDescent="0.25">
      <c r="A320" s="170">
        <v>43949</v>
      </c>
      <c r="B320" s="116">
        <v>542.9</v>
      </c>
      <c r="C320" s="116">
        <v>530.1</v>
      </c>
      <c r="D320" s="116">
        <v>528.15</v>
      </c>
      <c r="E320" s="116">
        <v>541.04999999999995</v>
      </c>
      <c r="F320" s="116">
        <v>530.1</v>
      </c>
      <c r="G320">
        <v>1801</v>
      </c>
      <c r="H320" s="116"/>
      <c r="I320" s="116"/>
      <c r="L320" s="170">
        <v>43944</v>
      </c>
      <c r="M320" s="116">
        <v>532.20000000000005</v>
      </c>
      <c r="N320" s="116">
        <v>536.79999999999995</v>
      </c>
      <c r="O320" s="116">
        <v>525</v>
      </c>
      <c r="P320" s="116">
        <v>532</v>
      </c>
      <c r="Q320" s="116">
        <v>532.20000000000005</v>
      </c>
      <c r="R320">
        <v>394686</v>
      </c>
    </row>
    <row r="321" spans="1:18" x14ac:dyDescent="0.25">
      <c r="A321" s="170">
        <v>43950</v>
      </c>
      <c r="B321" s="116">
        <v>543.65</v>
      </c>
      <c r="C321" s="116">
        <v>521.20000000000005</v>
      </c>
      <c r="D321" s="116">
        <v>518.45000000000005</v>
      </c>
      <c r="E321" s="116">
        <v>526.9</v>
      </c>
      <c r="F321" s="116">
        <v>521.20000000000005</v>
      </c>
      <c r="G321">
        <v>3685</v>
      </c>
      <c r="H321" s="116"/>
      <c r="I321" s="116"/>
      <c r="L321" s="170">
        <v>43945</v>
      </c>
      <c r="M321" s="116">
        <v>521.4</v>
      </c>
      <c r="N321" s="116">
        <v>533.65</v>
      </c>
      <c r="O321" s="116">
        <v>521</v>
      </c>
      <c r="P321" s="116">
        <v>530</v>
      </c>
      <c r="Q321" s="116">
        <v>521.4</v>
      </c>
      <c r="R321">
        <v>76773</v>
      </c>
    </row>
    <row r="322" spans="1:18" x14ac:dyDescent="0.25">
      <c r="A322" s="170">
        <v>43951</v>
      </c>
      <c r="B322" s="116">
        <v>532.85</v>
      </c>
      <c r="C322" s="116">
        <v>521.6</v>
      </c>
      <c r="D322" s="116">
        <v>520.6</v>
      </c>
      <c r="E322" s="116">
        <v>528.35</v>
      </c>
      <c r="F322" s="116">
        <v>521.6</v>
      </c>
      <c r="G322">
        <v>2930</v>
      </c>
      <c r="H322" s="116"/>
      <c r="I322" s="116"/>
      <c r="L322" s="170">
        <v>43948</v>
      </c>
      <c r="M322" s="116">
        <v>534.35</v>
      </c>
      <c r="N322" s="116">
        <v>545.95000000000005</v>
      </c>
      <c r="O322" s="116">
        <v>523</v>
      </c>
      <c r="P322" s="116">
        <v>523</v>
      </c>
      <c r="Q322" s="116">
        <v>534.35</v>
      </c>
      <c r="R322">
        <v>121266</v>
      </c>
    </row>
    <row r="323" spans="1:18" x14ac:dyDescent="0.25">
      <c r="A323" s="170">
        <v>43955</v>
      </c>
      <c r="B323" s="116">
        <v>533.45000000000005</v>
      </c>
      <c r="C323" s="116">
        <v>510.55</v>
      </c>
      <c r="D323" s="116">
        <v>508</v>
      </c>
      <c r="E323" s="116">
        <v>510.4</v>
      </c>
      <c r="F323" s="116">
        <v>510.55</v>
      </c>
      <c r="G323">
        <v>3891</v>
      </c>
      <c r="H323" s="116"/>
      <c r="I323" s="116"/>
      <c r="L323" s="170">
        <v>43949</v>
      </c>
      <c r="M323" s="116">
        <v>528.5</v>
      </c>
      <c r="N323" s="116">
        <v>544.75</v>
      </c>
      <c r="O323" s="116">
        <v>523.35</v>
      </c>
      <c r="P323" s="116">
        <v>537.95000000000005</v>
      </c>
      <c r="Q323" s="116">
        <v>528.5</v>
      </c>
      <c r="R323">
        <v>48142</v>
      </c>
    </row>
    <row r="324" spans="1:18" x14ac:dyDescent="0.25">
      <c r="A324" s="170">
        <v>43956</v>
      </c>
      <c r="B324" s="116">
        <v>524.6</v>
      </c>
      <c r="C324" s="116">
        <v>507.25</v>
      </c>
      <c r="D324" s="116">
        <v>507</v>
      </c>
      <c r="E324" s="116">
        <v>516.20000000000005</v>
      </c>
      <c r="F324" s="116">
        <v>507.25</v>
      </c>
      <c r="G324">
        <v>2063</v>
      </c>
      <c r="H324" s="116"/>
      <c r="I324" s="116"/>
      <c r="L324" s="170">
        <v>43950</v>
      </c>
      <c r="M324" s="116">
        <v>521.35</v>
      </c>
      <c r="N324" s="116">
        <v>544.29999999999995</v>
      </c>
      <c r="O324" s="116">
        <v>517.70000000000005</v>
      </c>
      <c r="P324" s="116">
        <v>520.29999999999995</v>
      </c>
      <c r="Q324" s="116">
        <v>521.35</v>
      </c>
      <c r="R324">
        <v>408607</v>
      </c>
    </row>
    <row r="325" spans="1:18" x14ac:dyDescent="0.25">
      <c r="A325" s="170">
        <v>43957</v>
      </c>
      <c r="B325" s="116">
        <v>520</v>
      </c>
      <c r="C325" s="116">
        <v>514</v>
      </c>
      <c r="D325" s="116">
        <v>508.9</v>
      </c>
      <c r="E325" s="116">
        <v>516.1</v>
      </c>
      <c r="F325" s="116">
        <v>514</v>
      </c>
      <c r="G325">
        <v>1878</v>
      </c>
      <c r="H325" s="116"/>
      <c r="I325" s="116"/>
      <c r="L325" s="170">
        <v>43951</v>
      </c>
      <c r="M325" s="116">
        <v>521.65</v>
      </c>
      <c r="N325" s="116">
        <v>531.70000000000005</v>
      </c>
      <c r="O325" s="116">
        <v>520.1</v>
      </c>
      <c r="P325" s="116">
        <v>525.6</v>
      </c>
      <c r="Q325" s="116">
        <v>521.65</v>
      </c>
      <c r="R325">
        <v>149172</v>
      </c>
    </row>
    <row r="326" spans="1:18" x14ac:dyDescent="0.25">
      <c r="A326" s="170">
        <v>43958</v>
      </c>
      <c r="B326" s="116">
        <v>513.20000000000005</v>
      </c>
      <c r="C326" s="116">
        <v>508.9</v>
      </c>
      <c r="D326" s="116">
        <v>505.55</v>
      </c>
      <c r="E326" s="116">
        <v>512.70000000000005</v>
      </c>
      <c r="F326" s="116">
        <v>508.9</v>
      </c>
      <c r="G326">
        <v>1258</v>
      </c>
      <c r="H326" s="116"/>
      <c r="I326" s="116"/>
      <c r="L326" s="170">
        <v>43955</v>
      </c>
      <c r="M326" s="116">
        <v>510.55</v>
      </c>
      <c r="N326" s="116">
        <v>531.65</v>
      </c>
      <c r="O326" s="116">
        <v>506</v>
      </c>
      <c r="P326" s="116">
        <v>506</v>
      </c>
      <c r="Q326" s="116">
        <v>510.55</v>
      </c>
      <c r="R326">
        <v>467343</v>
      </c>
    </row>
    <row r="327" spans="1:18" x14ac:dyDescent="0.25">
      <c r="A327" s="170">
        <v>43959</v>
      </c>
      <c r="B327" s="116">
        <v>521.95000000000005</v>
      </c>
      <c r="C327" s="116">
        <v>505.05</v>
      </c>
      <c r="D327" s="116">
        <v>502</v>
      </c>
      <c r="E327" s="116">
        <v>514.20000000000005</v>
      </c>
      <c r="F327" s="116">
        <v>505.05</v>
      </c>
      <c r="G327">
        <v>8006</v>
      </c>
      <c r="H327" s="116"/>
      <c r="I327" s="116"/>
      <c r="L327" s="170">
        <v>43956</v>
      </c>
      <c r="M327" s="116">
        <v>507.4</v>
      </c>
      <c r="N327" s="116">
        <v>526</v>
      </c>
      <c r="O327" s="116">
        <v>507</v>
      </c>
      <c r="P327" s="116">
        <v>519.70000000000005</v>
      </c>
      <c r="Q327" s="116">
        <v>507.4</v>
      </c>
      <c r="R327">
        <v>77666</v>
      </c>
    </row>
    <row r="328" spans="1:18" x14ac:dyDescent="0.25">
      <c r="A328" s="170">
        <v>43962</v>
      </c>
      <c r="B328" s="116">
        <v>510.4</v>
      </c>
      <c r="C328" s="116">
        <v>504.55</v>
      </c>
      <c r="D328" s="116">
        <v>504.1</v>
      </c>
      <c r="E328" s="116">
        <v>510.4</v>
      </c>
      <c r="F328" s="116">
        <v>504.55</v>
      </c>
      <c r="G328">
        <v>2313</v>
      </c>
      <c r="H328" s="116"/>
      <c r="I328" s="116"/>
      <c r="L328" s="170">
        <v>43957</v>
      </c>
      <c r="M328" s="116">
        <v>513.6</v>
      </c>
      <c r="N328" s="116">
        <v>521.4</v>
      </c>
      <c r="O328" s="116">
        <v>505.3</v>
      </c>
      <c r="P328" s="116">
        <v>505.3</v>
      </c>
      <c r="Q328" s="116">
        <v>513.6</v>
      </c>
      <c r="R328">
        <v>51623</v>
      </c>
    </row>
    <row r="329" spans="1:18" x14ac:dyDescent="0.25">
      <c r="A329" s="170">
        <v>43963</v>
      </c>
      <c r="B329" s="116">
        <v>509.9</v>
      </c>
      <c r="C329" s="116">
        <v>506.35</v>
      </c>
      <c r="D329" s="116">
        <v>497</v>
      </c>
      <c r="E329" s="116">
        <v>501.5</v>
      </c>
      <c r="F329" s="116">
        <v>506.35</v>
      </c>
      <c r="G329">
        <v>2282</v>
      </c>
      <c r="H329" s="116"/>
      <c r="I329" s="116"/>
      <c r="L329" s="170">
        <v>43958</v>
      </c>
      <c r="M329" s="116">
        <v>509.95</v>
      </c>
      <c r="N329" s="116">
        <v>514.95000000000005</v>
      </c>
      <c r="O329" s="116">
        <v>505.5</v>
      </c>
      <c r="P329" s="116">
        <v>513.79999999999995</v>
      </c>
      <c r="Q329" s="116">
        <v>509.95</v>
      </c>
      <c r="R329">
        <v>1042316</v>
      </c>
    </row>
    <row r="330" spans="1:18" x14ac:dyDescent="0.25">
      <c r="A330" s="170">
        <v>43964</v>
      </c>
      <c r="B330" s="116">
        <v>519</v>
      </c>
      <c r="C330" s="116">
        <v>507</v>
      </c>
      <c r="D330" s="116">
        <v>506.5</v>
      </c>
      <c r="E330" s="116">
        <v>514.79999999999995</v>
      </c>
      <c r="F330" s="116">
        <v>507</v>
      </c>
      <c r="G330">
        <v>16006</v>
      </c>
      <c r="H330" s="116"/>
      <c r="I330" s="116"/>
      <c r="L330" s="170">
        <v>43959</v>
      </c>
      <c r="M330" s="116">
        <v>504.95</v>
      </c>
      <c r="N330" s="116">
        <v>521.29999999999995</v>
      </c>
      <c r="O330" s="116">
        <v>502</v>
      </c>
      <c r="P330" s="116">
        <v>516.5</v>
      </c>
      <c r="Q330" s="116">
        <v>504.95</v>
      </c>
      <c r="R330">
        <v>502554</v>
      </c>
    </row>
    <row r="331" spans="1:18" x14ac:dyDescent="0.25">
      <c r="A331" s="170">
        <v>43965</v>
      </c>
      <c r="B331" s="116">
        <v>510.2</v>
      </c>
      <c r="C331" s="116">
        <v>500</v>
      </c>
      <c r="D331" s="116">
        <v>498</v>
      </c>
      <c r="E331" s="116">
        <v>506.2</v>
      </c>
      <c r="F331" s="116">
        <v>500</v>
      </c>
      <c r="G331">
        <v>2908</v>
      </c>
      <c r="H331" s="116"/>
      <c r="I331" s="116"/>
      <c r="L331" s="170">
        <v>43962</v>
      </c>
      <c r="M331" s="116">
        <v>505.1</v>
      </c>
      <c r="N331" s="116">
        <v>514.5</v>
      </c>
      <c r="O331" s="116">
        <v>503.5</v>
      </c>
      <c r="P331" s="116">
        <v>511.1</v>
      </c>
      <c r="Q331" s="116">
        <v>505.1</v>
      </c>
      <c r="R331">
        <v>83930</v>
      </c>
    </row>
    <row r="332" spans="1:18" x14ac:dyDescent="0.25">
      <c r="A332" s="170">
        <v>43966</v>
      </c>
      <c r="B332" s="116">
        <v>501.7</v>
      </c>
      <c r="C332" s="116">
        <v>500.55</v>
      </c>
      <c r="D332" s="116">
        <v>496.55</v>
      </c>
      <c r="E332" s="116">
        <v>499.55</v>
      </c>
      <c r="F332" s="116">
        <v>500.55</v>
      </c>
      <c r="G332">
        <v>1528</v>
      </c>
      <c r="H332" s="116"/>
      <c r="I332" s="116"/>
      <c r="L332" s="170">
        <v>43963</v>
      </c>
      <c r="M332" s="116">
        <v>505.75</v>
      </c>
      <c r="N332" s="116">
        <v>509.7</v>
      </c>
      <c r="O332" s="116">
        <v>497.15</v>
      </c>
      <c r="P332" s="116">
        <v>504</v>
      </c>
      <c r="Q332" s="116">
        <v>505.75</v>
      </c>
      <c r="R332">
        <v>267829</v>
      </c>
    </row>
    <row r="333" spans="1:18" x14ac:dyDescent="0.25">
      <c r="A333" s="170">
        <v>43969</v>
      </c>
      <c r="B333" s="116">
        <v>501.7</v>
      </c>
      <c r="C333" s="116">
        <v>491.5</v>
      </c>
      <c r="D333" s="116">
        <v>490</v>
      </c>
      <c r="E333" s="116">
        <v>500.55</v>
      </c>
      <c r="F333" s="116">
        <v>491.5</v>
      </c>
      <c r="G333">
        <v>3044</v>
      </c>
      <c r="H333" s="116"/>
      <c r="I333" s="116"/>
      <c r="L333" s="170">
        <v>43964</v>
      </c>
      <c r="M333" s="116">
        <v>508.8</v>
      </c>
      <c r="N333" s="116">
        <v>520.75</v>
      </c>
      <c r="O333" s="116">
        <v>505.55</v>
      </c>
      <c r="P333" s="116">
        <v>516.70000000000005</v>
      </c>
      <c r="Q333" s="116">
        <v>508.8</v>
      </c>
      <c r="R333">
        <v>296408</v>
      </c>
    </row>
    <row r="334" spans="1:18" x14ac:dyDescent="0.25">
      <c r="A334" s="170">
        <v>43970</v>
      </c>
      <c r="B334" s="116">
        <v>499.2</v>
      </c>
      <c r="C334" s="116">
        <v>490.75</v>
      </c>
      <c r="D334" s="116">
        <v>487.55</v>
      </c>
      <c r="E334" s="116">
        <v>498.8</v>
      </c>
      <c r="F334" s="116">
        <v>490.75</v>
      </c>
      <c r="G334">
        <v>938</v>
      </c>
      <c r="H334" s="116"/>
      <c r="I334" s="116"/>
      <c r="L334" s="170">
        <v>43965</v>
      </c>
      <c r="M334" s="116">
        <v>500.05</v>
      </c>
      <c r="N334" s="116">
        <v>510</v>
      </c>
      <c r="O334" s="116">
        <v>497.05</v>
      </c>
      <c r="P334" s="116">
        <v>502.75</v>
      </c>
      <c r="Q334" s="116">
        <v>500.05</v>
      </c>
      <c r="R334">
        <v>249876</v>
      </c>
    </row>
    <row r="335" spans="1:18" x14ac:dyDescent="0.25">
      <c r="A335" s="170">
        <v>43971</v>
      </c>
      <c r="B335" s="116">
        <v>492.35</v>
      </c>
      <c r="C335" s="116">
        <v>486.8</v>
      </c>
      <c r="D335" s="116">
        <v>475</v>
      </c>
      <c r="E335" s="116">
        <v>492.35</v>
      </c>
      <c r="F335" s="116">
        <v>486.8</v>
      </c>
      <c r="G335">
        <v>2293</v>
      </c>
      <c r="H335" s="116"/>
      <c r="I335" s="116"/>
      <c r="L335" s="170">
        <v>43966</v>
      </c>
      <c r="M335" s="116">
        <v>500.4</v>
      </c>
      <c r="N335" s="116">
        <v>503.6</v>
      </c>
      <c r="O335" s="116">
        <v>497</v>
      </c>
      <c r="P335" s="116">
        <v>503</v>
      </c>
      <c r="Q335" s="116">
        <v>500.4</v>
      </c>
      <c r="R335">
        <v>163043</v>
      </c>
    </row>
    <row r="336" spans="1:18" x14ac:dyDescent="0.25">
      <c r="A336" s="170">
        <v>43972</v>
      </c>
      <c r="B336" s="116">
        <v>508.25</v>
      </c>
      <c r="C336" s="116">
        <v>484.1</v>
      </c>
      <c r="D336" s="116">
        <v>479</v>
      </c>
      <c r="E336" s="116">
        <v>491.35</v>
      </c>
      <c r="F336" s="116">
        <v>484.1</v>
      </c>
      <c r="G336">
        <v>568653</v>
      </c>
      <c r="H336" s="116"/>
      <c r="I336" s="116"/>
      <c r="L336" s="170">
        <v>43969</v>
      </c>
      <c r="M336" s="116">
        <v>494.6</v>
      </c>
      <c r="N336" s="116">
        <v>502</v>
      </c>
      <c r="O336" s="116">
        <v>490</v>
      </c>
      <c r="P336" s="116">
        <v>500.4</v>
      </c>
      <c r="Q336" s="116">
        <v>494.6</v>
      </c>
      <c r="R336">
        <v>105799</v>
      </c>
    </row>
    <row r="337" spans="1:18" x14ac:dyDescent="0.25">
      <c r="A337" s="170">
        <v>43973</v>
      </c>
      <c r="B337" s="116">
        <v>494.95</v>
      </c>
      <c r="C337" s="116">
        <v>489</v>
      </c>
      <c r="D337" s="116">
        <v>480</v>
      </c>
      <c r="E337" s="116">
        <v>492.2</v>
      </c>
      <c r="F337" s="116">
        <v>489</v>
      </c>
      <c r="G337">
        <v>51360</v>
      </c>
      <c r="H337" s="116"/>
      <c r="I337" s="116"/>
      <c r="L337" s="170">
        <v>43970</v>
      </c>
      <c r="M337" s="116">
        <v>491.65</v>
      </c>
      <c r="N337" s="116">
        <v>500</v>
      </c>
      <c r="O337" s="116">
        <v>488</v>
      </c>
      <c r="P337" s="116">
        <v>497.05</v>
      </c>
      <c r="Q337" s="116">
        <v>491.65</v>
      </c>
      <c r="R337">
        <v>103005</v>
      </c>
    </row>
    <row r="338" spans="1:18" x14ac:dyDescent="0.25">
      <c r="A338" s="170">
        <v>43977</v>
      </c>
      <c r="B338" s="116">
        <v>524.79999999999995</v>
      </c>
      <c r="C338" s="116">
        <v>506.05</v>
      </c>
      <c r="D338" s="116">
        <v>494.2</v>
      </c>
      <c r="E338" s="116">
        <v>494.95</v>
      </c>
      <c r="F338" s="116">
        <v>506.05</v>
      </c>
      <c r="G338">
        <v>76472</v>
      </c>
      <c r="H338" s="116"/>
      <c r="I338" s="116"/>
      <c r="L338" s="170">
        <v>43971</v>
      </c>
      <c r="M338" s="116">
        <v>485.35</v>
      </c>
      <c r="N338" s="116">
        <v>498.4</v>
      </c>
      <c r="O338" s="116">
        <v>474.8</v>
      </c>
      <c r="P338" s="116">
        <v>494.95</v>
      </c>
      <c r="Q338" s="116">
        <v>485.35</v>
      </c>
      <c r="R338">
        <v>60562</v>
      </c>
    </row>
    <row r="339" spans="1:18" x14ac:dyDescent="0.25">
      <c r="A339" s="170">
        <v>43978</v>
      </c>
      <c r="B339" s="116">
        <v>546.1</v>
      </c>
      <c r="C339" s="116">
        <v>529.04999999999995</v>
      </c>
      <c r="D339" s="116">
        <v>512.9</v>
      </c>
      <c r="E339" s="116">
        <v>512.9</v>
      </c>
      <c r="F339" s="116">
        <v>529.04999999999995</v>
      </c>
      <c r="G339">
        <v>42719</v>
      </c>
      <c r="H339" s="116"/>
      <c r="I339" s="116"/>
      <c r="L339" s="170">
        <v>43972</v>
      </c>
      <c r="M339" s="116">
        <v>485.8</v>
      </c>
      <c r="N339" s="116">
        <v>509.9</v>
      </c>
      <c r="O339" s="116">
        <v>479</v>
      </c>
      <c r="P339" s="116">
        <v>485.35</v>
      </c>
      <c r="Q339" s="116">
        <v>485.8</v>
      </c>
      <c r="R339">
        <v>865893</v>
      </c>
    </row>
    <row r="340" spans="1:18" x14ac:dyDescent="0.25">
      <c r="A340" s="170">
        <v>43979</v>
      </c>
      <c r="B340" s="116">
        <v>575.45000000000005</v>
      </c>
      <c r="C340" s="116">
        <v>560.75</v>
      </c>
      <c r="D340" s="116">
        <v>532.25</v>
      </c>
      <c r="E340" s="116">
        <v>532.25</v>
      </c>
      <c r="F340" s="116">
        <v>560.75</v>
      </c>
      <c r="G340">
        <v>27506</v>
      </c>
      <c r="H340" s="116"/>
      <c r="I340" s="116"/>
      <c r="L340" s="170">
        <v>43973</v>
      </c>
      <c r="M340" s="116">
        <v>486.45</v>
      </c>
      <c r="N340" s="116">
        <v>494</v>
      </c>
      <c r="O340" s="116">
        <v>479</v>
      </c>
      <c r="P340" s="116">
        <v>490</v>
      </c>
      <c r="Q340" s="116">
        <v>486.45</v>
      </c>
      <c r="R340">
        <v>764803</v>
      </c>
    </row>
    <row r="341" spans="1:18" x14ac:dyDescent="0.25">
      <c r="A341" s="170">
        <v>43980</v>
      </c>
      <c r="B341" s="116">
        <v>577</v>
      </c>
      <c r="C341" s="116">
        <v>554.70000000000005</v>
      </c>
      <c r="D341" s="116">
        <v>552.65</v>
      </c>
      <c r="E341" s="116">
        <v>560.79999999999995</v>
      </c>
      <c r="F341" s="116">
        <v>554.70000000000005</v>
      </c>
      <c r="G341">
        <v>17476</v>
      </c>
      <c r="H341" s="116"/>
      <c r="I341" s="116"/>
      <c r="L341" s="170">
        <v>43977</v>
      </c>
      <c r="M341" s="116">
        <v>507.2</v>
      </c>
      <c r="N341" s="116">
        <v>525.45000000000005</v>
      </c>
      <c r="O341" s="116">
        <v>490</v>
      </c>
      <c r="P341" s="116">
        <v>508.85</v>
      </c>
      <c r="Q341" s="116">
        <v>507.2</v>
      </c>
      <c r="R341">
        <v>1512876</v>
      </c>
    </row>
    <row r="342" spans="1:18" x14ac:dyDescent="0.25">
      <c r="A342" s="170">
        <v>43983</v>
      </c>
      <c r="B342" s="116">
        <v>581.5</v>
      </c>
      <c r="C342" s="116">
        <v>562</v>
      </c>
      <c r="D342" s="116">
        <v>554.1</v>
      </c>
      <c r="E342" s="116">
        <v>565.04999999999995</v>
      </c>
      <c r="F342" s="116">
        <v>562</v>
      </c>
      <c r="G342">
        <v>9243</v>
      </c>
      <c r="H342" s="116"/>
      <c r="I342" s="116"/>
      <c r="L342" s="170">
        <v>43978</v>
      </c>
      <c r="M342" s="116">
        <v>527.95000000000005</v>
      </c>
      <c r="N342" s="116">
        <v>546.54999999999995</v>
      </c>
      <c r="O342" s="116">
        <v>510.85</v>
      </c>
      <c r="P342" s="116">
        <v>510.85</v>
      </c>
      <c r="Q342" s="116">
        <v>527.95000000000005</v>
      </c>
      <c r="R342">
        <v>676266</v>
      </c>
    </row>
    <row r="343" spans="1:18" x14ac:dyDescent="0.25">
      <c r="A343" s="170">
        <v>43984</v>
      </c>
      <c r="B343" s="116">
        <v>572.4</v>
      </c>
      <c r="C343" s="116">
        <v>564.45000000000005</v>
      </c>
      <c r="D343" s="116">
        <v>559</v>
      </c>
      <c r="E343" s="116">
        <v>569</v>
      </c>
      <c r="F343" s="116">
        <v>564.45000000000005</v>
      </c>
      <c r="G343">
        <v>9934</v>
      </c>
      <c r="H343" s="116"/>
      <c r="I343" s="116"/>
      <c r="L343" s="170">
        <v>43979</v>
      </c>
      <c r="M343" s="116">
        <v>560.9</v>
      </c>
      <c r="N343" s="116">
        <v>575</v>
      </c>
      <c r="O343" s="116">
        <v>530</v>
      </c>
      <c r="P343" s="116">
        <v>532</v>
      </c>
      <c r="Q343" s="116">
        <v>560.9</v>
      </c>
      <c r="R343">
        <v>562057</v>
      </c>
    </row>
    <row r="344" spans="1:18" x14ac:dyDescent="0.25">
      <c r="A344" s="170">
        <v>43985</v>
      </c>
      <c r="B344" s="116">
        <v>587</v>
      </c>
      <c r="C344" s="116">
        <v>565.79999999999995</v>
      </c>
      <c r="D344" s="116">
        <v>560.1</v>
      </c>
      <c r="E344" s="116">
        <v>569</v>
      </c>
      <c r="F344" s="116">
        <v>565.79999999999995</v>
      </c>
      <c r="G344">
        <v>11318</v>
      </c>
      <c r="H344" s="116"/>
      <c r="I344" s="116"/>
      <c r="L344" s="170">
        <v>43980</v>
      </c>
      <c r="M344" s="116">
        <v>554.85</v>
      </c>
      <c r="N344" s="116">
        <v>577.5</v>
      </c>
      <c r="O344" s="116">
        <v>550.29999999999995</v>
      </c>
      <c r="P344" s="116">
        <v>559.79999999999995</v>
      </c>
      <c r="Q344" s="116">
        <v>554.85</v>
      </c>
      <c r="R344">
        <v>398188</v>
      </c>
    </row>
    <row r="345" spans="1:18" x14ac:dyDescent="0.25">
      <c r="A345" s="170">
        <v>43986</v>
      </c>
      <c r="B345" s="116">
        <v>575.65</v>
      </c>
      <c r="C345" s="116">
        <v>562.70000000000005</v>
      </c>
      <c r="D345" s="116">
        <v>552.6</v>
      </c>
      <c r="E345" s="116">
        <v>564.79999999999995</v>
      </c>
      <c r="F345" s="116">
        <v>562.70000000000005</v>
      </c>
      <c r="G345">
        <v>7087</v>
      </c>
      <c r="H345" s="116"/>
      <c r="I345" s="116"/>
      <c r="L345" s="170">
        <v>43983</v>
      </c>
      <c r="M345" s="116">
        <v>561.70000000000005</v>
      </c>
      <c r="N345" s="116">
        <v>581</v>
      </c>
      <c r="O345" s="116">
        <v>555</v>
      </c>
      <c r="P345" s="116">
        <v>565</v>
      </c>
      <c r="Q345" s="116">
        <v>561.70000000000005</v>
      </c>
      <c r="R345">
        <v>262842</v>
      </c>
    </row>
    <row r="346" spans="1:18" x14ac:dyDescent="0.25">
      <c r="A346" s="170">
        <v>43987</v>
      </c>
      <c r="B346" s="116">
        <v>570.25</v>
      </c>
      <c r="C346" s="116">
        <v>567.45000000000005</v>
      </c>
      <c r="D346" s="116">
        <v>562.20000000000005</v>
      </c>
      <c r="E346" s="116">
        <v>565</v>
      </c>
      <c r="F346" s="116">
        <v>567.45000000000005</v>
      </c>
      <c r="G346">
        <v>5682</v>
      </c>
      <c r="H346" s="116"/>
      <c r="I346" s="116"/>
      <c r="L346" s="170">
        <v>43984</v>
      </c>
      <c r="M346" s="116">
        <v>565.45000000000005</v>
      </c>
      <c r="N346" s="116">
        <v>571.95000000000005</v>
      </c>
      <c r="O346" s="116">
        <v>557.79999999999995</v>
      </c>
      <c r="P346" s="116">
        <v>567.5</v>
      </c>
      <c r="Q346" s="116">
        <v>565.45000000000005</v>
      </c>
      <c r="R346">
        <v>374703</v>
      </c>
    </row>
    <row r="347" spans="1:18" x14ac:dyDescent="0.25">
      <c r="A347" s="170">
        <v>43990</v>
      </c>
      <c r="B347" s="116">
        <v>578.29999999999995</v>
      </c>
      <c r="C347" s="116">
        <v>568.75</v>
      </c>
      <c r="D347" s="116">
        <v>561.5</v>
      </c>
      <c r="E347" s="116">
        <v>575.45000000000005</v>
      </c>
      <c r="F347" s="116">
        <v>568.75</v>
      </c>
      <c r="G347">
        <v>7066</v>
      </c>
      <c r="H347" s="116"/>
      <c r="I347" s="116"/>
      <c r="L347" s="170">
        <v>43985</v>
      </c>
      <c r="M347" s="116">
        <v>565.85</v>
      </c>
      <c r="N347" s="116">
        <v>586.75</v>
      </c>
      <c r="O347" s="116">
        <v>558.04999999999995</v>
      </c>
      <c r="P347" s="116">
        <v>570</v>
      </c>
      <c r="Q347" s="116">
        <v>565.85</v>
      </c>
      <c r="R347">
        <v>333855</v>
      </c>
    </row>
    <row r="348" spans="1:18" x14ac:dyDescent="0.25">
      <c r="A348" s="170">
        <v>43991</v>
      </c>
      <c r="B348" s="116">
        <v>571.65</v>
      </c>
      <c r="C348" s="116">
        <v>564</v>
      </c>
      <c r="D348" s="116">
        <v>560</v>
      </c>
      <c r="E348" s="116">
        <v>563.9</v>
      </c>
      <c r="F348" s="116">
        <v>564</v>
      </c>
      <c r="G348">
        <v>4098</v>
      </c>
      <c r="H348" s="116"/>
      <c r="I348" s="116"/>
      <c r="L348" s="170">
        <v>43986</v>
      </c>
      <c r="M348" s="116">
        <v>562.6</v>
      </c>
      <c r="N348" s="116">
        <v>577.35</v>
      </c>
      <c r="O348" s="116">
        <v>552.04999999999995</v>
      </c>
      <c r="P348" s="116">
        <v>560</v>
      </c>
      <c r="Q348" s="116">
        <v>562.6</v>
      </c>
      <c r="R348">
        <v>126412</v>
      </c>
    </row>
    <row r="349" spans="1:18" x14ac:dyDescent="0.25">
      <c r="A349" s="170">
        <v>43992</v>
      </c>
      <c r="B349" s="116">
        <v>567</v>
      </c>
      <c r="C349" s="116">
        <v>565.79999999999995</v>
      </c>
      <c r="D349" s="116">
        <v>561</v>
      </c>
      <c r="E349" s="116">
        <v>564.4</v>
      </c>
      <c r="F349" s="116">
        <v>565.79999999999995</v>
      </c>
      <c r="G349">
        <v>4077</v>
      </c>
      <c r="H349" s="116"/>
      <c r="I349" s="116"/>
      <c r="L349" s="170">
        <v>43987</v>
      </c>
      <c r="M349" s="116">
        <v>567.65</v>
      </c>
      <c r="N349" s="116">
        <v>571.95000000000005</v>
      </c>
      <c r="O349" s="116">
        <v>560.04999999999995</v>
      </c>
      <c r="P349" s="116">
        <v>570.04999999999995</v>
      </c>
      <c r="Q349" s="116">
        <v>567.65</v>
      </c>
      <c r="R349">
        <v>113929</v>
      </c>
    </row>
    <row r="350" spans="1:18" x14ac:dyDescent="0.25">
      <c r="A350" s="170">
        <v>43993</v>
      </c>
      <c r="B350" s="116">
        <v>578</v>
      </c>
      <c r="C350" s="116">
        <v>565.85</v>
      </c>
      <c r="D350" s="116">
        <v>555</v>
      </c>
      <c r="E350" s="116">
        <v>565.04999999999995</v>
      </c>
      <c r="F350" s="116">
        <v>565.85</v>
      </c>
      <c r="G350">
        <v>5520</v>
      </c>
      <c r="H350" s="116"/>
      <c r="I350" s="116"/>
      <c r="L350" s="170">
        <v>43990</v>
      </c>
      <c r="M350" s="116">
        <v>567.04999999999995</v>
      </c>
      <c r="N350" s="116">
        <v>578</v>
      </c>
      <c r="O350" s="116">
        <v>561.54999999999995</v>
      </c>
      <c r="P350" s="116">
        <v>570</v>
      </c>
      <c r="Q350" s="116">
        <v>567.04999999999995</v>
      </c>
      <c r="R350">
        <v>203614</v>
      </c>
    </row>
    <row r="351" spans="1:18" x14ac:dyDescent="0.25">
      <c r="A351" s="170">
        <v>43994</v>
      </c>
      <c r="B351" s="116">
        <v>566.04999999999995</v>
      </c>
      <c r="C351" s="116">
        <v>563.5</v>
      </c>
      <c r="D351" s="116">
        <v>550.95000000000005</v>
      </c>
      <c r="E351" s="116">
        <v>565</v>
      </c>
      <c r="F351" s="116">
        <v>563.5</v>
      </c>
      <c r="G351">
        <v>5312</v>
      </c>
      <c r="H351" s="116"/>
      <c r="I351" s="116"/>
      <c r="L351" s="170">
        <v>43991</v>
      </c>
      <c r="M351" s="116">
        <v>564.79999999999995</v>
      </c>
      <c r="N351" s="116">
        <v>572</v>
      </c>
      <c r="O351" s="116">
        <v>560</v>
      </c>
      <c r="P351" s="116">
        <v>560</v>
      </c>
      <c r="Q351" s="116">
        <v>564.79999999999995</v>
      </c>
      <c r="R351">
        <v>89264</v>
      </c>
    </row>
    <row r="352" spans="1:18" x14ac:dyDescent="0.25">
      <c r="A352" s="170">
        <v>43997</v>
      </c>
      <c r="B352" s="116">
        <v>569.20000000000005</v>
      </c>
      <c r="C352" s="116">
        <v>559.95000000000005</v>
      </c>
      <c r="D352" s="116">
        <v>549.79999999999995</v>
      </c>
      <c r="E352" s="116">
        <v>555.29999999999995</v>
      </c>
      <c r="F352" s="116">
        <v>559.95000000000005</v>
      </c>
      <c r="G352">
        <v>8871</v>
      </c>
      <c r="H352" s="116"/>
      <c r="I352" s="116"/>
      <c r="L352" s="170">
        <v>43992</v>
      </c>
      <c r="M352" s="116">
        <v>564.95000000000005</v>
      </c>
      <c r="N352" s="116">
        <v>568</v>
      </c>
      <c r="O352" s="116">
        <v>561</v>
      </c>
      <c r="P352" s="116">
        <v>561</v>
      </c>
      <c r="Q352" s="116">
        <v>564.95000000000005</v>
      </c>
      <c r="R352">
        <v>49621</v>
      </c>
    </row>
    <row r="353" spans="1:18" x14ac:dyDescent="0.25">
      <c r="A353" s="170">
        <v>43998</v>
      </c>
      <c r="B353" s="116">
        <v>579.79999999999995</v>
      </c>
      <c r="C353" s="116">
        <v>566.4</v>
      </c>
      <c r="D353" s="116">
        <v>562</v>
      </c>
      <c r="E353" s="116">
        <v>574.79999999999995</v>
      </c>
      <c r="F353" s="116">
        <v>566.4</v>
      </c>
      <c r="G353">
        <v>11536</v>
      </c>
      <c r="H353" s="116"/>
      <c r="I353" s="116"/>
      <c r="L353" s="170">
        <v>43993</v>
      </c>
      <c r="M353" s="116">
        <v>565.5</v>
      </c>
      <c r="N353" s="116">
        <v>578.04999999999995</v>
      </c>
      <c r="O353" s="116">
        <v>560.54999999999995</v>
      </c>
      <c r="P353" s="116">
        <v>565</v>
      </c>
      <c r="Q353" s="116">
        <v>565.5</v>
      </c>
      <c r="R353">
        <v>124835</v>
      </c>
    </row>
    <row r="354" spans="1:18" x14ac:dyDescent="0.25">
      <c r="A354" s="170">
        <v>43999</v>
      </c>
      <c r="B354" s="116">
        <v>574.15</v>
      </c>
      <c r="C354" s="116">
        <v>568.79999999999995</v>
      </c>
      <c r="D354" s="116">
        <v>564.75</v>
      </c>
      <c r="E354" s="116">
        <v>566.4</v>
      </c>
      <c r="F354" s="116">
        <v>568.79999999999995</v>
      </c>
      <c r="G354">
        <v>9132</v>
      </c>
      <c r="H354" s="116"/>
      <c r="I354" s="116"/>
      <c r="L354" s="170">
        <v>43994</v>
      </c>
      <c r="M354" s="116">
        <v>564.35</v>
      </c>
      <c r="N354" s="116">
        <v>569</v>
      </c>
      <c r="O354" s="116">
        <v>550.54999999999995</v>
      </c>
      <c r="P354" s="116">
        <v>550.54999999999995</v>
      </c>
      <c r="Q354" s="116">
        <v>564.35</v>
      </c>
      <c r="R354">
        <v>186587</v>
      </c>
    </row>
    <row r="355" spans="1:18" x14ac:dyDescent="0.25">
      <c r="A355" s="170">
        <v>44000</v>
      </c>
      <c r="B355" s="116">
        <v>582.79999999999995</v>
      </c>
      <c r="C355" s="116">
        <v>573.9</v>
      </c>
      <c r="D355" s="116">
        <v>568</v>
      </c>
      <c r="E355" s="116">
        <v>568.79999999999995</v>
      </c>
      <c r="F355" s="116">
        <v>573.9</v>
      </c>
      <c r="G355">
        <v>11596</v>
      </c>
      <c r="H355" s="116"/>
      <c r="I355" s="116"/>
      <c r="L355" s="170">
        <v>43997</v>
      </c>
      <c r="M355" s="116">
        <v>559.65</v>
      </c>
      <c r="N355" s="116">
        <v>569.20000000000005</v>
      </c>
      <c r="O355" s="116">
        <v>549.5</v>
      </c>
      <c r="P355" s="116">
        <v>559</v>
      </c>
      <c r="Q355" s="116">
        <v>559.65</v>
      </c>
      <c r="R355">
        <v>294212</v>
      </c>
    </row>
    <row r="356" spans="1:18" x14ac:dyDescent="0.25">
      <c r="A356" s="170">
        <v>44001</v>
      </c>
      <c r="B356" s="116">
        <v>605.5</v>
      </c>
      <c r="C356" s="116">
        <v>598.35</v>
      </c>
      <c r="D356" s="116">
        <v>575.29999999999995</v>
      </c>
      <c r="E356" s="116">
        <v>575.29999999999995</v>
      </c>
      <c r="F356" s="116">
        <v>598.35</v>
      </c>
      <c r="G356">
        <v>601005</v>
      </c>
      <c r="H356" s="116"/>
      <c r="I356" s="116"/>
      <c r="L356" s="170">
        <v>43998</v>
      </c>
      <c r="M356" s="116">
        <v>567.45000000000005</v>
      </c>
      <c r="N356" s="116">
        <v>582.25</v>
      </c>
      <c r="O356" s="116">
        <v>563</v>
      </c>
      <c r="P356" s="116">
        <v>575</v>
      </c>
      <c r="Q356" s="116">
        <v>567.45000000000005</v>
      </c>
      <c r="R356">
        <v>354345</v>
      </c>
    </row>
    <row r="357" spans="1:18" x14ac:dyDescent="0.25">
      <c r="A357" s="170">
        <v>44004</v>
      </c>
      <c r="B357" s="116">
        <v>604.54999999999995</v>
      </c>
      <c r="C357" s="116">
        <v>592.15</v>
      </c>
      <c r="D357" s="116">
        <v>586</v>
      </c>
      <c r="E357" s="116">
        <v>602.20000000000005</v>
      </c>
      <c r="F357" s="116">
        <v>592.15</v>
      </c>
      <c r="G357">
        <v>21669</v>
      </c>
      <c r="H357" s="116"/>
      <c r="I357" s="116"/>
      <c r="L357" s="170">
        <v>43999</v>
      </c>
      <c r="M357" s="116">
        <v>569.85</v>
      </c>
      <c r="N357" s="116">
        <v>575</v>
      </c>
      <c r="O357" s="116">
        <v>562.15</v>
      </c>
      <c r="P357" s="116">
        <v>566.95000000000005</v>
      </c>
      <c r="Q357" s="116">
        <v>569.85</v>
      </c>
      <c r="R357">
        <v>200116</v>
      </c>
    </row>
    <row r="358" spans="1:18" x14ac:dyDescent="0.25">
      <c r="A358" s="170">
        <v>44005</v>
      </c>
      <c r="B358" s="116">
        <v>679.9</v>
      </c>
      <c r="C358" s="116">
        <v>663.65</v>
      </c>
      <c r="D358" s="116">
        <v>594.25</v>
      </c>
      <c r="E358" s="116">
        <v>596</v>
      </c>
      <c r="F358" s="116">
        <v>663.65</v>
      </c>
      <c r="G358">
        <v>51000</v>
      </c>
      <c r="H358" s="116"/>
      <c r="I358" s="116"/>
      <c r="L358" s="170">
        <v>44000</v>
      </c>
      <c r="M358" s="116">
        <v>574.35</v>
      </c>
      <c r="N358" s="116">
        <v>584</v>
      </c>
      <c r="O358" s="116">
        <v>565.04999999999995</v>
      </c>
      <c r="P358" s="116">
        <v>570.29999999999995</v>
      </c>
      <c r="Q358" s="116">
        <v>574.35</v>
      </c>
      <c r="R358">
        <v>269832</v>
      </c>
    </row>
    <row r="359" spans="1:18" x14ac:dyDescent="0.25">
      <c r="A359" s="170">
        <v>44006</v>
      </c>
      <c r="B359" s="116">
        <v>718</v>
      </c>
      <c r="C359" s="116">
        <v>689.05</v>
      </c>
      <c r="D359" s="116">
        <v>660.3</v>
      </c>
      <c r="E359" s="116">
        <v>663.85</v>
      </c>
      <c r="F359" s="116">
        <v>689.05</v>
      </c>
      <c r="G359">
        <v>29234</v>
      </c>
      <c r="H359" s="116"/>
      <c r="I359" s="116"/>
      <c r="L359" s="170">
        <v>44001</v>
      </c>
      <c r="M359" s="116">
        <v>599.65</v>
      </c>
      <c r="N359" s="116">
        <v>605.70000000000005</v>
      </c>
      <c r="O359" s="116">
        <v>574.35</v>
      </c>
      <c r="P359" s="116">
        <v>575</v>
      </c>
      <c r="Q359" s="116">
        <v>599.65</v>
      </c>
      <c r="R359">
        <v>633766</v>
      </c>
    </row>
    <row r="360" spans="1:18" x14ac:dyDescent="0.25">
      <c r="A360" s="170">
        <v>44007</v>
      </c>
      <c r="B360" s="116">
        <v>720</v>
      </c>
      <c r="C360" s="116">
        <v>707.9</v>
      </c>
      <c r="D360" s="116">
        <v>674.65</v>
      </c>
      <c r="E360" s="116">
        <v>681.9</v>
      </c>
      <c r="F360" s="116">
        <v>707.9</v>
      </c>
      <c r="G360">
        <v>17208</v>
      </c>
      <c r="H360" s="116"/>
      <c r="I360" s="116"/>
      <c r="L360" s="170">
        <v>44004</v>
      </c>
      <c r="M360" s="116">
        <v>591.75</v>
      </c>
      <c r="N360" s="116">
        <v>604.5</v>
      </c>
      <c r="O360" s="116">
        <v>585.20000000000005</v>
      </c>
      <c r="P360" s="116">
        <v>600.04999999999995</v>
      </c>
      <c r="Q360" s="116">
        <v>591.75</v>
      </c>
      <c r="R360">
        <v>377184</v>
      </c>
    </row>
    <row r="361" spans="1:18" x14ac:dyDescent="0.25">
      <c r="A361" s="170">
        <v>44008</v>
      </c>
      <c r="B361" s="116">
        <v>712.5</v>
      </c>
      <c r="C361" s="116">
        <v>699.05</v>
      </c>
      <c r="D361" s="116">
        <v>691.45</v>
      </c>
      <c r="E361" s="116">
        <v>709.95</v>
      </c>
      <c r="F361" s="116">
        <v>699.05</v>
      </c>
      <c r="G361">
        <v>7544</v>
      </c>
      <c r="H361" s="116"/>
      <c r="I361" s="116"/>
      <c r="L361" s="170">
        <v>44005</v>
      </c>
      <c r="M361" s="116">
        <v>665.7</v>
      </c>
      <c r="N361" s="116">
        <v>679.75</v>
      </c>
      <c r="O361" s="116">
        <v>595</v>
      </c>
      <c r="P361" s="116">
        <v>595.85</v>
      </c>
      <c r="Q361" s="116">
        <v>665.7</v>
      </c>
      <c r="R361">
        <v>683730</v>
      </c>
    </row>
    <row r="362" spans="1:18" x14ac:dyDescent="0.25">
      <c r="A362" s="170">
        <v>44011</v>
      </c>
      <c r="B362" s="116">
        <v>718.45</v>
      </c>
      <c r="C362" s="116">
        <v>698.2</v>
      </c>
      <c r="D362" s="116">
        <v>696</v>
      </c>
      <c r="E362" s="116">
        <v>697.9</v>
      </c>
      <c r="F362" s="116">
        <v>698.2</v>
      </c>
      <c r="G362">
        <v>8144</v>
      </c>
      <c r="H362" s="116"/>
      <c r="I362" s="116"/>
      <c r="L362" s="170">
        <v>44006</v>
      </c>
      <c r="M362" s="116">
        <v>689.45</v>
      </c>
      <c r="N362" s="116">
        <v>719</v>
      </c>
      <c r="O362" s="116">
        <v>659.8</v>
      </c>
      <c r="P362" s="116">
        <v>662</v>
      </c>
      <c r="Q362" s="116">
        <v>689.45</v>
      </c>
      <c r="R362">
        <v>570380</v>
      </c>
    </row>
    <row r="363" spans="1:18" x14ac:dyDescent="0.25">
      <c r="A363" s="170">
        <v>44012</v>
      </c>
      <c r="B363" s="116">
        <v>702.4</v>
      </c>
      <c r="C363" s="116">
        <v>675.7</v>
      </c>
      <c r="D363" s="116">
        <v>666</v>
      </c>
      <c r="E363" s="116">
        <v>702.4</v>
      </c>
      <c r="F363" s="116">
        <v>675.7</v>
      </c>
      <c r="G363">
        <v>39668</v>
      </c>
      <c r="H363" s="116"/>
      <c r="I363" s="116"/>
      <c r="L363" s="170">
        <v>44007</v>
      </c>
      <c r="M363" s="116">
        <v>708.95</v>
      </c>
      <c r="N363" s="116">
        <v>720</v>
      </c>
      <c r="O363" s="116">
        <v>670.3</v>
      </c>
      <c r="P363" s="116">
        <v>670.3</v>
      </c>
      <c r="Q363" s="116">
        <v>708.95</v>
      </c>
      <c r="R363">
        <v>311922</v>
      </c>
    </row>
    <row r="364" spans="1:18" x14ac:dyDescent="0.25">
      <c r="A364" s="170">
        <v>44013</v>
      </c>
      <c r="B364" s="116">
        <v>698.45</v>
      </c>
      <c r="C364" s="116">
        <v>697.25</v>
      </c>
      <c r="D364" s="116">
        <v>671</v>
      </c>
      <c r="E364" s="116">
        <v>677.95</v>
      </c>
      <c r="F364" s="116">
        <v>697.25</v>
      </c>
      <c r="G364">
        <v>13729</v>
      </c>
      <c r="H364" s="116"/>
      <c r="I364" s="116"/>
      <c r="L364" s="170">
        <v>44008</v>
      </c>
      <c r="M364" s="116">
        <v>700</v>
      </c>
      <c r="N364" s="116">
        <v>715.8</v>
      </c>
      <c r="O364" s="116">
        <v>691.05</v>
      </c>
      <c r="P364" s="116">
        <v>710</v>
      </c>
      <c r="Q364" s="116">
        <v>700</v>
      </c>
      <c r="R364">
        <v>162064</v>
      </c>
    </row>
    <row r="365" spans="1:18" x14ac:dyDescent="0.25">
      <c r="A365" s="170">
        <v>44014</v>
      </c>
      <c r="B365" s="116">
        <v>709.7</v>
      </c>
      <c r="C365" s="116">
        <v>705.3</v>
      </c>
      <c r="D365" s="116">
        <v>683.9</v>
      </c>
      <c r="E365" s="116">
        <v>697</v>
      </c>
      <c r="F365" s="116">
        <v>705.3</v>
      </c>
      <c r="G365">
        <v>5019</v>
      </c>
      <c r="H365" s="116"/>
      <c r="I365" s="116"/>
      <c r="L365" s="170">
        <v>44011</v>
      </c>
      <c r="M365" s="116">
        <v>699.6</v>
      </c>
      <c r="N365" s="116">
        <v>717</v>
      </c>
      <c r="O365" s="116">
        <v>696</v>
      </c>
      <c r="P365" s="116">
        <v>702</v>
      </c>
      <c r="Q365" s="116">
        <v>699.6</v>
      </c>
      <c r="R365">
        <v>118639</v>
      </c>
    </row>
    <row r="366" spans="1:18" x14ac:dyDescent="0.25">
      <c r="A366" s="170">
        <v>44015</v>
      </c>
      <c r="B366" s="116">
        <v>735</v>
      </c>
      <c r="C366" s="116">
        <v>712.7</v>
      </c>
      <c r="D366" s="116">
        <v>693.65</v>
      </c>
      <c r="E366" s="116">
        <v>699.55</v>
      </c>
      <c r="F366" s="116">
        <v>712.7</v>
      </c>
      <c r="G366">
        <v>10002</v>
      </c>
      <c r="H366" s="116"/>
      <c r="I366" s="116"/>
      <c r="L366" s="170">
        <v>44012</v>
      </c>
      <c r="M366" s="116">
        <v>673.3</v>
      </c>
      <c r="N366" s="116">
        <v>708.65</v>
      </c>
      <c r="O366" s="116">
        <v>663.5</v>
      </c>
      <c r="P366" s="116">
        <v>708.65</v>
      </c>
      <c r="Q366" s="116">
        <v>673.3</v>
      </c>
      <c r="R366">
        <v>462820</v>
      </c>
    </row>
    <row r="367" spans="1:18" x14ac:dyDescent="0.25">
      <c r="A367" s="170">
        <v>44018</v>
      </c>
      <c r="B367" s="116">
        <v>730.25</v>
      </c>
      <c r="C367" s="116">
        <v>716.45</v>
      </c>
      <c r="D367" s="116">
        <v>713.05</v>
      </c>
      <c r="E367" s="116">
        <v>729.5</v>
      </c>
      <c r="F367" s="116">
        <v>716.45</v>
      </c>
      <c r="G367">
        <v>5574</v>
      </c>
      <c r="H367" s="116"/>
      <c r="I367" s="116"/>
      <c r="L367" s="170">
        <v>44013</v>
      </c>
      <c r="M367" s="116">
        <v>697.3</v>
      </c>
      <c r="N367" s="116">
        <v>700.65</v>
      </c>
      <c r="O367" s="116">
        <v>670.9</v>
      </c>
      <c r="P367" s="116">
        <v>677.85</v>
      </c>
      <c r="Q367" s="116">
        <v>697.3</v>
      </c>
      <c r="R367">
        <v>106238</v>
      </c>
    </row>
    <row r="368" spans="1:18" x14ac:dyDescent="0.25">
      <c r="A368" s="170">
        <v>44019</v>
      </c>
      <c r="B368" s="116">
        <v>724.8</v>
      </c>
      <c r="C368" s="116">
        <v>719.35</v>
      </c>
      <c r="D368" s="116">
        <v>692.45</v>
      </c>
      <c r="E368" s="116">
        <v>713</v>
      </c>
      <c r="F368" s="116">
        <v>719.35</v>
      </c>
      <c r="G368">
        <v>4396</v>
      </c>
      <c r="H368" s="116"/>
      <c r="I368" s="116"/>
      <c r="L368" s="170">
        <v>44014</v>
      </c>
      <c r="M368" s="116">
        <v>703.65</v>
      </c>
      <c r="N368" s="116">
        <v>708.5</v>
      </c>
      <c r="O368" s="116">
        <v>685</v>
      </c>
      <c r="P368" s="116">
        <v>700</v>
      </c>
      <c r="Q368" s="116">
        <v>703.65</v>
      </c>
      <c r="R368">
        <v>67777</v>
      </c>
    </row>
    <row r="369" spans="1:18" x14ac:dyDescent="0.25">
      <c r="A369" s="170">
        <v>44020</v>
      </c>
      <c r="B369" s="116">
        <v>720</v>
      </c>
      <c r="C369" s="116">
        <v>708.6</v>
      </c>
      <c r="D369" s="116">
        <v>702</v>
      </c>
      <c r="E369" s="116">
        <v>720</v>
      </c>
      <c r="F369" s="116">
        <v>708.6</v>
      </c>
      <c r="G369">
        <v>1900</v>
      </c>
      <c r="H369" s="116"/>
      <c r="I369" s="116"/>
      <c r="L369" s="170">
        <v>44015</v>
      </c>
      <c r="M369" s="116">
        <v>715.85</v>
      </c>
      <c r="N369" s="116">
        <v>739.85</v>
      </c>
      <c r="O369" s="116">
        <v>691.1</v>
      </c>
      <c r="P369" s="116">
        <v>704.8</v>
      </c>
      <c r="Q369" s="116">
        <v>715.85</v>
      </c>
      <c r="R369">
        <v>120117</v>
      </c>
    </row>
    <row r="370" spans="1:18" x14ac:dyDescent="0.25">
      <c r="A370" s="170">
        <v>44021</v>
      </c>
      <c r="B370" s="116">
        <v>706.6</v>
      </c>
      <c r="C370" s="116">
        <v>698.45</v>
      </c>
      <c r="D370" s="116">
        <v>696.05</v>
      </c>
      <c r="E370" s="116">
        <v>706.45</v>
      </c>
      <c r="F370" s="116">
        <v>698.45</v>
      </c>
      <c r="G370">
        <v>4114</v>
      </c>
      <c r="H370" s="116"/>
      <c r="I370" s="116"/>
      <c r="L370" s="170">
        <v>44018</v>
      </c>
      <c r="M370" s="116">
        <v>718.6</v>
      </c>
      <c r="N370" s="116">
        <v>731.95</v>
      </c>
      <c r="O370" s="116">
        <v>711.95</v>
      </c>
      <c r="P370" s="116">
        <v>725.85</v>
      </c>
      <c r="Q370" s="116">
        <v>718.6</v>
      </c>
      <c r="R370">
        <v>100349</v>
      </c>
    </row>
    <row r="371" spans="1:18" x14ac:dyDescent="0.25">
      <c r="A371" s="170">
        <v>44022</v>
      </c>
      <c r="B371" s="116">
        <v>719.2</v>
      </c>
      <c r="C371" s="116">
        <v>699.7</v>
      </c>
      <c r="D371" s="116">
        <v>694.35</v>
      </c>
      <c r="E371" s="116">
        <v>711.9</v>
      </c>
      <c r="F371" s="116">
        <v>699.7</v>
      </c>
      <c r="G371">
        <v>2525</v>
      </c>
      <c r="H371" s="116"/>
      <c r="I371" s="116"/>
      <c r="L371" s="170">
        <v>44019</v>
      </c>
      <c r="M371" s="116">
        <v>719.85</v>
      </c>
      <c r="N371" s="116">
        <v>725</v>
      </c>
      <c r="O371" s="116">
        <v>691.5</v>
      </c>
      <c r="P371" s="116">
        <v>720.45</v>
      </c>
      <c r="Q371" s="116">
        <v>719.85</v>
      </c>
      <c r="R371">
        <v>83934</v>
      </c>
    </row>
    <row r="372" spans="1:18" x14ac:dyDescent="0.25">
      <c r="A372" s="170">
        <v>44025</v>
      </c>
      <c r="B372" s="116">
        <v>706.9</v>
      </c>
      <c r="C372" s="116">
        <v>697.3</v>
      </c>
      <c r="D372" s="116">
        <v>690.4</v>
      </c>
      <c r="E372" s="116">
        <v>703.55</v>
      </c>
      <c r="F372" s="116">
        <v>697.3</v>
      </c>
      <c r="G372">
        <v>17032</v>
      </c>
      <c r="H372" s="116"/>
      <c r="I372" s="116"/>
      <c r="L372" s="170">
        <v>44020</v>
      </c>
      <c r="M372" s="116">
        <v>710.65</v>
      </c>
      <c r="N372" s="116">
        <v>724.95</v>
      </c>
      <c r="O372" s="116">
        <v>701</v>
      </c>
      <c r="P372" s="116">
        <v>718</v>
      </c>
      <c r="Q372" s="116">
        <v>710.65</v>
      </c>
      <c r="R372">
        <v>65488</v>
      </c>
    </row>
    <row r="373" spans="1:18" x14ac:dyDescent="0.25">
      <c r="A373" s="170">
        <v>44026</v>
      </c>
      <c r="B373" s="116">
        <v>701.8</v>
      </c>
      <c r="C373" s="116">
        <v>698.95</v>
      </c>
      <c r="D373" s="116">
        <v>683.6</v>
      </c>
      <c r="E373" s="116">
        <v>687.95</v>
      </c>
      <c r="F373" s="116">
        <v>698.95</v>
      </c>
      <c r="G373">
        <v>14676</v>
      </c>
      <c r="H373" s="116"/>
      <c r="I373" s="116"/>
      <c r="L373" s="170">
        <v>44021</v>
      </c>
      <c r="M373" s="116">
        <v>698.7</v>
      </c>
      <c r="N373" s="116">
        <v>710</v>
      </c>
      <c r="O373" s="116">
        <v>696</v>
      </c>
      <c r="P373" s="116">
        <v>702.1</v>
      </c>
      <c r="Q373" s="116">
        <v>698.7</v>
      </c>
      <c r="R373">
        <v>86971</v>
      </c>
    </row>
    <row r="374" spans="1:18" x14ac:dyDescent="0.25">
      <c r="A374" s="170">
        <v>44027</v>
      </c>
      <c r="B374" s="116">
        <v>705</v>
      </c>
      <c r="C374" s="116">
        <v>701.4</v>
      </c>
      <c r="D374" s="116">
        <v>693.4</v>
      </c>
      <c r="E374" s="116">
        <v>702.35</v>
      </c>
      <c r="F374" s="116">
        <v>701.4</v>
      </c>
      <c r="G374">
        <v>7660</v>
      </c>
      <c r="H374" s="116"/>
      <c r="I374" s="116"/>
      <c r="L374" s="170">
        <v>44022</v>
      </c>
      <c r="M374" s="116">
        <v>699.35</v>
      </c>
      <c r="N374" s="116">
        <v>719</v>
      </c>
      <c r="O374" s="116">
        <v>693</v>
      </c>
      <c r="P374" s="116">
        <v>708</v>
      </c>
      <c r="Q374" s="116">
        <v>699.35</v>
      </c>
      <c r="R374">
        <v>98674</v>
      </c>
    </row>
    <row r="375" spans="1:18" x14ac:dyDescent="0.25">
      <c r="A375" s="170">
        <v>44028</v>
      </c>
      <c r="B375" s="116">
        <v>700.75</v>
      </c>
      <c r="C375" s="116">
        <v>690.05</v>
      </c>
      <c r="D375" s="116">
        <v>685</v>
      </c>
      <c r="E375" s="116">
        <v>698.9</v>
      </c>
      <c r="F375" s="116">
        <v>690.05</v>
      </c>
      <c r="G375">
        <v>4629</v>
      </c>
      <c r="H375" s="116"/>
      <c r="I375" s="116"/>
      <c r="L375" s="170">
        <v>44025</v>
      </c>
      <c r="M375" s="116">
        <v>697.45</v>
      </c>
      <c r="N375" s="116">
        <v>708</v>
      </c>
      <c r="O375" s="116">
        <v>691.4</v>
      </c>
      <c r="P375" s="116">
        <v>700</v>
      </c>
      <c r="Q375" s="116">
        <v>697.45</v>
      </c>
      <c r="R375">
        <v>219503</v>
      </c>
    </row>
    <row r="376" spans="1:18" x14ac:dyDescent="0.25">
      <c r="A376" s="170">
        <v>44029</v>
      </c>
      <c r="B376" s="116">
        <v>710</v>
      </c>
      <c r="C376" s="116">
        <v>707.45</v>
      </c>
      <c r="D376" s="116">
        <v>688.8</v>
      </c>
      <c r="E376" s="116">
        <v>690.5</v>
      </c>
      <c r="F376" s="116">
        <v>707.45</v>
      </c>
      <c r="G376">
        <v>10203</v>
      </c>
      <c r="H376" s="116"/>
      <c r="I376" s="116"/>
      <c r="L376" s="170">
        <v>44026</v>
      </c>
      <c r="M376" s="116">
        <v>698.75</v>
      </c>
      <c r="N376" s="116">
        <v>700</v>
      </c>
      <c r="O376" s="116">
        <v>681.2</v>
      </c>
      <c r="P376" s="116">
        <v>695</v>
      </c>
      <c r="Q376" s="116">
        <v>698.75</v>
      </c>
      <c r="R376">
        <v>97204</v>
      </c>
    </row>
    <row r="377" spans="1:18" x14ac:dyDescent="0.25">
      <c r="A377" s="170">
        <v>44032</v>
      </c>
      <c r="B377" s="116">
        <v>749.65</v>
      </c>
      <c r="C377" s="116">
        <v>716.5</v>
      </c>
      <c r="D377" s="116">
        <v>701.75</v>
      </c>
      <c r="E377" s="116">
        <v>708.1</v>
      </c>
      <c r="F377" s="116">
        <v>716.5</v>
      </c>
      <c r="G377">
        <v>27068</v>
      </c>
      <c r="H377" s="116"/>
      <c r="I377" s="116"/>
      <c r="L377" s="170">
        <v>44027</v>
      </c>
      <c r="M377" s="116">
        <v>702.35</v>
      </c>
      <c r="N377" s="116">
        <v>705</v>
      </c>
      <c r="O377" s="116">
        <v>692.4</v>
      </c>
      <c r="P377" s="116">
        <v>702</v>
      </c>
      <c r="Q377" s="116">
        <v>702.35</v>
      </c>
      <c r="R377">
        <v>76079</v>
      </c>
    </row>
    <row r="378" spans="1:18" x14ac:dyDescent="0.25">
      <c r="A378" s="170">
        <v>44033</v>
      </c>
      <c r="B378" s="116">
        <v>727.4</v>
      </c>
      <c r="C378" s="116">
        <v>703.55</v>
      </c>
      <c r="D378" s="116">
        <v>695</v>
      </c>
      <c r="E378" s="116">
        <v>721</v>
      </c>
      <c r="F378" s="116">
        <v>703.55</v>
      </c>
      <c r="G378">
        <v>6151</v>
      </c>
      <c r="H378" s="116"/>
      <c r="I378" s="116"/>
      <c r="L378" s="170">
        <v>44028</v>
      </c>
      <c r="M378" s="116">
        <v>690</v>
      </c>
      <c r="N378" s="116">
        <v>705.8</v>
      </c>
      <c r="O378" s="116">
        <v>685</v>
      </c>
      <c r="P378" s="116">
        <v>705.8</v>
      </c>
      <c r="Q378" s="116">
        <v>690</v>
      </c>
      <c r="R378">
        <v>164183</v>
      </c>
    </row>
    <row r="379" spans="1:18" x14ac:dyDescent="0.25">
      <c r="A379" s="170">
        <v>44034</v>
      </c>
      <c r="B379" s="116">
        <v>734.95</v>
      </c>
      <c r="C379" s="116">
        <v>725.5</v>
      </c>
      <c r="D379" s="116">
        <v>699.45</v>
      </c>
      <c r="E379" s="116">
        <v>703.3</v>
      </c>
      <c r="F379" s="116">
        <v>725.5</v>
      </c>
      <c r="G379">
        <v>12507</v>
      </c>
      <c r="H379" s="116"/>
      <c r="I379" s="116"/>
      <c r="L379" s="170">
        <v>44029</v>
      </c>
      <c r="M379" s="116">
        <v>707.05</v>
      </c>
      <c r="N379" s="116">
        <v>711.7</v>
      </c>
      <c r="O379" s="116">
        <v>690</v>
      </c>
      <c r="P379" s="116">
        <v>692</v>
      </c>
      <c r="Q379" s="116">
        <v>707.05</v>
      </c>
      <c r="R379">
        <v>87371</v>
      </c>
    </row>
    <row r="380" spans="1:18" x14ac:dyDescent="0.25">
      <c r="A380" s="170">
        <v>44035</v>
      </c>
      <c r="B380" s="116">
        <v>752.9</v>
      </c>
      <c r="C380" s="116">
        <v>719.35</v>
      </c>
      <c r="D380" s="116">
        <v>712.75</v>
      </c>
      <c r="E380" s="116">
        <v>728.8</v>
      </c>
      <c r="F380" s="116">
        <v>719.35</v>
      </c>
      <c r="G380">
        <v>8166</v>
      </c>
      <c r="H380" s="116"/>
      <c r="I380" s="116"/>
      <c r="L380" s="170">
        <v>44032</v>
      </c>
      <c r="M380" s="116">
        <v>716.6</v>
      </c>
      <c r="N380" s="116">
        <v>748</v>
      </c>
      <c r="O380" s="116">
        <v>706.5</v>
      </c>
      <c r="P380" s="116">
        <v>707.05</v>
      </c>
      <c r="Q380" s="116">
        <v>716.6</v>
      </c>
      <c r="R380">
        <v>394197</v>
      </c>
    </row>
    <row r="381" spans="1:18" x14ac:dyDescent="0.25">
      <c r="A381" s="170">
        <v>44036</v>
      </c>
      <c r="B381" s="116">
        <v>735</v>
      </c>
      <c r="C381" s="116">
        <v>709.45</v>
      </c>
      <c r="D381" s="116">
        <v>701.25</v>
      </c>
      <c r="E381" s="116">
        <v>714.6</v>
      </c>
      <c r="F381" s="116">
        <v>709.45</v>
      </c>
      <c r="G381">
        <v>5444</v>
      </c>
      <c r="H381" s="116"/>
      <c r="I381" s="116"/>
      <c r="L381" s="170">
        <v>44033</v>
      </c>
      <c r="M381" s="116">
        <v>702.6</v>
      </c>
      <c r="N381" s="116">
        <v>728</v>
      </c>
      <c r="O381" s="116">
        <v>693.45</v>
      </c>
      <c r="P381" s="116">
        <v>722.4</v>
      </c>
      <c r="Q381" s="116">
        <v>702.6</v>
      </c>
      <c r="R381">
        <v>208248</v>
      </c>
    </row>
    <row r="382" spans="1:18" x14ac:dyDescent="0.25">
      <c r="A382" s="170">
        <v>44039</v>
      </c>
      <c r="B382" s="116">
        <v>720</v>
      </c>
      <c r="C382" s="116">
        <v>708.95</v>
      </c>
      <c r="D382" s="116">
        <v>699.55</v>
      </c>
      <c r="E382" s="116">
        <v>707.75</v>
      </c>
      <c r="F382" s="116">
        <v>708.95</v>
      </c>
      <c r="G382">
        <v>4867</v>
      </c>
      <c r="H382" s="116"/>
      <c r="I382" s="116"/>
      <c r="L382" s="170">
        <v>44034</v>
      </c>
      <c r="M382" s="116">
        <v>726.65</v>
      </c>
      <c r="N382" s="116">
        <v>735</v>
      </c>
      <c r="O382" s="116">
        <v>692</v>
      </c>
      <c r="P382" s="116">
        <v>692</v>
      </c>
      <c r="Q382" s="116">
        <v>726.65</v>
      </c>
      <c r="R382">
        <v>190639</v>
      </c>
    </row>
    <row r="383" spans="1:18" x14ac:dyDescent="0.25">
      <c r="A383" s="170">
        <v>44040</v>
      </c>
      <c r="B383" s="116">
        <v>729.65</v>
      </c>
      <c r="C383" s="116">
        <v>722.1</v>
      </c>
      <c r="D383" s="116">
        <v>699</v>
      </c>
      <c r="E383" s="116">
        <v>720.6</v>
      </c>
      <c r="F383" s="116">
        <v>722.1</v>
      </c>
      <c r="G383">
        <v>4784</v>
      </c>
      <c r="H383" s="116"/>
      <c r="I383" s="116"/>
      <c r="L383" s="170">
        <v>44035</v>
      </c>
      <c r="M383" s="116">
        <v>720.45</v>
      </c>
      <c r="N383" s="116">
        <v>753</v>
      </c>
      <c r="O383" s="116">
        <v>712.25</v>
      </c>
      <c r="P383" s="116">
        <v>730</v>
      </c>
      <c r="Q383" s="116">
        <v>720.45</v>
      </c>
      <c r="R383">
        <v>157835</v>
      </c>
    </row>
    <row r="384" spans="1:18" x14ac:dyDescent="0.25">
      <c r="A384" s="170">
        <v>44041</v>
      </c>
      <c r="B384" s="116">
        <v>743.45</v>
      </c>
      <c r="C384" s="116">
        <v>717.2</v>
      </c>
      <c r="D384" s="116">
        <v>715</v>
      </c>
      <c r="E384" s="116">
        <v>729.6</v>
      </c>
      <c r="F384" s="116">
        <v>717.2</v>
      </c>
      <c r="G384">
        <v>4500</v>
      </c>
      <c r="H384" s="116"/>
      <c r="I384" s="116"/>
      <c r="L384" s="170">
        <v>44036</v>
      </c>
      <c r="M384" s="116">
        <v>708.95</v>
      </c>
      <c r="N384" s="116">
        <v>735.35</v>
      </c>
      <c r="O384" s="116">
        <v>702</v>
      </c>
      <c r="P384" s="116">
        <v>719.45</v>
      </c>
      <c r="Q384" s="116">
        <v>708.95</v>
      </c>
      <c r="R384">
        <v>67961</v>
      </c>
    </row>
    <row r="385" spans="1:18" x14ac:dyDescent="0.25">
      <c r="A385" s="170">
        <v>44042</v>
      </c>
      <c r="B385" s="116">
        <v>751.95</v>
      </c>
      <c r="C385" s="116">
        <v>748.15</v>
      </c>
      <c r="D385" s="116">
        <v>719.15</v>
      </c>
      <c r="E385" s="116">
        <v>719.15</v>
      </c>
      <c r="F385" s="116">
        <v>748.15</v>
      </c>
      <c r="G385">
        <v>4597</v>
      </c>
      <c r="H385" s="116"/>
      <c r="I385" s="116"/>
      <c r="L385" s="170">
        <v>44039</v>
      </c>
      <c r="M385" s="116">
        <v>709.25</v>
      </c>
      <c r="N385" s="116">
        <v>720.85</v>
      </c>
      <c r="O385" s="116">
        <v>700</v>
      </c>
      <c r="P385" s="116">
        <v>708</v>
      </c>
      <c r="Q385" s="116">
        <v>709.25</v>
      </c>
      <c r="R385">
        <v>61377</v>
      </c>
    </row>
    <row r="386" spans="1:18" x14ac:dyDescent="0.25">
      <c r="A386" s="170">
        <v>44043</v>
      </c>
      <c r="B386" s="116">
        <v>775</v>
      </c>
      <c r="C386" s="116">
        <v>761.1</v>
      </c>
      <c r="D386" s="116">
        <v>753.65</v>
      </c>
      <c r="E386" s="116">
        <v>754.4</v>
      </c>
      <c r="F386" s="116">
        <v>761.1</v>
      </c>
      <c r="G386">
        <v>3994</v>
      </c>
      <c r="H386" s="116"/>
      <c r="I386" s="116"/>
      <c r="L386" s="170">
        <v>44040</v>
      </c>
      <c r="M386" s="116">
        <v>723.05</v>
      </c>
      <c r="N386" s="116">
        <v>729</v>
      </c>
      <c r="O386" s="116">
        <v>710.55</v>
      </c>
      <c r="P386" s="116">
        <v>715</v>
      </c>
      <c r="Q386" s="116">
        <v>723.05</v>
      </c>
      <c r="R386">
        <v>64668</v>
      </c>
    </row>
    <row r="387" spans="1:18" x14ac:dyDescent="0.25">
      <c r="A387" s="170">
        <v>44046</v>
      </c>
      <c r="B387" s="116">
        <v>790</v>
      </c>
      <c r="C387" s="116">
        <v>748.85</v>
      </c>
      <c r="D387" s="116">
        <v>733</v>
      </c>
      <c r="E387" s="116">
        <v>769.5</v>
      </c>
      <c r="F387" s="116">
        <v>748.85</v>
      </c>
      <c r="G387">
        <v>8409</v>
      </c>
      <c r="H387" s="116"/>
      <c r="I387" s="116"/>
      <c r="L387" s="170">
        <v>44041</v>
      </c>
      <c r="M387" s="116">
        <v>718.75</v>
      </c>
      <c r="N387" s="116">
        <v>743.95</v>
      </c>
      <c r="O387" s="116">
        <v>716.15</v>
      </c>
      <c r="P387" s="116">
        <v>724</v>
      </c>
      <c r="Q387" s="116">
        <v>718.75</v>
      </c>
      <c r="R387">
        <v>46730</v>
      </c>
    </row>
    <row r="388" spans="1:18" x14ac:dyDescent="0.25">
      <c r="A388" s="170">
        <v>44047</v>
      </c>
      <c r="B388" s="116">
        <v>795</v>
      </c>
      <c r="C388" s="116">
        <v>784.25</v>
      </c>
      <c r="D388" s="116">
        <v>765</v>
      </c>
      <c r="E388" s="116">
        <v>770</v>
      </c>
      <c r="F388" s="116">
        <v>784.25</v>
      </c>
      <c r="G388">
        <v>8838</v>
      </c>
      <c r="H388" s="116"/>
      <c r="I388" s="116"/>
      <c r="L388" s="170">
        <v>44042</v>
      </c>
      <c r="M388" s="116">
        <v>748.2</v>
      </c>
      <c r="N388" s="116">
        <v>751</v>
      </c>
      <c r="O388" s="116">
        <v>719.5</v>
      </c>
      <c r="P388" s="116">
        <v>724</v>
      </c>
      <c r="Q388" s="116">
        <v>748.2</v>
      </c>
      <c r="R388">
        <v>145372</v>
      </c>
    </row>
    <row r="389" spans="1:18" x14ac:dyDescent="0.25">
      <c r="A389" s="170">
        <v>44048</v>
      </c>
      <c r="B389" s="116">
        <v>793</v>
      </c>
      <c r="C389" s="116">
        <v>772.35</v>
      </c>
      <c r="D389" s="116">
        <v>761.2</v>
      </c>
      <c r="E389" s="116">
        <v>792.45</v>
      </c>
      <c r="F389" s="116">
        <v>772.35</v>
      </c>
      <c r="G389">
        <v>4621</v>
      </c>
      <c r="H389" s="116"/>
      <c r="I389" s="116"/>
      <c r="L389" s="170">
        <v>44043</v>
      </c>
      <c r="M389" s="116">
        <v>760.65</v>
      </c>
      <c r="N389" s="116">
        <v>774.75</v>
      </c>
      <c r="O389" s="116">
        <v>752</v>
      </c>
      <c r="P389" s="116">
        <v>754.7</v>
      </c>
      <c r="Q389" s="116">
        <v>760.65</v>
      </c>
      <c r="R389">
        <v>101022</v>
      </c>
    </row>
    <row r="390" spans="1:18" x14ac:dyDescent="0.25">
      <c r="A390" s="170">
        <v>44049</v>
      </c>
      <c r="B390" s="116">
        <v>812</v>
      </c>
      <c r="C390" s="116">
        <v>787.95</v>
      </c>
      <c r="D390" s="116">
        <v>772.35</v>
      </c>
      <c r="E390" s="116">
        <v>772.35</v>
      </c>
      <c r="F390" s="116">
        <v>787.95</v>
      </c>
      <c r="G390">
        <v>6833</v>
      </c>
      <c r="H390" s="116"/>
      <c r="I390" s="116"/>
      <c r="L390" s="170">
        <v>44046</v>
      </c>
      <c r="M390" s="116">
        <v>750.9</v>
      </c>
      <c r="N390" s="116">
        <v>780</v>
      </c>
      <c r="O390" s="116">
        <v>745.95</v>
      </c>
      <c r="P390" s="116">
        <v>767.9</v>
      </c>
      <c r="Q390" s="116">
        <v>750.9</v>
      </c>
      <c r="R390">
        <v>87053</v>
      </c>
    </row>
    <row r="391" spans="1:18" x14ac:dyDescent="0.25">
      <c r="A391" s="170">
        <v>44050</v>
      </c>
      <c r="B391" s="116">
        <v>824.55</v>
      </c>
      <c r="C391" s="116">
        <v>764.35</v>
      </c>
      <c r="D391" s="116">
        <v>756</v>
      </c>
      <c r="E391" s="116">
        <v>815.6</v>
      </c>
      <c r="F391" s="116">
        <v>764.35</v>
      </c>
      <c r="G391">
        <v>17543</v>
      </c>
      <c r="H391" s="116"/>
      <c r="I391" s="116"/>
      <c r="L391" s="170">
        <v>44047</v>
      </c>
      <c r="M391" s="116">
        <v>783.6</v>
      </c>
      <c r="N391" s="116">
        <v>794.8</v>
      </c>
      <c r="O391" s="116">
        <v>754</v>
      </c>
      <c r="P391" s="116">
        <v>754</v>
      </c>
      <c r="Q391" s="116">
        <v>783.6</v>
      </c>
      <c r="R391">
        <v>170061</v>
      </c>
    </row>
    <row r="392" spans="1:18" x14ac:dyDescent="0.25">
      <c r="A392" s="170">
        <v>44053</v>
      </c>
      <c r="B392" s="116">
        <v>790.5</v>
      </c>
      <c r="C392" s="116">
        <v>779.65</v>
      </c>
      <c r="D392" s="116">
        <v>770.8</v>
      </c>
      <c r="E392" s="116">
        <v>784.55</v>
      </c>
      <c r="F392" s="116">
        <v>779.65</v>
      </c>
      <c r="G392">
        <v>33031</v>
      </c>
      <c r="H392" s="116"/>
      <c r="I392" s="116"/>
      <c r="L392" s="170">
        <v>44048</v>
      </c>
      <c r="M392" s="116">
        <v>772.35</v>
      </c>
      <c r="N392" s="116">
        <v>796</v>
      </c>
      <c r="O392" s="116">
        <v>768.25</v>
      </c>
      <c r="P392" s="116">
        <v>790</v>
      </c>
      <c r="Q392" s="116">
        <v>772.35</v>
      </c>
      <c r="R392">
        <v>127804</v>
      </c>
    </row>
    <row r="393" spans="1:18" x14ac:dyDescent="0.25">
      <c r="A393" s="170">
        <v>44054</v>
      </c>
      <c r="B393" s="116">
        <v>794.3</v>
      </c>
      <c r="C393" s="116">
        <v>773.25</v>
      </c>
      <c r="D393" s="116">
        <v>772</v>
      </c>
      <c r="E393" s="116">
        <v>789.6</v>
      </c>
      <c r="F393" s="116">
        <v>773.25</v>
      </c>
      <c r="G393">
        <v>2672</v>
      </c>
      <c r="H393" s="116"/>
      <c r="I393" s="116"/>
      <c r="L393" s="170">
        <v>44049</v>
      </c>
      <c r="M393" s="116">
        <v>787.7</v>
      </c>
      <c r="N393" s="116">
        <v>809</v>
      </c>
      <c r="O393" s="116">
        <v>772.05</v>
      </c>
      <c r="P393" s="116">
        <v>778.85</v>
      </c>
      <c r="Q393" s="116">
        <v>787.7</v>
      </c>
      <c r="R393">
        <v>198838</v>
      </c>
    </row>
    <row r="394" spans="1:18" x14ac:dyDescent="0.25">
      <c r="A394" s="170">
        <v>44055</v>
      </c>
      <c r="B394" s="116">
        <v>790</v>
      </c>
      <c r="C394" s="116">
        <v>787.75</v>
      </c>
      <c r="D394" s="116">
        <v>778.65</v>
      </c>
      <c r="E394" s="116">
        <v>780.55</v>
      </c>
      <c r="F394" s="116">
        <v>787.75</v>
      </c>
      <c r="G394">
        <v>2267</v>
      </c>
      <c r="H394" s="116"/>
      <c r="I394" s="116"/>
      <c r="L394" s="170">
        <v>44050</v>
      </c>
      <c r="M394" s="116">
        <v>763.9</v>
      </c>
      <c r="N394" s="116">
        <v>825</v>
      </c>
      <c r="O394" s="116">
        <v>752.25</v>
      </c>
      <c r="P394" s="116">
        <v>820</v>
      </c>
      <c r="Q394" s="116">
        <v>763.9</v>
      </c>
      <c r="R394">
        <v>502595</v>
      </c>
    </row>
    <row r="395" spans="1:18" x14ac:dyDescent="0.25">
      <c r="A395" s="170">
        <v>44056</v>
      </c>
      <c r="B395" s="116">
        <v>805</v>
      </c>
      <c r="C395" s="116">
        <v>789.85</v>
      </c>
      <c r="D395" s="116">
        <v>788</v>
      </c>
      <c r="E395" s="116">
        <v>792</v>
      </c>
      <c r="F395" s="116">
        <v>789.85</v>
      </c>
      <c r="G395">
        <v>6159</v>
      </c>
      <c r="H395" s="116"/>
      <c r="I395" s="116"/>
      <c r="L395" s="170">
        <v>44053</v>
      </c>
      <c r="M395" s="116">
        <v>780.05</v>
      </c>
      <c r="N395" s="116">
        <v>793.9</v>
      </c>
      <c r="O395" s="116">
        <v>770.1</v>
      </c>
      <c r="P395" s="116">
        <v>793.9</v>
      </c>
      <c r="Q395" s="116">
        <v>780.05</v>
      </c>
      <c r="R395">
        <v>161608</v>
      </c>
    </row>
    <row r="396" spans="1:18" x14ac:dyDescent="0.25">
      <c r="A396" s="170">
        <v>44057</v>
      </c>
      <c r="B396" s="116">
        <v>798.45</v>
      </c>
      <c r="C396" s="116">
        <v>778.65</v>
      </c>
      <c r="D396" s="116">
        <v>775</v>
      </c>
      <c r="E396" s="116">
        <v>797</v>
      </c>
      <c r="F396" s="116">
        <v>778.65</v>
      </c>
      <c r="G396">
        <v>1244</v>
      </c>
      <c r="H396" s="116"/>
      <c r="I396" s="116"/>
      <c r="L396" s="170">
        <v>44054</v>
      </c>
      <c r="M396" s="116">
        <v>773.5</v>
      </c>
      <c r="N396" s="116">
        <v>794.2</v>
      </c>
      <c r="O396" s="116">
        <v>771.35</v>
      </c>
      <c r="P396" s="116">
        <v>784.95</v>
      </c>
      <c r="Q396" s="116">
        <v>773.5</v>
      </c>
      <c r="R396">
        <v>60225</v>
      </c>
    </row>
    <row r="397" spans="1:18" x14ac:dyDescent="0.25">
      <c r="A397" s="170">
        <v>44060</v>
      </c>
      <c r="B397" s="116">
        <v>794.2</v>
      </c>
      <c r="C397" s="116">
        <v>764.85</v>
      </c>
      <c r="D397" s="116">
        <v>756.8</v>
      </c>
      <c r="E397" s="116">
        <v>787.35</v>
      </c>
      <c r="F397" s="116">
        <v>764.85</v>
      </c>
      <c r="G397">
        <v>1682</v>
      </c>
      <c r="H397" s="116"/>
      <c r="I397" s="116"/>
      <c r="L397" s="170">
        <v>44055</v>
      </c>
      <c r="M397" s="116">
        <v>787.8</v>
      </c>
      <c r="N397" s="116">
        <v>790</v>
      </c>
      <c r="O397" s="116">
        <v>775.9</v>
      </c>
      <c r="P397" s="116">
        <v>778.6</v>
      </c>
      <c r="Q397" s="116">
        <v>787.8</v>
      </c>
      <c r="R397">
        <v>121968</v>
      </c>
    </row>
    <row r="398" spans="1:18" x14ac:dyDescent="0.25">
      <c r="A398" s="170">
        <v>44061</v>
      </c>
      <c r="B398" s="116">
        <v>790</v>
      </c>
      <c r="C398" s="116">
        <v>788.85</v>
      </c>
      <c r="D398" s="116">
        <v>768.7</v>
      </c>
      <c r="E398" s="116">
        <v>768.9</v>
      </c>
      <c r="F398" s="116">
        <v>788.85</v>
      </c>
      <c r="G398">
        <v>4283</v>
      </c>
      <c r="H398" s="116"/>
      <c r="I398" s="116"/>
      <c r="L398" s="170">
        <v>44056</v>
      </c>
      <c r="M398" s="116">
        <v>791.65</v>
      </c>
      <c r="N398" s="116">
        <v>804.35</v>
      </c>
      <c r="O398" s="116">
        <v>786.4</v>
      </c>
      <c r="P398" s="116">
        <v>790</v>
      </c>
      <c r="Q398" s="116">
        <v>791.65</v>
      </c>
      <c r="R398">
        <v>99180</v>
      </c>
    </row>
    <row r="399" spans="1:18" x14ac:dyDescent="0.25">
      <c r="A399" s="170">
        <v>44062</v>
      </c>
      <c r="B399" s="116">
        <v>789.55</v>
      </c>
      <c r="C399" s="116">
        <v>780.45</v>
      </c>
      <c r="D399" s="116">
        <v>776.6</v>
      </c>
      <c r="E399" s="116">
        <v>788.1</v>
      </c>
      <c r="F399" s="116">
        <v>780.45</v>
      </c>
      <c r="G399">
        <v>61276</v>
      </c>
      <c r="H399" s="116"/>
      <c r="I399" s="116"/>
      <c r="L399" s="170">
        <v>44057</v>
      </c>
      <c r="M399" s="116">
        <v>778.8</v>
      </c>
      <c r="N399" s="116">
        <v>798.6</v>
      </c>
      <c r="O399" s="116">
        <v>775</v>
      </c>
      <c r="P399" s="116">
        <v>798.6</v>
      </c>
      <c r="Q399" s="116">
        <v>778.8</v>
      </c>
      <c r="R399">
        <v>57344</v>
      </c>
    </row>
    <row r="400" spans="1:18" x14ac:dyDescent="0.25">
      <c r="A400" s="170">
        <v>44063</v>
      </c>
      <c r="B400" s="116">
        <v>785.85</v>
      </c>
      <c r="C400" s="116">
        <v>774.15</v>
      </c>
      <c r="D400" s="116">
        <v>761.55</v>
      </c>
      <c r="E400" s="116">
        <v>776.3</v>
      </c>
      <c r="F400" s="116">
        <v>774.15</v>
      </c>
      <c r="G400">
        <v>2242</v>
      </c>
      <c r="H400" s="116"/>
      <c r="I400" s="116"/>
      <c r="L400" s="170">
        <v>44060</v>
      </c>
      <c r="M400" s="116">
        <v>763.85</v>
      </c>
      <c r="N400" s="116">
        <v>795</v>
      </c>
      <c r="O400" s="116">
        <v>757.2</v>
      </c>
      <c r="P400" s="116">
        <v>787</v>
      </c>
      <c r="Q400" s="116">
        <v>763.85</v>
      </c>
      <c r="R400">
        <v>71897</v>
      </c>
    </row>
    <row r="401" spans="1:18" x14ac:dyDescent="0.25">
      <c r="A401" s="170">
        <v>44064</v>
      </c>
      <c r="B401" s="116">
        <v>787.1</v>
      </c>
      <c r="C401" s="116">
        <v>774.95</v>
      </c>
      <c r="D401" s="116">
        <v>772</v>
      </c>
      <c r="E401" s="116">
        <v>777.4</v>
      </c>
      <c r="F401" s="116">
        <v>774.95</v>
      </c>
      <c r="G401">
        <v>2076</v>
      </c>
      <c r="H401" s="116"/>
      <c r="I401" s="116"/>
      <c r="L401" s="170">
        <v>44061</v>
      </c>
      <c r="M401" s="116">
        <v>788.9</v>
      </c>
      <c r="N401" s="116">
        <v>791</v>
      </c>
      <c r="O401" s="116">
        <v>764</v>
      </c>
      <c r="P401" s="116">
        <v>769.8</v>
      </c>
      <c r="Q401" s="116">
        <v>788.9</v>
      </c>
      <c r="R401">
        <v>110108</v>
      </c>
    </row>
    <row r="402" spans="1:18" x14ac:dyDescent="0.25">
      <c r="A402" s="170">
        <v>44067</v>
      </c>
      <c r="B402" s="116">
        <v>784.65</v>
      </c>
      <c r="C402" s="116">
        <v>769.95</v>
      </c>
      <c r="D402" s="116">
        <v>767.2</v>
      </c>
      <c r="E402" s="116">
        <v>775.45</v>
      </c>
      <c r="F402" s="116">
        <v>769.95</v>
      </c>
      <c r="G402">
        <v>1769</v>
      </c>
      <c r="H402" s="116"/>
      <c r="I402" s="116"/>
      <c r="L402" s="170">
        <v>44062</v>
      </c>
      <c r="M402" s="116">
        <v>780.7</v>
      </c>
      <c r="N402" s="116">
        <v>794</v>
      </c>
      <c r="O402" s="116">
        <v>777.05</v>
      </c>
      <c r="P402" s="116">
        <v>794</v>
      </c>
      <c r="Q402" s="116">
        <v>780.7</v>
      </c>
      <c r="R402">
        <v>45733</v>
      </c>
    </row>
    <row r="403" spans="1:18" x14ac:dyDescent="0.25">
      <c r="A403" s="170">
        <v>44068</v>
      </c>
      <c r="B403" s="116">
        <v>767.55</v>
      </c>
      <c r="C403" s="116">
        <v>753.15</v>
      </c>
      <c r="D403" s="116">
        <v>751</v>
      </c>
      <c r="E403" s="116">
        <v>765.35</v>
      </c>
      <c r="F403" s="116">
        <v>753.15</v>
      </c>
      <c r="G403">
        <v>6183</v>
      </c>
      <c r="H403" s="116"/>
      <c r="I403" s="116"/>
      <c r="L403" s="170">
        <v>44063</v>
      </c>
      <c r="M403" s="116">
        <v>770.2</v>
      </c>
      <c r="N403" s="116">
        <v>785.85</v>
      </c>
      <c r="O403" s="116">
        <v>762.45</v>
      </c>
      <c r="P403" s="116">
        <v>775.5</v>
      </c>
      <c r="Q403" s="116">
        <v>770.2</v>
      </c>
      <c r="R403">
        <v>86978</v>
      </c>
    </row>
    <row r="404" spans="1:18" x14ac:dyDescent="0.25">
      <c r="A404" s="170">
        <v>44069</v>
      </c>
      <c r="B404" s="116">
        <v>761.9</v>
      </c>
      <c r="C404" s="116">
        <v>740.3</v>
      </c>
      <c r="D404" s="116">
        <v>735.6</v>
      </c>
      <c r="E404" s="116">
        <v>761.4</v>
      </c>
      <c r="F404" s="116">
        <v>740.3</v>
      </c>
      <c r="G404">
        <v>11161</v>
      </c>
      <c r="H404" s="116"/>
      <c r="I404" s="116"/>
      <c r="L404" s="170">
        <v>44064</v>
      </c>
      <c r="M404" s="116">
        <v>774.25</v>
      </c>
      <c r="N404" s="116">
        <v>787.9</v>
      </c>
      <c r="O404" s="116">
        <v>771.15</v>
      </c>
      <c r="P404" s="116">
        <v>777</v>
      </c>
      <c r="Q404" s="116">
        <v>774.25</v>
      </c>
      <c r="R404">
        <v>102605</v>
      </c>
    </row>
    <row r="405" spans="1:18" x14ac:dyDescent="0.25">
      <c r="A405" s="170">
        <v>44070</v>
      </c>
      <c r="B405" s="116">
        <v>759</v>
      </c>
      <c r="C405" s="116">
        <v>740.75</v>
      </c>
      <c r="D405" s="116">
        <v>737.8</v>
      </c>
      <c r="E405" s="116">
        <v>741</v>
      </c>
      <c r="F405" s="116">
        <v>740.75</v>
      </c>
      <c r="G405">
        <v>5359</v>
      </c>
      <c r="H405" s="116"/>
      <c r="I405" s="116"/>
      <c r="L405" s="170">
        <v>44067</v>
      </c>
      <c r="M405" s="116">
        <v>770.35</v>
      </c>
      <c r="N405" s="116">
        <v>784</v>
      </c>
      <c r="O405" s="116">
        <v>768</v>
      </c>
      <c r="P405" s="116">
        <v>777.8</v>
      </c>
      <c r="Q405" s="116">
        <v>770.35</v>
      </c>
      <c r="R405">
        <v>61619</v>
      </c>
    </row>
    <row r="406" spans="1:18" x14ac:dyDescent="0.25">
      <c r="A406" s="170">
        <v>44071</v>
      </c>
      <c r="B406" s="116">
        <v>756.35</v>
      </c>
      <c r="C406" s="116">
        <v>749.6</v>
      </c>
      <c r="D406" s="116">
        <v>730</v>
      </c>
      <c r="E406" s="116">
        <v>742.2</v>
      </c>
      <c r="F406" s="116">
        <v>749.6</v>
      </c>
      <c r="G406">
        <v>5529</v>
      </c>
      <c r="H406" s="116"/>
      <c r="I406" s="116"/>
      <c r="L406" s="170">
        <v>44068</v>
      </c>
      <c r="M406" s="116">
        <v>752.75</v>
      </c>
      <c r="N406" s="116">
        <v>770.35</v>
      </c>
      <c r="O406" s="116">
        <v>750.95</v>
      </c>
      <c r="P406" s="116">
        <v>770</v>
      </c>
      <c r="Q406" s="116">
        <v>752.75</v>
      </c>
      <c r="R406">
        <v>275449</v>
      </c>
    </row>
    <row r="407" spans="1:18" x14ac:dyDescent="0.25">
      <c r="A407" s="170">
        <v>44074</v>
      </c>
      <c r="B407" s="116">
        <v>756.3</v>
      </c>
      <c r="C407" s="116">
        <v>748.85</v>
      </c>
      <c r="D407" s="116">
        <v>715</v>
      </c>
      <c r="E407" s="116">
        <v>743.2</v>
      </c>
      <c r="F407" s="116">
        <v>748.85</v>
      </c>
      <c r="G407">
        <v>11143</v>
      </c>
      <c r="H407" s="116"/>
      <c r="I407" s="116"/>
      <c r="L407" s="170">
        <v>44069</v>
      </c>
      <c r="M407" s="116">
        <v>739.55</v>
      </c>
      <c r="N407" s="116">
        <v>762.95</v>
      </c>
      <c r="O407" s="116">
        <v>736</v>
      </c>
      <c r="P407" s="116">
        <v>760</v>
      </c>
      <c r="Q407" s="116">
        <v>739.55</v>
      </c>
      <c r="R407">
        <v>131323</v>
      </c>
    </row>
    <row r="408" spans="1:18" x14ac:dyDescent="0.25">
      <c r="A408" s="170">
        <v>44075</v>
      </c>
      <c r="B408" s="116">
        <v>771.5</v>
      </c>
      <c r="C408" s="116">
        <v>757</v>
      </c>
      <c r="D408" s="116">
        <v>651.95000000000005</v>
      </c>
      <c r="E408" s="116">
        <v>751</v>
      </c>
      <c r="F408" s="116">
        <v>757</v>
      </c>
      <c r="G408">
        <v>6207</v>
      </c>
      <c r="H408" s="116"/>
      <c r="I408" s="116"/>
      <c r="L408" s="170">
        <v>44070</v>
      </c>
      <c r="M408" s="116">
        <v>740.3</v>
      </c>
      <c r="N408" s="116">
        <v>760</v>
      </c>
      <c r="O408" s="116">
        <v>738</v>
      </c>
      <c r="P408" s="116">
        <v>740</v>
      </c>
      <c r="Q408" s="116">
        <v>740.3</v>
      </c>
      <c r="R408">
        <v>92174</v>
      </c>
    </row>
    <row r="409" spans="1:18" x14ac:dyDescent="0.25">
      <c r="A409" s="170">
        <v>44076</v>
      </c>
      <c r="B409" s="116">
        <v>770.7</v>
      </c>
      <c r="C409" s="116">
        <v>767.8</v>
      </c>
      <c r="D409" s="116">
        <v>724.95</v>
      </c>
      <c r="E409" s="116">
        <v>744.45</v>
      </c>
      <c r="F409" s="116">
        <v>767.8</v>
      </c>
      <c r="G409">
        <v>3425</v>
      </c>
      <c r="H409" s="116"/>
      <c r="I409" s="116"/>
      <c r="L409" s="170">
        <v>44071</v>
      </c>
      <c r="M409" s="116">
        <v>749.55</v>
      </c>
      <c r="N409" s="116">
        <v>756</v>
      </c>
      <c r="O409" s="116">
        <v>739</v>
      </c>
      <c r="P409" s="116">
        <v>742</v>
      </c>
      <c r="Q409" s="116">
        <v>749.55</v>
      </c>
      <c r="R409">
        <v>85020</v>
      </c>
    </row>
    <row r="410" spans="1:18" x14ac:dyDescent="0.25">
      <c r="A410" s="170">
        <v>44077</v>
      </c>
      <c r="B410" s="116">
        <v>770</v>
      </c>
      <c r="C410" s="116">
        <v>758</v>
      </c>
      <c r="D410" s="116">
        <v>750.8</v>
      </c>
      <c r="E410" s="116">
        <v>767.4</v>
      </c>
      <c r="F410" s="116">
        <v>758</v>
      </c>
      <c r="G410">
        <v>838</v>
      </c>
      <c r="H410" s="116"/>
      <c r="I410" s="116"/>
      <c r="L410" s="170">
        <v>44074</v>
      </c>
      <c r="M410" s="116">
        <v>749.75</v>
      </c>
      <c r="N410" s="116">
        <v>756.95</v>
      </c>
      <c r="O410" s="116">
        <v>732.7</v>
      </c>
      <c r="P410" s="116">
        <v>749.55</v>
      </c>
      <c r="Q410" s="116">
        <v>749.75</v>
      </c>
      <c r="R410">
        <v>193782</v>
      </c>
    </row>
    <row r="411" spans="1:18" x14ac:dyDescent="0.25">
      <c r="A411" s="170">
        <v>44078</v>
      </c>
      <c r="B411" s="116">
        <v>759.8</v>
      </c>
      <c r="C411" s="116">
        <v>744.05</v>
      </c>
      <c r="D411" s="116">
        <v>737</v>
      </c>
      <c r="E411" s="116">
        <v>744.8</v>
      </c>
      <c r="F411" s="116">
        <v>744.05</v>
      </c>
      <c r="G411">
        <v>2622</v>
      </c>
      <c r="H411" s="116"/>
      <c r="I411" s="116"/>
      <c r="L411" s="170">
        <v>44075</v>
      </c>
      <c r="M411" s="116">
        <v>757.45</v>
      </c>
      <c r="N411" s="116">
        <v>775</v>
      </c>
      <c r="O411" s="116">
        <v>652.29999999999995</v>
      </c>
      <c r="P411" s="116">
        <v>753.5</v>
      </c>
      <c r="Q411" s="116">
        <v>757.45</v>
      </c>
      <c r="R411">
        <v>110602</v>
      </c>
    </row>
    <row r="412" spans="1:18" x14ac:dyDescent="0.25">
      <c r="A412" s="170">
        <v>44081</v>
      </c>
      <c r="B412" s="116">
        <v>744.45</v>
      </c>
      <c r="C412" s="116">
        <v>720.65</v>
      </c>
      <c r="D412" s="116">
        <v>712</v>
      </c>
      <c r="E412" s="116">
        <v>740.95</v>
      </c>
      <c r="F412" s="116">
        <v>720.65</v>
      </c>
      <c r="G412">
        <v>5327</v>
      </c>
      <c r="H412" s="116"/>
      <c r="I412" s="116"/>
      <c r="L412" s="170">
        <v>44076</v>
      </c>
      <c r="M412" s="116">
        <v>768.65</v>
      </c>
      <c r="N412" s="116">
        <v>771</v>
      </c>
      <c r="O412" s="116">
        <v>745.15</v>
      </c>
      <c r="P412" s="116">
        <v>745.15</v>
      </c>
      <c r="Q412" s="116">
        <v>768.65</v>
      </c>
      <c r="R412">
        <v>87902</v>
      </c>
    </row>
    <row r="413" spans="1:18" x14ac:dyDescent="0.25">
      <c r="A413" s="170">
        <v>44082</v>
      </c>
      <c r="B413" s="116">
        <v>720</v>
      </c>
      <c r="C413" s="116">
        <v>698.75</v>
      </c>
      <c r="D413" s="116">
        <v>696</v>
      </c>
      <c r="E413" s="116">
        <v>720</v>
      </c>
      <c r="F413" s="116">
        <v>698.75</v>
      </c>
      <c r="G413">
        <v>5038</v>
      </c>
      <c r="H413" s="116"/>
      <c r="I413" s="116"/>
      <c r="L413" s="170">
        <v>44077</v>
      </c>
      <c r="M413" s="116">
        <v>756.45</v>
      </c>
      <c r="N413" s="116">
        <v>772</v>
      </c>
      <c r="O413" s="116">
        <v>751.05</v>
      </c>
      <c r="P413" s="116">
        <v>771</v>
      </c>
      <c r="Q413" s="116">
        <v>756.45</v>
      </c>
      <c r="R413">
        <v>49218</v>
      </c>
    </row>
    <row r="414" spans="1:18" x14ac:dyDescent="0.25">
      <c r="A414" s="170">
        <v>44083</v>
      </c>
      <c r="B414" s="116">
        <v>698</v>
      </c>
      <c r="C414" s="116">
        <v>684.4</v>
      </c>
      <c r="D414" s="116">
        <v>680.75</v>
      </c>
      <c r="E414" s="116">
        <v>690.25</v>
      </c>
      <c r="F414" s="116">
        <v>684.4</v>
      </c>
      <c r="G414">
        <v>1921</v>
      </c>
      <c r="H414" s="116"/>
      <c r="I414" s="116"/>
      <c r="L414" s="170">
        <v>44078</v>
      </c>
      <c r="M414" s="116">
        <v>744.6</v>
      </c>
      <c r="N414" s="116">
        <v>759.8</v>
      </c>
      <c r="O414" s="116">
        <v>741</v>
      </c>
      <c r="P414" s="116">
        <v>750</v>
      </c>
      <c r="Q414" s="116">
        <v>744.6</v>
      </c>
      <c r="R414">
        <v>41323</v>
      </c>
    </row>
    <row r="415" spans="1:18" x14ac:dyDescent="0.25">
      <c r="A415" s="170">
        <v>44084</v>
      </c>
      <c r="B415" s="116">
        <v>715.6</v>
      </c>
      <c r="C415" s="116">
        <v>709.3</v>
      </c>
      <c r="D415" s="116">
        <v>676.95</v>
      </c>
      <c r="E415" s="116">
        <v>690.7</v>
      </c>
      <c r="F415" s="116">
        <v>709.3</v>
      </c>
      <c r="G415">
        <v>6190</v>
      </c>
      <c r="H415" s="116"/>
      <c r="I415" s="116"/>
      <c r="L415" s="170">
        <v>44081</v>
      </c>
      <c r="M415" s="116">
        <v>719.95</v>
      </c>
      <c r="N415" s="116">
        <v>748.3</v>
      </c>
      <c r="O415" s="116">
        <v>710.5</v>
      </c>
      <c r="P415" s="116">
        <v>748.3</v>
      </c>
      <c r="Q415" s="116">
        <v>719.95</v>
      </c>
      <c r="R415">
        <v>128589</v>
      </c>
    </row>
    <row r="416" spans="1:18" x14ac:dyDescent="0.25">
      <c r="A416" s="170">
        <v>44085</v>
      </c>
      <c r="B416" s="116">
        <v>716.6</v>
      </c>
      <c r="C416" s="116">
        <v>709.95</v>
      </c>
      <c r="D416" s="116">
        <v>693.3</v>
      </c>
      <c r="E416" s="116">
        <v>706</v>
      </c>
      <c r="F416" s="116">
        <v>709.95</v>
      </c>
      <c r="G416">
        <v>19517</v>
      </c>
      <c r="H416" s="116"/>
      <c r="I416" s="116"/>
      <c r="L416" s="170">
        <v>44082</v>
      </c>
      <c r="M416" s="116">
        <v>700.25</v>
      </c>
      <c r="N416" s="116">
        <v>720</v>
      </c>
      <c r="O416" s="116">
        <v>695.1</v>
      </c>
      <c r="P416" s="116">
        <v>720</v>
      </c>
      <c r="Q416" s="116">
        <v>700.25</v>
      </c>
      <c r="R416">
        <v>127216</v>
      </c>
    </row>
    <row r="417" spans="1:18" x14ac:dyDescent="0.25">
      <c r="A417" s="170">
        <v>44088</v>
      </c>
      <c r="B417" s="116">
        <v>745.35</v>
      </c>
      <c r="C417" s="116">
        <v>725.4</v>
      </c>
      <c r="D417" s="116">
        <v>713.85</v>
      </c>
      <c r="E417" s="116">
        <v>717.75</v>
      </c>
      <c r="F417" s="116">
        <v>725.4</v>
      </c>
      <c r="G417">
        <v>1972</v>
      </c>
      <c r="H417" s="116"/>
      <c r="I417" s="116"/>
      <c r="L417" s="170">
        <v>44083</v>
      </c>
      <c r="M417" s="116">
        <v>683</v>
      </c>
      <c r="N417" s="116">
        <v>698.65</v>
      </c>
      <c r="O417" s="116">
        <v>680</v>
      </c>
      <c r="P417" s="116">
        <v>687.2</v>
      </c>
      <c r="Q417" s="116">
        <v>683</v>
      </c>
      <c r="R417">
        <v>109920</v>
      </c>
    </row>
    <row r="418" spans="1:18" x14ac:dyDescent="0.25">
      <c r="A418" s="170">
        <v>44089</v>
      </c>
      <c r="B418" s="116">
        <v>784</v>
      </c>
      <c r="C418" s="116">
        <v>768.05</v>
      </c>
      <c r="D418" s="116">
        <v>747.35</v>
      </c>
      <c r="E418" s="116">
        <v>754.8</v>
      </c>
      <c r="F418" s="116">
        <v>768.05</v>
      </c>
      <c r="G418">
        <v>8533</v>
      </c>
      <c r="H418" s="116"/>
      <c r="I418" s="116"/>
      <c r="L418" s="170">
        <v>44084</v>
      </c>
      <c r="M418" s="116">
        <v>710.5</v>
      </c>
      <c r="N418" s="116">
        <v>715</v>
      </c>
      <c r="O418" s="116">
        <v>689</v>
      </c>
      <c r="P418" s="116">
        <v>689</v>
      </c>
      <c r="Q418" s="116">
        <v>710.5</v>
      </c>
      <c r="R418">
        <v>208986</v>
      </c>
    </row>
    <row r="419" spans="1:18" x14ac:dyDescent="0.25">
      <c r="A419" s="170">
        <v>44090</v>
      </c>
      <c r="B419" s="116">
        <v>780.35</v>
      </c>
      <c r="C419" s="116">
        <v>756.15</v>
      </c>
      <c r="D419" s="116">
        <v>744.95</v>
      </c>
      <c r="E419" s="116">
        <v>776.3</v>
      </c>
      <c r="F419" s="116">
        <v>756.15</v>
      </c>
      <c r="G419">
        <v>4852</v>
      </c>
      <c r="H419" s="116"/>
      <c r="I419" s="116"/>
      <c r="L419" s="170">
        <v>44085</v>
      </c>
      <c r="M419" s="116">
        <v>713.25</v>
      </c>
      <c r="N419" s="116">
        <v>715.5</v>
      </c>
      <c r="O419" s="116">
        <v>692.15</v>
      </c>
      <c r="P419" s="116">
        <v>705</v>
      </c>
      <c r="Q419" s="116">
        <v>713.25</v>
      </c>
      <c r="R419">
        <v>85476</v>
      </c>
    </row>
    <row r="420" spans="1:18" x14ac:dyDescent="0.25">
      <c r="A420" s="170">
        <v>44091</v>
      </c>
      <c r="B420" s="116">
        <v>797</v>
      </c>
      <c r="C420" s="116">
        <v>793.3</v>
      </c>
      <c r="D420" s="116">
        <v>769.4</v>
      </c>
      <c r="E420" s="116">
        <v>771.85</v>
      </c>
      <c r="F420" s="116">
        <v>793.3</v>
      </c>
      <c r="G420">
        <v>11836</v>
      </c>
      <c r="H420" s="116"/>
      <c r="I420" s="116"/>
      <c r="L420" s="170">
        <v>44088</v>
      </c>
      <c r="M420" s="116">
        <v>731.45</v>
      </c>
      <c r="N420" s="116">
        <v>744.8</v>
      </c>
      <c r="O420" s="116">
        <v>712.25</v>
      </c>
      <c r="P420" s="116">
        <v>720</v>
      </c>
      <c r="Q420" s="116">
        <v>731.45</v>
      </c>
      <c r="R420">
        <v>149263</v>
      </c>
    </row>
    <row r="421" spans="1:18" x14ac:dyDescent="0.25">
      <c r="A421" s="170">
        <v>44092</v>
      </c>
      <c r="B421" s="116">
        <v>806.2</v>
      </c>
      <c r="C421" s="116">
        <v>768.3</v>
      </c>
      <c r="D421" s="116">
        <v>762</v>
      </c>
      <c r="E421" s="116">
        <v>800</v>
      </c>
      <c r="F421" s="116">
        <v>768.3</v>
      </c>
      <c r="G421">
        <v>9573</v>
      </c>
      <c r="H421" s="116"/>
      <c r="I421" s="116"/>
      <c r="L421" s="170">
        <v>44089</v>
      </c>
      <c r="M421" s="116">
        <v>768.05</v>
      </c>
      <c r="N421" s="116">
        <v>784.4</v>
      </c>
      <c r="O421" s="116">
        <v>745.45</v>
      </c>
      <c r="P421" s="116">
        <v>755</v>
      </c>
      <c r="Q421" s="116">
        <v>768.05</v>
      </c>
      <c r="R421">
        <v>226051</v>
      </c>
    </row>
    <row r="422" spans="1:18" x14ac:dyDescent="0.25">
      <c r="A422" s="170">
        <v>44095</v>
      </c>
      <c r="B422" s="116">
        <v>788.4</v>
      </c>
      <c r="C422" s="116">
        <v>755.85</v>
      </c>
      <c r="D422" s="116">
        <v>752</v>
      </c>
      <c r="E422" s="116">
        <v>776.8</v>
      </c>
      <c r="F422" s="116">
        <v>755.85</v>
      </c>
      <c r="G422">
        <v>4530</v>
      </c>
      <c r="H422" s="116"/>
      <c r="I422" s="116"/>
      <c r="L422" s="170">
        <v>44090</v>
      </c>
      <c r="M422" s="116">
        <v>767.6</v>
      </c>
      <c r="N422" s="116">
        <v>779.95</v>
      </c>
      <c r="O422" s="116">
        <v>760</v>
      </c>
      <c r="P422" s="116">
        <v>778</v>
      </c>
      <c r="Q422" s="116">
        <v>767.6</v>
      </c>
      <c r="R422">
        <v>52105</v>
      </c>
    </row>
    <row r="423" spans="1:18" x14ac:dyDescent="0.25">
      <c r="A423" s="170">
        <v>44096</v>
      </c>
      <c r="B423" s="116">
        <v>769.95</v>
      </c>
      <c r="C423" s="116">
        <v>762.9</v>
      </c>
      <c r="D423" s="116">
        <v>730.5</v>
      </c>
      <c r="E423" s="116">
        <v>765.05</v>
      </c>
      <c r="F423" s="116">
        <v>762.9</v>
      </c>
      <c r="G423">
        <v>2416</v>
      </c>
      <c r="H423" s="116"/>
      <c r="I423" s="116"/>
      <c r="L423" s="170">
        <v>44091</v>
      </c>
      <c r="M423" s="116">
        <v>792.75</v>
      </c>
      <c r="N423" s="116">
        <v>797</v>
      </c>
      <c r="O423" s="116">
        <v>770.05</v>
      </c>
      <c r="P423" s="116">
        <v>771.45</v>
      </c>
      <c r="Q423" s="116">
        <v>792.75</v>
      </c>
      <c r="R423">
        <v>189407</v>
      </c>
    </row>
    <row r="424" spans="1:18" x14ac:dyDescent="0.25">
      <c r="A424" s="170">
        <v>44097</v>
      </c>
      <c r="B424" s="116">
        <v>772.8</v>
      </c>
      <c r="C424" s="116">
        <v>749.8</v>
      </c>
      <c r="D424" s="116">
        <v>735</v>
      </c>
      <c r="E424" s="116">
        <v>766.75</v>
      </c>
      <c r="F424" s="116">
        <v>749.8</v>
      </c>
      <c r="G424">
        <v>2284</v>
      </c>
      <c r="H424" s="116"/>
      <c r="I424" s="116"/>
      <c r="L424" s="170">
        <v>44092</v>
      </c>
      <c r="M424" s="116">
        <v>768.95</v>
      </c>
      <c r="N424" s="116">
        <v>807.8</v>
      </c>
      <c r="O424" s="116">
        <v>761.5</v>
      </c>
      <c r="P424" s="116">
        <v>797</v>
      </c>
      <c r="Q424" s="116">
        <v>768.95</v>
      </c>
      <c r="R424">
        <v>340095</v>
      </c>
    </row>
    <row r="425" spans="1:18" x14ac:dyDescent="0.25">
      <c r="A425" s="170">
        <v>44098</v>
      </c>
      <c r="B425" s="116">
        <v>740.7</v>
      </c>
      <c r="C425" s="116">
        <v>731.45</v>
      </c>
      <c r="D425" s="116">
        <v>723</v>
      </c>
      <c r="E425" s="116">
        <v>735.35</v>
      </c>
      <c r="F425" s="116">
        <v>731.45</v>
      </c>
      <c r="G425">
        <v>1645</v>
      </c>
      <c r="H425" s="116"/>
      <c r="I425" s="116"/>
      <c r="L425" s="170">
        <v>44095</v>
      </c>
      <c r="M425" s="116">
        <v>756.4</v>
      </c>
      <c r="N425" s="116">
        <v>789.05</v>
      </c>
      <c r="O425" s="116">
        <v>751.15</v>
      </c>
      <c r="P425" s="116">
        <v>774</v>
      </c>
      <c r="Q425" s="116">
        <v>756.4</v>
      </c>
      <c r="R425">
        <v>127270</v>
      </c>
    </row>
    <row r="426" spans="1:18" x14ac:dyDescent="0.25">
      <c r="A426" s="170">
        <v>44099</v>
      </c>
      <c r="B426" s="116">
        <v>759.1</v>
      </c>
      <c r="C426" s="116">
        <v>753.75</v>
      </c>
      <c r="D426" s="116">
        <v>730</v>
      </c>
      <c r="E426" s="116">
        <v>754</v>
      </c>
      <c r="F426" s="116">
        <v>753.75</v>
      </c>
      <c r="G426">
        <v>736</v>
      </c>
      <c r="H426" s="116"/>
      <c r="I426" s="116"/>
      <c r="L426" s="170">
        <v>44096</v>
      </c>
      <c r="M426" s="116">
        <v>762.55</v>
      </c>
      <c r="N426" s="116">
        <v>779.15</v>
      </c>
      <c r="O426" s="116">
        <v>730</v>
      </c>
      <c r="P426" s="116">
        <v>760</v>
      </c>
      <c r="Q426" s="116">
        <v>762.55</v>
      </c>
      <c r="R426">
        <v>88229</v>
      </c>
    </row>
    <row r="427" spans="1:18" x14ac:dyDescent="0.25">
      <c r="A427" s="170">
        <v>44102</v>
      </c>
      <c r="B427" s="116">
        <v>778</v>
      </c>
      <c r="C427" s="116">
        <v>774.6</v>
      </c>
      <c r="D427" s="116">
        <v>761.1</v>
      </c>
      <c r="E427" s="116">
        <v>761.1</v>
      </c>
      <c r="F427" s="116">
        <v>774.6</v>
      </c>
      <c r="G427">
        <v>3973</v>
      </c>
      <c r="H427" s="116"/>
      <c r="I427" s="116"/>
      <c r="L427" s="170">
        <v>44097</v>
      </c>
      <c r="M427" s="116">
        <v>750.15</v>
      </c>
      <c r="N427" s="116">
        <v>774.55</v>
      </c>
      <c r="O427" s="116">
        <v>736</v>
      </c>
      <c r="P427" s="116">
        <v>765</v>
      </c>
      <c r="Q427" s="116">
        <v>750.15</v>
      </c>
      <c r="R427">
        <v>54898</v>
      </c>
    </row>
    <row r="428" spans="1:18" x14ac:dyDescent="0.25">
      <c r="A428" s="170">
        <v>44103</v>
      </c>
      <c r="B428" s="116">
        <v>791</v>
      </c>
      <c r="C428" s="116">
        <v>785.55</v>
      </c>
      <c r="D428" s="116">
        <v>766.95</v>
      </c>
      <c r="E428" s="116">
        <v>779.6</v>
      </c>
      <c r="F428" s="116">
        <v>785.55</v>
      </c>
      <c r="G428">
        <v>4765</v>
      </c>
      <c r="H428" s="116"/>
      <c r="I428" s="116"/>
      <c r="L428" s="170">
        <v>44098</v>
      </c>
      <c r="M428" s="116">
        <v>734.1</v>
      </c>
      <c r="N428" s="116">
        <v>747.95</v>
      </c>
      <c r="O428" s="116">
        <v>721.55</v>
      </c>
      <c r="P428" s="116">
        <v>740</v>
      </c>
      <c r="Q428" s="116">
        <v>734.1</v>
      </c>
      <c r="R428">
        <v>45240</v>
      </c>
    </row>
    <row r="429" spans="1:18" x14ac:dyDescent="0.25">
      <c r="A429" s="170">
        <v>44104</v>
      </c>
      <c r="B429" s="116">
        <v>788.6</v>
      </c>
      <c r="C429" s="116">
        <v>782.25</v>
      </c>
      <c r="D429" s="116">
        <v>760</v>
      </c>
      <c r="E429" s="116">
        <v>785.2</v>
      </c>
      <c r="F429" s="116">
        <v>782.25</v>
      </c>
      <c r="G429">
        <v>1352</v>
      </c>
      <c r="H429" s="116"/>
      <c r="I429" s="116"/>
      <c r="L429" s="170">
        <v>44099</v>
      </c>
      <c r="M429" s="116">
        <v>752.35</v>
      </c>
      <c r="N429" s="116">
        <v>758.65</v>
      </c>
      <c r="O429" s="116">
        <v>730.55</v>
      </c>
      <c r="P429" s="116">
        <v>737.8</v>
      </c>
      <c r="Q429" s="116">
        <v>752.35</v>
      </c>
      <c r="R429">
        <v>75988</v>
      </c>
    </row>
    <row r="430" spans="1:18" x14ac:dyDescent="0.25">
      <c r="A430" s="170">
        <v>44105</v>
      </c>
      <c r="B430" s="116">
        <v>794</v>
      </c>
      <c r="C430" s="116">
        <v>772.6</v>
      </c>
      <c r="D430" s="116">
        <v>769</v>
      </c>
      <c r="E430" s="116">
        <v>781.6</v>
      </c>
      <c r="F430" s="116">
        <v>772.6</v>
      </c>
      <c r="G430">
        <v>2545</v>
      </c>
      <c r="H430" s="116"/>
      <c r="I430" s="116"/>
      <c r="L430" s="170">
        <v>44102</v>
      </c>
      <c r="M430" s="116">
        <v>775.2</v>
      </c>
      <c r="N430" s="116">
        <v>779</v>
      </c>
      <c r="O430" s="116">
        <v>755.6</v>
      </c>
      <c r="P430" s="116">
        <v>762.8</v>
      </c>
      <c r="Q430" s="116">
        <v>775.2</v>
      </c>
      <c r="R430">
        <v>209045</v>
      </c>
    </row>
    <row r="431" spans="1:18" x14ac:dyDescent="0.25">
      <c r="A431" s="170">
        <v>44109</v>
      </c>
      <c r="B431" s="116">
        <v>780</v>
      </c>
      <c r="C431" s="116">
        <v>753.3</v>
      </c>
      <c r="D431" s="116">
        <v>751</v>
      </c>
      <c r="E431" s="116">
        <v>774.6</v>
      </c>
      <c r="F431" s="116">
        <v>753.3</v>
      </c>
      <c r="G431">
        <v>2556</v>
      </c>
      <c r="H431" s="116"/>
      <c r="I431" s="116"/>
      <c r="L431" s="170">
        <v>44103</v>
      </c>
      <c r="M431" s="116">
        <v>786.2</v>
      </c>
      <c r="N431" s="116">
        <v>792</v>
      </c>
      <c r="O431" s="116">
        <v>765.85</v>
      </c>
      <c r="P431" s="116">
        <v>779.2</v>
      </c>
      <c r="Q431" s="116">
        <v>786.2</v>
      </c>
      <c r="R431">
        <v>172665</v>
      </c>
    </row>
    <row r="432" spans="1:18" x14ac:dyDescent="0.25">
      <c r="A432" s="170">
        <v>44110</v>
      </c>
      <c r="B432" s="116">
        <v>779.3</v>
      </c>
      <c r="C432" s="116">
        <v>772.05</v>
      </c>
      <c r="D432" s="116">
        <v>740</v>
      </c>
      <c r="E432" s="116">
        <v>759.85</v>
      </c>
      <c r="F432" s="116">
        <v>772.05</v>
      </c>
      <c r="G432">
        <v>534515</v>
      </c>
      <c r="H432" s="116"/>
      <c r="I432" s="116"/>
      <c r="L432" s="170">
        <v>44104</v>
      </c>
      <c r="M432" s="116">
        <v>781.45</v>
      </c>
      <c r="N432" s="116">
        <v>787.9</v>
      </c>
      <c r="O432" s="116">
        <v>760</v>
      </c>
      <c r="P432" s="116">
        <v>783.1</v>
      </c>
      <c r="Q432" s="116">
        <v>781.45</v>
      </c>
      <c r="R432">
        <v>126209</v>
      </c>
    </row>
    <row r="433" spans="1:18" x14ac:dyDescent="0.25">
      <c r="A433" s="170">
        <v>44111</v>
      </c>
      <c r="B433" s="116">
        <v>809</v>
      </c>
      <c r="C433" s="116">
        <v>791</v>
      </c>
      <c r="D433" s="116">
        <v>773.1</v>
      </c>
      <c r="E433" s="116">
        <v>773.35</v>
      </c>
      <c r="F433" s="116">
        <v>791</v>
      </c>
      <c r="G433">
        <v>16240</v>
      </c>
      <c r="H433" s="116"/>
      <c r="I433" s="116"/>
      <c r="L433" s="170">
        <v>44105</v>
      </c>
      <c r="M433" s="116">
        <v>772.2</v>
      </c>
      <c r="N433" s="116">
        <v>796</v>
      </c>
      <c r="O433" s="116">
        <v>768.05</v>
      </c>
      <c r="P433" s="116">
        <v>781.45</v>
      </c>
      <c r="Q433" s="116">
        <v>772.2</v>
      </c>
      <c r="R433">
        <v>82092</v>
      </c>
    </row>
    <row r="434" spans="1:18" x14ac:dyDescent="0.25">
      <c r="A434" s="170">
        <v>44112</v>
      </c>
      <c r="B434" s="116">
        <v>807.95</v>
      </c>
      <c r="C434" s="116">
        <v>764.25</v>
      </c>
      <c r="D434" s="116">
        <v>757.7</v>
      </c>
      <c r="E434" s="116">
        <v>791</v>
      </c>
      <c r="F434" s="116">
        <v>764.25</v>
      </c>
      <c r="G434">
        <v>10238</v>
      </c>
      <c r="H434" s="116"/>
      <c r="I434" s="116"/>
      <c r="L434" s="170">
        <v>44109</v>
      </c>
      <c r="M434" s="116">
        <v>753.5</v>
      </c>
      <c r="N434" s="116">
        <v>781.95</v>
      </c>
      <c r="O434" s="116">
        <v>750</v>
      </c>
      <c r="P434" s="116">
        <v>778.8</v>
      </c>
      <c r="Q434" s="116">
        <v>753.5</v>
      </c>
      <c r="R434">
        <v>75979</v>
      </c>
    </row>
    <row r="435" spans="1:18" x14ac:dyDescent="0.25">
      <c r="A435" s="170">
        <v>44113</v>
      </c>
      <c r="B435" s="116">
        <v>782.65</v>
      </c>
      <c r="C435" s="116">
        <v>777.3</v>
      </c>
      <c r="D435" s="116">
        <v>756</v>
      </c>
      <c r="E435" s="116">
        <v>769.35</v>
      </c>
      <c r="F435" s="116">
        <v>777.3</v>
      </c>
      <c r="G435">
        <v>1491</v>
      </c>
      <c r="H435" s="116"/>
      <c r="I435" s="116"/>
      <c r="L435" s="170">
        <v>44110</v>
      </c>
      <c r="M435" s="116">
        <v>769.25</v>
      </c>
      <c r="N435" s="116">
        <v>778.9</v>
      </c>
      <c r="O435" s="116">
        <v>740</v>
      </c>
      <c r="P435" s="116">
        <v>763</v>
      </c>
      <c r="Q435" s="116">
        <v>769.25</v>
      </c>
      <c r="R435">
        <v>1131457</v>
      </c>
    </row>
    <row r="436" spans="1:18" x14ac:dyDescent="0.25">
      <c r="A436" s="170">
        <v>44116</v>
      </c>
      <c r="B436" s="116">
        <v>795.2</v>
      </c>
      <c r="C436" s="116">
        <v>792</v>
      </c>
      <c r="D436" s="116">
        <v>771.8</v>
      </c>
      <c r="E436" s="116">
        <v>775.5</v>
      </c>
      <c r="F436" s="116">
        <v>792</v>
      </c>
      <c r="G436">
        <v>7541</v>
      </c>
      <c r="H436" s="116"/>
      <c r="I436" s="116"/>
      <c r="L436" s="170">
        <v>44111</v>
      </c>
      <c r="M436" s="116">
        <v>790.8</v>
      </c>
      <c r="N436" s="116">
        <v>809</v>
      </c>
      <c r="O436" s="116">
        <v>771.55</v>
      </c>
      <c r="P436" s="116">
        <v>773.05</v>
      </c>
      <c r="Q436" s="116">
        <v>790.8</v>
      </c>
      <c r="R436">
        <v>395222</v>
      </c>
    </row>
    <row r="437" spans="1:18" x14ac:dyDescent="0.25">
      <c r="A437" s="170">
        <v>44117</v>
      </c>
      <c r="B437" s="116">
        <v>829.9</v>
      </c>
      <c r="C437" s="116">
        <v>794.2</v>
      </c>
      <c r="D437" s="116">
        <v>790</v>
      </c>
      <c r="E437" s="116">
        <v>795</v>
      </c>
      <c r="F437" s="116">
        <v>794.2</v>
      </c>
      <c r="G437">
        <v>15880</v>
      </c>
      <c r="H437" s="116"/>
      <c r="I437" s="116"/>
      <c r="L437" s="170">
        <v>44112</v>
      </c>
      <c r="M437" s="116">
        <v>764.9</v>
      </c>
      <c r="N437" s="116">
        <v>809</v>
      </c>
      <c r="O437" s="116">
        <v>758</v>
      </c>
      <c r="P437" s="116">
        <v>795.8</v>
      </c>
      <c r="Q437" s="116">
        <v>764.9</v>
      </c>
      <c r="R437">
        <v>311712</v>
      </c>
    </row>
    <row r="438" spans="1:18" x14ac:dyDescent="0.25">
      <c r="A438" s="170">
        <v>44118</v>
      </c>
      <c r="B438" s="116">
        <v>809.05</v>
      </c>
      <c r="C438" s="116">
        <v>799.45</v>
      </c>
      <c r="D438" s="116">
        <v>791.35</v>
      </c>
      <c r="E438" s="116">
        <v>792.7</v>
      </c>
      <c r="F438" s="116">
        <v>799.45</v>
      </c>
      <c r="G438">
        <v>2774</v>
      </c>
      <c r="H438" s="116"/>
      <c r="I438" s="116"/>
      <c r="L438" s="170">
        <v>44113</v>
      </c>
      <c r="M438" s="116">
        <v>778.05</v>
      </c>
      <c r="N438" s="116">
        <v>783</v>
      </c>
      <c r="O438" s="116">
        <v>755.7</v>
      </c>
      <c r="P438" s="116">
        <v>765.55</v>
      </c>
      <c r="Q438" s="116">
        <v>778.05</v>
      </c>
      <c r="R438">
        <v>165408</v>
      </c>
    </row>
    <row r="439" spans="1:18" x14ac:dyDescent="0.25">
      <c r="A439" s="170">
        <v>44119</v>
      </c>
      <c r="B439" s="116">
        <v>810.6</v>
      </c>
      <c r="C439" s="116">
        <v>772</v>
      </c>
      <c r="D439" s="116">
        <v>770</v>
      </c>
      <c r="E439" s="116">
        <v>806.85</v>
      </c>
      <c r="F439" s="116">
        <v>772</v>
      </c>
      <c r="G439">
        <v>5476</v>
      </c>
      <c r="H439" s="116"/>
      <c r="I439" s="116"/>
      <c r="L439" s="170">
        <v>44116</v>
      </c>
      <c r="M439" s="116">
        <v>792.35</v>
      </c>
      <c r="N439" s="116">
        <v>795.45</v>
      </c>
      <c r="O439" s="116">
        <v>773</v>
      </c>
      <c r="P439" s="116">
        <v>778.05</v>
      </c>
      <c r="Q439" s="116">
        <v>792.35</v>
      </c>
      <c r="R439">
        <v>162466</v>
      </c>
    </row>
    <row r="440" spans="1:18" x14ac:dyDescent="0.25">
      <c r="A440" s="170">
        <v>44120</v>
      </c>
      <c r="B440" s="116">
        <v>793.8</v>
      </c>
      <c r="C440" s="116">
        <v>788.65</v>
      </c>
      <c r="D440" s="116">
        <v>770</v>
      </c>
      <c r="E440" s="116">
        <v>785.1</v>
      </c>
      <c r="F440" s="116">
        <v>788.65</v>
      </c>
      <c r="G440">
        <v>3359</v>
      </c>
      <c r="H440" s="116"/>
      <c r="I440" s="116"/>
      <c r="L440" s="170">
        <v>44117</v>
      </c>
      <c r="M440" s="116">
        <v>795.6</v>
      </c>
      <c r="N440" s="116">
        <v>830</v>
      </c>
      <c r="O440" s="116">
        <v>789.1</v>
      </c>
      <c r="P440" s="116">
        <v>795.35</v>
      </c>
      <c r="Q440" s="116">
        <v>795.6</v>
      </c>
      <c r="R440">
        <v>519868</v>
      </c>
    </row>
    <row r="441" spans="1:18" x14ac:dyDescent="0.25">
      <c r="A441" s="170">
        <v>44123</v>
      </c>
      <c r="B441" s="116">
        <v>814.75</v>
      </c>
      <c r="C441" s="116">
        <v>803.15</v>
      </c>
      <c r="D441" s="116">
        <v>790.3</v>
      </c>
      <c r="E441" s="116">
        <v>800</v>
      </c>
      <c r="F441" s="116">
        <v>803.15</v>
      </c>
      <c r="G441">
        <v>4662</v>
      </c>
      <c r="H441" s="116"/>
      <c r="I441" s="116"/>
      <c r="L441" s="170">
        <v>44118</v>
      </c>
      <c r="M441" s="116">
        <v>802.2</v>
      </c>
      <c r="N441" s="116">
        <v>809.7</v>
      </c>
      <c r="O441" s="116">
        <v>784</v>
      </c>
      <c r="P441" s="116">
        <v>784</v>
      </c>
      <c r="Q441" s="116">
        <v>802.2</v>
      </c>
      <c r="R441">
        <v>199670</v>
      </c>
    </row>
    <row r="442" spans="1:18" x14ac:dyDescent="0.25">
      <c r="A442" s="170">
        <v>44124</v>
      </c>
      <c r="B442" s="116">
        <v>836.05</v>
      </c>
      <c r="C442" s="116">
        <v>814.95</v>
      </c>
      <c r="D442" s="116">
        <v>806.75</v>
      </c>
      <c r="E442" s="116">
        <v>808.3</v>
      </c>
      <c r="F442" s="116">
        <v>814.95</v>
      </c>
      <c r="G442">
        <v>12589</v>
      </c>
      <c r="H442" s="116"/>
      <c r="I442" s="116"/>
      <c r="L442" s="170">
        <v>44119</v>
      </c>
      <c r="M442" s="116">
        <v>773.1</v>
      </c>
      <c r="N442" s="116">
        <v>813</v>
      </c>
      <c r="O442" s="116">
        <v>770</v>
      </c>
      <c r="P442" s="116">
        <v>800.1</v>
      </c>
      <c r="Q442" s="116">
        <v>773.1</v>
      </c>
      <c r="R442">
        <v>225766</v>
      </c>
    </row>
    <row r="443" spans="1:18" x14ac:dyDescent="0.25">
      <c r="A443" s="170">
        <v>44125</v>
      </c>
      <c r="B443" s="116">
        <v>825.6</v>
      </c>
      <c r="C443" s="116">
        <v>814.2</v>
      </c>
      <c r="D443" s="116">
        <v>801</v>
      </c>
      <c r="E443" s="116">
        <v>825.2</v>
      </c>
      <c r="F443" s="116">
        <v>814.2</v>
      </c>
      <c r="G443">
        <v>4148</v>
      </c>
      <c r="H443" s="116"/>
      <c r="I443" s="116"/>
      <c r="L443" s="170">
        <v>44120</v>
      </c>
      <c r="M443" s="116">
        <v>789.6</v>
      </c>
      <c r="N443" s="116">
        <v>794</v>
      </c>
      <c r="O443" s="116">
        <v>770</v>
      </c>
      <c r="P443" s="116">
        <v>779.9</v>
      </c>
      <c r="Q443" s="116">
        <v>789.6</v>
      </c>
      <c r="R443">
        <v>619784</v>
      </c>
    </row>
    <row r="444" spans="1:18" x14ac:dyDescent="0.25">
      <c r="A444" s="170">
        <v>44126</v>
      </c>
      <c r="B444" s="116">
        <v>842.95</v>
      </c>
      <c r="C444" s="116">
        <v>834.05</v>
      </c>
      <c r="D444" s="116">
        <v>810.3</v>
      </c>
      <c r="E444" s="116">
        <v>818.3</v>
      </c>
      <c r="F444" s="116">
        <v>834.05</v>
      </c>
      <c r="G444">
        <v>4788</v>
      </c>
      <c r="H444" s="116"/>
      <c r="I444" s="116"/>
      <c r="L444" s="170">
        <v>44123</v>
      </c>
      <c r="M444" s="116">
        <v>804.9</v>
      </c>
      <c r="N444" s="116">
        <v>813.5</v>
      </c>
      <c r="O444" s="116">
        <v>790.6</v>
      </c>
      <c r="P444" s="116">
        <v>796</v>
      </c>
      <c r="Q444" s="116">
        <v>804.9</v>
      </c>
      <c r="R444">
        <v>108829</v>
      </c>
    </row>
    <row r="445" spans="1:18" x14ac:dyDescent="0.25">
      <c r="A445" s="170">
        <v>44127</v>
      </c>
      <c r="B445" s="116">
        <v>874</v>
      </c>
      <c r="C445" s="116">
        <v>846.95</v>
      </c>
      <c r="D445" s="116">
        <v>838.4</v>
      </c>
      <c r="E445" s="116">
        <v>842.45</v>
      </c>
      <c r="F445" s="116">
        <v>846.95</v>
      </c>
      <c r="G445">
        <v>11203</v>
      </c>
      <c r="H445" s="116"/>
      <c r="I445" s="116"/>
      <c r="L445" s="170">
        <v>44124</v>
      </c>
      <c r="M445" s="116">
        <v>814.85</v>
      </c>
      <c r="N445" s="116">
        <v>835.7</v>
      </c>
      <c r="O445" s="116">
        <v>805.25</v>
      </c>
      <c r="P445" s="116">
        <v>812.25</v>
      </c>
      <c r="Q445" s="116">
        <v>814.85</v>
      </c>
      <c r="R445">
        <v>353285</v>
      </c>
    </row>
    <row r="446" spans="1:18" x14ac:dyDescent="0.25">
      <c r="A446" s="170">
        <v>44130</v>
      </c>
      <c r="B446" s="116">
        <v>861.45</v>
      </c>
      <c r="C446" s="116">
        <v>828.8</v>
      </c>
      <c r="D446" s="116">
        <v>820</v>
      </c>
      <c r="E446" s="116">
        <v>852</v>
      </c>
      <c r="F446" s="116">
        <v>828.8</v>
      </c>
      <c r="G446">
        <v>4073</v>
      </c>
      <c r="H446" s="116"/>
      <c r="I446" s="116"/>
      <c r="L446" s="170">
        <v>44125</v>
      </c>
      <c r="M446" s="116">
        <v>814.5</v>
      </c>
      <c r="N446" s="116">
        <v>826</v>
      </c>
      <c r="O446" s="116">
        <v>801</v>
      </c>
      <c r="P446" s="116">
        <v>820</v>
      </c>
      <c r="Q446" s="116">
        <v>814.5</v>
      </c>
      <c r="R446">
        <v>117693</v>
      </c>
    </row>
    <row r="447" spans="1:18" x14ac:dyDescent="0.25">
      <c r="A447" s="170">
        <v>44131</v>
      </c>
      <c r="B447" s="116">
        <v>840.65</v>
      </c>
      <c r="C447" s="116">
        <v>824.8</v>
      </c>
      <c r="D447" s="116">
        <v>819.2</v>
      </c>
      <c r="E447" s="116">
        <v>827.1</v>
      </c>
      <c r="F447" s="116">
        <v>824.8</v>
      </c>
      <c r="G447">
        <v>5068</v>
      </c>
      <c r="H447" s="116"/>
      <c r="I447" s="116"/>
      <c r="L447" s="170">
        <v>44126</v>
      </c>
      <c r="M447" s="116">
        <v>834.05</v>
      </c>
      <c r="N447" s="116">
        <v>843</v>
      </c>
      <c r="O447" s="116">
        <v>810</v>
      </c>
      <c r="P447" s="116">
        <v>819</v>
      </c>
      <c r="Q447" s="116">
        <v>834.05</v>
      </c>
      <c r="R447">
        <v>198465</v>
      </c>
    </row>
    <row r="448" spans="1:18" x14ac:dyDescent="0.25">
      <c r="A448" s="170">
        <v>44132</v>
      </c>
      <c r="B448" s="116">
        <v>844.9</v>
      </c>
      <c r="C448" s="116">
        <v>825</v>
      </c>
      <c r="D448" s="116">
        <v>820.15</v>
      </c>
      <c r="E448" s="116">
        <v>831.85</v>
      </c>
      <c r="F448" s="116">
        <v>825</v>
      </c>
      <c r="G448">
        <v>3791</v>
      </c>
      <c r="H448" s="116"/>
      <c r="I448" s="116"/>
      <c r="L448" s="170">
        <v>44127</v>
      </c>
      <c r="M448" s="116">
        <v>847.8</v>
      </c>
      <c r="N448" s="116">
        <v>874.4</v>
      </c>
      <c r="O448" s="116">
        <v>836</v>
      </c>
      <c r="P448" s="116">
        <v>836</v>
      </c>
      <c r="Q448" s="116">
        <v>847.8</v>
      </c>
      <c r="R448">
        <v>325902</v>
      </c>
    </row>
    <row r="449" spans="1:18" x14ac:dyDescent="0.25">
      <c r="A449" s="170">
        <v>44133</v>
      </c>
      <c r="B449" s="116">
        <v>844.95</v>
      </c>
      <c r="C449" s="116">
        <v>839.35</v>
      </c>
      <c r="D449" s="116">
        <v>805</v>
      </c>
      <c r="E449" s="116">
        <v>816</v>
      </c>
      <c r="F449" s="116">
        <v>839.35</v>
      </c>
      <c r="G449">
        <v>5428</v>
      </c>
      <c r="H449" s="116"/>
      <c r="I449" s="116"/>
      <c r="L449" s="170">
        <v>44130</v>
      </c>
      <c r="M449" s="116">
        <v>827.4</v>
      </c>
      <c r="N449" s="116">
        <v>862.05</v>
      </c>
      <c r="O449" s="116">
        <v>818.2</v>
      </c>
      <c r="P449" s="116">
        <v>853.8</v>
      </c>
      <c r="Q449" s="116">
        <v>827.4</v>
      </c>
      <c r="R449">
        <v>113805</v>
      </c>
    </row>
    <row r="450" spans="1:18" x14ac:dyDescent="0.25">
      <c r="A450" s="170">
        <v>44134</v>
      </c>
      <c r="B450" s="116">
        <v>856.4</v>
      </c>
      <c r="C450" s="116">
        <v>841.9</v>
      </c>
      <c r="D450" s="116">
        <v>823.2</v>
      </c>
      <c r="E450" s="116">
        <v>850</v>
      </c>
      <c r="F450" s="116">
        <v>841.9</v>
      </c>
      <c r="G450">
        <v>3698</v>
      </c>
      <c r="H450" s="116"/>
      <c r="I450" s="116"/>
      <c r="L450" s="170">
        <v>44131</v>
      </c>
      <c r="M450" s="116">
        <v>823.25</v>
      </c>
      <c r="N450" s="116">
        <v>841</v>
      </c>
      <c r="O450" s="116">
        <v>820</v>
      </c>
      <c r="P450" s="116">
        <v>828</v>
      </c>
      <c r="Q450" s="116">
        <v>823.25</v>
      </c>
      <c r="R450">
        <v>153724</v>
      </c>
    </row>
    <row r="451" spans="1:18" x14ac:dyDescent="0.25">
      <c r="A451" s="170">
        <v>44137</v>
      </c>
      <c r="B451" s="116">
        <v>856.55</v>
      </c>
      <c r="C451" s="116">
        <v>840.35</v>
      </c>
      <c r="D451" s="116">
        <v>827.05</v>
      </c>
      <c r="E451" s="116">
        <v>847</v>
      </c>
      <c r="F451" s="116">
        <v>840.35</v>
      </c>
      <c r="G451">
        <v>2669</v>
      </c>
      <c r="H451" s="116"/>
      <c r="I451" s="116"/>
      <c r="L451" s="170">
        <v>44132</v>
      </c>
      <c r="M451" s="116">
        <v>825</v>
      </c>
      <c r="N451" s="116">
        <v>845</v>
      </c>
      <c r="O451" s="116">
        <v>819.65</v>
      </c>
      <c r="P451" s="116">
        <v>829.6</v>
      </c>
      <c r="Q451" s="116">
        <v>825</v>
      </c>
      <c r="R451">
        <v>92845</v>
      </c>
    </row>
    <row r="452" spans="1:18" x14ac:dyDescent="0.25">
      <c r="A452" s="170">
        <v>44138</v>
      </c>
      <c r="B452" s="116">
        <v>853.25</v>
      </c>
      <c r="C452" s="116">
        <v>842.45</v>
      </c>
      <c r="D452" s="116">
        <v>835</v>
      </c>
      <c r="E452" s="116">
        <v>849.3</v>
      </c>
      <c r="F452" s="116">
        <v>842.45</v>
      </c>
      <c r="G452">
        <v>2202</v>
      </c>
      <c r="H452" s="116"/>
      <c r="I452" s="116"/>
      <c r="L452" s="170">
        <v>44133</v>
      </c>
      <c r="M452" s="116">
        <v>839.85</v>
      </c>
      <c r="N452" s="116">
        <v>845</v>
      </c>
      <c r="O452" s="116">
        <v>805.55</v>
      </c>
      <c r="P452" s="116">
        <v>812</v>
      </c>
      <c r="Q452" s="116">
        <v>839.85</v>
      </c>
      <c r="R452">
        <v>79965</v>
      </c>
    </row>
    <row r="453" spans="1:18" x14ac:dyDescent="0.25">
      <c r="A453" s="170">
        <v>44139</v>
      </c>
      <c r="B453" s="116">
        <v>847.2</v>
      </c>
      <c r="C453" s="116">
        <v>830.15</v>
      </c>
      <c r="D453" s="116">
        <v>826.95</v>
      </c>
      <c r="E453" s="116">
        <v>845</v>
      </c>
      <c r="F453" s="116">
        <v>830.15</v>
      </c>
      <c r="G453">
        <v>2243</v>
      </c>
      <c r="H453" s="116"/>
      <c r="I453" s="116"/>
      <c r="L453" s="170">
        <v>44134</v>
      </c>
      <c r="M453" s="116">
        <v>842.85</v>
      </c>
      <c r="N453" s="116">
        <v>857.8</v>
      </c>
      <c r="O453" s="116">
        <v>822.7</v>
      </c>
      <c r="P453" s="116">
        <v>838</v>
      </c>
      <c r="Q453" s="116">
        <v>842.85</v>
      </c>
      <c r="R453">
        <v>108297</v>
      </c>
    </row>
    <row r="454" spans="1:18" x14ac:dyDescent="0.25">
      <c r="A454" s="170">
        <v>44140</v>
      </c>
      <c r="B454" s="116">
        <v>882.45</v>
      </c>
      <c r="C454" s="116">
        <v>876.2</v>
      </c>
      <c r="D454" s="116">
        <v>830</v>
      </c>
      <c r="E454" s="116">
        <v>840.3</v>
      </c>
      <c r="F454" s="116">
        <v>876.2</v>
      </c>
      <c r="G454">
        <v>12788</v>
      </c>
      <c r="H454" s="116"/>
      <c r="I454" s="116"/>
      <c r="L454" s="170">
        <v>44137</v>
      </c>
      <c r="M454" s="116">
        <v>838.9</v>
      </c>
      <c r="N454" s="116">
        <v>857.1</v>
      </c>
      <c r="O454" s="116">
        <v>825.2</v>
      </c>
      <c r="P454" s="116">
        <v>845</v>
      </c>
      <c r="Q454" s="116">
        <v>838.9</v>
      </c>
      <c r="R454">
        <v>52727</v>
      </c>
    </row>
    <row r="455" spans="1:18" x14ac:dyDescent="0.25">
      <c r="A455" s="170">
        <v>44141</v>
      </c>
      <c r="B455" s="116">
        <v>925.4</v>
      </c>
      <c r="C455" s="116">
        <v>892.6</v>
      </c>
      <c r="D455" s="116">
        <v>881.05</v>
      </c>
      <c r="E455" s="116">
        <v>918.75</v>
      </c>
      <c r="F455" s="116">
        <v>892.6</v>
      </c>
      <c r="G455">
        <v>53903</v>
      </c>
      <c r="H455" s="116"/>
      <c r="I455" s="116"/>
      <c r="L455" s="170">
        <v>44138</v>
      </c>
      <c r="M455" s="116">
        <v>839.95</v>
      </c>
      <c r="N455" s="116">
        <v>855.2</v>
      </c>
      <c r="O455" s="116">
        <v>834.35</v>
      </c>
      <c r="P455" s="116">
        <v>850</v>
      </c>
      <c r="Q455" s="116">
        <v>839.95</v>
      </c>
      <c r="R455">
        <v>44974</v>
      </c>
    </row>
    <row r="456" spans="1:18" x14ac:dyDescent="0.25">
      <c r="A456" s="170">
        <v>44144</v>
      </c>
      <c r="B456" s="116">
        <v>923.3</v>
      </c>
      <c r="C456" s="116">
        <v>894.6</v>
      </c>
      <c r="D456" s="116">
        <v>868.5</v>
      </c>
      <c r="E456" s="116">
        <v>897</v>
      </c>
      <c r="F456" s="116">
        <v>894.6</v>
      </c>
      <c r="G456">
        <v>11163</v>
      </c>
      <c r="H456" s="116"/>
      <c r="I456" s="116"/>
      <c r="L456" s="170">
        <v>44139</v>
      </c>
      <c r="M456" s="116">
        <v>831.4</v>
      </c>
      <c r="N456" s="116">
        <v>850.2</v>
      </c>
      <c r="O456" s="116">
        <v>826.85</v>
      </c>
      <c r="P456" s="116">
        <v>841</v>
      </c>
      <c r="Q456" s="116">
        <v>831.4</v>
      </c>
      <c r="R456">
        <v>90469</v>
      </c>
    </row>
    <row r="457" spans="1:18" x14ac:dyDescent="0.25">
      <c r="A457" s="170">
        <v>44145</v>
      </c>
      <c r="B457" s="116">
        <v>929.6</v>
      </c>
      <c r="C457" s="116">
        <v>910.45</v>
      </c>
      <c r="D457" s="116">
        <v>896.75</v>
      </c>
      <c r="E457" s="116">
        <v>920</v>
      </c>
      <c r="F457" s="116">
        <v>910.45</v>
      </c>
      <c r="G457">
        <v>11418</v>
      </c>
      <c r="H457" s="116"/>
      <c r="I457" s="116"/>
      <c r="L457" s="170">
        <v>44140</v>
      </c>
      <c r="M457" s="116">
        <v>872.65</v>
      </c>
      <c r="N457" s="116">
        <v>883.9</v>
      </c>
      <c r="O457" s="116">
        <v>830.5</v>
      </c>
      <c r="P457" s="116">
        <v>847</v>
      </c>
      <c r="Q457" s="116">
        <v>872.65</v>
      </c>
      <c r="R457">
        <v>353065</v>
      </c>
    </row>
    <row r="458" spans="1:18" x14ac:dyDescent="0.25">
      <c r="A458" s="170">
        <v>44146</v>
      </c>
      <c r="B458" s="116">
        <v>912</v>
      </c>
      <c r="C458" s="116">
        <v>907.5</v>
      </c>
      <c r="D458" s="116">
        <v>896.4</v>
      </c>
      <c r="E458" s="116">
        <v>900.05</v>
      </c>
      <c r="F458" s="116">
        <v>907.5</v>
      </c>
      <c r="G458">
        <v>6022</v>
      </c>
      <c r="H458" s="116"/>
      <c r="I458" s="116"/>
      <c r="L458" s="170">
        <v>44141</v>
      </c>
      <c r="M458" s="116">
        <v>892.95</v>
      </c>
      <c r="N458" s="116">
        <v>928</v>
      </c>
      <c r="O458" s="116">
        <v>880.6</v>
      </c>
      <c r="P458" s="116">
        <v>928</v>
      </c>
      <c r="Q458" s="116">
        <v>892.95</v>
      </c>
      <c r="R458">
        <v>1391401</v>
      </c>
    </row>
    <row r="459" spans="1:18" x14ac:dyDescent="0.25">
      <c r="A459" s="170">
        <v>44147</v>
      </c>
      <c r="B459" s="116">
        <v>919</v>
      </c>
      <c r="C459" s="116">
        <v>912.85</v>
      </c>
      <c r="D459" s="116">
        <v>909.7</v>
      </c>
      <c r="E459" s="116">
        <v>909.8</v>
      </c>
      <c r="F459" s="116">
        <v>912.85</v>
      </c>
      <c r="G459">
        <v>6049</v>
      </c>
      <c r="H459" s="116"/>
      <c r="I459" s="116"/>
      <c r="L459" s="170">
        <v>44144</v>
      </c>
      <c r="M459" s="116">
        <v>904.95</v>
      </c>
      <c r="N459" s="116">
        <v>925</v>
      </c>
      <c r="O459" s="116">
        <v>869</v>
      </c>
      <c r="P459" s="116">
        <v>894.95</v>
      </c>
      <c r="Q459" s="116">
        <v>904.95</v>
      </c>
      <c r="R459">
        <v>325560</v>
      </c>
    </row>
    <row r="460" spans="1:18" x14ac:dyDescent="0.25">
      <c r="A460" s="170">
        <v>44148</v>
      </c>
      <c r="B460" s="116">
        <v>954.9</v>
      </c>
      <c r="C460" s="116">
        <v>950.25</v>
      </c>
      <c r="D460" s="116">
        <v>905.8</v>
      </c>
      <c r="E460" s="116">
        <v>913.6</v>
      </c>
      <c r="F460" s="116">
        <v>950.25</v>
      </c>
      <c r="G460">
        <v>14456</v>
      </c>
      <c r="H460" s="116"/>
      <c r="I460" s="116"/>
      <c r="L460" s="170">
        <v>44145</v>
      </c>
      <c r="M460" s="116">
        <v>909.5</v>
      </c>
      <c r="N460" s="116">
        <v>929.95</v>
      </c>
      <c r="O460" s="116">
        <v>895</v>
      </c>
      <c r="P460" s="116">
        <v>919.9</v>
      </c>
      <c r="Q460" s="116">
        <v>909.5</v>
      </c>
      <c r="R460">
        <v>339027</v>
      </c>
    </row>
    <row r="461" spans="1:18" x14ac:dyDescent="0.25">
      <c r="A461" s="170">
        <v>44149</v>
      </c>
      <c r="B461" s="116">
        <v>966.2</v>
      </c>
      <c r="C461" s="116">
        <v>955</v>
      </c>
      <c r="D461" s="116">
        <v>941.5</v>
      </c>
      <c r="E461" s="116">
        <v>959.1</v>
      </c>
      <c r="F461" s="116">
        <v>955</v>
      </c>
      <c r="G461">
        <v>8223</v>
      </c>
      <c r="H461" s="116"/>
      <c r="I461" s="116"/>
      <c r="L461" s="170">
        <v>44146</v>
      </c>
      <c r="M461" s="116">
        <v>906.3</v>
      </c>
      <c r="N461" s="116">
        <v>913</v>
      </c>
      <c r="O461" s="116">
        <v>895.05</v>
      </c>
      <c r="P461" s="116">
        <v>896</v>
      </c>
      <c r="Q461" s="116">
        <v>906.3</v>
      </c>
      <c r="R461">
        <v>147292</v>
      </c>
    </row>
    <row r="462" spans="1:18" x14ac:dyDescent="0.25">
      <c r="A462" s="170">
        <v>44152</v>
      </c>
      <c r="B462" s="116">
        <v>989</v>
      </c>
      <c r="C462" s="116">
        <v>982.6</v>
      </c>
      <c r="D462" s="116">
        <v>962.8</v>
      </c>
      <c r="E462" s="116">
        <v>962.8</v>
      </c>
      <c r="F462" s="116">
        <v>982.6</v>
      </c>
      <c r="G462">
        <v>19700</v>
      </c>
      <c r="H462" s="116"/>
      <c r="I462" s="116"/>
      <c r="L462" s="170">
        <v>44147</v>
      </c>
      <c r="M462" s="116">
        <v>913.4</v>
      </c>
      <c r="N462" s="116">
        <v>919</v>
      </c>
      <c r="O462" s="116">
        <v>907.55</v>
      </c>
      <c r="P462" s="116">
        <v>910</v>
      </c>
      <c r="Q462" s="116">
        <v>913.4</v>
      </c>
      <c r="R462">
        <v>111953</v>
      </c>
    </row>
    <row r="463" spans="1:18" x14ac:dyDescent="0.25">
      <c r="A463" s="170">
        <v>44153</v>
      </c>
      <c r="B463" s="116">
        <v>994.5</v>
      </c>
      <c r="C463" s="116">
        <v>959.6</v>
      </c>
      <c r="D463" s="116">
        <v>954.15</v>
      </c>
      <c r="E463" s="116">
        <v>984.75</v>
      </c>
      <c r="F463" s="116">
        <v>959.6</v>
      </c>
      <c r="G463">
        <v>8985</v>
      </c>
      <c r="H463" s="116"/>
      <c r="I463" s="116"/>
      <c r="L463" s="170">
        <v>44148</v>
      </c>
      <c r="M463" s="116">
        <v>949.45</v>
      </c>
      <c r="N463" s="116">
        <v>955</v>
      </c>
      <c r="O463" s="116">
        <v>906.6</v>
      </c>
      <c r="P463" s="116">
        <v>916</v>
      </c>
      <c r="Q463" s="116">
        <v>949.45</v>
      </c>
      <c r="R463">
        <v>389467</v>
      </c>
    </row>
    <row r="464" spans="1:18" x14ac:dyDescent="0.25">
      <c r="A464" s="170">
        <v>44154</v>
      </c>
      <c r="B464" s="116">
        <v>988.8</v>
      </c>
      <c r="C464" s="116">
        <v>980.95</v>
      </c>
      <c r="D464" s="116">
        <v>950.85</v>
      </c>
      <c r="E464" s="116">
        <v>959.25</v>
      </c>
      <c r="F464" s="116">
        <v>980.95</v>
      </c>
      <c r="G464">
        <v>9579</v>
      </c>
      <c r="H464" s="116"/>
      <c r="I464" s="116"/>
      <c r="L464" s="170">
        <v>44149</v>
      </c>
      <c r="M464" s="116">
        <v>954.55</v>
      </c>
      <c r="N464" s="116">
        <v>964.7</v>
      </c>
      <c r="O464" s="116">
        <v>942.05</v>
      </c>
      <c r="P464" s="116">
        <v>960.7</v>
      </c>
      <c r="Q464" s="116">
        <v>954.55</v>
      </c>
      <c r="R464">
        <v>33005</v>
      </c>
    </row>
    <row r="465" spans="1:18" x14ac:dyDescent="0.25">
      <c r="A465" s="170">
        <v>44155</v>
      </c>
      <c r="B465" s="116">
        <v>994</v>
      </c>
      <c r="C465" s="116">
        <v>985.8</v>
      </c>
      <c r="D465" s="116">
        <v>966</v>
      </c>
      <c r="E465" s="116">
        <v>987.75</v>
      </c>
      <c r="F465" s="116">
        <v>985.8</v>
      </c>
      <c r="G465">
        <v>7536</v>
      </c>
      <c r="H465" s="116"/>
      <c r="I465" s="116"/>
      <c r="L465" s="170">
        <v>44152</v>
      </c>
      <c r="M465" s="116">
        <v>982</v>
      </c>
      <c r="N465" s="116">
        <v>989.9</v>
      </c>
      <c r="O465" s="116">
        <v>960</v>
      </c>
      <c r="P465" s="116">
        <v>960</v>
      </c>
      <c r="Q465" s="116">
        <v>982</v>
      </c>
      <c r="R465">
        <v>305803</v>
      </c>
    </row>
    <row r="466" spans="1:18" x14ac:dyDescent="0.25">
      <c r="A466" s="170">
        <v>44158</v>
      </c>
      <c r="B466" s="116">
        <v>1049</v>
      </c>
      <c r="C466" s="116">
        <v>1031.3</v>
      </c>
      <c r="D466" s="116">
        <v>985</v>
      </c>
      <c r="E466" s="116">
        <v>985</v>
      </c>
      <c r="F466" s="116">
        <v>1031.3</v>
      </c>
      <c r="G466">
        <v>20141</v>
      </c>
      <c r="H466" s="116"/>
      <c r="I466" s="116"/>
      <c r="L466" s="170">
        <v>44153</v>
      </c>
      <c r="M466" s="116">
        <v>958.95</v>
      </c>
      <c r="N466" s="116">
        <v>997.2</v>
      </c>
      <c r="O466" s="116">
        <v>953.6</v>
      </c>
      <c r="P466" s="116">
        <v>982.95</v>
      </c>
      <c r="Q466" s="116">
        <v>958.95</v>
      </c>
      <c r="R466">
        <v>196871</v>
      </c>
    </row>
    <row r="467" spans="1:18" x14ac:dyDescent="0.25">
      <c r="A467" s="170">
        <v>44159</v>
      </c>
      <c r="B467" s="116">
        <v>1095</v>
      </c>
      <c r="C467" s="116">
        <v>1069.6500000000001</v>
      </c>
      <c r="D467" s="116">
        <v>1045.3</v>
      </c>
      <c r="E467" s="116">
        <v>1047.75</v>
      </c>
      <c r="F467" s="116">
        <v>1069.6500000000001</v>
      </c>
      <c r="G467">
        <v>11174</v>
      </c>
      <c r="H467" s="116"/>
      <c r="I467" s="116"/>
      <c r="L467" s="170">
        <v>44154</v>
      </c>
      <c r="M467" s="116">
        <v>977.55</v>
      </c>
      <c r="N467" s="116">
        <v>990</v>
      </c>
      <c r="O467" s="116">
        <v>945</v>
      </c>
      <c r="P467" s="116">
        <v>962.55</v>
      </c>
      <c r="Q467" s="116">
        <v>977.55</v>
      </c>
      <c r="R467">
        <v>179801</v>
      </c>
    </row>
    <row r="468" spans="1:18" x14ac:dyDescent="0.25">
      <c r="A468" s="170">
        <v>44160</v>
      </c>
      <c r="B468" s="116">
        <v>1084.7</v>
      </c>
      <c r="C468" s="116">
        <v>1031.1500000000001</v>
      </c>
      <c r="D468" s="116">
        <v>1013.1</v>
      </c>
      <c r="E468" s="116">
        <v>1084.7</v>
      </c>
      <c r="F468" s="116">
        <v>1031.1500000000001</v>
      </c>
      <c r="G468">
        <v>21855</v>
      </c>
      <c r="H468" s="116"/>
      <c r="I468" s="116"/>
      <c r="L468" s="170">
        <v>44155</v>
      </c>
      <c r="M468" s="116">
        <v>982.8</v>
      </c>
      <c r="N468" s="116">
        <v>994</v>
      </c>
      <c r="O468" s="116">
        <v>966</v>
      </c>
      <c r="P468" s="116">
        <v>985.95</v>
      </c>
      <c r="Q468" s="116">
        <v>982.8</v>
      </c>
      <c r="R468">
        <v>152624</v>
      </c>
    </row>
    <row r="469" spans="1:18" x14ac:dyDescent="0.25">
      <c r="A469" s="170">
        <v>44161</v>
      </c>
      <c r="B469" s="116">
        <v>1055</v>
      </c>
      <c r="C469" s="116">
        <v>1029.8</v>
      </c>
      <c r="D469" s="116">
        <v>1003</v>
      </c>
      <c r="E469" s="116">
        <v>1040</v>
      </c>
      <c r="F469" s="116">
        <v>1029.8</v>
      </c>
      <c r="G469">
        <v>6138</v>
      </c>
      <c r="H469" s="116"/>
      <c r="I469" s="116"/>
      <c r="L469" s="170">
        <v>44158</v>
      </c>
      <c r="M469" s="116">
        <v>1031.4000000000001</v>
      </c>
      <c r="N469" s="116">
        <v>1049</v>
      </c>
      <c r="O469" s="116">
        <v>987.8</v>
      </c>
      <c r="P469" s="116">
        <v>990</v>
      </c>
      <c r="Q469" s="116">
        <v>1031.4000000000001</v>
      </c>
      <c r="R469">
        <v>367161</v>
      </c>
    </row>
    <row r="470" spans="1:18" x14ac:dyDescent="0.25">
      <c r="A470" s="170">
        <v>44162</v>
      </c>
      <c r="B470" s="116">
        <v>1110</v>
      </c>
      <c r="C470" s="116">
        <v>1099.1500000000001</v>
      </c>
      <c r="D470" s="116">
        <v>1028.5</v>
      </c>
      <c r="E470" s="116">
        <v>1033.75</v>
      </c>
      <c r="F470" s="116">
        <v>1099.1500000000001</v>
      </c>
      <c r="G470">
        <v>16350</v>
      </c>
      <c r="H470" s="116"/>
      <c r="I470" s="116"/>
      <c r="L470" s="170">
        <v>44159</v>
      </c>
      <c r="M470" s="116">
        <v>1069.95</v>
      </c>
      <c r="N470" s="116">
        <v>1094.8</v>
      </c>
      <c r="O470" s="116">
        <v>1045</v>
      </c>
      <c r="P470" s="116">
        <v>1047.75</v>
      </c>
      <c r="Q470" s="116">
        <v>1069.95</v>
      </c>
      <c r="R470">
        <v>262196</v>
      </c>
    </row>
    <row r="471" spans="1:18" x14ac:dyDescent="0.25">
      <c r="A471" s="170">
        <v>44166</v>
      </c>
      <c r="B471" s="116">
        <v>1195.7</v>
      </c>
      <c r="C471" s="116">
        <v>1151.4000000000001</v>
      </c>
      <c r="D471" s="116">
        <v>1098.5</v>
      </c>
      <c r="E471" s="116">
        <v>1107.1500000000001</v>
      </c>
      <c r="F471" s="116">
        <v>1151.4000000000001</v>
      </c>
      <c r="G471">
        <v>12835</v>
      </c>
      <c r="H471" s="116"/>
      <c r="I471" s="116"/>
      <c r="L471" s="170">
        <v>44160</v>
      </c>
      <c r="M471" s="116">
        <v>1028.5</v>
      </c>
      <c r="N471" s="116">
        <v>1086</v>
      </c>
      <c r="O471" s="116">
        <v>1013</v>
      </c>
      <c r="P471" s="116">
        <v>1075.5999999999999</v>
      </c>
      <c r="Q471" s="116">
        <v>1028.5</v>
      </c>
      <c r="R471">
        <v>182705</v>
      </c>
    </row>
    <row r="472" spans="1:18" x14ac:dyDescent="0.25">
      <c r="A472" s="170">
        <v>44167</v>
      </c>
      <c r="B472" s="116">
        <v>1174.55</v>
      </c>
      <c r="C472" s="116">
        <v>1165.5</v>
      </c>
      <c r="D472" s="116">
        <v>1133</v>
      </c>
      <c r="E472" s="116">
        <v>1156</v>
      </c>
      <c r="F472" s="116">
        <v>1165.5</v>
      </c>
      <c r="G472">
        <v>6023</v>
      </c>
      <c r="H472" s="116"/>
      <c r="I472" s="116"/>
      <c r="L472" s="170">
        <v>44161</v>
      </c>
      <c r="M472" s="116">
        <v>1025.1500000000001</v>
      </c>
      <c r="N472" s="116">
        <v>1057.1500000000001</v>
      </c>
      <c r="O472" s="116">
        <v>1002</v>
      </c>
      <c r="P472" s="116">
        <v>1038</v>
      </c>
      <c r="Q472" s="116">
        <v>1025.1500000000001</v>
      </c>
      <c r="R472">
        <v>184223</v>
      </c>
    </row>
    <row r="473" spans="1:18" x14ac:dyDescent="0.25">
      <c r="A473" s="170">
        <v>44168</v>
      </c>
      <c r="B473" s="116">
        <v>1188</v>
      </c>
      <c r="C473" s="116">
        <v>1180.5999999999999</v>
      </c>
      <c r="D473" s="116">
        <v>1157.8499999999999</v>
      </c>
      <c r="E473" s="116">
        <v>1174.95</v>
      </c>
      <c r="F473" s="116">
        <v>1180.5999999999999</v>
      </c>
      <c r="G473">
        <v>5104</v>
      </c>
      <c r="H473" s="116"/>
      <c r="I473" s="116"/>
      <c r="L473" s="170">
        <v>44162</v>
      </c>
      <c r="M473" s="116">
        <v>1101.7</v>
      </c>
      <c r="N473" s="116">
        <v>1111</v>
      </c>
      <c r="O473" s="116">
        <v>1027.5999999999999</v>
      </c>
      <c r="P473" s="116">
        <v>1031.05</v>
      </c>
      <c r="Q473" s="116">
        <v>1101.7</v>
      </c>
      <c r="R473">
        <v>472395</v>
      </c>
    </row>
    <row r="474" spans="1:18" x14ac:dyDescent="0.25">
      <c r="A474" s="170">
        <v>44169</v>
      </c>
      <c r="B474" s="116">
        <v>1194.5999999999999</v>
      </c>
      <c r="C474" s="116">
        <v>1124.05</v>
      </c>
      <c r="D474" s="116">
        <v>1115.4000000000001</v>
      </c>
      <c r="E474" s="116">
        <v>1178</v>
      </c>
      <c r="F474" s="116">
        <v>1124.05</v>
      </c>
      <c r="G474">
        <v>10294</v>
      </c>
      <c r="H474" s="116"/>
      <c r="I474" s="116"/>
      <c r="L474" s="170">
        <v>44166</v>
      </c>
      <c r="M474" s="116">
        <v>1151.5999999999999</v>
      </c>
      <c r="N474" s="116">
        <v>1198</v>
      </c>
      <c r="O474" s="116">
        <v>1096.25</v>
      </c>
      <c r="P474" s="116">
        <v>1105.7</v>
      </c>
      <c r="Q474" s="116">
        <v>1151.5999999999999</v>
      </c>
      <c r="R474">
        <v>309388</v>
      </c>
    </row>
    <row r="475" spans="1:18" x14ac:dyDescent="0.25">
      <c r="A475" s="170">
        <v>44172</v>
      </c>
      <c r="B475" s="116">
        <v>1146</v>
      </c>
      <c r="C475" s="116">
        <v>1120.7</v>
      </c>
      <c r="D475" s="116">
        <v>1110</v>
      </c>
      <c r="E475" s="116">
        <v>1132</v>
      </c>
      <c r="F475" s="116">
        <v>1120.7</v>
      </c>
      <c r="G475">
        <v>6947</v>
      </c>
      <c r="H475" s="116"/>
      <c r="I475" s="116"/>
      <c r="L475" s="170">
        <v>44167</v>
      </c>
      <c r="M475" s="116">
        <v>1165.8</v>
      </c>
      <c r="N475" s="116">
        <v>1175</v>
      </c>
      <c r="O475" s="116">
        <v>1130.0999999999999</v>
      </c>
      <c r="P475" s="116">
        <v>1156</v>
      </c>
      <c r="Q475" s="116">
        <v>1165.8</v>
      </c>
      <c r="R475">
        <v>153038</v>
      </c>
    </row>
    <row r="476" spans="1:18" x14ac:dyDescent="0.25">
      <c r="A476" s="170">
        <v>44173</v>
      </c>
      <c r="B476" s="116">
        <v>1135</v>
      </c>
      <c r="C476" s="116">
        <v>1087.7</v>
      </c>
      <c r="D476" s="116">
        <v>1080.5</v>
      </c>
      <c r="E476" s="116">
        <v>1132.0999999999999</v>
      </c>
      <c r="F476" s="116">
        <v>1087.7</v>
      </c>
      <c r="G476">
        <v>4804</v>
      </c>
      <c r="H476" s="116"/>
      <c r="I476" s="116"/>
      <c r="L476" s="170">
        <v>44168</v>
      </c>
      <c r="M476" s="116">
        <v>1181.25</v>
      </c>
      <c r="N476" s="116">
        <v>1189.75</v>
      </c>
      <c r="O476" s="116">
        <v>1153.2</v>
      </c>
      <c r="P476" s="116">
        <v>1171.6500000000001</v>
      </c>
      <c r="Q476" s="116">
        <v>1181.25</v>
      </c>
      <c r="R476">
        <v>135075</v>
      </c>
    </row>
    <row r="477" spans="1:18" x14ac:dyDescent="0.25">
      <c r="A477" s="170">
        <v>44174</v>
      </c>
      <c r="B477" s="116">
        <v>1134</v>
      </c>
      <c r="C477" s="116">
        <v>1079.8</v>
      </c>
      <c r="D477" s="116">
        <v>1073.5</v>
      </c>
      <c r="E477" s="116">
        <v>1096.3499999999999</v>
      </c>
      <c r="F477" s="116">
        <v>1079.8</v>
      </c>
      <c r="G477">
        <v>22385</v>
      </c>
      <c r="H477" s="116"/>
      <c r="I477" s="116"/>
      <c r="L477" s="170">
        <v>44169</v>
      </c>
      <c r="M477" s="116">
        <v>1123.55</v>
      </c>
      <c r="N477" s="116">
        <v>1194.9000000000001</v>
      </c>
      <c r="O477" s="116">
        <v>1115</v>
      </c>
      <c r="P477" s="116">
        <v>1170</v>
      </c>
      <c r="Q477" s="116">
        <v>1123.55</v>
      </c>
      <c r="R477">
        <v>272321</v>
      </c>
    </row>
    <row r="478" spans="1:18" x14ac:dyDescent="0.25">
      <c r="A478" s="170">
        <v>44175</v>
      </c>
      <c r="B478" s="116">
        <v>1068.25</v>
      </c>
      <c r="C478" s="116">
        <v>1037.3</v>
      </c>
      <c r="D478" s="116">
        <v>1029.75</v>
      </c>
      <c r="E478" s="116">
        <v>1065.5999999999999</v>
      </c>
      <c r="F478" s="116">
        <v>1037.3</v>
      </c>
      <c r="G478">
        <v>10958</v>
      </c>
      <c r="H478" s="116"/>
      <c r="I478" s="116"/>
      <c r="L478" s="170">
        <v>44172</v>
      </c>
      <c r="M478" s="116">
        <v>1122.3499999999999</v>
      </c>
      <c r="N478" s="116">
        <v>1148.05</v>
      </c>
      <c r="O478" s="116">
        <v>1108.1500000000001</v>
      </c>
      <c r="P478" s="116">
        <v>1133.9000000000001</v>
      </c>
      <c r="Q478" s="116">
        <v>1122.3499999999999</v>
      </c>
      <c r="R478">
        <v>97753</v>
      </c>
    </row>
    <row r="479" spans="1:18" x14ac:dyDescent="0.25">
      <c r="A479" s="170">
        <v>44176</v>
      </c>
      <c r="B479" s="116">
        <v>1070</v>
      </c>
      <c r="C479" s="116">
        <v>1055.0999999999999</v>
      </c>
      <c r="D479" s="116">
        <v>1028.1500000000001</v>
      </c>
      <c r="E479" s="116">
        <v>1036.5</v>
      </c>
      <c r="F479" s="116">
        <v>1055.0999999999999</v>
      </c>
      <c r="G479">
        <v>6810</v>
      </c>
      <c r="H479" s="116"/>
      <c r="I479" s="116"/>
      <c r="L479" s="170">
        <v>44173</v>
      </c>
      <c r="M479" s="116">
        <v>1087.0999999999999</v>
      </c>
      <c r="N479" s="116">
        <v>1138.95</v>
      </c>
      <c r="O479" s="116">
        <v>1080.3</v>
      </c>
      <c r="P479" s="116">
        <v>1134.5999999999999</v>
      </c>
      <c r="Q479" s="116">
        <v>1087.0999999999999</v>
      </c>
      <c r="R479">
        <v>140192</v>
      </c>
    </row>
    <row r="480" spans="1:18" x14ac:dyDescent="0.25">
      <c r="A480" s="170">
        <v>44179</v>
      </c>
      <c r="B480" s="116">
        <v>1078</v>
      </c>
      <c r="C480" s="116">
        <v>1067.55</v>
      </c>
      <c r="D480" s="116">
        <v>1057</v>
      </c>
      <c r="E480" s="116">
        <v>1067.4000000000001</v>
      </c>
      <c r="F480" s="116">
        <v>1067.55</v>
      </c>
      <c r="G480">
        <v>2726</v>
      </c>
      <c r="H480" s="116"/>
      <c r="I480" s="116"/>
      <c r="L480" s="170">
        <v>44174</v>
      </c>
      <c r="M480" s="116">
        <v>1078.1500000000001</v>
      </c>
      <c r="N480" s="116">
        <v>1134.5</v>
      </c>
      <c r="O480" s="116">
        <v>1073</v>
      </c>
      <c r="P480" s="116">
        <v>1088.7</v>
      </c>
      <c r="Q480" s="116">
        <v>1078.1500000000001</v>
      </c>
      <c r="R480">
        <v>316156</v>
      </c>
    </row>
    <row r="481" spans="1:18" x14ac:dyDescent="0.25">
      <c r="A481" s="170">
        <v>44180</v>
      </c>
      <c r="B481" s="116">
        <v>1067.3</v>
      </c>
      <c r="C481" s="116">
        <v>1054.4000000000001</v>
      </c>
      <c r="D481" s="116">
        <v>1044.05</v>
      </c>
      <c r="E481" s="116">
        <v>1064.3499999999999</v>
      </c>
      <c r="F481" s="116">
        <v>1054.4000000000001</v>
      </c>
      <c r="G481">
        <v>3555</v>
      </c>
      <c r="H481" s="116"/>
      <c r="I481" s="116"/>
      <c r="L481" s="170">
        <v>44175</v>
      </c>
      <c r="M481" s="116">
        <v>1037.3</v>
      </c>
      <c r="N481" s="116">
        <v>1078</v>
      </c>
      <c r="O481" s="116">
        <v>1029.3</v>
      </c>
      <c r="P481" s="116">
        <v>1078</v>
      </c>
      <c r="Q481" s="116">
        <v>1037.3</v>
      </c>
      <c r="R481">
        <v>198941</v>
      </c>
    </row>
    <row r="482" spans="1:18" x14ac:dyDescent="0.25">
      <c r="A482" s="170">
        <v>44181</v>
      </c>
      <c r="B482" s="116">
        <v>1106.8</v>
      </c>
      <c r="C482" s="116">
        <v>1089.4000000000001</v>
      </c>
      <c r="D482" s="116">
        <v>1063.25</v>
      </c>
      <c r="E482" s="116">
        <v>1080</v>
      </c>
      <c r="F482" s="116">
        <v>1089.4000000000001</v>
      </c>
      <c r="G482">
        <v>13211</v>
      </c>
      <c r="H482" s="116"/>
      <c r="I482" s="116"/>
      <c r="L482" s="170">
        <v>44176</v>
      </c>
      <c r="M482" s="116">
        <v>1056.0999999999999</v>
      </c>
      <c r="N482" s="116">
        <v>1070.5</v>
      </c>
      <c r="O482" s="116">
        <v>1028.75</v>
      </c>
      <c r="P482" s="116">
        <v>1037.5</v>
      </c>
      <c r="Q482" s="116">
        <v>1056.0999999999999</v>
      </c>
      <c r="R482">
        <v>202360</v>
      </c>
    </row>
    <row r="483" spans="1:18" x14ac:dyDescent="0.25">
      <c r="A483" s="170">
        <v>44182</v>
      </c>
      <c r="B483" s="116">
        <v>1113.2</v>
      </c>
      <c r="C483" s="116">
        <v>1077.3499999999999</v>
      </c>
      <c r="D483" s="116">
        <v>1074.3</v>
      </c>
      <c r="E483" s="116">
        <v>1085.6500000000001</v>
      </c>
      <c r="F483" s="116">
        <v>1077.3499999999999</v>
      </c>
      <c r="G483">
        <v>10588</v>
      </c>
      <c r="H483" s="116"/>
      <c r="I483" s="116"/>
      <c r="L483" s="170">
        <v>44179</v>
      </c>
      <c r="M483" s="116">
        <v>1067.3499999999999</v>
      </c>
      <c r="N483" s="116">
        <v>1079.1500000000001</v>
      </c>
      <c r="O483" s="116">
        <v>1056.0999999999999</v>
      </c>
      <c r="P483" s="116">
        <v>1061.3499999999999</v>
      </c>
      <c r="Q483" s="116">
        <v>1067.3499999999999</v>
      </c>
      <c r="R483">
        <v>102307</v>
      </c>
    </row>
    <row r="484" spans="1:18" x14ac:dyDescent="0.25">
      <c r="A484" s="170">
        <v>44183</v>
      </c>
      <c r="B484" s="116">
        <v>1085.9000000000001</v>
      </c>
      <c r="C484" s="116">
        <v>1073.5</v>
      </c>
      <c r="D484" s="116">
        <v>1048.25</v>
      </c>
      <c r="E484" s="116">
        <v>1048.25</v>
      </c>
      <c r="F484" s="116">
        <v>1073.5</v>
      </c>
      <c r="G484">
        <v>3935</v>
      </c>
      <c r="H484" s="116"/>
      <c r="I484" s="116"/>
      <c r="L484" s="170">
        <v>44180</v>
      </c>
      <c r="M484" s="116">
        <v>1055.25</v>
      </c>
      <c r="N484" s="116">
        <v>1070</v>
      </c>
      <c r="O484" s="116">
        <v>1042.7</v>
      </c>
      <c r="P484" s="116">
        <v>1067.3499999999999</v>
      </c>
      <c r="Q484" s="116">
        <v>1055.25</v>
      </c>
      <c r="R484">
        <v>75162</v>
      </c>
    </row>
    <row r="485" spans="1:18" x14ac:dyDescent="0.25">
      <c r="A485" s="170">
        <v>44186</v>
      </c>
      <c r="B485" s="116">
        <v>1070</v>
      </c>
      <c r="C485" s="116">
        <v>965.2</v>
      </c>
      <c r="D485" s="116">
        <v>944.3</v>
      </c>
      <c r="E485" s="116">
        <v>1070</v>
      </c>
      <c r="F485" s="116">
        <v>965.2</v>
      </c>
      <c r="G485">
        <v>14318</v>
      </c>
      <c r="H485" s="116"/>
      <c r="I485" s="116"/>
      <c r="L485" s="170">
        <v>44181</v>
      </c>
      <c r="M485" s="116">
        <v>1086.5999999999999</v>
      </c>
      <c r="N485" s="116">
        <v>1109</v>
      </c>
      <c r="O485" s="116">
        <v>1062.7</v>
      </c>
      <c r="P485" s="116">
        <v>1080</v>
      </c>
      <c r="Q485" s="116">
        <v>1086.5999999999999</v>
      </c>
      <c r="R485">
        <v>192482</v>
      </c>
    </row>
    <row r="486" spans="1:18" x14ac:dyDescent="0.25">
      <c r="A486" s="170">
        <v>44187</v>
      </c>
      <c r="B486" s="116">
        <v>1030.95</v>
      </c>
      <c r="C486" s="116">
        <v>1012.5</v>
      </c>
      <c r="D486" s="116">
        <v>968</v>
      </c>
      <c r="E486" s="116">
        <v>1000</v>
      </c>
      <c r="F486" s="116">
        <v>1012.5</v>
      </c>
      <c r="G486">
        <v>13682</v>
      </c>
      <c r="H486" s="116"/>
      <c r="I486" s="116"/>
      <c r="L486" s="170">
        <v>44182</v>
      </c>
      <c r="M486" s="116">
        <v>1081.45</v>
      </c>
      <c r="N486" s="116">
        <v>1114</v>
      </c>
      <c r="O486" s="116">
        <v>1075</v>
      </c>
      <c r="P486" s="116">
        <v>1088</v>
      </c>
      <c r="Q486" s="116">
        <v>1081.45</v>
      </c>
      <c r="R486">
        <v>110349</v>
      </c>
    </row>
    <row r="487" spans="1:18" x14ac:dyDescent="0.25">
      <c r="A487" s="170">
        <v>44188</v>
      </c>
      <c r="B487" s="116">
        <v>1052.45</v>
      </c>
      <c r="C487" s="116">
        <v>1039.45</v>
      </c>
      <c r="D487" s="116">
        <v>1000</v>
      </c>
      <c r="E487" s="116">
        <v>1013.05</v>
      </c>
      <c r="F487" s="116">
        <v>1039.45</v>
      </c>
      <c r="G487">
        <v>30035</v>
      </c>
      <c r="H487" s="116"/>
      <c r="I487" s="116"/>
      <c r="L487" s="170">
        <v>44183</v>
      </c>
      <c r="M487" s="116">
        <v>1074.7</v>
      </c>
      <c r="N487" s="116">
        <v>1086.5</v>
      </c>
      <c r="O487" s="116">
        <v>1057</v>
      </c>
      <c r="P487" s="116">
        <v>1081.5999999999999</v>
      </c>
      <c r="Q487" s="116">
        <v>1074.7</v>
      </c>
      <c r="R487">
        <v>66185</v>
      </c>
    </row>
    <row r="488" spans="1:18" x14ac:dyDescent="0.25">
      <c r="A488" s="170">
        <v>44189</v>
      </c>
      <c r="B488" s="116">
        <v>1063.5999999999999</v>
      </c>
      <c r="C488" s="116">
        <v>1026.4000000000001</v>
      </c>
      <c r="D488" s="116">
        <v>1015.7</v>
      </c>
      <c r="E488" s="116">
        <v>1050.55</v>
      </c>
      <c r="F488" s="116">
        <v>1026.4000000000001</v>
      </c>
      <c r="G488">
        <v>19711</v>
      </c>
      <c r="H488" s="116"/>
      <c r="I488" s="116"/>
      <c r="L488" s="170">
        <v>44186</v>
      </c>
      <c r="M488" s="116">
        <v>970.1</v>
      </c>
      <c r="N488" s="116">
        <v>1079.0999999999999</v>
      </c>
      <c r="O488" s="116">
        <v>945</v>
      </c>
      <c r="P488" s="116">
        <v>1079.0999999999999</v>
      </c>
      <c r="Q488" s="116">
        <v>970.1</v>
      </c>
      <c r="R488">
        <v>183138</v>
      </c>
    </row>
    <row r="489" spans="1:18" x14ac:dyDescent="0.25">
      <c r="A489" s="170">
        <v>44193</v>
      </c>
      <c r="B489" s="116">
        <v>1093.95</v>
      </c>
      <c r="C489" s="116">
        <v>1055.6500000000001</v>
      </c>
      <c r="D489" s="116">
        <v>1037.1500000000001</v>
      </c>
      <c r="E489" s="116">
        <v>1040</v>
      </c>
      <c r="F489" s="116">
        <v>1055.6500000000001</v>
      </c>
      <c r="G489">
        <v>33547</v>
      </c>
      <c r="H489" s="116"/>
      <c r="I489" s="116"/>
      <c r="L489" s="170">
        <v>44187</v>
      </c>
      <c r="M489" s="116">
        <v>1013.65</v>
      </c>
      <c r="N489" s="116">
        <v>1048</v>
      </c>
      <c r="O489" s="116">
        <v>968</v>
      </c>
      <c r="P489" s="116">
        <v>1048</v>
      </c>
      <c r="Q489" s="116">
        <v>1013.65</v>
      </c>
      <c r="R489">
        <v>365242</v>
      </c>
    </row>
    <row r="490" spans="1:18" x14ac:dyDescent="0.25">
      <c r="A490" s="170">
        <v>44194</v>
      </c>
      <c r="B490" s="116">
        <v>1080</v>
      </c>
      <c r="C490" s="116">
        <v>1056.0999999999999</v>
      </c>
      <c r="D490" s="116">
        <v>1037.3</v>
      </c>
      <c r="E490" s="116">
        <v>1064.6500000000001</v>
      </c>
      <c r="F490" s="116">
        <v>1056.0999999999999</v>
      </c>
      <c r="G490">
        <v>8309</v>
      </c>
      <c r="H490" s="116"/>
      <c r="I490" s="116"/>
      <c r="L490" s="170">
        <v>44188</v>
      </c>
      <c r="M490" s="116">
        <v>1039.7</v>
      </c>
      <c r="N490" s="116">
        <v>1053.95</v>
      </c>
      <c r="O490" s="116">
        <v>1007</v>
      </c>
      <c r="P490" s="116">
        <v>1022.9</v>
      </c>
      <c r="Q490" s="116">
        <v>1039.7</v>
      </c>
      <c r="R490">
        <v>429386</v>
      </c>
    </row>
    <row r="491" spans="1:18" x14ac:dyDescent="0.25">
      <c r="A491" s="170">
        <v>44195</v>
      </c>
      <c r="B491" s="116">
        <v>1089.2</v>
      </c>
      <c r="C491" s="116">
        <v>1075</v>
      </c>
      <c r="D491" s="116">
        <v>1037.8</v>
      </c>
      <c r="E491" s="116">
        <v>1070.5</v>
      </c>
      <c r="F491" s="116">
        <v>1075</v>
      </c>
      <c r="G491">
        <v>14597</v>
      </c>
      <c r="H491" s="116"/>
      <c r="I491" s="116"/>
      <c r="L491" s="170">
        <v>44189</v>
      </c>
      <c r="M491" s="116">
        <v>1026.3</v>
      </c>
      <c r="N491" s="116">
        <v>1063</v>
      </c>
      <c r="O491" s="116">
        <v>1015</v>
      </c>
      <c r="P491" s="116">
        <v>1044.9000000000001</v>
      </c>
      <c r="Q491" s="116">
        <v>1026.3</v>
      </c>
      <c r="R491">
        <v>120764</v>
      </c>
    </row>
    <row r="492" spans="1:18" x14ac:dyDescent="0.25">
      <c r="A492" s="170">
        <v>44196</v>
      </c>
      <c r="B492" s="116">
        <v>1093.8</v>
      </c>
      <c r="C492" s="116">
        <v>1078.6500000000001</v>
      </c>
      <c r="D492" s="116">
        <v>1065.9000000000001</v>
      </c>
      <c r="E492" s="116">
        <v>1076.2</v>
      </c>
      <c r="F492" s="116">
        <v>1078.6500000000001</v>
      </c>
      <c r="G492">
        <v>5027</v>
      </c>
      <c r="H492" s="116"/>
      <c r="I492" s="116"/>
      <c r="L492" s="170">
        <v>44193</v>
      </c>
      <c r="M492" s="116">
        <v>1054.7</v>
      </c>
      <c r="N492" s="116">
        <v>1094.5999999999999</v>
      </c>
      <c r="O492" s="116">
        <v>1032.55</v>
      </c>
      <c r="P492" s="116">
        <v>1054.5</v>
      </c>
      <c r="Q492" s="116">
        <v>1054.7</v>
      </c>
      <c r="R492">
        <v>165968</v>
      </c>
    </row>
    <row r="493" spans="1:18" x14ac:dyDescent="0.25">
      <c r="A493" s="170">
        <v>44197</v>
      </c>
      <c r="B493" s="116">
        <v>1097.3499999999999</v>
      </c>
      <c r="C493" s="116">
        <v>1094.3</v>
      </c>
      <c r="D493" s="116">
        <v>1064.05</v>
      </c>
      <c r="E493" s="116">
        <v>1082.55</v>
      </c>
      <c r="F493" s="116">
        <v>1094.3</v>
      </c>
      <c r="G493">
        <v>5123</v>
      </c>
      <c r="H493" s="116"/>
      <c r="I493" s="116"/>
      <c r="L493" s="170">
        <v>44194</v>
      </c>
      <c r="M493" s="116">
        <v>1069.55</v>
      </c>
      <c r="N493" s="116">
        <v>1080</v>
      </c>
      <c r="O493" s="116">
        <v>1051.05</v>
      </c>
      <c r="P493" s="116">
        <v>1064</v>
      </c>
      <c r="Q493" s="116">
        <v>1069.55</v>
      </c>
      <c r="R493">
        <v>126381</v>
      </c>
    </row>
    <row r="494" spans="1:18" x14ac:dyDescent="0.25">
      <c r="A494" s="170">
        <v>44200</v>
      </c>
      <c r="B494" s="116">
        <v>1141.5</v>
      </c>
      <c r="C494" s="116">
        <v>1136.3499999999999</v>
      </c>
      <c r="D494" s="116">
        <v>1081.5999999999999</v>
      </c>
      <c r="E494" s="116">
        <v>1099</v>
      </c>
      <c r="F494" s="116">
        <v>1136.3499999999999</v>
      </c>
      <c r="G494">
        <v>9649</v>
      </c>
      <c r="H494" s="116"/>
      <c r="I494" s="116"/>
      <c r="L494" s="170">
        <v>44195</v>
      </c>
      <c r="M494" s="116">
        <v>1077.75</v>
      </c>
      <c r="N494" s="116">
        <v>1090</v>
      </c>
      <c r="O494" s="116">
        <v>1035.0999999999999</v>
      </c>
      <c r="P494" s="116">
        <v>1060.3</v>
      </c>
      <c r="Q494" s="116">
        <v>1077.75</v>
      </c>
      <c r="R494">
        <v>210404</v>
      </c>
    </row>
    <row r="495" spans="1:18" x14ac:dyDescent="0.25">
      <c r="A495" s="170">
        <v>44201</v>
      </c>
      <c r="B495" s="116">
        <v>1136.0999999999999</v>
      </c>
      <c r="C495" s="116">
        <v>1115.55</v>
      </c>
      <c r="D495" s="116">
        <v>1111</v>
      </c>
      <c r="E495" s="116">
        <v>1133.2</v>
      </c>
      <c r="F495" s="116">
        <v>1115.55</v>
      </c>
      <c r="G495">
        <v>7063</v>
      </c>
      <c r="H495" s="116"/>
      <c r="I495" s="116"/>
      <c r="L495" s="170">
        <v>44196</v>
      </c>
      <c r="M495" s="116">
        <v>1079.75</v>
      </c>
      <c r="N495" s="116">
        <v>1095</v>
      </c>
      <c r="O495" s="116">
        <v>1065.2</v>
      </c>
      <c r="P495" s="116">
        <v>1087</v>
      </c>
      <c r="Q495" s="116">
        <v>1079.75</v>
      </c>
      <c r="R495">
        <v>377761</v>
      </c>
    </row>
    <row r="496" spans="1:18" x14ac:dyDescent="0.25">
      <c r="A496" s="170">
        <v>44202</v>
      </c>
      <c r="B496" s="116">
        <v>1208.5999999999999</v>
      </c>
      <c r="C496" s="116">
        <v>1172.9000000000001</v>
      </c>
      <c r="D496" s="116">
        <v>1118.5</v>
      </c>
      <c r="E496" s="116">
        <v>1120.95</v>
      </c>
      <c r="F496" s="116">
        <v>1172.9000000000001</v>
      </c>
      <c r="G496">
        <v>17003</v>
      </c>
      <c r="H496" s="116"/>
      <c r="I496" s="116"/>
      <c r="L496" s="170">
        <v>44197</v>
      </c>
      <c r="M496" s="116">
        <v>1094.5</v>
      </c>
      <c r="N496" s="116">
        <v>1098.5</v>
      </c>
      <c r="O496" s="116">
        <v>1061</v>
      </c>
      <c r="P496" s="116">
        <v>1083.9000000000001</v>
      </c>
      <c r="Q496" s="116">
        <v>1094.5</v>
      </c>
      <c r="R496">
        <v>92119</v>
      </c>
    </row>
    <row r="497" spans="1:18" x14ac:dyDescent="0.25">
      <c r="A497" s="170">
        <v>44203</v>
      </c>
      <c r="B497" s="116">
        <v>1210.3499999999999</v>
      </c>
      <c r="C497" s="116">
        <v>1168.5</v>
      </c>
      <c r="D497" s="116">
        <v>1152.05</v>
      </c>
      <c r="E497" s="116">
        <v>1180.9000000000001</v>
      </c>
      <c r="F497" s="116">
        <v>1168.5</v>
      </c>
      <c r="G497">
        <v>21840</v>
      </c>
      <c r="H497" s="116"/>
      <c r="I497" s="116"/>
      <c r="L497" s="170">
        <v>44200</v>
      </c>
      <c r="M497" s="116">
        <v>1137.25</v>
      </c>
      <c r="N497" s="116">
        <v>1143.3</v>
      </c>
      <c r="O497" s="116">
        <v>1100.05</v>
      </c>
      <c r="P497" s="116">
        <v>1106.9000000000001</v>
      </c>
      <c r="Q497" s="116">
        <v>1137.25</v>
      </c>
      <c r="R497">
        <v>187328</v>
      </c>
    </row>
    <row r="498" spans="1:18" x14ac:dyDescent="0.25">
      <c r="A498" s="170">
        <v>44204</v>
      </c>
      <c r="B498" s="116">
        <v>1229</v>
      </c>
      <c r="C498" s="116">
        <v>1205.3</v>
      </c>
      <c r="D498" s="116">
        <v>1170.3</v>
      </c>
      <c r="E498" s="116">
        <v>1180.3499999999999</v>
      </c>
      <c r="F498" s="116">
        <v>1205.3</v>
      </c>
      <c r="G498">
        <v>28735</v>
      </c>
      <c r="H498" s="116"/>
      <c r="I498" s="116"/>
      <c r="L498" s="170">
        <v>44201</v>
      </c>
      <c r="M498" s="116">
        <v>1118.5</v>
      </c>
      <c r="N498" s="116">
        <v>1133</v>
      </c>
      <c r="O498" s="116">
        <v>1110.0999999999999</v>
      </c>
      <c r="P498" s="116">
        <v>1115</v>
      </c>
      <c r="Q498" s="116">
        <v>1118.5</v>
      </c>
      <c r="R498">
        <v>130836</v>
      </c>
    </row>
    <row r="499" spans="1:18" x14ac:dyDescent="0.25">
      <c r="A499" s="170">
        <v>44207</v>
      </c>
      <c r="B499" s="116">
        <v>1217</v>
      </c>
      <c r="C499" s="116">
        <v>1185.25</v>
      </c>
      <c r="D499" s="116">
        <v>1159.55</v>
      </c>
      <c r="E499" s="116">
        <v>1211.1500000000001</v>
      </c>
      <c r="F499" s="116">
        <v>1185.25</v>
      </c>
      <c r="G499">
        <v>15647</v>
      </c>
      <c r="H499" s="116"/>
      <c r="I499" s="116"/>
      <c r="L499" s="170">
        <v>44202</v>
      </c>
      <c r="M499" s="116">
        <v>1171.5</v>
      </c>
      <c r="N499" s="116">
        <v>1210</v>
      </c>
      <c r="O499" s="116">
        <v>1117</v>
      </c>
      <c r="P499" s="116">
        <v>1124</v>
      </c>
      <c r="Q499" s="116">
        <v>1171.5</v>
      </c>
      <c r="R499">
        <v>418606</v>
      </c>
    </row>
    <row r="500" spans="1:18" x14ac:dyDescent="0.25">
      <c r="A500" s="170">
        <v>44208</v>
      </c>
      <c r="B500" s="116">
        <v>1197</v>
      </c>
      <c r="C500" s="116">
        <v>1185.95</v>
      </c>
      <c r="D500" s="116">
        <v>1173.7</v>
      </c>
      <c r="E500" s="116">
        <v>1195.2</v>
      </c>
      <c r="F500" s="116">
        <v>1185.95</v>
      </c>
      <c r="G500">
        <v>5065</v>
      </c>
      <c r="H500" s="116"/>
      <c r="I500" s="116"/>
      <c r="L500" s="170">
        <v>44203</v>
      </c>
      <c r="M500" s="116">
        <v>1168.3499999999999</v>
      </c>
      <c r="N500" s="116">
        <v>1212</v>
      </c>
      <c r="O500" s="116">
        <v>1151.95</v>
      </c>
      <c r="P500" s="116">
        <v>1180.9000000000001</v>
      </c>
      <c r="Q500" s="116">
        <v>1168.3499999999999</v>
      </c>
      <c r="R500">
        <v>212300</v>
      </c>
    </row>
    <row r="501" spans="1:18" x14ac:dyDescent="0.25">
      <c r="A501" s="170">
        <v>44209</v>
      </c>
      <c r="B501" s="116">
        <v>1195</v>
      </c>
      <c r="C501" s="116">
        <v>1171.5</v>
      </c>
      <c r="D501" s="116">
        <v>1152.9000000000001</v>
      </c>
      <c r="E501" s="116">
        <v>1195</v>
      </c>
      <c r="F501" s="116">
        <v>1171.5</v>
      </c>
      <c r="G501">
        <v>8919</v>
      </c>
      <c r="H501" s="116"/>
      <c r="I501" s="116"/>
      <c r="L501" s="170">
        <v>44204</v>
      </c>
      <c r="M501" s="116">
        <v>1204.05</v>
      </c>
      <c r="N501" s="116">
        <v>1229.8</v>
      </c>
      <c r="O501" s="116">
        <v>1170.05</v>
      </c>
      <c r="P501" s="116">
        <v>1177.8</v>
      </c>
      <c r="Q501" s="116">
        <v>1204.05</v>
      </c>
      <c r="R501">
        <v>391647</v>
      </c>
    </row>
    <row r="502" spans="1:18" x14ac:dyDescent="0.25">
      <c r="A502" s="170">
        <v>44210</v>
      </c>
      <c r="B502" s="116">
        <v>1184.5999999999999</v>
      </c>
      <c r="C502" s="116">
        <v>1177.5</v>
      </c>
      <c r="D502" s="116">
        <v>1166.05</v>
      </c>
      <c r="E502" s="116">
        <v>1172.25</v>
      </c>
      <c r="F502" s="116">
        <v>1177.5</v>
      </c>
      <c r="G502">
        <v>2742</v>
      </c>
      <c r="H502" s="116"/>
      <c r="I502" s="116"/>
      <c r="L502" s="170">
        <v>44207</v>
      </c>
      <c r="M502" s="116">
        <v>1185.3499999999999</v>
      </c>
      <c r="N502" s="116">
        <v>1219</v>
      </c>
      <c r="O502" s="116">
        <v>1161</v>
      </c>
      <c r="P502" s="116">
        <v>1210</v>
      </c>
      <c r="Q502" s="116">
        <v>1185.3499999999999</v>
      </c>
      <c r="R502">
        <v>139763</v>
      </c>
    </row>
    <row r="503" spans="1:18" x14ac:dyDescent="0.25">
      <c r="A503" s="170">
        <v>44211</v>
      </c>
      <c r="B503" s="116">
        <v>1174.3</v>
      </c>
      <c r="C503" s="116">
        <v>1140.5</v>
      </c>
      <c r="D503" s="116">
        <v>1126.95</v>
      </c>
      <c r="E503" s="116">
        <v>1174.3</v>
      </c>
      <c r="F503" s="116">
        <v>1140.5</v>
      </c>
      <c r="G503">
        <v>6499</v>
      </c>
      <c r="H503" s="116"/>
      <c r="I503" s="116"/>
      <c r="L503" s="170">
        <v>44208</v>
      </c>
      <c r="M503" s="116">
        <v>1185.45</v>
      </c>
      <c r="N503" s="116">
        <v>1197.7</v>
      </c>
      <c r="O503" s="116">
        <v>1170.05</v>
      </c>
      <c r="P503" s="116">
        <v>1185.2</v>
      </c>
      <c r="Q503" s="116">
        <v>1185.45</v>
      </c>
      <c r="R503">
        <v>48774</v>
      </c>
    </row>
    <row r="504" spans="1:18" x14ac:dyDescent="0.25">
      <c r="A504" s="170">
        <v>44214</v>
      </c>
      <c r="B504" s="116">
        <v>1149</v>
      </c>
      <c r="C504" s="116">
        <v>1125.7</v>
      </c>
      <c r="D504" s="116">
        <v>1082</v>
      </c>
      <c r="E504" s="116">
        <v>1135.3</v>
      </c>
      <c r="F504" s="116">
        <v>1125.7</v>
      </c>
      <c r="G504">
        <v>8147</v>
      </c>
      <c r="H504" s="116"/>
      <c r="I504" s="116"/>
      <c r="L504" s="170">
        <v>44209</v>
      </c>
      <c r="M504" s="116">
        <v>1170.8499999999999</v>
      </c>
      <c r="N504" s="116">
        <v>1198.5</v>
      </c>
      <c r="O504" s="116">
        <v>1153</v>
      </c>
      <c r="P504" s="116">
        <v>1198.5</v>
      </c>
      <c r="Q504" s="116">
        <v>1170.8499999999999</v>
      </c>
      <c r="R504">
        <v>171488</v>
      </c>
    </row>
    <row r="505" spans="1:18" x14ac:dyDescent="0.25">
      <c r="A505" s="170">
        <v>44215</v>
      </c>
      <c r="B505" s="116">
        <v>1150</v>
      </c>
      <c r="C505" s="116">
        <v>1139.95</v>
      </c>
      <c r="D505" s="116">
        <v>1116.55</v>
      </c>
      <c r="E505" s="116">
        <v>1141.25</v>
      </c>
      <c r="F505" s="116">
        <v>1139.95</v>
      </c>
      <c r="G505">
        <v>6091</v>
      </c>
      <c r="H505" s="116"/>
      <c r="I505" s="116"/>
      <c r="L505" s="170">
        <v>44210</v>
      </c>
      <c r="M505" s="116">
        <v>1178.95</v>
      </c>
      <c r="N505" s="116">
        <v>1184.45</v>
      </c>
      <c r="O505" s="116">
        <v>1158</v>
      </c>
      <c r="P505" s="116">
        <v>1158</v>
      </c>
      <c r="Q505" s="116">
        <v>1178.95</v>
      </c>
      <c r="R505">
        <v>23609</v>
      </c>
    </row>
    <row r="506" spans="1:18" x14ac:dyDescent="0.25">
      <c r="A506" s="170">
        <v>44216</v>
      </c>
      <c r="B506" s="116">
        <v>1180</v>
      </c>
      <c r="C506" s="116">
        <v>1172.8499999999999</v>
      </c>
      <c r="D506" s="116">
        <v>1125.9000000000001</v>
      </c>
      <c r="E506" s="116">
        <v>1140.1500000000001</v>
      </c>
      <c r="F506" s="116">
        <v>1172.8499999999999</v>
      </c>
      <c r="G506">
        <v>8151</v>
      </c>
      <c r="H506" s="116"/>
      <c r="I506" s="116"/>
      <c r="L506" s="170">
        <v>44211</v>
      </c>
      <c r="M506" s="116">
        <v>1139.45</v>
      </c>
      <c r="N506" s="116">
        <v>1179.8499999999999</v>
      </c>
      <c r="O506" s="116">
        <v>1125.0999999999999</v>
      </c>
      <c r="P506" s="116">
        <v>1170</v>
      </c>
      <c r="Q506" s="116">
        <v>1139.45</v>
      </c>
      <c r="R506">
        <v>124440</v>
      </c>
    </row>
    <row r="507" spans="1:18" x14ac:dyDescent="0.25">
      <c r="A507" s="170">
        <v>44217</v>
      </c>
      <c r="B507" s="116">
        <v>1185</v>
      </c>
      <c r="C507" s="116">
        <v>1159.8</v>
      </c>
      <c r="D507" s="116">
        <v>1145.05</v>
      </c>
      <c r="E507" s="116">
        <v>1180.95</v>
      </c>
      <c r="F507" s="116">
        <v>1159.8</v>
      </c>
      <c r="G507">
        <v>8275</v>
      </c>
      <c r="H507" s="116"/>
      <c r="I507" s="116"/>
      <c r="L507" s="170">
        <v>44214</v>
      </c>
      <c r="M507" s="116">
        <v>1124.3499999999999</v>
      </c>
      <c r="N507" s="116">
        <v>1149</v>
      </c>
      <c r="O507" s="116">
        <v>1081</v>
      </c>
      <c r="P507" s="116">
        <v>1146.3</v>
      </c>
      <c r="Q507" s="116">
        <v>1124.3499999999999</v>
      </c>
      <c r="R507">
        <v>88678</v>
      </c>
    </row>
    <row r="508" spans="1:18" x14ac:dyDescent="0.25">
      <c r="A508" s="170">
        <v>44218</v>
      </c>
      <c r="B508" s="116">
        <v>1164.2</v>
      </c>
      <c r="C508" s="116">
        <v>1155.45</v>
      </c>
      <c r="D508" s="116">
        <v>1124.05</v>
      </c>
      <c r="E508" s="116">
        <v>1146.55</v>
      </c>
      <c r="F508" s="116">
        <v>1155.45</v>
      </c>
      <c r="G508">
        <v>5699</v>
      </c>
      <c r="H508" s="116"/>
      <c r="I508" s="116"/>
      <c r="L508" s="170">
        <v>44215</v>
      </c>
      <c r="M508" s="116">
        <v>1138.95</v>
      </c>
      <c r="N508" s="116">
        <v>1150</v>
      </c>
      <c r="O508" s="116">
        <v>1115.55</v>
      </c>
      <c r="P508" s="116">
        <v>1130</v>
      </c>
      <c r="Q508" s="116">
        <v>1138.95</v>
      </c>
      <c r="R508">
        <v>103659</v>
      </c>
    </row>
    <row r="509" spans="1:18" x14ac:dyDescent="0.25">
      <c r="A509" s="170">
        <v>44221</v>
      </c>
      <c r="B509" s="116">
        <v>1180</v>
      </c>
      <c r="C509" s="116">
        <v>1151</v>
      </c>
      <c r="D509" s="116">
        <v>1140</v>
      </c>
      <c r="E509" s="116">
        <v>1180</v>
      </c>
      <c r="F509" s="116">
        <v>1151</v>
      </c>
      <c r="G509">
        <v>15352</v>
      </c>
      <c r="H509" s="116"/>
      <c r="I509" s="116"/>
      <c r="L509" s="170">
        <v>44216</v>
      </c>
      <c r="M509" s="116">
        <v>1172.05</v>
      </c>
      <c r="N509" s="116">
        <v>1179</v>
      </c>
      <c r="O509" s="116">
        <v>1125.45</v>
      </c>
      <c r="P509" s="116">
        <v>1147.8499999999999</v>
      </c>
      <c r="Q509" s="116">
        <v>1172.05</v>
      </c>
      <c r="R509">
        <v>83225</v>
      </c>
    </row>
    <row r="510" spans="1:18" x14ac:dyDescent="0.25">
      <c r="A510" s="170">
        <v>44223</v>
      </c>
      <c r="B510" s="116">
        <v>1164.45</v>
      </c>
      <c r="C510" s="116">
        <v>1156.2</v>
      </c>
      <c r="D510" s="116">
        <v>1116.05</v>
      </c>
      <c r="E510" s="116">
        <v>1132.6500000000001</v>
      </c>
      <c r="F510" s="116">
        <v>1156.2</v>
      </c>
      <c r="G510">
        <v>7190</v>
      </c>
      <c r="H510" s="116"/>
      <c r="I510" s="116"/>
      <c r="L510" s="170">
        <v>44217</v>
      </c>
      <c r="M510" s="116">
        <v>1149.6500000000001</v>
      </c>
      <c r="N510" s="116">
        <v>1185</v>
      </c>
      <c r="O510" s="116">
        <v>1144</v>
      </c>
      <c r="P510" s="116">
        <v>1180</v>
      </c>
      <c r="Q510" s="116">
        <v>1149.6500000000001</v>
      </c>
      <c r="R510">
        <v>211966</v>
      </c>
    </row>
    <row r="511" spans="1:18" x14ac:dyDescent="0.25">
      <c r="A511" s="170">
        <v>44224</v>
      </c>
      <c r="B511" s="116">
        <v>1153.2</v>
      </c>
      <c r="C511" s="116">
        <v>1139.3499999999999</v>
      </c>
      <c r="D511" s="116">
        <v>1126.8499999999999</v>
      </c>
      <c r="E511" s="116">
        <v>1142.5999999999999</v>
      </c>
      <c r="F511" s="116">
        <v>1139.3499999999999</v>
      </c>
      <c r="G511">
        <v>2713</v>
      </c>
      <c r="H511" s="116"/>
      <c r="I511" s="116"/>
      <c r="L511" s="170">
        <v>44218</v>
      </c>
      <c r="M511" s="116">
        <v>1155.05</v>
      </c>
      <c r="N511" s="116">
        <v>1166.05</v>
      </c>
      <c r="O511" s="116">
        <v>1125</v>
      </c>
      <c r="P511" s="116">
        <v>1159.4000000000001</v>
      </c>
      <c r="Q511" s="116">
        <v>1155.05</v>
      </c>
      <c r="R511">
        <v>123951</v>
      </c>
    </row>
    <row r="512" spans="1:18" x14ac:dyDescent="0.25">
      <c r="A512" s="170">
        <v>44225</v>
      </c>
      <c r="B512" s="116">
        <v>1169</v>
      </c>
      <c r="C512" s="116">
        <v>1156.3499999999999</v>
      </c>
      <c r="D512" s="116">
        <v>1132.25</v>
      </c>
      <c r="E512" s="116">
        <v>1151.3</v>
      </c>
      <c r="F512" s="116">
        <v>1156.3499999999999</v>
      </c>
      <c r="G512">
        <v>2700</v>
      </c>
      <c r="H512" s="116"/>
      <c r="I512" s="116"/>
      <c r="L512" s="170">
        <v>44221</v>
      </c>
      <c r="M512" s="116">
        <v>1149.8499999999999</v>
      </c>
      <c r="N512" s="116">
        <v>1180.45</v>
      </c>
      <c r="O512" s="116">
        <v>1139.3</v>
      </c>
      <c r="P512" s="116">
        <v>1167</v>
      </c>
      <c r="Q512" s="116">
        <v>1149.8499999999999</v>
      </c>
      <c r="R512">
        <v>114198</v>
      </c>
    </row>
    <row r="513" spans="1:18" x14ac:dyDescent="0.25">
      <c r="A513" s="170">
        <v>44228</v>
      </c>
      <c r="B513" s="116">
        <v>1223</v>
      </c>
      <c r="C513" s="116">
        <v>1219.3499999999999</v>
      </c>
      <c r="D513" s="116">
        <v>1137.3</v>
      </c>
      <c r="E513" s="116">
        <v>1156.5999999999999</v>
      </c>
      <c r="F513" s="116">
        <v>1219.3499999999999</v>
      </c>
      <c r="G513">
        <v>21756</v>
      </c>
      <c r="H513" s="116"/>
      <c r="I513" s="116"/>
      <c r="L513" s="170">
        <v>44223</v>
      </c>
      <c r="M513" s="116">
        <v>1157</v>
      </c>
      <c r="N513" s="116">
        <v>1165.8</v>
      </c>
      <c r="O513" s="116">
        <v>1115.5</v>
      </c>
      <c r="P513" s="116">
        <v>1132.8499999999999</v>
      </c>
      <c r="Q513" s="116">
        <v>1157</v>
      </c>
      <c r="R513">
        <v>167992</v>
      </c>
    </row>
    <row r="514" spans="1:18" x14ac:dyDescent="0.25">
      <c r="A514" s="170">
        <v>44229</v>
      </c>
      <c r="B514" s="116">
        <v>1270</v>
      </c>
      <c r="C514" s="116">
        <v>1259.75</v>
      </c>
      <c r="D514" s="116">
        <v>1207.3499999999999</v>
      </c>
      <c r="E514" s="116">
        <v>1234.4000000000001</v>
      </c>
      <c r="F514" s="116">
        <v>1259.75</v>
      </c>
      <c r="G514">
        <v>17244</v>
      </c>
      <c r="H514" s="116"/>
      <c r="I514" s="116"/>
      <c r="L514" s="170">
        <v>44224</v>
      </c>
      <c r="M514" s="116">
        <v>1140.8499999999999</v>
      </c>
      <c r="N514" s="116">
        <v>1155.6500000000001</v>
      </c>
      <c r="O514" s="116">
        <v>1125.55</v>
      </c>
      <c r="P514" s="116">
        <v>1135</v>
      </c>
      <c r="Q514" s="116">
        <v>1140.8499999999999</v>
      </c>
      <c r="R514">
        <v>81638</v>
      </c>
    </row>
    <row r="515" spans="1:18" x14ac:dyDescent="0.25">
      <c r="A515" s="170">
        <v>44230</v>
      </c>
      <c r="B515" s="116">
        <v>1273.4000000000001</v>
      </c>
      <c r="C515" s="116">
        <v>1243.9000000000001</v>
      </c>
      <c r="D515" s="116">
        <v>1238.8499999999999</v>
      </c>
      <c r="E515" s="116">
        <v>1270.25</v>
      </c>
      <c r="F515" s="116">
        <v>1243.9000000000001</v>
      </c>
      <c r="G515">
        <v>5482</v>
      </c>
      <c r="H515" s="116"/>
      <c r="I515" s="116"/>
      <c r="L515" s="170">
        <v>44225</v>
      </c>
      <c r="M515" s="116">
        <v>1154.95</v>
      </c>
      <c r="N515" s="116">
        <v>1170</v>
      </c>
      <c r="O515" s="116">
        <v>1132.0999999999999</v>
      </c>
      <c r="P515" s="116">
        <v>1156.5999999999999</v>
      </c>
      <c r="Q515" s="116">
        <v>1154.95</v>
      </c>
      <c r="R515">
        <v>60995</v>
      </c>
    </row>
    <row r="516" spans="1:18" x14ac:dyDescent="0.25">
      <c r="A516" s="170">
        <v>44231</v>
      </c>
      <c r="B516" s="116">
        <v>1274.3</v>
      </c>
      <c r="C516" s="116">
        <v>1265.25</v>
      </c>
      <c r="D516" s="116">
        <v>1244.9000000000001</v>
      </c>
      <c r="E516" s="116">
        <v>1244.9000000000001</v>
      </c>
      <c r="F516" s="116">
        <v>1265.25</v>
      </c>
      <c r="G516">
        <v>6476</v>
      </c>
      <c r="H516" s="116"/>
      <c r="I516" s="116"/>
      <c r="L516" s="170">
        <v>44228</v>
      </c>
      <c r="M516" s="116">
        <v>1219.3</v>
      </c>
      <c r="N516" s="116">
        <v>1223</v>
      </c>
      <c r="O516" s="116">
        <v>1135.5999999999999</v>
      </c>
      <c r="P516" s="116">
        <v>1160.75</v>
      </c>
      <c r="Q516" s="116">
        <v>1219.3</v>
      </c>
      <c r="R516">
        <v>184856</v>
      </c>
    </row>
    <row r="517" spans="1:18" x14ac:dyDescent="0.25">
      <c r="A517" s="170">
        <v>44232</v>
      </c>
      <c r="B517" s="116">
        <v>1305.0999999999999</v>
      </c>
      <c r="C517" s="116">
        <v>1238.8499999999999</v>
      </c>
      <c r="D517" s="116">
        <v>1216.95</v>
      </c>
      <c r="E517" s="116">
        <v>1265</v>
      </c>
      <c r="F517" s="116">
        <v>1238.8499999999999</v>
      </c>
      <c r="G517">
        <v>14832</v>
      </c>
      <c r="H517" s="116"/>
      <c r="I517" s="116"/>
      <c r="L517" s="170">
        <v>44229</v>
      </c>
      <c r="M517" s="116">
        <v>1258</v>
      </c>
      <c r="N517" s="116">
        <v>1270.8</v>
      </c>
      <c r="O517" s="116">
        <v>1204</v>
      </c>
      <c r="P517" s="116">
        <v>1230</v>
      </c>
      <c r="Q517" s="116">
        <v>1258</v>
      </c>
      <c r="R517">
        <v>310318</v>
      </c>
    </row>
    <row r="518" spans="1:18" x14ac:dyDescent="0.25">
      <c r="A518" s="170">
        <v>44235</v>
      </c>
      <c r="B518" s="116">
        <v>1340</v>
      </c>
      <c r="C518" s="116">
        <v>1330.9</v>
      </c>
      <c r="D518" s="116">
        <v>1260.3</v>
      </c>
      <c r="E518" s="116">
        <v>1260.3</v>
      </c>
      <c r="F518" s="116">
        <v>1330.9</v>
      </c>
      <c r="G518">
        <v>23272</v>
      </c>
      <c r="H518" s="116"/>
      <c r="I518" s="116"/>
      <c r="L518" s="170">
        <v>44230</v>
      </c>
      <c r="M518" s="116">
        <v>1244</v>
      </c>
      <c r="N518" s="116">
        <v>1275.25</v>
      </c>
      <c r="O518" s="116">
        <v>1240.05</v>
      </c>
      <c r="P518" s="116">
        <v>1266.6500000000001</v>
      </c>
      <c r="Q518" s="116">
        <v>1244</v>
      </c>
      <c r="R518">
        <v>204134</v>
      </c>
    </row>
    <row r="519" spans="1:18" x14ac:dyDescent="0.25">
      <c r="A519" s="170">
        <v>44236</v>
      </c>
      <c r="B519" s="116">
        <v>1352.95</v>
      </c>
      <c r="C519" s="116">
        <v>1348.3</v>
      </c>
      <c r="D519" s="116">
        <v>1306.9000000000001</v>
      </c>
      <c r="E519" s="116">
        <v>1340</v>
      </c>
      <c r="F519" s="116">
        <v>1348.3</v>
      </c>
      <c r="G519">
        <v>12005</v>
      </c>
      <c r="H519" s="116"/>
      <c r="I519" s="116"/>
      <c r="L519" s="170">
        <v>44231</v>
      </c>
      <c r="M519" s="116">
        <v>1268</v>
      </c>
      <c r="N519" s="116">
        <v>1274.0999999999999</v>
      </c>
      <c r="O519" s="116">
        <v>1241.1500000000001</v>
      </c>
      <c r="P519" s="116">
        <v>1254</v>
      </c>
      <c r="Q519" s="116">
        <v>1268</v>
      </c>
      <c r="R519">
        <v>242957</v>
      </c>
    </row>
    <row r="520" spans="1:18" x14ac:dyDescent="0.25">
      <c r="A520" s="170">
        <v>44237</v>
      </c>
      <c r="B520" s="116">
        <v>1370</v>
      </c>
      <c r="C520" s="116">
        <v>1363.15</v>
      </c>
      <c r="D520" s="116">
        <v>1305.5999999999999</v>
      </c>
      <c r="E520" s="116">
        <v>1349.1</v>
      </c>
      <c r="F520" s="116">
        <v>1363.15</v>
      </c>
      <c r="G520">
        <v>9125</v>
      </c>
      <c r="H520" s="116"/>
      <c r="I520" s="116"/>
      <c r="L520" s="170">
        <v>44232</v>
      </c>
      <c r="M520" s="116">
        <v>1240.05</v>
      </c>
      <c r="N520" s="116">
        <v>1304.8499999999999</v>
      </c>
      <c r="O520" s="116">
        <v>1206</v>
      </c>
      <c r="P520" s="116">
        <v>1265</v>
      </c>
      <c r="Q520" s="116">
        <v>1240.05</v>
      </c>
      <c r="R520">
        <v>310803</v>
      </c>
    </row>
    <row r="521" spans="1:18" x14ac:dyDescent="0.25">
      <c r="A521" s="170">
        <v>44238</v>
      </c>
      <c r="B521" s="116">
        <v>1400.7</v>
      </c>
      <c r="C521" s="116">
        <v>1397.05</v>
      </c>
      <c r="D521" s="116">
        <v>1355.25</v>
      </c>
      <c r="E521" s="116">
        <v>1356.2</v>
      </c>
      <c r="F521" s="116">
        <v>1397.05</v>
      </c>
      <c r="G521">
        <v>12691</v>
      </c>
      <c r="H521" s="116"/>
      <c r="I521" s="116"/>
      <c r="L521" s="170">
        <v>44235</v>
      </c>
      <c r="M521" s="116">
        <v>1332.65</v>
      </c>
      <c r="N521" s="116">
        <v>1340</v>
      </c>
      <c r="O521" s="116">
        <v>1245</v>
      </c>
      <c r="P521" s="116">
        <v>1245</v>
      </c>
      <c r="Q521" s="116">
        <v>1332.65</v>
      </c>
      <c r="R521">
        <v>506679</v>
      </c>
    </row>
    <row r="522" spans="1:18" x14ac:dyDescent="0.25">
      <c r="A522" s="170">
        <v>44239</v>
      </c>
      <c r="B522" s="116">
        <v>1499.85</v>
      </c>
      <c r="C522" s="116">
        <v>1480.75</v>
      </c>
      <c r="D522" s="116">
        <v>1387.1</v>
      </c>
      <c r="E522" s="116">
        <v>1398</v>
      </c>
      <c r="F522" s="116">
        <v>1480.75</v>
      </c>
      <c r="G522">
        <v>36007</v>
      </c>
      <c r="H522" s="116"/>
      <c r="I522" s="116"/>
      <c r="L522" s="170">
        <v>44236</v>
      </c>
      <c r="M522" s="116">
        <v>1348.8</v>
      </c>
      <c r="N522" s="116">
        <v>1352</v>
      </c>
      <c r="O522" s="116">
        <v>1303.55</v>
      </c>
      <c r="P522" s="116">
        <v>1344.9</v>
      </c>
      <c r="Q522" s="116">
        <v>1348.8</v>
      </c>
      <c r="R522">
        <v>412384</v>
      </c>
    </row>
    <row r="523" spans="1:18" x14ac:dyDescent="0.25">
      <c r="A523" s="170">
        <v>44242</v>
      </c>
      <c r="B523" s="116">
        <v>1488.75</v>
      </c>
      <c r="C523" s="116">
        <v>1472.8</v>
      </c>
      <c r="D523" s="116">
        <v>1426.15</v>
      </c>
      <c r="E523" s="116">
        <v>1488.75</v>
      </c>
      <c r="F523" s="116">
        <v>1472.8</v>
      </c>
      <c r="G523">
        <v>9237</v>
      </c>
      <c r="H523" s="116"/>
      <c r="I523" s="116"/>
      <c r="L523" s="170">
        <v>44237</v>
      </c>
      <c r="M523" s="116">
        <v>1365.2</v>
      </c>
      <c r="N523" s="116">
        <v>1370.65</v>
      </c>
      <c r="O523" s="116">
        <v>1305.5999999999999</v>
      </c>
      <c r="P523" s="116">
        <v>1354</v>
      </c>
      <c r="Q523" s="116">
        <v>1365.2</v>
      </c>
      <c r="R523">
        <v>182550</v>
      </c>
    </row>
    <row r="524" spans="1:18" x14ac:dyDescent="0.25">
      <c r="A524" s="170">
        <v>44243</v>
      </c>
      <c r="B524" s="116">
        <v>1495.7</v>
      </c>
      <c r="C524" s="116">
        <v>1441.55</v>
      </c>
      <c r="D524" s="116">
        <v>1370</v>
      </c>
      <c r="E524" s="116">
        <v>1465</v>
      </c>
      <c r="F524" s="116">
        <v>1441.55</v>
      </c>
      <c r="G524">
        <v>11965</v>
      </c>
      <c r="H524" s="116"/>
      <c r="I524" s="116"/>
      <c r="L524" s="170">
        <v>44238</v>
      </c>
      <c r="M524" s="116">
        <v>1398.15</v>
      </c>
      <c r="N524" s="116">
        <v>1400</v>
      </c>
      <c r="O524" s="116">
        <v>1352.8</v>
      </c>
      <c r="P524" s="116">
        <v>1366</v>
      </c>
      <c r="Q524" s="116">
        <v>1398.15</v>
      </c>
      <c r="R524">
        <v>204925</v>
      </c>
    </row>
    <row r="525" spans="1:18" x14ac:dyDescent="0.25">
      <c r="A525" s="170">
        <v>44244</v>
      </c>
      <c r="B525" s="116">
        <v>1475.05</v>
      </c>
      <c r="C525" s="116">
        <v>1455.05</v>
      </c>
      <c r="D525" s="116">
        <v>1406</v>
      </c>
      <c r="E525" s="116">
        <v>1435.15</v>
      </c>
      <c r="F525" s="116">
        <v>1455.05</v>
      </c>
      <c r="G525">
        <v>68077</v>
      </c>
      <c r="H525" s="116"/>
      <c r="I525" s="116"/>
      <c r="L525" s="170">
        <v>44239</v>
      </c>
      <c r="M525" s="116">
        <v>1481.45</v>
      </c>
      <c r="N525" s="116">
        <v>1500</v>
      </c>
      <c r="O525" s="116">
        <v>1384</v>
      </c>
      <c r="P525" s="116">
        <v>1408.65</v>
      </c>
      <c r="Q525" s="116">
        <v>1481.45</v>
      </c>
      <c r="R525">
        <v>582403</v>
      </c>
    </row>
    <row r="526" spans="1:18" x14ac:dyDescent="0.25">
      <c r="A526" s="170">
        <v>44245</v>
      </c>
      <c r="B526" s="116">
        <v>1507.7</v>
      </c>
      <c r="C526" s="116">
        <v>1476.2</v>
      </c>
      <c r="D526" s="116">
        <v>1437.65</v>
      </c>
      <c r="E526" s="116">
        <v>1476.35</v>
      </c>
      <c r="F526" s="116">
        <v>1476.2</v>
      </c>
      <c r="G526">
        <v>8737</v>
      </c>
      <c r="H526" s="116"/>
      <c r="I526" s="116"/>
      <c r="L526" s="170">
        <v>44242</v>
      </c>
      <c r="M526" s="116">
        <v>1474.85</v>
      </c>
      <c r="N526" s="116">
        <v>1488.9</v>
      </c>
      <c r="O526" s="116">
        <v>1426.85</v>
      </c>
      <c r="P526" s="116">
        <v>1488.9</v>
      </c>
      <c r="Q526" s="116">
        <v>1474.85</v>
      </c>
      <c r="R526">
        <v>155487</v>
      </c>
    </row>
    <row r="527" spans="1:18" x14ac:dyDescent="0.25">
      <c r="A527" s="170">
        <v>44246</v>
      </c>
      <c r="B527" s="116">
        <v>1496.6</v>
      </c>
      <c r="C527" s="116">
        <v>1474.95</v>
      </c>
      <c r="D527" s="116">
        <v>1467.6</v>
      </c>
      <c r="E527" s="116">
        <v>1480.75</v>
      </c>
      <c r="F527" s="116">
        <v>1474.95</v>
      </c>
      <c r="G527">
        <v>5233</v>
      </c>
      <c r="H527" s="116"/>
      <c r="I527" s="116"/>
      <c r="L527" s="170">
        <v>44243</v>
      </c>
      <c r="M527" s="116">
        <v>1444.8</v>
      </c>
      <c r="N527" s="116">
        <v>1497</v>
      </c>
      <c r="O527" s="116">
        <v>1368.05</v>
      </c>
      <c r="P527" s="116">
        <v>1446.95</v>
      </c>
      <c r="Q527" s="116">
        <v>1444.8</v>
      </c>
      <c r="R527">
        <v>306389</v>
      </c>
    </row>
    <row r="528" spans="1:18" x14ac:dyDescent="0.25">
      <c r="A528" s="170">
        <v>44249</v>
      </c>
      <c r="B528" s="116">
        <v>1505</v>
      </c>
      <c r="C528" s="116">
        <v>1430.05</v>
      </c>
      <c r="D528" s="116">
        <v>1394.1</v>
      </c>
      <c r="E528" s="116">
        <v>1483.55</v>
      </c>
      <c r="F528" s="116">
        <v>1430.05</v>
      </c>
      <c r="G528">
        <v>10676</v>
      </c>
      <c r="H528" s="116"/>
      <c r="I528" s="116"/>
      <c r="L528" s="170">
        <v>44244</v>
      </c>
      <c r="M528" s="116">
        <v>1455.3</v>
      </c>
      <c r="N528" s="116">
        <v>1476</v>
      </c>
      <c r="O528" s="116">
        <v>1405</v>
      </c>
      <c r="P528" s="116">
        <v>1444.95</v>
      </c>
      <c r="Q528" s="116">
        <v>1455.3</v>
      </c>
      <c r="R528">
        <v>137464</v>
      </c>
    </row>
    <row r="529" spans="1:18" x14ac:dyDescent="0.25">
      <c r="A529" s="170">
        <v>44250</v>
      </c>
      <c r="B529" s="116">
        <v>1492.7</v>
      </c>
      <c r="C529" s="116">
        <v>1449.2</v>
      </c>
      <c r="D529" s="116">
        <v>1441</v>
      </c>
      <c r="E529" s="116">
        <v>1453.8</v>
      </c>
      <c r="F529" s="116">
        <v>1449.2</v>
      </c>
      <c r="G529">
        <v>4448</v>
      </c>
      <c r="H529" s="116"/>
      <c r="I529" s="116"/>
      <c r="L529" s="170">
        <v>44245</v>
      </c>
      <c r="M529" s="116">
        <v>1475.65</v>
      </c>
      <c r="N529" s="116">
        <v>1510</v>
      </c>
      <c r="O529" s="116">
        <v>1437.8</v>
      </c>
      <c r="P529" s="116">
        <v>1470</v>
      </c>
      <c r="Q529" s="116">
        <v>1475.65</v>
      </c>
      <c r="R529">
        <v>327182</v>
      </c>
    </row>
    <row r="530" spans="1:18" x14ac:dyDescent="0.25">
      <c r="A530" s="170">
        <v>44251</v>
      </c>
      <c r="B530" s="116">
        <v>1464.5</v>
      </c>
      <c r="C530" s="116">
        <v>1446.7</v>
      </c>
      <c r="D530" s="116">
        <v>1415</v>
      </c>
      <c r="E530" s="116">
        <v>1464.5</v>
      </c>
      <c r="F530" s="116">
        <v>1446.7</v>
      </c>
      <c r="G530">
        <v>4964</v>
      </c>
      <c r="H530" s="116"/>
      <c r="I530" s="116"/>
      <c r="L530" s="170">
        <v>44246</v>
      </c>
      <c r="M530" s="116">
        <v>1476.3</v>
      </c>
      <c r="N530" s="116">
        <v>1494.9</v>
      </c>
      <c r="O530" s="116">
        <v>1466.6</v>
      </c>
      <c r="P530" s="116">
        <v>1476</v>
      </c>
      <c r="Q530" s="116">
        <v>1476.3</v>
      </c>
      <c r="R530">
        <v>148537</v>
      </c>
    </row>
    <row r="531" spans="1:18" x14ac:dyDescent="0.25">
      <c r="A531" s="170">
        <v>44252</v>
      </c>
      <c r="B531" s="116">
        <v>1482.9</v>
      </c>
      <c r="C531" s="116">
        <v>1442.85</v>
      </c>
      <c r="D531" s="116">
        <v>1433</v>
      </c>
      <c r="E531" s="116">
        <v>1458.35</v>
      </c>
      <c r="F531" s="116">
        <v>1442.85</v>
      </c>
      <c r="G531">
        <v>10461</v>
      </c>
      <c r="H531" s="116"/>
      <c r="I531" s="116"/>
      <c r="L531" s="170">
        <v>44249</v>
      </c>
      <c r="M531" s="116">
        <v>1425.75</v>
      </c>
      <c r="N531" s="116">
        <v>1508.35</v>
      </c>
      <c r="O531" s="116">
        <v>1392.8</v>
      </c>
      <c r="P531" s="116">
        <v>1484</v>
      </c>
      <c r="Q531" s="116">
        <v>1425.75</v>
      </c>
      <c r="R531">
        <v>177453</v>
      </c>
    </row>
    <row r="532" spans="1:18" x14ac:dyDescent="0.25">
      <c r="A532" s="170">
        <v>44253</v>
      </c>
      <c r="B532" s="116">
        <v>1570</v>
      </c>
      <c r="C532" s="116">
        <v>1434.75</v>
      </c>
      <c r="D532" s="116">
        <v>1419.65</v>
      </c>
      <c r="E532" s="116">
        <v>1420.95</v>
      </c>
      <c r="F532" s="116">
        <v>1434.75</v>
      </c>
      <c r="G532">
        <v>21294</v>
      </c>
      <c r="H532" s="116"/>
      <c r="I532" s="116"/>
      <c r="L532" s="170">
        <v>44250</v>
      </c>
      <c r="M532" s="116">
        <v>1448.35</v>
      </c>
      <c r="N532" s="116">
        <v>1494.5</v>
      </c>
      <c r="O532" s="116">
        <v>1431.1</v>
      </c>
      <c r="P532" s="116">
        <v>1431.1</v>
      </c>
      <c r="Q532" s="116">
        <v>1448.35</v>
      </c>
      <c r="R532">
        <v>100953</v>
      </c>
    </row>
    <row r="533" spans="1:18" x14ac:dyDescent="0.25">
      <c r="A533" s="170">
        <v>44256</v>
      </c>
      <c r="B533" s="116">
        <v>1500</v>
      </c>
      <c r="C533" s="116">
        <v>1468.6</v>
      </c>
      <c r="D533" s="116">
        <v>1425</v>
      </c>
      <c r="E533" s="116">
        <v>1452.7</v>
      </c>
      <c r="F533" s="116">
        <v>1468.6</v>
      </c>
      <c r="G533">
        <v>9976</v>
      </c>
      <c r="H533" s="116"/>
      <c r="I533" s="116"/>
      <c r="L533" s="170">
        <v>44251</v>
      </c>
      <c r="M533" s="116">
        <v>1449.6</v>
      </c>
      <c r="N533" s="116">
        <v>1472.95</v>
      </c>
      <c r="O533" s="116">
        <v>1365.6</v>
      </c>
      <c r="P533" s="116">
        <v>1467</v>
      </c>
      <c r="Q533" s="116">
        <v>1449.6</v>
      </c>
      <c r="R533">
        <v>54062</v>
      </c>
    </row>
    <row r="534" spans="1:18" x14ac:dyDescent="0.25">
      <c r="A534" s="170">
        <v>44257</v>
      </c>
      <c r="B534" s="116">
        <v>1508.8</v>
      </c>
      <c r="C534" s="116">
        <v>1496.05</v>
      </c>
      <c r="D534" s="116">
        <v>1462.95</v>
      </c>
      <c r="E534" s="116">
        <v>1482.6</v>
      </c>
      <c r="F534" s="116">
        <v>1496.05</v>
      </c>
      <c r="G534">
        <v>6921</v>
      </c>
      <c r="H534" s="116"/>
      <c r="I534" s="116"/>
      <c r="L534" s="170">
        <v>44252</v>
      </c>
      <c r="M534" s="116">
        <v>1444.45</v>
      </c>
      <c r="N534" s="116">
        <v>1485</v>
      </c>
      <c r="O534" s="116">
        <v>1431.95</v>
      </c>
      <c r="P534" s="116">
        <v>1452</v>
      </c>
      <c r="Q534" s="116">
        <v>1444.45</v>
      </c>
      <c r="R534">
        <v>203741</v>
      </c>
    </row>
    <row r="535" spans="1:18" x14ac:dyDescent="0.25">
      <c r="A535" s="170">
        <v>44258</v>
      </c>
      <c r="B535" s="116">
        <v>1538</v>
      </c>
      <c r="C535" s="116">
        <v>1501.65</v>
      </c>
      <c r="D535" s="116">
        <v>1494.65</v>
      </c>
      <c r="E535" s="116">
        <v>1516.55</v>
      </c>
      <c r="F535" s="116">
        <v>1501.65</v>
      </c>
      <c r="G535">
        <v>7501</v>
      </c>
      <c r="H535" s="116"/>
      <c r="I535" s="116"/>
      <c r="L535" s="170">
        <v>44253</v>
      </c>
      <c r="M535" s="116">
        <v>1436.15</v>
      </c>
      <c r="N535" s="116">
        <v>1574</v>
      </c>
      <c r="O535" s="116">
        <v>1415.55</v>
      </c>
      <c r="P535" s="116">
        <v>1416</v>
      </c>
      <c r="Q535" s="116">
        <v>1436.15</v>
      </c>
      <c r="R535">
        <v>491571</v>
      </c>
    </row>
    <row r="536" spans="1:18" x14ac:dyDescent="0.25">
      <c r="A536" s="170">
        <v>44259</v>
      </c>
      <c r="B536" s="116">
        <v>1510</v>
      </c>
      <c r="C536" s="116">
        <v>1487.9</v>
      </c>
      <c r="D536" s="116">
        <v>1481</v>
      </c>
      <c r="E536" s="116">
        <v>1496.15</v>
      </c>
      <c r="F536" s="116">
        <v>1487.9</v>
      </c>
      <c r="G536">
        <v>3887</v>
      </c>
      <c r="H536" s="116"/>
      <c r="I536" s="116"/>
      <c r="L536" s="170">
        <v>44256</v>
      </c>
      <c r="M536" s="116">
        <v>1469.1</v>
      </c>
      <c r="N536" s="116">
        <v>1501</v>
      </c>
      <c r="O536" s="116">
        <v>1423.3</v>
      </c>
      <c r="P536" s="116">
        <v>1438</v>
      </c>
      <c r="Q536" s="116">
        <v>1469.1</v>
      </c>
      <c r="R536">
        <v>266937</v>
      </c>
    </row>
    <row r="537" spans="1:18" x14ac:dyDescent="0.25">
      <c r="A537" s="170">
        <v>44260</v>
      </c>
      <c r="B537" s="116">
        <v>1512.6</v>
      </c>
      <c r="C537" s="116">
        <v>1474.85</v>
      </c>
      <c r="D537" s="116">
        <v>1464.9</v>
      </c>
      <c r="E537" s="116">
        <v>1493.45</v>
      </c>
      <c r="F537" s="116">
        <v>1474.85</v>
      </c>
      <c r="G537">
        <v>9523</v>
      </c>
      <c r="H537" s="116"/>
      <c r="I537" s="116"/>
      <c r="L537" s="170">
        <v>44257</v>
      </c>
      <c r="M537" s="116">
        <v>1493</v>
      </c>
      <c r="N537" s="116">
        <v>1510</v>
      </c>
      <c r="O537" s="116">
        <v>1460.3</v>
      </c>
      <c r="P537" s="116">
        <v>1489.9</v>
      </c>
      <c r="Q537" s="116">
        <v>1493</v>
      </c>
      <c r="R537">
        <v>346970</v>
      </c>
    </row>
    <row r="538" spans="1:18" x14ac:dyDescent="0.25">
      <c r="A538" s="170">
        <v>44263</v>
      </c>
      <c r="B538" s="116">
        <v>1493</v>
      </c>
      <c r="C538" s="116">
        <v>1448.5</v>
      </c>
      <c r="D538" s="116">
        <v>1441.7</v>
      </c>
      <c r="E538" s="116">
        <v>1486.45</v>
      </c>
      <c r="F538" s="116">
        <v>1448.5</v>
      </c>
      <c r="G538">
        <v>5151</v>
      </c>
      <c r="H538" s="116"/>
      <c r="I538" s="116"/>
      <c r="L538" s="170">
        <v>44258</v>
      </c>
      <c r="M538" s="116">
        <v>1502.45</v>
      </c>
      <c r="N538" s="116">
        <v>1539</v>
      </c>
      <c r="O538" s="116">
        <v>1494.05</v>
      </c>
      <c r="P538" s="116">
        <v>1515</v>
      </c>
      <c r="Q538" s="116">
        <v>1502.45</v>
      </c>
      <c r="R538">
        <v>168863</v>
      </c>
    </row>
    <row r="539" spans="1:18" x14ac:dyDescent="0.25">
      <c r="A539" s="170">
        <v>44264</v>
      </c>
      <c r="B539" s="116">
        <v>1478.4</v>
      </c>
      <c r="C539" s="116">
        <v>1453</v>
      </c>
      <c r="D539" s="116">
        <v>1440.35</v>
      </c>
      <c r="E539" s="116">
        <v>1457.1</v>
      </c>
      <c r="F539" s="116">
        <v>1453</v>
      </c>
      <c r="G539">
        <v>7951</v>
      </c>
      <c r="H539" s="116"/>
      <c r="I539" s="116"/>
      <c r="L539" s="170">
        <v>44259</v>
      </c>
      <c r="M539" s="116">
        <v>1487.85</v>
      </c>
      <c r="N539" s="116">
        <v>1509</v>
      </c>
      <c r="O539" s="116">
        <v>1480</v>
      </c>
      <c r="P539" s="116">
        <v>1498.7</v>
      </c>
      <c r="Q539" s="116">
        <v>1487.85</v>
      </c>
      <c r="R539">
        <v>175602</v>
      </c>
    </row>
    <row r="540" spans="1:18" x14ac:dyDescent="0.25">
      <c r="A540" s="170">
        <v>44265</v>
      </c>
      <c r="B540" s="116">
        <v>1474.95</v>
      </c>
      <c r="C540" s="116">
        <v>1469.25</v>
      </c>
      <c r="D540" s="116">
        <v>1453.7</v>
      </c>
      <c r="E540" s="116">
        <v>1457.7</v>
      </c>
      <c r="F540" s="116">
        <v>1469.25</v>
      </c>
      <c r="G540">
        <v>6795</v>
      </c>
      <c r="H540" s="116"/>
      <c r="I540" s="116"/>
      <c r="L540" s="170">
        <v>44260</v>
      </c>
      <c r="M540" s="116">
        <v>1474.95</v>
      </c>
      <c r="N540" s="116">
        <v>1514.95</v>
      </c>
      <c r="O540" s="116">
        <v>1467</v>
      </c>
      <c r="P540" s="116">
        <v>1492</v>
      </c>
      <c r="Q540" s="116">
        <v>1474.95</v>
      </c>
      <c r="R540">
        <v>103893</v>
      </c>
    </row>
    <row r="541" spans="1:18" x14ac:dyDescent="0.25">
      <c r="A541" s="170">
        <v>44267</v>
      </c>
      <c r="B541" s="116">
        <v>1502.4</v>
      </c>
      <c r="C541" s="116">
        <v>1474.5</v>
      </c>
      <c r="D541" s="116">
        <v>1470</v>
      </c>
      <c r="E541" s="116">
        <v>1478.35</v>
      </c>
      <c r="F541" s="116">
        <v>1474.5</v>
      </c>
      <c r="G541">
        <v>8328</v>
      </c>
      <c r="H541" s="116"/>
      <c r="I541" s="116"/>
      <c r="L541" s="170">
        <v>44263</v>
      </c>
      <c r="M541" s="116">
        <v>1449.1</v>
      </c>
      <c r="N541" s="116">
        <v>1494.9</v>
      </c>
      <c r="O541" s="116">
        <v>1442</v>
      </c>
      <c r="P541" s="116">
        <v>1482.6</v>
      </c>
      <c r="Q541" s="116">
        <v>1449.1</v>
      </c>
      <c r="R541">
        <v>73551</v>
      </c>
    </row>
    <row r="542" spans="1:18" x14ac:dyDescent="0.25">
      <c r="A542" s="170">
        <v>44270</v>
      </c>
      <c r="B542" s="116">
        <v>1502.65</v>
      </c>
      <c r="C542" s="116">
        <v>1474.65</v>
      </c>
      <c r="D542" s="116">
        <v>1445</v>
      </c>
      <c r="E542" s="116">
        <v>1500</v>
      </c>
      <c r="F542" s="116">
        <v>1474.65</v>
      </c>
      <c r="G542">
        <v>13203</v>
      </c>
      <c r="H542" s="116"/>
      <c r="I542" s="116"/>
      <c r="L542" s="170">
        <v>44264</v>
      </c>
      <c r="M542" s="116">
        <v>1451.55</v>
      </c>
      <c r="N542" s="116">
        <v>1479.45</v>
      </c>
      <c r="O542" s="116">
        <v>1441</v>
      </c>
      <c r="P542" s="116">
        <v>1462</v>
      </c>
      <c r="Q542" s="116">
        <v>1451.55</v>
      </c>
      <c r="R542">
        <v>225157</v>
      </c>
    </row>
    <row r="543" spans="1:18" x14ac:dyDescent="0.25">
      <c r="A543" s="170">
        <v>44271</v>
      </c>
      <c r="B543" s="116">
        <v>1568.2</v>
      </c>
      <c r="C543" s="116">
        <v>1520.35</v>
      </c>
      <c r="D543" s="116">
        <v>1474.2</v>
      </c>
      <c r="E543" s="116">
        <v>1476.05</v>
      </c>
      <c r="F543" s="116">
        <v>1520.35</v>
      </c>
      <c r="G543">
        <v>24907</v>
      </c>
      <c r="H543" s="116"/>
      <c r="I543" s="116"/>
      <c r="L543" s="170">
        <v>44265</v>
      </c>
      <c r="M543" s="116">
        <v>1470.3</v>
      </c>
      <c r="N543" s="116">
        <v>1475.25</v>
      </c>
      <c r="O543" s="116">
        <v>1452.9</v>
      </c>
      <c r="P543" s="116">
        <v>1459.8</v>
      </c>
      <c r="Q543" s="116">
        <v>1470.3</v>
      </c>
      <c r="R543">
        <v>54717</v>
      </c>
    </row>
    <row r="544" spans="1:18" x14ac:dyDescent="0.25">
      <c r="A544" s="170">
        <v>44272</v>
      </c>
      <c r="B544" s="116">
        <v>1690.6</v>
      </c>
      <c r="C544" s="116">
        <v>1556.35</v>
      </c>
      <c r="D544" s="116">
        <v>1527.8</v>
      </c>
      <c r="E544" s="116">
        <v>1654.65</v>
      </c>
      <c r="F544" s="116">
        <v>1556.35</v>
      </c>
      <c r="G544">
        <v>32522</v>
      </c>
      <c r="H544" s="116"/>
      <c r="I544" s="116"/>
      <c r="L544" s="170">
        <v>44267</v>
      </c>
      <c r="M544" s="116">
        <v>1474.6</v>
      </c>
      <c r="N544" s="116">
        <v>1504.9</v>
      </c>
      <c r="O544" s="116">
        <v>1470</v>
      </c>
      <c r="P544" s="116">
        <v>1475</v>
      </c>
      <c r="Q544" s="116">
        <v>1474.6</v>
      </c>
      <c r="R544">
        <v>301052</v>
      </c>
    </row>
    <row r="545" spans="1:18" x14ac:dyDescent="0.25">
      <c r="A545" s="170">
        <v>44273</v>
      </c>
      <c r="B545" s="116">
        <v>1584.25</v>
      </c>
      <c r="C545" s="116">
        <v>1572.85</v>
      </c>
      <c r="D545" s="116">
        <v>1518.55</v>
      </c>
      <c r="E545" s="116">
        <v>1570</v>
      </c>
      <c r="F545" s="116">
        <v>1572.85</v>
      </c>
      <c r="G545">
        <v>72752</v>
      </c>
      <c r="H545" s="116"/>
      <c r="I545" s="116"/>
      <c r="L545" s="170">
        <v>44270</v>
      </c>
      <c r="M545" s="116">
        <v>1472.35</v>
      </c>
      <c r="N545" s="116">
        <v>1513</v>
      </c>
      <c r="O545" s="116">
        <v>1445.2</v>
      </c>
      <c r="P545" s="116">
        <v>1513</v>
      </c>
      <c r="Q545" s="116">
        <v>1472.35</v>
      </c>
      <c r="R545">
        <v>191762</v>
      </c>
    </row>
    <row r="546" spans="1:18" x14ac:dyDescent="0.25">
      <c r="A546" s="170">
        <v>44274</v>
      </c>
      <c r="B546" s="116">
        <v>1587.9</v>
      </c>
      <c r="C546" s="116">
        <v>1572.7</v>
      </c>
      <c r="D546" s="116">
        <v>1519.1</v>
      </c>
      <c r="E546" s="116">
        <v>1570.9</v>
      </c>
      <c r="F546" s="116">
        <v>1572.7</v>
      </c>
      <c r="G546">
        <v>8745</v>
      </c>
      <c r="H546" s="116"/>
      <c r="I546" s="116"/>
      <c r="L546" s="170">
        <v>44271</v>
      </c>
      <c r="M546" s="116">
        <v>1523.15</v>
      </c>
      <c r="N546" s="116">
        <v>1570</v>
      </c>
      <c r="O546" s="116">
        <v>1470.9</v>
      </c>
      <c r="P546" s="116">
        <v>1472.35</v>
      </c>
      <c r="Q546" s="116">
        <v>1523.15</v>
      </c>
      <c r="R546">
        <v>583491</v>
      </c>
    </row>
    <row r="547" spans="1:18" x14ac:dyDescent="0.25">
      <c r="A547" s="170">
        <v>44277</v>
      </c>
      <c r="B547" s="116">
        <v>1597</v>
      </c>
      <c r="C547" s="116">
        <v>1585.15</v>
      </c>
      <c r="D547" s="116">
        <v>1565.25</v>
      </c>
      <c r="E547" s="116">
        <v>1571</v>
      </c>
      <c r="F547" s="116">
        <v>1585.15</v>
      </c>
      <c r="G547">
        <v>4273</v>
      </c>
      <c r="H547" s="116"/>
      <c r="I547" s="116"/>
      <c r="L547" s="170">
        <v>44272</v>
      </c>
      <c r="M547" s="116">
        <v>1558.6</v>
      </c>
      <c r="N547" s="116">
        <v>1689.75</v>
      </c>
      <c r="O547" s="116">
        <v>1528.6</v>
      </c>
      <c r="P547" s="116">
        <v>1650</v>
      </c>
      <c r="Q547" s="116">
        <v>1558.6</v>
      </c>
      <c r="R547">
        <v>1167113</v>
      </c>
    </row>
    <row r="548" spans="1:18" x14ac:dyDescent="0.25">
      <c r="A548" s="170">
        <v>44278</v>
      </c>
      <c r="B548" s="116">
        <v>1605</v>
      </c>
      <c r="C548" s="116">
        <v>1569.55</v>
      </c>
      <c r="D548" s="116">
        <v>1544.45</v>
      </c>
      <c r="E548" s="116">
        <v>1599.5</v>
      </c>
      <c r="F548" s="116">
        <v>1569.55</v>
      </c>
      <c r="G548">
        <v>4338</v>
      </c>
      <c r="H548" s="116"/>
      <c r="I548" s="116"/>
      <c r="L548" s="170">
        <v>44273</v>
      </c>
      <c r="M548" s="116">
        <v>1572.5</v>
      </c>
      <c r="N548" s="116">
        <v>1589</v>
      </c>
      <c r="O548" s="116">
        <v>1515.25</v>
      </c>
      <c r="P548" s="116">
        <v>1562.4</v>
      </c>
      <c r="Q548" s="116">
        <v>1572.5</v>
      </c>
      <c r="R548">
        <v>386445</v>
      </c>
    </row>
    <row r="549" spans="1:18" x14ac:dyDescent="0.25">
      <c r="A549" s="170">
        <v>44279</v>
      </c>
      <c r="B549" s="116">
        <v>1652.5</v>
      </c>
      <c r="C549" s="116">
        <v>1560.8</v>
      </c>
      <c r="D549" s="116">
        <v>1549</v>
      </c>
      <c r="E549" s="116">
        <v>1569</v>
      </c>
      <c r="F549" s="116">
        <v>1560.8</v>
      </c>
      <c r="G549">
        <v>9370</v>
      </c>
      <c r="H549" s="116"/>
      <c r="I549" s="116"/>
      <c r="L549" s="170">
        <v>44274</v>
      </c>
      <c r="M549" s="116">
        <v>1575.1</v>
      </c>
      <c r="N549" s="116">
        <v>1589.8</v>
      </c>
      <c r="O549" s="116">
        <v>1520.8</v>
      </c>
      <c r="P549" s="116">
        <v>1564</v>
      </c>
      <c r="Q549" s="116">
        <v>1575.1</v>
      </c>
      <c r="R549">
        <v>171871</v>
      </c>
    </row>
    <row r="550" spans="1:18" x14ac:dyDescent="0.25">
      <c r="A550" s="170">
        <v>44280</v>
      </c>
      <c r="B550" s="116">
        <v>1583.75</v>
      </c>
      <c r="C550" s="116">
        <v>1512.15</v>
      </c>
      <c r="D550" s="116">
        <v>1499.65</v>
      </c>
      <c r="E550" s="116">
        <v>1583.25</v>
      </c>
      <c r="F550" s="116">
        <v>1512.15</v>
      </c>
      <c r="G550">
        <v>5372</v>
      </c>
      <c r="H550" s="116"/>
      <c r="I550" s="116"/>
      <c r="L550" s="170">
        <v>44277</v>
      </c>
      <c r="M550" s="116">
        <v>1583.9</v>
      </c>
      <c r="N550" s="116">
        <v>1600</v>
      </c>
      <c r="O550" s="116">
        <v>1565</v>
      </c>
      <c r="P550" s="116">
        <v>1590.9</v>
      </c>
      <c r="Q550" s="116">
        <v>1583.9</v>
      </c>
      <c r="R550">
        <v>68910</v>
      </c>
    </row>
    <row r="551" spans="1:18" x14ac:dyDescent="0.25">
      <c r="A551" s="170">
        <v>44281</v>
      </c>
      <c r="B551" s="116">
        <v>1578.3</v>
      </c>
      <c r="C551" s="116">
        <v>1555.65</v>
      </c>
      <c r="D551" s="116">
        <v>1520.85</v>
      </c>
      <c r="E551" s="116">
        <v>1560</v>
      </c>
      <c r="F551" s="116">
        <v>1555.65</v>
      </c>
      <c r="G551">
        <v>4305</v>
      </c>
      <c r="H551" s="116"/>
      <c r="I551" s="116"/>
      <c r="L551" s="170">
        <v>44278</v>
      </c>
      <c r="M551" s="116">
        <v>1563</v>
      </c>
      <c r="N551" s="116">
        <v>1607.9</v>
      </c>
      <c r="O551" s="116">
        <v>1545.05</v>
      </c>
      <c r="P551" s="116">
        <v>1592.2</v>
      </c>
      <c r="Q551" s="116">
        <v>1563</v>
      </c>
      <c r="R551">
        <v>73099</v>
      </c>
    </row>
    <row r="552" spans="1:18" x14ac:dyDescent="0.25">
      <c r="A552" s="170">
        <v>44285</v>
      </c>
      <c r="B552" s="116">
        <v>1603.05</v>
      </c>
      <c r="C552" s="116">
        <v>1586.25</v>
      </c>
      <c r="D552" s="116">
        <v>1536.5</v>
      </c>
      <c r="E552" s="116">
        <v>1566.2</v>
      </c>
      <c r="F552" s="116">
        <v>1586.25</v>
      </c>
      <c r="G552">
        <v>9129</v>
      </c>
      <c r="H552" s="116"/>
      <c r="I552" s="116"/>
      <c r="L552" s="170">
        <v>44279</v>
      </c>
      <c r="M552" s="116">
        <v>1560.4</v>
      </c>
      <c r="N552" s="116">
        <v>1653</v>
      </c>
      <c r="O552" s="116">
        <v>1549.4</v>
      </c>
      <c r="P552" s="116">
        <v>1577.9</v>
      </c>
      <c r="Q552" s="116">
        <v>1560.4</v>
      </c>
      <c r="R552">
        <v>186845</v>
      </c>
    </row>
    <row r="553" spans="1:18" x14ac:dyDescent="0.25">
      <c r="A553" s="170">
        <v>44286</v>
      </c>
      <c r="B553" s="116">
        <v>1599.05</v>
      </c>
      <c r="C553" s="116">
        <v>1587.05</v>
      </c>
      <c r="D553" s="116">
        <v>1545.6</v>
      </c>
      <c r="E553" s="116">
        <v>1599.05</v>
      </c>
      <c r="F553" s="116">
        <v>1587.05</v>
      </c>
      <c r="G553">
        <v>5192</v>
      </c>
      <c r="H553" s="116"/>
      <c r="I553" s="116"/>
      <c r="L553" s="170">
        <v>44280</v>
      </c>
      <c r="M553" s="116">
        <v>1516.8</v>
      </c>
      <c r="N553" s="116">
        <v>1593.25</v>
      </c>
      <c r="O553" s="116">
        <v>1500</v>
      </c>
      <c r="P553" s="116">
        <v>1582</v>
      </c>
      <c r="Q553" s="116">
        <v>1516.8</v>
      </c>
      <c r="R553">
        <v>58991</v>
      </c>
    </row>
    <row r="554" spans="1:18" x14ac:dyDescent="0.25">
      <c r="A554" s="170">
        <v>44287</v>
      </c>
      <c r="B554" s="116">
        <v>1593</v>
      </c>
      <c r="C554" s="116">
        <v>1561.6</v>
      </c>
      <c r="D554" s="116">
        <v>1552</v>
      </c>
      <c r="E554" s="116">
        <v>1591.7</v>
      </c>
      <c r="F554" s="116">
        <v>1561.6</v>
      </c>
      <c r="G554">
        <v>3405</v>
      </c>
      <c r="H554" s="116"/>
      <c r="I554" s="116"/>
      <c r="L554" s="170">
        <v>44281</v>
      </c>
      <c r="M554" s="116">
        <v>1551.45</v>
      </c>
      <c r="N554" s="116">
        <v>1580</v>
      </c>
      <c r="O554" s="116">
        <v>1520</v>
      </c>
      <c r="P554" s="116">
        <v>1559.95</v>
      </c>
      <c r="Q554" s="116">
        <v>1551.45</v>
      </c>
      <c r="R554">
        <v>102512</v>
      </c>
    </row>
    <row r="555" spans="1:18" x14ac:dyDescent="0.25">
      <c r="A555" s="170">
        <v>44291</v>
      </c>
      <c r="B555" s="116">
        <v>1572</v>
      </c>
      <c r="C555" s="116">
        <v>1534.25</v>
      </c>
      <c r="D555" s="116">
        <v>1521</v>
      </c>
      <c r="E555" s="116">
        <v>1569.7</v>
      </c>
      <c r="F555" s="116">
        <v>1534.25</v>
      </c>
      <c r="G555">
        <v>8037</v>
      </c>
      <c r="H555" s="116"/>
      <c r="I555" s="116"/>
      <c r="L555" s="170">
        <v>44285</v>
      </c>
      <c r="M555" s="116">
        <v>1584</v>
      </c>
      <c r="N555" s="116">
        <v>1605.9</v>
      </c>
      <c r="O555" s="116">
        <v>1537.15</v>
      </c>
      <c r="P555" s="116">
        <v>1574</v>
      </c>
      <c r="Q555" s="116">
        <v>1584</v>
      </c>
      <c r="R555">
        <v>124486</v>
      </c>
    </row>
    <row r="556" spans="1:18" x14ac:dyDescent="0.25">
      <c r="A556" s="170">
        <v>44292</v>
      </c>
      <c r="B556" s="116">
        <v>1575.05</v>
      </c>
      <c r="C556" s="116">
        <v>1562.2</v>
      </c>
      <c r="D556" s="116">
        <v>1506.45</v>
      </c>
      <c r="E556" s="116">
        <v>1544</v>
      </c>
      <c r="F556" s="116">
        <v>1562.2</v>
      </c>
      <c r="G556">
        <v>2056</v>
      </c>
      <c r="H556" s="116"/>
      <c r="I556" s="116"/>
      <c r="L556" s="170">
        <v>44286</v>
      </c>
      <c r="M556" s="116">
        <v>1589</v>
      </c>
      <c r="N556" s="116">
        <v>1600.05</v>
      </c>
      <c r="O556" s="116">
        <v>1548</v>
      </c>
      <c r="P556" s="116">
        <v>1600</v>
      </c>
      <c r="Q556" s="116">
        <v>1589</v>
      </c>
      <c r="R556">
        <v>103169</v>
      </c>
    </row>
    <row r="557" spans="1:18" x14ac:dyDescent="0.25">
      <c r="A557" s="170">
        <v>44293</v>
      </c>
      <c r="B557" s="116">
        <v>1564</v>
      </c>
      <c r="C557" s="116">
        <v>1548.9</v>
      </c>
      <c r="D557" s="116">
        <v>1542</v>
      </c>
      <c r="E557" s="116">
        <v>1564</v>
      </c>
      <c r="F557" s="116">
        <v>1548.9</v>
      </c>
      <c r="G557">
        <v>2063</v>
      </c>
      <c r="H557" s="116"/>
      <c r="I557" s="116"/>
      <c r="L557" s="170">
        <v>44287</v>
      </c>
      <c r="M557" s="116">
        <v>1560.35</v>
      </c>
      <c r="N557" s="116">
        <v>1599.9</v>
      </c>
      <c r="O557" s="116">
        <v>1550</v>
      </c>
      <c r="P557" s="116">
        <v>1598</v>
      </c>
      <c r="Q557" s="116">
        <v>1560.35</v>
      </c>
      <c r="R557">
        <v>192213</v>
      </c>
    </row>
    <row r="558" spans="1:18" x14ac:dyDescent="0.25">
      <c r="A558" s="170">
        <v>44294</v>
      </c>
      <c r="B558" s="116">
        <v>1571</v>
      </c>
      <c r="C558" s="116">
        <v>1559.85</v>
      </c>
      <c r="D558" s="116">
        <v>1545</v>
      </c>
      <c r="E558" s="116">
        <v>1555</v>
      </c>
      <c r="F558" s="116">
        <v>1559.85</v>
      </c>
      <c r="G558">
        <v>4591</v>
      </c>
      <c r="H558" s="116"/>
      <c r="I558" s="116"/>
      <c r="L558" s="170">
        <v>44291</v>
      </c>
      <c r="M558" s="116">
        <v>1536.9</v>
      </c>
      <c r="N558" s="116">
        <v>1583.95</v>
      </c>
      <c r="O558" s="116">
        <v>1525</v>
      </c>
      <c r="P558" s="116">
        <v>1583.95</v>
      </c>
      <c r="Q558" s="116">
        <v>1536.9</v>
      </c>
      <c r="R558">
        <v>75321</v>
      </c>
    </row>
    <row r="559" spans="1:18" x14ac:dyDescent="0.25">
      <c r="A559" s="170">
        <v>44295</v>
      </c>
      <c r="B559" s="116">
        <v>1600</v>
      </c>
      <c r="C559" s="116">
        <v>1554.2</v>
      </c>
      <c r="D559" s="116">
        <v>1527.55</v>
      </c>
      <c r="E559" s="116">
        <v>1600</v>
      </c>
      <c r="F559" s="116">
        <v>1554.2</v>
      </c>
      <c r="G559">
        <v>6303</v>
      </c>
      <c r="H559" s="116"/>
      <c r="I559" s="116"/>
      <c r="L559" s="170">
        <v>44292</v>
      </c>
      <c r="M559" s="116">
        <v>1562.4</v>
      </c>
      <c r="N559" s="116">
        <v>1576</v>
      </c>
      <c r="O559" s="116">
        <v>1503.9</v>
      </c>
      <c r="P559" s="116">
        <v>1540</v>
      </c>
      <c r="Q559" s="116">
        <v>1562.4</v>
      </c>
      <c r="R559">
        <v>405541</v>
      </c>
    </row>
    <row r="560" spans="1:18" x14ac:dyDescent="0.25">
      <c r="A560" s="170">
        <v>44298</v>
      </c>
      <c r="B560" s="116">
        <v>1529.2</v>
      </c>
      <c r="C560" s="116">
        <v>1480.65</v>
      </c>
      <c r="D560" s="116">
        <v>1441.35</v>
      </c>
      <c r="E560" s="116">
        <v>1529.2</v>
      </c>
      <c r="F560" s="116">
        <v>1480.65</v>
      </c>
      <c r="G560">
        <v>3010</v>
      </c>
      <c r="H560" s="116"/>
      <c r="I560" s="116"/>
      <c r="L560" s="170">
        <v>44293</v>
      </c>
      <c r="M560" s="116">
        <v>1549</v>
      </c>
      <c r="N560" s="116">
        <v>1573.85</v>
      </c>
      <c r="O560" s="116">
        <v>1541.05</v>
      </c>
      <c r="P560" s="116">
        <v>1563</v>
      </c>
      <c r="Q560" s="116">
        <v>1549</v>
      </c>
      <c r="R560">
        <v>177075</v>
      </c>
    </row>
    <row r="561" spans="1:18" x14ac:dyDescent="0.25">
      <c r="A561" s="170">
        <v>44299</v>
      </c>
      <c r="B561" s="116">
        <v>1559.3</v>
      </c>
      <c r="C561" s="116">
        <v>1546.5</v>
      </c>
      <c r="D561" s="116">
        <v>1480.65</v>
      </c>
      <c r="E561" s="116">
        <v>1496.5</v>
      </c>
      <c r="F561" s="116">
        <v>1546.5</v>
      </c>
      <c r="G561">
        <v>5331</v>
      </c>
      <c r="H561" s="116"/>
      <c r="I561" s="116"/>
      <c r="L561" s="170">
        <v>44294</v>
      </c>
      <c r="M561" s="116">
        <v>1559.15</v>
      </c>
      <c r="N561" s="116">
        <v>1572</v>
      </c>
      <c r="O561" s="116">
        <v>1541</v>
      </c>
      <c r="P561" s="116">
        <v>1564.5</v>
      </c>
      <c r="Q561" s="116">
        <v>1559.15</v>
      </c>
      <c r="R561">
        <v>194935</v>
      </c>
    </row>
    <row r="562" spans="1:18" x14ac:dyDescent="0.25">
      <c r="A562" s="170">
        <v>44301</v>
      </c>
      <c r="B562" s="116">
        <v>1600</v>
      </c>
      <c r="C562" s="116">
        <v>1587.1</v>
      </c>
      <c r="D562" s="116">
        <v>1532</v>
      </c>
      <c r="E562" s="116">
        <v>1549.35</v>
      </c>
      <c r="F562" s="116">
        <v>1587.1</v>
      </c>
      <c r="G562">
        <v>12979</v>
      </c>
      <c r="H562" s="116"/>
      <c r="I562" s="116"/>
      <c r="L562" s="170">
        <v>44295</v>
      </c>
      <c r="M562" s="116">
        <v>1556</v>
      </c>
      <c r="N562" s="116">
        <v>1594.95</v>
      </c>
      <c r="O562" s="116">
        <v>1527</v>
      </c>
      <c r="P562" s="116">
        <v>1575</v>
      </c>
      <c r="Q562" s="116">
        <v>1556</v>
      </c>
      <c r="R562">
        <v>112550</v>
      </c>
    </row>
    <row r="563" spans="1:18" x14ac:dyDescent="0.25">
      <c r="A563" s="170">
        <v>44302</v>
      </c>
      <c r="B563" s="116">
        <v>1601.5</v>
      </c>
      <c r="C563" s="116">
        <v>1559.55</v>
      </c>
      <c r="D563" s="116">
        <v>1533.65</v>
      </c>
      <c r="E563" s="116">
        <v>1595.7</v>
      </c>
      <c r="F563" s="116">
        <v>1559.55</v>
      </c>
      <c r="G563">
        <v>21030</v>
      </c>
      <c r="H563" s="116"/>
      <c r="I563" s="116"/>
      <c r="L563" s="170">
        <v>44298</v>
      </c>
      <c r="M563" s="116">
        <v>1479.75</v>
      </c>
      <c r="N563" s="116">
        <v>1540</v>
      </c>
      <c r="O563" s="116">
        <v>1438.9</v>
      </c>
      <c r="P563" s="116">
        <v>1540</v>
      </c>
      <c r="Q563" s="116">
        <v>1479.75</v>
      </c>
      <c r="R563">
        <v>51296</v>
      </c>
    </row>
    <row r="564" spans="1:18" x14ac:dyDescent="0.25">
      <c r="A564" s="170">
        <v>44305</v>
      </c>
      <c r="B564" s="116">
        <v>1530</v>
      </c>
      <c r="C564" s="116">
        <v>1502.6</v>
      </c>
      <c r="D564" s="116">
        <v>1490</v>
      </c>
      <c r="E564" s="116">
        <v>1530</v>
      </c>
      <c r="F564" s="116">
        <v>1502.6</v>
      </c>
      <c r="G564">
        <v>3705</v>
      </c>
      <c r="H564" s="116"/>
      <c r="I564" s="116"/>
      <c r="L564" s="170">
        <v>44299</v>
      </c>
      <c r="M564" s="116">
        <v>1541.1</v>
      </c>
      <c r="N564" s="116">
        <v>1558</v>
      </c>
      <c r="O564" s="116">
        <v>1479.45</v>
      </c>
      <c r="P564" s="116">
        <v>1481</v>
      </c>
      <c r="Q564" s="116">
        <v>1541.1</v>
      </c>
      <c r="R564">
        <v>95170</v>
      </c>
    </row>
    <row r="565" spans="1:18" x14ac:dyDescent="0.25">
      <c r="A565" s="170">
        <v>44306</v>
      </c>
      <c r="B565" s="116">
        <v>1551.05</v>
      </c>
      <c r="C565" s="116">
        <v>1448.45</v>
      </c>
      <c r="D565" s="116">
        <v>1428.5</v>
      </c>
      <c r="E565" s="116">
        <v>1525</v>
      </c>
      <c r="F565" s="116">
        <v>1448.45</v>
      </c>
      <c r="G565">
        <v>7572</v>
      </c>
      <c r="H565" s="116"/>
      <c r="I565" s="116"/>
      <c r="L565" s="170">
        <v>44301</v>
      </c>
      <c r="M565" s="116">
        <v>1578.25</v>
      </c>
      <c r="N565" s="116">
        <v>1600</v>
      </c>
      <c r="O565" s="116">
        <v>1542</v>
      </c>
      <c r="P565" s="116">
        <v>1555</v>
      </c>
      <c r="Q565" s="116">
        <v>1578.25</v>
      </c>
      <c r="R565">
        <v>334169</v>
      </c>
    </row>
    <row r="566" spans="1:18" x14ac:dyDescent="0.25">
      <c r="A566" s="170">
        <v>44308</v>
      </c>
      <c r="B566" s="116">
        <v>1498</v>
      </c>
      <c r="C566" s="116">
        <v>1479.15</v>
      </c>
      <c r="D566" s="116">
        <v>1453.9</v>
      </c>
      <c r="E566" s="116">
        <v>1459.8</v>
      </c>
      <c r="F566" s="116">
        <v>1479.15</v>
      </c>
      <c r="G566">
        <v>12109</v>
      </c>
      <c r="H566" s="116"/>
      <c r="I566" s="116"/>
      <c r="L566" s="170">
        <v>44302</v>
      </c>
      <c r="M566" s="116">
        <v>1559.95</v>
      </c>
      <c r="N566" s="116">
        <v>1600</v>
      </c>
      <c r="O566" s="116">
        <v>1538.1</v>
      </c>
      <c r="P566" s="116">
        <v>1593</v>
      </c>
      <c r="Q566" s="116">
        <v>1559.95</v>
      </c>
      <c r="R566">
        <v>197968</v>
      </c>
    </row>
    <row r="567" spans="1:18" x14ac:dyDescent="0.25">
      <c r="A567" s="170">
        <v>44309</v>
      </c>
      <c r="B567" s="116">
        <v>1495.4</v>
      </c>
      <c r="C567" s="116">
        <v>1425.5</v>
      </c>
      <c r="D567" s="116">
        <v>1405.9</v>
      </c>
      <c r="E567" s="116">
        <v>1452.05</v>
      </c>
      <c r="F567" s="116">
        <v>1425.5</v>
      </c>
      <c r="G567">
        <v>10164</v>
      </c>
      <c r="H567" s="116"/>
      <c r="I567" s="116"/>
      <c r="L567" s="170">
        <v>44305</v>
      </c>
      <c r="M567" s="116">
        <v>1503.5</v>
      </c>
      <c r="N567" s="116">
        <v>1530</v>
      </c>
      <c r="O567" s="116">
        <v>1488</v>
      </c>
      <c r="P567" s="116">
        <v>1530</v>
      </c>
      <c r="Q567" s="116">
        <v>1503.5</v>
      </c>
      <c r="R567">
        <v>79579</v>
      </c>
    </row>
    <row r="568" spans="1:18" x14ac:dyDescent="0.25">
      <c r="A568" s="170">
        <v>44312</v>
      </c>
      <c r="B568" s="116">
        <v>1477.2</v>
      </c>
      <c r="C568" s="116">
        <v>1469.8</v>
      </c>
      <c r="D568" s="116">
        <v>1430</v>
      </c>
      <c r="E568" s="116">
        <v>1440.55</v>
      </c>
      <c r="F568" s="116">
        <v>1469.8</v>
      </c>
      <c r="G568">
        <v>8550</v>
      </c>
      <c r="H568" s="116"/>
      <c r="I568" s="116"/>
      <c r="L568" s="170">
        <v>44306</v>
      </c>
      <c r="M568" s="116">
        <v>1447.35</v>
      </c>
      <c r="N568" s="116">
        <v>1564.75</v>
      </c>
      <c r="O568" s="116">
        <v>1428</v>
      </c>
      <c r="P568" s="116">
        <v>1525</v>
      </c>
      <c r="Q568" s="116">
        <v>1447.35</v>
      </c>
      <c r="R568">
        <v>260999</v>
      </c>
    </row>
    <row r="569" spans="1:18" x14ac:dyDescent="0.25">
      <c r="A569" s="170">
        <v>44313</v>
      </c>
      <c r="B569" s="116">
        <v>1547.65</v>
      </c>
      <c r="C569" s="116">
        <v>1529.35</v>
      </c>
      <c r="D569" s="116">
        <v>1472</v>
      </c>
      <c r="E569" s="116">
        <v>1472</v>
      </c>
      <c r="F569" s="116">
        <v>1529.35</v>
      </c>
      <c r="G569">
        <v>4488</v>
      </c>
      <c r="H569" s="116"/>
      <c r="I569" s="116"/>
      <c r="L569" s="170">
        <v>44308</v>
      </c>
      <c r="M569" s="116">
        <v>1478.95</v>
      </c>
      <c r="N569" s="116">
        <v>1499.85</v>
      </c>
      <c r="O569" s="116">
        <v>1456.05</v>
      </c>
      <c r="P569" s="116">
        <v>1465</v>
      </c>
      <c r="Q569" s="116">
        <v>1478.95</v>
      </c>
      <c r="R569">
        <v>87264</v>
      </c>
    </row>
    <row r="570" spans="1:18" x14ac:dyDescent="0.25">
      <c r="A570" s="170">
        <v>44314</v>
      </c>
      <c r="B570" s="116">
        <v>1547.9</v>
      </c>
      <c r="C570" s="116">
        <v>1509.05</v>
      </c>
      <c r="D570" s="116">
        <v>1505</v>
      </c>
      <c r="E570" s="116">
        <v>1532</v>
      </c>
      <c r="F570" s="116">
        <v>1509.05</v>
      </c>
      <c r="G570">
        <v>2804</v>
      </c>
      <c r="H570" s="116"/>
      <c r="I570" s="116"/>
      <c r="L570" s="170">
        <v>44309</v>
      </c>
      <c r="M570" s="116">
        <v>1424.4</v>
      </c>
      <c r="N570" s="116">
        <v>1494.2</v>
      </c>
      <c r="O570" s="116">
        <v>1405.1</v>
      </c>
      <c r="P570" s="116">
        <v>1450.55</v>
      </c>
      <c r="Q570" s="116">
        <v>1424.4</v>
      </c>
      <c r="R570">
        <v>171673</v>
      </c>
    </row>
    <row r="571" spans="1:18" x14ac:dyDescent="0.25">
      <c r="A571" s="170">
        <v>44315</v>
      </c>
      <c r="B571" s="116">
        <v>1543.45</v>
      </c>
      <c r="C571" s="116">
        <v>1536.45</v>
      </c>
      <c r="D571" s="116">
        <v>1522.3</v>
      </c>
      <c r="E571" s="116">
        <v>1530.1</v>
      </c>
      <c r="F571" s="116">
        <v>1536.45</v>
      </c>
      <c r="G571">
        <v>5435</v>
      </c>
      <c r="H571" s="116"/>
      <c r="I571" s="116"/>
      <c r="L571" s="170">
        <v>44312</v>
      </c>
      <c r="M571" s="116">
        <v>1471.15</v>
      </c>
      <c r="N571" s="116">
        <v>1477.6</v>
      </c>
      <c r="O571" s="116">
        <v>1434.9</v>
      </c>
      <c r="P571" s="116">
        <v>1435</v>
      </c>
      <c r="Q571" s="116">
        <v>1471.15</v>
      </c>
      <c r="R571">
        <v>154949</v>
      </c>
    </row>
    <row r="572" spans="1:18" x14ac:dyDescent="0.25">
      <c r="A572" s="170">
        <v>44316</v>
      </c>
      <c r="B572" s="116">
        <v>1554.5</v>
      </c>
      <c r="C572" s="116">
        <v>1507.3</v>
      </c>
      <c r="D572" s="116">
        <v>1482.15</v>
      </c>
      <c r="E572" s="116">
        <v>1538.3</v>
      </c>
      <c r="F572" s="116">
        <v>1507.3</v>
      </c>
      <c r="G572">
        <v>8222</v>
      </c>
      <c r="H572" s="116"/>
      <c r="I572" s="116"/>
      <c r="L572" s="170">
        <v>44313</v>
      </c>
      <c r="M572" s="116">
        <v>1529.8</v>
      </c>
      <c r="N572" s="116">
        <v>1547</v>
      </c>
      <c r="O572" s="116">
        <v>1474.7</v>
      </c>
      <c r="P572" s="116">
        <v>1480</v>
      </c>
      <c r="Q572" s="116">
        <v>1529.8</v>
      </c>
      <c r="R572">
        <v>356182</v>
      </c>
    </row>
    <row r="573" spans="1:18" x14ac:dyDescent="0.25">
      <c r="A573" s="170">
        <v>44319</v>
      </c>
      <c r="B573" s="116">
        <v>1599.55</v>
      </c>
      <c r="C573" s="116">
        <v>1547.25</v>
      </c>
      <c r="D573" s="116">
        <v>1505.25</v>
      </c>
      <c r="E573" s="116">
        <v>1523.1</v>
      </c>
      <c r="F573" s="116">
        <v>1547.25</v>
      </c>
      <c r="G573">
        <v>25978</v>
      </c>
      <c r="H573" s="116"/>
      <c r="I573" s="116"/>
      <c r="L573" s="170">
        <v>44314</v>
      </c>
      <c r="M573" s="116">
        <v>1510.3</v>
      </c>
      <c r="N573" s="116">
        <v>1548.7</v>
      </c>
      <c r="O573" s="116">
        <v>1507.45</v>
      </c>
      <c r="P573" s="116">
        <v>1532.5</v>
      </c>
      <c r="Q573" s="116">
        <v>1510.3</v>
      </c>
      <c r="R573">
        <v>88442</v>
      </c>
    </row>
    <row r="574" spans="1:18" x14ac:dyDescent="0.25">
      <c r="A574" s="170">
        <v>44320</v>
      </c>
      <c r="B574" s="116">
        <v>1585</v>
      </c>
      <c r="C574" s="116">
        <v>1551.75</v>
      </c>
      <c r="D574" s="116">
        <v>1531.35</v>
      </c>
      <c r="E574" s="116">
        <v>1575</v>
      </c>
      <c r="F574" s="116">
        <v>1551.75</v>
      </c>
      <c r="G574">
        <v>6901</v>
      </c>
      <c r="H574" s="116"/>
      <c r="I574" s="116"/>
      <c r="L574" s="170">
        <v>44315</v>
      </c>
      <c r="M574" s="116">
        <v>1537.5</v>
      </c>
      <c r="N574" s="116">
        <v>1543.9</v>
      </c>
      <c r="O574" s="116">
        <v>1520.05</v>
      </c>
      <c r="P574" s="116">
        <v>1530</v>
      </c>
      <c r="Q574" s="116">
        <v>1537.5</v>
      </c>
      <c r="R574">
        <v>92812</v>
      </c>
    </row>
    <row r="575" spans="1:18" x14ac:dyDescent="0.25">
      <c r="A575" s="170">
        <v>44321</v>
      </c>
      <c r="B575" s="116">
        <v>1589.95</v>
      </c>
      <c r="C575" s="116">
        <v>1539.15</v>
      </c>
      <c r="D575" s="116">
        <v>1531</v>
      </c>
      <c r="E575" s="116">
        <v>1561.15</v>
      </c>
      <c r="F575" s="116">
        <v>1539.15</v>
      </c>
      <c r="G575">
        <v>4478</v>
      </c>
      <c r="H575" s="116"/>
      <c r="I575" s="116"/>
      <c r="L575" s="170">
        <v>44316</v>
      </c>
      <c r="M575" s="116">
        <v>1506.35</v>
      </c>
      <c r="N575" s="116">
        <v>1564</v>
      </c>
      <c r="O575" s="116">
        <v>1480.8</v>
      </c>
      <c r="P575" s="116">
        <v>1544.95</v>
      </c>
      <c r="Q575" s="116">
        <v>1506.35</v>
      </c>
      <c r="R575">
        <v>228082</v>
      </c>
    </row>
    <row r="576" spans="1:18" x14ac:dyDescent="0.25">
      <c r="A576" s="170">
        <v>44322</v>
      </c>
      <c r="B576" s="116">
        <v>1582.7</v>
      </c>
      <c r="C576" s="116">
        <v>1566.35</v>
      </c>
      <c r="D576" s="116">
        <v>1547.95</v>
      </c>
      <c r="E576" s="116">
        <v>1547.95</v>
      </c>
      <c r="F576" s="116">
        <v>1566.35</v>
      </c>
      <c r="G576">
        <v>4883</v>
      </c>
      <c r="H576" s="116"/>
      <c r="I576" s="116"/>
      <c r="L576" s="170">
        <v>44319</v>
      </c>
      <c r="M576" s="116">
        <v>1546.45</v>
      </c>
      <c r="N576" s="116">
        <v>1599.25</v>
      </c>
      <c r="O576" s="116">
        <v>1502.95</v>
      </c>
      <c r="P576" s="116">
        <v>1534</v>
      </c>
      <c r="Q576" s="116">
        <v>1546.45</v>
      </c>
      <c r="R576">
        <v>239057</v>
      </c>
    </row>
    <row r="577" spans="1:18" x14ac:dyDescent="0.25">
      <c r="A577" s="170">
        <v>44323</v>
      </c>
      <c r="B577" s="116">
        <v>1675</v>
      </c>
      <c r="C577" s="116">
        <v>1633.4</v>
      </c>
      <c r="D577" s="116">
        <v>1572.45</v>
      </c>
      <c r="E577" s="116">
        <v>1585</v>
      </c>
      <c r="F577" s="116">
        <v>1633.4</v>
      </c>
      <c r="G577">
        <v>15510</v>
      </c>
      <c r="H577" s="116"/>
      <c r="I577" s="116"/>
      <c r="L577" s="170">
        <v>44320</v>
      </c>
      <c r="M577" s="116">
        <v>1552.3</v>
      </c>
      <c r="N577" s="116">
        <v>1576.55</v>
      </c>
      <c r="O577" s="116">
        <v>1541.15</v>
      </c>
      <c r="P577" s="116">
        <v>1569</v>
      </c>
      <c r="Q577" s="116">
        <v>1552.3</v>
      </c>
      <c r="R577">
        <v>106907</v>
      </c>
    </row>
    <row r="578" spans="1:18" x14ac:dyDescent="0.25">
      <c r="A578" s="170">
        <v>44326</v>
      </c>
      <c r="B578" s="116">
        <v>1685.55</v>
      </c>
      <c r="C578" s="116">
        <v>1652.6</v>
      </c>
      <c r="D578" s="116">
        <v>1629</v>
      </c>
      <c r="E578" s="116">
        <v>1650</v>
      </c>
      <c r="F578" s="116">
        <v>1652.6</v>
      </c>
      <c r="G578">
        <v>9611</v>
      </c>
      <c r="H578" s="116"/>
      <c r="I578" s="116"/>
      <c r="L578" s="170">
        <v>44321</v>
      </c>
      <c r="M578" s="116">
        <v>1538.5</v>
      </c>
      <c r="N578" s="116">
        <v>1590</v>
      </c>
      <c r="O578" s="116">
        <v>1530.85</v>
      </c>
      <c r="P578" s="116">
        <v>1560</v>
      </c>
      <c r="Q578" s="116">
        <v>1538.5</v>
      </c>
      <c r="R578">
        <v>103402</v>
      </c>
    </row>
    <row r="579" spans="1:18" x14ac:dyDescent="0.25">
      <c r="A579" s="170">
        <v>44327</v>
      </c>
      <c r="B579" s="116">
        <v>1742.55</v>
      </c>
      <c r="C579" s="116">
        <v>1725.55</v>
      </c>
      <c r="D579" s="116">
        <v>1616.95</v>
      </c>
      <c r="E579" s="116">
        <v>1651.3</v>
      </c>
      <c r="F579" s="116">
        <v>1725.55</v>
      </c>
      <c r="G579">
        <v>15639</v>
      </c>
      <c r="H579" s="116"/>
      <c r="I579" s="116"/>
      <c r="L579" s="170">
        <v>44322</v>
      </c>
      <c r="M579" s="116">
        <v>1567.2</v>
      </c>
      <c r="N579" s="116">
        <v>1585</v>
      </c>
      <c r="O579" s="116">
        <v>1540</v>
      </c>
      <c r="P579" s="116">
        <v>1547.8</v>
      </c>
      <c r="Q579" s="116">
        <v>1567.2</v>
      </c>
      <c r="R579">
        <v>114935</v>
      </c>
    </row>
    <row r="580" spans="1:18" x14ac:dyDescent="0.25">
      <c r="A580" s="170">
        <v>44328</v>
      </c>
      <c r="B580" s="116">
        <v>1737.6</v>
      </c>
      <c r="C580" s="116">
        <v>1699.5</v>
      </c>
      <c r="D580" s="116">
        <v>1670</v>
      </c>
      <c r="E580" s="116">
        <v>1727.6</v>
      </c>
      <c r="F580" s="116">
        <v>1699.5</v>
      </c>
      <c r="G580">
        <v>15752</v>
      </c>
      <c r="H580" s="116"/>
      <c r="I580" s="116"/>
      <c r="L580" s="170">
        <v>44323</v>
      </c>
      <c r="M580" s="116">
        <v>1631.9</v>
      </c>
      <c r="N580" s="116">
        <v>1676.35</v>
      </c>
      <c r="O580" s="116">
        <v>1571.95</v>
      </c>
      <c r="P580" s="116">
        <v>1582.6</v>
      </c>
      <c r="Q580" s="116">
        <v>1631.9</v>
      </c>
      <c r="R580">
        <v>385874</v>
      </c>
    </row>
    <row r="581" spans="1:18" x14ac:dyDescent="0.25">
      <c r="A581" s="170">
        <v>44330</v>
      </c>
      <c r="B581" s="116">
        <v>1739.9</v>
      </c>
      <c r="C581" s="116">
        <v>1726.8</v>
      </c>
      <c r="D581" s="116">
        <v>1656</v>
      </c>
      <c r="E581" s="116">
        <v>1715.4</v>
      </c>
      <c r="F581" s="116">
        <v>1726.8</v>
      </c>
      <c r="G581">
        <v>5943</v>
      </c>
      <c r="H581" s="116"/>
      <c r="I581" s="116"/>
      <c r="L581" s="170">
        <v>44326</v>
      </c>
      <c r="M581" s="116">
        <v>1652.6</v>
      </c>
      <c r="N581" s="116">
        <v>1688.5</v>
      </c>
      <c r="O581" s="116">
        <v>1629.2</v>
      </c>
      <c r="P581" s="116">
        <v>1650</v>
      </c>
      <c r="Q581" s="116">
        <v>1652.6</v>
      </c>
      <c r="R581">
        <v>240288</v>
      </c>
    </row>
    <row r="582" spans="1:18" x14ac:dyDescent="0.25">
      <c r="A582" s="170">
        <v>44333</v>
      </c>
      <c r="B582" s="116">
        <v>1827.1</v>
      </c>
      <c r="C582" s="116">
        <v>1781.9</v>
      </c>
      <c r="D582" s="116">
        <v>1708</v>
      </c>
      <c r="E582" s="116">
        <v>1745.05</v>
      </c>
      <c r="F582" s="116">
        <v>1781.9</v>
      </c>
      <c r="G582">
        <v>16412</v>
      </c>
      <c r="H582" s="116"/>
      <c r="I582" s="116"/>
      <c r="L582" s="170">
        <v>44327</v>
      </c>
      <c r="M582" s="116">
        <v>1722.3</v>
      </c>
      <c r="N582" s="116">
        <v>1743</v>
      </c>
      <c r="O582" s="116">
        <v>1632.9</v>
      </c>
      <c r="P582" s="116">
        <v>1652.6</v>
      </c>
      <c r="Q582" s="116">
        <v>1722.3</v>
      </c>
      <c r="R582">
        <v>435044</v>
      </c>
    </row>
    <row r="583" spans="1:18" x14ac:dyDescent="0.25">
      <c r="A583" s="170">
        <v>44334</v>
      </c>
      <c r="B583" s="116">
        <v>1836.9</v>
      </c>
      <c r="C583" s="116">
        <v>1821.15</v>
      </c>
      <c r="D583" s="116">
        <v>1782.1</v>
      </c>
      <c r="E583" s="116">
        <v>1830</v>
      </c>
      <c r="F583" s="116">
        <v>1821.15</v>
      </c>
      <c r="G583">
        <v>12062</v>
      </c>
      <c r="H583" s="116"/>
      <c r="I583" s="116"/>
      <c r="L583" s="170">
        <v>44328</v>
      </c>
      <c r="M583" s="116">
        <v>1700.75</v>
      </c>
      <c r="N583" s="116">
        <v>1743.6</v>
      </c>
      <c r="O583" s="116">
        <v>1668.7</v>
      </c>
      <c r="P583" s="116">
        <v>1722.3</v>
      </c>
      <c r="Q583" s="116">
        <v>1700.75</v>
      </c>
      <c r="R583">
        <v>218069</v>
      </c>
    </row>
    <row r="584" spans="1:18" x14ac:dyDescent="0.25">
      <c r="A584" s="170">
        <v>44335</v>
      </c>
      <c r="B584" s="116">
        <v>1850</v>
      </c>
      <c r="C584" s="116">
        <v>1793.1</v>
      </c>
      <c r="D584" s="116">
        <v>1768.75</v>
      </c>
      <c r="E584" s="116">
        <v>1849</v>
      </c>
      <c r="F584" s="116">
        <v>1793.1</v>
      </c>
      <c r="G584">
        <v>15818</v>
      </c>
      <c r="H584" s="116"/>
      <c r="I584" s="116"/>
      <c r="L584" s="170">
        <v>44330</v>
      </c>
      <c r="M584" s="116">
        <v>1727.5</v>
      </c>
      <c r="N584" s="116">
        <v>1740</v>
      </c>
      <c r="O584" s="116">
        <v>1665</v>
      </c>
      <c r="P584" s="116">
        <v>1715</v>
      </c>
      <c r="Q584" s="116">
        <v>1727.5</v>
      </c>
      <c r="R584">
        <v>112973</v>
      </c>
    </row>
    <row r="585" spans="1:18" x14ac:dyDescent="0.25">
      <c r="A585" s="170">
        <v>44336</v>
      </c>
      <c r="B585" s="116">
        <v>1829.95</v>
      </c>
      <c r="C585" s="116">
        <v>1815.65</v>
      </c>
      <c r="D585" s="116">
        <v>1793.1</v>
      </c>
      <c r="E585" s="116">
        <v>1811.55</v>
      </c>
      <c r="F585" s="116">
        <v>1815.65</v>
      </c>
      <c r="G585">
        <v>10396</v>
      </c>
      <c r="H585" s="116"/>
      <c r="I585" s="116"/>
      <c r="L585" s="170">
        <v>44333</v>
      </c>
      <c r="M585" s="116">
        <v>1777.85</v>
      </c>
      <c r="N585" s="116">
        <v>1827</v>
      </c>
      <c r="O585" s="116">
        <v>1712.5</v>
      </c>
      <c r="P585" s="116">
        <v>1748</v>
      </c>
      <c r="Q585" s="116">
        <v>1777.85</v>
      </c>
      <c r="R585">
        <v>372500</v>
      </c>
    </row>
    <row r="586" spans="1:18" x14ac:dyDescent="0.25">
      <c r="A586" s="170">
        <v>44337</v>
      </c>
      <c r="B586" s="116">
        <v>1879</v>
      </c>
      <c r="C586" s="116">
        <v>1830.4</v>
      </c>
      <c r="D586" s="116">
        <v>1809.4</v>
      </c>
      <c r="E586" s="116">
        <v>1826.7</v>
      </c>
      <c r="F586" s="116">
        <v>1830.4</v>
      </c>
      <c r="G586">
        <v>10620</v>
      </c>
      <c r="H586" s="116"/>
      <c r="I586" s="116"/>
      <c r="L586" s="170">
        <v>44334</v>
      </c>
      <c r="M586" s="116">
        <v>1816.5</v>
      </c>
      <c r="N586" s="116">
        <v>1837.05</v>
      </c>
      <c r="O586" s="116">
        <v>1792.15</v>
      </c>
      <c r="P586" s="116">
        <v>1822.7</v>
      </c>
      <c r="Q586" s="116">
        <v>1816.5</v>
      </c>
      <c r="R586">
        <v>474794</v>
      </c>
    </row>
    <row r="587" spans="1:18" x14ac:dyDescent="0.25">
      <c r="A587" s="170">
        <v>44340</v>
      </c>
      <c r="B587" s="116">
        <v>1890</v>
      </c>
      <c r="C587" s="116">
        <v>1878.45</v>
      </c>
      <c r="D587" s="116">
        <v>1801.1</v>
      </c>
      <c r="E587" s="116">
        <v>1853.4</v>
      </c>
      <c r="F587" s="116">
        <v>1878.45</v>
      </c>
      <c r="G587">
        <v>5011</v>
      </c>
      <c r="H587" s="116"/>
      <c r="I587" s="116"/>
      <c r="L587" s="170">
        <v>44335</v>
      </c>
      <c r="M587" s="116">
        <v>1794.85</v>
      </c>
      <c r="N587" s="116">
        <v>1853.05</v>
      </c>
      <c r="O587" s="116">
        <v>1771</v>
      </c>
      <c r="P587" s="116">
        <v>1840</v>
      </c>
      <c r="Q587" s="116">
        <v>1794.85</v>
      </c>
      <c r="R587">
        <v>189566</v>
      </c>
    </row>
    <row r="588" spans="1:18" x14ac:dyDescent="0.25">
      <c r="A588" s="170">
        <v>44341</v>
      </c>
      <c r="B588" s="116">
        <v>1910</v>
      </c>
      <c r="C588" s="116">
        <v>1853.15</v>
      </c>
      <c r="D588" s="116">
        <v>1846</v>
      </c>
      <c r="E588" s="116">
        <v>1880</v>
      </c>
      <c r="F588" s="116">
        <v>1853.15</v>
      </c>
      <c r="G588">
        <v>4459</v>
      </c>
      <c r="H588" s="116"/>
      <c r="I588" s="116"/>
      <c r="L588" s="170">
        <v>44336</v>
      </c>
      <c r="M588" s="116">
        <v>1814.65</v>
      </c>
      <c r="N588" s="116">
        <v>1830.25</v>
      </c>
      <c r="O588" s="116">
        <v>1792.35</v>
      </c>
      <c r="P588" s="116">
        <v>1830.25</v>
      </c>
      <c r="Q588" s="116">
        <v>1814.65</v>
      </c>
      <c r="R588">
        <v>355141</v>
      </c>
    </row>
    <row r="589" spans="1:18" x14ac:dyDescent="0.25">
      <c r="A589" s="170">
        <v>44342</v>
      </c>
      <c r="B589" s="116">
        <v>1879</v>
      </c>
      <c r="C589" s="116">
        <v>1844.35</v>
      </c>
      <c r="D589" s="116">
        <v>1826.15</v>
      </c>
      <c r="E589" s="116">
        <v>1864.85</v>
      </c>
      <c r="F589" s="116">
        <v>1844.35</v>
      </c>
      <c r="G589">
        <v>2996</v>
      </c>
      <c r="H589" s="116"/>
      <c r="I589" s="116"/>
      <c r="L589" s="170">
        <v>44337</v>
      </c>
      <c r="M589" s="116">
        <v>1830.95</v>
      </c>
      <c r="N589" s="116">
        <v>1870</v>
      </c>
      <c r="O589" s="116">
        <v>1811.75</v>
      </c>
      <c r="P589" s="116">
        <v>1832.1</v>
      </c>
      <c r="Q589" s="116">
        <v>1830.95</v>
      </c>
      <c r="R589">
        <v>158642</v>
      </c>
    </row>
    <row r="590" spans="1:18" x14ac:dyDescent="0.25">
      <c r="A590" s="170">
        <v>44343</v>
      </c>
      <c r="B590" s="116">
        <v>1850</v>
      </c>
      <c r="C590" s="116">
        <v>1821.9</v>
      </c>
      <c r="D590" s="116">
        <v>1789.3</v>
      </c>
      <c r="E590" s="116">
        <v>1840.65</v>
      </c>
      <c r="F590" s="116">
        <v>1821.9</v>
      </c>
      <c r="G590">
        <v>3350</v>
      </c>
      <c r="H590" s="116"/>
      <c r="I590" s="116"/>
      <c r="L590" s="170">
        <v>44340</v>
      </c>
      <c r="M590" s="116">
        <v>1878.5</v>
      </c>
      <c r="N590" s="116">
        <v>1890</v>
      </c>
      <c r="O590" s="116">
        <v>1800.35</v>
      </c>
      <c r="P590" s="116">
        <v>1848.8</v>
      </c>
      <c r="Q590" s="116">
        <v>1878.5</v>
      </c>
      <c r="R590">
        <v>58556</v>
      </c>
    </row>
    <row r="591" spans="1:18" x14ac:dyDescent="0.25">
      <c r="A591" s="170">
        <v>44344</v>
      </c>
      <c r="B591" s="116">
        <v>1826.2</v>
      </c>
      <c r="C591" s="116">
        <v>1774.7</v>
      </c>
      <c r="D591" s="116">
        <v>1769</v>
      </c>
      <c r="E591" s="116">
        <v>1824.1</v>
      </c>
      <c r="F591" s="116">
        <v>1774.7</v>
      </c>
      <c r="G591">
        <v>7064</v>
      </c>
      <c r="H591" s="116"/>
      <c r="I591" s="116"/>
      <c r="L591" s="170">
        <v>44341</v>
      </c>
      <c r="M591" s="116">
        <v>1859.2</v>
      </c>
      <c r="N591" s="116">
        <v>1911</v>
      </c>
      <c r="O591" s="116">
        <v>1850</v>
      </c>
      <c r="P591" s="116">
        <v>1878.5</v>
      </c>
      <c r="Q591" s="116">
        <v>1859.2</v>
      </c>
      <c r="R591">
        <v>205138</v>
      </c>
    </row>
    <row r="592" spans="1:18" x14ac:dyDescent="0.25">
      <c r="A592" s="170">
        <v>44347</v>
      </c>
      <c r="B592" s="116">
        <v>1800</v>
      </c>
      <c r="C592" s="116">
        <v>1762.35</v>
      </c>
      <c r="D592" s="116">
        <v>1750.95</v>
      </c>
      <c r="E592" s="116">
        <v>1789.1</v>
      </c>
      <c r="F592" s="116">
        <v>1762.35</v>
      </c>
      <c r="G592">
        <v>5175</v>
      </c>
      <c r="H592" s="116"/>
      <c r="I592" s="116"/>
      <c r="L592" s="170">
        <v>44342</v>
      </c>
      <c r="M592" s="116">
        <v>1845.65</v>
      </c>
      <c r="N592" s="116">
        <v>1880.85</v>
      </c>
      <c r="O592" s="116">
        <v>1825</v>
      </c>
      <c r="P592" s="116">
        <v>1860</v>
      </c>
      <c r="Q592" s="116">
        <v>1845.65</v>
      </c>
      <c r="R592">
        <v>32038</v>
      </c>
    </row>
    <row r="593" spans="1:18" x14ac:dyDescent="0.25">
      <c r="A593" s="170">
        <v>44348</v>
      </c>
      <c r="B593" s="116">
        <v>1825.1</v>
      </c>
      <c r="C593" s="116">
        <v>1811.05</v>
      </c>
      <c r="D593" s="116">
        <v>1766.95</v>
      </c>
      <c r="E593" s="116">
        <v>1773.55</v>
      </c>
      <c r="F593" s="116">
        <v>1811.05</v>
      </c>
      <c r="G593">
        <v>2766</v>
      </c>
      <c r="H593" s="116"/>
      <c r="I593" s="116"/>
      <c r="L593" s="170">
        <v>44343</v>
      </c>
      <c r="M593" s="116">
        <v>1821.05</v>
      </c>
      <c r="N593" s="116">
        <v>1858.4</v>
      </c>
      <c r="O593" s="116">
        <v>1790</v>
      </c>
      <c r="P593" s="116">
        <v>1858.4</v>
      </c>
      <c r="Q593" s="116">
        <v>1821.05</v>
      </c>
      <c r="R593">
        <v>252773</v>
      </c>
    </row>
    <row r="594" spans="1:18" x14ac:dyDescent="0.25">
      <c r="A594" s="170">
        <v>44349</v>
      </c>
      <c r="B594" s="116">
        <v>1800</v>
      </c>
      <c r="C594" s="116">
        <v>1784.8</v>
      </c>
      <c r="D594" s="116">
        <v>1778.05</v>
      </c>
      <c r="E594" s="116">
        <v>1800</v>
      </c>
      <c r="F594" s="116">
        <v>1784.8</v>
      </c>
      <c r="G594">
        <v>2631</v>
      </c>
      <c r="H594" s="116"/>
      <c r="I594" s="116"/>
      <c r="L594" s="170">
        <v>44344</v>
      </c>
      <c r="M594" s="116">
        <v>1776.1</v>
      </c>
      <c r="N594" s="116">
        <v>1829</v>
      </c>
      <c r="O594" s="116">
        <v>1767</v>
      </c>
      <c r="P594" s="116">
        <v>1825</v>
      </c>
      <c r="Q594" s="116">
        <v>1776.1</v>
      </c>
      <c r="R594">
        <v>71606</v>
      </c>
    </row>
    <row r="595" spans="1:18" x14ac:dyDescent="0.25">
      <c r="A595" s="170">
        <v>44350</v>
      </c>
      <c r="B595" s="116">
        <v>1826.6</v>
      </c>
      <c r="C595" s="116">
        <v>1789.25</v>
      </c>
      <c r="D595" s="116">
        <v>1780.8</v>
      </c>
      <c r="E595" s="116">
        <v>1793</v>
      </c>
      <c r="F595" s="116">
        <v>1789.25</v>
      </c>
      <c r="G595">
        <v>3082</v>
      </c>
      <c r="H595" s="116"/>
      <c r="I595" s="116"/>
      <c r="L595" s="170">
        <v>44347</v>
      </c>
      <c r="M595" s="116">
        <v>1765</v>
      </c>
      <c r="N595" s="116">
        <v>1810.25</v>
      </c>
      <c r="O595" s="116">
        <v>1750.8</v>
      </c>
      <c r="P595" s="116">
        <v>1779.95</v>
      </c>
      <c r="Q595" s="116">
        <v>1765</v>
      </c>
      <c r="R595">
        <v>53111</v>
      </c>
    </row>
    <row r="596" spans="1:18" x14ac:dyDescent="0.25">
      <c r="A596" s="170">
        <v>44351</v>
      </c>
      <c r="B596" s="116">
        <v>1813</v>
      </c>
      <c r="C596" s="116">
        <v>1791.4</v>
      </c>
      <c r="D596" s="116">
        <v>1776.55</v>
      </c>
      <c r="E596" s="116">
        <v>1797.65</v>
      </c>
      <c r="F596" s="116">
        <v>1791.4</v>
      </c>
      <c r="G596">
        <v>2703</v>
      </c>
      <c r="H596" s="116"/>
      <c r="I596" s="116"/>
      <c r="L596" s="170">
        <v>44348</v>
      </c>
      <c r="M596" s="116">
        <v>1815.3</v>
      </c>
      <c r="N596" s="116">
        <v>1830</v>
      </c>
      <c r="O596" s="116">
        <v>1767.9</v>
      </c>
      <c r="P596" s="116">
        <v>1778.4</v>
      </c>
      <c r="Q596" s="116">
        <v>1815.3</v>
      </c>
      <c r="R596">
        <v>167319</v>
      </c>
    </row>
    <row r="597" spans="1:18" x14ac:dyDescent="0.25">
      <c r="A597" s="170">
        <v>44354</v>
      </c>
      <c r="B597" s="116">
        <v>1815</v>
      </c>
      <c r="C597" s="116">
        <v>1767.05</v>
      </c>
      <c r="D597" s="116">
        <v>1747.95</v>
      </c>
      <c r="E597" s="116">
        <v>1815</v>
      </c>
      <c r="F597" s="116">
        <v>1767.05</v>
      </c>
      <c r="G597">
        <v>8087</v>
      </c>
      <c r="H597" s="116"/>
      <c r="I597" s="116"/>
      <c r="L597" s="170">
        <v>44349</v>
      </c>
      <c r="M597" s="116">
        <v>1784.9</v>
      </c>
      <c r="N597" s="116">
        <v>1816</v>
      </c>
      <c r="O597" s="116">
        <v>1778.6</v>
      </c>
      <c r="P597" s="116">
        <v>1816</v>
      </c>
      <c r="Q597" s="116">
        <v>1784.9</v>
      </c>
      <c r="R597">
        <v>71879</v>
      </c>
    </row>
    <row r="598" spans="1:18" x14ac:dyDescent="0.25">
      <c r="A598" s="170">
        <v>44355</v>
      </c>
      <c r="B598" s="116">
        <v>1807.9</v>
      </c>
      <c r="C598" s="116">
        <v>1794.6</v>
      </c>
      <c r="D598" s="116">
        <v>1778.45</v>
      </c>
      <c r="E598" s="116">
        <v>1780.5</v>
      </c>
      <c r="F598" s="116">
        <v>1794.6</v>
      </c>
      <c r="G598">
        <v>2324</v>
      </c>
      <c r="H598" s="116"/>
      <c r="I598" s="116"/>
      <c r="L598" s="170">
        <v>44350</v>
      </c>
      <c r="M598" s="116">
        <v>1788.1</v>
      </c>
      <c r="N598" s="116">
        <v>1827.55</v>
      </c>
      <c r="O598" s="116">
        <v>1782.35</v>
      </c>
      <c r="P598" s="116">
        <v>1785</v>
      </c>
      <c r="Q598" s="116">
        <v>1788.1</v>
      </c>
      <c r="R598">
        <v>78073</v>
      </c>
    </row>
    <row r="599" spans="1:18" x14ac:dyDescent="0.25">
      <c r="A599" s="170">
        <v>44356</v>
      </c>
      <c r="B599" s="116">
        <v>1808</v>
      </c>
      <c r="C599" s="116">
        <v>1756.25</v>
      </c>
      <c r="D599" s="116">
        <v>1752</v>
      </c>
      <c r="E599" s="116">
        <v>1788.95</v>
      </c>
      <c r="F599" s="116">
        <v>1756.25</v>
      </c>
      <c r="G599">
        <v>5379</v>
      </c>
      <c r="H599" s="116"/>
      <c r="I599" s="116"/>
      <c r="L599" s="170">
        <v>44351</v>
      </c>
      <c r="M599" s="116">
        <v>1791.05</v>
      </c>
      <c r="N599" s="116">
        <v>1815.35</v>
      </c>
      <c r="O599" s="116">
        <v>1775.6</v>
      </c>
      <c r="P599" s="116">
        <v>1798.4</v>
      </c>
      <c r="Q599" s="116">
        <v>1791.05</v>
      </c>
      <c r="R599">
        <v>144927</v>
      </c>
    </row>
    <row r="600" spans="1:18" x14ac:dyDescent="0.25">
      <c r="A600" s="170">
        <v>44357</v>
      </c>
      <c r="B600" s="116">
        <v>1798.65</v>
      </c>
      <c r="C600" s="116">
        <v>1784.65</v>
      </c>
      <c r="D600" s="116">
        <v>1753.95</v>
      </c>
      <c r="E600" s="116">
        <v>1769.15</v>
      </c>
      <c r="F600" s="116">
        <v>1784.65</v>
      </c>
      <c r="G600">
        <v>5426</v>
      </c>
      <c r="H600" s="116"/>
      <c r="I600" s="116"/>
      <c r="L600" s="170">
        <v>44354</v>
      </c>
      <c r="M600" s="116">
        <v>1768.8</v>
      </c>
      <c r="N600" s="116">
        <v>1819.9</v>
      </c>
      <c r="O600" s="116">
        <v>1746.95</v>
      </c>
      <c r="P600" s="116">
        <v>1809.5</v>
      </c>
      <c r="Q600" s="116">
        <v>1768.8</v>
      </c>
      <c r="R600">
        <v>257559</v>
      </c>
    </row>
    <row r="601" spans="1:18" x14ac:dyDescent="0.25">
      <c r="A601" s="170">
        <v>44358</v>
      </c>
      <c r="B601" s="116">
        <v>1813.95</v>
      </c>
      <c r="C601" s="116">
        <v>1783.95</v>
      </c>
      <c r="D601" s="116">
        <v>1774.45</v>
      </c>
      <c r="E601" s="116">
        <v>1799.65</v>
      </c>
      <c r="F601" s="116">
        <v>1783.95</v>
      </c>
      <c r="G601">
        <v>3299</v>
      </c>
      <c r="H601" s="116"/>
      <c r="I601" s="116"/>
      <c r="L601" s="170">
        <v>44355</v>
      </c>
      <c r="M601" s="116">
        <v>1790.6</v>
      </c>
      <c r="N601" s="116">
        <v>1809</v>
      </c>
      <c r="O601" s="116">
        <v>1770.25</v>
      </c>
      <c r="P601" s="116">
        <v>1789</v>
      </c>
      <c r="Q601" s="116">
        <v>1790.6</v>
      </c>
      <c r="R601">
        <v>167200</v>
      </c>
    </row>
    <row r="602" spans="1:18" x14ac:dyDescent="0.25">
      <c r="A602" s="170">
        <v>44361</v>
      </c>
      <c r="B602" s="116">
        <v>1818</v>
      </c>
      <c r="C602" s="116">
        <v>1801.35</v>
      </c>
      <c r="D602" s="116">
        <v>1763</v>
      </c>
      <c r="E602" s="116">
        <v>1763</v>
      </c>
      <c r="F602" s="116">
        <v>1801.35</v>
      </c>
      <c r="G602">
        <v>6106</v>
      </c>
      <c r="H602" s="116"/>
      <c r="I602" s="116"/>
      <c r="L602" s="170">
        <v>44356</v>
      </c>
      <c r="M602" s="116">
        <v>1756.2</v>
      </c>
      <c r="N602" s="116">
        <v>1830</v>
      </c>
      <c r="O602" s="116">
        <v>1751.2</v>
      </c>
      <c r="P602" s="116">
        <v>1800</v>
      </c>
      <c r="Q602" s="116">
        <v>1756.2</v>
      </c>
      <c r="R602">
        <v>33825</v>
      </c>
    </row>
    <row r="603" spans="1:18" x14ac:dyDescent="0.25">
      <c r="A603" s="170">
        <v>44362</v>
      </c>
      <c r="B603" s="116">
        <v>1881.6</v>
      </c>
      <c r="C603" s="116">
        <v>1859</v>
      </c>
      <c r="D603" s="116">
        <v>1793</v>
      </c>
      <c r="E603" s="116">
        <v>1805.65</v>
      </c>
      <c r="F603" s="116">
        <v>1859</v>
      </c>
      <c r="G603">
        <v>20053</v>
      </c>
      <c r="H603" s="116"/>
      <c r="I603" s="116"/>
      <c r="L603" s="170">
        <v>44357</v>
      </c>
      <c r="M603" s="116">
        <v>1793.8</v>
      </c>
      <c r="N603" s="116">
        <v>1799.85</v>
      </c>
      <c r="O603" s="116">
        <v>1752.9</v>
      </c>
      <c r="P603" s="116">
        <v>1758</v>
      </c>
      <c r="Q603" s="116">
        <v>1793.8</v>
      </c>
      <c r="R603">
        <v>42511</v>
      </c>
    </row>
    <row r="604" spans="1:18" x14ac:dyDescent="0.25">
      <c r="A604" s="170">
        <v>44363</v>
      </c>
      <c r="B604" s="116">
        <v>1899.6</v>
      </c>
      <c r="C604" s="116">
        <v>1835.7</v>
      </c>
      <c r="D604" s="116">
        <v>1823</v>
      </c>
      <c r="E604" s="116">
        <v>1875.2</v>
      </c>
      <c r="F604" s="116">
        <v>1835.7</v>
      </c>
      <c r="G604">
        <v>7143</v>
      </c>
      <c r="H604" s="116"/>
      <c r="I604" s="116"/>
      <c r="L604" s="170">
        <v>44358</v>
      </c>
      <c r="M604" s="116">
        <v>1786.5</v>
      </c>
      <c r="N604" s="116">
        <v>1814.95</v>
      </c>
      <c r="O604" s="116">
        <v>1778.4</v>
      </c>
      <c r="P604" s="116">
        <v>1799</v>
      </c>
      <c r="Q604" s="116">
        <v>1786.5</v>
      </c>
      <c r="R604">
        <v>26548</v>
      </c>
    </row>
    <row r="605" spans="1:18" x14ac:dyDescent="0.25">
      <c r="A605" s="170">
        <v>44364</v>
      </c>
      <c r="B605" s="116">
        <v>1846</v>
      </c>
      <c r="C605" s="116">
        <v>1806.2</v>
      </c>
      <c r="D605" s="116">
        <v>1801</v>
      </c>
      <c r="E605" s="116">
        <v>1824.65</v>
      </c>
      <c r="F605" s="116">
        <v>1806.2</v>
      </c>
      <c r="G605">
        <v>7395</v>
      </c>
      <c r="H605" s="116"/>
      <c r="I605" s="116"/>
      <c r="L605" s="170">
        <v>44361</v>
      </c>
      <c r="M605" s="116">
        <v>1799.15</v>
      </c>
      <c r="N605" s="116">
        <v>1820</v>
      </c>
      <c r="O605" s="116">
        <v>1772.35</v>
      </c>
      <c r="P605" s="116">
        <v>1786.5</v>
      </c>
      <c r="Q605" s="116">
        <v>1799.15</v>
      </c>
      <c r="R605">
        <v>82531</v>
      </c>
    </row>
    <row r="606" spans="1:18" x14ac:dyDescent="0.25">
      <c r="A606" s="170">
        <v>44365</v>
      </c>
      <c r="B606" s="116">
        <v>1836.9</v>
      </c>
      <c r="C606" s="116">
        <v>1784.45</v>
      </c>
      <c r="D606" s="116">
        <v>1726.4</v>
      </c>
      <c r="E606" s="116">
        <v>1821.8</v>
      </c>
      <c r="F606" s="116">
        <v>1784.45</v>
      </c>
      <c r="G606">
        <v>8793</v>
      </c>
      <c r="H606" s="116"/>
      <c r="I606" s="116"/>
      <c r="L606" s="170">
        <v>44362</v>
      </c>
      <c r="M606" s="116">
        <v>1859</v>
      </c>
      <c r="N606" s="116">
        <v>1883.8</v>
      </c>
      <c r="O606" s="116">
        <v>1791.9</v>
      </c>
      <c r="P606" s="116">
        <v>1796</v>
      </c>
      <c r="Q606" s="116">
        <v>1859</v>
      </c>
      <c r="R606">
        <v>266439</v>
      </c>
    </row>
    <row r="607" spans="1:18" x14ac:dyDescent="0.25">
      <c r="A607" s="170">
        <v>44368</v>
      </c>
      <c r="B607" s="116">
        <v>1818.9</v>
      </c>
      <c r="C607" s="116">
        <v>1815.8</v>
      </c>
      <c r="D607" s="116">
        <v>1759.8</v>
      </c>
      <c r="E607" s="116">
        <v>1765</v>
      </c>
      <c r="F607" s="116">
        <v>1815.8</v>
      </c>
      <c r="G607">
        <v>9907</v>
      </c>
      <c r="H607" s="116"/>
      <c r="I607" s="116"/>
      <c r="L607" s="170">
        <v>44363</v>
      </c>
      <c r="M607" s="116">
        <v>1841.45</v>
      </c>
      <c r="N607" s="116">
        <v>1900</v>
      </c>
      <c r="O607" s="116">
        <v>1821.2</v>
      </c>
      <c r="P607" s="116">
        <v>1877</v>
      </c>
      <c r="Q607" s="116">
        <v>1841.45</v>
      </c>
      <c r="R607">
        <v>231576</v>
      </c>
    </row>
    <row r="608" spans="1:18" x14ac:dyDescent="0.25">
      <c r="A608" s="170">
        <v>44369</v>
      </c>
      <c r="B608" s="116">
        <v>1850.95</v>
      </c>
      <c r="C608" s="116">
        <v>1848.9</v>
      </c>
      <c r="D608" s="116">
        <v>1820</v>
      </c>
      <c r="E608" s="116">
        <v>1829.85</v>
      </c>
      <c r="F608" s="116">
        <v>1848.9</v>
      </c>
      <c r="G608">
        <v>5234</v>
      </c>
      <c r="H608" s="116"/>
      <c r="I608" s="116"/>
      <c r="L608" s="170">
        <v>44364</v>
      </c>
      <c r="M608" s="116">
        <v>1805.1</v>
      </c>
      <c r="N608" s="116">
        <v>1849.95</v>
      </c>
      <c r="O608" s="116">
        <v>1800</v>
      </c>
      <c r="P608" s="116">
        <v>1823</v>
      </c>
      <c r="Q608" s="116">
        <v>1805.1</v>
      </c>
      <c r="R608">
        <v>100506</v>
      </c>
    </row>
    <row r="609" spans="1:18" x14ac:dyDescent="0.25">
      <c r="A609" s="170">
        <v>44370</v>
      </c>
      <c r="B609" s="116">
        <v>1890</v>
      </c>
      <c r="C609" s="116">
        <v>1826.2</v>
      </c>
      <c r="D609" s="116">
        <v>1792</v>
      </c>
      <c r="E609" s="116">
        <v>1837.2</v>
      </c>
      <c r="F609" s="116">
        <v>1826.2</v>
      </c>
      <c r="G609">
        <v>3932</v>
      </c>
      <c r="H609" s="116"/>
      <c r="I609" s="116"/>
      <c r="L609" s="170">
        <v>44365</v>
      </c>
      <c r="M609" s="116">
        <v>1789.8</v>
      </c>
      <c r="N609" s="116">
        <v>1838.05</v>
      </c>
      <c r="O609" s="116">
        <v>1728</v>
      </c>
      <c r="P609" s="116">
        <v>1819.55</v>
      </c>
      <c r="Q609" s="116">
        <v>1789.8</v>
      </c>
      <c r="R609">
        <v>140222</v>
      </c>
    </row>
    <row r="610" spans="1:18" x14ac:dyDescent="0.25">
      <c r="A610" s="170">
        <v>44371</v>
      </c>
      <c r="B610" s="116">
        <v>1821.8</v>
      </c>
      <c r="C610" s="116">
        <v>1800.5</v>
      </c>
      <c r="D610" s="116">
        <v>1771</v>
      </c>
      <c r="E610" s="116">
        <v>1820.25</v>
      </c>
      <c r="F610" s="116">
        <v>1800.5</v>
      </c>
      <c r="G610">
        <v>3369</v>
      </c>
      <c r="H610" s="116"/>
      <c r="I610" s="116"/>
      <c r="L610" s="170">
        <v>44368</v>
      </c>
      <c r="M610" s="116">
        <v>1817</v>
      </c>
      <c r="N610" s="116">
        <v>1820</v>
      </c>
      <c r="O610" s="116">
        <v>1750</v>
      </c>
      <c r="P610" s="116">
        <v>1760</v>
      </c>
      <c r="Q610" s="116">
        <v>1817</v>
      </c>
      <c r="R610">
        <v>130787</v>
      </c>
    </row>
    <row r="611" spans="1:18" x14ac:dyDescent="0.25">
      <c r="A611" s="170">
        <v>44372</v>
      </c>
      <c r="B611" s="116">
        <v>1872.4</v>
      </c>
      <c r="C611" s="116">
        <v>1829.95</v>
      </c>
      <c r="D611" s="116">
        <v>1812.2</v>
      </c>
      <c r="E611" s="116">
        <v>1812.2</v>
      </c>
      <c r="F611" s="116">
        <v>1829.95</v>
      </c>
      <c r="G611">
        <v>3495</v>
      </c>
      <c r="H611" s="116"/>
      <c r="I611" s="116"/>
      <c r="L611" s="170">
        <v>44369</v>
      </c>
      <c r="M611" s="116">
        <v>1849.05</v>
      </c>
      <c r="N611" s="116">
        <v>1851.85</v>
      </c>
      <c r="O611" s="116">
        <v>1820</v>
      </c>
      <c r="P611" s="116">
        <v>1820</v>
      </c>
      <c r="Q611" s="116">
        <v>1849.05</v>
      </c>
      <c r="R611">
        <v>211546</v>
      </c>
    </row>
    <row r="612" spans="1:18" x14ac:dyDescent="0.25">
      <c r="A612" s="170">
        <v>44375</v>
      </c>
      <c r="B612" s="116">
        <v>1900.95</v>
      </c>
      <c r="C612" s="116">
        <v>1867.25</v>
      </c>
      <c r="D612" s="116">
        <v>1847.1</v>
      </c>
      <c r="E612" s="116">
        <v>1859.05</v>
      </c>
      <c r="F612" s="116">
        <v>1867.25</v>
      </c>
      <c r="G612">
        <v>3579</v>
      </c>
      <c r="H612" s="116"/>
      <c r="I612" s="116"/>
      <c r="L612" s="170">
        <v>44370</v>
      </c>
      <c r="M612" s="116">
        <v>1824.6</v>
      </c>
      <c r="N612" s="116">
        <v>1877</v>
      </c>
      <c r="O612" s="116">
        <v>1786.15</v>
      </c>
      <c r="P612" s="116">
        <v>1863.9</v>
      </c>
      <c r="Q612" s="116">
        <v>1824.6</v>
      </c>
      <c r="R612">
        <v>105284</v>
      </c>
    </row>
    <row r="613" spans="1:18" x14ac:dyDescent="0.25">
      <c r="A613" s="170">
        <v>44376</v>
      </c>
      <c r="B613" s="116">
        <v>1887.1</v>
      </c>
      <c r="C613" s="116">
        <v>1872.35</v>
      </c>
      <c r="D613" s="116">
        <v>1855.35</v>
      </c>
      <c r="E613" s="116">
        <v>1873.15</v>
      </c>
      <c r="F613" s="116">
        <v>1872.35</v>
      </c>
      <c r="G613">
        <v>28868</v>
      </c>
      <c r="H613" s="116"/>
      <c r="I613" s="116"/>
      <c r="L613" s="170">
        <v>44371</v>
      </c>
      <c r="M613" s="116">
        <v>1801.05</v>
      </c>
      <c r="N613" s="116">
        <v>1823</v>
      </c>
      <c r="O613" s="116">
        <v>1770</v>
      </c>
      <c r="P613" s="116">
        <v>1822.05</v>
      </c>
      <c r="Q613" s="116">
        <v>1801.05</v>
      </c>
      <c r="R613">
        <v>67111</v>
      </c>
    </row>
    <row r="614" spans="1:18" x14ac:dyDescent="0.25">
      <c r="A614" s="170">
        <v>44377</v>
      </c>
      <c r="B614" s="116">
        <v>1944.5</v>
      </c>
      <c r="C614" s="116">
        <v>1893.2</v>
      </c>
      <c r="D614" s="116">
        <v>1862.55</v>
      </c>
      <c r="E614" s="116">
        <v>1883.8</v>
      </c>
      <c r="F614" s="116">
        <v>1893.2</v>
      </c>
      <c r="G614">
        <v>39322</v>
      </c>
      <c r="H614" s="116"/>
      <c r="I614" s="116"/>
      <c r="L614" s="170">
        <v>44372</v>
      </c>
      <c r="M614" s="116">
        <v>1832.55</v>
      </c>
      <c r="N614" s="116">
        <v>1872.5</v>
      </c>
      <c r="O614" s="116">
        <v>1810.15</v>
      </c>
      <c r="P614" s="116">
        <v>1814.7</v>
      </c>
      <c r="Q614" s="116">
        <v>1832.55</v>
      </c>
      <c r="R614">
        <v>176681</v>
      </c>
    </row>
    <row r="615" spans="1:18" x14ac:dyDescent="0.25">
      <c r="A615" s="170">
        <v>44378</v>
      </c>
      <c r="B615" s="116">
        <v>1920</v>
      </c>
      <c r="C615" s="116">
        <v>1892.5</v>
      </c>
      <c r="D615" s="116">
        <v>1878.95</v>
      </c>
      <c r="E615" s="116">
        <v>1896.9</v>
      </c>
      <c r="F615" s="116">
        <v>1892.5</v>
      </c>
      <c r="G615">
        <v>53521</v>
      </c>
      <c r="H615" s="116"/>
      <c r="I615" s="116"/>
      <c r="L615" s="170">
        <v>44375</v>
      </c>
      <c r="M615" s="116">
        <v>1865.55</v>
      </c>
      <c r="N615" s="116">
        <v>1900</v>
      </c>
      <c r="O615" s="116">
        <v>1846.75</v>
      </c>
      <c r="P615" s="116">
        <v>1850</v>
      </c>
      <c r="Q615" s="116">
        <v>1865.55</v>
      </c>
      <c r="R615">
        <v>102653</v>
      </c>
    </row>
    <row r="616" spans="1:18" x14ac:dyDescent="0.25">
      <c r="A616" s="170">
        <v>44379</v>
      </c>
      <c r="B616" s="116">
        <v>1948.7</v>
      </c>
      <c r="C616" s="116">
        <v>1935.7</v>
      </c>
      <c r="D616" s="116">
        <v>1887.9</v>
      </c>
      <c r="E616" s="116">
        <v>1893.1</v>
      </c>
      <c r="F616" s="116">
        <v>1935.7</v>
      </c>
      <c r="G616">
        <v>20747</v>
      </c>
      <c r="H616" s="116"/>
      <c r="I616" s="116"/>
      <c r="L616" s="170">
        <v>44376</v>
      </c>
      <c r="M616" s="116">
        <v>1874.15</v>
      </c>
      <c r="N616" s="116">
        <v>1888</v>
      </c>
      <c r="O616" s="116">
        <v>1854.2</v>
      </c>
      <c r="P616" s="116">
        <v>1880</v>
      </c>
      <c r="Q616" s="116">
        <v>1874.15</v>
      </c>
      <c r="R616">
        <v>68307</v>
      </c>
    </row>
    <row r="617" spans="1:18" x14ac:dyDescent="0.25">
      <c r="A617" s="170">
        <v>44382</v>
      </c>
      <c r="B617" s="116">
        <v>1978.9</v>
      </c>
      <c r="C617" s="116">
        <v>1966.5</v>
      </c>
      <c r="D617" s="116">
        <v>1902.85</v>
      </c>
      <c r="E617" s="116">
        <v>1954.9</v>
      </c>
      <c r="F617" s="116">
        <v>1966.5</v>
      </c>
      <c r="G617">
        <v>139901</v>
      </c>
      <c r="H617" s="116"/>
      <c r="I617" s="116"/>
      <c r="L617" s="170">
        <v>44377</v>
      </c>
      <c r="M617" s="116">
        <v>1891.15</v>
      </c>
      <c r="N617" s="116">
        <v>1944</v>
      </c>
      <c r="O617" s="116">
        <v>1861.05</v>
      </c>
      <c r="P617" s="116">
        <v>1883.95</v>
      </c>
      <c r="Q617" s="116">
        <v>1891.15</v>
      </c>
      <c r="R617">
        <v>224084</v>
      </c>
    </row>
    <row r="618" spans="1:18" x14ac:dyDescent="0.25">
      <c r="A618" s="170">
        <v>44383</v>
      </c>
      <c r="B618" s="116">
        <v>2050</v>
      </c>
      <c r="C618" s="116">
        <v>1995.65</v>
      </c>
      <c r="D618" s="116">
        <v>1920.05</v>
      </c>
      <c r="E618" s="116">
        <v>1920.05</v>
      </c>
      <c r="F618" s="116">
        <v>1995.65</v>
      </c>
      <c r="G618">
        <v>65632</v>
      </c>
      <c r="H618" s="116"/>
      <c r="I618" s="116"/>
      <c r="L618" s="170">
        <v>44378</v>
      </c>
      <c r="M618" s="116">
        <v>1890.25</v>
      </c>
      <c r="N618" s="116">
        <v>1920.85</v>
      </c>
      <c r="O618" s="116">
        <v>1877.1</v>
      </c>
      <c r="P618" s="116">
        <v>1893</v>
      </c>
      <c r="Q618" s="116">
        <v>1890.25</v>
      </c>
      <c r="R618">
        <v>119730</v>
      </c>
    </row>
    <row r="619" spans="1:18" x14ac:dyDescent="0.25">
      <c r="A619" s="170">
        <v>44384</v>
      </c>
      <c r="B619" s="116">
        <v>2062</v>
      </c>
      <c r="C619" s="116">
        <v>2044.85</v>
      </c>
      <c r="D619" s="116">
        <v>2003.1</v>
      </c>
      <c r="E619" s="116">
        <v>2009.55</v>
      </c>
      <c r="F619" s="116">
        <v>2044.85</v>
      </c>
      <c r="G619">
        <v>70040</v>
      </c>
      <c r="H619" s="116"/>
      <c r="I619" s="116"/>
      <c r="L619" s="170">
        <v>44379</v>
      </c>
      <c r="M619" s="116">
        <v>1937.65</v>
      </c>
      <c r="N619" s="116">
        <v>1949.9</v>
      </c>
      <c r="O619" s="116">
        <v>1886.2</v>
      </c>
      <c r="P619" s="116">
        <v>1892</v>
      </c>
      <c r="Q619" s="116">
        <v>1937.65</v>
      </c>
      <c r="R619">
        <v>106923</v>
      </c>
    </row>
    <row r="620" spans="1:18" x14ac:dyDescent="0.25">
      <c r="A620" s="170">
        <v>44385</v>
      </c>
      <c r="B620" s="116">
        <v>2072.6999999999998</v>
      </c>
      <c r="C620" s="116">
        <v>2056.35</v>
      </c>
      <c r="D620" s="116">
        <v>2035.05</v>
      </c>
      <c r="E620" s="116">
        <v>2056.8000000000002</v>
      </c>
      <c r="F620" s="116">
        <v>2056.35</v>
      </c>
      <c r="G620">
        <v>33432</v>
      </c>
      <c r="H620" s="116"/>
      <c r="I620" s="116"/>
      <c r="L620" s="170">
        <v>44382</v>
      </c>
      <c r="M620" s="116">
        <v>1969.55</v>
      </c>
      <c r="N620" s="116">
        <v>1980</v>
      </c>
      <c r="O620" s="116">
        <v>1905.05</v>
      </c>
      <c r="P620" s="116">
        <v>1953</v>
      </c>
      <c r="Q620" s="116">
        <v>1969.55</v>
      </c>
      <c r="R620">
        <v>202401</v>
      </c>
    </row>
    <row r="621" spans="1:18" x14ac:dyDescent="0.25">
      <c r="A621" s="170">
        <v>44386</v>
      </c>
      <c r="B621" s="116">
        <v>2183</v>
      </c>
      <c r="C621" s="116">
        <v>2119.6</v>
      </c>
      <c r="D621" s="116">
        <v>2040</v>
      </c>
      <c r="E621" s="116">
        <v>2060.6</v>
      </c>
      <c r="F621" s="116">
        <v>2119.6</v>
      </c>
      <c r="G621">
        <v>33341</v>
      </c>
      <c r="H621" s="116"/>
      <c r="I621" s="116"/>
      <c r="L621" s="170">
        <v>44383</v>
      </c>
      <c r="M621" s="116">
        <v>2002.05</v>
      </c>
      <c r="N621" s="116">
        <v>2050</v>
      </c>
      <c r="O621" s="116">
        <v>1934</v>
      </c>
      <c r="P621" s="116">
        <v>1969.55</v>
      </c>
      <c r="Q621" s="116">
        <v>2002.05</v>
      </c>
      <c r="R621">
        <v>560805</v>
      </c>
    </row>
    <row r="622" spans="1:18" x14ac:dyDescent="0.25">
      <c r="A622" s="170">
        <v>44389</v>
      </c>
      <c r="B622" s="116">
        <v>2245</v>
      </c>
      <c r="C622" s="116">
        <v>2169.35</v>
      </c>
      <c r="D622" s="116">
        <v>2113</v>
      </c>
      <c r="E622" s="116">
        <v>2245</v>
      </c>
      <c r="F622" s="116">
        <v>2169.35</v>
      </c>
      <c r="G622">
        <v>35333</v>
      </c>
      <c r="H622" s="116"/>
      <c r="I622" s="116"/>
      <c r="L622" s="170">
        <v>44384</v>
      </c>
      <c r="M622" s="116">
        <v>2044.85</v>
      </c>
      <c r="N622" s="116">
        <v>2064.9</v>
      </c>
      <c r="O622" s="116">
        <v>2002.05</v>
      </c>
      <c r="P622" s="116">
        <v>2007.9</v>
      </c>
      <c r="Q622" s="116">
        <v>2044.85</v>
      </c>
      <c r="R622">
        <v>251076</v>
      </c>
    </row>
    <row r="623" spans="1:18" x14ac:dyDescent="0.25">
      <c r="A623" s="170">
        <v>44390</v>
      </c>
      <c r="B623" s="116">
        <v>2200.9499999999998</v>
      </c>
      <c r="C623" s="116">
        <v>2196.1</v>
      </c>
      <c r="D623" s="116">
        <v>2122.5</v>
      </c>
      <c r="E623" s="116">
        <v>2170</v>
      </c>
      <c r="F623" s="116">
        <v>2196.1</v>
      </c>
      <c r="G623">
        <v>19304</v>
      </c>
      <c r="H623" s="116"/>
      <c r="I623" s="116"/>
      <c r="L623" s="170">
        <v>44385</v>
      </c>
      <c r="M623" s="116">
        <v>2059.85</v>
      </c>
      <c r="N623" s="116">
        <v>2074</v>
      </c>
      <c r="O623" s="116">
        <v>2035</v>
      </c>
      <c r="P623" s="116">
        <v>2049.9</v>
      </c>
      <c r="Q623" s="116">
        <v>2059.85</v>
      </c>
      <c r="R623">
        <v>162147</v>
      </c>
    </row>
    <row r="624" spans="1:18" x14ac:dyDescent="0.25">
      <c r="A624" s="170">
        <v>44391</v>
      </c>
      <c r="B624" s="116">
        <v>2212.75</v>
      </c>
      <c r="C624" s="116">
        <v>2180.6</v>
      </c>
      <c r="D624" s="116">
        <v>2163.4499999999998</v>
      </c>
      <c r="E624" s="116">
        <v>2175.0500000000002</v>
      </c>
      <c r="F624" s="116">
        <v>2180.6</v>
      </c>
      <c r="G624">
        <v>19609</v>
      </c>
      <c r="H624" s="116"/>
      <c r="I624" s="116"/>
      <c r="L624" s="170">
        <v>44386</v>
      </c>
      <c r="M624" s="116">
        <v>2119.8000000000002</v>
      </c>
      <c r="N624" s="116">
        <v>2125</v>
      </c>
      <c r="O624" s="116">
        <v>2043.8</v>
      </c>
      <c r="P624" s="116">
        <v>2058.6</v>
      </c>
      <c r="Q624" s="116">
        <v>2119.8000000000002</v>
      </c>
      <c r="R624">
        <v>256450</v>
      </c>
    </row>
    <row r="625" spans="1:18" x14ac:dyDescent="0.25">
      <c r="A625" s="170">
        <v>44392</v>
      </c>
      <c r="B625" s="116">
        <v>2299</v>
      </c>
      <c r="C625" s="116">
        <v>2271.8000000000002</v>
      </c>
      <c r="D625" s="116">
        <v>2187.35</v>
      </c>
      <c r="E625" s="116">
        <v>2187.4</v>
      </c>
      <c r="F625" s="116">
        <v>2271.8000000000002</v>
      </c>
      <c r="G625">
        <v>50025</v>
      </c>
      <c r="H625" s="116"/>
      <c r="I625" s="116"/>
      <c r="L625" s="170">
        <v>44389</v>
      </c>
      <c r="M625" s="116">
        <v>2168.6</v>
      </c>
      <c r="N625" s="116">
        <v>2175</v>
      </c>
      <c r="O625" s="116">
        <v>2110.6999999999998</v>
      </c>
      <c r="P625" s="116">
        <v>2139</v>
      </c>
      <c r="Q625" s="116">
        <v>2168.6</v>
      </c>
      <c r="R625">
        <v>441101</v>
      </c>
    </row>
    <row r="626" spans="1:18" x14ac:dyDescent="0.25">
      <c r="A626" s="170">
        <v>44393</v>
      </c>
      <c r="B626" s="116">
        <v>2307.1999999999998</v>
      </c>
      <c r="C626" s="116">
        <v>2252.4</v>
      </c>
      <c r="D626" s="116">
        <v>2245.75</v>
      </c>
      <c r="E626" s="116">
        <v>2290.8000000000002</v>
      </c>
      <c r="F626" s="116">
        <v>2252.4</v>
      </c>
      <c r="G626">
        <v>15112</v>
      </c>
      <c r="H626" s="116"/>
      <c r="I626" s="116"/>
      <c r="L626" s="170">
        <v>44390</v>
      </c>
      <c r="M626" s="116">
        <v>2196.4499999999998</v>
      </c>
      <c r="N626" s="116">
        <v>2199</v>
      </c>
      <c r="O626" s="116">
        <v>2125.0500000000002</v>
      </c>
      <c r="P626" s="116">
        <v>2168.6</v>
      </c>
      <c r="Q626" s="116">
        <v>2196.4499999999998</v>
      </c>
      <c r="R626">
        <v>195788</v>
      </c>
    </row>
    <row r="627" spans="1:18" x14ac:dyDescent="0.25">
      <c r="A627" s="170">
        <v>44396</v>
      </c>
      <c r="B627" s="116">
        <v>2282.1999999999998</v>
      </c>
      <c r="C627" s="116">
        <v>2231.3000000000002</v>
      </c>
      <c r="D627" s="116">
        <v>2207.5</v>
      </c>
      <c r="E627" s="116">
        <v>2243.0500000000002</v>
      </c>
      <c r="F627" s="116">
        <v>2231.3000000000002</v>
      </c>
      <c r="G627">
        <v>9232</v>
      </c>
      <c r="H627" s="116"/>
      <c r="I627" s="116"/>
      <c r="L627" s="170">
        <v>44391</v>
      </c>
      <c r="M627" s="116">
        <v>2180.35</v>
      </c>
      <c r="N627" s="116">
        <v>2210</v>
      </c>
      <c r="O627" s="116">
        <v>2150</v>
      </c>
      <c r="P627" s="116">
        <v>2196.5</v>
      </c>
      <c r="Q627" s="116">
        <v>2180.35</v>
      </c>
      <c r="R627">
        <v>130550</v>
      </c>
    </row>
    <row r="628" spans="1:18" x14ac:dyDescent="0.25">
      <c r="A628" s="170">
        <v>44397</v>
      </c>
      <c r="B628" s="116">
        <v>2251.6</v>
      </c>
      <c r="C628" s="116">
        <v>2181</v>
      </c>
      <c r="D628" s="116">
        <v>2128.5</v>
      </c>
      <c r="E628" s="116">
        <v>2242.85</v>
      </c>
      <c r="F628" s="116">
        <v>2181</v>
      </c>
      <c r="G628">
        <v>126381</v>
      </c>
      <c r="H628" s="116"/>
      <c r="I628" s="116"/>
      <c r="L628" s="170">
        <v>44392</v>
      </c>
      <c r="M628" s="116">
        <v>2271.5500000000002</v>
      </c>
      <c r="N628" s="116">
        <v>2298</v>
      </c>
      <c r="O628" s="116">
        <v>2183.0500000000002</v>
      </c>
      <c r="P628" s="116">
        <v>2192.35</v>
      </c>
      <c r="Q628" s="116">
        <v>2271.5500000000002</v>
      </c>
      <c r="R628">
        <v>394828</v>
      </c>
    </row>
    <row r="629" spans="1:18" x14ac:dyDescent="0.25">
      <c r="A629" s="170">
        <v>44399</v>
      </c>
      <c r="B629" s="116">
        <v>2290</v>
      </c>
      <c r="C629" s="116">
        <v>2224.4499999999998</v>
      </c>
      <c r="D629" s="116">
        <v>2199.4499999999998</v>
      </c>
      <c r="E629" s="116">
        <v>2209.9499999999998</v>
      </c>
      <c r="F629" s="116">
        <v>2224.4499999999998</v>
      </c>
      <c r="G629">
        <v>69117</v>
      </c>
      <c r="H629" s="116"/>
      <c r="I629" s="116"/>
      <c r="L629" s="170">
        <v>44393</v>
      </c>
      <c r="M629" s="116">
        <v>2251.9</v>
      </c>
      <c r="N629" s="116">
        <v>2310</v>
      </c>
      <c r="O629" s="116">
        <v>2238.9499999999998</v>
      </c>
      <c r="P629" s="116">
        <v>2296</v>
      </c>
      <c r="Q629" s="116">
        <v>2251.9</v>
      </c>
      <c r="R629">
        <v>190674</v>
      </c>
    </row>
    <row r="630" spans="1:18" x14ac:dyDescent="0.25">
      <c r="A630" s="170">
        <v>44400</v>
      </c>
      <c r="B630" s="116">
        <v>2300</v>
      </c>
      <c r="C630" s="116">
        <v>2289.25</v>
      </c>
      <c r="D630" s="116">
        <v>2238.75</v>
      </c>
      <c r="E630" s="116">
        <v>2244.3000000000002</v>
      </c>
      <c r="F630" s="116">
        <v>2289.25</v>
      </c>
      <c r="G630">
        <v>36092</v>
      </c>
      <c r="H630" s="116"/>
      <c r="I630" s="116"/>
      <c r="L630" s="170">
        <v>44396</v>
      </c>
      <c r="M630" s="116">
        <v>2227.1999999999998</v>
      </c>
      <c r="N630" s="116">
        <v>2282.35</v>
      </c>
      <c r="O630" s="116">
        <v>2205.25</v>
      </c>
      <c r="P630" s="116">
        <v>2244.6</v>
      </c>
      <c r="Q630" s="116">
        <v>2227.1999999999998</v>
      </c>
      <c r="R630">
        <v>172121</v>
      </c>
    </row>
    <row r="631" spans="1:18" x14ac:dyDescent="0.25">
      <c r="A631" s="170">
        <v>44403</v>
      </c>
      <c r="B631" s="116">
        <v>2374</v>
      </c>
      <c r="C631" s="116">
        <v>2224.65</v>
      </c>
      <c r="D631" s="116">
        <v>2200</v>
      </c>
      <c r="E631" s="116">
        <v>2323.9499999999998</v>
      </c>
      <c r="F631" s="116">
        <v>2224.65</v>
      </c>
      <c r="G631">
        <v>19638</v>
      </c>
      <c r="H631" s="116"/>
      <c r="I631" s="116"/>
      <c r="L631" s="170">
        <v>44397</v>
      </c>
      <c r="M631" s="116">
        <v>2183.15</v>
      </c>
      <c r="N631" s="116">
        <v>2250</v>
      </c>
      <c r="O631" s="116">
        <v>2127</v>
      </c>
      <c r="P631" s="116">
        <v>2245.4499999999998</v>
      </c>
      <c r="Q631" s="116">
        <v>2183.15</v>
      </c>
      <c r="R631">
        <v>254141</v>
      </c>
    </row>
    <row r="632" spans="1:18" x14ac:dyDescent="0.25">
      <c r="A632" s="170">
        <v>44404</v>
      </c>
      <c r="B632" s="116">
        <v>2299</v>
      </c>
      <c r="C632" s="116">
        <v>2245.5</v>
      </c>
      <c r="D632" s="116">
        <v>2224.65</v>
      </c>
      <c r="E632" s="116">
        <v>2224.65</v>
      </c>
      <c r="F632" s="116">
        <v>2245.5</v>
      </c>
      <c r="G632">
        <v>6838</v>
      </c>
      <c r="H632" s="116"/>
      <c r="I632" s="116"/>
      <c r="L632" s="170">
        <v>44399</v>
      </c>
      <c r="M632" s="116">
        <v>2222.1999999999998</v>
      </c>
      <c r="N632" s="116">
        <v>2272</v>
      </c>
      <c r="O632" s="116">
        <v>2204.9499999999998</v>
      </c>
      <c r="P632" s="116">
        <v>2205.6</v>
      </c>
      <c r="Q632" s="116">
        <v>2222.1999999999998</v>
      </c>
      <c r="R632">
        <v>194935</v>
      </c>
    </row>
    <row r="633" spans="1:18" x14ac:dyDescent="0.25">
      <c r="A633" s="170">
        <v>44405</v>
      </c>
      <c r="B633" s="116">
        <v>2230</v>
      </c>
      <c r="C633" s="116">
        <v>2146.9499999999998</v>
      </c>
      <c r="D633" s="116">
        <v>2114.6999999999998</v>
      </c>
      <c r="E633" s="116">
        <v>2230</v>
      </c>
      <c r="F633" s="116">
        <v>2146.9499999999998</v>
      </c>
      <c r="G633">
        <v>12792</v>
      </c>
      <c r="H633" s="116"/>
      <c r="I633" s="116"/>
      <c r="L633" s="170">
        <v>44400</v>
      </c>
      <c r="M633" s="116">
        <v>2291.4499999999998</v>
      </c>
      <c r="N633" s="116">
        <v>2300</v>
      </c>
      <c r="O633" s="116">
        <v>2235.5</v>
      </c>
      <c r="P633" s="116">
        <v>2235.5</v>
      </c>
      <c r="Q633" s="116">
        <v>2291.4499999999998</v>
      </c>
      <c r="R633">
        <v>201366</v>
      </c>
    </row>
    <row r="634" spans="1:18" x14ac:dyDescent="0.25">
      <c r="A634" s="170">
        <v>44406</v>
      </c>
      <c r="B634" s="116">
        <v>2403.9</v>
      </c>
      <c r="C634" s="116">
        <v>2134.4</v>
      </c>
      <c r="D634" s="116">
        <v>2120.5500000000002</v>
      </c>
      <c r="E634" s="116">
        <v>2403.9</v>
      </c>
      <c r="F634" s="116">
        <v>2134.4</v>
      </c>
      <c r="G634">
        <v>31295</v>
      </c>
      <c r="H634" s="116"/>
      <c r="I634" s="116"/>
      <c r="L634" s="170">
        <v>44403</v>
      </c>
      <c r="M634" s="116">
        <v>2226.9499999999998</v>
      </c>
      <c r="N634" s="116">
        <v>2375</v>
      </c>
      <c r="O634" s="116">
        <v>2195</v>
      </c>
      <c r="P634" s="116">
        <v>2308.25</v>
      </c>
      <c r="Q634" s="116">
        <v>2226.9499999999998</v>
      </c>
      <c r="R634">
        <v>249209</v>
      </c>
    </row>
    <row r="635" spans="1:18" x14ac:dyDescent="0.25">
      <c r="A635" s="170">
        <v>44407</v>
      </c>
      <c r="B635" s="116">
        <v>2167.75</v>
      </c>
      <c r="C635" s="116">
        <v>2138.75</v>
      </c>
      <c r="D635" s="116">
        <v>2130</v>
      </c>
      <c r="E635" s="116">
        <v>2152.9499999999998</v>
      </c>
      <c r="F635" s="116">
        <v>2138.75</v>
      </c>
      <c r="G635">
        <v>57207</v>
      </c>
      <c r="H635" s="116"/>
      <c r="I635" s="116"/>
      <c r="L635" s="170">
        <v>44404</v>
      </c>
      <c r="M635" s="116">
        <v>2250.25</v>
      </c>
      <c r="N635" s="116">
        <v>2300</v>
      </c>
      <c r="O635" s="116">
        <v>2230</v>
      </c>
      <c r="P635" s="116">
        <v>2238</v>
      </c>
      <c r="Q635" s="116">
        <v>2250.25</v>
      </c>
      <c r="R635">
        <v>168470</v>
      </c>
    </row>
    <row r="636" spans="1:18" x14ac:dyDescent="0.25">
      <c r="A636" s="170">
        <v>44410</v>
      </c>
      <c r="B636" s="116">
        <v>2179</v>
      </c>
      <c r="C636" s="116">
        <v>2154</v>
      </c>
      <c r="D636" s="116">
        <v>2064.4</v>
      </c>
      <c r="E636" s="116">
        <v>2165.9</v>
      </c>
      <c r="F636" s="116">
        <v>2154</v>
      </c>
      <c r="G636">
        <v>18641</v>
      </c>
      <c r="H636" s="116"/>
      <c r="I636" s="116"/>
      <c r="L636" s="170">
        <v>44405</v>
      </c>
      <c r="M636" s="116">
        <v>2147.9</v>
      </c>
      <c r="N636" s="116">
        <v>2237.25</v>
      </c>
      <c r="O636" s="116">
        <v>2115.4499999999998</v>
      </c>
      <c r="P636" s="116">
        <v>2237.25</v>
      </c>
      <c r="Q636" s="116">
        <v>2147.9</v>
      </c>
      <c r="R636">
        <v>524627</v>
      </c>
    </row>
    <row r="637" spans="1:18" x14ac:dyDescent="0.25">
      <c r="A637" s="170">
        <v>44411</v>
      </c>
      <c r="B637" s="116">
        <v>2177</v>
      </c>
      <c r="C637" s="116">
        <v>2123.9499999999998</v>
      </c>
      <c r="D637" s="116">
        <v>2075.0500000000002</v>
      </c>
      <c r="E637" s="116">
        <v>2166.5500000000002</v>
      </c>
      <c r="F637" s="116">
        <v>2123.9499999999998</v>
      </c>
      <c r="G637">
        <v>16010</v>
      </c>
      <c r="H637" s="116"/>
      <c r="I637" s="116"/>
      <c r="L637" s="170">
        <v>44406</v>
      </c>
      <c r="M637" s="116">
        <v>2135.4</v>
      </c>
      <c r="N637" s="116">
        <v>2202.5500000000002</v>
      </c>
      <c r="O637" s="116">
        <v>2121.5500000000002</v>
      </c>
      <c r="P637" s="116">
        <v>2175</v>
      </c>
      <c r="Q637" s="116">
        <v>2135.4</v>
      </c>
      <c r="R637">
        <v>227804</v>
      </c>
    </row>
    <row r="638" spans="1:18" x14ac:dyDescent="0.25">
      <c r="A638" s="170">
        <v>44412</v>
      </c>
      <c r="B638" s="116">
        <v>2128.75</v>
      </c>
      <c r="C638" s="116">
        <v>2035.2</v>
      </c>
      <c r="D638" s="116">
        <v>2020.8</v>
      </c>
      <c r="E638" s="116">
        <v>2128.75</v>
      </c>
      <c r="F638" s="116">
        <v>2035.2</v>
      </c>
      <c r="G638">
        <v>14644</v>
      </c>
      <c r="H638" s="116"/>
      <c r="I638" s="116"/>
      <c r="L638" s="170">
        <v>44407</v>
      </c>
      <c r="M638" s="116">
        <v>2139.1</v>
      </c>
      <c r="N638" s="116">
        <v>2169.1999999999998</v>
      </c>
      <c r="O638" s="116">
        <v>2131.1</v>
      </c>
      <c r="P638" s="116">
        <v>2151</v>
      </c>
      <c r="Q638" s="116">
        <v>2139.1</v>
      </c>
      <c r="R638">
        <v>167345</v>
      </c>
    </row>
    <row r="639" spans="1:18" x14ac:dyDescent="0.25">
      <c r="A639" s="170">
        <v>44413</v>
      </c>
      <c r="B639" s="116">
        <v>2040</v>
      </c>
      <c r="C639" s="116">
        <v>1936.65</v>
      </c>
      <c r="D639" s="116">
        <v>1923</v>
      </c>
      <c r="E639" s="116">
        <v>2040</v>
      </c>
      <c r="F639" s="116">
        <v>1936.65</v>
      </c>
      <c r="G639">
        <v>23923</v>
      </c>
      <c r="H639" s="116"/>
      <c r="I639" s="116"/>
      <c r="L639" s="170">
        <v>44410</v>
      </c>
      <c r="M639" s="116">
        <v>2161.4499999999998</v>
      </c>
      <c r="N639" s="116">
        <v>2181.85</v>
      </c>
      <c r="O639" s="116">
        <v>2065</v>
      </c>
      <c r="P639" s="116">
        <v>2156.6</v>
      </c>
      <c r="Q639" s="116">
        <v>2161.4499999999998</v>
      </c>
      <c r="R639">
        <v>800584</v>
      </c>
    </row>
    <row r="640" spans="1:18" x14ac:dyDescent="0.25">
      <c r="A640" s="170">
        <v>44414</v>
      </c>
      <c r="B640" s="116">
        <v>1977.05</v>
      </c>
      <c r="C640" s="116">
        <v>1941.4</v>
      </c>
      <c r="D640" s="116">
        <v>1889.35</v>
      </c>
      <c r="E640" s="116">
        <v>1951.2</v>
      </c>
      <c r="F640" s="116">
        <v>1941.4</v>
      </c>
      <c r="G640">
        <v>14245</v>
      </c>
      <c r="H640" s="116"/>
      <c r="I640" s="116"/>
      <c r="L640" s="170">
        <v>44411</v>
      </c>
      <c r="M640" s="116">
        <v>2124.5500000000002</v>
      </c>
      <c r="N640" s="116">
        <v>2194.6999999999998</v>
      </c>
      <c r="O640" s="116">
        <v>2074.15</v>
      </c>
      <c r="P640" s="116">
        <v>2194.6999999999998</v>
      </c>
      <c r="Q640" s="116">
        <v>2124.5500000000002</v>
      </c>
      <c r="R640">
        <v>337936</v>
      </c>
    </row>
    <row r="641" spans="1:18" x14ac:dyDescent="0.25">
      <c r="A641" s="170">
        <v>44417</v>
      </c>
      <c r="B641" s="116">
        <v>1993</v>
      </c>
      <c r="C641" s="116">
        <v>1927</v>
      </c>
      <c r="D641" s="116">
        <v>1899</v>
      </c>
      <c r="E641" s="116">
        <v>1972</v>
      </c>
      <c r="F641" s="116">
        <v>1927</v>
      </c>
      <c r="G641">
        <v>23335</v>
      </c>
      <c r="H641" s="116"/>
      <c r="I641" s="116"/>
      <c r="L641" s="170">
        <v>44412</v>
      </c>
      <c r="M641" s="116">
        <v>2036.1</v>
      </c>
      <c r="N641" s="116">
        <v>2135</v>
      </c>
      <c r="O641" s="116">
        <v>2020</v>
      </c>
      <c r="P641" s="116">
        <v>2135</v>
      </c>
      <c r="Q641" s="116">
        <v>2036.1</v>
      </c>
      <c r="R641">
        <v>324859</v>
      </c>
    </row>
    <row r="642" spans="1:18" x14ac:dyDescent="0.25">
      <c r="A642" s="170">
        <v>44418</v>
      </c>
      <c r="B642" s="116">
        <v>1951.45</v>
      </c>
      <c r="C642" s="116">
        <v>1923.7</v>
      </c>
      <c r="D642" s="116">
        <v>1895</v>
      </c>
      <c r="E642" s="116">
        <v>1937.45</v>
      </c>
      <c r="F642" s="116">
        <v>1923.7</v>
      </c>
      <c r="G642">
        <v>13959</v>
      </c>
      <c r="H642" s="116"/>
      <c r="I642" s="116"/>
      <c r="L642" s="170">
        <v>44413</v>
      </c>
      <c r="M642" s="116">
        <v>1939.4</v>
      </c>
      <c r="N642" s="116">
        <v>2040.9</v>
      </c>
      <c r="O642" s="116">
        <v>1922.1</v>
      </c>
      <c r="P642" s="116">
        <v>2038</v>
      </c>
      <c r="Q642" s="116">
        <v>1939.4</v>
      </c>
      <c r="R642">
        <v>403689</v>
      </c>
    </row>
    <row r="643" spans="1:18" x14ac:dyDescent="0.25">
      <c r="A643" s="170">
        <v>44419</v>
      </c>
      <c r="B643" s="116">
        <v>1930.45</v>
      </c>
      <c r="C643" s="116">
        <v>1901.75</v>
      </c>
      <c r="D643" s="116">
        <v>1883.7</v>
      </c>
      <c r="E643" s="116">
        <v>1921.75</v>
      </c>
      <c r="F643" s="116">
        <v>1901.75</v>
      </c>
      <c r="G643">
        <v>9997</v>
      </c>
      <c r="H643" s="116"/>
      <c r="I643" s="116"/>
      <c r="L643" s="170">
        <v>44414</v>
      </c>
      <c r="M643" s="116">
        <v>1940.3</v>
      </c>
      <c r="N643" s="116">
        <v>1969.9</v>
      </c>
      <c r="O643" s="116">
        <v>1889.4</v>
      </c>
      <c r="P643" s="116">
        <v>1940</v>
      </c>
      <c r="Q643" s="116">
        <v>1940.3</v>
      </c>
      <c r="R643">
        <v>271277</v>
      </c>
    </row>
    <row r="644" spans="1:18" x14ac:dyDescent="0.25">
      <c r="A644" s="170">
        <v>44420</v>
      </c>
      <c r="B644" s="116">
        <v>1940</v>
      </c>
      <c r="C644" s="116">
        <v>1899</v>
      </c>
      <c r="D644" s="116">
        <v>1871.25</v>
      </c>
      <c r="E644" s="116">
        <v>1915.2</v>
      </c>
      <c r="F644" s="116">
        <v>1899</v>
      </c>
      <c r="G644">
        <v>5059</v>
      </c>
      <c r="H644" s="116"/>
      <c r="I644" s="116"/>
      <c r="L644" s="170">
        <v>44417</v>
      </c>
      <c r="M644" s="116">
        <v>1925.35</v>
      </c>
      <c r="N644" s="116">
        <v>1993.9</v>
      </c>
      <c r="O644" s="116">
        <v>1898</v>
      </c>
      <c r="P644" s="116">
        <v>1959.25</v>
      </c>
      <c r="Q644" s="116">
        <v>1925.35</v>
      </c>
      <c r="R644">
        <v>526998</v>
      </c>
    </row>
    <row r="645" spans="1:18" x14ac:dyDescent="0.25">
      <c r="A645" s="170">
        <v>44421</v>
      </c>
      <c r="B645" s="116">
        <v>1935.05</v>
      </c>
      <c r="C645" s="116">
        <v>1917.15</v>
      </c>
      <c r="D645" s="116">
        <v>1885.2</v>
      </c>
      <c r="E645" s="116">
        <v>1886.3</v>
      </c>
      <c r="F645" s="116">
        <v>1917.15</v>
      </c>
      <c r="G645">
        <v>9702</v>
      </c>
      <c r="H645" s="116"/>
      <c r="I645" s="116"/>
      <c r="L645" s="170">
        <v>44418</v>
      </c>
      <c r="M645" s="116">
        <v>1917.65</v>
      </c>
      <c r="N645" s="116">
        <v>1953.35</v>
      </c>
      <c r="O645" s="116">
        <v>1895</v>
      </c>
      <c r="P645" s="116">
        <v>1925.35</v>
      </c>
      <c r="Q645" s="116">
        <v>1917.65</v>
      </c>
      <c r="R645">
        <v>200049</v>
      </c>
    </row>
    <row r="646" spans="1:18" x14ac:dyDescent="0.25">
      <c r="A646" s="170">
        <v>44424</v>
      </c>
      <c r="B646" s="116">
        <v>1930.15</v>
      </c>
      <c r="C646" s="116">
        <v>1904.4</v>
      </c>
      <c r="D646" s="116">
        <v>1886.45</v>
      </c>
      <c r="E646" s="116">
        <v>1906.1</v>
      </c>
      <c r="F646" s="116">
        <v>1904.4</v>
      </c>
      <c r="G646">
        <v>5371</v>
      </c>
      <c r="H646" s="116"/>
      <c r="I646" s="116"/>
      <c r="L646" s="170">
        <v>44419</v>
      </c>
      <c r="M646" s="116">
        <v>1902.1</v>
      </c>
      <c r="N646" s="116">
        <v>1931.55</v>
      </c>
      <c r="O646" s="116">
        <v>1885.3</v>
      </c>
      <c r="P646" s="116">
        <v>1931.55</v>
      </c>
      <c r="Q646" s="116">
        <v>1902.1</v>
      </c>
      <c r="R646">
        <v>127384</v>
      </c>
    </row>
    <row r="647" spans="1:18" x14ac:dyDescent="0.25">
      <c r="A647" s="170">
        <v>44425</v>
      </c>
      <c r="B647" s="116">
        <v>1902.65</v>
      </c>
      <c r="C647" s="116">
        <v>1867.1</v>
      </c>
      <c r="D647" s="116">
        <v>1837.85</v>
      </c>
      <c r="E647" s="116">
        <v>1899.25</v>
      </c>
      <c r="F647" s="116">
        <v>1867.1</v>
      </c>
      <c r="G647">
        <v>9581</v>
      </c>
      <c r="H647" s="116"/>
      <c r="I647" s="116"/>
      <c r="L647" s="170">
        <v>44420</v>
      </c>
      <c r="M647" s="116">
        <v>1893.1</v>
      </c>
      <c r="N647" s="116">
        <v>1949.95</v>
      </c>
      <c r="O647" s="116">
        <v>1870.1</v>
      </c>
      <c r="P647" s="116">
        <v>1905</v>
      </c>
      <c r="Q647" s="116">
        <v>1893.1</v>
      </c>
      <c r="R647">
        <v>99548</v>
      </c>
    </row>
    <row r="648" spans="1:18" x14ac:dyDescent="0.25">
      <c r="A648" s="170">
        <v>44426</v>
      </c>
      <c r="B648" s="116">
        <v>1909.95</v>
      </c>
      <c r="C648" s="116">
        <v>1904.95</v>
      </c>
      <c r="D648" s="116">
        <v>1870</v>
      </c>
      <c r="E648" s="116">
        <v>1880</v>
      </c>
      <c r="F648" s="116">
        <v>1904.95</v>
      </c>
      <c r="G648">
        <v>9719</v>
      </c>
      <c r="H648" s="116"/>
      <c r="I648" s="116"/>
      <c r="L648" s="170">
        <v>44421</v>
      </c>
      <c r="M648" s="116">
        <v>1918</v>
      </c>
      <c r="N648" s="116">
        <v>1936.55</v>
      </c>
      <c r="O648" s="116">
        <v>1884.35</v>
      </c>
      <c r="P648" s="116">
        <v>1893</v>
      </c>
      <c r="Q648" s="116">
        <v>1918</v>
      </c>
      <c r="R648">
        <v>76760</v>
      </c>
    </row>
    <row r="649" spans="1:18" x14ac:dyDescent="0.25">
      <c r="A649" s="170">
        <v>44428</v>
      </c>
      <c r="B649" s="116">
        <v>1981</v>
      </c>
      <c r="C649" s="116">
        <v>1953.9</v>
      </c>
      <c r="D649" s="116">
        <v>1908</v>
      </c>
      <c r="E649" s="116">
        <v>1916.5</v>
      </c>
      <c r="F649" s="116">
        <v>1953.9</v>
      </c>
      <c r="G649">
        <v>29430</v>
      </c>
      <c r="H649" s="116"/>
      <c r="I649" s="116"/>
      <c r="L649" s="170">
        <v>44424</v>
      </c>
      <c r="M649" s="116">
        <v>1904.9</v>
      </c>
      <c r="N649" s="116">
        <v>1931.45</v>
      </c>
      <c r="O649" s="116">
        <v>1886.25</v>
      </c>
      <c r="P649" s="116">
        <v>1910</v>
      </c>
      <c r="Q649" s="116">
        <v>1904.9</v>
      </c>
      <c r="R649">
        <v>125280</v>
      </c>
    </row>
    <row r="650" spans="1:18" x14ac:dyDescent="0.25">
      <c r="A650" s="170">
        <v>44431</v>
      </c>
      <c r="B650" s="116">
        <v>1993</v>
      </c>
      <c r="C650" s="116">
        <v>1941.8</v>
      </c>
      <c r="D650" s="116">
        <v>1888.05</v>
      </c>
      <c r="E650" s="116">
        <v>1977.6</v>
      </c>
      <c r="F650" s="116">
        <v>1941.8</v>
      </c>
      <c r="G650">
        <v>15047</v>
      </c>
      <c r="H650" s="116"/>
      <c r="I650" s="116"/>
      <c r="L650" s="170">
        <v>44425</v>
      </c>
      <c r="M650" s="116">
        <v>1862.25</v>
      </c>
      <c r="N650" s="116">
        <v>1914.8</v>
      </c>
      <c r="O650" s="116">
        <v>1836.4</v>
      </c>
      <c r="P650" s="116">
        <v>1914.8</v>
      </c>
      <c r="Q650" s="116">
        <v>1862.25</v>
      </c>
      <c r="R650">
        <v>302902</v>
      </c>
    </row>
    <row r="651" spans="1:18" x14ac:dyDescent="0.25">
      <c r="A651" s="170">
        <v>44432</v>
      </c>
      <c r="B651" s="116">
        <v>2037.65</v>
      </c>
      <c r="C651" s="116">
        <v>2016.3</v>
      </c>
      <c r="D651" s="116">
        <v>1942</v>
      </c>
      <c r="E651" s="116">
        <v>1942</v>
      </c>
      <c r="F651" s="116">
        <v>2016.3</v>
      </c>
      <c r="G651">
        <v>12211</v>
      </c>
      <c r="H651" s="116"/>
      <c r="I651" s="116"/>
      <c r="L651" s="170">
        <v>44426</v>
      </c>
      <c r="M651" s="116">
        <v>1902.95</v>
      </c>
      <c r="N651" s="116">
        <v>1910</v>
      </c>
      <c r="O651" s="116">
        <v>1866.9</v>
      </c>
      <c r="P651" s="116">
        <v>1866.9</v>
      </c>
      <c r="Q651" s="116">
        <v>1902.95</v>
      </c>
      <c r="R651">
        <v>532378</v>
      </c>
    </row>
    <row r="652" spans="1:18" x14ac:dyDescent="0.25">
      <c r="A652" s="170">
        <v>44433</v>
      </c>
      <c r="B652" s="116">
        <v>2041.35</v>
      </c>
      <c r="C652" s="116">
        <v>2031.05</v>
      </c>
      <c r="D652" s="116">
        <v>1987.65</v>
      </c>
      <c r="E652" s="116">
        <v>2019.8</v>
      </c>
      <c r="F652" s="116">
        <v>2031.05</v>
      </c>
      <c r="G652">
        <v>8620</v>
      </c>
      <c r="H652" s="116"/>
      <c r="I652" s="116"/>
      <c r="L652" s="170">
        <v>44428</v>
      </c>
      <c r="M652" s="116">
        <v>1953.45</v>
      </c>
      <c r="N652" s="116">
        <v>1984.95</v>
      </c>
      <c r="O652" s="116">
        <v>1902.95</v>
      </c>
      <c r="P652" s="116">
        <v>1902.95</v>
      </c>
      <c r="Q652" s="116">
        <v>1953.45</v>
      </c>
      <c r="R652">
        <v>569703</v>
      </c>
    </row>
    <row r="653" spans="1:18" x14ac:dyDescent="0.25">
      <c r="A653" s="170">
        <v>44434</v>
      </c>
      <c r="B653" s="116">
        <v>2049.6999999999998</v>
      </c>
      <c r="C653" s="116">
        <v>2042.4</v>
      </c>
      <c r="D653" s="116">
        <v>1992.15</v>
      </c>
      <c r="E653" s="116">
        <v>2045.5</v>
      </c>
      <c r="F653" s="116">
        <v>2042.4</v>
      </c>
      <c r="G653">
        <v>6515</v>
      </c>
      <c r="H653" s="116"/>
      <c r="I653" s="116"/>
      <c r="L653" s="170">
        <v>44431</v>
      </c>
      <c r="M653" s="116">
        <v>1947.4</v>
      </c>
      <c r="N653" s="116">
        <v>1996</v>
      </c>
      <c r="O653" s="116">
        <v>1887.65</v>
      </c>
      <c r="P653" s="116">
        <v>1994</v>
      </c>
      <c r="Q653" s="116">
        <v>1947.4</v>
      </c>
      <c r="R653">
        <v>205830</v>
      </c>
    </row>
    <row r="654" spans="1:18" x14ac:dyDescent="0.25">
      <c r="A654" s="170">
        <v>44435</v>
      </c>
      <c r="B654" s="116">
        <v>2200</v>
      </c>
      <c r="C654" s="116">
        <v>2031.4</v>
      </c>
      <c r="D654" s="116">
        <v>2012.9</v>
      </c>
      <c r="E654" s="116">
        <v>2200</v>
      </c>
      <c r="F654" s="116">
        <v>2031.4</v>
      </c>
      <c r="G654">
        <v>4700</v>
      </c>
      <c r="H654" s="116"/>
      <c r="I654" s="116"/>
      <c r="L654" s="170">
        <v>44432</v>
      </c>
      <c r="M654" s="116">
        <v>2013.5</v>
      </c>
      <c r="N654" s="116">
        <v>2036.8</v>
      </c>
      <c r="O654" s="116">
        <v>1950</v>
      </c>
      <c r="P654" s="116">
        <v>1960</v>
      </c>
      <c r="Q654" s="116">
        <v>2013.5</v>
      </c>
      <c r="R654">
        <v>237243</v>
      </c>
    </row>
    <row r="655" spans="1:18" x14ac:dyDescent="0.25">
      <c r="A655" s="170">
        <v>44438</v>
      </c>
      <c r="B655" s="116">
        <v>2189.35</v>
      </c>
      <c r="C655" s="116">
        <v>2178.75</v>
      </c>
      <c r="D655" s="116">
        <v>2038.05</v>
      </c>
      <c r="E655" s="116">
        <v>2038.1</v>
      </c>
      <c r="F655" s="116">
        <v>2178.75</v>
      </c>
      <c r="G655">
        <v>21828</v>
      </c>
      <c r="H655" s="116"/>
      <c r="I655" s="116"/>
      <c r="L655" s="170">
        <v>44433</v>
      </c>
      <c r="M655" s="116">
        <v>2031.8</v>
      </c>
      <c r="N655" s="116">
        <v>2042</v>
      </c>
      <c r="O655" s="116">
        <v>1987.7</v>
      </c>
      <c r="P655" s="116">
        <v>2014</v>
      </c>
      <c r="Q655" s="116">
        <v>2031.8</v>
      </c>
      <c r="R655">
        <v>124463</v>
      </c>
    </row>
    <row r="656" spans="1:18" x14ac:dyDescent="0.25">
      <c r="A656" s="170">
        <v>44439</v>
      </c>
      <c r="B656" s="116">
        <v>2212.9499999999998</v>
      </c>
      <c r="C656" s="116">
        <v>2199.5</v>
      </c>
      <c r="D656" s="116">
        <v>2154.1</v>
      </c>
      <c r="E656" s="116">
        <v>2194.1</v>
      </c>
      <c r="F656" s="116">
        <v>2199.5</v>
      </c>
      <c r="G656">
        <v>9316</v>
      </c>
      <c r="H656" s="116"/>
      <c r="I656" s="116"/>
      <c r="L656" s="170">
        <v>44434</v>
      </c>
      <c r="M656" s="116">
        <v>2042.7</v>
      </c>
      <c r="N656" s="116">
        <v>2051.65</v>
      </c>
      <c r="O656" s="116">
        <v>1992.75</v>
      </c>
      <c r="P656" s="116">
        <v>2046.35</v>
      </c>
      <c r="Q656" s="116">
        <v>2042.7</v>
      </c>
      <c r="R656">
        <v>370422</v>
      </c>
    </row>
    <row r="657" spans="1:18" x14ac:dyDescent="0.25">
      <c r="A657" s="170">
        <v>44440</v>
      </c>
      <c r="B657" s="116">
        <v>2269.5500000000002</v>
      </c>
      <c r="C657" s="116">
        <v>2140.6</v>
      </c>
      <c r="D657" s="116">
        <v>2128.3000000000002</v>
      </c>
      <c r="E657" s="116">
        <v>2227</v>
      </c>
      <c r="F657" s="116">
        <v>2140.6</v>
      </c>
      <c r="G657">
        <v>150948</v>
      </c>
      <c r="H657" s="116"/>
      <c r="I657" s="116"/>
      <c r="L657" s="170">
        <v>44435</v>
      </c>
      <c r="M657" s="116">
        <v>2032.05</v>
      </c>
      <c r="N657" s="116">
        <v>2062</v>
      </c>
      <c r="O657" s="116">
        <v>2013</v>
      </c>
      <c r="P657" s="116">
        <v>2050</v>
      </c>
      <c r="Q657" s="116">
        <v>2032.05</v>
      </c>
      <c r="R657">
        <v>88081</v>
      </c>
    </row>
    <row r="658" spans="1:18" x14ac:dyDescent="0.25">
      <c r="A658" s="170">
        <v>44441</v>
      </c>
      <c r="B658" s="116">
        <v>2214.8000000000002</v>
      </c>
      <c r="C658" s="116">
        <v>2190.4499999999998</v>
      </c>
      <c r="D658" s="116">
        <v>2157.25</v>
      </c>
      <c r="E658" s="116">
        <v>2157.25</v>
      </c>
      <c r="F658" s="116">
        <v>2190.4499999999998</v>
      </c>
      <c r="G658">
        <v>11086</v>
      </c>
      <c r="H658" s="116"/>
      <c r="I658" s="116"/>
      <c r="L658" s="170">
        <v>44438</v>
      </c>
      <c r="M658" s="116">
        <v>2179.5</v>
      </c>
      <c r="N658" s="116">
        <v>2192.9</v>
      </c>
      <c r="O658" s="116">
        <v>2040</v>
      </c>
      <c r="P658" s="116">
        <v>2050</v>
      </c>
      <c r="Q658" s="116">
        <v>2179.5</v>
      </c>
      <c r="R658">
        <v>403794</v>
      </c>
    </row>
    <row r="659" spans="1:18" x14ac:dyDescent="0.25">
      <c r="A659" s="170">
        <v>44442</v>
      </c>
      <c r="B659" s="116">
        <v>2257.5500000000002</v>
      </c>
      <c r="C659" s="116">
        <v>2230.4</v>
      </c>
      <c r="D659" s="116">
        <v>2218.4499999999998</v>
      </c>
      <c r="E659" s="116">
        <v>2218.4499999999998</v>
      </c>
      <c r="F659" s="116">
        <v>2230.4</v>
      </c>
      <c r="G659">
        <v>7360</v>
      </c>
      <c r="H659" s="116"/>
      <c r="I659" s="116"/>
      <c r="L659" s="170">
        <v>44439</v>
      </c>
      <c r="M659" s="116">
        <v>2199.8000000000002</v>
      </c>
      <c r="N659" s="116">
        <v>2214.4</v>
      </c>
      <c r="O659" s="116">
        <v>2151.85</v>
      </c>
      <c r="P659" s="116">
        <v>2193</v>
      </c>
      <c r="Q659" s="116">
        <v>2199.8000000000002</v>
      </c>
      <c r="R659">
        <v>244376</v>
      </c>
    </row>
    <row r="660" spans="1:18" x14ac:dyDescent="0.25">
      <c r="A660" s="170">
        <v>44445</v>
      </c>
      <c r="B660" s="116">
        <v>2301.4499999999998</v>
      </c>
      <c r="C660" s="116">
        <v>2273.6999999999998</v>
      </c>
      <c r="D660" s="116">
        <v>2231.0500000000002</v>
      </c>
      <c r="E660" s="116">
        <v>2237.0500000000002</v>
      </c>
      <c r="F660" s="116">
        <v>2273.6999999999998</v>
      </c>
      <c r="G660">
        <v>16356</v>
      </c>
      <c r="H660" s="116"/>
      <c r="I660" s="116"/>
      <c r="L660" s="170">
        <v>44440</v>
      </c>
      <c r="M660" s="116">
        <v>2141.4499999999998</v>
      </c>
      <c r="N660" s="116">
        <v>2270</v>
      </c>
      <c r="O660" s="116">
        <v>2128</v>
      </c>
      <c r="P660" s="116">
        <v>2235</v>
      </c>
      <c r="Q660" s="116">
        <v>2141.4499999999998</v>
      </c>
      <c r="R660">
        <v>389487</v>
      </c>
    </row>
    <row r="661" spans="1:18" x14ac:dyDescent="0.25">
      <c r="A661" s="170">
        <v>44446</v>
      </c>
      <c r="B661" s="116">
        <v>2315</v>
      </c>
      <c r="C661" s="116">
        <v>2293.75</v>
      </c>
      <c r="D661" s="116">
        <v>2272.1999999999998</v>
      </c>
      <c r="E661" s="116">
        <v>2275.15</v>
      </c>
      <c r="F661" s="116">
        <v>2293.75</v>
      </c>
      <c r="G661">
        <v>6766</v>
      </c>
      <c r="H661" s="116"/>
      <c r="I661" s="116"/>
      <c r="L661" s="170">
        <v>44441</v>
      </c>
      <c r="M661" s="116">
        <v>2194.85</v>
      </c>
      <c r="N661" s="116">
        <v>2214</v>
      </c>
      <c r="O661" s="116">
        <v>2157.6999999999998</v>
      </c>
      <c r="P661" s="116">
        <v>2157.8000000000002</v>
      </c>
      <c r="Q661" s="116">
        <v>2194.85</v>
      </c>
      <c r="R661">
        <v>289107</v>
      </c>
    </row>
    <row r="662" spans="1:18" x14ac:dyDescent="0.25">
      <c r="A662" s="170">
        <v>44447</v>
      </c>
      <c r="B662" s="116">
        <v>2331</v>
      </c>
      <c r="C662" s="116">
        <v>2296.5500000000002</v>
      </c>
      <c r="D662" s="116">
        <v>2286</v>
      </c>
      <c r="E662" s="116">
        <v>2300.3000000000002</v>
      </c>
      <c r="F662" s="116">
        <v>2296.5500000000002</v>
      </c>
      <c r="G662">
        <v>7491</v>
      </c>
      <c r="H662" s="116"/>
      <c r="I662" s="116"/>
      <c r="L662" s="170">
        <v>44442</v>
      </c>
      <c r="M662" s="116">
        <v>2229.4</v>
      </c>
      <c r="N662" s="116">
        <v>2258.9499999999998</v>
      </c>
      <c r="O662" s="116">
        <v>2200.3000000000002</v>
      </c>
      <c r="P662" s="116">
        <v>2220</v>
      </c>
      <c r="Q662" s="116">
        <v>2229.4</v>
      </c>
      <c r="R662">
        <v>287991</v>
      </c>
    </row>
    <row r="663" spans="1:18" x14ac:dyDescent="0.25">
      <c r="A663" s="170">
        <v>44448</v>
      </c>
      <c r="B663" s="116">
        <v>2351</v>
      </c>
      <c r="C663" s="116">
        <v>2332.15</v>
      </c>
      <c r="D663" s="116">
        <v>2296.5500000000002</v>
      </c>
      <c r="E663" s="116">
        <v>2296.5500000000002</v>
      </c>
      <c r="F663" s="116">
        <v>2332.15</v>
      </c>
      <c r="G663">
        <v>8641</v>
      </c>
      <c r="H663" s="116"/>
      <c r="I663" s="116"/>
      <c r="L663" s="170">
        <v>44445</v>
      </c>
      <c r="M663" s="116">
        <v>2276.75</v>
      </c>
      <c r="N663" s="116">
        <v>2304.9</v>
      </c>
      <c r="O663" s="116">
        <v>2239</v>
      </c>
      <c r="P663" s="116">
        <v>2249.6999999999998</v>
      </c>
      <c r="Q663" s="116">
        <v>2276.75</v>
      </c>
      <c r="R663">
        <v>184159</v>
      </c>
    </row>
    <row r="664" spans="1:18" x14ac:dyDescent="0.25">
      <c r="A664" s="170">
        <v>44452</v>
      </c>
      <c r="B664" s="116">
        <v>2442.5500000000002</v>
      </c>
      <c r="C664" s="116">
        <v>2408.9499999999998</v>
      </c>
      <c r="D664" s="116">
        <v>2335</v>
      </c>
      <c r="E664" s="116">
        <v>2335</v>
      </c>
      <c r="F664" s="116">
        <v>2408.9499999999998</v>
      </c>
      <c r="G664">
        <v>17454</v>
      </c>
      <c r="H664" s="116"/>
      <c r="I664" s="116"/>
      <c r="L664" s="170">
        <v>44446</v>
      </c>
      <c r="M664" s="116">
        <v>2294.6999999999998</v>
      </c>
      <c r="N664" s="116">
        <v>2315.0500000000002</v>
      </c>
      <c r="O664" s="116">
        <v>2274.75</v>
      </c>
      <c r="P664" s="116">
        <v>2289.8000000000002</v>
      </c>
      <c r="Q664" s="116">
        <v>2294.6999999999998</v>
      </c>
      <c r="R664">
        <v>174360</v>
      </c>
    </row>
    <row r="665" spans="1:18" x14ac:dyDescent="0.25">
      <c r="A665" s="170">
        <v>44453</v>
      </c>
      <c r="B665" s="116">
        <v>2547.1999999999998</v>
      </c>
      <c r="C665" s="116">
        <v>2458.3000000000002</v>
      </c>
      <c r="D665" s="116">
        <v>2402.1</v>
      </c>
      <c r="E665" s="116">
        <v>2402.1</v>
      </c>
      <c r="F665" s="116">
        <v>2458.3000000000002</v>
      </c>
      <c r="G665">
        <v>22400</v>
      </c>
      <c r="H665" s="116"/>
      <c r="I665" s="116"/>
      <c r="L665" s="170">
        <v>44447</v>
      </c>
      <c r="M665" s="116">
        <v>2297</v>
      </c>
      <c r="N665" s="116">
        <v>2333</v>
      </c>
      <c r="O665" s="116">
        <v>2284.6999999999998</v>
      </c>
      <c r="P665" s="116">
        <v>2311.8000000000002</v>
      </c>
      <c r="Q665" s="116">
        <v>2297</v>
      </c>
      <c r="R665">
        <v>227041</v>
      </c>
    </row>
    <row r="666" spans="1:18" x14ac:dyDescent="0.25">
      <c r="A666" s="170">
        <v>44454</v>
      </c>
      <c r="B666" s="116">
        <v>2464.5500000000002</v>
      </c>
      <c r="C666" s="116">
        <v>2446.4</v>
      </c>
      <c r="D666" s="116">
        <v>2428.6999999999998</v>
      </c>
      <c r="E666" s="116">
        <v>2460</v>
      </c>
      <c r="F666" s="116">
        <v>2446.4</v>
      </c>
      <c r="G666">
        <v>10876</v>
      </c>
      <c r="H666" s="116"/>
      <c r="I666" s="116"/>
      <c r="L666" s="170">
        <v>44448</v>
      </c>
      <c r="M666" s="116">
        <v>2332.6999999999998</v>
      </c>
      <c r="N666" s="116">
        <v>2353.8000000000002</v>
      </c>
      <c r="O666" s="116">
        <v>2305</v>
      </c>
      <c r="P666" s="116">
        <v>2307.35</v>
      </c>
      <c r="Q666" s="116">
        <v>2332.6999999999998</v>
      </c>
      <c r="R666">
        <v>226864</v>
      </c>
    </row>
    <row r="667" spans="1:18" x14ac:dyDescent="0.25">
      <c r="A667" s="170">
        <v>44455</v>
      </c>
      <c r="B667" s="116">
        <v>2475</v>
      </c>
      <c r="C667" s="116">
        <v>2395.6</v>
      </c>
      <c r="D667" s="116">
        <v>2366</v>
      </c>
      <c r="E667" s="116">
        <v>2465.85</v>
      </c>
      <c r="F667" s="116">
        <v>2395.6</v>
      </c>
      <c r="G667">
        <v>14690</v>
      </c>
      <c r="H667" s="116"/>
      <c r="I667" s="116"/>
      <c r="L667" s="170">
        <v>44452</v>
      </c>
      <c r="M667" s="116">
        <v>2409.4</v>
      </c>
      <c r="N667" s="116">
        <v>2444.6</v>
      </c>
      <c r="O667" s="116">
        <v>2347.1</v>
      </c>
      <c r="P667" s="116">
        <v>2347.25</v>
      </c>
      <c r="Q667" s="116">
        <v>2409.4</v>
      </c>
      <c r="R667">
        <v>466844</v>
      </c>
    </row>
    <row r="668" spans="1:18" x14ac:dyDescent="0.25">
      <c r="A668" s="170">
        <v>44456</v>
      </c>
      <c r="B668" s="116">
        <v>2416.35</v>
      </c>
      <c r="C668" s="116">
        <v>2278.4499999999998</v>
      </c>
      <c r="D668" s="116">
        <v>2190</v>
      </c>
      <c r="E668" s="116">
        <v>2402.9</v>
      </c>
      <c r="F668" s="116">
        <v>2278.4499999999998</v>
      </c>
      <c r="G668">
        <v>22212</v>
      </c>
      <c r="H668" s="116"/>
      <c r="I668" s="116"/>
      <c r="L668" s="170">
        <v>44453</v>
      </c>
      <c r="M668" s="116">
        <v>2447.85</v>
      </c>
      <c r="N668" s="116">
        <v>2548.4</v>
      </c>
      <c r="O668" s="116">
        <v>2415.15</v>
      </c>
      <c r="P668" s="116">
        <v>2425</v>
      </c>
      <c r="Q668" s="116">
        <v>2447.85</v>
      </c>
      <c r="R668">
        <v>569927</v>
      </c>
    </row>
    <row r="669" spans="1:18" x14ac:dyDescent="0.25">
      <c r="A669" s="170">
        <v>44459</v>
      </c>
      <c r="B669" s="116">
        <v>2259</v>
      </c>
      <c r="C669" s="116">
        <v>2221.35</v>
      </c>
      <c r="D669" s="116">
        <v>2175.75</v>
      </c>
      <c r="E669" s="116">
        <v>2234.5</v>
      </c>
      <c r="F669" s="116">
        <v>2221.35</v>
      </c>
      <c r="G669">
        <v>24141</v>
      </c>
      <c r="H669" s="116"/>
      <c r="I669" s="116"/>
      <c r="L669" s="170">
        <v>44454</v>
      </c>
      <c r="M669" s="116">
        <v>2455.9499999999998</v>
      </c>
      <c r="N669" s="116">
        <v>2465</v>
      </c>
      <c r="O669" s="116">
        <v>2427.8000000000002</v>
      </c>
      <c r="P669" s="116">
        <v>2458.4</v>
      </c>
      <c r="Q669" s="116">
        <v>2455.9499999999998</v>
      </c>
      <c r="R669">
        <v>221490</v>
      </c>
    </row>
    <row r="670" spans="1:18" x14ac:dyDescent="0.25">
      <c r="A670" s="170">
        <v>44460</v>
      </c>
      <c r="B670" s="116">
        <v>2253.1</v>
      </c>
      <c r="C670" s="116">
        <v>2155.9499999999998</v>
      </c>
      <c r="D670" s="116">
        <v>2125.0500000000002</v>
      </c>
      <c r="E670" s="116">
        <v>2249.8000000000002</v>
      </c>
      <c r="F670" s="116">
        <v>2155.9499999999998</v>
      </c>
      <c r="G670">
        <v>13114</v>
      </c>
      <c r="H670" s="116"/>
      <c r="I670" s="116"/>
      <c r="L670" s="170">
        <v>44455</v>
      </c>
      <c r="M670" s="116">
        <v>2388.6999999999998</v>
      </c>
      <c r="N670" s="116">
        <v>2480.9</v>
      </c>
      <c r="O670" s="116">
        <v>2363</v>
      </c>
      <c r="P670" s="116">
        <v>2460</v>
      </c>
      <c r="Q670" s="116">
        <v>2388.6999999999998</v>
      </c>
      <c r="R670">
        <v>344026</v>
      </c>
    </row>
    <row r="671" spans="1:18" x14ac:dyDescent="0.25">
      <c r="A671" s="170">
        <v>44461</v>
      </c>
      <c r="B671" s="116">
        <v>2197.4</v>
      </c>
      <c r="C671" s="116">
        <v>2134.4499999999998</v>
      </c>
      <c r="D671" s="116">
        <v>2103</v>
      </c>
      <c r="E671" s="116">
        <v>2197.4</v>
      </c>
      <c r="F671" s="116">
        <v>2134.4499999999998</v>
      </c>
      <c r="G671">
        <v>12133</v>
      </c>
      <c r="H671" s="116"/>
      <c r="I671" s="116"/>
      <c r="L671" s="170">
        <v>44456</v>
      </c>
      <c r="M671" s="116">
        <v>2298.1</v>
      </c>
      <c r="N671" s="116">
        <v>2418.4</v>
      </c>
      <c r="O671" s="116">
        <v>2190</v>
      </c>
      <c r="P671" s="116">
        <v>2408.6999999999998</v>
      </c>
      <c r="Q671" s="116">
        <v>2298.1</v>
      </c>
      <c r="R671">
        <v>1076054</v>
      </c>
    </row>
    <row r="672" spans="1:18" x14ac:dyDescent="0.25">
      <c r="A672" s="170">
        <v>44462</v>
      </c>
      <c r="B672" s="116">
        <v>2184.75</v>
      </c>
      <c r="C672" s="116">
        <v>2126.1999999999998</v>
      </c>
      <c r="D672" s="116">
        <v>2113</v>
      </c>
      <c r="E672" s="116">
        <v>2113</v>
      </c>
      <c r="F672" s="116">
        <v>2126.1999999999998</v>
      </c>
      <c r="G672">
        <v>85026</v>
      </c>
      <c r="H672" s="116"/>
      <c r="I672" s="116"/>
      <c r="L672" s="170">
        <v>44459</v>
      </c>
      <c r="M672" s="116">
        <v>2221.5</v>
      </c>
      <c r="N672" s="116">
        <v>2259</v>
      </c>
      <c r="O672" s="116">
        <v>2173.35</v>
      </c>
      <c r="P672" s="116">
        <v>2228</v>
      </c>
      <c r="Q672" s="116">
        <v>2221.5</v>
      </c>
      <c r="R672">
        <v>222126</v>
      </c>
    </row>
    <row r="673" spans="1:18" x14ac:dyDescent="0.25">
      <c r="A673" s="170">
        <v>44463</v>
      </c>
      <c r="B673" s="116">
        <v>2140.6999999999998</v>
      </c>
      <c r="C673" s="116">
        <v>2089.3000000000002</v>
      </c>
      <c r="D673" s="116">
        <v>2071.25</v>
      </c>
      <c r="E673" s="116">
        <v>2100</v>
      </c>
      <c r="F673" s="116">
        <v>2089.3000000000002</v>
      </c>
      <c r="G673">
        <v>12129</v>
      </c>
      <c r="H673" s="116"/>
      <c r="I673" s="116"/>
      <c r="L673" s="170">
        <v>44460</v>
      </c>
      <c r="M673" s="116">
        <v>2157.0500000000002</v>
      </c>
      <c r="N673" s="116">
        <v>2254.8000000000002</v>
      </c>
      <c r="O673" s="116">
        <v>2124</v>
      </c>
      <c r="P673" s="116">
        <v>2223</v>
      </c>
      <c r="Q673" s="116">
        <v>2157.0500000000002</v>
      </c>
      <c r="R673">
        <v>235885</v>
      </c>
    </row>
    <row r="674" spans="1:18" x14ac:dyDescent="0.25">
      <c r="A674" s="170">
        <v>44466</v>
      </c>
      <c r="B674" s="116">
        <v>2120.5</v>
      </c>
      <c r="C674" s="116">
        <v>2048.8000000000002</v>
      </c>
      <c r="D674" s="116">
        <v>2030.1</v>
      </c>
      <c r="E674" s="116">
        <v>2111.85</v>
      </c>
      <c r="F674" s="116">
        <v>2048.8000000000002</v>
      </c>
      <c r="G674">
        <v>11178</v>
      </c>
      <c r="H674" s="116"/>
      <c r="I674" s="116"/>
      <c r="L674" s="170">
        <v>44461</v>
      </c>
      <c r="M674" s="116">
        <v>2127.3000000000002</v>
      </c>
      <c r="N674" s="116">
        <v>2221.5</v>
      </c>
      <c r="O674" s="116">
        <v>2101.5</v>
      </c>
      <c r="P674" s="116">
        <v>2161</v>
      </c>
      <c r="Q674" s="116">
        <v>2127.3000000000002</v>
      </c>
      <c r="R674">
        <v>237107</v>
      </c>
    </row>
    <row r="675" spans="1:18" x14ac:dyDescent="0.25">
      <c r="A675" s="170">
        <v>44467</v>
      </c>
      <c r="B675" s="116">
        <v>2086.6</v>
      </c>
      <c r="C675" s="116">
        <v>2033.45</v>
      </c>
      <c r="D675" s="116">
        <v>2010</v>
      </c>
      <c r="E675" s="116">
        <v>2062.4499999999998</v>
      </c>
      <c r="F675" s="116">
        <v>2033.45</v>
      </c>
      <c r="G675">
        <v>9412</v>
      </c>
      <c r="H675" s="116"/>
      <c r="I675" s="116"/>
      <c r="L675" s="170">
        <v>44462</v>
      </c>
      <c r="M675" s="116">
        <v>2127.15</v>
      </c>
      <c r="N675" s="116">
        <v>2184</v>
      </c>
      <c r="O675" s="116">
        <v>2116.1</v>
      </c>
      <c r="P675" s="116">
        <v>2128.9</v>
      </c>
      <c r="Q675" s="116">
        <v>2127.15</v>
      </c>
      <c r="R675">
        <v>281988</v>
      </c>
    </row>
    <row r="676" spans="1:18" x14ac:dyDescent="0.25">
      <c r="A676" s="170">
        <v>44468</v>
      </c>
      <c r="B676" s="116">
        <v>2162.4499999999998</v>
      </c>
      <c r="C676" s="116">
        <v>2075.6999999999998</v>
      </c>
      <c r="D676" s="116">
        <v>1995</v>
      </c>
      <c r="E676" s="116">
        <v>2014.9</v>
      </c>
      <c r="F676" s="116">
        <v>2075.6999999999998</v>
      </c>
      <c r="G676">
        <v>12553</v>
      </c>
      <c r="H676" s="116"/>
      <c r="I676" s="116"/>
      <c r="L676" s="170">
        <v>44463</v>
      </c>
      <c r="M676" s="116">
        <v>2089.5500000000002</v>
      </c>
      <c r="N676" s="116">
        <v>2142.9</v>
      </c>
      <c r="O676" s="116">
        <v>2070</v>
      </c>
      <c r="P676" s="116">
        <v>2140</v>
      </c>
      <c r="Q676" s="116">
        <v>2089.5500000000002</v>
      </c>
      <c r="R676">
        <v>219321</v>
      </c>
    </row>
    <row r="677" spans="1:18" x14ac:dyDescent="0.25">
      <c r="A677" s="170">
        <v>44469</v>
      </c>
      <c r="B677" s="116">
        <v>2119.4499999999998</v>
      </c>
      <c r="C677" s="116">
        <v>2107.9</v>
      </c>
      <c r="D677" s="116">
        <v>2048.75</v>
      </c>
      <c r="E677" s="116">
        <v>2087.4</v>
      </c>
      <c r="F677" s="116">
        <v>2107.9</v>
      </c>
      <c r="G677">
        <v>16603</v>
      </c>
      <c r="H677" s="116"/>
      <c r="I677" s="116"/>
      <c r="L677" s="170">
        <v>44466</v>
      </c>
      <c r="M677" s="116">
        <v>2048.9499999999998</v>
      </c>
      <c r="N677" s="116">
        <v>2127.9499999999998</v>
      </c>
      <c r="O677" s="116">
        <v>2030.1</v>
      </c>
      <c r="P677" s="116">
        <v>2108</v>
      </c>
      <c r="Q677" s="116">
        <v>2048.9499999999998</v>
      </c>
      <c r="R677">
        <v>305803</v>
      </c>
    </row>
    <row r="678" spans="1:18" x14ac:dyDescent="0.25">
      <c r="A678" s="170">
        <v>44470</v>
      </c>
      <c r="B678" s="116">
        <v>2164.75</v>
      </c>
      <c r="C678" s="116">
        <v>2116.15</v>
      </c>
      <c r="D678" s="116">
        <v>2098.35</v>
      </c>
      <c r="E678" s="116">
        <v>2101.5</v>
      </c>
      <c r="F678" s="116">
        <v>2116.15</v>
      </c>
      <c r="G678">
        <v>19580</v>
      </c>
      <c r="H678" s="116"/>
      <c r="I678" s="116"/>
      <c r="L678" s="170">
        <v>44467</v>
      </c>
      <c r="M678" s="116">
        <v>2032.2</v>
      </c>
      <c r="N678" s="116">
        <v>2088</v>
      </c>
      <c r="O678" s="116">
        <v>2005.25</v>
      </c>
      <c r="P678" s="116">
        <v>2058</v>
      </c>
      <c r="Q678" s="116">
        <v>2032.2</v>
      </c>
      <c r="R678">
        <v>265816</v>
      </c>
    </row>
    <row r="679" spans="1:18" x14ac:dyDescent="0.25">
      <c r="A679" s="170">
        <v>44473</v>
      </c>
      <c r="B679" s="116">
        <v>2150</v>
      </c>
      <c r="C679" s="116">
        <v>2127.1</v>
      </c>
      <c r="D679" s="116">
        <v>2100</v>
      </c>
      <c r="E679" s="116">
        <v>2124.8000000000002</v>
      </c>
      <c r="F679" s="116">
        <v>2127.1</v>
      </c>
      <c r="G679">
        <v>13039</v>
      </c>
      <c r="H679" s="116"/>
      <c r="I679" s="116"/>
      <c r="L679" s="170">
        <v>44468</v>
      </c>
      <c r="M679" s="116">
        <v>2052.4499999999998</v>
      </c>
      <c r="N679" s="116">
        <v>2160</v>
      </c>
      <c r="O679" s="116">
        <v>1995.25</v>
      </c>
      <c r="P679" s="116">
        <v>2017.7</v>
      </c>
      <c r="Q679" s="116">
        <v>2052.4499999999998</v>
      </c>
      <c r="R679">
        <v>240923</v>
      </c>
    </row>
    <row r="680" spans="1:18" x14ac:dyDescent="0.25">
      <c r="A680" s="170">
        <v>44474</v>
      </c>
      <c r="B680" s="116">
        <v>2126.75</v>
      </c>
      <c r="C680" s="116">
        <v>2074.5500000000002</v>
      </c>
      <c r="D680" s="116">
        <v>2065.6</v>
      </c>
      <c r="E680" s="116">
        <v>2112.75</v>
      </c>
      <c r="F680" s="116">
        <v>2074.5500000000002</v>
      </c>
      <c r="G680">
        <v>9985</v>
      </c>
      <c r="H680" s="116"/>
      <c r="I680" s="116"/>
      <c r="L680" s="170">
        <v>44469</v>
      </c>
      <c r="M680" s="116">
        <v>2105.75</v>
      </c>
      <c r="N680" s="116">
        <v>2120</v>
      </c>
      <c r="O680" s="116">
        <v>2048</v>
      </c>
      <c r="P680" s="116">
        <v>2085</v>
      </c>
      <c r="Q680" s="116">
        <v>2105.75</v>
      </c>
      <c r="R680">
        <v>252126</v>
      </c>
    </row>
    <row r="681" spans="1:18" x14ac:dyDescent="0.25">
      <c r="A681" s="170">
        <v>44475</v>
      </c>
      <c r="B681" s="116">
        <v>2144.25</v>
      </c>
      <c r="C681" s="116">
        <v>2105.25</v>
      </c>
      <c r="D681" s="116">
        <v>2052.3000000000002</v>
      </c>
      <c r="E681" s="116">
        <v>2070.65</v>
      </c>
      <c r="F681" s="116">
        <v>2105.25</v>
      </c>
      <c r="G681">
        <v>20201</v>
      </c>
      <c r="H681" s="116"/>
      <c r="I681" s="116"/>
      <c r="L681" s="170">
        <v>44470</v>
      </c>
      <c r="M681" s="116">
        <v>2115.5</v>
      </c>
      <c r="N681" s="116">
        <v>2167</v>
      </c>
      <c r="O681" s="116">
        <v>2095.0500000000002</v>
      </c>
      <c r="P681" s="116">
        <v>2099</v>
      </c>
      <c r="Q681" s="116">
        <v>2115.5</v>
      </c>
      <c r="R681">
        <v>357422</v>
      </c>
    </row>
    <row r="682" spans="1:18" x14ac:dyDescent="0.25">
      <c r="A682" s="170">
        <v>44476</v>
      </c>
      <c r="B682" s="116">
        <v>2155.25</v>
      </c>
      <c r="C682" s="116">
        <v>2092.15</v>
      </c>
      <c r="D682" s="116">
        <v>2065.8000000000002</v>
      </c>
      <c r="E682" s="116">
        <v>2118.8000000000002</v>
      </c>
      <c r="F682" s="116">
        <v>2092.15</v>
      </c>
      <c r="G682">
        <v>12398</v>
      </c>
      <c r="H682" s="116"/>
      <c r="I682" s="116"/>
      <c r="L682" s="170">
        <v>44473</v>
      </c>
      <c r="M682" s="116">
        <v>2128.4499999999998</v>
      </c>
      <c r="N682" s="116">
        <v>2150</v>
      </c>
      <c r="O682" s="116">
        <v>2120</v>
      </c>
      <c r="P682" s="116">
        <v>2134.6999999999998</v>
      </c>
      <c r="Q682" s="116">
        <v>2128.4499999999998</v>
      </c>
      <c r="R682">
        <v>273486</v>
      </c>
    </row>
    <row r="683" spans="1:18" x14ac:dyDescent="0.25">
      <c r="A683" s="170">
        <v>44477</v>
      </c>
      <c r="B683" s="116">
        <v>2125.6999999999998</v>
      </c>
      <c r="C683" s="116">
        <v>2097.6999999999998</v>
      </c>
      <c r="D683" s="116">
        <v>2067.25</v>
      </c>
      <c r="E683" s="116">
        <v>2092</v>
      </c>
      <c r="F683" s="116">
        <v>2097.6999999999998</v>
      </c>
      <c r="G683">
        <v>11176</v>
      </c>
      <c r="H683" s="116"/>
      <c r="I683" s="116"/>
      <c r="L683" s="170">
        <v>44474</v>
      </c>
      <c r="M683" s="116">
        <v>2073.8000000000002</v>
      </c>
      <c r="N683" s="116">
        <v>2126.75</v>
      </c>
      <c r="O683" s="116">
        <v>2065</v>
      </c>
      <c r="P683" s="116">
        <v>2110</v>
      </c>
      <c r="Q683" s="116">
        <v>2073.8000000000002</v>
      </c>
      <c r="R683">
        <v>263821</v>
      </c>
    </row>
    <row r="684" spans="1:18" x14ac:dyDescent="0.25">
      <c r="A684" s="170">
        <v>44480</v>
      </c>
      <c r="B684" s="116">
        <v>2110</v>
      </c>
      <c r="C684" s="116">
        <v>2075.85</v>
      </c>
      <c r="D684" s="116">
        <v>2068.6999999999998</v>
      </c>
      <c r="E684" s="116">
        <v>2110</v>
      </c>
      <c r="F684" s="116">
        <v>2075.85</v>
      </c>
      <c r="G684">
        <v>6510</v>
      </c>
      <c r="H684" s="116"/>
      <c r="I684" s="116"/>
      <c r="L684" s="170">
        <v>44475</v>
      </c>
      <c r="M684" s="116">
        <v>2103.75</v>
      </c>
      <c r="N684" s="116">
        <v>2145</v>
      </c>
      <c r="O684" s="116">
        <v>2050.6</v>
      </c>
      <c r="P684" s="116">
        <v>2055.5</v>
      </c>
      <c r="Q684" s="116">
        <v>2103.75</v>
      </c>
      <c r="R684">
        <v>631327</v>
      </c>
    </row>
    <row r="685" spans="1:18" x14ac:dyDescent="0.25">
      <c r="A685" s="170">
        <v>44481</v>
      </c>
      <c r="B685" s="116">
        <v>2120</v>
      </c>
      <c r="C685" s="116">
        <v>2068.85</v>
      </c>
      <c r="D685" s="116">
        <v>2032.15</v>
      </c>
      <c r="E685" s="116">
        <v>2087.4</v>
      </c>
      <c r="F685" s="116">
        <v>2068.85</v>
      </c>
      <c r="G685">
        <v>20234</v>
      </c>
      <c r="H685" s="116"/>
      <c r="I685" s="116"/>
      <c r="L685" s="170">
        <v>44476</v>
      </c>
      <c r="M685" s="116">
        <v>2093</v>
      </c>
      <c r="N685" s="116">
        <v>2124.65</v>
      </c>
      <c r="O685" s="116">
        <v>2065.8000000000002</v>
      </c>
      <c r="P685" s="116">
        <v>2118</v>
      </c>
      <c r="Q685" s="116">
        <v>2093</v>
      </c>
      <c r="R685">
        <v>247925</v>
      </c>
    </row>
    <row r="686" spans="1:18" x14ac:dyDescent="0.25">
      <c r="A686" s="170">
        <v>44482</v>
      </c>
      <c r="B686" s="116">
        <v>2095</v>
      </c>
      <c r="C686" s="116">
        <v>2071.15</v>
      </c>
      <c r="D686" s="116">
        <v>2057.9</v>
      </c>
      <c r="E686" s="116">
        <v>2072.1</v>
      </c>
      <c r="F686" s="116">
        <v>2071.15</v>
      </c>
      <c r="G686">
        <v>19991</v>
      </c>
      <c r="H686" s="116"/>
      <c r="I686" s="116"/>
      <c r="L686" s="170">
        <v>44477</v>
      </c>
      <c r="M686" s="116">
        <v>2099.9499999999998</v>
      </c>
      <c r="N686" s="116">
        <v>2131.8000000000002</v>
      </c>
      <c r="O686" s="116">
        <v>2065</v>
      </c>
      <c r="P686" s="116">
        <v>2095</v>
      </c>
      <c r="Q686" s="116">
        <v>2099.9499999999998</v>
      </c>
      <c r="R686">
        <v>358447</v>
      </c>
    </row>
    <row r="687" spans="1:18" x14ac:dyDescent="0.25">
      <c r="A687" s="170">
        <v>44483</v>
      </c>
      <c r="B687" s="116">
        <v>2100</v>
      </c>
      <c r="C687" s="116">
        <v>2062</v>
      </c>
      <c r="D687" s="116">
        <v>2050</v>
      </c>
      <c r="E687" s="116">
        <v>2085.5</v>
      </c>
      <c r="F687" s="116">
        <v>2062</v>
      </c>
      <c r="G687">
        <v>9680</v>
      </c>
      <c r="H687" s="116"/>
      <c r="I687" s="116"/>
      <c r="L687" s="170">
        <v>44480</v>
      </c>
      <c r="M687" s="116">
        <v>2077.85</v>
      </c>
      <c r="N687" s="116">
        <v>2118</v>
      </c>
      <c r="O687" s="116">
        <v>2067</v>
      </c>
      <c r="P687" s="116">
        <v>2100.1</v>
      </c>
      <c r="Q687" s="116">
        <v>2077.85</v>
      </c>
      <c r="R687">
        <v>348861</v>
      </c>
    </row>
    <row r="688" spans="1:18" x14ac:dyDescent="0.25">
      <c r="A688" s="170">
        <v>44487</v>
      </c>
      <c r="B688" s="116">
        <v>2107.3000000000002</v>
      </c>
      <c r="C688" s="116">
        <v>2084.9</v>
      </c>
      <c r="D688" s="116">
        <v>2057</v>
      </c>
      <c r="E688" s="116">
        <v>2083.3000000000002</v>
      </c>
      <c r="F688" s="116">
        <v>2084.9</v>
      </c>
      <c r="G688">
        <v>6649</v>
      </c>
      <c r="H688" s="116"/>
      <c r="I688" s="116"/>
      <c r="L688" s="170">
        <v>44481</v>
      </c>
      <c r="M688" s="116">
        <v>2066.35</v>
      </c>
      <c r="N688" s="116">
        <v>2117.85</v>
      </c>
      <c r="O688" s="116">
        <v>2031.1</v>
      </c>
      <c r="P688" s="116">
        <v>2095.1</v>
      </c>
      <c r="Q688" s="116">
        <v>2066.35</v>
      </c>
      <c r="R688">
        <v>427305</v>
      </c>
    </row>
    <row r="689" spans="1:18" x14ac:dyDescent="0.25">
      <c r="A689" s="170">
        <v>44488</v>
      </c>
      <c r="B689" s="116">
        <v>2107.5500000000002</v>
      </c>
      <c r="C689" s="116">
        <v>2030.25</v>
      </c>
      <c r="D689" s="116">
        <v>2008.15</v>
      </c>
      <c r="E689" s="116">
        <v>2095.5500000000002</v>
      </c>
      <c r="F689" s="116">
        <v>2030.25</v>
      </c>
      <c r="G689">
        <v>19395</v>
      </c>
      <c r="H689" s="116"/>
      <c r="I689" s="116"/>
      <c r="L689" s="170">
        <v>44482</v>
      </c>
      <c r="M689" s="116">
        <v>2072.85</v>
      </c>
      <c r="N689" s="116">
        <v>2097.1999999999998</v>
      </c>
      <c r="O689" s="116">
        <v>2050</v>
      </c>
      <c r="P689" s="116">
        <v>2081.6999999999998</v>
      </c>
      <c r="Q689" s="116">
        <v>2072.85</v>
      </c>
      <c r="R689">
        <v>242926</v>
      </c>
    </row>
    <row r="690" spans="1:18" x14ac:dyDescent="0.25">
      <c r="A690" s="170">
        <v>44489</v>
      </c>
      <c r="B690" s="116">
        <v>2047.05</v>
      </c>
      <c r="C690" s="116">
        <v>1972.85</v>
      </c>
      <c r="D690" s="116">
        <v>1953.85</v>
      </c>
      <c r="E690" s="116">
        <v>2034</v>
      </c>
      <c r="F690" s="116">
        <v>1972.85</v>
      </c>
      <c r="G690">
        <v>6241</v>
      </c>
      <c r="H690" s="116"/>
      <c r="I690" s="116"/>
      <c r="L690" s="170">
        <v>44483</v>
      </c>
      <c r="M690" s="116">
        <v>2062.85</v>
      </c>
      <c r="N690" s="116">
        <v>2100</v>
      </c>
      <c r="O690" s="116">
        <v>2049.9499999999998</v>
      </c>
      <c r="P690" s="116">
        <v>2077.85</v>
      </c>
      <c r="Q690" s="116">
        <v>2062.85</v>
      </c>
      <c r="R690">
        <v>376959</v>
      </c>
    </row>
    <row r="691" spans="1:18" x14ac:dyDescent="0.25">
      <c r="A691" s="170">
        <v>44490</v>
      </c>
      <c r="B691" s="116">
        <v>1996.65</v>
      </c>
      <c r="C691" s="116">
        <v>1971.95</v>
      </c>
      <c r="D691" s="116">
        <v>1929.6</v>
      </c>
      <c r="E691" s="116">
        <v>1980.3</v>
      </c>
      <c r="F691" s="116">
        <v>1971.95</v>
      </c>
      <c r="G691">
        <v>9794</v>
      </c>
      <c r="H691" s="116"/>
      <c r="I691" s="116"/>
      <c r="L691" s="170">
        <v>44487</v>
      </c>
      <c r="M691" s="116">
        <v>2084.5</v>
      </c>
      <c r="N691" s="116">
        <v>2108</v>
      </c>
      <c r="O691" s="116">
        <v>2057.1</v>
      </c>
      <c r="P691" s="116">
        <v>2088</v>
      </c>
      <c r="Q691" s="116">
        <v>2084.5</v>
      </c>
      <c r="R691">
        <v>516783</v>
      </c>
    </row>
    <row r="692" spans="1:18" x14ac:dyDescent="0.25">
      <c r="A692" s="170">
        <v>44491</v>
      </c>
      <c r="B692" s="116">
        <v>1991.35</v>
      </c>
      <c r="C692" s="116">
        <v>1938.5</v>
      </c>
      <c r="D692" s="116">
        <v>1903.4</v>
      </c>
      <c r="E692" s="116">
        <v>1991.35</v>
      </c>
      <c r="F692" s="116">
        <v>1938.5</v>
      </c>
      <c r="G692">
        <v>7604</v>
      </c>
      <c r="H692" s="116"/>
      <c r="I692" s="116"/>
      <c r="L692" s="170">
        <v>44488</v>
      </c>
      <c r="M692" s="116">
        <v>2035.65</v>
      </c>
      <c r="N692" s="116">
        <v>2109.85</v>
      </c>
      <c r="O692" s="116">
        <v>2014.9</v>
      </c>
      <c r="P692" s="116">
        <v>2090</v>
      </c>
      <c r="Q692" s="116">
        <v>2035.65</v>
      </c>
      <c r="R692">
        <v>284002</v>
      </c>
    </row>
    <row r="693" spans="1:18" x14ac:dyDescent="0.25">
      <c r="A693" s="170">
        <v>44494</v>
      </c>
      <c r="B693" s="116">
        <v>1937.65</v>
      </c>
      <c r="C693" s="116">
        <v>1886.5</v>
      </c>
      <c r="D693" s="116">
        <v>1841.5</v>
      </c>
      <c r="E693" s="116">
        <v>1930</v>
      </c>
      <c r="F693" s="116">
        <v>1886.5</v>
      </c>
      <c r="G693">
        <v>25075</v>
      </c>
      <c r="H693" s="116"/>
      <c r="I693" s="116"/>
      <c r="L693" s="170">
        <v>44489</v>
      </c>
      <c r="M693" s="116">
        <v>1972.1</v>
      </c>
      <c r="N693" s="116">
        <v>2049.85</v>
      </c>
      <c r="O693" s="116">
        <v>1953.1</v>
      </c>
      <c r="P693" s="116">
        <v>2038</v>
      </c>
      <c r="Q693" s="116">
        <v>1972.1</v>
      </c>
      <c r="R693">
        <v>191504</v>
      </c>
    </row>
    <row r="694" spans="1:18" x14ac:dyDescent="0.25">
      <c r="A694" s="170">
        <v>44495</v>
      </c>
      <c r="B694" s="116">
        <v>1960</v>
      </c>
      <c r="C694" s="116">
        <v>1940.95</v>
      </c>
      <c r="D694" s="116">
        <v>1889.65</v>
      </c>
      <c r="E694" s="116">
        <v>1898.4</v>
      </c>
      <c r="F694" s="116">
        <v>1940.95</v>
      </c>
      <c r="G694">
        <v>7021</v>
      </c>
      <c r="H694" s="116"/>
      <c r="I694" s="116"/>
      <c r="L694" s="170">
        <v>44490</v>
      </c>
      <c r="M694" s="116">
        <v>1975.55</v>
      </c>
      <c r="N694" s="116">
        <v>1999</v>
      </c>
      <c r="O694" s="116">
        <v>1927.75</v>
      </c>
      <c r="P694" s="116">
        <v>1979.95</v>
      </c>
      <c r="Q694" s="116">
        <v>1975.55</v>
      </c>
      <c r="R694">
        <v>294339</v>
      </c>
    </row>
    <row r="695" spans="1:18" x14ac:dyDescent="0.25">
      <c r="A695" s="170">
        <v>44496</v>
      </c>
      <c r="B695" s="116">
        <v>2135</v>
      </c>
      <c r="C695" s="116">
        <v>1960.45</v>
      </c>
      <c r="D695" s="116">
        <v>1936.25</v>
      </c>
      <c r="E695" s="116">
        <v>2135</v>
      </c>
      <c r="F695" s="116">
        <v>1960.45</v>
      </c>
      <c r="G695">
        <v>9491</v>
      </c>
      <c r="H695" s="116"/>
      <c r="I695" s="116"/>
      <c r="L695" s="170">
        <v>44491</v>
      </c>
      <c r="M695" s="116">
        <v>1928.05</v>
      </c>
      <c r="N695" s="116">
        <v>1995</v>
      </c>
      <c r="O695" s="116">
        <v>1902</v>
      </c>
      <c r="P695" s="116">
        <v>1976</v>
      </c>
      <c r="Q695" s="116">
        <v>1928.05</v>
      </c>
      <c r="R695">
        <v>129153</v>
      </c>
    </row>
    <row r="696" spans="1:18" x14ac:dyDescent="0.25">
      <c r="A696" s="170">
        <v>44497</v>
      </c>
      <c r="B696" s="116">
        <v>2006.35</v>
      </c>
      <c r="C696" s="116">
        <v>1990.3</v>
      </c>
      <c r="D696" s="116">
        <v>1886.4</v>
      </c>
      <c r="E696" s="116">
        <v>1935.65</v>
      </c>
      <c r="F696" s="116">
        <v>1990.3</v>
      </c>
      <c r="G696">
        <v>25250</v>
      </c>
      <c r="H696" s="116"/>
      <c r="I696" s="116"/>
      <c r="L696" s="170">
        <v>44494</v>
      </c>
      <c r="M696" s="116">
        <v>1885.95</v>
      </c>
      <c r="N696" s="116">
        <v>1943.65</v>
      </c>
      <c r="O696" s="116">
        <v>1842</v>
      </c>
      <c r="P696" s="116">
        <v>1929.95</v>
      </c>
      <c r="Q696" s="116">
        <v>1885.95</v>
      </c>
      <c r="R696">
        <v>196758</v>
      </c>
    </row>
    <row r="697" spans="1:18" x14ac:dyDescent="0.25">
      <c r="A697" s="170">
        <v>44498</v>
      </c>
      <c r="B697" s="116">
        <v>2042.6</v>
      </c>
      <c r="C697" s="116">
        <v>2013.75</v>
      </c>
      <c r="D697" s="116">
        <v>1960</v>
      </c>
      <c r="E697" s="116">
        <v>1990.05</v>
      </c>
      <c r="F697" s="116">
        <v>2013.75</v>
      </c>
      <c r="G697">
        <v>7358</v>
      </c>
      <c r="H697" s="116"/>
      <c r="I697" s="116"/>
      <c r="L697" s="170">
        <v>44495</v>
      </c>
      <c r="M697" s="116">
        <v>1944.6</v>
      </c>
      <c r="N697" s="116">
        <v>1955</v>
      </c>
      <c r="O697" s="116">
        <v>1882.3</v>
      </c>
      <c r="P697" s="116">
        <v>1887.85</v>
      </c>
      <c r="Q697" s="116">
        <v>1944.6</v>
      </c>
      <c r="R697">
        <v>213921</v>
      </c>
    </row>
    <row r="698" spans="1:18" x14ac:dyDescent="0.25">
      <c r="A698" s="170">
        <v>44501</v>
      </c>
      <c r="B698" s="116">
        <v>2038.9</v>
      </c>
      <c r="C698" s="116">
        <v>2015.25</v>
      </c>
      <c r="D698" s="116">
        <v>1987.35</v>
      </c>
      <c r="E698" s="116">
        <v>2011.9</v>
      </c>
      <c r="F698" s="116">
        <v>2015.25</v>
      </c>
      <c r="G698">
        <v>12139</v>
      </c>
      <c r="H698" s="116"/>
      <c r="I698" s="116"/>
      <c r="L698" s="170">
        <v>44496</v>
      </c>
      <c r="M698" s="116">
        <v>1959.75</v>
      </c>
      <c r="N698" s="116">
        <v>2000</v>
      </c>
      <c r="O698" s="116">
        <v>1935.2</v>
      </c>
      <c r="P698" s="116">
        <v>1947.9</v>
      </c>
      <c r="Q698" s="116">
        <v>1959.75</v>
      </c>
      <c r="R698">
        <v>221282</v>
      </c>
    </row>
    <row r="699" spans="1:18" x14ac:dyDescent="0.25">
      <c r="A699" s="170">
        <v>44502</v>
      </c>
      <c r="B699" s="116">
        <v>2031.7</v>
      </c>
      <c r="C699" s="116">
        <v>2019.5</v>
      </c>
      <c r="D699" s="116">
        <v>1995</v>
      </c>
      <c r="E699" s="116">
        <v>2029.85</v>
      </c>
      <c r="F699" s="116">
        <v>2019.5</v>
      </c>
      <c r="G699">
        <v>4443</v>
      </c>
      <c r="H699" s="116"/>
      <c r="I699" s="116"/>
      <c r="L699" s="170">
        <v>44497</v>
      </c>
      <c r="M699" s="116">
        <v>1991.35</v>
      </c>
      <c r="N699" s="116">
        <v>2008</v>
      </c>
      <c r="O699" s="116">
        <v>1886.3</v>
      </c>
      <c r="P699" s="116">
        <v>1930</v>
      </c>
      <c r="Q699" s="116">
        <v>1991.35</v>
      </c>
      <c r="R699">
        <v>396504</v>
      </c>
    </row>
    <row r="700" spans="1:18" x14ac:dyDescent="0.25">
      <c r="A700" s="170">
        <v>44503</v>
      </c>
      <c r="B700" s="116">
        <v>2037</v>
      </c>
      <c r="C700" s="116">
        <v>2012.75</v>
      </c>
      <c r="D700" s="116">
        <v>1995.3</v>
      </c>
      <c r="E700" s="116">
        <v>2019.5</v>
      </c>
      <c r="F700" s="116">
        <v>2012.75</v>
      </c>
      <c r="G700">
        <v>4680</v>
      </c>
      <c r="H700" s="116"/>
      <c r="I700" s="116"/>
      <c r="L700" s="170">
        <v>44498</v>
      </c>
      <c r="M700" s="116">
        <v>2012.25</v>
      </c>
      <c r="N700" s="116">
        <v>2045</v>
      </c>
      <c r="O700" s="116">
        <v>1960.3</v>
      </c>
      <c r="P700" s="116">
        <v>1991.35</v>
      </c>
      <c r="Q700" s="116">
        <v>2012.25</v>
      </c>
      <c r="R700">
        <v>307762</v>
      </c>
    </row>
    <row r="701" spans="1:18" x14ac:dyDescent="0.25">
      <c r="A701" s="170">
        <v>44504</v>
      </c>
      <c r="B701" s="116">
        <v>2044.4</v>
      </c>
      <c r="C701" s="116">
        <v>2035.95</v>
      </c>
      <c r="D701" s="116">
        <v>2023.25</v>
      </c>
      <c r="E701" s="116">
        <v>2030.1</v>
      </c>
      <c r="F701" s="116">
        <v>2035.95</v>
      </c>
      <c r="G701">
        <v>728</v>
      </c>
      <c r="H701" s="116"/>
      <c r="I701" s="116"/>
      <c r="L701" s="170">
        <v>44501</v>
      </c>
      <c r="M701" s="116">
        <v>2016.45</v>
      </c>
      <c r="N701" s="116">
        <v>2041</v>
      </c>
      <c r="O701" s="116">
        <v>1987.3</v>
      </c>
      <c r="P701" s="116">
        <v>2010.8</v>
      </c>
      <c r="Q701" s="116">
        <v>2016.45</v>
      </c>
      <c r="R701">
        <v>171294</v>
      </c>
    </row>
    <row r="702" spans="1:18" x14ac:dyDescent="0.25">
      <c r="A702" s="170">
        <v>44508</v>
      </c>
      <c r="B702" s="116">
        <v>2131.35</v>
      </c>
      <c r="C702" s="116">
        <v>2093.8000000000002</v>
      </c>
      <c r="D702" s="116">
        <v>2024</v>
      </c>
      <c r="E702" s="116">
        <v>2034.4</v>
      </c>
      <c r="F702" s="116">
        <v>2093.8000000000002</v>
      </c>
      <c r="G702">
        <v>29579</v>
      </c>
      <c r="H702" s="116"/>
      <c r="I702" s="116"/>
      <c r="L702" s="170">
        <v>44502</v>
      </c>
      <c r="M702" s="116">
        <v>2018.4</v>
      </c>
      <c r="N702" s="116">
        <v>2033</v>
      </c>
      <c r="O702" s="116">
        <v>1992.15</v>
      </c>
      <c r="P702" s="116">
        <v>2033</v>
      </c>
      <c r="Q702" s="116">
        <v>2018.4</v>
      </c>
      <c r="R702">
        <v>141136</v>
      </c>
    </row>
    <row r="703" spans="1:18" x14ac:dyDescent="0.25">
      <c r="A703" s="170">
        <v>44509</v>
      </c>
      <c r="B703" s="116">
        <v>2140</v>
      </c>
      <c r="C703" s="116">
        <v>2133.1</v>
      </c>
      <c r="D703" s="116">
        <v>2077.4</v>
      </c>
      <c r="E703" s="116">
        <v>2096.1</v>
      </c>
      <c r="F703" s="116">
        <v>2133.1</v>
      </c>
      <c r="G703">
        <v>17165</v>
      </c>
      <c r="H703" s="116"/>
      <c r="I703" s="116"/>
      <c r="L703" s="170">
        <v>44503</v>
      </c>
      <c r="M703" s="116">
        <v>2013.1</v>
      </c>
      <c r="N703" s="116">
        <v>2039.95</v>
      </c>
      <c r="O703" s="116">
        <v>1995</v>
      </c>
      <c r="P703" s="116">
        <v>2019</v>
      </c>
      <c r="Q703" s="116">
        <v>2013.1</v>
      </c>
      <c r="R703">
        <v>123860</v>
      </c>
    </row>
    <row r="704" spans="1:18" x14ac:dyDescent="0.25">
      <c r="A704" s="170">
        <v>44510</v>
      </c>
      <c r="B704" s="116">
        <v>2195</v>
      </c>
      <c r="C704" s="116">
        <v>2166.6</v>
      </c>
      <c r="D704" s="116">
        <v>2101</v>
      </c>
      <c r="E704" s="116">
        <v>2118</v>
      </c>
      <c r="F704" s="116">
        <v>2166.6</v>
      </c>
      <c r="G704">
        <v>23888</v>
      </c>
      <c r="H704" s="116"/>
      <c r="I704" s="116"/>
      <c r="L704" s="170">
        <v>44504</v>
      </c>
      <c r="M704" s="116">
        <v>2034.85</v>
      </c>
      <c r="N704" s="116">
        <v>2048.8000000000002</v>
      </c>
      <c r="O704" s="116">
        <v>2017.9</v>
      </c>
      <c r="P704" s="116">
        <v>2035</v>
      </c>
      <c r="Q704" s="116">
        <v>2034.85</v>
      </c>
      <c r="R704">
        <v>26604</v>
      </c>
    </row>
    <row r="705" spans="1:18" x14ac:dyDescent="0.25">
      <c r="A705" s="170">
        <v>44511</v>
      </c>
      <c r="B705" s="116">
        <v>2170</v>
      </c>
      <c r="C705" s="116">
        <v>2118.6999999999998</v>
      </c>
      <c r="D705" s="116">
        <v>2101</v>
      </c>
      <c r="E705" s="116">
        <v>2170</v>
      </c>
      <c r="F705" s="116">
        <v>2118.6999999999998</v>
      </c>
      <c r="G705">
        <v>56854</v>
      </c>
      <c r="H705" s="116"/>
      <c r="I705" s="116"/>
      <c r="L705" s="170">
        <v>44508</v>
      </c>
      <c r="M705" s="116">
        <v>2093.65</v>
      </c>
      <c r="N705" s="116">
        <v>2132.6</v>
      </c>
      <c r="O705" s="116">
        <v>2028.55</v>
      </c>
      <c r="P705" s="116">
        <v>2049.9</v>
      </c>
      <c r="Q705" s="116">
        <v>2093.65</v>
      </c>
      <c r="R705">
        <v>436789</v>
      </c>
    </row>
    <row r="706" spans="1:18" x14ac:dyDescent="0.25">
      <c r="A706" s="170">
        <v>44512</v>
      </c>
      <c r="B706" s="116">
        <v>2161</v>
      </c>
      <c r="C706" s="116">
        <v>2142.8000000000002</v>
      </c>
      <c r="D706" s="116">
        <v>2126.9499999999998</v>
      </c>
      <c r="E706" s="116">
        <v>2126.9499999999998</v>
      </c>
      <c r="F706" s="116">
        <v>2142.8000000000002</v>
      </c>
      <c r="G706">
        <v>116020</v>
      </c>
      <c r="H706" s="116"/>
      <c r="I706" s="116"/>
      <c r="L706" s="170">
        <v>44509</v>
      </c>
      <c r="M706" s="116">
        <v>2132.5500000000002</v>
      </c>
      <c r="N706" s="116">
        <v>2142.9</v>
      </c>
      <c r="O706" s="116">
        <v>2075</v>
      </c>
      <c r="P706" s="116">
        <v>2093.65</v>
      </c>
      <c r="Q706" s="116">
        <v>2132.5500000000002</v>
      </c>
      <c r="R706">
        <v>205319</v>
      </c>
    </row>
    <row r="707" spans="1:18" x14ac:dyDescent="0.25">
      <c r="A707" s="170">
        <v>44515</v>
      </c>
      <c r="B707" s="116">
        <v>2159.9499999999998</v>
      </c>
      <c r="C707" s="116">
        <v>2115.8000000000002</v>
      </c>
      <c r="D707" s="116">
        <v>2110.1</v>
      </c>
      <c r="E707" s="116">
        <v>2142</v>
      </c>
      <c r="F707" s="116">
        <v>2115.8000000000002</v>
      </c>
      <c r="G707">
        <v>8696</v>
      </c>
      <c r="H707" s="116"/>
      <c r="I707" s="116"/>
      <c r="L707" s="170">
        <v>44510</v>
      </c>
      <c r="M707" s="116">
        <v>2167.65</v>
      </c>
      <c r="N707" s="116">
        <v>2199</v>
      </c>
      <c r="O707" s="116">
        <v>2108.4</v>
      </c>
      <c r="P707" s="116">
        <v>2134</v>
      </c>
      <c r="Q707" s="116">
        <v>2167.65</v>
      </c>
      <c r="R707">
        <v>358257</v>
      </c>
    </row>
    <row r="708" spans="1:18" x14ac:dyDescent="0.25">
      <c r="A708" s="170">
        <v>44516</v>
      </c>
      <c r="B708" s="116">
        <v>2132</v>
      </c>
      <c r="C708" s="116">
        <v>2055.9</v>
      </c>
      <c r="D708" s="116">
        <v>2051.4</v>
      </c>
      <c r="E708" s="116">
        <v>2114.9</v>
      </c>
      <c r="F708" s="116">
        <v>2055.9</v>
      </c>
      <c r="G708">
        <v>4249</v>
      </c>
      <c r="H708" s="116"/>
      <c r="I708" s="116"/>
      <c r="L708" s="170">
        <v>44511</v>
      </c>
      <c r="M708" s="116">
        <v>2120.5</v>
      </c>
      <c r="N708" s="116">
        <v>2170</v>
      </c>
      <c r="O708" s="116">
        <v>2100</v>
      </c>
      <c r="P708" s="116">
        <v>2170</v>
      </c>
      <c r="Q708" s="116">
        <v>2120.5</v>
      </c>
      <c r="R708">
        <v>135852</v>
      </c>
    </row>
    <row r="709" spans="1:18" x14ac:dyDescent="0.25">
      <c r="A709" s="170">
        <v>44517</v>
      </c>
      <c r="B709" s="116">
        <v>2061.75</v>
      </c>
      <c r="C709" s="116">
        <v>1993.55</v>
      </c>
      <c r="D709" s="116">
        <v>1981.9</v>
      </c>
      <c r="E709" s="116">
        <v>2054.6</v>
      </c>
      <c r="F709" s="116">
        <v>1993.55</v>
      </c>
      <c r="G709">
        <v>46266</v>
      </c>
      <c r="H709" s="116"/>
      <c r="I709" s="116"/>
      <c r="L709" s="170">
        <v>44512</v>
      </c>
      <c r="M709" s="116">
        <v>2141.9499999999998</v>
      </c>
      <c r="N709" s="116">
        <v>2161.9499999999998</v>
      </c>
      <c r="O709" s="116">
        <v>2120.5</v>
      </c>
      <c r="P709" s="116">
        <v>2121</v>
      </c>
      <c r="Q709" s="116">
        <v>2141.9499999999998</v>
      </c>
      <c r="R709">
        <v>167057</v>
      </c>
    </row>
    <row r="710" spans="1:18" x14ac:dyDescent="0.25">
      <c r="A710" s="170">
        <v>44518</v>
      </c>
      <c r="B710" s="116">
        <v>2034.35</v>
      </c>
      <c r="C710" s="116">
        <v>2014.9</v>
      </c>
      <c r="D710" s="116">
        <v>1960.2</v>
      </c>
      <c r="E710" s="116">
        <v>1990</v>
      </c>
      <c r="F710" s="116">
        <v>2014.9</v>
      </c>
      <c r="G710">
        <v>11749</v>
      </c>
      <c r="H710" s="116"/>
      <c r="I710" s="116"/>
      <c r="L710" s="170">
        <v>44515</v>
      </c>
      <c r="M710" s="116">
        <v>2116.3000000000002</v>
      </c>
      <c r="N710" s="116">
        <v>2164.15</v>
      </c>
      <c r="O710" s="116">
        <v>2109</v>
      </c>
      <c r="P710" s="116">
        <v>2145</v>
      </c>
      <c r="Q710" s="116">
        <v>2116.3000000000002</v>
      </c>
      <c r="R710">
        <v>85342</v>
      </c>
    </row>
    <row r="711" spans="1:18" x14ac:dyDescent="0.25">
      <c r="A711" s="170">
        <v>44522</v>
      </c>
      <c r="B711" s="116">
        <v>2015.5</v>
      </c>
      <c r="C711" s="116">
        <v>1943.65</v>
      </c>
      <c r="D711" s="116">
        <v>1920.9</v>
      </c>
      <c r="E711" s="116">
        <v>2001.5</v>
      </c>
      <c r="F711" s="116">
        <v>1943.65</v>
      </c>
      <c r="G711">
        <v>81962</v>
      </c>
      <c r="H711" s="116"/>
      <c r="I711" s="116"/>
      <c r="L711" s="170">
        <v>44516</v>
      </c>
      <c r="M711" s="116">
        <v>2057.65</v>
      </c>
      <c r="N711" s="116">
        <v>2133.4</v>
      </c>
      <c r="O711" s="116">
        <v>2052</v>
      </c>
      <c r="P711" s="116">
        <v>2117</v>
      </c>
      <c r="Q711" s="116">
        <v>2057.65</v>
      </c>
      <c r="R711">
        <v>114838</v>
      </c>
    </row>
    <row r="712" spans="1:18" x14ac:dyDescent="0.25">
      <c r="A712" s="170">
        <v>44523</v>
      </c>
      <c r="B712" s="116">
        <v>2035.35</v>
      </c>
      <c r="C712" s="116">
        <v>2029.5</v>
      </c>
      <c r="D712" s="116">
        <v>1918.65</v>
      </c>
      <c r="E712" s="116">
        <v>1941</v>
      </c>
      <c r="F712" s="116">
        <v>2029.5</v>
      </c>
      <c r="G712">
        <v>86388</v>
      </c>
      <c r="H712" s="116"/>
      <c r="I712" s="116"/>
      <c r="L712" s="170">
        <v>44517</v>
      </c>
      <c r="M712" s="116">
        <v>1990.95</v>
      </c>
      <c r="N712" s="116">
        <v>2062.5</v>
      </c>
      <c r="O712" s="116">
        <v>1980.55</v>
      </c>
      <c r="P712" s="116">
        <v>2051</v>
      </c>
      <c r="Q712" s="116">
        <v>1990.95</v>
      </c>
      <c r="R712">
        <v>230920</v>
      </c>
    </row>
    <row r="713" spans="1:18" x14ac:dyDescent="0.25">
      <c r="A713" s="170">
        <v>44524</v>
      </c>
      <c r="B713" s="116">
        <v>2093</v>
      </c>
      <c r="C713" s="116">
        <v>2010.15</v>
      </c>
      <c r="D713" s="116">
        <v>1972.65</v>
      </c>
      <c r="E713" s="116">
        <v>2034.65</v>
      </c>
      <c r="F713" s="116">
        <v>2010.15</v>
      </c>
      <c r="G713">
        <v>62102</v>
      </c>
      <c r="H713" s="116"/>
      <c r="I713" s="116"/>
      <c r="L713" s="170">
        <v>44518</v>
      </c>
      <c r="M713" s="116">
        <v>2015.5</v>
      </c>
      <c r="N713" s="116">
        <v>2035</v>
      </c>
      <c r="O713" s="116">
        <v>1960.05</v>
      </c>
      <c r="P713" s="116">
        <v>1990</v>
      </c>
      <c r="Q713" s="116">
        <v>2015.5</v>
      </c>
      <c r="R713">
        <v>215086</v>
      </c>
    </row>
    <row r="714" spans="1:18" x14ac:dyDescent="0.25">
      <c r="A714" s="170">
        <v>44525</v>
      </c>
      <c r="B714" s="116">
        <v>2028.55</v>
      </c>
      <c r="C714" s="116">
        <v>1978.7</v>
      </c>
      <c r="D714" s="116">
        <v>1970.6</v>
      </c>
      <c r="E714" s="116">
        <v>2000.9</v>
      </c>
      <c r="F714" s="116">
        <v>1978.7</v>
      </c>
      <c r="G714">
        <v>56600</v>
      </c>
      <c r="H714" s="116"/>
      <c r="I714" s="116"/>
      <c r="L714" s="170">
        <v>44522</v>
      </c>
      <c r="M714" s="116">
        <v>1942.2</v>
      </c>
      <c r="N714" s="116">
        <v>2013.4</v>
      </c>
      <c r="O714" s="116">
        <v>1914.25</v>
      </c>
      <c r="P714" s="116">
        <v>2013.4</v>
      </c>
      <c r="Q714" s="116">
        <v>1942.2</v>
      </c>
      <c r="R714">
        <v>305169</v>
      </c>
    </row>
    <row r="715" spans="1:18" x14ac:dyDescent="0.25">
      <c r="A715" s="170">
        <v>44526</v>
      </c>
      <c r="B715" s="116">
        <v>1972.7</v>
      </c>
      <c r="C715" s="116">
        <v>1894.05</v>
      </c>
      <c r="D715" s="116">
        <v>1880</v>
      </c>
      <c r="E715" s="116">
        <v>1964.05</v>
      </c>
      <c r="F715" s="116">
        <v>1894.05</v>
      </c>
      <c r="G715">
        <v>10224</v>
      </c>
      <c r="H715" s="116"/>
      <c r="I715" s="116"/>
      <c r="L715" s="170">
        <v>44523</v>
      </c>
      <c r="M715" s="116">
        <v>2032.05</v>
      </c>
      <c r="N715" s="116">
        <v>2035</v>
      </c>
      <c r="O715" s="116">
        <v>1911.2</v>
      </c>
      <c r="P715" s="116">
        <v>1942</v>
      </c>
      <c r="Q715" s="116">
        <v>2032.05</v>
      </c>
      <c r="R715">
        <v>443454</v>
      </c>
    </row>
    <row r="716" spans="1:18" x14ac:dyDescent="0.25">
      <c r="A716" s="170">
        <v>44529</v>
      </c>
      <c r="B716" s="116">
        <v>1890.35</v>
      </c>
      <c r="C716" s="116">
        <v>1859.25</v>
      </c>
      <c r="D716" s="116">
        <v>1803</v>
      </c>
      <c r="E716" s="116">
        <v>1861.1</v>
      </c>
      <c r="F716" s="116">
        <v>1859.25</v>
      </c>
      <c r="G716">
        <v>13714</v>
      </c>
      <c r="H716" s="116"/>
      <c r="I716" s="116"/>
      <c r="L716" s="170">
        <v>44524</v>
      </c>
      <c r="M716" s="116">
        <v>2000.95</v>
      </c>
      <c r="N716" s="116">
        <v>2052.3000000000002</v>
      </c>
      <c r="O716" s="116">
        <v>1973.3</v>
      </c>
      <c r="P716" s="116">
        <v>2032.1</v>
      </c>
      <c r="Q716" s="116">
        <v>2000.95</v>
      </c>
      <c r="R716">
        <v>414097</v>
      </c>
    </row>
    <row r="717" spans="1:18" x14ac:dyDescent="0.25">
      <c r="A717" s="170">
        <v>44530</v>
      </c>
      <c r="B717" s="116">
        <v>1910.1</v>
      </c>
      <c r="C717" s="116">
        <v>1873.35</v>
      </c>
      <c r="D717" s="116">
        <v>1840.1</v>
      </c>
      <c r="E717" s="116">
        <v>1850</v>
      </c>
      <c r="F717" s="116">
        <v>1873.35</v>
      </c>
      <c r="G717">
        <v>6704</v>
      </c>
      <c r="H717" s="116"/>
      <c r="I717" s="116"/>
      <c r="L717" s="170">
        <v>44525</v>
      </c>
      <c r="M717" s="116">
        <v>1978.3</v>
      </c>
      <c r="N717" s="116">
        <v>2029</v>
      </c>
      <c r="O717" s="116">
        <v>1953.25</v>
      </c>
      <c r="P717" s="116">
        <v>2000</v>
      </c>
      <c r="Q717" s="116">
        <v>1978.3</v>
      </c>
      <c r="R717">
        <v>414566</v>
      </c>
    </row>
    <row r="718" spans="1:18" x14ac:dyDescent="0.25">
      <c r="A718" s="170">
        <v>44531</v>
      </c>
      <c r="B718" s="116">
        <v>1904.85</v>
      </c>
      <c r="C718" s="116">
        <v>1839.9</v>
      </c>
      <c r="D718" s="116">
        <v>1828.15</v>
      </c>
      <c r="E718" s="116">
        <v>1884</v>
      </c>
      <c r="F718" s="116">
        <v>1839.9</v>
      </c>
      <c r="G718">
        <v>4190</v>
      </c>
      <c r="H718" s="116"/>
      <c r="I718" s="116"/>
      <c r="L718" s="170">
        <v>44526</v>
      </c>
      <c r="M718" s="116">
        <v>1888.35</v>
      </c>
      <c r="N718" s="116">
        <v>1976.6</v>
      </c>
      <c r="O718" s="116">
        <v>1879</v>
      </c>
      <c r="P718" s="116">
        <v>1970</v>
      </c>
      <c r="Q718" s="116">
        <v>1888.35</v>
      </c>
      <c r="R718">
        <v>154465</v>
      </c>
    </row>
    <row r="719" spans="1:18" x14ac:dyDescent="0.25">
      <c r="A719" s="170">
        <v>44532</v>
      </c>
      <c r="B719" s="116">
        <v>1861.25</v>
      </c>
      <c r="C719" s="116">
        <v>1848.55</v>
      </c>
      <c r="D719" s="116">
        <v>1838.7</v>
      </c>
      <c r="E719" s="116">
        <v>1847.95</v>
      </c>
      <c r="F719" s="116">
        <v>1848.55</v>
      </c>
      <c r="G719">
        <v>3828</v>
      </c>
      <c r="H719" s="116"/>
      <c r="I719" s="116"/>
      <c r="L719" s="170">
        <v>44529</v>
      </c>
      <c r="M719" s="116">
        <v>1859.45</v>
      </c>
      <c r="N719" s="116">
        <v>1890</v>
      </c>
      <c r="O719" s="116">
        <v>1801</v>
      </c>
      <c r="P719" s="116">
        <v>1856</v>
      </c>
      <c r="Q719" s="116">
        <v>1859.45</v>
      </c>
      <c r="R719">
        <v>256617</v>
      </c>
    </row>
    <row r="720" spans="1:18" x14ac:dyDescent="0.25">
      <c r="A720" s="170">
        <v>44533</v>
      </c>
      <c r="B720" s="116">
        <v>1919</v>
      </c>
      <c r="C720" s="116">
        <v>1870.45</v>
      </c>
      <c r="D720" s="116">
        <v>1856</v>
      </c>
      <c r="E720" s="116">
        <v>1865.4</v>
      </c>
      <c r="F720" s="116">
        <v>1870.45</v>
      </c>
      <c r="G720">
        <v>31597</v>
      </c>
      <c r="H720" s="116"/>
      <c r="I720" s="116"/>
      <c r="L720" s="170">
        <v>44530</v>
      </c>
      <c r="M720" s="116">
        <v>1873.4</v>
      </c>
      <c r="N720" s="116">
        <v>1911</v>
      </c>
      <c r="O720" s="116">
        <v>1842.5</v>
      </c>
      <c r="P720" s="116">
        <v>1848.8</v>
      </c>
      <c r="Q720" s="116">
        <v>1873.4</v>
      </c>
      <c r="R720">
        <v>135212</v>
      </c>
    </row>
    <row r="721" spans="1:18" x14ac:dyDescent="0.25">
      <c r="A721" s="170">
        <v>44536</v>
      </c>
      <c r="B721" s="116">
        <v>1877.9</v>
      </c>
      <c r="C721" s="116">
        <v>1795.85</v>
      </c>
      <c r="D721" s="116">
        <v>1787.1</v>
      </c>
      <c r="E721" s="116">
        <v>1869.85</v>
      </c>
      <c r="F721" s="116">
        <v>1795.85</v>
      </c>
      <c r="G721">
        <v>80282</v>
      </c>
      <c r="H721" s="116"/>
      <c r="I721" s="116"/>
      <c r="L721" s="170">
        <v>44531</v>
      </c>
      <c r="M721" s="116">
        <v>1838.1</v>
      </c>
      <c r="N721" s="116">
        <v>1904.05</v>
      </c>
      <c r="O721" s="116">
        <v>1829.35</v>
      </c>
      <c r="P721" s="116">
        <v>1874.85</v>
      </c>
      <c r="Q721" s="116">
        <v>1838.1</v>
      </c>
      <c r="R721">
        <v>154877</v>
      </c>
    </row>
    <row r="722" spans="1:18" x14ac:dyDescent="0.25">
      <c r="A722" s="170">
        <v>44537</v>
      </c>
      <c r="B722" s="116">
        <v>1903.15</v>
      </c>
      <c r="C722" s="116">
        <v>1862.85</v>
      </c>
      <c r="D722" s="116">
        <v>1794.9</v>
      </c>
      <c r="E722" s="116">
        <v>1800.3</v>
      </c>
      <c r="F722" s="116">
        <v>1862.85</v>
      </c>
      <c r="G722">
        <v>114919</v>
      </c>
      <c r="H722" s="116"/>
      <c r="I722" s="116"/>
      <c r="L722" s="170">
        <v>44532</v>
      </c>
      <c r="M722" s="116">
        <v>1848.45</v>
      </c>
      <c r="N722" s="116">
        <v>1865</v>
      </c>
      <c r="O722" s="116">
        <v>1838.15</v>
      </c>
      <c r="P722" s="116">
        <v>1841</v>
      </c>
      <c r="Q722" s="116">
        <v>1848.45</v>
      </c>
      <c r="R722">
        <v>97649</v>
      </c>
    </row>
    <row r="723" spans="1:18" x14ac:dyDescent="0.25">
      <c r="A723" s="170">
        <v>44538</v>
      </c>
      <c r="B723" s="116">
        <v>1918.9</v>
      </c>
      <c r="C723" s="116">
        <v>1911.35</v>
      </c>
      <c r="D723" s="116">
        <v>1837.25</v>
      </c>
      <c r="E723" s="116">
        <v>1857.2</v>
      </c>
      <c r="F723" s="116">
        <v>1911.35</v>
      </c>
      <c r="G723">
        <v>49922</v>
      </c>
      <c r="H723" s="116"/>
      <c r="I723" s="116"/>
      <c r="L723" s="170">
        <v>44533</v>
      </c>
      <c r="M723" s="116">
        <v>1867.75</v>
      </c>
      <c r="N723" s="116">
        <v>1920</v>
      </c>
      <c r="O723" s="116">
        <v>1861.15</v>
      </c>
      <c r="P723" s="116">
        <v>1870</v>
      </c>
      <c r="Q723" s="116">
        <v>1867.75</v>
      </c>
      <c r="R723">
        <v>265512</v>
      </c>
    </row>
    <row r="724" spans="1:18" x14ac:dyDescent="0.25">
      <c r="A724" s="170">
        <v>44539</v>
      </c>
      <c r="B724" s="116">
        <v>1943.55</v>
      </c>
      <c r="C724" s="116">
        <v>1917.55</v>
      </c>
      <c r="D724" s="116">
        <v>1894.7</v>
      </c>
      <c r="E724" s="116">
        <v>1926.95</v>
      </c>
      <c r="F724" s="116">
        <v>1917.55</v>
      </c>
      <c r="G724">
        <v>5280</v>
      </c>
      <c r="H724" s="116"/>
      <c r="I724" s="116"/>
      <c r="L724" s="170">
        <v>44536</v>
      </c>
      <c r="M724" s="116">
        <v>1793.8</v>
      </c>
      <c r="N724" s="116">
        <v>1880.95</v>
      </c>
      <c r="O724" s="116">
        <v>1784.55</v>
      </c>
      <c r="P724" s="116">
        <v>1867.75</v>
      </c>
      <c r="Q724" s="116">
        <v>1793.8</v>
      </c>
      <c r="R724">
        <v>288863</v>
      </c>
    </row>
    <row r="725" spans="1:18" x14ac:dyDescent="0.25">
      <c r="A725" s="170">
        <v>44540</v>
      </c>
      <c r="B725" s="116">
        <v>1912.95</v>
      </c>
      <c r="C725" s="116">
        <v>1886.6</v>
      </c>
      <c r="D725" s="116">
        <v>1867</v>
      </c>
      <c r="E725" s="116">
        <v>1901.1</v>
      </c>
      <c r="F725" s="116">
        <v>1886.6</v>
      </c>
      <c r="G725">
        <v>9614</v>
      </c>
      <c r="H725" s="116"/>
      <c r="I725" s="116"/>
      <c r="L725" s="170">
        <v>44537</v>
      </c>
      <c r="M725" s="116">
        <v>1857.1</v>
      </c>
      <c r="N725" s="116">
        <v>1905</v>
      </c>
      <c r="O725" s="116">
        <v>1792.7</v>
      </c>
      <c r="P725" s="116">
        <v>1800</v>
      </c>
      <c r="Q725" s="116">
        <v>1857.1</v>
      </c>
      <c r="R725">
        <v>758703</v>
      </c>
    </row>
    <row r="726" spans="1:18" x14ac:dyDescent="0.25">
      <c r="A726" s="170">
        <v>44543</v>
      </c>
      <c r="B726" s="116">
        <v>1932</v>
      </c>
      <c r="C726" s="116">
        <v>1881.35</v>
      </c>
      <c r="D726" s="116">
        <v>1875</v>
      </c>
      <c r="E726" s="116">
        <v>1902.6</v>
      </c>
      <c r="F726" s="116">
        <v>1881.35</v>
      </c>
      <c r="G726">
        <v>4579</v>
      </c>
      <c r="H726" s="116"/>
      <c r="I726" s="116"/>
      <c r="L726" s="170">
        <v>44538</v>
      </c>
      <c r="M726" s="116">
        <v>1913.85</v>
      </c>
      <c r="N726" s="116">
        <v>1919</v>
      </c>
      <c r="O726" s="116">
        <v>1837</v>
      </c>
      <c r="P726" s="116">
        <v>1857</v>
      </c>
      <c r="Q726" s="116">
        <v>1913.85</v>
      </c>
      <c r="R726">
        <v>512685</v>
      </c>
    </row>
    <row r="727" spans="1:18" x14ac:dyDescent="0.25">
      <c r="A727" s="170">
        <v>44544</v>
      </c>
      <c r="B727" s="116">
        <v>1925.3</v>
      </c>
      <c r="C727" s="116">
        <v>1910.25</v>
      </c>
      <c r="D727" s="116">
        <v>1869.5</v>
      </c>
      <c r="E727" s="116">
        <v>1875.5</v>
      </c>
      <c r="F727" s="116">
        <v>1910.25</v>
      </c>
      <c r="G727">
        <v>7203</v>
      </c>
      <c r="H727" s="116"/>
      <c r="I727" s="116"/>
      <c r="L727" s="170">
        <v>44539</v>
      </c>
      <c r="M727" s="116">
        <v>1913.25</v>
      </c>
      <c r="N727" s="116">
        <v>1943.8</v>
      </c>
      <c r="O727" s="116">
        <v>1893</v>
      </c>
      <c r="P727" s="116">
        <v>1923.9</v>
      </c>
      <c r="Q727" s="116">
        <v>1913.25</v>
      </c>
      <c r="R727">
        <v>240239</v>
      </c>
    </row>
    <row r="728" spans="1:18" x14ac:dyDescent="0.25">
      <c r="A728" s="170">
        <v>44545</v>
      </c>
      <c r="B728" s="116">
        <v>1953.75</v>
      </c>
      <c r="C728" s="116">
        <v>1932.65</v>
      </c>
      <c r="D728" s="116">
        <v>1907.9</v>
      </c>
      <c r="E728" s="116">
        <v>1908.45</v>
      </c>
      <c r="F728" s="116">
        <v>1932.65</v>
      </c>
      <c r="G728">
        <v>3459</v>
      </c>
      <c r="H728" s="116"/>
      <c r="I728" s="116"/>
      <c r="L728" s="170">
        <v>44540</v>
      </c>
      <c r="M728" s="116">
        <v>1885.95</v>
      </c>
      <c r="N728" s="116">
        <v>1913.85</v>
      </c>
      <c r="O728" s="116">
        <v>1866.65</v>
      </c>
      <c r="P728" s="116">
        <v>1871</v>
      </c>
      <c r="Q728" s="116">
        <v>1885.95</v>
      </c>
      <c r="R728">
        <v>208385</v>
      </c>
    </row>
    <row r="729" spans="1:18" x14ac:dyDescent="0.25">
      <c r="A729" s="170">
        <v>44546</v>
      </c>
      <c r="B729" s="116">
        <v>1936.5</v>
      </c>
      <c r="C729" s="116">
        <v>1883.15</v>
      </c>
      <c r="D729" s="116">
        <v>1876.05</v>
      </c>
      <c r="E729" s="116">
        <v>1932</v>
      </c>
      <c r="F729" s="116">
        <v>1883.15</v>
      </c>
      <c r="G729">
        <v>16508</v>
      </c>
      <c r="H729" s="116"/>
      <c r="I729" s="116"/>
      <c r="L729" s="170">
        <v>44543</v>
      </c>
      <c r="M729" s="116">
        <v>1881.2</v>
      </c>
      <c r="N729" s="116">
        <v>1933.25</v>
      </c>
      <c r="O729" s="116">
        <v>1875</v>
      </c>
      <c r="P729" s="116">
        <v>1890</v>
      </c>
      <c r="Q729" s="116">
        <v>1881.2</v>
      </c>
      <c r="R729">
        <v>183601</v>
      </c>
    </row>
    <row r="730" spans="1:18" x14ac:dyDescent="0.25">
      <c r="A730" s="170">
        <v>44547</v>
      </c>
      <c r="B730" s="116">
        <v>1893.2</v>
      </c>
      <c r="C730" s="116">
        <v>1852.5</v>
      </c>
      <c r="D730" s="116">
        <v>1817.9</v>
      </c>
      <c r="E730" s="116">
        <v>1893.2</v>
      </c>
      <c r="F730" s="116">
        <v>1852.5</v>
      </c>
      <c r="G730">
        <v>3346</v>
      </c>
      <c r="H730" s="116"/>
      <c r="I730" s="116"/>
      <c r="L730" s="170">
        <v>44544</v>
      </c>
      <c r="M730" s="116">
        <v>1916.9</v>
      </c>
      <c r="N730" s="116">
        <v>1927.25</v>
      </c>
      <c r="O730" s="116">
        <v>1872</v>
      </c>
      <c r="P730" s="116">
        <v>1882</v>
      </c>
      <c r="Q730" s="116">
        <v>1916.9</v>
      </c>
      <c r="R730">
        <v>120147</v>
      </c>
    </row>
    <row r="731" spans="1:18" x14ac:dyDescent="0.25">
      <c r="A731" s="170">
        <v>44550</v>
      </c>
      <c r="B731" s="116">
        <v>1837.5</v>
      </c>
      <c r="C731" s="116">
        <v>1793.45</v>
      </c>
      <c r="D731" s="116">
        <v>1756.45</v>
      </c>
      <c r="E731" s="116">
        <v>1826.25</v>
      </c>
      <c r="F731" s="116">
        <v>1793.45</v>
      </c>
      <c r="G731">
        <v>71810</v>
      </c>
      <c r="H731" s="116"/>
      <c r="I731" s="116"/>
      <c r="L731" s="170">
        <v>44545</v>
      </c>
      <c r="M731" s="116">
        <v>1931.7</v>
      </c>
      <c r="N731" s="116">
        <v>1955.5</v>
      </c>
      <c r="O731" s="116">
        <v>1904.8</v>
      </c>
      <c r="P731" s="116">
        <v>1904.8</v>
      </c>
      <c r="Q731" s="116">
        <v>1931.7</v>
      </c>
      <c r="R731">
        <v>258674</v>
      </c>
    </row>
    <row r="732" spans="1:18" x14ac:dyDescent="0.25">
      <c r="A732" s="170">
        <v>44551</v>
      </c>
      <c r="B732" s="116">
        <v>1901.05</v>
      </c>
      <c r="C732" s="116">
        <v>1843.6</v>
      </c>
      <c r="D732" s="116">
        <v>1808</v>
      </c>
      <c r="E732" s="116">
        <v>1812.7</v>
      </c>
      <c r="F732" s="116">
        <v>1843.6</v>
      </c>
      <c r="G732">
        <v>50668</v>
      </c>
      <c r="H732" s="116"/>
      <c r="I732" s="116"/>
      <c r="L732" s="170">
        <v>44546</v>
      </c>
      <c r="M732" s="116">
        <v>1883.95</v>
      </c>
      <c r="N732" s="116">
        <v>1945</v>
      </c>
      <c r="O732" s="116">
        <v>1876.45</v>
      </c>
      <c r="P732" s="116">
        <v>1931.8</v>
      </c>
      <c r="Q732" s="116">
        <v>1883.95</v>
      </c>
      <c r="R732">
        <v>149434</v>
      </c>
    </row>
    <row r="733" spans="1:18" x14ac:dyDescent="0.25">
      <c r="A733" s="170">
        <v>44552</v>
      </c>
      <c r="B733" s="116">
        <v>1857.85</v>
      </c>
      <c r="C733" s="116">
        <v>1845.95</v>
      </c>
      <c r="D733" s="116">
        <v>1830.25</v>
      </c>
      <c r="E733" s="116">
        <v>1845</v>
      </c>
      <c r="F733" s="116">
        <v>1845.95</v>
      </c>
      <c r="G733">
        <v>7714</v>
      </c>
      <c r="H733" s="116"/>
      <c r="I733" s="116"/>
      <c r="L733" s="170">
        <v>44547</v>
      </c>
      <c r="M733" s="116">
        <v>1854.3</v>
      </c>
      <c r="N733" s="116">
        <v>1899.9</v>
      </c>
      <c r="O733" s="116">
        <v>1816.05</v>
      </c>
      <c r="P733" s="116">
        <v>1885</v>
      </c>
      <c r="Q733" s="116">
        <v>1854.3</v>
      </c>
      <c r="R733">
        <v>168550</v>
      </c>
    </row>
    <row r="734" spans="1:18" x14ac:dyDescent="0.25">
      <c r="A734" s="170">
        <v>44553</v>
      </c>
      <c r="B734" s="116">
        <v>1861.45</v>
      </c>
      <c r="C734" s="116">
        <v>1845.05</v>
      </c>
      <c r="D734" s="116">
        <v>1836.1</v>
      </c>
      <c r="E734" s="116">
        <v>1854.2</v>
      </c>
      <c r="F734" s="116">
        <v>1845.05</v>
      </c>
      <c r="G734">
        <v>2947</v>
      </c>
      <c r="H734" s="116"/>
      <c r="I734" s="116"/>
      <c r="L734" s="170">
        <v>44550</v>
      </c>
      <c r="M734" s="116">
        <v>1800.6</v>
      </c>
      <c r="N734" s="116">
        <v>1839.9</v>
      </c>
      <c r="O734" s="116">
        <v>1756.15</v>
      </c>
      <c r="P734" s="116">
        <v>1820</v>
      </c>
      <c r="Q734" s="116">
        <v>1800.6</v>
      </c>
      <c r="R734">
        <v>533825</v>
      </c>
    </row>
    <row r="735" spans="1:18" x14ac:dyDescent="0.25">
      <c r="A735" s="170">
        <v>44554</v>
      </c>
      <c r="B735" s="116">
        <v>1931.8</v>
      </c>
      <c r="C735" s="116">
        <v>1816.25</v>
      </c>
      <c r="D735" s="116">
        <v>1810.2</v>
      </c>
      <c r="E735" s="116">
        <v>1931.8</v>
      </c>
      <c r="F735" s="116">
        <v>1816.25</v>
      </c>
      <c r="G735">
        <v>78689</v>
      </c>
      <c r="H735" s="116"/>
      <c r="I735" s="116"/>
      <c r="L735" s="170">
        <v>44551</v>
      </c>
      <c r="M735" s="116">
        <v>1842.7</v>
      </c>
      <c r="N735" s="116">
        <v>1904</v>
      </c>
      <c r="O735" s="116">
        <v>1800.6</v>
      </c>
      <c r="P735" s="116">
        <v>1800.6</v>
      </c>
      <c r="Q735" s="116">
        <v>1842.7</v>
      </c>
      <c r="R735">
        <v>466605</v>
      </c>
    </row>
    <row r="736" spans="1:18" x14ac:dyDescent="0.25">
      <c r="A736" s="170">
        <v>44557</v>
      </c>
      <c r="B736" s="116">
        <v>1832</v>
      </c>
      <c r="C736" s="116">
        <v>1815.7</v>
      </c>
      <c r="D736" s="116">
        <v>1774.5</v>
      </c>
      <c r="E736" s="116">
        <v>1809.6</v>
      </c>
      <c r="F736" s="116">
        <v>1815.7</v>
      </c>
      <c r="G736">
        <v>62882</v>
      </c>
      <c r="H736" s="116"/>
      <c r="I736" s="116"/>
      <c r="L736" s="170">
        <v>44552</v>
      </c>
      <c r="M736" s="116">
        <v>1844.35</v>
      </c>
      <c r="N736" s="116">
        <v>1859</v>
      </c>
      <c r="O736" s="116">
        <v>1829.6</v>
      </c>
      <c r="P736" s="116">
        <v>1841.9</v>
      </c>
      <c r="Q736" s="116">
        <v>1844.35</v>
      </c>
      <c r="R736">
        <v>160788</v>
      </c>
    </row>
    <row r="737" spans="1:18" x14ac:dyDescent="0.25">
      <c r="A737" s="170">
        <v>44558</v>
      </c>
      <c r="B737" s="116">
        <v>1883.1</v>
      </c>
      <c r="C737" s="116">
        <v>1864.75</v>
      </c>
      <c r="D737" s="116">
        <v>1805</v>
      </c>
      <c r="E737" s="116">
        <v>1821.65</v>
      </c>
      <c r="F737" s="116">
        <v>1864.75</v>
      </c>
      <c r="G737">
        <v>20696</v>
      </c>
      <c r="H737" s="116"/>
      <c r="I737" s="116"/>
      <c r="L737" s="170">
        <v>44553</v>
      </c>
      <c r="M737" s="116">
        <v>1847</v>
      </c>
      <c r="N737" s="116">
        <v>1864.5</v>
      </c>
      <c r="O737" s="116">
        <v>1836.25</v>
      </c>
      <c r="P737" s="116">
        <v>1850.2</v>
      </c>
      <c r="Q737" s="116">
        <v>1847</v>
      </c>
      <c r="R737">
        <v>94019</v>
      </c>
    </row>
    <row r="738" spans="1:18" x14ac:dyDescent="0.25">
      <c r="A738" s="170">
        <v>44559</v>
      </c>
      <c r="B738" s="116">
        <v>1854.1</v>
      </c>
      <c r="C738" s="116">
        <v>1819.45</v>
      </c>
      <c r="D738" s="116">
        <v>1812</v>
      </c>
      <c r="E738" s="116">
        <v>1854.1</v>
      </c>
      <c r="F738" s="116">
        <v>1819.45</v>
      </c>
      <c r="G738">
        <v>8185</v>
      </c>
      <c r="H738" s="116"/>
      <c r="I738" s="116"/>
      <c r="L738" s="170">
        <v>44554</v>
      </c>
      <c r="M738" s="116">
        <v>1826.2</v>
      </c>
      <c r="N738" s="116">
        <v>1970</v>
      </c>
      <c r="O738" s="116">
        <v>1812</v>
      </c>
      <c r="P738" s="116">
        <v>1940</v>
      </c>
      <c r="Q738" s="116">
        <v>1826.2</v>
      </c>
      <c r="R738">
        <v>580031</v>
      </c>
    </row>
    <row r="739" spans="1:18" x14ac:dyDescent="0.25">
      <c r="A739" s="170">
        <v>44560</v>
      </c>
      <c r="B739" s="116">
        <v>1823.55</v>
      </c>
      <c r="C739" s="116">
        <v>1802.55</v>
      </c>
      <c r="D739" s="116">
        <v>1798</v>
      </c>
      <c r="E739" s="116">
        <v>1819.1</v>
      </c>
      <c r="F739" s="116">
        <v>1802.55</v>
      </c>
      <c r="G739">
        <v>2101</v>
      </c>
      <c r="H739" s="116"/>
      <c r="I739" s="116"/>
      <c r="L739" s="170">
        <v>44557</v>
      </c>
      <c r="M739" s="116">
        <v>1818.5</v>
      </c>
      <c r="N739" s="116">
        <v>1830</v>
      </c>
      <c r="O739" s="116">
        <v>1764.4</v>
      </c>
      <c r="P739" s="116">
        <v>1812</v>
      </c>
      <c r="Q739" s="116">
        <v>1818.5</v>
      </c>
      <c r="R739">
        <v>197907</v>
      </c>
    </row>
    <row r="740" spans="1:18" x14ac:dyDescent="0.25">
      <c r="A740" s="170">
        <v>44561</v>
      </c>
      <c r="B740" s="116">
        <v>1865</v>
      </c>
      <c r="C740" s="116">
        <v>1846.75</v>
      </c>
      <c r="D740" s="116">
        <v>1800.05</v>
      </c>
      <c r="E740" s="116">
        <v>1811.4</v>
      </c>
      <c r="F740" s="116">
        <v>1846.75</v>
      </c>
      <c r="G740">
        <v>10596</v>
      </c>
      <c r="H740" s="116"/>
      <c r="I740" s="116"/>
      <c r="L740" s="170">
        <v>44558</v>
      </c>
      <c r="M740" s="116">
        <v>1864.85</v>
      </c>
      <c r="N740" s="116">
        <v>1885</v>
      </c>
      <c r="O740" s="116">
        <v>1810</v>
      </c>
      <c r="P740" s="116">
        <v>1821.8</v>
      </c>
      <c r="Q740" s="116">
        <v>1864.85</v>
      </c>
      <c r="R740">
        <v>327619</v>
      </c>
    </row>
    <row r="741" spans="1:18" x14ac:dyDescent="0.25">
      <c r="A741" s="170">
        <v>44564</v>
      </c>
      <c r="B741" s="116">
        <v>1890.3</v>
      </c>
      <c r="C741" s="116">
        <v>1883.85</v>
      </c>
      <c r="D741" s="116">
        <v>1848.55</v>
      </c>
      <c r="E741" s="116">
        <v>1859.25</v>
      </c>
      <c r="F741" s="116">
        <v>1883.85</v>
      </c>
      <c r="G741">
        <v>2454</v>
      </c>
      <c r="H741" s="116"/>
      <c r="I741" s="116"/>
      <c r="L741" s="170">
        <v>44559</v>
      </c>
      <c r="M741" s="116">
        <v>1819.7</v>
      </c>
      <c r="N741" s="116">
        <v>1860.05</v>
      </c>
      <c r="O741" s="116">
        <v>1811</v>
      </c>
      <c r="P741" s="116">
        <v>1860</v>
      </c>
      <c r="Q741" s="116">
        <v>1819.7</v>
      </c>
      <c r="R741">
        <v>218603</v>
      </c>
    </row>
    <row r="742" spans="1:18" x14ac:dyDescent="0.25">
      <c r="A742" s="170">
        <v>44565</v>
      </c>
      <c r="B742" s="116">
        <v>1897.65</v>
      </c>
      <c r="C742" s="116">
        <v>1874.85</v>
      </c>
      <c r="D742" s="116">
        <v>1860.25</v>
      </c>
      <c r="E742" s="116">
        <v>1885.8</v>
      </c>
      <c r="F742" s="116">
        <v>1874.85</v>
      </c>
      <c r="G742">
        <v>4026</v>
      </c>
      <c r="H742" s="116"/>
      <c r="I742" s="116"/>
      <c r="L742" s="170">
        <v>44560</v>
      </c>
      <c r="M742" s="116">
        <v>1804.35</v>
      </c>
      <c r="N742" s="116">
        <v>1829.3</v>
      </c>
      <c r="O742" s="116">
        <v>1796.05</v>
      </c>
      <c r="P742" s="116">
        <v>1825</v>
      </c>
      <c r="Q742" s="116">
        <v>1804.35</v>
      </c>
      <c r="R742">
        <v>106510</v>
      </c>
    </row>
    <row r="743" spans="1:18" x14ac:dyDescent="0.25">
      <c r="A743" s="170">
        <v>44566</v>
      </c>
      <c r="B743" s="116">
        <v>1938.6</v>
      </c>
      <c r="C743" s="116">
        <v>1911.45</v>
      </c>
      <c r="D743" s="116">
        <v>1878.3</v>
      </c>
      <c r="E743" s="116">
        <v>1878.3</v>
      </c>
      <c r="F743" s="116">
        <v>1911.45</v>
      </c>
      <c r="G743">
        <v>6346</v>
      </c>
      <c r="H743" s="116"/>
      <c r="I743" s="116"/>
      <c r="L743" s="170">
        <v>44561</v>
      </c>
      <c r="M743" s="116">
        <v>1847.9</v>
      </c>
      <c r="N743" s="116">
        <v>1865.95</v>
      </c>
      <c r="O743" s="116">
        <v>1798.15</v>
      </c>
      <c r="P743" s="116">
        <v>1811</v>
      </c>
      <c r="Q743" s="116">
        <v>1847.9</v>
      </c>
      <c r="R743">
        <v>202493</v>
      </c>
    </row>
    <row r="744" spans="1:18" x14ac:dyDescent="0.25">
      <c r="A744" s="170">
        <v>44567</v>
      </c>
      <c r="B744" s="116">
        <v>1917.65</v>
      </c>
      <c r="C744" s="116">
        <v>1885.5</v>
      </c>
      <c r="D744" s="116">
        <v>1875.3</v>
      </c>
      <c r="E744" s="116">
        <v>1892.95</v>
      </c>
      <c r="F744" s="116">
        <v>1885.5</v>
      </c>
      <c r="G744">
        <v>7955</v>
      </c>
      <c r="H744" s="116"/>
      <c r="I744" s="116"/>
      <c r="L744" s="170">
        <v>44564</v>
      </c>
      <c r="M744" s="116">
        <v>1881.85</v>
      </c>
      <c r="N744" s="116">
        <v>1892.6</v>
      </c>
      <c r="O744" s="116">
        <v>1844.8</v>
      </c>
      <c r="P744" s="116">
        <v>1849.55</v>
      </c>
      <c r="Q744" s="116">
        <v>1881.85</v>
      </c>
      <c r="R744">
        <v>141011</v>
      </c>
    </row>
    <row r="745" spans="1:18" x14ac:dyDescent="0.25">
      <c r="A745" s="170">
        <v>44568</v>
      </c>
      <c r="B745" s="116">
        <v>1951.6</v>
      </c>
      <c r="C745" s="116">
        <v>1932.05</v>
      </c>
      <c r="D745" s="116">
        <v>1815.25</v>
      </c>
      <c r="E745" s="116">
        <v>1890</v>
      </c>
      <c r="F745" s="116">
        <v>1932.05</v>
      </c>
      <c r="G745">
        <v>23650</v>
      </c>
      <c r="H745" s="116"/>
      <c r="I745" s="116"/>
      <c r="L745" s="170">
        <v>44565</v>
      </c>
      <c r="M745" s="116">
        <v>1876.6</v>
      </c>
      <c r="N745" s="116">
        <v>1898.3</v>
      </c>
      <c r="O745" s="116">
        <v>1860.55</v>
      </c>
      <c r="P745" s="116">
        <v>1888</v>
      </c>
      <c r="Q745" s="116">
        <v>1876.6</v>
      </c>
      <c r="R745">
        <v>84425</v>
      </c>
    </row>
    <row r="746" spans="1:18" x14ac:dyDescent="0.25">
      <c r="A746" s="170">
        <v>44571</v>
      </c>
      <c r="B746" s="116">
        <v>1998.8</v>
      </c>
      <c r="C746" s="116">
        <v>1992.1</v>
      </c>
      <c r="D746" s="116">
        <v>1936.65</v>
      </c>
      <c r="E746" s="116">
        <v>1950</v>
      </c>
      <c r="F746" s="116">
        <v>1992.1</v>
      </c>
      <c r="G746">
        <v>18725</v>
      </c>
      <c r="H746" s="116"/>
      <c r="I746" s="116"/>
      <c r="L746" s="170">
        <v>44566</v>
      </c>
      <c r="M746" s="116">
        <v>1911.05</v>
      </c>
      <c r="N746" s="116">
        <v>1940</v>
      </c>
      <c r="O746" s="116">
        <v>1876.65</v>
      </c>
      <c r="P746" s="116">
        <v>1876.65</v>
      </c>
      <c r="Q746" s="116">
        <v>1911.05</v>
      </c>
      <c r="R746">
        <v>454090</v>
      </c>
    </row>
    <row r="747" spans="1:18" x14ac:dyDescent="0.25">
      <c r="A747" s="170">
        <v>44572</v>
      </c>
      <c r="B747" s="116">
        <v>2028</v>
      </c>
      <c r="C747" s="116">
        <v>1998.6</v>
      </c>
      <c r="D747" s="116">
        <v>1980.6</v>
      </c>
      <c r="E747" s="116">
        <v>2000</v>
      </c>
      <c r="F747" s="116">
        <v>1998.6</v>
      </c>
      <c r="G747">
        <v>5855</v>
      </c>
      <c r="H747" s="116"/>
      <c r="I747" s="116"/>
      <c r="L747" s="170">
        <v>44567</v>
      </c>
      <c r="M747" s="116">
        <v>1887.4</v>
      </c>
      <c r="N747" s="116">
        <v>1919.35</v>
      </c>
      <c r="O747" s="116">
        <v>1877</v>
      </c>
      <c r="P747" s="116">
        <v>1909.9</v>
      </c>
      <c r="Q747" s="116">
        <v>1887.4</v>
      </c>
      <c r="R747">
        <v>157688</v>
      </c>
    </row>
    <row r="748" spans="1:18" x14ac:dyDescent="0.25">
      <c r="A748" s="170">
        <v>44573</v>
      </c>
      <c r="B748" s="116">
        <v>2035.05</v>
      </c>
      <c r="C748" s="116">
        <v>2026.2</v>
      </c>
      <c r="D748" s="116">
        <v>2004.45</v>
      </c>
      <c r="E748" s="116">
        <v>2007.7</v>
      </c>
      <c r="F748" s="116">
        <v>2026.2</v>
      </c>
      <c r="G748">
        <v>2347</v>
      </c>
      <c r="H748" s="116"/>
      <c r="I748" s="116"/>
      <c r="L748" s="170">
        <v>44568</v>
      </c>
      <c r="M748" s="116">
        <v>1931.35</v>
      </c>
      <c r="N748" s="116">
        <v>1950.45</v>
      </c>
      <c r="O748" s="116">
        <v>1863</v>
      </c>
      <c r="P748" s="116">
        <v>1880</v>
      </c>
      <c r="Q748" s="116">
        <v>1931.35</v>
      </c>
      <c r="R748">
        <v>350551</v>
      </c>
    </row>
    <row r="749" spans="1:18" x14ac:dyDescent="0.25">
      <c r="A749" s="170">
        <v>44574</v>
      </c>
      <c r="B749" s="116">
        <v>2037.9</v>
      </c>
      <c r="C749" s="116">
        <v>2005.4</v>
      </c>
      <c r="D749" s="116">
        <v>1992.4</v>
      </c>
      <c r="E749" s="116">
        <v>2022.15</v>
      </c>
      <c r="F749" s="116">
        <v>2005.4</v>
      </c>
      <c r="G749">
        <v>3826</v>
      </c>
      <c r="H749" s="116"/>
      <c r="I749" s="116"/>
      <c r="L749" s="170">
        <v>44571</v>
      </c>
      <c r="M749" s="116">
        <v>1994.1</v>
      </c>
      <c r="N749" s="116">
        <v>1999</v>
      </c>
      <c r="O749" s="116">
        <v>1935.65</v>
      </c>
      <c r="P749" s="116">
        <v>1955</v>
      </c>
      <c r="Q749" s="116">
        <v>1994.1</v>
      </c>
      <c r="R749">
        <v>312571</v>
      </c>
    </row>
    <row r="750" spans="1:18" x14ac:dyDescent="0.25">
      <c r="A750" s="170">
        <v>44575</v>
      </c>
      <c r="B750" s="116">
        <v>2029</v>
      </c>
      <c r="C750" s="116">
        <v>2012.05</v>
      </c>
      <c r="D750" s="116">
        <v>1985</v>
      </c>
      <c r="E750" s="116">
        <v>2005.35</v>
      </c>
      <c r="F750" s="116">
        <v>2012.05</v>
      </c>
      <c r="G750">
        <v>4228</v>
      </c>
      <c r="H750" s="116"/>
      <c r="I750" s="116"/>
      <c r="L750" s="170">
        <v>44572</v>
      </c>
      <c r="M750" s="116">
        <v>1999.45</v>
      </c>
      <c r="N750" s="116">
        <v>2029</v>
      </c>
      <c r="O750" s="116">
        <v>1979.65</v>
      </c>
      <c r="P750" s="116">
        <v>2000</v>
      </c>
      <c r="Q750" s="116">
        <v>1999.45</v>
      </c>
      <c r="R750">
        <v>329006</v>
      </c>
    </row>
    <row r="751" spans="1:18" x14ac:dyDescent="0.25">
      <c r="A751" s="170">
        <v>44578</v>
      </c>
      <c r="B751" s="116">
        <v>2102.8000000000002</v>
      </c>
      <c r="C751" s="116">
        <v>2064.9499999999998</v>
      </c>
      <c r="D751" s="116">
        <v>2009.85</v>
      </c>
      <c r="E751" s="116">
        <v>2023.35</v>
      </c>
      <c r="F751" s="116">
        <v>2064.9499999999998</v>
      </c>
      <c r="G751">
        <v>8030</v>
      </c>
      <c r="H751" s="116"/>
      <c r="I751" s="116"/>
      <c r="L751" s="170">
        <v>44573</v>
      </c>
      <c r="M751" s="116">
        <v>2026.8</v>
      </c>
      <c r="N751" s="116">
        <v>2035</v>
      </c>
      <c r="O751" s="116">
        <v>2003</v>
      </c>
      <c r="P751" s="116">
        <v>2008.9</v>
      </c>
      <c r="Q751" s="116">
        <v>2026.8</v>
      </c>
      <c r="R751">
        <v>121956</v>
      </c>
    </row>
    <row r="752" spans="1:18" x14ac:dyDescent="0.25">
      <c r="A752" s="170">
        <v>44579</v>
      </c>
      <c r="B752" s="116">
        <v>2071.9</v>
      </c>
      <c r="C752" s="116">
        <v>1986</v>
      </c>
      <c r="D752" s="116">
        <v>1972.05</v>
      </c>
      <c r="E752" s="116">
        <v>2067.8000000000002</v>
      </c>
      <c r="F752" s="116">
        <v>1986</v>
      </c>
      <c r="G752">
        <v>7245</v>
      </c>
      <c r="H752" s="116"/>
      <c r="I752" s="116"/>
      <c r="L752" s="170">
        <v>44574</v>
      </c>
      <c r="M752" s="116">
        <v>2004.85</v>
      </c>
      <c r="N752" s="116">
        <v>2038</v>
      </c>
      <c r="O752" s="116">
        <v>1990.85</v>
      </c>
      <c r="P752" s="116">
        <v>2026.8</v>
      </c>
      <c r="Q752" s="116">
        <v>2004.85</v>
      </c>
      <c r="R752">
        <v>149076</v>
      </c>
    </row>
    <row r="753" spans="1:18" x14ac:dyDescent="0.25">
      <c r="A753" s="170">
        <v>44580</v>
      </c>
      <c r="B753" s="116">
        <v>2007.8</v>
      </c>
      <c r="C753" s="116">
        <v>1983.2</v>
      </c>
      <c r="D753" s="116">
        <v>1958</v>
      </c>
      <c r="E753" s="116">
        <v>1972.05</v>
      </c>
      <c r="F753" s="116">
        <v>1983.2</v>
      </c>
      <c r="G753">
        <v>10255</v>
      </c>
      <c r="H753" s="116"/>
      <c r="I753" s="116"/>
      <c r="L753" s="170">
        <v>44575</v>
      </c>
      <c r="M753" s="116">
        <v>2012.85</v>
      </c>
      <c r="N753" s="116">
        <v>2031</v>
      </c>
      <c r="O753" s="116">
        <v>1983.95</v>
      </c>
      <c r="P753" s="116">
        <v>2004.5</v>
      </c>
      <c r="Q753" s="116">
        <v>2012.85</v>
      </c>
      <c r="R753">
        <v>81064</v>
      </c>
    </row>
    <row r="754" spans="1:18" x14ac:dyDescent="0.25">
      <c r="A754" s="170">
        <v>44581</v>
      </c>
      <c r="B754" s="116">
        <v>2024.3</v>
      </c>
      <c r="C754" s="116">
        <v>1988</v>
      </c>
      <c r="D754" s="116">
        <v>1982.8</v>
      </c>
      <c r="E754" s="116">
        <v>1989.7</v>
      </c>
      <c r="F754" s="116">
        <v>1988</v>
      </c>
      <c r="G754">
        <v>2479</v>
      </c>
      <c r="H754" s="116"/>
      <c r="I754" s="116"/>
      <c r="L754" s="170">
        <v>44578</v>
      </c>
      <c r="M754" s="116">
        <v>2066.6999999999998</v>
      </c>
      <c r="N754" s="116">
        <v>2104.15</v>
      </c>
      <c r="O754" s="116">
        <v>2010</v>
      </c>
      <c r="P754" s="116">
        <v>2029</v>
      </c>
      <c r="Q754" s="116">
        <v>2066.6999999999998</v>
      </c>
      <c r="R754">
        <v>289553</v>
      </c>
    </row>
    <row r="755" spans="1:18" x14ac:dyDescent="0.25">
      <c r="A755" s="170">
        <v>44582</v>
      </c>
      <c r="B755" s="116">
        <v>2002.1</v>
      </c>
      <c r="C755" s="116">
        <v>1966.7</v>
      </c>
      <c r="D755" s="116">
        <v>1919.4</v>
      </c>
      <c r="E755" s="116">
        <v>1974.3</v>
      </c>
      <c r="F755" s="116">
        <v>1966.7</v>
      </c>
      <c r="G755">
        <v>57392</v>
      </c>
      <c r="H755" s="116"/>
      <c r="I755" s="116"/>
      <c r="L755" s="170">
        <v>44579</v>
      </c>
      <c r="M755" s="116">
        <v>1981.55</v>
      </c>
      <c r="N755" s="116">
        <v>2082</v>
      </c>
      <c r="O755" s="116">
        <v>1969.95</v>
      </c>
      <c r="P755" s="116">
        <v>2082</v>
      </c>
      <c r="Q755" s="116">
        <v>1981.55</v>
      </c>
      <c r="R755">
        <v>118647</v>
      </c>
    </row>
    <row r="756" spans="1:18" x14ac:dyDescent="0.25">
      <c r="A756" s="170">
        <v>44585</v>
      </c>
      <c r="B756" s="116">
        <v>1954.3</v>
      </c>
      <c r="C756" s="116">
        <v>1869.1</v>
      </c>
      <c r="D756" s="116">
        <v>1824</v>
      </c>
      <c r="E756" s="116">
        <v>1950.3</v>
      </c>
      <c r="F756" s="116">
        <v>1869.1</v>
      </c>
      <c r="G756">
        <v>11165</v>
      </c>
      <c r="H756" s="116"/>
      <c r="I756" s="116"/>
      <c r="L756" s="170">
        <v>44580</v>
      </c>
      <c r="M756" s="116">
        <v>1983.65</v>
      </c>
      <c r="N756" s="116">
        <v>2008.95</v>
      </c>
      <c r="O756" s="116">
        <v>1958</v>
      </c>
      <c r="P756" s="116">
        <v>1975</v>
      </c>
      <c r="Q756" s="116">
        <v>1983.65</v>
      </c>
      <c r="R756">
        <v>118696</v>
      </c>
    </row>
    <row r="757" spans="1:18" x14ac:dyDescent="0.25">
      <c r="A757" s="170">
        <v>44586</v>
      </c>
      <c r="B757" s="116">
        <v>1854</v>
      </c>
      <c r="C757" s="116">
        <v>1836.55</v>
      </c>
      <c r="D757" s="116">
        <v>1804.1</v>
      </c>
      <c r="E757" s="116">
        <v>1847.05</v>
      </c>
      <c r="F757" s="116">
        <v>1836.55</v>
      </c>
      <c r="G757">
        <v>7413</v>
      </c>
      <c r="H757" s="116"/>
      <c r="I757" s="116"/>
      <c r="L757" s="170">
        <v>44581</v>
      </c>
      <c r="M757" s="116">
        <v>1988.85</v>
      </c>
      <c r="N757" s="116">
        <v>2024.75</v>
      </c>
      <c r="O757" s="116">
        <v>1978</v>
      </c>
      <c r="P757" s="116">
        <v>1978</v>
      </c>
      <c r="Q757" s="116">
        <v>1988.85</v>
      </c>
      <c r="R757">
        <v>81786</v>
      </c>
    </row>
    <row r="758" spans="1:18" x14ac:dyDescent="0.25">
      <c r="A758" s="170">
        <v>44588</v>
      </c>
      <c r="B758" s="116">
        <v>1830</v>
      </c>
      <c r="C758" s="116">
        <v>1725</v>
      </c>
      <c r="D758" s="116">
        <v>1670.1</v>
      </c>
      <c r="E758" s="116">
        <v>1819.2</v>
      </c>
      <c r="F758" s="116">
        <v>1725</v>
      </c>
      <c r="G758">
        <v>20389</v>
      </c>
      <c r="H758" s="116"/>
      <c r="I758" s="116"/>
      <c r="L758" s="170">
        <v>44582</v>
      </c>
      <c r="M758" s="116">
        <v>1951.7</v>
      </c>
      <c r="N758" s="116">
        <v>2003.95</v>
      </c>
      <c r="O758" s="116">
        <v>1917.2</v>
      </c>
      <c r="P758" s="116">
        <v>1974</v>
      </c>
      <c r="Q758" s="116">
        <v>1951.7</v>
      </c>
      <c r="R758">
        <v>429037</v>
      </c>
    </row>
    <row r="759" spans="1:18" x14ac:dyDescent="0.25">
      <c r="A759" s="170">
        <v>44589</v>
      </c>
      <c r="B759" s="116">
        <v>1836.95</v>
      </c>
      <c r="C759" s="116">
        <v>1785.95</v>
      </c>
      <c r="D759" s="116">
        <v>1680.3</v>
      </c>
      <c r="E759" s="116">
        <v>1691.65</v>
      </c>
      <c r="F759" s="116">
        <v>1785.95</v>
      </c>
      <c r="G759">
        <v>16940</v>
      </c>
      <c r="H759" s="116"/>
      <c r="I759" s="116"/>
      <c r="L759" s="170">
        <v>44585</v>
      </c>
      <c r="M759" s="116">
        <v>1867.55</v>
      </c>
      <c r="N759" s="116">
        <v>1975.7</v>
      </c>
      <c r="O759" s="116">
        <v>1823.55</v>
      </c>
      <c r="P759" s="116">
        <v>1940.6</v>
      </c>
      <c r="Q759" s="116">
        <v>1867.55</v>
      </c>
      <c r="R759">
        <v>235536</v>
      </c>
    </row>
    <row r="760" spans="1:18" x14ac:dyDescent="0.25">
      <c r="A760" s="170">
        <v>44592</v>
      </c>
      <c r="B760" s="116">
        <v>1821.55</v>
      </c>
      <c r="C760" s="116">
        <v>1781.1</v>
      </c>
      <c r="D760" s="116">
        <v>1759.75</v>
      </c>
      <c r="E760" s="116">
        <v>1796.15</v>
      </c>
      <c r="F760" s="116">
        <v>1781.1</v>
      </c>
      <c r="G760">
        <v>7367</v>
      </c>
      <c r="H760" s="116"/>
      <c r="I760" s="116"/>
      <c r="L760" s="170">
        <v>44586</v>
      </c>
      <c r="M760" s="116">
        <v>1834.85</v>
      </c>
      <c r="N760" s="116">
        <v>1855.15</v>
      </c>
      <c r="O760" s="116">
        <v>1805.05</v>
      </c>
      <c r="P760" s="116">
        <v>1847</v>
      </c>
      <c r="Q760" s="116">
        <v>1834.85</v>
      </c>
      <c r="R760">
        <v>287522</v>
      </c>
    </row>
    <row r="761" spans="1:18" x14ac:dyDescent="0.25">
      <c r="A761" s="170">
        <v>44593</v>
      </c>
      <c r="B761" s="116">
        <v>1948.85</v>
      </c>
      <c r="C761" s="116">
        <v>1901.25</v>
      </c>
      <c r="D761" s="116">
        <v>1776.1</v>
      </c>
      <c r="E761" s="116">
        <v>1783.05</v>
      </c>
      <c r="F761" s="116">
        <v>1901.25</v>
      </c>
      <c r="G761">
        <v>29469</v>
      </c>
      <c r="H761" s="116"/>
      <c r="I761" s="116"/>
      <c r="L761" s="170">
        <v>44588</v>
      </c>
      <c r="M761" s="116">
        <v>1726.35</v>
      </c>
      <c r="N761" s="116">
        <v>1834.85</v>
      </c>
      <c r="O761" s="116">
        <v>1666</v>
      </c>
      <c r="P761" s="116">
        <v>1834.85</v>
      </c>
      <c r="Q761" s="116">
        <v>1726.35</v>
      </c>
      <c r="R761">
        <v>399267</v>
      </c>
    </row>
    <row r="762" spans="1:18" x14ac:dyDescent="0.25">
      <c r="A762" s="170">
        <v>44594</v>
      </c>
      <c r="B762" s="116">
        <v>1933.5</v>
      </c>
      <c r="C762" s="116">
        <v>1912.75</v>
      </c>
      <c r="D762" s="116">
        <v>1872.85</v>
      </c>
      <c r="E762" s="116">
        <v>1899.25</v>
      </c>
      <c r="F762" s="116">
        <v>1912.75</v>
      </c>
      <c r="G762">
        <v>66338</v>
      </c>
      <c r="H762" s="116"/>
      <c r="I762" s="116"/>
      <c r="L762" s="170">
        <v>44589</v>
      </c>
      <c r="M762" s="116">
        <v>1784.7</v>
      </c>
      <c r="N762" s="116">
        <v>1838.25</v>
      </c>
      <c r="O762" s="116">
        <v>1672.25</v>
      </c>
      <c r="P762" s="116">
        <v>1672.25</v>
      </c>
      <c r="Q762" s="116">
        <v>1784.7</v>
      </c>
      <c r="R762">
        <v>460321</v>
      </c>
    </row>
    <row r="763" spans="1:18" x14ac:dyDescent="0.25">
      <c r="A763" s="170">
        <v>44595</v>
      </c>
      <c r="B763" s="116">
        <v>1970.35</v>
      </c>
      <c r="C763" s="116">
        <v>1954.15</v>
      </c>
      <c r="D763" s="116">
        <v>1906.2</v>
      </c>
      <c r="E763" s="116">
        <v>1918.05</v>
      </c>
      <c r="F763" s="116">
        <v>1954.15</v>
      </c>
      <c r="G763">
        <v>42309</v>
      </c>
      <c r="H763" s="116"/>
      <c r="I763" s="116"/>
      <c r="L763" s="170">
        <v>44592</v>
      </c>
      <c r="M763" s="116">
        <v>1781.8</v>
      </c>
      <c r="N763" s="116">
        <v>1819.95</v>
      </c>
      <c r="O763" s="116">
        <v>1757.05</v>
      </c>
      <c r="P763" s="116">
        <v>1789.9</v>
      </c>
      <c r="Q763" s="116">
        <v>1781.8</v>
      </c>
      <c r="R763">
        <v>275088</v>
      </c>
    </row>
    <row r="764" spans="1:18" x14ac:dyDescent="0.25">
      <c r="A764" s="170">
        <v>44596</v>
      </c>
      <c r="B764" s="116">
        <v>1958.85</v>
      </c>
      <c r="C764" s="116">
        <v>1940.35</v>
      </c>
      <c r="D764" s="116">
        <v>1919.4</v>
      </c>
      <c r="E764" s="116">
        <v>1944.85</v>
      </c>
      <c r="F764" s="116">
        <v>1940.35</v>
      </c>
      <c r="G764">
        <v>8608</v>
      </c>
      <c r="H764" s="116"/>
      <c r="I764" s="116"/>
      <c r="L764" s="170">
        <v>44593</v>
      </c>
      <c r="M764" s="116">
        <v>1902.7</v>
      </c>
      <c r="N764" s="116">
        <v>1940</v>
      </c>
      <c r="O764" s="116">
        <v>1782.1</v>
      </c>
      <c r="P764" s="116">
        <v>1795</v>
      </c>
      <c r="Q764" s="116">
        <v>1902.7</v>
      </c>
      <c r="R764">
        <v>898614</v>
      </c>
    </row>
    <row r="765" spans="1:18" x14ac:dyDescent="0.25">
      <c r="A765" s="170">
        <v>44599</v>
      </c>
      <c r="B765" s="116">
        <v>1985</v>
      </c>
      <c r="C765" s="116">
        <v>1978.55</v>
      </c>
      <c r="D765" s="116">
        <v>1923.3</v>
      </c>
      <c r="E765" s="116">
        <v>1940</v>
      </c>
      <c r="F765" s="116">
        <v>1978.55</v>
      </c>
      <c r="G765">
        <v>25008</v>
      </c>
      <c r="H765" s="116"/>
      <c r="I765" s="116"/>
      <c r="L765" s="170">
        <v>44594</v>
      </c>
      <c r="M765" s="116">
        <v>1919.55</v>
      </c>
      <c r="N765" s="116">
        <v>1933.8</v>
      </c>
      <c r="O765" s="116">
        <v>1871.4</v>
      </c>
      <c r="P765" s="116">
        <v>1900.9</v>
      </c>
      <c r="Q765" s="116">
        <v>1919.55</v>
      </c>
      <c r="R765">
        <v>258631</v>
      </c>
    </row>
    <row r="766" spans="1:18" x14ac:dyDescent="0.25">
      <c r="A766" s="170">
        <v>44600</v>
      </c>
      <c r="B766" s="116">
        <v>2012.3</v>
      </c>
      <c r="C766" s="116">
        <v>1942.35</v>
      </c>
      <c r="D766" s="116">
        <v>1935.05</v>
      </c>
      <c r="E766" s="116">
        <v>1992.6</v>
      </c>
      <c r="F766" s="116">
        <v>1942.35</v>
      </c>
      <c r="G766">
        <v>6034</v>
      </c>
      <c r="H766" s="116"/>
      <c r="I766" s="116"/>
      <c r="L766" s="170">
        <v>44595</v>
      </c>
      <c r="M766" s="116">
        <v>1941.7</v>
      </c>
      <c r="N766" s="116">
        <v>1970.7</v>
      </c>
      <c r="O766" s="116">
        <v>1906.4</v>
      </c>
      <c r="P766" s="116">
        <v>1914</v>
      </c>
      <c r="Q766" s="116">
        <v>1941.7</v>
      </c>
      <c r="R766">
        <v>442397</v>
      </c>
    </row>
    <row r="767" spans="1:18" x14ac:dyDescent="0.25">
      <c r="A767" s="170">
        <v>44601</v>
      </c>
      <c r="B767" s="116">
        <v>1988.05</v>
      </c>
      <c r="C767" s="116">
        <v>1969.95</v>
      </c>
      <c r="D767" s="116">
        <v>1937.35</v>
      </c>
      <c r="E767" s="116">
        <v>1947.65</v>
      </c>
      <c r="F767" s="116">
        <v>1969.95</v>
      </c>
      <c r="G767">
        <v>5986</v>
      </c>
      <c r="H767" s="116"/>
      <c r="I767" s="116"/>
      <c r="L767" s="170">
        <v>44596</v>
      </c>
      <c r="M767" s="116">
        <v>1940.2</v>
      </c>
      <c r="N767" s="116">
        <v>1960</v>
      </c>
      <c r="O767" s="116">
        <v>1920.15</v>
      </c>
      <c r="P767" s="116">
        <v>1950</v>
      </c>
      <c r="Q767" s="116">
        <v>1940.2</v>
      </c>
      <c r="R767">
        <v>161686</v>
      </c>
    </row>
    <row r="768" spans="1:18" x14ac:dyDescent="0.25">
      <c r="A768" s="170">
        <v>44602</v>
      </c>
      <c r="B768" s="116">
        <v>1976.45</v>
      </c>
      <c r="C768" s="116">
        <v>1946.6</v>
      </c>
      <c r="D768" s="116">
        <v>1916.25</v>
      </c>
      <c r="E768" s="116">
        <v>1967.1</v>
      </c>
      <c r="F768" s="116">
        <v>1946.6</v>
      </c>
      <c r="G768">
        <v>32067</v>
      </c>
      <c r="H768" s="116"/>
      <c r="I768" s="116"/>
      <c r="L768" s="170">
        <v>44599</v>
      </c>
      <c r="M768" s="116">
        <v>1978.6</v>
      </c>
      <c r="N768" s="116">
        <v>1986.45</v>
      </c>
      <c r="O768" s="116">
        <v>1922.6</v>
      </c>
      <c r="P768" s="116">
        <v>1940.2</v>
      </c>
      <c r="Q768" s="116">
        <v>1978.6</v>
      </c>
      <c r="R768">
        <v>259444</v>
      </c>
    </row>
    <row r="769" spans="1:18" x14ac:dyDescent="0.25">
      <c r="A769" s="170">
        <v>44603</v>
      </c>
      <c r="B769" s="116">
        <v>1946.6</v>
      </c>
      <c r="C769" s="116">
        <v>1887.25</v>
      </c>
      <c r="D769" s="116">
        <v>1876.75</v>
      </c>
      <c r="E769" s="116">
        <v>1943.3</v>
      </c>
      <c r="F769" s="116">
        <v>1887.25</v>
      </c>
      <c r="G769">
        <v>3309</v>
      </c>
      <c r="H769" s="116"/>
      <c r="I769" s="116"/>
      <c r="L769" s="170">
        <v>44600</v>
      </c>
      <c r="M769" s="116">
        <v>1939.95</v>
      </c>
      <c r="N769" s="116">
        <v>2015</v>
      </c>
      <c r="O769" s="116">
        <v>1935</v>
      </c>
      <c r="P769" s="116">
        <v>1993.05</v>
      </c>
      <c r="Q769" s="116">
        <v>1939.95</v>
      </c>
      <c r="R769">
        <v>152058</v>
      </c>
    </row>
    <row r="770" spans="1:18" x14ac:dyDescent="0.25">
      <c r="A770" s="170">
        <v>44606</v>
      </c>
      <c r="B770" s="116">
        <v>1883.55</v>
      </c>
      <c r="C770" s="116">
        <v>1806.75</v>
      </c>
      <c r="D770" s="116">
        <v>1795</v>
      </c>
      <c r="E770" s="116">
        <v>1866</v>
      </c>
      <c r="F770" s="116">
        <v>1806.75</v>
      </c>
      <c r="G770">
        <v>6077</v>
      </c>
      <c r="H770" s="116"/>
      <c r="I770" s="116"/>
      <c r="L770" s="170">
        <v>44601</v>
      </c>
      <c r="M770" s="116">
        <v>1969.3</v>
      </c>
      <c r="N770" s="116">
        <v>1985.8</v>
      </c>
      <c r="O770" s="116">
        <v>1935.45</v>
      </c>
      <c r="P770" s="116">
        <v>1948.7</v>
      </c>
      <c r="Q770" s="116">
        <v>1969.3</v>
      </c>
      <c r="R770">
        <v>195396</v>
      </c>
    </row>
    <row r="771" spans="1:18" x14ac:dyDescent="0.25">
      <c r="A771" s="170">
        <v>44607</v>
      </c>
      <c r="B771" s="116">
        <v>1859</v>
      </c>
      <c r="C771" s="116">
        <v>1847.9</v>
      </c>
      <c r="D771" s="116">
        <v>1794.75</v>
      </c>
      <c r="E771" s="116">
        <v>1826.8</v>
      </c>
      <c r="F771" s="116">
        <v>1847.9</v>
      </c>
      <c r="G771">
        <v>6236</v>
      </c>
      <c r="H771" s="116"/>
      <c r="I771" s="116"/>
      <c r="L771" s="170">
        <v>44602</v>
      </c>
      <c r="M771" s="116">
        <v>1948.15</v>
      </c>
      <c r="N771" s="116">
        <v>1976.05</v>
      </c>
      <c r="O771" s="116">
        <v>1915</v>
      </c>
      <c r="P771" s="116">
        <v>1970.05</v>
      </c>
      <c r="Q771" s="116">
        <v>1948.15</v>
      </c>
      <c r="R771">
        <v>84587</v>
      </c>
    </row>
    <row r="772" spans="1:18" x14ac:dyDescent="0.25">
      <c r="A772" s="170">
        <v>44608</v>
      </c>
      <c r="B772" s="116">
        <v>1871.55</v>
      </c>
      <c r="C772" s="116">
        <v>1827.35</v>
      </c>
      <c r="D772" s="116">
        <v>1820</v>
      </c>
      <c r="E772" s="116">
        <v>1867.95</v>
      </c>
      <c r="F772" s="116">
        <v>1827.35</v>
      </c>
      <c r="G772">
        <v>1592</v>
      </c>
      <c r="H772" s="116"/>
      <c r="I772" s="116"/>
      <c r="L772" s="170">
        <v>44603</v>
      </c>
      <c r="M772" s="116">
        <v>1898.95</v>
      </c>
      <c r="N772" s="116">
        <v>1950.5</v>
      </c>
      <c r="O772" s="116">
        <v>1876</v>
      </c>
      <c r="P772" s="116">
        <v>1930.4</v>
      </c>
      <c r="Q772" s="116">
        <v>1898.95</v>
      </c>
      <c r="R772">
        <v>153632</v>
      </c>
    </row>
    <row r="773" spans="1:18" x14ac:dyDescent="0.25">
      <c r="A773" s="170">
        <v>44609</v>
      </c>
      <c r="B773" s="116">
        <v>1874.7</v>
      </c>
      <c r="C773" s="116">
        <v>1838.65</v>
      </c>
      <c r="D773" s="116">
        <v>1807.45</v>
      </c>
      <c r="E773" s="116">
        <v>1848.7</v>
      </c>
      <c r="F773" s="116">
        <v>1838.65</v>
      </c>
      <c r="G773">
        <v>63485</v>
      </c>
      <c r="H773" s="116"/>
      <c r="I773" s="116"/>
      <c r="L773" s="170">
        <v>44606</v>
      </c>
      <c r="M773" s="116">
        <v>1804.45</v>
      </c>
      <c r="N773" s="116">
        <v>1883.3</v>
      </c>
      <c r="O773" s="116">
        <v>1793.3</v>
      </c>
      <c r="P773" s="116">
        <v>1852</v>
      </c>
      <c r="Q773" s="116">
        <v>1804.45</v>
      </c>
      <c r="R773">
        <v>121456</v>
      </c>
    </row>
    <row r="774" spans="1:18" x14ac:dyDescent="0.25">
      <c r="A774" s="170">
        <v>44610</v>
      </c>
      <c r="B774" s="116">
        <v>1831.65</v>
      </c>
      <c r="C774" s="116">
        <v>1788.55</v>
      </c>
      <c r="D774" s="116">
        <v>1761.6</v>
      </c>
      <c r="E774" s="116">
        <v>1830</v>
      </c>
      <c r="F774" s="116">
        <v>1788.55</v>
      </c>
      <c r="G774">
        <v>15328</v>
      </c>
      <c r="H774" s="116"/>
      <c r="I774" s="116"/>
      <c r="L774" s="170">
        <v>44607</v>
      </c>
      <c r="M774" s="116">
        <v>1854.6</v>
      </c>
      <c r="N774" s="116">
        <v>1860</v>
      </c>
      <c r="O774" s="116">
        <v>1791.8</v>
      </c>
      <c r="P774" s="116">
        <v>1810</v>
      </c>
      <c r="Q774" s="116">
        <v>1854.6</v>
      </c>
      <c r="R774">
        <v>175484</v>
      </c>
    </row>
    <row r="775" spans="1:18" x14ac:dyDescent="0.25">
      <c r="A775" s="170">
        <v>44613</v>
      </c>
      <c r="B775" s="116">
        <v>1791.1</v>
      </c>
      <c r="C775" s="116">
        <v>1740.1</v>
      </c>
      <c r="D775" s="116">
        <v>1730.55</v>
      </c>
      <c r="E775" s="116">
        <v>1775.2</v>
      </c>
      <c r="F775" s="116">
        <v>1740.1</v>
      </c>
      <c r="G775">
        <v>3265</v>
      </c>
      <c r="H775" s="116"/>
      <c r="I775" s="116"/>
      <c r="L775" s="170">
        <v>44608</v>
      </c>
      <c r="M775" s="116">
        <v>1830.3</v>
      </c>
      <c r="N775" s="116">
        <v>1873.5</v>
      </c>
      <c r="O775" s="116">
        <v>1818</v>
      </c>
      <c r="P775" s="116">
        <v>1864.75</v>
      </c>
      <c r="Q775" s="116">
        <v>1830.3</v>
      </c>
      <c r="R775">
        <v>71239</v>
      </c>
    </row>
    <row r="776" spans="1:18" x14ac:dyDescent="0.25">
      <c r="A776" s="170">
        <v>44614</v>
      </c>
      <c r="B776" s="116">
        <v>1729</v>
      </c>
      <c r="C776" s="116">
        <v>1689.15</v>
      </c>
      <c r="D776" s="116">
        <v>1653.05</v>
      </c>
      <c r="E776" s="116">
        <v>1701.2</v>
      </c>
      <c r="F776" s="116">
        <v>1689.15</v>
      </c>
      <c r="G776">
        <v>10084</v>
      </c>
      <c r="H776" s="116"/>
      <c r="I776" s="116"/>
      <c r="L776" s="170">
        <v>44609</v>
      </c>
      <c r="M776" s="116">
        <v>1842.85</v>
      </c>
      <c r="N776" s="116">
        <v>1865</v>
      </c>
      <c r="O776" s="116">
        <v>1805.65</v>
      </c>
      <c r="P776" s="116">
        <v>1835</v>
      </c>
      <c r="Q776" s="116">
        <v>1842.85</v>
      </c>
      <c r="R776">
        <v>384735</v>
      </c>
    </row>
    <row r="777" spans="1:18" x14ac:dyDescent="0.25">
      <c r="A777" s="170">
        <v>44615</v>
      </c>
      <c r="B777" s="116">
        <v>1708.7</v>
      </c>
      <c r="C777" s="116">
        <v>1656</v>
      </c>
      <c r="D777" s="116">
        <v>1648.8</v>
      </c>
      <c r="E777" s="116">
        <v>1708.7</v>
      </c>
      <c r="F777" s="116">
        <v>1656</v>
      </c>
      <c r="G777">
        <v>6151</v>
      </c>
      <c r="H777" s="116"/>
      <c r="I777" s="116"/>
      <c r="L777" s="170">
        <v>44610</v>
      </c>
      <c r="M777" s="116">
        <v>1789.05</v>
      </c>
      <c r="N777" s="116">
        <v>1836.45</v>
      </c>
      <c r="O777" s="116">
        <v>1761.15</v>
      </c>
      <c r="P777" s="116">
        <v>1827.1</v>
      </c>
      <c r="Q777" s="116">
        <v>1789.05</v>
      </c>
      <c r="R777">
        <v>317609</v>
      </c>
    </row>
    <row r="778" spans="1:18" x14ac:dyDescent="0.25">
      <c r="A778" s="170">
        <v>44616</v>
      </c>
      <c r="B778" s="116">
        <v>1621.95</v>
      </c>
      <c r="C778" s="116">
        <v>1528.8</v>
      </c>
      <c r="D778" s="116">
        <v>1512.65</v>
      </c>
      <c r="E778" s="116">
        <v>1558</v>
      </c>
      <c r="F778" s="116">
        <v>1528.8</v>
      </c>
      <c r="G778">
        <v>12464</v>
      </c>
      <c r="H778" s="116"/>
      <c r="I778" s="116"/>
      <c r="L778" s="170">
        <v>44613</v>
      </c>
      <c r="M778" s="116">
        <v>1739.15</v>
      </c>
      <c r="N778" s="116">
        <v>1798.9</v>
      </c>
      <c r="O778" s="116">
        <v>1730.1</v>
      </c>
      <c r="P778" s="116">
        <v>1779.05</v>
      </c>
      <c r="Q778" s="116">
        <v>1739.15</v>
      </c>
      <c r="R778">
        <v>89264</v>
      </c>
    </row>
    <row r="779" spans="1:18" x14ac:dyDescent="0.25">
      <c r="A779" s="170">
        <v>44617</v>
      </c>
      <c r="B779" s="116">
        <v>1621.8</v>
      </c>
      <c r="C779" s="116">
        <v>1576.8</v>
      </c>
      <c r="D779" s="116">
        <v>1539.05</v>
      </c>
      <c r="E779" s="116">
        <v>1539.05</v>
      </c>
      <c r="F779" s="116">
        <v>1576.8</v>
      </c>
      <c r="G779">
        <v>11192</v>
      </c>
      <c r="H779" s="116"/>
      <c r="I779" s="116"/>
      <c r="L779" s="170">
        <v>44614</v>
      </c>
      <c r="M779" s="116">
        <v>1686.25</v>
      </c>
      <c r="N779" s="116">
        <v>1732.15</v>
      </c>
      <c r="O779" s="116">
        <v>1653.25</v>
      </c>
      <c r="P779" s="116">
        <v>1705</v>
      </c>
      <c r="Q779" s="116">
        <v>1686.25</v>
      </c>
      <c r="R779">
        <v>292670</v>
      </c>
    </row>
    <row r="780" spans="1:18" x14ac:dyDescent="0.25">
      <c r="A780" s="170">
        <v>44620</v>
      </c>
      <c r="B780" s="116">
        <v>1591.75</v>
      </c>
      <c r="C780" s="116">
        <v>1564.45</v>
      </c>
      <c r="D780" s="116">
        <v>1493.65</v>
      </c>
      <c r="E780" s="116">
        <v>1567.15</v>
      </c>
      <c r="F780" s="116">
        <v>1564.45</v>
      </c>
      <c r="G780">
        <v>38131</v>
      </c>
      <c r="H780" s="116"/>
      <c r="I780" s="116"/>
      <c r="L780" s="170">
        <v>44615</v>
      </c>
      <c r="M780" s="116">
        <v>1654.25</v>
      </c>
      <c r="N780" s="116">
        <v>1708.05</v>
      </c>
      <c r="O780" s="116">
        <v>1648.3</v>
      </c>
      <c r="P780" s="116">
        <v>1708.05</v>
      </c>
      <c r="Q780" s="116">
        <v>1654.25</v>
      </c>
      <c r="R780">
        <v>173698</v>
      </c>
    </row>
    <row r="781" spans="1:18" x14ac:dyDescent="0.25">
      <c r="A781" s="170">
        <v>44622</v>
      </c>
      <c r="B781" s="116">
        <v>1560.25</v>
      </c>
      <c r="C781" s="116">
        <v>1516.1</v>
      </c>
      <c r="D781" s="116">
        <v>1485</v>
      </c>
      <c r="E781" s="116">
        <v>1552.7</v>
      </c>
      <c r="F781" s="116">
        <v>1516.1</v>
      </c>
      <c r="G781">
        <v>13615</v>
      </c>
      <c r="H781" s="116"/>
      <c r="I781" s="116"/>
      <c r="L781" s="170">
        <v>44616</v>
      </c>
      <c r="M781" s="116">
        <v>1536.85</v>
      </c>
      <c r="N781" s="116">
        <v>1623.75</v>
      </c>
      <c r="O781" s="116">
        <v>1512.55</v>
      </c>
      <c r="P781" s="116">
        <v>1571.1</v>
      </c>
      <c r="Q781" s="116">
        <v>1536.85</v>
      </c>
      <c r="R781">
        <v>516658</v>
      </c>
    </row>
    <row r="782" spans="1:18" x14ac:dyDescent="0.25">
      <c r="A782" s="170">
        <v>44623</v>
      </c>
      <c r="B782" s="116">
        <v>1543</v>
      </c>
      <c r="C782" s="116">
        <v>1430.35</v>
      </c>
      <c r="D782" s="116">
        <v>1422</v>
      </c>
      <c r="E782" s="116">
        <v>1543</v>
      </c>
      <c r="F782" s="116">
        <v>1430.35</v>
      </c>
      <c r="G782">
        <v>10507</v>
      </c>
      <c r="H782" s="116"/>
      <c r="I782" s="116"/>
      <c r="L782" s="170">
        <v>44617</v>
      </c>
      <c r="M782" s="116">
        <v>1574.85</v>
      </c>
      <c r="N782" s="116">
        <v>1620.75</v>
      </c>
      <c r="O782" s="116">
        <v>1536.85</v>
      </c>
      <c r="P782" s="116">
        <v>1536.85</v>
      </c>
      <c r="Q782" s="116">
        <v>1574.85</v>
      </c>
      <c r="R782">
        <v>482562</v>
      </c>
    </row>
    <row r="783" spans="1:18" x14ac:dyDescent="0.25">
      <c r="A783" s="170">
        <v>44624</v>
      </c>
      <c r="B783" s="116">
        <v>1454.4</v>
      </c>
      <c r="C783" s="116">
        <v>1407.25</v>
      </c>
      <c r="D783" s="116">
        <v>1352.85</v>
      </c>
      <c r="E783" s="116">
        <v>1426.05</v>
      </c>
      <c r="F783" s="116">
        <v>1407.25</v>
      </c>
      <c r="G783">
        <v>20663</v>
      </c>
      <c r="H783" s="116"/>
      <c r="I783" s="116"/>
      <c r="L783" s="170">
        <v>44620</v>
      </c>
      <c r="M783" s="116">
        <v>1567</v>
      </c>
      <c r="N783" s="116">
        <v>1598</v>
      </c>
      <c r="O783" s="116">
        <v>1493.15</v>
      </c>
      <c r="P783" s="116">
        <v>1569</v>
      </c>
      <c r="Q783" s="116">
        <v>1567</v>
      </c>
      <c r="R783">
        <v>462614</v>
      </c>
    </row>
    <row r="784" spans="1:18" x14ac:dyDescent="0.25">
      <c r="A784" s="170">
        <v>44627</v>
      </c>
      <c r="B784" s="116">
        <v>1365.2</v>
      </c>
      <c r="C784" s="116">
        <v>1331.65</v>
      </c>
      <c r="D784" s="116">
        <v>1290</v>
      </c>
      <c r="E784" s="116">
        <v>1357.55</v>
      </c>
      <c r="F784" s="116">
        <v>1331.65</v>
      </c>
      <c r="G784">
        <v>32057</v>
      </c>
      <c r="H784" s="116"/>
      <c r="I784" s="116"/>
      <c r="L784" s="170">
        <v>44622</v>
      </c>
      <c r="M784" s="116">
        <v>1517.35</v>
      </c>
      <c r="N784" s="116">
        <v>1560.35</v>
      </c>
      <c r="O784" s="116">
        <v>1485</v>
      </c>
      <c r="P784" s="116">
        <v>1560</v>
      </c>
      <c r="Q784" s="116">
        <v>1517.35</v>
      </c>
      <c r="R784">
        <v>401048</v>
      </c>
    </row>
    <row r="785" spans="1:18" x14ac:dyDescent="0.25">
      <c r="A785" s="170">
        <v>44628</v>
      </c>
      <c r="B785" s="116">
        <v>1370</v>
      </c>
      <c r="C785" s="116">
        <v>1361.85</v>
      </c>
      <c r="D785" s="116">
        <v>1279.45</v>
      </c>
      <c r="E785" s="116">
        <v>1323.95</v>
      </c>
      <c r="F785" s="116">
        <v>1361.85</v>
      </c>
      <c r="G785">
        <v>68905</v>
      </c>
      <c r="H785" s="116"/>
      <c r="I785" s="116"/>
      <c r="L785" s="170">
        <v>44623</v>
      </c>
      <c r="M785" s="116">
        <v>1426.8</v>
      </c>
      <c r="N785" s="116">
        <v>1548.8</v>
      </c>
      <c r="O785" s="116">
        <v>1420.85</v>
      </c>
      <c r="P785" s="116">
        <v>1521</v>
      </c>
      <c r="Q785" s="116">
        <v>1426.8</v>
      </c>
      <c r="R785">
        <v>369623</v>
      </c>
    </row>
    <row r="786" spans="1:18" x14ac:dyDescent="0.25">
      <c r="A786" s="170">
        <v>44629</v>
      </c>
      <c r="B786" s="116">
        <v>1479.9</v>
      </c>
      <c r="C786" s="116">
        <v>1468.3</v>
      </c>
      <c r="D786" s="116">
        <v>1365.85</v>
      </c>
      <c r="E786" s="116">
        <v>1371.55</v>
      </c>
      <c r="F786" s="116">
        <v>1468.3</v>
      </c>
      <c r="G786">
        <v>11805</v>
      </c>
      <c r="H786" s="116"/>
      <c r="I786" s="116"/>
      <c r="L786" s="170">
        <v>44624</v>
      </c>
      <c r="M786" s="116">
        <v>1404.4</v>
      </c>
      <c r="N786" s="116">
        <v>1454.95</v>
      </c>
      <c r="O786" s="116">
        <v>1353.2</v>
      </c>
      <c r="P786" s="116">
        <v>1423.6</v>
      </c>
      <c r="Q786" s="116">
        <v>1404.4</v>
      </c>
      <c r="R786">
        <v>478418</v>
      </c>
    </row>
    <row r="787" spans="1:18" x14ac:dyDescent="0.25">
      <c r="A787" s="170">
        <v>44630</v>
      </c>
      <c r="B787" s="116">
        <v>1525.25</v>
      </c>
      <c r="C787" s="116">
        <v>1481.85</v>
      </c>
      <c r="D787" s="116">
        <v>1444</v>
      </c>
      <c r="E787" s="116">
        <v>1500</v>
      </c>
      <c r="F787" s="116">
        <v>1481.85</v>
      </c>
      <c r="G787">
        <v>23466</v>
      </c>
      <c r="H787" s="116"/>
      <c r="I787" s="116"/>
      <c r="L787" s="170">
        <v>44627</v>
      </c>
      <c r="M787" s="116">
        <v>1331</v>
      </c>
      <c r="N787" s="116">
        <v>1373.9</v>
      </c>
      <c r="O787" s="116">
        <v>1290.1500000000001</v>
      </c>
      <c r="P787" s="116">
        <v>1359</v>
      </c>
      <c r="Q787" s="116">
        <v>1331</v>
      </c>
      <c r="R787">
        <v>553126</v>
      </c>
    </row>
    <row r="788" spans="1:18" x14ac:dyDescent="0.25">
      <c r="A788" s="170">
        <v>44631</v>
      </c>
      <c r="B788" s="116">
        <v>1480.3</v>
      </c>
      <c r="C788" s="116">
        <v>1433.6</v>
      </c>
      <c r="D788" s="116">
        <v>1402.3</v>
      </c>
      <c r="E788" s="116">
        <v>1470</v>
      </c>
      <c r="F788" s="116">
        <v>1433.6</v>
      </c>
      <c r="G788">
        <v>15656</v>
      </c>
      <c r="H788" s="116"/>
      <c r="I788" s="116"/>
      <c r="L788" s="170">
        <v>44628</v>
      </c>
      <c r="M788" s="116">
        <v>1362.25</v>
      </c>
      <c r="N788" s="116">
        <v>1379.7</v>
      </c>
      <c r="O788" s="116">
        <v>1278.1500000000001</v>
      </c>
      <c r="P788" s="116">
        <v>1326.1</v>
      </c>
      <c r="Q788" s="116">
        <v>1362.25</v>
      </c>
      <c r="R788">
        <v>573703</v>
      </c>
    </row>
    <row r="789" spans="1:18" x14ac:dyDescent="0.25">
      <c r="A789" s="170">
        <v>44634</v>
      </c>
      <c r="B789" s="116">
        <v>1435</v>
      </c>
      <c r="C789" s="116">
        <v>1410.8</v>
      </c>
      <c r="D789" s="116">
        <v>1379.85</v>
      </c>
      <c r="E789" s="116">
        <v>1435</v>
      </c>
      <c r="F789" s="116">
        <v>1410.8</v>
      </c>
      <c r="G789">
        <v>14685</v>
      </c>
      <c r="H789" s="116"/>
      <c r="I789" s="116"/>
      <c r="L789" s="170">
        <v>44629</v>
      </c>
      <c r="M789" s="116">
        <v>1465.1</v>
      </c>
      <c r="N789" s="116">
        <v>1475.9</v>
      </c>
      <c r="O789" s="116">
        <v>1362.25</v>
      </c>
      <c r="P789" s="116">
        <v>1366.4</v>
      </c>
      <c r="Q789" s="116">
        <v>1465.1</v>
      </c>
      <c r="R789">
        <v>442885</v>
      </c>
    </row>
    <row r="790" spans="1:18" x14ac:dyDescent="0.25">
      <c r="A790" s="170">
        <v>44635</v>
      </c>
      <c r="B790" s="116">
        <v>1473.4</v>
      </c>
      <c r="C790" s="116">
        <v>1422.35</v>
      </c>
      <c r="D790" s="116">
        <v>1403.7</v>
      </c>
      <c r="E790" s="116">
        <v>1423.2</v>
      </c>
      <c r="F790" s="116">
        <v>1422.35</v>
      </c>
      <c r="G790">
        <v>13289</v>
      </c>
      <c r="H790" s="116"/>
      <c r="I790" s="116"/>
      <c r="L790" s="170">
        <v>44630</v>
      </c>
      <c r="M790" s="116">
        <v>1482.15</v>
      </c>
      <c r="N790" s="116">
        <v>1529.95</v>
      </c>
      <c r="O790" s="116">
        <v>1442.7</v>
      </c>
      <c r="P790" s="116">
        <v>1515.1</v>
      </c>
      <c r="Q790" s="116">
        <v>1482.15</v>
      </c>
      <c r="R790">
        <v>466778</v>
      </c>
    </row>
    <row r="791" spans="1:18" x14ac:dyDescent="0.25">
      <c r="A791" s="170">
        <v>44636</v>
      </c>
      <c r="B791" s="116">
        <v>1481.85</v>
      </c>
      <c r="C791" s="116">
        <v>1474.3</v>
      </c>
      <c r="D791" s="116">
        <v>1427.7</v>
      </c>
      <c r="E791" s="116">
        <v>1437.1</v>
      </c>
      <c r="F791" s="116">
        <v>1474.3</v>
      </c>
      <c r="G791">
        <v>5384</v>
      </c>
      <c r="H791" s="116"/>
      <c r="I791" s="116"/>
      <c r="L791" s="170">
        <v>44631</v>
      </c>
      <c r="M791" s="116">
        <v>1429.85</v>
      </c>
      <c r="N791" s="116">
        <v>1480</v>
      </c>
      <c r="O791" s="116">
        <v>1402</v>
      </c>
      <c r="P791" s="116">
        <v>1473.5</v>
      </c>
      <c r="Q791" s="116">
        <v>1429.85</v>
      </c>
      <c r="R791">
        <v>449351</v>
      </c>
    </row>
    <row r="792" spans="1:18" x14ac:dyDescent="0.25">
      <c r="A792" s="170">
        <v>44637</v>
      </c>
      <c r="B792" s="116">
        <v>1521.85</v>
      </c>
      <c r="C792" s="116">
        <v>1458.7</v>
      </c>
      <c r="D792" s="116">
        <v>1450.35</v>
      </c>
      <c r="E792" s="116">
        <v>1489.95</v>
      </c>
      <c r="F792" s="116">
        <v>1458.7</v>
      </c>
      <c r="G792">
        <v>11895</v>
      </c>
      <c r="H792" s="116"/>
      <c r="I792" s="116"/>
      <c r="L792" s="170">
        <v>44634</v>
      </c>
      <c r="M792" s="116">
        <v>1407.4</v>
      </c>
      <c r="N792" s="116">
        <v>1429</v>
      </c>
      <c r="O792" s="116">
        <v>1378.15</v>
      </c>
      <c r="P792" s="116">
        <v>1415</v>
      </c>
      <c r="Q792" s="116">
        <v>1407.4</v>
      </c>
      <c r="R792">
        <v>313954</v>
      </c>
    </row>
    <row r="793" spans="1:18" x14ac:dyDescent="0.25">
      <c r="A793" s="170">
        <v>44641</v>
      </c>
      <c r="B793" s="116">
        <v>1454.75</v>
      </c>
      <c r="C793" s="116">
        <v>1430.05</v>
      </c>
      <c r="D793" s="116">
        <v>1413.35</v>
      </c>
      <c r="E793" s="116">
        <v>1451.9</v>
      </c>
      <c r="F793" s="116">
        <v>1430.05</v>
      </c>
      <c r="G793">
        <v>8789</v>
      </c>
      <c r="H793" s="116"/>
      <c r="I793" s="116"/>
      <c r="L793" s="170">
        <v>44635</v>
      </c>
      <c r="M793" s="116">
        <v>1423.8</v>
      </c>
      <c r="N793" s="116">
        <v>1474.9</v>
      </c>
      <c r="O793" s="116">
        <v>1405.05</v>
      </c>
      <c r="P793" s="116">
        <v>1421.75</v>
      </c>
      <c r="Q793" s="116">
        <v>1423.8</v>
      </c>
      <c r="R793">
        <v>389816</v>
      </c>
    </row>
    <row r="794" spans="1:18" x14ac:dyDescent="0.25">
      <c r="A794" s="170">
        <v>44642</v>
      </c>
      <c r="B794" s="116">
        <v>1431.5</v>
      </c>
      <c r="C794" s="116">
        <v>1422.15</v>
      </c>
      <c r="D794" s="116">
        <v>1398.05</v>
      </c>
      <c r="E794" s="116">
        <v>1420.85</v>
      </c>
      <c r="F794" s="116">
        <v>1422.15</v>
      </c>
      <c r="G794">
        <v>7099</v>
      </c>
      <c r="H794" s="116"/>
      <c r="I794" s="116"/>
      <c r="L794" s="170">
        <v>44636</v>
      </c>
      <c r="M794" s="116">
        <v>1473.6</v>
      </c>
      <c r="N794" s="116">
        <v>1482</v>
      </c>
      <c r="O794" s="116">
        <v>1425.75</v>
      </c>
      <c r="P794" s="116">
        <v>1451.8</v>
      </c>
      <c r="Q794" s="116">
        <v>1473.6</v>
      </c>
      <c r="R794">
        <v>405627</v>
      </c>
    </row>
    <row r="795" spans="1:18" x14ac:dyDescent="0.25">
      <c r="A795" s="170">
        <v>44643</v>
      </c>
      <c r="B795" s="116">
        <v>1438.05</v>
      </c>
      <c r="C795" s="116">
        <v>1407.05</v>
      </c>
      <c r="D795" s="116">
        <v>1392.8</v>
      </c>
      <c r="E795" s="116">
        <v>1428.35</v>
      </c>
      <c r="F795" s="116">
        <v>1407.05</v>
      </c>
      <c r="G795">
        <v>2704</v>
      </c>
      <c r="H795" s="116"/>
      <c r="I795" s="116"/>
      <c r="L795" s="170">
        <v>44637</v>
      </c>
      <c r="M795" s="116">
        <v>1460.25</v>
      </c>
      <c r="N795" s="116">
        <v>1523.4</v>
      </c>
      <c r="O795" s="116">
        <v>1450.6</v>
      </c>
      <c r="P795" s="116">
        <v>1490</v>
      </c>
      <c r="Q795" s="116">
        <v>1460.25</v>
      </c>
      <c r="R795">
        <v>352511</v>
      </c>
    </row>
    <row r="796" spans="1:18" x14ac:dyDescent="0.25">
      <c r="A796" s="170">
        <v>44644</v>
      </c>
      <c r="B796" s="116">
        <v>1411</v>
      </c>
      <c r="C796" s="116">
        <v>1388.4</v>
      </c>
      <c r="D796" s="116">
        <v>1384</v>
      </c>
      <c r="E796" s="116">
        <v>1396.45</v>
      </c>
      <c r="F796" s="116">
        <v>1388.4</v>
      </c>
      <c r="G796">
        <v>4216</v>
      </c>
      <c r="H796" s="116"/>
      <c r="I796" s="116"/>
      <c r="L796" s="170">
        <v>44641</v>
      </c>
      <c r="M796" s="116">
        <v>1425.15</v>
      </c>
      <c r="N796" s="116">
        <v>1460</v>
      </c>
      <c r="O796" s="116">
        <v>1412.35</v>
      </c>
      <c r="P796" s="116">
        <v>1460</v>
      </c>
      <c r="Q796" s="116">
        <v>1425.15</v>
      </c>
      <c r="R796">
        <v>277487</v>
      </c>
    </row>
    <row r="797" spans="1:18" x14ac:dyDescent="0.25">
      <c r="A797" s="170">
        <v>44645</v>
      </c>
      <c r="B797" s="116">
        <v>1400</v>
      </c>
      <c r="C797" s="116">
        <v>1362.35</v>
      </c>
      <c r="D797" s="116">
        <v>1354.1</v>
      </c>
      <c r="E797" s="116">
        <v>1399.85</v>
      </c>
      <c r="F797" s="116">
        <v>1362.35</v>
      </c>
      <c r="G797">
        <v>4026</v>
      </c>
      <c r="H797" s="116"/>
      <c r="I797" s="116"/>
      <c r="L797" s="170">
        <v>44642</v>
      </c>
      <c r="M797" s="116">
        <v>1422.45</v>
      </c>
      <c r="N797" s="116">
        <v>1431.95</v>
      </c>
      <c r="O797" s="116">
        <v>1397.05</v>
      </c>
      <c r="P797" s="116">
        <v>1425.15</v>
      </c>
      <c r="Q797" s="116">
        <v>1422.45</v>
      </c>
      <c r="R797">
        <v>208200</v>
      </c>
    </row>
    <row r="798" spans="1:18" x14ac:dyDescent="0.25">
      <c r="A798" s="170">
        <v>44648</v>
      </c>
      <c r="B798" s="116">
        <v>1394.35</v>
      </c>
      <c r="C798" s="116">
        <v>1381.1</v>
      </c>
      <c r="D798" s="116">
        <v>1343.55</v>
      </c>
      <c r="E798" s="116">
        <v>1364.95</v>
      </c>
      <c r="F798" s="116">
        <v>1381.1</v>
      </c>
      <c r="G798">
        <v>9943</v>
      </c>
      <c r="H798" s="116"/>
      <c r="I798" s="116"/>
      <c r="L798" s="170">
        <v>44643</v>
      </c>
      <c r="M798" s="116">
        <v>1412.5</v>
      </c>
      <c r="N798" s="116">
        <v>1440.75</v>
      </c>
      <c r="O798" s="116">
        <v>1390.1</v>
      </c>
      <c r="P798" s="116">
        <v>1427</v>
      </c>
      <c r="Q798" s="116">
        <v>1412.5</v>
      </c>
      <c r="R798">
        <v>145765</v>
      </c>
    </row>
    <row r="799" spans="1:18" x14ac:dyDescent="0.25">
      <c r="A799" s="170">
        <v>44649</v>
      </c>
      <c r="B799" s="116">
        <v>1447.35</v>
      </c>
      <c r="C799" s="116">
        <v>1432.1</v>
      </c>
      <c r="D799" s="116">
        <v>1375</v>
      </c>
      <c r="E799" s="116">
        <v>1380</v>
      </c>
      <c r="F799" s="116">
        <v>1432.1</v>
      </c>
      <c r="G799">
        <v>14499</v>
      </c>
      <c r="H799" s="116"/>
      <c r="I799" s="116"/>
      <c r="L799" s="170">
        <v>44644</v>
      </c>
      <c r="M799" s="116">
        <v>1388.45</v>
      </c>
      <c r="N799" s="116">
        <v>1412.1</v>
      </c>
      <c r="O799" s="116">
        <v>1381.15</v>
      </c>
      <c r="P799" s="116">
        <v>1404.95</v>
      </c>
      <c r="Q799" s="116">
        <v>1388.45</v>
      </c>
      <c r="R799">
        <v>165414</v>
      </c>
    </row>
    <row r="800" spans="1:18" x14ac:dyDescent="0.25">
      <c r="A800" s="170">
        <v>44650</v>
      </c>
      <c r="B800" s="116">
        <v>1501</v>
      </c>
      <c r="C800" s="116">
        <v>1493.75</v>
      </c>
      <c r="D800" s="116">
        <v>1446.75</v>
      </c>
      <c r="E800" s="116">
        <v>1449.65</v>
      </c>
      <c r="F800" s="116">
        <v>1493.75</v>
      </c>
      <c r="G800">
        <v>28982</v>
      </c>
      <c r="H800" s="116"/>
      <c r="I800" s="116"/>
      <c r="L800" s="170">
        <v>44645</v>
      </c>
      <c r="M800" s="116">
        <v>1360.4</v>
      </c>
      <c r="N800" s="116">
        <v>1403.35</v>
      </c>
      <c r="O800" s="116">
        <v>1351.4</v>
      </c>
      <c r="P800" s="116">
        <v>1400</v>
      </c>
      <c r="Q800" s="116">
        <v>1360.4</v>
      </c>
      <c r="R800">
        <v>171297</v>
      </c>
    </row>
    <row r="801" spans="1:18" x14ac:dyDescent="0.25">
      <c r="A801" s="170">
        <v>44651</v>
      </c>
      <c r="B801" s="116">
        <v>1507.6</v>
      </c>
      <c r="C801" s="116">
        <v>1494.7</v>
      </c>
      <c r="D801" s="116">
        <v>1463.65</v>
      </c>
      <c r="E801" s="116">
        <v>1500.65</v>
      </c>
      <c r="F801" s="116">
        <v>1494.7</v>
      </c>
      <c r="G801">
        <v>12253</v>
      </c>
      <c r="H801" s="116"/>
      <c r="I801" s="116"/>
      <c r="L801" s="170">
        <v>44648</v>
      </c>
      <c r="M801" s="116">
        <v>1383.65</v>
      </c>
      <c r="N801" s="116">
        <v>1396.95</v>
      </c>
      <c r="O801" s="116">
        <v>1341.35</v>
      </c>
      <c r="P801" s="116">
        <v>1360.5</v>
      </c>
      <c r="Q801" s="116">
        <v>1383.65</v>
      </c>
      <c r="R801">
        <v>239415</v>
      </c>
    </row>
    <row r="802" spans="1:18" x14ac:dyDescent="0.25">
      <c r="A802" s="170">
        <v>44652</v>
      </c>
      <c r="B802" s="116">
        <v>1534.2</v>
      </c>
      <c r="C802" s="116">
        <v>1527.25</v>
      </c>
      <c r="D802" s="116">
        <v>1485.85</v>
      </c>
      <c r="E802" s="116">
        <v>1502.85</v>
      </c>
      <c r="F802" s="116">
        <v>1527.25</v>
      </c>
      <c r="G802">
        <v>5023</v>
      </c>
      <c r="H802" s="116"/>
      <c r="I802" s="116"/>
      <c r="L802" s="170">
        <v>44649</v>
      </c>
      <c r="M802" s="116">
        <v>1431.7</v>
      </c>
      <c r="N802" s="116">
        <v>1448.95</v>
      </c>
      <c r="O802" s="116">
        <v>1370.95</v>
      </c>
      <c r="P802" s="116">
        <v>1375</v>
      </c>
      <c r="Q802" s="116">
        <v>1431.7</v>
      </c>
      <c r="R802">
        <v>524071</v>
      </c>
    </row>
    <row r="803" spans="1:18" x14ac:dyDescent="0.25">
      <c r="A803" s="170">
        <v>44655</v>
      </c>
      <c r="B803" s="116">
        <v>1583.65</v>
      </c>
      <c r="C803" s="116">
        <v>1574.45</v>
      </c>
      <c r="D803" s="116">
        <v>1529.9</v>
      </c>
      <c r="E803" s="116">
        <v>1533.85</v>
      </c>
      <c r="F803" s="116">
        <v>1574.45</v>
      </c>
      <c r="G803">
        <v>17457</v>
      </c>
      <c r="H803" s="116"/>
      <c r="I803" s="116"/>
      <c r="L803" s="170">
        <v>44650</v>
      </c>
      <c r="M803" s="116">
        <v>1493.15</v>
      </c>
      <c r="N803" s="116">
        <v>1502.4</v>
      </c>
      <c r="O803" s="116">
        <v>1442.75</v>
      </c>
      <c r="P803" s="116">
        <v>1452.3</v>
      </c>
      <c r="Q803" s="116">
        <v>1493.15</v>
      </c>
      <c r="R803">
        <v>682116</v>
      </c>
    </row>
    <row r="804" spans="1:18" x14ac:dyDescent="0.25">
      <c r="A804" s="170">
        <v>44656</v>
      </c>
      <c r="B804" s="116">
        <v>1609.2</v>
      </c>
      <c r="C804" s="116">
        <v>1591.8</v>
      </c>
      <c r="D804" s="116">
        <v>1529.45</v>
      </c>
      <c r="E804" s="116">
        <v>1589.05</v>
      </c>
      <c r="F804" s="116">
        <v>1591.8</v>
      </c>
      <c r="G804">
        <v>11376</v>
      </c>
      <c r="H804" s="116"/>
      <c r="I804" s="116"/>
      <c r="L804" s="170">
        <v>44651</v>
      </c>
      <c r="M804" s="116">
        <v>1495.6</v>
      </c>
      <c r="N804" s="116">
        <v>1507.65</v>
      </c>
      <c r="O804" s="116">
        <v>1465</v>
      </c>
      <c r="P804" s="116">
        <v>1505.55</v>
      </c>
      <c r="Q804" s="116">
        <v>1495.6</v>
      </c>
      <c r="R804">
        <v>215880</v>
      </c>
    </row>
    <row r="805" spans="1:18" x14ac:dyDescent="0.25">
      <c r="A805" s="170">
        <v>44657</v>
      </c>
      <c r="B805" s="116">
        <v>1623.15</v>
      </c>
      <c r="C805" s="116">
        <v>1595.05</v>
      </c>
      <c r="D805" s="116">
        <v>1566</v>
      </c>
      <c r="E805" s="116">
        <v>1572.8</v>
      </c>
      <c r="F805" s="116">
        <v>1595.05</v>
      </c>
      <c r="G805">
        <v>8970</v>
      </c>
      <c r="H805" s="116"/>
      <c r="I805" s="116"/>
      <c r="L805" s="170">
        <v>44652</v>
      </c>
      <c r="M805" s="116">
        <v>1526.2</v>
      </c>
      <c r="N805" s="116">
        <v>1534.95</v>
      </c>
      <c r="O805" s="116">
        <v>1485</v>
      </c>
      <c r="P805" s="116">
        <v>1502</v>
      </c>
      <c r="Q805" s="116">
        <v>1526.2</v>
      </c>
      <c r="R805">
        <v>396086</v>
      </c>
    </row>
    <row r="806" spans="1:18" x14ac:dyDescent="0.25">
      <c r="A806" s="170">
        <v>44658</v>
      </c>
      <c r="B806" s="116">
        <v>1613.45</v>
      </c>
      <c r="C806" s="116">
        <v>1588.75</v>
      </c>
      <c r="D806" s="116">
        <v>1582.35</v>
      </c>
      <c r="E806" s="116">
        <v>1599.85</v>
      </c>
      <c r="F806" s="116">
        <v>1588.75</v>
      </c>
      <c r="G806">
        <v>31308</v>
      </c>
      <c r="H806" s="116"/>
      <c r="I806" s="116"/>
      <c r="L806" s="170">
        <v>44655</v>
      </c>
      <c r="M806" s="116">
        <v>1576.9</v>
      </c>
      <c r="N806" s="116">
        <v>1583.3</v>
      </c>
      <c r="O806" s="116">
        <v>1526.25</v>
      </c>
      <c r="P806" s="116">
        <v>1526.25</v>
      </c>
      <c r="Q806" s="116">
        <v>1576.9</v>
      </c>
      <c r="R806">
        <v>248638</v>
      </c>
    </row>
    <row r="807" spans="1:18" x14ac:dyDescent="0.25">
      <c r="A807" s="170">
        <v>44659</v>
      </c>
      <c r="B807" s="116">
        <v>1637</v>
      </c>
      <c r="C807" s="116">
        <v>1605.85</v>
      </c>
      <c r="D807" s="116">
        <v>1597.25</v>
      </c>
      <c r="E807" s="116">
        <v>1602.8</v>
      </c>
      <c r="F807" s="116">
        <v>1605.85</v>
      </c>
      <c r="G807">
        <v>5141</v>
      </c>
      <c r="H807" s="116"/>
      <c r="I807" s="116"/>
      <c r="L807" s="170">
        <v>44656</v>
      </c>
      <c r="M807" s="116">
        <v>1592.35</v>
      </c>
      <c r="N807" s="116">
        <v>1609.1</v>
      </c>
      <c r="O807" s="116">
        <v>1527.8</v>
      </c>
      <c r="P807" s="116">
        <v>1592.7</v>
      </c>
      <c r="Q807" s="116">
        <v>1592.35</v>
      </c>
      <c r="R807">
        <v>228634</v>
      </c>
    </row>
    <row r="808" spans="1:18" x14ac:dyDescent="0.25">
      <c r="A808" s="170">
        <v>44662</v>
      </c>
      <c r="B808" s="116">
        <v>1639.65</v>
      </c>
      <c r="C808" s="116">
        <v>1620.6</v>
      </c>
      <c r="D808" s="116">
        <v>1593.65</v>
      </c>
      <c r="E808" s="116">
        <v>1608.4</v>
      </c>
      <c r="F808" s="116">
        <v>1620.6</v>
      </c>
      <c r="G808">
        <v>7482</v>
      </c>
      <c r="H808" s="116"/>
      <c r="I808" s="116"/>
      <c r="L808" s="170">
        <v>44657</v>
      </c>
      <c r="M808" s="116">
        <v>1593.9</v>
      </c>
      <c r="N808" s="116">
        <v>1624</v>
      </c>
      <c r="O808" s="116">
        <v>1561.3</v>
      </c>
      <c r="P808" s="116">
        <v>1576</v>
      </c>
      <c r="Q808" s="116">
        <v>1593.9</v>
      </c>
      <c r="R808">
        <v>360524</v>
      </c>
    </row>
    <row r="809" spans="1:18" x14ac:dyDescent="0.25">
      <c r="A809" s="170">
        <v>44663</v>
      </c>
      <c r="B809" s="116">
        <v>1630</v>
      </c>
      <c r="C809" s="116">
        <v>1601.35</v>
      </c>
      <c r="D809" s="116">
        <v>1570.8</v>
      </c>
      <c r="E809" s="116">
        <v>1615</v>
      </c>
      <c r="F809" s="116">
        <v>1601.35</v>
      </c>
      <c r="G809">
        <v>17924</v>
      </c>
      <c r="H809" s="116"/>
      <c r="I809" s="116"/>
      <c r="L809" s="170">
        <v>44658</v>
      </c>
      <c r="M809" s="116">
        <v>1589.2</v>
      </c>
      <c r="N809" s="116">
        <v>1614</v>
      </c>
      <c r="O809" s="116">
        <v>1582.2</v>
      </c>
      <c r="P809" s="116">
        <v>1608</v>
      </c>
      <c r="Q809" s="116">
        <v>1589.2</v>
      </c>
      <c r="R809">
        <v>204798</v>
      </c>
    </row>
    <row r="810" spans="1:18" x14ac:dyDescent="0.25">
      <c r="A810" s="170">
        <v>44664</v>
      </c>
      <c r="B810" s="116">
        <v>1640.8</v>
      </c>
      <c r="C810" s="116">
        <v>1629.35</v>
      </c>
      <c r="D810" s="116">
        <v>1602.4</v>
      </c>
      <c r="E810" s="116">
        <v>1620.5</v>
      </c>
      <c r="F810" s="116">
        <v>1629.35</v>
      </c>
      <c r="G810">
        <v>6396</v>
      </c>
      <c r="H810" s="116"/>
      <c r="I810" s="116"/>
      <c r="L810" s="170">
        <v>44659</v>
      </c>
      <c r="M810" s="116">
        <v>1607.25</v>
      </c>
      <c r="N810" s="116">
        <v>1622</v>
      </c>
      <c r="O810" s="116">
        <v>1597.05</v>
      </c>
      <c r="P810" s="116">
        <v>1600</v>
      </c>
      <c r="Q810" s="116">
        <v>1607.25</v>
      </c>
      <c r="R810">
        <v>122637</v>
      </c>
    </row>
    <row r="811" spans="1:18" x14ac:dyDescent="0.25">
      <c r="A811" s="170">
        <v>44669</v>
      </c>
      <c r="B811" s="116">
        <v>1631</v>
      </c>
      <c r="C811" s="116">
        <v>1601.25</v>
      </c>
      <c r="D811" s="116">
        <v>1590.35</v>
      </c>
      <c r="E811" s="116">
        <v>1631</v>
      </c>
      <c r="F811" s="116">
        <v>1601.25</v>
      </c>
      <c r="G811">
        <v>6442</v>
      </c>
      <c r="H811" s="116"/>
      <c r="I811" s="116"/>
      <c r="L811" s="170">
        <v>44662</v>
      </c>
      <c r="M811" s="116">
        <v>1620.55</v>
      </c>
      <c r="N811" s="116">
        <v>1640.4</v>
      </c>
      <c r="O811" s="116">
        <v>1593</v>
      </c>
      <c r="P811" s="116">
        <v>1619.4</v>
      </c>
      <c r="Q811" s="116">
        <v>1620.55</v>
      </c>
      <c r="R811">
        <v>257239</v>
      </c>
    </row>
    <row r="812" spans="1:18" x14ac:dyDescent="0.25">
      <c r="A812" s="170">
        <v>44670</v>
      </c>
      <c r="B812" s="116">
        <v>1621.5</v>
      </c>
      <c r="C812" s="116">
        <v>1571.85</v>
      </c>
      <c r="D812" s="116">
        <v>1549</v>
      </c>
      <c r="E812" s="116">
        <v>1611.85</v>
      </c>
      <c r="F812" s="116">
        <v>1571.85</v>
      </c>
      <c r="G812">
        <v>5273</v>
      </c>
      <c r="H812" s="116"/>
      <c r="I812" s="116"/>
      <c r="L812" s="170">
        <v>44663</v>
      </c>
      <c r="M812" s="116">
        <v>1602.5</v>
      </c>
      <c r="N812" s="116">
        <v>1631.45</v>
      </c>
      <c r="O812" s="116">
        <v>1570</v>
      </c>
      <c r="P812" s="116">
        <v>1620.55</v>
      </c>
      <c r="Q812" s="116">
        <v>1602.5</v>
      </c>
      <c r="R812">
        <v>306061</v>
      </c>
    </row>
    <row r="813" spans="1:18" x14ac:dyDescent="0.25">
      <c r="A813" s="170">
        <v>44671</v>
      </c>
      <c r="B813" s="116">
        <v>1622</v>
      </c>
      <c r="C813" s="116">
        <v>1589.95</v>
      </c>
      <c r="D813" s="116">
        <v>1549.75</v>
      </c>
      <c r="E813" s="116">
        <v>1572.35</v>
      </c>
      <c r="F813" s="116">
        <v>1589.95</v>
      </c>
      <c r="G813">
        <v>5281</v>
      </c>
      <c r="H813" s="116"/>
      <c r="I813" s="116"/>
      <c r="L813" s="170">
        <v>44664</v>
      </c>
      <c r="M813" s="116">
        <v>1630</v>
      </c>
      <c r="N813" s="116">
        <v>1640.5</v>
      </c>
      <c r="O813" s="116">
        <v>1603.25</v>
      </c>
      <c r="P813" s="116">
        <v>1615</v>
      </c>
      <c r="Q813" s="116">
        <v>1630</v>
      </c>
      <c r="R813">
        <v>225482</v>
      </c>
    </row>
    <row r="814" spans="1:18" x14ac:dyDescent="0.25">
      <c r="A814" s="170">
        <v>44672</v>
      </c>
      <c r="B814" s="116">
        <v>1623.3</v>
      </c>
      <c r="C814" s="116">
        <v>1612.5</v>
      </c>
      <c r="D814" s="116">
        <v>1597.4</v>
      </c>
      <c r="E814" s="116">
        <v>1599.8</v>
      </c>
      <c r="F814" s="116">
        <v>1612.5</v>
      </c>
      <c r="G814">
        <v>4705</v>
      </c>
      <c r="H814" s="116"/>
      <c r="I814" s="116"/>
      <c r="L814" s="170">
        <v>44669</v>
      </c>
      <c r="M814" s="116">
        <v>1601.8</v>
      </c>
      <c r="N814" s="116">
        <v>1634</v>
      </c>
      <c r="O814" s="116">
        <v>1590.35</v>
      </c>
      <c r="P814" s="116">
        <v>1634</v>
      </c>
      <c r="Q814" s="116">
        <v>1601.8</v>
      </c>
      <c r="R814">
        <v>109683</v>
      </c>
    </row>
    <row r="815" spans="1:18" x14ac:dyDescent="0.25">
      <c r="A815" s="170">
        <v>44673</v>
      </c>
      <c r="B815" s="116">
        <v>1635.7</v>
      </c>
      <c r="C815" s="116">
        <v>1619.35</v>
      </c>
      <c r="D815" s="116">
        <v>1592.3</v>
      </c>
      <c r="E815" s="116">
        <v>1615.5</v>
      </c>
      <c r="F815" s="116">
        <v>1619.35</v>
      </c>
      <c r="G815">
        <v>4136</v>
      </c>
      <c r="H815" s="116"/>
      <c r="I815" s="116"/>
      <c r="L815" s="170">
        <v>44670</v>
      </c>
      <c r="M815" s="116">
        <v>1573.05</v>
      </c>
      <c r="N815" s="116">
        <v>1623.7</v>
      </c>
      <c r="O815" s="116">
        <v>1538.05</v>
      </c>
      <c r="P815" s="116">
        <v>1614</v>
      </c>
      <c r="Q815" s="116">
        <v>1573.05</v>
      </c>
      <c r="R815">
        <v>109892</v>
      </c>
    </row>
    <row r="816" spans="1:18" x14ac:dyDescent="0.25">
      <c r="A816" s="170">
        <v>44676</v>
      </c>
      <c r="B816" s="116">
        <v>1602.2</v>
      </c>
      <c r="C816" s="116">
        <v>1575.3</v>
      </c>
      <c r="D816" s="116">
        <v>1563.85</v>
      </c>
      <c r="E816" s="116">
        <v>1598.8</v>
      </c>
      <c r="F816" s="116">
        <v>1575.3</v>
      </c>
      <c r="G816">
        <v>4408</v>
      </c>
      <c r="H816" s="116"/>
      <c r="I816" s="116"/>
      <c r="L816" s="170">
        <v>44671</v>
      </c>
      <c r="M816" s="116">
        <v>1588.95</v>
      </c>
      <c r="N816" s="116">
        <v>1622</v>
      </c>
      <c r="O816" s="116">
        <v>1545.25</v>
      </c>
      <c r="P816" s="116">
        <v>1573.05</v>
      </c>
      <c r="Q816" s="116">
        <v>1588.95</v>
      </c>
      <c r="R816">
        <v>144033</v>
      </c>
    </row>
    <row r="817" spans="1:18" x14ac:dyDescent="0.25">
      <c r="A817" s="170">
        <v>44677</v>
      </c>
      <c r="B817" s="116">
        <v>1603.25</v>
      </c>
      <c r="C817" s="116">
        <v>1582</v>
      </c>
      <c r="D817" s="116">
        <v>1573.2</v>
      </c>
      <c r="E817" s="116">
        <v>1585.35</v>
      </c>
      <c r="F817" s="116">
        <v>1582</v>
      </c>
      <c r="G817">
        <v>3912</v>
      </c>
      <c r="H817" s="116"/>
      <c r="I817" s="116"/>
      <c r="L817" s="170">
        <v>44672</v>
      </c>
      <c r="M817" s="116">
        <v>1613.25</v>
      </c>
      <c r="N817" s="116">
        <v>1625</v>
      </c>
      <c r="O817" s="116">
        <v>1595</v>
      </c>
      <c r="P817" s="116">
        <v>1610</v>
      </c>
      <c r="Q817" s="116">
        <v>1613.25</v>
      </c>
      <c r="R817">
        <v>80366</v>
      </c>
    </row>
    <row r="818" spans="1:18" x14ac:dyDescent="0.25">
      <c r="A818" s="170">
        <v>44678</v>
      </c>
      <c r="B818" s="116">
        <v>1586.1</v>
      </c>
      <c r="C818" s="116">
        <v>1550.9</v>
      </c>
      <c r="D818" s="116">
        <v>1520.85</v>
      </c>
      <c r="E818" s="116">
        <v>1575.45</v>
      </c>
      <c r="F818" s="116">
        <v>1550.9</v>
      </c>
      <c r="G818">
        <v>7647</v>
      </c>
      <c r="H818" s="116"/>
      <c r="I818" s="116"/>
      <c r="L818" s="170">
        <v>44673</v>
      </c>
      <c r="M818" s="116">
        <v>1620.25</v>
      </c>
      <c r="N818" s="116">
        <v>1635</v>
      </c>
      <c r="O818" s="116">
        <v>1592.05</v>
      </c>
      <c r="P818" s="116">
        <v>1617</v>
      </c>
      <c r="Q818" s="116">
        <v>1620.25</v>
      </c>
      <c r="R818">
        <v>139864</v>
      </c>
    </row>
    <row r="819" spans="1:18" x14ac:dyDescent="0.25">
      <c r="A819" s="170">
        <v>44679</v>
      </c>
      <c r="B819" s="116">
        <v>1566.7</v>
      </c>
      <c r="C819" s="116">
        <v>1537.6</v>
      </c>
      <c r="D819" s="116">
        <v>1529.6</v>
      </c>
      <c r="E819" s="116">
        <v>1560.35</v>
      </c>
      <c r="F819" s="116">
        <v>1537.6</v>
      </c>
      <c r="G819">
        <v>3388</v>
      </c>
      <c r="H819" s="116"/>
      <c r="I819" s="116"/>
      <c r="L819" s="170">
        <v>44676</v>
      </c>
      <c r="M819" s="116">
        <v>1570.9</v>
      </c>
      <c r="N819" s="116">
        <v>1609</v>
      </c>
      <c r="O819" s="116">
        <v>1561.5</v>
      </c>
      <c r="P819" s="116">
        <v>1605.5</v>
      </c>
      <c r="Q819" s="116">
        <v>1570.9</v>
      </c>
      <c r="R819">
        <v>113876</v>
      </c>
    </row>
    <row r="820" spans="1:18" x14ac:dyDescent="0.25">
      <c r="A820" s="170">
        <v>44680</v>
      </c>
      <c r="B820" s="116">
        <v>1559.5</v>
      </c>
      <c r="C820" s="116">
        <v>1518.3</v>
      </c>
      <c r="D820" s="116">
        <v>1515</v>
      </c>
      <c r="E820" s="116">
        <v>1547.8</v>
      </c>
      <c r="F820" s="116">
        <v>1518.3</v>
      </c>
      <c r="G820">
        <v>2446</v>
      </c>
      <c r="H820" s="116"/>
      <c r="I820" s="116"/>
      <c r="L820" s="170">
        <v>44677</v>
      </c>
      <c r="M820" s="116">
        <v>1583.1</v>
      </c>
      <c r="N820" s="116">
        <v>1604.3</v>
      </c>
      <c r="O820" s="116">
        <v>1573.2</v>
      </c>
      <c r="P820" s="116">
        <v>1588.7</v>
      </c>
      <c r="Q820" s="116">
        <v>1583.1</v>
      </c>
      <c r="R820">
        <v>91848</v>
      </c>
    </row>
    <row r="821" spans="1:18" x14ac:dyDescent="0.25">
      <c r="A821" s="170">
        <v>44683</v>
      </c>
      <c r="B821" s="116">
        <v>1516.2</v>
      </c>
      <c r="C821" s="116">
        <v>1503.05</v>
      </c>
      <c r="D821" s="116">
        <v>1477.3</v>
      </c>
      <c r="E821" s="116">
        <v>1516.2</v>
      </c>
      <c r="F821" s="116">
        <v>1503.05</v>
      </c>
      <c r="G821">
        <v>2455</v>
      </c>
      <c r="H821" s="116"/>
      <c r="I821" s="116"/>
      <c r="L821" s="170">
        <v>44678</v>
      </c>
      <c r="M821" s="116">
        <v>1549.6</v>
      </c>
      <c r="N821" s="116">
        <v>1590</v>
      </c>
      <c r="O821" s="116">
        <v>1522.65</v>
      </c>
      <c r="P821" s="116">
        <v>1565</v>
      </c>
      <c r="Q821" s="116">
        <v>1549.6</v>
      </c>
      <c r="R821">
        <v>118416</v>
      </c>
    </row>
    <row r="822" spans="1:18" x14ac:dyDescent="0.25">
      <c r="A822" s="170">
        <v>44685</v>
      </c>
      <c r="B822" s="116">
        <v>1509.85</v>
      </c>
      <c r="C822" s="116">
        <v>1444.35</v>
      </c>
      <c r="D822" s="116">
        <v>1436.7</v>
      </c>
      <c r="E822" s="116">
        <v>1501.05</v>
      </c>
      <c r="F822" s="116">
        <v>1444.35</v>
      </c>
      <c r="G822">
        <v>149806</v>
      </c>
      <c r="H822" s="116"/>
      <c r="I822" s="116"/>
      <c r="L822" s="170">
        <v>44679</v>
      </c>
      <c r="M822" s="116">
        <v>1538.3</v>
      </c>
      <c r="N822" s="116">
        <v>1568</v>
      </c>
      <c r="O822" s="116">
        <v>1529.5</v>
      </c>
      <c r="P822" s="116">
        <v>1568</v>
      </c>
      <c r="Q822" s="116">
        <v>1538.3</v>
      </c>
      <c r="R822">
        <v>129525</v>
      </c>
    </row>
    <row r="823" spans="1:18" x14ac:dyDescent="0.25">
      <c r="A823" s="170">
        <v>44686</v>
      </c>
      <c r="B823" s="116">
        <v>1492.55</v>
      </c>
      <c r="C823" s="116">
        <v>1443.7</v>
      </c>
      <c r="D823" s="116">
        <v>1429.45</v>
      </c>
      <c r="E823" s="116">
        <v>1451.2</v>
      </c>
      <c r="F823" s="116">
        <v>1443.7</v>
      </c>
      <c r="G823">
        <v>3438</v>
      </c>
      <c r="H823" s="116"/>
      <c r="I823" s="116"/>
      <c r="L823" s="170">
        <v>44680</v>
      </c>
      <c r="M823" s="116">
        <v>1519.15</v>
      </c>
      <c r="N823" s="116">
        <v>1564</v>
      </c>
      <c r="O823" s="116">
        <v>1514.4</v>
      </c>
      <c r="P823" s="116">
        <v>1540.2</v>
      </c>
      <c r="Q823" s="116">
        <v>1519.15</v>
      </c>
      <c r="R823">
        <v>149626</v>
      </c>
    </row>
    <row r="824" spans="1:18" x14ac:dyDescent="0.25">
      <c r="A824" s="170">
        <v>44687</v>
      </c>
      <c r="B824" s="116">
        <v>1444</v>
      </c>
      <c r="C824" s="116">
        <v>1429.5</v>
      </c>
      <c r="D824" s="116">
        <v>1396</v>
      </c>
      <c r="E824" s="116">
        <v>1412.65</v>
      </c>
      <c r="F824" s="116">
        <v>1429.5</v>
      </c>
      <c r="G824">
        <v>4094</v>
      </c>
      <c r="H824" s="116"/>
      <c r="I824" s="116"/>
      <c r="L824" s="170">
        <v>44683</v>
      </c>
      <c r="M824" s="116">
        <v>1501.75</v>
      </c>
      <c r="N824" s="116">
        <v>1519.15</v>
      </c>
      <c r="O824" s="116">
        <v>1476.35</v>
      </c>
      <c r="P824" s="116">
        <v>1519.15</v>
      </c>
      <c r="Q824" s="116">
        <v>1501.75</v>
      </c>
      <c r="R824">
        <v>82450</v>
      </c>
    </row>
    <row r="825" spans="1:18" x14ac:dyDescent="0.25">
      <c r="A825" s="170">
        <v>44690</v>
      </c>
      <c r="B825" s="116">
        <v>1465</v>
      </c>
      <c r="C825" s="116">
        <v>1455.45</v>
      </c>
      <c r="D825" s="116">
        <v>1388.65</v>
      </c>
      <c r="E825" s="116">
        <v>1410.15</v>
      </c>
      <c r="F825" s="116">
        <v>1455.45</v>
      </c>
      <c r="G825">
        <v>8632</v>
      </c>
      <c r="H825" s="116"/>
      <c r="I825" s="116"/>
      <c r="L825" s="170">
        <v>44685</v>
      </c>
      <c r="M825" s="116">
        <v>1444.55</v>
      </c>
      <c r="N825" s="116">
        <v>1509.95</v>
      </c>
      <c r="O825" s="116">
        <v>1436</v>
      </c>
      <c r="P825" s="116">
        <v>1502</v>
      </c>
      <c r="Q825" s="116">
        <v>1444.55</v>
      </c>
      <c r="R825">
        <v>112315</v>
      </c>
    </row>
    <row r="826" spans="1:18" x14ac:dyDescent="0.25">
      <c r="A826" s="170">
        <v>44691</v>
      </c>
      <c r="B826" s="116">
        <v>1485.05</v>
      </c>
      <c r="C826" s="116">
        <v>1421.95</v>
      </c>
      <c r="D826" s="116">
        <v>1367.3</v>
      </c>
      <c r="E826" s="116">
        <v>1455.45</v>
      </c>
      <c r="F826" s="116">
        <v>1421.95</v>
      </c>
      <c r="G826">
        <v>17044</v>
      </c>
      <c r="H826" s="116"/>
      <c r="I826" s="116"/>
      <c r="L826" s="170">
        <v>44686</v>
      </c>
      <c r="M826" s="116">
        <v>1439.95</v>
      </c>
      <c r="N826" s="116">
        <v>1495.9</v>
      </c>
      <c r="O826" s="116">
        <v>1429</v>
      </c>
      <c r="P826" s="116">
        <v>1444.55</v>
      </c>
      <c r="Q826" s="116">
        <v>1439.95</v>
      </c>
      <c r="R826">
        <v>198288</v>
      </c>
    </row>
    <row r="827" spans="1:18" x14ac:dyDescent="0.25">
      <c r="A827" s="170">
        <v>44692</v>
      </c>
      <c r="B827" s="116">
        <v>1459.15</v>
      </c>
      <c r="C827" s="116">
        <v>1446.55</v>
      </c>
      <c r="D827" s="116">
        <v>1374.45</v>
      </c>
      <c r="E827" s="116">
        <v>1434</v>
      </c>
      <c r="F827" s="116">
        <v>1446.55</v>
      </c>
      <c r="G827">
        <v>7730</v>
      </c>
      <c r="H827" s="116"/>
      <c r="I827" s="116"/>
      <c r="L827" s="170">
        <v>44687</v>
      </c>
      <c r="M827" s="116">
        <v>1427.45</v>
      </c>
      <c r="N827" s="116">
        <v>1445</v>
      </c>
      <c r="O827" s="116">
        <v>1396.15</v>
      </c>
      <c r="P827" s="116">
        <v>1425</v>
      </c>
      <c r="Q827" s="116">
        <v>1427.45</v>
      </c>
      <c r="R827">
        <v>102810</v>
      </c>
    </row>
    <row r="828" spans="1:18" x14ac:dyDescent="0.25">
      <c r="A828" s="170">
        <v>44693</v>
      </c>
      <c r="B828" s="116">
        <v>1432.85</v>
      </c>
      <c r="C828" s="116">
        <v>1406.1</v>
      </c>
      <c r="D828" s="116">
        <v>1380</v>
      </c>
      <c r="E828" s="116">
        <v>1432.85</v>
      </c>
      <c r="F828" s="116">
        <v>1406.1</v>
      </c>
      <c r="G828">
        <v>5995</v>
      </c>
      <c r="H828" s="116"/>
      <c r="I828" s="116"/>
      <c r="L828" s="170">
        <v>44690</v>
      </c>
      <c r="M828" s="116">
        <v>1452.8</v>
      </c>
      <c r="N828" s="116">
        <v>1468.5</v>
      </c>
      <c r="O828" s="116">
        <v>1385</v>
      </c>
      <c r="P828" s="116">
        <v>1385</v>
      </c>
      <c r="Q828" s="116">
        <v>1452.8</v>
      </c>
      <c r="R828">
        <v>199132</v>
      </c>
    </row>
    <row r="829" spans="1:18" x14ac:dyDescent="0.25">
      <c r="A829" s="170">
        <v>44694</v>
      </c>
      <c r="B829" s="116">
        <v>1448.35</v>
      </c>
      <c r="C829" s="116">
        <v>1407.7</v>
      </c>
      <c r="D829" s="116">
        <v>1400</v>
      </c>
      <c r="E829" s="116">
        <v>1424.3</v>
      </c>
      <c r="F829" s="116">
        <v>1407.7</v>
      </c>
      <c r="G829">
        <v>7815</v>
      </c>
      <c r="H829" s="116"/>
      <c r="I829" s="116"/>
      <c r="L829" s="170">
        <v>44691</v>
      </c>
      <c r="M829" s="116">
        <v>1421.8</v>
      </c>
      <c r="N829" s="116">
        <v>1486.15</v>
      </c>
      <c r="O829" s="116">
        <v>1366.25</v>
      </c>
      <c r="P829" s="116">
        <v>1477.9</v>
      </c>
      <c r="Q829" s="116">
        <v>1421.8</v>
      </c>
      <c r="R829">
        <v>559455</v>
      </c>
    </row>
    <row r="830" spans="1:18" x14ac:dyDescent="0.25">
      <c r="A830" s="170">
        <v>44697</v>
      </c>
      <c r="B830" s="116">
        <v>1441.25</v>
      </c>
      <c r="C830" s="116">
        <v>1435.25</v>
      </c>
      <c r="D830" s="116">
        <v>1392.6</v>
      </c>
      <c r="E830" s="116">
        <v>1418.95</v>
      </c>
      <c r="F830" s="116">
        <v>1435.25</v>
      </c>
      <c r="G830">
        <v>3497</v>
      </c>
      <c r="H830" s="116"/>
      <c r="I830" s="116"/>
      <c r="L830" s="170">
        <v>44692</v>
      </c>
      <c r="M830" s="116">
        <v>1447</v>
      </c>
      <c r="N830" s="116">
        <v>1460</v>
      </c>
      <c r="O830" s="116">
        <v>1373.6</v>
      </c>
      <c r="P830" s="116">
        <v>1420</v>
      </c>
      <c r="Q830" s="116">
        <v>1447</v>
      </c>
      <c r="R830">
        <v>322693</v>
      </c>
    </row>
    <row r="831" spans="1:18" x14ac:dyDescent="0.25">
      <c r="A831" s="170">
        <v>44698</v>
      </c>
      <c r="B831" s="116">
        <v>1468</v>
      </c>
      <c r="C831" s="116">
        <v>1418.75</v>
      </c>
      <c r="D831" s="116">
        <v>1406.55</v>
      </c>
      <c r="E831" s="116">
        <v>1440.2</v>
      </c>
      <c r="F831" s="116">
        <v>1418.75</v>
      </c>
      <c r="G831">
        <v>12647</v>
      </c>
      <c r="H831" s="116"/>
      <c r="I831" s="116"/>
      <c r="L831" s="170">
        <v>44693</v>
      </c>
      <c r="M831" s="116">
        <v>1405.5</v>
      </c>
      <c r="N831" s="116">
        <v>1438</v>
      </c>
      <c r="O831" s="116">
        <v>1379</v>
      </c>
      <c r="P831" s="116">
        <v>1435</v>
      </c>
      <c r="Q831" s="116">
        <v>1405.5</v>
      </c>
      <c r="R831">
        <v>197668</v>
      </c>
    </row>
    <row r="832" spans="1:18" x14ac:dyDescent="0.25">
      <c r="A832" s="170">
        <v>44699</v>
      </c>
      <c r="B832" s="116">
        <v>1437.5</v>
      </c>
      <c r="C832" s="116">
        <v>1422.6</v>
      </c>
      <c r="D832" s="116">
        <v>1390.9</v>
      </c>
      <c r="E832" s="116">
        <v>1418.8</v>
      </c>
      <c r="F832" s="116">
        <v>1422.6</v>
      </c>
      <c r="G832">
        <v>4823</v>
      </c>
      <c r="H832" s="116"/>
      <c r="I832" s="116"/>
      <c r="L832" s="170">
        <v>44694</v>
      </c>
      <c r="M832" s="116">
        <v>1408</v>
      </c>
      <c r="N832" s="116">
        <v>1448.4</v>
      </c>
      <c r="O832" s="116">
        <v>1400.1</v>
      </c>
      <c r="P832" s="116">
        <v>1414</v>
      </c>
      <c r="Q832" s="116">
        <v>1408</v>
      </c>
      <c r="R832">
        <v>115514</v>
      </c>
    </row>
    <row r="833" spans="1:18" x14ac:dyDescent="0.25">
      <c r="A833" s="170">
        <v>44700</v>
      </c>
      <c r="B833" s="116">
        <v>1408.6</v>
      </c>
      <c r="C833" s="116">
        <v>1369.4</v>
      </c>
      <c r="D833" s="116">
        <v>1347.75</v>
      </c>
      <c r="E833" s="116">
        <v>1404.45</v>
      </c>
      <c r="F833" s="116">
        <v>1369.4</v>
      </c>
      <c r="G833">
        <v>10231</v>
      </c>
      <c r="H833" s="116"/>
      <c r="I833" s="116"/>
      <c r="L833" s="170">
        <v>44697</v>
      </c>
      <c r="M833" s="116">
        <v>1435</v>
      </c>
      <c r="N833" s="116">
        <v>1440</v>
      </c>
      <c r="O833" s="116">
        <v>1392</v>
      </c>
      <c r="P833" s="116">
        <v>1420</v>
      </c>
      <c r="Q833" s="116">
        <v>1435</v>
      </c>
      <c r="R833">
        <v>99952</v>
      </c>
    </row>
    <row r="834" spans="1:18" x14ac:dyDescent="0.25">
      <c r="A834" s="170">
        <v>44701</v>
      </c>
      <c r="B834" s="116">
        <v>1411</v>
      </c>
      <c r="C834" s="116">
        <v>1398.95</v>
      </c>
      <c r="D834" s="116">
        <v>1385.7</v>
      </c>
      <c r="E834" s="116">
        <v>1393</v>
      </c>
      <c r="F834" s="116">
        <v>1398.95</v>
      </c>
      <c r="G834">
        <v>4294</v>
      </c>
      <c r="H834" s="116"/>
      <c r="I834" s="116"/>
      <c r="L834" s="170">
        <v>44698</v>
      </c>
      <c r="M834" s="116">
        <v>1413.7</v>
      </c>
      <c r="N834" s="116">
        <v>1468</v>
      </c>
      <c r="O834" s="116">
        <v>1406.05</v>
      </c>
      <c r="P834" s="116">
        <v>1448.3</v>
      </c>
      <c r="Q834" s="116">
        <v>1413.7</v>
      </c>
      <c r="R834">
        <v>268548</v>
      </c>
    </row>
    <row r="835" spans="1:18" x14ac:dyDescent="0.25">
      <c r="A835" s="170">
        <v>44704</v>
      </c>
      <c r="B835" s="116">
        <v>1427.6</v>
      </c>
      <c r="C835" s="116">
        <v>1366.45</v>
      </c>
      <c r="D835" s="116">
        <v>1352</v>
      </c>
      <c r="E835" s="116">
        <v>1358</v>
      </c>
      <c r="F835" s="116">
        <v>1366.45</v>
      </c>
      <c r="G835">
        <v>5491</v>
      </c>
      <c r="H835" s="116"/>
      <c r="I835" s="116"/>
      <c r="L835" s="170">
        <v>44699</v>
      </c>
      <c r="M835" s="116">
        <v>1422.2</v>
      </c>
      <c r="N835" s="116">
        <v>1439.8</v>
      </c>
      <c r="O835" s="116">
        <v>1391</v>
      </c>
      <c r="P835" s="116">
        <v>1418.1</v>
      </c>
      <c r="Q835" s="116">
        <v>1422.2</v>
      </c>
      <c r="R835">
        <v>156581</v>
      </c>
    </row>
    <row r="836" spans="1:18" x14ac:dyDescent="0.25">
      <c r="A836" s="170">
        <v>44705</v>
      </c>
      <c r="B836" s="116">
        <v>1378.65</v>
      </c>
      <c r="C836" s="116">
        <v>1322.85</v>
      </c>
      <c r="D836" s="116">
        <v>1317</v>
      </c>
      <c r="E836" s="116">
        <v>1376.2</v>
      </c>
      <c r="F836" s="116">
        <v>1322.85</v>
      </c>
      <c r="G836">
        <v>5167</v>
      </c>
      <c r="H836" s="116"/>
      <c r="I836" s="116"/>
      <c r="L836" s="170">
        <v>44700</v>
      </c>
      <c r="M836" s="116">
        <v>1369.15</v>
      </c>
      <c r="N836" s="116">
        <v>1410</v>
      </c>
      <c r="O836" s="116">
        <v>1346.55</v>
      </c>
      <c r="P836" s="116">
        <v>1410</v>
      </c>
      <c r="Q836" s="116">
        <v>1369.15</v>
      </c>
      <c r="R836">
        <v>225747</v>
      </c>
    </row>
    <row r="837" spans="1:18" x14ac:dyDescent="0.25">
      <c r="A837" s="170">
        <v>44706</v>
      </c>
      <c r="B837" s="116">
        <v>1341.1</v>
      </c>
      <c r="C837" s="116">
        <v>1290.5</v>
      </c>
      <c r="D837" s="116">
        <v>1270.8499999999999</v>
      </c>
      <c r="E837" s="116">
        <v>1324.25</v>
      </c>
      <c r="F837" s="116">
        <v>1290.5</v>
      </c>
      <c r="G837">
        <v>8587</v>
      </c>
      <c r="H837" s="116"/>
      <c r="I837" s="116"/>
      <c r="L837" s="170">
        <v>44701</v>
      </c>
      <c r="M837" s="116">
        <v>1399.5</v>
      </c>
      <c r="N837" s="116">
        <v>1411</v>
      </c>
      <c r="O837" s="116">
        <v>1384.7</v>
      </c>
      <c r="P837" s="116">
        <v>1386.75</v>
      </c>
      <c r="Q837" s="116">
        <v>1399.5</v>
      </c>
      <c r="R837">
        <v>291685</v>
      </c>
    </row>
    <row r="838" spans="1:18" x14ac:dyDescent="0.25">
      <c r="A838" s="170">
        <v>44707</v>
      </c>
      <c r="B838" s="116">
        <v>1342.5</v>
      </c>
      <c r="C838" s="116">
        <v>1336.1</v>
      </c>
      <c r="D838" s="116">
        <v>1254.55</v>
      </c>
      <c r="E838" s="116">
        <v>1305.7</v>
      </c>
      <c r="F838" s="116">
        <v>1336.1</v>
      </c>
      <c r="G838">
        <v>8349</v>
      </c>
      <c r="H838" s="116"/>
      <c r="I838" s="116"/>
      <c r="L838" s="170">
        <v>44704</v>
      </c>
      <c r="M838" s="116">
        <v>1367.25</v>
      </c>
      <c r="N838" s="116">
        <v>1430.45</v>
      </c>
      <c r="O838" s="116">
        <v>1351.2</v>
      </c>
      <c r="P838" s="116">
        <v>1410.1</v>
      </c>
      <c r="Q838" s="116">
        <v>1367.25</v>
      </c>
      <c r="R838">
        <v>229656</v>
      </c>
    </row>
    <row r="839" spans="1:18" x14ac:dyDescent="0.25">
      <c r="A839" s="170">
        <v>44708</v>
      </c>
      <c r="B839" s="116">
        <v>1354.35</v>
      </c>
      <c r="C839" s="116">
        <v>1333.85</v>
      </c>
      <c r="D839" s="116">
        <v>1326.2</v>
      </c>
      <c r="E839" s="116">
        <v>1341.55</v>
      </c>
      <c r="F839" s="116">
        <v>1333.85</v>
      </c>
      <c r="G839">
        <v>5094</v>
      </c>
      <c r="H839" s="116"/>
      <c r="I839" s="116"/>
      <c r="L839" s="170">
        <v>44705</v>
      </c>
      <c r="M839" s="116">
        <v>1322.45</v>
      </c>
      <c r="N839" s="116">
        <v>1380.9</v>
      </c>
      <c r="O839" s="116">
        <v>1315.85</v>
      </c>
      <c r="P839" s="116">
        <v>1370.65</v>
      </c>
      <c r="Q839" s="116">
        <v>1322.45</v>
      </c>
      <c r="R839">
        <v>252700</v>
      </c>
    </row>
    <row r="840" spans="1:18" x14ac:dyDescent="0.25">
      <c r="A840" s="170">
        <v>44711</v>
      </c>
      <c r="B840" s="116">
        <v>1386.85</v>
      </c>
      <c r="C840" s="116">
        <v>1375.1</v>
      </c>
      <c r="D840" s="116">
        <v>1339.15</v>
      </c>
      <c r="E840" s="116">
        <v>1339.15</v>
      </c>
      <c r="F840" s="116">
        <v>1375.1</v>
      </c>
      <c r="G840">
        <v>3560</v>
      </c>
      <c r="H840" s="116"/>
      <c r="I840" s="116"/>
      <c r="L840" s="170">
        <v>44706</v>
      </c>
      <c r="M840" s="116">
        <v>1290.8</v>
      </c>
      <c r="N840" s="116">
        <v>1342.1</v>
      </c>
      <c r="O840" s="116">
        <v>1269.3</v>
      </c>
      <c r="P840" s="116">
        <v>1322</v>
      </c>
      <c r="Q840" s="116">
        <v>1290.8</v>
      </c>
      <c r="R840">
        <v>260926</v>
      </c>
    </row>
    <row r="841" spans="1:18" x14ac:dyDescent="0.25">
      <c r="A841" s="170">
        <v>44712</v>
      </c>
      <c r="B841" s="116">
        <v>1374.7</v>
      </c>
      <c r="C841" s="116">
        <v>1361.1</v>
      </c>
      <c r="D841" s="116">
        <v>1352</v>
      </c>
      <c r="E841" s="116">
        <v>1368.9</v>
      </c>
      <c r="F841" s="116">
        <v>1361.1</v>
      </c>
      <c r="G841">
        <v>2938</v>
      </c>
      <c r="H841" s="116"/>
      <c r="I841" s="116"/>
      <c r="L841" s="170">
        <v>44707</v>
      </c>
      <c r="M841" s="116">
        <v>1334.25</v>
      </c>
      <c r="N841" s="116">
        <v>1341.45</v>
      </c>
      <c r="O841" s="116">
        <v>1253.5999999999999</v>
      </c>
      <c r="P841" s="116">
        <v>1306.25</v>
      </c>
      <c r="Q841" s="116">
        <v>1334.25</v>
      </c>
      <c r="R841">
        <v>167934</v>
      </c>
    </row>
    <row r="842" spans="1:18" x14ac:dyDescent="0.25">
      <c r="A842" s="170">
        <v>44713</v>
      </c>
      <c r="B842" s="116">
        <v>1410</v>
      </c>
      <c r="C842" s="116">
        <v>1369.65</v>
      </c>
      <c r="D842" s="116">
        <v>1346.95</v>
      </c>
      <c r="E842" s="116">
        <v>1369.05</v>
      </c>
      <c r="F842" s="116">
        <v>1369.65</v>
      </c>
      <c r="G842">
        <v>5623</v>
      </c>
      <c r="H842" s="116"/>
      <c r="I842" s="116"/>
      <c r="L842" s="170">
        <v>44708</v>
      </c>
      <c r="M842" s="116">
        <v>1334.9</v>
      </c>
      <c r="N842" s="116">
        <v>1358</v>
      </c>
      <c r="O842" s="116">
        <v>1325.45</v>
      </c>
      <c r="P842" s="116">
        <v>1358</v>
      </c>
      <c r="Q842" s="116">
        <v>1334.9</v>
      </c>
      <c r="R842">
        <v>54102</v>
      </c>
    </row>
    <row r="843" spans="1:18" x14ac:dyDescent="0.25">
      <c r="A843" s="170">
        <v>44714</v>
      </c>
      <c r="B843" s="116">
        <v>1377.9</v>
      </c>
      <c r="C843" s="116">
        <v>1374.35</v>
      </c>
      <c r="D843" s="116">
        <v>1344.1</v>
      </c>
      <c r="E843" s="116">
        <v>1362</v>
      </c>
      <c r="F843" s="116">
        <v>1374.35</v>
      </c>
      <c r="G843">
        <v>3407</v>
      </c>
      <c r="H843" s="116"/>
      <c r="I843" s="116"/>
      <c r="L843" s="170">
        <v>44711</v>
      </c>
      <c r="M843" s="116">
        <v>1374.1</v>
      </c>
      <c r="N843" s="116">
        <v>1388</v>
      </c>
      <c r="O843" s="116">
        <v>1339.5</v>
      </c>
      <c r="P843" s="116">
        <v>1345.1</v>
      </c>
      <c r="Q843" s="116">
        <v>1374.1</v>
      </c>
      <c r="R843">
        <v>167668</v>
      </c>
    </row>
    <row r="844" spans="1:18" x14ac:dyDescent="0.25">
      <c r="A844" s="170">
        <v>44715</v>
      </c>
      <c r="B844" s="116">
        <v>1377.15</v>
      </c>
      <c r="C844" s="116">
        <v>1253.45</v>
      </c>
      <c r="D844" s="116">
        <v>1250</v>
      </c>
      <c r="E844" s="116">
        <v>1377.15</v>
      </c>
      <c r="F844" s="116">
        <v>1253.45</v>
      </c>
      <c r="G844">
        <v>31556</v>
      </c>
      <c r="H844" s="116"/>
      <c r="I844" s="116"/>
      <c r="L844" s="170">
        <v>44712</v>
      </c>
      <c r="M844" s="116">
        <v>1362.5</v>
      </c>
      <c r="N844" s="116">
        <v>1375.3</v>
      </c>
      <c r="O844" s="116">
        <v>1352.05</v>
      </c>
      <c r="P844" s="116">
        <v>1375.25</v>
      </c>
      <c r="Q844" s="116">
        <v>1362.5</v>
      </c>
      <c r="R844">
        <v>112261</v>
      </c>
    </row>
    <row r="845" spans="1:18" x14ac:dyDescent="0.25">
      <c r="A845" s="170">
        <v>44718</v>
      </c>
      <c r="B845" s="116">
        <v>1297.75</v>
      </c>
      <c r="C845" s="116">
        <v>1280.9000000000001</v>
      </c>
      <c r="D845" s="116">
        <v>1241.45</v>
      </c>
      <c r="E845" s="116">
        <v>1262.6500000000001</v>
      </c>
      <c r="F845" s="116">
        <v>1280.9000000000001</v>
      </c>
      <c r="G845">
        <v>29296</v>
      </c>
      <c r="H845" s="116"/>
      <c r="I845" s="116"/>
      <c r="L845" s="170">
        <v>44713</v>
      </c>
      <c r="M845" s="116">
        <v>1362.4</v>
      </c>
      <c r="N845" s="116">
        <v>1410</v>
      </c>
      <c r="O845" s="116">
        <v>1345.8</v>
      </c>
      <c r="P845" s="116">
        <v>1372.9</v>
      </c>
      <c r="Q845" s="116">
        <v>1362.4</v>
      </c>
      <c r="R845">
        <v>193277</v>
      </c>
    </row>
    <row r="846" spans="1:18" x14ac:dyDescent="0.25">
      <c r="A846" s="170">
        <v>44719</v>
      </c>
      <c r="B846" s="116">
        <v>1275.55</v>
      </c>
      <c r="C846" s="116">
        <v>1239.05</v>
      </c>
      <c r="D846" s="116">
        <v>1228.25</v>
      </c>
      <c r="E846" s="116">
        <v>1268.95</v>
      </c>
      <c r="F846" s="116">
        <v>1239.05</v>
      </c>
      <c r="G846">
        <v>8515</v>
      </c>
      <c r="H846" s="116"/>
      <c r="I846" s="116"/>
      <c r="L846" s="170">
        <v>44714</v>
      </c>
      <c r="M846" s="116">
        <v>1373.75</v>
      </c>
      <c r="N846" s="116">
        <v>1377.95</v>
      </c>
      <c r="O846" s="116">
        <v>1345</v>
      </c>
      <c r="P846" s="116">
        <v>1360.1</v>
      </c>
      <c r="Q846" s="116">
        <v>1373.75</v>
      </c>
      <c r="R846">
        <v>81580</v>
      </c>
    </row>
    <row r="847" spans="1:18" x14ac:dyDescent="0.25">
      <c r="A847" s="170">
        <v>44720</v>
      </c>
      <c r="B847" s="116">
        <v>1307.3499999999999</v>
      </c>
      <c r="C847" s="116">
        <v>1270.2</v>
      </c>
      <c r="D847" s="116">
        <v>1243.6500000000001</v>
      </c>
      <c r="E847" s="116">
        <v>1243.6500000000001</v>
      </c>
      <c r="F847" s="116">
        <v>1270.2</v>
      </c>
      <c r="G847">
        <v>51341</v>
      </c>
      <c r="H847" s="116"/>
      <c r="I847" s="116"/>
      <c r="L847" s="170">
        <v>44715</v>
      </c>
      <c r="M847" s="116">
        <v>1252.8</v>
      </c>
      <c r="N847" s="116">
        <v>1381.4</v>
      </c>
      <c r="O847" s="116">
        <v>1250</v>
      </c>
      <c r="P847" s="116">
        <v>1378</v>
      </c>
      <c r="Q847" s="116">
        <v>1252.8</v>
      </c>
      <c r="R847">
        <v>998453</v>
      </c>
    </row>
    <row r="848" spans="1:18" x14ac:dyDescent="0.25">
      <c r="A848" s="170">
        <v>44721</v>
      </c>
      <c r="B848" s="116">
        <v>1300</v>
      </c>
      <c r="C848" s="116">
        <v>1293.25</v>
      </c>
      <c r="D848" s="116">
        <v>1262.5999999999999</v>
      </c>
      <c r="E848" s="116">
        <v>1270.6500000000001</v>
      </c>
      <c r="F848" s="116">
        <v>1293.25</v>
      </c>
      <c r="G848">
        <v>7904</v>
      </c>
      <c r="H848" s="116"/>
      <c r="I848" s="116"/>
      <c r="L848" s="170">
        <v>44718</v>
      </c>
      <c r="M848" s="116">
        <v>1282.7</v>
      </c>
      <c r="N848" s="116">
        <v>1298</v>
      </c>
      <c r="O848" s="116">
        <v>1240.5</v>
      </c>
      <c r="P848" s="116">
        <v>1252.8</v>
      </c>
      <c r="Q848" s="116">
        <v>1282.7</v>
      </c>
      <c r="R848">
        <v>484135</v>
      </c>
    </row>
    <row r="849" spans="1:18" x14ac:dyDescent="0.25">
      <c r="A849" s="170">
        <v>44722</v>
      </c>
      <c r="B849" s="116">
        <v>1320</v>
      </c>
      <c r="C849" s="116">
        <v>1288.7</v>
      </c>
      <c r="D849" s="116">
        <v>1274</v>
      </c>
      <c r="E849" s="116">
        <v>1281.55</v>
      </c>
      <c r="F849" s="116">
        <v>1288.7</v>
      </c>
      <c r="G849">
        <v>7193</v>
      </c>
      <c r="H849" s="116"/>
      <c r="I849" s="116"/>
      <c r="L849" s="170">
        <v>44719</v>
      </c>
      <c r="M849" s="116">
        <v>1237.75</v>
      </c>
      <c r="N849" s="116">
        <v>1275.95</v>
      </c>
      <c r="O849" s="116">
        <v>1228.0999999999999</v>
      </c>
      <c r="P849" s="116">
        <v>1273</v>
      </c>
      <c r="Q849" s="116">
        <v>1237.75</v>
      </c>
      <c r="R849">
        <v>745995</v>
      </c>
    </row>
    <row r="850" spans="1:18" x14ac:dyDescent="0.25">
      <c r="A850" s="170">
        <v>44725</v>
      </c>
      <c r="B850" s="116">
        <v>1273.75</v>
      </c>
      <c r="C850" s="116">
        <v>1259.7</v>
      </c>
      <c r="D850" s="116">
        <v>1238.5</v>
      </c>
      <c r="E850" s="116">
        <v>1264.0999999999999</v>
      </c>
      <c r="F850" s="116">
        <v>1259.7</v>
      </c>
      <c r="G850">
        <v>7008</v>
      </c>
      <c r="H850" s="116"/>
      <c r="I850" s="116"/>
      <c r="L850" s="170">
        <v>44720</v>
      </c>
      <c r="M850" s="116">
        <v>1269.7</v>
      </c>
      <c r="N850" s="116">
        <v>1307.5</v>
      </c>
      <c r="O850" s="116">
        <v>1237.75</v>
      </c>
      <c r="P850" s="116">
        <v>1237.75</v>
      </c>
      <c r="Q850" s="116">
        <v>1269.7</v>
      </c>
      <c r="R850">
        <v>1152471</v>
      </c>
    </row>
    <row r="851" spans="1:18" x14ac:dyDescent="0.25">
      <c r="A851" s="170">
        <v>44726</v>
      </c>
      <c r="B851" s="116">
        <v>1307.2</v>
      </c>
      <c r="C851" s="116">
        <v>1286.8</v>
      </c>
      <c r="D851" s="116">
        <v>1254</v>
      </c>
      <c r="E851" s="116">
        <v>1260</v>
      </c>
      <c r="F851" s="116">
        <v>1286.8</v>
      </c>
      <c r="G851">
        <v>6049</v>
      </c>
      <c r="H851" s="116"/>
      <c r="I851" s="116"/>
      <c r="L851" s="170">
        <v>44721</v>
      </c>
      <c r="M851" s="116">
        <v>1294.25</v>
      </c>
      <c r="N851" s="116">
        <v>1301.9000000000001</v>
      </c>
      <c r="O851" s="116">
        <v>1265.2</v>
      </c>
      <c r="P851" s="116">
        <v>1270</v>
      </c>
      <c r="Q851" s="116">
        <v>1294.25</v>
      </c>
      <c r="R851">
        <v>227321</v>
      </c>
    </row>
    <row r="852" spans="1:18" x14ac:dyDescent="0.25">
      <c r="A852" s="170">
        <v>44727</v>
      </c>
      <c r="B852" s="116">
        <v>1294</v>
      </c>
      <c r="C852" s="116">
        <v>1280.5999999999999</v>
      </c>
      <c r="D852" s="116">
        <v>1267.2</v>
      </c>
      <c r="E852" s="116">
        <v>1275</v>
      </c>
      <c r="F852" s="116">
        <v>1280.5999999999999</v>
      </c>
      <c r="G852">
        <v>2935</v>
      </c>
      <c r="H852" s="116"/>
      <c r="I852" s="116"/>
      <c r="L852" s="170">
        <v>44722</v>
      </c>
      <c r="M852" s="116">
        <v>1288.3</v>
      </c>
      <c r="N852" s="116">
        <v>1319.8</v>
      </c>
      <c r="O852" s="116">
        <v>1272.8499999999999</v>
      </c>
      <c r="P852" s="116">
        <v>1282</v>
      </c>
      <c r="Q852" s="116">
        <v>1288.3</v>
      </c>
      <c r="R852">
        <v>237561</v>
      </c>
    </row>
    <row r="853" spans="1:18" x14ac:dyDescent="0.25">
      <c r="A853" s="170">
        <v>44728</v>
      </c>
      <c r="B853" s="116">
        <v>1298.45</v>
      </c>
      <c r="C853" s="116">
        <v>1253.2</v>
      </c>
      <c r="D853" s="116">
        <v>1240</v>
      </c>
      <c r="E853" s="116">
        <v>1290.4000000000001</v>
      </c>
      <c r="F853" s="116">
        <v>1253.2</v>
      </c>
      <c r="G853">
        <v>3348</v>
      </c>
      <c r="H853" s="116"/>
      <c r="I853" s="116"/>
      <c r="L853" s="170">
        <v>44725</v>
      </c>
      <c r="M853" s="116">
        <v>1261</v>
      </c>
      <c r="N853" s="116">
        <v>1276</v>
      </c>
      <c r="O853" s="116">
        <v>1238</v>
      </c>
      <c r="P853" s="116">
        <v>1276</v>
      </c>
      <c r="Q853" s="116">
        <v>1261</v>
      </c>
      <c r="R853">
        <v>175241</v>
      </c>
    </row>
    <row r="854" spans="1:18" x14ac:dyDescent="0.25">
      <c r="A854" s="170">
        <v>44729</v>
      </c>
      <c r="B854" s="116">
        <v>1279</v>
      </c>
      <c r="C854" s="116">
        <v>1260.4000000000001</v>
      </c>
      <c r="D854" s="116">
        <v>1229.4000000000001</v>
      </c>
      <c r="E854" s="116">
        <v>1255.6500000000001</v>
      </c>
      <c r="F854" s="116">
        <v>1260.4000000000001</v>
      </c>
      <c r="G854">
        <v>5212</v>
      </c>
      <c r="H854" s="116"/>
      <c r="I854" s="116"/>
      <c r="L854" s="170">
        <v>44726</v>
      </c>
      <c r="M854" s="116">
        <v>1285.25</v>
      </c>
      <c r="N854" s="116">
        <v>1308.95</v>
      </c>
      <c r="O854" s="116">
        <v>1247</v>
      </c>
      <c r="P854" s="116">
        <v>1247</v>
      </c>
      <c r="Q854" s="116">
        <v>1285.25</v>
      </c>
      <c r="R854">
        <v>221725</v>
      </c>
    </row>
    <row r="855" spans="1:18" x14ac:dyDescent="0.25">
      <c r="A855" s="170">
        <v>44732</v>
      </c>
      <c r="B855" s="116">
        <v>1257.95</v>
      </c>
      <c r="C855" s="116">
        <v>1251.7</v>
      </c>
      <c r="D855" s="116">
        <v>1212.5999999999999</v>
      </c>
      <c r="E855" s="116">
        <v>1253.55</v>
      </c>
      <c r="F855" s="116">
        <v>1251.7</v>
      </c>
      <c r="G855">
        <v>5019</v>
      </c>
      <c r="H855" s="116"/>
      <c r="I855" s="116"/>
      <c r="L855" s="170">
        <v>44727</v>
      </c>
      <c r="M855" s="116">
        <v>1280.8</v>
      </c>
      <c r="N855" s="116">
        <v>1294.45</v>
      </c>
      <c r="O855" s="116">
        <v>1265.45</v>
      </c>
      <c r="P855" s="116">
        <v>1275</v>
      </c>
      <c r="Q855" s="116">
        <v>1280.8</v>
      </c>
      <c r="R855">
        <v>171880</v>
      </c>
    </row>
    <row r="856" spans="1:18" x14ac:dyDescent="0.25">
      <c r="A856" s="170">
        <v>44733</v>
      </c>
      <c r="B856" s="116">
        <v>1290.8</v>
      </c>
      <c r="C856" s="116">
        <v>1257.3</v>
      </c>
      <c r="D856" s="116">
        <v>1249.9000000000001</v>
      </c>
      <c r="E856" s="116">
        <v>1258.7</v>
      </c>
      <c r="F856" s="116">
        <v>1257.3</v>
      </c>
      <c r="G856">
        <v>3842</v>
      </c>
      <c r="H856" s="116"/>
      <c r="I856" s="116"/>
      <c r="L856" s="170">
        <v>44728</v>
      </c>
      <c r="M856" s="116">
        <v>1252.3499999999999</v>
      </c>
      <c r="N856" s="116">
        <v>1299.8499999999999</v>
      </c>
      <c r="O856" s="116">
        <v>1238.7</v>
      </c>
      <c r="P856" s="116">
        <v>1290</v>
      </c>
      <c r="Q856" s="116">
        <v>1252.3499999999999</v>
      </c>
      <c r="R856">
        <v>141989</v>
      </c>
    </row>
    <row r="857" spans="1:18" x14ac:dyDescent="0.25">
      <c r="A857" s="170">
        <v>44734</v>
      </c>
      <c r="B857" s="116">
        <v>1255.05</v>
      </c>
      <c r="C857" s="116">
        <v>1247.2</v>
      </c>
      <c r="D857" s="116">
        <v>1216.3499999999999</v>
      </c>
      <c r="E857" s="116">
        <v>1249.1500000000001</v>
      </c>
      <c r="F857" s="116">
        <v>1247.2</v>
      </c>
      <c r="G857">
        <v>2548</v>
      </c>
      <c r="H857" s="116"/>
      <c r="I857" s="116"/>
      <c r="L857" s="170">
        <v>44729</v>
      </c>
      <c r="M857" s="116">
        <v>1259.4000000000001</v>
      </c>
      <c r="N857" s="116">
        <v>1278.8</v>
      </c>
      <c r="O857" s="116">
        <v>1228.45</v>
      </c>
      <c r="P857" s="116">
        <v>1254.1500000000001</v>
      </c>
      <c r="Q857" s="116">
        <v>1259.4000000000001</v>
      </c>
      <c r="R857">
        <v>189877</v>
      </c>
    </row>
    <row r="858" spans="1:18" x14ac:dyDescent="0.25">
      <c r="A858" s="170">
        <v>44735</v>
      </c>
      <c r="B858" s="116">
        <v>1272.1500000000001</v>
      </c>
      <c r="C858" s="116">
        <v>1252.0999999999999</v>
      </c>
      <c r="D858" s="116">
        <v>1239.8499999999999</v>
      </c>
      <c r="E858" s="116">
        <v>1246.05</v>
      </c>
      <c r="F858" s="116">
        <v>1252.0999999999999</v>
      </c>
      <c r="G858">
        <v>2739</v>
      </c>
      <c r="H858" s="116"/>
      <c r="I858" s="116"/>
      <c r="L858" s="170">
        <v>44732</v>
      </c>
      <c r="M858" s="116">
        <v>1253.4000000000001</v>
      </c>
      <c r="N858" s="116">
        <v>1260.5</v>
      </c>
      <c r="O858" s="116">
        <v>1212.5</v>
      </c>
      <c r="P858" s="116">
        <v>1257</v>
      </c>
      <c r="Q858" s="116">
        <v>1253.4000000000001</v>
      </c>
      <c r="R858">
        <v>182152</v>
      </c>
    </row>
    <row r="859" spans="1:18" x14ac:dyDescent="0.25">
      <c r="A859" s="170">
        <v>44736</v>
      </c>
      <c r="B859" s="116">
        <v>1309</v>
      </c>
      <c r="C859" s="116">
        <v>1295.9000000000001</v>
      </c>
      <c r="D859" s="116">
        <v>1262.7</v>
      </c>
      <c r="E859" s="116">
        <v>1262.7</v>
      </c>
      <c r="F859" s="116">
        <v>1295.9000000000001</v>
      </c>
      <c r="G859">
        <v>6217</v>
      </c>
      <c r="H859" s="116"/>
      <c r="I859" s="116"/>
      <c r="L859" s="170">
        <v>44733</v>
      </c>
      <c r="M859" s="116">
        <v>1258.2</v>
      </c>
      <c r="N859" s="116">
        <v>1291.3499999999999</v>
      </c>
      <c r="O859" s="116">
        <v>1250.75</v>
      </c>
      <c r="P859" s="116">
        <v>1261.95</v>
      </c>
      <c r="Q859" s="116">
        <v>1258.2</v>
      </c>
      <c r="R859">
        <v>351625</v>
      </c>
    </row>
    <row r="860" spans="1:18" x14ac:dyDescent="0.25">
      <c r="A860" s="170">
        <v>44739</v>
      </c>
      <c r="B860" s="116">
        <v>1327</v>
      </c>
      <c r="C860" s="116">
        <v>1302.0999999999999</v>
      </c>
      <c r="D860" s="116">
        <v>1288.2</v>
      </c>
      <c r="E860" s="116">
        <v>1314.15</v>
      </c>
      <c r="F860" s="116">
        <v>1302.0999999999999</v>
      </c>
      <c r="G860">
        <v>6680</v>
      </c>
      <c r="H860" s="116"/>
      <c r="I860" s="116"/>
      <c r="L860" s="170">
        <v>44734</v>
      </c>
      <c r="M860" s="116">
        <v>1246.95</v>
      </c>
      <c r="N860" s="116">
        <v>1258.2</v>
      </c>
      <c r="O860" s="116">
        <v>1214.8499999999999</v>
      </c>
      <c r="P860" s="116">
        <v>1258.2</v>
      </c>
      <c r="Q860" s="116">
        <v>1246.95</v>
      </c>
      <c r="R860">
        <v>143132</v>
      </c>
    </row>
    <row r="861" spans="1:18" x14ac:dyDescent="0.25">
      <c r="A861" s="170">
        <v>44740</v>
      </c>
      <c r="B861" s="116">
        <v>1313</v>
      </c>
      <c r="C861" s="116">
        <v>1303.25</v>
      </c>
      <c r="D861" s="116">
        <v>1274.4000000000001</v>
      </c>
      <c r="E861" s="116">
        <v>1297.5</v>
      </c>
      <c r="F861" s="116">
        <v>1303.25</v>
      </c>
      <c r="G861">
        <v>4840</v>
      </c>
      <c r="H861" s="116"/>
      <c r="I861" s="116"/>
      <c r="L861" s="170">
        <v>44735</v>
      </c>
      <c r="M861" s="116">
        <v>1252.55</v>
      </c>
      <c r="N861" s="116">
        <v>1273</v>
      </c>
      <c r="O861" s="116">
        <v>1238</v>
      </c>
      <c r="P861" s="116">
        <v>1246.9000000000001</v>
      </c>
      <c r="Q861" s="116">
        <v>1252.55</v>
      </c>
      <c r="R861">
        <v>84639</v>
      </c>
    </row>
    <row r="862" spans="1:18" x14ac:dyDescent="0.25">
      <c r="A862" s="170">
        <v>44741</v>
      </c>
      <c r="B862" s="116">
        <v>1321</v>
      </c>
      <c r="C862" s="116">
        <v>1289</v>
      </c>
      <c r="D862" s="116">
        <v>1282</v>
      </c>
      <c r="E862" s="116">
        <v>1289.7</v>
      </c>
      <c r="F862" s="116">
        <v>1289</v>
      </c>
      <c r="G862">
        <v>6620</v>
      </c>
      <c r="H862" s="116"/>
      <c r="I862" s="116"/>
      <c r="L862" s="170">
        <v>44736</v>
      </c>
      <c r="M862" s="116">
        <v>1296.5</v>
      </c>
      <c r="N862" s="116">
        <v>1310</v>
      </c>
      <c r="O862" s="116">
        <v>1261.6500000000001</v>
      </c>
      <c r="P862" s="116">
        <v>1262.3499999999999</v>
      </c>
      <c r="Q862" s="116">
        <v>1296.5</v>
      </c>
      <c r="R862">
        <v>265788</v>
      </c>
    </row>
    <row r="863" spans="1:18" x14ac:dyDescent="0.25">
      <c r="A863" s="170">
        <v>44742</v>
      </c>
      <c r="B863" s="116">
        <v>1300.0999999999999</v>
      </c>
      <c r="C863" s="116">
        <v>1283.3499999999999</v>
      </c>
      <c r="D863" s="116">
        <v>1268.3</v>
      </c>
      <c r="E863" s="116">
        <v>1296.3</v>
      </c>
      <c r="F863" s="116">
        <v>1283.3499999999999</v>
      </c>
      <c r="G863">
        <v>6342</v>
      </c>
      <c r="H863" s="116"/>
      <c r="I863" s="116"/>
      <c r="L863" s="170">
        <v>44739</v>
      </c>
      <c r="M863" s="116">
        <v>1302.5999999999999</v>
      </c>
      <c r="N863" s="116">
        <v>1327.9</v>
      </c>
      <c r="O863" s="116">
        <v>1287.7</v>
      </c>
      <c r="P863" s="116">
        <v>1310.55</v>
      </c>
      <c r="Q863" s="116">
        <v>1302.5999999999999</v>
      </c>
      <c r="R863">
        <v>217782</v>
      </c>
    </row>
    <row r="864" spans="1:18" x14ac:dyDescent="0.25">
      <c r="A864" s="170">
        <v>44743</v>
      </c>
      <c r="B864" s="116">
        <v>1336.25</v>
      </c>
      <c r="C864" s="116">
        <v>1324.1</v>
      </c>
      <c r="D864" s="116">
        <v>1274.2</v>
      </c>
      <c r="E864" s="116">
        <v>1274.6500000000001</v>
      </c>
      <c r="F864" s="116">
        <v>1324.1</v>
      </c>
      <c r="G864">
        <v>4673</v>
      </c>
      <c r="H864" s="116"/>
      <c r="I864" s="116"/>
      <c r="L864" s="170">
        <v>44740</v>
      </c>
      <c r="M864" s="116">
        <v>1302.4000000000001</v>
      </c>
      <c r="N864" s="116">
        <v>1313.8</v>
      </c>
      <c r="O864" s="116">
        <v>1273.1500000000001</v>
      </c>
      <c r="P864" s="116">
        <v>1299</v>
      </c>
      <c r="Q864" s="116">
        <v>1302.4000000000001</v>
      </c>
      <c r="R864">
        <v>133711</v>
      </c>
    </row>
    <row r="865" spans="1:18" x14ac:dyDescent="0.25">
      <c r="A865" s="170">
        <v>44746</v>
      </c>
      <c r="B865" s="116">
        <v>1340</v>
      </c>
      <c r="C865" s="116">
        <v>1316.45</v>
      </c>
      <c r="D865" s="116">
        <v>1292</v>
      </c>
      <c r="E865" s="116">
        <v>1328.1</v>
      </c>
      <c r="F865" s="116">
        <v>1316.45</v>
      </c>
      <c r="G865">
        <v>29010</v>
      </c>
      <c r="H865" s="116"/>
      <c r="I865" s="116"/>
      <c r="L865" s="170">
        <v>44741</v>
      </c>
      <c r="M865" s="116">
        <v>1289.55</v>
      </c>
      <c r="N865" s="116">
        <v>1321.85</v>
      </c>
      <c r="O865" s="116">
        <v>1281.45</v>
      </c>
      <c r="P865" s="116">
        <v>1296</v>
      </c>
      <c r="Q865" s="116">
        <v>1289.55</v>
      </c>
      <c r="R865">
        <v>167100</v>
      </c>
    </row>
    <row r="866" spans="1:18" x14ac:dyDescent="0.25">
      <c r="A866" s="170">
        <v>44747</v>
      </c>
      <c r="B866" s="116">
        <v>1328.1</v>
      </c>
      <c r="C866" s="116">
        <v>1300.55</v>
      </c>
      <c r="D866" s="116">
        <v>1297.55</v>
      </c>
      <c r="E866" s="116">
        <v>1317.3</v>
      </c>
      <c r="F866" s="116">
        <v>1300.55</v>
      </c>
      <c r="G866">
        <v>1894</v>
      </c>
      <c r="H866" s="116"/>
      <c r="I866" s="116"/>
      <c r="L866" s="170">
        <v>44742</v>
      </c>
      <c r="M866" s="116">
        <v>1283.6500000000001</v>
      </c>
      <c r="N866" s="116">
        <v>1300.05</v>
      </c>
      <c r="O866" s="116">
        <v>1267.25</v>
      </c>
      <c r="P866" s="116">
        <v>1291.3499999999999</v>
      </c>
      <c r="Q866" s="116">
        <v>1283.6500000000001</v>
      </c>
      <c r="R866">
        <v>142989</v>
      </c>
    </row>
    <row r="867" spans="1:18" x14ac:dyDescent="0.25">
      <c r="A867" s="170">
        <v>44748</v>
      </c>
      <c r="B867" s="116">
        <v>1385</v>
      </c>
      <c r="C867" s="116">
        <v>1381.85</v>
      </c>
      <c r="D867" s="116">
        <v>1309.7</v>
      </c>
      <c r="E867" s="116">
        <v>1309.7</v>
      </c>
      <c r="F867" s="116">
        <v>1381.85</v>
      </c>
      <c r="G867">
        <v>6638</v>
      </c>
      <c r="H867" s="116"/>
      <c r="I867" s="116"/>
      <c r="L867" s="170">
        <v>44743</v>
      </c>
      <c r="M867" s="116">
        <v>1326.85</v>
      </c>
      <c r="N867" s="116">
        <v>1337.8</v>
      </c>
      <c r="O867" s="116">
        <v>1272.5</v>
      </c>
      <c r="P867" s="116">
        <v>1280</v>
      </c>
      <c r="Q867" s="116">
        <v>1326.85</v>
      </c>
      <c r="R867">
        <v>197336</v>
      </c>
    </row>
    <row r="868" spans="1:18" x14ac:dyDescent="0.25">
      <c r="A868" s="170">
        <v>44749</v>
      </c>
      <c r="B868" s="116">
        <v>1464.35</v>
      </c>
      <c r="C868" s="116">
        <v>1451.5</v>
      </c>
      <c r="D868" s="116">
        <v>1376.35</v>
      </c>
      <c r="E868" s="116">
        <v>1391.65</v>
      </c>
      <c r="F868" s="116">
        <v>1451.5</v>
      </c>
      <c r="G868">
        <v>16008</v>
      </c>
      <c r="H868" s="116"/>
      <c r="I868" s="116"/>
      <c r="L868" s="170">
        <v>44746</v>
      </c>
      <c r="M868" s="116">
        <v>1317.8</v>
      </c>
      <c r="N868" s="116">
        <v>1340</v>
      </c>
      <c r="O868" s="116">
        <v>1292</v>
      </c>
      <c r="P868" s="116">
        <v>1328.7</v>
      </c>
      <c r="Q868" s="116">
        <v>1317.8</v>
      </c>
      <c r="R868">
        <v>561448</v>
      </c>
    </row>
    <row r="869" spans="1:18" x14ac:dyDescent="0.25">
      <c r="A869" s="170">
        <v>44750</v>
      </c>
      <c r="B869" s="116">
        <v>1459</v>
      </c>
      <c r="C869" s="116">
        <v>1432.3</v>
      </c>
      <c r="D869" s="116">
        <v>1425</v>
      </c>
      <c r="E869" s="116">
        <v>1457.75</v>
      </c>
      <c r="F869" s="116">
        <v>1432.3</v>
      </c>
      <c r="G869">
        <v>4229</v>
      </c>
      <c r="H869" s="116"/>
      <c r="I869" s="116"/>
      <c r="L869" s="170">
        <v>44747</v>
      </c>
      <c r="M869" s="116">
        <v>1301.95</v>
      </c>
      <c r="N869" s="116">
        <v>1329.5</v>
      </c>
      <c r="O869" s="116">
        <v>1298</v>
      </c>
      <c r="P869" s="116">
        <v>1317.8</v>
      </c>
      <c r="Q869" s="116">
        <v>1301.95</v>
      </c>
      <c r="R869">
        <v>128140</v>
      </c>
    </row>
    <row r="870" spans="1:18" x14ac:dyDescent="0.25">
      <c r="A870" s="170">
        <v>44753</v>
      </c>
      <c r="B870" s="116">
        <v>1453.15</v>
      </c>
      <c r="C870" s="116">
        <v>1449.95</v>
      </c>
      <c r="D870" s="116">
        <v>1418.05</v>
      </c>
      <c r="E870" s="116">
        <v>1428.6</v>
      </c>
      <c r="F870" s="116">
        <v>1449.95</v>
      </c>
      <c r="G870">
        <v>4027</v>
      </c>
      <c r="H870" s="116"/>
      <c r="I870" s="116"/>
      <c r="L870" s="170">
        <v>44748</v>
      </c>
      <c r="M870" s="116">
        <v>1381.5</v>
      </c>
      <c r="N870" s="116">
        <v>1386.5</v>
      </c>
      <c r="O870" s="116">
        <v>1309</v>
      </c>
      <c r="P870" s="116">
        <v>1309.25</v>
      </c>
      <c r="Q870" s="116">
        <v>1381.5</v>
      </c>
      <c r="R870">
        <v>485108</v>
      </c>
    </row>
    <row r="871" spans="1:18" x14ac:dyDescent="0.25">
      <c r="A871" s="170">
        <v>44754</v>
      </c>
      <c r="B871" s="116">
        <v>1453.55</v>
      </c>
      <c r="C871" s="116">
        <v>1435.45</v>
      </c>
      <c r="D871" s="116">
        <v>1430.4</v>
      </c>
      <c r="E871" s="116">
        <v>1444.55</v>
      </c>
      <c r="F871" s="116">
        <v>1435.45</v>
      </c>
      <c r="G871">
        <v>5127</v>
      </c>
      <c r="H871" s="116"/>
      <c r="I871" s="116"/>
      <c r="L871" s="170">
        <v>44749</v>
      </c>
      <c r="M871" s="116">
        <v>1453.15</v>
      </c>
      <c r="N871" s="116">
        <v>1464.7</v>
      </c>
      <c r="O871" s="116">
        <v>1376.3</v>
      </c>
      <c r="P871" s="116">
        <v>1390</v>
      </c>
      <c r="Q871" s="116">
        <v>1453.15</v>
      </c>
      <c r="R871">
        <v>635765</v>
      </c>
    </row>
    <row r="872" spans="1:18" x14ac:dyDescent="0.25">
      <c r="A872" s="170">
        <v>44755</v>
      </c>
      <c r="B872" s="116">
        <v>1492.25</v>
      </c>
      <c r="C872" s="116">
        <v>1475.65</v>
      </c>
      <c r="D872" s="116">
        <v>1449</v>
      </c>
      <c r="E872" s="116">
        <v>1450.45</v>
      </c>
      <c r="F872" s="116">
        <v>1475.65</v>
      </c>
      <c r="G872">
        <v>10321</v>
      </c>
      <c r="H872" s="116"/>
      <c r="I872" s="116"/>
      <c r="L872" s="170">
        <v>44750</v>
      </c>
      <c r="M872" s="116">
        <v>1433.65</v>
      </c>
      <c r="N872" s="116">
        <v>1458.45</v>
      </c>
      <c r="O872" s="116">
        <v>1425.55</v>
      </c>
      <c r="P872" s="116">
        <v>1458</v>
      </c>
      <c r="Q872" s="116">
        <v>1433.65</v>
      </c>
      <c r="R872">
        <v>146937</v>
      </c>
    </row>
    <row r="873" spans="1:18" x14ac:dyDescent="0.25">
      <c r="A873" s="170">
        <v>44756</v>
      </c>
      <c r="B873" s="116">
        <v>1490</v>
      </c>
      <c r="C873" s="116">
        <v>1440.2</v>
      </c>
      <c r="D873" s="116">
        <v>1430.85</v>
      </c>
      <c r="E873" s="116">
        <v>1480.9</v>
      </c>
      <c r="F873" s="116">
        <v>1440.2</v>
      </c>
      <c r="G873">
        <v>3890</v>
      </c>
      <c r="H873" s="116"/>
      <c r="I873" s="116"/>
      <c r="L873" s="170">
        <v>44753</v>
      </c>
      <c r="M873" s="116">
        <v>1450.5</v>
      </c>
      <c r="N873" s="116">
        <v>1454.25</v>
      </c>
      <c r="O873" s="116">
        <v>1415</v>
      </c>
      <c r="P873" s="116">
        <v>1430</v>
      </c>
      <c r="Q873" s="116">
        <v>1450.5</v>
      </c>
      <c r="R873">
        <v>185203</v>
      </c>
    </row>
    <row r="874" spans="1:18" x14ac:dyDescent="0.25">
      <c r="A874" s="170">
        <v>44757</v>
      </c>
      <c r="B874" s="116">
        <v>1457.75</v>
      </c>
      <c r="C874" s="116">
        <v>1451.35</v>
      </c>
      <c r="D874" s="116">
        <v>1422.05</v>
      </c>
      <c r="E874" s="116">
        <v>1440.2</v>
      </c>
      <c r="F874" s="116">
        <v>1451.35</v>
      </c>
      <c r="G874">
        <v>7079</v>
      </c>
      <c r="H874" s="116"/>
      <c r="I874" s="116"/>
      <c r="L874" s="170">
        <v>44754</v>
      </c>
      <c r="M874" s="116">
        <v>1438.15</v>
      </c>
      <c r="N874" s="116">
        <v>1453.9</v>
      </c>
      <c r="O874" s="116">
        <v>1431.85</v>
      </c>
      <c r="P874" s="116">
        <v>1446</v>
      </c>
      <c r="Q874" s="116">
        <v>1438.15</v>
      </c>
      <c r="R874">
        <v>193946</v>
      </c>
    </row>
    <row r="875" spans="1:18" x14ac:dyDescent="0.25">
      <c r="A875" s="170">
        <v>44760</v>
      </c>
      <c r="B875" s="116">
        <v>1506.45</v>
      </c>
      <c r="C875" s="116">
        <v>1489.45</v>
      </c>
      <c r="D875" s="116">
        <v>1458.45</v>
      </c>
      <c r="E875" s="116">
        <v>1465</v>
      </c>
      <c r="F875" s="116">
        <v>1489.45</v>
      </c>
      <c r="G875">
        <v>12752</v>
      </c>
      <c r="H875" s="116"/>
      <c r="I875" s="116"/>
      <c r="L875" s="170">
        <v>44755</v>
      </c>
      <c r="M875" s="116">
        <v>1477.15</v>
      </c>
      <c r="N875" s="116">
        <v>1492.7</v>
      </c>
      <c r="O875" s="116">
        <v>1447.2</v>
      </c>
      <c r="P875" s="116">
        <v>1449.05</v>
      </c>
      <c r="Q875" s="116">
        <v>1477.15</v>
      </c>
      <c r="R875">
        <v>365907</v>
      </c>
    </row>
    <row r="876" spans="1:18" x14ac:dyDescent="0.25">
      <c r="A876" s="170">
        <v>44761</v>
      </c>
      <c r="B876" s="116">
        <v>1522.5</v>
      </c>
      <c r="C876" s="116">
        <v>1512.3</v>
      </c>
      <c r="D876" s="116">
        <v>1485.85</v>
      </c>
      <c r="E876" s="116">
        <v>1485.85</v>
      </c>
      <c r="F876" s="116">
        <v>1512.3</v>
      </c>
      <c r="G876">
        <v>3477</v>
      </c>
      <c r="H876" s="116"/>
      <c r="I876" s="116"/>
      <c r="L876" s="170">
        <v>44756</v>
      </c>
      <c r="M876" s="116">
        <v>1440.1</v>
      </c>
      <c r="N876" s="116">
        <v>1489.8</v>
      </c>
      <c r="O876" s="116">
        <v>1431.15</v>
      </c>
      <c r="P876" s="116">
        <v>1477.15</v>
      </c>
      <c r="Q876" s="116">
        <v>1440.1</v>
      </c>
      <c r="R876">
        <v>225508</v>
      </c>
    </row>
    <row r="877" spans="1:18" x14ac:dyDescent="0.25">
      <c r="A877" s="170">
        <v>44762</v>
      </c>
      <c r="B877" s="116">
        <v>1527.9</v>
      </c>
      <c r="C877" s="116">
        <v>1512.5</v>
      </c>
      <c r="D877" s="116">
        <v>1501.15</v>
      </c>
      <c r="E877" s="116">
        <v>1519</v>
      </c>
      <c r="F877" s="116">
        <v>1512.5</v>
      </c>
      <c r="G877">
        <v>3340</v>
      </c>
      <c r="H877" s="116"/>
      <c r="I877" s="116"/>
      <c r="L877" s="170">
        <v>44757</v>
      </c>
      <c r="M877" s="116">
        <v>1448.35</v>
      </c>
      <c r="N877" s="116">
        <v>1459</v>
      </c>
      <c r="O877" s="116">
        <v>1422.15</v>
      </c>
      <c r="P877" s="116">
        <v>1440.55</v>
      </c>
      <c r="Q877" s="116">
        <v>1448.35</v>
      </c>
      <c r="R877">
        <v>256744</v>
      </c>
    </row>
    <row r="878" spans="1:18" x14ac:dyDescent="0.25">
      <c r="A878" s="170">
        <v>44763</v>
      </c>
      <c r="B878" s="116">
        <v>1545.65</v>
      </c>
      <c r="C878" s="116">
        <v>1541.7</v>
      </c>
      <c r="D878" s="116">
        <v>1499.1</v>
      </c>
      <c r="E878" s="116">
        <v>1503.05</v>
      </c>
      <c r="F878" s="116">
        <v>1541.7</v>
      </c>
      <c r="G878">
        <v>3847</v>
      </c>
      <c r="H878" s="116"/>
      <c r="I878" s="116"/>
      <c r="L878" s="170">
        <v>44760</v>
      </c>
      <c r="M878" s="116">
        <v>1490.4</v>
      </c>
      <c r="N878" s="116">
        <v>1508.15</v>
      </c>
      <c r="O878" s="116">
        <v>1457.15</v>
      </c>
      <c r="P878" s="116">
        <v>1467.8</v>
      </c>
      <c r="Q878" s="116">
        <v>1490.4</v>
      </c>
      <c r="R878">
        <v>181648</v>
      </c>
    </row>
    <row r="879" spans="1:18" x14ac:dyDescent="0.25">
      <c r="A879" s="170">
        <v>44764</v>
      </c>
      <c r="B879" s="116">
        <v>1603.4</v>
      </c>
      <c r="C879" s="116">
        <v>1595</v>
      </c>
      <c r="D879" s="116">
        <v>1533.2</v>
      </c>
      <c r="E879" s="116">
        <v>1545</v>
      </c>
      <c r="F879" s="116">
        <v>1595</v>
      </c>
      <c r="G879">
        <v>17633</v>
      </c>
      <c r="H879" s="116"/>
      <c r="I879" s="116"/>
      <c r="L879" s="170">
        <v>44761</v>
      </c>
      <c r="M879" s="116">
        <v>1514.7</v>
      </c>
      <c r="N879" s="116">
        <v>1522.95</v>
      </c>
      <c r="O879" s="116">
        <v>1480.35</v>
      </c>
      <c r="P879" s="116">
        <v>1494.1</v>
      </c>
      <c r="Q879" s="116">
        <v>1514.7</v>
      </c>
      <c r="R879">
        <v>142444</v>
      </c>
    </row>
    <row r="880" spans="1:18" x14ac:dyDescent="0.25">
      <c r="A880" s="170">
        <v>44767</v>
      </c>
      <c r="B880" s="116">
        <v>1592.95</v>
      </c>
      <c r="C880" s="116">
        <v>1548.9</v>
      </c>
      <c r="D880" s="116">
        <v>1542</v>
      </c>
      <c r="E880" s="116">
        <v>1580</v>
      </c>
      <c r="F880" s="116">
        <v>1548.9</v>
      </c>
      <c r="G880">
        <v>4108</v>
      </c>
      <c r="H880" s="116"/>
      <c r="I880" s="116"/>
      <c r="L880" s="170">
        <v>44762</v>
      </c>
      <c r="M880" s="116">
        <v>1512.9</v>
      </c>
      <c r="N880" s="116">
        <v>1529.05</v>
      </c>
      <c r="O880" s="116">
        <v>1505</v>
      </c>
      <c r="P880" s="116">
        <v>1529</v>
      </c>
      <c r="Q880" s="116">
        <v>1512.9</v>
      </c>
      <c r="R880">
        <v>195038</v>
      </c>
    </row>
    <row r="881" spans="1:18" x14ac:dyDescent="0.25">
      <c r="A881" s="170">
        <v>44768</v>
      </c>
      <c r="B881" s="116">
        <v>1568.55</v>
      </c>
      <c r="C881" s="116">
        <v>1531.45</v>
      </c>
      <c r="D881" s="116">
        <v>1518.35</v>
      </c>
      <c r="E881" s="116">
        <v>1551.85</v>
      </c>
      <c r="F881" s="116">
        <v>1531.45</v>
      </c>
      <c r="G881">
        <v>4110</v>
      </c>
      <c r="H881" s="116"/>
      <c r="I881" s="116"/>
      <c r="L881" s="170">
        <v>44763</v>
      </c>
      <c r="M881" s="116">
        <v>1539.75</v>
      </c>
      <c r="N881" s="116">
        <v>1546.5</v>
      </c>
      <c r="O881" s="116">
        <v>1498</v>
      </c>
      <c r="P881" s="116">
        <v>1518.9</v>
      </c>
      <c r="Q881" s="116">
        <v>1539.75</v>
      </c>
      <c r="R881">
        <v>164554</v>
      </c>
    </row>
    <row r="882" spans="1:18" x14ac:dyDescent="0.25">
      <c r="A882" s="170">
        <v>44769</v>
      </c>
      <c r="B882" s="116">
        <v>1588.25</v>
      </c>
      <c r="C882" s="116">
        <v>1575.75</v>
      </c>
      <c r="D882" s="116">
        <v>1529.45</v>
      </c>
      <c r="E882" s="116">
        <v>1533.5</v>
      </c>
      <c r="F882" s="116">
        <v>1575.75</v>
      </c>
      <c r="G882">
        <v>4146</v>
      </c>
      <c r="H882" s="116"/>
      <c r="I882" s="116"/>
      <c r="L882" s="170">
        <v>44764</v>
      </c>
      <c r="M882" s="116">
        <v>1595.45</v>
      </c>
      <c r="N882" s="116">
        <v>1603.25</v>
      </c>
      <c r="O882" s="116">
        <v>1530.05</v>
      </c>
      <c r="P882" s="116">
        <v>1548.5</v>
      </c>
      <c r="Q882" s="116">
        <v>1595.45</v>
      </c>
      <c r="R882">
        <v>306694</v>
      </c>
    </row>
    <row r="883" spans="1:18" x14ac:dyDescent="0.25">
      <c r="A883" s="170">
        <v>44770</v>
      </c>
      <c r="B883" s="116">
        <v>1611.8</v>
      </c>
      <c r="C883" s="116">
        <v>1584.05</v>
      </c>
      <c r="D883" s="116">
        <v>1568.45</v>
      </c>
      <c r="E883" s="116">
        <v>1572.5</v>
      </c>
      <c r="F883" s="116">
        <v>1584.05</v>
      </c>
      <c r="G883">
        <v>5546</v>
      </c>
      <c r="H883" s="116"/>
      <c r="I883" s="116"/>
      <c r="L883" s="170">
        <v>44767</v>
      </c>
      <c r="M883" s="116">
        <v>1549.75</v>
      </c>
      <c r="N883" s="116">
        <v>1595.1</v>
      </c>
      <c r="O883" s="116">
        <v>1540.85</v>
      </c>
      <c r="P883" s="116">
        <v>1585</v>
      </c>
      <c r="Q883" s="116">
        <v>1549.75</v>
      </c>
      <c r="R883">
        <v>150588</v>
      </c>
    </row>
    <row r="884" spans="1:18" x14ac:dyDescent="0.25">
      <c r="A884" s="170">
        <v>44771</v>
      </c>
      <c r="B884" s="116">
        <v>1617.95</v>
      </c>
      <c r="C884" s="116">
        <v>1599.05</v>
      </c>
      <c r="D884" s="116">
        <v>1589.4</v>
      </c>
      <c r="E884" s="116">
        <v>1603.7</v>
      </c>
      <c r="F884" s="116">
        <v>1599.05</v>
      </c>
      <c r="G884">
        <v>3709</v>
      </c>
      <c r="H884" s="116"/>
      <c r="I884" s="116"/>
      <c r="L884" s="170">
        <v>44768</v>
      </c>
      <c r="M884" s="116">
        <v>1534.45</v>
      </c>
      <c r="N884" s="116">
        <v>1569</v>
      </c>
      <c r="O884" s="116">
        <v>1517.5</v>
      </c>
      <c r="P884" s="116">
        <v>1557.7</v>
      </c>
      <c r="Q884" s="116">
        <v>1534.45</v>
      </c>
      <c r="R884">
        <v>229628</v>
      </c>
    </row>
    <row r="885" spans="1:18" x14ac:dyDescent="0.25">
      <c r="A885" s="170">
        <v>44774</v>
      </c>
      <c r="B885" s="116">
        <v>1610.65</v>
      </c>
      <c r="C885" s="116">
        <v>1586.7</v>
      </c>
      <c r="D885" s="116">
        <v>1580</v>
      </c>
      <c r="E885" s="116">
        <v>1599.3</v>
      </c>
      <c r="F885" s="116">
        <v>1586.7</v>
      </c>
      <c r="G885">
        <v>2135</v>
      </c>
      <c r="H885" s="116"/>
      <c r="I885" s="116"/>
      <c r="L885" s="170">
        <v>44769</v>
      </c>
      <c r="M885" s="116">
        <v>1576.45</v>
      </c>
      <c r="N885" s="116">
        <v>1589</v>
      </c>
      <c r="O885" s="116">
        <v>1530</v>
      </c>
      <c r="P885" s="116">
        <v>1540</v>
      </c>
      <c r="Q885" s="116">
        <v>1576.45</v>
      </c>
      <c r="R885">
        <v>136055</v>
      </c>
    </row>
    <row r="886" spans="1:18" x14ac:dyDescent="0.25">
      <c r="A886" s="170">
        <v>44775</v>
      </c>
      <c r="B886" s="116">
        <v>1610.25</v>
      </c>
      <c r="C886" s="116">
        <v>1580.8</v>
      </c>
      <c r="D886" s="116">
        <v>1574.5</v>
      </c>
      <c r="E886" s="116">
        <v>1588</v>
      </c>
      <c r="F886" s="116">
        <v>1580.8</v>
      </c>
      <c r="G886">
        <v>11502</v>
      </c>
      <c r="H886" s="116"/>
      <c r="I886" s="116"/>
      <c r="L886" s="170">
        <v>44770</v>
      </c>
      <c r="M886" s="116">
        <v>1585.3</v>
      </c>
      <c r="N886" s="116">
        <v>1612</v>
      </c>
      <c r="O886" s="116">
        <v>1568.15</v>
      </c>
      <c r="P886" s="116">
        <v>1575.5</v>
      </c>
      <c r="Q886" s="116">
        <v>1585.3</v>
      </c>
      <c r="R886">
        <v>185725</v>
      </c>
    </row>
    <row r="887" spans="1:18" x14ac:dyDescent="0.25">
      <c r="A887" s="170">
        <v>44776</v>
      </c>
      <c r="B887" s="116">
        <v>1584.3</v>
      </c>
      <c r="C887" s="116">
        <v>1546.7</v>
      </c>
      <c r="D887" s="116">
        <v>1537.5</v>
      </c>
      <c r="E887" s="116">
        <v>1583.5</v>
      </c>
      <c r="F887" s="116">
        <v>1546.7</v>
      </c>
      <c r="G887">
        <v>2720</v>
      </c>
      <c r="H887" s="116"/>
      <c r="I887" s="116"/>
      <c r="L887" s="170">
        <v>44771</v>
      </c>
      <c r="M887" s="116">
        <v>1599.65</v>
      </c>
      <c r="N887" s="116">
        <v>1618.95</v>
      </c>
      <c r="O887" s="116">
        <v>1588.2</v>
      </c>
      <c r="P887" s="116">
        <v>1606.45</v>
      </c>
      <c r="Q887" s="116">
        <v>1599.65</v>
      </c>
      <c r="R887">
        <v>174876</v>
      </c>
    </row>
    <row r="888" spans="1:18" x14ac:dyDescent="0.25">
      <c r="A888" s="170">
        <v>44777</v>
      </c>
      <c r="B888" s="116">
        <v>1602.8</v>
      </c>
      <c r="C888" s="116">
        <v>1561</v>
      </c>
      <c r="D888" s="116">
        <v>1551.4</v>
      </c>
      <c r="E888" s="116">
        <v>1569.05</v>
      </c>
      <c r="F888" s="116">
        <v>1561</v>
      </c>
      <c r="G888">
        <v>9686</v>
      </c>
      <c r="H888" s="116"/>
      <c r="I888" s="116"/>
      <c r="L888" s="170">
        <v>44774</v>
      </c>
      <c r="M888" s="116">
        <v>1586.3</v>
      </c>
      <c r="N888" s="116">
        <v>1612.8</v>
      </c>
      <c r="O888" s="116">
        <v>1578.3</v>
      </c>
      <c r="P888" s="116">
        <v>1590.1</v>
      </c>
      <c r="Q888" s="116">
        <v>1586.3</v>
      </c>
      <c r="R888">
        <v>142183</v>
      </c>
    </row>
    <row r="889" spans="1:18" x14ac:dyDescent="0.25">
      <c r="A889" s="170">
        <v>44778</v>
      </c>
      <c r="B889" s="116">
        <v>1627</v>
      </c>
      <c r="C889" s="116">
        <v>1618.1</v>
      </c>
      <c r="D889" s="116">
        <v>1548.9</v>
      </c>
      <c r="E889" s="116">
        <v>1568.7</v>
      </c>
      <c r="F889" s="116">
        <v>1618.1</v>
      </c>
      <c r="G889">
        <v>11931</v>
      </c>
      <c r="H889" s="116"/>
      <c r="I889" s="116"/>
      <c r="L889" s="170">
        <v>44775</v>
      </c>
      <c r="M889" s="116">
        <v>1582.45</v>
      </c>
      <c r="N889" s="116">
        <v>1610.55</v>
      </c>
      <c r="O889" s="116">
        <v>1574.85</v>
      </c>
      <c r="P889" s="116">
        <v>1595.1</v>
      </c>
      <c r="Q889" s="116">
        <v>1582.45</v>
      </c>
      <c r="R889">
        <v>72178</v>
      </c>
    </row>
    <row r="890" spans="1:18" x14ac:dyDescent="0.25">
      <c r="A890" s="170">
        <v>44781</v>
      </c>
      <c r="B890" s="116">
        <v>1632.95</v>
      </c>
      <c r="C890" s="116">
        <v>1602.95</v>
      </c>
      <c r="D890" s="116">
        <v>1595.45</v>
      </c>
      <c r="E890" s="116">
        <v>1619.35</v>
      </c>
      <c r="F890" s="116">
        <v>1602.95</v>
      </c>
      <c r="G890">
        <v>7398</v>
      </c>
      <c r="H890" s="116"/>
      <c r="I890" s="116"/>
      <c r="L890" s="170">
        <v>44776</v>
      </c>
      <c r="M890" s="116">
        <v>1547.3</v>
      </c>
      <c r="N890" s="116">
        <v>1585.15</v>
      </c>
      <c r="O890" s="116">
        <v>1535</v>
      </c>
      <c r="P890" s="116">
        <v>1585</v>
      </c>
      <c r="Q890" s="116">
        <v>1547.3</v>
      </c>
      <c r="R890">
        <v>317873</v>
      </c>
    </row>
    <row r="891" spans="1:18" x14ac:dyDescent="0.25">
      <c r="A891" s="170">
        <v>44783</v>
      </c>
      <c r="B891" s="116">
        <v>1606.5</v>
      </c>
      <c r="C891" s="116">
        <v>1559.15</v>
      </c>
      <c r="D891" s="116">
        <v>1549</v>
      </c>
      <c r="E891" s="116">
        <v>1604.75</v>
      </c>
      <c r="F891" s="116">
        <v>1559.15</v>
      </c>
      <c r="G891">
        <v>4972</v>
      </c>
      <c r="H891" s="116"/>
      <c r="I891" s="116"/>
      <c r="L891" s="170">
        <v>44777</v>
      </c>
      <c r="M891" s="116">
        <v>1561.85</v>
      </c>
      <c r="N891" s="116">
        <v>1602</v>
      </c>
      <c r="O891" s="116">
        <v>1550</v>
      </c>
      <c r="P891" s="116">
        <v>1550</v>
      </c>
      <c r="Q891" s="116">
        <v>1561.85</v>
      </c>
      <c r="R891">
        <v>391013</v>
      </c>
    </row>
    <row r="892" spans="1:18" x14ac:dyDescent="0.25">
      <c r="A892" s="170">
        <v>44784</v>
      </c>
      <c r="B892" s="116">
        <v>1586.85</v>
      </c>
      <c r="C892" s="116">
        <v>1563.4</v>
      </c>
      <c r="D892" s="116">
        <v>1551.2</v>
      </c>
      <c r="E892" s="116">
        <v>1571.5</v>
      </c>
      <c r="F892" s="116">
        <v>1563.4</v>
      </c>
      <c r="G892">
        <v>3351</v>
      </c>
      <c r="H892" s="116"/>
      <c r="I892" s="116"/>
      <c r="L892" s="170">
        <v>44778</v>
      </c>
      <c r="M892" s="116">
        <v>1616.3</v>
      </c>
      <c r="N892" s="116">
        <v>1628.25</v>
      </c>
      <c r="O892" s="116">
        <v>1550</v>
      </c>
      <c r="P892" s="116">
        <v>1565</v>
      </c>
      <c r="Q892" s="116">
        <v>1616.3</v>
      </c>
      <c r="R892">
        <v>412824</v>
      </c>
    </row>
    <row r="893" spans="1:18" x14ac:dyDescent="0.25">
      <c r="A893" s="170">
        <v>44785</v>
      </c>
      <c r="B893" s="116">
        <v>1572.85</v>
      </c>
      <c r="C893" s="116">
        <v>1559.8</v>
      </c>
      <c r="D893" s="116">
        <v>1532.85</v>
      </c>
      <c r="E893" s="116">
        <v>1566.7</v>
      </c>
      <c r="F893" s="116">
        <v>1559.8</v>
      </c>
      <c r="G893">
        <v>4456</v>
      </c>
      <c r="H893" s="116"/>
      <c r="I893" s="116"/>
      <c r="L893" s="170">
        <v>44781</v>
      </c>
      <c r="M893" s="116">
        <v>1603.3</v>
      </c>
      <c r="N893" s="116">
        <v>1633.05</v>
      </c>
      <c r="O893" s="116">
        <v>1595</v>
      </c>
      <c r="P893" s="116">
        <v>1619</v>
      </c>
      <c r="Q893" s="116">
        <v>1603.3</v>
      </c>
      <c r="R893">
        <v>346059</v>
      </c>
    </row>
    <row r="894" spans="1:18" x14ac:dyDescent="0.25">
      <c r="A894" s="170">
        <v>44789</v>
      </c>
      <c r="B894" s="116">
        <v>1595</v>
      </c>
      <c r="C894" s="116">
        <v>1583.65</v>
      </c>
      <c r="D894" s="116">
        <v>1557.5</v>
      </c>
      <c r="E894" s="116">
        <v>1568.55</v>
      </c>
      <c r="F894" s="116">
        <v>1583.65</v>
      </c>
      <c r="G894">
        <v>4237</v>
      </c>
      <c r="H894" s="116"/>
      <c r="I894" s="116"/>
      <c r="L894" s="170">
        <v>44783</v>
      </c>
      <c r="M894" s="116">
        <v>1557.7</v>
      </c>
      <c r="N894" s="116">
        <v>1609</v>
      </c>
      <c r="O894" s="116">
        <v>1547.65</v>
      </c>
      <c r="P894" s="116">
        <v>1609</v>
      </c>
      <c r="Q894" s="116">
        <v>1557.7</v>
      </c>
      <c r="R894">
        <v>136987</v>
      </c>
    </row>
    <row r="895" spans="1:18" x14ac:dyDescent="0.25">
      <c r="A895" s="170">
        <v>44790</v>
      </c>
      <c r="B895" s="116">
        <v>1605.5</v>
      </c>
      <c r="C895" s="116">
        <v>1591.5</v>
      </c>
      <c r="D895" s="116">
        <v>1583.95</v>
      </c>
      <c r="E895" s="116">
        <v>1585.55</v>
      </c>
      <c r="F895" s="116">
        <v>1591.5</v>
      </c>
      <c r="G895">
        <v>3391</v>
      </c>
      <c r="H895" s="116"/>
      <c r="I895" s="116"/>
      <c r="L895" s="170">
        <v>44784</v>
      </c>
      <c r="M895" s="116">
        <v>1563.25</v>
      </c>
      <c r="N895" s="116">
        <v>1588</v>
      </c>
      <c r="O895" s="116">
        <v>1552.05</v>
      </c>
      <c r="P895" s="116">
        <v>1573.1</v>
      </c>
      <c r="Q895" s="116">
        <v>1563.25</v>
      </c>
      <c r="R895">
        <v>108932</v>
      </c>
    </row>
    <row r="896" spans="1:18" x14ac:dyDescent="0.25">
      <c r="A896" s="170">
        <v>44791</v>
      </c>
      <c r="B896" s="116">
        <v>1676.1</v>
      </c>
      <c r="C896" s="116">
        <v>1665.5</v>
      </c>
      <c r="D896" s="116">
        <v>1597.15</v>
      </c>
      <c r="E896" s="116">
        <v>1599.5</v>
      </c>
      <c r="F896" s="116">
        <v>1665.5</v>
      </c>
      <c r="G896">
        <v>14824</v>
      </c>
      <c r="H896" s="116"/>
      <c r="I896" s="116"/>
      <c r="L896" s="170">
        <v>44785</v>
      </c>
      <c r="M896" s="116">
        <v>1559.8</v>
      </c>
      <c r="N896" s="116">
        <v>1575</v>
      </c>
      <c r="O896" s="116">
        <v>1532.1</v>
      </c>
      <c r="P896" s="116">
        <v>1569.1</v>
      </c>
      <c r="Q896" s="116">
        <v>1559.8</v>
      </c>
      <c r="R896">
        <v>171846</v>
      </c>
    </row>
    <row r="897" spans="1:18" x14ac:dyDescent="0.25">
      <c r="A897" s="170">
        <v>44792</v>
      </c>
      <c r="B897" s="116">
        <v>1705.8</v>
      </c>
      <c r="C897" s="116">
        <v>1614.05</v>
      </c>
      <c r="D897" s="116">
        <v>1605.85</v>
      </c>
      <c r="E897" s="116">
        <v>1678.5</v>
      </c>
      <c r="F897" s="116">
        <v>1614.05</v>
      </c>
      <c r="G897">
        <v>22585</v>
      </c>
      <c r="H897" s="116"/>
      <c r="I897" s="116"/>
      <c r="L897" s="170">
        <v>44789</v>
      </c>
      <c r="M897" s="116">
        <v>1584.65</v>
      </c>
      <c r="N897" s="116">
        <v>1594.6</v>
      </c>
      <c r="O897" s="116">
        <v>1556.8</v>
      </c>
      <c r="P897" s="116">
        <v>1564</v>
      </c>
      <c r="Q897" s="116">
        <v>1584.65</v>
      </c>
      <c r="R897">
        <v>111506</v>
      </c>
    </row>
    <row r="898" spans="1:18" x14ac:dyDescent="0.25">
      <c r="A898" s="170">
        <v>44795</v>
      </c>
      <c r="B898" s="116">
        <v>1610.6</v>
      </c>
      <c r="C898" s="116">
        <v>1553.45</v>
      </c>
      <c r="D898" s="116">
        <v>1543.35</v>
      </c>
      <c r="E898" s="116">
        <v>1609.45</v>
      </c>
      <c r="F898" s="116">
        <v>1553.45</v>
      </c>
      <c r="G898">
        <v>4757</v>
      </c>
      <c r="H898" s="116"/>
      <c r="I898" s="116"/>
      <c r="L898" s="170">
        <v>44790</v>
      </c>
      <c r="M898" s="116">
        <v>1595.35</v>
      </c>
      <c r="N898" s="116">
        <v>1605</v>
      </c>
      <c r="O898" s="116">
        <v>1580</v>
      </c>
      <c r="P898" s="116">
        <v>1589.75</v>
      </c>
      <c r="Q898" s="116">
        <v>1595.35</v>
      </c>
      <c r="R898">
        <v>177704</v>
      </c>
    </row>
    <row r="899" spans="1:18" x14ac:dyDescent="0.25">
      <c r="A899" s="170">
        <v>44796</v>
      </c>
      <c r="B899" s="116">
        <v>1572.35</v>
      </c>
      <c r="C899" s="116">
        <v>1560.55</v>
      </c>
      <c r="D899" s="116">
        <v>1524</v>
      </c>
      <c r="E899" s="116">
        <v>1546.2</v>
      </c>
      <c r="F899" s="116">
        <v>1560.55</v>
      </c>
      <c r="G899">
        <v>6458</v>
      </c>
      <c r="H899" s="116"/>
      <c r="I899" s="116"/>
      <c r="L899" s="170">
        <v>44791</v>
      </c>
      <c r="M899" s="116">
        <v>1666.9</v>
      </c>
      <c r="N899" s="116">
        <v>1675.9</v>
      </c>
      <c r="O899" s="116">
        <v>1593.05</v>
      </c>
      <c r="P899" s="116">
        <v>1604.65</v>
      </c>
      <c r="Q899" s="116">
        <v>1666.9</v>
      </c>
      <c r="R899">
        <v>663124</v>
      </c>
    </row>
    <row r="900" spans="1:18" x14ac:dyDescent="0.25">
      <c r="A900" s="170">
        <v>44797</v>
      </c>
      <c r="B900" s="116">
        <v>1564</v>
      </c>
      <c r="C900" s="116">
        <v>1550.75</v>
      </c>
      <c r="D900" s="116">
        <v>1538.95</v>
      </c>
      <c r="E900" s="116">
        <v>1557.8</v>
      </c>
      <c r="F900" s="116">
        <v>1550.75</v>
      </c>
      <c r="G900">
        <v>3502</v>
      </c>
      <c r="H900" s="116"/>
      <c r="I900" s="116"/>
      <c r="L900" s="170">
        <v>44792</v>
      </c>
      <c r="M900" s="116">
        <v>1616.1</v>
      </c>
      <c r="N900" s="116">
        <v>1706.05</v>
      </c>
      <c r="O900" s="116">
        <v>1605</v>
      </c>
      <c r="P900" s="116">
        <v>1680</v>
      </c>
      <c r="Q900" s="116">
        <v>1616.1</v>
      </c>
      <c r="R900">
        <v>949279</v>
      </c>
    </row>
    <row r="901" spans="1:18" x14ac:dyDescent="0.25">
      <c r="A901" s="170">
        <v>44798</v>
      </c>
      <c r="B901" s="116">
        <v>1560.85</v>
      </c>
      <c r="C901" s="116">
        <v>1536.8</v>
      </c>
      <c r="D901" s="116">
        <v>1532.65</v>
      </c>
      <c r="E901" s="116">
        <v>1557.75</v>
      </c>
      <c r="F901" s="116">
        <v>1536.8</v>
      </c>
      <c r="G901">
        <v>3673</v>
      </c>
      <c r="H901" s="116"/>
      <c r="I901" s="116"/>
      <c r="L901" s="170">
        <v>44795</v>
      </c>
      <c r="M901" s="116">
        <v>1554.1</v>
      </c>
      <c r="N901" s="116">
        <v>1613.35</v>
      </c>
      <c r="O901" s="116">
        <v>1542.65</v>
      </c>
      <c r="P901" s="116">
        <v>1612</v>
      </c>
      <c r="Q901" s="116">
        <v>1554.1</v>
      </c>
      <c r="R901">
        <v>246021</v>
      </c>
    </row>
    <row r="902" spans="1:18" x14ac:dyDescent="0.25">
      <c r="A902" s="170">
        <v>44799</v>
      </c>
      <c r="B902" s="116">
        <v>1558.95</v>
      </c>
      <c r="C902" s="116">
        <v>1531.55</v>
      </c>
      <c r="D902" s="116">
        <v>1527.4</v>
      </c>
      <c r="E902" s="116">
        <v>1548.15</v>
      </c>
      <c r="F902" s="116">
        <v>1531.55</v>
      </c>
      <c r="G902">
        <v>2366</v>
      </c>
      <c r="H902" s="116"/>
      <c r="I902" s="116"/>
      <c r="L902" s="170">
        <v>44796</v>
      </c>
      <c r="M902" s="116">
        <v>1561.35</v>
      </c>
      <c r="N902" s="116">
        <v>1573</v>
      </c>
      <c r="O902" s="116">
        <v>1522.45</v>
      </c>
      <c r="P902" s="116">
        <v>1549</v>
      </c>
      <c r="Q902" s="116">
        <v>1561.35</v>
      </c>
      <c r="R902">
        <v>304515</v>
      </c>
    </row>
    <row r="903" spans="1:18" x14ac:dyDescent="0.25">
      <c r="A903" s="170">
        <v>44802</v>
      </c>
      <c r="B903" s="116">
        <v>1534.75</v>
      </c>
      <c r="C903" s="116">
        <v>1529.8</v>
      </c>
      <c r="D903" s="116">
        <v>1503.4</v>
      </c>
      <c r="E903" s="116">
        <v>1506</v>
      </c>
      <c r="F903" s="116">
        <v>1529.8</v>
      </c>
      <c r="G903">
        <v>4324</v>
      </c>
      <c r="H903" s="116"/>
      <c r="I903" s="116"/>
      <c r="L903" s="170">
        <v>44797</v>
      </c>
      <c r="M903" s="116">
        <v>1552.4</v>
      </c>
      <c r="N903" s="116">
        <v>1562.75</v>
      </c>
      <c r="O903" s="116">
        <v>1538</v>
      </c>
      <c r="P903" s="116">
        <v>1561.9</v>
      </c>
      <c r="Q903" s="116">
        <v>1552.4</v>
      </c>
      <c r="R903">
        <v>153804</v>
      </c>
    </row>
    <row r="904" spans="1:18" x14ac:dyDescent="0.25">
      <c r="A904" s="170">
        <v>44803</v>
      </c>
      <c r="B904" s="116">
        <v>1548.7</v>
      </c>
      <c r="C904" s="116">
        <v>1537.15</v>
      </c>
      <c r="D904" s="116">
        <v>1524.35</v>
      </c>
      <c r="E904" s="116">
        <v>1540.45</v>
      </c>
      <c r="F904" s="116">
        <v>1537.15</v>
      </c>
      <c r="G904">
        <v>6527</v>
      </c>
      <c r="H904" s="116"/>
      <c r="I904" s="116"/>
      <c r="L904" s="170">
        <v>44798</v>
      </c>
      <c r="M904" s="116">
        <v>1537.05</v>
      </c>
      <c r="N904" s="116">
        <v>1564.2</v>
      </c>
      <c r="O904" s="116">
        <v>1531.65</v>
      </c>
      <c r="P904" s="116">
        <v>1564.2</v>
      </c>
      <c r="Q904" s="116">
        <v>1537.05</v>
      </c>
      <c r="R904">
        <v>235046</v>
      </c>
    </row>
    <row r="905" spans="1:18" x14ac:dyDescent="0.25">
      <c r="A905" s="170">
        <v>44805</v>
      </c>
      <c r="B905" s="116">
        <v>1550.1</v>
      </c>
      <c r="C905" s="116">
        <v>1530.85</v>
      </c>
      <c r="D905" s="116">
        <v>1516.05</v>
      </c>
      <c r="E905" s="116">
        <v>1542.7</v>
      </c>
      <c r="F905" s="116">
        <v>1530.85</v>
      </c>
      <c r="G905">
        <v>4847</v>
      </c>
      <c r="H905" s="116"/>
      <c r="I905" s="116"/>
      <c r="L905" s="170">
        <v>44799</v>
      </c>
      <c r="M905" s="116">
        <v>1531.55</v>
      </c>
      <c r="N905" s="116">
        <v>1557.45</v>
      </c>
      <c r="O905" s="116">
        <v>1527.1</v>
      </c>
      <c r="P905" s="116">
        <v>1550.05</v>
      </c>
      <c r="Q905" s="116">
        <v>1531.55</v>
      </c>
      <c r="R905">
        <v>165448</v>
      </c>
    </row>
    <row r="906" spans="1:18" x14ac:dyDescent="0.25">
      <c r="A906" s="170">
        <v>44806</v>
      </c>
      <c r="B906" s="116">
        <v>1558.7</v>
      </c>
      <c r="C906" s="116">
        <v>1535.6</v>
      </c>
      <c r="D906" s="116">
        <v>1524</v>
      </c>
      <c r="E906" s="116">
        <v>1534.9</v>
      </c>
      <c r="F906" s="116">
        <v>1535.6</v>
      </c>
      <c r="G906">
        <v>5416</v>
      </c>
      <c r="H906" s="116"/>
      <c r="I906" s="116"/>
      <c r="L906" s="170">
        <v>44802</v>
      </c>
      <c r="M906" s="116">
        <v>1528.75</v>
      </c>
      <c r="N906" s="116">
        <v>1535</v>
      </c>
      <c r="O906" s="116">
        <v>1504.25</v>
      </c>
      <c r="P906" s="116">
        <v>1515.15</v>
      </c>
      <c r="Q906" s="116">
        <v>1528.75</v>
      </c>
      <c r="R906">
        <v>159610</v>
      </c>
    </row>
    <row r="907" spans="1:18" x14ac:dyDescent="0.25">
      <c r="A907" s="170">
        <v>44809</v>
      </c>
      <c r="B907" s="116">
        <v>1558.05</v>
      </c>
      <c r="C907" s="116">
        <v>1550.95</v>
      </c>
      <c r="D907" s="116">
        <v>1532</v>
      </c>
      <c r="E907" s="116">
        <v>1532</v>
      </c>
      <c r="F907" s="116">
        <v>1550.95</v>
      </c>
      <c r="G907">
        <v>3385</v>
      </c>
      <c r="H907" s="116"/>
      <c r="I907" s="116"/>
      <c r="L907" s="170">
        <v>44803</v>
      </c>
      <c r="M907" s="116">
        <v>1536.35</v>
      </c>
      <c r="N907" s="116">
        <v>1549.45</v>
      </c>
      <c r="O907" s="116">
        <v>1523.05</v>
      </c>
      <c r="P907" s="116">
        <v>1534.9</v>
      </c>
      <c r="Q907" s="116">
        <v>1536.35</v>
      </c>
      <c r="R907">
        <v>260735</v>
      </c>
    </row>
    <row r="908" spans="1:18" x14ac:dyDescent="0.25">
      <c r="A908" s="170">
        <v>44810</v>
      </c>
      <c r="B908" s="116">
        <v>1569.75</v>
      </c>
      <c r="C908" s="116">
        <v>1558.75</v>
      </c>
      <c r="D908" s="116">
        <v>1535.6</v>
      </c>
      <c r="E908" s="116">
        <v>1555.8</v>
      </c>
      <c r="F908" s="116">
        <v>1558.75</v>
      </c>
      <c r="G908">
        <v>5551</v>
      </c>
      <c r="H908" s="116"/>
      <c r="I908" s="116"/>
      <c r="L908" s="170">
        <v>44805</v>
      </c>
      <c r="M908" s="116">
        <v>1530.8</v>
      </c>
      <c r="N908" s="116">
        <v>1551.95</v>
      </c>
      <c r="O908" s="116">
        <v>1516.15</v>
      </c>
      <c r="P908" s="116">
        <v>1536</v>
      </c>
      <c r="Q908" s="116">
        <v>1530.8</v>
      </c>
      <c r="R908">
        <v>199188</v>
      </c>
    </row>
    <row r="909" spans="1:18" x14ac:dyDescent="0.25">
      <c r="A909" s="170">
        <v>44811</v>
      </c>
      <c r="B909" s="116">
        <v>1623.75</v>
      </c>
      <c r="C909" s="116">
        <v>1603.3</v>
      </c>
      <c r="D909" s="116">
        <v>1542.7</v>
      </c>
      <c r="E909" s="116">
        <v>1544.25</v>
      </c>
      <c r="F909" s="116">
        <v>1603.3</v>
      </c>
      <c r="G909">
        <v>25148</v>
      </c>
      <c r="H909" s="116"/>
      <c r="I909" s="116"/>
      <c r="L909" s="170">
        <v>44806</v>
      </c>
      <c r="M909" s="116">
        <v>1534.65</v>
      </c>
      <c r="N909" s="116">
        <v>1559.6</v>
      </c>
      <c r="O909" s="116">
        <v>1524.35</v>
      </c>
      <c r="P909" s="116">
        <v>1535</v>
      </c>
      <c r="Q909" s="116">
        <v>1534.65</v>
      </c>
      <c r="R909">
        <v>195435</v>
      </c>
    </row>
    <row r="910" spans="1:18" x14ac:dyDescent="0.25">
      <c r="A910" s="170">
        <v>44812</v>
      </c>
      <c r="B910" s="116">
        <v>1659.9</v>
      </c>
      <c r="C910" s="116">
        <v>1651.9</v>
      </c>
      <c r="D910" s="116">
        <v>1600.75</v>
      </c>
      <c r="E910" s="116">
        <v>1615.5</v>
      </c>
      <c r="F910" s="116">
        <v>1651.9</v>
      </c>
      <c r="G910">
        <v>10372</v>
      </c>
      <c r="H910" s="116"/>
      <c r="I910" s="116"/>
      <c r="L910" s="170">
        <v>44809</v>
      </c>
      <c r="M910" s="116">
        <v>1550.6</v>
      </c>
      <c r="N910" s="116">
        <v>1558.4</v>
      </c>
      <c r="O910" s="116">
        <v>1530.5</v>
      </c>
      <c r="P910" s="116">
        <v>1534</v>
      </c>
      <c r="Q910" s="116">
        <v>1550.6</v>
      </c>
      <c r="R910">
        <v>139318</v>
      </c>
    </row>
    <row r="911" spans="1:18" x14ac:dyDescent="0.25">
      <c r="A911" s="170">
        <v>44813</v>
      </c>
      <c r="B911" s="116">
        <v>1721</v>
      </c>
      <c r="C911" s="116">
        <v>1660.4</v>
      </c>
      <c r="D911" s="116">
        <v>1651.75</v>
      </c>
      <c r="E911" s="116">
        <v>1657.5</v>
      </c>
      <c r="F911" s="116">
        <v>1660.4</v>
      </c>
      <c r="G911">
        <v>17446</v>
      </c>
      <c r="H911" s="116"/>
      <c r="I911" s="116"/>
      <c r="L911" s="170">
        <v>44810</v>
      </c>
      <c r="M911" s="116">
        <v>1556.95</v>
      </c>
      <c r="N911" s="116">
        <v>1569.8</v>
      </c>
      <c r="O911" s="116">
        <v>1535</v>
      </c>
      <c r="P911" s="116">
        <v>1558.85</v>
      </c>
      <c r="Q911" s="116">
        <v>1556.95</v>
      </c>
      <c r="R911">
        <v>173628</v>
      </c>
    </row>
    <row r="912" spans="1:18" x14ac:dyDescent="0.25">
      <c r="A912" s="170">
        <v>44816</v>
      </c>
      <c r="B912" s="116">
        <v>1698.8</v>
      </c>
      <c r="C912" s="116">
        <v>1693.5</v>
      </c>
      <c r="D912" s="116">
        <v>1650.7</v>
      </c>
      <c r="E912" s="116">
        <v>1670.35</v>
      </c>
      <c r="F912" s="116">
        <v>1693.5</v>
      </c>
      <c r="G912">
        <v>14440</v>
      </c>
      <c r="H912" s="116"/>
      <c r="I912" s="116"/>
      <c r="L912" s="170">
        <v>44811</v>
      </c>
      <c r="M912" s="116">
        <v>1603.85</v>
      </c>
      <c r="N912" s="116">
        <v>1624</v>
      </c>
      <c r="O912" s="116">
        <v>1541.55</v>
      </c>
      <c r="P912" s="116">
        <v>1541.55</v>
      </c>
      <c r="Q912" s="116">
        <v>1603.85</v>
      </c>
      <c r="R912">
        <v>481881</v>
      </c>
    </row>
    <row r="913" spans="1:18" x14ac:dyDescent="0.25">
      <c r="A913" s="170">
        <v>44817</v>
      </c>
      <c r="B913" s="116">
        <v>1724.9</v>
      </c>
      <c r="C913" s="116">
        <v>1660.65</v>
      </c>
      <c r="D913" s="116">
        <v>1655.1</v>
      </c>
      <c r="E913" s="116">
        <v>1705.55</v>
      </c>
      <c r="F913" s="116">
        <v>1660.65</v>
      </c>
      <c r="G913">
        <v>15327</v>
      </c>
      <c r="H913" s="116"/>
      <c r="I913" s="116"/>
      <c r="L913" s="170">
        <v>44812</v>
      </c>
      <c r="M913" s="116">
        <v>1652.3</v>
      </c>
      <c r="N913" s="116">
        <v>1660</v>
      </c>
      <c r="O913" s="116">
        <v>1600.5</v>
      </c>
      <c r="P913" s="116">
        <v>1620.95</v>
      </c>
      <c r="Q913" s="116">
        <v>1652.3</v>
      </c>
      <c r="R913">
        <v>716623</v>
      </c>
    </row>
    <row r="914" spans="1:18" x14ac:dyDescent="0.25">
      <c r="A914" s="170">
        <v>44818</v>
      </c>
      <c r="B914" s="116">
        <v>1792.4</v>
      </c>
      <c r="C914" s="116">
        <v>1765</v>
      </c>
      <c r="D914" s="116">
        <v>1620.05</v>
      </c>
      <c r="E914" s="116">
        <v>1639.5</v>
      </c>
      <c r="F914" s="116">
        <v>1765</v>
      </c>
      <c r="G914">
        <v>43336</v>
      </c>
      <c r="H914" s="116"/>
      <c r="I914" s="116"/>
      <c r="L914" s="170">
        <v>44813</v>
      </c>
      <c r="M914" s="116">
        <v>1660.25</v>
      </c>
      <c r="N914" s="116">
        <v>1723.45</v>
      </c>
      <c r="O914" s="116">
        <v>1651.1</v>
      </c>
      <c r="P914" s="116">
        <v>1654</v>
      </c>
      <c r="Q914" s="116">
        <v>1660.25</v>
      </c>
      <c r="R914">
        <v>625033</v>
      </c>
    </row>
    <row r="915" spans="1:18" x14ac:dyDescent="0.25">
      <c r="A915" s="170">
        <v>44819</v>
      </c>
      <c r="B915" s="116">
        <v>1795.5</v>
      </c>
      <c r="C915" s="116">
        <v>1762.9</v>
      </c>
      <c r="D915" s="116">
        <v>1750.7</v>
      </c>
      <c r="E915" s="116">
        <v>1779.85</v>
      </c>
      <c r="F915" s="116">
        <v>1762.9</v>
      </c>
      <c r="G915">
        <v>13894</v>
      </c>
      <c r="H915" s="116"/>
      <c r="I915" s="116"/>
      <c r="L915" s="170">
        <v>44816</v>
      </c>
      <c r="M915" s="116">
        <v>1692.65</v>
      </c>
      <c r="N915" s="116">
        <v>1699</v>
      </c>
      <c r="O915" s="116">
        <v>1650.3</v>
      </c>
      <c r="P915" s="116">
        <v>1660.25</v>
      </c>
      <c r="Q915" s="116">
        <v>1692.65</v>
      </c>
      <c r="R915">
        <v>361721</v>
      </c>
    </row>
    <row r="916" spans="1:18" x14ac:dyDescent="0.25">
      <c r="A916" s="170">
        <v>44820</v>
      </c>
      <c r="B916" s="116">
        <v>1768</v>
      </c>
      <c r="C916" s="116">
        <v>1685.25</v>
      </c>
      <c r="D916" s="116">
        <v>1668</v>
      </c>
      <c r="E916" s="116">
        <v>1754.95</v>
      </c>
      <c r="F916" s="116">
        <v>1685.25</v>
      </c>
      <c r="G916">
        <v>8750</v>
      </c>
      <c r="H916" s="116"/>
      <c r="I916" s="116"/>
      <c r="L916" s="170">
        <v>44817</v>
      </c>
      <c r="M916" s="116">
        <v>1660.2</v>
      </c>
      <c r="N916" s="116">
        <v>1724.85</v>
      </c>
      <c r="O916" s="116">
        <v>1656.1</v>
      </c>
      <c r="P916" s="116">
        <v>1702</v>
      </c>
      <c r="Q916" s="116">
        <v>1660.2</v>
      </c>
      <c r="R916">
        <v>286939</v>
      </c>
    </row>
    <row r="917" spans="1:18" x14ac:dyDescent="0.25">
      <c r="A917" s="170">
        <v>44823</v>
      </c>
      <c r="B917" s="116">
        <v>1696.9</v>
      </c>
      <c r="C917" s="116">
        <v>1666.25</v>
      </c>
      <c r="D917" s="116">
        <v>1636.5</v>
      </c>
      <c r="E917" s="116">
        <v>1682.45</v>
      </c>
      <c r="F917" s="116">
        <v>1666.25</v>
      </c>
      <c r="G917">
        <v>90678</v>
      </c>
      <c r="H917" s="116"/>
      <c r="I917" s="116"/>
      <c r="L917" s="170">
        <v>44818</v>
      </c>
      <c r="M917" s="116">
        <v>1764.75</v>
      </c>
      <c r="N917" s="116">
        <v>1793.15</v>
      </c>
      <c r="O917" s="116">
        <v>1631.1</v>
      </c>
      <c r="P917" s="116">
        <v>1647</v>
      </c>
      <c r="Q917" s="116">
        <v>1764.75</v>
      </c>
      <c r="R917">
        <v>1429213</v>
      </c>
    </row>
    <row r="918" spans="1:18" x14ac:dyDescent="0.25">
      <c r="A918" s="170">
        <v>44824</v>
      </c>
      <c r="B918" s="116">
        <v>1732.3</v>
      </c>
      <c r="C918" s="116">
        <v>1718.15</v>
      </c>
      <c r="D918" s="116">
        <v>1676.75</v>
      </c>
      <c r="E918" s="116">
        <v>1688.65</v>
      </c>
      <c r="F918" s="116">
        <v>1718.15</v>
      </c>
      <c r="G918">
        <v>10211</v>
      </c>
      <c r="H918" s="116"/>
      <c r="I918" s="116"/>
      <c r="L918" s="170">
        <v>44819</v>
      </c>
      <c r="M918" s="116">
        <v>1764.35</v>
      </c>
      <c r="N918" s="116">
        <v>1794.7</v>
      </c>
      <c r="O918" s="116">
        <v>1750.05</v>
      </c>
      <c r="P918" s="116">
        <v>1782.65</v>
      </c>
      <c r="Q918" s="116">
        <v>1764.35</v>
      </c>
      <c r="R918">
        <v>340288</v>
      </c>
    </row>
    <row r="919" spans="1:18" x14ac:dyDescent="0.25">
      <c r="A919" s="170">
        <v>44825</v>
      </c>
      <c r="B919" s="116">
        <v>1725.7</v>
      </c>
      <c r="C919" s="116">
        <v>1679.65</v>
      </c>
      <c r="D919" s="116">
        <v>1670.8</v>
      </c>
      <c r="E919" s="116">
        <v>1698.2</v>
      </c>
      <c r="F919" s="116">
        <v>1679.65</v>
      </c>
      <c r="G919">
        <v>9576</v>
      </c>
      <c r="H919" s="116"/>
      <c r="I919" s="116"/>
      <c r="L919" s="170">
        <v>44820</v>
      </c>
      <c r="M919" s="116">
        <v>1687.15</v>
      </c>
      <c r="N919" s="116">
        <v>1768.65</v>
      </c>
      <c r="O919" s="116">
        <v>1665.8</v>
      </c>
      <c r="P919" s="116">
        <v>1750</v>
      </c>
      <c r="Q919" s="116">
        <v>1687.15</v>
      </c>
      <c r="R919">
        <v>386682</v>
      </c>
    </row>
    <row r="920" spans="1:18" x14ac:dyDescent="0.25">
      <c r="A920" s="170">
        <v>44826</v>
      </c>
      <c r="B920" s="116">
        <v>1711.8</v>
      </c>
      <c r="C920" s="116">
        <v>1652.45</v>
      </c>
      <c r="D920" s="116">
        <v>1636.65</v>
      </c>
      <c r="E920" s="116">
        <v>1670.55</v>
      </c>
      <c r="F920" s="116">
        <v>1652.45</v>
      </c>
      <c r="G920">
        <v>7800</v>
      </c>
      <c r="H920" s="116"/>
      <c r="I920" s="116"/>
      <c r="L920" s="170">
        <v>44823</v>
      </c>
      <c r="M920" s="116">
        <v>1667.15</v>
      </c>
      <c r="N920" s="116">
        <v>1698.4</v>
      </c>
      <c r="O920" s="116">
        <v>1635.3</v>
      </c>
      <c r="P920" s="116">
        <v>1680</v>
      </c>
      <c r="Q920" s="116">
        <v>1667.15</v>
      </c>
      <c r="R920">
        <v>207928</v>
      </c>
    </row>
    <row r="921" spans="1:18" x14ac:dyDescent="0.25">
      <c r="A921" s="170">
        <v>44827</v>
      </c>
      <c r="B921" s="116">
        <v>1671.2</v>
      </c>
      <c r="C921" s="116">
        <v>1579.7</v>
      </c>
      <c r="D921" s="116">
        <v>1571.7</v>
      </c>
      <c r="E921" s="116">
        <v>1659.35</v>
      </c>
      <c r="F921" s="116">
        <v>1579.7</v>
      </c>
      <c r="G921">
        <v>10073</v>
      </c>
      <c r="H921" s="116"/>
      <c r="I921" s="116"/>
      <c r="L921" s="170">
        <v>44824</v>
      </c>
      <c r="M921" s="116">
        <v>1717.85</v>
      </c>
      <c r="N921" s="116">
        <v>1733.45</v>
      </c>
      <c r="O921" s="116">
        <v>1674.15</v>
      </c>
      <c r="P921" s="116">
        <v>1689</v>
      </c>
      <c r="Q921" s="116">
        <v>1717.85</v>
      </c>
      <c r="R921">
        <v>309316</v>
      </c>
    </row>
    <row r="922" spans="1:18" x14ac:dyDescent="0.25">
      <c r="A922" s="170">
        <v>44830</v>
      </c>
      <c r="B922" s="116">
        <v>1574.85</v>
      </c>
      <c r="C922" s="116">
        <v>1543.35</v>
      </c>
      <c r="D922" s="116">
        <v>1506.15</v>
      </c>
      <c r="E922" s="116">
        <v>1566.8</v>
      </c>
      <c r="F922" s="116">
        <v>1543.35</v>
      </c>
      <c r="G922">
        <v>7096</v>
      </c>
      <c r="H922" s="116"/>
      <c r="I922" s="116"/>
      <c r="L922" s="170">
        <v>44825</v>
      </c>
      <c r="M922" s="116">
        <v>1679.05</v>
      </c>
      <c r="N922" s="116">
        <v>1725</v>
      </c>
      <c r="O922" s="116">
        <v>1671.25</v>
      </c>
      <c r="P922" s="116">
        <v>1699.95</v>
      </c>
      <c r="Q922" s="116">
        <v>1679.05</v>
      </c>
      <c r="R922">
        <v>323303</v>
      </c>
    </row>
    <row r="923" spans="1:18" x14ac:dyDescent="0.25">
      <c r="A923" s="170">
        <v>44831</v>
      </c>
      <c r="B923" s="116">
        <v>1577.3</v>
      </c>
      <c r="C923" s="116">
        <v>1526.7</v>
      </c>
      <c r="D923" s="116">
        <v>1520.45</v>
      </c>
      <c r="E923" s="116">
        <v>1569.85</v>
      </c>
      <c r="F923" s="116">
        <v>1526.7</v>
      </c>
      <c r="G923">
        <v>5690</v>
      </c>
      <c r="H923" s="116"/>
      <c r="I923" s="116"/>
      <c r="L923" s="170">
        <v>44826</v>
      </c>
      <c r="M923" s="116">
        <v>1651.55</v>
      </c>
      <c r="N923" s="116">
        <v>1712.6</v>
      </c>
      <c r="O923" s="116">
        <v>1636.05</v>
      </c>
      <c r="P923" s="116">
        <v>1674.95</v>
      </c>
      <c r="Q923" s="116">
        <v>1651.55</v>
      </c>
      <c r="R923">
        <v>187809</v>
      </c>
    </row>
    <row r="924" spans="1:18" x14ac:dyDescent="0.25">
      <c r="A924" s="170">
        <v>44832</v>
      </c>
      <c r="B924" s="116">
        <v>1542.2</v>
      </c>
      <c r="C924" s="116">
        <v>1524.4</v>
      </c>
      <c r="D924" s="116">
        <v>1498.2</v>
      </c>
      <c r="E924" s="116">
        <v>1515.15</v>
      </c>
      <c r="F924" s="116">
        <v>1524.4</v>
      </c>
      <c r="G924">
        <v>5937</v>
      </c>
      <c r="H924" s="116"/>
      <c r="I924" s="116"/>
      <c r="L924" s="170">
        <v>44827</v>
      </c>
      <c r="M924" s="116">
        <v>1580.1</v>
      </c>
      <c r="N924" s="116">
        <v>1677.3</v>
      </c>
      <c r="O924" s="116">
        <v>1571</v>
      </c>
      <c r="P924" s="116">
        <v>1651.55</v>
      </c>
      <c r="Q924" s="116">
        <v>1580.1</v>
      </c>
      <c r="R924">
        <v>265789</v>
      </c>
    </row>
    <row r="925" spans="1:18" x14ac:dyDescent="0.25">
      <c r="A925" s="170">
        <v>44833</v>
      </c>
      <c r="B925" s="116">
        <v>1556.05</v>
      </c>
      <c r="C925" s="116">
        <v>1549.45</v>
      </c>
      <c r="D925" s="116">
        <v>1516.65</v>
      </c>
      <c r="E925" s="116">
        <v>1541.15</v>
      </c>
      <c r="F925" s="116">
        <v>1549.45</v>
      </c>
      <c r="G925">
        <v>6311</v>
      </c>
      <c r="H925" s="116"/>
      <c r="I925" s="116"/>
      <c r="L925" s="170">
        <v>44830</v>
      </c>
      <c r="M925" s="116">
        <v>1545.8</v>
      </c>
      <c r="N925" s="116">
        <v>1575</v>
      </c>
      <c r="O925" s="116">
        <v>1506.15</v>
      </c>
      <c r="P925" s="116">
        <v>1571</v>
      </c>
      <c r="Q925" s="116">
        <v>1545.8</v>
      </c>
      <c r="R925">
        <v>161296</v>
      </c>
    </row>
    <row r="926" spans="1:18" x14ac:dyDescent="0.25">
      <c r="A926" s="170">
        <v>44834</v>
      </c>
      <c r="B926" s="116">
        <v>1605.85</v>
      </c>
      <c r="C926" s="116">
        <v>1598.85</v>
      </c>
      <c r="D926" s="116">
        <v>1541</v>
      </c>
      <c r="E926" s="116">
        <v>1550</v>
      </c>
      <c r="F926" s="116">
        <v>1598.85</v>
      </c>
      <c r="G926">
        <v>4698</v>
      </c>
      <c r="H926" s="116"/>
      <c r="I926" s="116"/>
      <c r="L926" s="170">
        <v>44831</v>
      </c>
      <c r="M926" s="116">
        <v>1526.9</v>
      </c>
      <c r="N926" s="116">
        <v>1580</v>
      </c>
      <c r="O926" s="116">
        <v>1520.85</v>
      </c>
      <c r="P926" s="116">
        <v>1574.9</v>
      </c>
      <c r="Q926" s="116">
        <v>1526.9</v>
      </c>
      <c r="R926">
        <v>154735</v>
      </c>
    </row>
    <row r="927" spans="1:18" x14ac:dyDescent="0.25">
      <c r="A927" s="170">
        <v>44837</v>
      </c>
      <c r="B927" s="116">
        <v>1602</v>
      </c>
      <c r="C927" s="116">
        <v>1554.55</v>
      </c>
      <c r="D927" s="116">
        <v>1539</v>
      </c>
      <c r="E927" s="116">
        <v>1593.35</v>
      </c>
      <c r="F927" s="116">
        <v>1554.55</v>
      </c>
      <c r="G927">
        <v>5442</v>
      </c>
      <c r="H927" s="116"/>
      <c r="I927" s="116"/>
      <c r="L927" s="170">
        <v>44832</v>
      </c>
      <c r="M927" s="116">
        <v>1523</v>
      </c>
      <c r="N927" s="116">
        <v>1542.35</v>
      </c>
      <c r="O927" s="116">
        <v>1495.65</v>
      </c>
      <c r="P927" s="116">
        <v>1526</v>
      </c>
      <c r="Q927" s="116">
        <v>1523</v>
      </c>
      <c r="R927">
        <v>130786</v>
      </c>
    </row>
    <row r="928" spans="1:18" x14ac:dyDescent="0.25">
      <c r="A928" s="170">
        <v>44838</v>
      </c>
      <c r="B928" s="116">
        <v>1599</v>
      </c>
      <c r="C928" s="116">
        <v>1596.15</v>
      </c>
      <c r="D928" s="116">
        <v>1561.7</v>
      </c>
      <c r="E928" s="116">
        <v>1573</v>
      </c>
      <c r="F928" s="116">
        <v>1596.15</v>
      </c>
      <c r="G928">
        <v>2933</v>
      </c>
      <c r="H928" s="116"/>
      <c r="I928" s="116"/>
      <c r="L928" s="170">
        <v>44833</v>
      </c>
      <c r="M928" s="116">
        <v>1550.25</v>
      </c>
      <c r="N928" s="116">
        <v>1556.05</v>
      </c>
      <c r="O928" s="116">
        <v>1515.95</v>
      </c>
      <c r="P928" s="116">
        <v>1535.15</v>
      </c>
      <c r="Q928" s="116">
        <v>1550.25</v>
      </c>
      <c r="R928">
        <v>125438</v>
      </c>
    </row>
    <row r="929" spans="1:18" x14ac:dyDescent="0.25">
      <c r="A929" s="170">
        <v>44840</v>
      </c>
      <c r="B929" s="116">
        <v>1629.45</v>
      </c>
      <c r="C929" s="116">
        <v>1572.7</v>
      </c>
      <c r="D929" s="116">
        <v>1563.55</v>
      </c>
      <c r="E929" s="116">
        <v>1599.35</v>
      </c>
      <c r="F929" s="116">
        <v>1572.7</v>
      </c>
      <c r="G929">
        <v>7042</v>
      </c>
      <c r="H929" s="116"/>
      <c r="I929" s="116"/>
      <c r="L929" s="170">
        <v>44834</v>
      </c>
      <c r="M929" s="116">
        <v>1598</v>
      </c>
      <c r="N929" s="116">
        <v>1606.55</v>
      </c>
      <c r="O929" s="116">
        <v>1511.1</v>
      </c>
      <c r="P929" s="116">
        <v>1559.05</v>
      </c>
      <c r="Q929" s="116">
        <v>1598</v>
      </c>
      <c r="R929">
        <v>153532</v>
      </c>
    </row>
    <row r="930" spans="1:18" x14ac:dyDescent="0.25">
      <c r="A930" s="170">
        <v>44841</v>
      </c>
      <c r="B930" s="116">
        <v>1560.75</v>
      </c>
      <c r="C930" s="116">
        <v>1524.25</v>
      </c>
      <c r="D930" s="116">
        <v>1494.55</v>
      </c>
      <c r="E930" s="116">
        <v>1560.75</v>
      </c>
      <c r="F930" s="116">
        <v>1524.25</v>
      </c>
      <c r="G930">
        <v>23737</v>
      </c>
      <c r="H930" s="116"/>
      <c r="I930" s="116"/>
      <c r="L930" s="170">
        <v>44837</v>
      </c>
      <c r="M930" s="116">
        <v>1553.75</v>
      </c>
      <c r="N930" s="116">
        <v>1605.4</v>
      </c>
      <c r="O930" s="116">
        <v>1535.25</v>
      </c>
      <c r="P930" s="116">
        <v>1595</v>
      </c>
      <c r="Q930" s="116">
        <v>1553.75</v>
      </c>
      <c r="R930">
        <v>144302</v>
      </c>
    </row>
    <row r="931" spans="1:18" x14ac:dyDescent="0.25">
      <c r="A931" s="170">
        <v>44844</v>
      </c>
      <c r="B931" s="116">
        <v>1545.65</v>
      </c>
      <c r="C931" s="116">
        <v>1533</v>
      </c>
      <c r="D931" s="116">
        <v>1500.45</v>
      </c>
      <c r="E931" s="116">
        <v>1503.35</v>
      </c>
      <c r="F931" s="116">
        <v>1533</v>
      </c>
      <c r="G931">
        <v>4823</v>
      </c>
      <c r="H931" s="116"/>
      <c r="I931" s="116"/>
      <c r="L931" s="170">
        <v>44838</v>
      </c>
      <c r="M931" s="116">
        <v>1595.95</v>
      </c>
      <c r="N931" s="116">
        <v>1600</v>
      </c>
      <c r="O931" s="116">
        <v>1560.15</v>
      </c>
      <c r="P931" s="116">
        <v>1575</v>
      </c>
      <c r="Q931" s="116">
        <v>1595.95</v>
      </c>
      <c r="R931">
        <v>69596</v>
      </c>
    </row>
    <row r="932" spans="1:18" x14ac:dyDescent="0.25">
      <c r="A932" s="170">
        <v>44845</v>
      </c>
      <c r="B932" s="116">
        <v>1543</v>
      </c>
      <c r="C932" s="116">
        <v>1487.15</v>
      </c>
      <c r="D932" s="116">
        <v>1480.2</v>
      </c>
      <c r="E932" s="116">
        <v>1529.35</v>
      </c>
      <c r="F932" s="116">
        <v>1487.15</v>
      </c>
      <c r="G932">
        <v>122866</v>
      </c>
      <c r="H932" s="116"/>
      <c r="I932" s="116"/>
      <c r="L932" s="170">
        <v>44840</v>
      </c>
      <c r="M932" s="116">
        <v>1570.65</v>
      </c>
      <c r="N932" s="116">
        <v>1632</v>
      </c>
      <c r="O932" s="116">
        <v>1563.7</v>
      </c>
      <c r="P932" s="116">
        <v>1583.05</v>
      </c>
      <c r="Q932" s="116">
        <v>1570.65</v>
      </c>
      <c r="R932">
        <v>234208</v>
      </c>
    </row>
    <row r="933" spans="1:18" x14ac:dyDescent="0.25">
      <c r="A933" s="170">
        <v>44846</v>
      </c>
      <c r="B933" s="116">
        <v>1531.2</v>
      </c>
      <c r="C933" s="116">
        <v>1523.25</v>
      </c>
      <c r="D933" s="116">
        <v>1479</v>
      </c>
      <c r="E933" s="116">
        <v>1496.8</v>
      </c>
      <c r="F933" s="116">
        <v>1523.25</v>
      </c>
      <c r="G933">
        <v>8147</v>
      </c>
      <c r="H933" s="116"/>
      <c r="I933" s="116"/>
      <c r="L933" s="170">
        <v>44841</v>
      </c>
      <c r="M933" s="116">
        <v>1524.35</v>
      </c>
      <c r="N933" s="116">
        <v>1565.1</v>
      </c>
      <c r="O933" s="116">
        <v>1494.5</v>
      </c>
      <c r="P933" s="116">
        <v>1565.1</v>
      </c>
      <c r="Q933" s="116">
        <v>1524.35</v>
      </c>
      <c r="R933">
        <v>558920</v>
      </c>
    </row>
    <row r="934" spans="1:18" x14ac:dyDescent="0.25">
      <c r="A934" s="170">
        <v>44847</v>
      </c>
      <c r="B934" s="116">
        <v>1527.55</v>
      </c>
      <c r="C934" s="116">
        <v>1506</v>
      </c>
      <c r="D934" s="116">
        <v>1490</v>
      </c>
      <c r="E934" s="116">
        <v>1515.4</v>
      </c>
      <c r="F934" s="116">
        <v>1506</v>
      </c>
      <c r="G934">
        <v>3821</v>
      </c>
      <c r="H934" s="116"/>
      <c r="I934" s="116"/>
      <c r="L934" s="170">
        <v>44844</v>
      </c>
      <c r="M934" s="116">
        <v>1532.45</v>
      </c>
      <c r="N934" s="116">
        <v>1545.95</v>
      </c>
      <c r="O934" s="116">
        <v>1500.05</v>
      </c>
      <c r="P934" s="116">
        <v>1500.05</v>
      </c>
      <c r="Q934" s="116">
        <v>1532.45</v>
      </c>
      <c r="R934">
        <v>181271</v>
      </c>
    </row>
    <row r="935" spans="1:18" x14ac:dyDescent="0.25">
      <c r="A935" s="170">
        <v>44848</v>
      </c>
      <c r="B935" s="116">
        <v>1550.05</v>
      </c>
      <c r="C935" s="116">
        <v>1503.25</v>
      </c>
      <c r="D935" s="116">
        <v>1498.35</v>
      </c>
      <c r="E935" s="116">
        <v>1519.9</v>
      </c>
      <c r="F935" s="116">
        <v>1503.25</v>
      </c>
      <c r="G935">
        <v>7002</v>
      </c>
      <c r="H935" s="116"/>
      <c r="I935" s="116"/>
      <c r="L935" s="170">
        <v>44845</v>
      </c>
      <c r="M935" s="116">
        <v>1490.15</v>
      </c>
      <c r="N935" s="116">
        <v>1543.95</v>
      </c>
      <c r="O935" s="116">
        <v>1483.05</v>
      </c>
      <c r="P935" s="116">
        <v>1540</v>
      </c>
      <c r="Q935" s="116">
        <v>1490.15</v>
      </c>
      <c r="R935">
        <v>170005</v>
      </c>
    </row>
    <row r="936" spans="1:18" x14ac:dyDescent="0.25">
      <c r="A936" s="170">
        <v>44851</v>
      </c>
      <c r="B936" s="116">
        <v>1529.75</v>
      </c>
      <c r="C936" s="116">
        <v>1509.6</v>
      </c>
      <c r="D936" s="116">
        <v>1478.05</v>
      </c>
      <c r="E936" s="116">
        <v>1499.15</v>
      </c>
      <c r="F936" s="116">
        <v>1509.6</v>
      </c>
      <c r="G936">
        <v>165166</v>
      </c>
      <c r="H936" s="116"/>
      <c r="I936" s="116"/>
      <c r="L936" s="170">
        <v>44846</v>
      </c>
      <c r="M936" s="116">
        <v>1522.15</v>
      </c>
      <c r="N936" s="116">
        <v>1531.35</v>
      </c>
      <c r="O936" s="116">
        <v>1478.2</v>
      </c>
      <c r="P936" s="116">
        <v>1501.1</v>
      </c>
      <c r="Q936" s="116">
        <v>1522.15</v>
      </c>
      <c r="R936">
        <v>150823</v>
      </c>
    </row>
    <row r="937" spans="1:18" x14ac:dyDescent="0.25">
      <c r="A937" s="170">
        <v>44852</v>
      </c>
      <c r="B937" s="116">
        <v>1532</v>
      </c>
      <c r="C937" s="116">
        <v>1510</v>
      </c>
      <c r="D937" s="116">
        <v>1499.2</v>
      </c>
      <c r="E937" s="116">
        <v>1515.45</v>
      </c>
      <c r="F937" s="116">
        <v>1510</v>
      </c>
      <c r="G937">
        <v>10130</v>
      </c>
      <c r="H937" s="116"/>
      <c r="I937" s="116"/>
      <c r="L937" s="170">
        <v>44847</v>
      </c>
      <c r="M937" s="116">
        <v>1506.4</v>
      </c>
      <c r="N937" s="116">
        <v>1528.6</v>
      </c>
      <c r="O937" s="116">
        <v>1489.65</v>
      </c>
      <c r="P937" s="116">
        <v>1511</v>
      </c>
      <c r="Q937" s="116">
        <v>1506.4</v>
      </c>
      <c r="R937">
        <v>70179</v>
      </c>
    </row>
    <row r="938" spans="1:18" x14ac:dyDescent="0.25">
      <c r="A938" s="170">
        <v>44853</v>
      </c>
      <c r="B938" s="116">
        <v>1531.95</v>
      </c>
      <c r="C938" s="116">
        <v>1515.9</v>
      </c>
      <c r="D938" s="116">
        <v>1508.9</v>
      </c>
      <c r="E938" s="116">
        <v>1516.55</v>
      </c>
      <c r="F938" s="116">
        <v>1515.9</v>
      </c>
      <c r="G938">
        <v>3614</v>
      </c>
      <c r="H938" s="116"/>
      <c r="I938" s="116"/>
      <c r="L938" s="170">
        <v>44848</v>
      </c>
      <c r="M938" s="116">
        <v>1503.45</v>
      </c>
      <c r="N938" s="116">
        <v>1550.2</v>
      </c>
      <c r="O938" s="116">
        <v>1496.35</v>
      </c>
      <c r="P938" s="116">
        <v>1518.6</v>
      </c>
      <c r="Q938" s="116">
        <v>1503.45</v>
      </c>
      <c r="R938">
        <v>257969</v>
      </c>
    </row>
    <row r="939" spans="1:18" x14ac:dyDescent="0.25">
      <c r="A939" s="170">
        <v>44854</v>
      </c>
      <c r="B939" s="116">
        <v>1528.1</v>
      </c>
      <c r="C939" s="116">
        <v>1524.45</v>
      </c>
      <c r="D939" s="116">
        <v>1506.75</v>
      </c>
      <c r="E939" s="116">
        <v>1510.65</v>
      </c>
      <c r="F939" s="116">
        <v>1524.45</v>
      </c>
      <c r="G939">
        <v>4579</v>
      </c>
      <c r="H939" s="116"/>
      <c r="I939" s="116"/>
      <c r="L939" s="170">
        <v>44851</v>
      </c>
      <c r="M939" s="116">
        <v>1509.1</v>
      </c>
      <c r="N939" s="116">
        <v>1530</v>
      </c>
      <c r="O939" s="116">
        <v>1476.05</v>
      </c>
      <c r="P939" s="116">
        <v>1500</v>
      </c>
      <c r="Q939" s="116">
        <v>1509.1</v>
      </c>
      <c r="R939">
        <v>137270</v>
      </c>
    </row>
    <row r="940" spans="1:18" x14ac:dyDescent="0.25">
      <c r="A940" s="170">
        <v>44855</v>
      </c>
      <c r="B940" s="116">
        <v>1539.55</v>
      </c>
      <c r="C940" s="116">
        <v>1528.95</v>
      </c>
      <c r="D940" s="116">
        <v>1512.7</v>
      </c>
      <c r="E940" s="116">
        <v>1524.8</v>
      </c>
      <c r="F940" s="116">
        <v>1528.95</v>
      </c>
      <c r="G940">
        <v>7534</v>
      </c>
      <c r="H940" s="116"/>
      <c r="I940" s="116"/>
      <c r="L940" s="170">
        <v>44852</v>
      </c>
      <c r="M940" s="116">
        <v>1510.7</v>
      </c>
      <c r="N940" s="116">
        <v>1532.6</v>
      </c>
      <c r="O940" s="116">
        <v>1497.9</v>
      </c>
      <c r="P940" s="116">
        <v>1513</v>
      </c>
      <c r="Q940" s="116">
        <v>1510.7</v>
      </c>
      <c r="R940">
        <v>227633</v>
      </c>
    </row>
    <row r="941" spans="1:18" x14ac:dyDescent="0.25">
      <c r="A941" s="170">
        <v>44858</v>
      </c>
      <c r="B941" s="116">
        <v>1543.05</v>
      </c>
      <c r="C941" s="116">
        <v>1522.25</v>
      </c>
      <c r="D941" s="116">
        <v>1515.5</v>
      </c>
      <c r="E941" s="116">
        <v>1538.25</v>
      </c>
      <c r="F941" s="116">
        <v>1522.25</v>
      </c>
      <c r="G941">
        <v>1273</v>
      </c>
      <c r="H941" s="116"/>
      <c r="I941" s="116"/>
      <c r="L941" s="170">
        <v>44853</v>
      </c>
      <c r="M941" s="116">
        <v>1518.05</v>
      </c>
      <c r="N941" s="116">
        <v>1532.95</v>
      </c>
      <c r="O941" s="116">
        <v>1508</v>
      </c>
      <c r="P941" s="116">
        <v>1512</v>
      </c>
      <c r="Q941" s="116">
        <v>1518.05</v>
      </c>
      <c r="R941">
        <v>126421</v>
      </c>
    </row>
    <row r="942" spans="1:18" x14ac:dyDescent="0.25">
      <c r="A942" s="170">
        <v>44859</v>
      </c>
      <c r="B942" s="116">
        <v>1571.9</v>
      </c>
      <c r="C942" s="116">
        <v>1529.5</v>
      </c>
      <c r="D942" s="116">
        <v>1523.95</v>
      </c>
      <c r="E942" s="116">
        <v>1524.95</v>
      </c>
      <c r="F942" s="116">
        <v>1529.5</v>
      </c>
      <c r="G942">
        <v>137145</v>
      </c>
      <c r="H942" s="116"/>
      <c r="I942" s="116"/>
      <c r="L942" s="170">
        <v>44854</v>
      </c>
      <c r="M942" s="116">
        <v>1523.65</v>
      </c>
      <c r="N942" s="116">
        <v>1531</v>
      </c>
      <c r="O942" s="116">
        <v>1505.7</v>
      </c>
      <c r="P942" s="116">
        <v>1515</v>
      </c>
      <c r="Q942" s="116">
        <v>1523.65</v>
      </c>
      <c r="R942">
        <v>121387</v>
      </c>
    </row>
    <row r="943" spans="1:18" x14ac:dyDescent="0.25">
      <c r="A943" s="170">
        <v>44861</v>
      </c>
      <c r="B943" s="116">
        <v>1587.55</v>
      </c>
      <c r="C943" s="116">
        <v>1580.8</v>
      </c>
      <c r="D943" s="116">
        <v>1540</v>
      </c>
      <c r="E943" s="116">
        <v>1540</v>
      </c>
      <c r="F943" s="116">
        <v>1580.8</v>
      </c>
      <c r="G943">
        <v>4124</v>
      </c>
      <c r="H943" s="116"/>
      <c r="I943" s="116"/>
      <c r="L943" s="170">
        <v>44855</v>
      </c>
      <c r="M943" s="116">
        <v>1528.6</v>
      </c>
      <c r="N943" s="116">
        <v>1539.7</v>
      </c>
      <c r="O943" s="116">
        <v>1512.55</v>
      </c>
      <c r="P943" s="116">
        <v>1517.75</v>
      </c>
      <c r="Q943" s="116">
        <v>1528.6</v>
      </c>
      <c r="R943">
        <v>135108</v>
      </c>
    </row>
    <row r="944" spans="1:18" x14ac:dyDescent="0.25">
      <c r="A944" s="170">
        <v>44862</v>
      </c>
      <c r="B944" s="116">
        <v>1585.45</v>
      </c>
      <c r="C944" s="116">
        <v>1532.55</v>
      </c>
      <c r="D944" s="116">
        <v>1529.65</v>
      </c>
      <c r="E944" s="116">
        <v>1577.85</v>
      </c>
      <c r="F944" s="116">
        <v>1532.55</v>
      </c>
      <c r="G944">
        <v>4572</v>
      </c>
      <c r="H944" s="116"/>
      <c r="I944" s="116"/>
      <c r="L944" s="170">
        <v>44858</v>
      </c>
      <c r="M944" s="116">
        <v>1520.7</v>
      </c>
      <c r="N944" s="116">
        <v>1540.4</v>
      </c>
      <c r="O944" s="116">
        <v>1511.1</v>
      </c>
      <c r="P944" s="116">
        <v>1540</v>
      </c>
      <c r="Q944" s="116">
        <v>1520.7</v>
      </c>
      <c r="R944">
        <v>18922</v>
      </c>
    </row>
    <row r="945" spans="1:18" x14ac:dyDescent="0.25">
      <c r="A945" s="170">
        <v>44865</v>
      </c>
      <c r="B945" s="116">
        <v>1606</v>
      </c>
      <c r="C945" s="116">
        <v>1601.1</v>
      </c>
      <c r="D945" s="116">
        <v>1540</v>
      </c>
      <c r="E945" s="116">
        <v>1540</v>
      </c>
      <c r="F945" s="116">
        <v>1601.1</v>
      </c>
      <c r="G945">
        <v>16118</v>
      </c>
      <c r="H945" s="116"/>
      <c r="I945" s="116"/>
      <c r="L945" s="170">
        <v>44859</v>
      </c>
      <c r="M945" s="116">
        <v>1532.2</v>
      </c>
      <c r="N945" s="116">
        <v>1572.85</v>
      </c>
      <c r="O945" s="116">
        <v>1520.7</v>
      </c>
      <c r="P945" s="116">
        <v>1523</v>
      </c>
      <c r="Q945" s="116">
        <v>1532.2</v>
      </c>
      <c r="R945">
        <v>230807</v>
      </c>
    </row>
    <row r="946" spans="1:18" x14ac:dyDescent="0.25">
      <c r="A946" s="170">
        <v>44866</v>
      </c>
      <c r="B946" s="116">
        <v>1616.8</v>
      </c>
      <c r="C946" s="116">
        <v>1604.55</v>
      </c>
      <c r="D946" s="116">
        <v>1590</v>
      </c>
      <c r="E946" s="116">
        <v>1614.45</v>
      </c>
      <c r="F946" s="116">
        <v>1604.55</v>
      </c>
      <c r="G946">
        <v>9464</v>
      </c>
      <c r="H946" s="116"/>
      <c r="I946" s="116"/>
      <c r="L946" s="170">
        <v>44861</v>
      </c>
      <c r="M946" s="116">
        <v>1582.3</v>
      </c>
      <c r="N946" s="116">
        <v>1587.95</v>
      </c>
      <c r="O946" s="116">
        <v>1535.2</v>
      </c>
      <c r="P946" s="116">
        <v>1540</v>
      </c>
      <c r="Q946" s="116">
        <v>1582.3</v>
      </c>
      <c r="R946">
        <v>175456</v>
      </c>
    </row>
    <row r="947" spans="1:18" x14ac:dyDescent="0.25">
      <c r="A947" s="170">
        <v>44867</v>
      </c>
      <c r="B947" s="116">
        <v>1616.9</v>
      </c>
      <c r="C947" s="116">
        <v>1594.5</v>
      </c>
      <c r="D947" s="116">
        <v>1578.55</v>
      </c>
      <c r="E947" s="116">
        <v>1613</v>
      </c>
      <c r="F947" s="116">
        <v>1594.5</v>
      </c>
      <c r="G947">
        <v>9756</v>
      </c>
      <c r="H947" s="116"/>
      <c r="I947" s="116"/>
      <c r="L947" s="170">
        <v>44862</v>
      </c>
      <c r="M947" s="116">
        <v>1532.55</v>
      </c>
      <c r="N947" s="116">
        <v>1585.45</v>
      </c>
      <c r="O947" s="116">
        <v>1526.5</v>
      </c>
      <c r="P947" s="116">
        <v>1579</v>
      </c>
      <c r="Q947" s="116">
        <v>1532.55</v>
      </c>
      <c r="R947">
        <v>89219</v>
      </c>
    </row>
    <row r="948" spans="1:18" x14ac:dyDescent="0.25">
      <c r="A948" s="170">
        <v>44868</v>
      </c>
      <c r="B948" s="116">
        <v>1659.3</v>
      </c>
      <c r="C948" s="116">
        <v>1652.2</v>
      </c>
      <c r="D948" s="116">
        <v>1587.1</v>
      </c>
      <c r="E948" s="116">
        <v>1587.1</v>
      </c>
      <c r="F948" s="116">
        <v>1652.2</v>
      </c>
      <c r="G948">
        <v>18375</v>
      </c>
      <c r="H948" s="116"/>
      <c r="I948" s="116"/>
      <c r="L948" s="170">
        <v>44865</v>
      </c>
      <c r="M948" s="116">
        <v>1600.95</v>
      </c>
      <c r="N948" s="116">
        <v>1605</v>
      </c>
      <c r="O948" s="116">
        <v>1535.5</v>
      </c>
      <c r="P948" s="116">
        <v>1535.5</v>
      </c>
      <c r="Q948" s="116">
        <v>1600.95</v>
      </c>
      <c r="R948">
        <v>313925</v>
      </c>
    </row>
    <row r="949" spans="1:18" x14ac:dyDescent="0.25">
      <c r="A949" s="170">
        <v>44869</v>
      </c>
      <c r="B949" s="116">
        <v>1750</v>
      </c>
      <c r="C949" s="116">
        <v>1741.9</v>
      </c>
      <c r="D949" s="116">
        <v>1652.25</v>
      </c>
      <c r="E949" s="116">
        <v>1652.3</v>
      </c>
      <c r="F949" s="116">
        <v>1741.9</v>
      </c>
      <c r="G949">
        <v>28775</v>
      </c>
      <c r="H949" s="116"/>
      <c r="I949" s="116"/>
      <c r="L949" s="170">
        <v>44866</v>
      </c>
      <c r="M949" s="116">
        <v>1605.6</v>
      </c>
      <c r="N949" s="116">
        <v>1616.15</v>
      </c>
      <c r="O949" s="116">
        <v>1589.6</v>
      </c>
      <c r="P949" s="116">
        <v>1615</v>
      </c>
      <c r="Q949" s="116">
        <v>1605.6</v>
      </c>
      <c r="R949">
        <v>166393</v>
      </c>
    </row>
    <row r="950" spans="1:18" x14ac:dyDescent="0.25">
      <c r="A950" s="170">
        <v>44872</v>
      </c>
      <c r="B950" s="116">
        <v>1771.1</v>
      </c>
      <c r="C950" s="116">
        <v>1765.1</v>
      </c>
      <c r="D950" s="116">
        <v>1726.05</v>
      </c>
      <c r="E950" s="116">
        <v>1755</v>
      </c>
      <c r="F950" s="116">
        <v>1765.1</v>
      </c>
      <c r="G950">
        <v>12799</v>
      </c>
      <c r="H950" s="116"/>
      <c r="I950" s="116"/>
      <c r="L950" s="170">
        <v>44867</v>
      </c>
      <c r="M950" s="116">
        <v>1595.1</v>
      </c>
      <c r="N950" s="116">
        <v>1618.45</v>
      </c>
      <c r="O950" s="116">
        <v>1575.25</v>
      </c>
      <c r="P950" s="116">
        <v>1609</v>
      </c>
      <c r="Q950" s="116">
        <v>1595.1</v>
      </c>
      <c r="R950">
        <v>232645</v>
      </c>
    </row>
    <row r="951" spans="1:18" x14ac:dyDescent="0.25">
      <c r="A951" s="170">
        <v>44874</v>
      </c>
      <c r="B951" s="116">
        <v>1784.7</v>
      </c>
      <c r="C951" s="116">
        <v>1734.6</v>
      </c>
      <c r="D951" s="116">
        <v>1727.3</v>
      </c>
      <c r="E951" s="116">
        <v>1756.45</v>
      </c>
      <c r="F951" s="116">
        <v>1734.6</v>
      </c>
      <c r="G951">
        <v>8430</v>
      </c>
      <c r="H951" s="116"/>
      <c r="I951" s="116"/>
      <c r="L951" s="170">
        <v>44868</v>
      </c>
      <c r="M951" s="116">
        <v>1653.7</v>
      </c>
      <c r="N951" s="116">
        <v>1673.5</v>
      </c>
      <c r="O951" s="116">
        <v>1585</v>
      </c>
      <c r="P951" s="116">
        <v>1585</v>
      </c>
      <c r="Q951" s="116">
        <v>1653.7</v>
      </c>
      <c r="R951">
        <v>642435</v>
      </c>
    </row>
    <row r="952" spans="1:18" x14ac:dyDescent="0.25">
      <c r="A952" s="170">
        <v>44875</v>
      </c>
      <c r="B952" s="116">
        <v>1730</v>
      </c>
      <c r="C952" s="116">
        <v>1682.05</v>
      </c>
      <c r="D952" s="116">
        <v>1672.7</v>
      </c>
      <c r="E952" s="116">
        <v>1721.8</v>
      </c>
      <c r="F952" s="116">
        <v>1682.05</v>
      </c>
      <c r="G952">
        <v>7427</v>
      </c>
      <c r="H952" s="116"/>
      <c r="I952" s="116"/>
      <c r="L952" s="170">
        <v>44869</v>
      </c>
      <c r="M952" s="116">
        <v>1742.5</v>
      </c>
      <c r="N952" s="116">
        <v>1750</v>
      </c>
      <c r="O952" s="116">
        <v>1653.75</v>
      </c>
      <c r="P952" s="116">
        <v>1657</v>
      </c>
      <c r="Q952" s="116">
        <v>1742.5</v>
      </c>
      <c r="R952">
        <v>930606</v>
      </c>
    </row>
    <row r="953" spans="1:18" x14ac:dyDescent="0.25">
      <c r="A953" s="170">
        <v>44876</v>
      </c>
      <c r="B953" s="116">
        <v>1718.15</v>
      </c>
      <c r="C953" s="116">
        <v>1666.95</v>
      </c>
      <c r="D953" s="116">
        <v>1656.1</v>
      </c>
      <c r="E953" s="116">
        <v>1700</v>
      </c>
      <c r="F953" s="116">
        <v>1666.95</v>
      </c>
      <c r="G953">
        <v>11195</v>
      </c>
      <c r="H953" s="116"/>
      <c r="I953" s="116"/>
      <c r="L953" s="170">
        <v>44872</v>
      </c>
      <c r="M953" s="116">
        <v>1767.4</v>
      </c>
      <c r="N953" s="116">
        <v>1772.45</v>
      </c>
      <c r="O953" s="116">
        <v>1725</v>
      </c>
      <c r="P953" s="116">
        <v>1759</v>
      </c>
      <c r="Q953" s="116">
        <v>1767.4</v>
      </c>
      <c r="R953">
        <v>278379</v>
      </c>
    </row>
    <row r="954" spans="1:18" x14ac:dyDescent="0.25">
      <c r="A954" s="170">
        <v>44879</v>
      </c>
      <c r="B954" s="116">
        <v>1706.65</v>
      </c>
      <c r="C954" s="116">
        <v>1692.35</v>
      </c>
      <c r="D954" s="116">
        <v>1660</v>
      </c>
      <c r="E954" s="116">
        <v>1669.3</v>
      </c>
      <c r="F954" s="116">
        <v>1692.35</v>
      </c>
      <c r="G954">
        <v>7379</v>
      </c>
      <c r="H954" s="116"/>
      <c r="I954" s="116"/>
      <c r="L954" s="170">
        <v>44874</v>
      </c>
      <c r="M954" s="116">
        <v>1735.35</v>
      </c>
      <c r="N954" s="116">
        <v>1785</v>
      </c>
      <c r="O954" s="116">
        <v>1725.6</v>
      </c>
      <c r="P954" s="116">
        <v>1750</v>
      </c>
      <c r="Q954" s="116">
        <v>1735.35</v>
      </c>
      <c r="R954">
        <v>289595</v>
      </c>
    </row>
    <row r="955" spans="1:18" x14ac:dyDescent="0.25">
      <c r="A955" s="170">
        <v>44880</v>
      </c>
      <c r="B955" s="116">
        <v>1716</v>
      </c>
      <c r="C955" s="116">
        <v>1679.15</v>
      </c>
      <c r="D955" s="116">
        <v>1670.5</v>
      </c>
      <c r="E955" s="116">
        <v>1684.55</v>
      </c>
      <c r="F955" s="116">
        <v>1679.15</v>
      </c>
      <c r="G955">
        <v>9770</v>
      </c>
      <c r="H955" s="116"/>
      <c r="I955" s="116"/>
      <c r="L955" s="170">
        <v>44875</v>
      </c>
      <c r="M955" s="116">
        <v>1681.7</v>
      </c>
      <c r="N955" s="116">
        <v>1732.45</v>
      </c>
      <c r="O955" s="116">
        <v>1671.05</v>
      </c>
      <c r="P955" s="116">
        <v>1723</v>
      </c>
      <c r="Q955" s="116">
        <v>1681.7</v>
      </c>
      <c r="R955">
        <v>176661</v>
      </c>
    </row>
    <row r="956" spans="1:18" x14ac:dyDescent="0.25">
      <c r="A956" s="170">
        <v>44881</v>
      </c>
      <c r="B956" s="116">
        <v>1738.5</v>
      </c>
      <c r="C956" s="116">
        <v>1706.8</v>
      </c>
      <c r="D956" s="116">
        <v>1692</v>
      </c>
      <c r="E956" s="116">
        <v>1693.95</v>
      </c>
      <c r="F956" s="116">
        <v>1706.8</v>
      </c>
      <c r="G956">
        <v>29212</v>
      </c>
      <c r="H956" s="116"/>
      <c r="I956" s="116"/>
      <c r="L956" s="170">
        <v>44876</v>
      </c>
      <c r="M956" s="116">
        <v>1667.9</v>
      </c>
      <c r="N956" s="116">
        <v>1713.95</v>
      </c>
      <c r="O956" s="116">
        <v>1656.55</v>
      </c>
      <c r="P956" s="116">
        <v>1692.35</v>
      </c>
      <c r="Q956" s="116">
        <v>1667.9</v>
      </c>
      <c r="R956">
        <v>202042</v>
      </c>
    </row>
    <row r="957" spans="1:18" x14ac:dyDescent="0.25">
      <c r="A957" s="170">
        <v>44882</v>
      </c>
      <c r="B957" s="116">
        <v>1732</v>
      </c>
      <c r="C957" s="116">
        <v>1714.8</v>
      </c>
      <c r="D957" s="116">
        <v>1695</v>
      </c>
      <c r="E957" s="116">
        <v>1702.7</v>
      </c>
      <c r="F957" s="116">
        <v>1714.8</v>
      </c>
      <c r="G957">
        <v>3792</v>
      </c>
      <c r="H957" s="116"/>
      <c r="I957" s="116"/>
      <c r="L957" s="170">
        <v>44879</v>
      </c>
      <c r="M957" s="116">
        <v>1690.8</v>
      </c>
      <c r="N957" s="116">
        <v>1706.95</v>
      </c>
      <c r="O957" s="116">
        <v>1659.9</v>
      </c>
      <c r="P957" s="116">
        <v>1669.75</v>
      </c>
      <c r="Q957" s="116">
        <v>1690.8</v>
      </c>
      <c r="R957">
        <v>175298</v>
      </c>
    </row>
    <row r="958" spans="1:18" x14ac:dyDescent="0.25">
      <c r="A958" s="170">
        <v>44883</v>
      </c>
      <c r="B958" s="116">
        <v>1724.15</v>
      </c>
      <c r="C958" s="116">
        <v>1678.8</v>
      </c>
      <c r="D958" s="116">
        <v>1643.85</v>
      </c>
      <c r="E958" s="116">
        <v>1723.8</v>
      </c>
      <c r="F958" s="116">
        <v>1678.8</v>
      </c>
      <c r="G958">
        <v>10905</v>
      </c>
      <c r="H958" s="116"/>
      <c r="I958" s="116"/>
      <c r="L958" s="170">
        <v>44880</v>
      </c>
      <c r="M958" s="116">
        <v>1679.65</v>
      </c>
      <c r="N958" s="116">
        <v>1716</v>
      </c>
      <c r="O958" s="116">
        <v>1670.4</v>
      </c>
      <c r="P958" s="116">
        <v>1680</v>
      </c>
      <c r="Q958" s="116">
        <v>1679.65</v>
      </c>
      <c r="R958">
        <v>182416</v>
      </c>
    </row>
    <row r="959" spans="1:18" x14ac:dyDescent="0.25">
      <c r="A959" s="170">
        <v>44886</v>
      </c>
      <c r="B959" s="116">
        <v>1688.95</v>
      </c>
      <c r="C959" s="116">
        <v>1675.2</v>
      </c>
      <c r="D959" s="116">
        <v>1650.55</v>
      </c>
      <c r="E959" s="116">
        <v>1678.4</v>
      </c>
      <c r="F959" s="116">
        <v>1675.2</v>
      </c>
      <c r="G959">
        <v>4866</v>
      </c>
      <c r="H959" s="116"/>
      <c r="I959" s="116"/>
      <c r="L959" s="170">
        <v>44881</v>
      </c>
      <c r="M959" s="116">
        <v>1707.85</v>
      </c>
      <c r="N959" s="116">
        <v>1738</v>
      </c>
      <c r="O959" s="116">
        <v>1680.1</v>
      </c>
      <c r="P959" s="116">
        <v>1680.1</v>
      </c>
      <c r="Q959" s="116">
        <v>1707.85</v>
      </c>
      <c r="R959">
        <v>578329</v>
      </c>
    </row>
    <row r="960" spans="1:18" x14ac:dyDescent="0.25">
      <c r="A960" s="170">
        <v>44887</v>
      </c>
      <c r="B960" s="116">
        <v>1724.85</v>
      </c>
      <c r="C960" s="116">
        <v>1713.75</v>
      </c>
      <c r="D960" s="116">
        <v>1670.3</v>
      </c>
      <c r="E960" s="116">
        <v>1670.3</v>
      </c>
      <c r="F960" s="116">
        <v>1713.75</v>
      </c>
      <c r="G960">
        <v>9885</v>
      </c>
      <c r="H960" s="116"/>
      <c r="I960" s="116"/>
      <c r="L960" s="170">
        <v>44882</v>
      </c>
      <c r="M960" s="116">
        <v>1713.7</v>
      </c>
      <c r="N960" s="116">
        <v>1732.9</v>
      </c>
      <c r="O960" s="116">
        <v>1694.55</v>
      </c>
      <c r="P960" s="116">
        <v>1707</v>
      </c>
      <c r="Q960" s="116">
        <v>1713.7</v>
      </c>
      <c r="R960">
        <v>274480</v>
      </c>
    </row>
    <row r="961" spans="1:18" x14ac:dyDescent="0.25">
      <c r="A961" s="170">
        <v>44888</v>
      </c>
      <c r="B961" s="116">
        <v>1745.9</v>
      </c>
      <c r="C961" s="116">
        <v>1733.55</v>
      </c>
      <c r="D961" s="116">
        <v>1685.6</v>
      </c>
      <c r="E961" s="116">
        <v>1710.9</v>
      </c>
      <c r="F961" s="116">
        <v>1733.55</v>
      </c>
      <c r="G961">
        <v>10091</v>
      </c>
      <c r="H961" s="116"/>
      <c r="I961" s="116"/>
      <c r="L961" s="170">
        <v>44883</v>
      </c>
      <c r="M961" s="116">
        <v>1678.9</v>
      </c>
      <c r="N961" s="116">
        <v>1725.4</v>
      </c>
      <c r="O961" s="116">
        <v>1642.3</v>
      </c>
      <c r="P961" s="116">
        <v>1722.3</v>
      </c>
      <c r="Q961" s="116">
        <v>1678.9</v>
      </c>
      <c r="R961">
        <v>237768</v>
      </c>
    </row>
    <row r="962" spans="1:18" x14ac:dyDescent="0.25">
      <c r="A962" s="170">
        <v>44889</v>
      </c>
      <c r="B962" s="116">
        <v>1754.9</v>
      </c>
      <c r="C962" s="116">
        <v>1738.85</v>
      </c>
      <c r="D962" s="116">
        <v>1724.2</v>
      </c>
      <c r="E962" s="116">
        <v>1732.6</v>
      </c>
      <c r="F962" s="116">
        <v>1738.85</v>
      </c>
      <c r="G962">
        <v>5454</v>
      </c>
      <c r="H962" s="116"/>
      <c r="I962" s="116"/>
      <c r="L962" s="170">
        <v>44886</v>
      </c>
      <c r="M962" s="116">
        <v>1674.95</v>
      </c>
      <c r="N962" s="116">
        <v>1689.5</v>
      </c>
      <c r="O962" s="116">
        <v>1650</v>
      </c>
      <c r="P962" s="116">
        <v>1685.85</v>
      </c>
      <c r="Q962" s="116">
        <v>1674.95</v>
      </c>
      <c r="R962">
        <v>126740</v>
      </c>
    </row>
    <row r="963" spans="1:18" x14ac:dyDescent="0.25">
      <c r="A963" s="170">
        <v>44890</v>
      </c>
      <c r="B963" s="116">
        <v>1759.85</v>
      </c>
      <c r="C963" s="116">
        <v>1742.5</v>
      </c>
      <c r="D963" s="116">
        <v>1728.3</v>
      </c>
      <c r="E963" s="116">
        <v>1740.3</v>
      </c>
      <c r="F963" s="116">
        <v>1742.5</v>
      </c>
      <c r="G963">
        <v>4542</v>
      </c>
      <c r="H963" s="116"/>
      <c r="I963" s="116"/>
      <c r="L963" s="170">
        <v>44887</v>
      </c>
      <c r="M963" s="116">
        <v>1713.1</v>
      </c>
      <c r="N963" s="116">
        <v>1724</v>
      </c>
      <c r="O963" s="116">
        <v>1666.5</v>
      </c>
      <c r="P963" s="116">
        <v>1674</v>
      </c>
      <c r="Q963" s="116">
        <v>1713.1</v>
      </c>
      <c r="R963">
        <v>248152</v>
      </c>
    </row>
    <row r="964" spans="1:18" x14ac:dyDescent="0.25">
      <c r="A964" s="170">
        <v>44893</v>
      </c>
      <c r="B964" s="116">
        <v>1764.3</v>
      </c>
      <c r="C964" s="116">
        <v>1758.25</v>
      </c>
      <c r="D964" s="116">
        <v>1734.35</v>
      </c>
      <c r="E964" s="116">
        <v>1741.9</v>
      </c>
      <c r="F964" s="116">
        <v>1758.25</v>
      </c>
      <c r="G964">
        <v>8234</v>
      </c>
      <c r="H964" s="116"/>
      <c r="I964" s="116"/>
      <c r="L964" s="170">
        <v>44888</v>
      </c>
      <c r="M964" s="116">
        <v>1734.75</v>
      </c>
      <c r="N964" s="116">
        <v>1746.4</v>
      </c>
      <c r="O964" s="116">
        <v>1685.15</v>
      </c>
      <c r="P964" s="116">
        <v>1709</v>
      </c>
      <c r="Q964" s="116">
        <v>1734.75</v>
      </c>
      <c r="R964">
        <v>216567</v>
      </c>
    </row>
    <row r="965" spans="1:18" x14ac:dyDescent="0.25">
      <c r="A965" s="170">
        <v>44894</v>
      </c>
      <c r="B965" s="116">
        <v>1781.95</v>
      </c>
      <c r="C965" s="116">
        <v>1766.35</v>
      </c>
      <c r="D965" s="116">
        <v>1753.25</v>
      </c>
      <c r="E965" s="116">
        <v>1769.1</v>
      </c>
      <c r="F965" s="116">
        <v>1766.35</v>
      </c>
      <c r="G965">
        <v>6934</v>
      </c>
      <c r="H965" s="116"/>
      <c r="I965" s="116"/>
      <c r="L965" s="170">
        <v>44889</v>
      </c>
      <c r="M965" s="116">
        <v>1739.3</v>
      </c>
      <c r="N965" s="116">
        <v>1757.4</v>
      </c>
      <c r="O965" s="116">
        <v>1723.55</v>
      </c>
      <c r="P965" s="116">
        <v>1733</v>
      </c>
      <c r="Q965" s="116">
        <v>1739.3</v>
      </c>
      <c r="R965">
        <v>220194</v>
      </c>
    </row>
    <row r="966" spans="1:18" x14ac:dyDescent="0.25">
      <c r="A966" s="170">
        <v>44895</v>
      </c>
      <c r="B966" s="116">
        <v>1825</v>
      </c>
      <c r="C966" s="116">
        <v>1819.45</v>
      </c>
      <c r="D966" s="116">
        <v>1766.35</v>
      </c>
      <c r="E966" s="116">
        <v>1766.4</v>
      </c>
      <c r="F966" s="116">
        <v>1819.45</v>
      </c>
      <c r="G966">
        <v>26803</v>
      </c>
      <c r="H966" s="116"/>
      <c r="I966" s="116"/>
      <c r="L966" s="170">
        <v>44890</v>
      </c>
      <c r="M966" s="116">
        <v>1742.15</v>
      </c>
      <c r="N966" s="116">
        <v>1759.95</v>
      </c>
      <c r="O966" s="116">
        <v>1725</v>
      </c>
      <c r="P966" s="116">
        <v>1742</v>
      </c>
      <c r="Q966" s="116">
        <v>1742.15</v>
      </c>
      <c r="R966">
        <v>165367</v>
      </c>
    </row>
    <row r="967" spans="1:18" x14ac:dyDescent="0.25">
      <c r="A967" s="170">
        <v>44896</v>
      </c>
      <c r="B967" s="116">
        <v>1922.9</v>
      </c>
      <c r="C967" s="116">
        <v>1901.2</v>
      </c>
      <c r="D967" s="116">
        <v>1828</v>
      </c>
      <c r="E967" s="116">
        <v>1830</v>
      </c>
      <c r="F967" s="116">
        <v>1901.2</v>
      </c>
      <c r="G967">
        <v>27365</v>
      </c>
      <c r="H967" s="116"/>
      <c r="I967" s="116"/>
      <c r="L967" s="170">
        <v>44893</v>
      </c>
      <c r="M967" s="116">
        <v>1759.7</v>
      </c>
      <c r="N967" s="116">
        <v>1764.4</v>
      </c>
      <c r="O967" s="116">
        <v>1734.05</v>
      </c>
      <c r="P967" s="116">
        <v>1742</v>
      </c>
      <c r="Q967" s="116">
        <v>1759.7</v>
      </c>
      <c r="R967">
        <v>114509</v>
      </c>
    </row>
    <row r="968" spans="1:18" x14ac:dyDescent="0.25">
      <c r="A968" s="170">
        <v>44897</v>
      </c>
      <c r="B968" s="116">
        <v>1941.65</v>
      </c>
      <c r="C968" s="116">
        <v>1934.95</v>
      </c>
      <c r="D968" s="116">
        <v>1892.55</v>
      </c>
      <c r="E968" s="116">
        <v>1899</v>
      </c>
      <c r="F968" s="116">
        <v>1934.95</v>
      </c>
      <c r="G968">
        <v>9960</v>
      </c>
      <c r="H968" s="116"/>
      <c r="I968" s="116"/>
      <c r="L968" s="170">
        <v>44894</v>
      </c>
      <c r="M968" s="116">
        <v>1766.25</v>
      </c>
      <c r="N968" s="116">
        <v>1782.55</v>
      </c>
      <c r="O968" s="116">
        <v>1755</v>
      </c>
      <c r="P968" s="116">
        <v>1770.15</v>
      </c>
      <c r="Q968" s="116">
        <v>1766.25</v>
      </c>
      <c r="R968">
        <v>245696</v>
      </c>
    </row>
    <row r="969" spans="1:18" x14ac:dyDescent="0.25">
      <c r="A969" s="170">
        <v>44900</v>
      </c>
      <c r="B969" s="116">
        <v>1946.35</v>
      </c>
      <c r="C969" s="116">
        <v>1881.25</v>
      </c>
      <c r="D969" s="116">
        <v>1874.55</v>
      </c>
      <c r="E969" s="116">
        <v>1939</v>
      </c>
      <c r="F969" s="116">
        <v>1881.25</v>
      </c>
      <c r="G969">
        <v>22601</v>
      </c>
      <c r="H969" s="116"/>
      <c r="I969" s="116"/>
      <c r="L969" s="170">
        <v>44895</v>
      </c>
      <c r="M969" s="116">
        <v>1820.7</v>
      </c>
      <c r="N969" s="116">
        <v>1826</v>
      </c>
      <c r="O969" s="116">
        <v>1762.1</v>
      </c>
      <c r="P969" s="116">
        <v>1763.9</v>
      </c>
      <c r="Q969" s="116">
        <v>1820.7</v>
      </c>
      <c r="R969">
        <v>581157</v>
      </c>
    </row>
    <row r="970" spans="1:18" x14ac:dyDescent="0.25">
      <c r="A970" s="170">
        <v>44901</v>
      </c>
      <c r="B970" s="116">
        <v>1893.1</v>
      </c>
      <c r="C970" s="116">
        <v>1866.9</v>
      </c>
      <c r="D970" s="116">
        <v>1851.75</v>
      </c>
      <c r="E970" s="116">
        <v>1876.25</v>
      </c>
      <c r="F970" s="116">
        <v>1866.9</v>
      </c>
      <c r="G970">
        <v>6880</v>
      </c>
      <c r="H970" s="116"/>
      <c r="I970" s="116"/>
      <c r="L970" s="170">
        <v>44896</v>
      </c>
      <c r="M970" s="116">
        <v>1901.2</v>
      </c>
      <c r="N970" s="116">
        <v>1923.9</v>
      </c>
      <c r="O970" s="116">
        <v>1824.05</v>
      </c>
      <c r="P970" s="116">
        <v>1828</v>
      </c>
      <c r="Q970" s="116">
        <v>1901.2</v>
      </c>
      <c r="R970">
        <v>1124051</v>
      </c>
    </row>
    <row r="971" spans="1:18" x14ac:dyDescent="0.25">
      <c r="A971" s="170">
        <v>44902</v>
      </c>
      <c r="B971" s="116">
        <v>1869.9</v>
      </c>
      <c r="C971" s="116">
        <v>1848.45</v>
      </c>
      <c r="D971" s="116">
        <v>1818.8</v>
      </c>
      <c r="E971" s="116">
        <v>1862.3</v>
      </c>
      <c r="F971" s="116">
        <v>1848.45</v>
      </c>
      <c r="G971">
        <v>11584</v>
      </c>
      <c r="H971" s="116"/>
      <c r="I971" s="116"/>
      <c r="L971" s="170">
        <v>44897</v>
      </c>
      <c r="M971" s="116">
        <v>1936.7</v>
      </c>
      <c r="N971" s="116">
        <v>1942</v>
      </c>
      <c r="O971" s="116">
        <v>1892</v>
      </c>
      <c r="P971" s="116">
        <v>1898</v>
      </c>
      <c r="Q971" s="116">
        <v>1936.7</v>
      </c>
      <c r="R971">
        <v>371680</v>
      </c>
    </row>
    <row r="972" spans="1:18" x14ac:dyDescent="0.25">
      <c r="A972" s="170">
        <v>44903</v>
      </c>
      <c r="B972" s="116">
        <v>1868.4</v>
      </c>
      <c r="C972" s="116">
        <v>1853.15</v>
      </c>
      <c r="D972" s="116">
        <v>1838.85</v>
      </c>
      <c r="E972" s="116">
        <v>1853.8</v>
      </c>
      <c r="F972" s="116">
        <v>1853.15</v>
      </c>
      <c r="G972">
        <v>3731</v>
      </c>
      <c r="H972" s="116"/>
      <c r="I972" s="116"/>
      <c r="L972" s="170">
        <v>44900</v>
      </c>
      <c r="M972" s="116">
        <v>1885.5</v>
      </c>
      <c r="N972" s="116">
        <v>1946.85</v>
      </c>
      <c r="O972" s="116">
        <v>1875</v>
      </c>
      <c r="P972" s="116">
        <v>1939</v>
      </c>
      <c r="Q972" s="116">
        <v>1885.5</v>
      </c>
      <c r="R972">
        <v>509770</v>
      </c>
    </row>
    <row r="973" spans="1:18" x14ac:dyDescent="0.25">
      <c r="A973" s="170">
        <v>44904</v>
      </c>
      <c r="B973" s="116">
        <v>1862.65</v>
      </c>
      <c r="C973" s="116">
        <v>1844.85</v>
      </c>
      <c r="D973" s="116">
        <v>1820</v>
      </c>
      <c r="E973" s="116">
        <v>1858.1</v>
      </c>
      <c r="F973" s="116">
        <v>1844.85</v>
      </c>
      <c r="G973">
        <v>7620</v>
      </c>
      <c r="H973" s="116"/>
      <c r="I973" s="116"/>
      <c r="L973" s="170">
        <v>44901</v>
      </c>
      <c r="M973" s="116">
        <v>1866.2</v>
      </c>
      <c r="N973" s="116">
        <v>1894.4</v>
      </c>
      <c r="O973" s="116">
        <v>1852</v>
      </c>
      <c r="P973" s="116">
        <v>1875.5</v>
      </c>
      <c r="Q973" s="116">
        <v>1866.2</v>
      </c>
      <c r="R973">
        <v>418159</v>
      </c>
    </row>
    <row r="974" spans="1:18" x14ac:dyDescent="0.25">
      <c r="A974" s="170">
        <v>44907</v>
      </c>
      <c r="B974" s="116">
        <v>1922.95</v>
      </c>
      <c r="C974" s="116">
        <v>1905.7</v>
      </c>
      <c r="D974" s="116">
        <v>1825.75</v>
      </c>
      <c r="E974" s="116">
        <v>1856.35</v>
      </c>
      <c r="F974" s="116">
        <v>1905.7</v>
      </c>
      <c r="G974">
        <v>16106</v>
      </c>
      <c r="H974" s="116"/>
      <c r="I974" s="116"/>
      <c r="L974" s="170">
        <v>44902</v>
      </c>
      <c r="M974" s="116">
        <v>1849.1</v>
      </c>
      <c r="N974" s="116">
        <v>1871.1</v>
      </c>
      <c r="O974" s="116">
        <v>1818.35</v>
      </c>
      <c r="P974" s="116">
        <v>1852</v>
      </c>
      <c r="Q974" s="116">
        <v>1849.1</v>
      </c>
      <c r="R974">
        <v>404477</v>
      </c>
    </row>
    <row r="975" spans="1:18" x14ac:dyDescent="0.25">
      <c r="A975" s="170">
        <v>44908</v>
      </c>
      <c r="B975" s="116">
        <v>1925.7</v>
      </c>
      <c r="C975" s="116">
        <v>1855.4</v>
      </c>
      <c r="D975" s="116">
        <v>1807</v>
      </c>
      <c r="E975" s="116">
        <v>1925.7</v>
      </c>
      <c r="F975" s="116">
        <v>1855.4</v>
      </c>
      <c r="G975">
        <v>34293</v>
      </c>
      <c r="H975" s="116"/>
      <c r="I975" s="116"/>
      <c r="L975" s="170">
        <v>44903</v>
      </c>
      <c r="M975" s="116">
        <v>1853.15</v>
      </c>
      <c r="N975" s="116">
        <v>1875</v>
      </c>
      <c r="O975" s="116">
        <v>1836.1</v>
      </c>
      <c r="P975" s="116">
        <v>1855.95</v>
      </c>
      <c r="Q975" s="116">
        <v>1853.15</v>
      </c>
      <c r="R975">
        <v>129553</v>
      </c>
    </row>
    <row r="976" spans="1:18" x14ac:dyDescent="0.25">
      <c r="A976" s="170">
        <v>44909</v>
      </c>
      <c r="B976" s="116">
        <v>1896.7</v>
      </c>
      <c r="C976" s="116">
        <v>1890.75</v>
      </c>
      <c r="D976" s="116">
        <v>1843.9</v>
      </c>
      <c r="E976" s="116">
        <v>1871.25</v>
      </c>
      <c r="F976" s="116">
        <v>1890.75</v>
      </c>
      <c r="G976">
        <v>11508</v>
      </c>
      <c r="H976" s="116"/>
      <c r="I976" s="116"/>
      <c r="L976" s="170">
        <v>44904</v>
      </c>
      <c r="M976" s="116">
        <v>1847.45</v>
      </c>
      <c r="N976" s="116">
        <v>1865.85</v>
      </c>
      <c r="O976" s="116">
        <v>1820.6</v>
      </c>
      <c r="P976" s="116">
        <v>1862.45</v>
      </c>
      <c r="Q976" s="116">
        <v>1847.45</v>
      </c>
      <c r="R976">
        <v>189460</v>
      </c>
    </row>
    <row r="977" spans="1:18" x14ac:dyDescent="0.25">
      <c r="A977" s="170">
        <v>44910</v>
      </c>
      <c r="B977" s="116">
        <v>1921</v>
      </c>
      <c r="C977" s="116">
        <v>1886</v>
      </c>
      <c r="D977" s="116">
        <v>1870.85</v>
      </c>
      <c r="E977" s="116">
        <v>1890.4</v>
      </c>
      <c r="F977" s="116">
        <v>1886</v>
      </c>
      <c r="G977">
        <v>24074</v>
      </c>
      <c r="H977" s="116"/>
      <c r="I977" s="116"/>
      <c r="L977" s="170">
        <v>44907</v>
      </c>
      <c r="M977" s="116">
        <v>1906.3</v>
      </c>
      <c r="N977" s="116">
        <v>1922.9</v>
      </c>
      <c r="O977" s="116">
        <v>1826.3</v>
      </c>
      <c r="P977" s="116">
        <v>1859.9</v>
      </c>
      <c r="Q977" s="116">
        <v>1906.3</v>
      </c>
      <c r="R977">
        <v>581921</v>
      </c>
    </row>
    <row r="978" spans="1:18" x14ac:dyDescent="0.25">
      <c r="A978" s="170">
        <v>44911</v>
      </c>
      <c r="B978" s="116">
        <v>1890.35</v>
      </c>
      <c r="C978" s="116">
        <v>1850.45</v>
      </c>
      <c r="D978" s="116">
        <v>1845.6</v>
      </c>
      <c r="E978" s="116">
        <v>1870</v>
      </c>
      <c r="F978" s="116">
        <v>1850.45</v>
      </c>
      <c r="G978">
        <v>11664</v>
      </c>
      <c r="H978" s="116"/>
      <c r="I978" s="116"/>
      <c r="L978" s="170">
        <v>44908</v>
      </c>
      <c r="M978" s="116">
        <v>1856.05</v>
      </c>
      <c r="N978" s="116">
        <v>1925</v>
      </c>
      <c r="O978" s="116">
        <v>1806</v>
      </c>
      <c r="P978" s="116">
        <v>1925</v>
      </c>
      <c r="Q978" s="116">
        <v>1856.05</v>
      </c>
      <c r="R978">
        <v>1275245</v>
      </c>
    </row>
    <row r="979" spans="1:18" x14ac:dyDescent="0.25">
      <c r="A979" s="170">
        <v>44914</v>
      </c>
      <c r="B979" s="116">
        <v>1889</v>
      </c>
      <c r="C979" s="116">
        <v>1881.05</v>
      </c>
      <c r="D979" s="116">
        <v>1809</v>
      </c>
      <c r="E979" s="116">
        <v>1847.35</v>
      </c>
      <c r="F979" s="116">
        <v>1881.05</v>
      </c>
      <c r="G979">
        <v>9425</v>
      </c>
      <c r="H979" s="116"/>
      <c r="I979" s="116"/>
      <c r="L979" s="170">
        <v>44909</v>
      </c>
      <c r="M979" s="116">
        <v>1890.7</v>
      </c>
      <c r="N979" s="116">
        <v>1898</v>
      </c>
      <c r="O979" s="116">
        <v>1843.4</v>
      </c>
      <c r="P979" s="116">
        <v>1874.95</v>
      </c>
      <c r="Q979" s="116">
        <v>1890.7</v>
      </c>
      <c r="R979">
        <v>469388</v>
      </c>
    </row>
    <row r="980" spans="1:18" x14ac:dyDescent="0.25">
      <c r="A980" s="170">
        <v>44915</v>
      </c>
      <c r="B980" s="116">
        <v>1909.95</v>
      </c>
      <c r="C980" s="116">
        <v>1855.7</v>
      </c>
      <c r="D980" s="116">
        <v>1833.5</v>
      </c>
      <c r="E980" s="116">
        <v>1886.2</v>
      </c>
      <c r="F980" s="116">
        <v>1855.7</v>
      </c>
      <c r="G980">
        <v>13951</v>
      </c>
      <c r="H980" s="116"/>
      <c r="I980" s="116"/>
      <c r="L980" s="170">
        <v>44910</v>
      </c>
      <c r="M980" s="116">
        <v>1885.35</v>
      </c>
      <c r="N980" s="116">
        <v>1921.95</v>
      </c>
      <c r="O980" s="116">
        <v>1870.2</v>
      </c>
      <c r="P980" s="116">
        <v>1897</v>
      </c>
      <c r="Q980" s="116">
        <v>1885.35</v>
      </c>
      <c r="R980">
        <v>322309</v>
      </c>
    </row>
    <row r="981" spans="1:18" x14ac:dyDescent="0.25">
      <c r="A981" s="170">
        <v>44916</v>
      </c>
      <c r="B981" s="116">
        <v>1888.5</v>
      </c>
      <c r="C981" s="116">
        <v>1851.5</v>
      </c>
      <c r="D981" s="116">
        <v>1806.85</v>
      </c>
      <c r="E981" s="116">
        <v>1869.45</v>
      </c>
      <c r="F981" s="116">
        <v>1851.5</v>
      </c>
      <c r="G981">
        <v>10098</v>
      </c>
      <c r="H981" s="116"/>
      <c r="I981" s="116"/>
      <c r="L981" s="170">
        <v>44911</v>
      </c>
      <c r="M981" s="116">
        <v>1849.55</v>
      </c>
      <c r="N981" s="116">
        <v>1890</v>
      </c>
      <c r="O981" s="116">
        <v>1845.5</v>
      </c>
      <c r="P981" s="116">
        <v>1870</v>
      </c>
      <c r="Q981" s="116">
        <v>1849.55</v>
      </c>
      <c r="R981">
        <v>206165</v>
      </c>
    </row>
    <row r="982" spans="1:18" x14ac:dyDescent="0.25">
      <c r="A982" s="170">
        <v>44917</v>
      </c>
      <c r="B982" s="116">
        <v>1866.9</v>
      </c>
      <c r="C982" s="116">
        <v>1856.95</v>
      </c>
      <c r="D982" s="116">
        <v>1829.1</v>
      </c>
      <c r="E982" s="116">
        <v>1859.25</v>
      </c>
      <c r="F982" s="116">
        <v>1856.95</v>
      </c>
      <c r="G982">
        <v>8182</v>
      </c>
      <c r="H982" s="116"/>
      <c r="I982" s="116"/>
      <c r="L982" s="170">
        <v>44914</v>
      </c>
      <c r="M982" s="116">
        <v>1881.7</v>
      </c>
      <c r="N982" s="116">
        <v>1890</v>
      </c>
      <c r="O982" s="116">
        <v>1827.35</v>
      </c>
      <c r="P982" s="116">
        <v>1849.85</v>
      </c>
      <c r="Q982" s="116">
        <v>1881.7</v>
      </c>
      <c r="R982">
        <v>233085</v>
      </c>
    </row>
    <row r="983" spans="1:18" x14ac:dyDescent="0.25">
      <c r="A983" s="170">
        <v>44918</v>
      </c>
      <c r="B983" s="116">
        <v>1843.65</v>
      </c>
      <c r="C983" s="116">
        <v>1769.9</v>
      </c>
      <c r="D983" s="116">
        <v>1760.65</v>
      </c>
      <c r="E983" s="116">
        <v>1841.85</v>
      </c>
      <c r="F983" s="116">
        <v>1769.9</v>
      </c>
      <c r="G983">
        <v>9415</v>
      </c>
      <c r="H983" s="116"/>
      <c r="I983" s="116"/>
      <c r="L983" s="170">
        <v>44915</v>
      </c>
      <c r="M983" s="116">
        <v>1858.05</v>
      </c>
      <c r="N983" s="116">
        <v>1911.6</v>
      </c>
      <c r="O983" s="116">
        <v>1833.2</v>
      </c>
      <c r="P983" s="116">
        <v>1890</v>
      </c>
      <c r="Q983" s="116">
        <v>1858.05</v>
      </c>
      <c r="R983">
        <v>505563</v>
      </c>
    </row>
    <row r="984" spans="1:18" x14ac:dyDescent="0.25">
      <c r="A984" s="170">
        <v>44921</v>
      </c>
      <c r="B984" s="116">
        <v>1832</v>
      </c>
      <c r="C984" s="116">
        <v>1812.25</v>
      </c>
      <c r="D984" s="116">
        <v>1756.35</v>
      </c>
      <c r="E984" s="116">
        <v>1768.45</v>
      </c>
      <c r="F984" s="116">
        <v>1812.25</v>
      </c>
      <c r="G984">
        <v>3813</v>
      </c>
      <c r="H984" s="116"/>
      <c r="I984" s="116"/>
      <c r="L984" s="170">
        <v>44916</v>
      </c>
      <c r="M984" s="116">
        <v>1852.3</v>
      </c>
      <c r="N984" s="116">
        <v>1888.2</v>
      </c>
      <c r="O984" s="116">
        <v>1805.05</v>
      </c>
      <c r="P984" s="116">
        <v>1859.1</v>
      </c>
      <c r="Q984" s="116">
        <v>1852.3</v>
      </c>
      <c r="R984">
        <v>379735</v>
      </c>
    </row>
    <row r="985" spans="1:18" x14ac:dyDescent="0.25">
      <c r="A985" s="170">
        <v>44922</v>
      </c>
      <c r="B985" s="116">
        <v>1870</v>
      </c>
      <c r="C985" s="116">
        <v>1861.6</v>
      </c>
      <c r="D985" s="116">
        <v>1811</v>
      </c>
      <c r="E985" s="116">
        <v>1822.1</v>
      </c>
      <c r="F985" s="116">
        <v>1861.6</v>
      </c>
      <c r="G985">
        <v>7248</v>
      </c>
      <c r="H985" s="116"/>
      <c r="I985" s="116"/>
      <c r="L985" s="170">
        <v>44917</v>
      </c>
      <c r="M985" s="116">
        <v>1858.05</v>
      </c>
      <c r="N985" s="116">
        <v>1869.05</v>
      </c>
      <c r="O985" s="116">
        <v>1828.15</v>
      </c>
      <c r="P985" s="116">
        <v>1855</v>
      </c>
      <c r="Q985" s="116">
        <v>1858.05</v>
      </c>
      <c r="R985">
        <v>156565</v>
      </c>
    </row>
    <row r="986" spans="1:18" x14ac:dyDescent="0.25">
      <c r="A986" s="170">
        <v>44923</v>
      </c>
      <c r="B986" s="116">
        <v>1869.4</v>
      </c>
      <c r="C986" s="116">
        <v>1855.25</v>
      </c>
      <c r="D986" s="116">
        <v>1844.55</v>
      </c>
      <c r="E986" s="116">
        <v>1858.1</v>
      </c>
      <c r="F986" s="116">
        <v>1855.25</v>
      </c>
      <c r="G986">
        <v>5182</v>
      </c>
      <c r="H986" s="116"/>
      <c r="I986" s="116"/>
      <c r="L986" s="170">
        <v>44918</v>
      </c>
      <c r="M986" s="116">
        <v>1770.5</v>
      </c>
      <c r="N986" s="116">
        <v>1853.15</v>
      </c>
      <c r="O986" s="116">
        <v>1759.35</v>
      </c>
      <c r="P986" s="116">
        <v>1838</v>
      </c>
      <c r="Q986" s="116">
        <v>1770.5</v>
      </c>
      <c r="R986">
        <v>180476</v>
      </c>
    </row>
    <row r="987" spans="1:18" x14ac:dyDescent="0.25">
      <c r="A987" s="170">
        <v>44924</v>
      </c>
      <c r="B987" s="116">
        <v>1870</v>
      </c>
      <c r="C987" s="116">
        <v>1853.95</v>
      </c>
      <c r="D987" s="116">
        <v>1808</v>
      </c>
      <c r="E987" s="116">
        <v>1852.2</v>
      </c>
      <c r="F987" s="116">
        <v>1853.95</v>
      </c>
      <c r="G987">
        <v>7446</v>
      </c>
      <c r="H987" s="116"/>
      <c r="I987" s="116"/>
      <c r="L987" s="170">
        <v>44921</v>
      </c>
      <c r="M987" s="116">
        <v>1812.05</v>
      </c>
      <c r="N987" s="116">
        <v>1832.05</v>
      </c>
      <c r="O987" s="116">
        <v>1753.7</v>
      </c>
      <c r="P987" s="116">
        <v>1761.85</v>
      </c>
      <c r="Q987" s="116">
        <v>1812.05</v>
      </c>
      <c r="R987">
        <v>126030</v>
      </c>
    </row>
    <row r="988" spans="1:18" x14ac:dyDescent="0.25">
      <c r="A988" s="170">
        <v>44925</v>
      </c>
      <c r="B988" s="116">
        <v>1874</v>
      </c>
      <c r="C988" s="116">
        <v>1860.75</v>
      </c>
      <c r="D988" s="116">
        <v>1835</v>
      </c>
      <c r="E988" s="116">
        <v>1858.5</v>
      </c>
      <c r="F988" s="116">
        <v>1860.75</v>
      </c>
      <c r="G988">
        <v>5413</v>
      </c>
      <c r="H988" s="116"/>
      <c r="I988" s="116"/>
      <c r="L988" s="170">
        <v>44922</v>
      </c>
      <c r="M988" s="116">
        <v>1863.1</v>
      </c>
      <c r="N988" s="116">
        <v>1870</v>
      </c>
      <c r="O988" s="116">
        <v>1809.6</v>
      </c>
      <c r="P988" s="116">
        <v>1820</v>
      </c>
      <c r="Q988" s="116">
        <v>1863.1</v>
      </c>
      <c r="R988">
        <v>206566</v>
      </c>
    </row>
    <row r="989" spans="1:18" x14ac:dyDescent="0.25">
      <c r="A989" s="170">
        <v>44928</v>
      </c>
      <c r="B989" s="116">
        <v>1899.7</v>
      </c>
      <c r="C989" s="116">
        <v>1887.8</v>
      </c>
      <c r="D989" s="116">
        <v>1861.05</v>
      </c>
      <c r="E989" s="116">
        <v>1863.2</v>
      </c>
      <c r="F989" s="116">
        <v>1887.8</v>
      </c>
      <c r="G989">
        <v>7039</v>
      </c>
      <c r="H989" s="116"/>
      <c r="I989" s="116"/>
      <c r="L989" s="170">
        <v>44923</v>
      </c>
      <c r="M989" s="116">
        <v>1854.1</v>
      </c>
      <c r="N989" s="116">
        <v>1870</v>
      </c>
      <c r="O989" s="116">
        <v>1843.85</v>
      </c>
      <c r="P989" s="116">
        <v>1855</v>
      </c>
      <c r="Q989" s="116">
        <v>1854.1</v>
      </c>
      <c r="R989">
        <v>79546</v>
      </c>
    </row>
    <row r="990" spans="1:18" x14ac:dyDescent="0.25">
      <c r="A990" s="170">
        <v>44929</v>
      </c>
      <c r="B990" s="116">
        <v>1900.65</v>
      </c>
      <c r="C990" s="116">
        <v>1871.7</v>
      </c>
      <c r="D990" s="116">
        <v>1867.65</v>
      </c>
      <c r="E990" s="116">
        <v>1900.65</v>
      </c>
      <c r="F990" s="116">
        <v>1871.7</v>
      </c>
      <c r="G990">
        <v>10050</v>
      </c>
      <c r="H990" s="116"/>
      <c r="I990" s="116"/>
      <c r="L990" s="170">
        <v>44924</v>
      </c>
      <c r="M990" s="116">
        <v>1855.45</v>
      </c>
      <c r="N990" s="116">
        <v>1869.95</v>
      </c>
      <c r="O990" s="116">
        <v>1805.75</v>
      </c>
      <c r="P990" s="116">
        <v>1845.2</v>
      </c>
      <c r="Q990" s="116">
        <v>1855.45</v>
      </c>
      <c r="R990">
        <v>204707</v>
      </c>
    </row>
    <row r="991" spans="1:18" x14ac:dyDescent="0.25">
      <c r="A991" s="170">
        <v>44930</v>
      </c>
      <c r="B991" s="116">
        <v>1888.1</v>
      </c>
      <c r="C991" s="116">
        <v>1848.55</v>
      </c>
      <c r="D991" s="116">
        <v>1842.55</v>
      </c>
      <c r="E991" s="116">
        <v>1875.45</v>
      </c>
      <c r="F991" s="116">
        <v>1848.55</v>
      </c>
      <c r="G991">
        <v>7658</v>
      </c>
      <c r="H991" s="116"/>
      <c r="I991" s="116"/>
      <c r="L991" s="170">
        <v>44925</v>
      </c>
      <c r="M991" s="116">
        <v>1862.8</v>
      </c>
      <c r="N991" s="116">
        <v>1877.9</v>
      </c>
      <c r="O991" s="116">
        <v>1849.4</v>
      </c>
      <c r="P991" s="116">
        <v>1865.2</v>
      </c>
      <c r="Q991" s="116">
        <v>1862.8</v>
      </c>
      <c r="R991">
        <v>188506</v>
      </c>
    </row>
    <row r="992" spans="1:18" x14ac:dyDescent="0.25">
      <c r="A992" s="170">
        <v>44931</v>
      </c>
      <c r="B992" s="116">
        <v>1884.9</v>
      </c>
      <c r="C992" s="116">
        <v>1874.7</v>
      </c>
      <c r="D992" s="116">
        <v>1834.45</v>
      </c>
      <c r="E992" s="116">
        <v>1849.1</v>
      </c>
      <c r="F992" s="116">
        <v>1874.7</v>
      </c>
      <c r="G992">
        <v>9900</v>
      </c>
      <c r="H992" s="116"/>
      <c r="I992" s="116"/>
      <c r="L992" s="170">
        <v>44928</v>
      </c>
      <c r="M992" s="116">
        <v>1887.7</v>
      </c>
      <c r="N992" s="116">
        <v>1899</v>
      </c>
      <c r="O992" s="116">
        <v>1860</v>
      </c>
      <c r="P992" s="116">
        <v>1862.8</v>
      </c>
      <c r="Q992" s="116">
        <v>1887.7</v>
      </c>
      <c r="R992">
        <v>189914</v>
      </c>
    </row>
    <row r="993" spans="1:18" x14ac:dyDescent="0.25">
      <c r="A993" s="170">
        <v>44932</v>
      </c>
      <c r="B993" s="116">
        <v>1918.15</v>
      </c>
      <c r="C993" s="116">
        <v>1871.15</v>
      </c>
      <c r="D993" s="116">
        <v>1866.2</v>
      </c>
      <c r="E993" s="116">
        <v>1879.25</v>
      </c>
      <c r="F993" s="116">
        <v>1871.15</v>
      </c>
      <c r="G993">
        <v>5990</v>
      </c>
      <c r="H993" s="116"/>
      <c r="I993" s="116"/>
      <c r="L993" s="170">
        <v>44929</v>
      </c>
      <c r="M993" s="116">
        <v>1872.15</v>
      </c>
      <c r="N993" s="116">
        <v>1903</v>
      </c>
      <c r="O993" s="116">
        <v>1865.1</v>
      </c>
      <c r="P993" s="116">
        <v>1900</v>
      </c>
      <c r="Q993" s="116">
        <v>1872.15</v>
      </c>
      <c r="R993">
        <v>114510</v>
      </c>
    </row>
    <row r="994" spans="1:18" x14ac:dyDescent="0.25">
      <c r="A994" s="170">
        <v>44935</v>
      </c>
      <c r="B994" s="116">
        <v>1901.8</v>
      </c>
      <c r="C994" s="116">
        <v>1882.05</v>
      </c>
      <c r="D994" s="116">
        <v>1859.7</v>
      </c>
      <c r="E994" s="116">
        <v>1888.35</v>
      </c>
      <c r="F994" s="116">
        <v>1882.05</v>
      </c>
      <c r="G994">
        <v>6219</v>
      </c>
      <c r="H994" s="116"/>
      <c r="I994" s="116"/>
      <c r="L994" s="170">
        <v>44930</v>
      </c>
      <c r="M994" s="116">
        <v>1848.1</v>
      </c>
      <c r="N994" s="116">
        <v>1886.95</v>
      </c>
      <c r="O994" s="116">
        <v>1841.35</v>
      </c>
      <c r="P994" s="116">
        <v>1881.55</v>
      </c>
      <c r="Q994" s="116">
        <v>1848.1</v>
      </c>
      <c r="R994">
        <v>167153</v>
      </c>
    </row>
    <row r="995" spans="1:18" x14ac:dyDescent="0.25">
      <c r="A995" s="170">
        <v>44936</v>
      </c>
      <c r="B995" s="116">
        <v>1883.75</v>
      </c>
      <c r="C995" s="116">
        <v>1867.05</v>
      </c>
      <c r="D995" s="116">
        <v>1841.05</v>
      </c>
      <c r="E995" s="116">
        <v>1883.75</v>
      </c>
      <c r="F995" s="116">
        <v>1867.05</v>
      </c>
      <c r="G995">
        <v>5276</v>
      </c>
      <c r="H995" s="116"/>
      <c r="I995" s="116"/>
      <c r="L995" s="170">
        <v>44931</v>
      </c>
      <c r="M995" s="116">
        <v>1875.15</v>
      </c>
      <c r="N995" s="116">
        <v>1880</v>
      </c>
      <c r="O995" s="116">
        <v>1835.95</v>
      </c>
      <c r="P995" s="116">
        <v>1848.1</v>
      </c>
      <c r="Q995" s="116">
        <v>1875.15</v>
      </c>
      <c r="R995">
        <v>228299</v>
      </c>
    </row>
    <row r="996" spans="1:18" x14ac:dyDescent="0.25">
      <c r="A996" s="170">
        <v>44937</v>
      </c>
      <c r="B996" s="116">
        <v>1881.1</v>
      </c>
      <c r="C996" s="116">
        <v>1874.65</v>
      </c>
      <c r="D996" s="116">
        <v>1859.35</v>
      </c>
      <c r="E996" s="116">
        <v>1876.15</v>
      </c>
      <c r="F996" s="116">
        <v>1874.65</v>
      </c>
      <c r="G996">
        <v>1814</v>
      </c>
      <c r="H996" s="116"/>
      <c r="I996" s="116"/>
      <c r="L996" s="170">
        <v>44932</v>
      </c>
      <c r="M996" s="116">
        <v>1875.45</v>
      </c>
      <c r="N996" s="116">
        <v>1917.55</v>
      </c>
      <c r="O996" s="116">
        <v>1866</v>
      </c>
      <c r="P996" s="116">
        <v>1880</v>
      </c>
      <c r="Q996" s="116">
        <v>1875.45</v>
      </c>
      <c r="R996">
        <v>214277</v>
      </c>
    </row>
    <row r="997" spans="1:18" x14ac:dyDescent="0.25">
      <c r="A997" s="170">
        <v>44938</v>
      </c>
      <c r="B997" s="116">
        <v>1914.8</v>
      </c>
      <c r="C997" s="116">
        <v>1897.65</v>
      </c>
      <c r="D997" s="116">
        <v>1871.05</v>
      </c>
      <c r="E997" s="116">
        <v>1873.9</v>
      </c>
      <c r="F997" s="116">
        <v>1897.65</v>
      </c>
      <c r="G997">
        <v>20770</v>
      </c>
      <c r="H997" s="116"/>
      <c r="I997" s="116"/>
      <c r="L997" s="170">
        <v>44935</v>
      </c>
      <c r="M997" s="116">
        <v>1884.7</v>
      </c>
      <c r="N997" s="116">
        <v>1903</v>
      </c>
      <c r="O997" s="116">
        <v>1860</v>
      </c>
      <c r="P997" s="116">
        <v>1877.35</v>
      </c>
      <c r="Q997" s="116">
        <v>1884.7</v>
      </c>
      <c r="R997">
        <v>245570</v>
      </c>
    </row>
    <row r="998" spans="1:18" x14ac:dyDescent="0.25">
      <c r="A998" s="170">
        <v>44939</v>
      </c>
      <c r="B998" s="116">
        <v>1916</v>
      </c>
      <c r="C998" s="116">
        <v>1895.6</v>
      </c>
      <c r="D998" s="116">
        <v>1874</v>
      </c>
      <c r="E998" s="116">
        <v>1897.9</v>
      </c>
      <c r="F998" s="116">
        <v>1895.6</v>
      </c>
      <c r="G998">
        <v>7574</v>
      </c>
      <c r="H998" s="116"/>
      <c r="I998" s="116"/>
      <c r="L998" s="170">
        <v>44936</v>
      </c>
      <c r="M998" s="116">
        <v>1873.5</v>
      </c>
      <c r="N998" s="116">
        <v>1888</v>
      </c>
      <c r="O998" s="116">
        <v>1840.5</v>
      </c>
      <c r="P998" s="116">
        <v>1884.7</v>
      </c>
      <c r="Q998" s="116">
        <v>1873.5</v>
      </c>
      <c r="R998">
        <v>174932</v>
      </c>
    </row>
    <row r="999" spans="1:18" x14ac:dyDescent="0.25">
      <c r="A999" s="170">
        <v>44942</v>
      </c>
      <c r="B999" s="116">
        <v>1915.75</v>
      </c>
      <c r="C999" s="116">
        <v>1892.65</v>
      </c>
      <c r="D999" s="116">
        <v>1888</v>
      </c>
      <c r="E999" s="116">
        <v>1898.35</v>
      </c>
      <c r="F999" s="116">
        <v>1892.65</v>
      </c>
      <c r="G999">
        <v>5286</v>
      </c>
      <c r="H999" s="116"/>
      <c r="I999" s="116"/>
      <c r="L999" s="170">
        <v>44937</v>
      </c>
      <c r="M999" s="116">
        <v>1868.2</v>
      </c>
      <c r="N999" s="116">
        <v>1883.25</v>
      </c>
      <c r="O999" s="116">
        <v>1860</v>
      </c>
      <c r="P999" s="116">
        <v>1877.1</v>
      </c>
      <c r="Q999" s="116">
        <v>1868.2</v>
      </c>
      <c r="R999">
        <v>81285</v>
      </c>
    </row>
    <row r="1000" spans="1:18" x14ac:dyDescent="0.25">
      <c r="A1000" s="170">
        <v>44943</v>
      </c>
      <c r="B1000" s="116">
        <v>1910</v>
      </c>
      <c r="C1000" s="116">
        <v>1904.35</v>
      </c>
      <c r="D1000" s="116">
        <v>1869.3</v>
      </c>
      <c r="E1000" s="116">
        <v>1896.95</v>
      </c>
      <c r="F1000" s="116">
        <v>1904.35</v>
      </c>
      <c r="G1000">
        <v>8378</v>
      </c>
      <c r="H1000" s="116"/>
      <c r="I1000" s="116"/>
      <c r="L1000" s="170">
        <v>44938</v>
      </c>
      <c r="M1000" s="116">
        <v>1897.5</v>
      </c>
      <c r="N1000" s="116">
        <v>1915.2</v>
      </c>
      <c r="O1000" s="116">
        <v>1874</v>
      </c>
      <c r="P1000" s="116">
        <v>1875</v>
      </c>
      <c r="Q1000" s="116">
        <v>1897.5</v>
      </c>
      <c r="R1000">
        <v>423645</v>
      </c>
    </row>
    <row r="1001" spans="1:18" x14ac:dyDescent="0.25">
      <c r="A1001" s="170">
        <v>44944</v>
      </c>
      <c r="B1001" s="116">
        <v>1915</v>
      </c>
      <c r="C1001" s="116">
        <v>1884.3</v>
      </c>
      <c r="D1001" s="116">
        <v>1876.1</v>
      </c>
      <c r="E1001" s="116">
        <v>1910.6</v>
      </c>
      <c r="F1001" s="116">
        <v>1884.3</v>
      </c>
      <c r="G1001">
        <v>4191</v>
      </c>
      <c r="H1001" s="116"/>
      <c r="I1001" s="116"/>
      <c r="L1001" s="170">
        <v>44939</v>
      </c>
      <c r="M1001" s="116">
        <v>1899</v>
      </c>
      <c r="N1001" s="116">
        <v>1916.9</v>
      </c>
      <c r="O1001" s="116">
        <v>1874.4</v>
      </c>
      <c r="P1001" s="116">
        <v>1900</v>
      </c>
      <c r="Q1001" s="116">
        <v>1899</v>
      </c>
      <c r="R1001">
        <v>231521</v>
      </c>
    </row>
    <row r="1002" spans="1:18" x14ac:dyDescent="0.25">
      <c r="A1002" s="170">
        <v>44945</v>
      </c>
      <c r="B1002" s="116">
        <v>1901.3</v>
      </c>
      <c r="C1002" s="116">
        <v>1875.1</v>
      </c>
      <c r="D1002" s="116">
        <v>1855</v>
      </c>
      <c r="E1002" s="116">
        <v>1871.65</v>
      </c>
      <c r="F1002" s="116">
        <v>1875.1</v>
      </c>
      <c r="G1002">
        <v>6408</v>
      </c>
      <c r="H1002" s="116"/>
      <c r="I1002" s="116"/>
      <c r="L1002" s="170">
        <v>44942</v>
      </c>
      <c r="M1002" s="116">
        <v>1891.45</v>
      </c>
      <c r="N1002" s="116">
        <v>1918.35</v>
      </c>
      <c r="O1002" s="116">
        <v>1886.25</v>
      </c>
      <c r="P1002" s="116">
        <v>1898.7</v>
      </c>
      <c r="Q1002" s="116">
        <v>1891.45</v>
      </c>
      <c r="R1002">
        <v>282093</v>
      </c>
    </row>
    <row r="1003" spans="1:18" x14ac:dyDescent="0.25">
      <c r="A1003" s="170">
        <v>44946</v>
      </c>
      <c r="B1003" s="116">
        <v>1885.5</v>
      </c>
      <c r="C1003" s="116">
        <v>1838.7</v>
      </c>
      <c r="D1003" s="116">
        <v>1831.1</v>
      </c>
      <c r="E1003" s="116">
        <v>1885.5</v>
      </c>
      <c r="F1003" s="116">
        <v>1838.7</v>
      </c>
      <c r="G1003">
        <v>3978</v>
      </c>
      <c r="H1003" s="116"/>
      <c r="I1003" s="116"/>
      <c r="L1003" s="170">
        <v>44943</v>
      </c>
      <c r="M1003" s="116">
        <v>1905.6</v>
      </c>
      <c r="N1003" s="116">
        <v>1910.2</v>
      </c>
      <c r="O1003" s="116">
        <v>1870.2</v>
      </c>
      <c r="P1003" s="116">
        <v>1890</v>
      </c>
      <c r="Q1003" s="116">
        <v>1905.6</v>
      </c>
      <c r="R1003">
        <v>106281</v>
      </c>
    </row>
    <row r="1004" spans="1:18" x14ac:dyDescent="0.25">
      <c r="A1004" s="170">
        <v>44949</v>
      </c>
      <c r="B1004" s="116">
        <v>1850.8</v>
      </c>
      <c r="C1004" s="116">
        <v>1769.35</v>
      </c>
      <c r="D1004" s="116">
        <v>1763.65</v>
      </c>
      <c r="E1004" s="116">
        <v>1843.1</v>
      </c>
      <c r="F1004" s="116">
        <v>1769.35</v>
      </c>
      <c r="G1004">
        <v>6168</v>
      </c>
      <c r="H1004" s="116"/>
      <c r="I1004" s="116"/>
      <c r="L1004" s="170">
        <v>44944</v>
      </c>
      <c r="M1004" s="116">
        <v>1884.4</v>
      </c>
      <c r="N1004" s="116">
        <v>1915.95</v>
      </c>
      <c r="O1004" s="116">
        <v>1876.1</v>
      </c>
      <c r="P1004" s="116">
        <v>1915</v>
      </c>
      <c r="Q1004" s="116">
        <v>1884.4</v>
      </c>
      <c r="R1004">
        <v>172471</v>
      </c>
    </row>
    <row r="1005" spans="1:18" x14ac:dyDescent="0.25">
      <c r="A1005" s="170">
        <v>44950</v>
      </c>
      <c r="B1005" s="116">
        <v>1782.95</v>
      </c>
      <c r="C1005" s="116">
        <v>1762.6</v>
      </c>
      <c r="D1005" s="116">
        <v>1746.2</v>
      </c>
      <c r="E1005" s="116">
        <v>1779.5</v>
      </c>
      <c r="F1005" s="116">
        <v>1762.6</v>
      </c>
      <c r="G1005">
        <v>7761</v>
      </c>
      <c r="H1005" s="116"/>
      <c r="I1005" s="116"/>
      <c r="L1005" s="170">
        <v>44945</v>
      </c>
      <c r="M1005" s="116">
        <v>1877.05</v>
      </c>
      <c r="N1005" s="116">
        <v>1903</v>
      </c>
      <c r="O1005" s="116">
        <v>1854.65</v>
      </c>
      <c r="P1005" s="116">
        <v>1872.05</v>
      </c>
      <c r="Q1005" s="116">
        <v>1877.05</v>
      </c>
      <c r="R1005">
        <v>190437</v>
      </c>
    </row>
    <row r="1006" spans="1:18" x14ac:dyDescent="0.25">
      <c r="A1006" s="170">
        <v>44951</v>
      </c>
      <c r="B1006" s="116">
        <v>1755</v>
      </c>
      <c r="C1006" s="116">
        <v>1730.7</v>
      </c>
      <c r="D1006" s="116">
        <v>1705</v>
      </c>
      <c r="E1006" s="116">
        <v>1750.7</v>
      </c>
      <c r="F1006" s="116">
        <v>1730.7</v>
      </c>
      <c r="G1006">
        <v>7066</v>
      </c>
      <c r="H1006" s="116"/>
      <c r="I1006" s="116"/>
      <c r="L1006" s="170">
        <v>44946</v>
      </c>
      <c r="M1006" s="116">
        <v>1839.1</v>
      </c>
      <c r="N1006" s="116">
        <v>1886.55</v>
      </c>
      <c r="O1006" s="116">
        <v>1829.95</v>
      </c>
      <c r="P1006" s="116">
        <v>1885</v>
      </c>
      <c r="Q1006" s="116">
        <v>1839.1</v>
      </c>
      <c r="R1006">
        <v>126074</v>
      </c>
    </row>
    <row r="1007" spans="1:18" x14ac:dyDescent="0.25">
      <c r="A1007" s="170">
        <v>44953</v>
      </c>
      <c r="B1007" s="116">
        <v>1734.45</v>
      </c>
      <c r="C1007" s="116">
        <v>1692.5</v>
      </c>
      <c r="D1007" s="116">
        <v>1675</v>
      </c>
      <c r="E1007" s="116">
        <v>1734.25</v>
      </c>
      <c r="F1007" s="116">
        <v>1692.5</v>
      </c>
      <c r="G1007">
        <v>15893</v>
      </c>
      <c r="H1007" s="116"/>
      <c r="I1007" s="116"/>
      <c r="L1007" s="170">
        <v>44949</v>
      </c>
      <c r="M1007" s="116">
        <v>1767.2</v>
      </c>
      <c r="N1007" s="116">
        <v>1851.95</v>
      </c>
      <c r="O1007" s="116">
        <v>1760.2</v>
      </c>
      <c r="P1007" s="116">
        <v>1848.3</v>
      </c>
      <c r="Q1007" s="116">
        <v>1767.2</v>
      </c>
      <c r="R1007">
        <v>337237</v>
      </c>
    </row>
    <row r="1008" spans="1:18" x14ac:dyDescent="0.25">
      <c r="A1008" s="170">
        <v>44956</v>
      </c>
      <c r="B1008" s="116">
        <v>1753</v>
      </c>
      <c r="C1008" s="116">
        <v>1718.45</v>
      </c>
      <c r="D1008" s="116">
        <v>1680.1</v>
      </c>
      <c r="E1008" s="116">
        <v>1683.6</v>
      </c>
      <c r="F1008" s="116">
        <v>1718.45</v>
      </c>
      <c r="G1008">
        <v>7429</v>
      </c>
      <c r="H1008" s="116"/>
      <c r="I1008" s="116"/>
      <c r="L1008" s="170">
        <v>44950</v>
      </c>
      <c r="M1008" s="116">
        <v>1759.7</v>
      </c>
      <c r="N1008" s="116">
        <v>1785.7</v>
      </c>
      <c r="O1008" s="116">
        <v>1746.25</v>
      </c>
      <c r="P1008" s="116">
        <v>1775.8</v>
      </c>
      <c r="Q1008" s="116">
        <v>1759.7</v>
      </c>
      <c r="R1008">
        <v>158930</v>
      </c>
    </row>
    <row r="1009" spans="1:18" x14ac:dyDescent="0.25">
      <c r="A1009" s="170">
        <v>44957</v>
      </c>
      <c r="B1009" s="116">
        <v>1786.9</v>
      </c>
      <c r="C1009" s="116">
        <v>1768.35</v>
      </c>
      <c r="D1009" s="116">
        <v>1715.25</v>
      </c>
      <c r="E1009" s="116">
        <v>1727.45</v>
      </c>
      <c r="F1009" s="116">
        <v>1768.35</v>
      </c>
      <c r="G1009">
        <v>10980</v>
      </c>
      <c r="H1009" s="116"/>
      <c r="I1009" s="116"/>
      <c r="L1009" s="170">
        <v>44951</v>
      </c>
      <c r="M1009" s="116">
        <v>1728.35</v>
      </c>
      <c r="N1009" s="116">
        <v>1755.2</v>
      </c>
      <c r="O1009" s="116">
        <v>1703.95</v>
      </c>
      <c r="P1009" s="116">
        <v>1751.25</v>
      </c>
      <c r="Q1009" s="116">
        <v>1728.35</v>
      </c>
      <c r="R1009">
        <v>231772</v>
      </c>
    </row>
    <row r="1010" spans="1:18" x14ac:dyDescent="0.25">
      <c r="A1010" s="170">
        <v>44958</v>
      </c>
      <c r="B1010" s="116">
        <v>1842</v>
      </c>
      <c r="C1010" s="116">
        <v>1767.35</v>
      </c>
      <c r="D1010" s="116">
        <v>1740.05</v>
      </c>
      <c r="E1010" s="116">
        <v>1776.7</v>
      </c>
      <c r="F1010" s="116">
        <v>1767.35</v>
      </c>
      <c r="G1010">
        <v>14850</v>
      </c>
      <c r="H1010" s="116"/>
      <c r="I1010" s="116"/>
      <c r="L1010" s="170">
        <v>44953</v>
      </c>
      <c r="M1010" s="116">
        <v>1693.7</v>
      </c>
      <c r="N1010" s="116">
        <v>1737.4</v>
      </c>
      <c r="O1010" s="116">
        <v>1675</v>
      </c>
      <c r="P1010" s="116">
        <v>1737</v>
      </c>
      <c r="Q1010" s="116">
        <v>1693.7</v>
      </c>
      <c r="R1010">
        <v>267790</v>
      </c>
    </row>
    <row r="1011" spans="1:18" x14ac:dyDescent="0.25">
      <c r="A1011" s="170">
        <v>44959</v>
      </c>
      <c r="B1011" s="116">
        <v>1816.75</v>
      </c>
      <c r="C1011" s="116">
        <v>1802.15</v>
      </c>
      <c r="D1011" s="116">
        <v>1736.35</v>
      </c>
      <c r="E1011" s="116">
        <v>1767.5</v>
      </c>
      <c r="F1011" s="116">
        <v>1802.15</v>
      </c>
      <c r="G1011">
        <v>10344</v>
      </c>
      <c r="H1011" s="116"/>
      <c r="I1011" s="116"/>
      <c r="L1011" s="170">
        <v>44956</v>
      </c>
      <c r="M1011" s="116">
        <v>1717.55</v>
      </c>
      <c r="N1011" s="116">
        <v>1752</v>
      </c>
      <c r="O1011" s="116">
        <v>1672</v>
      </c>
      <c r="P1011" s="116">
        <v>1672</v>
      </c>
      <c r="Q1011" s="116">
        <v>1717.55</v>
      </c>
      <c r="R1011">
        <v>188074</v>
      </c>
    </row>
    <row r="1012" spans="1:18" x14ac:dyDescent="0.25">
      <c r="A1012" s="170">
        <v>44960</v>
      </c>
      <c r="B1012" s="116">
        <v>1880.45</v>
      </c>
      <c r="C1012" s="116">
        <v>1868.75</v>
      </c>
      <c r="D1012" s="116">
        <v>1798.5</v>
      </c>
      <c r="E1012" s="116">
        <v>1804.85</v>
      </c>
      <c r="F1012" s="116">
        <v>1868.75</v>
      </c>
      <c r="G1012">
        <v>12575</v>
      </c>
      <c r="H1012" s="116"/>
      <c r="I1012" s="116"/>
      <c r="L1012" s="170">
        <v>44957</v>
      </c>
      <c r="M1012" s="116">
        <v>1767.75</v>
      </c>
      <c r="N1012" s="116">
        <v>1787.45</v>
      </c>
      <c r="O1012" s="116">
        <v>1714.5</v>
      </c>
      <c r="P1012" s="116">
        <v>1726.6</v>
      </c>
      <c r="Q1012" s="116">
        <v>1767.75</v>
      </c>
      <c r="R1012">
        <v>193506</v>
      </c>
    </row>
    <row r="1013" spans="1:18" x14ac:dyDescent="0.25">
      <c r="A1013" s="170">
        <v>44963</v>
      </c>
      <c r="B1013" s="116">
        <v>1930</v>
      </c>
      <c r="C1013" s="116">
        <v>1884.8</v>
      </c>
      <c r="D1013" s="116">
        <v>1823.1</v>
      </c>
      <c r="E1013" s="116">
        <v>1880</v>
      </c>
      <c r="F1013" s="116">
        <v>1884.8</v>
      </c>
      <c r="G1013">
        <v>22856</v>
      </c>
      <c r="H1013" s="116"/>
      <c r="I1013" s="116"/>
      <c r="L1013" s="170">
        <v>44958</v>
      </c>
      <c r="M1013" s="116">
        <v>1768.4</v>
      </c>
      <c r="N1013" s="116">
        <v>1843.35</v>
      </c>
      <c r="O1013" s="116">
        <v>1737.2</v>
      </c>
      <c r="P1013" s="116">
        <v>1771.05</v>
      </c>
      <c r="Q1013" s="116">
        <v>1768.4</v>
      </c>
      <c r="R1013">
        <v>413607</v>
      </c>
    </row>
    <row r="1014" spans="1:18" x14ac:dyDescent="0.25">
      <c r="A1014" s="170">
        <v>44964</v>
      </c>
      <c r="B1014" s="116">
        <v>1909.95</v>
      </c>
      <c r="C1014" s="116">
        <v>1853.75</v>
      </c>
      <c r="D1014" s="116">
        <v>1843.7</v>
      </c>
      <c r="E1014" s="116">
        <v>1883.05</v>
      </c>
      <c r="F1014" s="116">
        <v>1853.75</v>
      </c>
      <c r="G1014">
        <v>7583</v>
      </c>
      <c r="H1014" s="116"/>
      <c r="I1014" s="116"/>
      <c r="L1014" s="170">
        <v>44959</v>
      </c>
      <c r="M1014" s="116">
        <v>1802.65</v>
      </c>
      <c r="N1014" s="116">
        <v>1818</v>
      </c>
      <c r="O1014" s="116">
        <v>1734.8</v>
      </c>
      <c r="P1014" s="116">
        <v>1770</v>
      </c>
      <c r="Q1014" s="116">
        <v>1802.65</v>
      </c>
      <c r="R1014">
        <v>314229</v>
      </c>
    </row>
    <row r="1015" spans="1:18" x14ac:dyDescent="0.25">
      <c r="A1015" s="170">
        <v>44965</v>
      </c>
      <c r="B1015" s="116">
        <v>1928.25</v>
      </c>
      <c r="C1015" s="116">
        <v>1908</v>
      </c>
      <c r="D1015" s="116">
        <v>1879.7</v>
      </c>
      <c r="E1015" s="116">
        <v>1879.7</v>
      </c>
      <c r="F1015" s="116">
        <v>1908</v>
      </c>
      <c r="G1015">
        <v>19927</v>
      </c>
      <c r="H1015" s="116"/>
      <c r="I1015" s="116"/>
      <c r="L1015" s="170">
        <v>44960</v>
      </c>
      <c r="M1015" s="116">
        <v>1867.85</v>
      </c>
      <c r="N1015" s="116">
        <v>1883.95</v>
      </c>
      <c r="O1015" s="116">
        <v>1791.8</v>
      </c>
      <c r="P1015" s="116">
        <v>1791.8</v>
      </c>
      <c r="Q1015" s="116">
        <v>1867.85</v>
      </c>
      <c r="R1015">
        <v>408062</v>
      </c>
    </row>
    <row r="1016" spans="1:18" x14ac:dyDescent="0.25">
      <c r="A1016" s="170">
        <v>44966</v>
      </c>
      <c r="B1016" s="116">
        <v>1931</v>
      </c>
      <c r="C1016" s="116">
        <v>1926.3</v>
      </c>
      <c r="D1016" s="116">
        <v>1895.65</v>
      </c>
      <c r="E1016" s="116">
        <v>1901.9</v>
      </c>
      <c r="F1016" s="116">
        <v>1926.3</v>
      </c>
      <c r="G1016">
        <v>9603</v>
      </c>
      <c r="H1016" s="116"/>
      <c r="I1016" s="116"/>
      <c r="L1016" s="170">
        <v>44963</v>
      </c>
      <c r="M1016" s="116">
        <v>1885.4</v>
      </c>
      <c r="N1016" s="116">
        <v>1929.85</v>
      </c>
      <c r="O1016" s="116">
        <v>1823</v>
      </c>
      <c r="P1016" s="116">
        <v>1895</v>
      </c>
      <c r="Q1016" s="116">
        <v>1885.4</v>
      </c>
      <c r="R1016">
        <v>532091</v>
      </c>
    </row>
    <row r="1017" spans="1:18" x14ac:dyDescent="0.25">
      <c r="A1017" s="170">
        <v>44967</v>
      </c>
      <c r="B1017" s="116">
        <v>1945</v>
      </c>
      <c r="C1017" s="116">
        <v>1936.75</v>
      </c>
      <c r="D1017" s="116">
        <v>1912.55</v>
      </c>
      <c r="E1017" s="116">
        <v>1914.35</v>
      </c>
      <c r="F1017" s="116">
        <v>1936.75</v>
      </c>
      <c r="G1017">
        <v>8803</v>
      </c>
      <c r="H1017" s="116"/>
      <c r="I1017" s="116"/>
      <c r="L1017" s="170">
        <v>44964</v>
      </c>
      <c r="M1017" s="116">
        <v>1853</v>
      </c>
      <c r="N1017" s="116">
        <v>1910</v>
      </c>
      <c r="O1017" s="116">
        <v>1841.65</v>
      </c>
      <c r="P1017" s="116">
        <v>1885</v>
      </c>
      <c r="Q1017" s="116">
        <v>1853</v>
      </c>
      <c r="R1017">
        <v>244455</v>
      </c>
    </row>
    <row r="1018" spans="1:18" x14ac:dyDescent="0.25">
      <c r="A1018" s="170">
        <v>44970</v>
      </c>
      <c r="B1018" s="116">
        <v>1964.1</v>
      </c>
      <c r="C1018" s="116">
        <v>1928.75</v>
      </c>
      <c r="D1018" s="116">
        <v>1916.65</v>
      </c>
      <c r="E1018" s="116">
        <v>1953.25</v>
      </c>
      <c r="F1018" s="116">
        <v>1928.75</v>
      </c>
      <c r="G1018">
        <v>5797</v>
      </c>
      <c r="H1018" s="116"/>
      <c r="I1018" s="116"/>
      <c r="L1018" s="170">
        <v>44965</v>
      </c>
      <c r="M1018" s="116">
        <v>1907.6</v>
      </c>
      <c r="N1018" s="116">
        <v>1929</v>
      </c>
      <c r="O1018" s="116">
        <v>1875.8</v>
      </c>
      <c r="P1018" s="116">
        <v>1877.6</v>
      </c>
      <c r="Q1018" s="116">
        <v>1907.6</v>
      </c>
      <c r="R1018">
        <v>500591</v>
      </c>
    </row>
    <row r="1019" spans="1:18" x14ac:dyDescent="0.25">
      <c r="A1019" s="170">
        <v>44971</v>
      </c>
      <c r="B1019" s="116">
        <v>1936.25</v>
      </c>
      <c r="C1019" s="116">
        <v>1902.95</v>
      </c>
      <c r="D1019" s="116">
        <v>1893.3</v>
      </c>
      <c r="E1019" s="116">
        <v>1936</v>
      </c>
      <c r="F1019" s="116">
        <v>1902.95</v>
      </c>
      <c r="G1019">
        <v>4072</v>
      </c>
      <c r="H1019" s="116"/>
      <c r="I1019" s="116"/>
      <c r="L1019" s="170">
        <v>44966</v>
      </c>
      <c r="M1019" s="116">
        <v>1926.25</v>
      </c>
      <c r="N1019" s="116">
        <v>1932</v>
      </c>
      <c r="O1019" s="116">
        <v>1895.05</v>
      </c>
      <c r="P1019" s="116">
        <v>1900</v>
      </c>
      <c r="Q1019" s="116">
        <v>1926.25</v>
      </c>
      <c r="R1019">
        <v>219470</v>
      </c>
    </row>
    <row r="1020" spans="1:18" x14ac:dyDescent="0.25">
      <c r="A1020" s="170">
        <v>44972</v>
      </c>
      <c r="B1020" s="116">
        <v>1926.9</v>
      </c>
      <c r="C1020" s="116">
        <v>1922.9</v>
      </c>
      <c r="D1020" s="116">
        <v>1888.5</v>
      </c>
      <c r="E1020" s="116">
        <v>1888.5</v>
      </c>
      <c r="F1020" s="116">
        <v>1922.9</v>
      </c>
      <c r="G1020">
        <v>6044</v>
      </c>
      <c r="H1020" s="116"/>
      <c r="I1020" s="116"/>
      <c r="L1020" s="170">
        <v>44967</v>
      </c>
      <c r="M1020" s="116">
        <v>1939.35</v>
      </c>
      <c r="N1020" s="116">
        <v>1945</v>
      </c>
      <c r="O1020" s="116">
        <v>1909.7</v>
      </c>
      <c r="P1020" s="116">
        <v>1924.95</v>
      </c>
      <c r="Q1020" s="116">
        <v>1939.35</v>
      </c>
      <c r="R1020">
        <v>251331</v>
      </c>
    </row>
    <row r="1021" spans="1:18" x14ac:dyDescent="0.25">
      <c r="A1021" s="170">
        <v>44973</v>
      </c>
      <c r="B1021" s="116">
        <v>1936.7</v>
      </c>
      <c r="C1021" s="116">
        <v>1931.8</v>
      </c>
      <c r="D1021" s="116">
        <v>1921.8</v>
      </c>
      <c r="E1021" s="116">
        <v>1922.95</v>
      </c>
      <c r="F1021" s="116">
        <v>1931.8</v>
      </c>
      <c r="G1021">
        <v>4724</v>
      </c>
      <c r="H1021" s="116"/>
      <c r="I1021" s="116"/>
      <c r="L1021" s="170">
        <v>44970</v>
      </c>
      <c r="M1021" s="116">
        <v>1929.1</v>
      </c>
      <c r="N1021" s="116">
        <v>1963.95</v>
      </c>
      <c r="O1021" s="116">
        <v>1914.2</v>
      </c>
      <c r="P1021" s="116">
        <v>1949.9</v>
      </c>
      <c r="Q1021" s="116">
        <v>1929.1</v>
      </c>
      <c r="R1021">
        <v>125585</v>
      </c>
    </row>
    <row r="1022" spans="1:18" x14ac:dyDescent="0.25">
      <c r="A1022" s="170">
        <v>44974</v>
      </c>
      <c r="B1022" s="116">
        <v>1989</v>
      </c>
      <c r="C1022" s="116">
        <v>1944</v>
      </c>
      <c r="D1022" s="116">
        <v>1929.95</v>
      </c>
      <c r="E1022" s="116">
        <v>1930.65</v>
      </c>
      <c r="F1022" s="116">
        <v>1944</v>
      </c>
      <c r="G1022">
        <v>21344</v>
      </c>
      <c r="H1022" s="116"/>
      <c r="I1022" s="116"/>
      <c r="L1022" s="170">
        <v>44971</v>
      </c>
      <c r="M1022" s="116">
        <v>1902.55</v>
      </c>
      <c r="N1022" s="116">
        <v>1939</v>
      </c>
      <c r="O1022" s="116">
        <v>1892</v>
      </c>
      <c r="P1022" s="116">
        <v>1931.85</v>
      </c>
      <c r="Q1022" s="116">
        <v>1902.55</v>
      </c>
      <c r="R1022">
        <v>138621</v>
      </c>
    </row>
    <row r="1023" spans="1:18" x14ac:dyDescent="0.25">
      <c r="A1023" s="170">
        <v>44977</v>
      </c>
      <c r="B1023" s="116">
        <v>1960.8</v>
      </c>
      <c r="C1023" s="116">
        <v>1934.85</v>
      </c>
      <c r="D1023" s="116">
        <v>1887</v>
      </c>
      <c r="E1023" s="116">
        <v>1948.7</v>
      </c>
      <c r="F1023" s="116">
        <v>1934.85</v>
      </c>
      <c r="G1023">
        <v>7194</v>
      </c>
      <c r="H1023" s="116"/>
      <c r="I1023" s="116"/>
      <c r="L1023" s="170">
        <v>44972</v>
      </c>
      <c r="M1023" s="116">
        <v>1920.35</v>
      </c>
      <c r="N1023" s="116">
        <v>1927.7</v>
      </c>
      <c r="O1023" s="116">
        <v>1886</v>
      </c>
      <c r="P1023" s="116">
        <v>1897</v>
      </c>
      <c r="Q1023" s="116">
        <v>1920.35</v>
      </c>
      <c r="R1023">
        <v>208282</v>
      </c>
    </row>
    <row r="1024" spans="1:18" x14ac:dyDescent="0.25">
      <c r="A1024" s="170">
        <v>44978</v>
      </c>
      <c r="B1024" s="116">
        <v>1959.4</v>
      </c>
      <c r="C1024" s="116">
        <v>1909.75</v>
      </c>
      <c r="D1024" s="116">
        <v>1900</v>
      </c>
      <c r="E1024" s="116">
        <v>1924.15</v>
      </c>
      <c r="F1024" s="116">
        <v>1909.75</v>
      </c>
      <c r="G1024">
        <v>7119</v>
      </c>
      <c r="H1024" s="116"/>
      <c r="I1024" s="116"/>
      <c r="L1024" s="170">
        <v>44973</v>
      </c>
      <c r="M1024" s="116">
        <v>1931.8</v>
      </c>
      <c r="N1024" s="116">
        <v>1937.1</v>
      </c>
      <c r="O1024" s="116">
        <v>1920.3</v>
      </c>
      <c r="P1024" s="116">
        <v>1927</v>
      </c>
      <c r="Q1024" s="116">
        <v>1931.8</v>
      </c>
      <c r="R1024">
        <v>108660</v>
      </c>
    </row>
    <row r="1025" spans="1:18" x14ac:dyDescent="0.25">
      <c r="A1025" s="170">
        <v>44979</v>
      </c>
      <c r="B1025" s="116">
        <v>1933.8</v>
      </c>
      <c r="C1025" s="116">
        <v>1919.2</v>
      </c>
      <c r="D1025" s="116">
        <v>1860.5</v>
      </c>
      <c r="E1025" s="116">
        <v>1893.2</v>
      </c>
      <c r="F1025" s="116">
        <v>1919.2</v>
      </c>
      <c r="G1025">
        <v>18659</v>
      </c>
      <c r="H1025" s="116"/>
      <c r="I1025" s="116"/>
      <c r="L1025" s="170">
        <v>44974</v>
      </c>
      <c r="M1025" s="116">
        <v>1945.1</v>
      </c>
      <c r="N1025" s="116">
        <v>1989.8</v>
      </c>
      <c r="O1025" s="116">
        <v>1921.45</v>
      </c>
      <c r="P1025" s="116">
        <v>1939</v>
      </c>
      <c r="Q1025" s="116">
        <v>1945.1</v>
      </c>
      <c r="R1025">
        <v>579883</v>
      </c>
    </row>
    <row r="1026" spans="1:18" x14ac:dyDescent="0.25">
      <c r="A1026" s="170">
        <v>44980</v>
      </c>
      <c r="B1026" s="116">
        <v>1927.5</v>
      </c>
      <c r="C1026" s="116">
        <v>1891.15</v>
      </c>
      <c r="D1026" s="116">
        <v>1865</v>
      </c>
      <c r="E1026" s="116">
        <v>1916.9</v>
      </c>
      <c r="F1026" s="116">
        <v>1891.15</v>
      </c>
      <c r="G1026">
        <v>28055</v>
      </c>
      <c r="H1026" s="116"/>
      <c r="I1026" s="116"/>
      <c r="L1026" s="170">
        <v>44977</v>
      </c>
      <c r="M1026" s="116">
        <v>1935.6</v>
      </c>
      <c r="N1026" s="116">
        <v>1960</v>
      </c>
      <c r="O1026" s="116">
        <v>1885.25</v>
      </c>
      <c r="P1026" s="116">
        <v>1952.75</v>
      </c>
      <c r="Q1026" s="116">
        <v>1935.6</v>
      </c>
      <c r="R1026">
        <v>315376</v>
      </c>
    </row>
    <row r="1027" spans="1:18" x14ac:dyDescent="0.25">
      <c r="A1027" s="170">
        <v>44981</v>
      </c>
      <c r="B1027" s="116">
        <v>1920.25</v>
      </c>
      <c r="C1027" s="116">
        <v>1881.05</v>
      </c>
      <c r="D1027" s="116">
        <v>1866</v>
      </c>
      <c r="E1027" s="116">
        <v>1900</v>
      </c>
      <c r="F1027" s="116">
        <v>1881.05</v>
      </c>
      <c r="G1027">
        <v>5300</v>
      </c>
      <c r="H1027" s="116"/>
      <c r="I1027" s="116"/>
      <c r="L1027" s="170">
        <v>44978</v>
      </c>
      <c r="M1027" s="116">
        <v>1909</v>
      </c>
      <c r="N1027" s="116">
        <v>1959</v>
      </c>
      <c r="O1027" s="116">
        <v>1898.5</v>
      </c>
      <c r="P1027" s="116">
        <v>1937.25</v>
      </c>
      <c r="Q1027" s="116">
        <v>1909</v>
      </c>
      <c r="R1027">
        <v>321364</v>
      </c>
    </row>
    <row r="1028" spans="1:18" x14ac:dyDescent="0.25">
      <c r="A1028" s="170">
        <v>44984</v>
      </c>
      <c r="B1028" s="116">
        <v>1879.8</v>
      </c>
      <c r="C1028" s="116">
        <v>1835.3</v>
      </c>
      <c r="D1028" s="116">
        <v>1816</v>
      </c>
      <c r="E1028" s="116">
        <v>1879.8</v>
      </c>
      <c r="F1028" s="116">
        <v>1835.3</v>
      </c>
      <c r="G1028">
        <v>8665</v>
      </c>
      <c r="H1028" s="116"/>
      <c r="I1028" s="116"/>
      <c r="L1028" s="170">
        <v>44979</v>
      </c>
      <c r="M1028" s="116">
        <v>1912.95</v>
      </c>
      <c r="N1028" s="116">
        <v>1919</v>
      </c>
      <c r="O1028" s="116">
        <v>1860.05</v>
      </c>
      <c r="P1028" s="116">
        <v>1888.25</v>
      </c>
      <c r="Q1028" s="116">
        <v>1912.95</v>
      </c>
      <c r="R1028">
        <v>483208</v>
      </c>
    </row>
    <row r="1029" spans="1:18" x14ac:dyDescent="0.25">
      <c r="A1029" s="170">
        <v>44985</v>
      </c>
      <c r="B1029" s="116">
        <v>1853.5</v>
      </c>
      <c r="C1029" s="116">
        <v>1835.1</v>
      </c>
      <c r="D1029" s="116">
        <v>1812.2</v>
      </c>
      <c r="E1029" s="116">
        <v>1836.8</v>
      </c>
      <c r="F1029" s="116">
        <v>1835.1</v>
      </c>
      <c r="G1029">
        <v>6037</v>
      </c>
      <c r="H1029" s="116"/>
      <c r="I1029" s="116"/>
      <c r="L1029" s="170">
        <v>44980</v>
      </c>
      <c r="M1029" s="116">
        <v>1894.85</v>
      </c>
      <c r="N1029" s="116">
        <v>1928.6</v>
      </c>
      <c r="O1029" s="116">
        <v>1864</v>
      </c>
      <c r="P1029" s="116">
        <v>1915</v>
      </c>
      <c r="Q1029" s="116">
        <v>1894.85</v>
      </c>
      <c r="R1029">
        <v>384962</v>
      </c>
    </row>
    <row r="1030" spans="1:18" x14ac:dyDescent="0.25">
      <c r="A1030" s="170">
        <v>44986</v>
      </c>
      <c r="B1030" s="116">
        <v>1878.9</v>
      </c>
      <c r="C1030" s="116">
        <v>1874.1</v>
      </c>
      <c r="D1030" s="116">
        <v>1829.7</v>
      </c>
      <c r="E1030" s="116">
        <v>1842.5</v>
      </c>
      <c r="F1030" s="116">
        <v>1874.1</v>
      </c>
      <c r="G1030">
        <v>5369</v>
      </c>
      <c r="H1030" s="116"/>
      <c r="I1030" s="116"/>
      <c r="L1030" s="170">
        <v>44981</v>
      </c>
      <c r="M1030" s="116">
        <v>1881</v>
      </c>
      <c r="N1030" s="116">
        <v>1922.75</v>
      </c>
      <c r="O1030" s="116">
        <v>1864.95</v>
      </c>
      <c r="P1030" s="116">
        <v>1904.8</v>
      </c>
      <c r="Q1030" s="116">
        <v>1881</v>
      </c>
      <c r="R1030">
        <v>388171</v>
      </c>
    </row>
    <row r="1031" spans="1:18" x14ac:dyDescent="0.25">
      <c r="A1031" s="170">
        <v>44987</v>
      </c>
      <c r="B1031" s="116">
        <v>1890</v>
      </c>
      <c r="C1031" s="116">
        <v>1846.4</v>
      </c>
      <c r="D1031" s="116">
        <v>1841.5</v>
      </c>
      <c r="E1031" s="116">
        <v>1867.9</v>
      </c>
      <c r="F1031" s="116">
        <v>1846.4</v>
      </c>
      <c r="G1031">
        <v>6252</v>
      </c>
      <c r="H1031" s="116"/>
      <c r="I1031" s="116"/>
      <c r="L1031" s="170">
        <v>44984</v>
      </c>
      <c r="M1031" s="116">
        <v>1838</v>
      </c>
      <c r="N1031" s="116">
        <v>1885.5</v>
      </c>
      <c r="O1031" s="116">
        <v>1815.8</v>
      </c>
      <c r="P1031" s="116">
        <v>1881</v>
      </c>
      <c r="Q1031" s="116">
        <v>1838</v>
      </c>
      <c r="R1031">
        <v>351098</v>
      </c>
    </row>
    <row r="1032" spans="1:18" x14ac:dyDescent="0.25">
      <c r="A1032" s="170">
        <v>44988</v>
      </c>
      <c r="B1032" s="116">
        <v>1876</v>
      </c>
      <c r="C1032" s="116">
        <v>1860.6</v>
      </c>
      <c r="D1032" s="116">
        <v>1846.95</v>
      </c>
      <c r="E1032" s="116">
        <v>1855.2</v>
      </c>
      <c r="F1032" s="116">
        <v>1860.6</v>
      </c>
      <c r="G1032">
        <v>5287</v>
      </c>
      <c r="H1032" s="116"/>
      <c r="I1032" s="116"/>
      <c r="L1032" s="170">
        <v>44985</v>
      </c>
      <c r="M1032" s="116">
        <v>1833.9</v>
      </c>
      <c r="N1032" s="116">
        <v>1854.75</v>
      </c>
      <c r="O1032" s="116">
        <v>1812</v>
      </c>
      <c r="P1032" s="116">
        <v>1845</v>
      </c>
      <c r="Q1032" s="116">
        <v>1833.9</v>
      </c>
      <c r="R1032">
        <v>359886</v>
      </c>
    </row>
    <row r="1033" spans="1:18" x14ac:dyDescent="0.25">
      <c r="A1033" s="170">
        <v>44991</v>
      </c>
      <c r="B1033" s="116">
        <v>1863.15</v>
      </c>
      <c r="C1033" s="116">
        <v>1828.1</v>
      </c>
      <c r="D1033" s="116">
        <v>1825.1</v>
      </c>
      <c r="E1033" s="116">
        <v>1858.65</v>
      </c>
      <c r="F1033" s="116">
        <v>1828.1</v>
      </c>
      <c r="G1033">
        <v>4875</v>
      </c>
      <c r="H1033" s="116"/>
      <c r="I1033" s="116"/>
      <c r="L1033" s="170">
        <v>44986</v>
      </c>
      <c r="M1033" s="116">
        <v>1875.7</v>
      </c>
      <c r="N1033" s="116">
        <v>1879.75</v>
      </c>
      <c r="O1033" s="116">
        <v>1829</v>
      </c>
      <c r="P1033" s="116">
        <v>1843.1</v>
      </c>
      <c r="Q1033" s="116">
        <v>1875.7</v>
      </c>
      <c r="R1033">
        <v>328784</v>
      </c>
    </row>
    <row r="1034" spans="1:18" x14ac:dyDescent="0.25">
      <c r="A1034" s="170">
        <v>44993</v>
      </c>
      <c r="B1034" s="116">
        <v>1833.8</v>
      </c>
      <c r="C1034" s="116">
        <v>1828.9</v>
      </c>
      <c r="D1034" s="116">
        <v>1790.35</v>
      </c>
      <c r="E1034" s="116">
        <v>1810.55</v>
      </c>
      <c r="F1034" s="116">
        <v>1828.9</v>
      </c>
      <c r="G1034">
        <v>10076</v>
      </c>
      <c r="H1034" s="116"/>
      <c r="I1034" s="116"/>
      <c r="L1034" s="170">
        <v>44987</v>
      </c>
      <c r="M1034" s="116">
        <v>1845.75</v>
      </c>
      <c r="N1034" s="116">
        <v>1890</v>
      </c>
      <c r="O1034" s="116">
        <v>1838.15</v>
      </c>
      <c r="P1034" s="116">
        <v>1875.7</v>
      </c>
      <c r="Q1034" s="116">
        <v>1845.75</v>
      </c>
      <c r="R1034">
        <v>456249</v>
      </c>
    </row>
    <row r="1035" spans="1:18" x14ac:dyDescent="0.25">
      <c r="A1035" s="170">
        <v>44994</v>
      </c>
      <c r="B1035" s="116">
        <v>1842.4</v>
      </c>
      <c r="C1035" s="116">
        <v>1824.15</v>
      </c>
      <c r="D1035" s="116">
        <v>1814.5</v>
      </c>
      <c r="E1035" s="116">
        <v>1834.45</v>
      </c>
      <c r="F1035" s="116">
        <v>1824.15</v>
      </c>
      <c r="G1035">
        <v>5909</v>
      </c>
      <c r="H1035" s="116"/>
      <c r="I1035" s="116"/>
      <c r="L1035" s="170">
        <v>44988</v>
      </c>
      <c r="M1035" s="116">
        <v>1862.8</v>
      </c>
      <c r="N1035" s="116">
        <v>1877.3</v>
      </c>
      <c r="O1035" s="116">
        <v>1846</v>
      </c>
      <c r="P1035" s="116">
        <v>1864.35</v>
      </c>
      <c r="Q1035" s="116">
        <v>1862.8</v>
      </c>
      <c r="R1035">
        <v>309225</v>
      </c>
    </row>
    <row r="1036" spans="1:18" x14ac:dyDescent="0.25">
      <c r="A1036" s="170">
        <v>44995</v>
      </c>
      <c r="B1036" s="116">
        <v>1820.5</v>
      </c>
      <c r="C1036" s="116">
        <v>1799.85</v>
      </c>
      <c r="D1036" s="116">
        <v>1794.95</v>
      </c>
      <c r="E1036" s="116">
        <v>1818.1</v>
      </c>
      <c r="F1036" s="116">
        <v>1799.85</v>
      </c>
      <c r="G1036">
        <v>5364</v>
      </c>
      <c r="H1036" s="116"/>
      <c r="I1036" s="116"/>
      <c r="L1036" s="170">
        <v>44991</v>
      </c>
      <c r="M1036" s="116">
        <v>1828.2</v>
      </c>
      <c r="N1036" s="116">
        <v>1867</v>
      </c>
      <c r="O1036" s="116">
        <v>1824.9</v>
      </c>
      <c r="P1036" s="116">
        <v>1867</v>
      </c>
      <c r="Q1036" s="116">
        <v>1828.2</v>
      </c>
      <c r="R1036">
        <v>229249</v>
      </c>
    </row>
    <row r="1037" spans="1:18" x14ac:dyDescent="0.25">
      <c r="A1037" s="170">
        <v>44998</v>
      </c>
      <c r="B1037" s="116">
        <v>1810</v>
      </c>
      <c r="C1037" s="116">
        <v>1740.15</v>
      </c>
      <c r="D1037" s="116">
        <v>1731.95</v>
      </c>
      <c r="E1037" s="116">
        <v>1785.95</v>
      </c>
      <c r="F1037" s="116">
        <v>1740.15</v>
      </c>
      <c r="G1037">
        <v>6873</v>
      </c>
      <c r="H1037" s="116"/>
      <c r="I1037" s="116"/>
      <c r="L1037" s="170">
        <v>44993</v>
      </c>
      <c r="M1037" s="116">
        <v>1828.65</v>
      </c>
      <c r="N1037" s="116">
        <v>1834.1</v>
      </c>
      <c r="O1037" s="116">
        <v>1790</v>
      </c>
      <c r="P1037" s="116">
        <v>1812.05</v>
      </c>
      <c r="Q1037" s="116">
        <v>1828.65</v>
      </c>
      <c r="R1037">
        <v>448454</v>
      </c>
    </row>
    <row r="1038" spans="1:18" x14ac:dyDescent="0.25">
      <c r="A1038" s="170">
        <v>44999</v>
      </c>
      <c r="B1038" s="116">
        <v>1757.9</v>
      </c>
      <c r="C1038" s="116">
        <v>1750.7</v>
      </c>
      <c r="D1038" s="116">
        <v>1708.3</v>
      </c>
      <c r="E1038" s="116">
        <v>1736.65</v>
      </c>
      <c r="F1038" s="116">
        <v>1750.7</v>
      </c>
      <c r="G1038">
        <v>9126</v>
      </c>
      <c r="H1038" s="116"/>
      <c r="I1038" s="116"/>
      <c r="L1038" s="170">
        <v>44994</v>
      </c>
      <c r="M1038" s="116">
        <v>1824.15</v>
      </c>
      <c r="N1038" s="116">
        <v>1843.65</v>
      </c>
      <c r="O1038" s="116">
        <v>1814.3</v>
      </c>
      <c r="P1038" s="116">
        <v>1837.8</v>
      </c>
      <c r="Q1038" s="116">
        <v>1824.15</v>
      </c>
      <c r="R1038">
        <v>231531</v>
      </c>
    </row>
    <row r="1039" spans="1:18" x14ac:dyDescent="0.25">
      <c r="A1039" s="170">
        <v>45000</v>
      </c>
      <c r="B1039" s="116">
        <v>1791.85</v>
      </c>
      <c r="C1039" s="116">
        <v>1784.85</v>
      </c>
      <c r="D1039" s="116">
        <v>1755.1</v>
      </c>
      <c r="E1039" s="116">
        <v>1765.45</v>
      </c>
      <c r="F1039" s="116">
        <v>1784.85</v>
      </c>
      <c r="G1039">
        <v>5429</v>
      </c>
      <c r="H1039" s="116"/>
      <c r="I1039" s="116"/>
      <c r="L1039" s="170">
        <v>44995</v>
      </c>
      <c r="M1039" s="116">
        <v>1800</v>
      </c>
      <c r="N1039" s="116">
        <v>1824</v>
      </c>
      <c r="O1039" s="116">
        <v>1793.25</v>
      </c>
      <c r="P1039" s="116">
        <v>1824</v>
      </c>
      <c r="Q1039" s="116">
        <v>1800</v>
      </c>
      <c r="R1039">
        <v>267751</v>
      </c>
    </row>
    <row r="1040" spans="1:18" x14ac:dyDescent="0.25">
      <c r="A1040" s="170">
        <v>45001</v>
      </c>
      <c r="B1040" s="116">
        <v>1797.95</v>
      </c>
      <c r="C1040" s="116">
        <v>1785.7</v>
      </c>
      <c r="D1040" s="116">
        <v>1774.4</v>
      </c>
      <c r="E1040" s="116">
        <v>1790.15</v>
      </c>
      <c r="F1040" s="116">
        <v>1785.7</v>
      </c>
      <c r="G1040">
        <v>4232</v>
      </c>
      <c r="H1040" s="116"/>
      <c r="I1040" s="116"/>
      <c r="L1040" s="170">
        <v>44998</v>
      </c>
      <c r="M1040" s="116">
        <v>1739.75</v>
      </c>
      <c r="N1040" s="116">
        <v>1810.9</v>
      </c>
      <c r="O1040" s="116">
        <v>1732.25</v>
      </c>
      <c r="P1040" s="116">
        <v>1760</v>
      </c>
      <c r="Q1040" s="116">
        <v>1739.75</v>
      </c>
      <c r="R1040">
        <v>194243</v>
      </c>
    </row>
    <row r="1041" spans="1:18" x14ac:dyDescent="0.25">
      <c r="A1041" s="170">
        <v>45002</v>
      </c>
      <c r="B1041" s="116">
        <v>1827.7</v>
      </c>
      <c r="C1041" s="116">
        <v>1807.15</v>
      </c>
      <c r="D1041" s="116">
        <v>1801.6</v>
      </c>
      <c r="E1041" s="116">
        <v>1804.1</v>
      </c>
      <c r="F1041" s="116">
        <v>1807.15</v>
      </c>
      <c r="G1041">
        <v>6145</v>
      </c>
      <c r="H1041" s="116"/>
      <c r="I1041" s="116"/>
      <c r="L1041" s="170">
        <v>44999</v>
      </c>
      <c r="M1041" s="116">
        <v>1750.3</v>
      </c>
      <c r="N1041" s="116">
        <v>1760.9</v>
      </c>
      <c r="O1041" s="116">
        <v>1706.65</v>
      </c>
      <c r="P1041" s="116">
        <v>1740.05</v>
      </c>
      <c r="Q1041" s="116">
        <v>1750.3</v>
      </c>
      <c r="R1041">
        <v>252334</v>
      </c>
    </row>
    <row r="1042" spans="1:18" x14ac:dyDescent="0.25">
      <c r="A1042" s="170">
        <v>45005</v>
      </c>
      <c r="B1042" s="116">
        <v>1809.55</v>
      </c>
      <c r="C1042" s="116">
        <v>1799.65</v>
      </c>
      <c r="D1042" s="116">
        <v>1772.5</v>
      </c>
      <c r="E1042" s="116">
        <v>1802.55</v>
      </c>
      <c r="F1042" s="116">
        <v>1799.65</v>
      </c>
      <c r="G1042">
        <v>3094</v>
      </c>
      <c r="H1042" s="116"/>
      <c r="I1042" s="116"/>
      <c r="L1042" s="170">
        <v>45000</v>
      </c>
      <c r="M1042" s="116">
        <v>1785.5</v>
      </c>
      <c r="N1042" s="116">
        <v>1792</v>
      </c>
      <c r="O1042" s="116">
        <v>1754.25</v>
      </c>
      <c r="P1042" s="116">
        <v>1770</v>
      </c>
      <c r="Q1042" s="116">
        <v>1785.5</v>
      </c>
      <c r="R1042">
        <v>176182</v>
      </c>
    </row>
    <row r="1043" spans="1:18" x14ac:dyDescent="0.25">
      <c r="A1043" s="170">
        <v>45006</v>
      </c>
      <c r="B1043" s="116">
        <v>1827.15</v>
      </c>
      <c r="C1043" s="116">
        <v>1822.25</v>
      </c>
      <c r="D1043" s="116">
        <v>1797.2</v>
      </c>
      <c r="E1043" s="116">
        <v>1803.3</v>
      </c>
      <c r="F1043" s="116">
        <v>1822.25</v>
      </c>
      <c r="G1043">
        <v>7689</v>
      </c>
      <c r="H1043" s="116"/>
      <c r="I1043" s="116"/>
      <c r="L1043" s="170">
        <v>45001</v>
      </c>
      <c r="M1043" s="116">
        <v>1785.45</v>
      </c>
      <c r="N1043" s="116">
        <v>1799</v>
      </c>
      <c r="O1043" s="116">
        <v>1770.05</v>
      </c>
      <c r="P1043" s="116">
        <v>1794</v>
      </c>
      <c r="Q1043" s="116">
        <v>1785.45</v>
      </c>
      <c r="R1043">
        <v>229888</v>
      </c>
    </row>
    <row r="1044" spans="1:18" x14ac:dyDescent="0.25">
      <c r="A1044" s="170">
        <v>45007</v>
      </c>
      <c r="B1044" s="116">
        <v>1850.35</v>
      </c>
      <c r="C1044" s="116">
        <v>1840.55</v>
      </c>
      <c r="D1044" s="116">
        <v>1821.25</v>
      </c>
      <c r="E1044" s="116">
        <v>1835.8</v>
      </c>
      <c r="F1044" s="116">
        <v>1840.55</v>
      </c>
      <c r="G1044">
        <v>4066</v>
      </c>
      <c r="H1044" s="116"/>
      <c r="I1044" s="116"/>
      <c r="L1044" s="170">
        <v>45002</v>
      </c>
      <c r="M1044" s="116">
        <v>1808.25</v>
      </c>
      <c r="N1044" s="116">
        <v>1828</v>
      </c>
      <c r="O1044" s="116">
        <v>1794.35</v>
      </c>
      <c r="P1044" s="116">
        <v>1794.4</v>
      </c>
      <c r="Q1044" s="116">
        <v>1808.25</v>
      </c>
      <c r="R1044">
        <v>330853</v>
      </c>
    </row>
    <row r="1045" spans="1:18" x14ac:dyDescent="0.25">
      <c r="A1045" s="170">
        <v>45008</v>
      </c>
      <c r="B1045" s="116">
        <v>1855</v>
      </c>
      <c r="C1045" s="116">
        <v>1824.05</v>
      </c>
      <c r="D1045" s="116">
        <v>1819.1</v>
      </c>
      <c r="E1045" s="116">
        <v>1837.1</v>
      </c>
      <c r="F1045" s="116">
        <v>1824.05</v>
      </c>
      <c r="G1045">
        <v>4511</v>
      </c>
      <c r="H1045" s="116"/>
      <c r="I1045" s="116"/>
      <c r="L1045" s="170">
        <v>45005</v>
      </c>
      <c r="M1045" s="116">
        <v>1799.25</v>
      </c>
      <c r="N1045" s="116">
        <v>1812.65</v>
      </c>
      <c r="O1045" s="116">
        <v>1771</v>
      </c>
      <c r="P1045" s="116">
        <v>1808.3</v>
      </c>
      <c r="Q1045" s="116">
        <v>1799.25</v>
      </c>
      <c r="R1045">
        <v>260586</v>
      </c>
    </row>
    <row r="1046" spans="1:18" x14ac:dyDescent="0.25">
      <c r="A1046" s="170">
        <v>45009</v>
      </c>
      <c r="B1046" s="116">
        <v>1833.45</v>
      </c>
      <c r="C1046" s="116">
        <v>1830.25</v>
      </c>
      <c r="D1046" s="116">
        <v>1801.45</v>
      </c>
      <c r="E1046" s="116">
        <v>1819.05</v>
      </c>
      <c r="F1046" s="116">
        <v>1830.25</v>
      </c>
      <c r="G1046">
        <v>4021</v>
      </c>
      <c r="H1046" s="116"/>
      <c r="I1046" s="116"/>
      <c r="L1046" s="170">
        <v>45006</v>
      </c>
      <c r="M1046" s="116">
        <v>1822.7</v>
      </c>
      <c r="N1046" s="116">
        <v>1828</v>
      </c>
      <c r="O1046" s="116">
        <v>1795.05</v>
      </c>
      <c r="P1046" s="116">
        <v>1805.1</v>
      </c>
      <c r="Q1046" s="116">
        <v>1822.7</v>
      </c>
      <c r="R1046">
        <v>338835</v>
      </c>
    </row>
    <row r="1047" spans="1:18" x14ac:dyDescent="0.25">
      <c r="A1047" s="170">
        <v>45012</v>
      </c>
      <c r="B1047" s="116">
        <v>1876</v>
      </c>
      <c r="C1047" s="116">
        <v>1870.25</v>
      </c>
      <c r="D1047" s="116">
        <v>1827.65</v>
      </c>
      <c r="E1047" s="116">
        <v>1830.3</v>
      </c>
      <c r="F1047" s="116">
        <v>1870.25</v>
      </c>
      <c r="G1047">
        <v>21479</v>
      </c>
      <c r="H1047" s="116"/>
      <c r="I1047" s="116"/>
      <c r="L1047" s="170">
        <v>45007</v>
      </c>
      <c r="M1047" s="116">
        <v>1839.2</v>
      </c>
      <c r="N1047" s="116">
        <v>1851.5</v>
      </c>
      <c r="O1047" s="116">
        <v>1821.45</v>
      </c>
      <c r="P1047" s="116">
        <v>1836</v>
      </c>
      <c r="Q1047" s="116">
        <v>1839.2</v>
      </c>
      <c r="R1047">
        <v>190907</v>
      </c>
    </row>
    <row r="1048" spans="1:18" x14ac:dyDescent="0.25">
      <c r="A1048" s="170">
        <v>45013</v>
      </c>
      <c r="B1048" s="116">
        <v>1889.5</v>
      </c>
      <c r="C1048" s="116">
        <v>1844.75</v>
      </c>
      <c r="D1048" s="116">
        <v>1829.85</v>
      </c>
      <c r="E1048" s="116">
        <v>1870.25</v>
      </c>
      <c r="F1048" s="116">
        <v>1844.75</v>
      </c>
      <c r="G1048">
        <v>7171</v>
      </c>
      <c r="H1048" s="116"/>
      <c r="I1048" s="116"/>
      <c r="L1048" s="170">
        <v>45008</v>
      </c>
      <c r="M1048" s="116">
        <v>1823.15</v>
      </c>
      <c r="N1048" s="116">
        <v>1856</v>
      </c>
      <c r="O1048" s="116">
        <v>1819</v>
      </c>
      <c r="P1048" s="116">
        <v>1843.35</v>
      </c>
      <c r="Q1048" s="116">
        <v>1823.15</v>
      </c>
      <c r="R1048">
        <v>166620</v>
      </c>
    </row>
    <row r="1049" spans="1:18" x14ac:dyDescent="0.25">
      <c r="A1049" s="170">
        <v>45014</v>
      </c>
      <c r="B1049" s="116">
        <v>1934.9</v>
      </c>
      <c r="C1049" s="116">
        <v>1928.8</v>
      </c>
      <c r="D1049" s="116">
        <v>1851.9</v>
      </c>
      <c r="E1049" s="116">
        <v>1851.9</v>
      </c>
      <c r="F1049" s="116">
        <v>1928.8</v>
      </c>
      <c r="G1049">
        <v>15843</v>
      </c>
      <c r="H1049" s="116"/>
      <c r="I1049" s="116"/>
      <c r="L1049" s="170">
        <v>45009</v>
      </c>
      <c r="M1049" s="116">
        <v>1831.1</v>
      </c>
      <c r="N1049" s="116">
        <v>1835.45</v>
      </c>
      <c r="O1049" s="116">
        <v>1802</v>
      </c>
      <c r="P1049" s="116">
        <v>1821.05</v>
      </c>
      <c r="Q1049" s="116">
        <v>1831.1</v>
      </c>
      <c r="R1049">
        <v>166271</v>
      </c>
    </row>
    <row r="1050" spans="1:18" x14ac:dyDescent="0.25">
      <c r="A1050" s="170">
        <v>45016</v>
      </c>
      <c r="B1050" s="116">
        <v>1978.95</v>
      </c>
      <c r="C1050" s="116">
        <v>1963.85</v>
      </c>
      <c r="D1050" s="116">
        <v>1920.55</v>
      </c>
      <c r="E1050" s="116">
        <v>1920.6</v>
      </c>
      <c r="F1050" s="116">
        <v>1963.85</v>
      </c>
      <c r="G1050">
        <v>16179</v>
      </c>
      <c r="H1050" s="116"/>
      <c r="I1050" s="116"/>
      <c r="L1050" s="170">
        <v>45012</v>
      </c>
      <c r="M1050" s="116">
        <v>1869.3</v>
      </c>
      <c r="N1050" s="116">
        <v>1874.95</v>
      </c>
      <c r="O1050" s="116">
        <v>1827.5</v>
      </c>
      <c r="P1050" s="116">
        <v>1836.4</v>
      </c>
      <c r="Q1050" s="116">
        <v>1869.3</v>
      </c>
      <c r="R1050">
        <v>302618</v>
      </c>
    </row>
    <row r="1051" spans="1:18" x14ac:dyDescent="0.25">
      <c r="A1051" s="170">
        <v>45019</v>
      </c>
      <c r="B1051" s="116">
        <v>1989.35</v>
      </c>
      <c r="C1051" s="116">
        <v>1970.9</v>
      </c>
      <c r="D1051" s="116">
        <v>1965.55</v>
      </c>
      <c r="E1051" s="116">
        <v>1980</v>
      </c>
      <c r="F1051" s="116">
        <v>1970.9</v>
      </c>
      <c r="G1051">
        <v>8821</v>
      </c>
      <c r="H1051" s="116"/>
      <c r="I1051" s="116"/>
      <c r="L1051" s="170">
        <v>45013</v>
      </c>
      <c r="M1051" s="116">
        <v>1844.4</v>
      </c>
      <c r="N1051" s="116">
        <v>1882.8</v>
      </c>
      <c r="O1051" s="116">
        <v>1827.6</v>
      </c>
      <c r="P1051" s="116">
        <v>1880.1</v>
      </c>
      <c r="Q1051" s="116">
        <v>1844.4</v>
      </c>
      <c r="R1051">
        <v>244419</v>
      </c>
    </row>
    <row r="1052" spans="1:18" x14ac:dyDescent="0.25">
      <c r="A1052" s="170">
        <v>45021</v>
      </c>
      <c r="B1052" s="116">
        <v>1990</v>
      </c>
      <c r="C1052" s="116">
        <v>1980.85</v>
      </c>
      <c r="D1052" s="116">
        <v>1958.35</v>
      </c>
      <c r="E1052" s="116">
        <v>1965.1</v>
      </c>
      <c r="F1052" s="116">
        <v>1980.85</v>
      </c>
      <c r="G1052">
        <v>9273</v>
      </c>
      <c r="H1052" s="116"/>
      <c r="I1052" s="116"/>
      <c r="L1052" s="170">
        <v>45014</v>
      </c>
      <c r="M1052" s="116">
        <v>1928.75</v>
      </c>
      <c r="N1052" s="116">
        <v>1936.45</v>
      </c>
      <c r="O1052" s="116">
        <v>1844.45</v>
      </c>
      <c r="P1052" s="116">
        <v>1852</v>
      </c>
      <c r="Q1052" s="116">
        <v>1928.75</v>
      </c>
      <c r="R1052">
        <v>479011</v>
      </c>
    </row>
    <row r="1053" spans="1:18" x14ac:dyDescent="0.25">
      <c r="A1053" s="170">
        <v>45022</v>
      </c>
      <c r="B1053" s="116">
        <v>2006.5</v>
      </c>
      <c r="C1053" s="116">
        <v>1998.95</v>
      </c>
      <c r="D1053" s="116">
        <v>1976.9</v>
      </c>
      <c r="E1053" s="116">
        <v>1980.2</v>
      </c>
      <c r="F1053" s="116">
        <v>1998.95</v>
      </c>
      <c r="G1053">
        <v>10425</v>
      </c>
      <c r="H1053" s="116"/>
      <c r="I1053" s="116"/>
      <c r="L1053" s="170">
        <v>45016</v>
      </c>
      <c r="M1053" s="116">
        <v>1968.25</v>
      </c>
      <c r="N1053" s="116">
        <v>1979</v>
      </c>
      <c r="O1053" s="116">
        <v>1930.25</v>
      </c>
      <c r="P1053" s="116">
        <v>1935</v>
      </c>
      <c r="Q1053" s="116">
        <v>1968.25</v>
      </c>
      <c r="R1053">
        <v>387524</v>
      </c>
    </row>
    <row r="1054" spans="1:18" x14ac:dyDescent="0.25">
      <c r="A1054" s="170">
        <v>45026</v>
      </c>
      <c r="B1054" s="116">
        <v>2009.1</v>
      </c>
      <c r="C1054" s="116">
        <v>1983.6</v>
      </c>
      <c r="D1054" s="116">
        <v>1976.2</v>
      </c>
      <c r="E1054" s="116">
        <v>2009.1</v>
      </c>
      <c r="F1054" s="116">
        <v>1983.6</v>
      </c>
      <c r="G1054">
        <v>5035</v>
      </c>
      <c r="H1054" s="116"/>
      <c r="I1054" s="116"/>
      <c r="L1054" s="170">
        <v>45019</v>
      </c>
      <c r="M1054" s="116">
        <v>1972.7</v>
      </c>
      <c r="N1054" s="116">
        <v>1990</v>
      </c>
      <c r="O1054" s="116">
        <v>1965</v>
      </c>
      <c r="P1054" s="116">
        <v>1987.3</v>
      </c>
      <c r="Q1054" s="116">
        <v>1972.7</v>
      </c>
      <c r="R1054">
        <v>354277</v>
      </c>
    </row>
    <row r="1055" spans="1:18" x14ac:dyDescent="0.25">
      <c r="A1055" s="170">
        <v>45027</v>
      </c>
      <c r="B1055" s="116">
        <v>2020</v>
      </c>
      <c r="C1055" s="116">
        <v>2000.55</v>
      </c>
      <c r="D1055" s="116">
        <v>1989.95</v>
      </c>
      <c r="E1055" s="116">
        <v>1992.5</v>
      </c>
      <c r="F1055" s="116">
        <v>2000.55</v>
      </c>
      <c r="G1055">
        <v>5101</v>
      </c>
      <c r="H1055" s="116"/>
      <c r="I1055" s="116"/>
      <c r="L1055" s="170">
        <v>45021</v>
      </c>
      <c r="M1055" s="116">
        <v>1979.4</v>
      </c>
      <c r="N1055" s="116">
        <v>1990</v>
      </c>
      <c r="O1055" s="116">
        <v>1957</v>
      </c>
      <c r="P1055" s="116">
        <v>1971.7</v>
      </c>
      <c r="Q1055" s="116">
        <v>1979.4</v>
      </c>
      <c r="R1055">
        <v>236135</v>
      </c>
    </row>
    <row r="1056" spans="1:18" x14ac:dyDescent="0.25">
      <c r="A1056" s="170">
        <v>45028</v>
      </c>
      <c r="B1056" s="116">
        <v>2045</v>
      </c>
      <c r="C1056" s="116">
        <v>1991.95</v>
      </c>
      <c r="D1056" s="116">
        <v>1986.3</v>
      </c>
      <c r="E1056" s="116">
        <v>2014.35</v>
      </c>
      <c r="F1056" s="116">
        <v>1991.95</v>
      </c>
      <c r="G1056">
        <v>8170</v>
      </c>
      <c r="H1056" s="116"/>
      <c r="I1056" s="116"/>
      <c r="L1056" s="170">
        <v>45022</v>
      </c>
      <c r="M1056" s="116">
        <v>1999.35</v>
      </c>
      <c r="N1056" s="116">
        <v>2009</v>
      </c>
      <c r="O1056" s="116">
        <v>1978</v>
      </c>
      <c r="P1056" s="116">
        <v>1985</v>
      </c>
      <c r="Q1056" s="116">
        <v>1999.35</v>
      </c>
      <c r="R1056">
        <v>247539</v>
      </c>
    </row>
    <row r="1057" spans="1:18" x14ac:dyDescent="0.25">
      <c r="A1057" s="170">
        <v>45029</v>
      </c>
      <c r="B1057" s="116">
        <v>2015.95</v>
      </c>
      <c r="C1057" s="116">
        <v>1999.85</v>
      </c>
      <c r="D1057" s="116">
        <v>1990.3</v>
      </c>
      <c r="E1057" s="116">
        <v>1998.95</v>
      </c>
      <c r="F1057" s="116">
        <v>1999.85</v>
      </c>
      <c r="G1057">
        <v>3562</v>
      </c>
      <c r="H1057" s="116"/>
      <c r="I1057" s="116"/>
      <c r="L1057" s="170">
        <v>45026</v>
      </c>
      <c r="M1057" s="116">
        <v>1983.65</v>
      </c>
      <c r="N1057" s="116">
        <v>2009.95</v>
      </c>
      <c r="O1057" s="116">
        <v>1976.55</v>
      </c>
      <c r="P1057" s="116">
        <v>2009</v>
      </c>
      <c r="Q1057" s="116">
        <v>1983.65</v>
      </c>
      <c r="R1057">
        <v>178390</v>
      </c>
    </row>
    <row r="1058" spans="1:18" x14ac:dyDescent="0.25">
      <c r="A1058" s="170">
        <v>45033</v>
      </c>
      <c r="B1058" s="116">
        <v>2041.85</v>
      </c>
      <c r="C1058" s="116">
        <v>2036.35</v>
      </c>
      <c r="D1058" s="116">
        <v>1994.35</v>
      </c>
      <c r="E1058" s="116">
        <v>1994.4</v>
      </c>
      <c r="F1058" s="116">
        <v>2036.35</v>
      </c>
      <c r="G1058">
        <v>4883</v>
      </c>
      <c r="H1058" s="116"/>
      <c r="I1058" s="116"/>
      <c r="L1058" s="170">
        <v>45027</v>
      </c>
      <c r="M1058" s="116">
        <v>2001.2</v>
      </c>
      <c r="N1058" s="116">
        <v>2020</v>
      </c>
      <c r="O1058" s="116">
        <v>1985</v>
      </c>
      <c r="P1058" s="116">
        <v>1985</v>
      </c>
      <c r="Q1058" s="116">
        <v>2001.2</v>
      </c>
      <c r="R1058">
        <v>382379</v>
      </c>
    </row>
    <row r="1059" spans="1:18" x14ac:dyDescent="0.25">
      <c r="A1059" s="170">
        <v>45034</v>
      </c>
      <c r="B1059" s="116">
        <v>2060</v>
      </c>
      <c r="C1059" s="116">
        <v>2034.65</v>
      </c>
      <c r="D1059" s="116">
        <v>2021</v>
      </c>
      <c r="E1059" s="116">
        <v>2033.7</v>
      </c>
      <c r="F1059" s="116">
        <v>2034.65</v>
      </c>
      <c r="G1059">
        <v>8796</v>
      </c>
      <c r="H1059" s="116"/>
      <c r="I1059" s="116"/>
      <c r="L1059" s="170">
        <v>45028</v>
      </c>
      <c r="M1059" s="116">
        <v>1995.1</v>
      </c>
      <c r="N1059" s="116">
        <v>2045</v>
      </c>
      <c r="O1059" s="116">
        <v>1990</v>
      </c>
      <c r="P1059" s="116">
        <v>2014.65</v>
      </c>
      <c r="Q1059" s="116">
        <v>1995.1</v>
      </c>
      <c r="R1059">
        <v>380286</v>
      </c>
    </row>
    <row r="1060" spans="1:18" x14ac:dyDescent="0.25">
      <c r="A1060" s="170">
        <v>45035</v>
      </c>
      <c r="B1060" s="116">
        <v>2077.5</v>
      </c>
      <c r="C1060" s="116">
        <v>2053.0500000000002</v>
      </c>
      <c r="D1060" s="116">
        <v>2045.4</v>
      </c>
      <c r="E1060" s="116">
        <v>2047.7</v>
      </c>
      <c r="F1060" s="116">
        <v>2053.0500000000002</v>
      </c>
      <c r="G1060">
        <v>6966</v>
      </c>
      <c r="H1060" s="116"/>
      <c r="I1060" s="116"/>
      <c r="L1060" s="170">
        <v>45029</v>
      </c>
      <c r="M1060" s="116">
        <v>2000.75</v>
      </c>
      <c r="N1060" s="116">
        <v>2018</v>
      </c>
      <c r="O1060" s="116">
        <v>1990</v>
      </c>
      <c r="P1060" s="116">
        <v>1995</v>
      </c>
      <c r="Q1060" s="116">
        <v>2000.75</v>
      </c>
      <c r="R1060">
        <v>347455</v>
      </c>
    </row>
    <row r="1061" spans="1:18" x14ac:dyDescent="0.25">
      <c r="A1061" s="170">
        <v>45036</v>
      </c>
      <c r="B1061" s="116">
        <v>2057.6</v>
      </c>
      <c r="C1061" s="116">
        <v>1987.4</v>
      </c>
      <c r="D1061" s="116">
        <v>1977.55</v>
      </c>
      <c r="E1061" s="116">
        <v>2057.1</v>
      </c>
      <c r="F1061" s="116">
        <v>1987.4</v>
      </c>
      <c r="G1061">
        <v>12501</v>
      </c>
      <c r="H1061" s="116"/>
      <c r="I1061" s="116"/>
      <c r="L1061" s="170">
        <v>45033</v>
      </c>
      <c r="M1061" s="116">
        <v>2035.2</v>
      </c>
      <c r="N1061" s="116">
        <v>2041.5</v>
      </c>
      <c r="O1061" s="116">
        <v>1986.05</v>
      </c>
      <c r="P1061" s="116">
        <v>1995</v>
      </c>
      <c r="Q1061" s="116">
        <v>2035.2</v>
      </c>
      <c r="R1061">
        <v>258980</v>
      </c>
    </row>
    <row r="1062" spans="1:18" x14ac:dyDescent="0.25">
      <c r="A1062" s="170">
        <v>45037</v>
      </c>
      <c r="B1062" s="116">
        <v>2168</v>
      </c>
      <c r="C1062" s="116">
        <v>1921.6</v>
      </c>
      <c r="D1062" s="116">
        <v>1917</v>
      </c>
      <c r="E1062" s="116">
        <v>2000</v>
      </c>
      <c r="F1062" s="116">
        <v>1921.6</v>
      </c>
      <c r="G1062">
        <v>15356</v>
      </c>
      <c r="H1062" s="116"/>
      <c r="I1062" s="116"/>
      <c r="L1062" s="170">
        <v>45034</v>
      </c>
      <c r="M1062" s="116">
        <v>2034.95</v>
      </c>
      <c r="N1062" s="116">
        <v>2060</v>
      </c>
      <c r="O1062" s="116">
        <v>2021</v>
      </c>
      <c r="P1062" s="116">
        <v>2038.9</v>
      </c>
      <c r="Q1062" s="116">
        <v>2034.95</v>
      </c>
      <c r="R1062">
        <v>348057</v>
      </c>
    </row>
    <row r="1063" spans="1:18" x14ac:dyDescent="0.25">
      <c r="A1063" s="170">
        <v>45040</v>
      </c>
      <c r="B1063" s="116">
        <v>1944.05</v>
      </c>
      <c r="C1063" s="116">
        <v>1929.7</v>
      </c>
      <c r="D1063" s="116">
        <v>1911.1</v>
      </c>
      <c r="E1063" s="116">
        <v>1936.3</v>
      </c>
      <c r="F1063" s="116">
        <v>1929.7</v>
      </c>
      <c r="G1063">
        <v>8565</v>
      </c>
      <c r="H1063" s="116"/>
      <c r="I1063" s="116"/>
      <c r="L1063" s="170">
        <v>45035</v>
      </c>
      <c r="M1063" s="116">
        <v>2052.5</v>
      </c>
      <c r="N1063" s="116">
        <v>2078</v>
      </c>
      <c r="O1063" s="116">
        <v>2041.1</v>
      </c>
      <c r="P1063" s="116">
        <v>2045.7</v>
      </c>
      <c r="Q1063" s="116">
        <v>2052.5</v>
      </c>
      <c r="R1063">
        <v>447343</v>
      </c>
    </row>
    <row r="1064" spans="1:18" x14ac:dyDescent="0.25">
      <c r="A1064" s="170">
        <v>45041</v>
      </c>
      <c r="B1064" s="116">
        <v>1934.05</v>
      </c>
      <c r="C1064" s="116">
        <v>1920.3</v>
      </c>
      <c r="D1064" s="116">
        <v>1908.3</v>
      </c>
      <c r="E1064" s="116">
        <v>1930</v>
      </c>
      <c r="F1064" s="116">
        <v>1920.3</v>
      </c>
      <c r="G1064">
        <v>8638</v>
      </c>
      <c r="H1064" s="116"/>
      <c r="I1064" s="116"/>
      <c r="L1064" s="170">
        <v>45036</v>
      </c>
      <c r="M1064" s="116">
        <v>1988.95</v>
      </c>
      <c r="N1064" s="116">
        <v>2060</v>
      </c>
      <c r="O1064" s="116">
        <v>1977.55</v>
      </c>
      <c r="P1064" s="116">
        <v>2055.0500000000002</v>
      </c>
      <c r="Q1064" s="116">
        <v>1988.95</v>
      </c>
      <c r="R1064">
        <v>658835</v>
      </c>
    </row>
    <row r="1065" spans="1:18" x14ac:dyDescent="0.25">
      <c r="A1065" s="170">
        <v>45042</v>
      </c>
      <c r="B1065" s="116">
        <v>1954.1</v>
      </c>
      <c r="C1065" s="116">
        <v>1933.25</v>
      </c>
      <c r="D1065" s="116">
        <v>1885.95</v>
      </c>
      <c r="E1065" s="116">
        <v>1909.7</v>
      </c>
      <c r="F1065" s="116">
        <v>1933.25</v>
      </c>
      <c r="G1065">
        <v>13853</v>
      </c>
      <c r="H1065" s="116"/>
      <c r="I1065" s="116"/>
      <c r="L1065" s="170">
        <v>45037</v>
      </c>
      <c r="M1065" s="116">
        <v>1922.05</v>
      </c>
      <c r="N1065" s="116">
        <v>1994.9</v>
      </c>
      <c r="O1065" s="116">
        <v>1916.4</v>
      </c>
      <c r="P1065" s="116">
        <v>1992.25</v>
      </c>
      <c r="Q1065" s="116">
        <v>1922.05</v>
      </c>
      <c r="R1065">
        <v>472353</v>
      </c>
    </row>
    <row r="1066" spans="1:18" x14ac:dyDescent="0.25">
      <c r="A1066" s="170">
        <v>45043</v>
      </c>
      <c r="B1066" s="116">
        <v>1974.95</v>
      </c>
      <c r="C1066" s="116">
        <v>1964.6</v>
      </c>
      <c r="D1066" s="116">
        <v>1934.1</v>
      </c>
      <c r="E1066" s="116">
        <v>1946.65</v>
      </c>
      <c r="F1066" s="116">
        <v>1964.6</v>
      </c>
      <c r="G1066">
        <v>41018</v>
      </c>
      <c r="H1066" s="116"/>
      <c r="I1066" s="116"/>
      <c r="L1066" s="170">
        <v>45040</v>
      </c>
      <c r="M1066" s="116">
        <v>1929.25</v>
      </c>
      <c r="N1066" s="116">
        <v>1944.95</v>
      </c>
      <c r="O1066" s="116">
        <v>1910</v>
      </c>
      <c r="P1066" s="116">
        <v>1930.55</v>
      </c>
      <c r="Q1066" s="116">
        <v>1929.25</v>
      </c>
      <c r="R1066">
        <v>356117</v>
      </c>
    </row>
    <row r="1067" spans="1:18" x14ac:dyDescent="0.25">
      <c r="A1067" s="170">
        <v>45044</v>
      </c>
      <c r="B1067" s="116">
        <v>2003.5</v>
      </c>
      <c r="C1067" s="116">
        <v>1995.15</v>
      </c>
      <c r="D1067" s="116">
        <v>1965.15</v>
      </c>
      <c r="E1067" s="116">
        <v>1973</v>
      </c>
      <c r="F1067" s="116">
        <v>1995.15</v>
      </c>
      <c r="G1067">
        <v>5605</v>
      </c>
      <c r="H1067" s="116"/>
      <c r="I1067" s="116"/>
      <c r="L1067" s="170">
        <v>45041</v>
      </c>
      <c r="M1067" s="116">
        <v>1920.9</v>
      </c>
      <c r="N1067" s="116">
        <v>1935.7</v>
      </c>
      <c r="O1067" s="116">
        <v>1906.55</v>
      </c>
      <c r="P1067" s="116">
        <v>1930</v>
      </c>
      <c r="Q1067" s="116">
        <v>1920.9</v>
      </c>
      <c r="R1067">
        <v>409044</v>
      </c>
    </row>
    <row r="1068" spans="1:18" x14ac:dyDescent="0.25">
      <c r="A1068" s="170">
        <v>45048</v>
      </c>
      <c r="B1068" s="116">
        <v>2007.3</v>
      </c>
      <c r="C1068" s="116">
        <v>2000.45</v>
      </c>
      <c r="D1068" s="116">
        <v>1987</v>
      </c>
      <c r="E1068" s="116">
        <v>1990.85</v>
      </c>
      <c r="F1068" s="116">
        <v>2000.45</v>
      </c>
      <c r="G1068">
        <v>3713</v>
      </c>
      <c r="H1068" s="116"/>
      <c r="I1068" s="116"/>
      <c r="L1068" s="170">
        <v>45042</v>
      </c>
      <c r="M1068" s="116">
        <v>1934.05</v>
      </c>
      <c r="N1068" s="116">
        <v>1953.9</v>
      </c>
      <c r="O1068" s="116">
        <v>1901.5</v>
      </c>
      <c r="P1068" s="116">
        <v>1910</v>
      </c>
      <c r="Q1068" s="116">
        <v>1934.05</v>
      </c>
      <c r="R1068">
        <v>679221</v>
      </c>
    </row>
    <row r="1069" spans="1:18" x14ac:dyDescent="0.25">
      <c r="A1069" s="170">
        <v>45049</v>
      </c>
      <c r="B1069" s="116">
        <v>2012.65</v>
      </c>
      <c r="C1069" s="116">
        <v>2000</v>
      </c>
      <c r="D1069" s="116">
        <v>1994.85</v>
      </c>
      <c r="E1069" s="116">
        <v>1999.85</v>
      </c>
      <c r="F1069" s="116">
        <v>2000</v>
      </c>
      <c r="G1069">
        <v>5134</v>
      </c>
      <c r="H1069" s="116"/>
      <c r="I1069" s="116"/>
      <c r="L1069" s="170">
        <v>45043</v>
      </c>
      <c r="M1069" s="116">
        <v>1966.5</v>
      </c>
      <c r="N1069" s="116">
        <v>1975.5</v>
      </c>
      <c r="O1069" s="116">
        <v>1933.55</v>
      </c>
      <c r="P1069" s="116">
        <v>1942.25</v>
      </c>
      <c r="Q1069" s="116">
        <v>1966.5</v>
      </c>
      <c r="R1069">
        <v>610435</v>
      </c>
    </row>
    <row r="1070" spans="1:18" x14ac:dyDescent="0.25">
      <c r="A1070" s="170">
        <v>45050</v>
      </c>
      <c r="B1070" s="116">
        <v>2028</v>
      </c>
      <c r="C1070" s="116">
        <v>2023</v>
      </c>
      <c r="D1070" s="116">
        <v>1997.95</v>
      </c>
      <c r="E1070" s="116">
        <v>1999</v>
      </c>
      <c r="F1070" s="116">
        <v>2023</v>
      </c>
      <c r="G1070">
        <v>4419</v>
      </c>
      <c r="H1070" s="116"/>
      <c r="I1070" s="116"/>
      <c r="L1070" s="170">
        <v>45044</v>
      </c>
      <c r="M1070" s="116">
        <v>1996.2</v>
      </c>
      <c r="N1070" s="116">
        <v>2005</v>
      </c>
      <c r="O1070" s="116">
        <v>1964.25</v>
      </c>
      <c r="P1070" s="116">
        <v>1975</v>
      </c>
      <c r="Q1070" s="116">
        <v>1996.2</v>
      </c>
      <c r="R1070">
        <v>341463</v>
      </c>
    </row>
    <row r="1071" spans="1:18" x14ac:dyDescent="0.25">
      <c r="A1071" s="170">
        <v>45051</v>
      </c>
      <c r="B1071" s="116">
        <v>2035.7</v>
      </c>
      <c r="C1071" s="116">
        <v>2010.65</v>
      </c>
      <c r="D1071" s="116">
        <v>1991.2</v>
      </c>
      <c r="E1071" s="116">
        <v>2025.9</v>
      </c>
      <c r="F1071" s="116">
        <v>2010.65</v>
      </c>
      <c r="G1071">
        <v>4146</v>
      </c>
      <c r="H1071" s="116"/>
      <c r="I1071" s="116"/>
      <c r="L1071" s="170">
        <v>45048</v>
      </c>
      <c r="M1071" s="116">
        <v>2000.25</v>
      </c>
      <c r="N1071" s="116">
        <v>2009</v>
      </c>
      <c r="O1071" s="116">
        <v>1984.15</v>
      </c>
      <c r="P1071" s="116">
        <v>1999</v>
      </c>
      <c r="Q1071" s="116">
        <v>2000.25</v>
      </c>
      <c r="R1071">
        <v>183863</v>
      </c>
    </row>
    <row r="1072" spans="1:18" x14ac:dyDescent="0.25">
      <c r="A1072" s="170">
        <v>45054</v>
      </c>
      <c r="B1072" s="116">
        <v>2089.25</v>
      </c>
      <c r="C1072" s="116">
        <v>2085</v>
      </c>
      <c r="D1072" s="116">
        <v>2013.7</v>
      </c>
      <c r="E1072" s="116">
        <v>2013.7</v>
      </c>
      <c r="F1072" s="116">
        <v>2085</v>
      </c>
      <c r="G1072">
        <v>10188</v>
      </c>
      <c r="H1072" s="116"/>
      <c r="I1072" s="116"/>
      <c r="L1072" s="170">
        <v>45049</v>
      </c>
      <c r="M1072" s="116">
        <v>2001.3</v>
      </c>
      <c r="N1072" s="116">
        <v>2012.8</v>
      </c>
      <c r="O1072" s="116">
        <v>1992.55</v>
      </c>
      <c r="P1072" s="116">
        <v>1999.9</v>
      </c>
      <c r="Q1072" s="116">
        <v>2001.3</v>
      </c>
      <c r="R1072">
        <v>287224</v>
      </c>
    </row>
    <row r="1073" spans="1:18" x14ac:dyDescent="0.25">
      <c r="A1073" s="170">
        <v>45055</v>
      </c>
      <c r="B1073" s="116">
        <v>2127.35</v>
      </c>
      <c r="C1073" s="116">
        <v>2074.65</v>
      </c>
      <c r="D1073" s="116">
        <v>2044.45</v>
      </c>
      <c r="E1073" s="116">
        <v>2105.5</v>
      </c>
      <c r="F1073" s="116">
        <v>2074.65</v>
      </c>
      <c r="G1073">
        <v>11241</v>
      </c>
      <c r="H1073" s="116"/>
      <c r="I1073" s="116"/>
      <c r="L1073" s="170">
        <v>45050</v>
      </c>
      <c r="M1073" s="116">
        <v>2024.2</v>
      </c>
      <c r="N1073" s="116">
        <v>2028.6</v>
      </c>
      <c r="O1073" s="116">
        <v>1997</v>
      </c>
      <c r="P1073" s="116">
        <v>2001.9</v>
      </c>
      <c r="Q1073" s="116">
        <v>2024.2</v>
      </c>
      <c r="R1073">
        <v>265649</v>
      </c>
    </row>
    <row r="1074" spans="1:18" x14ac:dyDescent="0.25">
      <c r="A1074" s="170">
        <v>45056</v>
      </c>
      <c r="B1074" s="116">
        <v>2095.4</v>
      </c>
      <c r="C1074" s="116">
        <v>2085.4</v>
      </c>
      <c r="D1074" s="116">
        <v>2055.65</v>
      </c>
      <c r="E1074" s="116">
        <v>2062.3000000000002</v>
      </c>
      <c r="F1074" s="116">
        <v>2085.4</v>
      </c>
      <c r="G1074">
        <v>4745</v>
      </c>
      <c r="H1074" s="116"/>
      <c r="I1074" s="116"/>
      <c r="L1074" s="170">
        <v>45051</v>
      </c>
      <c r="M1074" s="116">
        <v>2012.85</v>
      </c>
      <c r="N1074" s="116">
        <v>2034.25</v>
      </c>
      <c r="O1074" s="116">
        <v>1990.05</v>
      </c>
      <c r="P1074" s="116">
        <v>2024.9</v>
      </c>
      <c r="Q1074" s="116">
        <v>2012.85</v>
      </c>
      <c r="R1074">
        <v>198931</v>
      </c>
    </row>
    <row r="1075" spans="1:18" x14ac:dyDescent="0.25">
      <c r="A1075" s="170">
        <v>45057</v>
      </c>
      <c r="B1075" s="116">
        <v>2096.0500000000002</v>
      </c>
      <c r="C1075" s="116">
        <v>2083.5</v>
      </c>
      <c r="D1075" s="116">
        <v>2078.8000000000002</v>
      </c>
      <c r="E1075" s="116">
        <v>2087</v>
      </c>
      <c r="F1075" s="116">
        <v>2083.5</v>
      </c>
      <c r="G1075">
        <v>4180</v>
      </c>
      <c r="H1075" s="116"/>
      <c r="I1075" s="116"/>
      <c r="L1075" s="170">
        <v>45054</v>
      </c>
      <c r="M1075" s="116">
        <v>2085.9499999999998</v>
      </c>
      <c r="N1075" s="116">
        <v>2090</v>
      </c>
      <c r="O1075" s="116">
        <v>2008</v>
      </c>
      <c r="P1075" s="116">
        <v>2008</v>
      </c>
      <c r="Q1075" s="116">
        <v>2085.9499999999998</v>
      </c>
      <c r="R1075">
        <v>522459</v>
      </c>
    </row>
    <row r="1076" spans="1:18" x14ac:dyDescent="0.25">
      <c r="A1076" s="170">
        <v>45058</v>
      </c>
      <c r="B1076" s="116">
        <v>2101</v>
      </c>
      <c r="C1076" s="116">
        <v>2081.5500000000002</v>
      </c>
      <c r="D1076" s="116">
        <v>2077.1</v>
      </c>
      <c r="E1076" s="116">
        <v>2090.6999999999998</v>
      </c>
      <c r="F1076" s="116">
        <v>2081.5500000000002</v>
      </c>
      <c r="G1076">
        <v>5825</v>
      </c>
      <c r="H1076" s="116"/>
      <c r="I1076" s="116"/>
      <c r="L1076" s="170">
        <v>45055</v>
      </c>
      <c r="M1076" s="116">
        <v>2075.8000000000002</v>
      </c>
      <c r="N1076" s="116">
        <v>2128.8000000000002</v>
      </c>
      <c r="O1076" s="116">
        <v>2043</v>
      </c>
      <c r="P1076" s="116">
        <v>2090.4</v>
      </c>
      <c r="Q1076" s="116">
        <v>2075.8000000000002</v>
      </c>
      <c r="R1076">
        <v>539876</v>
      </c>
    </row>
    <row r="1077" spans="1:18" x14ac:dyDescent="0.25">
      <c r="A1077" s="170">
        <v>45061</v>
      </c>
      <c r="B1077" s="116">
        <v>2094.9499999999998</v>
      </c>
      <c r="C1077" s="116">
        <v>2074.3000000000002</v>
      </c>
      <c r="D1077" s="116">
        <v>2066.85</v>
      </c>
      <c r="E1077" s="116">
        <v>2079.25</v>
      </c>
      <c r="F1077" s="116">
        <v>2074.3000000000002</v>
      </c>
      <c r="G1077">
        <v>3344</v>
      </c>
      <c r="H1077" s="116"/>
      <c r="I1077" s="116"/>
      <c r="L1077" s="170">
        <v>45056</v>
      </c>
      <c r="M1077" s="116">
        <v>2086.25</v>
      </c>
      <c r="N1077" s="116">
        <v>2097.4499999999998</v>
      </c>
      <c r="O1077" s="116">
        <v>2055</v>
      </c>
      <c r="P1077" s="116">
        <v>2068</v>
      </c>
      <c r="Q1077" s="116">
        <v>2086.25</v>
      </c>
      <c r="R1077">
        <v>164738</v>
      </c>
    </row>
    <row r="1078" spans="1:18" x14ac:dyDescent="0.25">
      <c r="A1078" s="170">
        <v>45062</v>
      </c>
      <c r="B1078" s="116">
        <v>2094.9</v>
      </c>
      <c r="C1078" s="116">
        <v>2077.6</v>
      </c>
      <c r="D1078" s="116">
        <v>2067.75</v>
      </c>
      <c r="E1078" s="116">
        <v>2084.1999999999998</v>
      </c>
      <c r="F1078" s="116">
        <v>2077.6</v>
      </c>
      <c r="G1078">
        <v>4735</v>
      </c>
      <c r="H1078" s="116"/>
      <c r="I1078" s="116"/>
      <c r="L1078" s="170">
        <v>45057</v>
      </c>
      <c r="M1078" s="116">
        <v>2083.4499999999998</v>
      </c>
      <c r="N1078" s="116">
        <v>2095</v>
      </c>
      <c r="O1078" s="116">
        <v>2078.0500000000002</v>
      </c>
      <c r="P1078" s="116">
        <v>2087</v>
      </c>
      <c r="Q1078" s="116">
        <v>2083.4499999999998</v>
      </c>
      <c r="R1078">
        <v>215383</v>
      </c>
    </row>
    <row r="1079" spans="1:18" x14ac:dyDescent="0.25">
      <c r="A1079" s="170">
        <v>45063</v>
      </c>
      <c r="B1079" s="116">
        <v>2101.8000000000002</v>
      </c>
      <c r="C1079" s="116">
        <v>2076.5500000000002</v>
      </c>
      <c r="D1079" s="116">
        <v>2069.25</v>
      </c>
      <c r="E1079" s="116">
        <v>2091.75</v>
      </c>
      <c r="F1079" s="116">
        <v>2076.5500000000002</v>
      </c>
      <c r="G1079">
        <v>3546</v>
      </c>
      <c r="H1079" s="116"/>
      <c r="I1079" s="116"/>
      <c r="L1079" s="170">
        <v>45058</v>
      </c>
      <c r="M1079" s="116">
        <v>2081.6</v>
      </c>
      <c r="N1079" s="116">
        <v>2101.9</v>
      </c>
      <c r="O1079" s="116">
        <v>2076.9</v>
      </c>
      <c r="P1079" s="116">
        <v>2094.6999999999998</v>
      </c>
      <c r="Q1079" s="116">
        <v>2081.6</v>
      </c>
      <c r="R1079">
        <v>218544</v>
      </c>
    </row>
    <row r="1080" spans="1:18" x14ac:dyDescent="0.25">
      <c r="A1080" s="170">
        <v>45064</v>
      </c>
      <c r="B1080" s="116">
        <v>2113.0500000000002</v>
      </c>
      <c r="C1080" s="116">
        <v>2062.75</v>
      </c>
      <c r="D1080" s="116">
        <v>2053.15</v>
      </c>
      <c r="E1080" s="116">
        <v>2097.5500000000002</v>
      </c>
      <c r="F1080" s="116">
        <v>2062.75</v>
      </c>
      <c r="G1080">
        <v>3804</v>
      </c>
      <c r="H1080" s="116"/>
      <c r="I1080" s="116"/>
      <c r="L1080" s="170">
        <v>45061</v>
      </c>
      <c r="M1080" s="116">
        <v>2072.4</v>
      </c>
      <c r="N1080" s="116">
        <v>2094.75</v>
      </c>
      <c r="O1080" s="116">
        <v>2063.5500000000002</v>
      </c>
      <c r="P1080" s="116">
        <v>2075</v>
      </c>
      <c r="Q1080" s="116">
        <v>2072.4</v>
      </c>
      <c r="R1080">
        <v>207657</v>
      </c>
    </row>
    <row r="1081" spans="1:18" x14ac:dyDescent="0.25">
      <c r="A1081" s="170">
        <v>45065</v>
      </c>
      <c r="B1081" s="116">
        <v>2080.8000000000002</v>
      </c>
      <c r="C1081" s="116">
        <v>2056.85</v>
      </c>
      <c r="D1081" s="116">
        <v>2031.55</v>
      </c>
      <c r="E1081" s="116">
        <v>2068.1</v>
      </c>
      <c r="F1081" s="116">
        <v>2056.85</v>
      </c>
      <c r="G1081">
        <v>5822</v>
      </c>
      <c r="H1081" s="116"/>
      <c r="I1081" s="116"/>
      <c r="L1081" s="170">
        <v>45062</v>
      </c>
      <c r="M1081" s="116">
        <v>2079.0500000000002</v>
      </c>
      <c r="N1081" s="116">
        <v>2095</v>
      </c>
      <c r="O1081" s="116">
        <v>2068</v>
      </c>
      <c r="P1081" s="116">
        <v>2076</v>
      </c>
      <c r="Q1081" s="116">
        <v>2079.0500000000002</v>
      </c>
      <c r="R1081">
        <v>262296</v>
      </c>
    </row>
    <row r="1082" spans="1:18" x14ac:dyDescent="0.25">
      <c r="A1082" s="170">
        <v>45068</v>
      </c>
      <c r="B1082" s="116">
        <v>2080.8000000000002</v>
      </c>
      <c r="C1082" s="116">
        <v>2077.1999999999998</v>
      </c>
      <c r="D1082" s="116">
        <v>2053.75</v>
      </c>
      <c r="E1082" s="116">
        <v>2067.9</v>
      </c>
      <c r="F1082" s="116">
        <v>2077.1999999999998</v>
      </c>
      <c r="G1082">
        <v>1946</v>
      </c>
      <c r="H1082" s="116"/>
      <c r="I1082" s="116"/>
      <c r="L1082" s="170">
        <v>45063</v>
      </c>
      <c r="M1082" s="116">
        <v>2076.6999999999998</v>
      </c>
      <c r="N1082" s="116">
        <v>2102.0500000000002</v>
      </c>
      <c r="O1082" s="116">
        <v>2066.75</v>
      </c>
      <c r="P1082" s="116">
        <v>2080</v>
      </c>
      <c r="Q1082" s="116">
        <v>2076.6999999999998</v>
      </c>
      <c r="R1082">
        <v>193543</v>
      </c>
    </row>
    <row r="1083" spans="1:18" x14ac:dyDescent="0.25">
      <c r="A1083" s="170">
        <v>45069</v>
      </c>
      <c r="B1083" s="116">
        <v>2095.9499999999998</v>
      </c>
      <c r="C1083" s="116">
        <v>2074.9</v>
      </c>
      <c r="D1083" s="116">
        <v>2064.4499999999998</v>
      </c>
      <c r="E1083" s="116">
        <v>2077.6</v>
      </c>
      <c r="F1083" s="116">
        <v>2074.9</v>
      </c>
      <c r="G1083">
        <v>2475</v>
      </c>
      <c r="H1083" s="116"/>
      <c r="I1083" s="116"/>
      <c r="L1083" s="170">
        <v>45064</v>
      </c>
      <c r="M1083" s="116">
        <v>2062.6</v>
      </c>
      <c r="N1083" s="116">
        <v>2113.4499999999998</v>
      </c>
      <c r="O1083" s="116">
        <v>2053</v>
      </c>
      <c r="P1083" s="116">
        <v>2090.0500000000002</v>
      </c>
      <c r="Q1083" s="116">
        <v>2062.6</v>
      </c>
      <c r="R1083">
        <v>224608</v>
      </c>
    </row>
    <row r="1084" spans="1:18" x14ac:dyDescent="0.25">
      <c r="A1084" s="170">
        <v>45070</v>
      </c>
      <c r="B1084" s="116">
        <v>2068.0500000000002</v>
      </c>
      <c r="C1084" s="116">
        <v>2050.4</v>
      </c>
      <c r="D1084" s="116">
        <v>2042</v>
      </c>
      <c r="E1084" s="116">
        <v>2054.5</v>
      </c>
      <c r="F1084" s="116">
        <v>2050.4</v>
      </c>
      <c r="G1084">
        <v>4902</v>
      </c>
      <c r="H1084" s="116"/>
      <c r="I1084" s="116"/>
      <c r="L1084" s="170">
        <v>45065</v>
      </c>
      <c r="M1084" s="116">
        <v>2057.65</v>
      </c>
      <c r="N1084" s="116">
        <v>2081.35</v>
      </c>
      <c r="O1084" s="116">
        <v>2030.35</v>
      </c>
      <c r="P1084" s="116">
        <v>2062.6</v>
      </c>
      <c r="Q1084" s="116">
        <v>2057.65</v>
      </c>
      <c r="R1084">
        <v>124074</v>
      </c>
    </row>
    <row r="1085" spans="1:18" x14ac:dyDescent="0.25">
      <c r="A1085" s="170">
        <v>45071</v>
      </c>
      <c r="B1085" s="116">
        <v>2053.4499999999998</v>
      </c>
      <c r="C1085" s="116">
        <v>2042.5</v>
      </c>
      <c r="D1085" s="116">
        <v>2017</v>
      </c>
      <c r="E1085" s="116">
        <v>2049.85</v>
      </c>
      <c r="F1085" s="116">
        <v>2042.5</v>
      </c>
      <c r="G1085">
        <v>4599</v>
      </c>
      <c r="H1085" s="116"/>
      <c r="I1085" s="116"/>
      <c r="L1085" s="170">
        <v>45068</v>
      </c>
      <c r="M1085" s="116">
        <v>2077.6999999999998</v>
      </c>
      <c r="N1085" s="116">
        <v>2080</v>
      </c>
      <c r="O1085" s="116">
        <v>2052.6999999999998</v>
      </c>
      <c r="P1085" s="116">
        <v>2068.5</v>
      </c>
      <c r="Q1085" s="116">
        <v>2077.6999999999998</v>
      </c>
      <c r="R1085">
        <v>142115</v>
      </c>
    </row>
    <row r="1086" spans="1:18" x14ac:dyDescent="0.25">
      <c r="A1086" s="170">
        <v>45072</v>
      </c>
      <c r="B1086" s="116">
        <v>2073.1999999999998</v>
      </c>
      <c r="C1086" s="116">
        <v>2067.15</v>
      </c>
      <c r="D1086" s="116">
        <v>2035</v>
      </c>
      <c r="E1086" s="116">
        <v>2051.9499999999998</v>
      </c>
      <c r="F1086" s="116">
        <v>2067.15</v>
      </c>
      <c r="G1086">
        <v>5120</v>
      </c>
      <c r="H1086" s="116"/>
      <c r="I1086" s="116"/>
      <c r="L1086" s="170">
        <v>45069</v>
      </c>
      <c r="M1086" s="116">
        <v>2074.1</v>
      </c>
      <c r="N1086" s="116">
        <v>2097</v>
      </c>
      <c r="O1086" s="116">
        <v>2063.4</v>
      </c>
      <c r="P1086" s="116">
        <v>2075</v>
      </c>
      <c r="Q1086" s="116">
        <v>2074.1</v>
      </c>
      <c r="R1086">
        <v>133706</v>
      </c>
    </row>
    <row r="1087" spans="1:18" x14ac:dyDescent="0.25">
      <c r="A1087" s="170">
        <v>45075</v>
      </c>
      <c r="B1087" s="116">
        <v>2105.9499999999998</v>
      </c>
      <c r="C1087" s="116">
        <v>2094.25</v>
      </c>
      <c r="D1087" s="116">
        <v>2068.15</v>
      </c>
      <c r="E1087" s="116">
        <v>2091.9499999999998</v>
      </c>
      <c r="F1087" s="116">
        <v>2094.25</v>
      </c>
      <c r="G1087">
        <v>6529</v>
      </c>
      <c r="H1087" s="116"/>
      <c r="I1087" s="116"/>
      <c r="L1087" s="170">
        <v>45070</v>
      </c>
      <c r="M1087" s="116">
        <v>2049.1999999999998</v>
      </c>
      <c r="N1087" s="116">
        <v>2070</v>
      </c>
      <c r="O1087" s="116">
        <v>2042.1</v>
      </c>
      <c r="P1087" s="116">
        <v>2063</v>
      </c>
      <c r="Q1087" s="116">
        <v>2049.1999999999998</v>
      </c>
      <c r="R1087">
        <v>169120</v>
      </c>
    </row>
    <row r="1088" spans="1:18" x14ac:dyDescent="0.25">
      <c r="A1088" s="170">
        <v>45076</v>
      </c>
      <c r="B1088" s="116">
        <v>2160.5500000000002</v>
      </c>
      <c r="C1088" s="116">
        <v>2128.15</v>
      </c>
      <c r="D1088" s="116">
        <v>2099.5500000000002</v>
      </c>
      <c r="E1088" s="116">
        <v>2101.35</v>
      </c>
      <c r="F1088" s="116">
        <v>2128.15</v>
      </c>
      <c r="G1088">
        <v>30024</v>
      </c>
      <c r="H1088" s="116"/>
      <c r="I1088" s="116"/>
      <c r="L1088" s="170">
        <v>45071</v>
      </c>
      <c r="M1088" s="116">
        <v>2041.15</v>
      </c>
      <c r="N1088" s="116">
        <v>2054.5500000000002</v>
      </c>
      <c r="O1088" s="116">
        <v>2017.55</v>
      </c>
      <c r="P1088" s="116">
        <v>2049.1999999999998</v>
      </c>
      <c r="Q1088" s="116">
        <v>2041.15</v>
      </c>
      <c r="R1088">
        <v>153205</v>
      </c>
    </row>
    <row r="1089" spans="1:18" x14ac:dyDescent="0.25">
      <c r="A1089" s="170">
        <v>45077</v>
      </c>
      <c r="B1089" s="116">
        <v>2150</v>
      </c>
      <c r="C1089" s="116">
        <v>2128.4</v>
      </c>
      <c r="D1089" s="116">
        <v>2107.9</v>
      </c>
      <c r="E1089" s="116">
        <v>2141.85</v>
      </c>
      <c r="F1089" s="116">
        <v>2128.4</v>
      </c>
      <c r="G1089">
        <v>6647</v>
      </c>
      <c r="H1089" s="116"/>
      <c r="I1089" s="116"/>
      <c r="L1089" s="170">
        <v>45072</v>
      </c>
      <c r="M1089" s="116">
        <v>2068.6999999999998</v>
      </c>
      <c r="N1089" s="116">
        <v>2073.75</v>
      </c>
      <c r="O1089" s="116">
        <v>2032</v>
      </c>
      <c r="P1089" s="116">
        <v>2042.6</v>
      </c>
      <c r="Q1089" s="116">
        <v>2068.6999999999998</v>
      </c>
      <c r="R1089">
        <v>141477</v>
      </c>
    </row>
    <row r="1090" spans="1:18" x14ac:dyDescent="0.25">
      <c r="A1090" s="170">
        <v>45078</v>
      </c>
      <c r="B1090" s="116">
        <v>2168.6</v>
      </c>
      <c r="C1090" s="116">
        <v>2135.5500000000002</v>
      </c>
      <c r="D1090" s="116">
        <v>2129.9</v>
      </c>
      <c r="E1090" s="116">
        <v>2137.3000000000002</v>
      </c>
      <c r="F1090" s="116">
        <v>2135.5500000000002</v>
      </c>
      <c r="G1090">
        <v>7674</v>
      </c>
      <c r="H1090" s="116"/>
      <c r="I1090" s="116"/>
      <c r="L1090" s="170">
        <v>45075</v>
      </c>
      <c r="M1090" s="116">
        <v>2093.0500000000002</v>
      </c>
      <c r="N1090" s="116">
        <v>2107.85</v>
      </c>
      <c r="O1090" s="116">
        <v>2066.6</v>
      </c>
      <c r="P1090" s="116">
        <v>2092</v>
      </c>
      <c r="Q1090" s="116">
        <v>2093.0500000000002</v>
      </c>
      <c r="R1090">
        <v>205286</v>
      </c>
    </row>
    <row r="1091" spans="1:18" x14ac:dyDescent="0.25">
      <c r="A1091" s="170">
        <v>45079</v>
      </c>
      <c r="B1091" s="116">
        <v>2148.9499999999998</v>
      </c>
      <c r="C1091" s="116">
        <v>2138.25</v>
      </c>
      <c r="D1091" s="116">
        <v>2124</v>
      </c>
      <c r="E1091" s="116">
        <v>2141.65</v>
      </c>
      <c r="F1091" s="116">
        <v>2138.25</v>
      </c>
      <c r="G1091">
        <v>3601</v>
      </c>
      <c r="H1091" s="116"/>
      <c r="I1091" s="116"/>
      <c r="L1091" s="170">
        <v>45076</v>
      </c>
      <c r="M1091" s="116">
        <v>2128.0500000000002</v>
      </c>
      <c r="N1091" s="116">
        <v>2160</v>
      </c>
      <c r="O1091" s="116">
        <v>2100.25</v>
      </c>
      <c r="P1091" s="116">
        <v>2104.1</v>
      </c>
      <c r="Q1091" s="116">
        <v>2128.0500000000002</v>
      </c>
      <c r="R1091">
        <v>433037</v>
      </c>
    </row>
    <row r="1092" spans="1:18" x14ac:dyDescent="0.25">
      <c r="A1092" s="170">
        <v>45082</v>
      </c>
      <c r="B1092" s="116">
        <v>2155</v>
      </c>
      <c r="C1092" s="116">
        <v>2136.1999999999998</v>
      </c>
      <c r="D1092" s="116">
        <v>2133.8000000000002</v>
      </c>
      <c r="E1092" s="116">
        <v>2144.15</v>
      </c>
      <c r="F1092" s="116">
        <v>2136.1999999999998</v>
      </c>
      <c r="G1092">
        <v>2842</v>
      </c>
      <c r="H1092" s="116"/>
      <c r="I1092" s="116"/>
      <c r="L1092" s="170">
        <v>45077</v>
      </c>
      <c r="M1092" s="116">
        <v>2129.9499999999998</v>
      </c>
      <c r="N1092" s="116">
        <v>2151</v>
      </c>
      <c r="O1092" s="116">
        <v>2107.15</v>
      </c>
      <c r="P1092" s="116">
        <v>2140</v>
      </c>
      <c r="Q1092" s="116">
        <v>2129.9499999999998</v>
      </c>
      <c r="R1092">
        <v>249154</v>
      </c>
    </row>
    <row r="1093" spans="1:18" x14ac:dyDescent="0.25">
      <c r="A1093" s="170">
        <v>45083</v>
      </c>
      <c r="B1093" s="116">
        <v>2170</v>
      </c>
      <c r="C1093" s="116">
        <v>2159.75</v>
      </c>
      <c r="D1093" s="116">
        <v>2133.25</v>
      </c>
      <c r="E1093" s="116">
        <v>2136.8000000000002</v>
      </c>
      <c r="F1093" s="116">
        <v>2159.75</v>
      </c>
      <c r="G1093">
        <v>4527</v>
      </c>
      <c r="H1093" s="116"/>
      <c r="I1093" s="116"/>
      <c r="L1093" s="170">
        <v>45078</v>
      </c>
      <c r="M1093" s="116">
        <v>2134.5</v>
      </c>
      <c r="N1093" s="116">
        <v>2168.65</v>
      </c>
      <c r="O1093" s="116">
        <v>2126</v>
      </c>
      <c r="P1093" s="116">
        <v>2130</v>
      </c>
      <c r="Q1093" s="116">
        <v>2134.5</v>
      </c>
      <c r="R1093">
        <v>211118</v>
      </c>
    </row>
    <row r="1094" spans="1:18" x14ac:dyDescent="0.25">
      <c r="A1094" s="170">
        <v>45084</v>
      </c>
      <c r="B1094" s="116">
        <v>2172.1</v>
      </c>
      <c r="C1094" s="116">
        <v>2167.9499999999998</v>
      </c>
      <c r="D1094" s="116">
        <v>2143.85</v>
      </c>
      <c r="E1094" s="116">
        <v>2167.1999999999998</v>
      </c>
      <c r="F1094" s="116">
        <v>2167.9499999999998</v>
      </c>
      <c r="G1094">
        <v>3550</v>
      </c>
      <c r="H1094" s="116"/>
      <c r="I1094" s="116"/>
      <c r="L1094" s="170">
        <v>45079</v>
      </c>
      <c r="M1094" s="116">
        <v>2139.3000000000002</v>
      </c>
      <c r="N1094" s="116">
        <v>2150</v>
      </c>
      <c r="O1094" s="116">
        <v>2124.0500000000002</v>
      </c>
      <c r="P1094" s="116">
        <v>2135.5</v>
      </c>
      <c r="Q1094" s="116">
        <v>2139.3000000000002</v>
      </c>
      <c r="R1094">
        <v>66591</v>
      </c>
    </row>
    <row r="1095" spans="1:18" x14ac:dyDescent="0.25">
      <c r="A1095" s="170">
        <v>45085</v>
      </c>
      <c r="B1095" s="116">
        <v>2182.85</v>
      </c>
      <c r="C1095" s="116">
        <v>2128.1999999999998</v>
      </c>
      <c r="D1095" s="116">
        <v>2106.6</v>
      </c>
      <c r="E1095" s="116">
        <v>2170.65</v>
      </c>
      <c r="F1095" s="116">
        <v>2128.1999999999998</v>
      </c>
      <c r="G1095">
        <v>9915</v>
      </c>
      <c r="H1095" s="116"/>
      <c r="I1095" s="116"/>
      <c r="L1095" s="170">
        <v>45082</v>
      </c>
      <c r="M1095" s="116">
        <v>2139.65</v>
      </c>
      <c r="N1095" s="116">
        <v>2158.3000000000002</v>
      </c>
      <c r="O1095" s="116">
        <v>2133.35</v>
      </c>
      <c r="P1095" s="116">
        <v>2150</v>
      </c>
      <c r="Q1095" s="116">
        <v>2139.65</v>
      </c>
      <c r="R1095">
        <v>149803</v>
      </c>
    </row>
    <row r="1096" spans="1:18" x14ac:dyDescent="0.25">
      <c r="A1096" s="170">
        <v>45086</v>
      </c>
      <c r="B1096" s="116">
        <v>2153.4499999999998</v>
      </c>
      <c r="C1096" s="116">
        <v>2095.25</v>
      </c>
      <c r="D1096" s="116">
        <v>2090.65</v>
      </c>
      <c r="E1096" s="116">
        <v>2120.1999999999998</v>
      </c>
      <c r="F1096" s="116">
        <v>2095.25</v>
      </c>
      <c r="G1096">
        <v>6974</v>
      </c>
      <c r="H1096" s="116"/>
      <c r="I1096" s="116"/>
      <c r="L1096" s="170">
        <v>45083</v>
      </c>
      <c r="M1096" s="116">
        <v>2159.9499999999998</v>
      </c>
      <c r="N1096" s="116">
        <v>2170</v>
      </c>
      <c r="O1096" s="116">
        <v>2133.0500000000002</v>
      </c>
      <c r="P1096" s="116">
        <v>2141</v>
      </c>
      <c r="Q1096" s="116">
        <v>2159.9499999999998</v>
      </c>
      <c r="R1096">
        <v>304144</v>
      </c>
    </row>
    <row r="1097" spans="1:18" x14ac:dyDescent="0.25">
      <c r="A1097" s="170">
        <v>45089</v>
      </c>
      <c r="B1097" s="116">
        <v>2114.85</v>
      </c>
      <c r="C1097" s="116">
        <v>2102.8000000000002</v>
      </c>
      <c r="D1097" s="116">
        <v>2050</v>
      </c>
      <c r="E1097" s="116">
        <v>2050</v>
      </c>
      <c r="F1097" s="116">
        <v>2102.8000000000002</v>
      </c>
      <c r="G1097">
        <v>2875</v>
      </c>
      <c r="H1097" s="116"/>
      <c r="I1097" s="116"/>
      <c r="L1097" s="170">
        <v>45084</v>
      </c>
      <c r="M1097" s="116">
        <v>2167.25</v>
      </c>
      <c r="N1097" s="116">
        <v>2174</v>
      </c>
      <c r="O1097" s="116">
        <v>2138.8000000000002</v>
      </c>
      <c r="P1097" s="116">
        <v>2170</v>
      </c>
      <c r="Q1097" s="116">
        <v>2167.25</v>
      </c>
      <c r="R1097">
        <v>132041</v>
      </c>
    </row>
    <row r="1098" spans="1:18" x14ac:dyDescent="0.25">
      <c r="A1098" s="170">
        <v>45090</v>
      </c>
      <c r="B1098" s="116">
        <v>2164.9</v>
      </c>
      <c r="C1098" s="116">
        <v>2159.0500000000002</v>
      </c>
      <c r="D1098" s="116">
        <v>2108.1</v>
      </c>
      <c r="E1098" s="116">
        <v>2110.75</v>
      </c>
      <c r="F1098" s="116">
        <v>2159.0500000000002</v>
      </c>
      <c r="G1098">
        <v>10798</v>
      </c>
      <c r="H1098" s="116"/>
      <c r="I1098" s="116"/>
      <c r="L1098" s="170">
        <v>45085</v>
      </c>
      <c r="M1098" s="116">
        <v>2128.1999999999998</v>
      </c>
      <c r="N1098" s="116">
        <v>2183</v>
      </c>
      <c r="O1098" s="116">
        <v>2108</v>
      </c>
      <c r="P1098" s="116">
        <v>2175</v>
      </c>
      <c r="Q1098" s="116">
        <v>2128.1999999999998</v>
      </c>
      <c r="R1098">
        <v>195558</v>
      </c>
    </row>
    <row r="1099" spans="1:18" x14ac:dyDescent="0.25">
      <c r="A1099" s="170">
        <v>45091</v>
      </c>
      <c r="B1099" s="116">
        <v>2213.4</v>
      </c>
      <c r="C1099" s="116">
        <v>2195.1</v>
      </c>
      <c r="D1099" s="116">
        <v>2150.9499999999998</v>
      </c>
      <c r="E1099" s="116">
        <v>2169.65</v>
      </c>
      <c r="F1099" s="116">
        <v>2195.1</v>
      </c>
      <c r="G1099">
        <v>75828</v>
      </c>
      <c r="H1099" s="116"/>
      <c r="I1099" s="116"/>
      <c r="L1099" s="170">
        <v>45086</v>
      </c>
      <c r="M1099" s="116">
        <v>2095.75</v>
      </c>
      <c r="N1099" s="116">
        <v>2155.4</v>
      </c>
      <c r="O1099" s="116">
        <v>2083.1</v>
      </c>
      <c r="P1099" s="116">
        <v>2127.65</v>
      </c>
      <c r="Q1099" s="116">
        <v>2095.75</v>
      </c>
      <c r="R1099">
        <v>295966</v>
      </c>
    </row>
    <row r="1100" spans="1:18" x14ac:dyDescent="0.25">
      <c r="A1100" s="170">
        <v>45092</v>
      </c>
      <c r="B1100" s="116">
        <v>2264</v>
      </c>
      <c r="C1100" s="116">
        <v>2256</v>
      </c>
      <c r="D1100" s="116">
        <v>2198.6</v>
      </c>
      <c r="E1100" s="116">
        <v>2206.4499999999998</v>
      </c>
      <c r="F1100" s="116">
        <v>2256</v>
      </c>
      <c r="G1100">
        <v>11822</v>
      </c>
      <c r="H1100" s="116"/>
      <c r="I1100" s="116"/>
      <c r="L1100" s="170">
        <v>45089</v>
      </c>
      <c r="M1100" s="116">
        <v>2102.15</v>
      </c>
      <c r="N1100" s="116">
        <v>2114.9</v>
      </c>
      <c r="O1100" s="116">
        <v>2077.1</v>
      </c>
      <c r="P1100" s="116">
        <v>2096.15</v>
      </c>
      <c r="Q1100" s="116">
        <v>2102.15</v>
      </c>
      <c r="R1100">
        <v>373046</v>
      </c>
    </row>
    <row r="1101" spans="1:18" x14ac:dyDescent="0.25">
      <c r="A1101" s="170">
        <v>45093</v>
      </c>
      <c r="B1101" s="116">
        <v>2289.4499999999998</v>
      </c>
      <c r="C1101" s="116">
        <v>2253.5</v>
      </c>
      <c r="D1101" s="116">
        <v>2243.35</v>
      </c>
      <c r="E1101" s="116">
        <v>2262.35</v>
      </c>
      <c r="F1101" s="116">
        <v>2253.5</v>
      </c>
      <c r="G1101">
        <v>13659</v>
      </c>
      <c r="H1101" s="116"/>
      <c r="I1101" s="116"/>
      <c r="L1101" s="170">
        <v>45090</v>
      </c>
      <c r="M1101" s="116">
        <v>2157.3000000000002</v>
      </c>
      <c r="N1101" s="116">
        <v>2168.9</v>
      </c>
      <c r="O1101" s="116">
        <v>2109</v>
      </c>
      <c r="P1101" s="116">
        <v>2114.1</v>
      </c>
      <c r="Q1101" s="116">
        <v>2157.3000000000002</v>
      </c>
      <c r="R1101">
        <v>389129</v>
      </c>
    </row>
    <row r="1102" spans="1:18" x14ac:dyDescent="0.25">
      <c r="A1102" s="170">
        <v>45096</v>
      </c>
      <c r="B1102" s="116">
        <v>2279</v>
      </c>
      <c r="C1102" s="116">
        <v>2241.15</v>
      </c>
      <c r="D1102" s="116">
        <v>2225.8000000000002</v>
      </c>
      <c r="E1102" s="116">
        <v>2253.3000000000002</v>
      </c>
      <c r="F1102" s="116">
        <v>2241.15</v>
      </c>
      <c r="G1102">
        <v>4195</v>
      </c>
      <c r="H1102" s="116"/>
      <c r="I1102" s="116"/>
      <c r="L1102" s="170">
        <v>45091</v>
      </c>
      <c r="M1102" s="116">
        <v>2196.6</v>
      </c>
      <c r="N1102" s="116">
        <v>2213</v>
      </c>
      <c r="O1102" s="116">
        <v>2152.6</v>
      </c>
      <c r="P1102" s="116">
        <v>2177</v>
      </c>
      <c r="Q1102" s="116">
        <v>2196.6</v>
      </c>
      <c r="R1102">
        <v>395868</v>
      </c>
    </row>
    <row r="1103" spans="1:18" x14ac:dyDescent="0.25">
      <c r="A1103" s="170">
        <v>45097</v>
      </c>
      <c r="B1103" s="116">
        <v>2251.1</v>
      </c>
      <c r="C1103" s="116">
        <v>2238.65</v>
      </c>
      <c r="D1103" s="116">
        <v>2221.6999999999998</v>
      </c>
      <c r="E1103" s="116">
        <v>2240.4499999999998</v>
      </c>
      <c r="F1103" s="116">
        <v>2238.65</v>
      </c>
      <c r="G1103">
        <v>1901</v>
      </c>
      <c r="H1103" s="116"/>
      <c r="I1103" s="116"/>
      <c r="L1103" s="170">
        <v>45092</v>
      </c>
      <c r="M1103" s="116">
        <v>2254.5500000000002</v>
      </c>
      <c r="N1103" s="116">
        <v>2266.1999999999998</v>
      </c>
      <c r="O1103" s="116">
        <v>2197</v>
      </c>
      <c r="P1103" s="116">
        <v>2197</v>
      </c>
      <c r="Q1103" s="116">
        <v>2254.5500000000002</v>
      </c>
      <c r="R1103">
        <v>797524</v>
      </c>
    </row>
    <row r="1104" spans="1:18" x14ac:dyDescent="0.25">
      <c r="A1104" s="170">
        <v>45098</v>
      </c>
      <c r="B1104" s="116">
        <v>2266.9499999999998</v>
      </c>
      <c r="C1104" s="116">
        <v>2259.4</v>
      </c>
      <c r="D1104" s="116">
        <v>2245.75</v>
      </c>
      <c r="E1104" s="116">
        <v>2251.5500000000002</v>
      </c>
      <c r="F1104" s="116">
        <v>2259.4</v>
      </c>
      <c r="G1104">
        <v>3663</v>
      </c>
      <c r="H1104" s="116"/>
      <c r="I1104" s="116"/>
      <c r="L1104" s="170">
        <v>45093</v>
      </c>
      <c r="M1104" s="116">
        <v>2254.85</v>
      </c>
      <c r="N1104" s="116">
        <v>2288.8000000000002</v>
      </c>
      <c r="O1104" s="116">
        <v>2243.5</v>
      </c>
      <c r="P1104" s="116">
        <v>2260</v>
      </c>
      <c r="Q1104" s="116">
        <v>2254.85</v>
      </c>
      <c r="R1104">
        <v>335027</v>
      </c>
    </row>
    <row r="1105" spans="1:18" x14ac:dyDescent="0.25">
      <c r="A1105" s="170">
        <v>45099</v>
      </c>
      <c r="B1105" s="116">
        <v>2266.4</v>
      </c>
      <c r="C1105" s="116">
        <v>2194.5</v>
      </c>
      <c r="D1105" s="116">
        <v>2182.4499999999998</v>
      </c>
      <c r="E1105" s="116">
        <v>2255.4</v>
      </c>
      <c r="F1105" s="116">
        <v>2194.5</v>
      </c>
      <c r="G1105">
        <v>12461</v>
      </c>
      <c r="H1105" s="116"/>
      <c r="I1105" s="116"/>
      <c r="L1105" s="170">
        <v>45096</v>
      </c>
      <c r="M1105" s="116">
        <v>2242.4</v>
      </c>
      <c r="N1105" s="116">
        <v>2280.6999999999998</v>
      </c>
      <c r="O1105" s="116">
        <v>2225</v>
      </c>
      <c r="P1105" s="116">
        <v>2254</v>
      </c>
      <c r="Q1105" s="116">
        <v>2242.4</v>
      </c>
      <c r="R1105">
        <v>154384</v>
      </c>
    </row>
    <row r="1106" spans="1:18" x14ac:dyDescent="0.25">
      <c r="A1106" s="170">
        <v>45100</v>
      </c>
      <c r="B1106" s="116">
        <v>2204.6</v>
      </c>
      <c r="C1106" s="116">
        <v>2166.75</v>
      </c>
      <c r="D1106" s="116">
        <v>2161.4499999999998</v>
      </c>
      <c r="E1106" s="116">
        <v>2194.9499999999998</v>
      </c>
      <c r="F1106" s="116">
        <v>2166.75</v>
      </c>
      <c r="G1106">
        <v>3135</v>
      </c>
      <c r="H1106" s="116"/>
      <c r="I1106" s="116"/>
      <c r="L1106" s="170">
        <v>45097</v>
      </c>
      <c r="M1106" s="116">
        <v>2240.5</v>
      </c>
      <c r="N1106" s="116">
        <v>2250</v>
      </c>
      <c r="O1106" s="116">
        <v>2222.5</v>
      </c>
      <c r="P1106" s="116">
        <v>2235</v>
      </c>
      <c r="Q1106" s="116">
        <v>2240.5</v>
      </c>
      <c r="R1106">
        <v>136626</v>
      </c>
    </row>
    <row r="1107" spans="1:18" x14ac:dyDescent="0.25">
      <c r="A1107" s="170">
        <v>45103</v>
      </c>
      <c r="B1107" s="116">
        <v>2199.6999999999998</v>
      </c>
      <c r="C1107" s="116">
        <v>2198.15</v>
      </c>
      <c r="D1107" s="116">
        <v>2152.9499999999998</v>
      </c>
      <c r="E1107" s="116">
        <v>2161.8000000000002</v>
      </c>
      <c r="F1107" s="116">
        <v>2198.15</v>
      </c>
      <c r="G1107">
        <v>3671</v>
      </c>
      <c r="H1107" s="116"/>
      <c r="I1107" s="116"/>
      <c r="L1107" s="170">
        <v>45098</v>
      </c>
      <c r="M1107" s="116">
        <v>2258.1999999999998</v>
      </c>
      <c r="N1107" s="116">
        <v>2270</v>
      </c>
      <c r="O1107" s="116">
        <v>2240.5</v>
      </c>
      <c r="P1107" s="116">
        <v>2250</v>
      </c>
      <c r="Q1107" s="116">
        <v>2258.1999999999998</v>
      </c>
      <c r="R1107">
        <v>211185</v>
      </c>
    </row>
    <row r="1108" spans="1:18" x14ac:dyDescent="0.25">
      <c r="A1108" s="170">
        <v>45104</v>
      </c>
      <c r="B1108" s="116">
        <v>2227.85</v>
      </c>
      <c r="C1108" s="116">
        <v>2165.9</v>
      </c>
      <c r="D1108" s="116">
        <v>2160.6999999999998</v>
      </c>
      <c r="E1108" s="116">
        <v>2208.5500000000002</v>
      </c>
      <c r="F1108" s="116">
        <v>2165.9</v>
      </c>
      <c r="G1108">
        <v>211230</v>
      </c>
      <c r="H1108" s="116"/>
      <c r="I1108" s="116"/>
      <c r="L1108" s="170">
        <v>45099</v>
      </c>
      <c r="M1108" s="116">
        <v>2200.4</v>
      </c>
      <c r="N1108" s="116">
        <v>2267.75</v>
      </c>
      <c r="O1108" s="116">
        <v>2182.85</v>
      </c>
      <c r="P1108" s="116">
        <v>2253</v>
      </c>
      <c r="Q1108" s="116">
        <v>2200.4</v>
      </c>
      <c r="R1108">
        <v>255136</v>
      </c>
    </row>
    <row r="1109" spans="1:18" x14ac:dyDescent="0.25">
      <c r="A1109" s="170">
        <v>45105</v>
      </c>
      <c r="B1109" s="116">
        <v>2239</v>
      </c>
      <c r="C1109" s="116">
        <v>2217.3000000000002</v>
      </c>
      <c r="D1109" s="116">
        <v>2169.4</v>
      </c>
      <c r="E1109" s="116">
        <v>2173.75</v>
      </c>
      <c r="F1109" s="116">
        <v>2217.3000000000002</v>
      </c>
      <c r="G1109">
        <v>4295</v>
      </c>
      <c r="H1109" s="116"/>
      <c r="I1109" s="116"/>
      <c r="L1109" s="170">
        <v>45100</v>
      </c>
      <c r="M1109" s="116">
        <v>2167.4</v>
      </c>
      <c r="N1109" s="116">
        <v>2198.5500000000002</v>
      </c>
      <c r="O1109" s="116">
        <v>2162.9499999999998</v>
      </c>
      <c r="P1109" s="116">
        <v>2193.85</v>
      </c>
      <c r="Q1109" s="116">
        <v>2167.4</v>
      </c>
      <c r="R1109">
        <v>104348</v>
      </c>
    </row>
    <row r="1110" spans="1:18" x14ac:dyDescent="0.25">
      <c r="A1110" s="170">
        <v>45107</v>
      </c>
      <c r="B1110" s="116">
        <v>2223</v>
      </c>
      <c r="C1110" s="116">
        <v>2167.1</v>
      </c>
      <c r="D1110" s="116">
        <v>2162.1999999999998</v>
      </c>
      <c r="E1110" s="116">
        <v>2217.9499999999998</v>
      </c>
      <c r="F1110" s="116">
        <v>2167.1</v>
      </c>
      <c r="G1110">
        <v>3637</v>
      </c>
      <c r="H1110" s="116"/>
      <c r="I1110" s="116"/>
      <c r="L1110" s="170">
        <v>45103</v>
      </c>
      <c r="M1110" s="116">
        <v>2197.15</v>
      </c>
      <c r="N1110" s="116">
        <v>2199</v>
      </c>
      <c r="O1110" s="116">
        <v>2153</v>
      </c>
      <c r="P1110" s="116">
        <v>2164.9</v>
      </c>
      <c r="Q1110" s="116">
        <v>2197.15</v>
      </c>
      <c r="R1110">
        <v>140490</v>
      </c>
    </row>
    <row r="1111" spans="1:18" x14ac:dyDescent="0.25">
      <c r="A1111" s="170">
        <v>45110</v>
      </c>
      <c r="B1111" s="116">
        <v>2210.9499999999998</v>
      </c>
      <c r="C1111" s="116">
        <v>2199.15</v>
      </c>
      <c r="D1111" s="116">
        <v>2176.4499999999998</v>
      </c>
      <c r="E1111" s="116">
        <v>2180</v>
      </c>
      <c r="F1111" s="116">
        <v>2199.15</v>
      </c>
      <c r="G1111">
        <v>6556</v>
      </c>
      <c r="H1111" s="116"/>
      <c r="I1111" s="116"/>
      <c r="L1111" s="170">
        <v>45104</v>
      </c>
      <c r="M1111" s="116">
        <v>2166.0500000000002</v>
      </c>
      <c r="N1111" s="116">
        <v>2230</v>
      </c>
      <c r="O1111" s="116">
        <v>2162.9</v>
      </c>
      <c r="P1111" s="116">
        <v>2200</v>
      </c>
      <c r="Q1111" s="116">
        <v>2166.0500000000002</v>
      </c>
      <c r="R1111">
        <v>237552</v>
      </c>
    </row>
    <row r="1112" spans="1:18" x14ac:dyDescent="0.25">
      <c r="A1112" s="170">
        <v>45111</v>
      </c>
      <c r="B1112" s="116">
        <v>2211.85</v>
      </c>
      <c r="C1112" s="116">
        <v>2185.5500000000002</v>
      </c>
      <c r="D1112" s="116">
        <v>2178.75</v>
      </c>
      <c r="E1112" s="116">
        <v>2206.9499999999998</v>
      </c>
      <c r="F1112" s="116">
        <v>2185.5500000000002</v>
      </c>
      <c r="G1112">
        <v>2659</v>
      </c>
      <c r="H1112" s="116"/>
      <c r="I1112" s="116"/>
      <c r="L1112" s="170">
        <v>45105</v>
      </c>
      <c r="M1112" s="116">
        <v>2219.5500000000002</v>
      </c>
      <c r="N1112" s="116">
        <v>2239</v>
      </c>
      <c r="O1112" s="116">
        <v>2169</v>
      </c>
      <c r="P1112" s="116">
        <v>2175.3000000000002</v>
      </c>
      <c r="Q1112" s="116">
        <v>2219.5500000000002</v>
      </c>
      <c r="R1112">
        <v>497432</v>
      </c>
    </row>
    <row r="1113" spans="1:18" x14ac:dyDescent="0.25">
      <c r="A1113" s="170">
        <v>45112</v>
      </c>
      <c r="B1113" s="116">
        <v>2185.1999999999998</v>
      </c>
      <c r="C1113" s="116">
        <v>2174.5</v>
      </c>
      <c r="D1113" s="116">
        <v>2159.1</v>
      </c>
      <c r="E1113" s="116">
        <v>2180.4499999999998</v>
      </c>
      <c r="F1113" s="116">
        <v>2174.5</v>
      </c>
      <c r="G1113">
        <v>3778</v>
      </c>
      <c r="H1113" s="116"/>
      <c r="I1113" s="116"/>
      <c r="L1113" s="170">
        <v>45107</v>
      </c>
      <c r="M1113" s="116">
        <v>2166.1999999999998</v>
      </c>
      <c r="N1113" s="116">
        <v>2229.9499999999998</v>
      </c>
      <c r="O1113" s="116">
        <v>2160</v>
      </c>
      <c r="P1113" s="116">
        <v>2219.5500000000002</v>
      </c>
      <c r="Q1113" s="116">
        <v>2166.1999999999998</v>
      </c>
      <c r="R1113">
        <v>159710</v>
      </c>
    </row>
    <row r="1114" spans="1:18" x14ac:dyDescent="0.25">
      <c r="A1114" s="170">
        <v>45113</v>
      </c>
      <c r="B1114" s="116">
        <v>2198.8000000000002</v>
      </c>
      <c r="C1114" s="116">
        <v>2192.9499999999998</v>
      </c>
      <c r="D1114" s="116">
        <v>2164.5500000000002</v>
      </c>
      <c r="E1114" s="116">
        <v>2180.75</v>
      </c>
      <c r="F1114" s="116">
        <v>2192.9499999999998</v>
      </c>
      <c r="G1114">
        <v>2440</v>
      </c>
      <c r="H1114" s="116"/>
      <c r="I1114" s="116"/>
      <c r="L1114" s="170">
        <v>45110</v>
      </c>
      <c r="M1114" s="116">
        <v>2200.35</v>
      </c>
      <c r="N1114" s="116">
        <v>2212</v>
      </c>
      <c r="O1114" s="116">
        <v>2171.3000000000002</v>
      </c>
      <c r="P1114" s="116">
        <v>2183.8000000000002</v>
      </c>
      <c r="Q1114" s="116">
        <v>2200.35</v>
      </c>
      <c r="R1114">
        <v>158910</v>
      </c>
    </row>
    <row r="1115" spans="1:18" x14ac:dyDescent="0.25">
      <c r="A1115" s="170">
        <v>45114</v>
      </c>
      <c r="B1115" s="116">
        <v>2193.4</v>
      </c>
      <c r="C1115" s="116">
        <v>2145.85</v>
      </c>
      <c r="D1115" s="116">
        <v>2141</v>
      </c>
      <c r="E1115" s="116">
        <v>2193.4</v>
      </c>
      <c r="F1115" s="116">
        <v>2145.85</v>
      </c>
      <c r="G1115">
        <v>5971</v>
      </c>
      <c r="H1115" s="116"/>
      <c r="I1115" s="116"/>
      <c r="L1115" s="170">
        <v>45111</v>
      </c>
      <c r="M1115" s="116">
        <v>2185.4499999999998</v>
      </c>
      <c r="N1115" s="116">
        <v>2218</v>
      </c>
      <c r="O1115" s="116">
        <v>2179</v>
      </c>
      <c r="P1115" s="116">
        <v>2218</v>
      </c>
      <c r="Q1115" s="116">
        <v>2185.4499999999998</v>
      </c>
      <c r="R1115">
        <v>123893</v>
      </c>
    </row>
    <row r="1116" spans="1:18" x14ac:dyDescent="0.25">
      <c r="A1116" s="170">
        <v>45117</v>
      </c>
      <c r="B1116" s="116">
        <v>2139</v>
      </c>
      <c r="C1116" s="116">
        <v>2102.65</v>
      </c>
      <c r="D1116" s="116">
        <v>2098</v>
      </c>
      <c r="E1116" s="116">
        <v>2139</v>
      </c>
      <c r="F1116" s="116">
        <v>2102.65</v>
      </c>
      <c r="G1116">
        <v>4016</v>
      </c>
      <c r="H1116" s="116"/>
      <c r="I1116" s="116"/>
      <c r="L1116" s="170">
        <v>45112</v>
      </c>
      <c r="M1116" s="116">
        <v>2174.65</v>
      </c>
      <c r="N1116" s="116">
        <v>2190.6999999999998</v>
      </c>
      <c r="O1116" s="116">
        <v>2157.8000000000002</v>
      </c>
      <c r="P1116" s="116">
        <v>2186</v>
      </c>
      <c r="Q1116" s="116">
        <v>2174.65</v>
      </c>
      <c r="R1116">
        <v>144754</v>
      </c>
    </row>
    <row r="1117" spans="1:18" x14ac:dyDescent="0.25">
      <c r="A1117" s="170">
        <v>45118</v>
      </c>
      <c r="B1117" s="116">
        <v>2114</v>
      </c>
      <c r="C1117" s="116">
        <v>2067.75</v>
      </c>
      <c r="D1117" s="116">
        <v>2053.3000000000002</v>
      </c>
      <c r="E1117" s="116">
        <v>2105</v>
      </c>
      <c r="F1117" s="116">
        <v>2067.75</v>
      </c>
      <c r="G1117">
        <v>10920</v>
      </c>
      <c r="H1117" s="116"/>
      <c r="I1117" s="116"/>
      <c r="L1117" s="170">
        <v>45113</v>
      </c>
      <c r="M1117" s="116">
        <v>2192.6</v>
      </c>
      <c r="N1117" s="116">
        <v>2199</v>
      </c>
      <c r="O1117" s="116">
        <v>2165</v>
      </c>
      <c r="P1117" s="116">
        <v>2186.1</v>
      </c>
      <c r="Q1117" s="116">
        <v>2192.6</v>
      </c>
      <c r="R1117">
        <v>111717</v>
      </c>
    </row>
    <row r="1118" spans="1:18" x14ac:dyDescent="0.25">
      <c r="A1118" s="170">
        <v>45119</v>
      </c>
      <c r="B1118" s="116">
        <v>2088.5</v>
      </c>
      <c r="C1118" s="116">
        <v>2066.0500000000002</v>
      </c>
      <c r="D1118" s="116">
        <v>2036.15</v>
      </c>
      <c r="E1118" s="116">
        <v>2079.3000000000002</v>
      </c>
      <c r="F1118" s="116">
        <v>2066.0500000000002</v>
      </c>
      <c r="G1118">
        <v>8008</v>
      </c>
      <c r="H1118" s="116"/>
      <c r="I1118" s="116"/>
      <c r="L1118" s="170">
        <v>45114</v>
      </c>
      <c r="M1118" s="116">
        <v>2146.65</v>
      </c>
      <c r="N1118" s="116">
        <v>2194.9</v>
      </c>
      <c r="O1118" s="116">
        <v>2140.9499999999998</v>
      </c>
      <c r="P1118" s="116">
        <v>2190</v>
      </c>
      <c r="Q1118" s="116">
        <v>2146.65</v>
      </c>
      <c r="R1118">
        <v>172703</v>
      </c>
    </row>
    <row r="1119" spans="1:18" x14ac:dyDescent="0.25">
      <c r="A1119" s="170">
        <v>45120</v>
      </c>
      <c r="B1119" s="116">
        <v>2078.5500000000002</v>
      </c>
      <c r="C1119" s="116">
        <v>2056.5500000000002</v>
      </c>
      <c r="D1119" s="116">
        <v>2050</v>
      </c>
      <c r="E1119" s="116">
        <v>2075</v>
      </c>
      <c r="F1119" s="116">
        <v>2056.5500000000002</v>
      </c>
      <c r="G1119">
        <v>6171</v>
      </c>
      <c r="H1119" s="116"/>
      <c r="I1119" s="116"/>
      <c r="L1119" s="170">
        <v>45117</v>
      </c>
      <c r="M1119" s="116">
        <v>2101.1999999999998</v>
      </c>
      <c r="N1119" s="116">
        <v>2153.35</v>
      </c>
      <c r="O1119" s="116">
        <v>2096.1999999999998</v>
      </c>
      <c r="P1119" s="116">
        <v>2149</v>
      </c>
      <c r="Q1119" s="116">
        <v>2101.1999999999998</v>
      </c>
      <c r="R1119">
        <v>306079</v>
      </c>
    </row>
    <row r="1120" spans="1:18" x14ac:dyDescent="0.25">
      <c r="A1120" s="170">
        <v>45121</v>
      </c>
      <c r="B1120" s="116">
        <v>2068.35</v>
      </c>
      <c r="C1120" s="116">
        <v>2057.0500000000002</v>
      </c>
      <c r="D1120" s="116">
        <v>2049.5500000000002</v>
      </c>
      <c r="E1120" s="116">
        <v>2068.35</v>
      </c>
      <c r="F1120" s="116">
        <v>2057.0500000000002</v>
      </c>
      <c r="G1120">
        <v>1995</v>
      </c>
      <c r="H1120" s="116"/>
      <c r="I1120" s="116"/>
      <c r="L1120" s="170">
        <v>45118</v>
      </c>
      <c r="M1120" s="116">
        <v>2068</v>
      </c>
      <c r="N1120" s="116">
        <v>2113.5</v>
      </c>
      <c r="O1120" s="116">
        <v>2053.75</v>
      </c>
      <c r="P1120" s="116">
        <v>2101.1999999999998</v>
      </c>
      <c r="Q1120" s="116">
        <v>2068</v>
      </c>
      <c r="R1120">
        <v>268058</v>
      </c>
    </row>
    <row r="1121" spans="1:18" x14ac:dyDescent="0.25">
      <c r="A1121" s="170">
        <v>45124</v>
      </c>
      <c r="B1121" s="116">
        <v>2077.85</v>
      </c>
      <c r="C1121" s="116">
        <v>2058.9</v>
      </c>
      <c r="D1121" s="116">
        <v>2042.45</v>
      </c>
      <c r="E1121" s="116">
        <v>2056.4</v>
      </c>
      <c r="F1121" s="116">
        <v>2058.9</v>
      </c>
      <c r="G1121">
        <v>6152</v>
      </c>
      <c r="H1121" s="116"/>
      <c r="I1121" s="116"/>
      <c r="L1121" s="170">
        <v>45119</v>
      </c>
      <c r="M1121" s="116">
        <v>2064.1999999999998</v>
      </c>
      <c r="N1121" s="116">
        <v>2094.9</v>
      </c>
      <c r="O1121" s="116">
        <v>2035.55</v>
      </c>
      <c r="P1121" s="116">
        <v>2070.1</v>
      </c>
      <c r="Q1121" s="116">
        <v>2064.1999999999998</v>
      </c>
      <c r="R1121">
        <v>276144</v>
      </c>
    </row>
    <row r="1122" spans="1:18" x14ac:dyDescent="0.25">
      <c r="A1122" s="170">
        <v>45125</v>
      </c>
      <c r="B1122" s="116">
        <v>2065</v>
      </c>
      <c r="C1122" s="116">
        <v>2035.5</v>
      </c>
      <c r="D1122" s="116">
        <v>2023.55</v>
      </c>
      <c r="E1122" s="116">
        <v>2058.6</v>
      </c>
      <c r="F1122" s="116">
        <v>2035.5</v>
      </c>
      <c r="G1122">
        <v>6686</v>
      </c>
      <c r="H1122" s="116"/>
      <c r="I1122" s="116"/>
      <c r="L1122" s="170">
        <v>45120</v>
      </c>
      <c r="M1122" s="116">
        <v>2058</v>
      </c>
      <c r="N1122" s="116">
        <v>2094</v>
      </c>
      <c r="O1122" s="116">
        <v>2049.15</v>
      </c>
      <c r="P1122" s="116">
        <v>2070</v>
      </c>
      <c r="Q1122" s="116">
        <v>2058</v>
      </c>
      <c r="R1122">
        <v>290135</v>
      </c>
    </row>
    <row r="1123" spans="1:18" x14ac:dyDescent="0.25">
      <c r="A1123" s="170">
        <v>45126</v>
      </c>
      <c r="B1123" s="116">
        <v>2050</v>
      </c>
      <c r="C1123" s="116">
        <v>2039.05</v>
      </c>
      <c r="D1123" s="116">
        <v>2029.15</v>
      </c>
      <c r="E1123" s="116">
        <v>2035.1</v>
      </c>
      <c r="F1123" s="116">
        <v>2039.05</v>
      </c>
      <c r="G1123">
        <v>1550</v>
      </c>
      <c r="H1123" s="116"/>
      <c r="I1123" s="116"/>
      <c r="L1123" s="170">
        <v>45121</v>
      </c>
      <c r="M1123" s="116">
        <v>2056.15</v>
      </c>
      <c r="N1123" s="116">
        <v>2081.35</v>
      </c>
      <c r="O1123" s="116">
        <v>2048.4499999999998</v>
      </c>
      <c r="P1123" s="116">
        <v>2081.35</v>
      </c>
      <c r="Q1123" s="116">
        <v>2056.15</v>
      </c>
      <c r="R1123">
        <v>140749</v>
      </c>
    </row>
    <row r="1124" spans="1:18" x14ac:dyDescent="0.25">
      <c r="A1124" s="170">
        <v>45127</v>
      </c>
      <c r="B1124" s="116">
        <v>2043.9</v>
      </c>
      <c r="C1124" s="116">
        <v>2021.3</v>
      </c>
      <c r="D1124" s="116">
        <v>2014.8</v>
      </c>
      <c r="E1124" s="116">
        <v>2041.4</v>
      </c>
      <c r="F1124" s="116">
        <v>2021.3</v>
      </c>
      <c r="G1124">
        <v>7101</v>
      </c>
      <c r="H1124" s="116"/>
      <c r="I1124" s="116"/>
      <c r="L1124" s="170">
        <v>45124</v>
      </c>
      <c r="M1124" s="116">
        <v>2057.0500000000002</v>
      </c>
      <c r="N1124" s="116">
        <v>2079</v>
      </c>
      <c r="O1124" s="116">
        <v>2044.7</v>
      </c>
      <c r="P1124" s="116">
        <v>2051</v>
      </c>
      <c r="Q1124" s="116">
        <v>2057.0500000000002</v>
      </c>
      <c r="R1124">
        <v>150095</v>
      </c>
    </row>
    <row r="1125" spans="1:18" x14ac:dyDescent="0.25">
      <c r="A1125" s="170">
        <v>45128</v>
      </c>
      <c r="B1125" s="116">
        <v>2001</v>
      </c>
      <c r="C1125" s="116">
        <v>1921.3</v>
      </c>
      <c r="D1125" s="116">
        <v>1916.2</v>
      </c>
      <c r="E1125" s="116">
        <v>1979.05</v>
      </c>
      <c r="F1125" s="116">
        <v>1921.3</v>
      </c>
      <c r="G1125">
        <v>20634</v>
      </c>
      <c r="H1125" s="116"/>
      <c r="I1125" s="116"/>
      <c r="L1125" s="170">
        <v>45125</v>
      </c>
      <c r="M1125" s="116">
        <v>2037.55</v>
      </c>
      <c r="N1125" s="116">
        <v>2064.35</v>
      </c>
      <c r="O1125" s="116">
        <v>2023.55</v>
      </c>
      <c r="P1125" s="116">
        <v>2060.1</v>
      </c>
      <c r="Q1125" s="116">
        <v>2037.55</v>
      </c>
      <c r="R1125">
        <v>151922</v>
      </c>
    </row>
    <row r="1126" spans="1:18" x14ac:dyDescent="0.25">
      <c r="A1126" s="170">
        <v>45131</v>
      </c>
      <c r="B1126" s="116">
        <v>1918.95</v>
      </c>
      <c r="C1126" s="116">
        <v>1900.05</v>
      </c>
      <c r="D1126" s="116">
        <v>1881.25</v>
      </c>
      <c r="E1126" s="116">
        <v>1917.15</v>
      </c>
      <c r="F1126" s="116">
        <v>1900.05</v>
      </c>
      <c r="G1126">
        <v>17126</v>
      </c>
      <c r="H1126" s="116"/>
      <c r="I1126" s="116"/>
      <c r="L1126" s="170">
        <v>45126</v>
      </c>
      <c r="M1126" s="116">
        <v>2037.7</v>
      </c>
      <c r="N1126" s="116">
        <v>2050</v>
      </c>
      <c r="O1126" s="116">
        <v>2028.1</v>
      </c>
      <c r="P1126" s="116">
        <v>2049</v>
      </c>
      <c r="Q1126" s="116">
        <v>2037.7</v>
      </c>
      <c r="R1126">
        <v>99617</v>
      </c>
    </row>
    <row r="1127" spans="1:18" x14ac:dyDescent="0.25">
      <c r="A1127" s="170">
        <v>45132</v>
      </c>
      <c r="B1127" s="116">
        <v>1923</v>
      </c>
      <c r="C1127" s="116">
        <v>1909.5</v>
      </c>
      <c r="D1127" s="116">
        <v>1890</v>
      </c>
      <c r="E1127" s="116">
        <v>1908.15</v>
      </c>
      <c r="F1127" s="116">
        <v>1909.5</v>
      </c>
      <c r="G1127">
        <v>6636</v>
      </c>
      <c r="H1127" s="116"/>
      <c r="I1127" s="116"/>
      <c r="L1127" s="170">
        <v>45127</v>
      </c>
      <c r="M1127" s="116">
        <v>2020.95</v>
      </c>
      <c r="N1127" s="116">
        <v>2044.6</v>
      </c>
      <c r="O1127" s="116">
        <v>2014.25</v>
      </c>
      <c r="P1127" s="116">
        <v>2036</v>
      </c>
      <c r="Q1127" s="116">
        <v>2020.95</v>
      </c>
      <c r="R1127">
        <v>125038</v>
      </c>
    </row>
    <row r="1128" spans="1:18" x14ac:dyDescent="0.25">
      <c r="A1128" s="170">
        <v>45133</v>
      </c>
      <c r="B1128" s="116">
        <v>1962.4</v>
      </c>
      <c r="C1128" s="116">
        <v>1956.5</v>
      </c>
      <c r="D1128" s="116">
        <v>1907.2</v>
      </c>
      <c r="E1128" s="116">
        <v>1919.6</v>
      </c>
      <c r="F1128" s="116">
        <v>1956.5</v>
      </c>
      <c r="G1128">
        <v>16461</v>
      </c>
      <c r="H1128" s="116"/>
      <c r="I1128" s="116"/>
      <c r="L1128" s="170">
        <v>45128</v>
      </c>
      <c r="M1128" s="116">
        <v>1921.1</v>
      </c>
      <c r="N1128" s="116">
        <v>2003.95</v>
      </c>
      <c r="O1128" s="116">
        <v>1915.35</v>
      </c>
      <c r="P1128" s="116">
        <v>1979</v>
      </c>
      <c r="Q1128" s="116">
        <v>1921.1</v>
      </c>
      <c r="R1128">
        <v>435846</v>
      </c>
    </row>
    <row r="1129" spans="1:18" x14ac:dyDescent="0.25">
      <c r="A1129" s="170">
        <v>45134</v>
      </c>
      <c r="B1129" s="116">
        <v>1965.5</v>
      </c>
      <c r="C1129" s="116">
        <v>1939.4</v>
      </c>
      <c r="D1129" s="116">
        <v>1926</v>
      </c>
      <c r="E1129" s="116">
        <v>1964.2</v>
      </c>
      <c r="F1129" s="116">
        <v>1939.4</v>
      </c>
      <c r="G1129">
        <v>6459</v>
      </c>
      <c r="H1129" s="116"/>
      <c r="I1129" s="116"/>
      <c r="L1129" s="170">
        <v>45131</v>
      </c>
      <c r="M1129" s="116">
        <v>1900.25</v>
      </c>
      <c r="N1129" s="116">
        <v>1920</v>
      </c>
      <c r="O1129" s="116">
        <v>1880.65</v>
      </c>
      <c r="P1129" s="116">
        <v>1920</v>
      </c>
      <c r="Q1129" s="116">
        <v>1900.25</v>
      </c>
      <c r="R1129">
        <v>336491</v>
      </c>
    </row>
    <row r="1130" spans="1:18" x14ac:dyDescent="0.25">
      <c r="A1130" s="170">
        <v>45135</v>
      </c>
      <c r="B1130" s="116">
        <v>1961.95</v>
      </c>
      <c r="C1130" s="116">
        <v>1954.7</v>
      </c>
      <c r="D1130" s="116">
        <v>1936.9</v>
      </c>
      <c r="E1130" s="116">
        <v>1948.1</v>
      </c>
      <c r="F1130" s="116">
        <v>1954.7</v>
      </c>
      <c r="G1130">
        <v>3839</v>
      </c>
      <c r="H1130" s="116"/>
      <c r="I1130" s="116"/>
      <c r="L1130" s="170">
        <v>45132</v>
      </c>
      <c r="M1130" s="116">
        <v>1908.45</v>
      </c>
      <c r="N1130" s="116">
        <v>1923.75</v>
      </c>
      <c r="O1130" s="116">
        <v>1890</v>
      </c>
      <c r="P1130" s="116">
        <v>1919.35</v>
      </c>
      <c r="Q1130" s="116">
        <v>1908.45</v>
      </c>
      <c r="R1130">
        <v>255801</v>
      </c>
    </row>
    <row r="1131" spans="1:18" x14ac:dyDescent="0.25">
      <c r="A1131" s="170">
        <v>45138</v>
      </c>
      <c r="B1131" s="116">
        <v>1961.25</v>
      </c>
      <c r="C1131" s="116">
        <v>1954.35</v>
      </c>
      <c r="D1131" s="116">
        <v>1939.55</v>
      </c>
      <c r="E1131" s="116">
        <v>1950.05</v>
      </c>
      <c r="F1131" s="116">
        <v>1954.35</v>
      </c>
      <c r="G1131">
        <v>2971</v>
      </c>
      <c r="H1131" s="116"/>
      <c r="I1131" s="116"/>
      <c r="L1131" s="170">
        <v>45133</v>
      </c>
      <c r="M1131" s="116">
        <v>1955.75</v>
      </c>
      <c r="N1131" s="116">
        <v>1960.15</v>
      </c>
      <c r="O1131" s="116">
        <v>1907.7</v>
      </c>
      <c r="P1131" s="116">
        <v>1910</v>
      </c>
      <c r="Q1131" s="116">
        <v>1955.75</v>
      </c>
      <c r="R1131">
        <v>532476</v>
      </c>
    </row>
    <row r="1132" spans="1:18" x14ac:dyDescent="0.25">
      <c r="A1132" s="170">
        <v>45139</v>
      </c>
      <c r="B1132" s="116">
        <v>1991.9</v>
      </c>
      <c r="C1132" s="116">
        <v>1986.15</v>
      </c>
      <c r="D1132" s="116">
        <v>1928.3</v>
      </c>
      <c r="E1132" s="116">
        <v>1936.05</v>
      </c>
      <c r="F1132" s="116">
        <v>1986.15</v>
      </c>
      <c r="G1132">
        <v>20624</v>
      </c>
      <c r="H1132" s="116"/>
      <c r="I1132" s="116"/>
      <c r="L1132" s="170">
        <v>45134</v>
      </c>
      <c r="M1132" s="116">
        <v>1941.55</v>
      </c>
      <c r="N1132" s="116">
        <v>1975</v>
      </c>
      <c r="O1132" s="116">
        <v>1925</v>
      </c>
      <c r="P1132" s="116">
        <v>1975</v>
      </c>
      <c r="Q1132" s="116">
        <v>1941.55</v>
      </c>
      <c r="R1132">
        <v>242498</v>
      </c>
    </row>
    <row r="1133" spans="1:18" x14ac:dyDescent="0.25">
      <c r="A1133" s="170">
        <v>45140</v>
      </c>
      <c r="B1133" s="116">
        <v>2006.8</v>
      </c>
      <c r="C1133" s="116">
        <v>1980.8</v>
      </c>
      <c r="D1133" s="116">
        <v>1963.9</v>
      </c>
      <c r="E1133" s="116">
        <v>1978.2</v>
      </c>
      <c r="F1133" s="116">
        <v>1980.8</v>
      </c>
      <c r="G1133">
        <v>5170</v>
      </c>
      <c r="H1133" s="116"/>
      <c r="I1133" s="116"/>
      <c r="L1133" s="170">
        <v>45135</v>
      </c>
      <c r="M1133" s="116">
        <v>1957.15</v>
      </c>
      <c r="N1133" s="116">
        <v>1963.25</v>
      </c>
      <c r="O1133" s="116">
        <v>1936</v>
      </c>
      <c r="P1133" s="116">
        <v>1951.8</v>
      </c>
      <c r="Q1133" s="116">
        <v>1957.15</v>
      </c>
      <c r="R1133">
        <v>156352</v>
      </c>
    </row>
    <row r="1134" spans="1:18" x14ac:dyDescent="0.25">
      <c r="A1134" s="170">
        <v>45141</v>
      </c>
      <c r="B1134" s="116">
        <v>1977</v>
      </c>
      <c r="C1134" s="116">
        <v>1973.45</v>
      </c>
      <c r="D1134" s="116">
        <v>1937.85</v>
      </c>
      <c r="E1134" s="116">
        <v>1966.8</v>
      </c>
      <c r="F1134" s="116">
        <v>1973.45</v>
      </c>
      <c r="G1134">
        <v>3880</v>
      </c>
      <c r="H1134" s="116"/>
      <c r="I1134" s="116"/>
      <c r="L1134" s="170">
        <v>45138</v>
      </c>
      <c r="M1134" s="116">
        <v>1953.8</v>
      </c>
      <c r="N1134" s="116">
        <v>1961.35</v>
      </c>
      <c r="O1134" s="116">
        <v>1936.85</v>
      </c>
      <c r="P1134" s="116">
        <v>1957.15</v>
      </c>
      <c r="Q1134" s="116">
        <v>1953.8</v>
      </c>
      <c r="R1134">
        <v>306459</v>
      </c>
    </row>
    <row r="1135" spans="1:18" x14ac:dyDescent="0.25">
      <c r="A1135" s="170">
        <v>45142</v>
      </c>
      <c r="B1135" s="116">
        <v>1999.95</v>
      </c>
      <c r="C1135" s="116">
        <v>1989.85</v>
      </c>
      <c r="D1135" s="116">
        <v>1972.4</v>
      </c>
      <c r="E1135" s="116">
        <v>1973.45</v>
      </c>
      <c r="F1135" s="116">
        <v>1989.85</v>
      </c>
      <c r="G1135">
        <v>6099</v>
      </c>
      <c r="H1135" s="116"/>
      <c r="I1135" s="116"/>
      <c r="L1135" s="170">
        <v>45139</v>
      </c>
      <c r="M1135" s="116">
        <v>1986.8</v>
      </c>
      <c r="N1135" s="116">
        <v>1992.85</v>
      </c>
      <c r="O1135" s="116">
        <v>1935</v>
      </c>
      <c r="P1135" s="116">
        <v>1935</v>
      </c>
      <c r="Q1135" s="116">
        <v>1986.8</v>
      </c>
      <c r="R1135">
        <v>362855</v>
      </c>
    </row>
    <row r="1136" spans="1:18" x14ac:dyDescent="0.25">
      <c r="A1136" s="170">
        <v>45145</v>
      </c>
      <c r="B1136" s="116">
        <v>2014.95</v>
      </c>
      <c r="C1136" s="116">
        <v>2004.05</v>
      </c>
      <c r="D1136" s="116">
        <v>1974.55</v>
      </c>
      <c r="E1136" s="116">
        <v>1985.05</v>
      </c>
      <c r="F1136" s="116">
        <v>2004.05</v>
      </c>
      <c r="G1136">
        <v>2187</v>
      </c>
      <c r="H1136" s="116"/>
      <c r="I1136" s="116"/>
      <c r="L1136" s="170">
        <v>45140</v>
      </c>
      <c r="M1136" s="116">
        <v>1983.7</v>
      </c>
      <c r="N1136" s="116">
        <v>2008</v>
      </c>
      <c r="O1136" s="116">
        <v>1961.95</v>
      </c>
      <c r="P1136" s="116">
        <v>1982</v>
      </c>
      <c r="Q1136" s="116">
        <v>1983.7</v>
      </c>
      <c r="R1136">
        <v>258617</v>
      </c>
    </row>
    <row r="1137" spans="1:18" x14ac:dyDescent="0.25">
      <c r="A1137" s="170">
        <v>45146</v>
      </c>
      <c r="B1137" s="116">
        <v>2040</v>
      </c>
      <c r="C1137" s="116">
        <v>2015.9</v>
      </c>
      <c r="D1137" s="116">
        <v>1983.05</v>
      </c>
      <c r="E1137" s="116">
        <v>2023.6</v>
      </c>
      <c r="F1137" s="116">
        <v>2015.9</v>
      </c>
      <c r="G1137">
        <v>6134</v>
      </c>
      <c r="H1137" s="116"/>
      <c r="I1137" s="116"/>
      <c r="L1137" s="170">
        <v>45141</v>
      </c>
      <c r="M1137" s="116">
        <v>1972.85</v>
      </c>
      <c r="N1137" s="116">
        <v>1978.6</v>
      </c>
      <c r="O1137" s="116">
        <v>1937.8</v>
      </c>
      <c r="P1137" s="116">
        <v>1971</v>
      </c>
      <c r="Q1137" s="116">
        <v>1972.85</v>
      </c>
      <c r="R1137">
        <v>201027</v>
      </c>
    </row>
    <row r="1138" spans="1:18" x14ac:dyDescent="0.25">
      <c r="A1138" s="170">
        <v>45147</v>
      </c>
      <c r="B1138" s="116">
        <v>2016.4</v>
      </c>
      <c r="C1138" s="116">
        <v>2011</v>
      </c>
      <c r="D1138" s="116">
        <v>1993.1</v>
      </c>
      <c r="E1138" s="116">
        <v>2003.1</v>
      </c>
      <c r="F1138" s="116">
        <v>2011</v>
      </c>
      <c r="G1138">
        <v>4378</v>
      </c>
      <c r="H1138" s="116"/>
      <c r="I1138" s="116"/>
      <c r="L1138" s="170">
        <v>45142</v>
      </c>
      <c r="M1138" s="116">
        <v>1990.15</v>
      </c>
      <c r="N1138" s="116">
        <v>2001</v>
      </c>
      <c r="O1138" s="116">
        <v>1972.8</v>
      </c>
      <c r="P1138" s="116">
        <v>1983.2</v>
      </c>
      <c r="Q1138" s="116">
        <v>1990.15</v>
      </c>
      <c r="R1138">
        <v>126180</v>
      </c>
    </row>
    <row r="1139" spans="1:18" x14ac:dyDescent="0.25">
      <c r="A1139" s="170">
        <v>45148</v>
      </c>
      <c r="B1139" s="116">
        <v>2024.15</v>
      </c>
      <c r="C1139" s="116">
        <v>2004.8</v>
      </c>
      <c r="D1139" s="116">
        <v>1983</v>
      </c>
      <c r="E1139" s="116">
        <v>2018.9</v>
      </c>
      <c r="F1139" s="116">
        <v>2004.8</v>
      </c>
      <c r="G1139">
        <v>2447</v>
      </c>
      <c r="H1139" s="116"/>
      <c r="I1139" s="116"/>
      <c r="L1139" s="170">
        <v>45145</v>
      </c>
      <c r="M1139" s="116">
        <v>2004.8</v>
      </c>
      <c r="N1139" s="116">
        <v>2018</v>
      </c>
      <c r="O1139" s="116">
        <v>1971.75</v>
      </c>
      <c r="P1139" s="116">
        <v>1990</v>
      </c>
      <c r="Q1139" s="116">
        <v>2004.8</v>
      </c>
      <c r="R1139">
        <v>127921</v>
      </c>
    </row>
    <row r="1140" spans="1:18" x14ac:dyDescent="0.25">
      <c r="A1140" s="170">
        <v>45149</v>
      </c>
      <c r="B1140" s="116">
        <v>2007.9</v>
      </c>
      <c r="C1140" s="116">
        <v>1990.7</v>
      </c>
      <c r="D1140" s="116">
        <v>1970.05</v>
      </c>
      <c r="E1140" s="116">
        <v>1988.85</v>
      </c>
      <c r="F1140" s="116">
        <v>1990.7</v>
      </c>
      <c r="G1140">
        <v>3455</v>
      </c>
      <c r="H1140" s="116"/>
      <c r="I1140" s="116"/>
      <c r="L1140" s="170">
        <v>45146</v>
      </c>
      <c r="M1140" s="116">
        <v>2015.7</v>
      </c>
      <c r="N1140" s="116">
        <v>2040</v>
      </c>
      <c r="O1140" s="116">
        <v>1981.3</v>
      </c>
      <c r="P1140" s="116">
        <v>2024</v>
      </c>
      <c r="Q1140" s="116">
        <v>2015.7</v>
      </c>
      <c r="R1140">
        <v>251500</v>
      </c>
    </row>
    <row r="1141" spans="1:18" x14ac:dyDescent="0.25">
      <c r="A1141" s="170">
        <v>45152</v>
      </c>
      <c r="B1141" s="116">
        <v>1976.55</v>
      </c>
      <c r="C1141" s="116">
        <v>1911.4</v>
      </c>
      <c r="D1141" s="116">
        <v>1908.15</v>
      </c>
      <c r="E1141" s="116">
        <v>1976.55</v>
      </c>
      <c r="F1141" s="116">
        <v>1911.4</v>
      </c>
      <c r="G1141">
        <v>4707</v>
      </c>
      <c r="H1141" s="116"/>
      <c r="I1141" s="116"/>
      <c r="L1141" s="170">
        <v>45147</v>
      </c>
      <c r="M1141" s="116">
        <v>2012.85</v>
      </c>
      <c r="N1141" s="116">
        <v>2018.95</v>
      </c>
      <c r="O1141" s="116">
        <v>1992.75</v>
      </c>
      <c r="P1141" s="116">
        <v>2010</v>
      </c>
      <c r="Q1141" s="116">
        <v>2012.85</v>
      </c>
      <c r="R1141">
        <v>93151</v>
      </c>
    </row>
    <row r="1142" spans="1:18" x14ac:dyDescent="0.25">
      <c r="A1142" s="170">
        <v>45154</v>
      </c>
      <c r="B1142" s="116">
        <v>1909.05</v>
      </c>
      <c r="C1142" s="116">
        <v>1902.2</v>
      </c>
      <c r="D1142" s="116">
        <v>1877</v>
      </c>
      <c r="E1142" s="116">
        <v>1908.35</v>
      </c>
      <c r="F1142" s="116">
        <v>1902.2</v>
      </c>
      <c r="G1142">
        <v>7778</v>
      </c>
      <c r="H1142" s="116"/>
      <c r="I1142" s="116"/>
      <c r="L1142" s="170">
        <v>45148</v>
      </c>
      <c r="M1142" s="116">
        <v>2002.5</v>
      </c>
      <c r="N1142" s="116">
        <v>2025.55</v>
      </c>
      <c r="O1142" s="116">
        <v>1982</v>
      </c>
      <c r="P1142" s="116">
        <v>2012</v>
      </c>
      <c r="Q1142" s="116">
        <v>2002.5</v>
      </c>
      <c r="R1142">
        <v>128805</v>
      </c>
    </row>
    <row r="1143" spans="1:18" x14ac:dyDescent="0.25">
      <c r="A1143" s="170">
        <v>45155</v>
      </c>
      <c r="B1143" s="116">
        <v>1907.9</v>
      </c>
      <c r="C1143" s="116">
        <v>1903.6</v>
      </c>
      <c r="D1143" s="116">
        <v>1888.7</v>
      </c>
      <c r="E1143" s="116">
        <v>1901.8</v>
      </c>
      <c r="F1143" s="116">
        <v>1903.6</v>
      </c>
      <c r="G1143">
        <v>3331</v>
      </c>
      <c r="H1143" s="116"/>
      <c r="I1143" s="116"/>
      <c r="L1143" s="170">
        <v>45149</v>
      </c>
      <c r="M1143" s="116">
        <v>1993.35</v>
      </c>
      <c r="N1143" s="116">
        <v>2009</v>
      </c>
      <c r="O1143" s="116">
        <v>1969.1</v>
      </c>
      <c r="P1143" s="116">
        <v>2000</v>
      </c>
      <c r="Q1143" s="116">
        <v>1993.35</v>
      </c>
      <c r="R1143">
        <v>111769</v>
      </c>
    </row>
    <row r="1144" spans="1:18" x14ac:dyDescent="0.25">
      <c r="A1144" s="170">
        <v>45156</v>
      </c>
      <c r="B1144" s="116">
        <v>1911.5</v>
      </c>
      <c r="C1144" s="116">
        <v>1897.9</v>
      </c>
      <c r="D1144" s="116">
        <v>1878.05</v>
      </c>
      <c r="E1144" s="116">
        <v>1899.55</v>
      </c>
      <c r="F1144" s="116">
        <v>1897.9</v>
      </c>
      <c r="G1144">
        <v>3566</v>
      </c>
      <c r="H1144" s="116"/>
      <c r="I1144" s="116"/>
      <c r="L1144" s="170">
        <v>45152</v>
      </c>
      <c r="M1144" s="116">
        <v>1911.35</v>
      </c>
      <c r="N1144" s="116">
        <v>1989.1</v>
      </c>
      <c r="O1144" s="116">
        <v>1905.3</v>
      </c>
      <c r="P1144" s="116">
        <v>1989.1</v>
      </c>
      <c r="Q1144" s="116">
        <v>1911.35</v>
      </c>
      <c r="R1144">
        <v>213660</v>
      </c>
    </row>
    <row r="1145" spans="1:18" x14ac:dyDescent="0.25">
      <c r="A1145" s="170">
        <v>45159</v>
      </c>
      <c r="B1145" s="116">
        <v>1929.55</v>
      </c>
      <c r="C1145" s="116">
        <v>1919.5</v>
      </c>
      <c r="D1145" s="116">
        <v>1894.3</v>
      </c>
      <c r="E1145" s="116">
        <v>1903.45</v>
      </c>
      <c r="F1145" s="116">
        <v>1919.5</v>
      </c>
      <c r="G1145">
        <v>3255</v>
      </c>
      <c r="H1145" s="116"/>
      <c r="I1145" s="116"/>
      <c r="L1145" s="170">
        <v>45154</v>
      </c>
      <c r="M1145" s="116">
        <v>1902.1</v>
      </c>
      <c r="N1145" s="116">
        <v>1909.05</v>
      </c>
      <c r="O1145" s="116">
        <v>1877</v>
      </c>
      <c r="P1145" s="116">
        <v>1888.1</v>
      </c>
      <c r="Q1145" s="116">
        <v>1902.1</v>
      </c>
      <c r="R1145">
        <v>370078</v>
      </c>
    </row>
    <row r="1146" spans="1:18" x14ac:dyDescent="0.25">
      <c r="A1146" s="170">
        <v>45160</v>
      </c>
      <c r="B1146" s="116">
        <v>1956.65</v>
      </c>
      <c r="C1146" s="116">
        <v>1951.2</v>
      </c>
      <c r="D1146" s="116">
        <v>1912.45</v>
      </c>
      <c r="E1146" s="116">
        <v>1930.85</v>
      </c>
      <c r="F1146" s="116">
        <v>1951.2</v>
      </c>
      <c r="G1146">
        <v>3429</v>
      </c>
      <c r="H1146" s="116"/>
      <c r="I1146" s="116"/>
      <c r="L1146" s="170">
        <v>45155</v>
      </c>
      <c r="M1146" s="116">
        <v>1904.1</v>
      </c>
      <c r="N1146" s="116">
        <v>1907.9</v>
      </c>
      <c r="O1146" s="116">
        <v>1889.1</v>
      </c>
      <c r="P1146" s="116">
        <v>1900</v>
      </c>
      <c r="Q1146" s="116">
        <v>1904.1</v>
      </c>
      <c r="R1146">
        <v>162430</v>
      </c>
    </row>
    <row r="1147" spans="1:18" x14ac:dyDescent="0.25">
      <c r="A1147" s="170">
        <v>45161</v>
      </c>
      <c r="B1147" s="116">
        <v>2018.6</v>
      </c>
      <c r="C1147" s="116">
        <v>1987</v>
      </c>
      <c r="D1147" s="116">
        <v>1958.95</v>
      </c>
      <c r="E1147" s="116">
        <v>1962.95</v>
      </c>
      <c r="F1147" s="116">
        <v>1987</v>
      </c>
      <c r="G1147">
        <v>12719</v>
      </c>
      <c r="H1147" s="116"/>
      <c r="I1147" s="116"/>
      <c r="L1147" s="170">
        <v>45156</v>
      </c>
      <c r="M1147" s="116">
        <v>1897.95</v>
      </c>
      <c r="N1147" s="116">
        <v>1911.9</v>
      </c>
      <c r="O1147" s="116">
        <v>1873.3</v>
      </c>
      <c r="P1147" s="116">
        <v>1909.9</v>
      </c>
      <c r="Q1147" s="116">
        <v>1897.95</v>
      </c>
      <c r="R1147">
        <v>79365</v>
      </c>
    </row>
    <row r="1148" spans="1:18" x14ac:dyDescent="0.25">
      <c r="A1148" s="170">
        <v>45162</v>
      </c>
      <c r="B1148" s="116">
        <v>2021</v>
      </c>
      <c r="C1148" s="116">
        <v>1995.7</v>
      </c>
      <c r="D1148" s="116">
        <v>1978.7</v>
      </c>
      <c r="E1148" s="116">
        <v>1999.25</v>
      </c>
      <c r="F1148" s="116">
        <v>1995.7</v>
      </c>
      <c r="G1148">
        <v>2066</v>
      </c>
      <c r="H1148" s="116"/>
      <c r="I1148" s="116"/>
      <c r="L1148" s="170">
        <v>45159</v>
      </c>
      <c r="M1148" s="116">
        <v>1919.75</v>
      </c>
      <c r="N1148" s="116">
        <v>1930.25</v>
      </c>
      <c r="O1148" s="116">
        <v>1893.05</v>
      </c>
      <c r="P1148" s="116">
        <v>1907.9</v>
      </c>
      <c r="Q1148" s="116">
        <v>1919.75</v>
      </c>
      <c r="R1148">
        <v>95696</v>
      </c>
    </row>
    <row r="1149" spans="1:18" x14ac:dyDescent="0.25">
      <c r="A1149" s="170">
        <v>45163</v>
      </c>
      <c r="B1149" s="116">
        <v>2010</v>
      </c>
      <c r="C1149" s="116">
        <v>2003.4</v>
      </c>
      <c r="D1149" s="116">
        <v>1975.1</v>
      </c>
      <c r="E1149" s="116">
        <v>2009.65</v>
      </c>
      <c r="F1149" s="116">
        <v>2003.4</v>
      </c>
      <c r="G1149">
        <v>2238</v>
      </c>
      <c r="H1149" s="116"/>
      <c r="I1149" s="116"/>
      <c r="L1149" s="170">
        <v>45160</v>
      </c>
      <c r="M1149" s="116">
        <v>1951.2</v>
      </c>
      <c r="N1149" s="116">
        <v>1956</v>
      </c>
      <c r="O1149" s="116">
        <v>1914</v>
      </c>
      <c r="P1149" s="116">
        <v>1933.9</v>
      </c>
      <c r="Q1149" s="116">
        <v>1951.2</v>
      </c>
      <c r="R1149">
        <v>257848</v>
      </c>
    </row>
    <row r="1150" spans="1:18" x14ac:dyDescent="0.25">
      <c r="A1150" s="170">
        <v>45166</v>
      </c>
      <c r="B1150" s="116">
        <v>2035</v>
      </c>
      <c r="C1150" s="116">
        <v>2032.5</v>
      </c>
      <c r="D1150" s="116">
        <v>1998</v>
      </c>
      <c r="E1150" s="116">
        <v>2002</v>
      </c>
      <c r="F1150" s="116">
        <v>2032.5</v>
      </c>
      <c r="G1150">
        <v>4544</v>
      </c>
      <c r="H1150" s="116"/>
      <c r="I1150" s="116"/>
      <c r="L1150" s="170">
        <v>45161</v>
      </c>
      <c r="M1150" s="116">
        <v>1990.2</v>
      </c>
      <c r="N1150" s="116">
        <v>2018.8</v>
      </c>
      <c r="O1150" s="116">
        <v>1954</v>
      </c>
      <c r="P1150" s="116">
        <v>1957.05</v>
      </c>
      <c r="Q1150" s="116">
        <v>1990.2</v>
      </c>
      <c r="R1150">
        <v>340061</v>
      </c>
    </row>
    <row r="1151" spans="1:18" x14ac:dyDescent="0.25">
      <c r="A1151" s="170">
        <v>45167</v>
      </c>
      <c r="B1151" s="116">
        <v>2058.3000000000002</v>
      </c>
      <c r="C1151" s="116">
        <v>2055.25</v>
      </c>
      <c r="D1151" s="116">
        <v>2031.6</v>
      </c>
      <c r="E1151" s="116">
        <v>2045.05</v>
      </c>
      <c r="F1151" s="116">
        <v>2055.25</v>
      </c>
      <c r="G1151">
        <v>8188</v>
      </c>
      <c r="H1151" s="116"/>
      <c r="I1151" s="116"/>
      <c r="L1151" s="170">
        <v>45162</v>
      </c>
      <c r="M1151" s="116">
        <v>1997.25</v>
      </c>
      <c r="N1151" s="116">
        <v>2021.95</v>
      </c>
      <c r="O1151" s="116">
        <v>1979.45</v>
      </c>
      <c r="P1151" s="116">
        <v>1992</v>
      </c>
      <c r="Q1151" s="116">
        <v>1997.25</v>
      </c>
      <c r="R1151">
        <v>160607</v>
      </c>
    </row>
    <row r="1152" spans="1:18" x14ac:dyDescent="0.25">
      <c r="A1152" s="170">
        <v>45168</v>
      </c>
      <c r="B1152" s="116">
        <v>2109.9499999999998</v>
      </c>
      <c r="C1152" s="116">
        <v>2081.65</v>
      </c>
      <c r="D1152" s="116">
        <v>2051.0500000000002</v>
      </c>
      <c r="E1152" s="116">
        <v>2066.6</v>
      </c>
      <c r="F1152" s="116">
        <v>2081.65</v>
      </c>
      <c r="G1152">
        <v>14099</v>
      </c>
      <c r="H1152" s="116"/>
      <c r="I1152" s="116"/>
      <c r="L1152" s="170">
        <v>45163</v>
      </c>
      <c r="M1152" s="116">
        <v>2003.75</v>
      </c>
      <c r="N1152" s="116">
        <v>2014.95</v>
      </c>
      <c r="O1152" s="116">
        <v>1975</v>
      </c>
      <c r="P1152" s="116">
        <v>2001</v>
      </c>
      <c r="Q1152" s="116">
        <v>2003.75</v>
      </c>
      <c r="R1152">
        <v>317017</v>
      </c>
    </row>
    <row r="1153" spans="1:18" x14ac:dyDescent="0.25">
      <c r="A1153" s="170">
        <v>45169</v>
      </c>
      <c r="B1153" s="116">
        <v>2116.4</v>
      </c>
      <c r="C1153" s="116">
        <v>2081.6999999999998</v>
      </c>
      <c r="D1153" s="116">
        <v>2074.1999999999998</v>
      </c>
      <c r="E1153" s="116">
        <v>2089.4499999999998</v>
      </c>
      <c r="F1153" s="116">
        <v>2081.6999999999998</v>
      </c>
      <c r="G1153">
        <v>3817</v>
      </c>
      <c r="H1153" s="116"/>
      <c r="I1153" s="116"/>
      <c r="L1153" s="170">
        <v>45166</v>
      </c>
      <c r="M1153" s="116">
        <v>2031.85</v>
      </c>
      <c r="N1153" s="116">
        <v>2036.35</v>
      </c>
      <c r="O1153" s="116">
        <v>1997.15</v>
      </c>
      <c r="P1153" s="116">
        <v>2000</v>
      </c>
      <c r="Q1153" s="116">
        <v>2031.85</v>
      </c>
      <c r="R1153">
        <v>179508</v>
      </c>
    </row>
    <row r="1154" spans="1:18" x14ac:dyDescent="0.25">
      <c r="A1154" s="170">
        <v>45170</v>
      </c>
      <c r="B1154" s="116">
        <v>2132.6999999999998</v>
      </c>
      <c r="C1154" s="116">
        <v>2124.1</v>
      </c>
      <c r="D1154" s="116">
        <v>2075.9</v>
      </c>
      <c r="E1154" s="116">
        <v>2075.9</v>
      </c>
      <c r="F1154" s="116">
        <v>2124.1</v>
      </c>
      <c r="G1154">
        <v>4720</v>
      </c>
      <c r="H1154" s="116"/>
      <c r="I1154" s="116"/>
      <c r="L1154" s="170">
        <v>45167</v>
      </c>
      <c r="M1154" s="116">
        <v>2055.15</v>
      </c>
      <c r="N1154" s="116">
        <v>2059.5500000000002</v>
      </c>
      <c r="O1154" s="116">
        <v>2030.45</v>
      </c>
      <c r="P1154" s="116">
        <v>2045</v>
      </c>
      <c r="Q1154" s="116">
        <v>2055.15</v>
      </c>
      <c r="R1154">
        <v>192646</v>
      </c>
    </row>
    <row r="1155" spans="1:18" x14ac:dyDescent="0.25">
      <c r="A1155" s="170">
        <v>45173</v>
      </c>
      <c r="B1155" s="116">
        <v>2273.65</v>
      </c>
      <c r="C1155" s="116">
        <v>2257.6999999999998</v>
      </c>
      <c r="D1155" s="116">
        <v>2128</v>
      </c>
      <c r="E1155" s="116">
        <v>2131</v>
      </c>
      <c r="F1155" s="116">
        <v>2257.6999999999998</v>
      </c>
      <c r="G1155">
        <v>36407</v>
      </c>
      <c r="H1155" s="116"/>
      <c r="I1155" s="116"/>
      <c r="L1155" s="170">
        <v>45168</v>
      </c>
      <c r="M1155" s="116">
        <v>2082.8000000000002</v>
      </c>
      <c r="N1155" s="116">
        <v>2110</v>
      </c>
      <c r="O1155" s="116">
        <v>2050.5500000000002</v>
      </c>
      <c r="P1155" s="116">
        <v>2069</v>
      </c>
      <c r="Q1155" s="116">
        <v>2082.8000000000002</v>
      </c>
      <c r="R1155">
        <v>355076</v>
      </c>
    </row>
    <row r="1156" spans="1:18" x14ac:dyDescent="0.25">
      <c r="A1156" s="170">
        <v>45174</v>
      </c>
      <c r="B1156" s="116">
        <v>2280</v>
      </c>
      <c r="C1156" s="116">
        <v>2268.75</v>
      </c>
      <c r="D1156" s="116">
        <v>2231.0500000000002</v>
      </c>
      <c r="E1156" s="116">
        <v>2231.0500000000002</v>
      </c>
      <c r="F1156" s="116">
        <v>2268.75</v>
      </c>
      <c r="G1156">
        <v>9071</v>
      </c>
      <c r="H1156" s="116"/>
      <c r="I1156" s="116"/>
      <c r="L1156" s="170">
        <v>45169</v>
      </c>
      <c r="M1156" s="116">
        <v>2085.0500000000002</v>
      </c>
      <c r="N1156" s="116">
        <v>2118</v>
      </c>
      <c r="O1156" s="116">
        <v>2071.1</v>
      </c>
      <c r="P1156" s="116">
        <v>2085</v>
      </c>
      <c r="Q1156" s="116">
        <v>2085.0500000000002</v>
      </c>
      <c r="R1156">
        <v>266066</v>
      </c>
    </row>
    <row r="1157" spans="1:18" x14ac:dyDescent="0.25">
      <c r="A1157" s="170">
        <v>45175</v>
      </c>
      <c r="B1157" s="116">
        <v>2334.9499999999998</v>
      </c>
      <c r="C1157" s="116">
        <v>2308.5</v>
      </c>
      <c r="D1157" s="116">
        <v>2256.35</v>
      </c>
      <c r="E1157" s="116">
        <v>2267.9499999999998</v>
      </c>
      <c r="F1157" s="116">
        <v>2308.5</v>
      </c>
      <c r="G1157">
        <v>19361</v>
      </c>
      <c r="H1157" s="116"/>
      <c r="I1157" s="116"/>
      <c r="L1157" s="170">
        <v>45170</v>
      </c>
      <c r="M1157" s="116">
        <v>2123.5500000000002</v>
      </c>
      <c r="N1157" s="116">
        <v>2135</v>
      </c>
      <c r="O1157" s="116">
        <v>2069.85</v>
      </c>
      <c r="P1157" s="116">
        <v>2069.85</v>
      </c>
      <c r="Q1157" s="116">
        <v>2123.5500000000002</v>
      </c>
      <c r="R1157">
        <v>299204</v>
      </c>
    </row>
    <row r="1158" spans="1:18" x14ac:dyDescent="0.25">
      <c r="A1158" s="170">
        <v>45176</v>
      </c>
      <c r="B1158" s="116">
        <v>2334.85</v>
      </c>
      <c r="C1158" s="116">
        <v>2290.1999999999998</v>
      </c>
      <c r="D1158" s="116">
        <v>2275.6</v>
      </c>
      <c r="E1158" s="116">
        <v>2334.85</v>
      </c>
      <c r="F1158" s="116">
        <v>2290.1999999999998</v>
      </c>
      <c r="G1158">
        <v>20681</v>
      </c>
      <c r="H1158" s="116"/>
      <c r="I1158" s="116"/>
      <c r="L1158" s="170">
        <v>45173</v>
      </c>
      <c r="M1158" s="116">
        <v>2261</v>
      </c>
      <c r="N1158" s="116">
        <v>2273</v>
      </c>
      <c r="O1158" s="116">
        <v>2127.3000000000002</v>
      </c>
      <c r="P1158" s="116">
        <v>2128.1</v>
      </c>
      <c r="Q1158" s="116">
        <v>2261</v>
      </c>
      <c r="R1158">
        <v>756357</v>
      </c>
    </row>
    <row r="1159" spans="1:18" x14ac:dyDescent="0.25">
      <c r="A1159" s="170">
        <v>45177</v>
      </c>
      <c r="B1159" s="116">
        <v>2327.4499999999998</v>
      </c>
      <c r="C1159" s="116">
        <v>2321.4</v>
      </c>
      <c r="D1159" s="116">
        <v>2287.15</v>
      </c>
      <c r="E1159" s="116">
        <v>2324.9499999999998</v>
      </c>
      <c r="F1159" s="116">
        <v>2321.4</v>
      </c>
      <c r="G1159">
        <v>13446</v>
      </c>
      <c r="H1159" s="116"/>
      <c r="I1159" s="116"/>
      <c r="L1159" s="170">
        <v>45174</v>
      </c>
      <c r="M1159" s="116">
        <v>2266.5</v>
      </c>
      <c r="N1159" s="116">
        <v>2280</v>
      </c>
      <c r="O1159" s="116">
        <v>2245.5500000000002</v>
      </c>
      <c r="P1159" s="116">
        <v>2258.9</v>
      </c>
      <c r="Q1159" s="116">
        <v>2266.5</v>
      </c>
      <c r="R1159">
        <v>369931</v>
      </c>
    </row>
    <row r="1160" spans="1:18" x14ac:dyDescent="0.25">
      <c r="A1160" s="170">
        <v>45180</v>
      </c>
      <c r="B1160" s="116">
        <v>2382.4499999999998</v>
      </c>
      <c r="C1160" s="116">
        <v>2370.0500000000002</v>
      </c>
      <c r="D1160" s="116">
        <v>2324.25</v>
      </c>
      <c r="E1160" s="116">
        <v>2325</v>
      </c>
      <c r="F1160" s="116">
        <v>2370.0500000000002</v>
      </c>
      <c r="G1160">
        <v>5893</v>
      </c>
      <c r="H1160" s="116"/>
      <c r="I1160" s="116"/>
      <c r="L1160" s="170">
        <v>45175</v>
      </c>
      <c r="M1160" s="116">
        <v>2308</v>
      </c>
      <c r="N1160" s="116">
        <v>2335</v>
      </c>
      <c r="O1160" s="116">
        <v>2252.1</v>
      </c>
      <c r="P1160" s="116">
        <v>2255.85</v>
      </c>
      <c r="Q1160" s="116">
        <v>2308</v>
      </c>
      <c r="R1160">
        <v>677315</v>
      </c>
    </row>
    <row r="1161" spans="1:18" x14ac:dyDescent="0.25">
      <c r="A1161" s="170">
        <v>45181</v>
      </c>
      <c r="B1161" s="116">
        <v>2420</v>
      </c>
      <c r="C1161" s="116">
        <v>2334.35</v>
      </c>
      <c r="D1161" s="116">
        <v>2329.35</v>
      </c>
      <c r="E1161" s="116">
        <v>2389</v>
      </c>
      <c r="F1161" s="116">
        <v>2334.35</v>
      </c>
      <c r="G1161">
        <v>31548</v>
      </c>
      <c r="H1161" s="116"/>
      <c r="I1161" s="116"/>
      <c r="L1161" s="170">
        <v>45176</v>
      </c>
      <c r="M1161" s="116">
        <v>2287.85</v>
      </c>
      <c r="N1161" s="116">
        <v>2328.9499999999998</v>
      </c>
      <c r="O1161" s="116">
        <v>2275.25</v>
      </c>
      <c r="P1161" s="116">
        <v>2308</v>
      </c>
      <c r="Q1161" s="116">
        <v>2287.85</v>
      </c>
      <c r="R1161">
        <v>377343</v>
      </c>
    </row>
    <row r="1162" spans="1:18" x14ac:dyDescent="0.25">
      <c r="A1162" s="170">
        <v>45182</v>
      </c>
      <c r="B1162" s="116">
        <v>2362.75</v>
      </c>
      <c r="C1162" s="116">
        <v>2356.6</v>
      </c>
      <c r="D1162" s="116">
        <v>2288.5</v>
      </c>
      <c r="E1162" s="116">
        <v>2301.15</v>
      </c>
      <c r="F1162" s="116">
        <v>2356.6</v>
      </c>
      <c r="G1162">
        <v>7196</v>
      </c>
      <c r="H1162" s="116"/>
      <c r="I1162" s="116"/>
      <c r="L1162" s="170">
        <v>45177</v>
      </c>
      <c r="M1162" s="116">
        <v>2322.1</v>
      </c>
      <c r="N1162" s="116">
        <v>2327.4</v>
      </c>
      <c r="O1162" s="116">
        <v>2287.5500000000002</v>
      </c>
      <c r="P1162" s="116">
        <v>2306</v>
      </c>
      <c r="Q1162" s="116">
        <v>2322.1</v>
      </c>
      <c r="R1162">
        <v>416878</v>
      </c>
    </row>
    <row r="1163" spans="1:18" x14ac:dyDescent="0.25">
      <c r="A1163" s="170">
        <v>45183</v>
      </c>
      <c r="B1163" s="116">
        <v>2408</v>
      </c>
      <c r="C1163" s="116">
        <v>2403.35</v>
      </c>
      <c r="D1163" s="116">
        <v>2351.75</v>
      </c>
      <c r="E1163" s="116">
        <v>2351.75</v>
      </c>
      <c r="F1163" s="116">
        <v>2403.35</v>
      </c>
      <c r="G1163">
        <v>5065</v>
      </c>
      <c r="H1163" s="116"/>
      <c r="I1163" s="116"/>
      <c r="L1163" s="170">
        <v>45180</v>
      </c>
      <c r="M1163" s="116">
        <v>2372.5500000000002</v>
      </c>
      <c r="N1163" s="116">
        <v>2384.4</v>
      </c>
      <c r="O1163" s="116">
        <v>2324.5</v>
      </c>
      <c r="P1163" s="116">
        <v>2339</v>
      </c>
      <c r="Q1163" s="116">
        <v>2372.5500000000002</v>
      </c>
      <c r="R1163">
        <v>464512</v>
      </c>
    </row>
    <row r="1164" spans="1:18" x14ac:dyDescent="0.25">
      <c r="A1164" s="170">
        <v>45184</v>
      </c>
      <c r="B1164" s="116">
        <v>2420</v>
      </c>
      <c r="C1164" s="116">
        <v>2387.5500000000002</v>
      </c>
      <c r="D1164" s="116">
        <v>2381</v>
      </c>
      <c r="E1164" s="116">
        <v>2420</v>
      </c>
      <c r="F1164" s="116">
        <v>2387.5500000000002</v>
      </c>
      <c r="G1164">
        <v>3650</v>
      </c>
      <c r="H1164" s="116"/>
      <c r="I1164" s="116"/>
      <c r="L1164" s="170">
        <v>45181</v>
      </c>
      <c r="M1164" s="116">
        <v>2333.6999999999998</v>
      </c>
      <c r="N1164" s="116">
        <v>2422</v>
      </c>
      <c r="O1164" s="116">
        <v>2326.5500000000002</v>
      </c>
      <c r="P1164" s="116">
        <v>2401.0500000000002</v>
      </c>
      <c r="Q1164" s="116">
        <v>2333.6999999999998</v>
      </c>
      <c r="R1164">
        <v>721101</v>
      </c>
    </row>
    <row r="1165" spans="1:18" x14ac:dyDescent="0.25">
      <c r="A1165" s="170">
        <v>45187</v>
      </c>
      <c r="B1165" s="116">
        <v>2399</v>
      </c>
      <c r="C1165" s="116">
        <v>2366.1</v>
      </c>
      <c r="D1165" s="116">
        <v>2355.5500000000002</v>
      </c>
      <c r="E1165" s="116">
        <v>2399</v>
      </c>
      <c r="F1165" s="116">
        <v>2366.1</v>
      </c>
      <c r="G1165">
        <v>3181</v>
      </c>
      <c r="H1165" s="116"/>
      <c r="I1165" s="116"/>
      <c r="L1165" s="170">
        <v>45182</v>
      </c>
      <c r="M1165" s="116">
        <v>2356.75</v>
      </c>
      <c r="N1165" s="116">
        <v>2361.85</v>
      </c>
      <c r="O1165" s="116">
        <v>2293.25</v>
      </c>
      <c r="P1165" s="116">
        <v>2329.9499999999998</v>
      </c>
      <c r="Q1165" s="116">
        <v>2356.75</v>
      </c>
      <c r="R1165">
        <v>371513</v>
      </c>
    </row>
    <row r="1166" spans="1:18" x14ac:dyDescent="0.25">
      <c r="A1166" s="170">
        <v>45189</v>
      </c>
      <c r="B1166" s="116">
        <v>2379.65</v>
      </c>
      <c r="C1166" s="116">
        <v>2314.75</v>
      </c>
      <c r="D1166" s="116">
        <v>2290.3000000000002</v>
      </c>
      <c r="E1166" s="116">
        <v>2379.65</v>
      </c>
      <c r="F1166" s="116">
        <v>2314.75</v>
      </c>
      <c r="G1166">
        <v>5595</v>
      </c>
      <c r="H1166" s="116"/>
      <c r="I1166" s="116"/>
      <c r="L1166" s="170">
        <v>45183</v>
      </c>
      <c r="M1166" s="116">
        <v>2403.6999999999998</v>
      </c>
      <c r="N1166" s="116">
        <v>2410</v>
      </c>
      <c r="O1166" s="116">
        <v>2352.8000000000002</v>
      </c>
      <c r="P1166" s="116">
        <v>2359.9499999999998</v>
      </c>
      <c r="Q1166" s="116">
        <v>2403.6999999999998</v>
      </c>
      <c r="R1166">
        <v>591556</v>
      </c>
    </row>
    <row r="1167" spans="1:18" x14ac:dyDescent="0.25">
      <c r="A1167" s="170">
        <v>45190</v>
      </c>
      <c r="B1167" s="116">
        <v>2317.1999999999998</v>
      </c>
      <c r="C1167" s="116">
        <v>2265.6999999999998</v>
      </c>
      <c r="D1167" s="116">
        <v>2263</v>
      </c>
      <c r="E1167" s="116">
        <v>2304.75</v>
      </c>
      <c r="F1167" s="116">
        <v>2265.6999999999998</v>
      </c>
      <c r="G1167">
        <v>3359</v>
      </c>
      <c r="H1167" s="116"/>
      <c r="I1167" s="116"/>
      <c r="L1167" s="170">
        <v>45184</v>
      </c>
      <c r="M1167" s="116">
        <v>2387.6</v>
      </c>
      <c r="N1167" s="116">
        <v>2424.75</v>
      </c>
      <c r="O1167" s="116">
        <v>2380</v>
      </c>
      <c r="P1167" s="116">
        <v>2424</v>
      </c>
      <c r="Q1167" s="116">
        <v>2387.6</v>
      </c>
      <c r="R1167">
        <v>401541</v>
      </c>
    </row>
    <row r="1168" spans="1:18" x14ac:dyDescent="0.25">
      <c r="A1168" s="170">
        <v>45191</v>
      </c>
      <c r="B1168" s="116">
        <v>2267.6999999999998</v>
      </c>
      <c r="C1168" s="116">
        <v>2247.4</v>
      </c>
      <c r="D1168" s="116">
        <v>2236.6</v>
      </c>
      <c r="E1168" s="116">
        <v>2267.65</v>
      </c>
      <c r="F1168" s="116">
        <v>2247.4</v>
      </c>
      <c r="G1168">
        <v>2059</v>
      </c>
      <c r="H1168" s="116"/>
      <c r="I1168" s="116"/>
      <c r="L1168" s="170">
        <v>45187</v>
      </c>
      <c r="M1168" s="116">
        <v>2369.25</v>
      </c>
      <c r="N1168" s="116">
        <v>2399</v>
      </c>
      <c r="O1168" s="116">
        <v>2354.35</v>
      </c>
      <c r="P1168" s="116">
        <v>2399</v>
      </c>
      <c r="Q1168" s="116">
        <v>2369.25</v>
      </c>
      <c r="R1168">
        <v>219189</v>
      </c>
    </row>
    <row r="1169" spans="1:18" x14ac:dyDescent="0.25">
      <c r="A1169" s="170">
        <v>45194</v>
      </c>
      <c r="B1169" s="116">
        <v>2351.35</v>
      </c>
      <c r="C1169" s="116">
        <v>2327.9</v>
      </c>
      <c r="D1169" s="116">
        <v>2242.65</v>
      </c>
      <c r="E1169" s="116">
        <v>2242.65</v>
      </c>
      <c r="F1169" s="116">
        <v>2327.9</v>
      </c>
      <c r="G1169">
        <v>11395</v>
      </c>
      <c r="H1169" s="116"/>
      <c r="I1169" s="116"/>
      <c r="L1169" s="170">
        <v>45189</v>
      </c>
      <c r="M1169" s="116">
        <v>2314.65</v>
      </c>
      <c r="N1169" s="116">
        <v>2360</v>
      </c>
      <c r="O1169" s="116">
        <v>2290.9499999999998</v>
      </c>
      <c r="P1169" s="116">
        <v>2358</v>
      </c>
      <c r="Q1169" s="116">
        <v>2314.65</v>
      </c>
      <c r="R1169">
        <v>383701</v>
      </c>
    </row>
    <row r="1170" spans="1:18" x14ac:dyDescent="0.25">
      <c r="A1170" s="170">
        <v>45195</v>
      </c>
      <c r="B1170" s="116">
        <v>2375</v>
      </c>
      <c r="C1170" s="116">
        <v>2366.5500000000002</v>
      </c>
      <c r="D1170" s="116">
        <v>2333.35</v>
      </c>
      <c r="E1170" s="116">
        <v>2352</v>
      </c>
      <c r="F1170" s="116">
        <v>2366.5500000000002</v>
      </c>
      <c r="G1170">
        <v>4836</v>
      </c>
      <c r="H1170" s="116"/>
      <c r="I1170" s="116"/>
      <c r="L1170" s="170">
        <v>45190</v>
      </c>
      <c r="M1170" s="116">
        <v>2266</v>
      </c>
      <c r="N1170" s="116">
        <v>2324.9</v>
      </c>
      <c r="O1170" s="116">
        <v>2262.3000000000002</v>
      </c>
      <c r="P1170" s="116">
        <v>2324.9</v>
      </c>
      <c r="Q1170" s="116">
        <v>2266</v>
      </c>
      <c r="R1170">
        <v>192702</v>
      </c>
    </row>
    <row r="1171" spans="1:18" x14ac:dyDescent="0.25">
      <c r="A1171" s="170">
        <v>45196</v>
      </c>
      <c r="B1171" s="116">
        <v>2424.4</v>
      </c>
      <c r="C1171" s="116">
        <v>2369.65</v>
      </c>
      <c r="D1171" s="116">
        <v>2347.15</v>
      </c>
      <c r="E1171" s="116">
        <v>2424.4</v>
      </c>
      <c r="F1171" s="116">
        <v>2369.65</v>
      </c>
      <c r="G1171">
        <v>6646</v>
      </c>
      <c r="H1171" s="116"/>
      <c r="I1171" s="116"/>
      <c r="L1171" s="170">
        <v>45191</v>
      </c>
      <c r="M1171" s="116">
        <v>2245.6</v>
      </c>
      <c r="N1171" s="116">
        <v>2280.35</v>
      </c>
      <c r="O1171" s="116">
        <v>2235.8000000000002</v>
      </c>
      <c r="P1171" s="116">
        <v>2266</v>
      </c>
      <c r="Q1171" s="116">
        <v>2245.6</v>
      </c>
      <c r="R1171">
        <v>236560</v>
      </c>
    </row>
    <row r="1172" spans="1:18" x14ac:dyDescent="0.25">
      <c r="A1172" s="170">
        <v>45197</v>
      </c>
      <c r="B1172" s="116">
        <v>2378.9499999999998</v>
      </c>
      <c r="C1172" s="116">
        <v>2342.75</v>
      </c>
      <c r="D1172" s="116">
        <v>2317.5500000000002</v>
      </c>
      <c r="E1172" s="116">
        <v>2365.15</v>
      </c>
      <c r="F1172" s="116">
        <v>2342.75</v>
      </c>
      <c r="G1172">
        <v>5058</v>
      </c>
      <c r="H1172" s="116"/>
      <c r="I1172" s="116"/>
      <c r="L1172" s="170">
        <v>45194</v>
      </c>
      <c r="M1172" s="116">
        <v>2337.5500000000002</v>
      </c>
      <c r="N1172" s="116">
        <v>2351.3000000000002</v>
      </c>
      <c r="O1172" s="116">
        <v>2245.0500000000002</v>
      </c>
      <c r="P1172" s="116">
        <v>2245.6</v>
      </c>
      <c r="Q1172" s="116">
        <v>2337.5500000000002</v>
      </c>
      <c r="R1172">
        <v>422280</v>
      </c>
    </row>
    <row r="1173" spans="1:18" x14ac:dyDescent="0.25">
      <c r="A1173" s="170">
        <v>45198</v>
      </c>
      <c r="B1173" s="116">
        <v>2417</v>
      </c>
      <c r="C1173" s="116">
        <v>2405.3000000000002</v>
      </c>
      <c r="D1173" s="116">
        <v>2341.4</v>
      </c>
      <c r="E1173" s="116">
        <v>2341.4</v>
      </c>
      <c r="F1173" s="116">
        <v>2405.3000000000002</v>
      </c>
      <c r="G1173">
        <v>25174</v>
      </c>
      <c r="H1173" s="116"/>
      <c r="I1173" s="116"/>
      <c r="L1173" s="170">
        <v>45195</v>
      </c>
      <c r="M1173" s="116">
        <v>2367.6999999999998</v>
      </c>
      <c r="N1173" s="116">
        <v>2375</v>
      </c>
      <c r="O1173" s="116">
        <v>2331.3000000000002</v>
      </c>
      <c r="P1173" s="116">
        <v>2350</v>
      </c>
      <c r="Q1173" s="116">
        <v>2367.6999999999998</v>
      </c>
      <c r="R1173">
        <v>443841</v>
      </c>
    </row>
    <row r="1174" spans="1:18" x14ac:dyDescent="0.25">
      <c r="A1174" s="170">
        <v>45202</v>
      </c>
      <c r="B1174" s="116">
        <v>2416.9499999999998</v>
      </c>
      <c r="C1174" s="116">
        <v>2370.3000000000002</v>
      </c>
      <c r="D1174" s="116">
        <v>2356</v>
      </c>
      <c r="E1174" s="116">
        <v>2416.9499999999998</v>
      </c>
      <c r="F1174" s="116">
        <v>2370.3000000000002</v>
      </c>
      <c r="G1174">
        <v>16292</v>
      </c>
      <c r="H1174" s="116"/>
      <c r="I1174" s="116"/>
      <c r="L1174" s="170">
        <v>45196</v>
      </c>
      <c r="M1174" s="116">
        <v>2370.35</v>
      </c>
      <c r="N1174" s="116">
        <v>2403</v>
      </c>
      <c r="O1174" s="116">
        <v>2347.35</v>
      </c>
      <c r="P1174" s="116">
        <v>2403</v>
      </c>
      <c r="Q1174" s="116">
        <v>2370.35</v>
      </c>
      <c r="R1174">
        <v>380255</v>
      </c>
    </row>
    <row r="1175" spans="1:18" x14ac:dyDescent="0.25">
      <c r="A1175" s="170">
        <v>45203</v>
      </c>
      <c r="B1175" s="116">
        <v>2369.85</v>
      </c>
      <c r="C1175" s="116">
        <v>2304.65</v>
      </c>
      <c r="D1175" s="116">
        <v>2278.5</v>
      </c>
      <c r="E1175" s="116">
        <v>2360.3000000000002</v>
      </c>
      <c r="F1175" s="116">
        <v>2304.65</v>
      </c>
      <c r="G1175">
        <v>6031</v>
      </c>
      <c r="H1175" s="116"/>
      <c r="I1175" s="116"/>
      <c r="L1175" s="170">
        <v>45197</v>
      </c>
      <c r="M1175" s="116">
        <v>2339.9499999999998</v>
      </c>
      <c r="N1175" s="116">
        <v>2400</v>
      </c>
      <c r="O1175" s="116">
        <v>2317.9499999999998</v>
      </c>
      <c r="P1175" s="116">
        <v>2369.6</v>
      </c>
      <c r="Q1175" s="116">
        <v>2339.9499999999998</v>
      </c>
      <c r="R1175">
        <v>275770</v>
      </c>
    </row>
    <row r="1176" spans="1:18" x14ac:dyDescent="0.25">
      <c r="A1176" s="170">
        <v>45204</v>
      </c>
      <c r="B1176" s="116">
        <v>2314.9499999999998</v>
      </c>
      <c r="C1176" s="116">
        <v>2258.5</v>
      </c>
      <c r="D1176" s="116">
        <v>2222.35</v>
      </c>
      <c r="E1176" s="116">
        <v>2314.9499999999998</v>
      </c>
      <c r="F1176" s="116">
        <v>2258.5</v>
      </c>
      <c r="G1176">
        <v>9833</v>
      </c>
      <c r="H1176" s="116"/>
      <c r="I1176" s="116"/>
      <c r="L1176" s="170">
        <v>45198</v>
      </c>
      <c r="M1176" s="116">
        <v>2404.35</v>
      </c>
      <c r="N1176" s="116">
        <v>2417.9499999999998</v>
      </c>
      <c r="O1176" s="116">
        <v>2330.4499999999998</v>
      </c>
      <c r="P1176" s="116">
        <v>2339.9499999999998</v>
      </c>
      <c r="Q1176" s="116">
        <v>2404.35</v>
      </c>
      <c r="R1176">
        <v>483032</v>
      </c>
    </row>
    <row r="1177" spans="1:18" x14ac:dyDescent="0.25">
      <c r="A1177" s="170">
        <v>45205</v>
      </c>
      <c r="B1177" s="116">
        <v>2264</v>
      </c>
      <c r="C1177" s="116">
        <v>2224.4</v>
      </c>
      <c r="D1177" s="116">
        <v>2208</v>
      </c>
      <c r="E1177" s="116">
        <v>2250</v>
      </c>
      <c r="F1177" s="116">
        <v>2224.4</v>
      </c>
      <c r="G1177">
        <v>10105</v>
      </c>
      <c r="H1177" s="116"/>
      <c r="I1177" s="116"/>
      <c r="L1177" s="170">
        <v>45202</v>
      </c>
      <c r="M1177" s="116">
        <v>2372.0500000000002</v>
      </c>
      <c r="N1177" s="116">
        <v>2409.5500000000002</v>
      </c>
      <c r="O1177" s="116">
        <v>2356.0500000000002</v>
      </c>
      <c r="P1177" s="116">
        <v>2404.35</v>
      </c>
      <c r="Q1177" s="116">
        <v>2372.0500000000002</v>
      </c>
      <c r="R1177">
        <v>338580</v>
      </c>
    </row>
    <row r="1178" spans="1:18" x14ac:dyDescent="0.25">
      <c r="A1178" s="170">
        <v>45208</v>
      </c>
      <c r="B1178" s="116">
        <v>2242.3000000000002</v>
      </c>
      <c r="C1178" s="116">
        <v>2220.65</v>
      </c>
      <c r="D1178" s="116">
        <v>2199</v>
      </c>
      <c r="E1178" s="116">
        <v>2226.9499999999998</v>
      </c>
      <c r="F1178" s="116">
        <v>2220.65</v>
      </c>
      <c r="G1178">
        <v>7562</v>
      </c>
      <c r="H1178" s="116"/>
      <c r="I1178" s="116"/>
      <c r="L1178" s="170">
        <v>45203</v>
      </c>
      <c r="M1178" s="116">
        <v>2305.75</v>
      </c>
      <c r="N1178" s="116">
        <v>2371.35</v>
      </c>
      <c r="O1178" s="116">
        <v>2277</v>
      </c>
      <c r="P1178" s="116">
        <v>2353</v>
      </c>
      <c r="Q1178" s="116">
        <v>2305.75</v>
      </c>
      <c r="R1178">
        <v>377251</v>
      </c>
    </row>
    <row r="1179" spans="1:18" x14ac:dyDescent="0.25">
      <c r="A1179" s="170">
        <v>45209</v>
      </c>
      <c r="B1179" s="116">
        <v>2270.0500000000002</v>
      </c>
      <c r="C1179" s="116">
        <v>2258.4</v>
      </c>
      <c r="D1179" s="116">
        <v>2208.5</v>
      </c>
      <c r="E1179" s="116">
        <v>2247.9499999999998</v>
      </c>
      <c r="F1179" s="116">
        <v>2258.4</v>
      </c>
      <c r="G1179">
        <v>13600</v>
      </c>
      <c r="H1179" s="116"/>
      <c r="I1179" s="116"/>
      <c r="L1179" s="170">
        <v>45204</v>
      </c>
      <c r="M1179" s="116">
        <v>2258.15</v>
      </c>
      <c r="N1179" s="116">
        <v>2311.0500000000002</v>
      </c>
      <c r="O1179" s="116">
        <v>2223</v>
      </c>
      <c r="P1179" s="116">
        <v>2270.1999999999998</v>
      </c>
      <c r="Q1179" s="116">
        <v>2258.15</v>
      </c>
      <c r="R1179">
        <v>514301</v>
      </c>
    </row>
    <row r="1180" spans="1:18" x14ac:dyDescent="0.25">
      <c r="A1180" s="170">
        <v>45210</v>
      </c>
      <c r="B1180" s="116">
        <v>2344.6</v>
      </c>
      <c r="C1180" s="116">
        <v>2300.8000000000002</v>
      </c>
      <c r="D1180" s="116">
        <v>2260.65</v>
      </c>
      <c r="E1180" s="116">
        <v>2260.65</v>
      </c>
      <c r="F1180" s="116">
        <v>2300.8000000000002</v>
      </c>
      <c r="G1180">
        <v>18775</v>
      </c>
      <c r="H1180" s="116"/>
      <c r="I1180" s="116"/>
      <c r="L1180" s="170">
        <v>45205</v>
      </c>
      <c r="M1180" s="116">
        <v>2223.8000000000002</v>
      </c>
      <c r="N1180" s="116">
        <v>2269.75</v>
      </c>
      <c r="O1180" s="116">
        <v>2206.6999999999998</v>
      </c>
      <c r="P1180" s="116">
        <v>2250</v>
      </c>
      <c r="Q1180" s="116">
        <v>2223.8000000000002</v>
      </c>
      <c r="R1180">
        <v>369046</v>
      </c>
    </row>
    <row r="1181" spans="1:18" x14ac:dyDescent="0.25">
      <c r="A1181" s="170">
        <v>45211</v>
      </c>
      <c r="B1181" s="116">
        <v>2325.5</v>
      </c>
      <c r="C1181" s="116">
        <v>2301.8000000000002</v>
      </c>
      <c r="D1181" s="116">
        <v>2290.4499999999998</v>
      </c>
      <c r="E1181" s="116">
        <v>2322.9499999999998</v>
      </c>
      <c r="F1181" s="116">
        <v>2301.8000000000002</v>
      </c>
      <c r="G1181">
        <v>2227</v>
      </c>
      <c r="H1181" s="116"/>
      <c r="I1181" s="116"/>
      <c r="L1181" s="170">
        <v>45208</v>
      </c>
      <c r="M1181" s="116">
        <v>2219.0500000000002</v>
      </c>
      <c r="N1181" s="116">
        <v>2242.4499999999998</v>
      </c>
      <c r="O1181" s="116">
        <v>2198.65</v>
      </c>
      <c r="P1181" s="116">
        <v>2207.0500000000002</v>
      </c>
      <c r="Q1181" s="116">
        <v>2219.0500000000002</v>
      </c>
      <c r="R1181">
        <v>238173</v>
      </c>
    </row>
    <row r="1182" spans="1:18" x14ac:dyDescent="0.25">
      <c r="A1182" s="170">
        <v>45212</v>
      </c>
      <c r="B1182" s="116">
        <v>2324.15</v>
      </c>
      <c r="C1182" s="116">
        <v>2293</v>
      </c>
      <c r="D1182" s="116">
        <v>2280.1</v>
      </c>
      <c r="E1182" s="116">
        <v>2314.9499999999998</v>
      </c>
      <c r="F1182" s="116">
        <v>2293</v>
      </c>
      <c r="G1182">
        <v>6720</v>
      </c>
      <c r="H1182" s="116"/>
      <c r="I1182" s="116"/>
      <c r="L1182" s="170">
        <v>45209</v>
      </c>
      <c r="M1182" s="116">
        <v>2260</v>
      </c>
      <c r="N1182" s="116">
        <v>2270.65</v>
      </c>
      <c r="O1182" s="116">
        <v>2208</v>
      </c>
      <c r="P1182" s="116">
        <v>2229.8000000000002</v>
      </c>
      <c r="Q1182" s="116">
        <v>2260</v>
      </c>
      <c r="R1182">
        <v>460952</v>
      </c>
    </row>
    <row r="1183" spans="1:18" x14ac:dyDescent="0.25">
      <c r="A1183" s="170">
        <v>45215</v>
      </c>
      <c r="B1183" s="116">
        <v>2374.6</v>
      </c>
      <c r="C1183" s="116">
        <v>2322.25</v>
      </c>
      <c r="D1183" s="116">
        <v>2283.35</v>
      </c>
      <c r="E1183" s="116">
        <v>2315.3000000000002</v>
      </c>
      <c r="F1183" s="116">
        <v>2322.25</v>
      </c>
      <c r="G1183">
        <v>27833</v>
      </c>
      <c r="H1183" s="116"/>
      <c r="I1183" s="116"/>
      <c r="L1183" s="170">
        <v>45210</v>
      </c>
      <c r="M1183" s="116">
        <v>2301.1</v>
      </c>
      <c r="N1183" s="116">
        <v>2344</v>
      </c>
      <c r="O1183" s="116">
        <v>2267.75</v>
      </c>
      <c r="P1183" s="116">
        <v>2278.9499999999998</v>
      </c>
      <c r="Q1183" s="116">
        <v>2301.1</v>
      </c>
      <c r="R1183">
        <v>410776</v>
      </c>
    </row>
    <row r="1184" spans="1:18" x14ac:dyDescent="0.25">
      <c r="A1184" s="170">
        <v>45216</v>
      </c>
      <c r="B1184" s="116">
        <v>2340.15</v>
      </c>
      <c r="C1184" s="116">
        <v>2256.1</v>
      </c>
      <c r="D1184" s="116">
        <v>2227</v>
      </c>
      <c r="E1184" s="116">
        <v>2340.15</v>
      </c>
      <c r="F1184" s="116">
        <v>2256.1</v>
      </c>
      <c r="G1184">
        <v>18156</v>
      </c>
      <c r="H1184" s="116"/>
      <c r="I1184" s="116"/>
      <c r="L1184" s="170">
        <v>45211</v>
      </c>
      <c r="M1184" s="116">
        <v>2300.8000000000002</v>
      </c>
      <c r="N1184" s="116">
        <v>2324.75</v>
      </c>
      <c r="O1184" s="116">
        <v>2290.35</v>
      </c>
      <c r="P1184" s="116">
        <v>2301</v>
      </c>
      <c r="Q1184" s="116">
        <v>2300.8000000000002</v>
      </c>
      <c r="R1184">
        <v>200025</v>
      </c>
    </row>
    <row r="1185" spans="1:18" x14ac:dyDescent="0.25">
      <c r="A1185" s="170">
        <v>45217</v>
      </c>
      <c r="B1185" s="116">
        <v>2286.65</v>
      </c>
      <c r="C1185" s="116">
        <v>2230.9</v>
      </c>
      <c r="D1185" s="116">
        <v>2221</v>
      </c>
      <c r="E1185" s="116">
        <v>2286.65</v>
      </c>
      <c r="F1185" s="116">
        <v>2230.9</v>
      </c>
      <c r="G1185">
        <v>5561</v>
      </c>
      <c r="H1185" s="116"/>
      <c r="I1185" s="116"/>
      <c r="L1185" s="170">
        <v>45212</v>
      </c>
      <c r="M1185" s="116">
        <v>2292.5500000000002</v>
      </c>
      <c r="N1185" s="116">
        <v>2324</v>
      </c>
      <c r="O1185" s="116">
        <v>2278.3000000000002</v>
      </c>
      <c r="P1185" s="116">
        <v>2300</v>
      </c>
      <c r="Q1185" s="116">
        <v>2292.5500000000002</v>
      </c>
      <c r="R1185">
        <v>244249</v>
      </c>
    </row>
    <row r="1186" spans="1:18" x14ac:dyDescent="0.25">
      <c r="A1186" s="170">
        <v>45218</v>
      </c>
      <c r="B1186" s="116">
        <v>2234.3000000000002</v>
      </c>
      <c r="C1186" s="116">
        <v>2205</v>
      </c>
      <c r="D1186" s="116">
        <v>2187.75</v>
      </c>
      <c r="E1186" s="116">
        <v>2234.3000000000002</v>
      </c>
      <c r="F1186" s="116">
        <v>2205</v>
      </c>
      <c r="G1186">
        <v>7883</v>
      </c>
      <c r="H1186" s="116"/>
      <c r="I1186" s="116"/>
      <c r="L1186" s="170">
        <v>45215</v>
      </c>
      <c r="M1186" s="116">
        <v>2322.1</v>
      </c>
      <c r="N1186" s="116">
        <v>2373.35</v>
      </c>
      <c r="O1186" s="116">
        <v>2282</v>
      </c>
      <c r="P1186" s="116">
        <v>2322</v>
      </c>
      <c r="Q1186" s="116">
        <v>2322.1</v>
      </c>
      <c r="R1186">
        <v>1406372</v>
      </c>
    </row>
    <row r="1187" spans="1:18" x14ac:dyDescent="0.25">
      <c r="A1187" s="170">
        <v>45219</v>
      </c>
      <c r="B1187" s="116">
        <v>2210.5500000000002</v>
      </c>
      <c r="C1187" s="116">
        <v>2156</v>
      </c>
      <c r="D1187" s="116">
        <v>2152.6</v>
      </c>
      <c r="E1187" s="116">
        <v>2209.85</v>
      </c>
      <c r="F1187" s="116">
        <v>2156</v>
      </c>
      <c r="G1187">
        <v>2811</v>
      </c>
      <c r="H1187" s="116"/>
      <c r="I1187" s="116"/>
      <c r="L1187" s="170">
        <v>45216</v>
      </c>
      <c r="M1187" s="116">
        <v>2255.9</v>
      </c>
      <c r="N1187" s="116">
        <v>2314.1</v>
      </c>
      <c r="O1187" s="116">
        <v>2226.15</v>
      </c>
      <c r="P1187" s="116">
        <v>2301</v>
      </c>
      <c r="Q1187" s="116">
        <v>2255.9</v>
      </c>
      <c r="R1187">
        <v>699124</v>
      </c>
    </row>
    <row r="1188" spans="1:18" x14ac:dyDescent="0.25">
      <c r="A1188" s="170">
        <v>45222</v>
      </c>
      <c r="B1188" s="116">
        <v>2162</v>
      </c>
      <c r="C1188" s="116">
        <v>2076.1999999999998</v>
      </c>
      <c r="D1188" s="116">
        <v>2045.5</v>
      </c>
      <c r="E1188" s="116">
        <v>2160</v>
      </c>
      <c r="F1188" s="116">
        <v>2076.1999999999998</v>
      </c>
      <c r="G1188">
        <v>9005</v>
      </c>
      <c r="H1188" s="116"/>
      <c r="I1188" s="116"/>
      <c r="L1188" s="170">
        <v>45217</v>
      </c>
      <c r="M1188" s="116">
        <v>2230.75</v>
      </c>
      <c r="N1188" s="116">
        <v>2271.6999999999998</v>
      </c>
      <c r="O1188" s="116">
        <v>2219.4</v>
      </c>
      <c r="P1188" s="116">
        <v>2269.9</v>
      </c>
      <c r="Q1188" s="116">
        <v>2230.75</v>
      </c>
      <c r="R1188">
        <v>239604</v>
      </c>
    </row>
    <row r="1189" spans="1:18" x14ac:dyDescent="0.25">
      <c r="A1189" s="170">
        <v>45224</v>
      </c>
      <c r="B1189" s="116">
        <v>2096.5</v>
      </c>
      <c r="C1189" s="116">
        <v>2054.85</v>
      </c>
      <c r="D1189" s="116">
        <v>2038.55</v>
      </c>
      <c r="E1189" s="116">
        <v>2070.0500000000002</v>
      </c>
      <c r="F1189" s="116">
        <v>2054.85</v>
      </c>
      <c r="G1189">
        <v>6409</v>
      </c>
      <c r="H1189" s="116"/>
      <c r="I1189" s="116"/>
      <c r="L1189" s="170">
        <v>45218</v>
      </c>
      <c r="M1189" s="116">
        <v>2208</v>
      </c>
      <c r="N1189" s="116">
        <v>2235.9</v>
      </c>
      <c r="O1189" s="116">
        <v>2188.0500000000002</v>
      </c>
      <c r="P1189" s="116">
        <v>2235.9</v>
      </c>
      <c r="Q1189" s="116">
        <v>2208</v>
      </c>
      <c r="R1189">
        <v>284447</v>
      </c>
    </row>
    <row r="1190" spans="1:18" x14ac:dyDescent="0.25">
      <c r="A1190" s="170">
        <v>45225</v>
      </c>
      <c r="B1190" s="116">
        <v>2046.3</v>
      </c>
      <c r="C1190" s="116">
        <v>2015.35</v>
      </c>
      <c r="D1190" s="116">
        <v>1998</v>
      </c>
      <c r="E1190" s="116">
        <v>2045.75</v>
      </c>
      <c r="F1190" s="116">
        <v>2015.35</v>
      </c>
      <c r="G1190">
        <v>3496</v>
      </c>
      <c r="H1190" s="116"/>
      <c r="I1190" s="116"/>
      <c r="L1190" s="170">
        <v>45219</v>
      </c>
      <c r="M1190" s="116">
        <v>2158.0500000000002</v>
      </c>
      <c r="N1190" s="116">
        <v>2214.9</v>
      </c>
      <c r="O1190" s="116">
        <v>2151.85</v>
      </c>
      <c r="P1190" s="116">
        <v>2214.8000000000002</v>
      </c>
      <c r="Q1190" s="116">
        <v>2158.0500000000002</v>
      </c>
      <c r="R1190">
        <v>334304</v>
      </c>
    </row>
    <row r="1191" spans="1:18" x14ac:dyDescent="0.25">
      <c r="A1191" s="170">
        <v>45226</v>
      </c>
      <c r="B1191" s="116">
        <v>2052.25</v>
      </c>
      <c r="C1191" s="116">
        <v>2038.7</v>
      </c>
      <c r="D1191" s="116">
        <v>2026.2</v>
      </c>
      <c r="E1191" s="116">
        <v>2026.25</v>
      </c>
      <c r="F1191" s="116">
        <v>2038.7</v>
      </c>
      <c r="G1191">
        <v>2363</v>
      </c>
      <c r="H1191" s="116"/>
      <c r="I1191" s="116"/>
      <c r="L1191" s="170">
        <v>45222</v>
      </c>
      <c r="M1191" s="116">
        <v>2075.4499999999998</v>
      </c>
      <c r="N1191" s="116">
        <v>2169.4</v>
      </c>
      <c r="O1191" s="116">
        <v>2045.1</v>
      </c>
      <c r="P1191" s="116">
        <v>2169.4</v>
      </c>
      <c r="Q1191" s="116">
        <v>2075.4499999999998</v>
      </c>
      <c r="R1191">
        <v>841644</v>
      </c>
    </row>
    <row r="1192" spans="1:18" x14ac:dyDescent="0.25">
      <c r="A1192" s="170">
        <v>45229</v>
      </c>
      <c r="B1192" s="116">
        <v>2068.1999999999998</v>
      </c>
      <c r="C1192" s="116">
        <v>2044.4</v>
      </c>
      <c r="D1192" s="116">
        <v>2025.45</v>
      </c>
      <c r="E1192" s="116">
        <v>2049.9499999999998</v>
      </c>
      <c r="F1192" s="116">
        <v>2044.4</v>
      </c>
      <c r="G1192">
        <v>4752</v>
      </c>
      <c r="H1192" s="116"/>
      <c r="I1192" s="116"/>
      <c r="L1192" s="170">
        <v>45224</v>
      </c>
      <c r="M1192" s="116">
        <v>2057.25</v>
      </c>
      <c r="N1192" s="116">
        <v>2096.3000000000002</v>
      </c>
      <c r="O1192" s="116">
        <v>2040.4</v>
      </c>
      <c r="P1192" s="116">
        <v>2074.9499999999998</v>
      </c>
      <c r="Q1192" s="116">
        <v>2057.25</v>
      </c>
      <c r="R1192">
        <v>289021</v>
      </c>
    </row>
    <row r="1193" spans="1:18" x14ac:dyDescent="0.25">
      <c r="A1193" s="170">
        <v>45230</v>
      </c>
      <c r="B1193" s="116">
        <v>2110.35</v>
      </c>
      <c r="C1193" s="116">
        <v>2100.4</v>
      </c>
      <c r="D1193" s="116">
        <v>2054.9499999999998</v>
      </c>
      <c r="E1193" s="116">
        <v>2054.9499999999998</v>
      </c>
      <c r="F1193" s="116">
        <v>2100.4</v>
      </c>
      <c r="G1193">
        <v>5324</v>
      </c>
      <c r="H1193" s="116"/>
      <c r="I1193" s="116"/>
      <c r="L1193" s="170">
        <v>45225</v>
      </c>
      <c r="M1193" s="116">
        <v>2015.6</v>
      </c>
      <c r="N1193" s="116">
        <v>2050.6</v>
      </c>
      <c r="O1193" s="116">
        <v>1995.05</v>
      </c>
      <c r="P1193" s="116">
        <v>2040.05</v>
      </c>
      <c r="Q1193" s="116">
        <v>2015.6</v>
      </c>
      <c r="R1193">
        <v>242006</v>
      </c>
    </row>
    <row r="1194" spans="1:18" x14ac:dyDescent="0.25">
      <c r="A1194" s="170">
        <v>45231</v>
      </c>
      <c r="B1194" s="116">
        <v>2116.65</v>
      </c>
      <c r="C1194" s="116">
        <v>2067.65</v>
      </c>
      <c r="D1194" s="116">
        <v>2065.5</v>
      </c>
      <c r="E1194" s="116">
        <v>2116.65</v>
      </c>
      <c r="F1194" s="116">
        <v>2067.65</v>
      </c>
      <c r="G1194">
        <v>2026</v>
      </c>
      <c r="H1194" s="116"/>
      <c r="I1194" s="116"/>
      <c r="L1194" s="170">
        <v>45226</v>
      </c>
      <c r="M1194" s="116">
        <v>2038.5</v>
      </c>
      <c r="N1194" s="116">
        <v>2055.4</v>
      </c>
      <c r="O1194" s="116">
        <v>2023.65</v>
      </c>
      <c r="P1194" s="116">
        <v>2026.2</v>
      </c>
      <c r="Q1194" s="116">
        <v>2038.5</v>
      </c>
      <c r="R1194">
        <v>159841</v>
      </c>
    </row>
    <row r="1195" spans="1:18" x14ac:dyDescent="0.25">
      <c r="A1195" s="170">
        <v>45232</v>
      </c>
      <c r="B1195" s="116">
        <v>2104.35</v>
      </c>
      <c r="C1195" s="116">
        <v>2080.1999999999998</v>
      </c>
      <c r="D1195" s="116">
        <v>2071.0500000000002</v>
      </c>
      <c r="E1195" s="116">
        <v>2071.0500000000002</v>
      </c>
      <c r="F1195" s="116">
        <v>2080.1999999999998</v>
      </c>
      <c r="G1195">
        <v>2569</v>
      </c>
      <c r="H1195" s="116"/>
      <c r="I1195" s="116"/>
      <c r="L1195" s="170">
        <v>45229</v>
      </c>
      <c r="M1195" s="116">
        <v>2043.95</v>
      </c>
      <c r="N1195" s="116">
        <v>2070.0500000000002</v>
      </c>
      <c r="O1195" s="116">
        <v>2025</v>
      </c>
      <c r="P1195" s="116">
        <v>2049.1999999999998</v>
      </c>
      <c r="Q1195" s="116">
        <v>2043.95</v>
      </c>
      <c r="R1195">
        <v>232897</v>
      </c>
    </row>
    <row r="1196" spans="1:18" x14ac:dyDescent="0.25">
      <c r="A1196" s="170">
        <v>45233</v>
      </c>
      <c r="B1196" s="116">
        <v>2121.8000000000002</v>
      </c>
      <c r="C1196" s="116">
        <v>2074.6999999999998</v>
      </c>
      <c r="D1196" s="116">
        <v>2067.1</v>
      </c>
      <c r="E1196" s="116">
        <v>2121.8000000000002</v>
      </c>
      <c r="F1196" s="116">
        <v>2074.6999999999998</v>
      </c>
      <c r="G1196">
        <v>4366</v>
      </c>
      <c r="H1196" s="116"/>
      <c r="I1196" s="116"/>
      <c r="L1196" s="170">
        <v>45230</v>
      </c>
      <c r="M1196" s="116">
        <v>2104.25</v>
      </c>
      <c r="N1196" s="116">
        <v>2109.8000000000002</v>
      </c>
      <c r="O1196" s="116">
        <v>2050.0500000000002</v>
      </c>
      <c r="P1196" s="116">
        <v>2054.9</v>
      </c>
      <c r="Q1196" s="116">
        <v>2104.25</v>
      </c>
      <c r="R1196">
        <v>481220</v>
      </c>
    </row>
    <row r="1197" spans="1:18" x14ac:dyDescent="0.25">
      <c r="A1197" s="170">
        <v>45236</v>
      </c>
      <c r="B1197" s="116">
        <v>2113.5500000000002</v>
      </c>
      <c r="C1197" s="116">
        <v>2101.6999999999998</v>
      </c>
      <c r="D1197" s="116">
        <v>2065.0500000000002</v>
      </c>
      <c r="E1197" s="116">
        <v>2065.0500000000002</v>
      </c>
      <c r="F1197" s="116">
        <v>2101.6999999999998</v>
      </c>
      <c r="G1197">
        <v>6894</v>
      </c>
      <c r="H1197" s="116"/>
      <c r="I1197" s="116"/>
      <c r="L1197" s="170">
        <v>45231</v>
      </c>
      <c r="M1197" s="116">
        <v>2072.5</v>
      </c>
      <c r="N1197" s="116">
        <v>2119.4</v>
      </c>
      <c r="O1197" s="116">
        <v>2065.0500000000002</v>
      </c>
      <c r="P1197" s="116">
        <v>2119.4</v>
      </c>
      <c r="Q1197" s="116">
        <v>2072.5</v>
      </c>
      <c r="R1197">
        <v>183930</v>
      </c>
    </row>
    <row r="1198" spans="1:18" x14ac:dyDescent="0.25">
      <c r="A1198" s="170">
        <v>45237</v>
      </c>
      <c r="B1198" s="116">
        <v>2116.6999999999998</v>
      </c>
      <c r="C1198" s="116">
        <v>2088.85</v>
      </c>
      <c r="D1198" s="116">
        <v>2072.75</v>
      </c>
      <c r="E1198" s="116">
        <v>2115</v>
      </c>
      <c r="F1198" s="116">
        <v>2088.85</v>
      </c>
      <c r="G1198">
        <v>6950</v>
      </c>
      <c r="H1198" s="116"/>
      <c r="I1198" s="116"/>
      <c r="L1198" s="170">
        <v>45232</v>
      </c>
      <c r="M1198" s="116">
        <v>2077.3000000000002</v>
      </c>
      <c r="N1198" s="116">
        <v>2103.9499999999998</v>
      </c>
      <c r="O1198" s="116">
        <v>2070.4499999999998</v>
      </c>
      <c r="P1198" s="116">
        <v>2079.9499999999998</v>
      </c>
      <c r="Q1198" s="116">
        <v>2077.3000000000002</v>
      </c>
      <c r="R1198">
        <v>199015</v>
      </c>
    </row>
    <row r="1199" spans="1:18" x14ac:dyDescent="0.25">
      <c r="A1199" s="170">
        <v>45238</v>
      </c>
      <c r="B1199" s="116">
        <v>2150</v>
      </c>
      <c r="C1199" s="116">
        <v>2123.1</v>
      </c>
      <c r="D1199" s="116">
        <v>2090</v>
      </c>
      <c r="E1199" s="116">
        <v>2094.9499999999998</v>
      </c>
      <c r="F1199" s="116">
        <v>2123.1</v>
      </c>
      <c r="G1199">
        <v>3053</v>
      </c>
      <c r="H1199" s="116"/>
      <c r="I1199" s="116"/>
      <c r="L1199" s="170">
        <v>45233</v>
      </c>
      <c r="M1199" s="116">
        <v>2073.65</v>
      </c>
      <c r="N1199" s="116">
        <v>2100</v>
      </c>
      <c r="O1199" s="116">
        <v>2066.8000000000002</v>
      </c>
      <c r="P1199" s="116">
        <v>2092</v>
      </c>
      <c r="Q1199" s="116">
        <v>2073.65</v>
      </c>
      <c r="R1199">
        <v>107498</v>
      </c>
    </row>
    <row r="1200" spans="1:18" x14ac:dyDescent="0.25">
      <c r="A1200" s="170">
        <v>45239</v>
      </c>
      <c r="B1200" s="116">
        <v>2135</v>
      </c>
      <c r="C1200" s="116">
        <v>2094.6</v>
      </c>
      <c r="D1200" s="116">
        <v>2091</v>
      </c>
      <c r="E1200" s="116">
        <v>2125.4499999999998</v>
      </c>
      <c r="F1200" s="116">
        <v>2094.6</v>
      </c>
      <c r="G1200">
        <v>2116</v>
      </c>
      <c r="H1200" s="116"/>
      <c r="I1200" s="116"/>
      <c r="L1200" s="170">
        <v>45236</v>
      </c>
      <c r="M1200" s="116">
        <v>2099.9</v>
      </c>
      <c r="N1200" s="116">
        <v>2113.4499999999998</v>
      </c>
      <c r="O1200" s="116">
        <v>2073.6999999999998</v>
      </c>
      <c r="P1200" s="116">
        <v>2073.6999999999998</v>
      </c>
      <c r="Q1200" s="116">
        <v>2099.9</v>
      </c>
      <c r="R1200">
        <v>202015</v>
      </c>
    </row>
    <row r="1201" spans="1:18" x14ac:dyDescent="0.25">
      <c r="A1201" s="170">
        <v>45240</v>
      </c>
      <c r="B1201" s="116">
        <v>2104.25</v>
      </c>
      <c r="C1201" s="116">
        <v>2090.1</v>
      </c>
      <c r="D1201" s="116">
        <v>2067.6</v>
      </c>
      <c r="E1201" s="116">
        <v>2070.0500000000002</v>
      </c>
      <c r="F1201" s="116">
        <v>2090.1</v>
      </c>
      <c r="G1201">
        <v>4761</v>
      </c>
      <c r="H1201" s="116"/>
      <c r="I1201" s="116"/>
      <c r="L1201" s="170">
        <v>45237</v>
      </c>
      <c r="M1201" s="116">
        <v>2089.6999999999998</v>
      </c>
      <c r="N1201" s="116">
        <v>2119.9499999999998</v>
      </c>
      <c r="O1201" s="116">
        <v>2072.0500000000002</v>
      </c>
      <c r="P1201" s="116">
        <v>2117.5</v>
      </c>
      <c r="Q1201" s="116">
        <v>2089.6999999999998</v>
      </c>
      <c r="R1201">
        <v>173203</v>
      </c>
    </row>
    <row r="1202" spans="1:18" x14ac:dyDescent="0.25">
      <c r="A1202" s="170">
        <v>45242</v>
      </c>
      <c r="B1202" s="116">
        <v>2129.9499999999998</v>
      </c>
      <c r="C1202" s="116">
        <v>2105.9</v>
      </c>
      <c r="D1202" s="116">
        <v>2100.0500000000002</v>
      </c>
      <c r="E1202" s="116">
        <v>2129.9499999999998</v>
      </c>
      <c r="F1202" s="116">
        <v>2105.9</v>
      </c>
      <c r="G1202">
        <v>1128</v>
      </c>
      <c r="H1202" s="116"/>
      <c r="I1202" s="116"/>
      <c r="L1202" s="170">
        <v>45238</v>
      </c>
      <c r="M1202" s="116">
        <v>2123.8000000000002</v>
      </c>
      <c r="N1202" s="116">
        <v>2150</v>
      </c>
      <c r="O1202" s="116">
        <v>2081</v>
      </c>
      <c r="P1202" s="116">
        <v>2081</v>
      </c>
      <c r="Q1202" s="116">
        <v>2123.8000000000002</v>
      </c>
      <c r="R1202">
        <v>337527</v>
      </c>
    </row>
    <row r="1203" spans="1:18" x14ac:dyDescent="0.25">
      <c r="A1203" s="170">
        <v>45243</v>
      </c>
      <c r="B1203" s="116">
        <v>2148.0500000000002</v>
      </c>
      <c r="C1203" s="116">
        <v>2110.15</v>
      </c>
      <c r="D1203" s="116">
        <v>2093.25</v>
      </c>
      <c r="E1203" s="116">
        <v>2148.0500000000002</v>
      </c>
      <c r="F1203" s="116">
        <v>2110.15</v>
      </c>
      <c r="G1203">
        <v>2700</v>
      </c>
      <c r="H1203" s="116"/>
      <c r="I1203" s="116"/>
      <c r="L1203" s="170">
        <v>45239</v>
      </c>
      <c r="M1203" s="116">
        <v>2094.4499999999998</v>
      </c>
      <c r="N1203" s="116">
        <v>2136.9</v>
      </c>
      <c r="O1203" s="116">
        <v>2090</v>
      </c>
      <c r="P1203" s="116">
        <v>2128.9499999999998</v>
      </c>
      <c r="Q1203" s="116">
        <v>2094.4499999999998</v>
      </c>
      <c r="R1203">
        <v>90423</v>
      </c>
    </row>
    <row r="1204" spans="1:18" x14ac:dyDescent="0.25">
      <c r="A1204" s="170">
        <v>45245</v>
      </c>
      <c r="B1204" s="116">
        <v>2169</v>
      </c>
      <c r="C1204" s="116">
        <v>2121.6</v>
      </c>
      <c r="D1204" s="116">
        <v>2110.5500000000002</v>
      </c>
      <c r="E1204" s="116">
        <v>2110.5500000000002</v>
      </c>
      <c r="F1204" s="116">
        <v>2121.6</v>
      </c>
      <c r="G1204">
        <v>7719</v>
      </c>
      <c r="H1204" s="116"/>
      <c r="I1204" s="116"/>
      <c r="L1204" s="170">
        <v>45240</v>
      </c>
      <c r="M1204" s="116">
        <v>2089.5</v>
      </c>
      <c r="N1204" s="116">
        <v>2105</v>
      </c>
      <c r="O1204" s="116">
        <v>2066.1</v>
      </c>
      <c r="P1204" s="116">
        <v>2081.25</v>
      </c>
      <c r="Q1204" s="116">
        <v>2089.5</v>
      </c>
      <c r="R1204">
        <v>153274</v>
      </c>
    </row>
    <row r="1205" spans="1:18" x14ac:dyDescent="0.25">
      <c r="A1205" s="170">
        <v>45246</v>
      </c>
      <c r="B1205" s="116">
        <v>2166.6</v>
      </c>
      <c r="C1205" s="116">
        <v>2161.4499999999998</v>
      </c>
      <c r="D1205" s="116">
        <v>2110</v>
      </c>
      <c r="E1205" s="116">
        <v>2130</v>
      </c>
      <c r="F1205" s="116">
        <v>2161.4499999999998</v>
      </c>
      <c r="G1205">
        <v>2712</v>
      </c>
      <c r="H1205" s="116"/>
      <c r="I1205" s="116"/>
      <c r="L1205" s="170">
        <v>45242</v>
      </c>
      <c r="M1205" s="116">
        <v>2104.6</v>
      </c>
      <c r="N1205" s="116">
        <v>2124</v>
      </c>
      <c r="O1205" s="116">
        <v>2095.1999999999998</v>
      </c>
      <c r="P1205" s="116">
        <v>2124</v>
      </c>
      <c r="Q1205" s="116">
        <v>2104.6</v>
      </c>
      <c r="R1205">
        <v>37811</v>
      </c>
    </row>
    <row r="1206" spans="1:18" x14ac:dyDescent="0.25">
      <c r="A1206" s="170">
        <v>45247</v>
      </c>
      <c r="B1206" s="116">
        <v>2217.8000000000002</v>
      </c>
      <c r="C1206" s="116">
        <v>2206.85</v>
      </c>
      <c r="D1206" s="116">
        <v>2156.0500000000002</v>
      </c>
      <c r="E1206" s="116">
        <v>2170</v>
      </c>
      <c r="F1206" s="116">
        <v>2206.85</v>
      </c>
      <c r="G1206">
        <v>11644</v>
      </c>
      <c r="H1206" s="116"/>
      <c r="I1206" s="116"/>
      <c r="L1206" s="170">
        <v>45243</v>
      </c>
      <c r="M1206" s="116">
        <v>2110.5</v>
      </c>
      <c r="N1206" s="116">
        <v>2119.75</v>
      </c>
      <c r="O1206" s="116">
        <v>2091</v>
      </c>
      <c r="P1206" s="116">
        <v>2100</v>
      </c>
      <c r="Q1206" s="116">
        <v>2110.5</v>
      </c>
      <c r="R1206">
        <v>64937</v>
      </c>
    </row>
    <row r="1207" spans="1:18" x14ac:dyDescent="0.25">
      <c r="A1207" s="170">
        <v>45250</v>
      </c>
      <c r="B1207" s="116">
        <v>2220.1</v>
      </c>
      <c r="C1207" s="116">
        <v>2201.6999999999998</v>
      </c>
      <c r="D1207" s="116">
        <v>2187.65</v>
      </c>
      <c r="E1207" s="116">
        <v>2200.0500000000002</v>
      </c>
      <c r="F1207" s="116">
        <v>2201.6999999999998</v>
      </c>
      <c r="G1207">
        <v>4116</v>
      </c>
      <c r="H1207" s="116"/>
      <c r="I1207" s="116"/>
      <c r="L1207" s="170">
        <v>45245</v>
      </c>
      <c r="M1207" s="116">
        <v>2122.1999999999998</v>
      </c>
      <c r="N1207" s="116">
        <v>2190.5</v>
      </c>
      <c r="O1207" s="116">
        <v>2117</v>
      </c>
      <c r="P1207" s="116">
        <v>2190.5</v>
      </c>
      <c r="Q1207" s="116">
        <v>2122.1999999999998</v>
      </c>
      <c r="R1207">
        <v>466308</v>
      </c>
    </row>
    <row r="1208" spans="1:18" x14ac:dyDescent="0.25">
      <c r="A1208" s="170">
        <v>45251</v>
      </c>
      <c r="B1208" s="116">
        <v>2227.35</v>
      </c>
      <c r="C1208" s="116">
        <v>2212.15</v>
      </c>
      <c r="D1208" s="116">
        <v>2194.15</v>
      </c>
      <c r="E1208" s="116">
        <v>2216.9499999999998</v>
      </c>
      <c r="F1208" s="116">
        <v>2212.15</v>
      </c>
      <c r="G1208">
        <v>4030</v>
      </c>
      <c r="H1208" s="116"/>
      <c r="I1208" s="116"/>
      <c r="L1208" s="170">
        <v>45246</v>
      </c>
      <c r="M1208" s="116">
        <v>2161.1</v>
      </c>
      <c r="N1208" s="116">
        <v>2166.75</v>
      </c>
      <c r="O1208" s="116">
        <v>2109.6</v>
      </c>
      <c r="P1208" s="116">
        <v>2139</v>
      </c>
      <c r="Q1208" s="116">
        <v>2161.1</v>
      </c>
      <c r="R1208">
        <v>209388</v>
      </c>
    </row>
    <row r="1209" spans="1:18" x14ac:dyDescent="0.25">
      <c r="A1209" s="170">
        <v>45252</v>
      </c>
      <c r="B1209" s="116">
        <v>2210.5</v>
      </c>
      <c r="C1209" s="116">
        <v>2156</v>
      </c>
      <c r="D1209" s="116">
        <v>2142.5500000000002</v>
      </c>
      <c r="E1209" s="116">
        <v>2180.9499999999998</v>
      </c>
      <c r="F1209" s="116">
        <v>2156</v>
      </c>
      <c r="G1209">
        <v>3155</v>
      </c>
      <c r="H1209" s="116"/>
      <c r="I1209" s="116"/>
      <c r="L1209" s="170">
        <v>45247</v>
      </c>
      <c r="M1209" s="116">
        <v>2207.65</v>
      </c>
      <c r="N1209" s="116">
        <v>2218</v>
      </c>
      <c r="O1209" s="116">
        <v>2152.1</v>
      </c>
      <c r="P1209" s="116">
        <v>2165</v>
      </c>
      <c r="Q1209" s="116">
        <v>2207.65</v>
      </c>
      <c r="R1209">
        <v>415479</v>
      </c>
    </row>
    <row r="1210" spans="1:18" x14ac:dyDescent="0.25">
      <c r="A1210" s="170">
        <v>45253</v>
      </c>
      <c r="B1210" s="116">
        <v>2203.25</v>
      </c>
      <c r="C1210" s="116">
        <v>2185.85</v>
      </c>
      <c r="D1210" s="116">
        <v>2158.15</v>
      </c>
      <c r="E1210" s="116">
        <v>2185.6999999999998</v>
      </c>
      <c r="F1210" s="116">
        <v>2185.85</v>
      </c>
      <c r="G1210">
        <v>4332</v>
      </c>
      <c r="H1210" s="116"/>
      <c r="I1210" s="116"/>
      <c r="L1210" s="170">
        <v>45250</v>
      </c>
      <c r="M1210" s="116">
        <v>2203.4</v>
      </c>
      <c r="N1210" s="116">
        <v>2219.9499999999998</v>
      </c>
      <c r="O1210" s="116">
        <v>2184.5</v>
      </c>
      <c r="P1210" s="116">
        <v>2209.9499999999998</v>
      </c>
      <c r="Q1210" s="116">
        <v>2203.4</v>
      </c>
      <c r="R1210">
        <v>371620</v>
      </c>
    </row>
    <row r="1211" spans="1:18" x14ac:dyDescent="0.25">
      <c r="A1211" s="170">
        <v>45254</v>
      </c>
      <c r="B1211" s="116">
        <v>2260.65</v>
      </c>
      <c r="C1211" s="116">
        <v>2227.9</v>
      </c>
      <c r="D1211" s="116">
        <v>2163.8000000000002</v>
      </c>
      <c r="E1211" s="116">
        <v>2187.15</v>
      </c>
      <c r="F1211" s="116">
        <v>2227.9</v>
      </c>
      <c r="G1211">
        <v>10230</v>
      </c>
      <c r="H1211" s="116"/>
      <c r="I1211" s="116"/>
      <c r="L1211" s="170">
        <v>45251</v>
      </c>
      <c r="M1211" s="116">
        <v>2212.4</v>
      </c>
      <c r="N1211" s="116">
        <v>2228.6</v>
      </c>
      <c r="O1211" s="116">
        <v>2191.85</v>
      </c>
      <c r="P1211" s="116">
        <v>2205</v>
      </c>
      <c r="Q1211" s="116">
        <v>2212.4</v>
      </c>
      <c r="R1211">
        <v>275073</v>
      </c>
    </row>
    <row r="1212" spans="1:18" x14ac:dyDescent="0.25">
      <c r="A1212" s="170">
        <v>45258</v>
      </c>
      <c r="B1212" s="116">
        <v>2251.9499999999998</v>
      </c>
      <c r="C1212" s="116">
        <v>2206.25</v>
      </c>
      <c r="D1212" s="116">
        <v>2202.6999999999998</v>
      </c>
      <c r="E1212" s="116">
        <v>2213.0500000000002</v>
      </c>
      <c r="F1212" s="116">
        <v>2206.25</v>
      </c>
      <c r="G1212">
        <v>3338</v>
      </c>
      <c r="H1212" s="116"/>
      <c r="I1212" s="116"/>
      <c r="L1212" s="170">
        <v>45252</v>
      </c>
      <c r="M1212" s="116">
        <v>2155.25</v>
      </c>
      <c r="N1212" s="116">
        <v>2216</v>
      </c>
      <c r="O1212" s="116">
        <v>2141.8000000000002</v>
      </c>
      <c r="P1212" s="116">
        <v>2212.4</v>
      </c>
      <c r="Q1212" s="116">
        <v>2155.25</v>
      </c>
      <c r="R1212">
        <v>217410</v>
      </c>
    </row>
    <row r="1213" spans="1:18" x14ac:dyDescent="0.25">
      <c r="A1213" s="170">
        <v>45259</v>
      </c>
      <c r="B1213" s="116">
        <v>2241.15</v>
      </c>
      <c r="C1213" s="116">
        <v>2199.5500000000002</v>
      </c>
      <c r="D1213" s="116">
        <v>2177.0500000000002</v>
      </c>
      <c r="E1213" s="116">
        <v>2200.15</v>
      </c>
      <c r="F1213" s="116">
        <v>2199.5500000000002</v>
      </c>
      <c r="G1213">
        <v>5527</v>
      </c>
      <c r="H1213" s="116"/>
      <c r="I1213" s="116"/>
      <c r="L1213" s="170">
        <v>45253</v>
      </c>
      <c r="M1213" s="116">
        <v>2185</v>
      </c>
      <c r="N1213" s="116">
        <v>2204.9499999999998</v>
      </c>
      <c r="O1213" s="116">
        <v>2157.65</v>
      </c>
      <c r="P1213" s="116">
        <v>2170</v>
      </c>
      <c r="Q1213" s="116">
        <v>2185</v>
      </c>
      <c r="R1213">
        <v>275629</v>
      </c>
    </row>
    <row r="1214" spans="1:18" x14ac:dyDescent="0.25">
      <c r="A1214" s="170">
        <v>45260</v>
      </c>
      <c r="B1214" s="116">
        <v>2250</v>
      </c>
      <c r="C1214" s="116">
        <v>2221.1</v>
      </c>
      <c r="D1214" s="116">
        <v>2187.15</v>
      </c>
      <c r="E1214" s="116">
        <v>2187.15</v>
      </c>
      <c r="F1214" s="116">
        <v>2221.1</v>
      </c>
      <c r="G1214">
        <v>20518</v>
      </c>
      <c r="H1214" s="116"/>
      <c r="I1214" s="116"/>
      <c r="L1214" s="170">
        <v>45254</v>
      </c>
      <c r="M1214" s="116">
        <v>2231.1</v>
      </c>
      <c r="N1214" s="116">
        <v>2260.4499999999998</v>
      </c>
      <c r="O1214" s="116">
        <v>2164.0500000000002</v>
      </c>
      <c r="P1214" s="116">
        <v>2190</v>
      </c>
      <c r="Q1214" s="116">
        <v>2231.1</v>
      </c>
      <c r="R1214">
        <v>464733</v>
      </c>
    </row>
    <row r="1215" spans="1:18" x14ac:dyDescent="0.25">
      <c r="A1215" s="170">
        <v>45261</v>
      </c>
      <c r="B1215" s="116">
        <v>2274.75</v>
      </c>
      <c r="C1215" s="116">
        <v>2265</v>
      </c>
      <c r="D1215" s="116">
        <v>2221</v>
      </c>
      <c r="E1215" s="116">
        <v>2235.3000000000002</v>
      </c>
      <c r="F1215" s="116">
        <v>2265</v>
      </c>
      <c r="G1215">
        <v>213167</v>
      </c>
      <c r="H1215" s="116"/>
      <c r="I1215" s="116"/>
      <c r="L1215" s="170">
        <v>45258</v>
      </c>
      <c r="M1215" s="116">
        <v>2206.1999999999998</v>
      </c>
      <c r="N1215" s="116">
        <v>2252.1999999999998</v>
      </c>
      <c r="O1215" s="116">
        <v>2201.6</v>
      </c>
      <c r="P1215" s="116">
        <v>2230</v>
      </c>
      <c r="Q1215" s="116">
        <v>2206.1999999999998</v>
      </c>
      <c r="R1215">
        <v>262585</v>
      </c>
    </row>
    <row r="1216" spans="1:18" x14ac:dyDescent="0.25">
      <c r="A1216" s="170">
        <v>45264</v>
      </c>
      <c r="B1216" s="116">
        <v>2328.35</v>
      </c>
      <c r="C1216" s="116">
        <v>2307.3000000000002</v>
      </c>
      <c r="D1216" s="116">
        <v>2250.0500000000002</v>
      </c>
      <c r="E1216" s="116">
        <v>2250.0500000000002</v>
      </c>
      <c r="F1216" s="116">
        <v>2307.3000000000002</v>
      </c>
      <c r="G1216">
        <v>10146</v>
      </c>
      <c r="H1216" s="116"/>
      <c r="I1216" s="116"/>
      <c r="L1216" s="170">
        <v>45259</v>
      </c>
      <c r="M1216" s="116">
        <v>2202.6</v>
      </c>
      <c r="N1216" s="116">
        <v>2242.85</v>
      </c>
      <c r="O1216" s="116">
        <v>2178.75</v>
      </c>
      <c r="P1216" s="116">
        <v>2216</v>
      </c>
      <c r="Q1216" s="116">
        <v>2202.6</v>
      </c>
      <c r="R1216">
        <v>303993</v>
      </c>
    </row>
    <row r="1217" spans="1:18" x14ac:dyDescent="0.25">
      <c r="A1217" s="170">
        <v>45265</v>
      </c>
      <c r="B1217" s="116">
        <v>2360.85</v>
      </c>
      <c r="C1217" s="116">
        <v>2350.0500000000002</v>
      </c>
      <c r="D1217" s="116">
        <v>2296</v>
      </c>
      <c r="E1217" s="116">
        <v>2312.15</v>
      </c>
      <c r="F1217" s="116">
        <v>2350.0500000000002</v>
      </c>
      <c r="G1217">
        <v>9131</v>
      </c>
      <c r="H1217" s="116"/>
      <c r="I1217" s="116"/>
      <c r="L1217" s="170">
        <v>45260</v>
      </c>
      <c r="M1217" s="116">
        <v>2217.5500000000002</v>
      </c>
      <c r="N1217" s="116">
        <v>2251.65</v>
      </c>
      <c r="O1217" s="116">
        <v>2192.1999999999998</v>
      </c>
      <c r="P1217" s="116">
        <v>2195</v>
      </c>
      <c r="Q1217" s="116">
        <v>2217.5500000000002</v>
      </c>
      <c r="R1217">
        <v>2753466</v>
      </c>
    </row>
    <row r="1218" spans="1:18" x14ac:dyDescent="0.25">
      <c r="A1218" s="170">
        <v>45266</v>
      </c>
      <c r="B1218" s="116">
        <v>2374.9</v>
      </c>
      <c r="C1218" s="116">
        <v>2361.3000000000002</v>
      </c>
      <c r="D1218" s="116">
        <v>2306.1999999999998</v>
      </c>
      <c r="E1218" s="116">
        <v>2374.9</v>
      </c>
      <c r="F1218" s="116">
        <v>2361.3000000000002</v>
      </c>
      <c r="G1218">
        <v>14786</v>
      </c>
      <c r="H1218" s="116"/>
      <c r="I1218" s="116"/>
      <c r="L1218" s="170">
        <v>45261</v>
      </c>
      <c r="M1218" s="116">
        <v>2265.15</v>
      </c>
      <c r="N1218" s="116">
        <v>2275</v>
      </c>
      <c r="O1218" s="116">
        <v>2219.5500000000002</v>
      </c>
      <c r="P1218" s="116">
        <v>2245.35</v>
      </c>
      <c r="Q1218" s="116">
        <v>2265.15</v>
      </c>
      <c r="R1218">
        <v>354401</v>
      </c>
    </row>
    <row r="1219" spans="1:18" x14ac:dyDescent="0.25">
      <c r="A1219" s="170">
        <v>45267</v>
      </c>
      <c r="B1219" s="116">
        <v>2375</v>
      </c>
      <c r="C1219" s="116">
        <v>2358.6999999999998</v>
      </c>
      <c r="D1219" s="116">
        <v>2341.8000000000002</v>
      </c>
      <c r="E1219" s="116">
        <v>2375</v>
      </c>
      <c r="F1219" s="116">
        <v>2358.6999999999998</v>
      </c>
      <c r="G1219">
        <v>9121</v>
      </c>
      <c r="H1219" s="116"/>
      <c r="I1219" s="116"/>
      <c r="L1219" s="170">
        <v>45264</v>
      </c>
      <c r="M1219" s="116">
        <v>2307.5500000000002</v>
      </c>
      <c r="N1219" s="116">
        <v>2328.9</v>
      </c>
      <c r="O1219" s="116">
        <v>2268.1</v>
      </c>
      <c r="P1219" s="116">
        <v>2268.1</v>
      </c>
      <c r="Q1219" s="116">
        <v>2307.5500000000002</v>
      </c>
      <c r="R1219">
        <v>608378</v>
      </c>
    </row>
    <row r="1220" spans="1:18" x14ac:dyDescent="0.25">
      <c r="A1220" s="170">
        <v>45268</v>
      </c>
      <c r="B1220" s="116">
        <v>2375</v>
      </c>
      <c r="C1220" s="116">
        <v>2330.6999999999998</v>
      </c>
      <c r="D1220" s="116">
        <v>2294.1</v>
      </c>
      <c r="E1220" s="116">
        <v>2355</v>
      </c>
      <c r="F1220" s="116">
        <v>2330.6999999999998</v>
      </c>
      <c r="G1220">
        <v>9641</v>
      </c>
      <c r="H1220" s="116"/>
      <c r="I1220" s="116"/>
      <c r="L1220" s="170">
        <v>45265</v>
      </c>
      <c r="M1220" s="116">
        <v>2349.35</v>
      </c>
      <c r="N1220" s="116">
        <v>2361</v>
      </c>
      <c r="O1220" s="116">
        <v>2293.4499999999998</v>
      </c>
      <c r="P1220" s="116">
        <v>2300.6999999999998</v>
      </c>
      <c r="Q1220" s="116">
        <v>2349.35</v>
      </c>
      <c r="R1220">
        <v>593144</v>
      </c>
    </row>
    <row r="1221" spans="1:18" x14ac:dyDescent="0.25">
      <c r="A1221" s="170">
        <v>45271</v>
      </c>
      <c r="B1221" s="116">
        <v>2356.4</v>
      </c>
      <c r="C1221" s="116">
        <v>2340.85</v>
      </c>
      <c r="D1221" s="116">
        <v>2302.8000000000002</v>
      </c>
      <c r="E1221" s="116">
        <v>2341.3000000000002</v>
      </c>
      <c r="F1221" s="116">
        <v>2340.85</v>
      </c>
      <c r="G1221">
        <v>5580</v>
      </c>
      <c r="H1221" s="116"/>
      <c r="I1221" s="116"/>
      <c r="L1221" s="170">
        <v>45266</v>
      </c>
      <c r="M1221" s="116">
        <v>2361</v>
      </c>
      <c r="N1221" s="116">
        <v>2374</v>
      </c>
      <c r="O1221" s="116">
        <v>2305.25</v>
      </c>
      <c r="P1221" s="116">
        <v>2374</v>
      </c>
      <c r="Q1221" s="116">
        <v>2361</v>
      </c>
      <c r="R1221">
        <v>488652</v>
      </c>
    </row>
    <row r="1222" spans="1:18" x14ac:dyDescent="0.25">
      <c r="A1222" s="170">
        <v>45272</v>
      </c>
      <c r="B1222" s="116">
        <v>2390.9</v>
      </c>
      <c r="C1222" s="116">
        <v>2383.4</v>
      </c>
      <c r="D1222" s="116">
        <v>2345.6</v>
      </c>
      <c r="E1222" s="116">
        <v>2366.1999999999998</v>
      </c>
      <c r="F1222" s="116">
        <v>2383.4</v>
      </c>
      <c r="G1222">
        <v>75309</v>
      </c>
      <c r="H1222" s="116"/>
      <c r="I1222" s="116"/>
      <c r="L1222" s="170">
        <v>45267</v>
      </c>
      <c r="M1222" s="116">
        <v>2358.65</v>
      </c>
      <c r="N1222" s="116">
        <v>2379.9499999999998</v>
      </c>
      <c r="O1222" s="116">
        <v>2342.5500000000002</v>
      </c>
      <c r="P1222" s="116">
        <v>2379.9499999999998</v>
      </c>
      <c r="Q1222" s="116">
        <v>2358.65</v>
      </c>
      <c r="R1222">
        <v>318560</v>
      </c>
    </row>
    <row r="1223" spans="1:18" x14ac:dyDescent="0.25">
      <c r="A1223" s="170">
        <v>45273</v>
      </c>
      <c r="B1223" s="116">
        <v>2387.3000000000002</v>
      </c>
      <c r="C1223" s="116">
        <v>2373.6999999999998</v>
      </c>
      <c r="D1223" s="116">
        <v>2350</v>
      </c>
      <c r="E1223" s="116">
        <v>2377.4499999999998</v>
      </c>
      <c r="F1223" s="116">
        <v>2373.6999999999998</v>
      </c>
      <c r="G1223">
        <v>7218</v>
      </c>
      <c r="H1223" s="116"/>
      <c r="I1223" s="116"/>
      <c r="L1223" s="170">
        <v>45268</v>
      </c>
      <c r="M1223" s="116">
        <v>2331.1999999999998</v>
      </c>
      <c r="N1223" s="116">
        <v>2375</v>
      </c>
      <c r="O1223" s="116">
        <v>2293.65</v>
      </c>
      <c r="P1223" s="116">
        <v>2358.1</v>
      </c>
      <c r="Q1223" s="116">
        <v>2331.1999999999998</v>
      </c>
      <c r="R1223">
        <v>329996</v>
      </c>
    </row>
    <row r="1224" spans="1:18" x14ac:dyDescent="0.25">
      <c r="A1224" s="170">
        <v>45274</v>
      </c>
      <c r="B1224" s="116">
        <v>2428.85</v>
      </c>
      <c r="C1224" s="116">
        <v>2407.5</v>
      </c>
      <c r="D1224" s="116">
        <v>2363.3000000000002</v>
      </c>
      <c r="E1224" s="116">
        <v>2366</v>
      </c>
      <c r="F1224" s="116">
        <v>2407.5</v>
      </c>
      <c r="G1224">
        <v>7323</v>
      </c>
      <c r="H1224" s="116"/>
      <c r="I1224" s="116"/>
      <c r="L1224" s="170">
        <v>45271</v>
      </c>
      <c r="M1224" s="116">
        <v>2345.9499999999998</v>
      </c>
      <c r="N1224" s="116">
        <v>2355.25</v>
      </c>
      <c r="O1224" s="116">
        <v>2303.6</v>
      </c>
      <c r="P1224" s="116">
        <v>2335.1</v>
      </c>
      <c r="Q1224" s="116">
        <v>2345.9499999999998</v>
      </c>
      <c r="R1224">
        <v>247712</v>
      </c>
    </row>
    <row r="1225" spans="1:18" x14ac:dyDescent="0.25">
      <c r="A1225" s="170">
        <v>45275</v>
      </c>
      <c r="B1225" s="116">
        <v>2420</v>
      </c>
      <c r="C1225" s="116">
        <v>2362.9</v>
      </c>
      <c r="D1225" s="116">
        <v>2352.4</v>
      </c>
      <c r="E1225" s="116">
        <v>2419.9499999999998</v>
      </c>
      <c r="F1225" s="116">
        <v>2362.9</v>
      </c>
      <c r="G1225">
        <v>7957</v>
      </c>
      <c r="H1225" s="116"/>
      <c r="I1225" s="116"/>
      <c r="L1225" s="170">
        <v>45272</v>
      </c>
      <c r="M1225" s="116">
        <v>2383.4</v>
      </c>
      <c r="N1225" s="116">
        <v>2390</v>
      </c>
      <c r="O1225" s="116">
        <v>2345.3000000000002</v>
      </c>
      <c r="P1225" s="116">
        <v>2374</v>
      </c>
      <c r="Q1225" s="116">
        <v>2383.4</v>
      </c>
      <c r="R1225">
        <v>518878</v>
      </c>
    </row>
    <row r="1226" spans="1:18" x14ac:dyDescent="0.25">
      <c r="A1226" s="170">
        <v>45278</v>
      </c>
      <c r="B1226" s="116">
        <v>2380</v>
      </c>
      <c r="C1226" s="116">
        <v>2340.75</v>
      </c>
      <c r="D1226" s="116">
        <v>2330.5500000000002</v>
      </c>
      <c r="E1226" s="116">
        <v>2356.1999999999998</v>
      </c>
      <c r="F1226" s="116">
        <v>2340.75</v>
      </c>
      <c r="G1226">
        <v>6809</v>
      </c>
      <c r="H1226" s="116"/>
      <c r="I1226" s="116"/>
      <c r="L1226" s="170">
        <v>45273</v>
      </c>
      <c r="M1226" s="116">
        <v>2376.4</v>
      </c>
      <c r="N1226" s="116">
        <v>2390</v>
      </c>
      <c r="O1226" s="116">
        <v>2349.35</v>
      </c>
      <c r="P1226" s="116">
        <v>2375.0500000000002</v>
      </c>
      <c r="Q1226" s="116">
        <v>2376.4</v>
      </c>
      <c r="R1226">
        <v>321308</v>
      </c>
    </row>
    <row r="1227" spans="1:18" x14ac:dyDescent="0.25">
      <c r="A1227" s="170">
        <v>45279</v>
      </c>
      <c r="B1227" s="116">
        <v>2362.4499999999998</v>
      </c>
      <c r="C1227" s="116">
        <v>2313</v>
      </c>
      <c r="D1227" s="116">
        <v>2306.75</v>
      </c>
      <c r="E1227" s="116">
        <v>2337.5</v>
      </c>
      <c r="F1227" s="116">
        <v>2313</v>
      </c>
      <c r="G1227">
        <v>5515</v>
      </c>
      <c r="H1227" s="116"/>
      <c r="I1227" s="116"/>
      <c r="L1227" s="170">
        <v>45274</v>
      </c>
      <c r="M1227" s="116">
        <v>2406.65</v>
      </c>
      <c r="N1227" s="116">
        <v>2430.6999999999998</v>
      </c>
      <c r="O1227" s="116">
        <v>2363</v>
      </c>
      <c r="P1227" s="116">
        <v>2376.4</v>
      </c>
      <c r="Q1227" s="116">
        <v>2406.65</v>
      </c>
      <c r="R1227">
        <v>474283</v>
      </c>
    </row>
    <row r="1228" spans="1:18" x14ac:dyDescent="0.25">
      <c r="A1228" s="170">
        <v>45280</v>
      </c>
      <c r="B1228" s="116">
        <v>2339.9</v>
      </c>
      <c r="C1228" s="116">
        <v>2183.4</v>
      </c>
      <c r="D1228" s="116">
        <v>2170.4499999999998</v>
      </c>
      <c r="E1228" s="116">
        <v>2339.9</v>
      </c>
      <c r="F1228" s="116">
        <v>2183.4</v>
      </c>
      <c r="G1228">
        <v>8697</v>
      </c>
      <c r="H1228" s="116"/>
      <c r="I1228" s="116"/>
      <c r="L1228" s="170">
        <v>45275</v>
      </c>
      <c r="M1228" s="116">
        <v>2362</v>
      </c>
      <c r="N1228" s="116">
        <v>2417</v>
      </c>
      <c r="O1228" s="116">
        <v>2351</v>
      </c>
      <c r="P1228" s="116">
        <v>2417</v>
      </c>
      <c r="Q1228" s="116">
        <v>2362</v>
      </c>
      <c r="R1228">
        <v>280164</v>
      </c>
    </row>
    <row r="1229" spans="1:18" x14ac:dyDescent="0.25">
      <c r="A1229" s="170">
        <v>45281</v>
      </c>
      <c r="B1229" s="116">
        <v>2245.5</v>
      </c>
      <c r="C1229" s="116">
        <v>2239.9499999999998</v>
      </c>
      <c r="D1229" s="116">
        <v>2137</v>
      </c>
      <c r="E1229" s="116">
        <v>2187.75</v>
      </c>
      <c r="F1229" s="116">
        <v>2239.9499999999998</v>
      </c>
      <c r="G1229">
        <v>9725</v>
      </c>
      <c r="H1229" s="116"/>
      <c r="I1229" s="116"/>
      <c r="L1229" s="170">
        <v>45278</v>
      </c>
      <c r="M1229" s="116">
        <v>2339.15</v>
      </c>
      <c r="N1229" s="116">
        <v>2380</v>
      </c>
      <c r="O1229" s="116">
        <v>2324.35</v>
      </c>
      <c r="P1229" s="116">
        <v>2365.9</v>
      </c>
      <c r="Q1229" s="116">
        <v>2339.15</v>
      </c>
      <c r="R1229">
        <v>182957</v>
      </c>
    </row>
    <row r="1230" spans="1:18" x14ac:dyDescent="0.25">
      <c r="A1230" s="170">
        <v>45282</v>
      </c>
      <c r="B1230" s="116">
        <v>2239.4499999999998</v>
      </c>
      <c r="C1230" s="116">
        <v>2193.85</v>
      </c>
      <c r="D1230" s="116">
        <v>2187.9</v>
      </c>
      <c r="E1230" s="116">
        <v>2239.4499999999998</v>
      </c>
      <c r="F1230" s="116">
        <v>2193.85</v>
      </c>
      <c r="G1230">
        <v>8885</v>
      </c>
      <c r="H1230" s="116"/>
      <c r="I1230" s="116"/>
      <c r="L1230" s="170">
        <v>45279</v>
      </c>
      <c r="M1230" s="116">
        <v>2313.25</v>
      </c>
      <c r="N1230" s="116">
        <v>2362</v>
      </c>
      <c r="O1230" s="116">
        <v>2304.5</v>
      </c>
      <c r="P1230" s="116">
        <v>2339.9</v>
      </c>
      <c r="Q1230" s="116">
        <v>2313.25</v>
      </c>
      <c r="R1230">
        <v>184582</v>
      </c>
    </row>
    <row r="1231" spans="1:18" x14ac:dyDescent="0.25">
      <c r="A1231" s="170">
        <v>45286</v>
      </c>
      <c r="B1231" s="116">
        <v>2262.75</v>
      </c>
      <c r="C1231" s="116">
        <v>2240.5</v>
      </c>
      <c r="D1231" s="116">
        <v>2203.6</v>
      </c>
      <c r="E1231" s="116">
        <v>2235.15</v>
      </c>
      <c r="F1231" s="116">
        <v>2240.5</v>
      </c>
      <c r="G1231">
        <v>3730</v>
      </c>
      <c r="H1231" s="116"/>
      <c r="I1231" s="116"/>
      <c r="L1231" s="170">
        <v>45280</v>
      </c>
      <c r="M1231" s="116">
        <v>2184.25</v>
      </c>
      <c r="N1231" s="116">
        <v>2337.3000000000002</v>
      </c>
      <c r="O1231" s="116">
        <v>2171.35</v>
      </c>
      <c r="P1231" s="116">
        <v>2320</v>
      </c>
      <c r="Q1231" s="116">
        <v>2184.25</v>
      </c>
      <c r="R1231">
        <v>479524</v>
      </c>
    </row>
    <row r="1232" spans="1:18" x14ac:dyDescent="0.25">
      <c r="A1232" s="170">
        <v>45287</v>
      </c>
      <c r="B1232" s="116">
        <v>2360</v>
      </c>
      <c r="C1232" s="116">
        <v>2322.85</v>
      </c>
      <c r="D1232" s="116">
        <v>2248.9499999999998</v>
      </c>
      <c r="E1232" s="116">
        <v>2254.85</v>
      </c>
      <c r="F1232" s="116">
        <v>2322.85</v>
      </c>
      <c r="G1232">
        <v>28027</v>
      </c>
      <c r="H1232" s="116"/>
      <c r="I1232" s="116"/>
      <c r="L1232" s="170">
        <v>45281</v>
      </c>
      <c r="M1232" s="116">
        <v>2239.8000000000002</v>
      </c>
      <c r="N1232" s="116">
        <v>2244.5500000000002</v>
      </c>
      <c r="O1232" s="116">
        <v>2137.1999999999998</v>
      </c>
      <c r="P1232" s="116">
        <v>2188.1999999999998</v>
      </c>
      <c r="Q1232" s="116">
        <v>2239.8000000000002</v>
      </c>
      <c r="R1232">
        <v>348713</v>
      </c>
    </row>
    <row r="1233" spans="1:18" x14ac:dyDescent="0.25">
      <c r="A1233" s="170">
        <v>45288</v>
      </c>
      <c r="B1233" s="116">
        <v>2348</v>
      </c>
      <c r="C1233" s="116">
        <v>2291.75</v>
      </c>
      <c r="D1233" s="116">
        <v>2283.1</v>
      </c>
      <c r="E1233" s="116">
        <v>2328.5500000000002</v>
      </c>
      <c r="F1233" s="116">
        <v>2291.75</v>
      </c>
      <c r="G1233">
        <v>9579</v>
      </c>
      <c r="H1233" s="116"/>
      <c r="I1233" s="116"/>
      <c r="L1233" s="170">
        <v>45282</v>
      </c>
      <c r="M1233" s="116">
        <v>2194.1999999999998</v>
      </c>
      <c r="N1233" s="116">
        <v>2245.8000000000002</v>
      </c>
      <c r="O1233" s="116">
        <v>2188</v>
      </c>
      <c r="P1233" s="116">
        <v>2236.0500000000002</v>
      </c>
      <c r="Q1233" s="116">
        <v>2194.1999999999998</v>
      </c>
      <c r="R1233">
        <v>248245</v>
      </c>
    </row>
    <row r="1234" spans="1:18" x14ac:dyDescent="0.25">
      <c r="A1234" s="170">
        <v>45289</v>
      </c>
      <c r="B1234" s="116">
        <v>2308.35</v>
      </c>
      <c r="C1234" s="116">
        <v>2274.3000000000002</v>
      </c>
      <c r="D1234" s="116">
        <v>2263.9499999999998</v>
      </c>
      <c r="E1234" s="116">
        <v>2291.8000000000002</v>
      </c>
      <c r="F1234" s="116">
        <v>2274.3000000000002</v>
      </c>
      <c r="G1234">
        <v>6721</v>
      </c>
      <c r="H1234" s="116"/>
      <c r="I1234" s="116"/>
      <c r="L1234" s="170">
        <v>45286</v>
      </c>
      <c r="M1234" s="116">
        <v>2239.0500000000002</v>
      </c>
      <c r="N1234" s="116">
        <v>2263.8000000000002</v>
      </c>
      <c r="O1234" s="116">
        <v>2201.5500000000002</v>
      </c>
      <c r="P1234" s="116">
        <v>2220.1999999999998</v>
      </c>
      <c r="Q1234" s="116">
        <v>2239.0500000000002</v>
      </c>
      <c r="R1234">
        <v>259059</v>
      </c>
    </row>
    <row r="1235" spans="1:18" x14ac:dyDescent="0.25">
      <c r="A1235" s="170">
        <v>45292</v>
      </c>
      <c r="B1235" s="116">
        <v>2383.1</v>
      </c>
      <c r="C1235" s="116">
        <v>2360.5</v>
      </c>
      <c r="D1235" s="116">
        <v>2280.0500000000002</v>
      </c>
      <c r="E1235" s="116">
        <v>2280.0500000000002</v>
      </c>
      <c r="F1235" s="116">
        <v>2360.5</v>
      </c>
      <c r="G1235">
        <v>117971</v>
      </c>
      <c r="H1235" s="116"/>
      <c r="I1235" s="116"/>
      <c r="L1235" s="170">
        <v>45287</v>
      </c>
      <c r="M1235" s="116">
        <v>2320.0500000000002</v>
      </c>
      <c r="N1235" s="116">
        <v>2362</v>
      </c>
      <c r="O1235" s="116">
        <v>2241.5500000000002</v>
      </c>
      <c r="P1235" s="116">
        <v>2252.5</v>
      </c>
      <c r="Q1235" s="116">
        <v>2320.0500000000002</v>
      </c>
      <c r="R1235">
        <v>1081795</v>
      </c>
    </row>
    <row r="1236" spans="1:18" x14ac:dyDescent="0.25">
      <c r="A1236" s="170">
        <v>45293</v>
      </c>
      <c r="B1236" s="116">
        <v>2388.85</v>
      </c>
      <c r="C1236" s="116">
        <v>2319</v>
      </c>
      <c r="D1236" s="116">
        <v>2289.9</v>
      </c>
      <c r="E1236" s="116">
        <v>2388.85</v>
      </c>
      <c r="F1236" s="116">
        <v>2319</v>
      </c>
      <c r="G1236">
        <v>4328</v>
      </c>
      <c r="H1236" s="116"/>
      <c r="I1236" s="116"/>
      <c r="L1236" s="170">
        <v>45288</v>
      </c>
      <c r="M1236" s="116">
        <v>2290.1</v>
      </c>
      <c r="N1236" s="116">
        <v>2348.65</v>
      </c>
      <c r="O1236" s="116">
        <v>2281.9499999999998</v>
      </c>
      <c r="P1236" s="116">
        <v>2316.1</v>
      </c>
      <c r="Q1236" s="116">
        <v>2290.1</v>
      </c>
      <c r="R1236">
        <v>583808</v>
      </c>
    </row>
    <row r="1237" spans="1:18" x14ac:dyDescent="0.25">
      <c r="A1237" s="170">
        <v>45294</v>
      </c>
      <c r="B1237" s="116">
        <v>2335.1</v>
      </c>
      <c r="C1237" s="116">
        <v>2305.15</v>
      </c>
      <c r="D1237" s="116">
        <v>2301</v>
      </c>
      <c r="E1237" s="116">
        <v>2320.65</v>
      </c>
      <c r="F1237" s="116">
        <v>2305.15</v>
      </c>
      <c r="G1237">
        <v>4560</v>
      </c>
      <c r="H1237" s="116"/>
      <c r="I1237" s="116"/>
      <c r="L1237" s="170">
        <v>45289</v>
      </c>
      <c r="M1237" s="116">
        <v>2275.1999999999998</v>
      </c>
      <c r="N1237" s="116">
        <v>2307.6</v>
      </c>
      <c r="O1237" s="116">
        <v>2262.5500000000002</v>
      </c>
      <c r="P1237" s="116">
        <v>2290.9499999999998</v>
      </c>
      <c r="Q1237" s="116">
        <v>2275.1999999999998</v>
      </c>
      <c r="R1237">
        <v>140140</v>
      </c>
    </row>
    <row r="1238" spans="1:18" x14ac:dyDescent="0.25">
      <c r="A1238" s="170">
        <v>45295</v>
      </c>
      <c r="B1238" s="116">
        <v>2364</v>
      </c>
      <c r="C1238" s="116">
        <v>2361.5500000000002</v>
      </c>
      <c r="D1238" s="116">
        <v>2303.5500000000002</v>
      </c>
      <c r="E1238" s="116">
        <v>2347.85</v>
      </c>
      <c r="F1238" s="116">
        <v>2361.5500000000002</v>
      </c>
      <c r="G1238">
        <v>2326</v>
      </c>
      <c r="H1238" s="116"/>
      <c r="I1238" s="116"/>
      <c r="L1238" s="170">
        <v>45292</v>
      </c>
      <c r="M1238" s="116">
        <v>2361.25</v>
      </c>
      <c r="N1238" s="116">
        <v>2382</v>
      </c>
      <c r="O1238" s="116">
        <v>2301</v>
      </c>
      <c r="P1238" s="116">
        <v>2307.5</v>
      </c>
      <c r="Q1238" s="116">
        <v>2361.25</v>
      </c>
      <c r="R1238">
        <v>802488</v>
      </c>
    </row>
    <row r="1239" spans="1:18" x14ac:dyDescent="0.25">
      <c r="A1239" s="170">
        <v>45296</v>
      </c>
      <c r="B1239" s="116">
        <v>2428.5500000000002</v>
      </c>
      <c r="C1239" s="116">
        <v>2390.0500000000002</v>
      </c>
      <c r="D1239" s="116">
        <v>2335.4</v>
      </c>
      <c r="E1239" s="116">
        <v>2379.65</v>
      </c>
      <c r="F1239" s="116">
        <v>2390.0500000000002</v>
      </c>
      <c r="G1239">
        <v>18849</v>
      </c>
      <c r="H1239" s="116"/>
      <c r="I1239" s="116"/>
      <c r="L1239" s="170">
        <v>45293</v>
      </c>
      <c r="M1239" s="116">
        <v>2320.5500000000002</v>
      </c>
      <c r="N1239" s="116">
        <v>2378.1999999999998</v>
      </c>
      <c r="O1239" s="116">
        <v>2289.0500000000002</v>
      </c>
      <c r="P1239" s="116">
        <v>2370</v>
      </c>
      <c r="Q1239" s="116">
        <v>2320.5500000000002</v>
      </c>
      <c r="R1239">
        <v>297631</v>
      </c>
    </row>
    <row r="1240" spans="1:18" x14ac:dyDescent="0.25">
      <c r="A1240" s="170">
        <v>45299</v>
      </c>
      <c r="B1240" s="116">
        <v>2414.75</v>
      </c>
      <c r="C1240" s="116">
        <v>2331.6</v>
      </c>
      <c r="D1240" s="116">
        <v>2299.6</v>
      </c>
      <c r="E1240" s="116">
        <v>2414.75</v>
      </c>
      <c r="F1240" s="116">
        <v>2331.6</v>
      </c>
      <c r="G1240">
        <v>58685</v>
      </c>
      <c r="H1240" s="116"/>
      <c r="I1240" s="116"/>
      <c r="L1240" s="170">
        <v>45294</v>
      </c>
      <c r="M1240" s="116">
        <v>2307.65</v>
      </c>
      <c r="N1240" s="116">
        <v>2334.9</v>
      </c>
      <c r="O1240" s="116">
        <v>2301.0500000000002</v>
      </c>
      <c r="P1240" s="116">
        <v>2334.9</v>
      </c>
      <c r="Q1240" s="116">
        <v>2307.65</v>
      </c>
      <c r="R1240">
        <v>135305</v>
      </c>
    </row>
    <row r="1241" spans="1:18" x14ac:dyDescent="0.25">
      <c r="A1241" s="170">
        <v>45300</v>
      </c>
      <c r="B1241" s="116">
        <v>2368.9</v>
      </c>
      <c r="C1241" s="116">
        <v>2308.15</v>
      </c>
      <c r="D1241" s="116">
        <v>2299.25</v>
      </c>
      <c r="E1241" s="116">
        <v>2322.0500000000002</v>
      </c>
      <c r="F1241" s="116">
        <v>2308.15</v>
      </c>
      <c r="G1241">
        <v>6843</v>
      </c>
      <c r="H1241" s="116"/>
      <c r="I1241" s="116"/>
      <c r="L1241" s="170">
        <v>45295</v>
      </c>
      <c r="M1241" s="116">
        <v>2361</v>
      </c>
      <c r="N1241" s="116">
        <v>2365</v>
      </c>
      <c r="O1241" s="116">
        <v>2304.1999999999998</v>
      </c>
      <c r="P1241" s="116">
        <v>2320</v>
      </c>
      <c r="Q1241" s="116">
        <v>2361</v>
      </c>
      <c r="R1241">
        <v>268910</v>
      </c>
    </row>
    <row r="1242" spans="1:18" x14ac:dyDescent="0.25">
      <c r="A1242" s="170">
        <v>45301</v>
      </c>
      <c r="B1242" s="116">
        <v>2320.1999999999998</v>
      </c>
      <c r="C1242" s="116">
        <v>2287.75</v>
      </c>
      <c r="D1242" s="116">
        <v>2264.9</v>
      </c>
      <c r="E1242" s="116">
        <v>2320.1999999999998</v>
      </c>
      <c r="F1242" s="116">
        <v>2287.75</v>
      </c>
      <c r="G1242">
        <v>7151</v>
      </c>
      <c r="H1242" s="116"/>
      <c r="I1242" s="116"/>
      <c r="L1242" s="170">
        <v>45296</v>
      </c>
      <c r="M1242" s="116">
        <v>2390.6999999999998</v>
      </c>
      <c r="N1242" s="116">
        <v>2428.6</v>
      </c>
      <c r="O1242" s="116">
        <v>2341.0500000000002</v>
      </c>
      <c r="P1242" s="116">
        <v>2365</v>
      </c>
      <c r="Q1242" s="116">
        <v>2390.6999999999998</v>
      </c>
      <c r="R1242">
        <v>665883</v>
      </c>
    </row>
    <row r="1243" spans="1:18" x14ac:dyDescent="0.25">
      <c r="A1243" s="170">
        <v>45302</v>
      </c>
      <c r="B1243" s="116">
        <v>2313.4499999999998</v>
      </c>
      <c r="C1243" s="116">
        <v>2304.4499999999998</v>
      </c>
      <c r="D1243" s="116">
        <v>2260.3000000000002</v>
      </c>
      <c r="E1243" s="116">
        <v>2297.65</v>
      </c>
      <c r="F1243" s="116">
        <v>2304.4499999999998</v>
      </c>
      <c r="G1243">
        <v>3425</v>
      </c>
      <c r="H1243" s="116"/>
      <c r="I1243" s="116"/>
      <c r="L1243" s="170">
        <v>45299</v>
      </c>
      <c r="M1243" s="116">
        <v>2330.35</v>
      </c>
      <c r="N1243" s="116">
        <v>2405</v>
      </c>
      <c r="O1243" s="116">
        <v>2298.1999999999998</v>
      </c>
      <c r="P1243" s="116">
        <v>2393.1</v>
      </c>
      <c r="Q1243" s="116">
        <v>2330.35</v>
      </c>
      <c r="R1243">
        <v>371369</v>
      </c>
    </row>
    <row r="1244" spans="1:18" x14ac:dyDescent="0.25">
      <c r="A1244" s="170">
        <v>45303</v>
      </c>
      <c r="B1244" s="116">
        <v>2323</v>
      </c>
      <c r="C1244" s="116">
        <v>2304.35</v>
      </c>
      <c r="D1244" s="116">
        <v>2286.9499999999998</v>
      </c>
      <c r="E1244" s="116">
        <v>2317.65</v>
      </c>
      <c r="F1244" s="116">
        <v>2304.35</v>
      </c>
      <c r="G1244">
        <v>2189</v>
      </c>
      <c r="H1244" s="116"/>
      <c r="I1244" s="116"/>
      <c r="L1244" s="170">
        <v>45300</v>
      </c>
      <c r="M1244" s="116">
        <v>2306.75</v>
      </c>
      <c r="N1244" s="116">
        <v>2368</v>
      </c>
      <c r="O1244" s="116">
        <v>2298.65</v>
      </c>
      <c r="P1244" s="116">
        <v>2338.4</v>
      </c>
      <c r="Q1244" s="116">
        <v>2306.75</v>
      </c>
      <c r="R1244">
        <v>385639</v>
      </c>
    </row>
    <row r="1245" spans="1:18" x14ac:dyDescent="0.25">
      <c r="A1245" s="170">
        <v>45306</v>
      </c>
      <c r="B1245" s="116">
        <v>2335</v>
      </c>
      <c r="C1245" s="116">
        <v>2290.6</v>
      </c>
      <c r="D1245" s="116">
        <v>2283.9499999999998</v>
      </c>
      <c r="E1245" s="116">
        <v>2308.0500000000002</v>
      </c>
      <c r="F1245" s="116">
        <v>2290.6</v>
      </c>
      <c r="G1245">
        <v>7327</v>
      </c>
      <c r="H1245" s="116"/>
      <c r="I1245" s="116"/>
      <c r="L1245" s="170">
        <v>45301</v>
      </c>
      <c r="M1245" s="116">
        <v>2288.6</v>
      </c>
      <c r="N1245" s="116">
        <v>2322.9499999999998</v>
      </c>
      <c r="O1245" s="116">
        <v>2264.75</v>
      </c>
      <c r="P1245" s="116">
        <v>2322.9499999999998</v>
      </c>
      <c r="Q1245" s="116">
        <v>2288.6</v>
      </c>
      <c r="R1245">
        <v>226393</v>
      </c>
    </row>
    <row r="1246" spans="1:18" x14ac:dyDescent="0.25">
      <c r="A1246" s="170">
        <v>45307</v>
      </c>
      <c r="B1246" s="116">
        <v>2301.9</v>
      </c>
      <c r="C1246" s="116">
        <v>2260.3000000000002</v>
      </c>
      <c r="D1246" s="116">
        <v>2233.65</v>
      </c>
      <c r="E1246" s="116">
        <v>2294.8000000000002</v>
      </c>
      <c r="F1246" s="116">
        <v>2260.3000000000002</v>
      </c>
      <c r="G1246">
        <v>5314</v>
      </c>
      <c r="H1246" s="116"/>
      <c r="I1246" s="116"/>
      <c r="L1246" s="170">
        <v>45302</v>
      </c>
      <c r="M1246" s="116">
        <v>2307.3000000000002</v>
      </c>
      <c r="N1246" s="116">
        <v>2314.15</v>
      </c>
      <c r="O1246" s="116">
        <v>2260.0500000000002</v>
      </c>
      <c r="P1246" s="116">
        <v>2300</v>
      </c>
      <c r="Q1246" s="116">
        <v>2307.3000000000002</v>
      </c>
      <c r="R1246">
        <v>313637</v>
      </c>
    </row>
    <row r="1247" spans="1:18" x14ac:dyDescent="0.25">
      <c r="A1247" s="170">
        <v>45308</v>
      </c>
      <c r="B1247" s="116">
        <v>2276.0500000000002</v>
      </c>
      <c r="C1247" s="116">
        <v>2189</v>
      </c>
      <c r="D1247" s="116">
        <v>2181.1</v>
      </c>
      <c r="E1247" s="116">
        <v>2250.15</v>
      </c>
      <c r="F1247" s="116">
        <v>2189</v>
      </c>
      <c r="G1247">
        <v>11007</v>
      </c>
      <c r="H1247" s="116"/>
      <c r="I1247" s="116"/>
      <c r="L1247" s="170">
        <v>45303</v>
      </c>
      <c r="M1247" s="116">
        <v>2303.5</v>
      </c>
      <c r="N1247" s="116">
        <v>2327.25</v>
      </c>
      <c r="O1247" s="116">
        <v>2282.4499999999998</v>
      </c>
      <c r="P1247" s="116">
        <v>2320</v>
      </c>
      <c r="Q1247" s="116">
        <v>2303.5</v>
      </c>
      <c r="R1247">
        <v>255101</v>
      </c>
    </row>
    <row r="1248" spans="1:18" x14ac:dyDescent="0.25">
      <c r="A1248" s="170">
        <v>45309</v>
      </c>
      <c r="B1248" s="116">
        <v>2232.6999999999998</v>
      </c>
      <c r="C1248" s="116">
        <v>2181</v>
      </c>
      <c r="D1248" s="116">
        <v>2134.15</v>
      </c>
      <c r="E1248" s="116">
        <v>2232.6999999999998</v>
      </c>
      <c r="F1248" s="116">
        <v>2181</v>
      </c>
      <c r="G1248">
        <v>7758</v>
      </c>
      <c r="H1248" s="116"/>
      <c r="I1248" s="116"/>
      <c r="L1248" s="170">
        <v>45306</v>
      </c>
      <c r="M1248" s="116">
        <v>2293.25</v>
      </c>
      <c r="N1248" s="116">
        <v>2336.9499999999998</v>
      </c>
      <c r="O1248" s="116">
        <v>2282.5</v>
      </c>
      <c r="P1248" s="116">
        <v>2308</v>
      </c>
      <c r="Q1248" s="116">
        <v>2293.25</v>
      </c>
      <c r="R1248">
        <v>221713</v>
      </c>
    </row>
    <row r="1249" spans="1:18" x14ac:dyDescent="0.25">
      <c r="A1249" s="170">
        <v>45310</v>
      </c>
      <c r="B1249" s="116">
        <v>2221.6</v>
      </c>
      <c r="C1249" s="116">
        <v>2215.4</v>
      </c>
      <c r="D1249" s="116">
        <v>2167</v>
      </c>
      <c r="E1249" s="116">
        <v>2199.9</v>
      </c>
      <c r="F1249" s="116">
        <v>2215.4</v>
      </c>
      <c r="G1249">
        <v>15194</v>
      </c>
      <c r="H1249" s="116"/>
      <c r="I1249" s="116"/>
      <c r="L1249" s="170">
        <v>45307</v>
      </c>
      <c r="M1249" s="116">
        <v>2258.35</v>
      </c>
      <c r="N1249" s="116">
        <v>2303.15</v>
      </c>
      <c r="O1249" s="116">
        <v>2233.4</v>
      </c>
      <c r="P1249" s="116">
        <v>2297.65</v>
      </c>
      <c r="Q1249" s="116">
        <v>2258.35</v>
      </c>
      <c r="R1249">
        <v>451024</v>
      </c>
    </row>
    <row r="1250" spans="1:18" x14ac:dyDescent="0.25">
      <c r="A1250" s="170">
        <v>45311</v>
      </c>
      <c r="B1250" s="116">
        <v>2240</v>
      </c>
      <c r="C1250" s="116">
        <v>2206.85</v>
      </c>
      <c r="D1250" s="116">
        <v>2199.1</v>
      </c>
      <c r="E1250" s="116">
        <v>2240</v>
      </c>
      <c r="F1250" s="116">
        <v>2206.85</v>
      </c>
      <c r="G1250">
        <v>2294</v>
      </c>
      <c r="H1250" s="116"/>
      <c r="I1250" s="116"/>
      <c r="L1250" s="170">
        <v>45308</v>
      </c>
      <c r="M1250" s="116">
        <v>2191.6999999999998</v>
      </c>
      <c r="N1250" s="116">
        <v>2275.6999999999998</v>
      </c>
      <c r="O1250" s="116">
        <v>2181</v>
      </c>
      <c r="P1250" s="116">
        <v>2258.35</v>
      </c>
      <c r="Q1250" s="116">
        <v>2191.6999999999998</v>
      </c>
      <c r="R1250">
        <v>354131</v>
      </c>
    </row>
    <row r="1251" spans="1:18" x14ac:dyDescent="0.25">
      <c r="A1251" s="170">
        <v>45314</v>
      </c>
      <c r="B1251" s="116">
        <v>2214.1</v>
      </c>
      <c r="C1251" s="116">
        <v>2109.9499999999998</v>
      </c>
      <c r="D1251" s="116">
        <v>2101.65</v>
      </c>
      <c r="E1251" s="116">
        <v>2200.0500000000002</v>
      </c>
      <c r="F1251" s="116">
        <v>2109.9499999999998</v>
      </c>
      <c r="G1251">
        <v>13253</v>
      </c>
      <c r="H1251" s="116"/>
      <c r="I1251" s="116"/>
      <c r="L1251" s="170">
        <v>45309</v>
      </c>
      <c r="M1251" s="116">
        <v>2181.4499999999998</v>
      </c>
      <c r="N1251" s="116">
        <v>2200.4499999999998</v>
      </c>
      <c r="O1251" s="116">
        <v>2135.5</v>
      </c>
      <c r="P1251" s="116">
        <v>2190</v>
      </c>
      <c r="Q1251" s="116">
        <v>2181.4499999999998</v>
      </c>
      <c r="R1251">
        <v>298160</v>
      </c>
    </row>
    <row r="1252" spans="1:18" x14ac:dyDescent="0.25">
      <c r="A1252" s="170">
        <v>45315</v>
      </c>
      <c r="B1252" s="116">
        <v>2174.9499999999998</v>
      </c>
      <c r="C1252" s="116">
        <v>2153.25</v>
      </c>
      <c r="D1252" s="116">
        <v>2072.5</v>
      </c>
      <c r="E1252" s="116">
        <v>2117.35</v>
      </c>
      <c r="F1252" s="116">
        <v>2153.25</v>
      </c>
      <c r="G1252">
        <v>8498</v>
      </c>
      <c r="H1252" s="116"/>
      <c r="I1252" s="116"/>
      <c r="L1252" s="170">
        <v>45310</v>
      </c>
      <c r="M1252" s="116">
        <v>2214.4</v>
      </c>
      <c r="N1252" s="116">
        <v>2220</v>
      </c>
      <c r="O1252" s="116">
        <v>2165.4499999999998</v>
      </c>
      <c r="P1252" s="116">
        <v>2198</v>
      </c>
      <c r="Q1252" s="116">
        <v>2214.4</v>
      </c>
      <c r="R1252">
        <v>555621</v>
      </c>
    </row>
    <row r="1253" spans="1:18" x14ac:dyDescent="0.25">
      <c r="A1253" s="170">
        <v>45316</v>
      </c>
      <c r="B1253" s="116">
        <v>2219.9</v>
      </c>
      <c r="C1253" s="116">
        <v>2205.5500000000002</v>
      </c>
      <c r="D1253" s="116">
        <v>2143.4499999999998</v>
      </c>
      <c r="E1253" s="116">
        <v>2196.35</v>
      </c>
      <c r="F1253" s="116">
        <v>2205.5500000000002</v>
      </c>
      <c r="G1253">
        <v>475375</v>
      </c>
      <c r="H1253" s="116"/>
      <c r="I1253" s="116"/>
      <c r="L1253" s="170">
        <v>45311</v>
      </c>
      <c r="M1253" s="116">
        <v>2207.6999999999998</v>
      </c>
      <c r="N1253" s="116">
        <v>2241.5</v>
      </c>
      <c r="O1253" s="116">
        <v>2200</v>
      </c>
      <c r="P1253" s="116">
        <v>2240</v>
      </c>
      <c r="Q1253" s="116">
        <v>2207.6999999999998</v>
      </c>
      <c r="R1253">
        <v>56612</v>
      </c>
    </row>
    <row r="1254" spans="1:18" x14ac:dyDescent="0.25">
      <c r="A1254" s="170">
        <v>45320</v>
      </c>
      <c r="B1254" s="116">
        <v>2277.9499999999998</v>
      </c>
      <c r="C1254" s="116">
        <v>2254.9499999999998</v>
      </c>
      <c r="D1254" s="116">
        <v>2195.25</v>
      </c>
      <c r="E1254" s="116">
        <v>2195.25</v>
      </c>
      <c r="F1254" s="116">
        <v>2254.9499999999998</v>
      </c>
      <c r="G1254">
        <v>16443</v>
      </c>
      <c r="H1254" s="116"/>
      <c r="I1254" s="116"/>
      <c r="L1254" s="170">
        <v>45314</v>
      </c>
      <c r="M1254" s="116">
        <v>2108.9</v>
      </c>
      <c r="N1254" s="116">
        <v>2219.9499999999998</v>
      </c>
      <c r="O1254" s="116">
        <v>2101.6999999999998</v>
      </c>
      <c r="P1254" s="116">
        <v>2210</v>
      </c>
      <c r="Q1254" s="116">
        <v>2108.9</v>
      </c>
      <c r="R1254">
        <v>288555</v>
      </c>
    </row>
    <row r="1255" spans="1:18" x14ac:dyDescent="0.25">
      <c r="A1255" s="170">
        <v>45321</v>
      </c>
      <c r="B1255" s="116">
        <v>2284.1</v>
      </c>
      <c r="C1255" s="116">
        <v>2260.5</v>
      </c>
      <c r="D1255" s="116">
        <v>2242</v>
      </c>
      <c r="E1255" s="116">
        <v>2259.9</v>
      </c>
      <c r="F1255" s="116">
        <v>2260.5</v>
      </c>
      <c r="G1255">
        <v>3060</v>
      </c>
      <c r="H1255" s="116"/>
      <c r="I1255" s="116"/>
      <c r="L1255" s="170">
        <v>45315</v>
      </c>
      <c r="M1255" s="116">
        <v>2154.75</v>
      </c>
      <c r="N1255" s="116">
        <v>2174</v>
      </c>
      <c r="O1255" s="116">
        <v>2071.0500000000002</v>
      </c>
      <c r="P1255" s="116">
        <v>2119.9</v>
      </c>
      <c r="Q1255" s="116">
        <v>2154.75</v>
      </c>
      <c r="R1255">
        <v>710787</v>
      </c>
    </row>
    <row r="1256" spans="1:18" x14ac:dyDescent="0.25">
      <c r="A1256" s="170">
        <v>45322</v>
      </c>
      <c r="B1256" s="116">
        <v>2294.1</v>
      </c>
      <c r="C1256" s="116">
        <v>2276.35</v>
      </c>
      <c r="D1256" s="116">
        <v>2253.5</v>
      </c>
      <c r="E1256" s="116">
        <v>2284.85</v>
      </c>
      <c r="F1256" s="116">
        <v>2276.35</v>
      </c>
      <c r="G1256">
        <v>9550</v>
      </c>
      <c r="H1256" s="116"/>
      <c r="I1256" s="116"/>
      <c r="L1256" s="170">
        <v>45316</v>
      </c>
      <c r="M1256" s="116">
        <v>2205.0500000000002</v>
      </c>
      <c r="N1256" s="116">
        <v>2218.9499999999998</v>
      </c>
      <c r="O1256" s="116">
        <v>2141.85</v>
      </c>
      <c r="P1256" s="116">
        <v>2185</v>
      </c>
      <c r="Q1256" s="116">
        <v>2205.0500000000002</v>
      </c>
      <c r="R1256">
        <v>694448</v>
      </c>
    </row>
    <row r="1257" spans="1:18" x14ac:dyDescent="0.25">
      <c r="A1257" s="170">
        <v>45323</v>
      </c>
      <c r="B1257" s="116">
        <v>2300</v>
      </c>
      <c r="C1257" s="116">
        <v>2278.85</v>
      </c>
      <c r="D1257" s="116">
        <v>2269</v>
      </c>
      <c r="E1257" s="116">
        <v>2300</v>
      </c>
      <c r="F1257" s="116">
        <v>2278.85</v>
      </c>
      <c r="G1257">
        <v>5355</v>
      </c>
      <c r="H1257" s="116"/>
      <c r="I1257" s="116"/>
      <c r="L1257" s="170">
        <v>45320</v>
      </c>
      <c r="M1257" s="116">
        <v>2256.4499999999998</v>
      </c>
      <c r="N1257" s="116">
        <v>2278.35</v>
      </c>
      <c r="O1257" s="116">
        <v>2221</v>
      </c>
      <c r="P1257" s="116">
        <v>2228</v>
      </c>
      <c r="Q1257" s="116">
        <v>2256.4499999999998</v>
      </c>
      <c r="R1257">
        <v>458573</v>
      </c>
    </row>
    <row r="1258" spans="1:18" x14ac:dyDescent="0.25">
      <c r="A1258" s="170">
        <v>45324</v>
      </c>
      <c r="B1258" s="116">
        <v>2319.75</v>
      </c>
      <c r="C1258" s="116">
        <v>2257.4</v>
      </c>
      <c r="D1258" s="116">
        <v>2254.0500000000002</v>
      </c>
      <c r="E1258" s="116">
        <v>2319.75</v>
      </c>
      <c r="F1258" s="116">
        <v>2257.4</v>
      </c>
      <c r="G1258">
        <v>3015</v>
      </c>
      <c r="H1258" s="116"/>
      <c r="I1258" s="116"/>
      <c r="L1258" s="170">
        <v>45321</v>
      </c>
      <c r="M1258" s="116">
        <v>2260.0500000000002</v>
      </c>
      <c r="N1258" s="116">
        <v>2285.9499999999998</v>
      </c>
      <c r="O1258" s="116">
        <v>2237.65</v>
      </c>
      <c r="P1258" s="116">
        <v>2241.4</v>
      </c>
      <c r="Q1258" s="116">
        <v>2260.0500000000002</v>
      </c>
      <c r="R1258">
        <v>290576</v>
      </c>
    </row>
    <row r="1259" spans="1:18" x14ac:dyDescent="0.25">
      <c r="A1259" s="170">
        <v>45327</v>
      </c>
      <c r="B1259" s="116">
        <v>2302.5</v>
      </c>
      <c r="C1259" s="116">
        <v>2193.4</v>
      </c>
      <c r="D1259" s="116">
        <v>2180</v>
      </c>
      <c r="E1259" s="116">
        <v>2302.5</v>
      </c>
      <c r="F1259" s="116">
        <v>2193.4</v>
      </c>
      <c r="G1259">
        <v>2957</v>
      </c>
      <c r="H1259" s="116"/>
      <c r="I1259" s="116"/>
      <c r="L1259" s="170">
        <v>45322</v>
      </c>
      <c r="M1259" s="116">
        <v>2279.8000000000002</v>
      </c>
      <c r="N1259" s="116">
        <v>2294.9499999999998</v>
      </c>
      <c r="O1259" s="116">
        <v>2256.65</v>
      </c>
      <c r="P1259" s="116">
        <v>2260.0500000000002</v>
      </c>
      <c r="Q1259" s="116">
        <v>2279.8000000000002</v>
      </c>
      <c r="R1259">
        <v>298496</v>
      </c>
    </row>
    <row r="1260" spans="1:18" x14ac:dyDescent="0.25">
      <c r="A1260" s="170">
        <v>45328</v>
      </c>
      <c r="B1260" s="116">
        <v>2235.9</v>
      </c>
      <c r="C1260" s="116">
        <v>2189.9</v>
      </c>
      <c r="D1260" s="116">
        <v>2181.1</v>
      </c>
      <c r="E1260" s="116">
        <v>2235.9</v>
      </c>
      <c r="F1260" s="116">
        <v>2189.9</v>
      </c>
      <c r="G1260">
        <v>4333</v>
      </c>
      <c r="H1260" s="116"/>
      <c r="I1260" s="116"/>
      <c r="L1260" s="170">
        <v>45323</v>
      </c>
      <c r="M1260" s="116">
        <v>2280.4</v>
      </c>
      <c r="N1260" s="116">
        <v>2300</v>
      </c>
      <c r="O1260" s="116">
        <v>2266.5</v>
      </c>
      <c r="P1260" s="116">
        <v>2300</v>
      </c>
      <c r="Q1260" s="116">
        <v>2280.4</v>
      </c>
      <c r="R1260">
        <v>453265</v>
      </c>
    </row>
    <row r="1261" spans="1:18" x14ac:dyDescent="0.25">
      <c r="A1261" s="170">
        <v>45329</v>
      </c>
      <c r="B1261" s="116">
        <v>2233.6999999999998</v>
      </c>
      <c r="C1261" s="116">
        <v>2170.6999999999998</v>
      </c>
      <c r="D1261" s="116">
        <v>2161.85</v>
      </c>
      <c r="E1261" s="116">
        <v>2233.6999999999998</v>
      </c>
      <c r="F1261" s="116">
        <v>2170.6999999999998</v>
      </c>
      <c r="G1261">
        <v>4527</v>
      </c>
      <c r="H1261" s="116"/>
      <c r="I1261" s="116"/>
      <c r="L1261" s="170">
        <v>45324</v>
      </c>
      <c r="M1261" s="116">
        <v>2259.1</v>
      </c>
      <c r="N1261" s="116">
        <v>2300</v>
      </c>
      <c r="O1261" s="116">
        <v>2255</v>
      </c>
      <c r="P1261" s="116">
        <v>2300</v>
      </c>
      <c r="Q1261" s="116">
        <v>2259.1</v>
      </c>
      <c r="R1261">
        <v>247026</v>
      </c>
    </row>
    <row r="1262" spans="1:18" x14ac:dyDescent="0.25">
      <c r="A1262" s="170">
        <v>45330</v>
      </c>
      <c r="B1262" s="116">
        <v>2189.3000000000002</v>
      </c>
      <c r="C1262" s="116">
        <v>2100.15</v>
      </c>
      <c r="D1262" s="116">
        <v>2088.1</v>
      </c>
      <c r="E1262" s="116">
        <v>2189.3000000000002</v>
      </c>
      <c r="F1262" s="116">
        <v>2100.15</v>
      </c>
      <c r="G1262">
        <v>3193</v>
      </c>
      <c r="H1262" s="116"/>
      <c r="I1262" s="116"/>
      <c r="L1262" s="170">
        <v>45327</v>
      </c>
      <c r="M1262" s="116">
        <v>2193.5500000000002</v>
      </c>
      <c r="N1262" s="116">
        <v>2270.1999999999998</v>
      </c>
      <c r="O1262" s="116">
        <v>2178</v>
      </c>
      <c r="P1262" s="116">
        <v>2259.1</v>
      </c>
      <c r="Q1262" s="116">
        <v>2193.5500000000002</v>
      </c>
      <c r="R1262">
        <v>382206</v>
      </c>
    </row>
    <row r="1263" spans="1:18" x14ac:dyDescent="0.25">
      <c r="A1263" s="170">
        <v>45331</v>
      </c>
      <c r="B1263" s="116">
        <v>2137.4499999999998</v>
      </c>
      <c r="C1263" s="116">
        <v>2125.9</v>
      </c>
      <c r="D1263" s="116">
        <v>2067.25</v>
      </c>
      <c r="E1263" s="116">
        <v>2112.5500000000002</v>
      </c>
      <c r="F1263" s="116">
        <v>2125.9</v>
      </c>
      <c r="G1263">
        <v>4719</v>
      </c>
      <c r="H1263" s="116"/>
      <c r="I1263" s="116"/>
      <c r="L1263" s="170">
        <v>45328</v>
      </c>
      <c r="M1263" s="116">
        <v>2189.75</v>
      </c>
      <c r="N1263" s="116">
        <v>2226</v>
      </c>
      <c r="O1263" s="116">
        <v>2180.8000000000002</v>
      </c>
      <c r="P1263" s="116">
        <v>2214.85</v>
      </c>
      <c r="Q1263" s="116">
        <v>2189.75</v>
      </c>
      <c r="R1263">
        <v>740253</v>
      </c>
    </row>
    <row r="1264" spans="1:18" x14ac:dyDescent="0.25">
      <c r="A1264" s="170">
        <v>45334</v>
      </c>
      <c r="B1264" s="116">
        <v>2168.4499999999998</v>
      </c>
      <c r="C1264" s="116">
        <v>2049.0500000000002</v>
      </c>
      <c r="D1264" s="116">
        <v>2040.45</v>
      </c>
      <c r="E1264" s="116">
        <v>2168.4499999999998</v>
      </c>
      <c r="F1264" s="116">
        <v>2049.0500000000002</v>
      </c>
      <c r="G1264">
        <v>3067</v>
      </c>
      <c r="H1264" s="116"/>
      <c r="I1264" s="116"/>
      <c r="L1264" s="170">
        <v>45329</v>
      </c>
      <c r="M1264" s="116">
        <v>2170.8000000000002</v>
      </c>
      <c r="N1264" s="116">
        <v>2225.5</v>
      </c>
      <c r="O1264" s="116">
        <v>2160.8000000000002</v>
      </c>
      <c r="P1264" s="116">
        <v>2225.5</v>
      </c>
      <c r="Q1264" s="116">
        <v>2170.8000000000002</v>
      </c>
      <c r="R1264">
        <v>147590</v>
      </c>
    </row>
    <row r="1265" spans="1:18" x14ac:dyDescent="0.25">
      <c r="A1265" s="170">
        <v>45335</v>
      </c>
      <c r="B1265" s="116">
        <v>2122</v>
      </c>
      <c r="C1265" s="116">
        <v>2062.15</v>
      </c>
      <c r="D1265" s="116">
        <v>2009</v>
      </c>
      <c r="E1265" s="116">
        <v>2067.4499999999998</v>
      </c>
      <c r="F1265" s="116">
        <v>2062.15</v>
      </c>
      <c r="G1265">
        <v>4009</v>
      </c>
      <c r="H1265" s="116"/>
      <c r="I1265" s="116"/>
      <c r="L1265" s="170">
        <v>45330</v>
      </c>
      <c r="M1265" s="116">
        <v>2100.35</v>
      </c>
      <c r="N1265" s="116">
        <v>2187.5500000000002</v>
      </c>
      <c r="O1265" s="116">
        <v>2087.5500000000002</v>
      </c>
      <c r="P1265" s="116">
        <v>2180</v>
      </c>
      <c r="Q1265" s="116">
        <v>2100.35</v>
      </c>
      <c r="R1265">
        <v>777828</v>
      </c>
    </row>
    <row r="1266" spans="1:18" x14ac:dyDescent="0.25">
      <c r="A1266" s="170">
        <v>45336</v>
      </c>
      <c r="B1266" s="116">
        <v>2061.9499999999998</v>
      </c>
      <c r="C1266" s="116">
        <v>2056.0500000000002</v>
      </c>
      <c r="D1266" s="116">
        <v>2029</v>
      </c>
      <c r="E1266" s="116">
        <v>2056.5</v>
      </c>
      <c r="F1266" s="116">
        <v>2056.0500000000002</v>
      </c>
      <c r="G1266">
        <v>2790</v>
      </c>
      <c r="H1266" s="116"/>
      <c r="I1266" s="116"/>
      <c r="L1266" s="170">
        <v>45331</v>
      </c>
      <c r="M1266" s="116">
        <v>2127.1999999999998</v>
      </c>
      <c r="N1266" s="116">
        <v>2136.6999999999998</v>
      </c>
      <c r="O1266" s="116">
        <v>2068.1999999999998</v>
      </c>
      <c r="P1266" s="116">
        <v>2114.0500000000002</v>
      </c>
      <c r="Q1266" s="116">
        <v>2127.1999999999998</v>
      </c>
      <c r="R1266">
        <v>311415</v>
      </c>
    </row>
    <row r="1267" spans="1:18" x14ac:dyDescent="0.25">
      <c r="A1267" s="170">
        <v>45337</v>
      </c>
      <c r="B1267" s="116">
        <v>2096.1</v>
      </c>
      <c r="C1267" s="116">
        <v>2046.3</v>
      </c>
      <c r="D1267" s="116">
        <v>2035</v>
      </c>
      <c r="E1267" s="116">
        <v>2096.1</v>
      </c>
      <c r="F1267" s="116">
        <v>2046.3</v>
      </c>
      <c r="G1267">
        <v>4747</v>
      </c>
      <c r="H1267" s="116"/>
      <c r="I1267" s="116"/>
      <c r="L1267" s="170">
        <v>45334</v>
      </c>
      <c r="M1267" s="116">
        <v>2052.15</v>
      </c>
      <c r="N1267" s="116">
        <v>2149</v>
      </c>
      <c r="O1267" s="116">
        <v>2033.5</v>
      </c>
      <c r="P1267" s="116">
        <v>2149</v>
      </c>
      <c r="Q1267" s="116">
        <v>2052.15</v>
      </c>
      <c r="R1267">
        <v>379042</v>
      </c>
    </row>
    <row r="1268" spans="1:18" x14ac:dyDescent="0.25">
      <c r="A1268" s="170">
        <v>45338</v>
      </c>
      <c r="B1268" s="116">
        <v>2117.65</v>
      </c>
      <c r="C1268" s="116">
        <v>2085.65</v>
      </c>
      <c r="D1268" s="116">
        <v>2056.4</v>
      </c>
      <c r="E1268" s="116">
        <v>2086.4499999999998</v>
      </c>
      <c r="F1268" s="116">
        <v>2085.65</v>
      </c>
      <c r="G1268">
        <v>3634</v>
      </c>
      <c r="H1268" s="116"/>
      <c r="I1268" s="116"/>
      <c r="L1268" s="170">
        <v>45335</v>
      </c>
      <c r="M1268" s="116">
        <v>2062.9</v>
      </c>
      <c r="N1268" s="116">
        <v>2077.9499999999998</v>
      </c>
      <c r="O1268" s="116">
        <v>2005</v>
      </c>
      <c r="P1268" s="116">
        <v>2077.9</v>
      </c>
      <c r="Q1268" s="116">
        <v>2062.9</v>
      </c>
      <c r="R1268">
        <v>328542</v>
      </c>
    </row>
    <row r="1269" spans="1:18" x14ac:dyDescent="0.25">
      <c r="A1269" s="170">
        <v>45341</v>
      </c>
      <c r="B1269" s="116">
        <v>2126.5</v>
      </c>
      <c r="C1269" s="116">
        <v>2101.35</v>
      </c>
      <c r="D1269" s="116">
        <v>2088.1</v>
      </c>
      <c r="E1269" s="116">
        <v>2116.25</v>
      </c>
      <c r="F1269" s="116">
        <v>2101.35</v>
      </c>
      <c r="G1269">
        <v>8358</v>
      </c>
      <c r="H1269" s="116"/>
      <c r="I1269" s="116"/>
      <c r="L1269" s="170">
        <v>45336</v>
      </c>
      <c r="M1269" s="116">
        <v>2051.35</v>
      </c>
      <c r="N1269" s="116">
        <v>2063.5</v>
      </c>
      <c r="O1269" s="116">
        <v>2027.05</v>
      </c>
      <c r="P1269" s="116">
        <v>2032.2</v>
      </c>
      <c r="Q1269" s="116">
        <v>2051.35</v>
      </c>
      <c r="R1269">
        <v>232957</v>
      </c>
    </row>
    <row r="1270" spans="1:18" x14ac:dyDescent="0.25">
      <c r="A1270" s="170">
        <v>45342</v>
      </c>
      <c r="B1270" s="116">
        <v>2108.4499999999998</v>
      </c>
      <c r="C1270" s="116">
        <v>2082.4</v>
      </c>
      <c r="D1270" s="116">
        <v>2072.4</v>
      </c>
      <c r="E1270" s="116">
        <v>2075.1</v>
      </c>
      <c r="F1270" s="116">
        <v>2082.4</v>
      </c>
      <c r="G1270">
        <v>3864</v>
      </c>
      <c r="H1270" s="116"/>
      <c r="I1270" s="116"/>
      <c r="L1270" s="170">
        <v>45337</v>
      </c>
      <c r="M1270" s="116">
        <v>2046.35</v>
      </c>
      <c r="N1270" s="116">
        <v>2067.9499999999998</v>
      </c>
      <c r="O1270" s="116">
        <v>2035.2</v>
      </c>
      <c r="P1270" s="116">
        <v>2055</v>
      </c>
      <c r="Q1270" s="116">
        <v>2046.35</v>
      </c>
      <c r="R1270">
        <v>271961</v>
      </c>
    </row>
    <row r="1271" spans="1:18" x14ac:dyDescent="0.25">
      <c r="A1271" s="170">
        <v>45343</v>
      </c>
      <c r="B1271" s="116">
        <v>2125.9</v>
      </c>
      <c r="C1271" s="116">
        <v>2084.8000000000002</v>
      </c>
      <c r="D1271" s="116">
        <v>2077.1999999999998</v>
      </c>
      <c r="E1271" s="116">
        <v>2085.4499999999998</v>
      </c>
      <c r="F1271" s="116">
        <v>2084.8000000000002</v>
      </c>
      <c r="G1271">
        <v>4822</v>
      </c>
      <c r="H1271" s="116"/>
      <c r="I1271" s="116"/>
      <c r="L1271" s="170">
        <v>45338</v>
      </c>
      <c r="M1271" s="116">
        <v>2084.6</v>
      </c>
      <c r="N1271" s="116">
        <v>2116.65</v>
      </c>
      <c r="O1271" s="116">
        <v>2051.4</v>
      </c>
      <c r="P1271" s="116">
        <v>2051.5</v>
      </c>
      <c r="Q1271" s="116">
        <v>2084.6</v>
      </c>
      <c r="R1271">
        <v>435123</v>
      </c>
    </row>
    <row r="1272" spans="1:18" x14ac:dyDescent="0.25">
      <c r="A1272" s="170">
        <v>45344</v>
      </c>
      <c r="B1272" s="116">
        <v>2108.9499999999998</v>
      </c>
      <c r="C1272" s="116">
        <v>2105.85</v>
      </c>
      <c r="D1272" s="116">
        <v>2063.6999999999998</v>
      </c>
      <c r="E1272" s="116">
        <v>2085</v>
      </c>
      <c r="F1272" s="116">
        <v>2105.85</v>
      </c>
      <c r="G1272">
        <v>2729</v>
      </c>
      <c r="H1272" s="116"/>
      <c r="I1272" s="116"/>
      <c r="L1272" s="170">
        <v>45341</v>
      </c>
      <c r="M1272" s="116">
        <v>2101.6999999999998</v>
      </c>
      <c r="N1272" s="116">
        <v>2127.9499999999998</v>
      </c>
      <c r="O1272" s="116">
        <v>2084.6</v>
      </c>
      <c r="P1272" s="116">
        <v>2084.6</v>
      </c>
      <c r="Q1272" s="116">
        <v>2101.6999999999998</v>
      </c>
      <c r="R1272">
        <v>292776</v>
      </c>
    </row>
    <row r="1273" spans="1:18" x14ac:dyDescent="0.25">
      <c r="A1273" s="170">
        <v>45345</v>
      </c>
      <c r="B1273" s="116">
        <v>2130.0500000000002</v>
      </c>
      <c r="C1273" s="116">
        <v>2086.8000000000002</v>
      </c>
      <c r="D1273" s="116">
        <v>2081</v>
      </c>
      <c r="E1273" s="116">
        <v>2122.65</v>
      </c>
      <c r="F1273" s="116">
        <v>2086.8000000000002</v>
      </c>
      <c r="G1273">
        <v>3983</v>
      </c>
      <c r="H1273" s="116"/>
      <c r="I1273" s="116"/>
      <c r="L1273" s="170">
        <v>45342</v>
      </c>
      <c r="M1273" s="116">
        <v>2085.5500000000002</v>
      </c>
      <c r="N1273" s="116">
        <v>2108.3000000000002</v>
      </c>
      <c r="O1273" s="116">
        <v>2072</v>
      </c>
      <c r="P1273" s="116">
        <v>2101.6999999999998</v>
      </c>
      <c r="Q1273" s="116">
        <v>2085.5500000000002</v>
      </c>
      <c r="R1273">
        <v>334011</v>
      </c>
    </row>
    <row r="1274" spans="1:18" x14ac:dyDescent="0.25">
      <c r="A1274" s="170">
        <v>45348</v>
      </c>
      <c r="B1274" s="116">
        <v>2120.8000000000002</v>
      </c>
      <c r="C1274" s="116">
        <v>2111.3000000000002</v>
      </c>
      <c r="D1274" s="116">
        <v>2080</v>
      </c>
      <c r="E1274" s="116">
        <v>2096.6</v>
      </c>
      <c r="F1274" s="116">
        <v>2111.3000000000002</v>
      </c>
      <c r="G1274">
        <v>2048</v>
      </c>
      <c r="H1274" s="116"/>
      <c r="I1274" s="116"/>
      <c r="L1274" s="170">
        <v>45343</v>
      </c>
      <c r="M1274" s="116">
        <v>2086.9499999999998</v>
      </c>
      <c r="N1274" s="116">
        <v>2126.9</v>
      </c>
      <c r="O1274" s="116">
        <v>2075.6</v>
      </c>
      <c r="P1274" s="116">
        <v>2080</v>
      </c>
      <c r="Q1274" s="116">
        <v>2086.9499999999998</v>
      </c>
      <c r="R1274">
        <v>430199</v>
      </c>
    </row>
    <row r="1275" spans="1:18" x14ac:dyDescent="0.25">
      <c r="A1275" s="170">
        <v>45349</v>
      </c>
      <c r="B1275" s="116">
        <v>2115.25</v>
      </c>
      <c r="C1275" s="116">
        <v>2070.0500000000002</v>
      </c>
      <c r="D1275" s="116">
        <v>2065</v>
      </c>
      <c r="E1275" s="116">
        <v>2106</v>
      </c>
      <c r="F1275" s="116">
        <v>2070.0500000000002</v>
      </c>
      <c r="G1275">
        <v>5198</v>
      </c>
      <c r="H1275" s="116"/>
      <c r="I1275" s="116"/>
      <c r="L1275" s="170">
        <v>45344</v>
      </c>
      <c r="M1275" s="116">
        <v>2107.15</v>
      </c>
      <c r="N1275" s="116">
        <v>2110.85</v>
      </c>
      <c r="O1275" s="116">
        <v>2062.0500000000002</v>
      </c>
      <c r="P1275" s="116">
        <v>2087.9</v>
      </c>
      <c r="Q1275" s="116">
        <v>2107.15</v>
      </c>
      <c r="R1275">
        <v>620952</v>
      </c>
    </row>
    <row r="1276" spans="1:18" x14ac:dyDescent="0.25">
      <c r="A1276" s="170">
        <v>45350</v>
      </c>
      <c r="B1276" s="116">
        <v>2111.4499999999998</v>
      </c>
      <c r="C1276" s="116">
        <v>2016.45</v>
      </c>
      <c r="D1276" s="116">
        <v>2001.15</v>
      </c>
      <c r="E1276" s="116">
        <v>2111.4499999999998</v>
      </c>
      <c r="F1276" s="116">
        <v>2016.45</v>
      </c>
      <c r="G1276">
        <v>3244</v>
      </c>
      <c r="H1276" s="116"/>
      <c r="I1276" s="116"/>
      <c r="L1276" s="170">
        <v>45345</v>
      </c>
      <c r="M1276" s="116">
        <v>2089.6999999999998</v>
      </c>
      <c r="N1276" s="116">
        <v>2120.85</v>
      </c>
      <c r="O1276" s="116">
        <v>2080.25</v>
      </c>
      <c r="P1276" s="116">
        <v>2120</v>
      </c>
      <c r="Q1276" s="116">
        <v>2089.6999999999998</v>
      </c>
      <c r="R1276">
        <v>432856</v>
      </c>
    </row>
    <row r="1277" spans="1:18" x14ac:dyDescent="0.25">
      <c r="A1277" s="170">
        <v>45351</v>
      </c>
      <c r="B1277" s="116">
        <v>2032.6</v>
      </c>
      <c r="C1277" s="116">
        <v>2023.7</v>
      </c>
      <c r="D1277" s="116">
        <v>1985.95</v>
      </c>
      <c r="E1277" s="116">
        <v>2016.45</v>
      </c>
      <c r="F1277" s="116">
        <v>2023.7</v>
      </c>
      <c r="G1277">
        <v>3658</v>
      </c>
      <c r="H1277" s="116"/>
      <c r="I1277" s="116"/>
      <c r="L1277" s="170">
        <v>45348</v>
      </c>
      <c r="M1277" s="116">
        <v>2113.65</v>
      </c>
      <c r="N1277" s="116">
        <v>2122.5</v>
      </c>
      <c r="O1277" s="116">
        <v>2081.1999999999998</v>
      </c>
      <c r="P1277" s="116">
        <v>2094.4499999999998</v>
      </c>
      <c r="Q1277" s="116">
        <v>2113.65</v>
      </c>
      <c r="R1277">
        <v>338763</v>
      </c>
    </row>
    <row r="1278" spans="1:18" x14ac:dyDescent="0.25">
      <c r="A1278" s="170">
        <v>45352</v>
      </c>
      <c r="B1278" s="116">
        <v>2061.4</v>
      </c>
      <c r="C1278" s="116">
        <v>2053.15</v>
      </c>
      <c r="D1278" s="116">
        <v>2031.5</v>
      </c>
      <c r="E1278" s="116">
        <v>2031.5</v>
      </c>
      <c r="F1278" s="116">
        <v>2053.15</v>
      </c>
      <c r="G1278">
        <v>2315</v>
      </c>
      <c r="H1278" s="116"/>
      <c r="I1278" s="116"/>
      <c r="L1278" s="170">
        <v>45349</v>
      </c>
      <c r="M1278" s="116">
        <v>2072.65</v>
      </c>
      <c r="N1278" s="116">
        <v>2114.15</v>
      </c>
      <c r="O1278" s="116">
        <v>2065.6</v>
      </c>
      <c r="P1278" s="116">
        <v>2102</v>
      </c>
      <c r="Q1278" s="116">
        <v>2072.65</v>
      </c>
      <c r="R1278">
        <v>362622</v>
      </c>
    </row>
    <row r="1279" spans="1:18" x14ac:dyDescent="0.25">
      <c r="A1279" s="170">
        <v>45353</v>
      </c>
      <c r="B1279" s="116">
        <v>2126.5500000000002</v>
      </c>
      <c r="C1279" s="116">
        <v>2067.75</v>
      </c>
      <c r="D1279" s="116">
        <v>2030</v>
      </c>
      <c r="E1279" s="116">
        <v>2030</v>
      </c>
      <c r="F1279" s="116">
        <v>2067.75</v>
      </c>
      <c r="G1279">
        <v>286</v>
      </c>
      <c r="H1279" s="116"/>
      <c r="I1279" s="116"/>
      <c r="L1279" s="170">
        <v>45350</v>
      </c>
      <c r="M1279" s="116">
        <v>2016.95</v>
      </c>
      <c r="N1279" s="116">
        <v>2085.15</v>
      </c>
      <c r="O1279" s="116">
        <v>2002.65</v>
      </c>
      <c r="P1279" s="116">
        <v>2070</v>
      </c>
      <c r="Q1279" s="116">
        <v>2016.95</v>
      </c>
      <c r="R1279">
        <v>249809</v>
      </c>
    </row>
    <row r="1280" spans="1:18" x14ac:dyDescent="0.25">
      <c r="A1280" s="170">
        <v>45355</v>
      </c>
      <c r="B1280" s="116">
        <v>2102.9499999999998</v>
      </c>
      <c r="C1280" s="116">
        <v>2025.8</v>
      </c>
      <c r="D1280" s="116">
        <v>2022.85</v>
      </c>
      <c r="E1280" s="116">
        <v>2099.5500000000002</v>
      </c>
      <c r="F1280" s="116">
        <v>2025.8</v>
      </c>
      <c r="G1280">
        <v>9424</v>
      </c>
      <c r="H1280" s="116"/>
      <c r="I1280" s="116"/>
      <c r="L1280" s="170">
        <v>45351</v>
      </c>
      <c r="M1280" s="116">
        <v>2024.9</v>
      </c>
      <c r="N1280" s="116">
        <v>2038.45</v>
      </c>
      <c r="O1280" s="116">
        <v>1986.3</v>
      </c>
      <c r="P1280" s="116">
        <v>2002.25</v>
      </c>
      <c r="Q1280" s="116">
        <v>2024.9</v>
      </c>
      <c r="R1280">
        <v>280293</v>
      </c>
    </row>
    <row r="1281" spans="1:18" x14ac:dyDescent="0.25">
      <c r="A1281" s="170">
        <v>45356</v>
      </c>
      <c r="B1281" s="116">
        <v>2048.35</v>
      </c>
      <c r="C1281" s="116">
        <v>1993.8</v>
      </c>
      <c r="D1281" s="116">
        <v>1986.6</v>
      </c>
      <c r="E1281" s="116">
        <v>2027.2</v>
      </c>
      <c r="F1281" s="116">
        <v>1993.8</v>
      </c>
      <c r="G1281">
        <v>4229</v>
      </c>
      <c r="H1281" s="116"/>
      <c r="I1281" s="116"/>
      <c r="L1281" s="170">
        <v>45352</v>
      </c>
      <c r="M1281" s="116">
        <v>2055.4499999999998</v>
      </c>
      <c r="N1281" s="116">
        <v>2061.0500000000002</v>
      </c>
      <c r="O1281" s="116">
        <v>2025</v>
      </c>
      <c r="P1281" s="116">
        <v>2025</v>
      </c>
      <c r="Q1281" s="116">
        <v>2055.4499999999998</v>
      </c>
      <c r="R1281">
        <v>219759</v>
      </c>
    </row>
    <row r="1282" spans="1:18" x14ac:dyDescent="0.25">
      <c r="A1282" s="170">
        <v>45357</v>
      </c>
      <c r="B1282" s="116">
        <v>1996.75</v>
      </c>
      <c r="C1282" s="116">
        <v>1944.4</v>
      </c>
      <c r="D1282" s="116">
        <v>1917.3</v>
      </c>
      <c r="E1282" s="116">
        <v>1980.95</v>
      </c>
      <c r="F1282" s="116">
        <v>1944.4</v>
      </c>
      <c r="G1282">
        <v>12681</v>
      </c>
      <c r="H1282" s="116"/>
      <c r="I1282" s="116"/>
      <c r="L1282" s="170">
        <v>45353</v>
      </c>
      <c r="M1282" s="116">
        <v>2065.3000000000002</v>
      </c>
      <c r="N1282" s="116">
        <v>2073</v>
      </c>
      <c r="O1282" s="116">
        <v>2018.05</v>
      </c>
      <c r="P1282" s="116">
        <v>2060</v>
      </c>
      <c r="Q1282" s="116">
        <v>2065.3000000000002</v>
      </c>
      <c r="R1282">
        <v>7192</v>
      </c>
    </row>
    <row r="1283" spans="1:18" x14ac:dyDescent="0.25">
      <c r="A1283" s="170">
        <v>45358</v>
      </c>
      <c r="B1283" s="116">
        <v>1972.65</v>
      </c>
      <c r="C1283" s="116">
        <v>1960.3</v>
      </c>
      <c r="D1283" s="116">
        <v>1875.05</v>
      </c>
      <c r="E1283" s="116">
        <v>1875.05</v>
      </c>
      <c r="F1283" s="116">
        <v>1960.3</v>
      </c>
      <c r="G1283">
        <v>2981</v>
      </c>
      <c r="H1283" s="116"/>
      <c r="I1283" s="116"/>
      <c r="L1283" s="170">
        <v>45355</v>
      </c>
      <c r="M1283" s="116">
        <v>2027.05</v>
      </c>
      <c r="N1283" s="116">
        <v>2103.15</v>
      </c>
      <c r="O1283" s="116">
        <v>2021.75</v>
      </c>
      <c r="P1283" s="116">
        <v>2085</v>
      </c>
      <c r="Q1283" s="116">
        <v>2027.05</v>
      </c>
      <c r="R1283">
        <v>241075</v>
      </c>
    </row>
    <row r="1284" spans="1:18" x14ac:dyDescent="0.25">
      <c r="A1284" s="170">
        <v>45362</v>
      </c>
      <c r="B1284" s="116">
        <v>1989.55</v>
      </c>
      <c r="C1284" s="116">
        <v>1942</v>
      </c>
      <c r="D1284" s="116">
        <v>1934</v>
      </c>
      <c r="E1284" s="116">
        <v>1989.55</v>
      </c>
      <c r="F1284" s="116">
        <v>1942</v>
      </c>
      <c r="G1284">
        <v>5245</v>
      </c>
      <c r="H1284" s="116"/>
      <c r="I1284" s="116"/>
      <c r="L1284" s="170">
        <v>45356</v>
      </c>
      <c r="M1284" s="116">
        <v>1995.95</v>
      </c>
      <c r="N1284" s="116">
        <v>2049.9499999999998</v>
      </c>
      <c r="O1284" s="116">
        <v>1985</v>
      </c>
      <c r="P1284" s="116">
        <v>2040</v>
      </c>
      <c r="Q1284" s="116">
        <v>1995.95</v>
      </c>
      <c r="R1284">
        <v>198945</v>
      </c>
    </row>
    <row r="1285" spans="1:18" x14ac:dyDescent="0.25">
      <c r="A1285" s="170">
        <v>45363</v>
      </c>
      <c r="B1285" s="116">
        <v>1963.7</v>
      </c>
      <c r="C1285" s="116">
        <v>1906.1</v>
      </c>
      <c r="D1285" s="116">
        <v>1890.65</v>
      </c>
      <c r="E1285" s="116">
        <v>1949.4</v>
      </c>
      <c r="F1285" s="116">
        <v>1906.1</v>
      </c>
      <c r="G1285">
        <v>118309</v>
      </c>
      <c r="H1285" s="116"/>
      <c r="I1285" s="116"/>
      <c r="L1285" s="170">
        <v>45357</v>
      </c>
      <c r="M1285" s="116">
        <v>1945.95</v>
      </c>
      <c r="N1285" s="116">
        <v>1998.45</v>
      </c>
      <c r="O1285" s="116">
        <v>1916.15</v>
      </c>
      <c r="P1285" s="116">
        <v>1996</v>
      </c>
      <c r="Q1285" s="116">
        <v>1945.95</v>
      </c>
      <c r="R1285">
        <v>399091</v>
      </c>
    </row>
    <row r="1286" spans="1:18" x14ac:dyDescent="0.25">
      <c r="A1286" s="170">
        <v>45364</v>
      </c>
      <c r="B1286" s="116">
        <v>1919.8</v>
      </c>
      <c r="C1286" s="116">
        <v>1827.85</v>
      </c>
      <c r="D1286" s="116">
        <v>1805</v>
      </c>
      <c r="E1286" s="116">
        <v>1900.75</v>
      </c>
      <c r="F1286" s="116">
        <v>1827.85</v>
      </c>
      <c r="G1286">
        <v>7056</v>
      </c>
      <c r="H1286" s="116"/>
      <c r="I1286" s="116"/>
      <c r="L1286" s="170">
        <v>45358</v>
      </c>
      <c r="M1286" s="116">
        <v>1961.2</v>
      </c>
      <c r="N1286" s="116">
        <v>1973.95</v>
      </c>
      <c r="O1286" s="116">
        <v>1931.1</v>
      </c>
      <c r="P1286" s="116">
        <v>1931.1</v>
      </c>
      <c r="Q1286" s="116">
        <v>1961.2</v>
      </c>
      <c r="R1286">
        <v>242073</v>
      </c>
    </row>
    <row r="1287" spans="1:18" x14ac:dyDescent="0.25">
      <c r="A1287" s="170">
        <v>45365</v>
      </c>
      <c r="B1287" s="116">
        <v>1878.95</v>
      </c>
      <c r="C1287" s="116">
        <v>1868.9</v>
      </c>
      <c r="D1287" s="116">
        <v>1820.5</v>
      </c>
      <c r="E1287" s="116">
        <v>1864.45</v>
      </c>
      <c r="F1287" s="116">
        <v>1868.9</v>
      </c>
      <c r="G1287">
        <v>7756</v>
      </c>
      <c r="H1287" s="116"/>
      <c r="I1287" s="116"/>
      <c r="L1287" s="170">
        <v>45362</v>
      </c>
      <c r="M1287" s="116">
        <v>1939.25</v>
      </c>
      <c r="N1287" s="116">
        <v>1977.95</v>
      </c>
      <c r="O1287" s="116">
        <v>1935</v>
      </c>
      <c r="P1287" s="116">
        <v>1961.2</v>
      </c>
      <c r="Q1287" s="116">
        <v>1939.25</v>
      </c>
      <c r="R1287">
        <v>318811</v>
      </c>
    </row>
    <row r="1288" spans="1:18" x14ac:dyDescent="0.25">
      <c r="A1288" s="170">
        <v>45366</v>
      </c>
      <c r="B1288" s="116">
        <v>1893</v>
      </c>
      <c r="C1288" s="116">
        <v>1880.05</v>
      </c>
      <c r="D1288" s="116">
        <v>1855.55</v>
      </c>
      <c r="E1288" s="116">
        <v>1888.95</v>
      </c>
      <c r="F1288" s="116">
        <v>1880.05</v>
      </c>
      <c r="G1288">
        <v>6300</v>
      </c>
      <c r="H1288" s="116"/>
      <c r="I1288" s="116"/>
      <c r="L1288" s="170">
        <v>45363</v>
      </c>
      <c r="M1288" s="116">
        <v>1909.15</v>
      </c>
      <c r="N1288" s="116">
        <v>1950</v>
      </c>
      <c r="O1288" s="116">
        <v>1891.1</v>
      </c>
      <c r="P1288" s="116">
        <v>1945</v>
      </c>
      <c r="Q1288" s="116">
        <v>1909.15</v>
      </c>
      <c r="R1288">
        <v>588682</v>
      </c>
    </row>
    <row r="1289" spans="1:18" x14ac:dyDescent="0.25">
      <c r="A1289" s="170">
        <v>45369</v>
      </c>
      <c r="B1289" s="116">
        <v>1892.1</v>
      </c>
      <c r="C1289" s="116">
        <v>1885.55</v>
      </c>
      <c r="D1289" s="116">
        <v>1854.05</v>
      </c>
      <c r="E1289" s="116">
        <v>1884.8</v>
      </c>
      <c r="F1289" s="116">
        <v>1885.55</v>
      </c>
      <c r="G1289">
        <v>2356</v>
      </c>
      <c r="H1289" s="116"/>
      <c r="I1289" s="116"/>
      <c r="L1289" s="170">
        <v>45364</v>
      </c>
      <c r="M1289" s="116">
        <v>1825.5</v>
      </c>
      <c r="N1289" s="116">
        <v>1919.5</v>
      </c>
      <c r="O1289" s="116">
        <v>1803.15</v>
      </c>
      <c r="P1289" s="116">
        <v>1909.15</v>
      </c>
      <c r="Q1289" s="116">
        <v>1825.5</v>
      </c>
      <c r="R1289">
        <v>450072</v>
      </c>
    </row>
    <row r="1290" spans="1:18" x14ac:dyDescent="0.25">
      <c r="A1290" s="170">
        <v>45370</v>
      </c>
      <c r="B1290" s="116">
        <v>1892.05</v>
      </c>
      <c r="C1290" s="116">
        <v>1882.3</v>
      </c>
      <c r="D1290" s="116">
        <v>1863.4</v>
      </c>
      <c r="E1290" s="116">
        <v>1885.6</v>
      </c>
      <c r="F1290" s="116">
        <v>1882.3</v>
      </c>
      <c r="G1290">
        <v>4516</v>
      </c>
      <c r="H1290" s="116"/>
      <c r="I1290" s="116"/>
      <c r="L1290" s="170">
        <v>45365</v>
      </c>
      <c r="M1290" s="116">
        <v>1867.05</v>
      </c>
      <c r="N1290" s="116">
        <v>1877.95</v>
      </c>
      <c r="O1290" s="116">
        <v>1821.6</v>
      </c>
      <c r="P1290" s="116">
        <v>1827</v>
      </c>
      <c r="Q1290" s="116">
        <v>1867.05</v>
      </c>
      <c r="R1290">
        <v>242860</v>
      </c>
    </row>
    <row r="1291" spans="1:18" x14ac:dyDescent="0.25">
      <c r="A1291" s="170">
        <v>45371</v>
      </c>
      <c r="B1291" s="116">
        <v>1900</v>
      </c>
      <c r="C1291" s="116">
        <v>1894.85</v>
      </c>
      <c r="D1291" s="116">
        <v>1849.5</v>
      </c>
      <c r="E1291" s="116">
        <v>1884.45</v>
      </c>
      <c r="F1291" s="116">
        <v>1894.85</v>
      </c>
      <c r="G1291">
        <v>2681</v>
      </c>
      <c r="H1291" s="116"/>
      <c r="I1291" s="116"/>
      <c r="L1291" s="170">
        <v>45366</v>
      </c>
      <c r="M1291" s="116">
        <v>1880.4</v>
      </c>
      <c r="N1291" s="116">
        <v>1893.9</v>
      </c>
      <c r="O1291" s="116">
        <v>1854.7</v>
      </c>
      <c r="P1291" s="116">
        <v>1870</v>
      </c>
      <c r="Q1291" s="116">
        <v>1880.4</v>
      </c>
      <c r="R1291">
        <v>399126</v>
      </c>
    </row>
    <row r="1292" spans="1:18" x14ac:dyDescent="0.25">
      <c r="A1292" s="170">
        <v>45372</v>
      </c>
      <c r="B1292" s="116">
        <v>1934.45</v>
      </c>
      <c r="C1292" s="116">
        <v>1922.25</v>
      </c>
      <c r="D1292" s="116">
        <v>1900.6</v>
      </c>
      <c r="E1292" s="116">
        <v>1934.45</v>
      </c>
      <c r="F1292" s="116">
        <v>1922.25</v>
      </c>
      <c r="G1292">
        <v>2804</v>
      </c>
      <c r="H1292" s="116"/>
      <c r="I1292" s="116"/>
      <c r="L1292" s="170">
        <v>45369</v>
      </c>
      <c r="M1292" s="116">
        <v>1884.95</v>
      </c>
      <c r="N1292" s="116">
        <v>1898.4</v>
      </c>
      <c r="O1292" s="116">
        <v>1851.25</v>
      </c>
      <c r="P1292" s="116">
        <v>1881.05</v>
      </c>
      <c r="Q1292" s="116">
        <v>1884.95</v>
      </c>
      <c r="R1292">
        <v>320363</v>
      </c>
    </row>
    <row r="1293" spans="1:18" x14ac:dyDescent="0.25">
      <c r="A1293" s="170">
        <v>45373</v>
      </c>
      <c r="B1293" s="116">
        <v>1970.55</v>
      </c>
      <c r="C1293" s="116">
        <v>1959.3</v>
      </c>
      <c r="D1293" s="116">
        <v>1909.3</v>
      </c>
      <c r="E1293" s="116">
        <v>1929</v>
      </c>
      <c r="F1293" s="116">
        <v>1959.3</v>
      </c>
      <c r="G1293">
        <v>7073</v>
      </c>
      <c r="H1293" s="116"/>
      <c r="I1293" s="116"/>
      <c r="L1293" s="170">
        <v>45370</v>
      </c>
      <c r="M1293" s="116">
        <v>1884.4</v>
      </c>
      <c r="N1293" s="116">
        <v>1894.85</v>
      </c>
      <c r="O1293" s="116">
        <v>1865.8</v>
      </c>
      <c r="P1293" s="116">
        <v>1894.85</v>
      </c>
      <c r="Q1293" s="116">
        <v>1884.4</v>
      </c>
      <c r="R1293">
        <v>279862</v>
      </c>
    </row>
    <row r="1294" spans="1:18" x14ac:dyDescent="0.25">
      <c r="A1294" s="170">
        <v>45377</v>
      </c>
      <c r="B1294" s="116">
        <v>1969.1</v>
      </c>
      <c r="C1294" s="116">
        <v>1959.2</v>
      </c>
      <c r="D1294" s="116">
        <v>1931.4</v>
      </c>
      <c r="E1294" s="116">
        <v>1946.6</v>
      </c>
      <c r="F1294" s="116">
        <v>1959.2</v>
      </c>
      <c r="G1294">
        <v>9031</v>
      </c>
      <c r="H1294" s="116"/>
      <c r="I1294" s="116"/>
      <c r="L1294" s="170">
        <v>45371</v>
      </c>
      <c r="M1294" s="116">
        <v>1895.05</v>
      </c>
      <c r="N1294" s="116">
        <v>1908.5</v>
      </c>
      <c r="O1294" s="116">
        <v>1849.65</v>
      </c>
      <c r="P1294" s="116">
        <v>1888.95</v>
      </c>
      <c r="Q1294" s="116">
        <v>1895.05</v>
      </c>
      <c r="R1294">
        <v>604621</v>
      </c>
    </row>
    <row r="1295" spans="1:18" x14ac:dyDescent="0.25">
      <c r="A1295" s="170">
        <v>45378</v>
      </c>
      <c r="B1295" s="116">
        <v>2001.35</v>
      </c>
      <c r="C1295" s="116">
        <v>1955.65</v>
      </c>
      <c r="D1295" s="116">
        <v>1950.1</v>
      </c>
      <c r="E1295" s="116">
        <v>1975.95</v>
      </c>
      <c r="F1295" s="116">
        <v>1955.65</v>
      </c>
      <c r="G1295">
        <v>28287</v>
      </c>
      <c r="H1295" s="116"/>
      <c r="I1295" s="116"/>
      <c r="L1295" s="170">
        <v>45372</v>
      </c>
      <c r="M1295" s="116">
        <v>1922.15</v>
      </c>
      <c r="N1295" s="116">
        <v>1924.5</v>
      </c>
      <c r="O1295" s="116">
        <v>1898.45</v>
      </c>
      <c r="P1295" s="116">
        <v>1900.1</v>
      </c>
      <c r="Q1295" s="116">
        <v>1922.15</v>
      </c>
      <c r="R1295">
        <v>154710</v>
      </c>
    </row>
    <row r="1296" spans="1:18" x14ac:dyDescent="0.25">
      <c r="A1296" s="170">
        <v>45379</v>
      </c>
      <c r="B1296" s="116">
        <v>1973.75</v>
      </c>
      <c r="C1296" s="116">
        <v>1942.2</v>
      </c>
      <c r="D1296" s="116">
        <v>1935.65</v>
      </c>
      <c r="E1296" s="116">
        <v>1960</v>
      </c>
      <c r="F1296" s="116">
        <v>1942.2</v>
      </c>
      <c r="G1296">
        <v>5507</v>
      </c>
      <c r="H1296" s="116"/>
      <c r="I1296" s="116"/>
      <c r="L1296" s="170">
        <v>45373</v>
      </c>
      <c r="M1296" s="116">
        <v>1959.25</v>
      </c>
      <c r="N1296" s="116">
        <v>1970.8</v>
      </c>
      <c r="O1296" s="116">
        <v>1907.6</v>
      </c>
      <c r="P1296" s="116">
        <v>1920</v>
      </c>
      <c r="Q1296" s="116">
        <v>1959.25</v>
      </c>
      <c r="R1296">
        <v>219824</v>
      </c>
    </row>
    <row r="1297" spans="1:18" x14ac:dyDescent="0.25">
      <c r="A1297" s="170">
        <v>45383</v>
      </c>
      <c r="B1297" s="116">
        <v>2008.65</v>
      </c>
      <c r="C1297" s="116">
        <v>1997.3</v>
      </c>
      <c r="D1297" s="116">
        <v>1944.15</v>
      </c>
      <c r="E1297" s="116">
        <v>1944.15</v>
      </c>
      <c r="F1297" s="116">
        <v>1997.3</v>
      </c>
      <c r="G1297">
        <v>8702</v>
      </c>
      <c r="H1297" s="116"/>
      <c r="I1297" s="116"/>
      <c r="L1297" s="170">
        <v>45377</v>
      </c>
      <c r="M1297" s="116">
        <v>1961.2</v>
      </c>
      <c r="N1297" s="116">
        <v>1970</v>
      </c>
      <c r="O1297" s="116">
        <v>1928.7</v>
      </c>
      <c r="P1297" s="116">
        <v>1928.7</v>
      </c>
      <c r="Q1297" s="116">
        <v>1961.2</v>
      </c>
      <c r="R1297">
        <v>232888</v>
      </c>
    </row>
    <row r="1298" spans="1:18" x14ac:dyDescent="0.25">
      <c r="A1298" s="170">
        <v>45384</v>
      </c>
      <c r="B1298" s="116">
        <v>2041.6</v>
      </c>
      <c r="C1298" s="116">
        <v>2027.45</v>
      </c>
      <c r="D1298" s="116">
        <v>1966.7</v>
      </c>
      <c r="E1298" s="116">
        <v>2003.05</v>
      </c>
      <c r="F1298" s="116">
        <v>2027.45</v>
      </c>
      <c r="G1298">
        <v>22454</v>
      </c>
      <c r="H1298" s="116"/>
      <c r="I1298" s="116"/>
      <c r="L1298" s="170">
        <v>45378</v>
      </c>
      <c r="M1298" s="116">
        <v>1957.85</v>
      </c>
      <c r="N1298" s="116">
        <v>2003.45</v>
      </c>
      <c r="O1298" s="116">
        <v>1950.1</v>
      </c>
      <c r="P1298" s="116">
        <v>1961</v>
      </c>
      <c r="Q1298" s="116">
        <v>1957.85</v>
      </c>
      <c r="R1298">
        <v>988773</v>
      </c>
    </row>
    <row r="1299" spans="1:18" x14ac:dyDescent="0.25">
      <c r="A1299" s="170">
        <v>45385</v>
      </c>
      <c r="B1299" s="116">
        <v>2064.4499999999998</v>
      </c>
      <c r="C1299" s="116">
        <v>2041.85</v>
      </c>
      <c r="D1299" s="116">
        <v>2005.4</v>
      </c>
      <c r="E1299" s="116">
        <v>2064.4499999999998</v>
      </c>
      <c r="F1299" s="116">
        <v>2041.85</v>
      </c>
      <c r="G1299">
        <v>8240</v>
      </c>
      <c r="H1299" s="116"/>
      <c r="I1299" s="116"/>
      <c r="L1299" s="170">
        <v>45379</v>
      </c>
      <c r="M1299" s="116">
        <v>1942.15</v>
      </c>
      <c r="N1299" s="116">
        <v>1977</v>
      </c>
      <c r="O1299" s="116">
        <v>1935.1</v>
      </c>
      <c r="P1299" s="116">
        <v>1956</v>
      </c>
      <c r="Q1299" s="116">
        <v>1942.15</v>
      </c>
      <c r="R1299">
        <v>650389</v>
      </c>
    </row>
    <row r="1300" spans="1:18" x14ac:dyDescent="0.25">
      <c r="A1300" s="170">
        <v>45386</v>
      </c>
      <c r="B1300" s="116">
        <v>2058.5</v>
      </c>
      <c r="C1300" s="116">
        <v>2026.55</v>
      </c>
      <c r="D1300" s="116">
        <v>2021.25</v>
      </c>
      <c r="E1300" s="116">
        <v>2051.9</v>
      </c>
      <c r="F1300" s="116">
        <v>2026.55</v>
      </c>
      <c r="G1300">
        <v>4410</v>
      </c>
      <c r="H1300" s="116"/>
      <c r="I1300" s="116"/>
      <c r="L1300" s="170">
        <v>45383</v>
      </c>
      <c r="M1300" s="116">
        <v>1992.3</v>
      </c>
      <c r="N1300" s="116">
        <v>2009</v>
      </c>
      <c r="O1300" s="116">
        <v>1942.05</v>
      </c>
      <c r="P1300" s="116">
        <v>1942.05</v>
      </c>
      <c r="Q1300" s="116">
        <v>1992.3</v>
      </c>
      <c r="R1300">
        <v>629540</v>
      </c>
    </row>
    <row r="1301" spans="1:18" x14ac:dyDescent="0.25">
      <c r="A1301" s="170">
        <v>45387</v>
      </c>
      <c r="B1301" s="116">
        <v>2013.05</v>
      </c>
      <c r="C1301" s="116">
        <v>1988.35</v>
      </c>
      <c r="D1301" s="116">
        <v>1981.25</v>
      </c>
      <c r="E1301" s="116">
        <v>2013.05</v>
      </c>
      <c r="F1301" s="116">
        <v>1988.35</v>
      </c>
      <c r="G1301">
        <v>13465</v>
      </c>
      <c r="H1301" s="116"/>
      <c r="I1301" s="116"/>
      <c r="L1301" s="170">
        <v>45384</v>
      </c>
      <c r="M1301" s="116">
        <v>2028.35</v>
      </c>
      <c r="N1301" s="116">
        <v>2041.5</v>
      </c>
      <c r="O1301" s="116">
        <v>1965.8</v>
      </c>
      <c r="P1301" s="116">
        <v>2001.05</v>
      </c>
      <c r="Q1301" s="116">
        <v>2028.35</v>
      </c>
      <c r="R1301">
        <v>798274</v>
      </c>
    </row>
    <row r="1302" spans="1:18" x14ac:dyDescent="0.25">
      <c r="A1302" s="170">
        <v>45390</v>
      </c>
      <c r="B1302" s="116">
        <v>2015</v>
      </c>
      <c r="C1302" s="116">
        <v>2012</v>
      </c>
      <c r="D1302" s="116">
        <v>1981.55</v>
      </c>
      <c r="E1302" s="116">
        <v>2006</v>
      </c>
      <c r="F1302" s="116">
        <v>2012</v>
      </c>
      <c r="G1302">
        <v>4457</v>
      </c>
      <c r="H1302" s="116"/>
      <c r="I1302" s="116"/>
      <c r="L1302" s="170">
        <v>45385</v>
      </c>
      <c r="M1302" s="116">
        <v>2042.45</v>
      </c>
      <c r="N1302" s="116">
        <v>2048.6999999999998</v>
      </c>
      <c r="O1302" s="116">
        <v>2002.75</v>
      </c>
      <c r="P1302" s="116">
        <v>2028.05</v>
      </c>
      <c r="Q1302" s="116">
        <v>2042.45</v>
      </c>
      <c r="R1302">
        <v>744823</v>
      </c>
    </row>
    <row r="1303" spans="1:18" x14ac:dyDescent="0.25">
      <c r="A1303" s="170">
        <v>45391</v>
      </c>
      <c r="B1303" s="116">
        <v>2044.55</v>
      </c>
      <c r="C1303" s="116">
        <v>1992.8</v>
      </c>
      <c r="D1303" s="116">
        <v>1983.9</v>
      </c>
      <c r="E1303" s="116">
        <v>2005.5</v>
      </c>
      <c r="F1303" s="116">
        <v>1992.8</v>
      </c>
      <c r="G1303">
        <v>11408</v>
      </c>
      <c r="H1303" s="116"/>
      <c r="I1303" s="116"/>
      <c r="L1303" s="170">
        <v>45386</v>
      </c>
      <c r="M1303" s="116">
        <v>2026.45</v>
      </c>
      <c r="N1303" s="116">
        <v>2058.9</v>
      </c>
      <c r="O1303" s="116">
        <v>2021.1</v>
      </c>
      <c r="P1303" s="116">
        <v>2058</v>
      </c>
      <c r="Q1303" s="116">
        <v>2026.45</v>
      </c>
      <c r="R1303">
        <v>529000</v>
      </c>
    </row>
    <row r="1304" spans="1:18" x14ac:dyDescent="0.25">
      <c r="A1304" s="170">
        <v>45392</v>
      </c>
      <c r="B1304" s="116">
        <v>2008.65</v>
      </c>
      <c r="C1304" s="116">
        <v>1978.2</v>
      </c>
      <c r="D1304" s="116">
        <v>1971</v>
      </c>
      <c r="E1304" s="116">
        <v>2005</v>
      </c>
      <c r="F1304" s="116">
        <v>1978.2</v>
      </c>
      <c r="G1304">
        <v>8457</v>
      </c>
      <c r="H1304" s="116"/>
      <c r="I1304" s="116"/>
      <c r="L1304" s="170">
        <v>45387</v>
      </c>
      <c r="M1304" s="116">
        <v>1989.1</v>
      </c>
      <c r="N1304" s="116">
        <v>2017</v>
      </c>
      <c r="O1304" s="116">
        <v>1981.5</v>
      </c>
      <c r="P1304" s="116">
        <v>2007.1</v>
      </c>
      <c r="Q1304" s="116">
        <v>1989.1</v>
      </c>
      <c r="R1304">
        <v>568609</v>
      </c>
    </row>
    <row r="1305" spans="1:18" x14ac:dyDescent="0.25">
      <c r="A1305" s="170">
        <v>45394</v>
      </c>
      <c r="B1305" s="116">
        <v>1981.15</v>
      </c>
      <c r="C1305" s="116">
        <v>1951.4</v>
      </c>
      <c r="D1305" s="116">
        <v>1941.95</v>
      </c>
      <c r="E1305" s="116">
        <v>1980</v>
      </c>
      <c r="F1305" s="116">
        <v>1951.4</v>
      </c>
      <c r="G1305">
        <v>13408</v>
      </c>
      <c r="H1305" s="116"/>
      <c r="I1305" s="116"/>
      <c r="L1305" s="170">
        <v>45390</v>
      </c>
      <c r="M1305" s="116">
        <v>2010.9</v>
      </c>
      <c r="N1305" s="116">
        <v>2015</v>
      </c>
      <c r="O1305" s="116">
        <v>1980</v>
      </c>
      <c r="P1305" s="116">
        <v>2012</v>
      </c>
      <c r="Q1305" s="116">
        <v>2010.9</v>
      </c>
      <c r="R1305">
        <v>571966</v>
      </c>
    </row>
    <row r="1306" spans="1:18" x14ac:dyDescent="0.25">
      <c r="A1306" s="170">
        <v>45397</v>
      </c>
      <c r="B1306" s="116">
        <v>1967.5</v>
      </c>
      <c r="C1306" s="116">
        <v>1934.2</v>
      </c>
      <c r="D1306" s="116">
        <v>1909.1</v>
      </c>
      <c r="E1306" s="116">
        <v>1951.4</v>
      </c>
      <c r="F1306" s="116">
        <v>1934.2</v>
      </c>
      <c r="G1306">
        <v>6654</v>
      </c>
      <c r="H1306" s="116"/>
      <c r="I1306" s="116"/>
      <c r="L1306" s="170">
        <v>45391</v>
      </c>
      <c r="M1306" s="116">
        <v>1990.8</v>
      </c>
      <c r="N1306" s="116">
        <v>2044.55</v>
      </c>
      <c r="O1306" s="116">
        <v>1983.85</v>
      </c>
      <c r="P1306" s="116">
        <v>2010.9</v>
      </c>
      <c r="Q1306" s="116">
        <v>1990.8</v>
      </c>
      <c r="R1306">
        <v>228630</v>
      </c>
    </row>
    <row r="1307" spans="1:18" x14ac:dyDescent="0.25">
      <c r="A1307" s="170">
        <v>45398</v>
      </c>
      <c r="B1307" s="116">
        <v>1977.4</v>
      </c>
      <c r="C1307" s="116">
        <v>1968.6</v>
      </c>
      <c r="D1307" s="116">
        <v>1910.05</v>
      </c>
      <c r="E1307" s="116">
        <v>1934.5</v>
      </c>
      <c r="F1307" s="116">
        <v>1968.6</v>
      </c>
      <c r="G1307">
        <v>49769</v>
      </c>
      <c r="H1307" s="116"/>
      <c r="I1307" s="116"/>
      <c r="L1307" s="170">
        <v>45392</v>
      </c>
      <c r="M1307" s="116">
        <v>1978.1</v>
      </c>
      <c r="N1307" s="116">
        <v>2011</v>
      </c>
      <c r="O1307" s="116">
        <v>1970</v>
      </c>
      <c r="P1307" s="116">
        <v>2011</v>
      </c>
      <c r="Q1307" s="116">
        <v>1978.1</v>
      </c>
      <c r="R1307">
        <v>241616</v>
      </c>
    </row>
    <row r="1308" spans="1:18" x14ac:dyDescent="0.25">
      <c r="A1308" s="170">
        <v>45400</v>
      </c>
      <c r="B1308" s="116">
        <v>1986.8</v>
      </c>
      <c r="C1308" s="116">
        <v>1950.45</v>
      </c>
      <c r="D1308" s="116">
        <v>1941</v>
      </c>
      <c r="E1308" s="116">
        <v>1978.35</v>
      </c>
      <c r="F1308" s="116">
        <v>1950.45</v>
      </c>
      <c r="G1308">
        <v>6679</v>
      </c>
      <c r="H1308" s="116"/>
      <c r="I1308" s="116"/>
      <c r="L1308" s="170">
        <v>45394</v>
      </c>
      <c r="M1308" s="116">
        <v>1952.05</v>
      </c>
      <c r="N1308" s="116">
        <v>1980</v>
      </c>
      <c r="O1308" s="116">
        <v>1939.05</v>
      </c>
      <c r="P1308" s="116">
        <v>1979</v>
      </c>
      <c r="Q1308" s="116">
        <v>1952.05</v>
      </c>
      <c r="R1308">
        <v>482032</v>
      </c>
    </row>
    <row r="1309" spans="1:18" x14ac:dyDescent="0.25">
      <c r="A1309" s="170">
        <v>45401</v>
      </c>
      <c r="B1309" s="116">
        <v>1961.1</v>
      </c>
      <c r="C1309" s="116">
        <v>1943.25</v>
      </c>
      <c r="D1309" s="116">
        <v>1911.25</v>
      </c>
      <c r="E1309" s="116">
        <v>1943.6</v>
      </c>
      <c r="F1309" s="116">
        <v>1943.25</v>
      </c>
      <c r="G1309">
        <v>8778</v>
      </c>
      <c r="H1309" s="116"/>
      <c r="I1309" s="116"/>
      <c r="L1309" s="170">
        <v>45397</v>
      </c>
      <c r="M1309" s="116">
        <v>1934.1</v>
      </c>
      <c r="N1309" s="116">
        <v>1968.8</v>
      </c>
      <c r="O1309" s="116">
        <v>1908.45</v>
      </c>
      <c r="P1309" s="116">
        <v>1925.05</v>
      </c>
      <c r="Q1309" s="116">
        <v>1934.1</v>
      </c>
      <c r="R1309">
        <v>324805</v>
      </c>
    </row>
    <row r="1310" spans="1:18" x14ac:dyDescent="0.25">
      <c r="A1310" s="170">
        <v>45404</v>
      </c>
      <c r="B1310" s="116">
        <v>1968.35</v>
      </c>
      <c r="C1310" s="116">
        <v>1960.85</v>
      </c>
      <c r="D1310" s="116">
        <v>1944.05</v>
      </c>
      <c r="E1310" s="116">
        <v>1966.5</v>
      </c>
      <c r="F1310" s="116">
        <v>1960.85</v>
      </c>
      <c r="G1310">
        <v>2488</v>
      </c>
      <c r="H1310" s="116"/>
      <c r="I1310" s="116"/>
      <c r="L1310" s="170">
        <v>45398</v>
      </c>
      <c r="M1310" s="116">
        <v>1970.1</v>
      </c>
      <c r="N1310" s="116">
        <v>1978.9</v>
      </c>
      <c r="O1310" s="116">
        <v>1909</v>
      </c>
      <c r="P1310" s="116">
        <v>1934.65</v>
      </c>
      <c r="Q1310" s="116">
        <v>1970.1</v>
      </c>
      <c r="R1310">
        <v>294678</v>
      </c>
    </row>
    <row r="1311" spans="1:18" x14ac:dyDescent="0.25">
      <c r="A1311" s="170">
        <v>45405</v>
      </c>
      <c r="B1311" s="116">
        <v>1975</v>
      </c>
      <c r="C1311" s="116">
        <v>1949.15</v>
      </c>
      <c r="D1311" s="116">
        <v>1928.3</v>
      </c>
      <c r="E1311" s="116">
        <v>1961.25</v>
      </c>
      <c r="F1311" s="116">
        <v>1949.15</v>
      </c>
      <c r="G1311">
        <v>9348</v>
      </c>
      <c r="H1311" s="116"/>
      <c r="I1311" s="116"/>
      <c r="L1311" s="170">
        <v>45400</v>
      </c>
      <c r="M1311" s="116">
        <v>1949</v>
      </c>
      <c r="N1311" s="116">
        <v>1986.2</v>
      </c>
      <c r="O1311" s="116">
        <v>1940</v>
      </c>
      <c r="P1311" s="116">
        <v>1984</v>
      </c>
      <c r="Q1311" s="116">
        <v>1949</v>
      </c>
      <c r="R1311">
        <v>474474</v>
      </c>
    </row>
    <row r="1312" spans="1:18" x14ac:dyDescent="0.25">
      <c r="A1312" s="170">
        <v>45406</v>
      </c>
      <c r="B1312" s="116">
        <v>1987.6</v>
      </c>
      <c r="C1312" s="116">
        <v>1959.2</v>
      </c>
      <c r="D1312" s="116">
        <v>1929.7</v>
      </c>
      <c r="E1312" s="116">
        <v>1948.2</v>
      </c>
      <c r="F1312" s="116">
        <v>1959.2</v>
      </c>
      <c r="G1312">
        <v>14989</v>
      </c>
      <c r="H1312" s="116"/>
      <c r="I1312" s="116"/>
      <c r="L1312" s="170">
        <v>45401</v>
      </c>
      <c r="M1312" s="116">
        <v>1943.45</v>
      </c>
      <c r="N1312" s="116">
        <v>1962</v>
      </c>
      <c r="O1312" s="116">
        <v>1911.4</v>
      </c>
      <c r="P1312" s="116">
        <v>1949</v>
      </c>
      <c r="Q1312" s="116">
        <v>1943.45</v>
      </c>
      <c r="R1312">
        <v>225621</v>
      </c>
    </row>
    <row r="1313" spans="1:18" x14ac:dyDescent="0.25">
      <c r="A1313" s="170">
        <v>45407</v>
      </c>
      <c r="B1313" s="116">
        <v>1946.9</v>
      </c>
      <c r="C1313" s="116">
        <v>1804.2</v>
      </c>
      <c r="D1313" s="116">
        <v>1766.75</v>
      </c>
      <c r="E1313" s="116">
        <v>1925</v>
      </c>
      <c r="F1313" s="116">
        <v>1804.2</v>
      </c>
      <c r="G1313">
        <v>127408</v>
      </c>
      <c r="H1313" s="116"/>
      <c r="I1313" s="116"/>
      <c r="L1313" s="170">
        <v>45404</v>
      </c>
      <c r="M1313" s="116">
        <v>1960.5</v>
      </c>
      <c r="N1313" s="116">
        <v>1968.75</v>
      </c>
      <c r="O1313" s="116">
        <v>1943.45</v>
      </c>
      <c r="P1313" s="116">
        <v>1964.5</v>
      </c>
      <c r="Q1313" s="116">
        <v>1960.5</v>
      </c>
      <c r="R1313">
        <v>162081</v>
      </c>
    </row>
    <row r="1314" spans="1:18" x14ac:dyDescent="0.25">
      <c r="A1314" s="170">
        <v>45408</v>
      </c>
      <c r="B1314" s="116">
        <v>1834.35</v>
      </c>
      <c r="C1314" s="116">
        <v>1799.25</v>
      </c>
      <c r="D1314" s="116">
        <v>1797.25</v>
      </c>
      <c r="E1314" s="116">
        <v>1826</v>
      </c>
      <c r="F1314" s="116">
        <v>1799.25</v>
      </c>
      <c r="G1314">
        <v>19258</v>
      </c>
      <c r="H1314" s="116"/>
      <c r="I1314" s="116"/>
      <c r="L1314" s="170">
        <v>45405</v>
      </c>
      <c r="M1314" s="116">
        <v>1951.45</v>
      </c>
      <c r="N1314" s="116">
        <v>1976.35</v>
      </c>
      <c r="O1314" s="116">
        <v>1932.5</v>
      </c>
      <c r="P1314" s="116">
        <v>1969.95</v>
      </c>
      <c r="Q1314" s="116">
        <v>1951.45</v>
      </c>
      <c r="R1314">
        <v>503657</v>
      </c>
    </row>
    <row r="1315" spans="1:18" x14ac:dyDescent="0.25">
      <c r="A1315" s="170">
        <v>45411</v>
      </c>
      <c r="B1315" s="116">
        <v>1836</v>
      </c>
      <c r="C1315" s="116">
        <v>1832.3</v>
      </c>
      <c r="D1315" s="116">
        <v>1791</v>
      </c>
      <c r="E1315" s="116">
        <v>1802.95</v>
      </c>
      <c r="F1315" s="116">
        <v>1832.3</v>
      </c>
      <c r="G1315">
        <v>9645</v>
      </c>
      <c r="H1315" s="116"/>
      <c r="I1315" s="116"/>
      <c r="L1315" s="170">
        <v>45406</v>
      </c>
      <c r="M1315" s="116">
        <v>1962.8</v>
      </c>
      <c r="N1315" s="116">
        <v>1988.35</v>
      </c>
      <c r="O1315" s="116">
        <v>1923.3</v>
      </c>
      <c r="P1315" s="116">
        <v>1956</v>
      </c>
      <c r="Q1315" s="116">
        <v>1962.8</v>
      </c>
      <c r="R1315">
        <v>621773</v>
      </c>
    </row>
    <row r="1316" spans="1:18" x14ac:dyDescent="0.25">
      <c r="A1316" s="170">
        <v>45412</v>
      </c>
      <c r="B1316" s="116">
        <v>1850</v>
      </c>
      <c r="C1316" s="116">
        <v>1835.6</v>
      </c>
      <c r="D1316" s="116">
        <v>1825.75</v>
      </c>
      <c r="E1316" s="116">
        <v>1833.05</v>
      </c>
      <c r="F1316" s="116">
        <v>1835.6</v>
      </c>
      <c r="G1316">
        <v>8473</v>
      </c>
      <c r="H1316" s="116"/>
      <c r="I1316" s="116"/>
      <c r="L1316" s="170">
        <v>45407</v>
      </c>
      <c r="M1316" s="116">
        <v>1806.45</v>
      </c>
      <c r="N1316" s="116">
        <v>1948.2</v>
      </c>
      <c r="O1316" s="116">
        <v>1767.05</v>
      </c>
      <c r="P1316" s="116">
        <v>1926</v>
      </c>
      <c r="Q1316" s="116">
        <v>1806.45</v>
      </c>
      <c r="R1316">
        <v>2955407</v>
      </c>
    </row>
    <row r="1317" spans="1:18" x14ac:dyDescent="0.25">
      <c r="A1317" s="170">
        <v>45414</v>
      </c>
      <c r="B1317" s="116">
        <v>1843</v>
      </c>
      <c r="C1317" s="116">
        <v>1791.35</v>
      </c>
      <c r="D1317" s="116">
        <v>1790</v>
      </c>
      <c r="E1317" s="116">
        <v>1843</v>
      </c>
      <c r="F1317" s="116">
        <v>1791.35</v>
      </c>
      <c r="G1317">
        <v>10672</v>
      </c>
      <c r="H1317" s="116"/>
      <c r="I1317" s="116"/>
      <c r="L1317" s="170">
        <v>45408</v>
      </c>
      <c r="M1317" s="116">
        <v>1799.75</v>
      </c>
      <c r="N1317" s="116">
        <v>1834.95</v>
      </c>
      <c r="O1317" s="116">
        <v>1797</v>
      </c>
      <c r="P1317" s="116">
        <v>1824.5</v>
      </c>
      <c r="Q1317" s="116">
        <v>1799.75</v>
      </c>
      <c r="R1317">
        <v>778331</v>
      </c>
    </row>
    <row r="1318" spans="1:18" x14ac:dyDescent="0.25">
      <c r="A1318" s="170">
        <v>45415</v>
      </c>
      <c r="B1318" s="116">
        <v>1810</v>
      </c>
      <c r="C1318" s="116">
        <v>1793.2</v>
      </c>
      <c r="D1318" s="116">
        <v>1780.5</v>
      </c>
      <c r="E1318" s="116">
        <v>1807.7</v>
      </c>
      <c r="F1318" s="116">
        <v>1793.2</v>
      </c>
      <c r="G1318">
        <v>14615</v>
      </c>
      <c r="H1318" s="116"/>
      <c r="I1318" s="116"/>
      <c r="L1318" s="170">
        <v>45411</v>
      </c>
      <c r="M1318" s="116">
        <v>1832.7</v>
      </c>
      <c r="N1318" s="116">
        <v>1836.35</v>
      </c>
      <c r="O1318" s="116">
        <v>1790.25</v>
      </c>
      <c r="P1318" s="116">
        <v>1810</v>
      </c>
      <c r="Q1318" s="116">
        <v>1832.7</v>
      </c>
      <c r="R1318">
        <v>332380</v>
      </c>
    </row>
    <row r="1319" spans="1:18" x14ac:dyDescent="0.25">
      <c r="A1319" s="170">
        <v>45418</v>
      </c>
      <c r="B1319" s="116">
        <v>1814.95</v>
      </c>
      <c r="C1319" s="116">
        <v>1794.15</v>
      </c>
      <c r="D1319" s="116">
        <v>1776.7</v>
      </c>
      <c r="E1319" s="116">
        <v>1814.95</v>
      </c>
      <c r="F1319" s="116">
        <v>1794.15</v>
      </c>
      <c r="G1319">
        <v>8901</v>
      </c>
      <c r="H1319" s="116"/>
      <c r="I1319" s="116"/>
      <c r="L1319" s="170">
        <v>45412</v>
      </c>
      <c r="M1319" s="116">
        <v>1838.15</v>
      </c>
      <c r="N1319" s="116">
        <v>1850.05</v>
      </c>
      <c r="O1319" s="116">
        <v>1825.05</v>
      </c>
      <c r="P1319" s="116">
        <v>1840</v>
      </c>
      <c r="Q1319" s="116">
        <v>1838.15</v>
      </c>
      <c r="R1319">
        <v>333820</v>
      </c>
    </row>
    <row r="1320" spans="1:18" x14ac:dyDescent="0.25">
      <c r="A1320" s="170">
        <v>45419</v>
      </c>
      <c r="B1320" s="116">
        <v>1798.1</v>
      </c>
      <c r="C1320" s="116">
        <v>1766.35</v>
      </c>
      <c r="D1320" s="116">
        <v>1757</v>
      </c>
      <c r="E1320" s="116">
        <v>1794.15</v>
      </c>
      <c r="F1320" s="116">
        <v>1766.35</v>
      </c>
      <c r="G1320">
        <v>4224</v>
      </c>
      <c r="H1320" s="116"/>
      <c r="I1320" s="116"/>
      <c r="L1320" s="170">
        <v>45414</v>
      </c>
      <c r="M1320" s="116">
        <v>1791.15</v>
      </c>
      <c r="N1320" s="116">
        <v>1844.9</v>
      </c>
      <c r="O1320" s="116">
        <v>1790</v>
      </c>
      <c r="P1320" s="116">
        <v>1841.15</v>
      </c>
      <c r="Q1320" s="116">
        <v>1791.15</v>
      </c>
      <c r="R1320">
        <v>744412</v>
      </c>
    </row>
    <row r="1321" spans="1:18" x14ac:dyDescent="0.25">
      <c r="A1321" s="170">
        <v>45420</v>
      </c>
      <c r="B1321" s="116">
        <v>1779.95</v>
      </c>
      <c r="C1321" s="116">
        <v>1775.5</v>
      </c>
      <c r="D1321" s="116">
        <v>1738.8</v>
      </c>
      <c r="E1321" s="116">
        <v>1774.85</v>
      </c>
      <c r="F1321" s="116">
        <v>1775.5</v>
      </c>
      <c r="G1321">
        <v>13759</v>
      </c>
      <c r="H1321" s="116"/>
      <c r="I1321" s="116"/>
      <c r="L1321" s="170">
        <v>45415</v>
      </c>
      <c r="M1321" s="116">
        <v>1796.1</v>
      </c>
      <c r="N1321" s="116">
        <v>1811.5</v>
      </c>
      <c r="O1321" s="116">
        <v>1781.55</v>
      </c>
      <c r="P1321" s="116">
        <v>1811.5</v>
      </c>
      <c r="Q1321" s="116">
        <v>1796.1</v>
      </c>
      <c r="R1321">
        <v>276434</v>
      </c>
    </row>
    <row r="1322" spans="1:18" x14ac:dyDescent="0.25">
      <c r="A1322" s="170">
        <v>45421</v>
      </c>
      <c r="B1322" s="116">
        <v>1785.75</v>
      </c>
      <c r="C1322" s="116">
        <v>1726.3</v>
      </c>
      <c r="D1322" s="116">
        <v>1716.2</v>
      </c>
      <c r="E1322" s="116">
        <v>1775.5</v>
      </c>
      <c r="F1322" s="116">
        <v>1726.3</v>
      </c>
      <c r="G1322">
        <v>15020</v>
      </c>
      <c r="H1322" s="116"/>
      <c r="I1322" s="116"/>
      <c r="L1322" s="170">
        <v>45418</v>
      </c>
      <c r="M1322" s="116">
        <v>1794.45</v>
      </c>
      <c r="N1322" s="116">
        <v>1816.1</v>
      </c>
      <c r="O1322" s="116">
        <v>1777.1</v>
      </c>
      <c r="P1322" s="116">
        <v>1811</v>
      </c>
      <c r="Q1322" s="116">
        <v>1794.45</v>
      </c>
      <c r="R1322">
        <v>190341</v>
      </c>
    </row>
    <row r="1323" spans="1:18" x14ac:dyDescent="0.25">
      <c r="A1323" s="170">
        <v>45422</v>
      </c>
      <c r="B1323" s="116">
        <v>1750.2</v>
      </c>
      <c r="C1323" s="116">
        <v>1715.75</v>
      </c>
      <c r="D1323" s="116">
        <v>1706</v>
      </c>
      <c r="E1323" s="116">
        <v>1743</v>
      </c>
      <c r="F1323" s="116">
        <v>1715.75</v>
      </c>
      <c r="G1323">
        <v>4711</v>
      </c>
      <c r="H1323" s="116"/>
      <c r="I1323" s="116"/>
      <c r="L1323" s="170">
        <v>45419</v>
      </c>
      <c r="M1323" s="116">
        <v>1766.2</v>
      </c>
      <c r="N1323" s="116">
        <v>1799.9</v>
      </c>
      <c r="O1323" s="116">
        <v>1756.8</v>
      </c>
      <c r="P1323" s="116">
        <v>1790</v>
      </c>
      <c r="Q1323" s="116">
        <v>1766.2</v>
      </c>
      <c r="R1323">
        <v>195348</v>
      </c>
    </row>
    <row r="1324" spans="1:18" x14ac:dyDescent="0.25">
      <c r="A1324" s="170">
        <v>45425</v>
      </c>
      <c r="B1324" s="116">
        <v>1745.4</v>
      </c>
      <c r="C1324" s="116">
        <v>1742.85</v>
      </c>
      <c r="D1324" s="116">
        <v>1700.05</v>
      </c>
      <c r="E1324" s="116">
        <v>1716.05</v>
      </c>
      <c r="F1324" s="116">
        <v>1742.85</v>
      </c>
      <c r="G1324">
        <v>7664</v>
      </c>
      <c r="H1324" s="116"/>
      <c r="I1324" s="116"/>
      <c r="L1324" s="170">
        <v>45420</v>
      </c>
      <c r="M1324" s="116">
        <v>1772.95</v>
      </c>
      <c r="N1324" s="116">
        <v>1780.6</v>
      </c>
      <c r="O1324" s="116">
        <v>1737.25</v>
      </c>
      <c r="P1324" s="116">
        <v>1765</v>
      </c>
      <c r="Q1324" s="116">
        <v>1772.95</v>
      </c>
      <c r="R1324">
        <v>356018</v>
      </c>
    </row>
    <row r="1325" spans="1:18" x14ac:dyDescent="0.25">
      <c r="A1325" s="170">
        <v>45426</v>
      </c>
      <c r="B1325" s="116">
        <v>1769</v>
      </c>
      <c r="C1325" s="116">
        <v>1758.55</v>
      </c>
      <c r="D1325" s="116">
        <v>1731</v>
      </c>
      <c r="E1325" s="116">
        <v>1740.15</v>
      </c>
      <c r="F1325" s="116">
        <v>1758.55</v>
      </c>
      <c r="G1325">
        <v>5520</v>
      </c>
      <c r="H1325" s="116"/>
      <c r="I1325" s="116"/>
      <c r="L1325" s="170">
        <v>45421</v>
      </c>
      <c r="M1325" s="116">
        <v>1728.25</v>
      </c>
      <c r="N1325" s="116">
        <v>1785.75</v>
      </c>
      <c r="O1325" s="116">
        <v>1715.55</v>
      </c>
      <c r="P1325" s="116">
        <v>1774</v>
      </c>
      <c r="Q1325" s="116">
        <v>1728.25</v>
      </c>
      <c r="R1325">
        <v>553335</v>
      </c>
    </row>
    <row r="1326" spans="1:18" x14ac:dyDescent="0.25">
      <c r="A1326" s="170">
        <v>45427</v>
      </c>
      <c r="B1326" s="116">
        <v>1765.15</v>
      </c>
      <c r="C1326" s="116">
        <v>1761.95</v>
      </c>
      <c r="D1326" s="116">
        <v>1734</v>
      </c>
      <c r="E1326" s="116">
        <v>1765.15</v>
      </c>
      <c r="F1326" s="116">
        <v>1761.95</v>
      </c>
      <c r="G1326">
        <v>19421</v>
      </c>
      <c r="H1326" s="116"/>
      <c r="I1326" s="116"/>
      <c r="L1326" s="170">
        <v>45422</v>
      </c>
      <c r="M1326" s="116">
        <v>1714.85</v>
      </c>
      <c r="N1326" s="116">
        <v>1750.75</v>
      </c>
      <c r="O1326" s="116">
        <v>1705</v>
      </c>
      <c r="P1326" s="116">
        <v>1737.15</v>
      </c>
      <c r="Q1326" s="116">
        <v>1714.85</v>
      </c>
      <c r="R1326">
        <v>320362</v>
      </c>
    </row>
    <row r="1327" spans="1:18" x14ac:dyDescent="0.25">
      <c r="A1327" s="170">
        <v>45428</v>
      </c>
      <c r="B1327" s="116">
        <v>1794.85</v>
      </c>
      <c r="C1327" s="116">
        <v>1789.2</v>
      </c>
      <c r="D1327" s="116">
        <v>1761.6</v>
      </c>
      <c r="E1327" s="116">
        <v>1780</v>
      </c>
      <c r="F1327" s="116">
        <v>1789.2</v>
      </c>
      <c r="G1327">
        <v>46239</v>
      </c>
      <c r="H1327" s="116"/>
      <c r="I1327" s="116"/>
      <c r="L1327" s="170">
        <v>45425</v>
      </c>
      <c r="M1327" s="116">
        <v>1742.7</v>
      </c>
      <c r="N1327" s="116">
        <v>1747.2</v>
      </c>
      <c r="O1327" s="116">
        <v>1698.9</v>
      </c>
      <c r="P1327" s="116">
        <v>1720</v>
      </c>
      <c r="Q1327" s="116">
        <v>1742.7</v>
      </c>
      <c r="R1327">
        <v>166202</v>
      </c>
    </row>
    <row r="1328" spans="1:18" x14ac:dyDescent="0.25">
      <c r="A1328" s="170">
        <v>45429</v>
      </c>
      <c r="B1328" s="116">
        <v>1819.25</v>
      </c>
      <c r="C1328" s="116">
        <v>1814.6</v>
      </c>
      <c r="D1328" s="116">
        <v>1785.4</v>
      </c>
      <c r="E1328" s="116">
        <v>1805.95</v>
      </c>
      <c r="F1328" s="116">
        <v>1814.6</v>
      </c>
      <c r="G1328">
        <v>7255</v>
      </c>
      <c r="H1328" s="116"/>
      <c r="I1328" s="116"/>
      <c r="L1328" s="170">
        <v>45426</v>
      </c>
      <c r="M1328" s="116">
        <v>1757.75</v>
      </c>
      <c r="N1328" s="116">
        <v>1761.95</v>
      </c>
      <c r="O1328" s="116">
        <v>1730.4</v>
      </c>
      <c r="P1328" s="116">
        <v>1743.15</v>
      </c>
      <c r="Q1328" s="116">
        <v>1757.75</v>
      </c>
      <c r="R1328">
        <v>107674</v>
      </c>
    </row>
    <row r="1329" spans="1:18" x14ac:dyDescent="0.25">
      <c r="A1329" s="170">
        <v>45430</v>
      </c>
      <c r="B1329" s="116">
        <v>1823.6</v>
      </c>
      <c r="C1329" s="116">
        <v>1817.95</v>
      </c>
      <c r="D1329" s="116">
        <v>1809.05</v>
      </c>
      <c r="E1329" s="116">
        <v>1815.05</v>
      </c>
      <c r="F1329" s="116">
        <v>1817.95</v>
      </c>
      <c r="G1329">
        <v>3156</v>
      </c>
      <c r="H1329" s="116"/>
      <c r="I1329" s="116"/>
      <c r="L1329" s="170">
        <v>45427</v>
      </c>
      <c r="M1329" s="116">
        <v>1760.95</v>
      </c>
      <c r="N1329" s="116">
        <v>1765</v>
      </c>
      <c r="O1329" s="116">
        <v>1733.15</v>
      </c>
      <c r="P1329" s="116">
        <v>1757.75</v>
      </c>
      <c r="Q1329" s="116">
        <v>1760.95</v>
      </c>
      <c r="R1329">
        <v>320148</v>
      </c>
    </row>
    <row r="1330" spans="1:18" x14ac:dyDescent="0.25">
      <c r="A1330" s="170">
        <v>45433</v>
      </c>
      <c r="B1330" s="116">
        <v>1858.15</v>
      </c>
      <c r="C1330" s="116">
        <v>1848.35</v>
      </c>
      <c r="D1330" s="116">
        <v>1818.3</v>
      </c>
      <c r="E1330" s="116">
        <v>1820</v>
      </c>
      <c r="F1330" s="116">
        <v>1848.35</v>
      </c>
      <c r="G1330">
        <v>10575</v>
      </c>
      <c r="H1330" s="116"/>
      <c r="I1330" s="116"/>
      <c r="L1330" s="170">
        <v>45428</v>
      </c>
      <c r="M1330" s="116">
        <v>1789.45</v>
      </c>
      <c r="N1330" s="116">
        <v>1797.1</v>
      </c>
      <c r="O1330" s="116">
        <v>1761.5</v>
      </c>
      <c r="P1330" s="116">
        <v>1780</v>
      </c>
      <c r="Q1330" s="116">
        <v>1789.45</v>
      </c>
      <c r="R1330">
        <v>313111</v>
      </c>
    </row>
    <row r="1331" spans="1:18" x14ac:dyDescent="0.25">
      <c r="A1331" s="170">
        <v>45434</v>
      </c>
      <c r="B1331" s="116">
        <v>1856.95</v>
      </c>
      <c r="C1331" s="116">
        <v>1846.65</v>
      </c>
      <c r="D1331" s="116">
        <v>1824.85</v>
      </c>
      <c r="E1331" s="116">
        <v>1849.75</v>
      </c>
      <c r="F1331" s="116">
        <v>1846.65</v>
      </c>
      <c r="G1331">
        <v>9139</v>
      </c>
      <c r="H1331" s="116"/>
      <c r="I1331" s="116"/>
      <c r="L1331" s="170">
        <v>45429</v>
      </c>
      <c r="M1331" s="116">
        <v>1814.5</v>
      </c>
      <c r="N1331" s="116">
        <v>1820</v>
      </c>
      <c r="O1331" s="116">
        <v>1785</v>
      </c>
      <c r="P1331" s="116">
        <v>1794</v>
      </c>
      <c r="Q1331" s="116">
        <v>1814.5</v>
      </c>
      <c r="R1331">
        <v>224488</v>
      </c>
    </row>
    <row r="1332" spans="1:18" x14ac:dyDescent="0.25">
      <c r="A1332" s="170">
        <v>45435</v>
      </c>
      <c r="B1332" s="116">
        <v>1856.9</v>
      </c>
      <c r="C1332" s="116">
        <v>1812.45</v>
      </c>
      <c r="D1332" s="116">
        <v>1801.8</v>
      </c>
      <c r="E1332" s="116">
        <v>1856.9</v>
      </c>
      <c r="F1332" s="116">
        <v>1812.45</v>
      </c>
      <c r="G1332">
        <v>5144</v>
      </c>
      <c r="H1332" s="116"/>
      <c r="I1332" s="116"/>
      <c r="L1332" s="170">
        <v>45430</v>
      </c>
      <c r="M1332" s="116">
        <v>1818.95</v>
      </c>
      <c r="N1332" s="116">
        <v>1823.2</v>
      </c>
      <c r="O1332" s="116">
        <v>1808.05</v>
      </c>
      <c r="P1332" s="116">
        <v>1817.4</v>
      </c>
      <c r="Q1332" s="116">
        <v>1818.95</v>
      </c>
      <c r="R1332">
        <v>20499</v>
      </c>
    </row>
    <row r="1333" spans="1:18" x14ac:dyDescent="0.25">
      <c r="A1333" s="170">
        <v>45436</v>
      </c>
      <c r="B1333" s="116">
        <v>1825.4</v>
      </c>
      <c r="C1333" s="116">
        <v>1793.25</v>
      </c>
      <c r="D1333" s="116">
        <v>1788.2</v>
      </c>
      <c r="E1333" s="116">
        <v>1825.4</v>
      </c>
      <c r="F1333" s="116">
        <v>1793.25</v>
      </c>
      <c r="G1333">
        <v>11570</v>
      </c>
      <c r="H1333" s="116"/>
      <c r="I1333" s="116"/>
      <c r="L1333" s="170">
        <v>45433</v>
      </c>
      <c r="M1333" s="116">
        <v>1847.8</v>
      </c>
      <c r="N1333" s="116">
        <v>1860.15</v>
      </c>
      <c r="O1333" s="116">
        <v>1820</v>
      </c>
      <c r="P1333" s="116">
        <v>1828</v>
      </c>
      <c r="Q1333" s="116">
        <v>1847.8</v>
      </c>
      <c r="R1333">
        <v>956654</v>
      </c>
    </row>
    <row r="1334" spans="1:18" x14ac:dyDescent="0.25">
      <c r="A1334" s="170">
        <v>45439</v>
      </c>
      <c r="B1334" s="116">
        <v>1810.9</v>
      </c>
      <c r="C1334" s="116">
        <v>1805.05</v>
      </c>
      <c r="D1334" s="116">
        <v>1789.15</v>
      </c>
      <c r="E1334" s="116">
        <v>1804.9</v>
      </c>
      <c r="F1334" s="116">
        <v>1805.05</v>
      </c>
      <c r="G1334">
        <v>9552</v>
      </c>
      <c r="H1334" s="116"/>
      <c r="I1334" s="116"/>
      <c r="L1334" s="170">
        <v>45434</v>
      </c>
      <c r="M1334" s="116">
        <v>1846.85</v>
      </c>
      <c r="N1334" s="116">
        <v>1856.3</v>
      </c>
      <c r="O1334" s="116">
        <v>1825.65</v>
      </c>
      <c r="P1334" s="116">
        <v>1847.8</v>
      </c>
      <c r="Q1334" s="116">
        <v>1846.85</v>
      </c>
      <c r="R1334">
        <v>131012</v>
      </c>
    </row>
    <row r="1335" spans="1:18" x14ac:dyDescent="0.25">
      <c r="A1335" s="170">
        <v>45440</v>
      </c>
      <c r="B1335" s="116">
        <v>1810.9</v>
      </c>
      <c r="C1335" s="116">
        <v>1796.35</v>
      </c>
      <c r="D1335" s="116">
        <v>1786.3</v>
      </c>
      <c r="E1335" s="116">
        <v>1810.85</v>
      </c>
      <c r="F1335" s="116">
        <v>1796.35</v>
      </c>
      <c r="G1335">
        <v>5767</v>
      </c>
      <c r="H1335" s="116"/>
      <c r="I1335" s="116"/>
      <c r="L1335" s="170">
        <v>45435</v>
      </c>
      <c r="M1335" s="116">
        <v>1812.3</v>
      </c>
      <c r="N1335" s="116">
        <v>1846</v>
      </c>
      <c r="O1335" s="116">
        <v>1801.5</v>
      </c>
      <c r="P1335" s="116">
        <v>1846</v>
      </c>
      <c r="Q1335" s="116">
        <v>1812.3</v>
      </c>
      <c r="R1335">
        <v>221538</v>
      </c>
    </row>
    <row r="1336" spans="1:18" x14ac:dyDescent="0.25">
      <c r="A1336" s="170">
        <v>45441</v>
      </c>
      <c r="B1336" s="116">
        <v>1810</v>
      </c>
      <c r="C1336" s="116">
        <v>1777.6</v>
      </c>
      <c r="D1336" s="116">
        <v>1772.5</v>
      </c>
      <c r="E1336" s="116">
        <v>1790.05</v>
      </c>
      <c r="F1336" s="116">
        <v>1777.6</v>
      </c>
      <c r="G1336">
        <v>3545</v>
      </c>
      <c r="H1336" s="116"/>
      <c r="I1336" s="116"/>
      <c r="L1336" s="170">
        <v>45436</v>
      </c>
      <c r="M1336" s="116">
        <v>1792.45</v>
      </c>
      <c r="N1336" s="116">
        <v>1822.45</v>
      </c>
      <c r="O1336" s="116">
        <v>1788</v>
      </c>
      <c r="P1336" s="116">
        <v>1820</v>
      </c>
      <c r="Q1336" s="116">
        <v>1792.45</v>
      </c>
      <c r="R1336">
        <v>392117</v>
      </c>
    </row>
    <row r="1337" spans="1:18" x14ac:dyDescent="0.25">
      <c r="A1337" s="170">
        <v>45442</v>
      </c>
      <c r="B1337" s="116">
        <v>1777</v>
      </c>
      <c r="C1337" s="116">
        <v>1767.45</v>
      </c>
      <c r="D1337" s="116">
        <v>1743.35</v>
      </c>
      <c r="E1337" s="116">
        <v>1776</v>
      </c>
      <c r="F1337" s="116">
        <v>1767.45</v>
      </c>
      <c r="G1337">
        <v>19439</v>
      </c>
      <c r="H1337" s="116"/>
      <c r="I1337" s="116"/>
      <c r="L1337" s="170">
        <v>45439</v>
      </c>
      <c r="M1337" s="116">
        <v>1807.65</v>
      </c>
      <c r="N1337" s="116">
        <v>1811.95</v>
      </c>
      <c r="O1337" s="116">
        <v>1789.6</v>
      </c>
      <c r="P1337" s="116">
        <v>1799</v>
      </c>
      <c r="Q1337" s="116">
        <v>1807.65</v>
      </c>
      <c r="R1337">
        <v>305522</v>
      </c>
    </row>
    <row r="1338" spans="1:18" x14ac:dyDescent="0.25">
      <c r="A1338" s="170">
        <v>45443</v>
      </c>
      <c r="B1338" s="116">
        <v>1780.5</v>
      </c>
      <c r="C1338" s="116">
        <v>1774.95</v>
      </c>
      <c r="D1338" s="116">
        <v>1750.65</v>
      </c>
      <c r="E1338" s="116">
        <v>1775</v>
      </c>
      <c r="F1338" s="116">
        <v>1774.95</v>
      </c>
      <c r="G1338">
        <v>10726</v>
      </c>
      <c r="H1338" s="116"/>
      <c r="I1338" s="116"/>
      <c r="L1338" s="170">
        <v>45440</v>
      </c>
      <c r="M1338" s="116">
        <v>1801.55</v>
      </c>
      <c r="N1338" s="116">
        <v>1811.9</v>
      </c>
      <c r="O1338" s="116">
        <v>1786.35</v>
      </c>
      <c r="P1338" s="116">
        <v>1803</v>
      </c>
      <c r="Q1338" s="116">
        <v>1801.55</v>
      </c>
      <c r="R1338">
        <v>379419</v>
      </c>
    </row>
    <row r="1339" spans="1:18" x14ac:dyDescent="0.25">
      <c r="A1339" s="170">
        <v>45446</v>
      </c>
      <c r="B1339" s="116">
        <v>1881</v>
      </c>
      <c r="C1339" s="116">
        <v>1858</v>
      </c>
      <c r="D1339" s="116">
        <v>1780</v>
      </c>
      <c r="E1339" s="116">
        <v>1814.9</v>
      </c>
      <c r="F1339" s="116">
        <v>1858</v>
      </c>
      <c r="G1339">
        <v>16202</v>
      </c>
      <c r="H1339" s="116"/>
      <c r="I1339" s="116"/>
      <c r="L1339" s="170">
        <v>45441</v>
      </c>
      <c r="M1339" s="116">
        <v>1775.45</v>
      </c>
      <c r="N1339" s="116">
        <v>1810.95</v>
      </c>
      <c r="O1339" s="116">
        <v>1772.05</v>
      </c>
      <c r="P1339" s="116">
        <v>1800</v>
      </c>
      <c r="Q1339" s="116">
        <v>1775.45</v>
      </c>
      <c r="R1339">
        <v>342099</v>
      </c>
    </row>
    <row r="1340" spans="1:18" x14ac:dyDescent="0.25">
      <c r="A1340" s="170">
        <v>45447</v>
      </c>
      <c r="B1340" s="116">
        <v>1853.5</v>
      </c>
      <c r="C1340" s="116">
        <v>1688.6</v>
      </c>
      <c r="D1340" s="116">
        <v>1664.2</v>
      </c>
      <c r="E1340" s="116">
        <v>1853.5</v>
      </c>
      <c r="F1340" s="116">
        <v>1688.6</v>
      </c>
      <c r="G1340">
        <v>50444</v>
      </c>
      <c r="H1340" s="116"/>
      <c r="I1340" s="116"/>
      <c r="L1340" s="170">
        <v>45442</v>
      </c>
      <c r="M1340" s="116">
        <v>1767.35</v>
      </c>
      <c r="N1340" s="116">
        <v>1779.9</v>
      </c>
      <c r="O1340" s="116">
        <v>1743.05</v>
      </c>
      <c r="P1340" s="116">
        <v>1775.45</v>
      </c>
      <c r="Q1340" s="116">
        <v>1767.35</v>
      </c>
      <c r="R1340">
        <v>361190</v>
      </c>
    </row>
    <row r="1341" spans="1:18" x14ac:dyDescent="0.25">
      <c r="A1341" s="170">
        <v>45448</v>
      </c>
      <c r="B1341" s="116">
        <v>1742.95</v>
      </c>
      <c r="C1341" s="116">
        <v>1734.1</v>
      </c>
      <c r="D1341" s="116">
        <v>1693.2</v>
      </c>
      <c r="E1341" s="116">
        <v>1739.95</v>
      </c>
      <c r="F1341" s="116">
        <v>1734.1</v>
      </c>
      <c r="G1341">
        <v>11386</v>
      </c>
      <c r="H1341" s="116"/>
      <c r="I1341" s="116"/>
      <c r="L1341" s="170">
        <v>45443</v>
      </c>
      <c r="M1341" s="116">
        <v>1775.7</v>
      </c>
      <c r="N1341" s="116">
        <v>1784.95</v>
      </c>
      <c r="O1341" s="116">
        <v>1750</v>
      </c>
      <c r="P1341" s="116">
        <v>1766.05</v>
      </c>
      <c r="Q1341" s="116">
        <v>1775.7</v>
      </c>
      <c r="R1341">
        <v>268826</v>
      </c>
    </row>
    <row r="1342" spans="1:18" x14ac:dyDescent="0.25">
      <c r="A1342" s="170">
        <v>45449</v>
      </c>
      <c r="B1342" s="116">
        <v>1779.35</v>
      </c>
      <c r="C1342" s="116">
        <v>1770.25</v>
      </c>
      <c r="D1342" s="116">
        <v>1742.75</v>
      </c>
      <c r="E1342" s="116">
        <v>1760</v>
      </c>
      <c r="F1342" s="116">
        <v>1770.25</v>
      </c>
      <c r="G1342">
        <v>34622</v>
      </c>
      <c r="H1342" s="116"/>
      <c r="I1342" s="116"/>
      <c r="L1342" s="170">
        <v>45446</v>
      </c>
      <c r="M1342" s="116">
        <v>1858</v>
      </c>
      <c r="N1342" s="116">
        <v>1882</v>
      </c>
      <c r="O1342" s="116">
        <v>1800</v>
      </c>
      <c r="P1342" s="116">
        <v>1824.95</v>
      </c>
      <c r="Q1342" s="116">
        <v>1858</v>
      </c>
      <c r="R1342">
        <v>847022</v>
      </c>
    </row>
    <row r="1343" spans="1:18" x14ac:dyDescent="0.25">
      <c r="A1343" s="170">
        <v>45450</v>
      </c>
      <c r="B1343" s="116">
        <v>1828.2</v>
      </c>
      <c r="C1343" s="116">
        <v>1809.85</v>
      </c>
      <c r="D1343" s="116">
        <v>1758.45</v>
      </c>
      <c r="E1343" s="116">
        <v>1769.95</v>
      </c>
      <c r="F1343" s="116">
        <v>1809.85</v>
      </c>
      <c r="G1343">
        <v>15143</v>
      </c>
      <c r="H1343" s="116"/>
      <c r="I1343" s="116"/>
      <c r="L1343" s="170">
        <v>45447</v>
      </c>
      <c r="M1343" s="116">
        <v>1695.25</v>
      </c>
      <c r="N1343" s="116">
        <v>1845</v>
      </c>
      <c r="O1343" s="116">
        <v>1651.4</v>
      </c>
      <c r="P1343" s="116">
        <v>1845</v>
      </c>
      <c r="Q1343" s="116">
        <v>1695.25</v>
      </c>
      <c r="R1343">
        <v>1010572</v>
      </c>
    </row>
    <row r="1344" spans="1:18" x14ac:dyDescent="0.25">
      <c r="A1344" s="170">
        <v>45453</v>
      </c>
      <c r="B1344" s="116">
        <v>1882.1</v>
      </c>
      <c r="C1344" s="116">
        <v>1876.85</v>
      </c>
      <c r="D1344" s="116">
        <v>1809.85</v>
      </c>
      <c r="E1344" s="116">
        <v>1838</v>
      </c>
      <c r="F1344" s="116">
        <v>1876.85</v>
      </c>
      <c r="G1344">
        <v>22219</v>
      </c>
      <c r="H1344" s="116"/>
      <c r="I1344" s="116"/>
      <c r="L1344" s="170">
        <v>45448</v>
      </c>
      <c r="M1344" s="116">
        <v>1735.15</v>
      </c>
      <c r="N1344" s="116">
        <v>1745.25</v>
      </c>
      <c r="O1344" s="116">
        <v>1693.15</v>
      </c>
      <c r="P1344" s="116">
        <v>1714.85</v>
      </c>
      <c r="Q1344" s="116">
        <v>1735.15</v>
      </c>
      <c r="R1344">
        <v>545659</v>
      </c>
    </row>
    <row r="1345" spans="1:18" x14ac:dyDescent="0.25">
      <c r="A1345" s="170">
        <v>45454</v>
      </c>
      <c r="B1345" s="116">
        <v>1899.95</v>
      </c>
      <c r="C1345" s="116">
        <v>1886.7</v>
      </c>
      <c r="D1345" s="116">
        <v>1870.85</v>
      </c>
      <c r="E1345" s="116">
        <v>1892.6</v>
      </c>
      <c r="F1345" s="116">
        <v>1886.7</v>
      </c>
      <c r="G1345">
        <v>34179</v>
      </c>
      <c r="H1345" s="116"/>
      <c r="I1345" s="116"/>
      <c r="L1345" s="170">
        <v>45449</v>
      </c>
      <c r="M1345" s="116">
        <v>1766.1</v>
      </c>
      <c r="N1345" s="116">
        <v>1779.8</v>
      </c>
      <c r="O1345" s="116">
        <v>1741.6</v>
      </c>
      <c r="P1345" s="116">
        <v>1747</v>
      </c>
      <c r="Q1345" s="116">
        <v>1766.1</v>
      </c>
      <c r="R1345">
        <v>468019</v>
      </c>
    </row>
    <row r="1346" spans="1:18" x14ac:dyDescent="0.25">
      <c r="A1346" s="170">
        <v>45455</v>
      </c>
      <c r="B1346" s="116">
        <v>1913.55</v>
      </c>
      <c r="C1346" s="116">
        <v>1901.85</v>
      </c>
      <c r="D1346" s="116">
        <v>1870.5</v>
      </c>
      <c r="E1346" s="116">
        <v>1904.5</v>
      </c>
      <c r="F1346" s="116">
        <v>1901.85</v>
      </c>
      <c r="G1346">
        <v>66322</v>
      </c>
      <c r="H1346" s="116"/>
      <c r="I1346" s="116"/>
      <c r="L1346" s="170">
        <v>45450</v>
      </c>
      <c r="M1346" s="116">
        <v>1809.95</v>
      </c>
      <c r="N1346" s="116">
        <v>1829.35</v>
      </c>
      <c r="O1346" s="116">
        <v>1757.3</v>
      </c>
      <c r="P1346" s="116">
        <v>1766.1</v>
      </c>
      <c r="Q1346" s="116">
        <v>1809.95</v>
      </c>
      <c r="R1346">
        <v>577092</v>
      </c>
    </row>
    <row r="1347" spans="1:18" x14ac:dyDescent="0.25">
      <c r="A1347" s="170">
        <v>45456</v>
      </c>
      <c r="B1347" s="116">
        <v>1913.9</v>
      </c>
      <c r="C1347" s="116">
        <v>1901.05</v>
      </c>
      <c r="D1347" s="116">
        <v>1879.1</v>
      </c>
      <c r="E1347" s="116">
        <v>1913.9</v>
      </c>
      <c r="F1347" s="116">
        <v>1901.05</v>
      </c>
      <c r="G1347">
        <v>14612</v>
      </c>
      <c r="H1347" s="116"/>
      <c r="I1347" s="116"/>
      <c r="L1347" s="170">
        <v>45453</v>
      </c>
      <c r="M1347" s="116">
        <v>1875.5</v>
      </c>
      <c r="N1347" s="116">
        <v>1878.95</v>
      </c>
      <c r="O1347" s="116">
        <v>1809.95</v>
      </c>
      <c r="P1347" s="116">
        <v>1825</v>
      </c>
      <c r="Q1347" s="116">
        <v>1875.5</v>
      </c>
      <c r="R1347">
        <v>646242</v>
      </c>
    </row>
    <row r="1348" spans="1:18" x14ac:dyDescent="0.25">
      <c r="A1348" s="170">
        <v>45457</v>
      </c>
      <c r="B1348" s="116">
        <v>1913</v>
      </c>
      <c r="C1348" s="116">
        <v>1883.8</v>
      </c>
      <c r="D1348" s="116">
        <v>1857.2</v>
      </c>
      <c r="E1348" s="116">
        <v>1913</v>
      </c>
      <c r="F1348" s="116">
        <v>1883.8</v>
      </c>
      <c r="G1348">
        <v>8525</v>
      </c>
      <c r="H1348" s="116"/>
      <c r="I1348" s="116"/>
      <c r="L1348" s="170">
        <v>45454</v>
      </c>
      <c r="M1348" s="116">
        <v>1887.95</v>
      </c>
      <c r="N1348" s="116">
        <v>1900.8</v>
      </c>
      <c r="O1348" s="116">
        <v>1871</v>
      </c>
      <c r="P1348" s="116">
        <v>1890.05</v>
      </c>
      <c r="Q1348" s="116">
        <v>1887.95</v>
      </c>
      <c r="R1348">
        <v>448525</v>
      </c>
    </row>
    <row r="1349" spans="1:18" x14ac:dyDescent="0.25">
      <c r="A1349" s="170">
        <v>45461</v>
      </c>
      <c r="B1349" s="116">
        <v>1900</v>
      </c>
      <c r="C1349" s="116">
        <v>1888.4</v>
      </c>
      <c r="D1349" s="116">
        <v>1872.1</v>
      </c>
      <c r="E1349" s="116">
        <v>1883.8</v>
      </c>
      <c r="F1349" s="116">
        <v>1888.4</v>
      </c>
      <c r="G1349">
        <v>34089</v>
      </c>
      <c r="H1349" s="116"/>
      <c r="I1349" s="116"/>
      <c r="L1349" s="170">
        <v>45455</v>
      </c>
      <c r="M1349" s="116">
        <v>1900.1</v>
      </c>
      <c r="N1349" s="116">
        <v>1912.55</v>
      </c>
      <c r="O1349" s="116">
        <v>1870</v>
      </c>
      <c r="P1349" s="116">
        <v>1895</v>
      </c>
      <c r="Q1349" s="116">
        <v>1900.1</v>
      </c>
      <c r="R1349">
        <v>792509</v>
      </c>
    </row>
    <row r="1350" spans="1:18" x14ac:dyDescent="0.25">
      <c r="A1350" s="170">
        <v>45462</v>
      </c>
      <c r="B1350" s="116">
        <v>1894.9</v>
      </c>
      <c r="C1350" s="116">
        <v>1855.8</v>
      </c>
      <c r="D1350" s="116">
        <v>1850.1</v>
      </c>
      <c r="E1350" s="116">
        <v>1894.9</v>
      </c>
      <c r="F1350" s="116">
        <v>1855.8</v>
      </c>
      <c r="G1350">
        <v>63976</v>
      </c>
      <c r="H1350" s="116"/>
      <c r="I1350" s="116"/>
      <c r="L1350" s="170">
        <v>45456</v>
      </c>
      <c r="M1350" s="116">
        <v>1901.8</v>
      </c>
      <c r="N1350" s="116">
        <v>1910</v>
      </c>
      <c r="O1350" s="116">
        <v>1878.55</v>
      </c>
      <c r="P1350" s="116">
        <v>1910</v>
      </c>
      <c r="Q1350" s="116">
        <v>1901.8</v>
      </c>
      <c r="R1350">
        <v>345055</v>
      </c>
    </row>
    <row r="1351" spans="1:18" x14ac:dyDescent="0.25">
      <c r="A1351" s="170">
        <v>45463</v>
      </c>
      <c r="B1351" s="116">
        <v>1871.45</v>
      </c>
      <c r="C1351" s="116">
        <v>1864.1</v>
      </c>
      <c r="D1351" s="116">
        <v>1834.55</v>
      </c>
      <c r="E1351" s="116">
        <v>1855.05</v>
      </c>
      <c r="F1351" s="116">
        <v>1864.1</v>
      </c>
      <c r="G1351">
        <v>9724</v>
      </c>
      <c r="H1351" s="116"/>
      <c r="I1351" s="116"/>
      <c r="L1351" s="170">
        <v>45457</v>
      </c>
      <c r="M1351" s="116">
        <v>1882.35</v>
      </c>
      <c r="N1351" s="116">
        <v>1900</v>
      </c>
      <c r="O1351" s="116">
        <v>1857.7</v>
      </c>
      <c r="P1351" s="116">
        <v>1888.95</v>
      </c>
      <c r="Q1351" s="116">
        <v>1882.35</v>
      </c>
      <c r="R1351">
        <v>324946</v>
      </c>
    </row>
    <row r="1352" spans="1:18" x14ac:dyDescent="0.25">
      <c r="A1352" s="170">
        <v>45464</v>
      </c>
      <c r="B1352" s="116">
        <v>1875.2</v>
      </c>
      <c r="C1352" s="116">
        <v>1824.25</v>
      </c>
      <c r="D1352" s="116">
        <v>1804.85</v>
      </c>
      <c r="E1352" s="116">
        <v>1875.2</v>
      </c>
      <c r="F1352" s="116">
        <v>1824.25</v>
      </c>
      <c r="G1352">
        <v>57209</v>
      </c>
      <c r="H1352" s="116"/>
      <c r="I1352" s="116"/>
      <c r="L1352" s="170">
        <v>45461</v>
      </c>
      <c r="M1352" s="116">
        <v>1889</v>
      </c>
      <c r="N1352" s="116">
        <v>1899</v>
      </c>
      <c r="O1352" s="116">
        <v>1873</v>
      </c>
      <c r="P1352" s="116">
        <v>1895</v>
      </c>
      <c r="Q1352" s="116">
        <v>1889</v>
      </c>
      <c r="R1352">
        <v>305111</v>
      </c>
    </row>
    <row r="1353" spans="1:18" x14ac:dyDescent="0.25">
      <c r="A1353" s="170">
        <v>45467</v>
      </c>
      <c r="B1353" s="116">
        <v>1828.95</v>
      </c>
      <c r="C1353" s="116">
        <v>1818.1</v>
      </c>
      <c r="D1353" s="116">
        <v>1778</v>
      </c>
      <c r="E1353" s="116">
        <v>1828.95</v>
      </c>
      <c r="F1353" s="116">
        <v>1818.1</v>
      </c>
      <c r="G1353">
        <v>18479</v>
      </c>
      <c r="H1353" s="116"/>
      <c r="I1353" s="116"/>
      <c r="L1353" s="170">
        <v>45462</v>
      </c>
      <c r="M1353" s="116">
        <v>1854.5</v>
      </c>
      <c r="N1353" s="116">
        <v>1889.4</v>
      </c>
      <c r="O1353" s="116">
        <v>1850</v>
      </c>
      <c r="P1353" s="116">
        <v>1888.5</v>
      </c>
      <c r="Q1353" s="116">
        <v>1854.5</v>
      </c>
      <c r="R1353">
        <v>398010</v>
      </c>
    </row>
    <row r="1354" spans="1:18" x14ac:dyDescent="0.25">
      <c r="A1354" s="170">
        <v>45468</v>
      </c>
      <c r="B1354" s="116">
        <v>1843.95</v>
      </c>
      <c r="C1354" s="116">
        <v>1817.25</v>
      </c>
      <c r="D1354" s="116">
        <v>1809.1</v>
      </c>
      <c r="E1354" s="116">
        <v>1843.95</v>
      </c>
      <c r="F1354" s="116">
        <v>1817.25</v>
      </c>
      <c r="G1354">
        <v>27079</v>
      </c>
      <c r="H1354" s="116"/>
      <c r="I1354" s="116"/>
      <c r="L1354" s="170">
        <v>45463</v>
      </c>
      <c r="M1354" s="116">
        <v>1862.4</v>
      </c>
      <c r="N1354" s="116">
        <v>1864.4</v>
      </c>
      <c r="O1354" s="116">
        <v>1832.3</v>
      </c>
      <c r="P1354" s="116">
        <v>1860</v>
      </c>
      <c r="Q1354" s="116">
        <v>1862.4</v>
      </c>
      <c r="R1354">
        <v>471853</v>
      </c>
    </row>
    <row r="1355" spans="1:18" x14ac:dyDescent="0.25">
      <c r="A1355" s="170">
        <v>45469</v>
      </c>
      <c r="B1355" s="116">
        <v>1852.95</v>
      </c>
      <c r="C1355" s="116">
        <v>1820</v>
      </c>
      <c r="D1355" s="116">
        <v>1774.9</v>
      </c>
      <c r="E1355" s="116">
        <v>1799.95</v>
      </c>
      <c r="F1355" s="116">
        <v>1820</v>
      </c>
      <c r="G1355">
        <v>28116</v>
      </c>
      <c r="H1355" s="116"/>
      <c r="I1355" s="116"/>
      <c r="L1355" s="170">
        <v>45464</v>
      </c>
      <c r="M1355" s="116">
        <v>1823.2</v>
      </c>
      <c r="N1355" s="116">
        <v>1869.6</v>
      </c>
      <c r="O1355" s="116">
        <v>1803.05</v>
      </c>
      <c r="P1355" s="116">
        <v>1869.6</v>
      </c>
      <c r="Q1355" s="116">
        <v>1823.2</v>
      </c>
      <c r="R1355">
        <v>787729</v>
      </c>
    </row>
    <row r="1356" spans="1:18" x14ac:dyDescent="0.25">
      <c r="A1356" s="170">
        <v>45470</v>
      </c>
      <c r="B1356" s="116">
        <v>1840</v>
      </c>
      <c r="C1356" s="116">
        <v>1792.7</v>
      </c>
      <c r="D1356" s="116">
        <v>1788</v>
      </c>
      <c r="E1356" s="116">
        <v>1840</v>
      </c>
      <c r="F1356" s="116">
        <v>1792.7</v>
      </c>
      <c r="G1356">
        <v>31604</v>
      </c>
      <c r="H1356" s="116"/>
      <c r="I1356" s="116"/>
      <c r="L1356" s="170">
        <v>45467</v>
      </c>
      <c r="M1356" s="116">
        <v>1818.6</v>
      </c>
      <c r="N1356" s="116">
        <v>1824.75</v>
      </c>
      <c r="O1356" s="116">
        <v>1778.05</v>
      </c>
      <c r="P1356" s="116">
        <v>1817.25</v>
      </c>
      <c r="Q1356" s="116">
        <v>1818.6</v>
      </c>
      <c r="R1356">
        <v>604247</v>
      </c>
    </row>
    <row r="1357" spans="1:18" x14ac:dyDescent="0.25">
      <c r="A1357" s="170">
        <v>45471</v>
      </c>
      <c r="B1357" s="116">
        <v>1820</v>
      </c>
      <c r="C1357" s="116">
        <v>1814.7</v>
      </c>
      <c r="D1357" s="116">
        <v>1792.5</v>
      </c>
      <c r="E1357" s="116">
        <v>1800</v>
      </c>
      <c r="F1357" s="116">
        <v>1814.7</v>
      </c>
      <c r="G1357">
        <v>16970</v>
      </c>
      <c r="H1357" s="116"/>
      <c r="I1357" s="116"/>
      <c r="L1357" s="170">
        <v>45468</v>
      </c>
      <c r="M1357" s="116">
        <v>1816.6</v>
      </c>
      <c r="N1357" s="116">
        <v>1834</v>
      </c>
      <c r="O1357" s="116">
        <v>1808.4</v>
      </c>
      <c r="P1357" s="116">
        <v>1833.85</v>
      </c>
      <c r="Q1357" s="116">
        <v>1816.6</v>
      </c>
      <c r="R1357">
        <v>536713</v>
      </c>
    </row>
    <row r="1358" spans="1:18" x14ac:dyDescent="0.25">
      <c r="A1358" s="170">
        <v>45474</v>
      </c>
      <c r="B1358" s="116">
        <v>1858</v>
      </c>
      <c r="C1358" s="116">
        <v>1849.35</v>
      </c>
      <c r="D1358" s="116">
        <v>1814.15</v>
      </c>
      <c r="E1358" s="116">
        <v>1816.35</v>
      </c>
      <c r="F1358" s="116">
        <v>1849.35</v>
      </c>
      <c r="G1358">
        <v>24699</v>
      </c>
      <c r="H1358" s="116"/>
      <c r="I1358" s="116"/>
      <c r="L1358" s="170">
        <v>45469</v>
      </c>
      <c r="M1358" s="116">
        <v>1819.8</v>
      </c>
      <c r="N1358" s="116">
        <v>1852.75</v>
      </c>
      <c r="O1358" s="116">
        <v>1772.6</v>
      </c>
      <c r="P1358" s="116">
        <v>1794.15</v>
      </c>
      <c r="Q1358" s="116">
        <v>1819.8</v>
      </c>
      <c r="R1358">
        <v>1165847</v>
      </c>
    </row>
    <row r="1359" spans="1:18" x14ac:dyDescent="0.25">
      <c r="A1359" s="170">
        <v>45475</v>
      </c>
      <c r="B1359" s="116">
        <v>1873.6</v>
      </c>
      <c r="C1359" s="116">
        <v>1838.7</v>
      </c>
      <c r="D1359" s="116">
        <v>1820</v>
      </c>
      <c r="E1359" s="116">
        <v>1873.6</v>
      </c>
      <c r="F1359" s="116">
        <v>1838.7</v>
      </c>
      <c r="G1359">
        <v>114102</v>
      </c>
      <c r="H1359" s="116"/>
      <c r="I1359" s="116"/>
      <c r="L1359" s="170">
        <v>45470</v>
      </c>
      <c r="M1359" s="116">
        <v>1792.2</v>
      </c>
      <c r="N1359" s="116">
        <v>1835</v>
      </c>
      <c r="O1359" s="116">
        <v>1786.8</v>
      </c>
      <c r="P1359" s="116">
        <v>1835</v>
      </c>
      <c r="Q1359" s="116">
        <v>1792.2</v>
      </c>
      <c r="R1359">
        <v>1109759</v>
      </c>
    </row>
    <row r="1360" spans="1:18" x14ac:dyDescent="0.25">
      <c r="A1360" s="170">
        <v>45476</v>
      </c>
      <c r="B1360" s="116">
        <v>1862.25</v>
      </c>
      <c r="C1360" s="116">
        <v>1856</v>
      </c>
      <c r="D1360" s="116">
        <v>1830.05</v>
      </c>
      <c r="E1360" s="116">
        <v>1840.05</v>
      </c>
      <c r="F1360" s="116">
        <v>1856</v>
      </c>
      <c r="G1360">
        <v>4467</v>
      </c>
      <c r="H1360" s="116"/>
      <c r="I1360" s="116"/>
      <c r="L1360" s="170">
        <v>45471</v>
      </c>
      <c r="M1360" s="116">
        <v>1813.45</v>
      </c>
      <c r="N1360" s="116">
        <v>1820.6</v>
      </c>
      <c r="O1360" s="116">
        <v>1792.85</v>
      </c>
      <c r="P1360" s="116">
        <v>1799.95</v>
      </c>
      <c r="Q1360" s="116">
        <v>1813.45</v>
      </c>
      <c r="R1360">
        <v>759398</v>
      </c>
    </row>
    <row r="1361" spans="1:18" x14ac:dyDescent="0.25">
      <c r="A1361" s="170">
        <v>45477</v>
      </c>
      <c r="B1361" s="116">
        <v>1870</v>
      </c>
      <c r="C1361" s="116">
        <v>1842.6</v>
      </c>
      <c r="D1361" s="116">
        <v>1835</v>
      </c>
      <c r="E1361" s="116">
        <v>1859.35</v>
      </c>
      <c r="F1361" s="116">
        <v>1842.6</v>
      </c>
      <c r="G1361">
        <v>15392</v>
      </c>
      <c r="H1361" s="116"/>
      <c r="I1361" s="116"/>
      <c r="L1361" s="170">
        <v>45474</v>
      </c>
      <c r="M1361" s="116">
        <v>1849.95</v>
      </c>
      <c r="N1361" s="116">
        <v>1858.9</v>
      </c>
      <c r="O1361" s="116">
        <v>1809.9</v>
      </c>
      <c r="P1361" s="116">
        <v>1820</v>
      </c>
      <c r="Q1361" s="116">
        <v>1849.95</v>
      </c>
      <c r="R1361">
        <v>393465</v>
      </c>
    </row>
    <row r="1362" spans="1:18" x14ac:dyDescent="0.25">
      <c r="A1362" s="170">
        <v>45478</v>
      </c>
      <c r="B1362" s="116">
        <v>1866.8</v>
      </c>
      <c r="C1362" s="116">
        <v>1858.3</v>
      </c>
      <c r="D1362" s="116">
        <v>1833.7</v>
      </c>
      <c r="E1362" s="116">
        <v>1835.85</v>
      </c>
      <c r="F1362" s="116">
        <v>1858.3</v>
      </c>
      <c r="G1362">
        <v>20075</v>
      </c>
      <c r="H1362" s="116"/>
      <c r="I1362" s="116"/>
      <c r="L1362" s="170">
        <v>45475</v>
      </c>
      <c r="M1362" s="116">
        <v>1839.45</v>
      </c>
      <c r="N1362" s="116">
        <v>1868</v>
      </c>
      <c r="O1362" s="116">
        <v>1820</v>
      </c>
      <c r="P1362" s="116">
        <v>1865</v>
      </c>
      <c r="Q1362" s="116">
        <v>1839.45</v>
      </c>
      <c r="R1362">
        <v>701731</v>
      </c>
    </row>
    <row r="1363" spans="1:18" x14ac:dyDescent="0.25">
      <c r="A1363" s="170">
        <v>45481</v>
      </c>
      <c r="B1363" s="116">
        <v>1865.8</v>
      </c>
      <c r="C1363" s="116">
        <v>1856.5</v>
      </c>
      <c r="D1363" s="116">
        <v>1844.95</v>
      </c>
      <c r="E1363" s="116">
        <v>1849.45</v>
      </c>
      <c r="F1363" s="116">
        <v>1856.5</v>
      </c>
      <c r="G1363">
        <v>9738</v>
      </c>
      <c r="H1363" s="116"/>
      <c r="I1363" s="116"/>
      <c r="L1363" s="170">
        <v>45476</v>
      </c>
      <c r="M1363" s="116">
        <v>1855.95</v>
      </c>
      <c r="N1363" s="116">
        <v>1863</v>
      </c>
      <c r="O1363" s="116">
        <v>1830</v>
      </c>
      <c r="P1363" s="116">
        <v>1845</v>
      </c>
      <c r="Q1363" s="116">
        <v>1855.95</v>
      </c>
      <c r="R1363">
        <v>381404</v>
      </c>
    </row>
    <row r="1364" spans="1:18" x14ac:dyDescent="0.25">
      <c r="A1364" s="170">
        <v>45482</v>
      </c>
      <c r="B1364" s="116">
        <v>1880</v>
      </c>
      <c r="C1364" s="116">
        <v>1866.35</v>
      </c>
      <c r="D1364" s="116">
        <v>1848.6</v>
      </c>
      <c r="E1364" s="116">
        <v>1863.95</v>
      </c>
      <c r="F1364" s="116">
        <v>1866.35</v>
      </c>
      <c r="G1364">
        <v>17707</v>
      </c>
      <c r="H1364" s="116"/>
      <c r="I1364" s="116"/>
      <c r="L1364" s="170">
        <v>45477</v>
      </c>
      <c r="M1364" s="116">
        <v>1842.35</v>
      </c>
      <c r="N1364" s="116">
        <v>1870.25</v>
      </c>
      <c r="O1364" s="116">
        <v>1834.1</v>
      </c>
      <c r="P1364" s="116">
        <v>1860</v>
      </c>
      <c r="Q1364" s="116">
        <v>1842.35</v>
      </c>
      <c r="R1364">
        <v>452681</v>
      </c>
    </row>
    <row r="1365" spans="1:18" x14ac:dyDescent="0.25">
      <c r="A1365" s="170">
        <v>45483</v>
      </c>
      <c r="B1365" s="116">
        <v>1871.4</v>
      </c>
      <c r="C1365" s="116">
        <v>1866.1</v>
      </c>
      <c r="D1365" s="116">
        <v>1809.2</v>
      </c>
      <c r="E1365" s="116">
        <v>1869.85</v>
      </c>
      <c r="F1365" s="116">
        <v>1866.1</v>
      </c>
      <c r="G1365">
        <v>38518</v>
      </c>
      <c r="H1365" s="116"/>
      <c r="I1365" s="116"/>
      <c r="L1365" s="170">
        <v>45478</v>
      </c>
      <c r="M1365" s="116">
        <v>1858.15</v>
      </c>
      <c r="N1365" s="116">
        <v>1867.4</v>
      </c>
      <c r="O1365" s="116">
        <v>1833.2</v>
      </c>
      <c r="P1365" s="116">
        <v>1842.95</v>
      </c>
      <c r="Q1365" s="116">
        <v>1858.15</v>
      </c>
      <c r="R1365">
        <v>301520</v>
      </c>
    </row>
    <row r="1366" spans="1:18" x14ac:dyDescent="0.25">
      <c r="A1366" s="170">
        <v>45484</v>
      </c>
      <c r="B1366" s="116">
        <v>1882</v>
      </c>
      <c r="C1366" s="116">
        <v>1863.65</v>
      </c>
      <c r="D1366" s="116">
        <v>1850</v>
      </c>
      <c r="E1366" s="116">
        <v>1866.15</v>
      </c>
      <c r="F1366" s="116">
        <v>1863.65</v>
      </c>
      <c r="G1366">
        <v>13114</v>
      </c>
      <c r="H1366" s="116"/>
      <c r="I1366" s="116"/>
      <c r="L1366" s="170">
        <v>45481</v>
      </c>
      <c r="M1366" s="116">
        <v>1855.85</v>
      </c>
      <c r="N1366" s="116">
        <v>1865.4</v>
      </c>
      <c r="O1366" s="116">
        <v>1843.6</v>
      </c>
      <c r="P1366" s="116">
        <v>1855</v>
      </c>
      <c r="Q1366" s="116">
        <v>1855.85</v>
      </c>
      <c r="R1366">
        <v>169273</v>
      </c>
    </row>
    <row r="1367" spans="1:18" x14ac:dyDescent="0.25">
      <c r="A1367" s="170">
        <v>45485</v>
      </c>
      <c r="B1367" s="116">
        <v>1946.6</v>
      </c>
      <c r="C1367" s="116">
        <v>1934.05</v>
      </c>
      <c r="D1367" s="116">
        <v>1863.65</v>
      </c>
      <c r="E1367" s="116">
        <v>1863.65</v>
      </c>
      <c r="F1367" s="116">
        <v>1934.05</v>
      </c>
      <c r="G1367">
        <v>66318</v>
      </c>
      <c r="H1367" s="116"/>
      <c r="I1367" s="116"/>
      <c r="L1367" s="170">
        <v>45482</v>
      </c>
      <c r="M1367" s="116">
        <v>1867.6</v>
      </c>
      <c r="N1367" s="116">
        <v>1881</v>
      </c>
      <c r="O1367" s="116">
        <v>1848.25</v>
      </c>
      <c r="P1367" s="116">
        <v>1855</v>
      </c>
      <c r="Q1367" s="116">
        <v>1867.6</v>
      </c>
      <c r="R1367">
        <v>289584</v>
      </c>
    </row>
    <row r="1368" spans="1:18" x14ac:dyDescent="0.25">
      <c r="A1368" s="170">
        <v>45488</v>
      </c>
      <c r="B1368" s="116">
        <v>1960</v>
      </c>
      <c r="C1368" s="116">
        <v>1927.55</v>
      </c>
      <c r="D1368" s="116">
        <v>1910.45</v>
      </c>
      <c r="E1368" s="116">
        <v>1949.55</v>
      </c>
      <c r="F1368" s="116">
        <v>1927.55</v>
      </c>
      <c r="G1368">
        <v>46733</v>
      </c>
      <c r="H1368" s="116"/>
      <c r="I1368" s="116"/>
      <c r="L1368" s="170">
        <v>45483</v>
      </c>
      <c r="M1368" s="116">
        <v>1865.3</v>
      </c>
      <c r="N1368" s="116">
        <v>1874.7</v>
      </c>
      <c r="O1368" s="116">
        <v>1807.65</v>
      </c>
      <c r="P1368" s="116">
        <v>1865</v>
      </c>
      <c r="Q1368" s="116">
        <v>1865.3</v>
      </c>
      <c r="R1368">
        <v>477669</v>
      </c>
    </row>
    <row r="1369" spans="1:18" x14ac:dyDescent="0.25">
      <c r="A1369" s="170">
        <v>45489</v>
      </c>
      <c r="B1369" s="116">
        <v>1948</v>
      </c>
      <c r="C1369" s="116">
        <v>1919.75</v>
      </c>
      <c r="D1369" s="116">
        <v>1890</v>
      </c>
      <c r="E1369" s="116">
        <v>1947.1</v>
      </c>
      <c r="F1369" s="116">
        <v>1919.75</v>
      </c>
      <c r="G1369">
        <v>44278</v>
      </c>
      <c r="H1369" s="116"/>
      <c r="I1369" s="116"/>
      <c r="L1369" s="170">
        <v>45484</v>
      </c>
      <c r="M1369" s="116">
        <v>1865.6</v>
      </c>
      <c r="N1369" s="116">
        <v>1882.65</v>
      </c>
      <c r="O1369" s="116">
        <v>1848.7</v>
      </c>
      <c r="P1369" s="116">
        <v>1865</v>
      </c>
      <c r="Q1369" s="116">
        <v>1865.6</v>
      </c>
      <c r="R1369">
        <v>345793</v>
      </c>
    </row>
    <row r="1370" spans="1:18" x14ac:dyDescent="0.25">
      <c r="A1370" s="170">
        <v>45491</v>
      </c>
      <c r="B1370" s="116">
        <v>1925</v>
      </c>
      <c r="C1370" s="116">
        <v>1916.5</v>
      </c>
      <c r="D1370" s="116">
        <v>1888.8</v>
      </c>
      <c r="E1370" s="116">
        <v>1919.7</v>
      </c>
      <c r="F1370" s="116">
        <v>1916.5</v>
      </c>
      <c r="G1370">
        <v>18836</v>
      </c>
      <c r="H1370" s="116"/>
      <c r="I1370" s="116"/>
      <c r="L1370" s="170">
        <v>45485</v>
      </c>
      <c r="M1370" s="116">
        <v>1933.6</v>
      </c>
      <c r="N1370" s="116">
        <v>1947.3</v>
      </c>
      <c r="O1370" s="116">
        <v>1863</v>
      </c>
      <c r="P1370" s="116">
        <v>1879.8</v>
      </c>
      <c r="Q1370" s="116">
        <v>1933.6</v>
      </c>
      <c r="R1370">
        <v>935891</v>
      </c>
    </row>
    <row r="1371" spans="1:18" x14ac:dyDescent="0.25">
      <c r="A1371" s="170">
        <v>45492</v>
      </c>
      <c r="B1371" s="116">
        <v>1948.95</v>
      </c>
      <c r="C1371" s="116">
        <v>1817.6</v>
      </c>
      <c r="D1371" s="116">
        <v>1802.65</v>
      </c>
      <c r="E1371" s="116">
        <v>1948.65</v>
      </c>
      <c r="F1371" s="116">
        <v>1817.6</v>
      </c>
      <c r="G1371">
        <v>35022</v>
      </c>
      <c r="H1371" s="116"/>
      <c r="I1371" s="116"/>
      <c r="L1371" s="170">
        <v>45488</v>
      </c>
      <c r="M1371" s="116">
        <v>1929.2</v>
      </c>
      <c r="N1371" s="116">
        <v>1960</v>
      </c>
      <c r="O1371" s="116">
        <v>1913.55</v>
      </c>
      <c r="P1371" s="116">
        <v>1945.05</v>
      </c>
      <c r="Q1371" s="116">
        <v>1929.2</v>
      </c>
      <c r="R1371">
        <v>656450</v>
      </c>
    </row>
    <row r="1372" spans="1:18" x14ac:dyDescent="0.25">
      <c r="A1372" s="170">
        <v>45495</v>
      </c>
      <c r="B1372" s="116">
        <v>1818.15</v>
      </c>
      <c r="C1372" s="116">
        <v>1771.45</v>
      </c>
      <c r="D1372" s="116">
        <v>1767.5</v>
      </c>
      <c r="E1372" s="116">
        <v>1812.9</v>
      </c>
      <c r="F1372" s="116">
        <v>1771.45</v>
      </c>
      <c r="G1372">
        <v>20229</v>
      </c>
      <c r="H1372" s="116"/>
      <c r="I1372" s="116"/>
      <c r="L1372" s="170">
        <v>45489</v>
      </c>
      <c r="M1372" s="116">
        <v>1915.9</v>
      </c>
      <c r="N1372" s="116">
        <v>1947.95</v>
      </c>
      <c r="O1372" s="116">
        <v>1891</v>
      </c>
      <c r="P1372" s="116">
        <v>1940</v>
      </c>
      <c r="Q1372" s="116">
        <v>1915.9</v>
      </c>
      <c r="R1372">
        <v>475080</v>
      </c>
    </row>
    <row r="1373" spans="1:18" x14ac:dyDescent="0.25">
      <c r="A1373" s="170">
        <v>45496</v>
      </c>
      <c r="B1373" s="116">
        <v>1808.95</v>
      </c>
      <c r="C1373" s="116">
        <v>1778.45</v>
      </c>
      <c r="D1373" s="116">
        <v>1750.05</v>
      </c>
      <c r="E1373" s="116">
        <v>1773.5</v>
      </c>
      <c r="F1373" s="116">
        <v>1778.45</v>
      </c>
      <c r="G1373">
        <v>125048</v>
      </c>
      <c r="H1373" s="116"/>
      <c r="I1373" s="116"/>
      <c r="L1373" s="170">
        <v>45491</v>
      </c>
      <c r="M1373" s="116">
        <v>1916.85</v>
      </c>
      <c r="N1373" s="116">
        <v>1925.8</v>
      </c>
      <c r="O1373" s="116">
        <v>1888</v>
      </c>
      <c r="P1373" s="116">
        <v>1915.9</v>
      </c>
      <c r="Q1373" s="116">
        <v>1916.85</v>
      </c>
      <c r="R1373">
        <v>321681</v>
      </c>
    </row>
    <row r="1374" spans="1:18" x14ac:dyDescent="0.25">
      <c r="A1374" s="170">
        <v>45497</v>
      </c>
      <c r="B1374" s="116">
        <v>1803.75</v>
      </c>
      <c r="C1374" s="116">
        <v>1772.85</v>
      </c>
      <c r="D1374" s="116">
        <v>1770</v>
      </c>
      <c r="E1374" s="116">
        <v>1778.4</v>
      </c>
      <c r="F1374" s="116">
        <v>1772.85</v>
      </c>
      <c r="G1374">
        <v>8684</v>
      </c>
      <c r="H1374" s="116"/>
      <c r="I1374" s="116"/>
      <c r="L1374" s="170">
        <v>45492</v>
      </c>
      <c r="M1374" s="116">
        <v>1818.7</v>
      </c>
      <c r="N1374" s="116">
        <v>1944</v>
      </c>
      <c r="O1374" s="116">
        <v>1803.05</v>
      </c>
      <c r="P1374" s="116">
        <v>1944</v>
      </c>
      <c r="Q1374" s="116">
        <v>1818.7</v>
      </c>
      <c r="R1374">
        <v>1973247</v>
      </c>
    </row>
    <row r="1375" spans="1:18" x14ac:dyDescent="0.25">
      <c r="A1375" s="170">
        <v>45498</v>
      </c>
      <c r="B1375" s="116">
        <v>1780</v>
      </c>
      <c r="C1375" s="116">
        <v>1772</v>
      </c>
      <c r="D1375" s="116">
        <v>1754</v>
      </c>
      <c r="E1375" s="116">
        <v>1754.85</v>
      </c>
      <c r="F1375" s="116">
        <v>1772</v>
      </c>
      <c r="G1375">
        <v>21206</v>
      </c>
      <c r="H1375" s="116"/>
      <c r="I1375" s="116"/>
      <c r="L1375" s="170">
        <v>45495</v>
      </c>
      <c r="M1375" s="116">
        <v>1771.15</v>
      </c>
      <c r="N1375" s="116">
        <v>1818.5</v>
      </c>
      <c r="O1375" s="116">
        <v>1767.1</v>
      </c>
      <c r="P1375" s="116">
        <v>1802</v>
      </c>
      <c r="Q1375" s="116">
        <v>1771.15</v>
      </c>
      <c r="R1375">
        <v>869025</v>
      </c>
    </row>
    <row r="1376" spans="1:18" x14ac:dyDescent="0.25">
      <c r="A1376" s="170">
        <v>45499</v>
      </c>
      <c r="B1376" s="116">
        <v>1841.9</v>
      </c>
      <c r="C1376" s="116">
        <v>1812.25</v>
      </c>
      <c r="D1376" s="116">
        <v>1780.3</v>
      </c>
      <c r="E1376" s="116">
        <v>1789.95</v>
      </c>
      <c r="F1376" s="116">
        <v>1812.25</v>
      </c>
      <c r="G1376">
        <v>23361</v>
      </c>
      <c r="H1376" s="116"/>
      <c r="I1376" s="116"/>
      <c r="L1376" s="170">
        <v>45496</v>
      </c>
      <c r="M1376" s="116">
        <v>1778.45</v>
      </c>
      <c r="N1376" s="116">
        <v>1808.45</v>
      </c>
      <c r="O1376" s="116">
        <v>1751.1</v>
      </c>
      <c r="P1376" s="116">
        <v>1779.8</v>
      </c>
      <c r="Q1376" s="116">
        <v>1778.45</v>
      </c>
      <c r="R1376">
        <v>1171376</v>
      </c>
    </row>
    <row r="1377" spans="1:18" x14ac:dyDescent="0.25">
      <c r="A1377" s="170">
        <v>45502</v>
      </c>
      <c r="B1377" s="116">
        <v>1841.95</v>
      </c>
      <c r="C1377" s="116">
        <v>1834.2</v>
      </c>
      <c r="D1377" s="116">
        <v>1817.7</v>
      </c>
      <c r="E1377" s="116">
        <v>1824.95</v>
      </c>
      <c r="F1377" s="116">
        <v>1834.2</v>
      </c>
      <c r="G1377">
        <v>15079</v>
      </c>
      <c r="H1377" s="116"/>
      <c r="I1377" s="116"/>
      <c r="L1377" s="170">
        <v>45497</v>
      </c>
      <c r="M1377" s="116">
        <v>1771.45</v>
      </c>
      <c r="N1377" s="116">
        <v>1803</v>
      </c>
      <c r="O1377" s="116">
        <v>1769</v>
      </c>
      <c r="P1377" s="116">
        <v>1781.5</v>
      </c>
      <c r="Q1377" s="116">
        <v>1771.45</v>
      </c>
      <c r="R1377">
        <v>460270</v>
      </c>
    </row>
    <row r="1378" spans="1:18" x14ac:dyDescent="0.25">
      <c r="A1378" s="170">
        <v>45503</v>
      </c>
      <c r="B1378" s="116">
        <v>1854.95</v>
      </c>
      <c r="C1378" s="116">
        <v>1851.25</v>
      </c>
      <c r="D1378" s="116">
        <v>1826.55</v>
      </c>
      <c r="E1378" s="116">
        <v>1836.95</v>
      </c>
      <c r="F1378" s="116">
        <v>1851.25</v>
      </c>
      <c r="G1378">
        <v>2943</v>
      </c>
      <c r="H1378" s="116"/>
      <c r="I1378" s="116"/>
      <c r="L1378" s="170">
        <v>45498</v>
      </c>
      <c r="M1378" s="116">
        <v>1771.55</v>
      </c>
      <c r="N1378" s="116">
        <v>1780</v>
      </c>
      <c r="O1378" s="116">
        <v>1753.45</v>
      </c>
      <c r="P1378" s="116">
        <v>1765.05</v>
      </c>
      <c r="Q1378" s="116">
        <v>1771.55</v>
      </c>
      <c r="R1378">
        <v>522118</v>
      </c>
    </row>
    <row r="1379" spans="1:18" x14ac:dyDescent="0.25">
      <c r="A1379" s="170">
        <v>45504</v>
      </c>
      <c r="B1379" s="116">
        <v>1867.95</v>
      </c>
      <c r="C1379" s="116">
        <v>1849.9</v>
      </c>
      <c r="D1379" s="116">
        <v>1841.75</v>
      </c>
      <c r="E1379" s="116">
        <v>1860</v>
      </c>
      <c r="F1379" s="116">
        <v>1849.9</v>
      </c>
      <c r="G1379">
        <v>2901</v>
      </c>
      <c r="H1379" s="116"/>
      <c r="I1379" s="116"/>
      <c r="L1379" s="170">
        <v>45499</v>
      </c>
      <c r="M1379" s="116">
        <v>1812.2</v>
      </c>
      <c r="N1379" s="116">
        <v>1842</v>
      </c>
      <c r="O1379" s="116">
        <v>1771</v>
      </c>
      <c r="P1379" s="116">
        <v>1785</v>
      </c>
      <c r="Q1379" s="116">
        <v>1812.2</v>
      </c>
      <c r="R1379">
        <v>585129</v>
      </c>
    </row>
    <row r="1380" spans="1:18" x14ac:dyDescent="0.25">
      <c r="A1380" s="170">
        <v>45505</v>
      </c>
      <c r="B1380" s="116">
        <v>1865</v>
      </c>
      <c r="C1380" s="116">
        <v>1811.95</v>
      </c>
      <c r="D1380" s="116">
        <v>1804</v>
      </c>
      <c r="E1380" s="116">
        <v>1850.65</v>
      </c>
      <c r="F1380" s="116">
        <v>1811.95</v>
      </c>
      <c r="G1380">
        <v>4472</v>
      </c>
      <c r="H1380" s="116"/>
      <c r="I1380" s="116"/>
      <c r="L1380" s="170">
        <v>45502</v>
      </c>
      <c r="M1380" s="116">
        <v>1834.3</v>
      </c>
      <c r="N1380" s="116">
        <v>1842</v>
      </c>
      <c r="O1380" s="116">
        <v>1816.65</v>
      </c>
      <c r="P1380" s="116">
        <v>1822</v>
      </c>
      <c r="Q1380" s="116">
        <v>1834.3</v>
      </c>
      <c r="R1380">
        <v>507267</v>
      </c>
    </row>
    <row r="1381" spans="1:18" x14ac:dyDescent="0.25">
      <c r="A1381" s="170">
        <v>45506</v>
      </c>
      <c r="B1381" s="116">
        <v>1822.8</v>
      </c>
      <c r="C1381" s="116">
        <v>1799.1</v>
      </c>
      <c r="D1381" s="116">
        <v>1788.6</v>
      </c>
      <c r="E1381" s="116">
        <v>1809.85</v>
      </c>
      <c r="F1381" s="116">
        <v>1799.1</v>
      </c>
      <c r="G1381">
        <v>3123</v>
      </c>
      <c r="H1381" s="116"/>
      <c r="I1381" s="116"/>
      <c r="L1381" s="170">
        <v>45503</v>
      </c>
      <c r="M1381" s="116">
        <v>1851.8</v>
      </c>
      <c r="N1381" s="116">
        <v>1855.75</v>
      </c>
      <c r="O1381" s="116">
        <v>1826.5</v>
      </c>
      <c r="P1381" s="116">
        <v>1834.3</v>
      </c>
      <c r="Q1381" s="116">
        <v>1851.8</v>
      </c>
      <c r="R1381">
        <v>335793</v>
      </c>
    </row>
    <row r="1382" spans="1:18" x14ac:dyDescent="0.25">
      <c r="A1382" s="170">
        <v>45509</v>
      </c>
      <c r="B1382" s="116">
        <v>1790</v>
      </c>
      <c r="C1382" s="116">
        <v>1753.45</v>
      </c>
      <c r="D1382" s="116">
        <v>1743</v>
      </c>
      <c r="E1382" s="116">
        <v>1752.05</v>
      </c>
      <c r="F1382" s="116">
        <v>1753.45</v>
      </c>
      <c r="G1382">
        <v>17860</v>
      </c>
      <c r="H1382" s="116"/>
      <c r="I1382" s="116"/>
      <c r="L1382" s="170">
        <v>45504</v>
      </c>
      <c r="M1382" s="116">
        <v>1850.55</v>
      </c>
      <c r="N1382" s="116">
        <v>1869</v>
      </c>
      <c r="O1382" s="116">
        <v>1841.45</v>
      </c>
      <c r="P1382" s="116">
        <v>1868.45</v>
      </c>
      <c r="Q1382" s="116">
        <v>1850.55</v>
      </c>
      <c r="R1382">
        <v>369988</v>
      </c>
    </row>
    <row r="1383" spans="1:18" x14ac:dyDescent="0.25">
      <c r="A1383" s="170">
        <v>45510</v>
      </c>
      <c r="B1383" s="116">
        <v>1793.5</v>
      </c>
      <c r="C1383" s="116">
        <v>1730.9</v>
      </c>
      <c r="D1383" s="116">
        <v>1724</v>
      </c>
      <c r="E1383" s="116">
        <v>1757</v>
      </c>
      <c r="F1383" s="116">
        <v>1730.9</v>
      </c>
      <c r="G1383">
        <v>9330</v>
      </c>
      <c r="H1383" s="116"/>
      <c r="I1383" s="116"/>
      <c r="L1383" s="170">
        <v>45505</v>
      </c>
      <c r="M1383" s="116">
        <v>1813.25</v>
      </c>
      <c r="N1383" s="116">
        <v>1866</v>
      </c>
      <c r="O1383" s="116">
        <v>1803.45</v>
      </c>
      <c r="P1383" s="116">
        <v>1845.1</v>
      </c>
      <c r="Q1383" s="116">
        <v>1813.25</v>
      </c>
      <c r="R1383">
        <v>378106</v>
      </c>
    </row>
    <row r="1384" spans="1:18" x14ac:dyDescent="0.25">
      <c r="A1384" s="170">
        <v>45511</v>
      </c>
      <c r="B1384" s="116">
        <v>1771.6</v>
      </c>
      <c r="C1384" s="116">
        <v>1763.1</v>
      </c>
      <c r="D1384" s="116">
        <v>1725.5</v>
      </c>
      <c r="E1384" s="116">
        <v>1735.05</v>
      </c>
      <c r="F1384" s="116">
        <v>1763.1</v>
      </c>
      <c r="G1384">
        <v>11276</v>
      </c>
      <c r="H1384" s="116"/>
      <c r="I1384" s="116"/>
      <c r="L1384" s="170">
        <v>45506</v>
      </c>
      <c r="M1384" s="116">
        <v>1798.7</v>
      </c>
      <c r="N1384" s="116">
        <v>1822</v>
      </c>
      <c r="O1384" s="116">
        <v>1785.35</v>
      </c>
      <c r="P1384" s="116">
        <v>1800.1</v>
      </c>
      <c r="Q1384" s="116">
        <v>1798.7</v>
      </c>
      <c r="R1384">
        <v>133225</v>
      </c>
    </row>
    <row r="1385" spans="1:18" x14ac:dyDescent="0.25">
      <c r="A1385" s="170">
        <v>45512</v>
      </c>
      <c r="B1385" s="116">
        <v>1776.9</v>
      </c>
      <c r="C1385" s="116">
        <v>1771.5</v>
      </c>
      <c r="D1385" s="116">
        <v>1735</v>
      </c>
      <c r="E1385" s="116">
        <v>1763</v>
      </c>
      <c r="F1385" s="116">
        <v>1771.5</v>
      </c>
      <c r="G1385">
        <v>5723</v>
      </c>
      <c r="H1385" s="116"/>
      <c r="I1385" s="116"/>
      <c r="L1385" s="170">
        <v>45509</v>
      </c>
      <c r="M1385" s="116">
        <v>1756.55</v>
      </c>
      <c r="N1385" s="116">
        <v>1788.35</v>
      </c>
      <c r="O1385" s="116">
        <v>1744.05</v>
      </c>
      <c r="P1385" s="116">
        <v>1782.75</v>
      </c>
      <c r="Q1385" s="116">
        <v>1756.55</v>
      </c>
      <c r="R1385">
        <v>283332</v>
      </c>
    </row>
    <row r="1386" spans="1:18" x14ac:dyDescent="0.25">
      <c r="A1386" s="170">
        <v>45513</v>
      </c>
      <c r="B1386" s="116">
        <v>1788</v>
      </c>
      <c r="C1386" s="116">
        <v>1742.25</v>
      </c>
      <c r="D1386" s="116">
        <v>1736.8</v>
      </c>
      <c r="E1386" s="116">
        <v>1772</v>
      </c>
      <c r="F1386" s="116">
        <v>1742.25</v>
      </c>
      <c r="G1386">
        <v>8378</v>
      </c>
      <c r="H1386" s="116"/>
      <c r="I1386" s="116"/>
      <c r="L1386" s="170">
        <v>45510</v>
      </c>
      <c r="M1386" s="116">
        <v>1730.75</v>
      </c>
      <c r="N1386" s="116">
        <v>1794.2</v>
      </c>
      <c r="O1386" s="116">
        <v>1722.2</v>
      </c>
      <c r="P1386" s="116">
        <v>1757</v>
      </c>
      <c r="Q1386" s="116">
        <v>1730.75</v>
      </c>
      <c r="R1386">
        <v>288669</v>
      </c>
    </row>
    <row r="1387" spans="1:18" x14ac:dyDescent="0.25">
      <c r="A1387" s="170">
        <v>45516</v>
      </c>
      <c r="B1387" s="116">
        <v>1752</v>
      </c>
      <c r="C1387" s="116">
        <v>1745.2</v>
      </c>
      <c r="D1387" s="116">
        <v>1727</v>
      </c>
      <c r="E1387" s="116">
        <v>1740.75</v>
      </c>
      <c r="F1387" s="116">
        <v>1745.2</v>
      </c>
      <c r="G1387">
        <v>6847</v>
      </c>
      <c r="H1387" s="116"/>
      <c r="I1387" s="116"/>
      <c r="L1387" s="170">
        <v>45511</v>
      </c>
      <c r="M1387" s="116">
        <v>1757.75</v>
      </c>
      <c r="N1387" s="116">
        <v>1766.3</v>
      </c>
      <c r="O1387" s="116">
        <v>1724.25</v>
      </c>
      <c r="P1387" s="116">
        <v>1736.95</v>
      </c>
      <c r="Q1387" s="116">
        <v>1757.75</v>
      </c>
      <c r="R1387">
        <v>963145</v>
      </c>
    </row>
    <row r="1388" spans="1:18" x14ac:dyDescent="0.25">
      <c r="A1388" s="170">
        <v>45517</v>
      </c>
      <c r="B1388" s="116">
        <v>1745.5</v>
      </c>
      <c r="C1388" s="116">
        <v>1736.55</v>
      </c>
      <c r="D1388" s="116">
        <v>1720</v>
      </c>
      <c r="E1388" s="116">
        <v>1745.2</v>
      </c>
      <c r="F1388" s="116">
        <v>1736.55</v>
      </c>
      <c r="G1388">
        <v>6568</v>
      </c>
      <c r="H1388" s="116"/>
      <c r="I1388" s="116"/>
      <c r="L1388" s="170">
        <v>45512</v>
      </c>
      <c r="M1388" s="116">
        <v>1770.05</v>
      </c>
      <c r="N1388" s="116">
        <v>1777.55</v>
      </c>
      <c r="O1388" s="116">
        <v>1735</v>
      </c>
      <c r="P1388" s="116">
        <v>1757.8</v>
      </c>
      <c r="Q1388" s="116">
        <v>1770.05</v>
      </c>
      <c r="R1388">
        <v>890191</v>
      </c>
    </row>
    <row r="1389" spans="1:18" x14ac:dyDescent="0.25">
      <c r="A1389" s="170">
        <v>45518</v>
      </c>
      <c r="B1389" s="116">
        <v>1733.2</v>
      </c>
      <c r="C1389" s="116">
        <v>1726.55</v>
      </c>
      <c r="D1389" s="116">
        <v>1706</v>
      </c>
      <c r="E1389" s="116">
        <v>1725</v>
      </c>
      <c r="F1389" s="116">
        <v>1726.55</v>
      </c>
      <c r="G1389">
        <v>7358</v>
      </c>
      <c r="H1389" s="116"/>
      <c r="I1389" s="116"/>
      <c r="L1389" s="170">
        <v>45513</v>
      </c>
      <c r="M1389" s="116">
        <v>1740.6</v>
      </c>
      <c r="N1389" s="116">
        <v>1789.9</v>
      </c>
      <c r="O1389" s="116">
        <v>1736.5</v>
      </c>
      <c r="P1389" s="116">
        <v>1770</v>
      </c>
      <c r="Q1389" s="116">
        <v>1740.6</v>
      </c>
      <c r="R1389">
        <v>245783</v>
      </c>
    </row>
    <row r="1390" spans="1:18" x14ac:dyDescent="0.25">
      <c r="A1390" s="170">
        <v>45520</v>
      </c>
      <c r="B1390" s="116">
        <v>1755</v>
      </c>
      <c r="C1390" s="116">
        <v>1751.25</v>
      </c>
      <c r="D1390" s="116">
        <v>1727</v>
      </c>
      <c r="E1390" s="116">
        <v>1733</v>
      </c>
      <c r="F1390" s="116">
        <v>1751.25</v>
      </c>
      <c r="G1390">
        <v>4353</v>
      </c>
      <c r="H1390" s="116"/>
      <c r="I1390" s="116"/>
      <c r="L1390" s="170">
        <v>45516</v>
      </c>
      <c r="M1390" s="116">
        <v>1745</v>
      </c>
      <c r="N1390" s="116">
        <v>1754</v>
      </c>
      <c r="O1390" s="116">
        <v>1726.15</v>
      </c>
      <c r="P1390" s="116">
        <v>1753.1</v>
      </c>
      <c r="Q1390" s="116">
        <v>1745</v>
      </c>
      <c r="R1390">
        <v>504771</v>
      </c>
    </row>
    <row r="1391" spans="1:18" x14ac:dyDescent="0.25">
      <c r="A1391" s="170">
        <v>45523</v>
      </c>
      <c r="B1391" s="116">
        <v>1783.45</v>
      </c>
      <c r="C1391" s="116">
        <v>1769.45</v>
      </c>
      <c r="D1391" s="116">
        <v>1750</v>
      </c>
      <c r="E1391" s="116">
        <v>1750</v>
      </c>
      <c r="F1391" s="116">
        <v>1769.45</v>
      </c>
      <c r="G1391">
        <v>7161</v>
      </c>
      <c r="H1391" s="116"/>
      <c r="I1391" s="116"/>
      <c r="L1391" s="170">
        <v>45517</v>
      </c>
      <c r="M1391" s="116">
        <v>1735.25</v>
      </c>
      <c r="N1391" s="116">
        <v>1746.95</v>
      </c>
      <c r="O1391" s="116">
        <v>1719.2</v>
      </c>
      <c r="P1391" s="116">
        <v>1735</v>
      </c>
      <c r="Q1391" s="116">
        <v>1735.25</v>
      </c>
      <c r="R1391">
        <v>326808</v>
      </c>
    </row>
    <row r="1392" spans="1:18" x14ac:dyDescent="0.25">
      <c r="A1392" s="170">
        <v>45524</v>
      </c>
      <c r="B1392" s="116">
        <v>1782</v>
      </c>
      <c r="C1392" s="116">
        <v>1766.95</v>
      </c>
      <c r="D1392" s="116">
        <v>1753</v>
      </c>
      <c r="E1392" s="116">
        <v>1762</v>
      </c>
      <c r="F1392" s="116">
        <v>1766.95</v>
      </c>
      <c r="G1392">
        <v>5680</v>
      </c>
      <c r="H1392" s="116"/>
      <c r="I1392" s="116"/>
      <c r="L1392" s="170">
        <v>45518</v>
      </c>
      <c r="M1392" s="116">
        <v>1726.45</v>
      </c>
      <c r="N1392" s="116">
        <v>1737.65</v>
      </c>
      <c r="O1392" s="116">
        <v>1705.45</v>
      </c>
      <c r="P1392" s="116">
        <v>1735.25</v>
      </c>
      <c r="Q1392" s="116">
        <v>1726.45</v>
      </c>
      <c r="R1392">
        <v>274182</v>
      </c>
    </row>
    <row r="1393" spans="1:18" x14ac:dyDescent="0.25">
      <c r="A1393" s="170">
        <v>45525</v>
      </c>
      <c r="B1393" s="116">
        <v>1771.5</v>
      </c>
      <c r="C1393" s="116">
        <v>1753.85</v>
      </c>
      <c r="D1393" s="116">
        <v>1750.45</v>
      </c>
      <c r="E1393" s="116">
        <v>1766.95</v>
      </c>
      <c r="F1393" s="116">
        <v>1753.85</v>
      </c>
      <c r="G1393">
        <v>4643</v>
      </c>
      <c r="H1393" s="116"/>
      <c r="I1393" s="116"/>
      <c r="L1393" s="170">
        <v>45520</v>
      </c>
      <c r="M1393" s="116">
        <v>1750.8</v>
      </c>
      <c r="N1393" s="116">
        <v>1754.75</v>
      </c>
      <c r="O1393" s="116">
        <v>1726.45</v>
      </c>
      <c r="P1393" s="116">
        <v>1730</v>
      </c>
      <c r="Q1393" s="116">
        <v>1750.8</v>
      </c>
      <c r="R1393">
        <v>320407</v>
      </c>
    </row>
    <row r="1394" spans="1:18" x14ac:dyDescent="0.25">
      <c r="A1394" s="170">
        <v>45526</v>
      </c>
      <c r="B1394" s="116">
        <v>1804</v>
      </c>
      <c r="C1394" s="116">
        <v>1800.05</v>
      </c>
      <c r="D1394" s="116">
        <v>1760.7</v>
      </c>
      <c r="E1394" s="116">
        <v>1760.7</v>
      </c>
      <c r="F1394" s="116">
        <v>1800.05</v>
      </c>
      <c r="G1394">
        <v>4904</v>
      </c>
      <c r="H1394" s="116"/>
      <c r="I1394" s="116"/>
      <c r="L1394" s="170">
        <v>45523</v>
      </c>
      <c r="M1394" s="116">
        <v>1768.95</v>
      </c>
      <c r="N1394" s="116">
        <v>1786.35</v>
      </c>
      <c r="O1394" s="116">
        <v>1755.85</v>
      </c>
      <c r="P1394" s="116">
        <v>1757.95</v>
      </c>
      <c r="Q1394" s="116">
        <v>1768.95</v>
      </c>
      <c r="R1394">
        <v>525217</v>
      </c>
    </row>
    <row r="1395" spans="1:18" x14ac:dyDescent="0.25">
      <c r="A1395" s="170">
        <v>45527</v>
      </c>
      <c r="B1395" s="116">
        <v>1809.4</v>
      </c>
      <c r="C1395" s="116">
        <v>1801.5</v>
      </c>
      <c r="D1395" s="116">
        <v>1779.75</v>
      </c>
      <c r="E1395" s="116">
        <v>1809.4</v>
      </c>
      <c r="F1395" s="116">
        <v>1801.5</v>
      </c>
      <c r="G1395">
        <v>9463</v>
      </c>
      <c r="H1395" s="116"/>
      <c r="I1395" s="116"/>
      <c r="L1395" s="170">
        <v>45524</v>
      </c>
      <c r="M1395" s="116">
        <v>1767.7</v>
      </c>
      <c r="N1395" s="116">
        <v>1782.55</v>
      </c>
      <c r="O1395" s="116">
        <v>1751.7</v>
      </c>
      <c r="P1395" s="116">
        <v>1771.8</v>
      </c>
      <c r="Q1395" s="116">
        <v>1767.7</v>
      </c>
      <c r="R1395">
        <v>706544</v>
      </c>
    </row>
    <row r="1396" spans="1:18" x14ac:dyDescent="0.25">
      <c r="A1396" s="170">
        <v>45530</v>
      </c>
      <c r="B1396" s="116">
        <v>1820.2</v>
      </c>
      <c r="C1396" s="116">
        <v>1814.35</v>
      </c>
      <c r="D1396" s="116">
        <v>1798.75</v>
      </c>
      <c r="E1396" s="116">
        <v>1800.35</v>
      </c>
      <c r="F1396" s="116">
        <v>1814.35</v>
      </c>
      <c r="G1396">
        <v>6042</v>
      </c>
      <c r="H1396" s="116"/>
      <c r="I1396" s="116"/>
      <c r="L1396" s="170">
        <v>45525</v>
      </c>
      <c r="M1396" s="116">
        <v>1755.45</v>
      </c>
      <c r="N1396" s="116">
        <v>1773</v>
      </c>
      <c r="O1396" s="116">
        <v>1752.4</v>
      </c>
      <c r="P1396" s="116">
        <v>1757.5</v>
      </c>
      <c r="Q1396" s="116">
        <v>1755.45</v>
      </c>
      <c r="R1396">
        <v>339297</v>
      </c>
    </row>
    <row r="1397" spans="1:18" x14ac:dyDescent="0.25">
      <c r="A1397" s="170">
        <v>45531</v>
      </c>
      <c r="B1397" s="116">
        <v>1832.3</v>
      </c>
      <c r="C1397" s="116">
        <v>1819.45</v>
      </c>
      <c r="D1397" s="116">
        <v>1815</v>
      </c>
      <c r="E1397" s="116">
        <v>1815</v>
      </c>
      <c r="F1397" s="116">
        <v>1819.45</v>
      </c>
      <c r="G1397">
        <v>4047</v>
      </c>
      <c r="H1397" s="116"/>
      <c r="I1397" s="116"/>
      <c r="L1397" s="170">
        <v>45526</v>
      </c>
      <c r="M1397" s="116">
        <v>1799.4</v>
      </c>
      <c r="N1397" s="116">
        <v>1803.45</v>
      </c>
      <c r="O1397" s="116">
        <v>1756.75</v>
      </c>
      <c r="P1397" s="116">
        <v>1756.75</v>
      </c>
      <c r="Q1397" s="116">
        <v>1799.4</v>
      </c>
      <c r="R1397">
        <v>841113</v>
      </c>
    </row>
    <row r="1398" spans="1:18" x14ac:dyDescent="0.25">
      <c r="A1398" s="170">
        <v>45532</v>
      </c>
      <c r="B1398" s="116">
        <v>1837.2</v>
      </c>
      <c r="C1398" s="116">
        <v>1820.7</v>
      </c>
      <c r="D1398" s="116">
        <v>1812.55</v>
      </c>
      <c r="E1398" s="116">
        <v>1815</v>
      </c>
      <c r="F1398" s="116">
        <v>1820.7</v>
      </c>
      <c r="G1398">
        <v>3575</v>
      </c>
      <c r="H1398" s="116"/>
      <c r="I1398" s="116"/>
      <c r="L1398" s="170">
        <v>45527</v>
      </c>
      <c r="M1398" s="116">
        <v>1804.05</v>
      </c>
      <c r="N1398" s="116">
        <v>1809</v>
      </c>
      <c r="O1398" s="116">
        <v>1778.25</v>
      </c>
      <c r="P1398" s="116">
        <v>1804</v>
      </c>
      <c r="Q1398" s="116">
        <v>1804.05</v>
      </c>
      <c r="R1398">
        <v>311171</v>
      </c>
    </row>
    <row r="1399" spans="1:18" x14ac:dyDescent="0.25">
      <c r="A1399" s="170">
        <v>45533</v>
      </c>
      <c r="B1399" s="116">
        <v>1855.55</v>
      </c>
      <c r="C1399" s="116">
        <v>1849.8</v>
      </c>
      <c r="D1399" s="116">
        <v>1821.25</v>
      </c>
      <c r="E1399" s="116">
        <v>1830</v>
      </c>
      <c r="F1399" s="116">
        <v>1849.8</v>
      </c>
      <c r="G1399">
        <v>7368</v>
      </c>
      <c r="H1399" s="116"/>
      <c r="I1399" s="116"/>
      <c r="L1399" s="170">
        <v>45530</v>
      </c>
      <c r="M1399" s="116">
        <v>1814.9</v>
      </c>
      <c r="N1399" s="116">
        <v>1820</v>
      </c>
      <c r="O1399" s="116">
        <v>1791.55</v>
      </c>
      <c r="P1399" s="116">
        <v>1820</v>
      </c>
      <c r="Q1399" s="116">
        <v>1814.9</v>
      </c>
      <c r="R1399">
        <v>248874</v>
      </c>
    </row>
    <row r="1400" spans="1:18" x14ac:dyDescent="0.25">
      <c r="A1400" s="170">
        <v>45534</v>
      </c>
      <c r="B1400" s="116">
        <v>1894.65</v>
      </c>
      <c r="C1400" s="116">
        <v>1888.85</v>
      </c>
      <c r="D1400" s="116">
        <v>1855.45</v>
      </c>
      <c r="E1400" s="116">
        <v>1858.2</v>
      </c>
      <c r="F1400" s="116">
        <v>1888.85</v>
      </c>
      <c r="G1400">
        <v>40014</v>
      </c>
      <c r="H1400" s="116"/>
      <c r="I1400" s="116"/>
      <c r="L1400" s="170">
        <v>45531</v>
      </c>
      <c r="M1400" s="116">
        <v>1821.8</v>
      </c>
      <c r="N1400" s="116">
        <v>1832</v>
      </c>
      <c r="O1400" s="116">
        <v>1810</v>
      </c>
      <c r="P1400" s="116">
        <v>1815</v>
      </c>
      <c r="Q1400" s="116">
        <v>1821.8</v>
      </c>
      <c r="R1400">
        <v>212638</v>
      </c>
    </row>
    <row r="1401" spans="1:18" x14ac:dyDescent="0.25">
      <c r="A1401" s="170">
        <v>45537</v>
      </c>
      <c r="B1401" s="116">
        <v>1939.25</v>
      </c>
      <c r="C1401" s="116">
        <v>1919.05</v>
      </c>
      <c r="D1401" s="116">
        <v>1891.35</v>
      </c>
      <c r="E1401" s="116">
        <v>1891.35</v>
      </c>
      <c r="F1401" s="116">
        <v>1919.05</v>
      </c>
      <c r="G1401">
        <v>11831</v>
      </c>
      <c r="H1401" s="116"/>
      <c r="I1401" s="116"/>
      <c r="L1401" s="170">
        <v>45532</v>
      </c>
      <c r="M1401" s="116">
        <v>1824.3</v>
      </c>
      <c r="N1401" s="116">
        <v>1837.85</v>
      </c>
      <c r="O1401" s="116">
        <v>1810.4</v>
      </c>
      <c r="P1401" s="116">
        <v>1813.4</v>
      </c>
      <c r="Q1401" s="116">
        <v>1824.3</v>
      </c>
      <c r="R1401">
        <v>487809</v>
      </c>
    </row>
    <row r="1402" spans="1:18" x14ac:dyDescent="0.25">
      <c r="A1402" s="170">
        <v>45538</v>
      </c>
      <c r="B1402" s="116">
        <v>1926.5</v>
      </c>
      <c r="C1402" s="116">
        <v>1913.85</v>
      </c>
      <c r="D1402" s="116">
        <v>1904.8</v>
      </c>
      <c r="E1402" s="116">
        <v>1925.4</v>
      </c>
      <c r="F1402" s="116">
        <v>1913.85</v>
      </c>
      <c r="G1402">
        <v>3432</v>
      </c>
      <c r="H1402" s="116"/>
      <c r="I1402" s="116"/>
      <c r="L1402" s="170">
        <v>45533</v>
      </c>
      <c r="M1402" s="116">
        <v>1845.65</v>
      </c>
      <c r="N1402" s="116">
        <v>1856.9</v>
      </c>
      <c r="O1402" s="116">
        <v>1820</v>
      </c>
      <c r="P1402" s="116">
        <v>1824.6</v>
      </c>
      <c r="Q1402" s="116">
        <v>1845.65</v>
      </c>
      <c r="R1402">
        <v>1490060</v>
      </c>
    </row>
    <row r="1403" spans="1:18" x14ac:dyDescent="0.25">
      <c r="A1403" s="170">
        <v>45539</v>
      </c>
      <c r="B1403" s="116">
        <v>1932</v>
      </c>
      <c r="C1403" s="116">
        <v>1927.05</v>
      </c>
      <c r="D1403" s="116">
        <v>1899.6</v>
      </c>
      <c r="E1403" s="116">
        <v>1904.35</v>
      </c>
      <c r="F1403" s="116">
        <v>1927.05</v>
      </c>
      <c r="G1403">
        <v>6683</v>
      </c>
      <c r="H1403" s="116"/>
      <c r="I1403" s="116"/>
      <c r="L1403" s="170">
        <v>45534</v>
      </c>
      <c r="M1403" s="116">
        <v>1891.05</v>
      </c>
      <c r="N1403" s="116">
        <v>1894.8</v>
      </c>
      <c r="O1403" s="116">
        <v>1855.15</v>
      </c>
      <c r="P1403" s="116">
        <v>1860</v>
      </c>
      <c r="Q1403" s="116">
        <v>1891.05</v>
      </c>
      <c r="R1403">
        <v>391676</v>
      </c>
    </row>
    <row r="1404" spans="1:18" x14ac:dyDescent="0.25">
      <c r="A1404" s="170">
        <v>45540</v>
      </c>
      <c r="B1404" s="116">
        <v>1944.7</v>
      </c>
      <c r="C1404" s="116">
        <v>1914.15</v>
      </c>
      <c r="D1404" s="116">
        <v>1895.7</v>
      </c>
      <c r="E1404" s="116">
        <v>1928.2</v>
      </c>
      <c r="F1404" s="116">
        <v>1914.15</v>
      </c>
      <c r="G1404">
        <v>26226</v>
      </c>
      <c r="H1404" s="116"/>
      <c r="I1404" s="116"/>
      <c r="L1404" s="170">
        <v>45537</v>
      </c>
      <c r="M1404" s="116">
        <v>1920</v>
      </c>
      <c r="N1404" s="116">
        <v>1940</v>
      </c>
      <c r="O1404" s="116">
        <v>1900</v>
      </c>
      <c r="P1404" s="116">
        <v>1900</v>
      </c>
      <c r="Q1404" s="116">
        <v>1920</v>
      </c>
      <c r="R1404">
        <v>691613</v>
      </c>
    </row>
    <row r="1405" spans="1:18" x14ac:dyDescent="0.25">
      <c r="A1405" s="170">
        <v>45541</v>
      </c>
      <c r="B1405" s="116">
        <v>1919.95</v>
      </c>
      <c r="C1405" s="116">
        <v>1877.45</v>
      </c>
      <c r="D1405" s="116">
        <v>1865.25</v>
      </c>
      <c r="E1405" s="116">
        <v>1919.95</v>
      </c>
      <c r="F1405" s="116">
        <v>1877.45</v>
      </c>
      <c r="G1405">
        <v>11795</v>
      </c>
      <c r="H1405" s="116"/>
      <c r="I1405" s="116"/>
      <c r="L1405" s="170">
        <v>45538</v>
      </c>
      <c r="M1405" s="116">
        <v>1915.5</v>
      </c>
      <c r="N1405" s="116">
        <v>1930</v>
      </c>
      <c r="O1405" s="116">
        <v>1904</v>
      </c>
      <c r="P1405" s="116">
        <v>1924.75</v>
      </c>
      <c r="Q1405" s="116">
        <v>1915.5</v>
      </c>
      <c r="R1405">
        <v>220625</v>
      </c>
    </row>
    <row r="1406" spans="1:18" x14ac:dyDescent="0.25">
      <c r="A1406" s="170">
        <v>45544</v>
      </c>
      <c r="B1406" s="116">
        <v>1879.2</v>
      </c>
      <c r="C1406" s="116">
        <v>1873.85</v>
      </c>
      <c r="D1406" s="116">
        <v>1833</v>
      </c>
      <c r="E1406" s="116">
        <v>1845</v>
      </c>
      <c r="F1406" s="116">
        <v>1873.85</v>
      </c>
      <c r="G1406">
        <v>5164</v>
      </c>
      <c r="H1406" s="116"/>
      <c r="I1406" s="116"/>
      <c r="L1406" s="170">
        <v>45539</v>
      </c>
      <c r="M1406" s="116">
        <v>1926.6</v>
      </c>
      <c r="N1406" s="116">
        <v>1935</v>
      </c>
      <c r="O1406" s="116">
        <v>1895.5</v>
      </c>
      <c r="P1406" s="116">
        <v>1907.4</v>
      </c>
      <c r="Q1406" s="116">
        <v>1926.6</v>
      </c>
      <c r="R1406">
        <v>330319</v>
      </c>
    </row>
    <row r="1407" spans="1:18" x14ac:dyDescent="0.25">
      <c r="A1407" s="170">
        <v>45545</v>
      </c>
      <c r="B1407" s="116">
        <v>1910.8</v>
      </c>
      <c r="C1407" s="116">
        <v>1888.65</v>
      </c>
      <c r="D1407" s="116">
        <v>1880</v>
      </c>
      <c r="E1407" s="116">
        <v>1880.05</v>
      </c>
      <c r="F1407" s="116">
        <v>1888.65</v>
      </c>
      <c r="G1407">
        <v>4116</v>
      </c>
      <c r="H1407" s="116"/>
      <c r="I1407" s="116"/>
      <c r="L1407" s="170">
        <v>45540</v>
      </c>
      <c r="M1407" s="116">
        <v>1913.75</v>
      </c>
      <c r="N1407" s="116">
        <v>1945.85</v>
      </c>
      <c r="O1407" s="116">
        <v>1896.05</v>
      </c>
      <c r="P1407" s="116">
        <v>1927</v>
      </c>
      <c r="Q1407" s="116">
        <v>1913.75</v>
      </c>
      <c r="R1407">
        <v>208254</v>
      </c>
    </row>
    <row r="1408" spans="1:18" x14ac:dyDescent="0.25">
      <c r="A1408" s="170">
        <v>45546</v>
      </c>
      <c r="B1408" s="116">
        <v>1902.75</v>
      </c>
      <c r="C1408" s="116">
        <v>1898.2</v>
      </c>
      <c r="D1408" s="116">
        <v>1874.05</v>
      </c>
      <c r="E1408" s="116">
        <v>1878.15</v>
      </c>
      <c r="F1408" s="116">
        <v>1898.2</v>
      </c>
      <c r="G1408">
        <v>4463</v>
      </c>
      <c r="H1408" s="116"/>
      <c r="I1408" s="116"/>
      <c r="L1408" s="170">
        <v>45541</v>
      </c>
      <c r="M1408" s="116">
        <v>1876.25</v>
      </c>
      <c r="N1408" s="116">
        <v>1922.75</v>
      </c>
      <c r="O1408" s="116">
        <v>1865</v>
      </c>
      <c r="P1408" s="116">
        <v>1919.95</v>
      </c>
      <c r="Q1408" s="116">
        <v>1876.25</v>
      </c>
      <c r="R1408">
        <v>231518</v>
      </c>
    </row>
    <row r="1409" spans="1:18" x14ac:dyDescent="0.25">
      <c r="A1409" s="170">
        <v>45547</v>
      </c>
      <c r="B1409" s="116">
        <v>1905</v>
      </c>
      <c r="C1409" s="116">
        <v>1887.85</v>
      </c>
      <c r="D1409" s="116">
        <v>1876</v>
      </c>
      <c r="E1409" s="116">
        <v>1901.3</v>
      </c>
      <c r="F1409" s="116">
        <v>1887.85</v>
      </c>
      <c r="G1409">
        <v>2119</v>
      </c>
      <c r="H1409" s="116"/>
      <c r="I1409" s="116"/>
      <c r="L1409" s="170">
        <v>45544</v>
      </c>
      <c r="M1409" s="116">
        <v>1875.65</v>
      </c>
      <c r="N1409" s="116">
        <v>1884.95</v>
      </c>
      <c r="O1409" s="116">
        <v>1833.1</v>
      </c>
      <c r="P1409" s="116">
        <v>1860</v>
      </c>
      <c r="Q1409" s="116">
        <v>1875.65</v>
      </c>
      <c r="R1409">
        <v>200041</v>
      </c>
    </row>
    <row r="1410" spans="1:18" x14ac:dyDescent="0.25">
      <c r="A1410" s="170">
        <v>45548</v>
      </c>
      <c r="B1410" s="116">
        <v>1911</v>
      </c>
      <c r="C1410" s="116">
        <v>1901.55</v>
      </c>
      <c r="D1410" s="116">
        <v>1882.55</v>
      </c>
      <c r="E1410" s="116">
        <v>1886</v>
      </c>
      <c r="F1410" s="116">
        <v>1901.55</v>
      </c>
      <c r="G1410">
        <v>5607</v>
      </c>
      <c r="H1410" s="116"/>
      <c r="I1410" s="116"/>
      <c r="L1410" s="170">
        <v>45545</v>
      </c>
      <c r="M1410" s="116">
        <v>1887.4</v>
      </c>
      <c r="N1410" s="116">
        <v>1912.45</v>
      </c>
      <c r="O1410" s="116">
        <v>1879.75</v>
      </c>
      <c r="P1410" s="116">
        <v>1887.35</v>
      </c>
      <c r="Q1410" s="116">
        <v>1887.4</v>
      </c>
      <c r="R1410">
        <v>227024</v>
      </c>
    </row>
    <row r="1411" spans="1:18" x14ac:dyDescent="0.25">
      <c r="A1411" s="170">
        <v>45551</v>
      </c>
      <c r="B1411" s="116">
        <v>1928.95</v>
      </c>
      <c r="C1411" s="116">
        <v>1856.9</v>
      </c>
      <c r="D1411" s="116">
        <v>1852</v>
      </c>
      <c r="E1411" s="116">
        <v>1928.95</v>
      </c>
      <c r="F1411" s="116">
        <v>1856.9</v>
      </c>
      <c r="G1411">
        <v>2988</v>
      </c>
      <c r="H1411" s="116"/>
      <c r="I1411" s="116"/>
      <c r="L1411" s="170">
        <v>45546</v>
      </c>
      <c r="M1411" s="116">
        <v>1898.85</v>
      </c>
      <c r="N1411" s="116">
        <v>1905</v>
      </c>
      <c r="O1411" s="116">
        <v>1875.05</v>
      </c>
      <c r="P1411" s="116">
        <v>1887.4</v>
      </c>
      <c r="Q1411" s="116">
        <v>1898.85</v>
      </c>
      <c r="R1411">
        <v>279809</v>
      </c>
    </row>
    <row r="1412" spans="1:18" x14ac:dyDescent="0.25">
      <c r="A1412" s="170">
        <v>45552</v>
      </c>
      <c r="B1412" s="116">
        <v>1858.95</v>
      </c>
      <c r="C1412" s="116">
        <v>1822.4</v>
      </c>
      <c r="D1412" s="116">
        <v>1820</v>
      </c>
      <c r="E1412" s="116">
        <v>1841.05</v>
      </c>
      <c r="F1412" s="116">
        <v>1822.4</v>
      </c>
      <c r="G1412">
        <v>6968</v>
      </c>
      <c r="H1412" s="116"/>
      <c r="I1412" s="116"/>
      <c r="L1412" s="170">
        <v>45547</v>
      </c>
      <c r="M1412" s="116">
        <v>1887.35</v>
      </c>
      <c r="N1412" s="116">
        <v>1905</v>
      </c>
      <c r="O1412" s="116">
        <v>1875.05</v>
      </c>
      <c r="P1412" s="116">
        <v>1905</v>
      </c>
      <c r="Q1412" s="116">
        <v>1887.35</v>
      </c>
      <c r="R1412">
        <v>108319</v>
      </c>
    </row>
    <row r="1413" spans="1:18" x14ac:dyDescent="0.25">
      <c r="A1413" s="170">
        <v>45553</v>
      </c>
      <c r="B1413" s="116">
        <v>1860</v>
      </c>
      <c r="C1413" s="116">
        <v>1833.2</v>
      </c>
      <c r="D1413" s="116">
        <v>1814.1</v>
      </c>
      <c r="E1413" s="116">
        <v>1826</v>
      </c>
      <c r="F1413" s="116">
        <v>1833.2</v>
      </c>
      <c r="G1413">
        <v>6948</v>
      </c>
      <c r="H1413" s="116"/>
      <c r="I1413" s="116"/>
      <c r="L1413" s="170">
        <v>45548</v>
      </c>
      <c r="M1413" s="116">
        <v>1902.1</v>
      </c>
      <c r="N1413" s="116">
        <v>1913.15</v>
      </c>
      <c r="O1413" s="116">
        <v>1882.1</v>
      </c>
      <c r="P1413" s="116">
        <v>1887.35</v>
      </c>
      <c r="Q1413" s="116">
        <v>1902.1</v>
      </c>
      <c r="R1413">
        <v>117478</v>
      </c>
    </row>
    <row r="1414" spans="1:18" x14ac:dyDescent="0.25">
      <c r="A1414" s="170">
        <v>45554</v>
      </c>
      <c r="B1414" s="116">
        <v>1840.05</v>
      </c>
      <c r="C1414" s="116">
        <v>1823.7</v>
      </c>
      <c r="D1414" s="116">
        <v>1795</v>
      </c>
      <c r="E1414" s="116">
        <v>1833</v>
      </c>
      <c r="F1414" s="116">
        <v>1823.7</v>
      </c>
      <c r="G1414">
        <v>2874</v>
      </c>
      <c r="H1414" s="116"/>
      <c r="I1414" s="116"/>
      <c r="L1414" s="170">
        <v>45551</v>
      </c>
      <c r="M1414" s="116">
        <v>1856.55</v>
      </c>
      <c r="N1414" s="116">
        <v>1917.4</v>
      </c>
      <c r="O1414" s="116">
        <v>1851.6</v>
      </c>
      <c r="P1414" s="116">
        <v>1913.3</v>
      </c>
      <c r="Q1414" s="116">
        <v>1856.55</v>
      </c>
      <c r="R1414">
        <v>141288</v>
      </c>
    </row>
    <row r="1415" spans="1:18" x14ac:dyDescent="0.25">
      <c r="A1415" s="170">
        <v>45555</v>
      </c>
      <c r="B1415" s="116">
        <v>1851.4</v>
      </c>
      <c r="C1415" s="116">
        <v>1835.55</v>
      </c>
      <c r="D1415" s="116">
        <v>1819.05</v>
      </c>
      <c r="E1415" s="116">
        <v>1828.85</v>
      </c>
      <c r="F1415" s="116">
        <v>1835.55</v>
      </c>
      <c r="G1415">
        <v>5793</v>
      </c>
      <c r="H1415" s="116"/>
      <c r="I1415" s="116"/>
      <c r="L1415" s="170">
        <v>45552</v>
      </c>
      <c r="M1415" s="116">
        <v>1822</v>
      </c>
      <c r="N1415" s="116">
        <v>1861.1</v>
      </c>
      <c r="O1415" s="116">
        <v>1818.55</v>
      </c>
      <c r="P1415" s="116">
        <v>1858.95</v>
      </c>
      <c r="Q1415" s="116">
        <v>1822</v>
      </c>
      <c r="R1415">
        <v>159454</v>
      </c>
    </row>
    <row r="1416" spans="1:18" x14ac:dyDescent="0.25">
      <c r="A1416" s="170">
        <v>45558</v>
      </c>
      <c r="B1416" s="116">
        <v>1905.7</v>
      </c>
      <c r="C1416" s="116">
        <v>1901.15</v>
      </c>
      <c r="D1416" s="116">
        <v>1837.55</v>
      </c>
      <c r="E1416" s="116">
        <v>1845.45</v>
      </c>
      <c r="F1416" s="116">
        <v>1901.15</v>
      </c>
      <c r="G1416">
        <v>6296</v>
      </c>
      <c r="H1416" s="116"/>
      <c r="I1416" s="116"/>
      <c r="L1416" s="170">
        <v>45553</v>
      </c>
      <c r="M1416" s="116">
        <v>1834.45</v>
      </c>
      <c r="N1416" s="116">
        <v>1861.35</v>
      </c>
      <c r="O1416" s="116">
        <v>1812.6</v>
      </c>
      <c r="P1416" s="116">
        <v>1822</v>
      </c>
      <c r="Q1416" s="116">
        <v>1834.45</v>
      </c>
      <c r="R1416">
        <v>300065</v>
      </c>
    </row>
    <row r="1417" spans="1:18" x14ac:dyDescent="0.25">
      <c r="A1417" s="170">
        <v>45559</v>
      </c>
      <c r="B1417" s="116">
        <v>1934</v>
      </c>
      <c r="C1417" s="116">
        <v>1928.65</v>
      </c>
      <c r="D1417" s="116">
        <v>1895.2</v>
      </c>
      <c r="E1417" s="116">
        <v>1907.95</v>
      </c>
      <c r="F1417" s="116">
        <v>1928.65</v>
      </c>
      <c r="G1417">
        <v>18347</v>
      </c>
      <c r="H1417" s="116"/>
      <c r="I1417" s="116"/>
      <c r="L1417" s="170">
        <v>45554</v>
      </c>
      <c r="M1417" s="116">
        <v>1822.25</v>
      </c>
      <c r="N1417" s="116">
        <v>1844.25</v>
      </c>
      <c r="O1417" s="116">
        <v>1794.25</v>
      </c>
      <c r="P1417" s="116">
        <v>1839.95</v>
      </c>
      <c r="Q1417" s="116">
        <v>1822.25</v>
      </c>
      <c r="R1417">
        <v>265606</v>
      </c>
    </row>
    <row r="1418" spans="1:18" x14ac:dyDescent="0.25">
      <c r="A1418" s="170">
        <v>45560</v>
      </c>
      <c r="B1418" s="116">
        <v>1937.7</v>
      </c>
      <c r="C1418" s="116">
        <v>1911.75</v>
      </c>
      <c r="D1418" s="116">
        <v>1903.8</v>
      </c>
      <c r="E1418" s="116">
        <v>1924.45</v>
      </c>
      <c r="F1418" s="116">
        <v>1911.75</v>
      </c>
      <c r="G1418">
        <v>6234</v>
      </c>
      <c r="H1418" s="116"/>
      <c r="I1418" s="116"/>
      <c r="L1418" s="170">
        <v>45555</v>
      </c>
      <c r="M1418" s="116">
        <v>1835.9</v>
      </c>
      <c r="N1418" s="116">
        <v>1853.45</v>
      </c>
      <c r="O1418" s="116">
        <v>1819.8</v>
      </c>
      <c r="P1418" s="116">
        <v>1829</v>
      </c>
      <c r="Q1418" s="116">
        <v>1835.9</v>
      </c>
      <c r="R1418">
        <v>478981</v>
      </c>
    </row>
    <row r="1419" spans="1:18" x14ac:dyDescent="0.25">
      <c r="A1419" s="170">
        <v>45561</v>
      </c>
      <c r="B1419" s="116">
        <v>1924.9</v>
      </c>
      <c r="C1419" s="116">
        <v>1914.85</v>
      </c>
      <c r="D1419" s="116">
        <v>1903.75</v>
      </c>
      <c r="E1419" s="116">
        <v>1913.65</v>
      </c>
      <c r="F1419" s="116">
        <v>1914.85</v>
      </c>
      <c r="G1419">
        <v>8968</v>
      </c>
      <c r="H1419" s="116"/>
      <c r="I1419" s="116"/>
      <c r="L1419" s="170">
        <v>45558</v>
      </c>
      <c r="M1419" s="116">
        <v>1900.1</v>
      </c>
      <c r="N1419" s="116">
        <v>1905</v>
      </c>
      <c r="O1419" s="116">
        <v>1837.15</v>
      </c>
      <c r="P1419" s="116">
        <v>1840</v>
      </c>
      <c r="Q1419" s="116">
        <v>1900.1</v>
      </c>
      <c r="R1419">
        <v>365788</v>
      </c>
    </row>
    <row r="1420" spans="1:18" x14ac:dyDescent="0.25">
      <c r="A1420" s="170">
        <v>45562</v>
      </c>
      <c r="B1420" s="116">
        <v>1981.7</v>
      </c>
      <c r="C1420" s="116">
        <v>1892.7</v>
      </c>
      <c r="D1420" s="116">
        <v>1889</v>
      </c>
      <c r="E1420" s="116">
        <v>1930</v>
      </c>
      <c r="F1420" s="116">
        <v>1892.7</v>
      </c>
      <c r="G1420">
        <v>20773</v>
      </c>
      <c r="H1420" s="116"/>
      <c r="I1420" s="116"/>
      <c r="L1420" s="170">
        <v>45559</v>
      </c>
      <c r="M1420" s="116">
        <v>1929.7</v>
      </c>
      <c r="N1420" s="116">
        <v>1933.85</v>
      </c>
      <c r="O1420" s="116">
        <v>1895.25</v>
      </c>
      <c r="P1420" s="116">
        <v>1905.05</v>
      </c>
      <c r="Q1420" s="116">
        <v>1929.7</v>
      </c>
      <c r="R1420">
        <v>523938</v>
      </c>
    </row>
    <row r="1421" spans="1:18" x14ac:dyDescent="0.25">
      <c r="A1421" s="170">
        <v>45565</v>
      </c>
      <c r="B1421" s="116">
        <v>1952.9</v>
      </c>
      <c r="C1421" s="116">
        <v>1933.4</v>
      </c>
      <c r="D1421" s="116">
        <v>1890.9</v>
      </c>
      <c r="E1421" s="116">
        <v>1916.6</v>
      </c>
      <c r="F1421" s="116">
        <v>1933.4</v>
      </c>
      <c r="G1421">
        <v>5313</v>
      </c>
      <c r="H1421" s="116"/>
      <c r="I1421" s="116"/>
      <c r="L1421" s="170">
        <v>45560</v>
      </c>
      <c r="M1421" s="116">
        <v>1910.35</v>
      </c>
      <c r="N1421" s="116">
        <v>1938.8</v>
      </c>
      <c r="O1421" s="116">
        <v>1904.5</v>
      </c>
      <c r="P1421" s="116">
        <v>1930</v>
      </c>
      <c r="Q1421" s="116">
        <v>1910.35</v>
      </c>
      <c r="R1421">
        <v>290182</v>
      </c>
    </row>
    <row r="1422" spans="1:18" x14ac:dyDescent="0.25">
      <c r="A1422" s="170">
        <v>45566</v>
      </c>
      <c r="B1422" s="116">
        <v>1969</v>
      </c>
      <c r="C1422" s="116">
        <v>1956.7</v>
      </c>
      <c r="D1422" s="116">
        <v>1928</v>
      </c>
      <c r="E1422" s="116">
        <v>1928</v>
      </c>
      <c r="F1422" s="116">
        <v>1956.7</v>
      </c>
      <c r="G1422">
        <v>16290</v>
      </c>
      <c r="H1422" s="116"/>
      <c r="I1422" s="116"/>
      <c r="L1422" s="170">
        <v>45561</v>
      </c>
      <c r="M1422" s="116">
        <v>1915.75</v>
      </c>
      <c r="N1422" s="116">
        <v>1925</v>
      </c>
      <c r="O1422" s="116">
        <v>1904.5</v>
      </c>
      <c r="P1422" s="116">
        <v>1918.45</v>
      </c>
      <c r="Q1422" s="116">
        <v>1915.75</v>
      </c>
      <c r="R1422">
        <v>215198</v>
      </c>
    </row>
    <row r="1423" spans="1:18" x14ac:dyDescent="0.25">
      <c r="A1423" s="170">
        <v>45568</v>
      </c>
      <c r="B1423" s="116">
        <v>1972.8</v>
      </c>
      <c r="C1423" s="116">
        <v>1949.05</v>
      </c>
      <c r="D1423" s="116">
        <v>1930.75</v>
      </c>
      <c r="E1423" s="116">
        <v>1943.95</v>
      </c>
      <c r="F1423" s="116">
        <v>1949.05</v>
      </c>
      <c r="G1423">
        <v>23172</v>
      </c>
      <c r="H1423" s="116"/>
      <c r="I1423" s="116"/>
      <c r="L1423" s="170">
        <v>45562</v>
      </c>
      <c r="M1423" s="116">
        <v>1894.75</v>
      </c>
      <c r="N1423" s="116">
        <v>1982.95</v>
      </c>
      <c r="O1423" s="116">
        <v>1888.05</v>
      </c>
      <c r="P1423" s="116">
        <v>1934</v>
      </c>
      <c r="Q1423" s="116">
        <v>1894.75</v>
      </c>
      <c r="R1423">
        <v>1532944</v>
      </c>
    </row>
    <row r="1424" spans="1:18" x14ac:dyDescent="0.25">
      <c r="A1424" s="170">
        <v>45569</v>
      </c>
      <c r="B1424" s="116">
        <v>1983.2</v>
      </c>
      <c r="C1424" s="116">
        <v>1937.3</v>
      </c>
      <c r="D1424" s="116">
        <v>1913.3</v>
      </c>
      <c r="E1424" s="116">
        <v>1955.05</v>
      </c>
      <c r="F1424" s="116">
        <v>1937.3</v>
      </c>
      <c r="G1424">
        <v>8590</v>
      </c>
      <c r="H1424" s="116"/>
      <c r="I1424" s="116"/>
      <c r="L1424" s="170">
        <v>45565</v>
      </c>
      <c r="M1424" s="116">
        <v>1933.2</v>
      </c>
      <c r="N1424" s="116">
        <v>1954.4</v>
      </c>
      <c r="O1424" s="116">
        <v>1889.45</v>
      </c>
      <c r="P1424" s="116">
        <v>1904.95</v>
      </c>
      <c r="Q1424" s="116">
        <v>1933.2</v>
      </c>
      <c r="R1424">
        <v>450470</v>
      </c>
    </row>
    <row r="1425" spans="1:18" x14ac:dyDescent="0.25">
      <c r="A1425" s="170">
        <v>45572</v>
      </c>
      <c r="B1425" s="116">
        <v>1956.25</v>
      </c>
      <c r="C1425" s="116">
        <v>1851.6</v>
      </c>
      <c r="D1425" s="116">
        <v>1844.1</v>
      </c>
      <c r="E1425" s="116">
        <v>1937.3</v>
      </c>
      <c r="F1425" s="116">
        <v>1851.6</v>
      </c>
      <c r="G1425">
        <v>4680</v>
      </c>
      <c r="H1425" s="116"/>
      <c r="I1425" s="116"/>
      <c r="L1425" s="170">
        <v>45566</v>
      </c>
      <c r="M1425" s="116">
        <v>1956.55</v>
      </c>
      <c r="N1425" s="116">
        <v>1968.45</v>
      </c>
      <c r="O1425" s="116">
        <v>1930</v>
      </c>
      <c r="P1425" s="116">
        <v>1930</v>
      </c>
      <c r="Q1425" s="116">
        <v>1956.55</v>
      </c>
      <c r="R1425">
        <v>436878</v>
      </c>
    </row>
    <row r="1426" spans="1:18" x14ac:dyDescent="0.25">
      <c r="A1426" s="170">
        <v>45573</v>
      </c>
      <c r="B1426" s="116">
        <v>1913.35</v>
      </c>
      <c r="C1426" s="116">
        <v>1884.75</v>
      </c>
      <c r="D1426" s="116">
        <v>1859.85</v>
      </c>
      <c r="E1426" s="116">
        <v>1860</v>
      </c>
      <c r="F1426" s="116">
        <v>1884.75</v>
      </c>
      <c r="G1426">
        <v>2279</v>
      </c>
      <c r="H1426" s="116"/>
      <c r="I1426" s="116"/>
      <c r="L1426" s="170">
        <v>45568</v>
      </c>
      <c r="M1426" s="116">
        <v>1950</v>
      </c>
      <c r="N1426" s="116">
        <v>1973.4</v>
      </c>
      <c r="O1426" s="116">
        <v>1932.1</v>
      </c>
      <c r="P1426" s="116">
        <v>1932.15</v>
      </c>
      <c r="Q1426" s="116">
        <v>1950</v>
      </c>
      <c r="R1426">
        <v>655833</v>
      </c>
    </row>
    <row r="1427" spans="1:18" x14ac:dyDescent="0.25">
      <c r="A1427" s="170">
        <v>45574</v>
      </c>
      <c r="B1427" s="116">
        <v>1900.85</v>
      </c>
      <c r="C1427" s="116">
        <v>1840</v>
      </c>
      <c r="D1427" s="116">
        <v>1832</v>
      </c>
      <c r="E1427" s="116">
        <v>1884.75</v>
      </c>
      <c r="F1427" s="116">
        <v>1840</v>
      </c>
      <c r="G1427">
        <v>8000</v>
      </c>
      <c r="H1427" s="116"/>
      <c r="I1427" s="116"/>
      <c r="L1427" s="170">
        <v>45569</v>
      </c>
      <c r="M1427" s="116">
        <v>1937.5</v>
      </c>
      <c r="N1427" s="116">
        <v>1982</v>
      </c>
      <c r="O1427" s="116">
        <v>1912.55</v>
      </c>
      <c r="P1427" s="116">
        <v>1958</v>
      </c>
      <c r="Q1427" s="116">
        <v>1937.5</v>
      </c>
      <c r="R1427">
        <v>409736</v>
      </c>
    </row>
    <row r="1428" spans="1:18" x14ac:dyDescent="0.25">
      <c r="A1428" s="170">
        <v>45575</v>
      </c>
      <c r="B1428" s="116">
        <v>1863.85</v>
      </c>
      <c r="C1428" s="116">
        <v>1848.55</v>
      </c>
      <c r="D1428" s="116">
        <v>1837.7</v>
      </c>
      <c r="E1428" s="116">
        <v>1850</v>
      </c>
      <c r="F1428" s="116">
        <v>1848.55</v>
      </c>
      <c r="G1428">
        <v>1660</v>
      </c>
      <c r="H1428" s="116"/>
      <c r="I1428" s="116"/>
      <c r="L1428" s="170">
        <v>45572</v>
      </c>
      <c r="M1428" s="116">
        <v>1853.7</v>
      </c>
      <c r="N1428" s="116">
        <v>1955.35</v>
      </c>
      <c r="O1428" s="116">
        <v>1843.55</v>
      </c>
      <c r="P1428" s="116">
        <v>1939</v>
      </c>
      <c r="Q1428" s="116">
        <v>1853.7</v>
      </c>
      <c r="R1428">
        <v>196588</v>
      </c>
    </row>
    <row r="1429" spans="1:18" x14ac:dyDescent="0.25">
      <c r="A1429" s="170">
        <v>45576</v>
      </c>
      <c r="B1429" s="116">
        <v>1879</v>
      </c>
      <c r="C1429" s="116">
        <v>1872.45</v>
      </c>
      <c r="D1429" s="116">
        <v>1827.15</v>
      </c>
      <c r="E1429" s="116">
        <v>1848.7</v>
      </c>
      <c r="F1429" s="116">
        <v>1872.45</v>
      </c>
      <c r="G1429">
        <v>8662</v>
      </c>
      <c r="H1429" s="116"/>
      <c r="I1429" s="116"/>
      <c r="L1429" s="170">
        <v>45573</v>
      </c>
      <c r="M1429" s="116">
        <v>1879.95</v>
      </c>
      <c r="N1429" s="116">
        <v>1914.5</v>
      </c>
      <c r="O1429" s="116">
        <v>1853.75</v>
      </c>
      <c r="P1429" s="116">
        <v>1862</v>
      </c>
      <c r="Q1429" s="116">
        <v>1879.95</v>
      </c>
      <c r="R1429">
        <v>134972</v>
      </c>
    </row>
    <row r="1430" spans="1:18" x14ac:dyDescent="0.25">
      <c r="A1430" s="170">
        <v>45579</v>
      </c>
      <c r="B1430" s="116">
        <v>1917.5</v>
      </c>
      <c r="C1430" s="116">
        <v>1886.8</v>
      </c>
      <c r="D1430" s="116">
        <v>1869.95</v>
      </c>
      <c r="E1430" s="116">
        <v>1886.65</v>
      </c>
      <c r="F1430" s="116">
        <v>1886.8</v>
      </c>
      <c r="G1430">
        <v>4076</v>
      </c>
      <c r="H1430" s="116"/>
      <c r="I1430" s="116"/>
      <c r="L1430" s="170">
        <v>45574</v>
      </c>
      <c r="M1430" s="116">
        <v>1840.75</v>
      </c>
      <c r="N1430" s="116">
        <v>1900</v>
      </c>
      <c r="O1430" s="116">
        <v>1831.25</v>
      </c>
      <c r="P1430" s="116">
        <v>1887.95</v>
      </c>
      <c r="Q1430" s="116">
        <v>1840.75</v>
      </c>
      <c r="R1430">
        <v>280596</v>
      </c>
    </row>
    <row r="1431" spans="1:18" x14ac:dyDescent="0.25">
      <c r="A1431" s="170">
        <v>45580</v>
      </c>
      <c r="B1431" s="116">
        <v>1892.6</v>
      </c>
      <c r="C1431" s="116">
        <v>1881.05</v>
      </c>
      <c r="D1431" s="116">
        <v>1854.75</v>
      </c>
      <c r="E1431" s="116">
        <v>1890</v>
      </c>
      <c r="F1431" s="116">
        <v>1881.05</v>
      </c>
      <c r="G1431">
        <v>2080</v>
      </c>
      <c r="H1431" s="116"/>
      <c r="I1431" s="116"/>
      <c r="L1431" s="170">
        <v>45575</v>
      </c>
      <c r="M1431" s="116">
        <v>1848.35</v>
      </c>
      <c r="N1431" s="116">
        <v>1864.95</v>
      </c>
      <c r="O1431" s="116">
        <v>1835.05</v>
      </c>
      <c r="P1431" s="116">
        <v>1840.75</v>
      </c>
      <c r="Q1431" s="116">
        <v>1848.35</v>
      </c>
      <c r="R1431">
        <v>145167</v>
      </c>
    </row>
    <row r="1432" spans="1:18" x14ac:dyDescent="0.25">
      <c r="A1432" s="170">
        <v>45581</v>
      </c>
      <c r="B1432" s="116">
        <v>1890.35</v>
      </c>
      <c r="C1432" s="116">
        <v>1864.55</v>
      </c>
      <c r="D1432" s="116">
        <v>1849.95</v>
      </c>
      <c r="E1432" s="116">
        <v>1885</v>
      </c>
      <c r="F1432" s="116">
        <v>1864.55</v>
      </c>
      <c r="G1432">
        <v>1041</v>
      </c>
      <c r="H1432" s="116"/>
      <c r="I1432" s="116"/>
      <c r="L1432" s="170">
        <v>45576</v>
      </c>
      <c r="M1432" s="116">
        <v>1872.95</v>
      </c>
      <c r="N1432" s="116">
        <v>1879.05</v>
      </c>
      <c r="O1432" s="116">
        <v>1827.25</v>
      </c>
      <c r="P1432" s="116">
        <v>1849</v>
      </c>
      <c r="Q1432" s="116">
        <v>1872.95</v>
      </c>
      <c r="R1432">
        <v>166336</v>
      </c>
    </row>
    <row r="1433" spans="1:18" x14ac:dyDescent="0.25">
      <c r="A1433" s="170">
        <v>45582</v>
      </c>
      <c r="B1433" s="116">
        <v>1868</v>
      </c>
      <c r="C1433" s="116">
        <v>1835.35</v>
      </c>
      <c r="D1433" s="116">
        <v>1824.1</v>
      </c>
      <c r="E1433" s="116">
        <v>1868</v>
      </c>
      <c r="F1433" s="116">
        <v>1835.35</v>
      </c>
      <c r="G1433">
        <v>1628</v>
      </c>
      <c r="H1433" s="116"/>
      <c r="I1433" s="116"/>
      <c r="L1433" s="170">
        <v>45579</v>
      </c>
      <c r="M1433" s="116">
        <v>1889.3</v>
      </c>
      <c r="N1433" s="116">
        <v>1918.4</v>
      </c>
      <c r="O1433" s="116">
        <v>1869.4</v>
      </c>
      <c r="P1433" s="116">
        <v>1881</v>
      </c>
      <c r="Q1433" s="116">
        <v>1889.3</v>
      </c>
      <c r="R1433">
        <v>188989</v>
      </c>
    </row>
    <row r="1434" spans="1:18" x14ac:dyDescent="0.25">
      <c r="A1434" s="170">
        <v>45583</v>
      </c>
      <c r="B1434" s="116">
        <v>1859.4</v>
      </c>
      <c r="C1434" s="116">
        <v>1850.35</v>
      </c>
      <c r="D1434" s="116">
        <v>1813.25</v>
      </c>
      <c r="E1434" s="116">
        <v>1845.5</v>
      </c>
      <c r="F1434" s="116">
        <v>1850.35</v>
      </c>
      <c r="G1434">
        <v>3792</v>
      </c>
      <c r="H1434" s="116"/>
      <c r="I1434" s="116"/>
      <c r="L1434" s="170">
        <v>45580</v>
      </c>
      <c r="M1434" s="116">
        <v>1885.95</v>
      </c>
      <c r="N1434" s="116">
        <v>1898</v>
      </c>
      <c r="O1434" s="116">
        <v>1853.7</v>
      </c>
      <c r="P1434" s="116">
        <v>1898</v>
      </c>
      <c r="Q1434" s="116">
        <v>1885.95</v>
      </c>
      <c r="R1434">
        <v>104971</v>
      </c>
    </row>
    <row r="1435" spans="1:18" x14ac:dyDescent="0.25">
      <c r="A1435" s="170">
        <v>45586</v>
      </c>
      <c r="B1435" s="116">
        <v>1854.9</v>
      </c>
      <c r="C1435" s="116">
        <v>1834.25</v>
      </c>
      <c r="D1435" s="116">
        <v>1763</v>
      </c>
      <c r="E1435" s="116">
        <v>1764.05</v>
      </c>
      <c r="F1435" s="116">
        <v>1834.25</v>
      </c>
      <c r="G1435">
        <v>17231</v>
      </c>
      <c r="H1435" s="116"/>
      <c r="I1435" s="116"/>
      <c r="L1435" s="170">
        <v>45581</v>
      </c>
      <c r="M1435" s="116">
        <v>1867.25</v>
      </c>
      <c r="N1435" s="116">
        <v>1892.45</v>
      </c>
      <c r="O1435" s="116">
        <v>1848.45</v>
      </c>
      <c r="P1435" s="116">
        <v>1879.9</v>
      </c>
      <c r="Q1435" s="116">
        <v>1867.25</v>
      </c>
      <c r="R1435">
        <v>88911</v>
      </c>
    </row>
    <row r="1436" spans="1:18" x14ac:dyDescent="0.25">
      <c r="A1436" s="170">
        <v>45587</v>
      </c>
      <c r="B1436" s="116">
        <v>1834.25</v>
      </c>
      <c r="C1436" s="116">
        <v>1801.9</v>
      </c>
      <c r="D1436" s="116">
        <v>1793.05</v>
      </c>
      <c r="E1436" s="116">
        <v>1834.25</v>
      </c>
      <c r="F1436" s="116">
        <v>1801.9</v>
      </c>
      <c r="G1436">
        <v>7177</v>
      </c>
      <c r="H1436" s="116"/>
      <c r="I1436" s="116"/>
      <c r="L1436" s="170">
        <v>45582</v>
      </c>
      <c r="M1436" s="116">
        <v>1835</v>
      </c>
      <c r="N1436" s="116">
        <v>1869</v>
      </c>
      <c r="O1436" s="116">
        <v>1822.85</v>
      </c>
      <c r="P1436" s="116">
        <v>1867.25</v>
      </c>
      <c r="Q1436" s="116">
        <v>1835</v>
      </c>
      <c r="R1436">
        <v>133432</v>
      </c>
    </row>
    <row r="1437" spans="1:18" x14ac:dyDescent="0.25">
      <c r="A1437" s="170">
        <v>45588</v>
      </c>
      <c r="B1437" s="116">
        <v>1827.5</v>
      </c>
      <c r="C1437" s="116">
        <v>1761.3</v>
      </c>
      <c r="D1437" s="116">
        <v>1758.7</v>
      </c>
      <c r="E1437" s="116">
        <v>1795</v>
      </c>
      <c r="F1437" s="116">
        <v>1761.3</v>
      </c>
      <c r="G1437">
        <v>2830</v>
      </c>
      <c r="H1437" s="116"/>
      <c r="I1437" s="116"/>
      <c r="L1437" s="170">
        <v>45583</v>
      </c>
      <c r="M1437" s="116">
        <v>1852.15</v>
      </c>
      <c r="N1437" s="116">
        <v>1859.8</v>
      </c>
      <c r="O1437" s="116">
        <v>1815</v>
      </c>
      <c r="P1437" s="116">
        <v>1838.75</v>
      </c>
      <c r="Q1437" s="116">
        <v>1852.15</v>
      </c>
      <c r="R1437">
        <v>101253</v>
      </c>
    </row>
    <row r="1438" spans="1:18" x14ac:dyDescent="0.25">
      <c r="A1438" s="170">
        <v>45589</v>
      </c>
      <c r="B1438" s="116">
        <v>1833.3</v>
      </c>
      <c r="C1438" s="116">
        <v>1810.95</v>
      </c>
      <c r="D1438" s="116">
        <v>1754.8</v>
      </c>
      <c r="E1438" s="116">
        <v>1773.5</v>
      </c>
      <c r="F1438" s="116">
        <v>1810.95</v>
      </c>
      <c r="G1438">
        <v>9602</v>
      </c>
      <c r="H1438" s="116"/>
      <c r="I1438" s="116"/>
      <c r="L1438" s="170">
        <v>45586</v>
      </c>
      <c r="M1438" s="116">
        <v>1830.8</v>
      </c>
      <c r="N1438" s="116">
        <v>1856</v>
      </c>
      <c r="O1438" s="116">
        <v>1760.8</v>
      </c>
      <c r="P1438" s="116">
        <v>1782.1</v>
      </c>
      <c r="Q1438" s="116">
        <v>1830.8</v>
      </c>
      <c r="R1438">
        <v>1093603</v>
      </c>
    </row>
    <row r="1439" spans="1:18" x14ac:dyDescent="0.25">
      <c r="A1439" s="170">
        <v>45590</v>
      </c>
      <c r="B1439" s="116">
        <v>1804.9</v>
      </c>
      <c r="C1439" s="116">
        <v>1771.7</v>
      </c>
      <c r="D1439" s="116">
        <v>1764.15</v>
      </c>
      <c r="E1439" s="116">
        <v>1775.65</v>
      </c>
      <c r="F1439" s="116">
        <v>1771.7</v>
      </c>
      <c r="G1439">
        <v>3123</v>
      </c>
      <c r="H1439" s="116"/>
      <c r="I1439" s="116"/>
      <c r="L1439" s="170">
        <v>45587</v>
      </c>
      <c r="M1439" s="116">
        <v>1804.45</v>
      </c>
      <c r="N1439" s="116">
        <v>1837.35</v>
      </c>
      <c r="O1439" s="116">
        <v>1792.35</v>
      </c>
      <c r="P1439" s="116">
        <v>1815.2</v>
      </c>
      <c r="Q1439" s="116">
        <v>1804.45</v>
      </c>
      <c r="R1439">
        <v>791489</v>
      </c>
    </row>
    <row r="1440" spans="1:18" x14ac:dyDescent="0.25">
      <c r="A1440" s="170">
        <v>45593</v>
      </c>
      <c r="B1440" s="116">
        <v>1816.85</v>
      </c>
      <c r="C1440" s="116">
        <v>1795.8</v>
      </c>
      <c r="D1440" s="116">
        <v>1740</v>
      </c>
      <c r="E1440" s="116">
        <v>1740</v>
      </c>
      <c r="F1440" s="116">
        <v>1795.8</v>
      </c>
      <c r="G1440">
        <v>3587</v>
      </c>
      <c r="H1440" s="116"/>
      <c r="I1440" s="116"/>
      <c r="L1440" s="170">
        <v>45588</v>
      </c>
      <c r="M1440" s="116">
        <v>1760.85</v>
      </c>
      <c r="N1440" s="116">
        <v>1829.9</v>
      </c>
      <c r="O1440" s="116">
        <v>1757</v>
      </c>
      <c r="P1440" s="116">
        <v>1807</v>
      </c>
      <c r="Q1440" s="116">
        <v>1760.85</v>
      </c>
      <c r="R1440">
        <v>266266</v>
      </c>
    </row>
    <row r="1441" spans="1:18" x14ac:dyDescent="0.25">
      <c r="A1441" s="170">
        <v>45594</v>
      </c>
      <c r="B1441" s="116">
        <v>1802.65</v>
      </c>
      <c r="C1441" s="116">
        <v>1797.05</v>
      </c>
      <c r="D1441" s="116">
        <v>1773.3</v>
      </c>
      <c r="E1441" s="116">
        <v>1792.65</v>
      </c>
      <c r="F1441" s="116">
        <v>1797.05</v>
      </c>
      <c r="G1441">
        <v>1508</v>
      </c>
      <c r="H1441" s="116"/>
      <c r="I1441" s="116"/>
      <c r="L1441" s="170">
        <v>45589</v>
      </c>
      <c r="M1441" s="116">
        <v>1812.95</v>
      </c>
      <c r="N1441" s="116">
        <v>1834.4</v>
      </c>
      <c r="O1441" s="116">
        <v>1751</v>
      </c>
      <c r="P1441" s="116">
        <v>1762.3</v>
      </c>
      <c r="Q1441" s="116">
        <v>1812.95</v>
      </c>
      <c r="R1441">
        <v>288260</v>
      </c>
    </row>
    <row r="1442" spans="1:18" x14ac:dyDescent="0.25">
      <c r="A1442" s="170">
        <v>45595</v>
      </c>
      <c r="B1442" s="116">
        <v>1853.65</v>
      </c>
      <c r="C1442" s="116">
        <v>1840.35</v>
      </c>
      <c r="D1442" s="116">
        <v>1789</v>
      </c>
      <c r="E1442" s="116">
        <v>1796</v>
      </c>
      <c r="F1442" s="116">
        <v>1840.35</v>
      </c>
      <c r="G1442">
        <v>5490</v>
      </c>
      <c r="H1442" s="116"/>
      <c r="I1442" s="116"/>
      <c r="L1442" s="170">
        <v>45590</v>
      </c>
      <c r="M1442" s="116">
        <v>1771.45</v>
      </c>
      <c r="N1442" s="116">
        <v>1839</v>
      </c>
      <c r="O1442" s="116">
        <v>1762.05</v>
      </c>
      <c r="P1442" s="116">
        <v>1790</v>
      </c>
      <c r="Q1442" s="116">
        <v>1771.45</v>
      </c>
      <c r="R1442">
        <v>181265</v>
      </c>
    </row>
    <row r="1443" spans="1:18" x14ac:dyDescent="0.25">
      <c r="A1443" s="170">
        <v>45596</v>
      </c>
      <c r="B1443" s="116">
        <v>1863.95</v>
      </c>
      <c r="C1443" s="116">
        <v>1831.2</v>
      </c>
      <c r="D1443" s="116">
        <v>1812</v>
      </c>
      <c r="E1443" s="116">
        <v>1835.95</v>
      </c>
      <c r="F1443" s="116">
        <v>1831.2</v>
      </c>
      <c r="G1443">
        <v>22083</v>
      </c>
      <c r="H1443" s="116"/>
      <c r="I1443" s="116"/>
      <c r="L1443" s="170">
        <v>45593</v>
      </c>
      <c r="M1443" s="116">
        <v>1796.3</v>
      </c>
      <c r="N1443" s="116">
        <v>1817.55</v>
      </c>
      <c r="O1443" s="116">
        <v>1765.9</v>
      </c>
      <c r="P1443" s="116">
        <v>1765.9</v>
      </c>
      <c r="Q1443" s="116">
        <v>1796.3</v>
      </c>
      <c r="R1443">
        <v>121298</v>
      </c>
    </row>
    <row r="1444" spans="1:18" x14ac:dyDescent="0.25">
      <c r="A1444" s="170">
        <v>45597</v>
      </c>
      <c r="B1444" s="116">
        <v>1872</v>
      </c>
      <c r="C1444" s="116">
        <v>1839.15</v>
      </c>
      <c r="D1444" s="116">
        <v>1835.25</v>
      </c>
      <c r="E1444" s="116">
        <v>1872</v>
      </c>
      <c r="F1444" s="116">
        <v>1839.15</v>
      </c>
      <c r="G1444">
        <v>735</v>
      </c>
      <c r="H1444" s="116"/>
      <c r="I1444" s="116"/>
      <c r="L1444" s="170">
        <v>45594</v>
      </c>
      <c r="M1444" s="116">
        <v>1796.8</v>
      </c>
      <c r="N1444" s="116">
        <v>1804.5</v>
      </c>
      <c r="O1444" s="116">
        <v>1772.05</v>
      </c>
      <c r="P1444" s="116">
        <v>1797.95</v>
      </c>
      <c r="Q1444" s="116">
        <v>1796.8</v>
      </c>
      <c r="R1444">
        <v>144804</v>
      </c>
    </row>
    <row r="1445" spans="1:18" x14ac:dyDescent="0.25">
      <c r="A1445" s="170">
        <v>45600</v>
      </c>
      <c r="B1445" s="116">
        <v>1839.3</v>
      </c>
      <c r="C1445" s="116">
        <v>1790.3</v>
      </c>
      <c r="D1445" s="116">
        <v>1772.5</v>
      </c>
      <c r="E1445" s="116">
        <v>1835</v>
      </c>
      <c r="F1445" s="116">
        <v>1790.3</v>
      </c>
      <c r="G1445">
        <v>4466</v>
      </c>
      <c r="H1445" s="116"/>
      <c r="I1445" s="116"/>
      <c r="L1445" s="170">
        <v>45595</v>
      </c>
      <c r="M1445" s="116">
        <v>1840.25</v>
      </c>
      <c r="N1445" s="116">
        <v>1854.55</v>
      </c>
      <c r="O1445" s="116">
        <v>1787</v>
      </c>
      <c r="P1445" s="116">
        <v>1793.25</v>
      </c>
      <c r="Q1445" s="116">
        <v>1840.25</v>
      </c>
      <c r="R1445">
        <v>257717</v>
      </c>
    </row>
    <row r="1446" spans="1:18" x14ac:dyDescent="0.25">
      <c r="A1446" s="170">
        <v>45601</v>
      </c>
      <c r="B1446" s="116">
        <v>1796</v>
      </c>
      <c r="C1446" s="116">
        <v>1794.6</v>
      </c>
      <c r="D1446" s="116">
        <v>1761.55</v>
      </c>
      <c r="E1446" s="116">
        <v>1795.1</v>
      </c>
      <c r="F1446" s="116">
        <v>1794.6</v>
      </c>
      <c r="G1446">
        <v>3287</v>
      </c>
      <c r="H1446" s="116"/>
      <c r="I1446" s="116"/>
      <c r="L1446" s="170">
        <v>45596</v>
      </c>
      <c r="M1446" s="116">
        <v>1833.2</v>
      </c>
      <c r="N1446" s="116">
        <v>1863.9</v>
      </c>
      <c r="O1446" s="116">
        <v>1818.15</v>
      </c>
      <c r="P1446" s="116">
        <v>1836.85</v>
      </c>
      <c r="Q1446" s="116">
        <v>1833.2</v>
      </c>
      <c r="R1446">
        <v>787165</v>
      </c>
    </row>
    <row r="1447" spans="1:18" x14ac:dyDescent="0.25">
      <c r="A1447" s="170">
        <v>45602</v>
      </c>
      <c r="B1447" s="116">
        <v>1827</v>
      </c>
      <c r="C1447" s="116">
        <v>1817.75</v>
      </c>
      <c r="D1447" s="116">
        <v>1770.4</v>
      </c>
      <c r="E1447" s="116">
        <v>1796</v>
      </c>
      <c r="F1447" s="116">
        <v>1817.75</v>
      </c>
      <c r="G1447">
        <v>3235</v>
      </c>
      <c r="H1447" s="116"/>
      <c r="I1447" s="116"/>
      <c r="L1447" s="170">
        <v>45597</v>
      </c>
      <c r="M1447" s="116">
        <v>1838.2</v>
      </c>
      <c r="N1447" s="116">
        <v>1854.25</v>
      </c>
      <c r="O1447" s="116">
        <v>1833.2</v>
      </c>
      <c r="P1447" s="116">
        <v>1854.25</v>
      </c>
      <c r="Q1447" s="116">
        <v>1838.2</v>
      </c>
      <c r="R1447">
        <v>10439</v>
      </c>
    </row>
    <row r="1448" spans="1:18" x14ac:dyDescent="0.25">
      <c r="A1448" s="170">
        <v>45603</v>
      </c>
      <c r="B1448" s="116">
        <v>1835</v>
      </c>
      <c r="C1448" s="116">
        <v>1796.15</v>
      </c>
      <c r="D1448" s="116">
        <v>1791</v>
      </c>
      <c r="E1448" s="116">
        <v>1835</v>
      </c>
      <c r="F1448" s="116">
        <v>1796.15</v>
      </c>
      <c r="G1448">
        <v>1785</v>
      </c>
      <c r="H1448" s="116"/>
      <c r="I1448" s="116"/>
      <c r="L1448" s="170">
        <v>45600</v>
      </c>
      <c r="M1448" s="116">
        <v>1789.75</v>
      </c>
      <c r="N1448" s="116">
        <v>1840.45</v>
      </c>
      <c r="O1448" s="116">
        <v>1771.3</v>
      </c>
      <c r="P1448" s="116">
        <v>1838</v>
      </c>
      <c r="Q1448" s="116">
        <v>1789.75</v>
      </c>
      <c r="R1448">
        <v>143783</v>
      </c>
    </row>
    <row r="1449" spans="1:18" x14ac:dyDescent="0.25">
      <c r="A1449" s="170">
        <v>45604</v>
      </c>
      <c r="B1449" s="116">
        <v>1802.95</v>
      </c>
      <c r="C1449" s="116">
        <v>1767.25</v>
      </c>
      <c r="D1449" s="116">
        <v>1760</v>
      </c>
      <c r="E1449" s="116">
        <v>1796.95</v>
      </c>
      <c r="F1449" s="116">
        <v>1767.25</v>
      </c>
      <c r="G1449">
        <v>1013</v>
      </c>
      <c r="H1449" s="116"/>
      <c r="I1449" s="116"/>
      <c r="L1449" s="170">
        <v>45601</v>
      </c>
      <c r="M1449" s="116">
        <v>1793.6</v>
      </c>
      <c r="N1449" s="116">
        <v>1810</v>
      </c>
      <c r="O1449" s="116">
        <v>1762</v>
      </c>
      <c r="P1449" s="116">
        <v>1789.75</v>
      </c>
      <c r="Q1449" s="116">
        <v>1793.6</v>
      </c>
      <c r="R1449">
        <v>116159</v>
      </c>
    </row>
    <row r="1450" spans="1:18" x14ac:dyDescent="0.25">
      <c r="A1450" s="170">
        <v>45607</v>
      </c>
      <c r="B1450" s="116">
        <v>1778.2</v>
      </c>
      <c r="C1450" s="116">
        <v>1755.6</v>
      </c>
      <c r="D1450" s="116">
        <v>1743.8</v>
      </c>
      <c r="E1450" s="116">
        <v>1767.25</v>
      </c>
      <c r="F1450" s="116">
        <v>1755.6</v>
      </c>
      <c r="G1450">
        <v>2102</v>
      </c>
      <c r="H1450" s="116"/>
      <c r="I1450" s="116"/>
      <c r="L1450" s="170">
        <v>45602</v>
      </c>
      <c r="M1450" s="116">
        <v>1817.55</v>
      </c>
      <c r="N1450" s="116">
        <v>1827.75</v>
      </c>
      <c r="O1450" s="116">
        <v>1766.45</v>
      </c>
      <c r="P1450" s="116">
        <v>1799.75</v>
      </c>
      <c r="Q1450" s="116">
        <v>1817.55</v>
      </c>
      <c r="R1450">
        <v>163020</v>
      </c>
    </row>
    <row r="1451" spans="1:18" x14ac:dyDescent="0.25">
      <c r="A1451" s="170">
        <v>45608</v>
      </c>
      <c r="B1451" s="116">
        <v>1793</v>
      </c>
      <c r="C1451" s="116">
        <v>1786.3</v>
      </c>
      <c r="D1451" s="116">
        <v>1742.35</v>
      </c>
      <c r="E1451" s="116">
        <v>1742.35</v>
      </c>
      <c r="F1451" s="116">
        <v>1786.3</v>
      </c>
      <c r="G1451">
        <v>3592</v>
      </c>
      <c r="H1451" s="116"/>
      <c r="I1451" s="116"/>
      <c r="L1451" s="170">
        <v>45603</v>
      </c>
      <c r="M1451" s="116">
        <v>1798.25</v>
      </c>
      <c r="N1451" s="116">
        <v>1823.55</v>
      </c>
      <c r="O1451" s="116">
        <v>1790.1</v>
      </c>
      <c r="P1451" s="116">
        <v>1818</v>
      </c>
      <c r="Q1451" s="116">
        <v>1798.25</v>
      </c>
      <c r="R1451">
        <v>125279</v>
      </c>
    </row>
    <row r="1452" spans="1:18" x14ac:dyDescent="0.25">
      <c r="A1452" s="170">
        <v>45609</v>
      </c>
      <c r="B1452" s="116">
        <v>1785.45</v>
      </c>
      <c r="C1452" s="116">
        <v>1736.05</v>
      </c>
      <c r="D1452" s="116">
        <v>1733.8</v>
      </c>
      <c r="E1452" s="116">
        <v>1769.4</v>
      </c>
      <c r="F1452" s="116">
        <v>1736.05</v>
      </c>
      <c r="G1452">
        <v>2628</v>
      </c>
      <c r="H1452" s="116"/>
      <c r="I1452" s="116"/>
      <c r="L1452" s="170">
        <v>45604</v>
      </c>
      <c r="M1452" s="116">
        <v>1768.05</v>
      </c>
      <c r="N1452" s="116">
        <v>1804.45</v>
      </c>
      <c r="O1452" s="116">
        <v>1759.85</v>
      </c>
      <c r="P1452" s="116">
        <v>1800</v>
      </c>
      <c r="Q1452" s="116">
        <v>1768.05</v>
      </c>
      <c r="R1452">
        <v>63085</v>
      </c>
    </row>
    <row r="1453" spans="1:18" x14ac:dyDescent="0.25">
      <c r="A1453" s="170">
        <v>45610</v>
      </c>
      <c r="B1453" s="116">
        <v>1749.3</v>
      </c>
      <c r="C1453" s="116">
        <v>1713.65</v>
      </c>
      <c r="D1453" s="116">
        <v>1677.05</v>
      </c>
      <c r="E1453" s="116">
        <v>1749.3</v>
      </c>
      <c r="F1453" s="116">
        <v>1713.65</v>
      </c>
      <c r="G1453">
        <v>5399</v>
      </c>
      <c r="H1453" s="116"/>
      <c r="I1453" s="116"/>
      <c r="L1453" s="170">
        <v>45607</v>
      </c>
      <c r="M1453" s="116">
        <v>1755.35</v>
      </c>
      <c r="N1453" s="116">
        <v>1782.1</v>
      </c>
      <c r="O1453" s="116">
        <v>1742.85</v>
      </c>
      <c r="P1453" s="116">
        <v>1762</v>
      </c>
      <c r="Q1453" s="116">
        <v>1755.35</v>
      </c>
      <c r="R1453">
        <v>182117</v>
      </c>
    </row>
    <row r="1454" spans="1:18" x14ac:dyDescent="0.25">
      <c r="A1454" s="170">
        <v>45614</v>
      </c>
      <c r="B1454" s="116">
        <v>1730.4</v>
      </c>
      <c r="C1454" s="116">
        <v>1686.9</v>
      </c>
      <c r="D1454" s="116">
        <v>1683.25</v>
      </c>
      <c r="E1454" s="116">
        <v>1690.4</v>
      </c>
      <c r="F1454" s="116">
        <v>1686.9</v>
      </c>
      <c r="G1454">
        <v>1209</v>
      </c>
      <c r="H1454" s="116"/>
      <c r="I1454" s="116"/>
      <c r="L1454" s="170">
        <v>45608</v>
      </c>
      <c r="M1454" s="116">
        <v>1786.7</v>
      </c>
      <c r="N1454" s="116">
        <v>1793.9</v>
      </c>
      <c r="O1454" s="116">
        <v>1752</v>
      </c>
      <c r="P1454" s="116">
        <v>1760</v>
      </c>
      <c r="Q1454" s="116">
        <v>1786.7</v>
      </c>
      <c r="R1454">
        <v>79048</v>
      </c>
    </row>
    <row r="1455" spans="1:18" x14ac:dyDescent="0.25">
      <c r="A1455" s="170">
        <v>45615</v>
      </c>
      <c r="B1455" s="116">
        <v>1768.95</v>
      </c>
      <c r="C1455" s="116">
        <v>1747.1</v>
      </c>
      <c r="D1455" s="116">
        <v>1699</v>
      </c>
      <c r="E1455" s="116">
        <v>1699</v>
      </c>
      <c r="F1455" s="116">
        <v>1747.1</v>
      </c>
      <c r="G1455">
        <v>4881</v>
      </c>
      <c r="H1455" s="116"/>
      <c r="I1455" s="116"/>
      <c r="L1455" s="170">
        <v>45609</v>
      </c>
      <c r="M1455" s="116">
        <v>1737.6</v>
      </c>
      <c r="N1455" s="116">
        <v>1788.25</v>
      </c>
      <c r="O1455" s="116">
        <v>1734.7</v>
      </c>
      <c r="P1455" s="116">
        <v>1782</v>
      </c>
      <c r="Q1455" s="116">
        <v>1737.6</v>
      </c>
      <c r="R1455">
        <v>195661</v>
      </c>
    </row>
    <row r="1456" spans="1:18" x14ac:dyDescent="0.25">
      <c r="A1456" s="170">
        <v>45617</v>
      </c>
      <c r="B1456" s="116">
        <v>1781</v>
      </c>
      <c r="C1456" s="116">
        <v>1771.1</v>
      </c>
      <c r="D1456" s="116">
        <v>1706.4</v>
      </c>
      <c r="E1456" s="116">
        <v>1730.05</v>
      </c>
      <c r="F1456" s="116">
        <v>1771.1</v>
      </c>
      <c r="G1456">
        <v>3964</v>
      </c>
      <c r="H1456" s="116"/>
      <c r="I1456" s="116"/>
      <c r="L1456" s="170">
        <v>45610</v>
      </c>
      <c r="M1456" s="116">
        <v>1713.8</v>
      </c>
      <c r="N1456" s="116">
        <v>1746.05</v>
      </c>
      <c r="O1456" s="116">
        <v>1676.55</v>
      </c>
      <c r="P1456" s="116">
        <v>1736.1</v>
      </c>
      <c r="Q1456" s="116">
        <v>1713.8</v>
      </c>
      <c r="R1456">
        <v>491072</v>
      </c>
    </row>
    <row r="1457" spans="1:18" x14ac:dyDescent="0.25">
      <c r="A1457" s="170">
        <v>45618</v>
      </c>
      <c r="B1457" s="116">
        <v>1823.25</v>
      </c>
      <c r="C1457" s="116">
        <v>1807.1</v>
      </c>
      <c r="D1457" s="116">
        <v>1766.1</v>
      </c>
      <c r="E1457" s="116">
        <v>1776.05</v>
      </c>
      <c r="F1457" s="116">
        <v>1807.1</v>
      </c>
      <c r="G1457">
        <v>1858</v>
      </c>
      <c r="H1457" s="116"/>
      <c r="I1457" s="116"/>
      <c r="L1457" s="170">
        <v>45614</v>
      </c>
      <c r="M1457" s="116">
        <v>1686.35</v>
      </c>
      <c r="N1457" s="116">
        <v>1730</v>
      </c>
      <c r="O1457" s="116">
        <v>1680.2</v>
      </c>
      <c r="P1457" s="116">
        <v>1709.95</v>
      </c>
      <c r="Q1457" s="116">
        <v>1686.35</v>
      </c>
      <c r="R1457">
        <v>208120</v>
      </c>
    </row>
    <row r="1458" spans="1:18" x14ac:dyDescent="0.25">
      <c r="A1458" s="170">
        <v>45621</v>
      </c>
      <c r="B1458" s="116">
        <v>1864</v>
      </c>
      <c r="C1458" s="116">
        <v>1817.9</v>
      </c>
      <c r="D1458" s="116">
        <v>1775.55</v>
      </c>
      <c r="E1458" s="116">
        <v>1775.55</v>
      </c>
      <c r="F1458" s="116">
        <v>1817.9</v>
      </c>
      <c r="G1458">
        <v>3765</v>
      </c>
      <c r="H1458" s="116"/>
      <c r="I1458" s="116"/>
      <c r="L1458" s="170">
        <v>45615</v>
      </c>
      <c r="M1458" s="116">
        <v>1745.25</v>
      </c>
      <c r="N1458" s="116">
        <v>1770</v>
      </c>
      <c r="O1458" s="116">
        <v>1698.55</v>
      </c>
      <c r="P1458" s="116">
        <v>1700.65</v>
      </c>
      <c r="Q1458" s="116">
        <v>1745.25</v>
      </c>
      <c r="R1458">
        <v>400400</v>
      </c>
    </row>
    <row r="1459" spans="1:18" x14ac:dyDescent="0.25">
      <c r="A1459" s="170">
        <v>45622</v>
      </c>
      <c r="B1459" s="116">
        <v>1840</v>
      </c>
      <c r="C1459" s="116">
        <v>1820.9</v>
      </c>
      <c r="D1459" s="116">
        <v>1808.1</v>
      </c>
      <c r="E1459" s="116">
        <v>1823.95</v>
      </c>
      <c r="F1459" s="116">
        <v>1820.9</v>
      </c>
      <c r="G1459">
        <v>4090</v>
      </c>
      <c r="H1459" s="116"/>
      <c r="I1459" s="116"/>
      <c r="L1459" s="170">
        <v>45617</v>
      </c>
      <c r="M1459" s="116">
        <v>1771.6</v>
      </c>
      <c r="N1459" s="116">
        <v>1782.75</v>
      </c>
      <c r="O1459" s="116">
        <v>1705.05</v>
      </c>
      <c r="P1459" s="116">
        <v>1725</v>
      </c>
      <c r="Q1459" s="116">
        <v>1771.6</v>
      </c>
      <c r="R1459">
        <v>156031</v>
      </c>
    </row>
    <row r="1460" spans="1:18" x14ac:dyDescent="0.25">
      <c r="A1460" s="170">
        <v>45623</v>
      </c>
      <c r="B1460" s="116">
        <v>1847.7</v>
      </c>
      <c r="C1460" s="116">
        <v>1834.3</v>
      </c>
      <c r="D1460" s="116">
        <v>1804.85</v>
      </c>
      <c r="E1460" s="116">
        <v>1818.7</v>
      </c>
      <c r="F1460" s="116">
        <v>1834.3</v>
      </c>
      <c r="G1460">
        <v>1410</v>
      </c>
      <c r="H1460" s="116"/>
      <c r="I1460" s="116"/>
      <c r="L1460" s="170">
        <v>45618</v>
      </c>
      <c r="M1460" s="116">
        <v>1808.25</v>
      </c>
      <c r="N1460" s="116">
        <v>1823</v>
      </c>
      <c r="O1460" s="116">
        <v>1764.55</v>
      </c>
      <c r="P1460" s="116">
        <v>1778</v>
      </c>
      <c r="Q1460" s="116">
        <v>1808.25</v>
      </c>
      <c r="R1460">
        <v>225572</v>
      </c>
    </row>
    <row r="1461" spans="1:18" x14ac:dyDescent="0.25">
      <c r="A1461" s="170">
        <v>45624</v>
      </c>
      <c r="B1461" s="116">
        <v>1863.95</v>
      </c>
      <c r="C1461" s="116">
        <v>1820.8</v>
      </c>
      <c r="D1461" s="116">
        <v>1809.25</v>
      </c>
      <c r="E1461" s="116">
        <v>1863.95</v>
      </c>
      <c r="F1461" s="116">
        <v>1820.8</v>
      </c>
      <c r="G1461">
        <v>48269</v>
      </c>
      <c r="H1461" s="116"/>
      <c r="I1461" s="116"/>
      <c r="L1461" s="170">
        <v>45621</v>
      </c>
      <c r="M1461" s="116">
        <v>1826.8</v>
      </c>
      <c r="N1461" s="116">
        <v>1865</v>
      </c>
      <c r="O1461" s="116">
        <v>1812.6</v>
      </c>
      <c r="P1461" s="116">
        <v>1813</v>
      </c>
      <c r="Q1461" s="116">
        <v>1826.8</v>
      </c>
      <c r="R1461">
        <v>412507</v>
      </c>
    </row>
    <row r="1462" spans="1:18" x14ac:dyDescent="0.25">
      <c r="A1462" s="170">
        <v>45625</v>
      </c>
      <c r="B1462" s="116">
        <v>1832.9</v>
      </c>
      <c r="C1462" s="116">
        <v>1818.35</v>
      </c>
      <c r="D1462" s="116">
        <v>1813.25</v>
      </c>
      <c r="E1462" s="116">
        <v>1818.3</v>
      </c>
      <c r="F1462" s="116">
        <v>1818.35</v>
      </c>
      <c r="G1462">
        <v>36726</v>
      </c>
      <c r="H1462" s="116"/>
      <c r="I1462" s="116"/>
      <c r="L1462" s="170">
        <v>45622</v>
      </c>
      <c r="M1462" s="116">
        <v>1826.2</v>
      </c>
      <c r="N1462" s="116">
        <v>1850</v>
      </c>
      <c r="O1462" s="116">
        <v>1804.35</v>
      </c>
      <c r="P1462" s="116">
        <v>1826.8</v>
      </c>
      <c r="Q1462" s="116">
        <v>1826.2</v>
      </c>
      <c r="R1462">
        <v>73786</v>
      </c>
    </row>
    <row r="1463" spans="1:18" x14ac:dyDescent="0.25">
      <c r="A1463" s="170">
        <v>45628</v>
      </c>
      <c r="B1463" s="116">
        <v>1891</v>
      </c>
      <c r="C1463" s="116">
        <v>1878.65</v>
      </c>
      <c r="D1463" s="116">
        <v>1837.85</v>
      </c>
      <c r="E1463" s="116">
        <v>1849.8</v>
      </c>
      <c r="F1463" s="116">
        <v>1878.65</v>
      </c>
      <c r="G1463">
        <v>6633</v>
      </c>
      <c r="H1463" s="116"/>
      <c r="I1463" s="116"/>
      <c r="L1463" s="170">
        <v>45623</v>
      </c>
      <c r="M1463" s="116">
        <v>1836.45</v>
      </c>
      <c r="N1463" s="116">
        <v>1847.45</v>
      </c>
      <c r="O1463" s="116">
        <v>1802.3</v>
      </c>
      <c r="P1463" s="116">
        <v>1822.85</v>
      </c>
      <c r="Q1463" s="116">
        <v>1836.45</v>
      </c>
      <c r="R1463">
        <v>207146</v>
      </c>
    </row>
    <row r="1464" spans="1:18" x14ac:dyDescent="0.25">
      <c r="A1464" s="170">
        <v>45629</v>
      </c>
      <c r="B1464" s="116">
        <v>1952.1</v>
      </c>
      <c r="C1464" s="116">
        <v>1928.9</v>
      </c>
      <c r="D1464" s="116">
        <v>1881.3</v>
      </c>
      <c r="E1464" s="116">
        <v>1885.35</v>
      </c>
      <c r="F1464" s="116">
        <v>1928.9</v>
      </c>
      <c r="G1464">
        <v>7305</v>
      </c>
      <c r="H1464" s="116"/>
      <c r="I1464" s="116"/>
      <c r="L1464" s="170">
        <v>45624</v>
      </c>
      <c r="M1464" s="116">
        <v>1819.3</v>
      </c>
      <c r="N1464" s="116">
        <v>1845.15</v>
      </c>
      <c r="O1464" s="116">
        <v>1809</v>
      </c>
      <c r="P1464" s="116">
        <v>1836.5</v>
      </c>
      <c r="Q1464" s="116">
        <v>1819.3</v>
      </c>
      <c r="R1464">
        <v>184962</v>
      </c>
    </row>
    <row r="1465" spans="1:18" x14ac:dyDescent="0.25">
      <c r="A1465" s="170">
        <v>45630</v>
      </c>
      <c r="B1465" s="116">
        <v>1943.7</v>
      </c>
      <c r="C1465" s="116">
        <v>1936.95</v>
      </c>
      <c r="D1465" s="116">
        <v>1904.5</v>
      </c>
      <c r="E1465" s="116">
        <v>1928.9</v>
      </c>
      <c r="F1465" s="116">
        <v>1936.95</v>
      </c>
      <c r="G1465">
        <v>3158</v>
      </c>
      <c r="H1465" s="116"/>
      <c r="I1465" s="116"/>
      <c r="L1465" s="170">
        <v>45625</v>
      </c>
      <c r="M1465" s="116">
        <v>1820.35</v>
      </c>
      <c r="N1465" s="116">
        <v>1836.45</v>
      </c>
      <c r="O1465" s="116">
        <v>1812.3</v>
      </c>
      <c r="P1465" s="116">
        <v>1819.3</v>
      </c>
      <c r="Q1465" s="116">
        <v>1820.35</v>
      </c>
      <c r="R1465">
        <v>420858</v>
      </c>
    </row>
    <row r="1466" spans="1:18" x14ac:dyDescent="0.25">
      <c r="A1466" s="170">
        <v>45631</v>
      </c>
      <c r="B1466" s="116">
        <v>1953</v>
      </c>
      <c r="C1466" s="116">
        <v>1902</v>
      </c>
      <c r="D1466" s="116">
        <v>1890</v>
      </c>
      <c r="E1466" s="116">
        <v>1936.25</v>
      </c>
      <c r="F1466" s="116">
        <v>1902</v>
      </c>
      <c r="G1466">
        <v>11512</v>
      </c>
      <c r="H1466" s="116"/>
      <c r="I1466" s="116"/>
      <c r="L1466" s="170">
        <v>45628</v>
      </c>
      <c r="M1466" s="116">
        <v>1879.75</v>
      </c>
      <c r="N1466" s="116">
        <v>1894.05</v>
      </c>
      <c r="O1466" s="116">
        <v>1835.1</v>
      </c>
      <c r="P1466" s="116">
        <v>1850</v>
      </c>
      <c r="Q1466" s="116">
        <v>1879.75</v>
      </c>
      <c r="R1466">
        <v>1149388</v>
      </c>
    </row>
    <row r="1467" spans="1:18" x14ac:dyDescent="0.25">
      <c r="A1467" s="170">
        <v>45632</v>
      </c>
      <c r="B1467" s="116">
        <v>1930.9</v>
      </c>
      <c r="C1467" s="116">
        <v>1927.05</v>
      </c>
      <c r="D1467" s="116">
        <v>1904.45</v>
      </c>
      <c r="E1467" s="116">
        <v>1913</v>
      </c>
      <c r="F1467" s="116">
        <v>1927.05</v>
      </c>
      <c r="G1467">
        <v>2154</v>
      </c>
      <c r="H1467" s="116"/>
      <c r="I1467" s="116"/>
      <c r="L1467" s="170">
        <v>45629</v>
      </c>
      <c r="M1467" s="116">
        <v>1930.8</v>
      </c>
      <c r="N1467" s="116">
        <v>1946.65</v>
      </c>
      <c r="O1467" s="116">
        <v>1879.75</v>
      </c>
      <c r="P1467" s="116">
        <v>1879.75</v>
      </c>
      <c r="Q1467" s="116">
        <v>1930.8</v>
      </c>
      <c r="R1467">
        <v>447294</v>
      </c>
    </row>
    <row r="1468" spans="1:18" x14ac:dyDescent="0.25">
      <c r="A1468" s="170">
        <v>45635</v>
      </c>
      <c r="B1468" s="116">
        <v>1949.95</v>
      </c>
      <c r="C1468" s="116">
        <v>1897</v>
      </c>
      <c r="D1468" s="116">
        <v>1889.5</v>
      </c>
      <c r="E1468" s="116">
        <v>1949.95</v>
      </c>
      <c r="F1468" s="116">
        <v>1897</v>
      </c>
      <c r="G1468">
        <v>4114</v>
      </c>
      <c r="H1468" s="116"/>
      <c r="I1468" s="116"/>
      <c r="L1468" s="170">
        <v>45630</v>
      </c>
      <c r="M1468" s="116">
        <v>1936.7</v>
      </c>
      <c r="N1468" s="116">
        <v>1945.35</v>
      </c>
      <c r="O1468" s="116">
        <v>1903.85</v>
      </c>
      <c r="P1468" s="116">
        <v>1929</v>
      </c>
      <c r="Q1468" s="116">
        <v>1936.7</v>
      </c>
      <c r="R1468">
        <v>410592</v>
      </c>
    </row>
    <row r="1469" spans="1:18" x14ac:dyDescent="0.25">
      <c r="A1469" s="170">
        <v>45636</v>
      </c>
      <c r="B1469" s="116">
        <v>1906.15</v>
      </c>
      <c r="C1469" s="116">
        <v>1897.05</v>
      </c>
      <c r="D1469" s="116">
        <v>1880</v>
      </c>
      <c r="E1469" s="116">
        <v>1904</v>
      </c>
      <c r="F1469" s="116">
        <v>1897.05</v>
      </c>
      <c r="G1469">
        <v>991</v>
      </c>
      <c r="H1469" s="116"/>
      <c r="I1469" s="116"/>
      <c r="L1469" s="170">
        <v>45631</v>
      </c>
      <c r="M1469" s="116">
        <v>1913.8</v>
      </c>
      <c r="N1469" s="116">
        <v>1953.6</v>
      </c>
      <c r="O1469" s="116">
        <v>1889.45</v>
      </c>
      <c r="P1469" s="116">
        <v>1938</v>
      </c>
      <c r="Q1469" s="116">
        <v>1913.8</v>
      </c>
      <c r="R1469">
        <v>307371</v>
      </c>
    </row>
    <row r="1470" spans="1:18" x14ac:dyDescent="0.25">
      <c r="A1470" s="170">
        <v>45637</v>
      </c>
      <c r="B1470" s="116">
        <v>1973</v>
      </c>
      <c r="C1470" s="116">
        <v>1965.2</v>
      </c>
      <c r="D1470" s="116">
        <v>1913.3</v>
      </c>
      <c r="E1470" s="116">
        <v>1914.95</v>
      </c>
      <c r="F1470" s="116">
        <v>1965.2</v>
      </c>
      <c r="G1470">
        <v>17601</v>
      </c>
      <c r="H1470" s="116"/>
      <c r="I1470" s="116"/>
      <c r="L1470" s="170">
        <v>45632</v>
      </c>
      <c r="M1470" s="116">
        <v>1926.05</v>
      </c>
      <c r="N1470" s="116">
        <v>1928.55</v>
      </c>
      <c r="O1470" s="116">
        <v>1903.55</v>
      </c>
      <c r="P1470" s="116">
        <v>1916.85</v>
      </c>
      <c r="Q1470" s="116">
        <v>1926.05</v>
      </c>
      <c r="R1470">
        <v>327447</v>
      </c>
    </row>
    <row r="1471" spans="1:18" x14ac:dyDescent="0.25">
      <c r="A1471" s="170">
        <v>45638</v>
      </c>
      <c r="B1471" s="116">
        <v>1975.3</v>
      </c>
      <c r="C1471" s="116">
        <v>1937.95</v>
      </c>
      <c r="D1471" s="116">
        <v>1925.9</v>
      </c>
      <c r="E1471" s="116">
        <v>1975</v>
      </c>
      <c r="F1471" s="116">
        <v>1937.95</v>
      </c>
      <c r="G1471">
        <v>10856</v>
      </c>
      <c r="H1471" s="116"/>
      <c r="I1471" s="116"/>
      <c r="L1471" s="170">
        <v>45635</v>
      </c>
      <c r="M1471" s="116">
        <v>1897.75</v>
      </c>
      <c r="N1471" s="116">
        <v>1931.95</v>
      </c>
      <c r="O1471" s="116">
        <v>1890</v>
      </c>
      <c r="P1471" s="116">
        <v>1931.95</v>
      </c>
      <c r="Q1471" s="116">
        <v>1897.75</v>
      </c>
      <c r="R1471">
        <v>238734</v>
      </c>
    </row>
    <row r="1472" spans="1:18" x14ac:dyDescent="0.25">
      <c r="A1472" s="170">
        <v>45639</v>
      </c>
      <c r="B1472" s="116">
        <v>1928.7</v>
      </c>
      <c r="C1472" s="116">
        <v>1921.6</v>
      </c>
      <c r="D1472" s="116">
        <v>1850</v>
      </c>
      <c r="E1472" s="116">
        <v>1927.7</v>
      </c>
      <c r="F1472" s="116">
        <v>1921.6</v>
      </c>
      <c r="G1472">
        <v>9616</v>
      </c>
      <c r="H1472" s="116"/>
      <c r="I1472" s="116"/>
      <c r="L1472" s="170">
        <v>45636</v>
      </c>
      <c r="M1472" s="116">
        <v>1898.7</v>
      </c>
      <c r="N1472" s="116">
        <v>1908.35</v>
      </c>
      <c r="O1472" s="116">
        <v>1876</v>
      </c>
      <c r="P1472" s="116">
        <v>1898.05</v>
      </c>
      <c r="Q1472" s="116">
        <v>1898.7</v>
      </c>
      <c r="R1472">
        <v>333088</v>
      </c>
    </row>
    <row r="1473" spans="1:18" x14ac:dyDescent="0.25">
      <c r="A1473" s="170">
        <v>45642</v>
      </c>
      <c r="B1473" s="116">
        <v>1955</v>
      </c>
      <c r="C1473" s="116">
        <v>1943</v>
      </c>
      <c r="D1473" s="116">
        <v>1922.35</v>
      </c>
      <c r="E1473" s="116">
        <v>1922.35</v>
      </c>
      <c r="F1473" s="116">
        <v>1943</v>
      </c>
      <c r="G1473">
        <v>7478</v>
      </c>
      <c r="H1473" s="116"/>
      <c r="I1473" s="116"/>
      <c r="L1473" s="170">
        <v>45637</v>
      </c>
      <c r="M1473" s="116">
        <v>1966.6</v>
      </c>
      <c r="N1473" s="116">
        <v>1972.9</v>
      </c>
      <c r="O1473" s="116">
        <v>1909</v>
      </c>
      <c r="P1473" s="116">
        <v>1909.95</v>
      </c>
      <c r="Q1473" s="116">
        <v>1966.6</v>
      </c>
      <c r="R1473">
        <v>1009273</v>
      </c>
    </row>
    <row r="1474" spans="1:18" x14ac:dyDescent="0.25">
      <c r="A1474" s="170">
        <v>45643</v>
      </c>
      <c r="B1474" s="116">
        <v>1960.8</v>
      </c>
      <c r="C1474" s="116">
        <v>1935.1</v>
      </c>
      <c r="D1474" s="116">
        <v>1930.35</v>
      </c>
      <c r="E1474" s="116">
        <v>1960.8</v>
      </c>
      <c r="F1474" s="116">
        <v>1935.1</v>
      </c>
      <c r="G1474">
        <v>2578</v>
      </c>
      <c r="H1474" s="116"/>
      <c r="I1474" s="116"/>
      <c r="L1474" s="170">
        <v>45638</v>
      </c>
      <c r="M1474" s="116">
        <v>1935.25</v>
      </c>
      <c r="N1474" s="116">
        <v>1974.6</v>
      </c>
      <c r="O1474" s="116">
        <v>1924.95</v>
      </c>
      <c r="P1474" s="116">
        <v>1973.8</v>
      </c>
      <c r="Q1474" s="116">
        <v>1935.25</v>
      </c>
      <c r="R1474">
        <v>363340</v>
      </c>
    </row>
    <row r="1475" spans="1:18" x14ac:dyDescent="0.25">
      <c r="A1475" s="170">
        <v>45644</v>
      </c>
      <c r="B1475" s="116">
        <v>1951.75</v>
      </c>
      <c r="C1475" s="116">
        <v>1876.85</v>
      </c>
      <c r="D1475" s="116">
        <v>1872.35</v>
      </c>
      <c r="E1475" s="116">
        <v>1930</v>
      </c>
      <c r="F1475" s="116">
        <v>1876.85</v>
      </c>
      <c r="G1475">
        <v>4420</v>
      </c>
      <c r="H1475" s="116"/>
      <c r="I1475" s="116"/>
      <c r="L1475" s="170">
        <v>45639</v>
      </c>
      <c r="M1475" s="116">
        <v>1921.6</v>
      </c>
      <c r="N1475" s="116">
        <v>1935.25</v>
      </c>
      <c r="O1475" s="116">
        <v>1848.15</v>
      </c>
      <c r="P1475" s="116">
        <v>1930.25</v>
      </c>
      <c r="Q1475" s="116">
        <v>1921.6</v>
      </c>
      <c r="R1475">
        <v>389729</v>
      </c>
    </row>
    <row r="1476" spans="1:18" x14ac:dyDescent="0.25">
      <c r="A1476" s="170">
        <v>45645</v>
      </c>
      <c r="B1476" s="116">
        <v>1880</v>
      </c>
      <c r="C1476" s="116">
        <v>1850.35</v>
      </c>
      <c r="D1476" s="116">
        <v>1848</v>
      </c>
      <c r="E1476" s="116">
        <v>1878</v>
      </c>
      <c r="F1476" s="116">
        <v>1850.35</v>
      </c>
      <c r="G1476">
        <v>1817</v>
      </c>
      <c r="H1476" s="116"/>
      <c r="I1476" s="116"/>
      <c r="L1476" s="170">
        <v>45642</v>
      </c>
      <c r="M1476" s="116">
        <v>1945.95</v>
      </c>
      <c r="N1476" s="116">
        <v>1955.9</v>
      </c>
      <c r="O1476" s="116">
        <v>1920.05</v>
      </c>
      <c r="P1476" s="116">
        <v>1925.65</v>
      </c>
      <c r="Q1476" s="116">
        <v>1945.95</v>
      </c>
      <c r="R1476">
        <v>140115</v>
      </c>
    </row>
    <row r="1477" spans="1:18" x14ac:dyDescent="0.25">
      <c r="A1477" s="170">
        <v>45646</v>
      </c>
      <c r="B1477" s="116">
        <v>1897.95</v>
      </c>
      <c r="C1477" s="116">
        <v>1803</v>
      </c>
      <c r="D1477" s="116">
        <v>1798.85</v>
      </c>
      <c r="E1477" s="116">
        <v>1897.95</v>
      </c>
      <c r="F1477" s="116">
        <v>1803</v>
      </c>
      <c r="G1477">
        <v>13684</v>
      </c>
      <c r="H1477" s="116"/>
      <c r="I1477" s="116"/>
      <c r="L1477" s="170">
        <v>45643</v>
      </c>
      <c r="M1477" s="116">
        <v>1934.1</v>
      </c>
      <c r="N1477" s="116">
        <v>1958.95</v>
      </c>
      <c r="O1477" s="116">
        <v>1925.35</v>
      </c>
      <c r="P1477" s="116">
        <v>1955</v>
      </c>
      <c r="Q1477" s="116">
        <v>1934.1</v>
      </c>
      <c r="R1477">
        <v>154906</v>
      </c>
    </row>
    <row r="1478" spans="1:18" x14ac:dyDescent="0.25">
      <c r="A1478" s="170">
        <v>45649</v>
      </c>
      <c r="B1478" s="116">
        <v>1799.9</v>
      </c>
      <c r="C1478" s="116">
        <v>1760.9</v>
      </c>
      <c r="D1478" s="116">
        <v>1736.6</v>
      </c>
      <c r="E1478" s="116">
        <v>1770.85</v>
      </c>
      <c r="F1478" s="116">
        <v>1760.9</v>
      </c>
      <c r="G1478">
        <v>11477</v>
      </c>
      <c r="H1478" s="116"/>
      <c r="I1478" s="116"/>
      <c r="L1478" s="170">
        <v>45644</v>
      </c>
      <c r="M1478" s="116">
        <v>1879.3</v>
      </c>
      <c r="N1478" s="116">
        <v>1951.5</v>
      </c>
      <c r="O1478" s="116">
        <v>1874</v>
      </c>
      <c r="P1478" s="116">
        <v>1929.5</v>
      </c>
      <c r="Q1478" s="116">
        <v>1879.3</v>
      </c>
      <c r="R1478">
        <v>152928</v>
      </c>
    </row>
    <row r="1479" spans="1:18" x14ac:dyDescent="0.25">
      <c r="A1479" s="170">
        <v>45650</v>
      </c>
      <c r="B1479" s="116">
        <v>1772.75</v>
      </c>
      <c r="C1479" s="116">
        <v>1718.3</v>
      </c>
      <c r="D1479" s="116">
        <v>1716</v>
      </c>
      <c r="E1479" s="116">
        <v>1755.3</v>
      </c>
      <c r="F1479" s="116">
        <v>1718.3</v>
      </c>
      <c r="G1479">
        <v>5083</v>
      </c>
      <c r="H1479" s="116"/>
      <c r="I1479" s="116"/>
      <c r="L1479" s="170">
        <v>45645</v>
      </c>
      <c r="M1479" s="116">
        <v>1851.9</v>
      </c>
      <c r="N1479" s="116">
        <v>1868.75</v>
      </c>
      <c r="O1479" s="116">
        <v>1839.5</v>
      </c>
      <c r="P1479" s="116">
        <v>1839.5</v>
      </c>
      <c r="Q1479" s="116">
        <v>1851.9</v>
      </c>
      <c r="R1479">
        <v>79510</v>
      </c>
    </row>
    <row r="1480" spans="1:18" x14ac:dyDescent="0.25">
      <c r="A1480" s="170">
        <v>45652</v>
      </c>
      <c r="B1480" s="116">
        <v>1751.7</v>
      </c>
      <c r="C1480" s="116">
        <v>1739.85</v>
      </c>
      <c r="D1480" s="116">
        <v>1714.05</v>
      </c>
      <c r="E1480" s="116">
        <v>1724.45</v>
      </c>
      <c r="F1480" s="116">
        <v>1739.85</v>
      </c>
      <c r="G1480">
        <v>5810</v>
      </c>
      <c r="H1480" s="116"/>
      <c r="I1480" s="116"/>
      <c r="L1480" s="170">
        <v>45646</v>
      </c>
      <c r="M1480" s="116">
        <v>1801.9</v>
      </c>
      <c r="N1480" s="116">
        <v>1862.9</v>
      </c>
      <c r="O1480" s="116">
        <v>1795</v>
      </c>
      <c r="P1480" s="116">
        <v>1851.9</v>
      </c>
      <c r="Q1480" s="116">
        <v>1801.9</v>
      </c>
      <c r="R1480">
        <v>217111</v>
      </c>
    </row>
    <row r="1481" spans="1:18" x14ac:dyDescent="0.25">
      <c r="A1481" s="170">
        <v>45653</v>
      </c>
      <c r="B1481" s="116">
        <v>1755</v>
      </c>
      <c r="C1481" s="116">
        <v>1736.8</v>
      </c>
      <c r="D1481" s="116">
        <v>1728.95</v>
      </c>
      <c r="E1481" s="116">
        <v>1753.1</v>
      </c>
      <c r="F1481" s="116">
        <v>1736.8</v>
      </c>
      <c r="G1481">
        <v>4006</v>
      </c>
      <c r="H1481" s="116"/>
      <c r="I1481" s="116"/>
      <c r="L1481" s="170">
        <v>45649</v>
      </c>
      <c r="M1481" s="116">
        <v>1759.95</v>
      </c>
      <c r="N1481" s="116">
        <v>1802.75</v>
      </c>
      <c r="O1481" s="116">
        <v>1734.7</v>
      </c>
      <c r="P1481" s="116">
        <v>1785.5</v>
      </c>
      <c r="Q1481" s="116">
        <v>1759.95</v>
      </c>
      <c r="R1481">
        <v>516633</v>
      </c>
    </row>
    <row r="1482" spans="1:18" x14ac:dyDescent="0.25">
      <c r="A1482" s="170">
        <v>45656</v>
      </c>
      <c r="B1482" s="116">
        <v>1780.1</v>
      </c>
      <c r="C1482" s="116">
        <v>1771.55</v>
      </c>
      <c r="D1482" s="116">
        <v>1730.15</v>
      </c>
      <c r="E1482" s="116">
        <v>1745.15</v>
      </c>
      <c r="F1482" s="116">
        <v>1771.55</v>
      </c>
      <c r="G1482">
        <v>3143</v>
      </c>
      <c r="H1482" s="116"/>
      <c r="I1482" s="116"/>
      <c r="L1482" s="170">
        <v>45650</v>
      </c>
      <c r="M1482" s="116">
        <v>1717.65</v>
      </c>
      <c r="N1482" s="116">
        <v>1774.4</v>
      </c>
      <c r="O1482" s="116">
        <v>1715</v>
      </c>
      <c r="P1482" s="116">
        <v>1769.2</v>
      </c>
      <c r="Q1482" s="116">
        <v>1717.65</v>
      </c>
      <c r="R1482">
        <v>206876</v>
      </c>
    </row>
    <row r="1483" spans="1:18" x14ac:dyDescent="0.25">
      <c r="A1483" s="170">
        <v>45657</v>
      </c>
      <c r="B1483" s="116">
        <v>1799.35</v>
      </c>
      <c r="C1483" s="116">
        <v>1766.4</v>
      </c>
      <c r="D1483" s="116">
        <v>1747</v>
      </c>
      <c r="E1483" s="116">
        <v>1799.35</v>
      </c>
      <c r="F1483" s="116">
        <v>1766.4</v>
      </c>
      <c r="G1483">
        <v>1758</v>
      </c>
      <c r="H1483" s="116"/>
      <c r="I1483" s="116"/>
      <c r="L1483" s="170">
        <v>45652</v>
      </c>
      <c r="M1483" s="116">
        <v>1738.55</v>
      </c>
      <c r="N1483" s="116">
        <v>1752</v>
      </c>
      <c r="O1483" s="116">
        <v>1713</v>
      </c>
      <c r="P1483" s="116">
        <v>1719.35</v>
      </c>
      <c r="Q1483" s="116">
        <v>1738.55</v>
      </c>
      <c r="R1483">
        <v>515614</v>
      </c>
    </row>
    <row r="1484" spans="1:18" x14ac:dyDescent="0.25">
      <c r="A1484" s="170">
        <v>45658</v>
      </c>
      <c r="B1484" s="116">
        <v>1787</v>
      </c>
      <c r="C1484" s="116">
        <v>1772.2</v>
      </c>
      <c r="D1484" s="116">
        <v>1762.5</v>
      </c>
      <c r="E1484" s="116">
        <v>1771.05</v>
      </c>
      <c r="F1484" s="116">
        <v>1772.2</v>
      </c>
      <c r="G1484">
        <v>794</v>
      </c>
      <c r="H1484" s="116"/>
      <c r="I1484" s="116"/>
      <c r="L1484" s="170">
        <v>45653</v>
      </c>
      <c r="M1484" s="116">
        <v>1740.4</v>
      </c>
      <c r="N1484" s="116">
        <v>1755</v>
      </c>
      <c r="O1484" s="116">
        <v>1728.15</v>
      </c>
      <c r="P1484" s="116">
        <v>1740.25</v>
      </c>
      <c r="Q1484" s="116">
        <v>1740.4</v>
      </c>
      <c r="R1484">
        <v>135013</v>
      </c>
    </row>
    <row r="1485" spans="1:18" x14ac:dyDescent="0.25">
      <c r="A1485" s="170">
        <v>45659</v>
      </c>
      <c r="B1485" s="116">
        <v>1835.9</v>
      </c>
      <c r="C1485" s="116">
        <v>1816.25</v>
      </c>
      <c r="D1485" s="116">
        <v>1763.1</v>
      </c>
      <c r="E1485" s="116">
        <v>1770.55</v>
      </c>
      <c r="F1485" s="116">
        <v>1816.25</v>
      </c>
      <c r="G1485">
        <v>6453</v>
      </c>
      <c r="H1485" s="116"/>
      <c r="I1485" s="116"/>
      <c r="L1485" s="170">
        <v>45656</v>
      </c>
      <c r="M1485" s="116">
        <v>1771.35</v>
      </c>
      <c r="N1485" s="116">
        <v>1781</v>
      </c>
      <c r="O1485" s="116">
        <v>1727.55</v>
      </c>
      <c r="P1485" s="116">
        <v>1740</v>
      </c>
      <c r="Q1485" s="116">
        <v>1771.35</v>
      </c>
      <c r="R1485">
        <v>428056</v>
      </c>
    </row>
    <row r="1486" spans="1:18" x14ac:dyDescent="0.25">
      <c r="A1486" s="170">
        <v>45660</v>
      </c>
      <c r="B1486" s="116">
        <v>1830</v>
      </c>
      <c r="C1486" s="116">
        <v>1806.25</v>
      </c>
      <c r="D1486" s="116">
        <v>1801</v>
      </c>
      <c r="E1486" s="116">
        <v>1819</v>
      </c>
      <c r="F1486" s="116">
        <v>1806.25</v>
      </c>
      <c r="G1486">
        <v>2857</v>
      </c>
      <c r="H1486" s="116"/>
      <c r="I1486" s="116"/>
      <c r="L1486" s="170">
        <v>45657</v>
      </c>
      <c r="M1486" s="116">
        <v>1767.25</v>
      </c>
      <c r="N1486" s="116">
        <v>1779</v>
      </c>
      <c r="O1486" s="116">
        <v>1744.5</v>
      </c>
      <c r="P1486" s="116">
        <v>1779</v>
      </c>
      <c r="Q1486" s="116">
        <v>1767.25</v>
      </c>
      <c r="R1486">
        <v>118887</v>
      </c>
    </row>
    <row r="1487" spans="1:18" x14ac:dyDescent="0.25">
      <c r="A1487" s="170">
        <v>45663</v>
      </c>
      <c r="B1487" s="116">
        <v>1840.4</v>
      </c>
      <c r="C1487" s="116">
        <v>1754.95</v>
      </c>
      <c r="D1487" s="116">
        <v>1747.9</v>
      </c>
      <c r="E1487" s="116">
        <v>1813.75</v>
      </c>
      <c r="F1487" s="116">
        <v>1754.95</v>
      </c>
      <c r="G1487">
        <v>9634</v>
      </c>
      <c r="H1487" s="116"/>
      <c r="I1487" s="116"/>
      <c r="L1487" s="170">
        <v>45658</v>
      </c>
      <c r="M1487" s="116">
        <v>1770.95</v>
      </c>
      <c r="N1487" s="116">
        <v>1789</v>
      </c>
      <c r="O1487" s="116">
        <v>1759.3</v>
      </c>
      <c r="P1487" s="116">
        <v>1768.8</v>
      </c>
      <c r="Q1487" s="116">
        <v>1770.95</v>
      </c>
      <c r="R1487">
        <v>100730</v>
      </c>
    </row>
    <row r="1488" spans="1:18" x14ac:dyDescent="0.25">
      <c r="A1488" s="170">
        <v>45664</v>
      </c>
      <c r="B1488" s="116">
        <v>1810</v>
      </c>
      <c r="C1488" s="116">
        <v>1798.7</v>
      </c>
      <c r="D1488" s="116">
        <v>1774.5</v>
      </c>
      <c r="E1488" s="116">
        <v>1774.5</v>
      </c>
      <c r="F1488" s="116">
        <v>1798.7</v>
      </c>
      <c r="G1488">
        <v>1118</v>
      </c>
      <c r="H1488" s="116"/>
      <c r="I1488" s="116"/>
      <c r="L1488" s="170">
        <v>45659</v>
      </c>
      <c r="M1488" s="116">
        <v>1816.2</v>
      </c>
      <c r="N1488" s="116">
        <v>1836.2</v>
      </c>
      <c r="O1488" s="116">
        <v>1763.2</v>
      </c>
      <c r="P1488" s="116">
        <v>1765</v>
      </c>
      <c r="Q1488" s="116">
        <v>1816.2</v>
      </c>
      <c r="R1488">
        <v>496854</v>
      </c>
    </row>
    <row r="1489" spans="1:18" x14ac:dyDescent="0.25">
      <c r="A1489" s="170">
        <v>45665</v>
      </c>
      <c r="B1489" s="116">
        <v>1848.9</v>
      </c>
      <c r="C1489" s="116">
        <v>1800.2</v>
      </c>
      <c r="D1489" s="116">
        <v>1795.7</v>
      </c>
      <c r="E1489" s="116">
        <v>1805.65</v>
      </c>
      <c r="F1489" s="116">
        <v>1800.2</v>
      </c>
      <c r="G1489">
        <v>2909</v>
      </c>
      <c r="H1489" s="116"/>
      <c r="I1489" s="116"/>
      <c r="L1489" s="170">
        <v>45660</v>
      </c>
      <c r="M1489" s="116">
        <v>1807.85</v>
      </c>
      <c r="N1489" s="116">
        <v>1831</v>
      </c>
      <c r="O1489" s="116">
        <v>1800</v>
      </c>
      <c r="P1489" s="116">
        <v>1814</v>
      </c>
      <c r="Q1489" s="116">
        <v>1807.85</v>
      </c>
      <c r="R1489">
        <v>222622</v>
      </c>
    </row>
    <row r="1490" spans="1:18" x14ac:dyDescent="0.25">
      <c r="A1490" s="170">
        <v>45666</v>
      </c>
      <c r="B1490" s="116">
        <v>1812.5</v>
      </c>
      <c r="C1490" s="116">
        <v>1804.35</v>
      </c>
      <c r="D1490" s="116">
        <v>1776</v>
      </c>
      <c r="E1490" s="116">
        <v>1800.35</v>
      </c>
      <c r="F1490" s="116">
        <v>1804.35</v>
      </c>
      <c r="G1490">
        <v>2686</v>
      </c>
      <c r="H1490" s="116"/>
      <c r="I1490" s="116"/>
      <c r="L1490" s="170">
        <v>45663</v>
      </c>
      <c r="M1490" s="116">
        <v>1755.85</v>
      </c>
      <c r="N1490" s="116">
        <v>1840.85</v>
      </c>
      <c r="O1490" s="116">
        <v>1745.5</v>
      </c>
      <c r="P1490" s="116">
        <v>1808.45</v>
      </c>
      <c r="Q1490" s="116">
        <v>1755.85</v>
      </c>
      <c r="R1490">
        <v>265951</v>
      </c>
    </row>
    <row r="1491" spans="1:18" x14ac:dyDescent="0.25">
      <c r="A1491" s="170">
        <v>45667</v>
      </c>
      <c r="B1491" s="116">
        <v>1802.9</v>
      </c>
      <c r="C1491" s="116">
        <v>1730.1</v>
      </c>
      <c r="D1491" s="116">
        <v>1721</v>
      </c>
      <c r="E1491" s="116">
        <v>1802.9</v>
      </c>
      <c r="F1491" s="116">
        <v>1730.1</v>
      </c>
      <c r="G1491">
        <v>9137</v>
      </c>
      <c r="H1491" s="116"/>
      <c r="I1491" s="116"/>
      <c r="L1491" s="170">
        <v>45664</v>
      </c>
      <c r="M1491" s="116">
        <v>1799.25</v>
      </c>
      <c r="N1491" s="116">
        <v>1810.6</v>
      </c>
      <c r="O1491" s="116">
        <v>1764.65</v>
      </c>
      <c r="P1491" s="116">
        <v>1764.65</v>
      </c>
      <c r="Q1491" s="116">
        <v>1799.25</v>
      </c>
      <c r="R1491">
        <v>149849</v>
      </c>
    </row>
    <row r="1492" spans="1:18" x14ac:dyDescent="0.25">
      <c r="A1492" s="170">
        <v>45670</v>
      </c>
      <c r="B1492" s="116">
        <v>1754.9</v>
      </c>
      <c r="C1492" s="116">
        <v>1701.75</v>
      </c>
      <c r="D1492" s="116">
        <v>1675</v>
      </c>
      <c r="E1492" s="116">
        <v>1705.4</v>
      </c>
      <c r="F1492" s="116">
        <v>1701.75</v>
      </c>
      <c r="G1492">
        <v>6466</v>
      </c>
      <c r="H1492" s="116"/>
      <c r="I1492" s="116"/>
      <c r="L1492" s="170">
        <v>45665</v>
      </c>
      <c r="M1492" s="116">
        <v>1800.1</v>
      </c>
      <c r="N1492" s="116">
        <v>1848</v>
      </c>
      <c r="O1492" s="116">
        <v>1796</v>
      </c>
      <c r="P1492" s="116">
        <v>1804</v>
      </c>
      <c r="Q1492" s="116">
        <v>1800.1</v>
      </c>
      <c r="R1492">
        <v>269201</v>
      </c>
    </row>
    <row r="1493" spans="1:18" x14ac:dyDescent="0.25">
      <c r="A1493" s="170">
        <v>45671</v>
      </c>
      <c r="B1493" s="116">
        <v>1736</v>
      </c>
      <c r="C1493" s="116">
        <v>1730.25</v>
      </c>
      <c r="D1493" s="116">
        <v>1691</v>
      </c>
      <c r="E1493" s="116">
        <v>1732.1</v>
      </c>
      <c r="F1493" s="116">
        <v>1730.25</v>
      </c>
      <c r="G1493">
        <v>2055</v>
      </c>
      <c r="H1493" s="116"/>
      <c r="I1493" s="116"/>
      <c r="L1493" s="170">
        <v>45666</v>
      </c>
      <c r="M1493" s="116">
        <v>1802.3</v>
      </c>
      <c r="N1493" s="116">
        <v>1813.4</v>
      </c>
      <c r="O1493" s="116">
        <v>1775.8</v>
      </c>
      <c r="P1493" s="116">
        <v>1795</v>
      </c>
      <c r="Q1493" s="116">
        <v>1802.3</v>
      </c>
      <c r="R1493">
        <v>424042</v>
      </c>
    </row>
    <row r="1494" spans="1:18" x14ac:dyDescent="0.25">
      <c r="A1494" s="170">
        <v>45672</v>
      </c>
      <c r="B1494" s="116">
        <v>1742.1</v>
      </c>
      <c r="C1494" s="116">
        <v>1736.7</v>
      </c>
      <c r="D1494" s="116">
        <v>1711.8</v>
      </c>
      <c r="E1494" s="116">
        <v>1725</v>
      </c>
      <c r="F1494" s="116">
        <v>1736.7</v>
      </c>
      <c r="G1494">
        <v>1806</v>
      </c>
      <c r="H1494" s="116"/>
      <c r="I1494" s="116"/>
      <c r="L1494" s="170">
        <v>45667</v>
      </c>
      <c r="M1494" s="116">
        <v>1727.5</v>
      </c>
      <c r="N1494" s="116">
        <v>1808.5</v>
      </c>
      <c r="O1494" s="116">
        <v>1720.25</v>
      </c>
      <c r="P1494" s="116">
        <v>1800</v>
      </c>
      <c r="Q1494" s="116">
        <v>1727.5</v>
      </c>
      <c r="R1494">
        <v>388362</v>
      </c>
    </row>
    <row r="1495" spans="1:18" x14ac:dyDescent="0.25">
      <c r="A1495" s="170">
        <v>45673</v>
      </c>
      <c r="B1495" s="116">
        <v>1761.95</v>
      </c>
      <c r="C1495" s="116">
        <v>1744.55</v>
      </c>
      <c r="D1495" s="116">
        <v>1733.35</v>
      </c>
      <c r="E1495" s="116">
        <v>1750</v>
      </c>
      <c r="F1495" s="116">
        <v>1744.55</v>
      </c>
      <c r="G1495">
        <v>2226</v>
      </c>
      <c r="H1495" s="116"/>
      <c r="I1495" s="116"/>
      <c r="L1495" s="170">
        <v>45670</v>
      </c>
      <c r="M1495" s="116">
        <v>1702.1</v>
      </c>
      <c r="N1495" s="116">
        <v>1757.35</v>
      </c>
      <c r="O1495" s="116">
        <v>1673.5</v>
      </c>
      <c r="P1495" s="116">
        <v>1725</v>
      </c>
      <c r="Q1495" s="116">
        <v>1702.1</v>
      </c>
      <c r="R1495">
        <v>407052</v>
      </c>
    </row>
    <row r="1496" spans="1:18" x14ac:dyDescent="0.25">
      <c r="A1496" s="170">
        <v>45674</v>
      </c>
      <c r="B1496" s="116">
        <v>1739.45</v>
      </c>
      <c r="C1496" s="116">
        <v>1722.9</v>
      </c>
      <c r="D1496" s="116">
        <v>1695.1</v>
      </c>
      <c r="E1496" s="116">
        <v>1731.25</v>
      </c>
      <c r="F1496" s="116">
        <v>1722.9</v>
      </c>
      <c r="G1496">
        <v>2972</v>
      </c>
      <c r="H1496" s="116"/>
      <c r="I1496" s="116"/>
      <c r="L1496" s="170">
        <v>45671</v>
      </c>
      <c r="M1496" s="116">
        <v>1729</v>
      </c>
      <c r="N1496" s="116">
        <v>1739</v>
      </c>
      <c r="O1496" s="116">
        <v>1688</v>
      </c>
      <c r="P1496" s="116">
        <v>1703.3</v>
      </c>
      <c r="Q1496" s="116">
        <v>1729</v>
      </c>
      <c r="R1496">
        <v>264680</v>
      </c>
    </row>
    <row r="1497" spans="1:18" x14ac:dyDescent="0.25">
      <c r="A1497" s="170">
        <v>45677</v>
      </c>
      <c r="B1497" s="116">
        <v>1759.55</v>
      </c>
      <c r="C1497" s="116">
        <v>1752.5</v>
      </c>
      <c r="D1497" s="116">
        <v>1702.3</v>
      </c>
      <c r="E1497" s="116">
        <v>1747</v>
      </c>
      <c r="F1497" s="116">
        <v>1752.5</v>
      </c>
      <c r="G1497">
        <v>3709</v>
      </c>
      <c r="H1497" s="116"/>
      <c r="I1497" s="116"/>
      <c r="L1497" s="170">
        <v>45672</v>
      </c>
      <c r="M1497" s="116">
        <v>1737</v>
      </c>
      <c r="N1497" s="116">
        <v>1742.75</v>
      </c>
      <c r="O1497" s="116">
        <v>1712</v>
      </c>
      <c r="P1497" s="116">
        <v>1725</v>
      </c>
      <c r="Q1497" s="116">
        <v>1737</v>
      </c>
      <c r="R1497">
        <v>328842</v>
      </c>
    </row>
    <row r="1498" spans="1:18" x14ac:dyDescent="0.25">
      <c r="A1498" s="170">
        <v>45678</v>
      </c>
      <c r="B1498" s="116">
        <v>1796.8</v>
      </c>
      <c r="C1498" s="116">
        <v>1770.9</v>
      </c>
      <c r="D1498" s="116">
        <v>1758.95</v>
      </c>
      <c r="E1498" s="116">
        <v>1758.95</v>
      </c>
      <c r="F1498" s="116">
        <v>1770.9</v>
      </c>
      <c r="G1498">
        <v>10965</v>
      </c>
      <c r="H1498" s="116"/>
      <c r="I1498" s="116"/>
      <c r="L1498" s="170">
        <v>45673</v>
      </c>
      <c r="M1498" s="116">
        <v>1740.65</v>
      </c>
      <c r="N1498" s="116">
        <v>1762</v>
      </c>
      <c r="O1498" s="116">
        <v>1731.25</v>
      </c>
      <c r="P1498" s="116">
        <v>1745</v>
      </c>
      <c r="Q1498" s="116">
        <v>1740.65</v>
      </c>
      <c r="R1498">
        <v>109957</v>
      </c>
    </row>
    <row r="1499" spans="1:18" x14ac:dyDescent="0.25">
      <c r="A1499" s="170">
        <v>45679</v>
      </c>
      <c r="B1499" s="116">
        <v>1805.95</v>
      </c>
      <c r="C1499" s="116">
        <v>1799.25</v>
      </c>
      <c r="D1499" s="116">
        <v>1694.95</v>
      </c>
      <c r="E1499" s="116">
        <v>1694.95</v>
      </c>
      <c r="F1499" s="116">
        <v>1799.25</v>
      </c>
      <c r="G1499">
        <v>42647</v>
      </c>
      <c r="H1499" s="116"/>
      <c r="I1499" s="116"/>
      <c r="L1499" s="170">
        <v>45674</v>
      </c>
      <c r="M1499" s="116">
        <v>1721.95</v>
      </c>
      <c r="N1499" s="116">
        <v>1741.2</v>
      </c>
      <c r="O1499" s="116">
        <v>1695.7</v>
      </c>
      <c r="P1499" s="116">
        <v>1739</v>
      </c>
      <c r="Q1499" s="116">
        <v>1721.95</v>
      </c>
      <c r="R1499">
        <v>219504</v>
      </c>
    </row>
    <row r="1500" spans="1:18" x14ac:dyDescent="0.25">
      <c r="A1500" s="170">
        <v>45680</v>
      </c>
      <c r="B1500" s="116">
        <v>1835</v>
      </c>
      <c r="C1500" s="116">
        <v>1828.8</v>
      </c>
      <c r="D1500" s="116">
        <v>1747.45</v>
      </c>
      <c r="E1500" s="116">
        <v>1747.45</v>
      </c>
      <c r="F1500" s="116">
        <v>1828.8</v>
      </c>
      <c r="G1500">
        <v>7605</v>
      </c>
      <c r="H1500" s="116"/>
      <c r="I1500" s="116"/>
      <c r="L1500" s="170">
        <v>45677</v>
      </c>
      <c r="M1500" s="116">
        <v>1752.05</v>
      </c>
      <c r="N1500" s="116">
        <v>1759.6</v>
      </c>
      <c r="O1500" s="116">
        <v>1701.6</v>
      </c>
      <c r="P1500" s="116">
        <v>1730.6</v>
      </c>
      <c r="Q1500" s="116">
        <v>1752.05</v>
      </c>
      <c r="R1500">
        <v>123664</v>
      </c>
    </row>
    <row r="1501" spans="1:18" x14ac:dyDescent="0.25">
      <c r="A1501" s="170">
        <v>45681</v>
      </c>
      <c r="B1501" s="116">
        <v>1858.35</v>
      </c>
      <c r="C1501" s="116">
        <v>1798.25</v>
      </c>
      <c r="D1501" s="116">
        <v>1793.2</v>
      </c>
      <c r="E1501" s="116">
        <v>1828.4</v>
      </c>
      <c r="F1501" s="116">
        <v>1798.25</v>
      </c>
      <c r="G1501">
        <v>8633</v>
      </c>
      <c r="H1501" s="116"/>
      <c r="I1501" s="116"/>
      <c r="L1501" s="170">
        <v>45678</v>
      </c>
      <c r="M1501" s="116">
        <v>1771.2</v>
      </c>
      <c r="N1501" s="116">
        <v>1796</v>
      </c>
      <c r="O1501" s="116">
        <v>1758</v>
      </c>
      <c r="P1501" s="116">
        <v>1758</v>
      </c>
      <c r="Q1501" s="116">
        <v>1771.2</v>
      </c>
      <c r="R1501">
        <v>1374819</v>
      </c>
    </row>
    <row r="1502" spans="1:18" x14ac:dyDescent="0.25">
      <c r="A1502" s="170">
        <v>45684</v>
      </c>
      <c r="B1502" s="116">
        <v>1808.35</v>
      </c>
      <c r="C1502" s="116">
        <v>1796.1</v>
      </c>
      <c r="D1502" s="116">
        <v>1792.7</v>
      </c>
      <c r="E1502" s="116">
        <v>1803</v>
      </c>
      <c r="F1502" s="116">
        <v>1796.1</v>
      </c>
      <c r="G1502">
        <v>2686</v>
      </c>
      <c r="H1502" s="116"/>
      <c r="I1502" s="116"/>
      <c r="L1502" s="170">
        <v>45679</v>
      </c>
      <c r="M1502" s="116">
        <v>1799.05</v>
      </c>
      <c r="N1502" s="116">
        <v>1805.65</v>
      </c>
      <c r="O1502" s="116">
        <v>1702</v>
      </c>
      <c r="P1502" s="116">
        <v>1702</v>
      </c>
      <c r="Q1502" s="116">
        <v>1799.05</v>
      </c>
      <c r="R1502">
        <v>2935848</v>
      </c>
    </row>
    <row r="1503" spans="1:18" x14ac:dyDescent="0.25">
      <c r="A1503" s="170">
        <v>45685</v>
      </c>
      <c r="B1503" s="116">
        <v>1832</v>
      </c>
      <c r="C1503" s="116">
        <v>1813.55</v>
      </c>
      <c r="D1503" s="116">
        <v>1778.95</v>
      </c>
      <c r="E1503" s="116">
        <v>1803.95</v>
      </c>
      <c r="F1503" s="116">
        <v>1813.55</v>
      </c>
      <c r="G1503">
        <v>5146</v>
      </c>
      <c r="H1503" s="116"/>
      <c r="I1503" s="116"/>
      <c r="L1503" s="170">
        <v>45680</v>
      </c>
      <c r="M1503" s="116">
        <v>1828.35</v>
      </c>
      <c r="N1503" s="116">
        <v>1849</v>
      </c>
      <c r="O1503" s="116">
        <v>1768.75</v>
      </c>
      <c r="P1503" s="116">
        <v>1775</v>
      </c>
      <c r="Q1503" s="116">
        <v>1828.35</v>
      </c>
      <c r="R1503">
        <v>985904</v>
      </c>
    </row>
    <row r="1504" spans="1:18" x14ac:dyDescent="0.25">
      <c r="A1504" s="170">
        <v>45686</v>
      </c>
      <c r="B1504" s="116">
        <v>1867.95</v>
      </c>
      <c r="C1504" s="116">
        <v>1854.25</v>
      </c>
      <c r="D1504" s="116">
        <v>1807.2</v>
      </c>
      <c r="E1504" s="116">
        <v>1832.85</v>
      </c>
      <c r="F1504" s="116">
        <v>1854.25</v>
      </c>
      <c r="G1504">
        <v>9917</v>
      </c>
      <c r="H1504" s="116"/>
      <c r="I1504" s="116"/>
      <c r="L1504" s="170">
        <v>45681</v>
      </c>
      <c r="M1504" s="116">
        <v>1802.95</v>
      </c>
      <c r="N1504" s="116">
        <v>1858</v>
      </c>
      <c r="O1504" s="116">
        <v>1798.55</v>
      </c>
      <c r="P1504" s="116">
        <v>1837</v>
      </c>
      <c r="Q1504" s="116">
        <v>1802.95</v>
      </c>
      <c r="R1504">
        <v>485019</v>
      </c>
    </row>
    <row r="1505" spans="1:18" x14ac:dyDescent="0.25">
      <c r="A1505" s="170">
        <v>45687</v>
      </c>
      <c r="B1505" s="116">
        <v>1874.3</v>
      </c>
      <c r="C1505" s="116">
        <v>1851.15</v>
      </c>
      <c r="D1505" s="116">
        <v>1832.65</v>
      </c>
      <c r="E1505" s="116">
        <v>1874.3</v>
      </c>
      <c r="F1505" s="116">
        <v>1851.15</v>
      </c>
      <c r="G1505">
        <v>5256</v>
      </c>
      <c r="H1505" s="116"/>
      <c r="I1505" s="116"/>
      <c r="L1505" s="170">
        <v>45684</v>
      </c>
      <c r="M1505" s="116">
        <v>1795.95</v>
      </c>
      <c r="N1505" s="116">
        <v>1809.6</v>
      </c>
      <c r="O1505" s="116">
        <v>1790.8</v>
      </c>
      <c r="P1505" s="116">
        <v>1800.05</v>
      </c>
      <c r="Q1505" s="116">
        <v>1795.95</v>
      </c>
      <c r="R1505">
        <v>526756</v>
      </c>
    </row>
    <row r="1506" spans="1:18" x14ac:dyDescent="0.25">
      <c r="A1506" s="170">
        <v>45688</v>
      </c>
      <c r="B1506" s="116">
        <v>1873</v>
      </c>
      <c r="C1506" s="116">
        <v>1870.35</v>
      </c>
      <c r="D1506" s="116">
        <v>1839.85</v>
      </c>
      <c r="E1506" s="116">
        <v>1859.95</v>
      </c>
      <c r="F1506" s="116">
        <v>1870.35</v>
      </c>
      <c r="G1506">
        <v>1402</v>
      </c>
      <c r="H1506" s="116"/>
      <c r="I1506" s="116"/>
      <c r="L1506" s="170">
        <v>45685</v>
      </c>
      <c r="M1506" s="116">
        <v>1813.2</v>
      </c>
      <c r="N1506" s="116">
        <v>1833.95</v>
      </c>
      <c r="O1506" s="116">
        <v>1779</v>
      </c>
      <c r="P1506" s="116">
        <v>1804.3</v>
      </c>
      <c r="Q1506" s="116">
        <v>1813.2</v>
      </c>
      <c r="R1506">
        <v>386266</v>
      </c>
    </row>
    <row r="1507" spans="1:18" x14ac:dyDescent="0.25">
      <c r="A1507" s="170">
        <v>45689</v>
      </c>
      <c r="B1507" s="116">
        <v>1891.9</v>
      </c>
      <c r="C1507" s="116">
        <v>1827.75</v>
      </c>
      <c r="D1507" s="116">
        <v>1798.9</v>
      </c>
      <c r="E1507" s="116">
        <v>1833.1</v>
      </c>
      <c r="F1507" s="116">
        <v>1827.75</v>
      </c>
      <c r="G1507">
        <v>17278</v>
      </c>
      <c r="H1507" s="116"/>
      <c r="I1507" s="116"/>
      <c r="L1507" s="170">
        <v>45686</v>
      </c>
      <c r="M1507" s="116">
        <v>1856.45</v>
      </c>
      <c r="N1507" s="116">
        <v>1868.35</v>
      </c>
      <c r="O1507" s="116">
        <v>1805.15</v>
      </c>
      <c r="P1507" s="116">
        <v>1813.05</v>
      </c>
      <c r="Q1507" s="116">
        <v>1856.45</v>
      </c>
      <c r="R1507">
        <v>500967</v>
      </c>
    </row>
    <row r="1508" spans="1:18" x14ac:dyDescent="0.25">
      <c r="A1508" s="170">
        <v>45691</v>
      </c>
      <c r="B1508" s="116">
        <v>1835.6</v>
      </c>
      <c r="C1508" s="116">
        <v>1810.45</v>
      </c>
      <c r="D1508" s="116">
        <v>1790</v>
      </c>
      <c r="E1508" s="116">
        <v>1812.6</v>
      </c>
      <c r="F1508" s="116">
        <v>1810.45</v>
      </c>
      <c r="G1508">
        <v>3228</v>
      </c>
      <c r="H1508" s="116"/>
      <c r="I1508" s="116"/>
      <c r="L1508" s="170">
        <v>45687</v>
      </c>
      <c r="M1508" s="116">
        <v>1851.9</v>
      </c>
      <c r="N1508" s="116">
        <v>1871.05</v>
      </c>
      <c r="O1508" s="116">
        <v>1830</v>
      </c>
      <c r="P1508" s="116">
        <v>1856.45</v>
      </c>
      <c r="Q1508" s="116">
        <v>1851.9</v>
      </c>
      <c r="R1508">
        <v>525265</v>
      </c>
    </row>
    <row r="1509" spans="1:18" x14ac:dyDescent="0.25">
      <c r="A1509" s="170">
        <v>45692</v>
      </c>
      <c r="B1509" s="116">
        <v>1855.75</v>
      </c>
      <c r="C1509" s="116">
        <v>1853.55</v>
      </c>
      <c r="D1509" s="116">
        <v>1780.1</v>
      </c>
      <c r="E1509" s="116">
        <v>1780.1</v>
      </c>
      <c r="F1509" s="116">
        <v>1853.55</v>
      </c>
      <c r="G1509">
        <v>7425</v>
      </c>
      <c r="H1509" s="116"/>
      <c r="I1509" s="116"/>
      <c r="L1509" s="170">
        <v>45688</v>
      </c>
      <c r="M1509" s="116">
        <v>1866.35</v>
      </c>
      <c r="N1509" s="116">
        <v>1872.7</v>
      </c>
      <c r="O1509" s="116">
        <v>1833.05</v>
      </c>
      <c r="P1509" s="116">
        <v>1842.75</v>
      </c>
      <c r="Q1509" s="116">
        <v>1866.35</v>
      </c>
      <c r="R1509">
        <v>139632</v>
      </c>
    </row>
    <row r="1510" spans="1:18" x14ac:dyDescent="0.25">
      <c r="A1510" s="170">
        <v>45693</v>
      </c>
      <c r="B1510" s="116">
        <v>1919.85</v>
      </c>
      <c r="C1510" s="116">
        <v>1886.15</v>
      </c>
      <c r="D1510" s="116">
        <v>1843.9</v>
      </c>
      <c r="E1510" s="116">
        <v>1869.95</v>
      </c>
      <c r="F1510" s="116">
        <v>1886.15</v>
      </c>
      <c r="G1510">
        <v>7085</v>
      </c>
      <c r="H1510" s="116"/>
      <c r="I1510" s="116"/>
      <c r="L1510" s="170">
        <v>45689</v>
      </c>
      <c r="M1510" s="116">
        <v>1827.4</v>
      </c>
      <c r="N1510" s="116">
        <v>1892</v>
      </c>
      <c r="O1510" s="116">
        <v>1794.9</v>
      </c>
      <c r="P1510" s="116">
        <v>1875</v>
      </c>
      <c r="Q1510" s="116">
        <v>1827.4</v>
      </c>
      <c r="R1510">
        <v>234718</v>
      </c>
    </row>
    <row r="1511" spans="1:18" x14ac:dyDescent="0.25">
      <c r="A1511" s="170">
        <v>45694</v>
      </c>
      <c r="B1511" s="116">
        <v>1884.9</v>
      </c>
      <c r="C1511" s="116">
        <v>1867.85</v>
      </c>
      <c r="D1511" s="116">
        <v>1857</v>
      </c>
      <c r="E1511" s="116">
        <v>1881.95</v>
      </c>
      <c r="F1511" s="116">
        <v>1867.85</v>
      </c>
      <c r="G1511">
        <v>286755</v>
      </c>
      <c r="H1511" s="116"/>
      <c r="I1511" s="116"/>
      <c r="L1511" s="170">
        <v>45691</v>
      </c>
      <c r="M1511" s="116">
        <v>1810.45</v>
      </c>
      <c r="N1511" s="116">
        <v>1840.15</v>
      </c>
      <c r="O1511" s="116">
        <v>1788.6</v>
      </c>
      <c r="P1511" s="116">
        <v>1800.05</v>
      </c>
      <c r="Q1511" s="116">
        <v>1810.45</v>
      </c>
      <c r="R1511">
        <v>214516</v>
      </c>
    </row>
    <row r="1512" spans="1:18" x14ac:dyDescent="0.25">
      <c r="A1512" s="170">
        <v>45695</v>
      </c>
      <c r="B1512" s="116">
        <v>1878.1</v>
      </c>
      <c r="C1512" s="116">
        <v>1851</v>
      </c>
      <c r="D1512" s="116">
        <v>1839.25</v>
      </c>
      <c r="E1512" s="116">
        <v>1865.05</v>
      </c>
      <c r="F1512" s="116">
        <v>1851</v>
      </c>
      <c r="G1512">
        <v>3512</v>
      </c>
      <c r="H1512" s="116"/>
      <c r="I1512" s="116"/>
      <c r="L1512" s="170">
        <v>45692</v>
      </c>
      <c r="M1512" s="116">
        <v>1852.7</v>
      </c>
      <c r="N1512" s="116">
        <v>1857.6</v>
      </c>
      <c r="O1512" s="116">
        <v>1800</v>
      </c>
      <c r="P1512" s="116">
        <v>1800</v>
      </c>
      <c r="Q1512" s="116">
        <v>1852.7</v>
      </c>
      <c r="R1512">
        <v>339894</v>
      </c>
    </row>
    <row r="1513" spans="1:18" x14ac:dyDescent="0.25">
      <c r="A1513" s="170">
        <v>45698</v>
      </c>
      <c r="B1513" s="116">
        <v>1865.25</v>
      </c>
      <c r="C1513" s="116">
        <v>1823.7</v>
      </c>
      <c r="D1513" s="116">
        <v>1810</v>
      </c>
      <c r="E1513" s="116">
        <v>1865.25</v>
      </c>
      <c r="F1513" s="116">
        <v>1823.7</v>
      </c>
      <c r="G1513">
        <v>2080</v>
      </c>
      <c r="H1513" s="116"/>
      <c r="I1513" s="116"/>
      <c r="L1513" s="170">
        <v>45693</v>
      </c>
      <c r="M1513" s="116">
        <v>1887.55</v>
      </c>
      <c r="N1513" s="116">
        <v>1918.95</v>
      </c>
      <c r="O1513" s="116">
        <v>1843.65</v>
      </c>
      <c r="P1513" s="116">
        <v>1855</v>
      </c>
      <c r="Q1513" s="116">
        <v>1887.55</v>
      </c>
      <c r="R1513">
        <v>890914</v>
      </c>
    </row>
    <row r="1514" spans="1:18" x14ac:dyDescent="0.25">
      <c r="A1514" s="170">
        <v>45699</v>
      </c>
      <c r="B1514" s="116">
        <v>1825.1</v>
      </c>
      <c r="C1514" s="116">
        <v>1782.75</v>
      </c>
      <c r="D1514" s="116">
        <v>1780.2</v>
      </c>
      <c r="E1514" s="116">
        <v>1823.25</v>
      </c>
      <c r="F1514" s="116">
        <v>1782.75</v>
      </c>
      <c r="G1514">
        <v>2904</v>
      </c>
      <c r="H1514" s="116"/>
      <c r="I1514" s="116"/>
      <c r="L1514" s="170">
        <v>45694</v>
      </c>
      <c r="M1514" s="116">
        <v>1868</v>
      </c>
      <c r="N1514" s="116">
        <v>1887.85</v>
      </c>
      <c r="O1514" s="116">
        <v>1857.05</v>
      </c>
      <c r="P1514" s="116">
        <v>1885</v>
      </c>
      <c r="Q1514" s="116">
        <v>1868</v>
      </c>
      <c r="R1514">
        <v>228834</v>
      </c>
    </row>
    <row r="1515" spans="1:18" x14ac:dyDescent="0.25">
      <c r="A1515" s="170">
        <v>45700</v>
      </c>
      <c r="B1515" s="116">
        <v>1809</v>
      </c>
      <c r="C1515" s="116">
        <v>1796.7</v>
      </c>
      <c r="D1515" s="116">
        <v>1742.15</v>
      </c>
      <c r="E1515" s="116">
        <v>1785.05</v>
      </c>
      <c r="F1515" s="116">
        <v>1796.7</v>
      </c>
      <c r="G1515">
        <v>1832</v>
      </c>
      <c r="H1515" s="116"/>
      <c r="I1515" s="116"/>
      <c r="L1515" s="170">
        <v>45695</v>
      </c>
      <c r="M1515" s="116">
        <v>1849.75</v>
      </c>
      <c r="N1515" s="116">
        <v>1878.5</v>
      </c>
      <c r="O1515" s="116">
        <v>1838.15</v>
      </c>
      <c r="P1515" s="116">
        <v>1875.05</v>
      </c>
      <c r="Q1515" s="116">
        <v>1849.75</v>
      </c>
      <c r="R1515">
        <v>306565</v>
      </c>
    </row>
    <row r="1516" spans="1:18" x14ac:dyDescent="0.25">
      <c r="A1516" s="170">
        <v>45701</v>
      </c>
      <c r="B1516" s="116">
        <v>1823.75</v>
      </c>
      <c r="C1516" s="116">
        <v>1797.15</v>
      </c>
      <c r="D1516" s="116">
        <v>1794</v>
      </c>
      <c r="E1516" s="116">
        <v>1810.95</v>
      </c>
      <c r="F1516" s="116">
        <v>1797.15</v>
      </c>
      <c r="G1516">
        <v>1962</v>
      </c>
      <c r="H1516" s="116"/>
      <c r="I1516" s="116"/>
      <c r="L1516" s="170">
        <v>45698</v>
      </c>
      <c r="M1516" s="116">
        <v>1823.25</v>
      </c>
      <c r="N1516" s="116">
        <v>1860</v>
      </c>
      <c r="O1516" s="116">
        <v>1809</v>
      </c>
      <c r="P1516" s="116">
        <v>1860</v>
      </c>
      <c r="Q1516" s="116">
        <v>1823.25</v>
      </c>
      <c r="R1516">
        <v>148651</v>
      </c>
    </row>
    <row r="1517" spans="1:18" x14ac:dyDescent="0.25">
      <c r="A1517" s="170">
        <v>45702</v>
      </c>
      <c r="B1517" s="116">
        <v>1814</v>
      </c>
      <c r="C1517" s="116">
        <v>1783.7</v>
      </c>
      <c r="D1517" s="116">
        <v>1762.05</v>
      </c>
      <c r="E1517" s="116">
        <v>1800</v>
      </c>
      <c r="F1517" s="116">
        <v>1783.7</v>
      </c>
      <c r="G1517">
        <v>1629</v>
      </c>
      <c r="H1517" s="116"/>
      <c r="I1517" s="116"/>
      <c r="L1517" s="170">
        <v>45699</v>
      </c>
      <c r="M1517" s="116">
        <v>1786.05</v>
      </c>
      <c r="N1517" s="116">
        <v>1827.3</v>
      </c>
      <c r="O1517" s="116">
        <v>1780.15</v>
      </c>
      <c r="P1517" s="116">
        <v>1806.7</v>
      </c>
      <c r="Q1517" s="116">
        <v>1786.05</v>
      </c>
      <c r="R1517">
        <v>210236</v>
      </c>
    </row>
    <row r="1518" spans="1:18" x14ac:dyDescent="0.25">
      <c r="A1518" s="170">
        <v>45705</v>
      </c>
      <c r="B1518" s="116">
        <v>1813.55</v>
      </c>
      <c r="C1518" s="116">
        <v>1808.4</v>
      </c>
      <c r="D1518" s="116">
        <v>1750</v>
      </c>
      <c r="E1518" s="116">
        <v>1783.7</v>
      </c>
      <c r="F1518" s="116">
        <v>1808.4</v>
      </c>
      <c r="G1518">
        <v>2300</v>
      </c>
      <c r="H1518" s="116"/>
      <c r="I1518" s="116"/>
      <c r="L1518" s="170">
        <v>45700</v>
      </c>
      <c r="M1518" s="116">
        <v>1800.05</v>
      </c>
      <c r="N1518" s="116">
        <v>1809.8</v>
      </c>
      <c r="O1518" s="116">
        <v>1741.5</v>
      </c>
      <c r="P1518" s="116">
        <v>1795.5</v>
      </c>
      <c r="Q1518" s="116">
        <v>1800.05</v>
      </c>
      <c r="R1518">
        <v>123172</v>
      </c>
    </row>
    <row r="1519" spans="1:18" x14ac:dyDescent="0.25">
      <c r="A1519" s="170">
        <v>45706</v>
      </c>
      <c r="B1519" s="116">
        <v>1805</v>
      </c>
      <c r="C1519" s="116">
        <v>1799.55</v>
      </c>
      <c r="D1519" s="116">
        <v>1766</v>
      </c>
      <c r="E1519" s="116">
        <v>1794.65</v>
      </c>
      <c r="F1519" s="116">
        <v>1799.55</v>
      </c>
      <c r="G1519">
        <v>1797</v>
      </c>
      <c r="H1519" s="116"/>
      <c r="I1519" s="116"/>
      <c r="L1519" s="170">
        <v>45701</v>
      </c>
      <c r="M1519" s="116">
        <v>1798.4</v>
      </c>
      <c r="N1519" s="116">
        <v>1825</v>
      </c>
      <c r="O1519" s="116">
        <v>1792.55</v>
      </c>
      <c r="P1519" s="116">
        <v>1800.05</v>
      </c>
      <c r="Q1519" s="116">
        <v>1798.4</v>
      </c>
      <c r="R1519">
        <v>86388</v>
      </c>
    </row>
    <row r="1520" spans="1:18" x14ac:dyDescent="0.25">
      <c r="A1520" s="170">
        <v>45707</v>
      </c>
      <c r="B1520" s="116">
        <v>1808.8</v>
      </c>
      <c r="C1520" s="116">
        <v>1771</v>
      </c>
      <c r="D1520" s="116">
        <v>1760.4</v>
      </c>
      <c r="E1520" s="116">
        <v>1787.9</v>
      </c>
      <c r="F1520" s="116">
        <v>1771</v>
      </c>
      <c r="G1520">
        <v>1690</v>
      </c>
      <c r="H1520" s="116"/>
      <c r="I1520" s="116"/>
      <c r="L1520" s="170">
        <v>45702</v>
      </c>
      <c r="M1520" s="116">
        <v>1782.45</v>
      </c>
      <c r="N1520" s="116">
        <v>1815.5</v>
      </c>
      <c r="O1520" s="116">
        <v>1760.5</v>
      </c>
      <c r="P1520" s="116">
        <v>1800.25</v>
      </c>
      <c r="Q1520" s="116">
        <v>1782.45</v>
      </c>
      <c r="R1520">
        <v>223752</v>
      </c>
    </row>
    <row r="1521" spans="1:18" x14ac:dyDescent="0.25">
      <c r="A1521" s="170">
        <v>45708</v>
      </c>
      <c r="B1521" s="116">
        <v>1792.7</v>
      </c>
      <c r="C1521" s="116">
        <v>1785.5</v>
      </c>
      <c r="D1521" s="116">
        <v>1762</v>
      </c>
      <c r="E1521" s="116">
        <v>1767</v>
      </c>
      <c r="F1521" s="116">
        <v>1785.5</v>
      </c>
      <c r="G1521">
        <v>2958</v>
      </c>
      <c r="H1521" s="116"/>
      <c r="I1521" s="116"/>
      <c r="L1521" s="170">
        <v>45705</v>
      </c>
      <c r="M1521" s="116">
        <v>1808.15</v>
      </c>
      <c r="N1521" s="116">
        <v>1813</v>
      </c>
      <c r="O1521" s="116">
        <v>1746.1</v>
      </c>
      <c r="P1521" s="116">
        <v>1771</v>
      </c>
      <c r="Q1521" s="116">
        <v>1808.15</v>
      </c>
      <c r="R1521">
        <v>165448</v>
      </c>
    </row>
    <row r="1522" spans="1:18" x14ac:dyDescent="0.25">
      <c r="A1522" s="170">
        <v>45709</v>
      </c>
      <c r="B1522" s="116">
        <v>1793</v>
      </c>
      <c r="C1522" s="116">
        <v>1741</v>
      </c>
      <c r="D1522" s="116">
        <v>1734.7</v>
      </c>
      <c r="E1522" s="116">
        <v>1787.4</v>
      </c>
      <c r="F1522" s="116">
        <v>1741</v>
      </c>
      <c r="G1522">
        <v>2571</v>
      </c>
      <c r="H1522" s="116"/>
      <c r="I1522" s="116"/>
      <c r="L1522" s="170">
        <v>45706</v>
      </c>
      <c r="M1522" s="116">
        <v>1799.9</v>
      </c>
      <c r="N1522" s="116">
        <v>1808.9</v>
      </c>
      <c r="O1522" s="116">
        <v>1766.85</v>
      </c>
      <c r="P1522" s="116">
        <v>1800</v>
      </c>
      <c r="Q1522" s="116">
        <v>1799.9</v>
      </c>
      <c r="R1522">
        <v>151684</v>
      </c>
    </row>
    <row r="1523" spans="1:18" x14ac:dyDescent="0.25">
      <c r="A1523" s="170">
        <v>45712</v>
      </c>
      <c r="B1523" s="116">
        <v>1746.7</v>
      </c>
      <c r="C1523" s="116">
        <v>1736.5</v>
      </c>
      <c r="D1523" s="116">
        <v>1723.25</v>
      </c>
      <c r="E1523" s="116">
        <v>1741.75</v>
      </c>
      <c r="F1523" s="116">
        <v>1736.5</v>
      </c>
      <c r="G1523">
        <v>580</v>
      </c>
      <c r="H1523" s="116"/>
      <c r="I1523" s="116"/>
      <c r="L1523" s="170">
        <v>45707</v>
      </c>
      <c r="M1523" s="116">
        <v>1770.75</v>
      </c>
      <c r="N1523" s="116">
        <v>1809</v>
      </c>
      <c r="O1523" s="116">
        <v>1760</v>
      </c>
      <c r="P1523" s="116">
        <v>1783.8</v>
      </c>
      <c r="Q1523" s="116">
        <v>1770.75</v>
      </c>
      <c r="R1523">
        <v>44341</v>
      </c>
    </row>
    <row r="1524" spans="1:18" x14ac:dyDescent="0.25">
      <c r="A1524" s="170">
        <v>45713</v>
      </c>
      <c r="B1524" s="116">
        <v>1789.8</v>
      </c>
      <c r="C1524" s="116">
        <v>1729.15</v>
      </c>
      <c r="D1524" s="116">
        <v>1704.7</v>
      </c>
      <c r="E1524" s="116">
        <v>1789.8</v>
      </c>
      <c r="F1524" s="116">
        <v>1729.15</v>
      </c>
      <c r="G1524">
        <v>1005</v>
      </c>
      <c r="H1524" s="116"/>
      <c r="I1524" s="116"/>
      <c r="L1524" s="170">
        <v>45708</v>
      </c>
      <c r="M1524" s="116">
        <v>1784.4</v>
      </c>
      <c r="N1524" s="116">
        <v>1800.15</v>
      </c>
      <c r="O1524" s="116">
        <v>1755</v>
      </c>
      <c r="P1524" s="116">
        <v>1770</v>
      </c>
      <c r="Q1524" s="116">
        <v>1784.4</v>
      </c>
      <c r="R1524">
        <v>45245</v>
      </c>
    </row>
    <row r="1525" spans="1:18" x14ac:dyDescent="0.25">
      <c r="A1525" s="170">
        <v>45715</v>
      </c>
      <c r="B1525" s="116">
        <v>1750.1</v>
      </c>
      <c r="C1525" s="116">
        <v>1729.5</v>
      </c>
      <c r="D1525" s="116">
        <v>1685.1</v>
      </c>
      <c r="E1525" s="116">
        <v>1728</v>
      </c>
      <c r="F1525" s="116">
        <v>1729.5</v>
      </c>
      <c r="G1525">
        <v>5706</v>
      </c>
      <c r="H1525" s="116"/>
      <c r="I1525" s="116"/>
      <c r="L1525" s="170">
        <v>45709</v>
      </c>
      <c r="M1525" s="116">
        <v>1741.75</v>
      </c>
      <c r="N1525" s="116">
        <v>1793.6</v>
      </c>
      <c r="O1525" s="116">
        <v>1734.5</v>
      </c>
      <c r="P1525" s="116">
        <v>1766.45</v>
      </c>
      <c r="Q1525" s="116">
        <v>1741.75</v>
      </c>
      <c r="R1525">
        <v>142100</v>
      </c>
    </row>
    <row r="1526" spans="1:18" x14ac:dyDescent="0.25">
      <c r="A1526" s="170">
        <v>45716</v>
      </c>
      <c r="B1526" s="116">
        <v>1712.65</v>
      </c>
      <c r="C1526" s="116">
        <v>1687.75</v>
      </c>
      <c r="D1526" s="116">
        <v>1665</v>
      </c>
      <c r="E1526" s="116">
        <v>1712.45</v>
      </c>
      <c r="F1526" s="116">
        <v>1687.75</v>
      </c>
      <c r="G1526">
        <v>5466</v>
      </c>
      <c r="H1526" s="116"/>
      <c r="I1526" s="116"/>
      <c r="L1526" s="170">
        <v>45712</v>
      </c>
      <c r="M1526" s="116">
        <v>1737.25</v>
      </c>
      <c r="N1526" s="116">
        <v>1750.75</v>
      </c>
      <c r="O1526" s="116">
        <v>1722.3</v>
      </c>
      <c r="P1526" s="116">
        <v>1731</v>
      </c>
      <c r="Q1526" s="116">
        <v>1737.25</v>
      </c>
      <c r="R1526">
        <v>110347</v>
      </c>
    </row>
    <row r="1527" spans="1:18" x14ac:dyDescent="0.25">
      <c r="A1527" s="170">
        <v>45719</v>
      </c>
      <c r="B1527" s="116">
        <v>1718.9</v>
      </c>
      <c r="C1527" s="116">
        <v>1709.7</v>
      </c>
      <c r="D1527" s="116">
        <v>1678</v>
      </c>
      <c r="E1527" s="116">
        <v>1700</v>
      </c>
      <c r="F1527" s="116">
        <v>1709.7</v>
      </c>
      <c r="G1527">
        <v>2566</v>
      </c>
      <c r="H1527" s="116"/>
      <c r="I1527" s="116"/>
      <c r="L1527" s="170">
        <v>45713</v>
      </c>
      <c r="M1527" s="116">
        <v>1728.05</v>
      </c>
      <c r="N1527" s="116">
        <v>1746.35</v>
      </c>
      <c r="O1527" s="116">
        <v>1705</v>
      </c>
      <c r="P1527" s="116">
        <v>1731.05</v>
      </c>
      <c r="Q1527" s="116">
        <v>1728.05</v>
      </c>
      <c r="R1527">
        <v>286519</v>
      </c>
    </row>
    <row r="1528" spans="1:18" x14ac:dyDescent="0.25">
      <c r="A1528" s="170">
        <v>45720</v>
      </c>
      <c r="B1528" s="116">
        <v>1705.05</v>
      </c>
      <c r="C1528" s="116">
        <v>1700.45</v>
      </c>
      <c r="D1528" s="116">
        <v>1659.2</v>
      </c>
      <c r="E1528" s="116">
        <v>1705.05</v>
      </c>
      <c r="F1528" s="116">
        <v>1700.45</v>
      </c>
      <c r="G1528">
        <v>2627</v>
      </c>
      <c r="H1528" s="116"/>
      <c r="I1528" s="116"/>
      <c r="L1528" s="170">
        <v>45715</v>
      </c>
      <c r="M1528" s="116">
        <v>1730.1</v>
      </c>
      <c r="N1528" s="116">
        <v>1753.2</v>
      </c>
      <c r="O1528" s="116">
        <v>1684.4</v>
      </c>
      <c r="P1528" s="116">
        <v>1716.05</v>
      </c>
      <c r="Q1528" s="116">
        <v>1730.1</v>
      </c>
      <c r="R1528">
        <v>722968</v>
      </c>
    </row>
    <row r="1529" spans="1:18" x14ac:dyDescent="0.25">
      <c r="A1529" s="170">
        <v>45721</v>
      </c>
      <c r="B1529" s="116">
        <v>1721.8</v>
      </c>
      <c r="C1529" s="116">
        <v>1709.15</v>
      </c>
      <c r="D1529" s="116">
        <v>1681.85</v>
      </c>
      <c r="E1529" s="116">
        <v>1683</v>
      </c>
      <c r="F1529" s="116">
        <v>1709.15</v>
      </c>
      <c r="G1529">
        <v>5623</v>
      </c>
      <c r="H1529" s="116"/>
      <c r="I1529" s="116"/>
      <c r="L1529" s="170">
        <v>45716</v>
      </c>
      <c r="M1529" s="116">
        <v>1689.65</v>
      </c>
      <c r="N1529" s="116">
        <v>1726.8</v>
      </c>
      <c r="O1529" s="116">
        <v>1664.45</v>
      </c>
      <c r="P1529" s="116">
        <v>1721.45</v>
      </c>
      <c r="Q1529" s="116">
        <v>1689.65</v>
      </c>
      <c r="R1529">
        <v>194243</v>
      </c>
    </row>
    <row r="1530" spans="1:18" x14ac:dyDescent="0.25">
      <c r="A1530" s="170">
        <v>45722</v>
      </c>
      <c r="B1530" s="116">
        <v>1734.5</v>
      </c>
      <c r="C1530" s="116">
        <v>1712.3</v>
      </c>
      <c r="D1530" s="116">
        <v>1690</v>
      </c>
      <c r="E1530" s="116">
        <v>1734.45</v>
      </c>
      <c r="F1530" s="116">
        <v>1712.3</v>
      </c>
      <c r="G1530">
        <v>5262</v>
      </c>
      <c r="H1530" s="116"/>
      <c r="I1530" s="116"/>
      <c r="L1530" s="170">
        <v>45719</v>
      </c>
      <c r="M1530" s="116">
        <v>1711.9</v>
      </c>
      <c r="N1530" s="116">
        <v>1720.5</v>
      </c>
      <c r="O1530" s="116">
        <v>1679.5</v>
      </c>
      <c r="P1530" s="116">
        <v>1708</v>
      </c>
      <c r="Q1530" s="116">
        <v>1711.9</v>
      </c>
      <c r="R1530">
        <v>176554</v>
      </c>
    </row>
    <row r="1531" spans="1:18" x14ac:dyDescent="0.25">
      <c r="A1531" s="170">
        <v>45723</v>
      </c>
      <c r="B1531" s="116">
        <v>1715.55</v>
      </c>
      <c r="C1531" s="116">
        <v>1695.45</v>
      </c>
      <c r="D1531" s="116">
        <v>1680.85</v>
      </c>
      <c r="E1531" s="116">
        <v>1715.55</v>
      </c>
      <c r="F1531" s="116">
        <v>1695.45</v>
      </c>
      <c r="G1531">
        <v>1974</v>
      </c>
      <c r="H1531" s="116"/>
      <c r="I1531" s="116"/>
      <c r="L1531" s="170">
        <v>45720</v>
      </c>
      <c r="M1531" s="116">
        <v>1699.25</v>
      </c>
      <c r="N1531" s="116">
        <v>1705.85</v>
      </c>
      <c r="O1531" s="116">
        <v>1655</v>
      </c>
      <c r="P1531" s="116">
        <v>1700</v>
      </c>
      <c r="Q1531" s="116">
        <v>1699.25</v>
      </c>
      <c r="R1531">
        <v>157910</v>
      </c>
    </row>
    <row r="1532" spans="1:18" x14ac:dyDescent="0.25">
      <c r="A1532" s="170">
        <v>45726</v>
      </c>
      <c r="B1532" s="116">
        <v>1700</v>
      </c>
      <c r="C1532" s="116">
        <v>1673</v>
      </c>
      <c r="D1532" s="116">
        <v>1663.2</v>
      </c>
      <c r="E1532" s="116">
        <v>1689.1</v>
      </c>
      <c r="F1532" s="116">
        <v>1673</v>
      </c>
      <c r="G1532">
        <v>2000</v>
      </c>
      <c r="H1532" s="116"/>
      <c r="I1532" s="116"/>
      <c r="L1532" s="170">
        <v>45721</v>
      </c>
      <c r="M1532" s="116">
        <v>1707.1</v>
      </c>
      <c r="N1532" s="116">
        <v>1722.5</v>
      </c>
      <c r="O1532" s="116">
        <v>1669.2</v>
      </c>
      <c r="P1532" s="116">
        <v>1669.2</v>
      </c>
      <c r="Q1532" s="116">
        <v>1707.1</v>
      </c>
      <c r="R1532">
        <v>225977</v>
      </c>
    </row>
    <row r="1533" spans="1:18" x14ac:dyDescent="0.25">
      <c r="A1533" s="170">
        <v>45727</v>
      </c>
      <c r="B1533" s="116">
        <v>1695.35</v>
      </c>
      <c r="C1533" s="116">
        <v>1686.3</v>
      </c>
      <c r="D1533" s="116">
        <v>1640</v>
      </c>
      <c r="E1533" s="116">
        <v>1669.75</v>
      </c>
      <c r="F1533" s="116">
        <v>1686.3</v>
      </c>
      <c r="G1533">
        <v>2501</v>
      </c>
      <c r="H1533" s="116"/>
      <c r="I1533" s="116"/>
      <c r="L1533" s="170">
        <v>45722</v>
      </c>
      <c r="M1533" s="116">
        <v>1713.9</v>
      </c>
      <c r="N1533" s="116">
        <v>1733</v>
      </c>
      <c r="O1533" s="116">
        <v>1688.1</v>
      </c>
      <c r="P1533" s="116">
        <v>1725.05</v>
      </c>
      <c r="Q1533" s="116">
        <v>1713.9</v>
      </c>
      <c r="R1533">
        <v>332628</v>
      </c>
    </row>
    <row r="1534" spans="1:18" x14ac:dyDescent="0.25">
      <c r="A1534" s="170">
        <v>45728</v>
      </c>
      <c r="B1534" s="116">
        <v>1695.35</v>
      </c>
      <c r="C1534" s="116">
        <v>1645.05</v>
      </c>
      <c r="D1534" s="116">
        <v>1602</v>
      </c>
      <c r="E1534" s="116">
        <v>1695.35</v>
      </c>
      <c r="F1534" s="116">
        <v>1645.05</v>
      </c>
      <c r="G1534">
        <v>7623</v>
      </c>
      <c r="H1534" s="116"/>
      <c r="I1534" s="116"/>
      <c r="L1534" s="170">
        <v>45723</v>
      </c>
      <c r="M1534" s="116">
        <v>1696.35</v>
      </c>
      <c r="N1534" s="116">
        <v>1715.9</v>
      </c>
      <c r="O1534" s="116">
        <v>1680.5</v>
      </c>
      <c r="P1534" s="116">
        <v>1705.5</v>
      </c>
      <c r="Q1534" s="116">
        <v>1696.35</v>
      </c>
      <c r="R1534">
        <v>180503</v>
      </c>
    </row>
    <row r="1535" spans="1:18" x14ac:dyDescent="0.25">
      <c r="A1535" s="170">
        <v>45729</v>
      </c>
      <c r="B1535" s="116">
        <v>1668.95</v>
      </c>
      <c r="C1535" s="116">
        <v>1606.05</v>
      </c>
      <c r="D1535" s="116">
        <v>1602</v>
      </c>
      <c r="E1535" s="116">
        <v>1668.95</v>
      </c>
      <c r="F1535" s="116">
        <v>1606.05</v>
      </c>
      <c r="G1535">
        <v>3121</v>
      </c>
      <c r="H1535" s="116"/>
      <c r="I1535" s="116"/>
      <c r="L1535" s="170">
        <v>45726</v>
      </c>
      <c r="M1535" s="116">
        <v>1673.7</v>
      </c>
      <c r="N1535" s="116">
        <v>1706.25</v>
      </c>
      <c r="O1535" s="116">
        <v>1661.1</v>
      </c>
      <c r="P1535" s="116">
        <v>1696.3</v>
      </c>
      <c r="Q1535" s="116">
        <v>1673.7</v>
      </c>
      <c r="R1535">
        <v>155288</v>
      </c>
    </row>
    <row r="1536" spans="1:18" x14ac:dyDescent="0.25">
      <c r="A1536" s="170">
        <v>45733</v>
      </c>
      <c r="B1536" s="116">
        <v>1675</v>
      </c>
      <c r="C1536" s="116">
        <v>1662.7</v>
      </c>
      <c r="D1536" s="116">
        <v>1604</v>
      </c>
      <c r="E1536" s="116">
        <v>1638.2</v>
      </c>
      <c r="F1536" s="116">
        <v>1662.7</v>
      </c>
      <c r="G1536">
        <v>9315</v>
      </c>
      <c r="H1536" s="116"/>
      <c r="I1536" s="116"/>
      <c r="L1536" s="170">
        <v>45727</v>
      </c>
      <c r="M1536" s="116">
        <v>1686.45</v>
      </c>
      <c r="N1536" s="116">
        <v>1694.95</v>
      </c>
      <c r="O1536" s="116">
        <v>1638.5</v>
      </c>
      <c r="P1536" s="116">
        <v>1673.7</v>
      </c>
      <c r="Q1536" s="116">
        <v>1686.45</v>
      </c>
      <c r="R1536">
        <v>196953</v>
      </c>
    </row>
    <row r="1537" spans="1:18" x14ac:dyDescent="0.25">
      <c r="A1537" s="170">
        <v>45734</v>
      </c>
      <c r="B1537" s="116">
        <v>1721</v>
      </c>
      <c r="C1537" s="116">
        <v>1714.6</v>
      </c>
      <c r="D1537" s="116">
        <v>1655</v>
      </c>
      <c r="E1537" s="116">
        <v>1655</v>
      </c>
      <c r="F1537" s="116">
        <v>1714.6</v>
      </c>
      <c r="G1537">
        <v>5697</v>
      </c>
      <c r="H1537" s="116"/>
      <c r="I1537" s="116"/>
      <c r="L1537" s="170">
        <v>45728</v>
      </c>
      <c r="M1537" s="116">
        <v>1641.1</v>
      </c>
      <c r="N1537" s="116">
        <v>1696.95</v>
      </c>
      <c r="O1537" s="116">
        <v>1601</v>
      </c>
      <c r="P1537" s="116">
        <v>1694.85</v>
      </c>
      <c r="Q1537" s="116">
        <v>1641.1</v>
      </c>
      <c r="R1537">
        <v>415246</v>
      </c>
    </row>
    <row r="1538" spans="1:18" x14ac:dyDescent="0.25">
      <c r="A1538" s="170">
        <v>45735</v>
      </c>
      <c r="B1538" s="116">
        <v>1755</v>
      </c>
      <c r="C1538" s="116">
        <v>1727.1</v>
      </c>
      <c r="D1538" s="116">
        <v>1704.5</v>
      </c>
      <c r="E1538" s="116">
        <v>1720.4</v>
      </c>
      <c r="F1538" s="116">
        <v>1727.1</v>
      </c>
      <c r="G1538">
        <v>6100</v>
      </c>
      <c r="H1538" s="116"/>
      <c r="I1538" s="116"/>
      <c r="L1538" s="170">
        <v>45729</v>
      </c>
      <c r="M1538" s="116">
        <v>1607.1</v>
      </c>
      <c r="N1538" s="116">
        <v>1641.1</v>
      </c>
      <c r="O1538" s="116">
        <v>1601.15</v>
      </c>
      <c r="P1538" s="116">
        <v>1640.05</v>
      </c>
      <c r="Q1538" s="116">
        <v>1607.1</v>
      </c>
      <c r="R1538">
        <v>298402</v>
      </c>
    </row>
    <row r="1539" spans="1:18" x14ac:dyDescent="0.25">
      <c r="A1539" s="170">
        <v>45736</v>
      </c>
      <c r="B1539" s="116">
        <v>1727.1</v>
      </c>
      <c r="C1539" s="116">
        <v>1696.1</v>
      </c>
      <c r="D1539" s="116">
        <v>1692.25</v>
      </c>
      <c r="E1539" s="116">
        <v>1727.1</v>
      </c>
      <c r="F1539" s="116">
        <v>1696.1</v>
      </c>
      <c r="G1539">
        <v>2465</v>
      </c>
      <c r="H1539" s="116"/>
      <c r="I1539" s="116"/>
      <c r="L1539" s="170">
        <v>45733</v>
      </c>
      <c r="M1539" s="116">
        <v>1663.35</v>
      </c>
      <c r="N1539" s="116">
        <v>1671</v>
      </c>
      <c r="O1539" s="116">
        <v>1602.4</v>
      </c>
      <c r="P1539" s="116">
        <v>1625.95</v>
      </c>
      <c r="Q1539" s="116">
        <v>1663.35</v>
      </c>
      <c r="R1539">
        <v>328818</v>
      </c>
    </row>
    <row r="1540" spans="1:18" x14ac:dyDescent="0.25">
      <c r="A1540" s="170">
        <v>45737</v>
      </c>
      <c r="B1540" s="116">
        <v>1761.45</v>
      </c>
      <c r="C1540" s="116">
        <v>1749.5</v>
      </c>
      <c r="D1540" s="116">
        <v>1681</v>
      </c>
      <c r="E1540" s="116">
        <v>1699.95</v>
      </c>
      <c r="F1540" s="116">
        <v>1749.5</v>
      </c>
      <c r="G1540">
        <v>5345</v>
      </c>
      <c r="H1540" s="116"/>
      <c r="I1540" s="116"/>
      <c r="L1540" s="170">
        <v>45734</v>
      </c>
      <c r="M1540" s="116">
        <v>1714.4</v>
      </c>
      <c r="N1540" s="116">
        <v>1720</v>
      </c>
      <c r="O1540" s="116">
        <v>1658.2</v>
      </c>
      <c r="P1540" s="116">
        <v>1665</v>
      </c>
      <c r="Q1540" s="116">
        <v>1714.4</v>
      </c>
      <c r="R1540">
        <v>223778</v>
      </c>
    </row>
    <row r="1541" spans="1:18" x14ac:dyDescent="0.25">
      <c r="A1541" s="170">
        <v>45740</v>
      </c>
      <c r="B1541" s="116">
        <v>1794.25</v>
      </c>
      <c r="C1541" s="116">
        <v>1743.7</v>
      </c>
      <c r="D1541" s="116">
        <v>1730.2</v>
      </c>
      <c r="E1541" s="116">
        <v>1794.25</v>
      </c>
      <c r="F1541" s="116">
        <v>1743.7</v>
      </c>
      <c r="G1541">
        <v>3966</v>
      </c>
      <c r="H1541" s="116"/>
      <c r="I1541" s="116"/>
      <c r="L1541" s="170">
        <v>45735</v>
      </c>
      <c r="M1541" s="116">
        <v>1726.25</v>
      </c>
      <c r="N1541" s="116">
        <v>1755.15</v>
      </c>
      <c r="O1541" s="116">
        <v>1704.2</v>
      </c>
      <c r="P1541" s="116">
        <v>1714.4</v>
      </c>
      <c r="Q1541" s="116">
        <v>1726.25</v>
      </c>
      <c r="R1541">
        <v>421205</v>
      </c>
    </row>
    <row r="1542" spans="1:18" x14ac:dyDescent="0.25">
      <c r="A1542" s="170">
        <v>45741</v>
      </c>
      <c r="B1542" s="116">
        <v>1786.95</v>
      </c>
      <c r="C1542" s="116">
        <v>1744.85</v>
      </c>
      <c r="D1542" s="116">
        <v>1741.3</v>
      </c>
      <c r="E1542" s="116">
        <v>1786.95</v>
      </c>
      <c r="F1542" s="116">
        <v>1744.85</v>
      </c>
      <c r="G1542">
        <v>12615</v>
      </c>
      <c r="H1542" s="116"/>
      <c r="I1542" s="116"/>
      <c r="L1542" s="170">
        <v>45736</v>
      </c>
      <c r="M1542" s="116">
        <v>1696.25</v>
      </c>
      <c r="N1542" s="116">
        <v>1726.5</v>
      </c>
      <c r="O1542" s="116">
        <v>1692.3</v>
      </c>
      <c r="P1542" s="116">
        <v>1721</v>
      </c>
      <c r="Q1542" s="116">
        <v>1696.25</v>
      </c>
      <c r="R1542">
        <v>166015</v>
      </c>
    </row>
    <row r="1543" spans="1:18" x14ac:dyDescent="0.25">
      <c r="A1543" s="170">
        <v>45742</v>
      </c>
      <c r="B1543" s="116">
        <v>1782.9</v>
      </c>
      <c r="C1543" s="116">
        <v>1762.05</v>
      </c>
      <c r="D1543" s="116">
        <v>1747.25</v>
      </c>
      <c r="E1543" s="116">
        <v>1749.7</v>
      </c>
      <c r="F1543" s="116">
        <v>1762.05</v>
      </c>
      <c r="G1543">
        <v>4441</v>
      </c>
      <c r="H1543" s="116"/>
      <c r="I1543" s="116"/>
      <c r="L1543" s="170">
        <v>45737</v>
      </c>
      <c r="M1543" s="116">
        <v>1747.4</v>
      </c>
      <c r="N1543" s="116">
        <v>1760.55</v>
      </c>
      <c r="O1543" s="116">
        <v>1680</v>
      </c>
      <c r="P1543" s="116">
        <v>1705</v>
      </c>
      <c r="Q1543" s="116">
        <v>1747.4</v>
      </c>
      <c r="R1543">
        <v>419609</v>
      </c>
    </row>
    <row r="1544" spans="1:18" x14ac:dyDescent="0.25">
      <c r="A1544" s="170">
        <v>45743</v>
      </c>
      <c r="B1544" s="116">
        <v>1820</v>
      </c>
      <c r="C1544" s="116">
        <v>1812.2</v>
      </c>
      <c r="D1544" s="116">
        <v>1744.35</v>
      </c>
      <c r="E1544" s="116">
        <v>1750.6</v>
      </c>
      <c r="F1544" s="116">
        <v>1812.2</v>
      </c>
      <c r="G1544">
        <v>9664</v>
      </c>
      <c r="H1544" s="116"/>
      <c r="I1544" s="116"/>
      <c r="L1544" s="170">
        <v>45740</v>
      </c>
      <c r="M1544" s="116">
        <v>1744.75</v>
      </c>
      <c r="N1544" s="116">
        <v>1772.95</v>
      </c>
      <c r="O1544" s="116">
        <v>1725</v>
      </c>
      <c r="P1544" s="116">
        <v>1772.95</v>
      </c>
      <c r="Q1544" s="116">
        <v>1744.75</v>
      </c>
      <c r="R1544">
        <v>241482</v>
      </c>
    </row>
    <row r="1545" spans="1:18" x14ac:dyDescent="0.25">
      <c r="A1545" s="170">
        <v>45744</v>
      </c>
      <c r="B1545" s="116">
        <v>1860</v>
      </c>
      <c r="C1545" s="116">
        <v>1819.45</v>
      </c>
      <c r="D1545" s="116">
        <v>1805.3</v>
      </c>
      <c r="E1545" s="116">
        <v>1820</v>
      </c>
      <c r="F1545" s="116">
        <v>1819.45</v>
      </c>
      <c r="G1545">
        <v>4301</v>
      </c>
      <c r="H1545" s="116"/>
      <c r="I1545" s="116"/>
      <c r="L1545" s="170">
        <v>45741</v>
      </c>
      <c r="M1545" s="116">
        <v>1745.7</v>
      </c>
      <c r="N1545" s="116">
        <v>1786.95</v>
      </c>
      <c r="O1545" s="116">
        <v>1742</v>
      </c>
      <c r="P1545" s="116">
        <v>1780</v>
      </c>
      <c r="Q1545" s="116">
        <v>1745.7</v>
      </c>
      <c r="R1545">
        <v>458140</v>
      </c>
    </row>
    <row r="1546" spans="1:18" x14ac:dyDescent="0.25">
      <c r="A1546" s="170">
        <v>45748</v>
      </c>
      <c r="B1546" s="116">
        <v>1836.8</v>
      </c>
      <c r="C1546" s="116">
        <v>1787.9</v>
      </c>
      <c r="D1546" s="116">
        <v>1784.95</v>
      </c>
      <c r="E1546" s="116">
        <v>1819</v>
      </c>
      <c r="F1546" s="116">
        <v>1787.9</v>
      </c>
      <c r="G1546">
        <v>2595</v>
      </c>
      <c r="H1546" s="116"/>
      <c r="I1546" s="116"/>
      <c r="L1546" s="170">
        <v>45742</v>
      </c>
      <c r="M1546" s="116">
        <v>1760.75</v>
      </c>
      <c r="N1546" s="116">
        <v>1785</v>
      </c>
      <c r="O1546" s="116">
        <v>1742.35</v>
      </c>
      <c r="P1546" s="116">
        <v>1747</v>
      </c>
      <c r="Q1546" s="116">
        <v>1760.75</v>
      </c>
      <c r="R1546">
        <v>182659</v>
      </c>
    </row>
    <row r="1547" spans="1:18" x14ac:dyDescent="0.25">
      <c r="A1547" s="170">
        <v>45749</v>
      </c>
      <c r="B1547" s="116">
        <v>1827.5</v>
      </c>
      <c r="C1547" s="116">
        <v>1816.9</v>
      </c>
      <c r="D1547" s="116">
        <v>1768.5</v>
      </c>
      <c r="E1547" s="116">
        <v>1775.4</v>
      </c>
      <c r="F1547" s="116">
        <v>1816.9</v>
      </c>
      <c r="G1547">
        <v>2604</v>
      </c>
      <c r="H1547" s="116"/>
      <c r="I1547" s="116"/>
      <c r="L1547" s="170">
        <v>45743</v>
      </c>
      <c r="M1547" s="116">
        <v>1813.55</v>
      </c>
      <c r="N1547" s="116">
        <v>1821.45</v>
      </c>
      <c r="O1547" s="116">
        <v>1743.15</v>
      </c>
      <c r="P1547" s="116">
        <v>1755</v>
      </c>
      <c r="Q1547" s="116">
        <v>1813.55</v>
      </c>
      <c r="R1547">
        <v>287706</v>
      </c>
    </row>
    <row r="1548" spans="1:18" x14ac:dyDescent="0.25">
      <c r="A1548" s="170">
        <v>45750</v>
      </c>
      <c r="B1548" s="116">
        <v>1882.35</v>
      </c>
      <c r="C1548" s="116">
        <v>1857.9</v>
      </c>
      <c r="D1548" s="116">
        <v>1810.1</v>
      </c>
      <c r="E1548" s="116">
        <v>1831.6</v>
      </c>
      <c r="F1548" s="116">
        <v>1857.9</v>
      </c>
      <c r="G1548">
        <v>5464</v>
      </c>
      <c r="H1548" s="116"/>
      <c r="I1548" s="116"/>
      <c r="L1548" s="170">
        <v>45744</v>
      </c>
      <c r="M1548" s="116">
        <v>1821.55</v>
      </c>
      <c r="N1548" s="116">
        <v>1859.6</v>
      </c>
      <c r="O1548" s="116">
        <v>1804.3</v>
      </c>
      <c r="P1548" s="116">
        <v>1813.55</v>
      </c>
      <c r="Q1548" s="116">
        <v>1821.55</v>
      </c>
      <c r="R1548">
        <v>269181</v>
      </c>
    </row>
    <row r="1549" spans="1:18" x14ac:dyDescent="0.25">
      <c r="A1549" s="170">
        <v>45751</v>
      </c>
      <c r="B1549" s="116">
        <v>1868.75</v>
      </c>
      <c r="C1549" s="116">
        <v>1843.3</v>
      </c>
      <c r="D1549" s="116">
        <v>1832</v>
      </c>
      <c r="E1549" s="116">
        <v>1852.25</v>
      </c>
      <c r="F1549" s="116">
        <v>1843.3</v>
      </c>
      <c r="G1549">
        <v>4735</v>
      </c>
      <c r="H1549" s="116"/>
      <c r="I1549" s="116"/>
      <c r="L1549" s="170">
        <v>45748</v>
      </c>
      <c r="M1549" s="116">
        <v>1786.45</v>
      </c>
      <c r="N1549" s="116">
        <v>1839.6</v>
      </c>
      <c r="O1549" s="116">
        <v>1781.8</v>
      </c>
      <c r="P1549" s="116">
        <v>1821.95</v>
      </c>
      <c r="Q1549" s="116">
        <v>1786.45</v>
      </c>
      <c r="R1549">
        <v>237790</v>
      </c>
    </row>
    <row r="1550" spans="1:18" x14ac:dyDescent="0.25">
      <c r="A1550" s="170">
        <v>45754</v>
      </c>
      <c r="B1550" s="116">
        <v>1812</v>
      </c>
      <c r="C1550" s="116">
        <v>1786.55</v>
      </c>
      <c r="D1550" s="116">
        <v>1714.05</v>
      </c>
      <c r="E1550" s="116">
        <v>1735</v>
      </c>
      <c r="F1550" s="116">
        <v>1786.55</v>
      </c>
      <c r="G1550">
        <v>4930</v>
      </c>
      <c r="H1550" s="116"/>
      <c r="I1550" s="116"/>
      <c r="L1550" s="170">
        <v>45749</v>
      </c>
      <c r="M1550" s="116">
        <v>1817.15</v>
      </c>
      <c r="N1550" s="116">
        <v>1829.7</v>
      </c>
      <c r="O1550" s="116">
        <v>1767.75</v>
      </c>
      <c r="P1550" s="116">
        <v>1782.15</v>
      </c>
      <c r="Q1550" s="116">
        <v>1817.15</v>
      </c>
      <c r="R1550">
        <v>281329</v>
      </c>
    </row>
    <row r="1551" spans="1:18" x14ac:dyDescent="0.25">
      <c r="A1551" s="170">
        <v>45755</v>
      </c>
      <c r="B1551" s="116">
        <v>1845.95</v>
      </c>
      <c r="C1551" s="116">
        <v>1807.9</v>
      </c>
      <c r="D1551" s="116">
        <v>1802.05</v>
      </c>
      <c r="E1551" s="116">
        <v>1802.05</v>
      </c>
      <c r="F1551" s="116">
        <v>1807.9</v>
      </c>
      <c r="G1551">
        <v>3357</v>
      </c>
      <c r="H1551" s="116"/>
      <c r="I1551" s="116"/>
      <c r="L1551" s="170">
        <v>45750</v>
      </c>
      <c r="M1551" s="116">
        <v>1857.15</v>
      </c>
      <c r="N1551" s="116">
        <v>1883.35</v>
      </c>
      <c r="O1551" s="116">
        <v>1807</v>
      </c>
      <c r="P1551" s="116">
        <v>1816.9</v>
      </c>
      <c r="Q1551" s="116">
        <v>1857.15</v>
      </c>
      <c r="R1551">
        <v>433610</v>
      </c>
    </row>
    <row r="1552" spans="1:18" x14ac:dyDescent="0.25">
      <c r="A1552" s="170">
        <v>45756</v>
      </c>
      <c r="B1552" s="116">
        <v>1836.05</v>
      </c>
      <c r="C1552" s="116">
        <v>1827.6</v>
      </c>
      <c r="D1552" s="116">
        <v>1777</v>
      </c>
      <c r="E1552" s="116">
        <v>1798.05</v>
      </c>
      <c r="F1552" s="116">
        <v>1827.6</v>
      </c>
      <c r="G1552">
        <v>2371</v>
      </c>
      <c r="H1552" s="116"/>
      <c r="I1552" s="116"/>
      <c r="L1552" s="170">
        <v>45751</v>
      </c>
      <c r="M1552" s="116">
        <v>1845.45</v>
      </c>
      <c r="N1552" s="116">
        <v>1870</v>
      </c>
      <c r="O1552" s="116">
        <v>1832.1</v>
      </c>
      <c r="P1552" s="116">
        <v>1863.95</v>
      </c>
      <c r="Q1552" s="116">
        <v>1845.45</v>
      </c>
      <c r="R1552">
        <v>128337</v>
      </c>
    </row>
    <row r="1553" spans="1:18" x14ac:dyDescent="0.25">
      <c r="A1553" s="170">
        <v>45758</v>
      </c>
      <c r="B1553" s="116">
        <v>1840</v>
      </c>
      <c r="C1553" s="116">
        <v>1810.35</v>
      </c>
      <c r="D1553" s="116">
        <v>1799</v>
      </c>
      <c r="E1553" s="116">
        <v>1828</v>
      </c>
      <c r="F1553" s="116">
        <v>1810.35</v>
      </c>
      <c r="G1553">
        <v>2324</v>
      </c>
      <c r="H1553" s="116"/>
      <c r="I1553" s="116"/>
      <c r="L1553" s="170">
        <v>45754</v>
      </c>
      <c r="M1553" s="116">
        <v>1786.25</v>
      </c>
      <c r="N1553" s="116">
        <v>1812.05</v>
      </c>
      <c r="O1553" s="116">
        <v>1700</v>
      </c>
      <c r="P1553" s="116">
        <v>1700</v>
      </c>
      <c r="Q1553" s="116">
        <v>1786.25</v>
      </c>
      <c r="R1553">
        <v>377911</v>
      </c>
    </row>
    <row r="1554" spans="1:18" x14ac:dyDescent="0.25">
      <c r="A1554" s="170">
        <v>45762</v>
      </c>
      <c r="B1554" s="116">
        <v>1884</v>
      </c>
      <c r="C1554" s="116">
        <v>1871.55</v>
      </c>
      <c r="D1554" s="116">
        <v>1832.45</v>
      </c>
      <c r="E1554" s="116">
        <v>1834.5</v>
      </c>
      <c r="F1554" s="116">
        <v>1871.55</v>
      </c>
      <c r="G1554">
        <v>3594</v>
      </c>
      <c r="H1554" s="116"/>
      <c r="I1554" s="116"/>
      <c r="L1554" s="170">
        <v>45755</v>
      </c>
      <c r="M1554" s="116">
        <v>1808.35</v>
      </c>
      <c r="N1554" s="116">
        <v>1847</v>
      </c>
      <c r="O1554" s="116">
        <v>1803.2</v>
      </c>
      <c r="P1554" s="116">
        <v>1820</v>
      </c>
      <c r="Q1554" s="116">
        <v>1808.35</v>
      </c>
      <c r="R1554">
        <v>246636</v>
      </c>
    </row>
    <row r="1555" spans="1:18" x14ac:dyDescent="0.25">
      <c r="A1555" s="170">
        <v>45763</v>
      </c>
      <c r="B1555" s="116">
        <v>1889</v>
      </c>
      <c r="C1555" s="116">
        <v>1846.1</v>
      </c>
      <c r="D1555" s="116">
        <v>1806.1</v>
      </c>
      <c r="E1555" s="116">
        <v>1806.1</v>
      </c>
      <c r="F1555" s="116">
        <v>1846.1</v>
      </c>
      <c r="G1555">
        <v>2496</v>
      </c>
      <c r="H1555" s="116"/>
      <c r="I1555" s="116"/>
      <c r="L1555" s="170">
        <v>45756</v>
      </c>
      <c r="M1555" s="116">
        <v>1825.9</v>
      </c>
      <c r="N1555" s="116">
        <v>1835</v>
      </c>
      <c r="O1555" s="116">
        <v>1776.85</v>
      </c>
      <c r="P1555" s="116">
        <v>1800</v>
      </c>
      <c r="Q1555" s="116">
        <v>1825.9</v>
      </c>
      <c r="R1555">
        <v>227521</v>
      </c>
    </row>
    <row r="1556" spans="1:18" x14ac:dyDescent="0.25">
      <c r="A1556" s="170">
        <v>45764</v>
      </c>
      <c r="B1556" s="116">
        <v>1863.3</v>
      </c>
      <c r="C1556" s="116">
        <v>1851.7</v>
      </c>
      <c r="D1556" s="116">
        <v>1794.85</v>
      </c>
      <c r="E1556" s="116">
        <v>1820.05</v>
      </c>
      <c r="F1556" s="116">
        <v>1851.7</v>
      </c>
      <c r="G1556">
        <v>5808</v>
      </c>
      <c r="H1556" s="116"/>
      <c r="I1556" s="116"/>
      <c r="L1556" s="170">
        <v>45758</v>
      </c>
      <c r="M1556" s="116">
        <v>1811.65</v>
      </c>
      <c r="N1556" s="116">
        <v>1849</v>
      </c>
      <c r="O1556" s="116">
        <v>1798.5</v>
      </c>
      <c r="P1556" s="116">
        <v>1839.95</v>
      </c>
      <c r="Q1556" s="116">
        <v>1811.65</v>
      </c>
      <c r="R1556">
        <v>158264</v>
      </c>
    </row>
    <row r="1557" spans="1:18" x14ac:dyDescent="0.25">
      <c r="A1557" s="170">
        <v>45768</v>
      </c>
      <c r="B1557" s="116">
        <v>1930</v>
      </c>
      <c r="C1557" s="116">
        <v>1922.4</v>
      </c>
      <c r="D1557" s="116">
        <v>1845.5</v>
      </c>
      <c r="E1557" s="116">
        <v>1845.5</v>
      </c>
      <c r="F1557" s="116">
        <v>1922.4</v>
      </c>
      <c r="G1557">
        <v>16320</v>
      </c>
      <c r="H1557" s="116"/>
      <c r="I1557" s="116"/>
      <c r="L1557" s="170">
        <v>45762</v>
      </c>
      <c r="M1557" s="116">
        <v>1869.2</v>
      </c>
      <c r="N1557" s="116">
        <v>1885.4</v>
      </c>
      <c r="O1557" s="116">
        <v>1821.1</v>
      </c>
      <c r="P1557" s="116">
        <v>1849</v>
      </c>
      <c r="Q1557" s="116">
        <v>1869.2</v>
      </c>
      <c r="R1557">
        <v>309767</v>
      </c>
    </row>
    <row r="1558" spans="1:18" x14ac:dyDescent="0.25">
      <c r="A1558" s="170">
        <v>45769</v>
      </c>
      <c r="B1558" s="116">
        <v>1945</v>
      </c>
      <c r="C1558" s="116">
        <v>1902.45</v>
      </c>
      <c r="D1558" s="116">
        <v>1900.3</v>
      </c>
      <c r="E1558" s="116">
        <v>1919.95</v>
      </c>
      <c r="F1558" s="116">
        <v>1902.45</v>
      </c>
      <c r="G1558">
        <v>2598</v>
      </c>
      <c r="H1558" s="116"/>
      <c r="I1558" s="116"/>
      <c r="L1558" s="170">
        <v>45763</v>
      </c>
      <c r="M1558" s="116">
        <v>1846.4</v>
      </c>
      <c r="N1558" s="116">
        <v>1889.9</v>
      </c>
      <c r="O1558" s="116">
        <v>1831.3</v>
      </c>
      <c r="P1558" s="116">
        <v>1855.5</v>
      </c>
      <c r="Q1558" s="116">
        <v>1846.4</v>
      </c>
      <c r="R1558">
        <v>210173</v>
      </c>
    </row>
    <row r="1559" spans="1:18" x14ac:dyDescent="0.25">
      <c r="A1559" s="170">
        <v>45770</v>
      </c>
      <c r="B1559" s="116">
        <v>1915.5</v>
      </c>
      <c r="C1559" s="116">
        <v>1893.5</v>
      </c>
      <c r="D1559" s="116">
        <v>1871.75</v>
      </c>
      <c r="E1559" s="116">
        <v>1915.5</v>
      </c>
      <c r="F1559" s="116">
        <v>1893.5</v>
      </c>
      <c r="G1559">
        <v>3151</v>
      </c>
      <c r="H1559" s="116"/>
      <c r="I1559" s="116"/>
      <c r="L1559" s="170">
        <v>45764</v>
      </c>
      <c r="M1559" s="116">
        <v>1851.6</v>
      </c>
      <c r="N1559" s="116">
        <v>1864.9</v>
      </c>
      <c r="O1559" s="116">
        <v>1795.7</v>
      </c>
      <c r="P1559" s="116">
        <v>1826.2</v>
      </c>
      <c r="Q1559" s="116">
        <v>1851.6</v>
      </c>
      <c r="R1559">
        <v>513508</v>
      </c>
    </row>
    <row r="1560" spans="1:18" x14ac:dyDescent="0.25">
      <c r="A1560" s="170">
        <v>45771</v>
      </c>
      <c r="B1560" s="116">
        <v>1981.4</v>
      </c>
      <c r="C1560" s="116">
        <v>1975</v>
      </c>
      <c r="D1560" s="116">
        <v>1920.85</v>
      </c>
      <c r="E1560" s="116">
        <v>1940</v>
      </c>
      <c r="F1560" s="116">
        <v>1975</v>
      </c>
      <c r="G1560">
        <v>61865</v>
      </c>
      <c r="H1560" s="116"/>
      <c r="I1560" s="116"/>
      <c r="L1560" s="170">
        <v>45768</v>
      </c>
      <c r="M1560" s="116">
        <v>1922.5</v>
      </c>
      <c r="N1560" s="116">
        <v>1932</v>
      </c>
      <c r="O1560" s="116">
        <v>1851</v>
      </c>
      <c r="P1560" s="116">
        <v>1851</v>
      </c>
      <c r="Q1560" s="116">
        <v>1922.5</v>
      </c>
      <c r="R1560">
        <v>426318</v>
      </c>
    </row>
    <row r="1561" spans="1:18" x14ac:dyDescent="0.25">
      <c r="A1561" s="170">
        <v>45772</v>
      </c>
      <c r="B1561" s="116">
        <v>2017.05</v>
      </c>
      <c r="C1561" s="116">
        <v>1965.65</v>
      </c>
      <c r="D1561" s="116">
        <v>1945.3</v>
      </c>
      <c r="E1561" s="116">
        <v>1978</v>
      </c>
      <c r="F1561" s="116">
        <v>1965.65</v>
      </c>
      <c r="G1561">
        <v>27318</v>
      </c>
      <c r="H1561" s="116"/>
      <c r="I1561" s="116"/>
      <c r="L1561" s="170">
        <v>45769</v>
      </c>
      <c r="M1561" s="116">
        <v>1903.5</v>
      </c>
      <c r="N1561" s="116">
        <v>1948</v>
      </c>
      <c r="O1561" s="116">
        <v>1898</v>
      </c>
      <c r="P1561" s="116">
        <v>1908.1</v>
      </c>
      <c r="Q1561" s="116">
        <v>1903.5</v>
      </c>
      <c r="R1561">
        <v>288255</v>
      </c>
    </row>
    <row r="1562" spans="1:18" x14ac:dyDescent="0.25">
      <c r="A1562" s="170">
        <v>45775</v>
      </c>
      <c r="B1562" s="116">
        <v>2003.35</v>
      </c>
      <c r="C1562" s="116">
        <v>1982.45</v>
      </c>
      <c r="D1562" s="116">
        <v>1961.05</v>
      </c>
      <c r="E1562" s="116">
        <v>1968.3</v>
      </c>
      <c r="F1562" s="116">
        <v>1982.45</v>
      </c>
      <c r="G1562">
        <v>12203</v>
      </c>
      <c r="H1562" s="116"/>
      <c r="I1562" s="116"/>
      <c r="L1562" s="170">
        <v>45770</v>
      </c>
      <c r="M1562" s="116">
        <v>1889.4</v>
      </c>
      <c r="N1562" s="116">
        <v>1916.3</v>
      </c>
      <c r="O1562" s="116">
        <v>1870.1</v>
      </c>
      <c r="P1562" s="116">
        <v>1909.8</v>
      </c>
      <c r="Q1562" s="116">
        <v>1889.4</v>
      </c>
      <c r="R1562">
        <v>552113</v>
      </c>
    </row>
    <row r="1563" spans="1:18" x14ac:dyDescent="0.25">
      <c r="A1563" s="170">
        <v>45776</v>
      </c>
      <c r="B1563" s="116">
        <v>1992.4</v>
      </c>
      <c r="C1563" s="116">
        <v>1954.75</v>
      </c>
      <c r="D1563" s="116">
        <v>1950</v>
      </c>
      <c r="E1563" s="116">
        <v>1977.75</v>
      </c>
      <c r="F1563" s="116">
        <v>1954.75</v>
      </c>
      <c r="G1563">
        <v>2418</v>
      </c>
      <c r="H1563" s="116"/>
      <c r="I1563" s="116"/>
      <c r="L1563" s="170">
        <v>45771</v>
      </c>
      <c r="M1563" s="116">
        <v>1974.1</v>
      </c>
      <c r="N1563" s="116">
        <v>1980</v>
      </c>
      <c r="O1563" s="116">
        <v>1922.8</v>
      </c>
      <c r="P1563" s="116">
        <v>1950</v>
      </c>
      <c r="Q1563" s="116">
        <v>1974.1</v>
      </c>
      <c r="R1563">
        <v>2513060</v>
      </c>
    </row>
    <row r="1564" spans="1:18" x14ac:dyDescent="0.25">
      <c r="A1564" s="170">
        <v>45777</v>
      </c>
      <c r="B1564" s="116">
        <v>1972.35</v>
      </c>
      <c r="C1564" s="116">
        <v>1947.65</v>
      </c>
      <c r="D1564" s="116">
        <v>1934.15</v>
      </c>
      <c r="E1564" s="116">
        <v>1972.35</v>
      </c>
      <c r="F1564" s="116">
        <v>1947.65</v>
      </c>
      <c r="G1564">
        <v>5310</v>
      </c>
      <c r="H1564" s="116"/>
      <c r="I1564" s="116"/>
      <c r="L1564" s="170">
        <v>45772</v>
      </c>
      <c r="M1564" s="116">
        <v>1965.9</v>
      </c>
      <c r="N1564" s="116">
        <v>2019.1</v>
      </c>
      <c r="O1564" s="116">
        <v>1946.3</v>
      </c>
      <c r="P1564" s="116">
        <v>1984</v>
      </c>
      <c r="Q1564" s="116">
        <v>1965.9</v>
      </c>
      <c r="R1564">
        <v>1218246</v>
      </c>
    </row>
    <row r="1565" spans="1:18" x14ac:dyDescent="0.25">
      <c r="A1565" s="170">
        <v>45779</v>
      </c>
      <c r="B1565" s="116">
        <v>1972.05</v>
      </c>
      <c r="C1565" s="116">
        <v>1949.1</v>
      </c>
      <c r="D1565" s="116">
        <v>1939.15</v>
      </c>
      <c r="E1565" s="116">
        <v>1944.25</v>
      </c>
      <c r="F1565" s="116">
        <v>1949.1</v>
      </c>
      <c r="G1565">
        <v>6123</v>
      </c>
      <c r="H1565" s="116"/>
      <c r="I1565" s="116"/>
      <c r="L1565" s="170">
        <v>45775</v>
      </c>
      <c r="M1565" s="116">
        <v>1983.7</v>
      </c>
      <c r="N1565" s="116">
        <v>2002.5</v>
      </c>
      <c r="O1565" s="116">
        <v>1961.2</v>
      </c>
      <c r="P1565" s="116">
        <v>1965.9</v>
      </c>
      <c r="Q1565" s="116">
        <v>1983.7</v>
      </c>
      <c r="R1565">
        <v>329279</v>
      </c>
    </row>
    <row r="1566" spans="1:18" x14ac:dyDescent="0.25">
      <c r="A1566" s="170">
        <v>45782</v>
      </c>
      <c r="B1566" s="116">
        <v>1962</v>
      </c>
      <c r="C1566" s="116">
        <v>1943.35</v>
      </c>
      <c r="D1566" s="116">
        <v>1937.3</v>
      </c>
      <c r="E1566" s="116">
        <v>1946.4</v>
      </c>
      <c r="F1566" s="116">
        <v>1943.35</v>
      </c>
      <c r="G1566">
        <v>1599</v>
      </c>
      <c r="H1566" s="116"/>
      <c r="I1566" s="116"/>
      <c r="L1566" s="170">
        <v>45776</v>
      </c>
      <c r="M1566" s="116">
        <v>1954.8</v>
      </c>
      <c r="N1566" s="116">
        <v>1993.9</v>
      </c>
      <c r="O1566" s="116">
        <v>1946.8</v>
      </c>
      <c r="P1566" s="116">
        <v>1971.2</v>
      </c>
      <c r="Q1566" s="116">
        <v>1954.8</v>
      </c>
      <c r="R1566">
        <v>255102</v>
      </c>
    </row>
    <row r="1567" spans="1:18" x14ac:dyDescent="0.25">
      <c r="A1567" s="170">
        <v>45783</v>
      </c>
      <c r="B1567" s="116">
        <v>1975.4</v>
      </c>
      <c r="C1567" s="116">
        <v>1953.45</v>
      </c>
      <c r="D1567" s="116">
        <v>1939.95</v>
      </c>
      <c r="E1567" s="116">
        <v>1946.75</v>
      </c>
      <c r="F1567" s="116">
        <v>1953.45</v>
      </c>
      <c r="G1567">
        <v>5229</v>
      </c>
      <c r="H1567" s="116"/>
      <c r="I1567" s="116"/>
      <c r="L1567" s="170">
        <v>45777</v>
      </c>
      <c r="M1567" s="116">
        <v>1942.7</v>
      </c>
      <c r="N1567" s="116">
        <v>1969</v>
      </c>
      <c r="O1567" s="116">
        <v>1934.4</v>
      </c>
      <c r="P1567" s="116">
        <v>1950.1</v>
      </c>
      <c r="Q1567" s="116">
        <v>1942.7</v>
      </c>
      <c r="R1567">
        <v>360446</v>
      </c>
    </row>
    <row r="1568" spans="1:18" x14ac:dyDescent="0.25">
      <c r="A1568" s="170">
        <v>45784</v>
      </c>
      <c r="B1568" s="116">
        <v>1986.55</v>
      </c>
      <c r="C1568" s="116">
        <v>1972.85</v>
      </c>
      <c r="D1568" s="116">
        <v>1920.85</v>
      </c>
      <c r="E1568" s="116">
        <v>1920.85</v>
      </c>
      <c r="F1568" s="116">
        <v>1972.85</v>
      </c>
      <c r="G1568">
        <v>6291</v>
      </c>
      <c r="H1568" s="116"/>
      <c r="I1568" s="116"/>
      <c r="L1568" s="170">
        <v>45779</v>
      </c>
      <c r="M1568" s="116">
        <v>1949.5</v>
      </c>
      <c r="N1568" s="116">
        <v>1972.6</v>
      </c>
      <c r="O1568" s="116">
        <v>1936.6</v>
      </c>
      <c r="P1568" s="116">
        <v>1949.9</v>
      </c>
      <c r="Q1568" s="116">
        <v>1949.5</v>
      </c>
      <c r="R1568">
        <v>859225</v>
      </c>
    </row>
    <row r="1569" spans="1:18" x14ac:dyDescent="0.25">
      <c r="A1569" s="170">
        <v>45785</v>
      </c>
      <c r="B1569" s="116">
        <v>1990</v>
      </c>
      <c r="C1569" s="116">
        <v>1950.95</v>
      </c>
      <c r="D1569" s="116">
        <v>1945</v>
      </c>
      <c r="E1569" s="116">
        <v>1972.85</v>
      </c>
      <c r="F1569" s="116">
        <v>1950.95</v>
      </c>
      <c r="G1569">
        <v>5193</v>
      </c>
      <c r="H1569" s="116"/>
      <c r="I1569" s="116"/>
      <c r="L1569" s="170">
        <v>45782</v>
      </c>
      <c r="M1569" s="116">
        <v>1941</v>
      </c>
      <c r="N1569" s="116">
        <v>1963.2</v>
      </c>
      <c r="O1569" s="116">
        <v>1938.1</v>
      </c>
      <c r="P1569" s="116">
        <v>1949.9</v>
      </c>
      <c r="Q1569" s="116">
        <v>1941</v>
      </c>
      <c r="R1569">
        <v>137555</v>
      </c>
    </row>
    <row r="1570" spans="1:18" x14ac:dyDescent="0.25">
      <c r="A1570" s="170">
        <v>45786</v>
      </c>
      <c r="B1570" s="116">
        <v>1945.8</v>
      </c>
      <c r="C1570" s="116">
        <v>1918.65</v>
      </c>
      <c r="D1570" s="116">
        <v>1870</v>
      </c>
      <c r="E1570" s="116">
        <v>1913.25</v>
      </c>
      <c r="F1570" s="116">
        <v>1918.65</v>
      </c>
      <c r="G1570">
        <v>4639</v>
      </c>
      <c r="H1570" s="116"/>
      <c r="I1570" s="116"/>
      <c r="L1570" s="170">
        <v>45783</v>
      </c>
      <c r="M1570" s="116">
        <v>1952.4</v>
      </c>
      <c r="N1570" s="116">
        <v>1975</v>
      </c>
      <c r="O1570" s="116">
        <v>1936.2</v>
      </c>
      <c r="P1570" s="116">
        <v>1936.2</v>
      </c>
      <c r="Q1570" s="116">
        <v>1952.4</v>
      </c>
      <c r="R1570">
        <v>694760</v>
      </c>
    </row>
    <row r="1571" spans="1:18" x14ac:dyDescent="0.25">
      <c r="A1571" s="170">
        <v>45789</v>
      </c>
      <c r="B1571" s="116">
        <v>1997.05</v>
      </c>
      <c r="C1571" s="116">
        <v>1980.65</v>
      </c>
      <c r="D1571" s="116">
        <v>1949.9</v>
      </c>
      <c r="E1571" s="116">
        <v>1997.05</v>
      </c>
      <c r="F1571" s="116">
        <v>1980.65</v>
      </c>
      <c r="G1571">
        <v>5047</v>
      </c>
      <c r="H1571" s="116"/>
      <c r="I1571" s="116"/>
      <c r="L1571" s="170">
        <v>45784</v>
      </c>
      <c r="M1571" s="116">
        <v>1974.3</v>
      </c>
      <c r="N1571" s="116">
        <v>1987</v>
      </c>
      <c r="O1571" s="116">
        <v>1935.1</v>
      </c>
      <c r="P1571" s="116">
        <v>1945.7</v>
      </c>
      <c r="Q1571" s="116">
        <v>1974.3</v>
      </c>
      <c r="R1571">
        <v>685326</v>
      </c>
    </row>
    <row r="1572" spans="1:18" x14ac:dyDescent="0.25">
      <c r="A1572" s="170">
        <v>45790</v>
      </c>
      <c r="B1572" s="116">
        <v>2020.9</v>
      </c>
      <c r="C1572" s="116">
        <v>2006.35</v>
      </c>
      <c r="D1572" s="116">
        <v>1974.1</v>
      </c>
      <c r="E1572" s="116">
        <v>1981.75</v>
      </c>
      <c r="F1572" s="116">
        <v>2006.35</v>
      </c>
      <c r="G1572">
        <v>8345</v>
      </c>
      <c r="H1572" s="116"/>
      <c r="I1572" s="116"/>
      <c r="L1572" s="170">
        <v>45785</v>
      </c>
      <c r="M1572" s="116">
        <v>1964.4</v>
      </c>
      <c r="N1572" s="116">
        <v>1992.2</v>
      </c>
      <c r="O1572" s="116">
        <v>1945.5</v>
      </c>
      <c r="P1572" s="116">
        <v>1970</v>
      </c>
      <c r="Q1572" s="116">
        <v>1964.4</v>
      </c>
      <c r="R1572">
        <v>322312</v>
      </c>
    </row>
    <row r="1573" spans="1:18" x14ac:dyDescent="0.25">
      <c r="A1573" s="170">
        <v>45791</v>
      </c>
      <c r="B1573" s="116">
        <v>2074.1</v>
      </c>
      <c r="C1573" s="116">
        <v>2055.1</v>
      </c>
      <c r="D1573" s="116">
        <v>2012</v>
      </c>
      <c r="E1573" s="116">
        <v>2019.2</v>
      </c>
      <c r="F1573" s="116">
        <v>2055.1</v>
      </c>
      <c r="G1573">
        <v>41975</v>
      </c>
      <c r="H1573" s="116"/>
      <c r="I1573" s="116"/>
      <c r="L1573" s="170">
        <v>45786</v>
      </c>
      <c r="M1573" s="116">
        <v>1916.8</v>
      </c>
      <c r="N1573" s="116">
        <v>1945.4</v>
      </c>
      <c r="O1573" s="116">
        <v>1902.7</v>
      </c>
      <c r="P1573" s="116">
        <v>1925.1</v>
      </c>
      <c r="Q1573" s="116">
        <v>1916.8</v>
      </c>
      <c r="R1573">
        <v>143044</v>
      </c>
    </row>
    <row r="1574" spans="1:18" x14ac:dyDescent="0.25">
      <c r="A1574" s="170">
        <v>45792</v>
      </c>
      <c r="B1574" s="116">
        <v>2092.5</v>
      </c>
      <c r="C1574" s="116">
        <v>2086.5</v>
      </c>
      <c r="D1574" s="116">
        <v>2061.5500000000002</v>
      </c>
      <c r="E1574" s="116">
        <v>2069.9499999999998</v>
      </c>
      <c r="F1574" s="116">
        <v>2086.5</v>
      </c>
      <c r="G1574">
        <v>5278</v>
      </c>
      <c r="H1574" s="116"/>
      <c r="I1574" s="116"/>
      <c r="L1574" s="170">
        <v>45789</v>
      </c>
      <c r="M1574" s="116">
        <v>1980.9</v>
      </c>
      <c r="N1574" s="116">
        <v>1990.9</v>
      </c>
      <c r="O1574" s="116">
        <v>1952.2</v>
      </c>
      <c r="P1574" s="116">
        <v>1959</v>
      </c>
      <c r="Q1574" s="116">
        <v>1980.9</v>
      </c>
      <c r="R1574">
        <v>138596</v>
      </c>
    </row>
    <row r="1575" spans="1:18" x14ac:dyDescent="0.25">
      <c r="A1575" s="170">
        <v>45793</v>
      </c>
      <c r="B1575" s="116">
        <v>2104.8000000000002</v>
      </c>
      <c r="C1575" s="116">
        <v>2069.1</v>
      </c>
      <c r="D1575" s="116">
        <v>2059.4499999999998</v>
      </c>
      <c r="E1575" s="116">
        <v>2086.4499999999998</v>
      </c>
      <c r="F1575" s="116">
        <v>2069.1</v>
      </c>
      <c r="G1575">
        <v>10426</v>
      </c>
      <c r="H1575" s="116"/>
      <c r="I1575" s="116"/>
      <c r="L1575" s="170">
        <v>45790</v>
      </c>
      <c r="M1575" s="116">
        <v>2006.7</v>
      </c>
      <c r="N1575" s="116">
        <v>2021</v>
      </c>
      <c r="O1575" s="116">
        <v>1974.8</v>
      </c>
      <c r="P1575" s="116">
        <v>1980</v>
      </c>
      <c r="Q1575" s="116">
        <v>2006.7</v>
      </c>
      <c r="R1575">
        <v>809567</v>
      </c>
    </row>
    <row r="1576" spans="1:18" x14ac:dyDescent="0.25">
      <c r="A1576" s="170">
        <v>45796</v>
      </c>
      <c r="B1576" s="116">
        <v>2095</v>
      </c>
      <c r="C1576" s="116">
        <v>2063.1</v>
      </c>
      <c r="D1576" s="116">
        <v>2059.85</v>
      </c>
      <c r="E1576" s="116">
        <v>2063.9499999999998</v>
      </c>
      <c r="F1576" s="116">
        <v>2063.1</v>
      </c>
      <c r="G1576">
        <v>10112</v>
      </c>
      <c r="H1576" s="116"/>
      <c r="I1576" s="116"/>
      <c r="L1576" s="170">
        <v>45791</v>
      </c>
      <c r="M1576" s="116">
        <v>2056.1</v>
      </c>
      <c r="N1576" s="116">
        <v>2073.8000000000002</v>
      </c>
      <c r="O1576" s="116">
        <v>2011</v>
      </c>
      <c r="P1576" s="116">
        <v>2025</v>
      </c>
      <c r="Q1576" s="116">
        <v>2056.1</v>
      </c>
      <c r="R1576">
        <v>852925</v>
      </c>
    </row>
    <row r="1577" spans="1:18" x14ac:dyDescent="0.25">
      <c r="A1577" s="170">
        <v>45797</v>
      </c>
      <c r="B1577" s="116">
        <v>2129.9499999999998</v>
      </c>
      <c r="C1577" s="116">
        <v>2055.8000000000002</v>
      </c>
      <c r="D1577" s="116">
        <v>2048</v>
      </c>
      <c r="E1577" s="116">
        <v>2129.9499999999998</v>
      </c>
      <c r="F1577" s="116">
        <v>2055.8000000000002</v>
      </c>
      <c r="G1577">
        <v>2282</v>
      </c>
      <c r="H1577" s="116"/>
      <c r="I1577" s="116"/>
      <c r="L1577" s="170">
        <v>45792</v>
      </c>
      <c r="M1577" s="116">
        <v>2085.8000000000002</v>
      </c>
      <c r="N1577" s="116">
        <v>2093</v>
      </c>
      <c r="O1577" s="116">
        <v>2060.6</v>
      </c>
      <c r="P1577" s="116">
        <v>2065</v>
      </c>
      <c r="Q1577" s="116">
        <v>2085.8000000000002</v>
      </c>
      <c r="R1577">
        <v>382774</v>
      </c>
    </row>
    <row r="1578" spans="1:18" x14ac:dyDescent="0.25">
      <c r="A1578" s="170">
        <v>45798</v>
      </c>
      <c r="B1578" s="116">
        <v>2093.1999999999998</v>
      </c>
      <c r="C1578" s="116">
        <v>2088.1</v>
      </c>
      <c r="D1578" s="116">
        <v>2054.1</v>
      </c>
      <c r="E1578" s="116">
        <v>2055.8000000000002</v>
      </c>
      <c r="F1578" s="116">
        <v>2088.1</v>
      </c>
      <c r="G1578">
        <v>4135</v>
      </c>
      <c r="H1578" s="116"/>
      <c r="I1578" s="116"/>
      <c r="L1578" s="170">
        <v>45793</v>
      </c>
      <c r="M1578" s="116">
        <v>2070.1</v>
      </c>
      <c r="N1578" s="116">
        <v>2104.8000000000002</v>
      </c>
      <c r="O1578" s="116">
        <v>2059.1999999999998</v>
      </c>
      <c r="P1578" s="116">
        <v>2090</v>
      </c>
      <c r="Q1578" s="116">
        <v>2070.1</v>
      </c>
      <c r="R1578">
        <v>377498</v>
      </c>
    </row>
    <row r="1579" spans="1:18" x14ac:dyDescent="0.25">
      <c r="A1579" s="170">
        <v>45799</v>
      </c>
      <c r="B1579" s="116">
        <v>2117.6999999999998</v>
      </c>
      <c r="C1579" s="116">
        <v>2106.4</v>
      </c>
      <c r="D1579" s="116">
        <v>2047.55</v>
      </c>
      <c r="E1579" s="116">
        <v>2047.55</v>
      </c>
      <c r="F1579" s="116">
        <v>2106.4</v>
      </c>
      <c r="G1579">
        <v>3126</v>
      </c>
      <c r="H1579" s="116"/>
      <c r="I1579" s="116"/>
      <c r="L1579" s="170">
        <v>45796</v>
      </c>
      <c r="M1579" s="116">
        <v>2063.9</v>
      </c>
      <c r="N1579" s="116">
        <v>2096</v>
      </c>
      <c r="O1579" s="116">
        <v>2061.3000000000002</v>
      </c>
      <c r="P1579" s="116">
        <v>2070.1</v>
      </c>
      <c r="Q1579" s="116">
        <v>2063.9</v>
      </c>
      <c r="R1579">
        <v>444225</v>
      </c>
    </row>
    <row r="1580" spans="1:18" x14ac:dyDescent="0.25">
      <c r="A1580" s="170">
        <v>45800</v>
      </c>
      <c r="B1580" s="116">
        <v>2166.6999999999998</v>
      </c>
      <c r="C1580" s="116">
        <v>2144.1999999999998</v>
      </c>
      <c r="D1580" s="116">
        <v>2113.1999999999998</v>
      </c>
      <c r="E1580" s="116">
        <v>2116.1</v>
      </c>
      <c r="F1580" s="116">
        <v>2144.1999999999998</v>
      </c>
      <c r="G1580">
        <v>7357</v>
      </c>
      <c r="H1580" s="116"/>
      <c r="I1580" s="116"/>
      <c r="L1580" s="170">
        <v>45797</v>
      </c>
      <c r="M1580" s="116">
        <v>2057.1999999999998</v>
      </c>
      <c r="N1580" s="116">
        <v>2078.6999999999998</v>
      </c>
      <c r="O1580" s="116">
        <v>2046.6</v>
      </c>
      <c r="P1580" s="116">
        <v>2075</v>
      </c>
      <c r="Q1580" s="116">
        <v>2057.1999999999998</v>
      </c>
      <c r="R1580">
        <v>406232</v>
      </c>
    </row>
    <row r="1581" spans="1:18" x14ac:dyDescent="0.25">
      <c r="A1581" s="170">
        <v>45803</v>
      </c>
      <c r="B1581" s="116">
        <v>2155.6999999999998</v>
      </c>
      <c r="C1581" s="116">
        <v>2055.8000000000002</v>
      </c>
      <c r="D1581" s="116">
        <v>2050.0500000000002</v>
      </c>
      <c r="E1581" s="116">
        <v>2100.3000000000002</v>
      </c>
      <c r="F1581" s="116">
        <v>2055.8000000000002</v>
      </c>
      <c r="G1581">
        <v>8710</v>
      </c>
      <c r="H1581" s="116"/>
      <c r="I1581" s="116"/>
      <c r="L1581" s="170">
        <v>45798</v>
      </c>
      <c r="M1581" s="116">
        <v>2089.3000000000002</v>
      </c>
      <c r="N1581" s="116">
        <v>2093</v>
      </c>
      <c r="O1581" s="116">
        <v>2053</v>
      </c>
      <c r="P1581" s="116">
        <v>2058.5</v>
      </c>
      <c r="Q1581" s="116">
        <v>2089.3000000000002</v>
      </c>
      <c r="R1581">
        <v>148166</v>
      </c>
    </row>
    <row r="1582" spans="1:18" x14ac:dyDescent="0.25">
      <c r="A1582" s="170">
        <v>45804</v>
      </c>
      <c r="B1582" s="116">
        <v>2068.0500000000002</v>
      </c>
      <c r="C1582" s="116">
        <v>2065.1999999999998</v>
      </c>
      <c r="D1582" s="116">
        <v>2028</v>
      </c>
      <c r="E1582" s="116">
        <v>2055.8000000000002</v>
      </c>
      <c r="F1582" s="116">
        <v>2065.1999999999998</v>
      </c>
      <c r="G1582">
        <v>6153</v>
      </c>
      <c r="H1582" s="116"/>
      <c r="I1582" s="116"/>
      <c r="L1582" s="170">
        <v>45799</v>
      </c>
      <c r="M1582" s="116">
        <v>2106.9</v>
      </c>
      <c r="N1582" s="116">
        <v>2117.5</v>
      </c>
      <c r="O1582" s="116">
        <v>2073</v>
      </c>
      <c r="P1582" s="116">
        <v>2089.3000000000002</v>
      </c>
      <c r="Q1582" s="116">
        <v>2106.9</v>
      </c>
      <c r="R1582">
        <v>533539</v>
      </c>
    </row>
    <row r="1583" spans="1:18" x14ac:dyDescent="0.25">
      <c r="A1583" s="170">
        <v>45805</v>
      </c>
      <c r="B1583" s="116">
        <v>2093.4499999999998</v>
      </c>
      <c r="C1583" s="116">
        <v>2046.5</v>
      </c>
      <c r="D1583" s="116">
        <v>2042.5</v>
      </c>
      <c r="E1583" s="116">
        <v>2069</v>
      </c>
      <c r="F1583" s="116">
        <v>2046.5</v>
      </c>
      <c r="G1583">
        <v>3672</v>
      </c>
      <c r="H1583" s="116"/>
      <c r="I1583" s="116"/>
      <c r="L1583" s="170">
        <v>45800</v>
      </c>
      <c r="M1583" s="116">
        <v>2143</v>
      </c>
      <c r="N1583" s="116">
        <v>2167</v>
      </c>
      <c r="O1583" s="116">
        <v>2112.1</v>
      </c>
      <c r="P1583" s="116">
        <v>2122</v>
      </c>
      <c r="Q1583" s="116">
        <v>2143</v>
      </c>
      <c r="R1583">
        <v>308866</v>
      </c>
    </row>
    <row r="1584" spans="1:18" x14ac:dyDescent="0.25">
      <c r="A1584" s="170">
        <v>45806</v>
      </c>
      <c r="B1584" s="116">
        <v>2060</v>
      </c>
      <c r="C1584" s="116">
        <v>2052.65</v>
      </c>
      <c r="D1584" s="116">
        <v>2028</v>
      </c>
      <c r="E1584" s="116">
        <v>2052.4499999999998</v>
      </c>
      <c r="F1584" s="116">
        <v>2052.65</v>
      </c>
      <c r="G1584">
        <v>2864</v>
      </c>
      <c r="H1584" s="116"/>
      <c r="I1584" s="116"/>
      <c r="L1584" s="170">
        <v>45803</v>
      </c>
      <c r="M1584" s="116">
        <v>2056.1</v>
      </c>
      <c r="N1584" s="116">
        <v>2158.3000000000002</v>
      </c>
      <c r="O1584" s="116">
        <v>2050</v>
      </c>
      <c r="P1584" s="116">
        <v>2148.9</v>
      </c>
      <c r="Q1584" s="116">
        <v>2056.1</v>
      </c>
      <c r="R1584">
        <v>335542</v>
      </c>
    </row>
    <row r="1585" spans="1:18" x14ac:dyDescent="0.25">
      <c r="A1585" s="170">
        <v>45807</v>
      </c>
      <c r="B1585" s="116">
        <v>2049</v>
      </c>
      <c r="C1585" s="116">
        <v>2015.35</v>
      </c>
      <c r="D1585" s="116">
        <v>2008.7</v>
      </c>
      <c r="E1585" s="116">
        <v>2044</v>
      </c>
      <c r="F1585" s="116">
        <v>2015.35</v>
      </c>
      <c r="G1585">
        <v>1380</v>
      </c>
      <c r="H1585" s="116"/>
      <c r="I1585" s="116"/>
      <c r="L1585" s="170">
        <v>45804</v>
      </c>
      <c r="M1585" s="116">
        <v>2064.1999999999998</v>
      </c>
      <c r="N1585" s="116">
        <v>2070</v>
      </c>
      <c r="O1585" s="116">
        <v>2026.2</v>
      </c>
      <c r="P1585" s="116">
        <v>2050</v>
      </c>
      <c r="Q1585" s="116">
        <v>2064.1999999999998</v>
      </c>
      <c r="R1585">
        <v>372944</v>
      </c>
    </row>
    <row r="1586" spans="1:18" x14ac:dyDescent="0.25">
      <c r="A1586" s="170">
        <v>45810</v>
      </c>
      <c r="B1586" s="116">
        <v>2085</v>
      </c>
      <c r="C1586" s="116">
        <v>2073.35</v>
      </c>
      <c r="D1586" s="116">
        <v>2016.4</v>
      </c>
      <c r="E1586" s="116">
        <v>2016.4</v>
      </c>
      <c r="F1586" s="116">
        <v>2073.35</v>
      </c>
      <c r="G1586">
        <v>7142</v>
      </c>
      <c r="H1586" s="116"/>
      <c r="I1586" s="116"/>
      <c r="L1586" s="170">
        <v>45805</v>
      </c>
      <c r="M1586" s="116">
        <v>2049.9</v>
      </c>
      <c r="N1586" s="116">
        <v>2080</v>
      </c>
      <c r="O1586" s="116">
        <v>2043</v>
      </c>
      <c r="P1586" s="116">
        <v>2076.9</v>
      </c>
      <c r="Q1586" s="116">
        <v>2049.9</v>
      </c>
      <c r="R1586">
        <v>290725</v>
      </c>
    </row>
    <row r="1587" spans="1:18" x14ac:dyDescent="0.25">
      <c r="A1587" s="170">
        <v>45811</v>
      </c>
      <c r="B1587" s="116">
        <v>2084</v>
      </c>
      <c r="C1587" s="116">
        <v>2062.0500000000002</v>
      </c>
      <c r="D1587" s="116">
        <v>2047</v>
      </c>
      <c r="E1587" s="116">
        <v>2064.65</v>
      </c>
      <c r="F1587" s="116">
        <v>2062.0500000000002</v>
      </c>
      <c r="G1587">
        <v>10588</v>
      </c>
      <c r="H1587" s="116"/>
      <c r="I1587" s="116"/>
      <c r="L1587" s="170">
        <v>45806</v>
      </c>
      <c r="M1587" s="116">
        <v>2052.6999999999998</v>
      </c>
      <c r="N1587" s="116">
        <v>2064.6999999999998</v>
      </c>
      <c r="O1587" s="116">
        <v>2028</v>
      </c>
      <c r="P1587" s="116">
        <v>2060</v>
      </c>
      <c r="Q1587" s="116">
        <v>2052.6999999999998</v>
      </c>
      <c r="R1587">
        <v>117698</v>
      </c>
    </row>
    <row r="1588" spans="1:18" x14ac:dyDescent="0.25">
      <c r="A1588" s="170">
        <v>45812</v>
      </c>
      <c r="B1588" s="116">
        <v>2065</v>
      </c>
      <c r="C1588" s="116">
        <v>2059.5</v>
      </c>
      <c r="D1588" s="116">
        <v>2045.6</v>
      </c>
      <c r="E1588" s="116">
        <v>2064.9499999999998</v>
      </c>
      <c r="F1588" s="116">
        <v>2059.5</v>
      </c>
      <c r="G1588">
        <v>2739</v>
      </c>
      <c r="H1588" s="116"/>
      <c r="I1588" s="116"/>
      <c r="L1588" s="170">
        <v>45807</v>
      </c>
      <c r="M1588" s="116">
        <v>2016.4</v>
      </c>
      <c r="N1588" s="116">
        <v>2048.6999999999998</v>
      </c>
      <c r="O1588" s="116">
        <v>2007.7</v>
      </c>
      <c r="P1588" s="116">
        <v>2046.1</v>
      </c>
      <c r="Q1588" s="116">
        <v>2016.4</v>
      </c>
      <c r="R1588">
        <v>151695</v>
      </c>
    </row>
    <row r="1589" spans="1:18" x14ac:dyDescent="0.25">
      <c r="A1589" s="170">
        <v>45813</v>
      </c>
      <c r="B1589" s="116">
        <v>2097.4</v>
      </c>
      <c r="C1589" s="116">
        <v>2089.6</v>
      </c>
      <c r="D1589" s="116">
        <v>2045.05</v>
      </c>
      <c r="E1589" s="116">
        <v>2045.05</v>
      </c>
      <c r="F1589" s="116">
        <v>2089.6</v>
      </c>
      <c r="G1589">
        <v>3057</v>
      </c>
      <c r="H1589" s="116"/>
      <c r="I1589" s="116"/>
      <c r="L1589" s="170">
        <v>45810</v>
      </c>
      <c r="M1589" s="116">
        <v>2076</v>
      </c>
      <c r="N1589" s="116">
        <v>2084.8000000000002</v>
      </c>
      <c r="O1589" s="116">
        <v>2011.6</v>
      </c>
      <c r="P1589" s="116">
        <v>2016.4</v>
      </c>
      <c r="Q1589" s="116">
        <v>2076</v>
      </c>
      <c r="R1589">
        <v>659587</v>
      </c>
    </row>
    <row r="1590" spans="1:18" x14ac:dyDescent="0.25">
      <c r="A1590" s="170">
        <v>45814</v>
      </c>
      <c r="B1590" s="116">
        <v>2119.15</v>
      </c>
      <c r="C1590" s="116">
        <v>2114.4</v>
      </c>
      <c r="D1590" s="116">
        <v>2083.9</v>
      </c>
      <c r="E1590" s="116">
        <v>2093.75</v>
      </c>
      <c r="F1590" s="116">
        <v>2114.4</v>
      </c>
      <c r="G1590">
        <v>6775</v>
      </c>
      <c r="H1590" s="116"/>
      <c r="I1590" s="116"/>
      <c r="L1590" s="170">
        <v>45811</v>
      </c>
      <c r="M1590" s="116">
        <v>2062</v>
      </c>
      <c r="N1590" s="116">
        <v>2084</v>
      </c>
      <c r="O1590" s="116">
        <v>2046.1</v>
      </c>
      <c r="P1590" s="116">
        <v>2070.6</v>
      </c>
      <c r="Q1590" s="116">
        <v>2062</v>
      </c>
      <c r="R1590">
        <v>427207</v>
      </c>
    </row>
    <row r="1591" spans="1:18" x14ac:dyDescent="0.25">
      <c r="A1591" s="170">
        <v>45817</v>
      </c>
      <c r="B1591" s="116">
        <v>2125</v>
      </c>
      <c r="C1591" s="116">
        <v>2120.6</v>
      </c>
      <c r="D1591" s="116">
        <v>2075.5500000000002</v>
      </c>
      <c r="E1591" s="116">
        <v>2087.3000000000002</v>
      </c>
      <c r="F1591" s="116">
        <v>2120.6</v>
      </c>
      <c r="G1591">
        <v>6267</v>
      </c>
      <c r="H1591" s="116"/>
      <c r="I1591" s="116"/>
      <c r="L1591" s="170">
        <v>45812</v>
      </c>
      <c r="M1591" s="116">
        <v>2060</v>
      </c>
      <c r="N1591" s="116">
        <v>2066.6</v>
      </c>
      <c r="O1591" s="116">
        <v>2044.7</v>
      </c>
      <c r="P1591" s="116">
        <v>2062</v>
      </c>
      <c r="Q1591" s="116">
        <v>2060</v>
      </c>
      <c r="R1591">
        <v>133208</v>
      </c>
    </row>
    <row r="1592" spans="1:18" x14ac:dyDescent="0.25">
      <c r="A1592" s="170">
        <v>45818</v>
      </c>
      <c r="B1592" s="116">
        <v>2179.9499999999998</v>
      </c>
      <c r="C1592" s="116">
        <v>2161.35</v>
      </c>
      <c r="D1592" s="116">
        <v>2121</v>
      </c>
      <c r="E1592" s="116">
        <v>2148.9</v>
      </c>
      <c r="F1592" s="116">
        <v>2161.35</v>
      </c>
      <c r="G1592">
        <v>4329</v>
      </c>
      <c r="H1592" s="116"/>
      <c r="I1592" s="116"/>
      <c r="L1592" s="170">
        <v>45813</v>
      </c>
      <c r="M1592" s="116">
        <v>2089.1999999999998</v>
      </c>
      <c r="N1592" s="116">
        <v>2098.9</v>
      </c>
      <c r="O1592" s="116">
        <v>2050</v>
      </c>
      <c r="P1592" s="116">
        <v>2050</v>
      </c>
      <c r="Q1592" s="116">
        <v>2089.1999999999998</v>
      </c>
      <c r="R1592">
        <v>84175</v>
      </c>
    </row>
    <row r="1593" spans="1:18" x14ac:dyDescent="0.25">
      <c r="A1593" s="170">
        <v>45819</v>
      </c>
      <c r="B1593" s="116">
        <v>2186.6</v>
      </c>
      <c r="C1593" s="116">
        <v>2141.9499999999998</v>
      </c>
      <c r="D1593" s="116">
        <v>2117.9499999999998</v>
      </c>
      <c r="E1593" s="116">
        <v>2186.6</v>
      </c>
      <c r="F1593" s="116">
        <v>2141.9499999999998</v>
      </c>
      <c r="G1593">
        <v>8658</v>
      </c>
      <c r="H1593" s="116"/>
      <c r="I1593" s="116"/>
      <c r="L1593" s="170">
        <v>45814</v>
      </c>
      <c r="M1593" s="116">
        <v>2116.1999999999998</v>
      </c>
      <c r="N1593" s="116">
        <v>2119.5</v>
      </c>
      <c r="O1593" s="116">
        <v>2084</v>
      </c>
      <c r="P1593" s="116">
        <v>2100</v>
      </c>
      <c r="Q1593" s="116">
        <v>2116.1999999999998</v>
      </c>
      <c r="R1593">
        <v>105750</v>
      </c>
    </row>
    <row r="1594" spans="1:18" x14ac:dyDescent="0.25">
      <c r="A1594" s="170">
        <v>45820</v>
      </c>
      <c r="B1594" s="116">
        <v>2160</v>
      </c>
      <c r="C1594" s="116">
        <v>2103.6999999999998</v>
      </c>
      <c r="D1594" s="116">
        <v>2098.6</v>
      </c>
      <c r="E1594" s="116">
        <v>2160</v>
      </c>
      <c r="F1594" s="116">
        <v>2103.6999999999998</v>
      </c>
      <c r="G1594">
        <v>2883</v>
      </c>
      <c r="H1594" s="116"/>
      <c r="I1594" s="116"/>
      <c r="L1594" s="170">
        <v>45817</v>
      </c>
      <c r="M1594" s="116">
        <v>2121.6</v>
      </c>
      <c r="N1594" s="116">
        <v>2125</v>
      </c>
      <c r="O1594" s="116">
        <v>2073</v>
      </c>
      <c r="P1594" s="116">
        <v>2100</v>
      </c>
      <c r="Q1594" s="116">
        <v>2121.6</v>
      </c>
      <c r="R1594">
        <v>192364</v>
      </c>
    </row>
    <row r="1595" spans="1:18" x14ac:dyDescent="0.25">
      <c r="A1595" s="170">
        <v>45821</v>
      </c>
      <c r="B1595" s="116">
        <v>2105.5500000000002</v>
      </c>
      <c r="C1595" s="116">
        <v>2088.5500000000002</v>
      </c>
      <c r="D1595" s="116">
        <v>2072.6999999999998</v>
      </c>
      <c r="E1595" s="116">
        <v>2095</v>
      </c>
      <c r="F1595" s="116">
        <v>2088.5500000000002</v>
      </c>
      <c r="G1595">
        <v>2075</v>
      </c>
      <c r="H1595" s="116"/>
      <c r="I1595" s="116"/>
      <c r="L1595" s="170">
        <v>45818</v>
      </c>
      <c r="M1595" s="116">
        <v>2159.8000000000002</v>
      </c>
      <c r="N1595" s="116">
        <v>2172.1</v>
      </c>
      <c r="O1595" s="116">
        <v>2120</v>
      </c>
      <c r="P1595" s="116">
        <v>2125</v>
      </c>
      <c r="Q1595" s="116">
        <v>2159.8000000000002</v>
      </c>
      <c r="R1595">
        <v>301954</v>
      </c>
    </row>
    <row r="1596" spans="1:18" x14ac:dyDescent="0.25">
      <c r="A1596" s="170">
        <v>45824</v>
      </c>
      <c r="B1596" s="116">
        <v>2120</v>
      </c>
      <c r="C1596" s="116">
        <v>2095.6</v>
      </c>
      <c r="D1596" s="116">
        <v>2087.5</v>
      </c>
      <c r="E1596" s="116">
        <v>2088.5500000000002</v>
      </c>
      <c r="F1596" s="116">
        <v>2095.6</v>
      </c>
      <c r="G1596">
        <v>18276</v>
      </c>
      <c r="H1596" s="116"/>
      <c r="I1596" s="116"/>
      <c r="L1596" s="170">
        <v>45819</v>
      </c>
      <c r="M1596" s="116">
        <v>2143.1</v>
      </c>
      <c r="N1596" s="116">
        <v>2176</v>
      </c>
      <c r="O1596" s="116">
        <v>2113.1999999999998</v>
      </c>
      <c r="P1596" s="116">
        <v>2175</v>
      </c>
      <c r="Q1596" s="116">
        <v>2143.1</v>
      </c>
      <c r="R1596">
        <v>168755</v>
      </c>
    </row>
    <row r="1597" spans="1:18" x14ac:dyDescent="0.25">
      <c r="A1597" s="170">
        <v>45825</v>
      </c>
      <c r="B1597" s="116">
        <v>2097.5</v>
      </c>
      <c r="C1597" s="116">
        <v>2062.6999999999998</v>
      </c>
      <c r="D1597" s="116">
        <v>2059.1</v>
      </c>
      <c r="E1597" s="116">
        <v>2092.65</v>
      </c>
      <c r="F1597" s="116">
        <v>2062.6999999999998</v>
      </c>
      <c r="G1597">
        <v>1618</v>
      </c>
      <c r="H1597" s="116"/>
      <c r="I1597" s="116"/>
      <c r="L1597" s="170">
        <v>45820</v>
      </c>
      <c r="M1597" s="116">
        <v>2104</v>
      </c>
      <c r="N1597" s="116">
        <v>2152.6</v>
      </c>
      <c r="O1597" s="116">
        <v>2098.3000000000002</v>
      </c>
      <c r="P1597" s="116">
        <v>2149.9</v>
      </c>
      <c r="Q1597" s="116">
        <v>2104</v>
      </c>
      <c r="R1597">
        <v>137511</v>
      </c>
    </row>
    <row r="1598" spans="1:18" x14ac:dyDescent="0.25">
      <c r="A1598" s="170">
        <v>45826</v>
      </c>
      <c r="B1598" s="116">
        <v>2085.1</v>
      </c>
      <c r="C1598" s="116">
        <v>2048.5500000000002</v>
      </c>
      <c r="D1598" s="116">
        <v>2045</v>
      </c>
      <c r="E1598" s="116">
        <v>2060.25</v>
      </c>
      <c r="F1598" s="116">
        <v>2048.5500000000002</v>
      </c>
      <c r="G1598">
        <v>4260</v>
      </c>
      <c r="H1598" s="116"/>
      <c r="I1598" s="116"/>
      <c r="L1598" s="170">
        <v>45821</v>
      </c>
      <c r="M1598" s="116">
        <v>2089.3000000000002</v>
      </c>
      <c r="N1598" s="116">
        <v>2107.5</v>
      </c>
      <c r="O1598" s="116">
        <v>2066</v>
      </c>
      <c r="P1598" s="116">
        <v>2098</v>
      </c>
      <c r="Q1598" s="116">
        <v>2089.3000000000002</v>
      </c>
      <c r="R1598">
        <v>134615</v>
      </c>
    </row>
    <row r="1599" spans="1:18" x14ac:dyDescent="0.25">
      <c r="A1599" s="170">
        <v>45827</v>
      </c>
      <c r="B1599" s="116">
        <v>2060.4499999999998</v>
      </c>
      <c r="C1599" s="116">
        <v>2043.25</v>
      </c>
      <c r="D1599" s="116">
        <v>2007.9</v>
      </c>
      <c r="E1599" s="116">
        <v>2007.9</v>
      </c>
      <c r="F1599" s="116">
        <v>2043.25</v>
      </c>
      <c r="G1599">
        <v>5902</v>
      </c>
      <c r="H1599" s="116"/>
      <c r="I1599" s="116"/>
      <c r="L1599" s="170">
        <v>45824</v>
      </c>
      <c r="M1599" s="116">
        <v>2095.6999999999998</v>
      </c>
      <c r="N1599" s="116">
        <v>2121</v>
      </c>
      <c r="O1599" s="116">
        <v>2073.3000000000002</v>
      </c>
      <c r="P1599" s="116">
        <v>2099.1999999999998</v>
      </c>
      <c r="Q1599" s="116">
        <v>2095.6999999999998</v>
      </c>
      <c r="R1599">
        <v>358932</v>
      </c>
    </row>
    <row r="1600" spans="1:18" x14ac:dyDescent="0.25">
      <c r="A1600" s="170">
        <v>45828</v>
      </c>
      <c r="B1600" s="116">
        <v>2062.35</v>
      </c>
      <c r="C1600" s="116">
        <v>2039.25</v>
      </c>
      <c r="D1600" s="116">
        <v>2026.7</v>
      </c>
      <c r="E1600" s="116">
        <v>2040</v>
      </c>
      <c r="F1600" s="116">
        <v>2039.25</v>
      </c>
      <c r="G1600">
        <v>2502</v>
      </c>
      <c r="H1600" s="116"/>
      <c r="I1600" s="116"/>
      <c r="L1600" s="170">
        <v>45825</v>
      </c>
      <c r="M1600" s="116">
        <v>2062</v>
      </c>
      <c r="N1600" s="116">
        <v>2108.1</v>
      </c>
      <c r="O1600" s="116">
        <v>2059.1</v>
      </c>
      <c r="P1600" s="116">
        <v>2100</v>
      </c>
      <c r="Q1600" s="116">
        <v>2062</v>
      </c>
      <c r="R1600">
        <v>88358</v>
      </c>
    </row>
    <row r="1601" spans="1:18" x14ac:dyDescent="0.25">
      <c r="A1601" s="170">
        <v>45831</v>
      </c>
      <c r="B1601" s="116">
        <v>2076.5500000000002</v>
      </c>
      <c r="C1601" s="116">
        <v>2070.25</v>
      </c>
      <c r="D1601" s="116">
        <v>2023.55</v>
      </c>
      <c r="E1601" s="116">
        <v>2023.55</v>
      </c>
      <c r="F1601" s="116">
        <v>2070.25</v>
      </c>
      <c r="G1601">
        <v>5612</v>
      </c>
      <c r="H1601" s="116"/>
      <c r="I1601" s="116"/>
      <c r="L1601" s="170">
        <v>45826</v>
      </c>
      <c r="M1601" s="116">
        <v>2049</v>
      </c>
      <c r="N1601" s="116">
        <v>2086</v>
      </c>
      <c r="O1601" s="116">
        <v>2042.9</v>
      </c>
      <c r="P1601" s="116">
        <v>2068.9</v>
      </c>
      <c r="Q1601" s="116">
        <v>2049</v>
      </c>
      <c r="R1601">
        <v>364186</v>
      </c>
    </row>
    <row r="1602" spans="1:18" x14ac:dyDescent="0.25">
      <c r="A1602" s="170">
        <v>45832</v>
      </c>
      <c r="B1602" s="116">
        <v>2106.0500000000002</v>
      </c>
      <c r="C1602" s="116">
        <v>2076.85</v>
      </c>
      <c r="D1602" s="116">
        <v>2067.8000000000002</v>
      </c>
      <c r="E1602" s="116">
        <v>2088.9499999999998</v>
      </c>
      <c r="F1602" s="116">
        <v>2076.85</v>
      </c>
      <c r="G1602">
        <v>3768</v>
      </c>
      <c r="H1602" s="116"/>
      <c r="I1602" s="116"/>
      <c r="L1602" s="170">
        <v>45827</v>
      </c>
      <c r="M1602" s="116">
        <v>2043.3</v>
      </c>
      <c r="N1602" s="116">
        <v>2063</v>
      </c>
      <c r="O1602" s="116">
        <v>2029.6</v>
      </c>
      <c r="P1602" s="116">
        <v>2049</v>
      </c>
      <c r="Q1602" s="116">
        <v>2043.3</v>
      </c>
      <c r="R1602">
        <v>95652</v>
      </c>
    </row>
    <row r="1603" spans="1:18" x14ac:dyDescent="0.25">
      <c r="A1603" s="170">
        <v>45833</v>
      </c>
      <c r="B1603" s="116">
        <v>2105</v>
      </c>
      <c r="C1603" s="116">
        <v>2094.35</v>
      </c>
      <c r="D1603" s="116">
        <v>2073.6</v>
      </c>
      <c r="E1603" s="116">
        <v>2082.9499999999998</v>
      </c>
      <c r="F1603" s="116">
        <v>2094.35</v>
      </c>
      <c r="G1603">
        <v>2082</v>
      </c>
      <c r="H1603" s="116"/>
      <c r="I1603" s="116"/>
      <c r="L1603" s="170">
        <v>45828</v>
      </c>
      <c r="M1603" s="116">
        <v>2040.2</v>
      </c>
      <c r="N1603" s="116">
        <v>2061.9</v>
      </c>
      <c r="O1603" s="116">
        <v>2025.4</v>
      </c>
      <c r="P1603" s="116">
        <v>2044.9</v>
      </c>
      <c r="Q1603" s="116">
        <v>2040.2</v>
      </c>
      <c r="R1603">
        <v>683507</v>
      </c>
    </row>
    <row r="1604" spans="1:18" x14ac:dyDescent="0.25">
      <c r="A1604" s="170">
        <v>45834</v>
      </c>
      <c r="B1604" s="116">
        <v>2197</v>
      </c>
      <c r="C1604" s="116">
        <v>2189.5</v>
      </c>
      <c r="D1604" s="116">
        <v>2092.0500000000002</v>
      </c>
      <c r="E1604" s="116">
        <v>2092.0500000000002</v>
      </c>
      <c r="F1604" s="116">
        <v>2189.5</v>
      </c>
      <c r="G1604">
        <v>35248</v>
      </c>
      <c r="H1604" s="116"/>
      <c r="I1604" s="116"/>
      <c r="L1604" s="170">
        <v>45831</v>
      </c>
      <c r="M1604" s="116">
        <v>2071.6999999999998</v>
      </c>
      <c r="N1604" s="116">
        <v>2079</v>
      </c>
      <c r="O1604" s="116">
        <v>2025</v>
      </c>
      <c r="P1604" s="116">
        <v>2025</v>
      </c>
      <c r="Q1604" s="116">
        <v>2071.6999999999998</v>
      </c>
      <c r="R1604">
        <v>125541</v>
      </c>
    </row>
    <row r="1605" spans="1:18" x14ac:dyDescent="0.25">
      <c r="A1605" s="170">
        <v>45835</v>
      </c>
      <c r="B1605" s="116">
        <v>2220.4499999999998</v>
      </c>
      <c r="C1605" s="116">
        <v>2207.3000000000002</v>
      </c>
      <c r="D1605" s="116">
        <v>2194.8000000000002</v>
      </c>
      <c r="E1605" s="116">
        <v>2203.9</v>
      </c>
      <c r="F1605" s="116">
        <v>2207.3000000000002</v>
      </c>
      <c r="G1605">
        <v>10268</v>
      </c>
      <c r="H1605" s="116"/>
      <c r="I1605" s="116"/>
      <c r="L1605" s="170">
        <v>45832</v>
      </c>
      <c r="M1605" s="116">
        <v>2075.1999999999998</v>
      </c>
      <c r="N1605" s="116">
        <v>2111</v>
      </c>
      <c r="O1605" s="116">
        <v>2065.6</v>
      </c>
      <c r="P1605" s="116">
        <v>2079</v>
      </c>
      <c r="Q1605" s="116">
        <v>2075.1999999999998</v>
      </c>
      <c r="R1605">
        <v>354480</v>
      </c>
    </row>
    <row r="1606" spans="1:18" x14ac:dyDescent="0.25">
      <c r="A1606" s="170">
        <v>45838</v>
      </c>
      <c r="B1606" s="116">
        <v>2232.65</v>
      </c>
      <c r="C1606" s="116">
        <v>2209.25</v>
      </c>
      <c r="D1606" s="116">
        <v>2191.9</v>
      </c>
      <c r="E1606" s="116">
        <v>2232.65</v>
      </c>
      <c r="F1606" s="116">
        <v>2209.25</v>
      </c>
      <c r="G1606">
        <v>1824</v>
      </c>
      <c r="H1606" s="116"/>
      <c r="I1606" s="116"/>
      <c r="L1606" s="170">
        <v>45833</v>
      </c>
      <c r="M1606" s="116">
        <v>2094.1999999999998</v>
      </c>
      <c r="N1606" s="116">
        <v>2105.3000000000002</v>
      </c>
      <c r="O1606" s="116">
        <v>2073</v>
      </c>
      <c r="P1606" s="116">
        <v>2082.8000000000002</v>
      </c>
      <c r="Q1606" s="116">
        <v>2094.1999999999998</v>
      </c>
      <c r="R1606">
        <v>139069</v>
      </c>
    </row>
    <row r="1607" spans="1:18" x14ac:dyDescent="0.25">
      <c r="A1607" s="170">
        <v>45839</v>
      </c>
      <c r="B1607" s="116">
        <v>2225</v>
      </c>
      <c r="C1607" s="116">
        <v>2191.0500000000002</v>
      </c>
      <c r="D1607" s="116">
        <v>2184.5</v>
      </c>
      <c r="E1607" s="116">
        <v>2199.5</v>
      </c>
      <c r="F1607" s="116">
        <v>2191.0500000000002</v>
      </c>
      <c r="G1607">
        <v>6578</v>
      </c>
      <c r="H1607" s="116"/>
      <c r="I1607" s="116"/>
      <c r="L1607" s="170">
        <v>45834</v>
      </c>
      <c r="M1607" s="116">
        <v>2191.8000000000002</v>
      </c>
      <c r="N1607" s="116">
        <v>2196.4</v>
      </c>
      <c r="O1607" s="116">
        <v>2096.1999999999998</v>
      </c>
      <c r="P1607" s="116">
        <v>2099</v>
      </c>
      <c r="Q1607" s="116">
        <v>2191.8000000000002</v>
      </c>
      <c r="R1607">
        <v>727820</v>
      </c>
    </row>
    <row r="1608" spans="1:18" x14ac:dyDescent="0.25">
      <c r="A1608" s="170">
        <v>45840</v>
      </c>
      <c r="B1608" s="116">
        <v>2244.4</v>
      </c>
      <c r="C1608" s="116">
        <v>2220.4499999999998</v>
      </c>
      <c r="D1608" s="116">
        <v>2156.15</v>
      </c>
      <c r="E1608" s="116">
        <v>2156.15</v>
      </c>
      <c r="F1608" s="116">
        <v>2220.4499999999998</v>
      </c>
      <c r="G1608">
        <v>13580</v>
      </c>
      <c r="H1608" s="116"/>
      <c r="I1608" s="116"/>
      <c r="L1608" s="170">
        <v>45835</v>
      </c>
      <c r="M1608" s="116">
        <v>2208.6</v>
      </c>
      <c r="N1608" s="116">
        <v>2217</v>
      </c>
      <c r="O1608" s="116">
        <v>2192.5</v>
      </c>
      <c r="P1608" s="116">
        <v>2199</v>
      </c>
      <c r="Q1608" s="116">
        <v>2208.6</v>
      </c>
      <c r="R1608">
        <v>417617</v>
      </c>
    </row>
    <row r="1609" spans="1:18" x14ac:dyDescent="0.25">
      <c r="A1609" s="170">
        <v>45841</v>
      </c>
      <c r="B1609" s="116">
        <v>2226.3000000000002</v>
      </c>
      <c r="C1609" s="116">
        <v>2210.65</v>
      </c>
      <c r="D1609" s="116">
        <v>2197.1999999999998</v>
      </c>
      <c r="E1609" s="116">
        <v>2220.5500000000002</v>
      </c>
      <c r="F1609" s="116">
        <v>2210.65</v>
      </c>
      <c r="G1609">
        <v>4992</v>
      </c>
      <c r="H1609" s="116"/>
      <c r="I1609" s="116"/>
      <c r="L1609" s="170">
        <v>45838</v>
      </c>
      <c r="M1609" s="116">
        <v>2207.6</v>
      </c>
      <c r="N1609" s="116">
        <v>2222</v>
      </c>
      <c r="O1609" s="116">
        <v>2190.1999999999998</v>
      </c>
      <c r="P1609" s="116">
        <v>2204</v>
      </c>
      <c r="Q1609" s="116">
        <v>2207.6</v>
      </c>
      <c r="R1609">
        <v>311590</v>
      </c>
    </row>
    <row r="1610" spans="1:18" x14ac:dyDescent="0.25">
      <c r="A1610" s="170">
        <v>45842</v>
      </c>
      <c r="B1610" s="116">
        <v>2230.1999999999998</v>
      </c>
      <c r="C1610" s="116">
        <v>2177.6999999999998</v>
      </c>
      <c r="D1610" s="116">
        <v>2163.4</v>
      </c>
      <c r="E1610" s="116">
        <v>2210</v>
      </c>
      <c r="F1610" s="116">
        <v>2177.6999999999998</v>
      </c>
      <c r="G1610">
        <v>11387</v>
      </c>
      <c r="H1610" s="116"/>
      <c r="I1610" s="116"/>
      <c r="L1610" s="170">
        <v>45839</v>
      </c>
      <c r="M1610" s="116">
        <v>2188.9</v>
      </c>
      <c r="N1610" s="116">
        <v>2225</v>
      </c>
      <c r="O1610" s="116">
        <v>2183.5</v>
      </c>
      <c r="P1610" s="116">
        <v>2200</v>
      </c>
      <c r="Q1610" s="116">
        <v>2188.9</v>
      </c>
      <c r="R1610">
        <v>458302</v>
      </c>
    </row>
    <row r="1611" spans="1:18" x14ac:dyDescent="0.25">
      <c r="A1611" s="170">
        <v>45845</v>
      </c>
      <c r="B1611" s="116">
        <v>2196.5500000000002</v>
      </c>
      <c r="C1611" s="116">
        <v>2154.8000000000002</v>
      </c>
      <c r="D1611" s="116">
        <v>2151</v>
      </c>
      <c r="E1611" s="116">
        <v>2175.1</v>
      </c>
      <c r="F1611" s="116">
        <v>2154.8000000000002</v>
      </c>
      <c r="G1611">
        <v>2473</v>
      </c>
      <c r="H1611" s="116"/>
      <c r="I1611" s="116"/>
      <c r="L1611" s="170">
        <v>45840</v>
      </c>
      <c r="M1611" s="116">
        <v>2220.1</v>
      </c>
      <c r="N1611" s="116">
        <v>2245</v>
      </c>
      <c r="O1611" s="116">
        <v>2183.1</v>
      </c>
      <c r="P1611" s="116">
        <v>2185</v>
      </c>
      <c r="Q1611" s="116">
        <v>2220.1</v>
      </c>
      <c r="R1611">
        <v>435037</v>
      </c>
    </row>
    <row r="1612" spans="1:18" x14ac:dyDescent="0.25">
      <c r="A1612" s="170">
        <v>45846</v>
      </c>
      <c r="B1612" s="116">
        <v>2156.35</v>
      </c>
      <c r="C1612" s="116">
        <v>2151.8000000000002</v>
      </c>
      <c r="D1612" s="116">
        <v>2121.6999999999998</v>
      </c>
      <c r="E1612" s="116">
        <v>2138.5</v>
      </c>
      <c r="F1612" s="116">
        <v>2151.8000000000002</v>
      </c>
      <c r="G1612">
        <v>2646</v>
      </c>
      <c r="H1612" s="116"/>
      <c r="I1612" s="116"/>
      <c r="L1612" s="170">
        <v>45841</v>
      </c>
      <c r="M1612" s="116">
        <v>2209.8000000000002</v>
      </c>
      <c r="N1612" s="116">
        <v>2227.3000000000002</v>
      </c>
      <c r="O1612" s="116">
        <v>2198.1</v>
      </c>
      <c r="P1612" s="116">
        <v>2225</v>
      </c>
      <c r="Q1612" s="116">
        <v>2209.8000000000002</v>
      </c>
      <c r="R1612">
        <v>222904</v>
      </c>
    </row>
    <row r="1613" spans="1:18" x14ac:dyDescent="0.25">
      <c r="A1613" s="170">
        <v>45847</v>
      </c>
      <c r="B1613" s="116">
        <v>2187.6</v>
      </c>
      <c r="C1613" s="116">
        <v>2177.15</v>
      </c>
      <c r="D1613" s="116">
        <v>2143.3000000000002</v>
      </c>
      <c r="E1613" s="116">
        <v>2159.25</v>
      </c>
      <c r="F1613" s="116">
        <v>2177.15</v>
      </c>
      <c r="G1613">
        <v>5726</v>
      </c>
      <c r="H1613" s="116"/>
      <c r="I1613" s="116"/>
      <c r="L1613" s="170">
        <v>45842</v>
      </c>
      <c r="M1613" s="116">
        <v>2179.3000000000002</v>
      </c>
      <c r="N1613" s="116">
        <v>2230.5</v>
      </c>
      <c r="O1613" s="116">
        <v>2159.1</v>
      </c>
      <c r="P1613" s="116">
        <v>2211</v>
      </c>
      <c r="Q1613" s="116">
        <v>2179.3000000000002</v>
      </c>
      <c r="R1613">
        <v>629709</v>
      </c>
    </row>
    <row r="1614" spans="1:18" x14ac:dyDescent="0.25">
      <c r="A1614" s="170">
        <v>45848</v>
      </c>
      <c r="B1614" s="116">
        <v>2191.9</v>
      </c>
      <c r="C1614" s="116">
        <v>2171.15</v>
      </c>
      <c r="D1614" s="116">
        <v>2160.4499999999998</v>
      </c>
      <c r="E1614" s="116">
        <v>2178.0500000000002</v>
      </c>
      <c r="F1614" s="116">
        <v>2171.15</v>
      </c>
      <c r="G1614">
        <v>5400</v>
      </c>
      <c r="H1614" s="116"/>
      <c r="I1614" s="116"/>
      <c r="L1614" s="170">
        <v>45845</v>
      </c>
      <c r="M1614" s="116">
        <v>2154.4</v>
      </c>
      <c r="N1614" s="116">
        <v>2198</v>
      </c>
      <c r="O1614" s="116">
        <v>2148.8000000000002</v>
      </c>
      <c r="P1614" s="116">
        <v>2179.3000000000002</v>
      </c>
      <c r="Q1614" s="116">
        <v>2154.4</v>
      </c>
      <c r="R1614">
        <v>112253</v>
      </c>
    </row>
    <row r="1615" spans="1:18" x14ac:dyDescent="0.25">
      <c r="A1615" s="170">
        <v>45849</v>
      </c>
      <c r="B1615" s="116">
        <v>2197.1999999999998</v>
      </c>
      <c r="C1615" s="116">
        <v>2176.4</v>
      </c>
      <c r="D1615" s="116">
        <v>2167.65</v>
      </c>
      <c r="E1615" s="116">
        <v>2167.6999999999998</v>
      </c>
      <c r="F1615" s="116">
        <v>2176.4</v>
      </c>
      <c r="G1615">
        <v>2568</v>
      </c>
      <c r="H1615" s="116"/>
      <c r="I1615" s="116"/>
      <c r="L1615" s="170">
        <v>45846</v>
      </c>
      <c r="M1615" s="116">
        <v>2154</v>
      </c>
      <c r="N1615" s="116">
        <v>2157.6999999999998</v>
      </c>
      <c r="O1615" s="116">
        <v>2121.8000000000002</v>
      </c>
      <c r="P1615" s="116">
        <v>2140</v>
      </c>
      <c r="Q1615" s="116">
        <v>2154</v>
      </c>
      <c r="R1615">
        <v>132432</v>
      </c>
    </row>
    <row r="1616" spans="1:18" x14ac:dyDescent="0.25">
      <c r="A1616" s="170">
        <v>45852</v>
      </c>
      <c r="B1616" s="116">
        <v>2191</v>
      </c>
      <c r="C1616" s="116">
        <v>2161.5500000000002</v>
      </c>
      <c r="D1616" s="116">
        <v>2148.5500000000002</v>
      </c>
      <c r="E1616" s="116">
        <v>2184.4499999999998</v>
      </c>
      <c r="F1616" s="116">
        <v>2161.5500000000002</v>
      </c>
      <c r="G1616">
        <v>3911</v>
      </c>
      <c r="H1616" s="116"/>
      <c r="I1616" s="116"/>
      <c r="L1616" s="170">
        <v>45847</v>
      </c>
      <c r="M1616" s="116">
        <v>2175.8000000000002</v>
      </c>
      <c r="N1616" s="116">
        <v>2188.6999999999998</v>
      </c>
      <c r="O1616" s="116">
        <v>2140.9</v>
      </c>
      <c r="P1616" s="116">
        <v>2154</v>
      </c>
      <c r="Q1616" s="116">
        <v>2175.8000000000002</v>
      </c>
      <c r="R1616">
        <v>448823</v>
      </c>
    </row>
    <row r="1617" spans="1:18" x14ac:dyDescent="0.25">
      <c r="A1617" s="170">
        <v>45853</v>
      </c>
      <c r="B1617" s="116">
        <v>2193.8000000000002</v>
      </c>
      <c r="C1617" s="116">
        <v>2181.6999999999998</v>
      </c>
      <c r="D1617" s="116">
        <v>2147.65</v>
      </c>
      <c r="E1617" s="116">
        <v>2161.6999999999998</v>
      </c>
      <c r="F1617" s="116">
        <v>2181.6999999999998</v>
      </c>
      <c r="G1617">
        <v>2494</v>
      </c>
      <c r="H1617" s="116"/>
      <c r="I1617" s="116"/>
      <c r="L1617" s="170">
        <v>45848</v>
      </c>
      <c r="M1617" s="116">
        <v>2171.6999999999998</v>
      </c>
      <c r="N1617" s="116">
        <v>2194</v>
      </c>
      <c r="O1617" s="116">
        <v>2163</v>
      </c>
      <c r="P1617" s="116">
        <v>2184.9</v>
      </c>
      <c r="Q1617" s="116">
        <v>2171.6999999999998</v>
      </c>
      <c r="R1617">
        <v>194575</v>
      </c>
    </row>
    <row r="1618" spans="1:18" x14ac:dyDescent="0.25">
      <c r="A1618" s="170">
        <v>45854</v>
      </c>
      <c r="B1618" s="116">
        <v>2205.4</v>
      </c>
      <c r="C1618" s="116">
        <v>2165.3000000000002</v>
      </c>
      <c r="D1618" s="116">
        <v>2148.65</v>
      </c>
      <c r="E1618" s="116">
        <v>2180</v>
      </c>
      <c r="F1618" s="116">
        <v>2165.3000000000002</v>
      </c>
      <c r="G1618">
        <v>3319</v>
      </c>
      <c r="H1618" s="116"/>
      <c r="I1618" s="116"/>
      <c r="L1618" s="170">
        <v>45849</v>
      </c>
      <c r="M1618" s="116">
        <v>2176.4</v>
      </c>
      <c r="N1618" s="116">
        <v>2203.5</v>
      </c>
      <c r="O1618" s="116">
        <v>2170</v>
      </c>
      <c r="P1618" s="116">
        <v>2171.6999999999998</v>
      </c>
      <c r="Q1618" s="116">
        <v>2176.4</v>
      </c>
      <c r="R1618">
        <v>60308</v>
      </c>
    </row>
    <row r="1619" spans="1:18" x14ac:dyDescent="0.25">
      <c r="A1619" s="170">
        <v>45855</v>
      </c>
      <c r="B1619" s="116">
        <v>2190</v>
      </c>
      <c r="C1619" s="116">
        <v>2187.0500000000002</v>
      </c>
      <c r="D1619" s="116">
        <v>2125.9</v>
      </c>
      <c r="E1619" s="116">
        <v>2125.9</v>
      </c>
      <c r="F1619" s="116">
        <v>2187.0500000000002</v>
      </c>
      <c r="G1619">
        <v>1931</v>
      </c>
      <c r="H1619" s="116"/>
      <c r="I1619" s="116"/>
      <c r="L1619" s="170">
        <v>45852</v>
      </c>
      <c r="M1619" s="116">
        <v>2159.1</v>
      </c>
      <c r="N1619" s="116">
        <v>2192</v>
      </c>
      <c r="O1619" s="116">
        <v>2146.9</v>
      </c>
      <c r="P1619" s="116">
        <v>2178.6</v>
      </c>
      <c r="Q1619" s="116">
        <v>2159.1</v>
      </c>
      <c r="R1619">
        <v>332961</v>
      </c>
    </row>
    <row r="1620" spans="1:18" x14ac:dyDescent="0.25">
      <c r="A1620" s="170">
        <v>45856</v>
      </c>
      <c r="B1620" s="116">
        <v>2257.6999999999998</v>
      </c>
      <c r="C1620" s="116">
        <v>2252.15</v>
      </c>
      <c r="D1620" s="116">
        <v>2187.1</v>
      </c>
      <c r="E1620" s="116">
        <v>2187.1</v>
      </c>
      <c r="F1620" s="116">
        <v>2252.15</v>
      </c>
      <c r="G1620">
        <v>14002</v>
      </c>
      <c r="H1620" s="116"/>
      <c r="I1620" s="116"/>
      <c r="L1620" s="170">
        <v>45853</v>
      </c>
      <c r="M1620" s="116">
        <v>2182.3000000000002</v>
      </c>
      <c r="N1620" s="116">
        <v>2193.6999999999998</v>
      </c>
      <c r="O1620" s="116">
        <v>2146.1</v>
      </c>
      <c r="P1620" s="116">
        <v>2164.5</v>
      </c>
      <c r="Q1620" s="116">
        <v>2182.3000000000002</v>
      </c>
      <c r="R1620">
        <v>71463</v>
      </c>
    </row>
    <row r="1621" spans="1:18" x14ac:dyDescent="0.25">
      <c r="A1621" s="170">
        <v>45859</v>
      </c>
      <c r="B1621" s="116">
        <v>2287.1999999999998</v>
      </c>
      <c r="C1621" s="116">
        <v>2263.4</v>
      </c>
      <c r="D1621" s="116">
        <v>2245.3000000000002</v>
      </c>
      <c r="E1621" s="116">
        <v>2255.25</v>
      </c>
      <c r="F1621" s="116">
        <v>2263.4</v>
      </c>
      <c r="G1621">
        <v>126384</v>
      </c>
      <c r="H1621" s="116"/>
      <c r="I1621" s="116"/>
      <c r="L1621" s="170">
        <v>45854</v>
      </c>
      <c r="M1621" s="116">
        <v>2164.1999999999998</v>
      </c>
      <c r="N1621" s="116">
        <v>2209.1999999999998</v>
      </c>
      <c r="O1621" s="116">
        <v>2143.5</v>
      </c>
      <c r="P1621" s="116">
        <v>2188</v>
      </c>
      <c r="Q1621" s="116">
        <v>2164.1999999999998</v>
      </c>
      <c r="R1621">
        <v>281109</v>
      </c>
    </row>
    <row r="1622" spans="1:18" x14ac:dyDescent="0.25">
      <c r="A1622" s="170">
        <v>45860</v>
      </c>
      <c r="B1622" s="116">
        <v>2341.9</v>
      </c>
      <c r="C1622" s="116">
        <v>2319.15</v>
      </c>
      <c r="D1622" s="116">
        <v>2266.1</v>
      </c>
      <c r="E1622" s="116">
        <v>2266.65</v>
      </c>
      <c r="F1622" s="116">
        <v>2319.15</v>
      </c>
      <c r="G1622">
        <v>192149</v>
      </c>
      <c r="H1622" s="116"/>
      <c r="I1622" s="116"/>
      <c r="L1622" s="170">
        <v>45855</v>
      </c>
      <c r="M1622" s="116">
        <v>2189.6</v>
      </c>
      <c r="N1622" s="116">
        <v>2192.9</v>
      </c>
      <c r="O1622" s="116">
        <v>2138</v>
      </c>
      <c r="P1622" s="116">
        <v>2170</v>
      </c>
      <c r="Q1622" s="116">
        <v>2189.6</v>
      </c>
      <c r="R1622">
        <v>225266</v>
      </c>
    </row>
    <row r="1623" spans="1:18" x14ac:dyDescent="0.25">
      <c r="A1623" s="170">
        <v>45861</v>
      </c>
      <c r="B1623" s="116">
        <v>2334.8000000000002</v>
      </c>
      <c r="C1623" s="116">
        <v>2268.5500000000002</v>
      </c>
      <c r="D1623" s="116">
        <v>2190</v>
      </c>
      <c r="E1623" s="116">
        <v>2334.8000000000002</v>
      </c>
      <c r="F1623" s="116">
        <v>2268.5500000000002</v>
      </c>
      <c r="G1623">
        <v>27672</v>
      </c>
      <c r="H1623" s="116"/>
      <c r="I1623" s="116"/>
      <c r="L1623" s="170">
        <v>45856</v>
      </c>
      <c r="M1623" s="116">
        <v>2251.8000000000002</v>
      </c>
      <c r="N1623" s="116">
        <v>2258</v>
      </c>
      <c r="O1623" s="116">
        <v>2187.8000000000002</v>
      </c>
      <c r="P1623" s="116">
        <v>2197.6</v>
      </c>
      <c r="Q1623" s="116">
        <v>2251.8000000000002</v>
      </c>
      <c r="R1623">
        <v>580404</v>
      </c>
    </row>
    <row r="1624" spans="1:18" x14ac:dyDescent="0.25">
      <c r="A1624" s="170">
        <v>45862</v>
      </c>
      <c r="B1624" s="116">
        <v>2291.6999999999998</v>
      </c>
      <c r="C1624" s="116">
        <v>2274.75</v>
      </c>
      <c r="D1624" s="116">
        <v>2220.75</v>
      </c>
      <c r="E1624" s="116">
        <v>2277</v>
      </c>
      <c r="F1624" s="116">
        <v>2274.75</v>
      </c>
      <c r="G1624">
        <v>13386</v>
      </c>
      <c r="H1624" s="116"/>
      <c r="I1624" s="116"/>
      <c r="L1624" s="170">
        <v>45859</v>
      </c>
      <c r="M1624" s="116">
        <v>2262.1999999999998</v>
      </c>
      <c r="N1624" s="116">
        <v>2287.3000000000002</v>
      </c>
      <c r="O1624" s="116">
        <v>2246</v>
      </c>
      <c r="P1624" s="116">
        <v>2262</v>
      </c>
      <c r="Q1624" s="116">
        <v>2262.1999999999998</v>
      </c>
      <c r="R1624">
        <v>662425</v>
      </c>
    </row>
    <row r="1625" spans="1:18" x14ac:dyDescent="0.25">
      <c r="A1625" s="170">
        <v>45863</v>
      </c>
      <c r="B1625" s="116">
        <v>2277.4499999999998</v>
      </c>
      <c r="C1625" s="116">
        <v>2231</v>
      </c>
      <c r="D1625" s="116">
        <v>2217.1999999999998</v>
      </c>
      <c r="E1625" s="116">
        <v>2277.4499999999998</v>
      </c>
      <c r="F1625" s="116">
        <v>2231</v>
      </c>
      <c r="G1625">
        <v>31191</v>
      </c>
      <c r="H1625" s="116"/>
      <c r="I1625" s="116"/>
      <c r="L1625" s="170">
        <v>45860</v>
      </c>
      <c r="M1625" s="116">
        <v>2320.1999999999998</v>
      </c>
      <c r="N1625" s="116">
        <v>2343</v>
      </c>
      <c r="O1625" s="116">
        <v>2274</v>
      </c>
      <c r="P1625" s="116">
        <v>2274</v>
      </c>
      <c r="Q1625" s="116">
        <v>2320.1999999999998</v>
      </c>
      <c r="R1625">
        <v>854735</v>
      </c>
    </row>
    <row r="1626" spans="1:18" x14ac:dyDescent="0.25">
      <c r="A1626" s="170">
        <v>45866</v>
      </c>
      <c r="B1626" s="116">
        <v>2274.25</v>
      </c>
      <c r="C1626" s="116">
        <v>2207</v>
      </c>
      <c r="D1626" s="116">
        <v>2199.0500000000002</v>
      </c>
      <c r="E1626" s="116">
        <v>2248.6999999999998</v>
      </c>
      <c r="F1626" s="116">
        <v>2207</v>
      </c>
      <c r="G1626">
        <v>15547</v>
      </c>
      <c r="H1626" s="116"/>
      <c r="I1626" s="116"/>
      <c r="L1626" s="170">
        <v>45861</v>
      </c>
      <c r="M1626" s="116">
        <v>2269.6999999999998</v>
      </c>
      <c r="N1626" s="116">
        <v>2328.8000000000002</v>
      </c>
      <c r="O1626" s="116">
        <v>2190</v>
      </c>
      <c r="P1626" s="116">
        <v>2325.1</v>
      </c>
      <c r="Q1626" s="116">
        <v>2269.6999999999998</v>
      </c>
      <c r="R1626">
        <v>1154695</v>
      </c>
    </row>
    <row r="1627" spans="1:18" x14ac:dyDescent="0.25">
      <c r="A1627" s="170">
        <v>45867</v>
      </c>
      <c r="B1627" s="116">
        <v>2210.9499999999998</v>
      </c>
      <c r="C1627" s="116">
        <v>2199.4</v>
      </c>
      <c r="D1627" s="116">
        <v>2179.8000000000002</v>
      </c>
      <c r="E1627" s="116">
        <v>2208.0500000000002</v>
      </c>
      <c r="F1627" s="116">
        <v>2199.4</v>
      </c>
      <c r="G1627">
        <v>6627</v>
      </c>
      <c r="H1627" s="116"/>
      <c r="I1627" s="116"/>
      <c r="L1627" s="170">
        <v>45862</v>
      </c>
      <c r="M1627" s="116">
        <v>2269.1</v>
      </c>
      <c r="N1627" s="116">
        <v>2292</v>
      </c>
      <c r="O1627" s="116">
        <v>2219.6</v>
      </c>
      <c r="P1627" s="116">
        <v>2250</v>
      </c>
      <c r="Q1627" s="116">
        <v>2269.1</v>
      </c>
      <c r="R1627">
        <v>433154</v>
      </c>
    </row>
    <row r="1628" spans="1:18" x14ac:dyDescent="0.25">
      <c r="A1628" s="170">
        <v>45868</v>
      </c>
      <c r="B1628" s="116">
        <v>2257.5</v>
      </c>
      <c r="C1628" s="116">
        <v>2239.65</v>
      </c>
      <c r="D1628" s="116">
        <v>2195</v>
      </c>
      <c r="E1628" s="116">
        <v>2195</v>
      </c>
      <c r="F1628" s="116">
        <v>2239.65</v>
      </c>
      <c r="G1628">
        <v>30694</v>
      </c>
      <c r="H1628" s="116"/>
      <c r="I1628" s="116"/>
      <c r="L1628" s="170">
        <v>45863</v>
      </c>
      <c r="M1628" s="116">
        <v>2230.4</v>
      </c>
      <c r="N1628" s="116">
        <v>2269.1</v>
      </c>
      <c r="O1628" s="116">
        <v>2216</v>
      </c>
      <c r="P1628" s="116">
        <v>2269.1</v>
      </c>
      <c r="Q1628" s="116">
        <v>2230.4</v>
      </c>
      <c r="R1628">
        <v>393593</v>
      </c>
    </row>
    <row r="1629" spans="1:18" x14ac:dyDescent="0.25">
      <c r="A1629" s="170">
        <v>45869</v>
      </c>
      <c r="B1629" s="116">
        <v>2249.9499999999998</v>
      </c>
      <c r="C1629" s="116">
        <v>2233.75</v>
      </c>
      <c r="D1629" s="116">
        <v>2198.5500000000002</v>
      </c>
      <c r="E1629" s="116">
        <v>2199.9499999999998</v>
      </c>
      <c r="F1629" s="116">
        <v>2233.75</v>
      </c>
      <c r="G1629">
        <v>12584</v>
      </c>
      <c r="H1629" s="116"/>
      <c r="I1629" s="116"/>
      <c r="L1629" s="170">
        <v>45866</v>
      </c>
      <c r="M1629" s="116">
        <v>2205.3000000000002</v>
      </c>
      <c r="N1629" s="116">
        <v>2274.4</v>
      </c>
      <c r="O1629" s="116">
        <v>2195.5</v>
      </c>
      <c r="P1629" s="116">
        <v>2237</v>
      </c>
      <c r="Q1629" s="116">
        <v>2205.3000000000002</v>
      </c>
      <c r="R1629">
        <v>292902</v>
      </c>
    </row>
    <row r="1630" spans="1:18" x14ac:dyDescent="0.25">
      <c r="A1630" s="170">
        <v>45870</v>
      </c>
      <c r="B1630" s="116">
        <v>2240</v>
      </c>
      <c r="C1630" s="116">
        <v>2206.15</v>
      </c>
      <c r="D1630" s="116">
        <v>2197.3000000000002</v>
      </c>
      <c r="E1630" s="116">
        <v>2223.9499999999998</v>
      </c>
      <c r="F1630" s="116">
        <v>2206.15</v>
      </c>
      <c r="G1630">
        <v>3804</v>
      </c>
      <c r="H1630" s="116"/>
      <c r="I1630" s="116"/>
      <c r="L1630" s="170">
        <v>45867</v>
      </c>
      <c r="M1630" s="116">
        <v>2198.6</v>
      </c>
      <c r="N1630" s="116">
        <v>2214.1999999999998</v>
      </c>
      <c r="O1630" s="116">
        <v>2178.5</v>
      </c>
      <c r="P1630" s="116">
        <v>2214.1999999999998</v>
      </c>
      <c r="Q1630" s="116">
        <v>2198.6</v>
      </c>
      <c r="R1630">
        <v>195946</v>
      </c>
    </row>
    <row r="1631" spans="1:18" x14ac:dyDescent="0.25">
      <c r="A1631" s="170">
        <v>45873</v>
      </c>
      <c r="B1631" s="116">
        <v>2233.15</v>
      </c>
      <c r="C1631" s="116">
        <v>2226.8000000000002</v>
      </c>
      <c r="D1631" s="116">
        <v>2190.1</v>
      </c>
      <c r="E1631" s="116">
        <v>2190.35</v>
      </c>
      <c r="F1631" s="116">
        <v>2226.8000000000002</v>
      </c>
      <c r="G1631">
        <v>5828</v>
      </c>
      <c r="H1631" s="116"/>
      <c r="I1631" s="116"/>
      <c r="L1631" s="170">
        <v>45868</v>
      </c>
      <c r="M1631" s="116">
        <v>2239.5</v>
      </c>
      <c r="N1631" s="116">
        <v>2258.6999999999998</v>
      </c>
      <c r="O1631" s="116">
        <v>2195</v>
      </c>
      <c r="P1631" s="116">
        <v>2195.1</v>
      </c>
      <c r="Q1631" s="116">
        <v>2239.5</v>
      </c>
      <c r="R1631">
        <v>352725</v>
      </c>
    </row>
    <row r="1632" spans="1:18" x14ac:dyDescent="0.25">
      <c r="A1632" s="170">
        <v>45874</v>
      </c>
      <c r="B1632" s="116">
        <v>2250</v>
      </c>
      <c r="C1632" s="116">
        <v>2244.9499999999998</v>
      </c>
      <c r="D1632" s="116">
        <v>2224.1999999999998</v>
      </c>
      <c r="E1632" s="116">
        <v>2226.85</v>
      </c>
      <c r="F1632" s="116">
        <v>2244.9499999999998</v>
      </c>
      <c r="G1632">
        <v>36280</v>
      </c>
      <c r="H1632" s="116"/>
      <c r="I1632" s="116"/>
      <c r="L1632" s="170">
        <v>45869</v>
      </c>
      <c r="M1632" s="116">
        <v>2235.5</v>
      </c>
      <c r="N1632" s="116">
        <v>2250.1999999999998</v>
      </c>
      <c r="O1632" s="116">
        <v>2180.1</v>
      </c>
      <c r="P1632" s="116">
        <v>2180.1</v>
      </c>
      <c r="Q1632" s="116">
        <v>2235.5</v>
      </c>
      <c r="R1632">
        <v>203797</v>
      </c>
    </row>
    <row r="1633" spans="1:18" x14ac:dyDescent="0.25">
      <c r="A1633" s="170">
        <v>45875</v>
      </c>
      <c r="B1633" s="116">
        <v>2265.75</v>
      </c>
      <c r="C1633" s="116">
        <v>2250.65</v>
      </c>
      <c r="D1633" s="116">
        <v>2229.5500000000002</v>
      </c>
      <c r="E1633" s="116">
        <v>2250.65</v>
      </c>
      <c r="F1633" s="116">
        <v>2250.65</v>
      </c>
      <c r="G1633">
        <v>9135</v>
      </c>
      <c r="H1633" s="116"/>
      <c r="I1633" s="116"/>
      <c r="L1633" s="170">
        <v>45870</v>
      </c>
      <c r="M1633" s="116">
        <v>2204.4</v>
      </c>
      <c r="N1633" s="116">
        <v>2240.1999999999998</v>
      </c>
      <c r="O1633" s="116">
        <v>2185.8000000000002</v>
      </c>
      <c r="P1633" s="116">
        <v>2239</v>
      </c>
      <c r="Q1633" s="116">
        <v>2204.4</v>
      </c>
      <c r="R1633">
        <v>159022</v>
      </c>
    </row>
    <row r="1634" spans="1:18" x14ac:dyDescent="0.25">
      <c r="A1634" s="170">
        <v>45876</v>
      </c>
      <c r="B1634" s="116">
        <v>2285</v>
      </c>
      <c r="C1634" s="116">
        <v>2260.9499999999998</v>
      </c>
      <c r="D1634" s="116">
        <v>2240.6</v>
      </c>
      <c r="E1634" s="116">
        <v>2251.1</v>
      </c>
      <c r="F1634" s="116">
        <v>2260.9499999999998</v>
      </c>
      <c r="G1634">
        <v>36665</v>
      </c>
      <c r="H1634" s="116"/>
      <c r="I1634" s="116"/>
      <c r="L1634" s="170">
        <v>45873</v>
      </c>
      <c r="M1634" s="116">
        <v>2226.8000000000002</v>
      </c>
      <c r="N1634" s="116">
        <v>2233.9</v>
      </c>
      <c r="O1634" s="116">
        <v>2191.6999999999998</v>
      </c>
      <c r="P1634" s="116">
        <v>2200</v>
      </c>
      <c r="Q1634" s="116">
        <v>2226.8000000000002</v>
      </c>
      <c r="R1634">
        <v>128559</v>
      </c>
    </row>
    <row r="1635" spans="1:18" x14ac:dyDescent="0.25">
      <c r="A1635" s="170">
        <v>45877</v>
      </c>
      <c r="B1635" s="116">
        <v>2275</v>
      </c>
      <c r="C1635" s="116">
        <v>2244.0500000000002</v>
      </c>
      <c r="D1635" s="116">
        <v>2237.9499999999998</v>
      </c>
      <c r="E1635" s="116">
        <v>2263.9499999999998</v>
      </c>
      <c r="F1635" s="116">
        <v>2244.0500000000002</v>
      </c>
      <c r="G1635">
        <v>3594</v>
      </c>
      <c r="H1635" s="116"/>
      <c r="I1635" s="116"/>
      <c r="L1635" s="170">
        <v>45874</v>
      </c>
      <c r="M1635" s="116">
        <v>2242.6999999999998</v>
      </c>
      <c r="N1635" s="116">
        <v>2250</v>
      </c>
      <c r="O1635" s="116">
        <v>2222</v>
      </c>
      <c r="P1635" s="116">
        <v>2234</v>
      </c>
      <c r="Q1635" s="116">
        <v>2242.6999999999998</v>
      </c>
      <c r="R1635">
        <v>394017</v>
      </c>
    </row>
    <row r="1636" spans="1:18" x14ac:dyDescent="0.25">
      <c r="A1636" s="170">
        <v>45880</v>
      </c>
      <c r="B1636" s="116">
        <v>2270</v>
      </c>
      <c r="C1636" s="116">
        <v>2225.35</v>
      </c>
      <c r="D1636" s="116">
        <v>2217.9499999999998</v>
      </c>
      <c r="E1636" s="116">
        <v>2251</v>
      </c>
      <c r="F1636" s="116">
        <v>2225.35</v>
      </c>
      <c r="G1636">
        <v>3925</v>
      </c>
      <c r="H1636" s="116"/>
      <c r="I1636" s="116"/>
      <c r="L1636" s="170">
        <v>45875</v>
      </c>
      <c r="M1636" s="116">
        <v>2250.8000000000002</v>
      </c>
      <c r="N1636" s="116">
        <v>2269.5</v>
      </c>
      <c r="O1636" s="116">
        <v>2228.4</v>
      </c>
      <c r="P1636" s="116">
        <v>2262</v>
      </c>
      <c r="Q1636" s="116">
        <v>2250.8000000000002</v>
      </c>
      <c r="R1636">
        <v>361301</v>
      </c>
    </row>
    <row r="1637" spans="1:18" x14ac:dyDescent="0.25">
      <c r="A1637" s="170">
        <v>45881</v>
      </c>
      <c r="B1637" s="116">
        <v>2277.65</v>
      </c>
      <c r="C1637" s="116">
        <v>2257.8000000000002</v>
      </c>
      <c r="D1637" s="116">
        <v>2219</v>
      </c>
      <c r="E1637" s="116">
        <v>2219</v>
      </c>
      <c r="F1637" s="116">
        <v>2257.8000000000002</v>
      </c>
      <c r="G1637">
        <v>7475</v>
      </c>
      <c r="H1637" s="116"/>
      <c r="I1637" s="116"/>
      <c r="L1637" s="170">
        <v>45876</v>
      </c>
      <c r="M1637" s="116">
        <v>2267.1</v>
      </c>
      <c r="N1637" s="116">
        <v>2279</v>
      </c>
      <c r="O1637" s="116">
        <v>2240.9</v>
      </c>
      <c r="P1637" s="116">
        <v>2253.1999999999998</v>
      </c>
      <c r="Q1637" s="116">
        <v>2267.1</v>
      </c>
      <c r="R1637">
        <v>249358</v>
      </c>
    </row>
    <row r="1638" spans="1:18" x14ac:dyDescent="0.25">
      <c r="A1638" s="170">
        <v>45882</v>
      </c>
      <c r="B1638" s="116">
        <v>2290</v>
      </c>
      <c r="C1638" s="116">
        <v>2269.6999999999998</v>
      </c>
      <c r="D1638" s="116">
        <v>2252.75</v>
      </c>
      <c r="E1638" s="116">
        <v>2274.25</v>
      </c>
      <c r="F1638" s="116">
        <v>2269.6999999999998</v>
      </c>
      <c r="G1638">
        <v>8471</v>
      </c>
      <c r="H1638" s="116"/>
      <c r="I1638" s="116"/>
      <c r="L1638" s="170">
        <v>45877</v>
      </c>
      <c r="M1638" s="116">
        <v>2243.4</v>
      </c>
      <c r="N1638" s="116">
        <v>2276.8000000000002</v>
      </c>
      <c r="O1638" s="116">
        <v>2238.1999999999998</v>
      </c>
      <c r="P1638" s="116">
        <v>2270.6999999999998</v>
      </c>
      <c r="Q1638" s="116">
        <v>2243.4</v>
      </c>
      <c r="R1638">
        <v>349347</v>
      </c>
    </row>
    <row r="1639" spans="1:18" x14ac:dyDescent="0.25">
      <c r="A1639" s="170">
        <v>45883</v>
      </c>
      <c r="B1639" s="116">
        <v>2281.3000000000002</v>
      </c>
      <c r="C1639" s="116">
        <v>2270.4</v>
      </c>
      <c r="D1639" s="116">
        <v>2252.4499999999998</v>
      </c>
      <c r="E1639" s="116">
        <v>2279.5</v>
      </c>
      <c r="F1639" s="116">
        <v>2270.4</v>
      </c>
      <c r="G1639">
        <v>1900</v>
      </c>
      <c r="H1639" s="116"/>
      <c r="I1639" s="116"/>
      <c r="L1639" s="170">
        <v>45880</v>
      </c>
      <c r="M1639" s="116">
        <v>2224.6</v>
      </c>
      <c r="N1639" s="116">
        <v>2272</v>
      </c>
      <c r="O1639" s="116">
        <v>2218.9</v>
      </c>
      <c r="P1639" s="116">
        <v>2255.1999999999998</v>
      </c>
      <c r="Q1639" s="116">
        <v>2224.6</v>
      </c>
      <c r="R1639">
        <v>458913</v>
      </c>
    </row>
    <row r="1640" spans="1:18" x14ac:dyDescent="0.25">
      <c r="A1640" s="170">
        <v>45887</v>
      </c>
      <c r="B1640" s="116">
        <v>2392</v>
      </c>
      <c r="C1640" s="116">
        <v>2329.85</v>
      </c>
      <c r="D1640" s="116">
        <v>2304.9</v>
      </c>
      <c r="E1640" s="116">
        <v>2304.9</v>
      </c>
      <c r="F1640" s="116">
        <v>2329.85</v>
      </c>
      <c r="G1640">
        <v>23043</v>
      </c>
      <c r="H1640" s="116"/>
      <c r="I1640" s="116"/>
      <c r="L1640" s="170">
        <v>45881</v>
      </c>
      <c r="M1640" s="116">
        <v>2253.4</v>
      </c>
      <c r="N1640" s="116">
        <v>2277</v>
      </c>
      <c r="O1640" s="116">
        <v>2224.6</v>
      </c>
      <c r="P1640" s="116">
        <v>2226.8000000000002</v>
      </c>
      <c r="Q1640" s="116">
        <v>2253.4</v>
      </c>
      <c r="R1640">
        <v>753610</v>
      </c>
    </row>
    <row r="1641" spans="1:18" x14ac:dyDescent="0.25">
      <c r="A1641" s="170">
        <v>45888</v>
      </c>
      <c r="B1641" s="116">
        <v>2350</v>
      </c>
      <c r="C1641" s="116">
        <v>2345.1999999999998</v>
      </c>
      <c r="D1641" s="116">
        <v>2300</v>
      </c>
      <c r="E1641" s="116">
        <v>2300</v>
      </c>
      <c r="F1641" s="116">
        <v>2345.1999999999998</v>
      </c>
      <c r="G1641">
        <v>5342</v>
      </c>
      <c r="H1641" s="116"/>
      <c r="I1641" s="116"/>
      <c r="L1641" s="170">
        <v>45882</v>
      </c>
      <c r="M1641" s="116">
        <v>2270.8000000000002</v>
      </c>
      <c r="N1641" s="116">
        <v>2292.3000000000002</v>
      </c>
      <c r="O1641" s="116">
        <v>2253.9</v>
      </c>
      <c r="P1641" s="116">
        <v>2274</v>
      </c>
      <c r="Q1641" s="116">
        <v>2270.8000000000002</v>
      </c>
      <c r="R1641">
        <v>385405</v>
      </c>
    </row>
    <row r="1642" spans="1:18" x14ac:dyDescent="0.25">
      <c r="A1642" s="170">
        <v>45889</v>
      </c>
      <c r="B1642" s="116">
        <v>2365</v>
      </c>
      <c r="C1642" s="116">
        <v>2345</v>
      </c>
      <c r="D1642" s="116">
        <v>2335.8000000000002</v>
      </c>
      <c r="E1642" s="116">
        <v>2365</v>
      </c>
      <c r="F1642" s="116">
        <v>2345</v>
      </c>
      <c r="G1642">
        <v>1777</v>
      </c>
      <c r="H1642" s="116"/>
      <c r="I1642" s="116"/>
      <c r="L1642" s="170">
        <v>45883</v>
      </c>
      <c r="M1642" s="116">
        <v>2270.3000000000002</v>
      </c>
      <c r="N1642" s="116">
        <v>2283.5</v>
      </c>
      <c r="O1642" s="116">
        <v>2252.6</v>
      </c>
      <c r="P1642" s="116">
        <v>2274.5</v>
      </c>
      <c r="Q1642" s="116">
        <v>2270.3000000000002</v>
      </c>
      <c r="R1642">
        <v>323864</v>
      </c>
    </row>
    <row r="1643" spans="1:18" x14ac:dyDescent="0.25">
      <c r="A1643" s="170">
        <v>45890</v>
      </c>
      <c r="B1643" s="116">
        <v>2359.5500000000002</v>
      </c>
      <c r="C1643" s="116">
        <v>2351.15</v>
      </c>
      <c r="D1643" s="116">
        <v>2320.3000000000002</v>
      </c>
      <c r="E1643" s="116">
        <v>2350</v>
      </c>
      <c r="F1643" s="116">
        <v>2351.15</v>
      </c>
      <c r="G1643">
        <v>4637</v>
      </c>
      <c r="H1643" s="116"/>
      <c r="I1643" s="116"/>
      <c r="L1643" s="170">
        <v>45887</v>
      </c>
      <c r="M1643" s="116">
        <v>2330.8000000000002</v>
      </c>
      <c r="N1643" s="116">
        <v>2394.1999999999998</v>
      </c>
      <c r="O1643" s="116">
        <v>2301</v>
      </c>
      <c r="P1643" s="116">
        <v>2350</v>
      </c>
      <c r="Q1643" s="116">
        <v>2330.8000000000002</v>
      </c>
      <c r="R1643">
        <v>871940</v>
      </c>
    </row>
    <row r="1644" spans="1:18" x14ac:dyDescent="0.25">
      <c r="A1644" s="170">
        <v>45891</v>
      </c>
      <c r="B1644" s="116">
        <v>2354</v>
      </c>
      <c r="C1644" s="116">
        <v>2328.3000000000002</v>
      </c>
      <c r="D1644" s="116">
        <v>2317.6999999999998</v>
      </c>
      <c r="E1644" s="116">
        <v>2330.0500000000002</v>
      </c>
      <c r="F1644" s="116">
        <v>2328.3000000000002</v>
      </c>
      <c r="G1644">
        <v>11370</v>
      </c>
      <c r="H1644" s="116"/>
      <c r="I1644" s="116"/>
      <c r="L1644" s="170">
        <v>45888</v>
      </c>
      <c r="M1644" s="116">
        <v>2346.5</v>
      </c>
      <c r="N1644" s="116">
        <v>2350</v>
      </c>
      <c r="O1644" s="116">
        <v>2307.1999999999998</v>
      </c>
      <c r="P1644" s="116">
        <v>2333.1</v>
      </c>
      <c r="Q1644" s="116">
        <v>2346.5</v>
      </c>
      <c r="R1644">
        <v>212573</v>
      </c>
    </row>
    <row r="1645" spans="1:18" x14ac:dyDescent="0.25">
      <c r="A1645" s="170">
        <v>45894</v>
      </c>
      <c r="B1645" s="116">
        <v>2381</v>
      </c>
      <c r="C1645" s="116">
        <v>2345.15</v>
      </c>
      <c r="D1645" s="116">
        <v>2341.5</v>
      </c>
      <c r="E1645" s="116">
        <v>2345.9</v>
      </c>
      <c r="F1645" s="116">
        <v>2345.15</v>
      </c>
      <c r="G1645">
        <v>27514</v>
      </c>
      <c r="H1645" s="116"/>
      <c r="I1645" s="116"/>
      <c r="L1645" s="170">
        <v>45889</v>
      </c>
      <c r="M1645" s="116">
        <v>2344.4</v>
      </c>
      <c r="N1645" s="116">
        <v>2361.3000000000002</v>
      </c>
      <c r="O1645" s="116">
        <v>2332.8000000000002</v>
      </c>
      <c r="P1645" s="116">
        <v>2340.1</v>
      </c>
      <c r="Q1645" s="116">
        <v>2344.4</v>
      </c>
      <c r="R1645">
        <v>68439</v>
      </c>
    </row>
    <row r="1646" spans="1:18" x14ac:dyDescent="0.25">
      <c r="A1646" s="170">
        <v>45895</v>
      </c>
      <c r="B1646" s="116">
        <v>2370</v>
      </c>
      <c r="C1646" s="116">
        <v>2354.35</v>
      </c>
      <c r="D1646" s="116">
        <v>2291</v>
      </c>
      <c r="E1646" s="116">
        <v>2291</v>
      </c>
      <c r="F1646" s="116">
        <v>2354.35</v>
      </c>
      <c r="G1646">
        <v>4098</v>
      </c>
      <c r="H1646" s="116"/>
      <c r="I1646" s="116"/>
      <c r="L1646" s="170">
        <v>45890</v>
      </c>
      <c r="M1646" s="116">
        <v>2348.9</v>
      </c>
      <c r="N1646" s="116">
        <v>2354.4</v>
      </c>
      <c r="O1646" s="116">
        <v>2320</v>
      </c>
      <c r="P1646" s="116">
        <v>2345</v>
      </c>
      <c r="Q1646" s="116">
        <v>2348.9</v>
      </c>
      <c r="R1646">
        <v>89757</v>
      </c>
    </row>
    <row r="1647" spans="1:18" x14ac:dyDescent="0.25">
      <c r="A1647" s="170">
        <v>45897</v>
      </c>
      <c r="B1647" s="116">
        <v>2369.9499999999998</v>
      </c>
      <c r="C1647" s="116">
        <v>2351.85</v>
      </c>
      <c r="D1647" s="116">
        <v>2331.9</v>
      </c>
      <c r="E1647" s="116">
        <v>2354.35</v>
      </c>
      <c r="F1647" s="116">
        <v>2351.85</v>
      </c>
      <c r="G1647">
        <v>1949</v>
      </c>
      <c r="H1647" s="116"/>
      <c r="I1647" s="116"/>
      <c r="L1647" s="170">
        <v>45891</v>
      </c>
      <c r="M1647" s="116">
        <v>2326.4</v>
      </c>
      <c r="N1647" s="116">
        <v>2354</v>
      </c>
      <c r="O1647" s="116">
        <v>2314.6</v>
      </c>
      <c r="P1647" s="116">
        <v>2343.3000000000002</v>
      </c>
      <c r="Q1647" s="116">
        <v>2326.4</v>
      </c>
      <c r="R1647">
        <v>374359</v>
      </c>
    </row>
    <row r="1648" spans="1:18" x14ac:dyDescent="0.25">
      <c r="A1648" s="170">
        <v>45898</v>
      </c>
      <c r="B1648" s="116">
        <v>2409.1999999999998</v>
      </c>
      <c r="C1648" s="116">
        <v>2402.0500000000002</v>
      </c>
      <c r="D1648" s="116">
        <v>2305.6999999999998</v>
      </c>
      <c r="E1648" s="116">
        <v>2305.6999999999998</v>
      </c>
      <c r="F1648" s="116">
        <v>2402.0500000000002</v>
      </c>
      <c r="G1648">
        <v>13443</v>
      </c>
      <c r="H1648" s="116"/>
      <c r="I1648" s="116"/>
      <c r="L1648" s="170">
        <v>45894</v>
      </c>
      <c r="M1648" s="116">
        <v>2347.5</v>
      </c>
      <c r="N1648" s="116">
        <v>2390</v>
      </c>
      <c r="O1648" s="116">
        <v>2341.1999999999998</v>
      </c>
      <c r="P1648" s="116">
        <v>2360.9</v>
      </c>
      <c r="Q1648" s="116">
        <v>2347.5</v>
      </c>
      <c r="R1648">
        <v>344298</v>
      </c>
    </row>
    <row r="1649" spans="1:18" x14ac:dyDescent="0.25">
      <c r="A1649" s="170">
        <v>45901</v>
      </c>
      <c r="B1649" s="116">
        <v>2424.3000000000002</v>
      </c>
      <c r="C1649" s="116">
        <v>2404.3000000000002</v>
      </c>
      <c r="D1649" s="116">
        <v>2390.1</v>
      </c>
      <c r="E1649" s="116">
        <v>2413.75</v>
      </c>
      <c r="F1649" s="116">
        <v>2404.3000000000002</v>
      </c>
      <c r="G1649">
        <v>14871</v>
      </c>
      <c r="H1649" s="116"/>
      <c r="I1649" s="116"/>
      <c r="L1649" s="170">
        <v>45895</v>
      </c>
      <c r="M1649" s="116">
        <v>2358.1999999999998</v>
      </c>
      <c r="N1649" s="116">
        <v>2371.6</v>
      </c>
      <c r="O1649" s="116">
        <v>2311</v>
      </c>
      <c r="P1649" s="116">
        <v>2332.1</v>
      </c>
      <c r="Q1649" s="116">
        <v>2358.1999999999998</v>
      </c>
      <c r="R1649">
        <v>337514</v>
      </c>
    </row>
    <row r="1650" spans="1:18" x14ac:dyDescent="0.25">
      <c r="A1650" s="170">
        <v>45902</v>
      </c>
      <c r="B1650" s="116">
        <v>2418.65</v>
      </c>
      <c r="C1650" s="116">
        <v>2403.5500000000002</v>
      </c>
      <c r="D1650" s="116">
        <v>2390</v>
      </c>
      <c r="E1650" s="116">
        <v>2418.65</v>
      </c>
      <c r="F1650" s="116">
        <v>2403.5500000000002</v>
      </c>
      <c r="G1650">
        <v>6055</v>
      </c>
      <c r="H1650" s="116"/>
      <c r="I1650" s="116"/>
      <c r="L1650" s="170">
        <v>45897</v>
      </c>
      <c r="M1650" s="116">
        <v>2351.4</v>
      </c>
      <c r="N1650" s="116">
        <v>2369.6999999999998</v>
      </c>
      <c r="O1650" s="116">
        <v>2330.8000000000002</v>
      </c>
      <c r="P1650" s="116">
        <v>2336</v>
      </c>
      <c r="Q1650" s="116">
        <v>2351.4</v>
      </c>
      <c r="R1650">
        <v>689428</v>
      </c>
    </row>
    <row r="1651" spans="1:18" x14ac:dyDescent="0.25">
      <c r="A1651" s="170">
        <v>45903</v>
      </c>
      <c r="B1651" s="116">
        <v>2425.6999999999998</v>
      </c>
      <c r="C1651" s="116">
        <v>2410.75</v>
      </c>
      <c r="D1651" s="116">
        <v>2400</v>
      </c>
      <c r="E1651" s="116">
        <v>2403.5500000000002</v>
      </c>
      <c r="F1651" s="116">
        <v>2410.75</v>
      </c>
      <c r="G1651">
        <v>5851</v>
      </c>
      <c r="H1651" s="116"/>
      <c r="I1651" s="116"/>
      <c r="L1651" s="170">
        <v>45898</v>
      </c>
      <c r="M1651" s="116">
        <v>2401.5</v>
      </c>
      <c r="N1651" s="116">
        <v>2408.5</v>
      </c>
      <c r="O1651" s="116">
        <v>2355</v>
      </c>
      <c r="P1651" s="116">
        <v>2365</v>
      </c>
      <c r="Q1651" s="116">
        <v>2401.5</v>
      </c>
      <c r="R1651">
        <v>423429</v>
      </c>
    </row>
    <row r="1652" spans="1:18" x14ac:dyDescent="0.25">
      <c r="A1652" s="170">
        <v>45904</v>
      </c>
      <c r="B1652" s="116">
        <v>2429.75</v>
      </c>
      <c r="C1652" s="116">
        <v>2407.25</v>
      </c>
      <c r="D1652" s="116">
        <v>2396.85</v>
      </c>
      <c r="E1652" s="116">
        <v>2426.15</v>
      </c>
      <c r="F1652" s="116">
        <v>2407.25</v>
      </c>
      <c r="G1652">
        <v>32693</v>
      </c>
      <c r="H1652" s="116"/>
      <c r="I1652" s="116"/>
      <c r="L1652" s="170">
        <v>45901</v>
      </c>
      <c r="M1652" s="116">
        <v>2403.3000000000002</v>
      </c>
      <c r="N1652" s="116">
        <v>2424.8000000000002</v>
      </c>
      <c r="O1652" s="116">
        <v>2387.1999999999998</v>
      </c>
      <c r="P1652" s="116">
        <v>2408.9</v>
      </c>
      <c r="Q1652" s="116">
        <v>2403.3000000000002</v>
      </c>
      <c r="R1652">
        <v>422141</v>
      </c>
    </row>
    <row r="1653" spans="1:18" x14ac:dyDescent="0.25">
      <c r="A1653" s="170">
        <v>45905</v>
      </c>
      <c r="B1653" s="116">
        <v>2424.6999999999998</v>
      </c>
      <c r="C1653" s="116">
        <v>2410.0500000000002</v>
      </c>
      <c r="D1653" s="116">
        <v>2402.5500000000002</v>
      </c>
      <c r="E1653" s="116">
        <v>2407.25</v>
      </c>
      <c r="F1653" s="116">
        <v>2410.0500000000002</v>
      </c>
      <c r="G1653">
        <v>40646</v>
      </c>
      <c r="H1653" s="116"/>
      <c r="I1653" s="116"/>
      <c r="L1653" s="170">
        <v>45902</v>
      </c>
      <c r="M1653" s="116">
        <v>2402.1999999999998</v>
      </c>
      <c r="N1653" s="116">
        <v>2412.6</v>
      </c>
      <c r="O1653" s="116">
        <v>2388.3000000000002</v>
      </c>
      <c r="P1653" s="116">
        <v>2409.9</v>
      </c>
      <c r="Q1653" s="116">
        <v>2402.1999999999998</v>
      </c>
      <c r="R1653">
        <v>554141</v>
      </c>
    </row>
    <row r="1654" spans="1:18" x14ac:dyDescent="0.25">
      <c r="A1654" s="170">
        <v>45908</v>
      </c>
      <c r="B1654" s="116">
        <v>2448</v>
      </c>
      <c r="C1654" s="116">
        <v>2410.75</v>
      </c>
      <c r="D1654" s="116">
        <v>2408.15</v>
      </c>
      <c r="E1654" s="116">
        <v>2409</v>
      </c>
      <c r="F1654" s="116">
        <v>2410.75</v>
      </c>
      <c r="G1654">
        <v>6032</v>
      </c>
      <c r="H1654" s="116"/>
      <c r="I1654" s="116"/>
      <c r="L1654" s="170">
        <v>45903</v>
      </c>
      <c r="M1654" s="116">
        <v>2411.6</v>
      </c>
      <c r="N1654" s="116">
        <v>2426.8000000000002</v>
      </c>
      <c r="O1654" s="116">
        <v>2402.1999999999998</v>
      </c>
      <c r="P1654" s="116">
        <v>2402.1999999999998</v>
      </c>
      <c r="Q1654" s="116">
        <v>2411.6</v>
      </c>
      <c r="R1654">
        <v>326321</v>
      </c>
    </row>
    <row r="1655" spans="1:18" x14ac:dyDescent="0.25">
      <c r="A1655" s="170">
        <v>45909</v>
      </c>
      <c r="B1655" s="116">
        <v>2416.6999999999998</v>
      </c>
      <c r="C1655" s="116">
        <v>2411.15</v>
      </c>
      <c r="D1655" s="116">
        <v>2404.1999999999998</v>
      </c>
      <c r="E1655" s="116">
        <v>2413</v>
      </c>
      <c r="F1655" s="116">
        <v>2411.15</v>
      </c>
      <c r="G1655">
        <v>4463</v>
      </c>
      <c r="H1655" s="116"/>
      <c r="I1655" s="116"/>
      <c r="L1655" s="170">
        <v>45904</v>
      </c>
      <c r="M1655" s="116">
        <v>2408.6</v>
      </c>
      <c r="N1655" s="116">
        <v>2430</v>
      </c>
      <c r="O1655" s="116">
        <v>2395.9</v>
      </c>
      <c r="P1655" s="116">
        <v>2430</v>
      </c>
      <c r="Q1655" s="116">
        <v>2408.6</v>
      </c>
      <c r="R1655">
        <v>1093794</v>
      </c>
    </row>
    <row r="1656" spans="1:18" x14ac:dyDescent="0.25">
      <c r="A1656" s="170">
        <v>45910</v>
      </c>
      <c r="B1656" s="116">
        <v>2419.15</v>
      </c>
      <c r="C1656" s="116">
        <v>2400.6</v>
      </c>
      <c r="D1656" s="116">
        <v>2366.4</v>
      </c>
      <c r="E1656" s="116">
        <v>2405.0500000000002</v>
      </c>
      <c r="F1656" s="116">
        <v>2400.6</v>
      </c>
      <c r="G1656">
        <v>43806</v>
      </c>
      <c r="H1656" s="116"/>
      <c r="I1656" s="116"/>
      <c r="L1656" s="170">
        <v>45905</v>
      </c>
      <c r="M1656" s="116">
        <v>2410.3000000000002</v>
      </c>
      <c r="N1656" s="116">
        <v>2424</v>
      </c>
      <c r="O1656" s="116">
        <v>2391</v>
      </c>
      <c r="P1656" s="116">
        <v>2400.1</v>
      </c>
      <c r="Q1656" s="116">
        <v>2410.3000000000002</v>
      </c>
      <c r="R1656">
        <v>879898</v>
      </c>
    </row>
    <row r="1657" spans="1:18" x14ac:dyDescent="0.25">
      <c r="A1657" s="170">
        <v>45911</v>
      </c>
      <c r="B1657" s="116">
        <v>2417</v>
      </c>
      <c r="C1657" s="116">
        <v>2409.85</v>
      </c>
      <c r="D1657" s="116">
        <v>2397.6</v>
      </c>
      <c r="E1657" s="116">
        <v>2400.65</v>
      </c>
      <c r="F1657" s="116">
        <v>2409.85</v>
      </c>
      <c r="G1657">
        <v>5097</v>
      </c>
      <c r="H1657" s="116"/>
      <c r="I1657" s="116"/>
      <c r="L1657" s="170">
        <v>45908</v>
      </c>
      <c r="M1657" s="116">
        <v>2410</v>
      </c>
      <c r="N1657" s="116">
        <v>2447.9</v>
      </c>
      <c r="O1657" s="116">
        <v>2405</v>
      </c>
      <c r="P1657" s="116">
        <v>2410</v>
      </c>
      <c r="Q1657" s="116">
        <v>2410</v>
      </c>
      <c r="R1657">
        <v>315525</v>
      </c>
    </row>
    <row r="1658" spans="1:18" x14ac:dyDescent="0.25">
      <c r="A1658" s="170">
        <v>45912</v>
      </c>
      <c r="B1658" s="116">
        <v>2419.6999999999998</v>
      </c>
      <c r="C1658" s="116">
        <v>2409.1</v>
      </c>
      <c r="D1658" s="116">
        <v>2400.35</v>
      </c>
      <c r="E1658" s="116">
        <v>2412.0500000000002</v>
      </c>
      <c r="F1658" s="116">
        <v>2409.1</v>
      </c>
      <c r="G1658">
        <v>4472</v>
      </c>
      <c r="H1658" s="116"/>
      <c r="I1658" s="116"/>
      <c r="L1658" s="170">
        <v>45909</v>
      </c>
      <c r="M1658" s="116">
        <v>2410.6</v>
      </c>
      <c r="N1658" s="116">
        <v>2421.8000000000002</v>
      </c>
      <c r="O1658" s="116">
        <v>2403.1</v>
      </c>
      <c r="P1658" s="116">
        <v>2421.8000000000002</v>
      </c>
      <c r="Q1658" s="116">
        <v>2410.6</v>
      </c>
      <c r="R1658">
        <v>142687</v>
      </c>
    </row>
    <row r="1659" spans="1:18" x14ac:dyDescent="0.25">
      <c r="A1659" s="170">
        <v>45915</v>
      </c>
      <c r="B1659" s="116">
        <v>2419.6999999999998</v>
      </c>
      <c r="C1659" s="116">
        <v>2413.6999999999998</v>
      </c>
      <c r="D1659" s="116">
        <v>2403.1999999999998</v>
      </c>
      <c r="E1659" s="116">
        <v>2415.3000000000002</v>
      </c>
      <c r="F1659" s="116">
        <v>2413.6999999999998</v>
      </c>
      <c r="G1659">
        <v>1588</v>
      </c>
      <c r="H1659" s="116"/>
      <c r="I1659" s="116"/>
      <c r="L1659" s="170">
        <v>45910</v>
      </c>
      <c r="M1659" s="116">
        <v>2401.5</v>
      </c>
      <c r="N1659" s="116">
        <v>2422.6</v>
      </c>
      <c r="O1659" s="116">
        <v>2364.3000000000002</v>
      </c>
      <c r="P1659" s="116">
        <v>2422.6</v>
      </c>
      <c r="Q1659" s="116">
        <v>2401.5</v>
      </c>
      <c r="R1659">
        <v>274453</v>
      </c>
    </row>
    <row r="1660" spans="1:18" x14ac:dyDescent="0.25">
      <c r="A1660" s="170">
        <v>45916</v>
      </c>
      <c r="B1660" s="116">
        <v>2449.15</v>
      </c>
      <c r="C1660" s="116">
        <v>2428.5500000000002</v>
      </c>
      <c r="D1660" s="116">
        <v>2419.1999999999998</v>
      </c>
      <c r="E1660" s="116">
        <v>2434.35</v>
      </c>
      <c r="F1660" s="116">
        <v>2428.5500000000002</v>
      </c>
      <c r="G1660">
        <v>5226</v>
      </c>
      <c r="H1660" s="116"/>
      <c r="I1660" s="116"/>
      <c r="L1660" s="170">
        <v>45911</v>
      </c>
      <c r="M1660" s="116">
        <v>2409.8000000000002</v>
      </c>
      <c r="N1660" s="116">
        <v>2417.4</v>
      </c>
      <c r="O1660" s="116">
        <v>2394.9</v>
      </c>
      <c r="P1660" s="116">
        <v>2405</v>
      </c>
      <c r="Q1660" s="116">
        <v>2409.8000000000002</v>
      </c>
      <c r="R1660">
        <v>354652</v>
      </c>
    </row>
    <row r="1661" spans="1:18" x14ac:dyDescent="0.25">
      <c r="A1661" s="170">
        <v>45917</v>
      </c>
      <c r="B1661" s="116">
        <v>2495.9499999999998</v>
      </c>
      <c r="C1661" s="116">
        <v>2476.65</v>
      </c>
      <c r="D1661" s="116">
        <v>2434.5500000000002</v>
      </c>
      <c r="E1661" s="116">
        <v>2434.5500000000002</v>
      </c>
      <c r="F1661" s="116">
        <v>2476.65</v>
      </c>
      <c r="G1661">
        <v>60735</v>
      </c>
      <c r="H1661" s="116"/>
      <c r="I1661" s="116"/>
      <c r="L1661" s="170">
        <v>45912</v>
      </c>
      <c r="M1661" s="116">
        <v>2411.4</v>
      </c>
      <c r="N1661" s="116">
        <v>2422.5</v>
      </c>
      <c r="O1661" s="116">
        <v>2400.8000000000002</v>
      </c>
      <c r="P1661" s="116">
        <v>2418</v>
      </c>
      <c r="Q1661" s="116">
        <v>2411.4</v>
      </c>
      <c r="R1661">
        <v>245251</v>
      </c>
    </row>
    <row r="1662" spans="1:18" x14ac:dyDescent="0.25">
      <c r="A1662" s="170">
        <v>45918</v>
      </c>
      <c r="B1662" s="116">
        <v>2484.4</v>
      </c>
      <c r="C1662" s="116">
        <v>2447</v>
      </c>
      <c r="D1662" s="116">
        <v>2439.9</v>
      </c>
      <c r="E1662" s="116">
        <v>2484.4</v>
      </c>
      <c r="F1662" s="116">
        <v>2447</v>
      </c>
      <c r="G1662">
        <v>7385</v>
      </c>
      <c r="H1662" s="116"/>
      <c r="I1662" s="116"/>
      <c r="L1662" s="170">
        <v>45915</v>
      </c>
      <c r="M1662" s="116">
        <v>2415</v>
      </c>
      <c r="N1662" s="116">
        <v>2424.9</v>
      </c>
      <c r="O1662" s="116">
        <v>2404</v>
      </c>
      <c r="P1662" s="116">
        <v>2411.4</v>
      </c>
      <c r="Q1662" s="116">
        <v>2415</v>
      </c>
      <c r="R1662">
        <v>158554</v>
      </c>
    </row>
    <row r="1663" spans="1:18" x14ac:dyDescent="0.25">
      <c r="A1663" s="170">
        <v>45919</v>
      </c>
      <c r="B1663" s="116">
        <v>2452.85</v>
      </c>
      <c r="C1663" s="116">
        <v>2410.9</v>
      </c>
      <c r="D1663" s="116">
        <v>2407.6</v>
      </c>
      <c r="E1663" s="116">
        <v>2446.8000000000002</v>
      </c>
      <c r="F1663" s="116">
        <v>2410.9</v>
      </c>
      <c r="G1663">
        <v>3279</v>
      </c>
      <c r="H1663" s="116"/>
      <c r="I1663" s="116"/>
      <c r="L1663" s="170">
        <v>45916</v>
      </c>
      <c r="M1663" s="116">
        <v>2427.9</v>
      </c>
      <c r="N1663" s="116">
        <v>2450</v>
      </c>
      <c r="O1663" s="116">
        <v>2414</v>
      </c>
      <c r="P1663" s="116">
        <v>2430.1</v>
      </c>
      <c r="Q1663" s="116">
        <v>2427.9</v>
      </c>
      <c r="R1663">
        <v>680590</v>
      </c>
    </row>
    <row r="1664" spans="1:18" x14ac:dyDescent="0.25">
      <c r="A1664" s="170">
        <v>45922</v>
      </c>
      <c r="B1664" s="116">
        <v>2459.0500000000002</v>
      </c>
      <c r="C1664" s="116">
        <v>2379.15</v>
      </c>
      <c r="D1664" s="116">
        <v>2366.5</v>
      </c>
      <c r="E1664" s="116">
        <v>2459.0500000000002</v>
      </c>
      <c r="F1664" s="116">
        <v>2379.15</v>
      </c>
      <c r="G1664">
        <v>13826</v>
      </c>
      <c r="H1664" s="116"/>
      <c r="I1664" s="116"/>
      <c r="L1664" s="170">
        <v>45917</v>
      </c>
      <c r="M1664" s="116">
        <v>2476.1999999999998</v>
      </c>
      <c r="N1664" s="116">
        <v>2496.3000000000002</v>
      </c>
      <c r="O1664" s="116">
        <v>2439.9</v>
      </c>
      <c r="P1664" s="116">
        <v>2440.6</v>
      </c>
      <c r="Q1664" s="116">
        <v>2476.1999999999998</v>
      </c>
      <c r="R1664">
        <v>1855484</v>
      </c>
    </row>
    <row r="1665" spans="1:18" x14ac:dyDescent="0.25">
      <c r="A1665" s="170">
        <v>45923</v>
      </c>
      <c r="B1665" s="116">
        <v>2391.1</v>
      </c>
      <c r="C1665" s="116">
        <v>2337.75</v>
      </c>
      <c r="D1665" s="116">
        <v>2334.4</v>
      </c>
      <c r="E1665" s="116">
        <v>2372.0500000000002</v>
      </c>
      <c r="F1665" s="116">
        <v>2337.75</v>
      </c>
      <c r="G1665">
        <v>6758</v>
      </c>
      <c r="H1665" s="116"/>
      <c r="I1665" s="116"/>
      <c r="L1665" s="170">
        <v>45918</v>
      </c>
      <c r="M1665" s="116">
        <v>2448.1999999999998</v>
      </c>
      <c r="N1665" s="116">
        <v>2488.9</v>
      </c>
      <c r="O1665" s="116">
        <v>2440.9</v>
      </c>
      <c r="P1665" s="116">
        <v>2488.9</v>
      </c>
      <c r="Q1665" s="116">
        <v>2448.1999999999998</v>
      </c>
      <c r="R1665">
        <v>186407</v>
      </c>
    </row>
    <row r="1666" spans="1:18" x14ac:dyDescent="0.25">
      <c r="A1666" s="170">
        <v>45924</v>
      </c>
      <c r="B1666" s="116">
        <v>2361.15</v>
      </c>
      <c r="C1666" s="116">
        <v>2322.65</v>
      </c>
      <c r="D1666" s="116">
        <v>2315</v>
      </c>
      <c r="E1666" s="116">
        <v>2350</v>
      </c>
      <c r="F1666" s="116">
        <v>2322.65</v>
      </c>
      <c r="G1666">
        <v>7065</v>
      </c>
      <c r="H1666" s="116"/>
      <c r="I1666" s="116"/>
      <c r="L1666" s="170">
        <v>45919</v>
      </c>
      <c r="M1666" s="116">
        <v>2409.9</v>
      </c>
      <c r="N1666" s="116">
        <v>2457.8000000000002</v>
      </c>
      <c r="O1666" s="116">
        <v>2407.1</v>
      </c>
      <c r="P1666" s="116">
        <v>2440.5</v>
      </c>
      <c r="Q1666" s="116">
        <v>2409.9</v>
      </c>
      <c r="R1666">
        <v>342690</v>
      </c>
    </row>
    <row r="1667" spans="1:18" x14ac:dyDescent="0.25">
      <c r="A1667" s="170">
        <v>45925</v>
      </c>
      <c r="B1667" s="116">
        <v>2318.9499999999998</v>
      </c>
      <c r="C1667" s="116">
        <v>2262.5500000000002</v>
      </c>
      <c r="D1667" s="116">
        <v>2255</v>
      </c>
      <c r="E1667" s="116">
        <v>2299.6999999999998</v>
      </c>
      <c r="F1667" s="116">
        <v>2262.5500000000002</v>
      </c>
      <c r="G1667">
        <v>13422</v>
      </c>
      <c r="H1667" s="116"/>
      <c r="I1667" s="116"/>
      <c r="L1667" s="170">
        <v>45922</v>
      </c>
      <c r="M1667" s="116">
        <v>2378.5</v>
      </c>
      <c r="N1667" s="116">
        <v>2439.3000000000002</v>
      </c>
      <c r="O1667" s="116">
        <v>2366.1</v>
      </c>
      <c r="P1667" s="116">
        <v>2410.6999999999998</v>
      </c>
      <c r="Q1667" s="116">
        <v>2378.5</v>
      </c>
      <c r="R1667">
        <v>505654</v>
      </c>
    </row>
    <row r="1668" spans="1:18" x14ac:dyDescent="0.25">
      <c r="A1668" s="170">
        <v>45926</v>
      </c>
      <c r="B1668" s="116">
        <v>2255.3000000000002</v>
      </c>
      <c r="C1668" s="116">
        <v>2214.35</v>
      </c>
      <c r="D1668" s="116">
        <v>2206.3000000000002</v>
      </c>
      <c r="E1668" s="116">
        <v>2255</v>
      </c>
      <c r="F1668" s="116">
        <v>2214.35</v>
      </c>
      <c r="G1668">
        <v>7724</v>
      </c>
      <c r="H1668" s="116"/>
      <c r="I1668" s="116"/>
      <c r="L1668" s="170">
        <v>45923</v>
      </c>
      <c r="M1668" s="116">
        <v>2339.1999999999998</v>
      </c>
      <c r="N1668" s="116">
        <v>2389.9</v>
      </c>
      <c r="O1668" s="116">
        <v>2333.3000000000002</v>
      </c>
      <c r="P1668" s="116">
        <v>2378.5</v>
      </c>
      <c r="Q1668" s="116">
        <v>2339.1999999999998</v>
      </c>
      <c r="R1668">
        <v>479593</v>
      </c>
    </row>
    <row r="1669" spans="1:18" x14ac:dyDescent="0.25">
      <c r="A1669" s="170">
        <v>45929</v>
      </c>
      <c r="B1669" s="116">
        <v>2243.9499999999998</v>
      </c>
      <c r="C1669" s="116">
        <v>2227.4499999999998</v>
      </c>
      <c r="D1669" s="116">
        <v>2211.15</v>
      </c>
      <c r="E1669" s="116">
        <v>2221.9</v>
      </c>
      <c r="F1669" s="116">
        <v>2227.4499999999998</v>
      </c>
      <c r="G1669">
        <v>1535</v>
      </c>
      <c r="H1669" s="116"/>
      <c r="I1669" s="116"/>
      <c r="L1669" s="170">
        <v>45924</v>
      </c>
      <c r="M1669" s="116">
        <v>2320.8000000000002</v>
      </c>
      <c r="N1669" s="116">
        <v>2362.3000000000002</v>
      </c>
      <c r="O1669" s="116">
        <v>2312.3000000000002</v>
      </c>
      <c r="P1669" s="116">
        <v>2349</v>
      </c>
      <c r="Q1669" s="116">
        <v>2320.8000000000002</v>
      </c>
      <c r="R1669">
        <v>180960</v>
      </c>
    </row>
    <row r="1670" spans="1:18" x14ac:dyDescent="0.25">
      <c r="A1670" s="170">
        <v>45930</v>
      </c>
      <c r="B1670" s="116">
        <v>2236.9499999999998</v>
      </c>
      <c r="C1670" s="116">
        <v>2225.1</v>
      </c>
      <c r="D1670" s="116">
        <v>2202.5</v>
      </c>
      <c r="E1670" s="116">
        <v>2231.9</v>
      </c>
      <c r="F1670" s="116">
        <v>2225.1</v>
      </c>
      <c r="G1670">
        <v>9459</v>
      </c>
      <c r="H1670" s="116"/>
      <c r="I1670" s="116"/>
      <c r="L1670" s="170">
        <v>45925</v>
      </c>
      <c r="M1670" s="116">
        <v>2262.3000000000002</v>
      </c>
      <c r="N1670" s="116">
        <v>2319.9</v>
      </c>
      <c r="O1670" s="116">
        <v>2254.4</v>
      </c>
      <c r="P1670" s="116">
        <v>2300</v>
      </c>
      <c r="Q1670" s="116">
        <v>2262.3000000000002</v>
      </c>
      <c r="R1670">
        <v>454607</v>
      </c>
    </row>
    <row r="1671" spans="1:18" x14ac:dyDescent="0.25">
      <c r="A1671" s="170">
        <v>45931</v>
      </c>
      <c r="B1671" s="116">
        <v>2236.15</v>
      </c>
      <c r="C1671" s="116">
        <v>2232.25</v>
      </c>
      <c r="D1671" s="116">
        <v>2205.9</v>
      </c>
      <c r="E1671" s="116">
        <v>2229.5</v>
      </c>
      <c r="F1671" s="116">
        <v>2232.25</v>
      </c>
      <c r="G1671">
        <v>3248</v>
      </c>
      <c r="H1671" s="116"/>
      <c r="I1671" s="116"/>
      <c r="L1671" s="170">
        <v>45926</v>
      </c>
      <c r="M1671" s="116">
        <v>2215.4</v>
      </c>
      <c r="N1671" s="116">
        <v>2266.8000000000002</v>
      </c>
      <c r="O1671" s="116">
        <v>2207.3000000000002</v>
      </c>
      <c r="P1671" s="116">
        <v>2258</v>
      </c>
      <c r="Q1671" s="116">
        <v>2215.4</v>
      </c>
      <c r="R1671">
        <v>397012</v>
      </c>
    </row>
    <row r="1672" spans="1:18" x14ac:dyDescent="0.25">
      <c r="A1672" s="170">
        <v>45933</v>
      </c>
      <c r="B1672" s="116">
        <v>2264.3000000000002</v>
      </c>
      <c r="C1672" s="116">
        <v>2255.6</v>
      </c>
      <c r="D1672" s="116">
        <v>2228.0500000000002</v>
      </c>
      <c r="E1672" s="116">
        <v>2228.0500000000002</v>
      </c>
      <c r="F1672" s="116">
        <v>2255.6</v>
      </c>
      <c r="G1672">
        <v>9907</v>
      </c>
      <c r="H1672" s="116"/>
      <c r="I1672" s="116"/>
      <c r="L1672" s="170">
        <v>45929</v>
      </c>
      <c r="M1672" s="116">
        <v>2229.3000000000002</v>
      </c>
      <c r="N1672" s="116">
        <v>2244.1999999999998</v>
      </c>
      <c r="O1672" s="116">
        <v>2209.3000000000002</v>
      </c>
      <c r="P1672" s="116">
        <v>2215.1</v>
      </c>
      <c r="Q1672" s="116">
        <v>2229.3000000000002</v>
      </c>
      <c r="R1672">
        <v>234318</v>
      </c>
    </row>
    <row r="1673" spans="1:18" x14ac:dyDescent="0.25">
      <c r="A1673" s="170">
        <v>45936</v>
      </c>
      <c r="B1673" s="116">
        <v>2264.4</v>
      </c>
      <c r="C1673" s="116">
        <v>2250.9499999999998</v>
      </c>
      <c r="D1673" s="116">
        <v>2226.85</v>
      </c>
      <c r="E1673" s="116">
        <v>2226.85</v>
      </c>
      <c r="F1673" s="116">
        <v>2250.9499999999998</v>
      </c>
      <c r="G1673">
        <v>5635</v>
      </c>
      <c r="H1673" s="116"/>
      <c r="I1673" s="116"/>
      <c r="L1673" s="170">
        <v>45930</v>
      </c>
      <c r="M1673" s="116">
        <v>2227.1999999999998</v>
      </c>
      <c r="N1673" s="116">
        <v>2237.8000000000002</v>
      </c>
      <c r="O1673" s="116">
        <v>2202.1</v>
      </c>
      <c r="P1673" s="116">
        <v>2215.1</v>
      </c>
      <c r="Q1673" s="116">
        <v>2227.1999999999998</v>
      </c>
      <c r="R1673">
        <v>574335</v>
      </c>
    </row>
    <row r="1674" spans="1:18" x14ac:dyDescent="0.25">
      <c r="A1674" s="170">
        <v>45937</v>
      </c>
      <c r="B1674" s="116">
        <v>2298.35</v>
      </c>
      <c r="C1674" s="116">
        <v>2244.15</v>
      </c>
      <c r="D1674" s="116">
        <v>2235</v>
      </c>
      <c r="E1674" s="116">
        <v>2298.35</v>
      </c>
      <c r="F1674" s="116">
        <v>2244.15</v>
      </c>
      <c r="G1674">
        <v>2822</v>
      </c>
      <c r="H1674" s="116"/>
      <c r="I1674" s="116"/>
      <c r="L1674" s="170">
        <v>45931</v>
      </c>
      <c r="M1674" s="116">
        <v>2229.4</v>
      </c>
      <c r="N1674" s="116">
        <v>2237</v>
      </c>
      <c r="O1674" s="116">
        <v>2207</v>
      </c>
      <c r="P1674" s="116">
        <v>2227.1999999999998</v>
      </c>
      <c r="Q1674" s="116">
        <v>2229.4</v>
      </c>
      <c r="R1674">
        <v>176320</v>
      </c>
    </row>
    <row r="1675" spans="1:18" x14ac:dyDescent="0.25">
      <c r="A1675" s="170">
        <v>45938</v>
      </c>
      <c r="B1675" s="116">
        <v>2289.5</v>
      </c>
      <c r="C1675" s="116">
        <v>2232.65</v>
      </c>
      <c r="D1675" s="116">
        <v>2215.6999999999998</v>
      </c>
      <c r="E1675" s="116">
        <v>2289.5</v>
      </c>
      <c r="F1675" s="116">
        <v>2232.65</v>
      </c>
      <c r="G1675">
        <v>3363</v>
      </c>
      <c r="H1675" s="116"/>
      <c r="I1675" s="116"/>
      <c r="L1675" s="170">
        <v>45933</v>
      </c>
      <c r="M1675" s="116">
        <v>2253.6999999999998</v>
      </c>
      <c r="N1675" s="116">
        <v>2264.9</v>
      </c>
      <c r="O1675" s="116">
        <v>2231.8000000000002</v>
      </c>
      <c r="P1675" s="116">
        <v>2231.8000000000002</v>
      </c>
      <c r="Q1675" s="116">
        <v>2253.6999999999998</v>
      </c>
      <c r="R1675">
        <v>631378</v>
      </c>
    </row>
    <row r="1676" spans="1:18" x14ac:dyDescent="0.25">
      <c r="A1676" s="170">
        <v>45939</v>
      </c>
      <c r="B1676" s="116">
        <v>2268.8000000000002</v>
      </c>
      <c r="C1676" s="116">
        <v>2238.5500000000002</v>
      </c>
      <c r="D1676" s="116">
        <v>2214.9</v>
      </c>
      <c r="E1676" s="116">
        <v>2268.8000000000002</v>
      </c>
      <c r="F1676" s="116">
        <v>2238.5500000000002</v>
      </c>
      <c r="G1676">
        <v>38342</v>
      </c>
      <c r="H1676" s="116"/>
      <c r="I1676" s="116"/>
      <c r="L1676" s="170">
        <v>45936</v>
      </c>
      <c r="M1676" s="116">
        <v>2251.1999999999998</v>
      </c>
      <c r="N1676" s="116">
        <v>2265</v>
      </c>
      <c r="O1676" s="116">
        <v>2239.6</v>
      </c>
      <c r="P1676" s="116">
        <v>2253.6999999999998</v>
      </c>
      <c r="Q1676" s="116">
        <v>2251.1999999999998</v>
      </c>
      <c r="R1676">
        <v>396061</v>
      </c>
    </row>
    <row r="1677" spans="1:18" x14ac:dyDescent="0.25">
      <c r="A1677" s="170">
        <v>45940</v>
      </c>
      <c r="B1677" s="116">
        <v>2259.4</v>
      </c>
      <c r="C1677" s="116">
        <v>2231.0500000000002</v>
      </c>
      <c r="D1677" s="116">
        <v>2221</v>
      </c>
      <c r="E1677" s="116">
        <v>2238.5500000000002</v>
      </c>
      <c r="F1677" s="116">
        <v>2231.0500000000002</v>
      </c>
      <c r="G1677">
        <v>4262</v>
      </c>
      <c r="H1677" s="116"/>
      <c r="I1677" s="116"/>
      <c r="L1677" s="170">
        <v>45937</v>
      </c>
      <c r="M1677" s="116">
        <v>2243.3000000000002</v>
      </c>
      <c r="N1677" s="116">
        <v>2280</v>
      </c>
      <c r="O1677" s="116">
        <v>2234.1999999999998</v>
      </c>
      <c r="P1677" s="116">
        <v>2251.1999999999998</v>
      </c>
      <c r="Q1677" s="116">
        <v>2243.3000000000002</v>
      </c>
      <c r="R1677">
        <v>179834</v>
      </c>
    </row>
    <row r="1678" spans="1:18" x14ac:dyDescent="0.25">
      <c r="A1678" s="170">
        <v>45943</v>
      </c>
      <c r="B1678" s="116">
        <v>2238.4499999999998</v>
      </c>
      <c r="C1678" s="116">
        <v>2235</v>
      </c>
      <c r="D1678" s="116">
        <v>2217.1</v>
      </c>
      <c r="E1678" s="116">
        <v>2221.0500000000002</v>
      </c>
      <c r="F1678" s="116">
        <v>2235</v>
      </c>
      <c r="G1678">
        <v>3174</v>
      </c>
      <c r="H1678" s="116"/>
      <c r="I1678" s="116"/>
      <c r="L1678" s="170">
        <v>45938</v>
      </c>
      <c r="M1678" s="116">
        <v>2231.6</v>
      </c>
      <c r="N1678" s="116">
        <v>2256.6</v>
      </c>
      <c r="O1678" s="116">
        <v>2211</v>
      </c>
      <c r="P1678" s="116">
        <v>2243.3000000000002</v>
      </c>
      <c r="Q1678" s="116">
        <v>2231.6</v>
      </c>
      <c r="R1678">
        <v>126649</v>
      </c>
    </row>
    <row r="1679" spans="1:18" x14ac:dyDescent="0.25">
      <c r="A1679" s="170">
        <v>45944</v>
      </c>
      <c r="B1679" s="116">
        <v>2248.85</v>
      </c>
      <c r="C1679" s="116">
        <v>2213.25</v>
      </c>
      <c r="D1679" s="116">
        <v>2186.85</v>
      </c>
      <c r="E1679" s="116">
        <v>2235.0500000000002</v>
      </c>
      <c r="F1679" s="116">
        <v>2213.25</v>
      </c>
      <c r="G1679">
        <v>9933</v>
      </c>
      <c r="H1679" s="116"/>
      <c r="I1679" s="116"/>
      <c r="L1679" s="170">
        <v>45939</v>
      </c>
      <c r="M1679" s="116">
        <v>2234.6999999999998</v>
      </c>
      <c r="N1679" s="116">
        <v>2247.1999999999998</v>
      </c>
      <c r="O1679" s="116">
        <v>2212.6</v>
      </c>
      <c r="P1679" s="116">
        <v>2229.8000000000002</v>
      </c>
      <c r="Q1679" s="116">
        <v>2234.6999999999998</v>
      </c>
      <c r="R1679">
        <v>241635</v>
      </c>
    </row>
    <row r="1680" spans="1:18" x14ac:dyDescent="0.25">
      <c r="A1680" s="170">
        <v>45945</v>
      </c>
      <c r="B1680" s="116">
        <v>2227.35</v>
      </c>
      <c r="C1680" s="116">
        <v>2218.9</v>
      </c>
      <c r="D1680" s="116">
        <v>2204.35</v>
      </c>
      <c r="E1680" s="116">
        <v>2215.6999999999998</v>
      </c>
      <c r="F1680" s="116">
        <v>2218.9</v>
      </c>
      <c r="G1680">
        <v>2341</v>
      </c>
      <c r="H1680" s="116"/>
      <c r="I1680" s="116"/>
      <c r="L1680" s="170">
        <v>45940</v>
      </c>
      <c r="M1680" s="116">
        <v>2227.6999999999998</v>
      </c>
      <c r="N1680" s="116">
        <v>2259.9</v>
      </c>
      <c r="O1680" s="116">
        <v>2222</v>
      </c>
      <c r="P1680" s="116">
        <v>2234.6999999999998</v>
      </c>
      <c r="Q1680" s="116">
        <v>2227.6999999999998</v>
      </c>
      <c r="R1680">
        <v>207783</v>
      </c>
    </row>
    <row r="1681" spans="1:18" x14ac:dyDescent="0.25">
      <c r="A1681" s="170">
        <v>45946</v>
      </c>
      <c r="B1681" s="116">
        <v>2237.35</v>
      </c>
      <c r="C1681" s="116">
        <v>2224.6999999999998</v>
      </c>
      <c r="D1681" s="116">
        <v>2186.9</v>
      </c>
      <c r="E1681" s="116">
        <v>2186.9</v>
      </c>
      <c r="F1681" s="116">
        <v>2224.6999999999998</v>
      </c>
      <c r="G1681">
        <v>3324</v>
      </c>
      <c r="H1681" s="116"/>
      <c r="I1681" s="116"/>
      <c r="L1681" s="170">
        <v>45943</v>
      </c>
      <c r="M1681" s="116">
        <v>2234.8000000000002</v>
      </c>
      <c r="N1681" s="116">
        <v>2238.6999999999998</v>
      </c>
      <c r="O1681" s="116">
        <v>2210.5</v>
      </c>
      <c r="P1681" s="116">
        <v>2227.6999999999998</v>
      </c>
      <c r="Q1681" s="116">
        <v>2234.8000000000002</v>
      </c>
      <c r="R1681">
        <v>250949</v>
      </c>
    </row>
    <row r="1682" spans="1:18" x14ac:dyDescent="0.25">
      <c r="A1682" s="170">
        <v>45947</v>
      </c>
      <c r="B1682" s="116">
        <v>2320</v>
      </c>
      <c r="C1682" s="116">
        <v>2245.5</v>
      </c>
      <c r="D1682" s="116">
        <v>2222.5</v>
      </c>
      <c r="E1682" s="116">
        <v>2224.8000000000002</v>
      </c>
      <c r="F1682" s="116">
        <v>2245.5</v>
      </c>
      <c r="G1682">
        <v>28226</v>
      </c>
      <c r="H1682" s="116"/>
      <c r="I1682" s="116"/>
      <c r="L1682" s="170">
        <v>45944</v>
      </c>
      <c r="M1682" s="116">
        <v>2213</v>
      </c>
      <c r="N1682" s="116">
        <v>2249</v>
      </c>
      <c r="O1682" s="116">
        <v>2187.4</v>
      </c>
      <c r="P1682" s="116">
        <v>2240</v>
      </c>
      <c r="Q1682" s="116">
        <v>2213</v>
      </c>
      <c r="R1682">
        <v>182325</v>
      </c>
    </row>
    <row r="1683" spans="1:18" x14ac:dyDescent="0.25">
      <c r="A1683" s="170">
        <v>45950</v>
      </c>
      <c r="B1683" s="116">
        <v>2270.6999999999998</v>
      </c>
      <c r="C1683" s="116">
        <v>2197.4</v>
      </c>
      <c r="D1683" s="116">
        <v>2163.4</v>
      </c>
      <c r="E1683" s="116">
        <v>2255.0500000000002</v>
      </c>
      <c r="F1683" s="116">
        <v>2197.4</v>
      </c>
      <c r="G1683">
        <v>373508</v>
      </c>
      <c r="H1683" s="116"/>
      <c r="I1683" s="116"/>
      <c r="L1683" s="170">
        <v>45945</v>
      </c>
      <c r="M1683" s="116">
        <v>2219.1999999999998</v>
      </c>
      <c r="N1683" s="116">
        <v>2229.5</v>
      </c>
      <c r="O1683" s="116">
        <v>2204</v>
      </c>
      <c r="P1683" s="116">
        <v>2213</v>
      </c>
      <c r="Q1683" s="116">
        <v>2219.1999999999998</v>
      </c>
      <c r="R1683">
        <v>68116</v>
      </c>
    </row>
    <row r="1684" spans="1:18" x14ac:dyDescent="0.25">
      <c r="A1684" s="170">
        <v>45951</v>
      </c>
      <c r="B1684" s="116">
        <v>2210.6999999999998</v>
      </c>
      <c r="C1684" s="116">
        <v>2184.75</v>
      </c>
      <c r="D1684" s="116">
        <v>2161.0500000000002</v>
      </c>
      <c r="E1684" s="116">
        <v>2161.0500000000002</v>
      </c>
      <c r="F1684" s="116">
        <v>2184.75</v>
      </c>
      <c r="G1684">
        <v>6719</v>
      </c>
      <c r="H1684" s="116"/>
      <c r="I1684" s="116"/>
      <c r="L1684" s="170">
        <v>45946</v>
      </c>
      <c r="M1684" s="116">
        <v>2224.4</v>
      </c>
      <c r="N1684" s="116">
        <v>2238.3000000000002</v>
      </c>
      <c r="O1684" s="116">
        <v>2213.8000000000002</v>
      </c>
      <c r="P1684" s="116">
        <v>2218.1</v>
      </c>
      <c r="Q1684" s="116">
        <v>2224.4</v>
      </c>
      <c r="R1684">
        <v>234176</v>
      </c>
    </row>
    <row r="1685" spans="1:18" x14ac:dyDescent="0.25">
      <c r="A1685" s="170">
        <v>45953</v>
      </c>
      <c r="B1685" s="116">
        <v>2190.4</v>
      </c>
      <c r="C1685" s="116">
        <v>2134.9499999999998</v>
      </c>
      <c r="D1685" s="116">
        <v>2129.3000000000002</v>
      </c>
      <c r="E1685" s="116">
        <v>2190.35</v>
      </c>
      <c r="F1685" s="116">
        <v>2134.9499999999998</v>
      </c>
      <c r="G1685">
        <v>12292</v>
      </c>
      <c r="H1685" s="116"/>
      <c r="I1685" s="116"/>
      <c r="L1685" s="170">
        <v>45947</v>
      </c>
      <c r="M1685" s="116">
        <v>2245.1</v>
      </c>
      <c r="N1685" s="116">
        <v>2319.9</v>
      </c>
      <c r="O1685" s="116">
        <v>2222.8000000000002</v>
      </c>
      <c r="P1685" s="116">
        <v>2229</v>
      </c>
      <c r="Q1685" s="116">
        <v>2245.1</v>
      </c>
      <c r="R1685">
        <v>1143683</v>
      </c>
    </row>
    <row r="1686" spans="1:18" x14ac:dyDescent="0.25">
      <c r="A1686" s="170">
        <v>45954</v>
      </c>
      <c r="B1686" s="116">
        <v>2136.9499999999998</v>
      </c>
      <c r="C1686" s="116">
        <v>2098.6</v>
      </c>
      <c r="D1686" s="116">
        <v>2086</v>
      </c>
      <c r="E1686" s="116">
        <v>2135</v>
      </c>
      <c r="F1686" s="116">
        <v>2098.6</v>
      </c>
      <c r="G1686">
        <v>62419</v>
      </c>
      <c r="H1686" s="116"/>
      <c r="I1686" s="116"/>
      <c r="L1686" s="170">
        <v>45950</v>
      </c>
      <c r="M1686" s="116">
        <v>2195.9</v>
      </c>
      <c r="N1686" s="116">
        <v>2270.8000000000002</v>
      </c>
      <c r="O1686" s="116">
        <v>2163.8000000000002</v>
      </c>
      <c r="P1686" s="116">
        <v>2270.6999999999998</v>
      </c>
      <c r="Q1686" s="116">
        <v>2195.9</v>
      </c>
      <c r="R1686">
        <v>808198</v>
      </c>
    </row>
    <row r="1687" spans="1:18" x14ac:dyDescent="0.25">
      <c r="A1687" s="170">
        <v>45957</v>
      </c>
      <c r="B1687" s="116">
        <v>2105.85</v>
      </c>
      <c r="C1687" s="116">
        <v>2092.6999999999998</v>
      </c>
      <c r="D1687" s="116">
        <v>2087</v>
      </c>
      <c r="E1687" s="116">
        <v>2099.1999999999998</v>
      </c>
      <c r="F1687" s="116">
        <v>2092.6999999999998</v>
      </c>
      <c r="G1687">
        <v>60817</v>
      </c>
      <c r="H1687" s="116"/>
      <c r="I1687" s="116"/>
      <c r="L1687" s="170">
        <v>45951</v>
      </c>
      <c r="M1687" s="116">
        <v>2185.4</v>
      </c>
      <c r="N1687" s="116">
        <v>2210</v>
      </c>
      <c r="O1687" s="116">
        <v>2181.1</v>
      </c>
      <c r="P1687" s="116">
        <v>2195.9</v>
      </c>
      <c r="Q1687" s="116">
        <v>2185.4</v>
      </c>
      <c r="R1687">
        <v>29316</v>
      </c>
    </row>
    <row r="1688" spans="1:18" x14ac:dyDescent="0.25">
      <c r="A1688" s="170">
        <v>45958</v>
      </c>
      <c r="B1688" s="116">
        <v>2133</v>
      </c>
      <c r="C1688" s="116">
        <v>2127.9499999999998</v>
      </c>
      <c r="D1688" s="116">
        <v>2085</v>
      </c>
      <c r="E1688" s="116">
        <v>2086.0500000000002</v>
      </c>
      <c r="F1688" s="116">
        <v>2127.9499999999998</v>
      </c>
      <c r="G1688">
        <v>5850</v>
      </c>
      <c r="H1688" s="116"/>
      <c r="I1688" s="116"/>
      <c r="L1688" s="170">
        <v>45953</v>
      </c>
      <c r="M1688" s="116">
        <v>2133.8000000000002</v>
      </c>
      <c r="N1688" s="116">
        <v>2192</v>
      </c>
      <c r="O1688" s="116">
        <v>2129.1999999999998</v>
      </c>
      <c r="P1688" s="116">
        <v>2185</v>
      </c>
      <c r="Q1688" s="116">
        <v>2133.8000000000002</v>
      </c>
      <c r="R1688">
        <v>294259</v>
      </c>
    </row>
    <row r="1689" spans="1:18" x14ac:dyDescent="0.25">
      <c r="A1689" s="170">
        <v>45959</v>
      </c>
      <c r="B1689" s="116">
        <v>2159.5500000000002</v>
      </c>
      <c r="C1689" s="116">
        <v>2131.65</v>
      </c>
      <c r="D1689" s="116">
        <v>2116.9</v>
      </c>
      <c r="E1689" s="116">
        <v>2159.5500000000002</v>
      </c>
      <c r="F1689" s="116">
        <v>2131.65</v>
      </c>
      <c r="G1689">
        <v>2367</v>
      </c>
      <c r="H1689" s="116"/>
      <c r="I1689" s="116"/>
      <c r="L1689" s="170">
        <v>45954</v>
      </c>
      <c r="M1689" s="116">
        <v>2098.4</v>
      </c>
      <c r="N1689" s="116">
        <v>2145</v>
      </c>
      <c r="O1689" s="116">
        <v>2085</v>
      </c>
      <c r="P1689" s="116">
        <v>2144.4</v>
      </c>
      <c r="Q1689" s="116">
        <v>2098.4</v>
      </c>
      <c r="R1689">
        <v>360555</v>
      </c>
    </row>
    <row r="1690" spans="1:18" x14ac:dyDescent="0.25">
      <c r="A1690" s="170">
        <v>45960</v>
      </c>
      <c r="B1690" s="116">
        <v>2147</v>
      </c>
      <c r="C1690" s="116">
        <v>2098.85</v>
      </c>
      <c r="D1690" s="116">
        <v>2093.9</v>
      </c>
      <c r="E1690" s="116">
        <v>2147</v>
      </c>
      <c r="F1690" s="116">
        <v>2098.85</v>
      </c>
      <c r="G1690">
        <v>47669</v>
      </c>
      <c r="H1690" s="116"/>
      <c r="I1690" s="116"/>
      <c r="L1690" s="170">
        <v>45957</v>
      </c>
      <c r="M1690" s="116">
        <v>2093.1999999999998</v>
      </c>
      <c r="N1690" s="116">
        <v>2107.5</v>
      </c>
      <c r="O1690" s="116">
        <v>2085.5</v>
      </c>
      <c r="P1690" s="116">
        <v>2103.6999999999998</v>
      </c>
      <c r="Q1690" s="116">
        <v>2093.1999999999998</v>
      </c>
      <c r="R1690">
        <v>939617</v>
      </c>
    </row>
    <row r="1691" spans="1:18" x14ac:dyDescent="0.25">
      <c r="A1691" s="170">
        <v>45961</v>
      </c>
      <c r="B1691" s="116">
        <v>2109.1999999999998</v>
      </c>
      <c r="C1691" s="116">
        <v>2096.3000000000002</v>
      </c>
      <c r="D1691" s="116">
        <v>2090.3000000000002</v>
      </c>
      <c r="E1691" s="116">
        <v>2096.6999999999998</v>
      </c>
      <c r="F1691" s="116">
        <v>2096.3000000000002</v>
      </c>
      <c r="G1691">
        <v>2904</v>
      </c>
      <c r="H1691" s="116"/>
      <c r="I1691" s="116"/>
      <c r="L1691" s="170">
        <v>45958</v>
      </c>
      <c r="M1691" s="116">
        <v>2128</v>
      </c>
      <c r="N1691" s="116">
        <v>2133.4</v>
      </c>
      <c r="O1691" s="116">
        <v>2083.4</v>
      </c>
      <c r="P1691" s="116">
        <v>2094</v>
      </c>
      <c r="Q1691" s="116">
        <v>2128</v>
      </c>
      <c r="R1691">
        <v>307062</v>
      </c>
    </row>
    <row r="1692" spans="1:18" x14ac:dyDescent="0.25">
      <c r="A1692" s="170">
        <v>45964</v>
      </c>
      <c r="B1692" s="116">
        <v>2169.5500000000002</v>
      </c>
      <c r="C1692" s="116">
        <v>2082.1999999999998</v>
      </c>
      <c r="D1692" s="116">
        <v>2072.4</v>
      </c>
      <c r="E1692" s="116">
        <v>2169.5500000000002</v>
      </c>
      <c r="F1692" s="116">
        <v>2082.1999999999998</v>
      </c>
      <c r="G1692">
        <v>1715</v>
      </c>
      <c r="H1692" s="116"/>
      <c r="I1692" s="116"/>
      <c r="L1692" s="170">
        <v>45959</v>
      </c>
      <c r="M1692" s="116">
        <v>2130.8000000000002</v>
      </c>
      <c r="N1692" s="116">
        <v>2145</v>
      </c>
      <c r="O1692" s="116">
        <v>2117.1999999999998</v>
      </c>
      <c r="P1692" s="116">
        <v>2132</v>
      </c>
      <c r="Q1692" s="116">
        <v>2130.8000000000002</v>
      </c>
      <c r="R1692">
        <v>249031</v>
      </c>
    </row>
    <row r="1693" spans="1:18" x14ac:dyDescent="0.25">
      <c r="A1693" s="170">
        <v>45965</v>
      </c>
      <c r="B1693" s="116">
        <v>2149.35</v>
      </c>
      <c r="C1693" s="116">
        <v>2050.65</v>
      </c>
      <c r="D1693" s="116">
        <v>2040</v>
      </c>
      <c r="E1693" s="116">
        <v>2149.35</v>
      </c>
      <c r="F1693" s="116">
        <v>2050.65</v>
      </c>
      <c r="G1693">
        <v>4868</v>
      </c>
      <c r="H1693" s="116"/>
      <c r="I1693" s="116"/>
      <c r="L1693" s="170">
        <v>45960</v>
      </c>
      <c r="M1693" s="116">
        <v>2099.1</v>
      </c>
      <c r="N1693" s="116">
        <v>2145</v>
      </c>
      <c r="O1693" s="116">
        <v>2092.6</v>
      </c>
      <c r="P1693" s="116">
        <v>2145</v>
      </c>
      <c r="Q1693" s="116">
        <v>2099.1</v>
      </c>
      <c r="R1693">
        <v>213064</v>
      </c>
    </row>
    <row r="1694" spans="1:18" x14ac:dyDescent="0.25">
      <c r="A1694" s="170">
        <v>45967</v>
      </c>
      <c r="B1694" s="116">
        <v>2067.4499999999998</v>
      </c>
      <c r="C1694" s="116">
        <v>2044.6</v>
      </c>
      <c r="D1694" s="116">
        <v>2030.55</v>
      </c>
      <c r="E1694" s="116">
        <v>2030.55</v>
      </c>
      <c r="F1694" s="116">
        <v>2044.6</v>
      </c>
      <c r="G1694">
        <v>7804</v>
      </c>
      <c r="H1694" s="116"/>
      <c r="I1694" s="116"/>
      <c r="L1694" s="170">
        <v>45961</v>
      </c>
      <c r="M1694" s="116">
        <v>2096.8000000000002</v>
      </c>
      <c r="N1694" s="116">
        <v>2109.9</v>
      </c>
      <c r="O1694" s="116">
        <v>2087.4</v>
      </c>
      <c r="P1694" s="116">
        <v>2100.6</v>
      </c>
      <c r="Q1694" s="116">
        <v>2096.8000000000002</v>
      </c>
      <c r="R1694">
        <v>304566</v>
      </c>
    </row>
    <row r="1695" spans="1:18" x14ac:dyDescent="0.25">
      <c r="A1695" s="170">
        <v>45968</v>
      </c>
      <c r="B1695" s="116">
        <v>2050.6</v>
      </c>
      <c r="C1695" s="116">
        <v>2040.3</v>
      </c>
      <c r="D1695" s="116">
        <v>2027.5</v>
      </c>
      <c r="E1695" s="116">
        <v>2031</v>
      </c>
      <c r="F1695" s="116">
        <v>2040.3</v>
      </c>
      <c r="G1695">
        <v>1821</v>
      </c>
      <c r="H1695" s="116"/>
      <c r="I1695" s="116"/>
      <c r="L1695" s="170">
        <v>45964</v>
      </c>
      <c r="M1695" s="116">
        <v>2081.9</v>
      </c>
      <c r="N1695" s="116">
        <v>2099.6</v>
      </c>
      <c r="O1695" s="116">
        <v>2070.1999999999998</v>
      </c>
      <c r="P1695" s="116">
        <v>2080.8000000000002</v>
      </c>
      <c r="Q1695" s="116">
        <v>2081.9</v>
      </c>
      <c r="R1695">
        <v>211294</v>
      </c>
    </row>
    <row r="1696" spans="1:18" x14ac:dyDescent="0.25">
      <c r="A1696" s="170">
        <v>45971</v>
      </c>
      <c r="B1696" s="116">
        <v>2067.6</v>
      </c>
      <c r="C1696" s="116">
        <v>2056.1</v>
      </c>
      <c r="D1696" s="116">
        <v>2032.15</v>
      </c>
      <c r="E1696" s="116">
        <v>2032.15</v>
      </c>
      <c r="F1696" s="116">
        <v>2056.1</v>
      </c>
      <c r="G1696">
        <v>3007</v>
      </c>
      <c r="H1696" s="116"/>
      <c r="I1696" s="116"/>
      <c r="L1696" s="170">
        <v>45965</v>
      </c>
      <c r="M1696" s="116">
        <v>2049.6</v>
      </c>
      <c r="N1696" s="116">
        <v>2087.6</v>
      </c>
      <c r="O1696" s="116">
        <v>2039</v>
      </c>
      <c r="P1696" s="116">
        <v>2071.8000000000002</v>
      </c>
      <c r="Q1696" s="116">
        <v>2049.6</v>
      </c>
      <c r="R1696">
        <v>276716</v>
      </c>
    </row>
    <row r="1697" spans="1:18" x14ac:dyDescent="0.25">
      <c r="A1697" s="170">
        <v>45972</v>
      </c>
      <c r="B1697" s="116">
        <v>2058.9499999999998</v>
      </c>
      <c r="C1697" s="116">
        <v>2042.3</v>
      </c>
      <c r="D1697" s="116">
        <v>2029.8</v>
      </c>
      <c r="E1697" s="116">
        <v>2050.15</v>
      </c>
      <c r="F1697" s="116">
        <v>2042.3</v>
      </c>
      <c r="G1697">
        <v>2902</v>
      </c>
      <c r="H1697" s="116"/>
      <c r="I1697" s="116"/>
      <c r="L1697" s="170">
        <v>45967</v>
      </c>
      <c r="M1697" s="116">
        <v>2048.8000000000002</v>
      </c>
      <c r="N1697" s="116">
        <v>2067.9</v>
      </c>
      <c r="O1697" s="116">
        <v>2040.1</v>
      </c>
      <c r="P1697" s="116">
        <v>2041.9</v>
      </c>
      <c r="Q1697" s="116">
        <v>2048.8000000000002</v>
      </c>
      <c r="R1697">
        <v>196404</v>
      </c>
    </row>
    <row r="1698" spans="1:18" x14ac:dyDescent="0.25">
      <c r="A1698" s="170">
        <v>45973</v>
      </c>
      <c r="B1698" s="116">
        <v>2043</v>
      </c>
      <c r="C1698" s="116">
        <v>2039.25</v>
      </c>
      <c r="D1698" s="116">
        <v>2022.35</v>
      </c>
      <c r="E1698" s="116">
        <v>2030.05</v>
      </c>
      <c r="F1698" s="116">
        <v>2039.25</v>
      </c>
      <c r="G1698">
        <v>2535</v>
      </c>
      <c r="H1698" s="116"/>
      <c r="I1698" s="116"/>
      <c r="L1698" s="170">
        <v>45968</v>
      </c>
      <c r="M1698" s="116">
        <v>2037.5</v>
      </c>
      <c r="N1698" s="116">
        <v>2057.1999999999998</v>
      </c>
      <c r="O1698" s="116">
        <v>2029.1</v>
      </c>
      <c r="P1698" s="116">
        <v>2057.1999999999998</v>
      </c>
      <c r="Q1698" s="116">
        <v>2037.5</v>
      </c>
      <c r="R1698">
        <v>88271</v>
      </c>
    </row>
    <row r="1699" spans="1:18" x14ac:dyDescent="0.25">
      <c r="A1699" s="170">
        <v>45974</v>
      </c>
      <c r="B1699" s="116">
        <v>2069.75</v>
      </c>
      <c r="C1699" s="116">
        <v>2048.3000000000002</v>
      </c>
      <c r="D1699" s="116">
        <v>2035</v>
      </c>
      <c r="E1699" s="116">
        <v>2043.4</v>
      </c>
      <c r="F1699" s="116">
        <v>2048.3000000000002</v>
      </c>
      <c r="G1699">
        <v>5431</v>
      </c>
      <c r="H1699" s="116"/>
      <c r="I1699" s="116"/>
      <c r="L1699" s="170">
        <v>45971</v>
      </c>
      <c r="M1699" s="116">
        <v>2055.6999999999998</v>
      </c>
      <c r="N1699" s="116">
        <v>2066.8000000000002</v>
      </c>
      <c r="O1699" s="116">
        <v>2036.1</v>
      </c>
      <c r="P1699" s="116">
        <v>2036.1</v>
      </c>
      <c r="Q1699" s="116">
        <v>2055.6999999999998</v>
      </c>
      <c r="R1699">
        <v>102563</v>
      </c>
    </row>
    <row r="1700" spans="1:18" x14ac:dyDescent="0.25">
      <c r="A1700" s="170">
        <v>45975</v>
      </c>
      <c r="B1700" s="116">
        <v>2056.5</v>
      </c>
      <c r="C1700" s="116">
        <v>2032.05</v>
      </c>
      <c r="D1700" s="116">
        <v>2017.1</v>
      </c>
      <c r="E1700" s="116">
        <v>2048.3000000000002</v>
      </c>
      <c r="F1700" s="116">
        <v>2032.05</v>
      </c>
      <c r="G1700">
        <v>2842</v>
      </c>
      <c r="H1700" s="116"/>
      <c r="I1700" s="116"/>
      <c r="L1700" s="170">
        <v>45972</v>
      </c>
      <c r="M1700" s="116">
        <v>2044.8</v>
      </c>
      <c r="N1700" s="116">
        <v>2064.6</v>
      </c>
      <c r="O1700" s="116">
        <v>2031</v>
      </c>
      <c r="P1700" s="116">
        <v>2055.6</v>
      </c>
      <c r="Q1700" s="116">
        <v>2044.8</v>
      </c>
      <c r="R1700">
        <v>107488</v>
      </c>
    </row>
    <row r="1701" spans="1:18" x14ac:dyDescent="0.25">
      <c r="A1701" s="170">
        <v>45978</v>
      </c>
      <c r="B1701" s="116">
        <v>2042</v>
      </c>
      <c r="C1701" s="116">
        <v>2018.7</v>
      </c>
      <c r="D1701" s="116">
        <v>2010.7</v>
      </c>
      <c r="E1701" s="116">
        <v>2032.05</v>
      </c>
      <c r="F1701" s="116">
        <v>2018.7</v>
      </c>
      <c r="G1701">
        <v>1418</v>
      </c>
      <c r="H1701" s="116"/>
      <c r="I1701" s="116"/>
      <c r="L1701" s="170">
        <v>45973</v>
      </c>
      <c r="M1701" s="116">
        <v>2036.2</v>
      </c>
      <c r="N1701" s="116">
        <v>2049</v>
      </c>
      <c r="O1701" s="116">
        <v>2020.9</v>
      </c>
      <c r="P1701" s="116">
        <v>2049</v>
      </c>
      <c r="Q1701" s="116">
        <v>2036.2</v>
      </c>
      <c r="R1701">
        <v>105979</v>
      </c>
    </row>
    <row r="1702" spans="1:18" x14ac:dyDescent="0.25">
      <c r="A1702" s="170">
        <v>45979</v>
      </c>
      <c r="B1702" s="116">
        <v>2039.85</v>
      </c>
      <c r="C1702" s="116">
        <v>1990.5</v>
      </c>
      <c r="D1702" s="116">
        <v>1983.95</v>
      </c>
      <c r="E1702" s="116">
        <v>2039.85</v>
      </c>
      <c r="F1702" s="116">
        <v>1990.5</v>
      </c>
      <c r="G1702">
        <v>3340</v>
      </c>
      <c r="H1702" s="116"/>
      <c r="I1702" s="116"/>
      <c r="L1702" s="170">
        <v>45974</v>
      </c>
      <c r="M1702" s="116">
        <v>2047.8</v>
      </c>
      <c r="N1702" s="116">
        <v>2068.4</v>
      </c>
      <c r="O1702" s="116">
        <v>2032.3</v>
      </c>
      <c r="P1702" s="116">
        <v>2049</v>
      </c>
      <c r="Q1702" s="116">
        <v>2047.8</v>
      </c>
      <c r="R1702">
        <v>146668</v>
      </c>
    </row>
    <row r="1703" spans="1:18" x14ac:dyDescent="0.25">
      <c r="A1703" s="170">
        <v>45980</v>
      </c>
      <c r="B1703" s="116">
        <v>2035</v>
      </c>
      <c r="C1703" s="116">
        <v>2022.15</v>
      </c>
      <c r="D1703" s="116">
        <v>1970.15</v>
      </c>
      <c r="E1703" s="116">
        <v>1970.15</v>
      </c>
      <c r="F1703" s="116">
        <v>2022.15</v>
      </c>
      <c r="G1703">
        <v>1630</v>
      </c>
      <c r="H1703" s="116"/>
      <c r="I1703" s="116"/>
      <c r="L1703" s="170">
        <v>45975</v>
      </c>
      <c r="M1703" s="116">
        <v>2032.6</v>
      </c>
      <c r="N1703" s="116">
        <v>2055</v>
      </c>
      <c r="O1703" s="116">
        <v>2016.6</v>
      </c>
      <c r="P1703" s="116">
        <v>2045</v>
      </c>
      <c r="Q1703" s="116">
        <v>2032.6</v>
      </c>
      <c r="R1703">
        <v>86736</v>
      </c>
    </row>
    <row r="1704" spans="1:18" x14ac:dyDescent="0.25">
      <c r="A1704" s="170">
        <v>45981</v>
      </c>
      <c r="B1704" s="116">
        <v>2026.8</v>
      </c>
      <c r="C1704" s="116">
        <v>2012.65</v>
      </c>
      <c r="D1704" s="116">
        <v>2001.4</v>
      </c>
      <c r="E1704" s="116">
        <v>2026.8</v>
      </c>
      <c r="F1704" s="116">
        <v>2012.65</v>
      </c>
      <c r="G1704">
        <v>82064</v>
      </c>
      <c r="H1704" s="116"/>
      <c r="I1704" s="116"/>
      <c r="L1704" s="170">
        <v>45978</v>
      </c>
      <c r="M1704" s="116">
        <v>2014.6</v>
      </c>
      <c r="N1704" s="116">
        <v>2044.7</v>
      </c>
      <c r="O1704" s="116">
        <v>2010.4</v>
      </c>
      <c r="P1704" s="116">
        <v>2032.6</v>
      </c>
      <c r="Q1704" s="116">
        <v>2014.6</v>
      </c>
      <c r="R1704">
        <v>118127</v>
      </c>
    </row>
    <row r="1705" spans="1:18" x14ac:dyDescent="0.25">
      <c r="A1705" s="170">
        <v>45982</v>
      </c>
      <c r="B1705" s="116">
        <v>2017.7</v>
      </c>
      <c r="C1705" s="116">
        <v>2009.3</v>
      </c>
      <c r="D1705" s="116">
        <v>1993</v>
      </c>
      <c r="E1705" s="116">
        <v>2008</v>
      </c>
      <c r="F1705" s="116">
        <v>2009.3</v>
      </c>
      <c r="G1705">
        <v>51922</v>
      </c>
      <c r="H1705" s="116"/>
      <c r="I1705" s="116"/>
      <c r="L1705" s="170">
        <v>45979</v>
      </c>
      <c r="M1705" s="116">
        <v>1991</v>
      </c>
      <c r="N1705" s="116">
        <v>2029.6</v>
      </c>
      <c r="O1705" s="116">
        <v>1983.2</v>
      </c>
      <c r="P1705" s="116">
        <v>2029.6</v>
      </c>
      <c r="Q1705" s="116">
        <v>1991</v>
      </c>
      <c r="R1705">
        <v>222000</v>
      </c>
    </row>
    <row r="1706" spans="1:18" x14ac:dyDescent="0.25">
      <c r="A1706" s="170">
        <v>45985</v>
      </c>
      <c r="B1706" s="116">
        <v>2027.15</v>
      </c>
      <c r="C1706" s="116">
        <v>2020.8</v>
      </c>
      <c r="D1706" s="116">
        <v>1984.65</v>
      </c>
      <c r="E1706" s="116">
        <v>2008.8</v>
      </c>
      <c r="F1706" s="116">
        <v>2020.8</v>
      </c>
      <c r="G1706">
        <v>6235</v>
      </c>
      <c r="H1706" s="116"/>
      <c r="I1706" s="116"/>
      <c r="L1706" s="170">
        <v>45980</v>
      </c>
      <c r="M1706" s="116">
        <v>2021.3</v>
      </c>
      <c r="N1706" s="116">
        <v>2035.1</v>
      </c>
      <c r="O1706" s="116">
        <v>1982</v>
      </c>
      <c r="P1706" s="116">
        <v>1991</v>
      </c>
      <c r="Q1706" s="116">
        <v>2021.3</v>
      </c>
      <c r="R1706">
        <v>208367</v>
      </c>
    </row>
    <row r="1707" spans="1:18" x14ac:dyDescent="0.25">
      <c r="A1707" s="170">
        <v>45986</v>
      </c>
      <c r="B1707" s="116">
        <v>2030.4</v>
      </c>
      <c r="C1707" s="116">
        <v>2020.5</v>
      </c>
      <c r="D1707" s="116">
        <v>2012.9</v>
      </c>
      <c r="E1707" s="116">
        <v>2020.55</v>
      </c>
      <c r="F1707" s="116">
        <v>2020.5</v>
      </c>
      <c r="G1707">
        <v>92979</v>
      </c>
      <c r="H1707" s="116"/>
      <c r="I1707" s="116"/>
      <c r="L1707" s="170">
        <v>45981</v>
      </c>
      <c r="M1707" s="116">
        <v>2012.1</v>
      </c>
      <c r="N1707" s="116">
        <v>2022.1</v>
      </c>
      <c r="O1707" s="116">
        <v>2001.4</v>
      </c>
      <c r="P1707" s="116">
        <v>2020</v>
      </c>
      <c r="Q1707" s="116">
        <v>2012.1</v>
      </c>
      <c r="R1707">
        <v>133521</v>
      </c>
    </row>
    <row r="1708" spans="1:18" x14ac:dyDescent="0.25">
      <c r="A1708" s="170">
        <v>45987</v>
      </c>
      <c r="B1708" s="116">
        <v>2041.1</v>
      </c>
      <c r="C1708" s="116">
        <v>2026.3</v>
      </c>
      <c r="D1708" s="116">
        <v>2006.65</v>
      </c>
      <c r="E1708" s="116">
        <v>2012.4</v>
      </c>
      <c r="F1708" s="116">
        <v>2026.3</v>
      </c>
      <c r="G1708">
        <v>5298</v>
      </c>
      <c r="H1708" s="116"/>
      <c r="I1708" s="116"/>
      <c r="L1708" s="170">
        <v>45982</v>
      </c>
      <c r="M1708" s="116">
        <v>2009.2</v>
      </c>
      <c r="N1708" s="116">
        <v>2019.4</v>
      </c>
      <c r="O1708" s="116">
        <v>1991.4</v>
      </c>
      <c r="P1708" s="116">
        <v>2012.1</v>
      </c>
      <c r="Q1708" s="116">
        <v>2009.2</v>
      </c>
      <c r="R1708">
        <v>144157</v>
      </c>
    </row>
    <row r="1709" spans="1:18" x14ac:dyDescent="0.25">
      <c r="A1709" s="170">
        <v>45988</v>
      </c>
      <c r="B1709" s="116">
        <v>2024.75</v>
      </c>
      <c r="C1709" s="116">
        <v>2018.15</v>
      </c>
      <c r="D1709" s="116">
        <v>1999</v>
      </c>
      <c r="E1709" s="116">
        <v>2024.75</v>
      </c>
      <c r="F1709" s="116">
        <v>2018.15</v>
      </c>
      <c r="G1709">
        <v>1908</v>
      </c>
      <c r="H1709" s="116"/>
      <c r="I1709" s="116"/>
      <c r="L1709" s="170">
        <v>45985</v>
      </c>
      <c r="M1709" s="116">
        <v>2022.8</v>
      </c>
      <c r="N1709" s="116">
        <v>2028</v>
      </c>
      <c r="O1709" s="116">
        <v>1986</v>
      </c>
      <c r="P1709" s="116">
        <v>2001.1</v>
      </c>
      <c r="Q1709" s="116">
        <v>2022.8</v>
      </c>
      <c r="R1709">
        <v>309688</v>
      </c>
    </row>
    <row r="1710" spans="1:18" x14ac:dyDescent="0.25">
      <c r="A1710" s="170">
        <v>45989</v>
      </c>
      <c r="B1710" s="116">
        <v>2022.5</v>
      </c>
      <c r="C1710" s="116">
        <v>2009.25</v>
      </c>
      <c r="D1710" s="116">
        <v>2000.35</v>
      </c>
      <c r="E1710" s="116">
        <v>2008.9</v>
      </c>
      <c r="F1710" s="116">
        <v>2009.25</v>
      </c>
      <c r="G1710">
        <v>49292</v>
      </c>
      <c r="H1710" s="116"/>
      <c r="I1710" s="116"/>
      <c r="L1710" s="170">
        <v>45986</v>
      </c>
      <c r="M1710" s="116">
        <v>2019.9</v>
      </c>
      <c r="N1710" s="116">
        <v>2040</v>
      </c>
      <c r="O1710" s="116">
        <v>2010</v>
      </c>
      <c r="P1710" s="116">
        <v>2013</v>
      </c>
      <c r="Q1710" s="116">
        <v>2019.9</v>
      </c>
      <c r="R1710">
        <v>435358</v>
      </c>
    </row>
    <row r="1711" spans="1:18" x14ac:dyDescent="0.25">
      <c r="A1711" s="170">
        <v>45992</v>
      </c>
      <c r="B1711" s="116">
        <v>2019.9</v>
      </c>
      <c r="C1711" s="116">
        <v>2009.55</v>
      </c>
      <c r="D1711" s="116">
        <v>1997.5</v>
      </c>
      <c r="E1711" s="116">
        <v>2015</v>
      </c>
      <c r="F1711" s="116">
        <v>2009.55</v>
      </c>
      <c r="G1711">
        <v>2124</v>
      </c>
      <c r="H1711" s="116"/>
      <c r="I1711" s="116"/>
      <c r="L1711" s="170">
        <v>45987</v>
      </c>
      <c r="M1711" s="116">
        <v>2026.6</v>
      </c>
      <c r="N1711" s="116">
        <v>2057</v>
      </c>
      <c r="O1711" s="116">
        <v>2002.3</v>
      </c>
      <c r="P1711" s="116">
        <v>2002.3</v>
      </c>
      <c r="Q1711" s="116">
        <v>2026.6</v>
      </c>
      <c r="R1711">
        <v>140880</v>
      </c>
    </row>
    <row r="1712" spans="1:18" x14ac:dyDescent="0.25">
      <c r="A1712" s="170">
        <v>45993</v>
      </c>
      <c r="B1712" s="116">
        <v>2029.75</v>
      </c>
      <c r="C1712" s="116">
        <v>1988.5</v>
      </c>
      <c r="D1712" s="116">
        <v>1980</v>
      </c>
      <c r="E1712" s="116">
        <v>2029.75</v>
      </c>
      <c r="F1712" s="116">
        <v>1988.5</v>
      </c>
      <c r="G1712">
        <v>1394</v>
      </c>
      <c r="H1712" s="116"/>
      <c r="I1712" s="116"/>
      <c r="L1712" s="170">
        <v>45988</v>
      </c>
      <c r="M1712" s="116">
        <v>2019.2</v>
      </c>
      <c r="N1712" s="116">
        <v>2030.2</v>
      </c>
      <c r="O1712" s="116">
        <v>1997</v>
      </c>
      <c r="P1712" s="116">
        <v>2030</v>
      </c>
      <c r="Q1712" s="116">
        <v>2019.2</v>
      </c>
      <c r="R1712">
        <v>276084</v>
      </c>
    </row>
    <row r="1713" spans="1:18" x14ac:dyDescent="0.25">
      <c r="A1713" s="170">
        <v>45994</v>
      </c>
      <c r="B1713" s="116">
        <v>1997.3</v>
      </c>
      <c r="C1713" s="116">
        <v>1981.25</v>
      </c>
      <c r="D1713" s="116">
        <v>1965</v>
      </c>
      <c r="E1713" s="116">
        <v>1988.5</v>
      </c>
      <c r="F1713" s="116">
        <v>1981.25</v>
      </c>
      <c r="G1713">
        <v>3746</v>
      </c>
      <c r="H1713" s="116"/>
      <c r="I1713" s="116"/>
      <c r="L1713" s="170">
        <v>45989</v>
      </c>
      <c r="M1713" s="116">
        <v>2009.4</v>
      </c>
      <c r="N1713" s="116">
        <v>2025.3</v>
      </c>
      <c r="O1713" s="116">
        <v>2000.6</v>
      </c>
      <c r="P1713" s="116">
        <v>2011</v>
      </c>
      <c r="Q1713" s="116">
        <v>2009.4</v>
      </c>
      <c r="R1713">
        <v>182273</v>
      </c>
    </row>
    <row r="1714" spans="1:18" x14ac:dyDescent="0.25">
      <c r="A1714" s="170">
        <v>45995</v>
      </c>
      <c r="B1714" s="116">
        <v>2000</v>
      </c>
      <c r="C1714" s="116">
        <v>1989.75</v>
      </c>
      <c r="D1714" s="116">
        <v>1970.15</v>
      </c>
      <c r="E1714" s="116">
        <v>1970.15</v>
      </c>
      <c r="F1714" s="116">
        <v>1989.75</v>
      </c>
      <c r="G1714">
        <v>1271</v>
      </c>
      <c r="H1714" s="116"/>
      <c r="I1714" s="116"/>
      <c r="L1714" s="170">
        <v>45992</v>
      </c>
      <c r="M1714" s="116">
        <v>2009.4</v>
      </c>
      <c r="N1714" s="116">
        <v>2021.7</v>
      </c>
      <c r="O1714" s="116">
        <v>1998.2</v>
      </c>
      <c r="P1714" s="116">
        <v>2010.7</v>
      </c>
      <c r="Q1714" s="116">
        <v>2009.4</v>
      </c>
      <c r="R1714">
        <v>122187</v>
      </c>
    </row>
    <row r="1715" spans="1:18" x14ac:dyDescent="0.25">
      <c r="A1715" s="170">
        <v>45996</v>
      </c>
      <c r="B1715" s="116">
        <v>2001.8</v>
      </c>
      <c r="C1715" s="116">
        <v>1988.9</v>
      </c>
      <c r="D1715" s="116">
        <v>1977.5</v>
      </c>
      <c r="E1715" s="116">
        <v>1989.9</v>
      </c>
      <c r="F1715" s="116">
        <v>1988.9</v>
      </c>
      <c r="G1715">
        <v>875</v>
      </c>
      <c r="H1715" s="116"/>
      <c r="I1715" s="116"/>
      <c r="L1715" s="170">
        <v>45993</v>
      </c>
      <c r="M1715" s="116">
        <v>1986.8</v>
      </c>
      <c r="N1715" s="116">
        <v>2016.5</v>
      </c>
      <c r="O1715" s="116">
        <v>1979.1</v>
      </c>
      <c r="P1715" s="116">
        <v>2015</v>
      </c>
      <c r="Q1715" s="116">
        <v>1986.8</v>
      </c>
      <c r="R1715">
        <v>137485</v>
      </c>
    </row>
    <row r="1716" spans="1:18" x14ac:dyDescent="0.25">
      <c r="A1716" s="170">
        <v>45999</v>
      </c>
      <c r="B1716" s="116">
        <v>2012.7</v>
      </c>
      <c r="C1716" s="116">
        <v>1994.55</v>
      </c>
      <c r="D1716" s="116">
        <v>1977.8</v>
      </c>
      <c r="E1716" s="116">
        <v>1988.1</v>
      </c>
      <c r="F1716" s="116">
        <v>1994.55</v>
      </c>
      <c r="G1716">
        <v>4486</v>
      </c>
      <c r="H1716" s="116"/>
      <c r="I1716" s="116"/>
      <c r="L1716" s="170">
        <v>45994</v>
      </c>
      <c r="M1716" s="116">
        <v>1983.5</v>
      </c>
      <c r="N1716" s="116">
        <v>1999</v>
      </c>
      <c r="O1716" s="116">
        <v>1963.7</v>
      </c>
      <c r="P1716" s="116">
        <v>1990</v>
      </c>
      <c r="Q1716" s="116">
        <v>1983.5</v>
      </c>
      <c r="R1716">
        <v>144072</v>
      </c>
    </row>
    <row r="1717" spans="1:18" x14ac:dyDescent="0.25">
      <c r="A1717" s="170">
        <v>46000</v>
      </c>
      <c r="B1717" s="116">
        <v>1981.6</v>
      </c>
      <c r="C1717" s="116">
        <v>1966.05</v>
      </c>
      <c r="D1717" s="116">
        <v>1951</v>
      </c>
      <c r="E1717" s="116">
        <v>1975.05</v>
      </c>
      <c r="F1717" s="116">
        <v>1966.05</v>
      </c>
      <c r="G1717">
        <v>3301</v>
      </c>
      <c r="H1717" s="116"/>
      <c r="I1717" s="116"/>
      <c r="L1717" s="170">
        <v>45995</v>
      </c>
      <c r="M1717" s="116">
        <v>1990.3</v>
      </c>
      <c r="N1717" s="116">
        <v>2002.5</v>
      </c>
      <c r="O1717" s="116">
        <v>1971.8</v>
      </c>
      <c r="P1717" s="116">
        <v>1983.5</v>
      </c>
      <c r="Q1717" s="116">
        <v>1990.3</v>
      </c>
      <c r="R1717">
        <v>131741</v>
      </c>
    </row>
    <row r="1718" spans="1:18" x14ac:dyDescent="0.25">
      <c r="A1718" s="170">
        <v>46001</v>
      </c>
      <c r="B1718" s="116">
        <v>1998.75</v>
      </c>
      <c r="C1718" s="116">
        <v>1941.85</v>
      </c>
      <c r="D1718" s="116">
        <v>1933.4</v>
      </c>
      <c r="E1718" s="116">
        <v>1998.75</v>
      </c>
      <c r="F1718" s="116">
        <v>1941.85</v>
      </c>
      <c r="G1718">
        <v>1070</v>
      </c>
      <c r="H1718" s="116"/>
      <c r="I1718" s="116"/>
      <c r="L1718" s="170">
        <v>45996</v>
      </c>
      <c r="M1718" s="116">
        <v>1989</v>
      </c>
      <c r="N1718" s="116">
        <v>2002.4</v>
      </c>
      <c r="O1718" s="116">
        <v>1975.2</v>
      </c>
      <c r="P1718" s="116">
        <v>1981</v>
      </c>
      <c r="Q1718" s="116">
        <v>1989</v>
      </c>
      <c r="R1718">
        <v>124708</v>
      </c>
    </row>
    <row r="1719" spans="1:18" x14ac:dyDescent="0.25">
      <c r="A1719" s="170">
        <v>46002</v>
      </c>
      <c r="B1719" s="116">
        <v>1989.6</v>
      </c>
      <c r="C1719" s="116">
        <v>1985.65</v>
      </c>
      <c r="D1719" s="116">
        <v>1939.25</v>
      </c>
      <c r="E1719" s="116">
        <v>1943</v>
      </c>
      <c r="F1719" s="116">
        <v>1985.65</v>
      </c>
      <c r="G1719">
        <v>2045</v>
      </c>
      <c r="H1719" s="116"/>
      <c r="I1719" s="116"/>
      <c r="L1719" s="170">
        <v>45999</v>
      </c>
      <c r="M1719" s="116">
        <v>1993.8</v>
      </c>
      <c r="N1719" s="116">
        <v>2014</v>
      </c>
      <c r="O1719" s="116">
        <v>1980</v>
      </c>
      <c r="P1719" s="116">
        <v>1980</v>
      </c>
      <c r="Q1719" s="116">
        <v>1993.8</v>
      </c>
      <c r="R1719">
        <v>553059</v>
      </c>
    </row>
    <row r="1720" spans="1:18" x14ac:dyDescent="0.25">
      <c r="A1720" s="170">
        <v>46003</v>
      </c>
      <c r="B1720" s="116">
        <v>2076.85</v>
      </c>
      <c r="C1720" s="116">
        <v>2072.5</v>
      </c>
      <c r="D1720" s="116">
        <v>2006.9</v>
      </c>
      <c r="E1720" s="116">
        <v>2006.9</v>
      </c>
      <c r="F1720" s="116">
        <v>2072.5</v>
      </c>
      <c r="G1720">
        <v>7264</v>
      </c>
      <c r="H1720" s="116"/>
      <c r="I1720" s="116"/>
      <c r="L1720" s="170">
        <v>46000</v>
      </c>
      <c r="M1720" s="116">
        <v>1968</v>
      </c>
      <c r="N1720" s="116">
        <v>1993.5</v>
      </c>
      <c r="O1720" s="116">
        <v>1951.5</v>
      </c>
      <c r="P1720" s="116">
        <v>1983.9</v>
      </c>
      <c r="Q1720" s="116">
        <v>1968</v>
      </c>
      <c r="R1720">
        <v>165524</v>
      </c>
    </row>
    <row r="1721" spans="1:18" x14ac:dyDescent="0.25">
      <c r="A1721" s="170">
        <v>46006</v>
      </c>
      <c r="B1721" s="116">
        <v>2107.6999999999998</v>
      </c>
      <c r="C1721" s="116">
        <v>2103.8000000000002</v>
      </c>
      <c r="D1721" s="116">
        <v>2063</v>
      </c>
      <c r="E1721" s="116">
        <v>2072.35</v>
      </c>
      <c r="F1721" s="116">
        <v>2103.8000000000002</v>
      </c>
      <c r="G1721">
        <v>6819</v>
      </c>
      <c r="H1721" s="116"/>
      <c r="I1721" s="116"/>
      <c r="L1721" s="170">
        <v>46001</v>
      </c>
      <c r="M1721" s="116">
        <v>1944.6</v>
      </c>
      <c r="N1721" s="116">
        <v>1977.2</v>
      </c>
      <c r="O1721" s="116">
        <v>1933</v>
      </c>
      <c r="P1721" s="116">
        <v>1965</v>
      </c>
      <c r="Q1721" s="116">
        <v>1944.6</v>
      </c>
      <c r="R1721">
        <v>109848</v>
      </c>
    </row>
    <row r="1722" spans="1:18" x14ac:dyDescent="0.25">
      <c r="A1722" s="170">
        <v>46007</v>
      </c>
      <c r="B1722" s="116">
        <v>2091.9</v>
      </c>
      <c r="C1722" s="116">
        <v>2065.15</v>
      </c>
      <c r="D1722" s="116">
        <v>2056.35</v>
      </c>
      <c r="E1722" s="116">
        <v>2075.0500000000002</v>
      </c>
      <c r="F1722" s="116">
        <v>2065.15</v>
      </c>
      <c r="G1722">
        <v>3730</v>
      </c>
      <c r="H1722" s="116"/>
      <c r="I1722" s="116"/>
      <c r="L1722" s="170">
        <v>46002</v>
      </c>
      <c r="M1722" s="116">
        <v>1987.1</v>
      </c>
      <c r="N1722" s="116">
        <v>1989.9</v>
      </c>
      <c r="O1722" s="116">
        <v>1936.9</v>
      </c>
      <c r="P1722" s="116">
        <v>1940</v>
      </c>
      <c r="Q1722" s="116">
        <v>1987.1</v>
      </c>
      <c r="R1722">
        <v>103360</v>
      </c>
    </row>
    <row r="1723" spans="1:18" x14ac:dyDescent="0.25">
      <c r="A1723" s="170">
        <v>46008</v>
      </c>
      <c r="B1723" s="116">
        <v>2077.4499999999998</v>
      </c>
      <c r="C1723" s="116">
        <v>2071.25</v>
      </c>
      <c r="D1723" s="116">
        <v>2046</v>
      </c>
      <c r="E1723" s="116">
        <v>2065</v>
      </c>
      <c r="F1723" s="116">
        <v>2071.25</v>
      </c>
      <c r="G1723">
        <v>1928</v>
      </c>
      <c r="H1723" s="116"/>
      <c r="I1723" s="116"/>
      <c r="L1723" s="170">
        <v>46003</v>
      </c>
      <c r="M1723" s="116">
        <v>2072.1999999999998</v>
      </c>
      <c r="N1723" s="116">
        <v>2077.6</v>
      </c>
      <c r="O1723" s="116">
        <v>1991</v>
      </c>
      <c r="P1723" s="116">
        <v>1991</v>
      </c>
      <c r="Q1723" s="116">
        <v>2072.1999999999998</v>
      </c>
      <c r="R1723">
        <v>550121</v>
      </c>
    </row>
    <row r="1724" spans="1:18" x14ac:dyDescent="0.25">
      <c r="A1724" s="170">
        <v>46009</v>
      </c>
      <c r="B1724" s="116">
        <v>2070.75</v>
      </c>
      <c r="C1724" s="116">
        <v>2023.5</v>
      </c>
      <c r="D1724" s="116">
        <v>2019.05</v>
      </c>
      <c r="E1724" s="116">
        <v>2070.75</v>
      </c>
      <c r="F1724" s="116">
        <v>2023.5</v>
      </c>
      <c r="G1724">
        <v>772</v>
      </c>
      <c r="H1724" s="116"/>
      <c r="I1724" s="116"/>
      <c r="L1724" s="170">
        <v>46006</v>
      </c>
      <c r="M1724" s="116">
        <v>2103.6</v>
      </c>
      <c r="N1724" s="116">
        <v>2107.6999999999998</v>
      </c>
      <c r="O1724" s="116">
        <v>2060</v>
      </c>
      <c r="P1724" s="116">
        <v>2060</v>
      </c>
      <c r="Q1724" s="116">
        <v>2103.6</v>
      </c>
      <c r="R1724">
        <v>207963</v>
      </c>
    </row>
    <row r="1725" spans="1:18" x14ac:dyDescent="0.25">
      <c r="A1725" s="170">
        <v>46010</v>
      </c>
      <c r="B1725" s="116">
        <v>2031.45</v>
      </c>
      <c r="C1725" s="116">
        <v>2013.5</v>
      </c>
      <c r="D1725" s="116">
        <v>2008.8</v>
      </c>
      <c r="E1725" s="116">
        <v>2024.5</v>
      </c>
      <c r="F1725" s="116">
        <v>2013.5</v>
      </c>
      <c r="G1725">
        <v>765</v>
      </c>
      <c r="H1725" s="116"/>
      <c r="I1725" s="116"/>
      <c r="L1725" s="170">
        <v>46007</v>
      </c>
      <c r="M1725" s="116">
        <v>2066.5</v>
      </c>
      <c r="N1725" s="116">
        <v>2094.6999999999998</v>
      </c>
      <c r="O1725" s="116">
        <v>2054.1</v>
      </c>
      <c r="P1725" s="116">
        <v>2090</v>
      </c>
      <c r="Q1725" s="116">
        <v>2066.5</v>
      </c>
      <c r="R1725">
        <v>262389</v>
      </c>
    </row>
    <row r="1726" spans="1:18" x14ac:dyDescent="0.25">
      <c r="A1726" s="170">
        <v>46013</v>
      </c>
      <c r="B1726" s="116">
        <v>2026</v>
      </c>
      <c r="C1726" s="116">
        <v>2014.35</v>
      </c>
      <c r="D1726" s="116">
        <v>2005</v>
      </c>
      <c r="E1726" s="116">
        <v>2015.85</v>
      </c>
      <c r="F1726" s="116">
        <v>2014.35</v>
      </c>
      <c r="G1726">
        <v>1948</v>
      </c>
      <c r="H1726" s="116"/>
      <c r="I1726" s="116"/>
      <c r="L1726" s="170">
        <v>46008</v>
      </c>
      <c r="M1726" s="116">
        <v>2073.9</v>
      </c>
      <c r="N1726" s="116">
        <v>2079.4</v>
      </c>
      <c r="O1726" s="116">
        <v>2044.4</v>
      </c>
      <c r="P1726" s="116">
        <v>2066.5</v>
      </c>
      <c r="Q1726" s="116">
        <v>2073.9</v>
      </c>
      <c r="R1726">
        <v>142267</v>
      </c>
    </row>
    <row r="1727" spans="1:18" x14ac:dyDescent="0.25">
      <c r="A1727" s="170">
        <v>46014</v>
      </c>
      <c r="B1727" s="116">
        <v>2062.85</v>
      </c>
      <c r="C1727" s="116">
        <v>2059.0500000000002</v>
      </c>
      <c r="D1727" s="116">
        <v>2020</v>
      </c>
      <c r="E1727" s="116">
        <v>2026</v>
      </c>
      <c r="F1727" s="116">
        <v>2059.0500000000002</v>
      </c>
      <c r="G1727">
        <v>5448</v>
      </c>
      <c r="H1727" s="116"/>
      <c r="I1727" s="116"/>
      <c r="L1727" s="170">
        <v>46009</v>
      </c>
      <c r="M1727" s="116">
        <v>2024.4</v>
      </c>
      <c r="N1727" s="116">
        <v>2077.6</v>
      </c>
      <c r="O1727" s="116">
        <v>2018</v>
      </c>
      <c r="P1727" s="116">
        <v>2065.6</v>
      </c>
      <c r="Q1727" s="116">
        <v>2024.4</v>
      </c>
      <c r="R1727">
        <v>143460</v>
      </c>
    </row>
    <row r="1728" spans="1:18" x14ac:dyDescent="0.25">
      <c r="A1728" s="170">
        <v>46015</v>
      </c>
      <c r="B1728" s="116">
        <v>2121.4499999999998</v>
      </c>
      <c r="C1728" s="116">
        <v>2108.9499999999998</v>
      </c>
      <c r="D1728" s="116">
        <v>2054.0500000000002</v>
      </c>
      <c r="E1728" s="116">
        <v>2059.3000000000002</v>
      </c>
      <c r="F1728" s="116">
        <v>2108.9499999999998</v>
      </c>
      <c r="G1728">
        <v>36027</v>
      </c>
      <c r="H1728" s="116"/>
      <c r="I1728" s="116"/>
      <c r="L1728" s="170">
        <v>46010</v>
      </c>
      <c r="M1728" s="116">
        <v>2015.3</v>
      </c>
      <c r="N1728" s="116">
        <v>2031.4</v>
      </c>
      <c r="O1728" s="116">
        <v>2006.3</v>
      </c>
      <c r="P1728" s="116">
        <v>2027</v>
      </c>
      <c r="Q1728" s="116">
        <v>2015.3</v>
      </c>
      <c r="R1728">
        <v>228328</v>
      </c>
    </row>
    <row r="1729" spans="1:18" x14ac:dyDescent="0.25">
      <c r="A1729" s="170">
        <v>46017</v>
      </c>
      <c r="B1729" s="116">
        <v>2168.4499999999998</v>
      </c>
      <c r="C1729" s="116">
        <v>2161.15</v>
      </c>
      <c r="D1729" s="116">
        <v>2110</v>
      </c>
      <c r="E1729" s="116">
        <v>2110.0500000000002</v>
      </c>
      <c r="F1729" s="116">
        <v>2161.15</v>
      </c>
      <c r="G1729">
        <v>7824</v>
      </c>
      <c r="H1729" s="116"/>
      <c r="I1729" s="116"/>
      <c r="L1729" s="170">
        <v>46013</v>
      </c>
      <c r="M1729" s="116">
        <v>2014.2</v>
      </c>
      <c r="N1729" s="116">
        <v>2027.8</v>
      </c>
      <c r="O1729" s="116">
        <v>2005</v>
      </c>
      <c r="P1729" s="116">
        <v>2015</v>
      </c>
      <c r="Q1729" s="116">
        <v>2014.2</v>
      </c>
      <c r="R1729">
        <v>123675</v>
      </c>
    </row>
    <row r="1730" spans="1:18" x14ac:dyDescent="0.25">
      <c r="A1730" s="170">
        <v>46020</v>
      </c>
      <c r="B1730" s="116">
        <v>2196.5</v>
      </c>
      <c r="C1730" s="116">
        <v>2157.5500000000002</v>
      </c>
      <c r="D1730" s="116">
        <v>2153.0500000000002</v>
      </c>
      <c r="E1730" s="116">
        <v>2179.9499999999998</v>
      </c>
      <c r="F1730" s="116">
        <v>2157.5500000000002</v>
      </c>
      <c r="G1730">
        <v>19467</v>
      </c>
      <c r="H1730" s="116"/>
      <c r="I1730" s="116"/>
      <c r="L1730" s="170">
        <v>46014</v>
      </c>
      <c r="M1730" s="116">
        <v>2059.4</v>
      </c>
      <c r="N1730" s="116">
        <v>2065.4</v>
      </c>
      <c r="O1730" s="116">
        <v>2019</v>
      </c>
      <c r="P1730" s="116">
        <v>2029.8</v>
      </c>
      <c r="Q1730" s="116">
        <v>2059.4</v>
      </c>
      <c r="R1730">
        <v>327404</v>
      </c>
    </row>
    <row r="1731" spans="1:18" x14ac:dyDescent="0.25">
      <c r="A1731" s="170">
        <v>46021</v>
      </c>
      <c r="B1731" s="116">
        <v>2160</v>
      </c>
      <c r="C1731" s="116">
        <v>2132.5</v>
      </c>
      <c r="D1731" s="116">
        <v>2118.9</v>
      </c>
      <c r="E1731" s="116">
        <v>2153.8000000000002</v>
      </c>
      <c r="F1731" s="116">
        <v>2132.5</v>
      </c>
      <c r="G1731">
        <v>3961</v>
      </c>
      <c r="H1731" s="116"/>
      <c r="I1731" s="116"/>
      <c r="L1731" s="170">
        <v>46015</v>
      </c>
      <c r="M1731" s="116">
        <v>2109.4</v>
      </c>
      <c r="N1731" s="116">
        <v>2120</v>
      </c>
      <c r="O1731" s="116">
        <v>2049.9</v>
      </c>
      <c r="P1731" s="116">
        <v>2073.8000000000002</v>
      </c>
      <c r="Q1731" s="116">
        <v>2109.4</v>
      </c>
      <c r="R1731">
        <v>252729</v>
      </c>
    </row>
    <row r="1732" spans="1:18" x14ac:dyDescent="0.25">
      <c r="A1732" s="170">
        <v>46022</v>
      </c>
      <c r="B1732" s="116">
        <v>2147.6</v>
      </c>
      <c r="C1732" s="116">
        <v>2132.75</v>
      </c>
      <c r="D1732" s="116">
        <v>2122.3000000000002</v>
      </c>
      <c r="E1732" s="116">
        <v>2132.5</v>
      </c>
      <c r="F1732" s="116">
        <v>2132.75</v>
      </c>
      <c r="G1732">
        <v>10314</v>
      </c>
      <c r="H1732" s="116"/>
      <c r="I1732" s="116"/>
      <c r="L1732" s="170">
        <v>46017</v>
      </c>
      <c r="M1732" s="116">
        <v>2160.6</v>
      </c>
      <c r="N1732" s="116">
        <v>2169</v>
      </c>
      <c r="O1732" s="116">
        <v>2110</v>
      </c>
      <c r="P1732" s="116">
        <v>2114.1999999999998</v>
      </c>
      <c r="Q1732" s="116">
        <v>2160.6</v>
      </c>
      <c r="R1732">
        <v>726199</v>
      </c>
    </row>
    <row r="1733" spans="1:18" x14ac:dyDescent="0.25">
      <c r="A1733" s="170">
        <v>46023</v>
      </c>
      <c r="B1733" s="116">
        <v>2155.1999999999998</v>
      </c>
      <c r="C1733" s="116">
        <v>2136.15</v>
      </c>
      <c r="D1733" s="116">
        <v>2111</v>
      </c>
      <c r="E1733" s="116">
        <v>2149</v>
      </c>
      <c r="F1733" s="116">
        <v>2136.15</v>
      </c>
      <c r="G1733">
        <v>2706</v>
      </c>
      <c r="H1733" s="116"/>
      <c r="I1733" s="116"/>
      <c r="L1733" s="170">
        <v>46020</v>
      </c>
      <c r="M1733" s="116">
        <v>2159.4</v>
      </c>
      <c r="N1733" s="116">
        <v>2197</v>
      </c>
      <c r="O1733" s="116">
        <v>2153.8000000000002</v>
      </c>
      <c r="P1733" s="116">
        <v>2174</v>
      </c>
      <c r="Q1733" s="116">
        <v>2159.4</v>
      </c>
      <c r="R1733">
        <v>490564</v>
      </c>
    </row>
    <row r="1734" spans="1:18" x14ac:dyDescent="0.25">
      <c r="A1734" s="170">
        <v>46024</v>
      </c>
      <c r="B1734" s="116">
        <v>2156</v>
      </c>
      <c r="C1734" s="116">
        <v>2146</v>
      </c>
      <c r="D1734" s="116">
        <v>2118.6</v>
      </c>
      <c r="E1734" s="116">
        <v>2125.8000000000002</v>
      </c>
      <c r="F1734" s="116">
        <v>2146</v>
      </c>
      <c r="G1734">
        <v>6056</v>
      </c>
      <c r="H1734" s="116"/>
      <c r="I1734" s="116"/>
      <c r="L1734" s="170">
        <v>46021</v>
      </c>
      <c r="M1734" s="116">
        <v>2127.6999999999998</v>
      </c>
      <c r="N1734" s="116">
        <v>2165</v>
      </c>
      <c r="O1734" s="116">
        <v>2118.1</v>
      </c>
      <c r="P1734" s="116">
        <v>2163</v>
      </c>
      <c r="Q1734" s="116">
        <v>2127.6999999999998</v>
      </c>
      <c r="R1734">
        <v>573406</v>
      </c>
    </row>
    <row r="1735" spans="1:18" x14ac:dyDescent="0.25">
      <c r="A1735" s="170">
        <v>46027</v>
      </c>
      <c r="B1735" s="116">
        <v>2175.8000000000002</v>
      </c>
      <c r="C1735" s="116">
        <v>2130.8000000000002</v>
      </c>
      <c r="D1735" s="116">
        <v>2120.1</v>
      </c>
      <c r="E1735" s="116">
        <v>2120.1</v>
      </c>
      <c r="F1735" s="116">
        <v>2130.8000000000002</v>
      </c>
      <c r="G1735">
        <v>2369</v>
      </c>
      <c r="H1735" s="116"/>
      <c r="I1735" s="116"/>
      <c r="L1735" s="170">
        <v>46022</v>
      </c>
      <c r="M1735" s="116">
        <v>2130.9</v>
      </c>
      <c r="N1735" s="116">
        <v>2147.8000000000002</v>
      </c>
      <c r="O1735" s="116">
        <v>2122.1999999999998</v>
      </c>
      <c r="P1735" s="116">
        <v>2127.6999999999998</v>
      </c>
      <c r="Q1735" s="116">
        <v>2130.9</v>
      </c>
      <c r="R1735">
        <v>170115</v>
      </c>
    </row>
    <row r="1736" spans="1:18" x14ac:dyDescent="0.25">
      <c r="A1736" s="170">
        <v>46028</v>
      </c>
      <c r="B1736" s="116">
        <v>2141.35</v>
      </c>
      <c r="C1736" s="116">
        <v>2114.85</v>
      </c>
      <c r="D1736" s="116">
        <v>2110.15</v>
      </c>
      <c r="E1736" s="116">
        <v>2130.9</v>
      </c>
      <c r="F1736" s="116">
        <v>2114.85</v>
      </c>
      <c r="G1736">
        <v>1661</v>
      </c>
      <c r="H1736" s="116"/>
      <c r="I1736" s="116"/>
      <c r="L1736" s="170">
        <v>46023</v>
      </c>
      <c r="M1736" s="116">
        <v>2136.1999999999998</v>
      </c>
      <c r="N1736" s="116">
        <v>2159.6999999999998</v>
      </c>
      <c r="O1736" s="116">
        <v>2109.8000000000002</v>
      </c>
      <c r="P1736" s="116">
        <v>2145.3000000000002</v>
      </c>
      <c r="Q1736" s="116">
        <v>2136.1999999999998</v>
      </c>
      <c r="R1736">
        <v>137763</v>
      </c>
    </row>
    <row r="1737" spans="1:18" x14ac:dyDescent="0.25">
      <c r="A1737" s="170">
        <v>46029</v>
      </c>
      <c r="B1737" s="116">
        <v>2147.6</v>
      </c>
      <c r="C1737" s="116">
        <v>2120.25</v>
      </c>
      <c r="D1737" s="116">
        <v>2116.1999999999998</v>
      </c>
      <c r="E1737" s="116">
        <v>2119.85</v>
      </c>
      <c r="F1737" s="116">
        <v>2120.25</v>
      </c>
      <c r="G1737">
        <v>3125</v>
      </c>
      <c r="H1737" s="116"/>
      <c r="I1737" s="116"/>
      <c r="L1737" s="170">
        <v>46024</v>
      </c>
      <c r="M1737" s="116">
        <v>2147.1</v>
      </c>
      <c r="N1737" s="116">
        <v>2157.9</v>
      </c>
      <c r="O1737" s="116">
        <v>2108.8000000000002</v>
      </c>
      <c r="P1737" s="116">
        <v>2108.8000000000002</v>
      </c>
      <c r="Q1737" s="116">
        <v>2147.1</v>
      </c>
      <c r="R1737">
        <v>209238</v>
      </c>
    </row>
    <row r="1738" spans="1:18" x14ac:dyDescent="0.25">
      <c r="A1738" s="170">
        <v>46030</v>
      </c>
      <c r="B1738" s="116">
        <v>2111.8000000000002</v>
      </c>
      <c r="C1738" s="116">
        <v>2066.15</v>
      </c>
      <c r="D1738" s="116">
        <v>2062.1</v>
      </c>
      <c r="E1738" s="116">
        <v>2110</v>
      </c>
      <c r="F1738" s="116">
        <v>2066.15</v>
      </c>
      <c r="G1738">
        <v>32546</v>
      </c>
      <c r="H1738" s="116"/>
      <c r="I1738" s="116"/>
      <c r="L1738" s="170">
        <v>46027</v>
      </c>
      <c r="M1738" s="116">
        <v>2133.9</v>
      </c>
      <c r="N1738" s="116">
        <v>2176</v>
      </c>
      <c r="O1738" s="116">
        <v>2127.1999999999998</v>
      </c>
      <c r="P1738" s="116">
        <v>2168</v>
      </c>
      <c r="Q1738" s="116">
        <v>2133.9</v>
      </c>
      <c r="R1738">
        <v>262102</v>
      </c>
    </row>
    <row r="1739" spans="1:18" x14ac:dyDescent="0.25">
      <c r="A1739" s="170">
        <v>46031</v>
      </c>
      <c r="B1739" s="116">
        <v>2083.0500000000002</v>
      </c>
      <c r="C1739" s="116">
        <v>2048.5</v>
      </c>
      <c r="D1739" s="116">
        <v>2042.4</v>
      </c>
      <c r="E1739" s="116">
        <v>2066.15</v>
      </c>
      <c r="F1739" s="116">
        <v>2048.5</v>
      </c>
      <c r="G1739">
        <v>32550</v>
      </c>
      <c r="H1739" s="116"/>
      <c r="I1739" s="116"/>
      <c r="L1739" s="170">
        <v>46028</v>
      </c>
      <c r="M1739" s="116">
        <v>2115.6</v>
      </c>
      <c r="N1739" s="116">
        <v>2143.1</v>
      </c>
      <c r="O1739" s="116">
        <v>2103.8000000000002</v>
      </c>
      <c r="P1739" s="116">
        <v>2133.9</v>
      </c>
      <c r="Q1739" s="116">
        <v>2115.6</v>
      </c>
      <c r="R1739">
        <v>168221</v>
      </c>
    </row>
    <row r="1740" spans="1:18" x14ac:dyDescent="0.25">
      <c r="A1740" s="170">
        <v>46034</v>
      </c>
      <c r="B1740" s="116">
        <v>2081.1999999999998</v>
      </c>
      <c r="C1740" s="116">
        <v>2073.75</v>
      </c>
      <c r="D1740" s="116">
        <v>2020.7</v>
      </c>
      <c r="E1740" s="116">
        <v>2024.2</v>
      </c>
      <c r="F1740" s="116">
        <v>2073.75</v>
      </c>
      <c r="G1740">
        <v>41815</v>
      </c>
      <c r="H1740" s="116"/>
      <c r="I1740" s="116"/>
      <c r="L1740" s="170">
        <v>46029</v>
      </c>
      <c r="M1740" s="116">
        <v>2121.1999999999998</v>
      </c>
      <c r="N1740" s="116">
        <v>2149.8000000000002</v>
      </c>
      <c r="O1740" s="116">
        <v>2115.9</v>
      </c>
      <c r="P1740" s="116">
        <v>2124.5</v>
      </c>
      <c r="Q1740" s="116">
        <v>2121.1999999999998</v>
      </c>
      <c r="R1740">
        <v>140010</v>
      </c>
    </row>
    <row r="1741" spans="1:18" x14ac:dyDescent="0.25">
      <c r="A1741" s="170">
        <v>46035</v>
      </c>
      <c r="B1741" s="116">
        <v>2112.3000000000002</v>
      </c>
      <c r="C1741" s="116">
        <v>2105.6</v>
      </c>
      <c r="D1741" s="116">
        <v>2073.8000000000002</v>
      </c>
      <c r="E1741" s="116">
        <v>2073.8000000000002</v>
      </c>
      <c r="F1741" s="116">
        <v>2105.6</v>
      </c>
      <c r="G1741">
        <v>4003</v>
      </c>
      <c r="H1741" s="116"/>
      <c r="I1741" s="116"/>
      <c r="L1741" s="170">
        <v>46030</v>
      </c>
      <c r="M1741" s="116">
        <v>2066.1999999999998</v>
      </c>
      <c r="N1741" s="116">
        <v>2116.3000000000002</v>
      </c>
      <c r="O1741" s="116">
        <v>2061.1</v>
      </c>
      <c r="P1741" s="116">
        <v>2116</v>
      </c>
      <c r="Q1741" s="116">
        <v>2066.1999999999998</v>
      </c>
      <c r="R1741">
        <v>262856</v>
      </c>
    </row>
    <row r="1742" spans="1:18" x14ac:dyDescent="0.25">
      <c r="A1742" s="170">
        <v>46036</v>
      </c>
      <c r="B1742" s="116">
        <v>2183</v>
      </c>
      <c r="C1742" s="116">
        <v>2177.15</v>
      </c>
      <c r="D1742" s="116">
        <v>2091.65</v>
      </c>
      <c r="E1742" s="116">
        <v>2101.5500000000002</v>
      </c>
      <c r="F1742" s="116">
        <v>2177.15</v>
      </c>
      <c r="G1742">
        <v>11147</v>
      </c>
      <c r="H1742" s="116"/>
      <c r="I1742" s="116"/>
      <c r="L1742" s="170">
        <v>46031</v>
      </c>
      <c r="M1742" s="116">
        <v>2050.4</v>
      </c>
      <c r="N1742" s="116">
        <v>2083.9</v>
      </c>
      <c r="O1742" s="116">
        <v>2041.7</v>
      </c>
      <c r="P1742" s="116">
        <v>2061</v>
      </c>
      <c r="Q1742" s="116">
        <v>2050.4</v>
      </c>
      <c r="R1742">
        <v>160885</v>
      </c>
    </row>
    <row r="1743" spans="1:18" x14ac:dyDescent="0.25">
      <c r="A1743" s="170">
        <v>46038</v>
      </c>
      <c r="B1743" s="116">
        <v>2193.35</v>
      </c>
      <c r="C1743" s="116">
        <v>2162.15</v>
      </c>
      <c r="D1743" s="116">
        <v>2145.15</v>
      </c>
      <c r="E1743" s="116">
        <v>2187.4499999999998</v>
      </c>
      <c r="F1743" s="116">
        <v>2162.15</v>
      </c>
      <c r="G1743">
        <v>8482</v>
      </c>
      <c r="H1743" s="116"/>
      <c r="I1743" s="116"/>
      <c r="L1743" s="170">
        <v>46034</v>
      </c>
      <c r="M1743" s="116">
        <v>2073.6</v>
      </c>
      <c r="N1743" s="116">
        <v>2081.6</v>
      </c>
      <c r="O1743" s="116">
        <v>2020.7</v>
      </c>
      <c r="P1743" s="116">
        <v>2042.2</v>
      </c>
      <c r="Q1743" s="116">
        <v>2073.6</v>
      </c>
      <c r="R1743">
        <v>300205</v>
      </c>
    </row>
    <row r="1744" spans="1:18" x14ac:dyDescent="0.25">
      <c r="A1744" s="170">
        <v>46041</v>
      </c>
      <c r="B1744" s="116">
        <v>2176.85</v>
      </c>
      <c r="C1744" s="116">
        <v>2147.0500000000002</v>
      </c>
      <c r="D1744" s="116">
        <v>2116.5</v>
      </c>
      <c r="E1744" s="116">
        <v>2154.9499999999998</v>
      </c>
      <c r="F1744" s="116">
        <v>2147.0500000000002</v>
      </c>
      <c r="G1744">
        <v>4136</v>
      </c>
      <c r="H1744" s="116"/>
      <c r="I1744" s="116"/>
      <c r="L1744" s="170">
        <v>46035</v>
      </c>
      <c r="M1744" s="116">
        <v>2105.5</v>
      </c>
      <c r="N1744" s="116">
        <v>2113.8000000000002</v>
      </c>
      <c r="O1744" s="116">
        <v>2068.5</v>
      </c>
      <c r="P1744" s="116">
        <v>2073.6</v>
      </c>
      <c r="Q1744" s="116">
        <v>2105.5</v>
      </c>
      <c r="R1744">
        <v>359192</v>
      </c>
    </row>
    <row r="1745" spans="1:18" x14ac:dyDescent="0.25">
      <c r="A1745" s="170">
        <v>46042</v>
      </c>
      <c r="B1745" s="116">
        <v>2214.4</v>
      </c>
      <c r="C1745" s="116">
        <v>2197.6999999999998</v>
      </c>
      <c r="D1745" s="116">
        <v>2134.1</v>
      </c>
      <c r="E1745" s="116">
        <v>2149.25</v>
      </c>
      <c r="F1745" s="116">
        <v>2197.6999999999998</v>
      </c>
      <c r="G1745">
        <v>58361</v>
      </c>
      <c r="H1745" s="116"/>
      <c r="I1745" s="116"/>
      <c r="L1745" s="170">
        <v>46036</v>
      </c>
      <c r="M1745" s="116">
        <v>2177.3000000000002</v>
      </c>
      <c r="N1745" s="116">
        <v>2183.9</v>
      </c>
      <c r="O1745" s="116">
        <v>2092.1</v>
      </c>
      <c r="P1745" s="116">
        <v>2105</v>
      </c>
      <c r="Q1745" s="116">
        <v>2177.3000000000002</v>
      </c>
      <c r="R1745">
        <v>485036</v>
      </c>
    </row>
    <row r="1746" spans="1:18" x14ac:dyDescent="0.25">
      <c r="A1746" s="170">
        <v>46043</v>
      </c>
      <c r="B1746" s="116">
        <v>2242.15</v>
      </c>
      <c r="C1746" s="116">
        <v>2228.9</v>
      </c>
      <c r="D1746" s="116">
        <v>2172</v>
      </c>
      <c r="E1746" s="116">
        <v>2198.85</v>
      </c>
      <c r="F1746" s="116">
        <v>2228.9</v>
      </c>
      <c r="G1746">
        <v>30897</v>
      </c>
      <c r="H1746" s="116"/>
      <c r="I1746" s="116"/>
      <c r="L1746" s="170">
        <v>46038</v>
      </c>
      <c r="M1746" s="116">
        <v>2162.4</v>
      </c>
      <c r="N1746" s="116">
        <v>2195</v>
      </c>
      <c r="O1746" s="116">
        <v>2144.1999999999998</v>
      </c>
      <c r="P1746" s="116">
        <v>2184.9</v>
      </c>
      <c r="Q1746" s="116">
        <v>2162.4</v>
      </c>
      <c r="R1746">
        <v>391714</v>
      </c>
    </row>
    <row r="1747" spans="1:18" x14ac:dyDescent="0.25">
      <c r="A1747" s="170">
        <v>46044</v>
      </c>
      <c r="B1747" s="116">
        <v>2260.4</v>
      </c>
      <c r="C1747" s="116">
        <v>2142.4</v>
      </c>
      <c r="D1747" s="116">
        <v>2133.6</v>
      </c>
      <c r="E1747" s="116">
        <v>2249.9499999999998</v>
      </c>
      <c r="F1747" s="116">
        <v>2142.4</v>
      </c>
      <c r="G1747">
        <v>9064</v>
      </c>
      <c r="H1747" s="116"/>
      <c r="I1747" s="116"/>
      <c r="L1747" s="170">
        <v>46041</v>
      </c>
      <c r="M1747" s="116">
        <v>2157.1</v>
      </c>
      <c r="N1747" s="116">
        <v>2178.1999999999998</v>
      </c>
      <c r="O1747" s="116">
        <v>2116</v>
      </c>
      <c r="P1747" s="116">
        <v>2150</v>
      </c>
      <c r="Q1747" s="116">
        <v>2157.1</v>
      </c>
      <c r="R1747">
        <v>411989</v>
      </c>
    </row>
    <row r="1748" spans="1:18" x14ac:dyDescent="0.25">
      <c r="A1748" s="170">
        <v>46045</v>
      </c>
      <c r="B1748" s="116">
        <v>2149.8000000000002</v>
      </c>
      <c r="C1748" s="116">
        <v>2086.4499999999998</v>
      </c>
      <c r="D1748" s="116">
        <v>2078.9</v>
      </c>
      <c r="E1748" s="116">
        <v>2149.8000000000002</v>
      </c>
      <c r="F1748" s="116">
        <v>2086.4499999999998</v>
      </c>
      <c r="G1748">
        <v>3260</v>
      </c>
      <c r="H1748" s="116"/>
      <c r="I1748" s="116"/>
      <c r="L1748" s="170">
        <v>46042</v>
      </c>
      <c r="M1748" s="116">
        <v>2191.4</v>
      </c>
      <c r="N1748" s="116">
        <v>2215.6</v>
      </c>
      <c r="O1748" s="116">
        <v>2130</v>
      </c>
      <c r="P1748" s="116">
        <v>2143.9</v>
      </c>
      <c r="Q1748" s="116">
        <v>2191.4</v>
      </c>
      <c r="R1748">
        <v>1166469</v>
      </c>
    </row>
    <row r="1749" spans="1:18" x14ac:dyDescent="0.25">
      <c r="A1749" s="170">
        <v>46049</v>
      </c>
      <c r="B1749" s="116">
        <v>2129</v>
      </c>
      <c r="C1749" s="116">
        <v>2107.65</v>
      </c>
      <c r="D1749" s="116">
        <v>2083.5</v>
      </c>
      <c r="E1749" s="116">
        <v>2118.4</v>
      </c>
      <c r="F1749" s="116">
        <v>2107.65</v>
      </c>
      <c r="G1749">
        <v>74156</v>
      </c>
      <c r="H1749" s="116"/>
      <c r="I1749" s="116"/>
      <c r="L1749" s="170">
        <v>46043</v>
      </c>
      <c r="M1749" s="116">
        <v>2232.4</v>
      </c>
      <c r="N1749" s="116">
        <v>2242.1</v>
      </c>
      <c r="O1749" s="116">
        <v>2171.1</v>
      </c>
      <c r="P1749" s="116">
        <v>2193</v>
      </c>
      <c r="Q1749" s="116">
        <v>2232.4</v>
      </c>
      <c r="R1749">
        <v>883916</v>
      </c>
    </row>
    <row r="1750" spans="1:18" x14ac:dyDescent="0.25">
      <c r="A1750" s="170">
        <v>46050</v>
      </c>
      <c r="B1750" s="116">
        <v>2113.4</v>
      </c>
      <c r="C1750" s="116">
        <v>2074.15</v>
      </c>
      <c r="D1750" s="116">
        <v>2070</v>
      </c>
      <c r="E1750" s="116">
        <v>2110.5500000000002</v>
      </c>
      <c r="F1750" s="116">
        <v>2074.15</v>
      </c>
      <c r="G1750">
        <v>25423</v>
      </c>
      <c r="H1750" s="116"/>
      <c r="I1750" s="116"/>
      <c r="L1750" s="170">
        <v>46044</v>
      </c>
      <c r="M1750" s="116">
        <v>2143.6999999999998</v>
      </c>
      <c r="N1750" s="116">
        <v>2260</v>
      </c>
      <c r="O1750" s="116">
        <v>2135.4</v>
      </c>
      <c r="P1750" s="116">
        <v>2243.6</v>
      </c>
      <c r="Q1750" s="116">
        <v>2143.6999999999998</v>
      </c>
      <c r="R1750">
        <v>576940</v>
      </c>
    </row>
    <row r="1751" spans="1:18" x14ac:dyDescent="0.25">
      <c r="A1751" s="170">
        <v>46051</v>
      </c>
      <c r="B1751" s="116">
        <v>2081.15</v>
      </c>
      <c r="C1751" s="116">
        <v>2062.6999999999998</v>
      </c>
      <c r="D1751" s="116">
        <v>2052.0500000000002</v>
      </c>
      <c r="E1751" s="116">
        <v>2070.0500000000002</v>
      </c>
      <c r="F1751" s="116">
        <v>2062.6999999999998</v>
      </c>
      <c r="G1751">
        <v>27613</v>
      </c>
      <c r="H1751" s="116"/>
      <c r="I1751" s="116"/>
      <c r="L1751" s="170">
        <v>46045</v>
      </c>
      <c r="M1751" s="116">
        <v>2084.9</v>
      </c>
      <c r="N1751" s="116">
        <v>2143.9</v>
      </c>
      <c r="O1751" s="116">
        <v>2077.6</v>
      </c>
      <c r="P1751" s="116">
        <v>2138</v>
      </c>
      <c r="Q1751" s="116">
        <v>2084.9</v>
      </c>
      <c r="R1751">
        <v>279720</v>
      </c>
    </row>
    <row r="1752" spans="1:18" x14ac:dyDescent="0.25">
      <c r="A1752" s="170">
        <v>46052</v>
      </c>
      <c r="B1752" s="116">
        <v>2079.35</v>
      </c>
      <c r="C1752" s="116">
        <v>2065.5500000000002</v>
      </c>
      <c r="D1752" s="116">
        <v>2034.4</v>
      </c>
      <c r="E1752" s="116">
        <v>2062.4</v>
      </c>
      <c r="F1752" s="116">
        <v>2065.5500000000002</v>
      </c>
      <c r="G1752">
        <v>28467</v>
      </c>
      <c r="H1752" s="116"/>
      <c r="I1752" s="116"/>
      <c r="L1752" s="170">
        <v>46049</v>
      </c>
      <c r="M1752" s="116">
        <v>2107.1</v>
      </c>
      <c r="N1752" s="116">
        <v>2150</v>
      </c>
      <c r="O1752" s="116">
        <v>2083.8000000000002</v>
      </c>
      <c r="P1752" s="116">
        <v>2116.8000000000002</v>
      </c>
      <c r="Q1752" s="116">
        <v>2107.1</v>
      </c>
      <c r="R1752">
        <v>589001</v>
      </c>
    </row>
    <row r="1753" spans="1:18" x14ac:dyDescent="0.25">
      <c r="A1753" s="170">
        <v>46054</v>
      </c>
      <c r="B1753" s="116">
        <v>2082.9499999999998</v>
      </c>
      <c r="C1753" s="116">
        <v>2005.75</v>
      </c>
      <c r="D1753" s="116">
        <v>1859.45</v>
      </c>
      <c r="E1753" s="116">
        <v>2066.25</v>
      </c>
      <c r="F1753" s="116">
        <v>2005.75</v>
      </c>
      <c r="G1753">
        <v>11437</v>
      </c>
      <c r="H1753" s="116"/>
      <c r="I1753" s="116"/>
      <c r="L1753" s="170">
        <v>46050</v>
      </c>
      <c r="M1753" s="116">
        <v>2074.4</v>
      </c>
      <c r="N1753" s="116">
        <v>2118.6</v>
      </c>
      <c r="O1753" s="116">
        <v>2067.3000000000002</v>
      </c>
      <c r="P1753" s="116">
        <v>2114.4</v>
      </c>
      <c r="Q1753" s="116">
        <v>2074.4</v>
      </c>
      <c r="R1753">
        <v>277992</v>
      </c>
    </row>
    <row r="1754" spans="1:18" x14ac:dyDescent="0.25">
      <c r="A1754" s="170">
        <v>46055</v>
      </c>
      <c r="B1754" s="116">
        <v>2073</v>
      </c>
      <c r="C1754" s="116">
        <v>2064.25</v>
      </c>
      <c r="D1754" s="116">
        <v>1983</v>
      </c>
      <c r="E1754" s="116">
        <v>2005.8</v>
      </c>
      <c r="F1754" s="116">
        <v>2064.25</v>
      </c>
      <c r="G1754">
        <v>11609</v>
      </c>
      <c r="H1754" s="116"/>
      <c r="I1754" s="116"/>
      <c r="L1754" s="170">
        <v>46051</v>
      </c>
      <c r="M1754" s="116">
        <v>2063.3000000000002</v>
      </c>
      <c r="N1754" s="116">
        <v>2080.3000000000002</v>
      </c>
      <c r="O1754" s="116">
        <v>2050</v>
      </c>
      <c r="P1754" s="116">
        <v>2070</v>
      </c>
      <c r="Q1754" s="116">
        <v>2063.3000000000002</v>
      </c>
      <c r="R1754">
        <v>549292</v>
      </c>
    </row>
    <row r="1755" spans="1:18" x14ac:dyDescent="0.25">
      <c r="A1755" s="170">
        <v>46056</v>
      </c>
      <c r="B1755" s="116">
        <v>2163.5</v>
      </c>
      <c r="C1755" s="116">
        <v>2111.8000000000002</v>
      </c>
      <c r="D1755" s="116">
        <v>2064.3000000000002</v>
      </c>
      <c r="E1755" s="116">
        <v>2064.3000000000002</v>
      </c>
      <c r="F1755" s="116">
        <v>2111.8000000000002</v>
      </c>
      <c r="G1755">
        <v>8260</v>
      </c>
      <c r="H1755" s="116"/>
      <c r="I1755" s="116"/>
      <c r="L1755" s="170">
        <v>46052</v>
      </c>
      <c r="M1755" s="116">
        <v>2065.5</v>
      </c>
      <c r="N1755" s="116">
        <v>2075.1</v>
      </c>
      <c r="O1755" s="116">
        <v>2032.9</v>
      </c>
      <c r="P1755" s="116">
        <v>2060</v>
      </c>
      <c r="Q1755" s="116">
        <v>2065.5</v>
      </c>
      <c r="R1755">
        <v>258368</v>
      </c>
    </row>
    <row r="1756" spans="1:18" x14ac:dyDescent="0.25">
      <c r="A1756" s="170">
        <v>46057</v>
      </c>
      <c r="B1756" s="116">
        <v>2149.75</v>
      </c>
      <c r="C1756" s="116">
        <v>2138.85</v>
      </c>
      <c r="D1756" s="116">
        <v>2102.3000000000002</v>
      </c>
      <c r="E1756" s="116">
        <v>2149.75</v>
      </c>
      <c r="F1756" s="116">
        <v>2138.85</v>
      </c>
      <c r="G1756">
        <v>4362</v>
      </c>
      <c r="H1756" s="116"/>
      <c r="I1756" s="116"/>
      <c r="L1756" s="170">
        <v>46054</v>
      </c>
      <c r="M1756" s="116">
        <v>2000.7</v>
      </c>
      <c r="N1756" s="116">
        <v>2086</v>
      </c>
      <c r="O1756" s="116">
        <v>1859</v>
      </c>
      <c r="P1756" s="116">
        <v>2085</v>
      </c>
      <c r="Q1756" s="116">
        <v>2000.7</v>
      </c>
      <c r="R1756">
        <v>404234</v>
      </c>
    </row>
    <row r="1757" spans="1:18" x14ac:dyDescent="0.25">
      <c r="A1757" s="170">
        <v>46058</v>
      </c>
      <c r="B1757" s="116">
        <v>2157.4</v>
      </c>
      <c r="C1757" s="116">
        <v>2152.75</v>
      </c>
      <c r="D1757" s="116">
        <v>2066</v>
      </c>
      <c r="E1757" s="116">
        <v>2066</v>
      </c>
      <c r="F1757" s="116">
        <v>2152.75</v>
      </c>
      <c r="G1757">
        <v>2388</v>
      </c>
      <c r="H1757" s="116"/>
      <c r="I1757" s="116"/>
      <c r="L1757" s="170">
        <v>46055</v>
      </c>
      <c r="M1757" s="116">
        <v>2063.4</v>
      </c>
      <c r="N1757" s="116">
        <v>2071</v>
      </c>
      <c r="O1757" s="116">
        <v>1980.8</v>
      </c>
      <c r="P1757" s="116">
        <v>2000</v>
      </c>
      <c r="Q1757" s="116">
        <v>2063.4</v>
      </c>
      <c r="R1757">
        <v>489646</v>
      </c>
    </row>
    <row r="1758" spans="1:18" x14ac:dyDescent="0.25">
      <c r="A1758" s="170">
        <v>46059</v>
      </c>
      <c r="B1758" s="116">
        <v>2155</v>
      </c>
      <c r="C1758" s="116">
        <v>2118.6</v>
      </c>
      <c r="D1758" s="116">
        <v>2100</v>
      </c>
      <c r="E1758" s="116">
        <v>2152.8000000000002</v>
      </c>
      <c r="F1758" s="116">
        <v>2118.6</v>
      </c>
      <c r="G1758">
        <v>1072</v>
      </c>
      <c r="H1758" s="116"/>
      <c r="I1758" s="116"/>
      <c r="L1758" s="170">
        <v>46056</v>
      </c>
      <c r="M1758" s="116">
        <v>2110.6</v>
      </c>
      <c r="N1758" s="116">
        <v>2169.6999999999998</v>
      </c>
      <c r="O1758" s="116">
        <v>2079.3000000000002</v>
      </c>
      <c r="P1758" s="116">
        <v>2085</v>
      </c>
      <c r="Q1758" s="116">
        <v>2110.6</v>
      </c>
      <c r="R1758">
        <v>410082</v>
      </c>
    </row>
    <row r="1759" spans="1:18" x14ac:dyDescent="0.25">
      <c r="A1759" s="170">
        <v>46062</v>
      </c>
      <c r="B1759" s="116">
        <v>2210</v>
      </c>
      <c r="C1759" s="116">
        <v>2196.5</v>
      </c>
      <c r="D1759" s="116">
        <v>2110.5500000000002</v>
      </c>
      <c r="E1759" s="116">
        <v>2120.1</v>
      </c>
      <c r="F1759" s="116">
        <v>2196.5</v>
      </c>
      <c r="G1759">
        <v>5665</v>
      </c>
      <c r="H1759" s="116"/>
      <c r="I1759" s="116"/>
      <c r="L1759" s="170">
        <v>46057</v>
      </c>
      <c r="M1759" s="116">
        <v>2141.1999999999998</v>
      </c>
      <c r="N1759" s="116">
        <v>2150.1</v>
      </c>
      <c r="O1759" s="116">
        <v>2099.5</v>
      </c>
      <c r="P1759" s="116">
        <v>2116.8000000000002</v>
      </c>
      <c r="Q1759" s="116">
        <v>2141.1999999999998</v>
      </c>
      <c r="R1759">
        <v>177566</v>
      </c>
    </row>
    <row r="1760" spans="1:18" x14ac:dyDescent="0.25">
      <c r="A1760" s="170">
        <v>46063</v>
      </c>
      <c r="B1760" s="116">
        <v>2219.8000000000002</v>
      </c>
      <c r="C1760" s="116">
        <v>2188.9</v>
      </c>
      <c r="D1760" s="116">
        <v>2179.25</v>
      </c>
      <c r="E1760" s="116">
        <v>2210.9</v>
      </c>
      <c r="F1760" s="116">
        <v>2188.9</v>
      </c>
      <c r="G1760">
        <v>2739</v>
      </c>
      <c r="H1760" s="116"/>
      <c r="I1760" s="116"/>
      <c r="L1760" s="170">
        <v>46058</v>
      </c>
      <c r="M1760" s="116">
        <v>2153.6</v>
      </c>
      <c r="N1760" s="116">
        <v>2158.4</v>
      </c>
      <c r="O1760" s="116">
        <v>2124.4</v>
      </c>
      <c r="P1760" s="116">
        <v>2156.1</v>
      </c>
      <c r="Q1760" s="116">
        <v>2153.6</v>
      </c>
      <c r="R1760">
        <v>72806</v>
      </c>
    </row>
    <row r="1761" spans="1:18" x14ac:dyDescent="0.25">
      <c r="A1761" s="170">
        <v>46064</v>
      </c>
      <c r="B1761" s="116">
        <v>2185.65</v>
      </c>
      <c r="C1761" s="116">
        <v>2173.65</v>
      </c>
      <c r="D1761" s="116">
        <v>2163.65</v>
      </c>
      <c r="E1761" s="116">
        <v>2172.0500000000002</v>
      </c>
      <c r="F1761" s="116">
        <v>2173.65</v>
      </c>
      <c r="G1761">
        <v>1612</v>
      </c>
      <c r="H1761" s="116"/>
      <c r="I1761" s="116"/>
      <c r="L1761" s="170">
        <v>46059</v>
      </c>
      <c r="M1761" s="116">
        <v>2118.3000000000002</v>
      </c>
      <c r="N1761" s="116">
        <v>2157</v>
      </c>
      <c r="O1761" s="116">
        <v>2100</v>
      </c>
      <c r="P1761" s="116">
        <v>2157</v>
      </c>
      <c r="Q1761" s="116">
        <v>2118.3000000000002</v>
      </c>
      <c r="R1761">
        <v>43683</v>
      </c>
    </row>
    <row r="1762" spans="1:18" x14ac:dyDescent="0.25">
      <c r="A1762" s="170">
        <v>46065</v>
      </c>
      <c r="B1762" s="116">
        <v>2180.1999999999998</v>
      </c>
      <c r="C1762" s="116">
        <v>2170.5</v>
      </c>
      <c r="D1762" s="116">
        <v>2154</v>
      </c>
      <c r="E1762" s="116">
        <v>2161</v>
      </c>
      <c r="F1762" s="116">
        <v>2170.5</v>
      </c>
      <c r="G1762">
        <v>30827</v>
      </c>
      <c r="H1762" s="116"/>
      <c r="I1762" s="116"/>
      <c r="L1762" s="170">
        <v>46062</v>
      </c>
      <c r="M1762" s="116">
        <v>2195.6999999999998</v>
      </c>
      <c r="N1762" s="116">
        <v>2210</v>
      </c>
      <c r="O1762" s="116">
        <v>2111.9</v>
      </c>
      <c r="P1762" s="116">
        <v>2118.3000000000002</v>
      </c>
      <c r="Q1762" s="116">
        <v>2195.6999999999998</v>
      </c>
      <c r="R1762">
        <v>175023</v>
      </c>
    </row>
    <row r="1763" spans="1:18" x14ac:dyDescent="0.25">
      <c r="A1763" s="170">
        <v>46066</v>
      </c>
      <c r="B1763" s="116">
        <v>2162.1</v>
      </c>
      <c r="C1763" s="116">
        <v>2143.4499999999998</v>
      </c>
      <c r="D1763" s="116">
        <v>2125.6</v>
      </c>
      <c r="E1763" s="116">
        <v>2147.9499999999998</v>
      </c>
      <c r="F1763" s="116">
        <v>2143.4499999999998</v>
      </c>
      <c r="G1763">
        <v>1567</v>
      </c>
      <c r="H1763" s="116"/>
      <c r="I1763" s="116"/>
      <c r="L1763" s="170">
        <v>46063</v>
      </c>
      <c r="M1763" s="116">
        <v>2191.4</v>
      </c>
      <c r="N1763" s="116">
        <v>2219.9</v>
      </c>
      <c r="O1763" s="116">
        <v>2180.6</v>
      </c>
      <c r="P1763" s="116">
        <v>2214</v>
      </c>
      <c r="Q1763" s="116">
        <v>2191.4</v>
      </c>
      <c r="R1763">
        <v>207218</v>
      </c>
    </row>
    <row r="1764" spans="1:18" x14ac:dyDescent="0.25">
      <c r="A1764" s="170">
        <v>46069</v>
      </c>
      <c r="B1764" s="116">
        <v>2142.0500000000002</v>
      </c>
      <c r="C1764" s="116">
        <v>2132.8000000000002</v>
      </c>
      <c r="D1764" s="116">
        <v>2121.75</v>
      </c>
      <c r="E1764" s="116">
        <v>2142</v>
      </c>
      <c r="F1764" s="116">
        <v>2132.8000000000002</v>
      </c>
      <c r="G1764">
        <v>1458</v>
      </c>
      <c r="H1764" s="116"/>
      <c r="I1764" s="116"/>
      <c r="L1764" s="170">
        <v>46064</v>
      </c>
      <c r="M1764" s="116">
        <v>2175.1999999999998</v>
      </c>
      <c r="N1764" s="116">
        <v>2191.4</v>
      </c>
      <c r="O1764" s="116">
        <v>2160.9</v>
      </c>
      <c r="P1764" s="116">
        <v>2191.4</v>
      </c>
      <c r="Q1764" s="116">
        <v>2175.1999999999998</v>
      </c>
      <c r="R1764">
        <v>158653</v>
      </c>
    </row>
    <row r="1765" spans="1:18" x14ac:dyDescent="0.25">
      <c r="A1765" s="170">
        <v>46070</v>
      </c>
      <c r="B1765" s="116">
        <v>2154.9499999999998</v>
      </c>
      <c r="C1765" s="116">
        <v>2112.85</v>
      </c>
      <c r="D1765" s="116">
        <v>2103.6999999999998</v>
      </c>
      <c r="E1765" s="116">
        <v>2126</v>
      </c>
      <c r="F1765" s="116">
        <v>2112.85</v>
      </c>
      <c r="G1765">
        <v>891</v>
      </c>
      <c r="H1765" s="116"/>
      <c r="I1765" s="116"/>
      <c r="L1765" s="170">
        <v>46065</v>
      </c>
      <c r="M1765" s="116">
        <v>2171.1999999999998</v>
      </c>
      <c r="N1765" s="116">
        <v>2185</v>
      </c>
      <c r="O1765" s="116">
        <v>2153</v>
      </c>
      <c r="P1765" s="116">
        <v>2170.9</v>
      </c>
      <c r="Q1765" s="116">
        <v>2171.1999999999998</v>
      </c>
      <c r="R1765">
        <v>90252</v>
      </c>
    </row>
    <row r="1766" spans="1:18" x14ac:dyDescent="0.25">
      <c r="A1766" s="170">
        <v>46071</v>
      </c>
      <c r="B1766" s="116">
        <v>2136.9499999999998</v>
      </c>
      <c r="C1766" s="116">
        <v>2129.4499999999998</v>
      </c>
      <c r="D1766" s="116">
        <v>2085.3000000000002</v>
      </c>
      <c r="E1766" s="116">
        <v>2129.8000000000002</v>
      </c>
      <c r="F1766" s="116">
        <v>2129.4499999999998</v>
      </c>
      <c r="G1766">
        <v>21808</v>
      </c>
      <c r="H1766" s="116"/>
      <c r="I1766" s="116"/>
      <c r="L1766" s="170">
        <v>46066</v>
      </c>
      <c r="M1766" s="116">
        <v>2140.3000000000002</v>
      </c>
      <c r="N1766" s="116">
        <v>2163.3000000000002</v>
      </c>
      <c r="O1766" s="116">
        <v>2120.4</v>
      </c>
      <c r="P1766" s="116">
        <v>2160</v>
      </c>
      <c r="Q1766" s="116">
        <v>2140.3000000000002</v>
      </c>
      <c r="R1766">
        <v>77376</v>
      </c>
    </row>
    <row r="1767" spans="1:18" x14ac:dyDescent="0.25">
      <c r="A1767" s="170">
        <v>46072</v>
      </c>
      <c r="B1767" s="116">
        <v>2138.4499999999998</v>
      </c>
      <c r="C1767" s="116">
        <v>2082.6999999999998</v>
      </c>
      <c r="D1767" s="116">
        <v>2070</v>
      </c>
      <c r="E1767" s="116">
        <v>2112.0500000000002</v>
      </c>
      <c r="F1767" s="116">
        <v>2082.6999999999998</v>
      </c>
      <c r="G1767">
        <v>2895</v>
      </c>
      <c r="H1767" s="116"/>
      <c r="I1767" s="116"/>
      <c r="L1767" s="170">
        <v>46069</v>
      </c>
      <c r="M1767" s="116">
        <v>2136.3000000000002</v>
      </c>
      <c r="N1767" s="116">
        <v>2146.1999999999998</v>
      </c>
      <c r="O1767" s="116">
        <v>2121</v>
      </c>
      <c r="P1767" s="116">
        <v>2140.3000000000002</v>
      </c>
      <c r="Q1767" s="116">
        <v>2136.3000000000002</v>
      </c>
      <c r="R1767">
        <v>90196</v>
      </c>
    </row>
    <row r="1768" spans="1:18" x14ac:dyDescent="0.25">
      <c r="A1768" s="170">
        <v>46073</v>
      </c>
      <c r="B1768" s="116">
        <v>2146.65</v>
      </c>
      <c r="C1768" s="116">
        <v>2067.0500000000002</v>
      </c>
      <c r="D1768" s="116">
        <v>2060</v>
      </c>
      <c r="E1768" s="116">
        <v>2146.65</v>
      </c>
      <c r="F1768" s="116">
        <v>2067.0500000000002</v>
      </c>
      <c r="G1768">
        <v>4919</v>
      </c>
      <c r="H1768" s="116"/>
      <c r="I1768" s="116"/>
      <c r="L1768" s="170">
        <v>46070</v>
      </c>
      <c r="M1768" s="116">
        <v>2112.9</v>
      </c>
      <c r="N1768" s="116">
        <v>2154</v>
      </c>
      <c r="O1768" s="116">
        <v>2102.1999999999998</v>
      </c>
      <c r="P1768" s="116">
        <v>2125.6</v>
      </c>
      <c r="Q1768" s="116">
        <v>2112.9</v>
      </c>
      <c r="R1768">
        <v>112892</v>
      </c>
    </row>
    <row r="1769" spans="1:18" x14ac:dyDescent="0.25">
      <c r="A1769" s="170">
        <v>46076</v>
      </c>
      <c r="B1769" s="116">
        <v>2108</v>
      </c>
      <c r="C1769" s="116">
        <v>2089.9</v>
      </c>
      <c r="D1769" s="116">
        <v>2068.6</v>
      </c>
      <c r="E1769" s="116">
        <v>2090</v>
      </c>
      <c r="F1769" s="116">
        <v>2089.9</v>
      </c>
      <c r="G1769">
        <v>910</v>
      </c>
      <c r="H1769" s="116"/>
      <c r="I1769" s="116"/>
      <c r="L1769" s="170">
        <v>46071</v>
      </c>
      <c r="M1769" s="116">
        <v>2128.9</v>
      </c>
      <c r="N1769" s="116">
        <v>2137</v>
      </c>
      <c r="O1769" s="116">
        <v>2088.1</v>
      </c>
      <c r="P1769" s="116">
        <v>2108.6</v>
      </c>
      <c r="Q1769" s="116">
        <v>2128.9</v>
      </c>
      <c r="R1769">
        <v>195587</v>
      </c>
    </row>
    <row r="1770" spans="1:18" x14ac:dyDescent="0.25">
      <c r="A1770" s="170">
        <v>46077</v>
      </c>
      <c r="B1770" s="116">
        <v>2146.9499999999998</v>
      </c>
      <c r="C1770" s="116">
        <v>2068.6</v>
      </c>
      <c r="D1770" s="116">
        <v>2050</v>
      </c>
      <c r="E1770" s="116">
        <v>2146.9499999999998</v>
      </c>
      <c r="F1770" s="116">
        <v>2068.6</v>
      </c>
      <c r="G1770">
        <v>5435</v>
      </c>
      <c r="H1770" s="116"/>
      <c r="I1770" s="116"/>
      <c r="L1770" s="170">
        <v>46072</v>
      </c>
      <c r="M1770" s="116">
        <v>2086.6</v>
      </c>
      <c r="N1770" s="116">
        <v>2141.1</v>
      </c>
      <c r="O1770" s="116">
        <v>2062</v>
      </c>
      <c r="P1770" s="116">
        <v>2135.3000000000002</v>
      </c>
      <c r="Q1770" s="116">
        <v>2086.6</v>
      </c>
      <c r="R1770">
        <v>262202</v>
      </c>
    </row>
    <row r="1771" spans="1:18" x14ac:dyDescent="0.25">
      <c r="A1771" s="170">
        <v>46078</v>
      </c>
      <c r="B1771" s="116">
        <v>2076.1</v>
      </c>
      <c r="C1771" s="116">
        <v>2062.1</v>
      </c>
      <c r="D1771" s="116">
        <v>2040</v>
      </c>
      <c r="E1771" s="116">
        <v>2068.8000000000002</v>
      </c>
      <c r="F1771" s="116">
        <v>2062.1</v>
      </c>
      <c r="G1771">
        <v>484</v>
      </c>
      <c r="H1771" s="116"/>
      <c r="I1771" s="116"/>
      <c r="L1771" s="170">
        <v>46073</v>
      </c>
      <c r="M1771" s="116">
        <v>2070</v>
      </c>
      <c r="N1771" s="116">
        <v>2086.6</v>
      </c>
      <c r="O1771" s="116">
        <v>2056.5</v>
      </c>
      <c r="P1771" s="116">
        <v>2086.6</v>
      </c>
      <c r="Q1771" s="116">
        <v>2070</v>
      </c>
      <c r="R1771">
        <v>185768</v>
      </c>
    </row>
    <row r="1772" spans="1:18" x14ac:dyDescent="0.25">
      <c r="A1772" s="170">
        <v>46079</v>
      </c>
      <c r="B1772" s="116">
        <v>2079.8000000000002</v>
      </c>
      <c r="C1772" s="116">
        <v>2062.75</v>
      </c>
      <c r="D1772" s="116">
        <v>2041</v>
      </c>
      <c r="E1772" s="116">
        <v>2062.0500000000002</v>
      </c>
      <c r="F1772" s="116">
        <v>2062.75</v>
      </c>
      <c r="G1772">
        <v>785</v>
      </c>
      <c r="H1772" s="116"/>
      <c r="I1772" s="116"/>
      <c r="L1772" s="170">
        <v>46076</v>
      </c>
      <c r="M1772" s="116">
        <v>2090.8000000000002</v>
      </c>
      <c r="N1772" s="116">
        <v>2108.1</v>
      </c>
      <c r="O1772" s="116">
        <v>2068.9</v>
      </c>
      <c r="P1772" s="116">
        <v>2089</v>
      </c>
      <c r="Q1772" s="116">
        <v>2090.8000000000002</v>
      </c>
      <c r="R1772">
        <v>140186</v>
      </c>
    </row>
    <row r="1773" spans="1:18" x14ac:dyDescent="0.25">
      <c r="A1773" s="170">
        <v>46080</v>
      </c>
      <c r="B1773" s="116">
        <v>2064.5</v>
      </c>
      <c r="C1773" s="116">
        <v>1990.1</v>
      </c>
      <c r="D1773" s="116">
        <v>1982.3</v>
      </c>
      <c r="E1773" s="116">
        <v>2041.85</v>
      </c>
      <c r="F1773" s="116">
        <v>1990.1</v>
      </c>
      <c r="G1773">
        <v>109082</v>
      </c>
      <c r="H1773" s="116"/>
      <c r="I1773" s="116"/>
      <c r="L1773" s="170">
        <v>46077</v>
      </c>
      <c r="M1773" s="116">
        <v>2069.4</v>
      </c>
      <c r="N1773" s="116">
        <v>2088.8000000000002</v>
      </c>
      <c r="O1773" s="116">
        <v>2049</v>
      </c>
      <c r="P1773" s="116">
        <v>2082</v>
      </c>
      <c r="Q1773" s="116">
        <v>2069.4</v>
      </c>
      <c r="R1773">
        <v>101910</v>
      </c>
    </row>
    <row r="1774" spans="1:18" x14ac:dyDescent="0.25">
      <c r="A1774" s="170">
        <v>46083</v>
      </c>
      <c r="B1774" s="116">
        <v>1975.7</v>
      </c>
      <c r="C1774" s="116">
        <v>1959.2</v>
      </c>
      <c r="D1774" s="116">
        <v>1919</v>
      </c>
      <c r="E1774" s="116">
        <v>1919.05</v>
      </c>
      <c r="F1774" s="116">
        <v>1959.2</v>
      </c>
      <c r="G1774">
        <v>6059</v>
      </c>
      <c r="H1774" s="116"/>
      <c r="I1774" s="116"/>
      <c r="L1774" s="170">
        <v>46078</v>
      </c>
      <c r="M1774" s="116">
        <v>2063.5</v>
      </c>
      <c r="N1774" s="116">
        <v>2076.8000000000002</v>
      </c>
      <c r="O1774" s="116">
        <v>2035</v>
      </c>
      <c r="P1774" s="116">
        <v>2076.8000000000002</v>
      </c>
      <c r="Q1774" s="116">
        <v>2063.5</v>
      </c>
      <c r="R1774">
        <v>223028</v>
      </c>
    </row>
    <row r="1775" spans="1:18" x14ac:dyDescent="0.25">
      <c r="A1775" s="170">
        <v>46085</v>
      </c>
      <c r="B1775" s="116">
        <v>1932.1</v>
      </c>
      <c r="C1775" s="116">
        <v>1890.85</v>
      </c>
      <c r="D1775" s="116">
        <v>1885</v>
      </c>
      <c r="E1775" s="116">
        <v>1932.1</v>
      </c>
      <c r="F1775" s="116">
        <v>1890.85</v>
      </c>
      <c r="G1775">
        <v>145477</v>
      </c>
      <c r="H1775" s="116"/>
      <c r="I1775" s="116"/>
      <c r="L1775" s="170">
        <v>46079</v>
      </c>
      <c r="M1775" s="116">
        <v>2061.1</v>
      </c>
      <c r="N1775" s="116">
        <v>2080</v>
      </c>
      <c r="O1775" s="116">
        <v>2040</v>
      </c>
      <c r="P1775" s="116">
        <v>2056.5</v>
      </c>
      <c r="Q1775" s="116">
        <v>2061.1</v>
      </c>
      <c r="R1775">
        <v>97795</v>
      </c>
    </row>
    <row r="1776" spans="1:18" x14ac:dyDescent="0.25">
      <c r="A1776" s="170">
        <v>46086</v>
      </c>
      <c r="B1776" s="116">
        <v>1934.1</v>
      </c>
      <c r="C1776" s="116">
        <v>1925.3</v>
      </c>
      <c r="D1776" s="116">
        <v>1868</v>
      </c>
      <c r="E1776" s="116">
        <v>1891.2</v>
      </c>
      <c r="F1776" s="116">
        <v>1925.3</v>
      </c>
      <c r="G1776">
        <v>2100</v>
      </c>
      <c r="H1776" s="116"/>
      <c r="I1776" s="116"/>
      <c r="L1776" s="170">
        <v>46080</v>
      </c>
      <c r="M1776" s="116">
        <v>1993</v>
      </c>
      <c r="N1776" s="116">
        <v>2070.4</v>
      </c>
      <c r="O1776" s="116">
        <v>1982.8</v>
      </c>
      <c r="P1776" s="116">
        <v>2069</v>
      </c>
      <c r="Q1776" s="116">
        <v>1993</v>
      </c>
      <c r="R1776">
        <v>775987</v>
      </c>
    </row>
    <row r="1777" spans="1:18" x14ac:dyDescent="0.25">
      <c r="A1777" s="170">
        <v>46087</v>
      </c>
      <c r="B1777" s="116">
        <v>1932.75</v>
      </c>
      <c r="C1777" s="116">
        <v>1899.9</v>
      </c>
      <c r="D1777" s="116">
        <v>1894.75</v>
      </c>
      <c r="E1777" s="116">
        <v>1925.4</v>
      </c>
      <c r="F1777" s="116">
        <v>1899.9</v>
      </c>
      <c r="G1777">
        <v>4493</v>
      </c>
      <c r="H1777" s="116"/>
      <c r="I1777" s="116"/>
      <c r="L1777" s="170">
        <v>46083</v>
      </c>
      <c r="M1777" s="116">
        <v>1959.5</v>
      </c>
      <c r="N1777" s="116">
        <v>1975</v>
      </c>
      <c r="O1777" s="116">
        <v>1911.7</v>
      </c>
      <c r="P1777" s="116">
        <v>1911.7</v>
      </c>
      <c r="Q1777" s="116">
        <v>1959.5</v>
      </c>
      <c r="R1777">
        <v>388419</v>
      </c>
    </row>
    <row r="1778" spans="1:18" x14ac:dyDescent="0.25">
      <c r="A1778" s="170">
        <v>46090</v>
      </c>
      <c r="B1778" s="116">
        <v>1880</v>
      </c>
      <c r="C1778" s="116">
        <v>1839.75</v>
      </c>
      <c r="D1778" s="116">
        <v>1823</v>
      </c>
      <c r="E1778" s="116">
        <v>1880</v>
      </c>
      <c r="F1778" s="116">
        <v>1839.75</v>
      </c>
      <c r="G1778">
        <v>16734</v>
      </c>
      <c r="H1778" s="116"/>
      <c r="I1778" s="116"/>
      <c r="L1778" s="170">
        <v>46085</v>
      </c>
      <c r="M1778" s="116">
        <v>1895.7</v>
      </c>
      <c r="N1778" s="116">
        <v>1939.8</v>
      </c>
      <c r="O1778" s="116">
        <v>1882.4</v>
      </c>
      <c r="P1778" s="116">
        <v>1915</v>
      </c>
      <c r="Q1778" s="116">
        <v>1895.7</v>
      </c>
      <c r="R1778">
        <v>204137</v>
      </c>
    </row>
    <row r="1779" spans="1:18" x14ac:dyDescent="0.25">
      <c r="A1779" s="170">
        <v>46091</v>
      </c>
      <c r="B1779" s="116">
        <v>1883.45</v>
      </c>
      <c r="C1779" s="116">
        <v>1851.8</v>
      </c>
      <c r="D1779" s="116">
        <v>1834.5</v>
      </c>
      <c r="E1779" s="116">
        <v>1841.65</v>
      </c>
      <c r="F1779" s="116">
        <v>1851.8</v>
      </c>
      <c r="G1779">
        <v>2949</v>
      </c>
      <c r="H1779" s="116"/>
      <c r="I1779" s="116"/>
      <c r="L1779" s="170">
        <v>46086</v>
      </c>
      <c r="M1779" s="116">
        <v>1928.7</v>
      </c>
      <c r="N1779" s="116">
        <v>1936.3</v>
      </c>
      <c r="O1779" s="116">
        <v>1867</v>
      </c>
      <c r="P1779" s="116">
        <v>1905.5</v>
      </c>
      <c r="Q1779" s="116">
        <v>1928.7</v>
      </c>
      <c r="R1779">
        <v>103976</v>
      </c>
    </row>
    <row r="1780" spans="1:18" x14ac:dyDescent="0.25">
      <c r="A1780" s="170">
        <v>46092</v>
      </c>
      <c r="B1780" s="116">
        <v>1881.4</v>
      </c>
      <c r="C1780" s="116">
        <v>1853.85</v>
      </c>
      <c r="D1780" s="116">
        <v>1846</v>
      </c>
      <c r="E1780" s="116">
        <v>1848.95</v>
      </c>
      <c r="F1780" s="116">
        <v>1853.85</v>
      </c>
      <c r="G1780">
        <v>11489</v>
      </c>
      <c r="H1780" s="116"/>
      <c r="I1780" s="116"/>
      <c r="L1780" s="170">
        <v>46087</v>
      </c>
      <c r="M1780" s="116">
        <v>1899.8</v>
      </c>
      <c r="N1780" s="116">
        <v>1930.5</v>
      </c>
      <c r="O1780" s="116">
        <v>1890.7</v>
      </c>
      <c r="P1780" s="116">
        <v>1929</v>
      </c>
      <c r="Q1780" s="116">
        <v>1899.8</v>
      </c>
      <c r="R1780">
        <v>183615</v>
      </c>
    </row>
    <row r="1781" spans="1:18" x14ac:dyDescent="0.25">
      <c r="A1781" s="170">
        <v>46093</v>
      </c>
      <c r="B1781" s="116">
        <v>1900.2</v>
      </c>
      <c r="C1781" s="116">
        <v>1895.15</v>
      </c>
      <c r="D1781" s="116">
        <v>1825.45</v>
      </c>
      <c r="E1781" s="116">
        <v>1898.95</v>
      </c>
      <c r="F1781" s="116">
        <v>1895.15</v>
      </c>
      <c r="G1781">
        <v>3083</v>
      </c>
      <c r="H1781" s="116"/>
      <c r="I1781" s="116"/>
      <c r="L1781" s="170">
        <v>46090</v>
      </c>
      <c r="M1781" s="116">
        <v>1840.2</v>
      </c>
      <c r="N1781" s="116">
        <v>1884.3</v>
      </c>
      <c r="O1781" s="116">
        <v>1822</v>
      </c>
      <c r="P1781" s="116">
        <v>1884.3</v>
      </c>
      <c r="Q1781" s="116">
        <v>1840.2</v>
      </c>
      <c r="R1781">
        <v>86055</v>
      </c>
    </row>
    <row r="1782" spans="1:18" x14ac:dyDescent="0.25">
      <c r="A1782" s="170">
        <v>46094</v>
      </c>
      <c r="B1782" s="116">
        <v>1891.1</v>
      </c>
      <c r="C1782" s="116">
        <v>1839.5</v>
      </c>
      <c r="D1782" s="116">
        <v>1831</v>
      </c>
      <c r="E1782" s="116">
        <v>1889</v>
      </c>
      <c r="F1782" s="116">
        <v>1839.5</v>
      </c>
      <c r="G1782">
        <v>4381</v>
      </c>
      <c r="H1782" s="116"/>
      <c r="I1782" s="116"/>
      <c r="L1782" s="170">
        <v>46091</v>
      </c>
      <c r="M1782" s="116">
        <v>1849</v>
      </c>
      <c r="N1782" s="116">
        <v>1886.3</v>
      </c>
      <c r="O1782" s="116">
        <v>1833.8</v>
      </c>
      <c r="P1782" s="116">
        <v>1873.5</v>
      </c>
      <c r="Q1782" s="116">
        <v>1849</v>
      </c>
      <c r="R1782">
        <v>426509</v>
      </c>
    </row>
    <row r="1783" spans="1:18" x14ac:dyDescent="0.25">
      <c r="A1783" s="170">
        <v>46097</v>
      </c>
      <c r="B1783" s="116">
        <v>1868.65</v>
      </c>
      <c r="C1783" s="116">
        <v>1853.1</v>
      </c>
      <c r="D1783" s="116">
        <v>1802.4</v>
      </c>
      <c r="E1783" s="116">
        <v>1839.7</v>
      </c>
      <c r="F1783" s="116">
        <v>1853.1</v>
      </c>
      <c r="G1783">
        <v>4243</v>
      </c>
      <c r="H1783" s="116"/>
      <c r="I1783" s="116"/>
      <c r="L1783" s="170">
        <v>46092</v>
      </c>
      <c r="M1783" s="116">
        <v>1855.9</v>
      </c>
      <c r="N1783" s="116">
        <v>1883.9</v>
      </c>
      <c r="O1783" s="116">
        <v>1832.4</v>
      </c>
      <c r="P1783" s="116">
        <v>1840</v>
      </c>
      <c r="Q1783" s="116">
        <v>1855.9</v>
      </c>
      <c r="R1783">
        <v>393809</v>
      </c>
    </row>
    <row r="1784" spans="1:18" x14ac:dyDescent="0.25">
      <c r="A1784" s="170">
        <v>46098</v>
      </c>
      <c r="B1784" s="116">
        <v>1870.3</v>
      </c>
      <c r="C1784" s="116">
        <v>1854.9</v>
      </c>
      <c r="D1784" s="116">
        <v>1847.35</v>
      </c>
      <c r="E1784" s="116">
        <v>1870.3</v>
      </c>
      <c r="F1784" s="116">
        <v>1854.9</v>
      </c>
      <c r="G1784">
        <v>2966</v>
      </c>
      <c r="H1784" s="116"/>
      <c r="I1784" s="116"/>
      <c r="L1784" s="170">
        <v>46093</v>
      </c>
      <c r="M1784" s="116">
        <v>1894.5</v>
      </c>
      <c r="N1784" s="116">
        <v>1909.1</v>
      </c>
      <c r="O1784" s="116">
        <v>1825.1</v>
      </c>
      <c r="P1784" s="116">
        <v>1850</v>
      </c>
      <c r="Q1784" s="116">
        <v>1894.5</v>
      </c>
      <c r="R1784">
        <v>358226</v>
      </c>
    </row>
    <row r="1785" spans="1:18" x14ac:dyDescent="0.25">
      <c r="A1785" s="170">
        <v>46099</v>
      </c>
      <c r="B1785" s="116">
        <v>1940</v>
      </c>
      <c r="C1785" s="116">
        <v>1920.75</v>
      </c>
      <c r="D1785" s="116">
        <v>1854.9</v>
      </c>
      <c r="E1785" s="116">
        <v>1854.9</v>
      </c>
      <c r="F1785" s="116">
        <v>1920.75</v>
      </c>
      <c r="G1785">
        <v>1949</v>
      </c>
      <c r="H1785" s="116"/>
      <c r="I1785" s="116"/>
      <c r="L1785" s="170">
        <v>46094</v>
      </c>
      <c r="M1785" s="116">
        <v>1839.9</v>
      </c>
      <c r="N1785" s="116">
        <v>1908.8</v>
      </c>
      <c r="O1785" s="116">
        <v>1829.8</v>
      </c>
      <c r="P1785" s="116">
        <v>1895</v>
      </c>
      <c r="Q1785" s="116">
        <v>1839.9</v>
      </c>
      <c r="R1785">
        <v>159482</v>
      </c>
    </row>
    <row r="1786" spans="1:18" x14ac:dyDescent="0.25">
      <c r="A1786" s="170">
        <v>46100</v>
      </c>
      <c r="B1786" s="116">
        <v>1938</v>
      </c>
      <c r="C1786" s="116">
        <v>1831.15</v>
      </c>
      <c r="D1786" s="116">
        <v>1823.45</v>
      </c>
      <c r="E1786" s="116">
        <v>1938</v>
      </c>
      <c r="F1786" s="116">
        <v>1831.15</v>
      </c>
      <c r="G1786">
        <v>4076</v>
      </c>
      <c r="H1786" s="116"/>
      <c r="I1786" s="116"/>
      <c r="L1786" s="170">
        <v>46097</v>
      </c>
      <c r="M1786" s="116">
        <v>1853</v>
      </c>
      <c r="N1786" s="116">
        <v>1868</v>
      </c>
      <c r="O1786" s="116">
        <v>1803.6</v>
      </c>
      <c r="P1786" s="116">
        <v>1856</v>
      </c>
      <c r="Q1786" s="116">
        <v>1853</v>
      </c>
      <c r="R1786">
        <v>237882</v>
      </c>
    </row>
    <row r="1787" spans="1:18" x14ac:dyDescent="0.25">
      <c r="A1787" s="170">
        <v>46101</v>
      </c>
      <c r="B1787" s="116">
        <v>1879.95</v>
      </c>
      <c r="C1787" s="116">
        <v>1839.75</v>
      </c>
      <c r="D1787" s="116">
        <v>1829.65</v>
      </c>
      <c r="E1787" s="116">
        <v>1848</v>
      </c>
      <c r="F1787" s="116">
        <v>1839.75</v>
      </c>
      <c r="G1787">
        <v>3633</v>
      </c>
      <c r="H1787" s="116"/>
      <c r="I1787" s="116"/>
      <c r="L1787" s="170">
        <v>46098</v>
      </c>
      <c r="M1787" s="116">
        <v>1854.9</v>
      </c>
      <c r="N1787" s="116">
        <v>1871.3</v>
      </c>
      <c r="O1787" s="116">
        <v>1844.5</v>
      </c>
      <c r="P1787" s="116">
        <v>1871.3</v>
      </c>
      <c r="Q1787" s="116">
        <v>1854.9</v>
      </c>
      <c r="R1787">
        <v>99261</v>
      </c>
    </row>
    <row r="1788" spans="1:18" x14ac:dyDescent="0.25">
      <c r="A1788" s="170">
        <v>46104</v>
      </c>
      <c r="B1788" s="116">
        <v>1818.5</v>
      </c>
      <c r="C1788" s="116">
        <v>1740.25</v>
      </c>
      <c r="D1788" s="116">
        <v>1721.5</v>
      </c>
      <c r="E1788" s="116">
        <v>1804.5</v>
      </c>
      <c r="F1788" s="116">
        <v>1740.25</v>
      </c>
      <c r="G1788">
        <v>4746</v>
      </c>
      <c r="H1788" s="116"/>
      <c r="I1788" s="116"/>
      <c r="L1788" s="170">
        <v>46099</v>
      </c>
      <c r="M1788" s="116">
        <v>1916</v>
      </c>
      <c r="N1788" s="116">
        <v>1940</v>
      </c>
      <c r="O1788" s="116">
        <v>1853.5</v>
      </c>
      <c r="P1788" s="116">
        <v>1864.9</v>
      </c>
      <c r="Q1788" s="116">
        <v>1916</v>
      </c>
      <c r="R1788">
        <v>166496</v>
      </c>
    </row>
    <row r="1789" spans="1:18" x14ac:dyDescent="0.25">
      <c r="A1789" s="170">
        <v>46105</v>
      </c>
      <c r="B1789" s="116">
        <v>1811.8</v>
      </c>
      <c r="C1789" s="116">
        <v>1798.15</v>
      </c>
      <c r="D1789" s="116">
        <v>1735.75</v>
      </c>
      <c r="E1789" s="116">
        <v>1761.65</v>
      </c>
      <c r="F1789" s="116">
        <v>1798.15</v>
      </c>
      <c r="G1789">
        <v>400306</v>
      </c>
      <c r="H1789" s="116"/>
      <c r="I1789" s="116"/>
      <c r="L1789" s="170">
        <v>46100</v>
      </c>
      <c r="M1789" s="116">
        <v>1831.9</v>
      </c>
      <c r="N1789" s="116">
        <v>1910.5</v>
      </c>
      <c r="O1789" s="116">
        <v>1821</v>
      </c>
      <c r="P1789" s="116">
        <v>1910.4</v>
      </c>
      <c r="Q1789" s="116">
        <v>1831.9</v>
      </c>
      <c r="R1789">
        <v>274365</v>
      </c>
    </row>
    <row r="1790" spans="1:18" x14ac:dyDescent="0.25">
      <c r="A1790" s="170">
        <v>46106</v>
      </c>
      <c r="B1790" s="116">
        <v>1891.2</v>
      </c>
      <c r="C1790" s="116">
        <v>1886.15</v>
      </c>
      <c r="D1790" s="116">
        <v>1808.65</v>
      </c>
      <c r="E1790" s="116">
        <v>1817.95</v>
      </c>
      <c r="F1790" s="116">
        <v>1886.15</v>
      </c>
      <c r="G1790">
        <v>343963</v>
      </c>
      <c r="H1790" s="116"/>
      <c r="I1790" s="116"/>
      <c r="L1790" s="170">
        <v>46101</v>
      </c>
      <c r="M1790" s="116">
        <v>1841</v>
      </c>
      <c r="N1790" s="116">
        <v>1895</v>
      </c>
      <c r="O1790" s="116">
        <v>1825.3</v>
      </c>
      <c r="P1790" s="116">
        <v>1850</v>
      </c>
      <c r="Q1790" s="116">
        <v>1841</v>
      </c>
      <c r="R1790">
        <v>124129</v>
      </c>
    </row>
    <row r="1791" spans="1:18" x14ac:dyDescent="0.25">
      <c r="A1791" s="170">
        <v>46108</v>
      </c>
      <c r="B1791" s="116">
        <v>1873.55</v>
      </c>
      <c r="C1791" s="116">
        <v>1855.05</v>
      </c>
      <c r="D1791" s="116">
        <v>1828.4</v>
      </c>
      <c r="E1791" s="116">
        <v>1841.55</v>
      </c>
      <c r="F1791" s="116">
        <v>1855.05</v>
      </c>
      <c r="G1791">
        <v>8490</v>
      </c>
      <c r="H1791" s="116"/>
      <c r="I1791" s="116"/>
      <c r="L1791" s="170">
        <v>46104</v>
      </c>
      <c r="M1791" s="116">
        <v>1746.1</v>
      </c>
      <c r="N1791" s="116">
        <v>1831</v>
      </c>
      <c r="O1791" s="116">
        <v>1717.3</v>
      </c>
      <c r="P1791" s="116">
        <v>1821.3</v>
      </c>
      <c r="Q1791" s="116">
        <v>1746.1</v>
      </c>
      <c r="R1791">
        <v>434989</v>
      </c>
    </row>
    <row r="1792" spans="1:18" x14ac:dyDescent="0.25">
      <c r="A1792" s="170">
        <v>46111</v>
      </c>
      <c r="B1792" s="116">
        <v>1880</v>
      </c>
      <c r="C1792" s="116">
        <v>1775.95</v>
      </c>
      <c r="D1792" s="116">
        <v>1769.9</v>
      </c>
      <c r="E1792" s="116">
        <v>1880</v>
      </c>
      <c r="F1792" s="116">
        <v>1775.95</v>
      </c>
      <c r="G1792">
        <v>3061</v>
      </c>
      <c r="H1792" s="116"/>
      <c r="I1792" s="116"/>
      <c r="L1792" s="170">
        <v>46105</v>
      </c>
      <c r="M1792" s="116">
        <v>1792.9</v>
      </c>
      <c r="N1792" s="116">
        <v>1811.9</v>
      </c>
      <c r="O1792" s="116">
        <v>1735.9</v>
      </c>
      <c r="P1792" s="116">
        <v>1771</v>
      </c>
      <c r="Q1792" s="116">
        <v>1792.9</v>
      </c>
      <c r="R1792">
        <v>287065</v>
      </c>
    </row>
    <row r="1793" spans="1:18" x14ac:dyDescent="0.25">
      <c r="A1793" s="170">
        <v>46113</v>
      </c>
      <c r="B1793" s="116">
        <v>1885.65</v>
      </c>
      <c r="C1793" s="116">
        <v>1804.65</v>
      </c>
      <c r="D1793" s="116">
        <v>1793.55</v>
      </c>
      <c r="E1793" s="116">
        <v>1885.65</v>
      </c>
      <c r="F1793" s="116">
        <v>1804.65</v>
      </c>
      <c r="G1793">
        <v>1891</v>
      </c>
      <c r="H1793" s="116"/>
      <c r="I1793" s="116"/>
      <c r="L1793" s="170">
        <v>46106</v>
      </c>
      <c r="M1793" s="116">
        <v>1884</v>
      </c>
      <c r="N1793" s="116">
        <v>1894.9</v>
      </c>
      <c r="O1793" s="116">
        <v>1801.1</v>
      </c>
      <c r="P1793" s="116">
        <v>1820</v>
      </c>
      <c r="Q1793" s="116">
        <v>1884</v>
      </c>
      <c r="R1793">
        <v>234444</v>
      </c>
    </row>
    <row r="1794" spans="1:18" x14ac:dyDescent="0.25">
      <c r="A1794" s="170">
        <v>46114</v>
      </c>
      <c r="B1794" s="116">
        <v>1803.95</v>
      </c>
      <c r="C1794" s="116">
        <v>1793.8</v>
      </c>
      <c r="D1794" s="116">
        <v>1747.5</v>
      </c>
      <c r="E1794" s="116">
        <v>1803.95</v>
      </c>
      <c r="F1794" s="116">
        <v>1793.8</v>
      </c>
      <c r="G1794">
        <v>3540</v>
      </c>
      <c r="H1794" s="116"/>
      <c r="I1794" s="116"/>
      <c r="L1794" s="170">
        <v>46108</v>
      </c>
      <c r="M1794" s="116">
        <v>1857.4</v>
      </c>
      <c r="N1794" s="116">
        <v>1874.4</v>
      </c>
      <c r="O1794" s="116">
        <v>1826</v>
      </c>
      <c r="P1794" s="116">
        <v>1860</v>
      </c>
      <c r="Q1794" s="116">
        <v>1857.4</v>
      </c>
      <c r="R1794">
        <v>224197</v>
      </c>
    </row>
    <row r="1795" spans="1:18" x14ac:dyDescent="0.25">
      <c r="A1795" s="170">
        <v>46118</v>
      </c>
      <c r="B1795" s="116">
        <v>1889.95</v>
      </c>
      <c r="C1795" s="116">
        <v>1875.55</v>
      </c>
      <c r="D1795" s="116">
        <v>1781.45</v>
      </c>
      <c r="E1795" s="116">
        <v>1781.45</v>
      </c>
      <c r="F1795" s="116">
        <v>1875.55</v>
      </c>
      <c r="G1795">
        <v>4741</v>
      </c>
      <c r="H1795" s="116"/>
      <c r="I1795" s="116"/>
      <c r="L1795" s="170">
        <v>46111</v>
      </c>
      <c r="M1795" s="116">
        <v>1779.2</v>
      </c>
      <c r="N1795" s="116">
        <v>1838.1</v>
      </c>
      <c r="O1795" s="116">
        <v>1768.1</v>
      </c>
      <c r="P1795" s="116">
        <v>1838.1</v>
      </c>
      <c r="Q1795" s="116">
        <v>1779.2</v>
      </c>
      <c r="R1795">
        <v>290066</v>
      </c>
    </row>
    <row r="1796" spans="1:18" x14ac:dyDescent="0.25">
      <c r="A1796" s="170">
        <v>46119</v>
      </c>
      <c r="B1796" s="116">
        <v>1893</v>
      </c>
      <c r="C1796" s="116">
        <v>1835.05</v>
      </c>
      <c r="D1796" s="116">
        <v>1820.25</v>
      </c>
      <c r="E1796" s="116">
        <v>1893</v>
      </c>
      <c r="F1796" s="116">
        <v>1835.05</v>
      </c>
      <c r="G1796">
        <v>6642</v>
      </c>
      <c r="H1796" s="116"/>
      <c r="I1796" s="116"/>
      <c r="L1796" s="170">
        <v>46113</v>
      </c>
      <c r="M1796" s="116">
        <v>1806</v>
      </c>
      <c r="N1796" s="116">
        <v>1850</v>
      </c>
      <c r="O1796" s="116">
        <v>1791.7</v>
      </c>
      <c r="P1796" s="116">
        <v>1850</v>
      </c>
      <c r="Q1796" s="116">
        <v>1806</v>
      </c>
      <c r="R1796">
        <v>198990</v>
      </c>
    </row>
    <row r="1797" spans="1:18" x14ac:dyDescent="0.25">
      <c r="A1797" s="170">
        <v>46120</v>
      </c>
      <c r="B1797" s="116">
        <v>1955.25</v>
      </c>
      <c r="C1797" s="116">
        <v>1923</v>
      </c>
      <c r="D1797" s="116">
        <v>1890</v>
      </c>
      <c r="E1797" s="116">
        <v>1890</v>
      </c>
      <c r="F1797" s="116">
        <v>1923</v>
      </c>
      <c r="G1797">
        <v>125685</v>
      </c>
      <c r="H1797" s="116"/>
      <c r="I1797" s="116"/>
      <c r="L1797" s="170">
        <v>46114</v>
      </c>
      <c r="M1797" s="116">
        <v>1794.3</v>
      </c>
      <c r="N1797" s="116">
        <v>1805.6</v>
      </c>
      <c r="O1797" s="116">
        <v>1747.1</v>
      </c>
      <c r="P1797" s="116">
        <v>1801</v>
      </c>
      <c r="Q1797" s="116">
        <v>1794.3</v>
      </c>
      <c r="R1797">
        <v>117100</v>
      </c>
    </row>
    <row r="1798" spans="1:18" x14ac:dyDescent="0.25">
      <c r="A1798" s="170">
        <v>46121</v>
      </c>
      <c r="B1798" s="116">
        <v>1927.9</v>
      </c>
      <c r="C1798" s="116">
        <v>1911</v>
      </c>
      <c r="D1798" s="116">
        <v>1898</v>
      </c>
      <c r="E1798" s="116">
        <v>1900</v>
      </c>
      <c r="F1798" s="116">
        <v>1911</v>
      </c>
      <c r="G1798">
        <v>5150</v>
      </c>
      <c r="H1798" s="116"/>
      <c r="I1798" s="116"/>
      <c r="L1798" s="170">
        <v>46118</v>
      </c>
      <c r="M1798" s="116">
        <v>1875.4</v>
      </c>
      <c r="N1798" s="116">
        <v>1890</v>
      </c>
      <c r="O1798" s="116">
        <v>1771.1</v>
      </c>
      <c r="P1798" s="116">
        <v>1771.1</v>
      </c>
      <c r="Q1798" s="116">
        <v>1875.4</v>
      </c>
      <c r="R1798">
        <v>278559</v>
      </c>
    </row>
    <row r="1799" spans="1:18" x14ac:dyDescent="0.25">
      <c r="A1799" s="170">
        <v>46122</v>
      </c>
      <c r="B1799" s="116">
        <v>1975</v>
      </c>
      <c r="C1799" s="116">
        <v>1968.4</v>
      </c>
      <c r="D1799" s="116">
        <v>1906</v>
      </c>
      <c r="E1799" s="116">
        <v>1936.75</v>
      </c>
      <c r="F1799" s="116">
        <v>1968.4</v>
      </c>
      <c r="G1799">
        <v>6681</v>
      </c>
      <c r="H1799" s="116"/>
      <c r="I1799" s="116"/>
      <c r="L1799" s="170">
        <v>46119</v>
      </c>
      <c r="M1799" s="116">
        <v>1835.6</v>
      </c>
      <c r="N1799" s="116">
        <v>1887.8</v>
      </c>
      <c r="O1799" s="116">
        <v>1821</v>
      </c>
      <c r="P1799" s="116">
        <v>1879.9</v>
      </c>
      <c r="Q1799" s="116">
        <v>1835.6</v>
      </c>
      <c r="R1799">
        <v>269382</v>
      </c>
    </row>
    <row r="1800" spans="1:18" x14ac:dyDescent="0.25">
      <c r="A1800" s="170">
        <v>46125</v>
      </c>
      <c r="B1800" s="116">
        <v>1964</v>
      </c>
      <c r="C1800" s="116">
        <v>1947.95</v>
      </c>
      <c r="D1800" s="116">
        <v>1895.4</v>
      </c>
      <c r="E1800" s="116">
        <v>1964</v>
      </c>
      <c r="F1800" s="116">
        <v>1947.95</v>
      </c>
      <c r="G1800">
        <v>2751</v>
      </c>
      <c r="H1800" s="116"/>
      <c r="I1800" s="116"/>
      <c r="L1800" s="170">
        <v>46120</v>
      </c>
      <c r="M1800" s="116">
        <v>1922.6</v>
      </c>
      <c r="N1800" s="116">
        <v>1958.1</v>
      </c>
      <c r="O1800" s="116">
        <v>1887.9</v>
      </c>
      <c r="P1800" s="116">
        <v>1888</v>
      </c>
      <c r="Q1800" s="116">
        <v>1922.6</v>
      </c>
      <c r="R1800">
        <v>618388</v>
      </c>
    </row>
    <row r="1801" spans="1:18" x14ac:dyDescent="0.25">
      <c r="A1801" s="170">
        <v>46127</v>
      </c>
      <c r="B1801" s="116">
        <v>1992.2</v>
      </c>
      <c r="C1801" s="116">
        <v>1973.5</v>
      </c>
      <c r="D1801" s="116">
        <v>1947.95</v>
      </c>
      <c r="E1801" s="116">
        <v>1947.95</v>
      </c>
      <c r="F1801" s="116">
        <v>1973.5</v>
      </c>
      <c r="G1801">
        <v>11506</v>
      </c>
      <c r="H1801" s="116"/>
      <c r="I1801" s="116"/>
      <c r="L1801" s="170">
        <v>46121</v>
      </c>
      <c r="M1801" s="116">
        <v>1910.6</v>
      </c>
      <c r="N1801" s="116">
        <v>1935</v>
      </c>
      <c r="O1801" s="116">
        <v>1897.1</v>
      </c>
      <c r="P1801" s="116">
        <v>1920</v>
      </c>
      <c r="Q1801" s="116">
        <v>1910.6</v>
      </c>
      <c r="R1801">
        <v>93402</v>
      </c>
    </row>
    <row r="1802" spans="1:18" x14ac:dyDescent="0.25">
      <c r="A1802" s="170">
        <v>46128</v>
      </c>
      <c r="B1802" s="116">
        <v>1999.95</v>
      </c>
      <c r="C1802" s="116">
        <v>1973.3</v>
      </c>
      <c r="D1802" s="116">
        <v>1958.1</v>
      </c>
      <c r="E1802" s="116">
        <v>1999.95</v>
      </c>
      <c r="F1802" s="116">
        <v>1973.3</v>
      </c>
      <c r="G1802">
        <v>7406</v>
      </c>
      <c r="H1802" s="116"/>
      <c r="I1802" s="116"/>
      <c r="L1802" s="170">
        <v>46122</v>
      </c>
      <c r="M1802" s="116">
        <v>1968.7</v>
      </c>
      <c r="N1802" s="116">
        <v>1975.2</v>
      </c>
      <c r="O1802" s="116">
        <v>1900</v>
      </c>
      <c r="P1802" s="116">
        <v>1900</v>
      </c>
      <c r="Q1802" s="116">
        <v>1968.7</v>
      </c>
      <c r="R1802">
        <v>214635</v>
      </c>
    </row>
    <row r="1803" spans="1:18" x14ac:dyDescent="0.25">
      <c r="A1803" s="170">
        <v>46129</v>
      </c>
      <c r="B1803" s="116">
        <v>1989.85</v>
      </c>
      <c r="C1803" s="116">
        <v>1972.55</v>
      </c>
      <c r="D1803" s="116">
        <v>1964.7</v>
      </c>
      <c r="E1803" s="116">
        <v>1970.15</v>
      </c>
      <c r="F1803" s="116">
        <v>1972.55</v>
      </c>
      <c r="G1803">
        <v>2547</v>
      </c>
      <c r="H1803" s="116"/>
      <c r="I1803" s="116"/>
      <c r="L1803" s="170">
        <v>46125</v>
      </c>
      <c r="M1803" s="116">
        <v>1947.6</v>
      </c>
      <c r="N1803" s="116">
        <v>1959</v>
      </c>
      <c r="O1803" s="116">
        <v>1894.6</v>
      </c>
      <c r="P1803" s="116">
        <v>1917.2</v>
      </c>
      <c r="Q1803" s="116">
        <v>1947.6</v>
      </c>
      <c r="R1803">
        <v>279630</v>
      </c>
    </row>
    <row r="1804" spans="1:18" x14ac:dyDescent="0.25">
      <c r="A1804" s="170">
        <v>46132</v>
      </c>
      <c r="B1804" s="116">
        <v>2002.6</v>
      </c>
      <c r="C1804" s="116">
        <v>1979.45</v>
      </c>
      <c r="D1804" s="116">
        <v>1946.2</v>
      </c>
      <c r="E1804" s="116">
        <v>1984</v>
      </c>
      <c r="F1804" s="116">
        <v>1979.45</v>
      </c>
      <c r="G1804">
        <v>7195</v>
      </c>
      <c r="H1804" s="116"/>
      <c r="I1804" s="116"/>
      <c r="L1804" s="170">
        <v>46127</v>
      </c>
      <c r="M1804" s="116">
        <v>1974.6</v>
      </c>
      <c r="N1804" s="116">
        <v>1994</v>
      </c>
      <c r="O1804" s="116">
        <v>1961.7</v>
      </c>
      <c r="P1804" s="116">
        <v>1965</v>
      </c>
      <c r="Q1804" s="116">
        <v>1974.6</v>
      </c>
      <c r="R1804">
        <v>309119</v>
      </c>
    </row>
    <row r="1805" spans="1:18" x14ac:dyDescent="0.25">
      <c r="A1805" s="170">
        <v>46133</v>
      </c>
      <c r="B1805" s="116">
        <v>2003.4</v>
      </c>
      <c r="C1805" s="116">
        <v>1989.95</v>
      </c>
      <c r="D1805" s="116">
        <v>1980</v>
      </c>
      <c r="E1805" s="116">
        <v>1980</v>
      </c>
      <c r="F1805" s="116">
        <v>1989.95</v>
      </c>
      <c r="G1805">
        <v>4016</v>
      </c>
      <c r="H1805" s="116"/>
      <c r="I1805" s="116"/>
      <c r="L1805" s="170">
        <v>46128</v>
      </c>
      <c r="M1805" s="116">
        <v>1974.7</v>
      </c>
      <c r="N1805" s="116">
        <v>1994.7</v>
      </c>
      <c r="O1805" s="116">
        <v>1955.5</v>
      </c>
      <c r="P1805" s="116">
        <v>1994.3</v>
      </c>
      <c r="Q1805" s="116">
        <v>1974.7</v>
      </c>
      <c r="R1805">
        <v>151683</v>
      </c>
    </row>
    <row r="1806" spans="1:18" x14ac:dyDescent="0.25">
      <c r="A1806" s="170">
        <v>46134</v>
      </c>
      <c r="B1806" s="116">
        <v>2000.5</v>
      </c>
      <c r="C1806" s="116">
        <v>1992.7</v>
      </c>
      <c r="D1806" s="116">
        <v>1978.15</v>
      </c>
      <c r="E1806" s="116">
        <v>1989</v>
      </c>
      <c r="F1806" s="116">
        <v>1992.7</v>
      </c>
      <c r="G1806">
        <v>3215</v>
      </c>
      <c r="H1806" s="116"/>
      <c r="I1806" s="116"/>
      <c r="L1806" s="170">
        <v>46129</v>
      </c>
      <c r="M1806" s="116">
        <v>1971.7</v>
      </c>
      <c r="N1806" s="116">
        <v>1990</v>
      </c>
      <c r="O1806" s="116">
        <v>1960.8</v>
      </c>
      <c r="P1806" s="116">
        <v>1974.7</v>
      </c>
      <c r="Q1806" s="116">
        <v>1971.7</v>
      </c>
      <c r="R1806">
        <v>201706</v>
      </c>
    </row>
    <row r="1807" spans="1:18" x14ac:dyDescent="0.25">
      <c r="A1807" s="170">
        <v>46135</v>
      </c>
      <c r="B1807" s="116">
        <v>1989.25</v>
      </c>
      <c r="C1807" s="116">
        <v>1958.4</v>
      </c>
      <c r="D1807" s="116">
        <v>1946</v>
      </c>
      <c r="E1807" s="116">
        <v>1989.25</v>
      </c>
      <c r="F1807" s="116">
        <v>1958.4</v>
      </c>
      <c r="G1807">
        <v>7228</v>
      </c>
      <c r="H1807" s="116"/>
      <c r="I1807" s="116"/>
      <c r="L1807" s="170">
        <v>46132</v>
      </c>
      <c r="M1807" s="116">
        <v>1981.8</v>
      </c>
      <c r="N1807" s="116">
        <v>2001.7</v>
      </c>
      <c r="O1807" s="116">
        <v>1941.1</v>
      </c>
      <c r="P1807" s="116">
        <v>1984.9</v>
      </c>
      <c r="Q1807" s="116">
        <v>1981.8</v>
      </c>
      <c r="R1807">
        <v>193615</v>
      </c>
    </row>
    <row r="1808" spans="1:18" x14ac:dyDescent="0.25">
      <c r="A1808" s="170">
        <v>46136</v>
      </c>
      <c r="B1808" s="116">
        <v>1973.4</v>
      </c>
      <c r="C1808" s="116">
        <v>1962.1</v>
      </c>
      <c r="D1808" s="116">
        <v>1922.15</v>
      </c>
      <c r="E1808" s="116">
        <v>1969.3</v>
      </c>
      <c r="F1808" s="116">
        <v>1962.1</v>
      </c>
      <c r="G1808">
        <v>3988</v>
      </c>
      <c r="H1808" s="116"/>
      <c r="I1808" s="116"/>
      <c r="L1808" s="170">
        <v>46133</v>
      </c>
      <c r="M1808" s="116">
        <v>1990</v>
      </c>
      <c r="N1808" s="116">
        <v>2001</v>
      </c>
      <c r="O1808" s="116">
        <v>1982.6</v>
      </c>
      <c r="P1808" s="116">
        <v>1994</v>
      </c>
      <c r="Q1808" s="116">
        <v>1990</v>
      </c>
      <c r="R1808">
        <v>204554</v>
      </c>
    </row>
    <row r="1809" spans="1:18" x14ac:dyDescent="0.25">
      <c r="A1809" s="170">
        <v>46139</v>
      </c>
      <c r="B1809" s="116">
        <v>2001</v>
      </c>
      <c r="C1809" s="116">
        <v>1973.5</v>
      </c>
      <c r="D1809" s="116">
        <v>1962.25</v>
      </c>
      <c r="E1809" s="116">
        <v>1962.3</v>
      </c>
      <c r="F1809" s="116">
        <v>1973.5</v>
      </c>
      <c r="G1809">
        <v>4962</v>
      </c>
      <c r="H1809" s="116"/>
      <c r="I1809" s="116"/>
      <c r="L1809" s="170">
        <v>46134</v>
      </c>
      <c r="M1809" s="116">
        <v>1992.8</v>
      </c>
      <c r="N1809" s="116">
        <v>2003.5</v>
      </c>
      <c r="O1809" s="116">
        <v>1975</v>
      </c>
      <c r="P1809" s="116">
        <v>1985</v>
      </c>
      <c r="Q1809" s="116">
        <v>1992.8</v>
      </c>
      <c r="R1809">
        <v>139799</v>
      </c>
    </row>
    <row r="1810" spans="1:18" x14ac:dyDescent="0.25">
      <c r="A1810" s="170">
        <v>46140</v>
      </c>
      <c r="B1810" s="116">
        <v>1981.35</v>
      </c>
      <c r="C1810" s="116">
        <v>1923.8</v>
      </c>
      <c r="D1810" s="116">
        <v>1886.5</v>
      </c>
      <c r="E1810" s="116">
        <v>1972</v>
      </c>
      <c r="F1810" s="116">
        <v>1923.8</v>
      </c>
      <c r="G1810">
        <v>24821</v>
      </c>
      <c r="H1810" s="116"/>
      <c r="I1810" s="116"/>
      <c r="L1810" s="170">
        <v>46135</v>
      </c>
      <c r="M1810" s="116">
        <v>1958.8</v>
      </c>
      <c r="N1810" s="116">
        <v>2004.4</v>
      </c>
      <c r="O1810" s="116">
        <v>1944.7</v>
      </c>
      <c r="P1810" s="116">
        <v>2004.4</v>
      </c>
      <c r="Q1810" s="116">
        <v>1958.8</v>
      </c>
      <c r="R1810">
        <v>151621</v>
      </c>
    </row>
    <row r="1811" spans="1:18" x14ac:dyDescent="0.25">
      <c r="A1811" s="170">
        <v>46141</v>
      </c>
      <c r="B1811" s="116">
        <v>1980</v>
      </c>
      <c r="C1811" s="116">
        <v>1947.75</v>
      </c>
      <c r="D1811" s="116">
        <v>1920.1</v>
      </c>
      <c r="E1811" s="116">
        <v>1920.15</v>
      </c>
      <c r="F1811" s="116">
        <v>1947.75</v>
      </c>
      <c r="G1811">
        <v>13804</v>
      </c>
      <c r="H1811" s="116"/>
      <c r="I1811" s="116"/>
      <c r="L1811" s="170">
        <v>46136</v>
      </c>
      <c r="M1811" s="116">
        <v>1962.5</v>
      </c>
      <c r="N1811" s="116">
        <v>1975.2</v>
      </c>
      <c r="O1811" s="116">
        <v>1919.1</v>
      </c>
      <c r="P1811" s="116">
        <v>1971</v>
      </c>
      <c r="Q1811" s="116">
        <v>1962.5</v>
      </c>
      <c r="R1811">
        <v>150231</v>
      </c>
    </row>
    <row r="1812" spans="1:18" x14ac:dyDescent="0.25">
      <c r="A1812" s="170">
        <v>46142</v>
      </c>
      <c r="B1812" s="116">
        <v>1976.95</v>
      </c>
      <c r="C1812" s="116">
        <v>1906.5</v>
      </c>
      <c r="D1812" s="116">
        <v>1898.5</v>
      </c>
      <c r="E1812" s="116">
        <v>1976.95</v>
      </c>
      <c r="F1812" s="116">
        <v>1906.5</v>
      </c>
      <c r="G1812">
        <v>11078</v>
      </c>
      <c r="H1812" s="116"/>
      <c r="I1812" s="116"/>
      <c r="L1812" s="170">
        <v>46139</v>
      </c>
      <c r="M1812" s="116">
        <v>1972.7</v>
      </c>
      <c r="N1812" s="116">
        <v>1999.8</v>
      </c>
      <c r="O1812" s="116">
        <v>1960.2</v>
      </c>
      <c r="P1812" s="116">
        <v>1964.7</v>
      </c>
      <c r="Q1812" s="116">
        <v>1972.7</v>
      </c>
      <c r="R1812">
        <v>281222</v>
      </c>
    </row>
    <row r="1813" spans="1:18" x14ac:dyDescent="0.25">
      <c r="A1813" s="170">
        <v>46146</v>
      </c>
      <c r="B1813" s="116">
        <v>2005.25</v>
      </c>
      <c r="C1813" s="116">
        <v>1982.7</v>
      </c>
      <c r="D1813" s="116">
        <v>1906.35</v>
      </c>
      <c r="E1813" s="116">
        <v>1906.35</v>
      </c>
      <c r="F1813" s="116">
        <v>1982.7</v>
      </c>
      <c r="G1813">
        <v>16487</v>
      </c>
      <c r="H1813" s="116"/>
      <c r="I1813" s="116"/>
      <c r="L1813" s="170">
        <v>46140</v>
      </c>
      <c r="M1813" s="116">
        <v>1918.8</v>
      </c>
      <c r="N1813" s="116">
        <v>1982.6</v>
      </c>
      <c r="O1813" s="116">
        <v>1884</v>
      </c>
      <c r="P1813" s="116">
        <v>1982.5</v>
      </c>
      <c r="Q1813" s="116">
        <v>1918.8</v>
      </c>
      <c r="R1813">
        <v>923966</v>
      </c>
    </row>
    <row r="1814" spans="1:18" x14ac:dyDescent="0.25">
      <c r="A1814" s="170">
        <v>46147</v>
      </c>
      <c r="B1814" s="116">
        <v>1984.2</v>
      </c>
      <c r="C1814" s="116">
        <v>1968.15</v>
      </c>
      <c r="D1814" s="116">
        <v>1950</v>
      </c>
      <c r="E1814" s="116">
        <v>1966.15</v>
      </c>
      <c r="F1814" s="116">
        <v>1968.15</v>
      </c>
      <c r="G1814">
        <v>4487</v>
      </c>
      <c r="H1814" s="116"/>
      <c r="I1814" s="116"/>
      <c r="L1814" s="170">
        <v>46141</v>
      </c>
      <c r="M1814" s="116">
        <v>1949.7</v>
      </c>
      <c r="N1814" s="116">
        <v>1980</v>
      </c>
      <c r="O1814" s="116">
        <v>1918</v>
      </c>
      <c r="P1814" s="116">
        <v>1920.9</v>
      </c>
      <c r="Q1814" s="116">
        <v>1949.7</v>
      </c>
      <c r="R1814">
        <v>419247</v>
      </c>
    </row>
    <row r="1815" spans="1:18" x14ac:dyDescent="0.25">
      <c r="A1815" s="170">
        <v>46148</v>
      </c>
      <c r="B1815" s="116">
        <v>1992.6</v>
      </c>
      <c r="C1815" s="116">
        <v>1976.75</v>
      </c>
      <c r="D1815" s="116">
        <v>1930.05</v>
      </c>
      <c r="E1815" s="116">
        <v>1930.05</v>
      </c>
      <c r="F1815" s="116">
        <v>1976.75</v>
      </c>
      <c r="G1815">
        <v>20053</v>
      </c>
      <c r="H1815" s="116"/>
      <c r="I1815" s="116"/>
      <c r="L1815" s="170">
        <v>46142</v>
      </c>
      <c r="M1815" s="116">
        <v>1906.3</v>
      </c>
      <c r="N1815" s="116">
        <v>1966</v>
      </c>
      <c r="O1815" s="116">
        <v>1897.2</v>
      </c>
      <c r="P1815" s="116">
        <v>1959</v>
      </c>
      <c r="Q1815" s="116">
        <v>1906.3</v>
      </c>
      <c r="R1815">
        <v>275052</v>
      </c>
    </row>
    <row r="1816" spans="1:18" x14ac:dyDescent="0.25">
      <c r="A1816" s="170">
        <v>46149</v>
      </c>
      <c r="B1816" s="116">
        <v>1991.15</v>
      </c>
      <c r="C1816" s="116">
        <v>1973.95</v>
      </c>
      <c r="D1816" s="116">
        <v>1960</v>
      </c>
      <c r="E1816" s="116">
        <v>1980.8</v>
      </c>
      <c r="F1816" s="116">
        <v>1973.95</v>
      </c>
      <c r="G1816">
        <v>5428</v>
      </c>
      <c r="H1816" s="116"/>
      <c r="I1816" s="116"/>
      <c r="L1816" s="170">
        <v>46146</v>
      </c>
      <c r="M1816" s="116">
        <v>1983.3</v>
      </c>
      <c r="N1816" s="116">
        <v>2007.6</v>
      </c>
      <c r="O1816" s="116">
        <v>1920.6</v>
      </c>
      <c r="P1816" s="116">
        <v>1928.7</v>
      </c>
      <c r="Q1816" s="116">
        <v>1983.3</v>
      </c>
      <c r="R1816">
        <v>409383</v>
      </c>
    </row>
    <row r="1817" spans="1:18" x14ac:dyDescent="0.25">
      <c r="A1817" s="170">
        <v>46150</v>
      </c>
      <c r="B1817" s="116">
        <v>1971.55</v>
      </c>
      <c r="C1817" s="116">
        <v>1830.3</v>
      </c>
      <c r="D1817" s="116">
        <v>1815</v>
      </c>
      <c r="E1817" s="116">
        <v>1955.25</v>
      </c>
      <c r="F1817" s="116">
        <v>1830.3</v>
      </c>
      <c r="G1817">
        <v>50932</v>
      </c>
      <c r="H1817" s="116"/>
      <c r="I1817" s="116"/>
      <c r="L1817" s="170">
        <v>46147</v>
      </c>
      <c r="M1817" s="116">
        <v>1968.1</v>
      </c>
      <c r="N1817" s="116">
        <v>1987.5</v>
      </c>
      <c r="O1817" s="116">
        <v>1948.3</v>
      </c>
      <c r="P1817" s="116">
        <v>1982.9</v>
      </c>
      <c r="Q1817" s="116">
        <v>1968.1</v>
      </c>
      <c r="R1817">
        <v>331512</v>
      </c>
    </row>
    <row r="1818" spans="1:18" x14ac:dyDescent="0.25">
      <c r="A1818" s="170">
        <v>46153</v>
      </c>
      <c r="B1818" s="116">
        <v>1839.85</v>
      </c>
      <c r="C1818" s="116">
        <v>1769.8</v>
      </c>
      <c r="D1818" s="116">
        <v>1760.95</v>
      </c>
      <c r="E1818" s="116">
        <v>1823.05</v>
      </c>
      <c r="F1818" s="116">
        <v>1769.8</v>
      </c>
      <c r="G1818">
        <v>39846</v>
      </c>
      <c r="H1818" s="116"/>
      <c r="I1818" s="116"/>
      <c r="L1818" s="170">
        <v>46148</v>
      </c>
      <c r="M1818" s="116">
        <v>1974.6</v>
      </c>
      <c r="N1818" s="116">
        <v>1993.5</v>
      </c>
      <c r="O1818" s="116">
        <v>1939.2</v>
      </c>
      <c r="P1818" s="116">
        <v>1968.1</v>
      </c>
      <c r="Q1818" s="116">
        <v>1974.6</v>
      </c>
      <c r="R1818">
        <v>131806</v>
      </c>
    </row>
    <row r="1819" spans="1:18" x14ac:dyDescent="0.25">
      <c r="A1819" s="170">
        <v>46154</v>
      </c>
      <c r="B1819" s="116">
        <v>1802.3</v>
      </c>
      <c r="C1819" s="116">
        <v>1781.8</v>
      </c>
      <c r="D1819" s="116">
        <v>1761</v>
      </c>
      <c r="E1819" s="116">
        <v>1765.2</v>
      </c>
      <c r="F1819" s="116">
        <v>1781.8</v>
      </c>
      <c r="G1819">
        <v>7916</v>
      </c>
      <c r="H1819" s="116"/>
      <c r="I1819" s="116"/>
      <c r="L1819" s="170">
        <v>46149</v>
      </c>
      <c r="M1819" s="116">
        <v>1974.3</v>
      </c>
      <c r="N1819" s="116">
        <v>1993.9</v>
      </c>
      <c r="O1819" s="116">
        <v>1959.5</v>
      </c>
      <c r="P1819" s="116">
        <v>1989.5</v>
      </c>
      <c r="Q1819" s="116">
        <v>1974.3</v>
      </c>
      <c r="R1819">
        <v>262291</v>
      </c>
    </row>
    <row r="1820" spans="1:18" x14ac:dyDescent="0.25">
      <c r="A1820" s="170">
        <v>46155</v>
      </c>
      <c r="B1820" s="116">
        <v>1793.15</v>
      </c>
      <c r="C1820" s="116">
        <v>1776.7</v>
      </c>
      <c r="D1820" s="116">
        <v>1746</v>
      </c>
      <c r="E1820" s="116">
        <v>1793.15</v>
      </c>
      <c r="F1820" s="116">
        <v>1776.7</v>
      </c>
      <c r="G1820">
        <v>11428</v>
      </c>
      <c r="H1820" s="116"/>
      <c r="I1820" s="116"/>
      <c r="L1820" s="170">
        <v>46150</v>
      </c>
      <c r="M1820" s="116">
        <v>1823.6</v>
      </c>
      <c r="N1820" s="116">
        <v>1977.5</v>
      </c>
      <c r="O1820" s="116">
        <v>1813.6</v>
      </c>
      <c r="P1820" s="116">
        <v>1974.3</v>
      </c>
      <c r="Q1820" s="116">
        <v>1823.6</v>
      </c>
      <c r="R1820">
        <v>1694264</v>
      </c>
    </row>
    <row r="1821" spans="1:18" x14ac:dyDescent="0.25">
      <c r="A1821" s="170">
        <v>46156</v>
      </c>
      <c r="B1821" s="116">
        <v>1808.9</v>
      </c>
      <c r="C1821" s="116">
        <v>1764.1</v>
      </c>
      <c r="D1821" s="116">
        <v>1741</v>
      </c>
      <c r="E1821" s="116">
        <v>1808.9</v>
      </c>
      <c r="F1821" s="116">
        <v>1764.1</v>
      </c>
      <c r="G1821">
        <v>9152</v>
      </c>
      <c r="H1821" s="116"/>
      <c r="I1821" s="116"/>
      <c r="L1821" s="170">
        <v>46153</v>
      </c>
      <c r="M1821" s="116">
        <v>1772.2</v>
      </c>
      <c r="N1821" s="116">
        <v>1834.8</v>
      </c>
      <c r="O1821" s="116">
        <v>1761</v>
      </c>
      <c r="P1821" s="116">
        <v>1825</v>
      </c>
      <c r="Q1821" s="116">
        <v>1772.2</v>
      </c>
      <c r="R1821">
        <v>1489584</v>
      </c>
    </row>
    <row r="1822" spans="1:18" x14ac:dyDescent="0.25">
      <c r="A1822" s="170">
        <v>46157</v>
      </c>
      <c r="B1822" s="116">
        <v>1765</v>
      </c>
      <c r="C1822" s="116">
        <v>1726.4</v>
      </c>
      <c r="D1822" s="116">
        <v>1720.2</v>
      </c>
      <c r="E1822" s="116">
        <v>1764.25</v>
      </c>
      <c r="F1822" s="116">
        <v>1726.4</v>
      </c>
      <c r="G1822">
        <v>41152</v>
      </c>
      <c r="H1822" s="116"/>
      <c r="I1822" s="116"/>
      <c r="L1822" s="170">
        <v>46154</v>
      </c>
      <c r="M1822" s="116">
        <v>1781.2</v>
      </c>
      <c r="N1822" s="116">
        <v>1803.4</v>
      </c>
      <c r="O1822" s="116">
        <v>1760.6</v>
      </c>
      <c r="P1822" s="116">
        <v>1772.2</v>
      </c>
      <c r="Q1822" s="116">
        <v>1781.2</v>
      </c>
      <c r="R1822">
        <v>485324</v>
      </c>
    </row>
    <row r="1823" spans="1:18" x14ac:dyDescent="0.25">
      <c r="A1823" s="170">
        <v>46160</v>
      </c>
      <c r="B1823" s="116">
        <v>1733.8</v>
      </c>
      <c r="C1823" s="116">
        <v>1712.85</v>
      </c>
      <c r="D1823" s="116">
        <v>1675.45</v>
      </c>
      <c r="E1823" s="116">
        <v>1733.8</v>
      </c>
      <c r="F1823" s="116">
        <v>1712.85</v>
      </c>
      <c r="G1823">
        <v>12343</v>
      </c>
      <c r="H1823" s="116"/>
      <c r="I1823" s="116"/>
      <c r="L1823" s="170">
        <v>46155</v>
      </c>
      <c r="M1823" s="116">
        <v>1776.9</v>
      </c>
      <c r="N1823" s="116">
        <v>1793.6</v>
      </c>
      <c r="O1823" s="116">
        <v>1745.2</v>
      </c>
      <c r="P1823" s="116">
        <v>1781.2</v>
      </c>
      <c r="Q1823" s="116">
        <v>1776.9</v>
      </c>
      <c r="R1823">
        <v>296751</v>
      </c>
    </row>
    <row r="1824" spans="1:18" x14ac:dyDescent="0.25">
      <c r="A1824" s="170">
        <v>46161</v>
      </c>
      <c r="B1824" s="116">
        <v>1728.1</v>
      </c>
      <c r="C1824" s="116">
        <v>1714.3</v>
      </c>
      <c r="D1824" s="116">
        <v>1697</v>
      </c>
      <c r="E1824" s="116">
        <v>1712.25</v>
      </c>
      <c r="F1824" s="116">
        <v>1714.3</v>
      </c>
      <c r="G1824">
        <v>10625</v>
      </c>
      <c r="H1824" s="116"/>
      <c r="I1824" s="116"/>
      <c r="L1824" s="170">
        <v>46156</v>
      </c>
      <c r="M1824" s="116">
        <v>1764.7</v>
      </c>
      <c r="N1824" s="116">
        <v>1790</v>
      </c>
      <c r="O1824" s="116">
        <v>1740.1</v>
      </c>
      <c r="P1824" s="116">
        <v>1790</v>
      </c>
      <c r="Q1824" s="116">
        <v>1764.7</v>
      </c>
      <c r="R1824">
        <v>498067</v>
      </c>
    </row>
    <row r="1825" spans="1:18" x14ac:dyDescent="0.25">
      <c r="A1825" s="170">
        <v>46162</v>
      </c>
      <c r="B1825" s="116">
        <v>1715.2</v>
      </c>
      <c r="C1825" s="116">
        <v>1706.7</v>
      </c>
      <c r="D1825" s="116">
        <v>1694.8</v>
      </c>
      <c r="E1825" s="116">
        <v>1701.55</v>
      </c>
      <c r="F1825" s="116">
        <v>1706.7</v>
      </c>
      <c r="G1825">
        <v>7556</v>
      </c>
      <c r="H1825" s="116"/>
      <c r="I1825" s="116"/>
      <c r="L1825" s="170">
        <v>46157</v>
      </c>
      <c r="M1825" s="116">
        <v>1727.5</v>
      </c>
      <c r="N1825" s="116">
        <v>1770.5</v>
      </c>
      <c r="O1825" s="116">
        <v>1720.1</v>
      </c>
      <c r="P1825" s="116">
        <v>1770</v>
      </c>
      <c r="Q1825" s="116">
        <v>1727.5</v>
      </c>
      <c r="R1825">
        <v>261169</v>
      </c>
    </row>
    <row r="1826" spans="1:18" x14ac:dyDescent="0.25">
      <c r="A1826" s="170">
        <v>46163</v>
      </c>
      <c r="B1826" s="116">
        <v>1752.55</v>
      </c>
      <c r="C1826" s="116">
        <v>1746.8</v>
      </c>
      <c r="D1826" s="116">
        <v>1706.85</v>
      </c>
      <c r="E1826" s="116">
        <v>1706.85</v>
      </c>
      <c r="F1826" s="116">
        <v>1746.8</v>
      </c>
      <c r="G1826">
        <v>11770</v>
      </c>
      <c r="H1826" s="116"/>
      <c r="I1826" s="116"/>
      <c r="L1826" s="170">
        <v>46160</v>
      </c>
      <c r="M1826" s="116">
        <v>1712.6</v>
      </c>
      <c r="N1826" s="116">
        <v>1728</v>
      </c>
      <c r="O1826" s="116">
        <v>1675.1</v>
      </c>
      <c r="P1826" s="116">
        <v>1727.9</v>
      </c>
      <c r="Q1826" s="116">
        <v>1712.6</v>
      </c>
      <c r="R1826">
        <v>306741</v>
      </c>
    </row>
    <row r="1827" spans="1:18" x14ac:dyDescent="0.25">
      <c r="A1827" s="170">
        <v>46164</v>
      </c>
      <c r="B1827" s="116">
        <v>1806</v>
      </c>
      <c r="C1827" s="116">
        <v>1796.95</v>
      </c>
      <c r="D1827" s="116">
        <v>1768</v>
      </c>
      <c r="E1827" s="116">
        <v>1792.25</v>
      </c>
      <c r="F1827" s="116">
        <v>1796.95</v>
      </c>
      <c r="G1827">
        <v>33129</v>
      </c>
      <c r="H1827" s="116"/>
      <c r="I1827" s="116"/>
      <c r="L1827" s="170">
        <v>46161</v>
      </c>
      <c r="M1827" s="116">
        <v>1713.8</v>
      </c>
      <c r="N1827" s="116">
        <v>1729.7</v>
      </c>
      <c r="O1827" s="116">
        <v>1697.2</v>
      </c>
      <c r="P1827" s="116">
        <v>1729.5</v>
      </c>
      <c r="Q1827" s="116">
        <v>1713.8</v>
      </c>
      <c r="R1827">
        <v>326085</v>
      </c>
    </row>
    <row r="1828" spans="1:18" x14ac:dyDescent="0.25">
      <c r="A1828" s="170">
        <v>46167</v>
      </c>
      <c r="B1828" s="116">
        <v>1842.4</v>
      </c>
      <c r="C1828" s="116">
        <v>1822.25</v>
      </c>
      <c r="D1828" s="116">
        <v>1794.9</v>
      </c>
      <c r="E1828" s="116">
        <v>1814.4</v>
      </c>
      <c r="F1828" s="116">
        <v>1822.25</v>
      </c>
      <c r="G1828">
        <v>14294</v>
      </c>
      <c r="H1828" s="116"/>
      <c r="I1828" s="116"/>
      <c r="L1828" s="170">
        <v>46162</v>
      </c>
      <c r="M1828" s="116">
        <v>1706.8</v>
      </c>
      <c r="N1828" s="116">
        <v>1716.7</v>
      </c>
      <c r="O1828" s="116">
        <v>1694.1</v>
      </c>
      <c r="P1828" s="116">
        <v>1713.8</v>
      </c>
      <c r="Q1828" s="116">
        <v>1706.8</v>
      </c>
      <c r="R1828">
        <v>165926</v>
      </c>
    </row>
    <row r="1829" spans="1:18" x14ac:dyDescent="0.25">
      <c r="A1829" s="170">
        <v>46168</v>
      </c>
      <c r="B1829" s="116">
        <v>1847.3</v>
      </c>
      <c r="C1829" s="116">
        <v>1786.15</v>
      </c>
      <c r="D1829" s="116">
        <v>1781.15</v>
      </c>
      <c r="E1829" s="116">
        <v>1847.3</v>
      </c>
      <c r="F1829" s="116">
        <v>1786.15</v>
      </c>
      <c r="G1829">
        <v>3647</v>
      </c>
      <c r="H1829" s="116"/>
      <c r="I1829" s="116"/>
      <c r="L1829" s="170">
        <v>46163</v>
      </c>
      <c r="M1829" s="116">
        <v>1747.8</v>
      </c>
      <c r="N1829" s="116">
        <v>1754.1</v>
      </c>
      <c r="O1829" s="116">
        <v>1708.6</v>
      </c>
      <c r="P1829" s="116">
        <v>1725</v>
      </c>
      <c r="Q1829" s="116">
        <v>1747.8</v>
      </c>
      <c r="R1829">
        <v>293692</v>
      </c>
    </row>
    <row r="1830" spans="1:18" x14ac:dyDescent="0.25">
      <c r="A1830" s="170">
        <v>46169</v>
      </c>
      <c r="B1830" s="116">
        <v>1803.7</v>
      </c>
      <c r="C1830" s="116">
        <v>1792.5</v>
      </c>
      <c r="D1830" s="116">
        <v>1784</v>
      </c>
      <c r="E1830" s="116">
        <v>1786.4</v>
      </c>
      <c r="F1830" s="116">
        <v>1792.5</v>
      </c>
      <c r="G1830">
        <v>3804</v>
      </c>
      <c r="H1830" s="116"/>
      <c r="I1830" s="116"/>
      <c r="L1830" s="170">
        <v>46164</v>
      </c>
      <c r="M1830" s="116">
        <v>1795.6</v>
      </c>
      <c r="N1830" s="116">
        <v>1807</v>
      </c>
      <c r="O1830" s="116">
        <v>1767.2</v>
      </c>
      <c r="P1830" s="116">
        <v>1786</v>
      </c>
      <c r="Q1830" s="116">
        <v>1795.6</v>
      </c>
      <c r="R1830">
        <v>583886</v>
      </c>
    </row>
    <row r="1831" spans="1:18" x14ac:dyDescent="0.25">
      <c r="A1831" s="170">
        <v>46171</v>
      </c>
      <c r="B1831" s="116">
        <v>1803.15</v>
      </c>
      <c r="C1831" s="116">
        <v>1751.15</v>
      </c>
      <c r="D1831" s="116">
        <v>1740.95</v>
      </c>
      <c r="E1831" s="116">
        <v>1792.85</v>
      </c>
      <c r="F1831" s="116">
        <v>1751.15</v>
      </c>
      <c r="G1831">
        <v>5412</v>
      </c>
      <c r="H1831" s="116"/>
      <c r="I1831" s="116"/>
      <c r="L1831" s="170">
        <v>46167</v>
      </c>
      <c r="M1831" s="116">
        <v>1822.6</v>
      </c>
      <c r="N1831" s="116">
        <v>1844.4</v>
      </c>
      <c r="O1831" s="116">
        <v>1793</v>
      </c>
      <c r="P1831" s="116">
        <v>1796.7</v>
      </c>
      <c r="Q1831" s="116">
        <v>1822.6</v>
      </c>
      <c r="R1831">
        <v>332543</v>
      </c>
    </row>
    <row r="1832" spans="1:18" x14ac:dyDescent="0.25">
      <c r="A1832" s="170">
        <v>46174</v>
      </c>
      <c r="B1832" s="116">
        <v>1773</v>
      </c>
      <c r="C1832" s="116">
        <v>1745.75</v>
      </c>
      <c r="D1832" s="116">
        <v>1737.1</v>
      </c>
      <c r="E1832" s="116">
        <v>1737.1</v>
      </c>
      <c r="F1832" s="116">
        <v>1745.75</v>
      </c>
      <c r="G1832">
        <v>6715</v>
      </c>
      <c r="H1832" s="116"/>
      <c r="I1832" s="116"/>
      <c r="L1832" s="170">
        <v>46168</v>
      </c>
      <c r="M1832" s="116">
        <v>1785.6</v>
      </c>
      <c r="N1832" s="116">
        <v>1822.6</v>
      </c>
      <c r="O1832" s="116">
        <v>1781.6</v>
      </c>
      <c r="P1832" s="116">
        <v>1822.6</v>
      </c>
      <c r="Q1832" s="116">
        <v>1785.6</v>
      </c>
      <c r="R1832">
        <v>291712</v>
      </c>
    </row>
    <row r="1833" spans="1:18" x14ac:dyDescent="0.25">
      <c r="A1833" s="170">
        <v>46175</v>
      </c>
      <c r="B1833" s="116">
        <v>1761.9</v>
      </c>
      <c r="C1833" s="116">
        <v>1750.55</v>
      </c>
      <c r="D1833" s="116">
        <v>1724</v>
      </c>
      <c r="E1833" s="116">
        <v>1739.05</v>
      </c>
      <c r="F1833" s="116">
        <v>1750.55</v>
      </c>
      <c r="G1833">
        <v>3579</v>
      </c>
      <c r="H1833" s="116"/>
      <c r="I1833" s="116"/>
      <c r="L1833" s="170">
        <v>46169</v>
      </c>
      <c r="M1833" s="116">
        <v>1792.1</v>
      </c>
      <c r="N1833" s="116">
        <v>1804.4</v>
      </c>
      <c r="O1833" s="116">
        <v>1783.4</v>
      </c>
      <c r="P1833" s="116">
        <v>1785.6</v>
      </c>
      <c r="Q1833" s="116">
        <v>1792.1</v>
      </c>
      <c r="R1833">
        <v>127054</v>
      </c>
    </row>
    <row r="1834" spans="1:18" x14ac:dyDescent="0.25">
      <c r="A1834" s="170">
        <v>46176</v>
      </c>
      <c r="B1834" s="116">
        <v>1765.5</v>
      </c>
      <c r="C1834" s="116">
        <v>1722.55</v>
      </c>
      <c r="D1834" s="116">
        <v>1698.1</v>
      </c>
      <c r="E1834" s="116">
        <v>1765.5</v>
      </c>
      <c r="F1834" s="116">
        <v>1722.55</v>
      </c>
      <c r="G1834">
        <v>5354</v>
      </c>
      <c r="H1834" s="116"/>
      <c r="I1834" s="116"/>
      <c r="L1834" s="170">
        <v>46171</v>
      </c>
      <c r="M1834" s="116">
        <v>1748.2</v>
      </c>
      <c r="N1834" s="116">
        <v>1807</v>
      </c>
      <c r="O1834" s="116">
        <v>1739</v>
      </c>
      <c r="P1834" s="116">
        <v>1799.9</v>
      </c>
      <c r="Q1834" s="116">
        <v>1748.2</v>
      </c>
      <c r="R1834">
        <v>247902</v>
      </c>
    </row>
    <row r="1835" spans="1:18" x14ac:dyDescent="0.25">
      <c r="A1835" s="170">
        <v>46177</v>
      </c>
      <c r="B1835" s="116">
        <v>1735.4</v>
      </c>
      <c r="C1835" s="116">
        <v>1725.45</v>
      </c>
      <c r="D1835" s="116">
        <v>1715</v>
      </c>
      <c r="E1835" s="116">
        <v>1734.3</v>
      </c>
      <c r="F1835" s="116">
        <v>1725.45</v>
      </c>
      <c r="G1835">
        <v>2825</v>
      </c>
      <c r="H1835" s="116"/>
      <c r="I1835" s="116"/>
      <c r="L1835" s="170">
        <v>46174</v>
      </c>
      <c r="M1835" s="116">
        <v>1747.4</v>
      </c>
      <c r="N1835" s="116">
        <v>1773.3</v>
      </c>
      <c r="O1835" s="116">
        <v>1739.4</v>
      </c>
      <c r="P1835" s="116">
        <v>1748.3</v>
      </c>
      <c r="Q1835" s="116">
        <v>1747.4</v>
      </c>
      <c r="R1835">
        <v>94370</v>
      </c>
    </row>
    <row r="1836" spans="1:18" x14ac:dyDescent="0.25">
      <c r="A1836" s="170">
        <v>46178</v>
      </c>
      <c r="B1836" s="116">
        <v>1738.8</v>
      </c>
      <c r="C1836" s="116">
        <v>1688.95</v>
      </c>
      <c r="D1836" s="116">
        <v>1677</v>
      </c>
      <c r="E1836" s="116">
        <v>1738.8</v>
      </c>
      <c r="F1836" s="116">
        <v>1688.95</v>
      </c>
      <c r="G1836">
        <v>10032</v>
      </c>
      <c r="H1836" s="116"/>
      <c r="I1836" s="116"/>
      <c r="L1836" s="170">
        <v>46175</v>
      </c>
      <c r="M1836" s="116">
        <v>1749.7</v>
      </c>
      <c r="N1836" s="116">
        <v>1762.2</v>
      </c>
      <c r="O1836" s="116">
        <v>1723.1</v>
      </c>
      <c r="P1836" s="116">
        <v>1743</v>
      </c>
      <c r="Q1836" s="116">
        <v>1749.7</v>
      </c>
      <c r="R1836">
        <v>97556</v>
      </c>
    </row>
    <row r="1837" spans="1:18" x14ac:dyDescent="0.25">
      <c r="A1837" s="170">
        <v>46181</v>
      </c>
      <c r="B1837" s="116">
        <v>1684.8</v>
      </c>
      <c r="C1837" s="116">
        <v>1661</v>
      </c>
      <c r="D1837" s="116">
        <v>1643.9</v>
      </c>
      <c r="E1837" s="116">
        <v>1643.9</v>
      </c>
      <c r="F1837" s="116">
        <v>1661</v>
      </c>
      <c r="G1837">
        <v>45914</v>
      </c>
      <c r="H1837" s="116"/>
      <c r="I1837" s="116"/>
      <c r="L1837" s="170">
        <v>46176</v>
      </c>
      <c r="M1837" s="116">
        <v>1723.2</v>
      </c>
      <c r="N1837" s="116">
        <v>1759.9</v>
      </c>
      <c r="O1837" s="116">
        <v>1698</v>
      </c>
      <c r="P1837" s="116">
        <v>1759.9</v>
      </c>
      <c r="Q1837" s="116">
        <v>1723.2</v>
      </c>
      <c r="R1837">
        <v>170266</v>
      </c>
    </row>
    <row r="1838" spans="1:18" x14ac:dyDescent="0.25">
      <c r="A1838" s="170">
        <v>46182</v>
      </c>
      <c r="B1838" s="116">
        <v>1684</v>
      </c>
      <c r="C1838" s="116">
        <v>1651.55</v>
      </c>
      <c r="D1838" s="116">
        <v>1645</v>
      </c>
      <c r="E1838" s="116">
        <v>1654.9</v>
      </c>
      <c r="F1838" s="116">
        <v>1651.55</v>
      </c>
      <c r="G1838">
        <v>5287</v>
      </c>
      <c r="H1838" s="116"/>
      <c r="I1838" s="116"/>
      <c r="L1838" s="170">
        <v>46177</v>
      </c>
      <c r="M1838" s="116">
        <v>1725.3</v>
      </c>
      <c r="N1838" s="116">
        <v>1741</v>
      </c>
      <c r="O1838" s="116">
        <v>1714</v>
      </c>
      <c r="P1838" s="116">
        <v>1741</v>
      </c>
      <c r="Q1838" s="116">
        <v>1725.3</v>
      </c>
      <c r="R1838">
        <v>195392</v>
      </c>
    </row>
    <row r="1839" spans="1:18" x14ac:dyDescent="0.25">
      <c r="A1839" s="170">
        <v>46183</v>
      </c>
      <c r="B1839" s="116">
        <v>1671.6</v>
      </c>
      <c r="C1839" s="116">
        <v>1635.25</v>
      </c>
      <c r="D1839" s="116">
        <v>1633</v>
      </c>
      <c r="E1839" s="116">
        <v>1649.2</v>
      </c>
      <c r="F1839" s="116">
        <v>1635.25</v>
      </c>
      <c r="G1839">
        <v>5041</v>
      </c>
      <c r="H1839" s="116"/>
      <c r="I1839" s="116"/>
      <c r="L1839" s="170">
        <v>46178</v>
      </c>
      <c r="M1839" s="116">
        <v>1688.6</v>
      </c>
      <c r="N1839" s="116">
        <v>1725.3</v>
      </c>
      <c r="O1839" s="116">
        <v>1676.9</v>
      </c>
      <c r="P1839" s="116">
        <v>1725.3</v>
      </c>
      <c r="Q1839" s="116">
        <v>1688.6</v>
      </c>
      <c r="R1839">
        <v>260820</v>
      </c>
    </row>
    <row r="1840" spans="1:18" x14ac:dyDescent="0.25">
      <c r="A1840" s="170">
        <v>46184</v>
      </c>
      <c r="B1840" s="116">
        <v>1646.65</v>
      </c>
      <c r="C1840" s="116">
        <v>1610.5</v>
      </c>
      <c r="D1840" s="116">
        <v>1605</v>
      </c>
      <c r="E1840" s="116">
        <v>1646.65</v>
      </c>
      <c r="F1840" s="116">
        <v>1610.5</v>
      </c>
      <c r="G1840">
        <v>9185</v>
      </c>
      <c r="H1840" s="116"/>
      <c r="I1840" s="116"/>
      <c r="L1840" s="170">
        <v>46181</v>
      </c>
      <c r="M1840" s="116">
        <v>1664</v>
      </c>
      <c r="N1840" s="116">
        <v>1684</v>
      </c>
      <c r="O1840" s="116">
        <v>1651</v>
      </c>
      <c r="P1840" s="116">
        <v>1654</v>
      </c>
      <c r="Q1840" s="116">
        <v>1664</v>
      </c>
      <c r="R1840">
        <v>166092</v>
      </c>
    </row>
    <row r="1841" spans="1:18" x14ac:dyDescent="0.25">
      <c r="A1841" s="170">
        <v>46185</v>
      </c>
      <c r="B1841" s="116">
        <v>1663</v>
      </c>
      <c r="C1841" s="116">
        <v>1657.9</v>
      </c>
      <c r="D1841" s="116">
        <v>1616</v>
      </c>
      <c r="E1841" s="116">
        <v>1626</v>
      </c>
      <c r="F1841" s="116">
        <v>1657.9</v>
      </c>
      <c r="G1841">
        <v>5016</v>
      </c>
      <c r="H1841" s="116"/>
      <c r="I1841" s="116"/>
      <c r="L1841" s="170">
        <v>46182</v>
      </c>
      <c r="M1841" s="116">
        <v>1651.7</v>
      </c>
      <c r="N1841" s="116">
        <v>1684.9</v>
      </c>
      <c r="O1841" s="116">
        <v>1643.2</v>
      </c>
      <c r="P1841" s="116">
        <v>1671.8</v>
      </c>
      <c r="Q1841" s="116">
        <v>1651.7</v>
      </c>
      <c r="R1841">
        <v>334126</v>
      </c>
    </row>
    <row r="1842" spans="1:18" x14ac:dyDescent="0.25">
      <c r="A1842" s="170">
        <v>46188</v>
      </c>
      <c r="B1842" s="116">
        <v>1728.8</v>
      </c>
      <c r="C1842" s="116">
        <v>1718.4</v>
      </c>
      <c r="D1842" s="116">
        <v>1689.5</v>
      </c>
      <c r="E1842" s="116">
        <v>1694.8</v>
      </c>
      <c r="F1842" s="116">
        <v>1718.4</v>
      </c>
      <c r="G1842">
        <v>13052</v>
      </c>
      <c r="H1842" s="116"/>
      <c r="I1842" s="116"/>
      <c r="L1842" s="170">
        <v>46183</v>
      </c>
      <c r="M1842" s="116">
        <v>1637.9</v>
      </c>
      <c r="N1842" s="116">
        <v>1670.8</v>
      </c>
      <c r="O1842" s="116">
        <v>1629.9</v>
      </c>
      <c r="P1842" s="116">
        <v>1651.7</v>
      </c>
      <c r="Q1842" s="116">
        <v>1637.9</v>
      </c>
      <c r="R1842">
        <v>177500</v>
      </c>
    </row>
    <row r="1843" spans="1:18" x14ac:dyDescent="0.25">
      <c r="A1843" s="170">
        <v>46189</v>
      </c>
      <c r="B1843" s="116">
        <v>1725.3</v>
      </c>
      <c r="C1843" s="116">
        <v>1709.75</v>
      </c>
      <c r="D1843" s="116">
        <v>1695</v>
      </c>
      <c r="E1843" s="116">
        <v>1725.25</v>
      </c>
      <c r="F1843" s="116">
        <v>1709.75</v>
      </c>
      <c r="G1843">
        <v>4012</v>
      </c>
      <c r="H1843" s="116"/>
      <c r="I1843" s="116"/>
      <c r="L1843" s="170">
        <v>46184</v>
      </c>
      <c r="M1843" s="116">
        <v>1610.2</v>
      </c>
      <c r="N1843" s="116">
        <v>1632.9</v>
      </c>
      <c r="O1843" s="116">
        <v>1605</v>
      </c>
      <c r="P1843" s="116">
        <v>1625</v>
      </c>
      <c r="Q1843" s="116">
        <v>1610.2</v>
      </c>
      <c r="R1843">
        <v>534865</v>
      </c>
    </row>
    <row r="1844" spans="1:18" x14ac:dyDescent="0.25">
      <c r="A1844" s="170">
        <v>46190</v>
      </c>
      <c r="B1844" s="116">
        <v>1742.55</v>
      </c>
      <c r="C1844" s="116">
        <v>1720.7</v>
      </c>
      <c r="D1844" s="116">
        <v>1700.05</v>
      </c>
      <c r="E1844" s="116">
        <v>1730.4</v>
      </c>
      <c r="F1844" s="116">
        <v>1720.7</v>
      </c>
      <c r="G1844">
        <v>8419</v>
      </c>
      <c r="H1844" s="116"/>
      <c r="I1844" s="116"/>
      <c r="L1844" s="170">
        <v>46185</v>
      </c>
      <c r="M1844" s="116">
        <v>1659.2</v>
      </c>
      <c r="N1844" s="116">
        <v>1663.5</v>
      </c>
      <c r="O1844" s="116">
        <v>1613.5</v>
      </c>
      <c r="P1844" s="116">
        <v>1625</v>
      </c>
      <c r="Q1844" s="116">
        <v>1659.2</v>
      </c>
      <c r="R1844">
        <v>591969</v>
      </c>
    </row>
    <row r="1845" spans="1:18" x14ac:dyDescent="0.25">
      <c r="A1845" s="170"/>
      <c r="B1845" s="116"/>
      <c r="C1845" s="116"/>
      <c r="D1845" s="116"/>
      <c r="E1845" s="116"/>
      <c r="F1845" s="116"/>
      <c r="H1845" s="116"/>
      <c r="I1845" s="116"/>
      <c r="L1845" s="170">
        <v>46188</v>
      </c>
      <c r="M1845" s="116">
        <v>1719.4</v>
      </c>
      <c r="N1845" s="116">
        <v>1729</v>
      </c>
      <c r="O1845" s="116">
        <v>1684.1</v>
      </c>
      <c r="P1845" s="116">
        <v>1684.1</v>
      </c>
      <c r="Q1845" s="116">
        <v>1719.4</v>
      </c>
      <c r="R1845">
        <v>637275</v>
      </c>
    </row>
    <row r="1846" spans="1:18" x14ac:dyDescent="0.25">
      <c r="A1846" s="170"/>
      <c r="B1846" s="116"/>
      <c r="C1846" s="116"/>
      <c r="D1846" s="116"/>
      <c r="E1846" s="116"/>
      <c r="F1846" s="116"/>
      <c r="H1846" s="116"/>
      <c r="I1846" s="116"/>
      <c r="L1846" s="170">
        <v>46189</v>
      </c>
      <c r="M1846" s="116">
        <v>1709.6</v>
      </c>
      <c r="N1846" s="116">
        <v>1726</v>
      </c>
      <c r="O1846" s="116">
        <v>1695</v>
      </c>
      <c r="P1846" s="116">
        <v>1726</v>
      </c>
      <c r="Q1846" s="116">
        <v>1709.6</v>
      </c>
      <c r="R1846">
        <v>217977</v>
      </c>
    </row>
    <row r="1847" spans="1:18" x14ac:dyDescent="0.25">
      <c r="A1847" s="170"/>
      <c r="B1847" s="116"/>
      <c r="C1847" s="116"/>
      <c r="D1847" s="116"/>
      <c r="E1847" s="116"/>
      <c r="F1847" s="116"/>
      <c r="H1847" s="116"/>
      <c r="I1847" s="116"/>
      <c r="L1847" s="170">
        <v>46190</v>
      </c>
      <c r="M1847" s="116">
        <v>1723.4</v>
      </c>
      <c r="N1847" s="116">
        <v>1744.5</v>
      </c>
      <c r="O1847" s="116">
        <v>1700.1</v>
      </c>
      <c r="P1847" s="116">
        <v>1719.9</v>
      </c>
      <c r="Q1847" s="116">
        <v>1723.4</v>
      </c>
      <c r="R1847">
        <v>182941</v>
      </c>
    </row>
    <row r="1848" spans="1:18" x14ac:dyDescent="0.25">
      <c r="A1848" s="170"/>
      <c r="B1848" s="116"/>
      <c r="C1848" s="116"/>
      <c r="D1848" s="116"/>
      <c r="E1848" s="116"/>
      <c r="F1848" s="116"/>
      <c r="H1848" s="116"/>
      <c r="I1848" s="116"/>
      <c r="L1848" s="170"/>
    </row>
    <row r="1849" spans="1:18" x14ac:dyDescent="0.25">
      <c r="A1849" s="170"/>
      <c r="B1849" s="116"/>
      <c r="C1849" s="116"/>
      <c r="D1849" s="116"/>
      <c r="E1849" s="116"/>
      <c r="F1849" s="116"/>
      <c r="H1849" s="116"/>
      <c r="I1849" s="116"/>
      <c r="L1849" s="170"/>
    </row>
    <row r="1850" spans="1:18" x14ac:dyDescent="0.25">
      <c r="A1850" s="170"/>
      <c r="B1850" s="116"/>
      <c r="C1850" s="116"/>
      <c r="D1850" s="116"/>
      <c r="E1850" s="116"/>
      <c r="F1850" s="116"/>
      <c r="H1850" s="116"/>
      <c r="I1850" s="116"/>
      <c r="L1850" s="170"/>
    </row>
    <row r="1851" spans="1:18" x14ac:dyDescent="0.25">
      <c r="A1851" s="170"/>
      <c r="B1851" s="116"/>
      <c r="C1851" s="116"/>
      <c r="D1851" s="116"/>
      <c r="E1851" s="116"/>
      <c r="F1851" s="116"/>
      <c r="H1851" s="116"/>
      <c r="I1851" s="116"/>
      <c r="L1851" s="170"/>
    </row>
    <row r="1852" spans="1:18" x14ac:dyDescent="0.25">
      <c r="A1852" s="170"/>
      <c r="B1852" s="116"/>
      <c r="C1852" s="116"/>
      <c r="D1852" s="116"/>
      <c r="E1852" s="116"/>
      <c r="F1852" s="116"/>
      <c r="H1852" s="116"/>
      <c r="I1852" s="116"/>
      <c r="L1852" s="170"/>
    </row>
    <row r="1853" spans="1:18" x14ac:dyDescent="0.25">
      <c r="A1853" s="170"/>
      <c r="B1853" s="116"/>
      <c r="C1853" s="116"/>
      <c r="D1853" s="116"/>
      <c r="E1853" s="116"/>
      <c r="F1853" s="116"/>
      <c r="H1853" s="116"/>
      <c r="I1853" s="116"/>
      <c r="L1853" s="170"/>
    </row>
    <row r="1854" spans="1:18" x14ac:dyDescent="0.25">
      <c r="A1854" s="170"/>
      <c r="B1854" s="116"/>
      <c r="C1854" s="116"/>
      <c r="D1854" s="116"/>
      <c r="E1854" s="116"/>
      <c r="F1854" s="116"/>
      <c r="H1854" s="116"/>
      <c r="I1854" s="116"/>
      <c r="L1854" s="170"/>
    </row>
    <row r="1855" spans="1:18" x14ac:dyDescent="0.25">
      <c r="A1855" s="170"/>
      <c r="B1855" s="116"/>
      <c r="C1855" s="116"/>
      <c r="D1855" s="116"/>
      <c r="E1855" s="116"/>
      <c r="F1855" s="116"/>
      <c r="H1855" s="116"/>
      <c r="I1855" s="116"/>
      <c r="L1855" s="170"/>
    </row>
    <row r="1856" spans="1:18" x14ac:dyDescent="0.25">
      <c r="A1856" s="170"/>
      <c r="B1856" s="116"/>
      <c r="C1856" s="116"/>
      <c r="D1856" s="116"/>
      <c r="E1856" s="116"/>
      <c r="F1856" s="116"/>
      <c r="H1856" s="116"/>
      <c r="I1856" s="116"/>
      <c r="L1856" s="170"/>
    </row>
    <row r="1857" spans="1:12" x14ac:dyDescent="0.25">
      <c r="A1857" s="170"/>
      <c r="B1857" s="116"/>
      <c r="C1857" s="116"/>
      <c r="D1857" s="116"/>
      <c r="E1857" s="116"/>
      <c r="F1857" s="116"/>
      <c r="H1857" s="116"/>
      <c r="I1857" s="116"/>
      <c r="L1857" s="170"/>
    </row>
    <row r="1858" spans="1:12" x14ac:dyDescent="0.25">
      <c r="A1858" s="170"/>
      <c r="B1858" s="116"/>
      <c r="C1858" s="116"/>
      <c r="D1858" s="116"/>
      <c r="E1858" s="116"/>
      <c r="F1858" s="116"/>
      <c r="H1858" s="116"/>
      <c r="I1858" s="116"/>
      <c r="L1858" s="170"/>
    </row>
    <row r="1859" spans="1:12" x14ac:dyDescent="0.25">
      <c r="A1859" s="170"/>
      <c r="B1859" s="116"/>
      <c r="C1859" s="116"/>
      <c r="D1859" s="116"/>
      <c r="E1859" s="116"/>
      <c r="F1859" s="116"/>
      <c r="H1859" s="116"/>
      <c r="I1859" s="116"/>
      <c r="L1859" s="170"/>
    </row>
    <row r="1860" spans="1:12" x14ac:dyDescent="0.25">
      <c r="A1860" s="170"/>
      <c r="B1860" s="116"/>
      <c r="C1860" s="116"/>
      <c r="D1860" s="116"/>
      <c r="E1860" s="116"/>
      <c r="F1860" s="116"/>
      <c r="H1860" s="116"/>
      <c r="I1860" s="116"/>
      <c r="L1860" s="170"/>
    </row>
    <row r="1861" spans="1:12" x14ac:dyDescent="0.25">
      <c r="A1861" s="170"/>
      <c r="B1861" s="116"/>
      <c r="C1861" s="116"/>
      <c r="D1861" s="116"/>
      <c r="E1861" s="116"/>
      <c r="F1861" s="116"/>
      <c r="H1861" s="116"/>
      <c r="I1861" s="116"/>
      <c r="L1861" s="170"/>
    </row>
    <row r="1862" spans="1:12" x14ac:dyDescent="0.25">
      <c r="A1862" s="170"/>
      <c r="B1862" s="116"/>
      <c r="C1862" s="116"/>
      <c r="D1862" s="116"/>
      <c r="E1862" s="116"/>
      <c r="F1862" s="116"/>
      <c r="H1862" s="116"/>
      <c r="I1862" s="116"/>
      <c r="L1862" s="170"/>
    </row>
    <row r="1863" spans="1:12" x14ac:dyDescent="0.25">
      <c r="A1863" s="170"/>
      <c r="B1863" s="116"/>
      <c r="C1863" s="116"/>
      <c r="D1863" s="116"/>
      <c r="E1863" s="116"/>
      <c r="F1863" s="116"/>
      <c r="H1863" s="116"/>
      <c r="I1863" s="116"/>
      <c r="L1863" s="170"/>
    </row>
    <row r="1864" spans="1:12" x14ac:dyDescent="0.25">
      <c r="A1864" s="170"/>
      <c r="B1864" s="116"/>
      <c r="C1864" s="116"/>
      <c r="D1864" s="116"/>
      <c r="E1864" s="116"/>
      <c r="F1864" s="116"/>
      <c r="H1864" s="116"/>
      <c r="I1864" s="116"/>
      <c r="L1864" s="170"/>
    </row>
    <row r="1865" spans="1:12" x14ac:dyDescent="0.25">
      <c r="A1865" s="170"/>
      <c r="B1865" s="116"/>
      <c r="C1865" s="116"/>
      <c r="D1865" s="116"/>
      <c r="E1865" s="116"/>
      <c r="F1865" s="116"/>
      <c r="H1865" s="116"/>
      <c r="I1865" s="116"/>
      <c r="L1865" s="170"/>
    </row>
    <row r="1866" spans="1:12" x14ac:dyDescent="0.25">
      <c r="A1866" s="170"/>
      <c r="B1866" s="116"/>
      <c r="C1866" s="116"/>
      <c r="D1866" s="116"/>
      <c r="E1866" s="116"/>
      <c r="F1866" s="116"/>
      <c r="H1866" s="116"/>
      <c r="I1866" s="116"/>
      <c r="L1866" s="170"/>
    </row>
    <row r="1867" spans="1:12" x14ac:dyDescent="0.25">
      <c r="A1867" s="170"/>
      <c r="B1867" s="116"/>
      <c r="C1867" s="116"/>
      <c r="D1867" s="116"/>
      <c r="E1867" s="116"/>
      <c r="F1867" s="116"/>
      <c r="H1867" s="116"/>
      <c r="I1867" s="116"/>
      <c r="L1867" s="170"/>
    </row>
    <row r="1868" spans="1:12" x14ac:dyDescent="0.25">
      <c r="A1868" s="170"/>
      <c r="B1868" s="116"/>
      <c r="C1868" s="116"/>
      <c r="D1868" s="116"/>
      <c r="E1868" s="116"/>
      <c r="F1868" s="116"/>
      <c r="H1868" s="116"/>
      <c r="I1868" s="116"/>
      <c r="L1868" s="170"/>
    </row>
    <row r="1869" spans="1:12" x14ac:dyDescent="0.25">
      <c r="A1869" s="170"/>
      <c r="B1869" s="116"/>
      <c r="C1869" s="116"/>
      <c r="D1869" s="116"/>
      <c r="E1869" s="116"/>
      <c r="F1869" s="116"/>
      <c r="H1869" s="116"/>
      <c r="I1869" s="116"/>
      <c r="L1869" s="170"/>
    </row>
    <row r="1870" spans="1:12" x14ac:dyDescent="0.25">
      <c r="A1870" s="170"/>
      <c r="B1870" s="116"/>
      <c r="C1870" s="116"/>
      <c r="D1870" s="116"/>
      <c r="E1870" s="116"/>
      <c r="F1870" s="116"/>
      <c r="H1870" s="116"/>
      <c r="I1870" s="116"/>
      <c r="L1870" s="170"/>
    </row>
    <row r="1871" spans="1:12" x14ac:dyDescent="0.25">
      <c r="A1871" s="170"/>
      <c r="B1871" s="116"/>
      <c r="C1871" s="116"/>
      <c r="D1871" s="116"/>
      <c r="E1871" s="116"/>
      <c r="F1871" s="116"/>
      <c r="H1871" s="116"/>
      <c r="I1871" s="116"/>
      <c r="L1871" s="170"/>
    </row>
    <row r="1872" spans="1:12" x14ac:dyDescent="0.25">
      <c r="A1872" s="170"/>
      <c r="B1872" s="116"/>
      <c r="C1872" s="116"/>
      <c r="D1872" s="116"/>
      <c r="E1872" s="116"/>
      <c r="F1872" s="116"/>
      <c r="H1872" s="116"/>
      <c r="I1872" s="116"/>
      <c r="L1872" s="170"/>
    </row>
    <row r="1873" spans="1:12" x14ac:dyDescent="0.25">
      <c r="A1873" s="170"/>
      <c r="B1873" s="116"/>
      <c r="C1873" s="116"/>
      <c r="D1873" s="116"/>
      <c r="E1873" s="116"/>
      <c r="F1873" s="116"/>
      <c r="H1873" s="116"/>
      <c r="I1873" s="116"/>
      <c r="L1873" s="170"/>
    </row>
    <row r="1874" spans="1:12" x14ac:dyDescent="0.25">
      <c r="A1874" s="170"/>
      <c r="B1874" s="116"/>
      <c r="C1874" s="116"/>
      <c r="D1874" s="116"/>
      <c r="E1874" s="116"/>
      <c r="F1874" s="116"/>
      <c r="H1874" s="116"/>
      <c r="I1874" s="116"/>
      <c r="L1874" s="170"/>
    </row>
    <row r="1875" spans="1:12" x14ac:dyDescent="0.25">
      <c r="A1875" s="170"/>
      <c r="B1875" s="116"/>
      <c r="C1875" s="116"/>
      <c r="D1875" s="116"/>
      <c r="E1875" s="116"/>
      <c r="F1875" s="116"/>
      <c r="H1875" s="116"/>
      <c r="I1875" s="116"/>
      <c r="L1875" s="170"/>
    </row>
    <row r="1876" spans="1:12" x14ac:dyDescent="0.25">
      <c r="A1876" s="170"/>
      <c r="B1876" s="116"/>
      <c r="C1876" s="116"/>
      <c r="D1876" s="116"/>
      <c r="E1876" s="116"/>
      <c r="F1876" s="116"/>
      <c r="H1876" s="116"/>
      <c r="I1876" s="116"/>
      <c r="L1876" s="170"/>
    </row>
    <row r="1877" spans="1:12" x14ac:dyDescent="0.25">
      <c r="A1877" s="170"/>
      <c r="B1877" s="116"/>
      <c r="C1877" s="116"/>
      <c r="D1877" s="116"/>
      <c r="E1877" s="116"/>
      <c r="F1877" s="116"/>
      <c r="H1877" s="116"/>
      <c r="I1877" s="116"/>
      <c r="L1877" s="170"/>
    </row>
    <row r="1878" spans="1:12" x14ac:dyDescent="0.25">
      <c r="A1878" s="170"/>
      <c r="B1878" s="116"/>
      <c r="C1878" s="116"/>
      <c r="D1878" s="116"/>
      <c r="E1878" s="116"/>
      <c r="F1878" s="116"/>
      <c r="H1878" s="116"/>
      <c r="I1878" s="116"/>
      <c r="L1878" s="170"/>
    </row>
    <row r="1879" spans="1:12" x14ac:dyDescent="0.25">
      <c r="A1879" s="170"/>
      <c r="B1879" s="116"/>
      <c r="C1879" s="116"/>
      <c r="D1879" s="116"/>
      <c r="E1879" s="116"/>
      <c r="F1879" s="116"/>
      <c r="H1879" s="116"/>
      <c r="I1879" s="116"/>
      <c r="L1879" s="170"/>
    </row>
    <row r="1880" spans="1:12" x14ac:dyDescent="0.25">
      <c r="A1880" s="170"/>
      <c r="B1880" s="116"/>
      <c r="C1880" s="116"/>
      <c r="D1880" s="116"/>
      <c r="E1880" s="116"/>
      <c r="F1880" s="116"/>
      <c r="H1880" s="116"/>
      <c r="I1880" s="116"/>
      <c r="L1880" s="170"/>
    </row>
    <row r="1881" spans="1:12" x14ac:dyDescent="0.25">
      <c r="A1881" s="170"/>
      <c r="B1881" s="116"/>
      <c r="C1881" s="116"/>
      <c r="D1881" s="116"/>
      <c r="E1881" s="116"/>
      <c r="F1881" s="116"/>
      <c r="H1881" s="116"/>
      <c r="I1881" s="116"/>
      <c r="L1881" s="170"/>
    </row>
    <row r="1882" spans="1:12" x14ac:dyDescent="0.25">
      <c r="A1882" s="170"/>
      <c r="B1882" s="116"/>
      <c r="C1882" s="116"/>
      <c r="D1882" s="116"/>
      <c r="E1882" s="116"/>
      <c r="F1882" s="116"/>
      <c r="H1882" s="116"/>
      <c r="I1882" s="116"/>
      <c r="L1882" s="170"/>
    </row>
    <row r="1883" spans="1:12" x14ac:dyDescent="0.25">
      <c r="A1883" s="170"/>
      <c r="B1883" s="116"/>
      <c r="C1883" s="116"/>
      <c r="D1883" s="116"/>
      <c r="E1883" s="116"/>
      <c r="F1883" s="116"/>
      <c r="H1883" s="116"/>
      <c r="I1883" s="116"/>
      <c r="L1883" s="170"/>
    </row>
    <row r="1884" spans="1:12" x14ac:dyDescent="0.25">
      <c r="A1884" s="170"/>
      <c r="B1884" s="116"/>
      <c r="C1884" s="116"/>
      <c r="D1884" s="116"/>
      <c r="E1884" s="116"/>
      <c r="F1884" s="116"/>
      <c r="H1884" s="116"/>
      <c r="I1884" s="116"/>
      <c r="L1884" s="170"/>
    </row>
    <row r="1885" spans="1:12" x14ac:dyDescent="0.25">
      <c r="A1885" s="170"/>
      <c r="B1885" s="116"/>
      <c r="C1885" s="116"/>
      <c r="D1885" s="116"/>
      <c r="E1885" s="116"/>
      <c r="F1885" s="116"/>
      <c r="H1885" s="116"/>
      <c r="I1885" s="116"/>
      <c r="L1885" s="170"/>
    </row>
    <row r="1886" spans="1:12" x14ac:dyDescent="0.25">
      <c r="A1886" s="170"/>
      <c r="B1886" s="116"/>
      <c r="C1886" s="116"/>
      <c r="D1886" s="116"/>
      <c r="E1886" s="116"/>
      <c r="F1886" s="116"/>
      <c r="H1886" s="116"/>
      <c r="I1886" s="116"/>
      <c r="L1886" s="170"/>
    </row>
    <row r="1887" spans="1:12" x14ac:dyDescent="0.25">
      <c r="A1887" s="170"/>
      <c r="B1887" s="116"/>
      <c r="C1887" s="116"/>
      <c r="D1887" s="116"/>
      <c r="E1887" s="116"/>
      <c r="F1887" s="116"/>
      <c r="H1887" s="116"/>
      <c r="I1887" s="116"/>
      <c r="L1887" s="170"/>
    </row>
    <row r="1888" spans="1:12" x14ac:dyDescent="0.25">
      <c r="A1888" s="170"/>
      <c r="B1888" s="116"/>
      <c r="C1888" s="116"/>
      <c r="D1888" s="116"/>
      <c r="E1888" s="116"/>
      <c r="F1888" s="116"/>
      <c r="H1888" s="116"/>
      <c r="I1888" s="116"/>
      <c r="L1888" s="170"/>
    </row>
    <row r="1889" spans="1:12" x14ac:dyDescent="0.25">
      <c r="A1889" s="170"/>
      <c r="B1889" s="116"/>
      <c r="C1889" s="116"/>
      <c r="D1889" s="116"/>
      <c r="E1889" s="116"/>
      <c r="F1889" s="116"/>
      <c r="H1889" s="116"/>
      <c r="I1889" s="116"/>
      <c r="L1889" s="170"/>
    </row>
    <row r="1890" spans="1:12" x14ac:dyDescent="0.25">
      <c r="A1890" s="170"/>
      <c r="B1890" s="116"/>
      <c r="C1890" s="116"/>
      <c r="D1890" s="116"/>
      <c r="E1890" s="116"/>
      <c r="F1890" s="116"/>
      <c r="H1890" s="116"/>
      <c r="I1890" s="116"/>
      <c r="L1890" s="170"/>
    </row>
    <row r="1891" spans="1:12" x14ac:dyDescent="0.25">
      <c r="A1891" s="170"/>
      <c r="B1891" s="116"/>
      <c r="C1891" s="116"/>
      <c r="D1891" s="116"/>
      <c r="E1891" s="116"/>
      <c r="F1891" s="116"/>
      <c r="H1891" s="116"/>
      <c r="I1891" s="116"/>
      <c r="L1891" s="170"/>
    </row>
    <row r="1892" spans="1:12" x14ac:dyDescent="0.25">
      <c r="A1892" s="170"/>
      <c r="B1892" s="116"/>
      <c r="C1892" s="116"/>
      <c r="D1892" s="116"/>
      <c r="E1892" s="116"/>
      <c r="F1892" s="116"/>
      <c r="H1892" s="116"/>
      <c r="I1892" s="116"/>
      <c r="L1892" s="170"/>
    </row>
    <row r="1893" spans="1:12" x14ac:dyDescent="0.25">
      <c r="A1893" s="170"/>
      <c r="B1893" s="116"/>
      <c r="C1893" s="116"/>
      <c r="D1893" s="116"/>
      <c r="E1893" s="116"/>
      <c r="F1893" s="116"/>
      <c r="H1893" s="116"/>
      <c r="I1893" s="116"/>
      <c r="L1893" s="170"/>
    </row>
    <row r="1894" spans="1:12" x14ac:dyDescent="0.25">
      <c r="A1894" s="170"/>
      <c r="B1894" s="116"/>
      <c r="C1894" s="116"/>
      <c r="D1894" s="116"/>
      <c r="E1894" s="116"/>
      <c r="F1894" s="116"/>
      <c r="H1894" s="116"/>
      <c r="I1894" s="116"/>
      <c r="L1894" s="170"/>
    </row>
    <row r="1895" spans="1:12" x14ac:dyDescent="0.25">
      <c r="A1895" s="170"/>
      <c r="B1895" s="116"/>
      <c r="C1895" s="116"/>
      <c r="D1895" s="116"/>
      <c r="E1895" s="116"/>
      <c r="F1895" s="116"/>
      <c r="H1895" s="116"/>
      <c r="I1895" s="116"/>
      <c r="L1895" s="170"/>
    </row>
    <row r="1896" spans="1:12" x14ac:dyDescent="0.25">
      <c r="A1896" s="170"/>
      <c r="B1896" s="116"/>
      <c r="C1896" s="116"/>
      <c r="D1896" s="116"/>
      <c r="E1896" s="116"/>
      <c r="F1896" s="116"/>
      <c r="H1896" s="116"/>
      <c r="I1896" s="116"/>
      <c r="L1896" s="170"/>
    </row>
    <row r="1897" spans="1:12" x14ac:dyDescent="0.25">
      <c r="A1897" s="170"/>
      <c r="B1897" s="116"/>
      <c r="C1897" s="116"/>
      <c r="D1897" s="116"/>
      <c r="E1897" s="116"/>
      <c r="F1897" s="116"/>
      <c r="H1897" s="116"/>
      <c r="I1897" s="116"/>
      <c r="L1897" s="170"/>
    </row>
    <row r="1898" spans="1:12" x14ac:dyDescent="0.25">
      <c r="A1898" s="170"/>
      <c r="B1898" s="116"/>
      <c r="C1898" s="116"/>
      <c r="D1898" s="116"/>
      <c r="E1898" s="116"/>
      <c r="F1898" s="116"/>
      <c r="H1898" s="116"/>
      <c r="I1898" s="116"/>
      <c r="L1898" s="170"/>
    </row>
    <row r="1899" spans="1:12" x14ac:dyDescent="0.25">
      <c r="A1899" s="170"/>
      <c r="B1899" s="116"/>
      <c r="C1899" s="116"/>
      <c r="D1899" s="116"/>
      <c r="E1899" s="116"/>
      <c r="F1899" s="116"/>
      <c r="H1899" s="116"/>
      <c r="I1899" s="116"/>
      <c r="L1899" s="170"/>
    </row>
    <row r="1900" spans="1:12" x14ac:dyDescent="0.25">
      <c r="A1900" s="170"/>
      <c r="B1900" s="116"/>
      <c r="C1900" s="116"/>
      <c r="D1900" s="116"/>
      <c r="E1900" s="116"/>
      <c r="F1900" s="116"/>
      <c r="H1900" s="116"/>
      <c r="I1900" s="116"/>
      <c r="L1900" s="170"/>
    </row>
    <row r="1901" spans="1:12" x14ac:dyDescent="0.25">
      <c r="A1901" s="170"/>
      <c r="B1901" s="116"/>
      <c r="C1901" s="116"/>
      <c r="D1901" s="116"/>
      <c r="E1901" s="116"/>
      <c r="F1901" s="116"/>
      <c r="H1901" s="116"/>
      <c r="I1901" s="116"/>
      <c r="L1901" s="170"/>
    </row>
    <row r="1902" spans="1:12" x14ac:dyDescent="0.25">
      <c r="A1902" s="170"/>
      <c r="B1902" s="116"/>
      <c r="C1902" s="116"/>
      <c r="D1902" s="116"/>
      <c r="E1902" s="116"/>
      <c r="F1902" s="116"/>
      <c r="H1902" s="116"/>
      <c r="I1902" s="116"/>
      <c r="L1902" s="170"/>
    </row>
    <row r="1903" spans="1:12" x14ac:dyDescent="0.25">
      <c r="A1903" s="170"/>
      <c r="B1903" s="116"/>
      <c r="C1903" s="116"/>
      <c r="D1903" s="116"/>
      <c r="E1903" s="116"/>
      <c r="F1903" s="116"/>
      <c r="H1903" s="116"/>
      <c r="I1903" s="116"/>
      <c r="L1903" s="170"/>
    </row>
    <row r="1904" spans="1:12" x14ac:dyDescent="0.25">
      <c r="A1904" s="170"/>
      <c r="B1904" s="116"/>
      <c r="C1904" s="116"/>
      <c r="D1904" s="116"/>
      <c r="E1904" s="116"/>
      <c r="F1904" s="116"/>
      <c r="H1904" s="116"/>
      <c r="I1904" s="116"/>
      <c r="L1904" s="170"/>
    </row>
    <row r="1905" spans="1:12" x14ac:dyDescent="0.25">
      <c r="A1905" s="170"/>
      <c r="B1905" s="116"/>
      <c r="C1905" s="116"/>
      <c r="D1905" s="116"/>
      <c r="E1905" s="116"/>
      <c r="F1905" s="116"/>
      <c r="H1905" s="116"/>
      <c r="I1905" s="116"/>
      <c r="L1905" s="170"/>
    </row>
    <row r="1906" spans="1:12" x14ac:dyDescent="0.25">
      <c r="A1906" s="170"/>
      <c r="B1906" s="116"/>
      <c r="C1906" s="116"/>
      <c r="D1906" s="116"/>
      <c r="E1906" s="116"/>
      <c r="F1906" s="116"/>
      <c r="H1906" s="116"/>
      <c r="I1906" s="116"/>
      <c r="L1906" s="170"/>
    </row>
    <row r="1907" spans="1:12" x14ac:dyDescent="0.25">
      <c r="A1907" s="170"/>
      <c r="B1907" s="116"/>
      <c r="C1907" s="116"/>
      <c r="D1907" s="116"/>
      <c r="E1907" s="116"/>
      <c r="F1907" s="116"/>
      <c r="H1907" s="116"/>
      <c r="I1907" s="116"/>
      <c r="L1907" s="170"/>
    </row>
    <row r="1908" spans="1:12" x14ac:dyDescent="0.25">
      <c r="A1908" s="170"/>
      <c r="B1908" s="116"/>
      <c r="C1908" s="116"/>
      <c r="D1908" s="116"/>
      <c r="E1908" s="116"/>
      <c r="F1908" s="116"/>
      <c r="H1908" s="116"/>
      <c r="I1908" s="116"/>
      <c r="L1908" s="170"/>
    </row>
    <row r="1909" spans="1:12" x14ac:dyDescent="0.25">
      <c r="A1909" s="170"/>
      <c r="B1909" s="116"/>
      <c r="C1909" s="116"/>
      <c r="D1909" s="116"/>
      <c r="E1909" s="116"/>
      <c r="F1909" s="116"/>
      <c r="H1909" s="116"/>
      <c r="I1909" s="116"/>
      <c r="L1909" s="170"/>
    </row>
    <row r="1910" spans="1:12" x14ac:dyDescent="0.25">
      <c r="A1910" s="170"/>
      <c r="B1910" s="116"/>
      <c r="C1910" s="116"/>
      <c r="D1910" s="116"/>
      <c r="E1910" s="116"/>
      <c r="F1910" s="116"/>
      <c r="H1910" s="116"/>
      <c r="I1910" s="116"/>
      <c r="L1910" s="170"/>
    </row>
    <row r="1911" spans="1:12" x14ac:dyDescent="0.25">
      <c r="A1911" s="170"/>
      <c r="B1911" s="116"/>
      <c r="C1911" s="116"/>
      <c r="D1911" s="116"/>
      <c r="E1911" s="116"/>
      <c r="F1911" s="116"/>
      <c r="H1911" s="116"/>
      <c r="I1911" s="116"/>
      <c r="L1911" s="170"/>
    </row>
    <row r="1912" spans="1:12" x14ac:dyDescent="0.25">
      <c r="A1912" s="170"/>
      <c r="B1912" s="116"/>
      <c r="C1912" s="116"/>
      <c r="D1912" s="116"/>
      <c r="E1912" s="116"/>
      <c r="F1912" s="116"/>
      <c r="H1912" s="116"/>
      <c r="I1912" s="116"/>
      <c r="L1912" s="170"/>
    </row>
    <row r="1913" spans="1:12" x14ac:dyDescent="0.25">
      <c r="A1913" s="170"/>
      <c r="B1913" s="116"/>
      <c r="C1913" s="116"/>
      <c r="D1913" s="116"/>
      <c r="E1913" s="116"/>
      <c r="F1913" s="116"/>
      <c r="H1913" s="116"/>
      <c r="I1913" s="116"/>
      <c r="L1913" s="170"/>
    </row>
    <row r="1914" spans="1:12" x14ac:dyDescent="0.25">
      <c r="A1914" s="170"/>
      <c r="B1914" s="116"/>
      <c r="C1914" s="116"/>
      <c r="D1914" s="116"/>
      <c r="E1914" s="116"/>
      <c r="F1914" s="116"/>
      <c r="H1914" s="116"/>
      <c r="I1914" s="116"/>
      <c r="L1914" s="170"/>
    </row>
    <row r="1915" spans="1:12" x14ac:dyDescent="0.25">
      <c r="A1915" s="170"/>
      <c r="B1915" s="116"/>
      <c r="C1915" s="116"/>
      <c r="D1915" s="116"/>
      <c r="E1915" s="116"/>
      <c r="F1915" s="116"/>
      <c r="H1915" s="116"/>
      <c r="I1915" s="116"/>
      <c r="L1915" s="170"/>
    </row>
    <row r="1916" spans="1:12" x14ac:dyDescent="0.25">
      <c r="A1916" s="170"/>
      <c r="B1916" s="116"/>
      <c r="C1916" s="116"/>
      <c r="D1916" s="116"/>
      <c r="E1916" s="116"/>
      <c r="F1916" s="116"/>
      <c r="H1916" s="116"/>
      <c r="I1916" s="116"/>
      <c r="L1916" s="170"/>
    </row>
    <row r="1917" spans="1:12" x14ac:dyDescent="0.25">
      <c r="A1917" s="170"/>
      <c r="B1917" s="116"/>
      <c r="C1917" s="116"/>
      <c r="D1917" s="116"/>
      <c r="E1917" s="116"/>
      <c r="F1917" s="116"/>
      <c r="H1917" s="116"/>
      <c r="I1917" s="116"/>
      <c r="L1917" s="170"/>
    </row>
    <row r="1918" spans="1:12" x14ac:dyDescent="0.25">
      <c r="A1918" s="170"/>
      <c r="B1918" s="116"/>
      <c r="C1918" s="116"/>
      <c r="D1918" s="116"/>
      <c r="E1918" s="116"/>
      <c r="F1918" s="116"/>
      <c r="H1918" s="116"/>
      <c r="I1918" s="116"/>
      <c r="L1918" s="170"/>
    </row>
    <row r="1919" spans="1:12" x14ac:dyDescent="0.25">
      <c r="A1919" s="170"/>
      <c r="B1919" s="116"/>
      <c r="C1919" s="116"/>
      <c r="D1919" s="116"/>
      <c r="E1919" s="116"/>
      <c r="F1919" s="116"/>
      <c r="H1919" s="116"/>
      <c r="I1919" s="116"/>
      <c r="L1919" s="170"/>
    </row>
    <row r="1920" spans="1:12" x14ac:dyDescent="0.25">
      <c r="A1920" s="170"/>
      <c r="B1920" s="116"/>
      <c r="C1920" s="116"/>
      <c r="D1920" s="116"/>
      <c r="E1920" s="116"/>
      <c r="F1920" s="116"/>
      <c r="H1920" s="116"/>
      <c r="I1920" s="116"/>
      <c r="L1920" s="170"/>
    </row>
    <row r="1921" spans="1:12" x14ac:dyDescent="0.25">
      <c r="A1921" s="170"/>
      <c r="B1921" s="116"/>
      <c r="C1921" s="116"/>
      <c r="D1921" s="116"/>
      <c r="E1921" s="116"/>
      <c r="F1921" s="116"/>
      <c r="H1921" s="116"/>
      <c r="I1921" s="116"/>
      <c r="L1921" s="170"/>
    </row>
    <row r="1922" spans="1:12" x14ac:dyDescent="0.25">
      <c r="A1922" s="170"/>
      <c r="B1922" s="116"/>
      <c r="C1922" s="116"/>
      <c r="D1922" s="116"/>
      <c r="E1922" s="116"/>
      <c r="F1922" s="116"/>
      <c r="H1922" s="116"/>
      <c r="I1922" s="116"/>
      <c r="L1922" s="170"/>
    </row>
    <row r="1923" spans="1:12" x14ac:dyDescent="0.25">
      <c r="A1923" s="170"/>
      <c r="B1923" s="116"/>
      <c r="C1923" s="116"/>
      <c r="D1923" s="116"/>
      <c r="E1923" s="116"/>
      <c r="F1923" s="116"/>
      <c r="H1923" s="116"/>
      <c r="I1923" s="116"/>
      <c r="L1923" s="170"/>
    </row>
    <row r="1924" spans="1:12" x14ac:dyDescent="0.25">
      <c r="A1924" s="170"/>
      <c r="B1924" s="116"/>
      <c r="C1924" s="116"/>
      <c r="D1924" s="116"/>
      <c r="E1924" s="116"/>
      <c r="F1924" s="116"/>
      <c r="H1924" s="116"/>
      <c r="I1924" s="116"/>
      <c r="L1924" s="170"/>
    </row>
    <row r="1925" spans="1:12" x14ac:dyDescent="0.25">
      <c r="A1925" s="170"/>
      <c r="B1925" s="116"/>
      <c r="C1925" s="116"/>
      <c r="D1925" s="116"/>
      <c r="E1925" s="116"/>
      <c r="F1925" s="116"/>
      <c r="H1925" s="116"/>
      <c r="I1925" s="116"/>
      <c r="L1925" s="170"/>
    </row>
    <row r="1926" spans="1:12" x14ac:dyDescent="0.25">
      <c r="A1926" s="170"/>
      <c r="B1926" s="116"/>
      <c r="C1926" s="116"/>
      <c r="D1926" s="116"/>
      <c r="E1926" s="116"/>
      <c r="F1926" s="116"/>
      <c r="H1926" s="116"/>
      <c r="I1926" s="116"/>
      <c r="L1926" s="170"/>
    </row>
    <row r="1927" spans="1:12" x14ac:dyDescent="0.25">
      <c r="A1927" s="170"/>
      <c r="B1927" s="116"/>
      <c r="C1927" s="116"/>
      <c r="D1927" s="116"/>
      <c r="E1927" s="116"/>
      <c r="F1927" s="116"/>
      <c r="H1927" s="116"/>
      <c r="I1927" s="116"/>
      <c r="L1927" s="170"/>
    </row>
    <row r="1928" spans="1:12" x14ac:dyDescent="0.25">
      <c r="A1928" s="170"/>
      <c r="B1928" s="116"/>
      <c r="C1928" s="116"/>
      <c r="D1928" s="116"/>
      <c r="E1928" s="116"/>
      <c r="F1928" s="116"/>
      <c r="H1928" s="116"/>
      <c r="I1928" s="116"/>
      <c r="L1928" s="170"/>
    </row>
    <row r="1929" spans="1:12" x14ac:dyDescent="0.25">
      <c r="A1929" s="170"/>
      <c r="B1929" s="116"/>
      <c r="C1929" s="116"/>
      <c r="D1929" s="116"/>
      <c r="E1929" s="116"/>
      <c r="F1929" s="116"/>
      <c r="H1929" s="116"/>
      <c r="I1929" s="116"/>
      <c r="L1929" s="170"/>
    </row>
    <row r="1930" spans="1:12" x14ac:dyDescent="0.25">
      <c r="A1930" s="170"/>
      <c r="B1930" s="116"/>
      <c r="C1930" s="116"/>
      <c r="D1930" s="116"/>
      <c r="E1930" s="116"/>
      <c r="F1930" s="116"/>
      <c r="H1930" s="116"/>
      <c r="I1930" s="116"/>
      <c r="L1930" s="170"/>
    </row>
    <row r="1931" spans="1:12" x14ac:dyDescent="0.25">
      <c r="A1931" s="170"/>
      <c r="B1931" s="116"/>
      <c r="C1931" s="116"/>
      <c r="D1931" s="116"/>
      <c r="E1931" s="116"/>
      <c r="F1931" s="116"/>
      <c r="H1931" s="116"/>
      <c r="I1931" s="116"/>
      <c r="L1931" s="170"/>
    </row>
    <row r="1932" spans="1:12" x14ac:dyDescent="0.25">
      <c r="A1932" s="170"/>
      <c r="B1932" s="116"/>
      <c r="C1932" s="116"/>
      <c r="D1932" s="116"/>
      <c r="E1932" s="116"/>
      <c r="F1932" s="116"/>
      <c r="H1932" s="116"/>
      <c r="I1932" s="116"/>
      <c r="L1932" s="170"/>
    </row>
    <row r="1933" spans="1:12" x14ac:dyDescent="0.25">
      <c r="A1933" s="170"/>
      <c r="B1933" s="116"/>
      <c r="C1933" s="116"/>
      <c r="D1933" s="116"/>
      <c r="E1933" s="116"/>
      <c r="F1933" s="116"/>
      <c r="H1933" s="116"/>
      <c r="I1933" s="116"/>
      <c r="L1933" s="170"/>
    </row>
    <row r="1934" spans="1:12" x14ac:dyDescent="0.25">
      <c r="A1934" s="170"/>
      <c r="B1934" s="116"/>
      <c r="C1934" s="116"/>
      <c r="D1934" s="116"/>
      <c r="E1934" s="116"/>
      <c r="F1934" s="116"/>
      <c r="H1934" s="116"/>
      <c r="I1934" s="116"/>
      <c r="L1934" s="170"/>
    </row>
    <row r="1935" spans="1:12" x14ac:dyDescent="0.25">
      <c r="A1935" s="170"/>
      <c r="B1935" s="116"/>
      <c r="C1935" s="116"/>
      <c r="D1935" s="116"/>
      <c r="E1935" s="116"/>
      <c r="F1935" s="116"/>
      <c r="H1935" s="116"/>
      <c r="I1935" s="116"/>
      <c r="L1935" s="170"/>
    </row>
    <row r="1936" spans="1:12" x14ac:dyDescent="0.25">
      <c r="A1936" s="170"/>
      <c r="B1936" s="116"/>
      <c r="C1936" s="116"/>
      <c r="D1936" s="116"/>
      <c r="E1936" s="116"/>
      <c r="F1936" s="116"/>
      <c r="H1936" s="116"/>
      <c r="I1936" s="116"/>
      <c r="L1936" s="170"/>
    </row>
    <row r="1937" spans="1:12" x14ac:dyDescent="0.25">
      <c r="A1937" s="170"/>
      <c r="B1937" s="116"/>
      <c r="C1937" s="116"/>
      <c r="D1937" s="116"/>
      <c r="E1937" s="116"/>
      <c r="F1937" s="116"/>
      <c r="H1937" s="116"/>
      <c r="I1937" s="116"/>
      <c r="L1937" s="170"/>
    </row>
    <row r="1938" spans="1:12" x14ac:dyDescent="0.25">
      <c r="A1938" s="170"/>
      <c r="B1938" s="116"/>
      <c r="C1938" s="116"/>
      <c r="D1938" s="116"/>
      <c r="E1938" s="116"/>
      <c r="F1938" s="116"/>
      <c r="H1938" s="116"/>
      <c r="I1938" s="116"/>
      <c r="L1938" s="170"/>
    </row>
    <row r="1939" spans="1:12" x14ac:dyDescent="0.25">
      <c r="A1939" s="170"/>
      <c r="B1939" s="116"/>
      <c r="C1939" s="116"/>
      <c r="D1939" s="116"/>
      <c r="E1939" s="116"/>
      <c r="F1939" s="116"/>
      <c r="H1939" s="116"/>
      <c r="I1939" s="116"/>
      <c r="L1939" s="170"/>
    </row>
    <row r="1940" spans="1:12" x14ac:dyDescent="0.25">
      <c r="A1940" s="170"/>
      <c r="B1940" s="116"/>
      <c r="C1940" s="116"/>
      <c r="D1940" s="116"/>
      <c r="E1940" s="116"/>
      <c r="F1940" s="116"/>
      <c r="H1940" s="116"/>
      <c r="I1940" s="116"/>
      <c r="L1940" s="170"/>
    </row>
    <row r="1941" spans="1:12" x14ac:dyDescent="0.25">
      <c r="A1941" s="170"/>
      <c r="B1941" s="116"/>
      <c r="C1941" s="116"/>
      <c r="D1941" s="116"/>
      <c r="E1941" s="116"/>
      <c r="F1941" s="116"/>
      <c r="H1941" s="116"/>
      <c r="I1941" s="116"/>
      <c r="L1941" s="170"/>
    </row>
    <row r="1942" spans="1:12" x14ac:dyDescent="0.25">
      <c r="A1942" s="170"/>
      <c r="B1942" s="116"/>
      <c r="C1942" s="116"/>
      <c r="D1942" s="116"/>
      <c r="E1942" s="116"/>
      <c r="F1942" s="116"/>
      <c r="H1942" s="116"/>
      <c r="I1942" s="116"/>
      <c r="L1942" s="170"/>
    </row>
    <row r="1943" spans="1:12" x14ac:dyDescent="0.25">
      <c r="A1943" s="170"/>
      <c r="B1943" s="116"/>
      <c r="C1943" s="116"/>
      <c r="D1943" s="116"/>
      <c r="E1943" s="116"/>
      <c r="F1943" s="116"/>
      <c r="H1943" s="116"/>
      <c r="I1943" s="116"/>
      <c r="L1943" s="170"/>
    </row>
    <row r="1944" spans="1:12" x14ac:dyDescent="0.25">
      <c r="A1944" s="170"/>
      <c r="B1944" s="116"/>
      <c r="C1944" s="116"/>
      <c r="D1944" s="116"/>
      <c r="E1944" s="116"/>
      <c r="F1944" s="116"/>
      <c r="H1944" s="116"/>
      <c r="I1944" s="116"/>
      <c r="L1944" s="170"/>
    </row>
    <row r="1945" spans="1:12" x14ac:dyDescent="0.25">
      <c r="A1945" s="170"/>
      <c r="B1945" s="116"/>
      <c r="C1945" s="116"/>
      <c r="D1945" s="116"/>
      <c r="E1945" s="116"/>
      <c r="F1945" s="116"/>
      <c r="H1945" s="116"/>
      <c r="I1945" s="116"/>
      <c r="L1945" s="170"/>
    </row>
    <row r="1946" spans="1:12" x14ac:dyDescent="0.25">
      <c r="A1946" s="170"/>
      <c r="B1946" s="116"/>
      <c r="C1946" s="116"/>
      <c r="D1946" s="116"/>
      <c r="E1946" s="116"/>
      <c r="F1946" s="116"/>
      <c r="H1946" s="116"/>
      <c r="I1946" s="116"/>
      <c r="L1946" s="170"/>
    </row>
    <row r="1947" spans="1:12" x14ac:dyDescent="0.25">
      <c r="A1947" s="170"/>
      <c r="B1947" s="116"/>
      <c r="C1947" s="116"/>
      <c r="D1947" s="116"/>
      <c r="E1947" s="116"/>
      <c r="F1947" s="116"/>
      <c r="H1947" s="116"/>
      <c r="I1947" s="116"/>
      <c r="L1947" s="170"/>
    </row>
    <row r="1948" spans="1:12" x14ac:dyDescent="0.25">
      <c r="A1948" s="170"/>
      <c r="B1948" s="116"/>
      <c r="C1948" s="116"/>
      <c r="D1948" s="116"/>
      <c r="E1948" s="116"/>
      <c r="F1948" s="116"/>
      <c r="H1948" s="116"/>
      <c r="I1948" s="116"/>
      <c r="L1948" s="170"/>
    </row>
    <row r="1949" spans="1:12" x14ac:dyDescent="0.25">
      <c r="A1949" s="170"/>
      <c r="B1949" s="116"/>
      <c r="C1949" s="116"/>
      <c r="D1949" s="116"/>
      <c r="E1949" s="116"/>
      <c r="F1949" s="116"/>
      <c r="H1949" s="116"/>
      <c r="I1949" s="116"/>
      <c r="L1949" s="170"/>
    </row>
    <row r="1950" spans="1:12" x14ac:dyDescent="0.25">
      <c r="A1950" s="170"/>
      <c r="B1950" s="116"/>
      <c r="C1950" s="116"/>
      <c r="D1950" s="116"/>
      <c r="E1950" s="116"/>
      <c r="F1950" s="116"/>
      <c r="H1950" s="116"/>
      <c r="I1950" s="116"/>
      <c r="L1950" s="170"/>
    </row>
    <row r="1951" spans="1:12" x14ac:dyDescent="0.25">
      <c r="A1951" s="170"/>
      <c r="B1951" s="116"/>
      <c r="C1951" s="116"/>
      <c r="D1951" s="116"/>
      <c r="E1951" s="116"/>
      <c r="F1951" s="116"/>
      <c r="H1951" s="116"/>
      <c r="I1951" s="116"/>
      <c r="L1951" s="170"/>
    </row>
    <row r="1952" spans="1:12" x14ac:dyDescent="0.25">
      <c r="A1952" s="170"/>
      <c r="B1952" s="116"/>
      <c r="C1952" s="116"/>
      <c r="D1952" s="116"/>
      <c r="E1952" s="116"/>
      <c r="F1952" s="116"/>
      <c r="H1952" s="116"/>
      <c r="I1952" s="116"/>
      <c r="L1952" s="170"/>
    </row>
    <row r="1953" spans="1:12" x14ac:dyDescent="0.25">
      <c r="A1953" s="170"/>
      <c r="B1953" s="116"/>
      <c r="C1953" s="116"/>
      <c r="D1953" s="116"/>
      <c r="E1953" s="116"/>
      <c r="F1953" s="116"/>
      <c r="H1953" s="116"/>
      <c r="I1953" s="116"/>
      <c r="L1953" s="170"/>
    </row>
    <row r="1954" spans="1:12" x14ac:dyDescent="0.25">
      <c r="A1954" s="170"/>
      <c r="B1954" s="116"/>
      <c r="C1954" s="116"/>
      <c r="D1954" s="116"/>
      <c r="E1954" s="116"/>
      <c r="F1954" s="116"/>
      <c r="H1954" s="116"/>
      <c r="I1954" s="116"/>
      <c r="L1954" s="170"/>
    </row>
    <row r="1955" spans="1:12" x14ac:dyDescent="0.25">
      <c r="A1955" s="170"/>
      <c r="B1955" s="116"/>
      <c r="C1955" s="116"/>
      <c r="D1955" s="116"/>
      <c r="E1955" s="116"/>
      <c r="F1955" s="116"/>
      <c r="H1955" s="116"/>
      <c r="I1955" s="116"/>
      <c r="L1955" s="170"/>
    </row>
    <row r="1956" spans="1:12" x14ac:dyDescent="0.25">
      <c r="A1956" s="170"/>
      <c r="B1956" s="116"/>
      <c r="C1956" s="116"/>
      <c r="D1956" s="116"/>
      <c r="E1956" s="116"/>
      <c r="F1956" s="116"/>
      <c r="H1956" s="116"/>
      <c r="I1956" s="116"/>
      <c r="L1956" s="170"/>
    </row>
    <row r="1957" spans="1:12" x14ac:dyDescent="0.25">
      <c r="A1957" s="170"/>
      <c r="B1957" s="116"/>
      <c r="C1957" s="116"/>
      <c r="D1957" s="116"/>
      <c r="E1957" s="116"/>
      <c r="F1957" s="116"/>
      <c r="H1957" s="116"/>
      <c r="I1957" s="116"/>
      <c r="L1957" s="170"/>
    </row>
    <row r="1958" spans="1:12" x14ac:dyDescent="0.25">
      <c r="A1958" s="170"/>
      <c r="B1958" s="116"/>
      <c r="C1958" s="116"/>
      <c r="D1958" s="116"/>
      <c r="E1958" s="116"/>
      <c r="F1958" s="116"/>
      <c r="H1958" s="116"/>
      <c r="I1958" s="116"/>
      <c r="L1958" s="170"/>
    </row>
    <row r="1959" spans="1:12" x14ac:dyDescent="0.25">
      <c r="A1959" s="170"/>
      <c r="B1959" s="116"/>
      <c r="C1959" s="116"/>
      <c r="D1959" s="116"/>
      <c r="E1959" s="116"/>
      <c r="F1959" s="116"/>
      <c r="H1959" s="116"/>
      <c r="I1959" s="116"/>
      <c r="L1959" s="170"/>
    </row>
    <row r="1960" spans="1:12" x14ac:dyDescent="0.25">
      <c r="A1960" s="170"/>
      <c r="B1960" s="116"/>
      <c r="C1960" s="116"/>
      <c r="D1960" s="116"/>
      <c r="E1960" s="116"/>
      <c r="F1960" s="116"/>
      <c r="H1960" s="116"/>
      <c r="I1960" s="116"/>
      <c r="L1960" s="170"/>
    </row>
    <row r="1961" spans="1:12" x14ac:dyDescent="0.25">
      <c r="A1961" s="170"/>
      <c r="B1961" s="116"/>
      <c r="C1961" s="116"/>
      <c r="D1961" s="116"/>
      <c r="E1961" s="116"/>
      <c r="F1961" s="116"/>
      <c r="H1961" s="116"/>
      <c r="I1961" s="116"/>
      <c r="L1961" s="170"/>
    </row>
    <row r="1962" spans="1:12" x14ac:dyDescent="0.25">
      <c r="A1962" s="170"/>
      <c r="B1962" s="116"/>
      <c r="C1962" s="116"/>
      <c r="D1962" s="116"/>
      <c r="E1962" s="116"/>
      <c r="F1962" s="116"/>
      <c r="H1962" s="116"/>
      <c r="I1962" s="116"/>
      <c r="L1962" s="170"/>
    </row>
    <row r="1963" spans="1:12" x14ac:dyDescent="0.25">
      <c r="A1963" s="170"/>
      <c r="B1963" s="116"/>
      <c r="C1963" s="116"/>
      <c r="D1963" s="116"/>
      <c r="E1963" s="116"/>
      <c r="F1963" s="116"/>
      <c r="H1963" s="116"/>
      <c r="I1963" s="116"/>
      <c r="L1963" s="170"/>
    </row>
    <row r="1964" spans="1:12" x14ac:dyDescent="0.25">
      <c r="A1964" s="170"/>
      <c r="B1964" s="116"/>
      <c r="C1964" s="116"/>
      <c r="D1964" s="116"/>
      <c r="E1964" s="116"/>
      <c r="F1964" s="116"/>
      <c r="H1964" s="116"/>
      <c r="I1964" s="116"/>
      <c r="L1964" s="170"/>
    </row>
    <row r="1965" spans="1:12" x14ac:dyDescent="0.25">
      <c r="A1965" s="170"/>
      <c r="B1965" s="116"/>
      <c r="C1965" s="116"/>
      <c r="D1965" s="116"/>
      <c r="E1965" s="116"/>
      <c r="F1965" s="116"/>
      <c r="H1965" s="116"/>
      <c r="I1965" s="116"/>
      <c r="L1965" s="170"/>
    </row>
    <row r="1966" spans="1:12" x14ac:dyDescent="0.25">
      <c r="A1966" s="170"/>
      <c r="B1966" s="116"/>
      <c r="C1966" s="116"/>
      <c r="D1966" s="116"/>
      <c r="E1966" s="116"/>
      <c r="F1966" s="116"/>
      <c r="H1966" s="116"/>
      <c r="I1966" s="116"/>
      <c r="L1966" s="170"/>
    </row>
    <row r="1967" spans="1:12" x14ac:dyDescent="0.25">
      <c r="A1967" s="170"/>
      <c r="B1967" s="116"/>
      <c r="C1967" s="116"/>
      <c r="D1967" s="116"/>
      <c r="E1967" s="116"/>
      <c r="F1967" s="116"/>
      <c r="H1967" s="116"/>
      <c r="I1967" s="116"/>
      <c r="L1967" s="170"/>
    </row>
    <row r="1968" spans="1:12" x14ac:dyDescent="0.25">
      <c r="A1968" s="170"/>
      <c r="B1968" s="116"/>
      <c r="C1968" s="116"/>
      <c r="D1968" s="116"/>
      <c r="E1968" s="116"/>
      <c r="F1968" s="116"/>
      <c r="H1968" s="116"/>
      <c r="I1968" s="116"/>
      <c r="L1968" s="170"/>
    </row>
    <row r="1969" spans="1:12" x14ac:dyDescent="0.25">
      <c r="A1969" s="170"/>
      <c r="B1969" s="116"/>
      <c r="C1969" s="116"/>
      <c r="D1969" s="116"/>
      <c r="E1969" s="116"/>
      <c r="F1969" s="116"/>
      <c r="H1969" s="116"/>
      <c r="I1969" s="116"/>
      <c r="L1969" s="170"/>
    </row>
    <row r="1970" spans="1:12" x14ac:dyDescent="0.25">
      <c r="A1970" s="170"/>
      <c r="B1970" s="116"/>
      <c r="C1970" s="116"/>
      <c r="D1970" s="116"/>
      <c r="E1970" s="116"/>
      <c r="F1970" s="116"/>
      <c r="H1970" s="116"/>
      <c r="I1970" s="116"/>
      <c r="L1970" s="170"/>
    </row>
    <row r="1971" spans="1:12" x14ac:dyDescent="0.25">
      <c r="A1971" s="170"/>
      <c r="B1971" s="116"/>
      <c r="C1971" s="116"/>
      <c r="D1971" s="116"/>
      <c r="E1971" s="116"/>
      <c r="F1971" s="116"/>
      <c r="H1971" s="116"/>
      <c r="I1971" s="116"/>
      <c r="L1971" s="170"/>
    </row>
    <row r="1972" spans="1:12" x14ac:dyDescent="0.25">
      <c r="A1972" s="170"/>
      <c r="B1972" s="116"/>
      <c r="C1972" s="116"/>
      <c r="D1972" s="116"/>
      <c r="E1972" s="116"/>
      <c r="F1972" s="116"/>
      <c r="H1972" s="116"/>
      <c r="I1972" s="116"/>
      <c r="L1972" s="170"/>
    </row>
    <row r="1973" spans="1:12" x14ac:dyDescent="0.25">
      <c r="A1973" s="170"/>
      <c r="B1973" s="116"/>
      <c r="C1973" s="116"/>
      <c r="D1973" s="116"/>
      <c r="E1973" s="116"/>
      <c r="F1973" s="116"/>
      <c r="H1973" s="116"/>
      <c r="I1973" s="116"/>
      <c r="L1973" s="170"/>
    </row>
    <row r="1974" spans="1:12" x14ac:dyDescent="0.25">
      <c r="A1974" s="170"/>
      <c r="B1974" s="116"/>
      <c r="C1974" s="116"/>
      <c r="D1974" s="116"/>
      <c r="E1974" s="116"/>
      <c r="F1974" s="116"/>
      <c r="H1974" s="116"/>
      <c r="I1974" s="116"/>
      <c r="L1974" s="170"/>
    </row>
    <row r="1975" spans="1:12" x14ac:dyDescent="0.25">
      <c r="A1975" s="170"/>
      <c r="B1975" s="116"/>
      <c r="C1975" s="116"/>
      <c r="D1975" s="116"/>
      <c r="E1975" s="116"/>
      <c r="F1975" s="116"/>
      <c r="H1975" s="116"/>
      <c r="I1975" s="116"/>
      <c r="L1975" s="170"/>
    </row>
    <row r="1976" spans="1:12" x14ac:dyDescent="0.25">
      <c r="A1976" s="170"/>
      <c r="B1976" s="116"/>
      <c r="C1976" s="116"/>
      <c r="D1976" s="116"/>
      <c r="E1976" s="116"/>
      <c r="F1976" s="116"/>
      <c r="H1976" s="116"/>
      <c r="I1976" s="116"/>
      <c r="L1976" s="170"/>
    </row>
    <row r="1977" spans="1:12" x14ac:dyDescent="0.25">
      <c r="A1977" s="170"/>
      <c r="B1977" s="116"/>
      <c r="C1977" s="116"/>
      <c r="D1977" s="116"/>
      <c r="E1977" s="116"/>
      <c r="F1977" s="116"/>
      <c r="H1977" s="116"/>
      <c r="I1977" s="116"/>
      <c r="L1977" s="170"/>
    </row>
    <row r="1978" spans="1:12" x14ac:dyDescent="0.25">
      <c r="A1978" s="170"/>
      <c r="B1978" s="116"/>
      <c r="C1978" s="116"/>
      <c r="D1978" s="116"/>
      <c r="E1978" s="116"/>
      <c r="F1978" s="116"/>
      <c r="H1978" s="116"/>
      <c r="I1978" s="116"/>
      <c r="L1978" s="170"/>
    </row>
    <row r="1979" spans="1:12" x14ac:dyDescent="0.25">
      <c r="A1979" s="170"/>
      <c r="B1979" s="116"/>
      <c r="C1979" s="116"/>
      <c r="D1979" s="116"/>
      <c r="E1979" s="116"/>
      <c r="F1979" s="116"/>
      <c r="H1979" s="116"/>
      <c r="I1979" s="116"/>
      <c r="L1979" s="170"/>
    </row>
    <row r="1980" spans="1:12" x14ac:dyDescent="0.25">
      <c r="A1980" s="170"/>
      <c r="B1980" s="116"/>
      <c r="C1980" s="116"/>
      <c r="D1980" s="116"/>
      <c r="E1980" s="116"/>
      <c r="F1980" s="116"/>
      <c r="H1980" s="116"/>
      <c r="I1980" s="116"/>
      <c r="L1980" s="170"/>
    </row>
    <row r="1981" spans="1:12" x14ac:dyDescent="0.25">
      <c r="A1981" s="170"/>
      <c r="B1981" s="116"/>
      <c r="C1981" s="116"/>
      <c r="D1981" s="116"/>
      <c r="E1981" s="116"/>
      <c r="F1981" s="116"/>
      <c r="H1981" s="116"/>
      <c r="I1981" s="116"/>
      <c r="L1981" s="170"/>
    </row>
    <row r="1982" spans="1:12" x14ac:dyDescent="0.25">
      <c r="A1982" s="170"/>
      <c r="B1982" s="116"/>
      <c r="C1982" s="116"/>
      <c r="D1982" s="116"/>
      <c r="E1982" s="116"/>
      <c r="F1982" s="116"/>
      <c r="H1982" s="116"/>
      <c r="I1982" s="116"/>
      <c r="L1982" s="170"/>
    </row>
    <row r="1983" spans="1:12" x14ac:dyDescent="0.25">
      <c r="A1983" s="170"/>
      <c r="B1983" s="116"/>
      <c r="C1983" s="116"/>
      <c r="D1983" s="116"/>
      <c r="E1983" s="116"/>
      <c r="F1983" s="116"/>
      <c r="H1983" s="116"/>
      <c r="I1983" s="116"/>
      <c r="L1983" s="170"/>
    </row>
    <row r="1984" spans="1:12" x14ac:dyDescent="0.25">
      <c r="A1984" s="170"/>
      <c r="B1984" s="116"/>
      <c r="C1984" s="116"/>
      <c r="D1984" s="116"/>
      <c r="E1984" s="116"/>
      <c r="F1984" s="116"/>
      <c r="H1984" s="116"/>
      <c r="I1984" s="116"/>
      <c r="L1984" s="170"/>
    </row>
    <row r="1985" spans="1:18" x14ac:dyDescent="0.25">
      <c r="A1985" s="170"/>
      <c r="B1985" s="116"/>
      <c r="C1985" s="116"/>
      <c r="D1985" s="116"/>
      <c r="E1985" s="116"/>
      <c r="F1985" s="116"/>
      <c r="H1985" s="116"/>
      <c r="I1985" s="116"/>
      <c r="L1985" s="170"/>
    </row>
    <row r="1986" spans="1:18" x14ac:dyDescent="0.25">
      <c r="A1986" s="170"/>
      <c r="B1986" s="116"/>
      <c r="C1986" s="116"/>
      <c r="D1986" s="116"/>
      <c r="E1986" s="116"/>
      <c r="F1986" s="116"/>
      <c r="H1986" s="116"/>
      <c r="I1986" s="116"/>
      <c r="L1986" s="170"/>
    </row>
    <row r="1987" spans="1:18" x14ac:dyDescent="0.25">
      <c r="A1987" s="170"/>
      <c r="B1987" s="116"/>
      <c r="C1987" s="116"/>
      <c r="D1987" s="116"/>
      <c r="E1987" s="116"/>
      <c r="F1987" s="116"/>
      <c r="H1987" s="116"/>
      <c r="I1987" s="116"/>
      <c r="L1987" s="170"/>
    </row>
    <row r="1988" spans="1:18" x14ac:dyDescent="0.25">
      <c r="A1988" s="170"/>
      <c r="B1988" s="116"/>
      <c r="C1988" s="116"/>
      <c r="D1988" s="116"/>
      <c r="E1988" s="116"/>
      <c r="F1988" s="116"/>
      <c r="H1988" s="116"/>
      <c r="I1988" s="116"/>
      <c r="L1988" s="170"/>
    </row>
    <row r="1989" spans="1:18" x14ac:dyDescent="0.25">
      <c r="A1989" s="170"/>
      <c r="B1989" s="116"/>
      <c r="C1989" s="116"/>
      <c r="D1989" s="116"/>
      <c r="E1989" s="116"/>
      <c r="F1989" s="116"/>
      <c r="H1989" s="116"/>
      <c r="I1989" s="116"/>
      <c r="L1989" s="170"/>
    </row>
    <row r="1990" spans="1:18" x14ac:dyDescent="0.25">
      <c r="A1990" s="170"/>
      <c r="B1990" s="116"/>
      <c r="C1990" s="116"/>
      <c r="D1990" s="116"/>
      <c r="E1990" s="116"/>
      <c r="F1990" s="116"/>
      <c r="H1990" s="116"/>
      <c r="I1990" s="116"/>
      <c r="L1990" s="170"/>
    </row>
    <row r="1991" spans="1:18" x14ac:dyDescent="0.25">
      <c r="A1991" s="170"/>
      <c r="B1991" s="116"/>
      <c r="C1991" s="116"/>
      <c r="D1991" s="116"/>
      <c r="E1991" s="116"/>
      <c r="F1991" s="116"/>
      <c r="H1991" s="116"/>
      <c r="I1991" s="116"/>
      <c r="L1991" s="170"/>
    </row>
    <row r="1992" spans="1:18" x14ac:dyDescent="0.25">
      <c r="A1992" s="170"/>
      <c r="B1992" s="116"/>
      <c r="C1992" s="116"/>
      <c r="D1992" s="116"/>
      <c r="E1992" s="116"/>
      <c r="F1992" s="116"/>
      <c r="H1992" s="116"/>
      <c r="I1992" s="116"/>
      <c r="L1992" s="170"/>
    </row>
    <row r="1993" spans="1:18" x14ac:dyDescent="0.25">
      <c r="A1993" s="170"/>
      <c r="B1993" s="116"/>
      <c r="C1993" s="116"/>
      <c r="D1993" s="116"/>
      <c r="E1993" s="116"/>
      <c r="F1993" s="116"/>
      <c r="H1993" s="116"/>
      <c r="I1993" s="116"/>
      <c r="L1993" s="170"/>
    </row>
    <row r="1994" spans="1:18" x14ac:dyDescent="0.25">
      <c r="A1994" s="170"/>
      <c r="B1994" s="116"/>
      <c r="C1994" s="116"/>
      <c r="D1994" s="116"/>
      <c r="E1994" s="116"/>
      <c r="F1994" s="116"/>
      <c r="H1994" s="116"/>
      <c r="I1994" s="116"/>
      <c r="L1994" s="170"/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/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/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/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2026-06-17T12:43:41Z</dcterms:modified>
  <cp:category/>
  <cp:contentStatus/>
</cp:coreProperties>
</file>